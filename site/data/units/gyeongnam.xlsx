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63A1509-7ACB-45AC-A638-B4C66F11AE39}" xr6:coauthVersionLast="47" xr6:coauthVersionMax="47" xr10:uidLastSave="{00000000-0000-0000-0000-000000000000}"/>
  <bookViews>
    <workbookView xWindow="-120" yWindow="-120" windowWidth="29040" windowHeight="15720" activeTab="1" xr2:uid="{B26B388A-B41D-40CF-B494-557C3E9AD788}"/>
  </bookViews>
  <sheets>
    <sheet name="총괄표" sheetId="1" r:id="rId1"/>
    <sheet name="업체별현황" sheetId="2" r:id="rId2"/>
  </sheets>
  <definedNames>
    <definedName name="_xlnm._FilterDatabase" localSheetId="1" hidden="1">업체별현황!$A$4:$AC$213</definedName>
    <definedName name="_xlnm.Print_Area" localSheetId="1">업체별현황!$B$1:$V$213</definedName>
    <definedName name="_xlnm.Print_Area" localSheetId="0">총괄표!$A$1:$L$50</definedName>
    <definedName name="_xlnm.Print_Titles" localSheetId="1">업체별현황!$1:$4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96" i="2" l="1"/>
  <c r="N190" i="2"/>
  <c r="N183" i="2"/>
  <c r="N176" i="2"/>
  <c r="N169" i="2"/>
  <c r="N165" i="2"/>
  <c r="N212" i="2" l="1"/>
  <c r="N208" i="2"/>
  <c r="N159" i="2" l="1"/>
  <c r="N155" i="2"/>
  <c r="N151" i="2"/>
  <c r="N147" i="2"/>
  <c r="N143" i="2"/>
  <c r="N137" i="2"/>
  <c r="N61" i="2" l="1"/>
  <c r="N71" i="2"/>
  <c r="N82" i="2"/>
  <c r="N65" i="2"/>
  <c r="N49" i="2" l="1"/>
  <c r="N42" i="2"/>
  <c r="N36" i="2"/>
  <c r="N27" i="2"/>
  <c r="N20" i="2"/>
  <c r="Z10" i="2" l="1"/>
  <c r="AB10" i="2"/>
  <c r="L13" i="2"/>
  <c r="M13" i="2"/>
  <c r="N13" i="2"/>
  <c r="X13" i="2"/>
  <c r="L15" i="2"/>
  <c r="M15" i="2"/>
  <c r="N15" i="2"/>
  <c r="X15" i="2"/>
  <c r="L20" i="2"/>
  <c r="M20" i="2"/>
  <c r="W20" i="2"/>
  <c r="X20" i="2"/>
  <c r="L27" i="2"/>
  <c r="M27" i="2"/>
  <c r="X27" i="2"/>
  <c r="L36" i="2"/>
  <c r="M36" i="2"/>
  <c r="X36" i="2"/>
  <c r="Y36" i="2"/>
  <c r="AB16" i="2" s="1"/>
  <c r="L42" i="2"/>
  <c r="M42" i="2"/>
  <c r="X42" i="2"/>
  <c r="L49" i="2"/>
  <c r="M49" i="2"/>
  <c r="W49" i="2"/>
  <c r="Z17" i="2" s="1"/>
  <c r="X49" i="2"/>
  <c r="L61" i="2"/>
  <c r="M61" i="2"/>
  <c r="X61" i="2"/>
  <c r="Y61" i="2"/>
  <c r="L65" i="2"/>
  <c r="M65" i="2"/>
  <c r="X65" i="2"/>
  <c r="Y65" i="2"/>
  <c r="L71" i="2"/>
  <c r="M71" i="2"/>
  <c r="W71" i="2"/>
  <c r="X71" i="2"/>
  <c r="Y71" i="2"/>
  <c r="L82" i="2"/>
  <c r="M82" i="2"/>
  <c r="W82" i="2"/>
  <c r="X82" i="2"/>
  <c r="Y82" i="2"/>
  <c r="L94" i="2"/>
  <c r="M94" i="2"/>
  <c r="N94" i="2"/>
  <c r="W94" i="2"/>
  <c r="X94" i="2"/>
  <c r="Y94" i="2"/>
  <c r="L100" i="2"/>
  <c r="M100" i="2"/>
  <c r="N100" i="2"/>
  <c r="X100" i="2"/>
  <c r="Y100" i="2"/>
  <c r="L106" i="2"/>
  <c r="M106" i="2"/>
  <c r="N106" i="2"/>
  <c r="W106" i="2"/>
  <c r="X106" i="2"/>
  <c r="L113" i="2"/>
  <c r="M113" i="2"/>
  <c r="N113" i="2"/>
  <c r="X113" i="2"/>
  <c r="Y113" i="2"/>
  <c r="L119" i="2"/>
  <c r="M119" i="2"/>
  <c r="N119" i="2"/>
  <c r="X119" i="2"/>
  <c r="Y119" i="2"/>
  <c r="Z120" i="2"/>
  <c r="L125" i="2"/>
  <c r="M125" i="2"/>
  <c r="N125" i="2"/>
  <c r="X125" i="2"/>
  <c r="Y125" i="2"/>
  <c r="AB120" i="2" s="1"/>
  <c r="L130" i="2"/>
  <c r="M130" i="2"/>
  <c r="N130" i="2"/>
  <c r="X130" i="2"/>
  <c r="L133" i="2"/>
  <c r="M133" i="2"/>
  <c r="N133" i="2"/>
  <c r="X133" i="2"/>
  <c r="L137" i="2"/>
  <c r="M137" i="2"/>
  <c r="X137" i="2"/>
  <c r="L143" i="2"/>
  <c r="M143" i="2"/>
  <c r="X143" i="2"/>
  <c r="Y143" i="2"/>
  <c r="L147" i="2"/>
  <c r="M147" i="2"/>
  <c r="W147" i="2"/>
  <c r="Z134" i="2" s="1"/>
  <c r="X147" i="2"/>
  <c r="L151" i="2"/>
  <c r="M151" i="2"/>
  <c r="X151" i="2"/>
  <c r="Y151" i="2"/>
  <c r="L155" i="2"/>
  <c r="M155" i="2"/>
  <c r="X155" i="2"/>
  <c r="Y155" i="2"/>
  <c r="L159" i="2"/>
  <c r="M159" i="2"/>
  <c r="X159" i="2"/>
  <c r="L165" i="2"/>
  <c r="M165" i="2"/>
  <c r="W165" i="2"/>
  <c r="X165" i="2"/>
  <c r="L169" i="2"/>
  <c r="M169" i="2"/>
  <c r="W169" i="2"/>
  <c r="X169" i="2"/>
  <c r="L176" i="2"/>
  <c r="M176" i="2"/>
  <c r="W176" i="2"/>
  <c r="L183" i="2"/>
  <c r="M183" i="2"/>
  <c r="W183" i="2"/>
  <c r="L190" i="2"/>
  <c r="M190" i="2"/>
  <c r="Y190" i="2"/>
  <c r="L196" i="2"/>
  <c r="M196" i="2"/>
  <c r="W196" i="2"/>
  <c r="X196" i="2"/>
  <c r="AA197" i="2"/>
  <c r="AB197" i="2"/>
  <c r="L198" i="2"/>
  <c r="M198" i="2"/>
  <c r="N198" i="2"/>
  <c r="W198" i="2"/>
  <c r="L201" i="2"/>
  <c r="M201" i="2"/>
  <c r="N201" i="2"/>
  <c r="W201" i="2"/>
  <c r="Z202" i="2"/>
  <c r="AB202" i="2"/>
  <c r="L203" i="2"/>
  <c r="M203" i="2"/>
  <c r="N203" i="2"/>
  <c r="X203" i="2"/>
  <c r="Z204" i="2"/>
  <c r="L208" i="2"/>
  <c r="M208" i="2"/>
  <c r="X208" i="2"/>
  <c r="Y208" i="2"/>
  <c r="L212" i="2"/>
  <c r="M212" i="2"/>
  <c r="X213" i="2"/>
  <c r="Y213" i="2"/>
  <c r="AB160" i="2" l="1"/>
  <c r="AA202" i="2"/>
  <c r="AC202" i="2" s="1"/>
  <c r="Z16" i="2"/>
  <c r="AB161" i="2"/>
  <c r="AB204" i="2"/>
  <c r="AA17" i="2"/>
  <c r="Z50" i="2"/>
  <c r="AA51" i="2"/>
  <c r="AB51" i="2"/>
  <c r="Z197" i="2"/>
  <c r="AC197" i="2" s="1"/>
  <c r="AA50" i="2"/>
  <c r="AA121" i="2"/>
  <c r="AC121" i="2" s="1"/>
  <c r="AA204" i="2"/>
  <c r="AA134" i="2"/>
  <c r="AB134" i="2"/>
  <c r="AA160" i="2"/>
  <c r="AA10" i="2"/>
  <c r="AC10" i="2" s="1"/>
  <c r="Z51" i="2"/>
  <c r="AA16" i="2"/>
  <c r="AC16" i="2" s="1"/>
  <c r="AA120" i="2"/>
  <c r="AC120" i="2" s="1"/>
  <c r="Z160" i="2"/>
  <c r="AA161" i="2"/>
  <c r="Z161" i="2"/>
  <c r="AB50" i="2"/>
  <c r="AB17" i="2"/>
  <c r="AC17" i="2" l="1"/>
  <c r="AC204" i="2"/>
  <c r="AC134" i="2"/>
  <c r="AC50" i="2"/>
  <c r="AC51" i="2"/>
  <c r="AC160" i="2"/>
  <c r="AC161" i="2"/>
  <c r="N9" i="2"/>
  <c r="N213" i="2" l="1"/>
  <c r="X9" i="2" l="1"/>
  <c r="W9" i="2"/>
  <c r="M9" i="2"/>
  <c r="L9" i="2"/>
  <c r="M213" i="2" l="1"/>
  <c r="L213" i="2"/>
  <c r="H32" i="1" l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C50" i="1"/>
  <c r="C49" i="1"/>
  <c r="C48" i="1"/>
  <c r="C46" i="1"/>
  <c r="C45" i="1"/>
  <c r="C44" i="1"/>
  <c r="C43" i="1"/>
  <c r="C42" i="1"/>
  <c r="C41" i="1"/>
  <c r="C40" i="1"/>
  <c r="C38" i="1"/>
  <c r="C37" i="1"/>
  <c r="C36" i="1"/>
  <c r="C35" i="1"/>
  <c r="C34" i="1"/>
  <c r="C33" i="1"/>
  <c r="C32" i="1"/>
  <c r="C31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5" i="1" l="1"/>
  <c r="H31" i="1"/>
  <c r="B12" i="1" l="1"/>
  <c r="H50" i="1"/>
  <c r="B50" i="1"/>
  <c r="B46" i="1"/>
  <c r="B42" i="1"/>
  <c r="B41" i="1"/>
  <c r="B32" i="1"/>
  <c r="L30" i="1"/>
  <c r="K30" i="1"/>
  <c r="J30" i="1"/>
  <c r="I30" i="1"/>
  <c r="G30" i="1"/>
  <c r="F30" i="1"/>
  <c r="E30" i="1"/>
  <c r="D30" i="1"/>
  <c r="B20" i="1"/>
  <c r="B9" i="1"/>
  <c r="L4" i="1"/>
  <c r="K4" i="1"/>
  <c r="J4" i="1"/>
  <c r="I4" i="1"/>
  <c r="G4" i="1"/>
  <c r="F4" i="1"/>
  <c r="E4" i="1"/>
  <c r="D4" i="1"/>
  <c r="B18" i="1" l="1"/>
  <c r="B33" i="1"/>
  <c r="B48" i="1"/>
  <c r="B40" i="1"/>
  <c r="B43" i="1"/>
  <c r="B34" i="1"/>
  <c r="B35" i="1"/>
  <c r="B36" i="1"/>
  <c r="B47" i="1"/>
  <c r="B39" i="1"/>
  <c r="H4" i="1"/>
  <c r="B11" i="1"/>
  <c r="B13" i="1"/>
  <c r="B22" i="1"/>
  <c r="B14" i="1"/>
  <c r="B7" i="1"/>
  <c r="B19" i="1"/>
  <c r="B10" i="1"/>
  <c r="B21" i="1"/>
  <c r="B23" i="1"/>
  <c r="B24" i="1"/>
  <c r="B5" i="1"/>
  <c r="B16" i="1"/>
  <c r="B6" i="1"/>
  <c r="B17" i="1"/>
  <c r="B38" i="1"/>
  <c r="B31" i="1"/>
  <c r="H30" i="1"/>
  <c r="B45" i="1"/>
  <c r="B44" i="1"/>
  <c r="B49" i="1"/>
  <c r="B37" i="1"/>
  <c r="C30" i="1"/>
  <c r="B15" i="1"/>
  <c r="C4" i="1"/>
  <c r="B8" i="1"/>
  <c r="B30" i="1" l="1"/>
  <c r="B4" i="1"/>
</calcChain>
</file>

<file path=xl/sharedStrings.xml><?xml version="1.0" encoding="utf-8"?>
<sst xmlns="http://schemas.openxmlformats.org/spreadsheetml/2006/main" count="556" uniqueCount="303">
  <si>
    <t>□ 경상남도 민간/분양 미분양주택 현황(총괄)</t>
    <phoneticPr fontId="3" type="noConversion"/>
  </si>
  <si>
    <t>시군별</t>
  </si>
  <si>
    <t>전월대비
미분양
증감현황</t>
  </si>
  <si>
    <t>계</t>
  </si>
  <si>
    <t>전용 40㎡이하</t>
    <phoneticPr fontId="3" type="noConversion"/>
  </si>
  <si>
    <t>전용 40-60㎡</t>
    <phoneticPr fontId="3" type="noConversion"/>
  </si>
  <si>
    <t>전용 60-85㎡</t>
    <phoneticPr fontId="3" type="noConversion"/>
  </si>
  <si>
    <t>전용 85㎡초과</t>
  </si>
  <si>
    <t>경상남도</t>
    <phoneticPr fontId="3" type="noConversion"/>
  </si>
  <si>
    <t>부산진해경제자유구역청</t>
    <phoneticPr fontId="3" type="noConversion"/>
  </si>
  <si>
    <t>광양만권경제자유구역청</t>
    <phoneticPr fontId="3" type="noConversion"/>
  </si>
  <si>
    <t>창원시</t>
    <phoneticPr fontId="3" type="noConversion"/>
  </si>
  <si>
    <t>진주시</t>
    <phoneticPr fontId="3" type="noConversion"/>
  </si>
  <si>
    <t>통영시</t>
    <phoneticPr fontId="3" type="noConversion"/>
  </si>
  <si>
    <t>사천시</t>
    <phoneticPr fontId="3" type="noConversion"/>
  </si>
  <si>
    <t>김해시</t>
    <phoneticPr fontId="3" type="noConversion"/>
  </si>
  <si>
    <t>밀양시</t>
    <phoneticPr fontId="3" type="noConversion"/>
  </si>
  <si>
    <t>거제시</t>
    <phoneticPr fontId="3" type="noConversion"/>
  </si>
  <si>
    <t>양산시</t>
    <phoneticPr fontId="3" type="noConversion"/>
  </si>
  <si>
    <t>의령군</t>
    <phoneticPr fontId="3" type="noConversion"/>
  </si>
  <si>
    <t>함안군</t>
    <phoneticPr fontId="3" type="noConversion"/>
  </si>
  <si>
    <t>창녕군</t>
    <phoneticPr fontId="3" type="noConversion"/>
  </si>
  <si>
    <t>고성군</t>
    <phoneticPr fontId="3" type="noConversion"/>
  </si>
  <si>
    <t>남해군</t>
    <phoneticPr fontId="3" type="noConversion"/>
  </si>
  <si>
    <t>하동군</t>
    <phoneticPr fontId="3" type="noConversion"/>
  </si>
  <si>
    <t>산청군</t>
    <phoneticPr fontId="3" type="noConversion"/>
  </si>
  <si>
    <t>함양군</t>
    <phoneticPr fontId="3" type="noConversion"/>
  </si>
  <si>
    <t>거창군</t>
    <phoneticPr fontId="3" type="noConversion"/>
  </si>
  <si>
    <t>합천군</t>
    <phoneticPr fontId="3" type="noConversion"/>
  </si>
  <si>
    <t>□ 경상남도 민간/분양 미분양주택 현황(준공후)</t>
    <phoneticPr fontId="3" type="noConversion"/>
  </si>
  <si>
    <t>부산진해경제자유구역청</t>
  </si>
  <si>
    <t>광양만권경제자유구역청</t>
  </si>
  <si>
    <t>민간분양 주택('26.7말기준)</t>
    <phoneticPr fontId="3" type="noConversion"/>
  </si>
  <si>
    <t>민간분양 주택('26.8말기준)</t>
    <phoneticPr fontId="3" type="noConversion"/>
  </si>
  <si>
    <t xml:space="preserve"> □ 업체별 현황 ('26.8.31.기준)</t>
    <phoneticPr fontId="3" type="noConversion"/>
  </si>
  <si>
    <t>구분</t>
    <phoneticPr fontId="3" type="noConversion"/>
  </si>
  <si>
    <t>소재지</t>
    <phoneticPr fontId="3" type="noConversion"/>
  </si>
  <si>
    <t>사업자
(전화번호)</t>
  </si>
  <si>
    <t>유형</t>
  </si>
  <si>
    <t>분양내용</t>
  </si>
  <si>
    <t>분양결과</t>
  </si>
  <si>
    <t>분양 
승인일</t>
    <phoneticPr fontId="3" type="noConversion"/>
  </si>
  <si>
    <t>계약
마감일</t>
    <phoneticPr fontId="3" type="noConversion"/>
  </si>
  <si>
    <t>입주예정
(준공)월</t>
    <phoneticPr fontId="3" type="noConversion"/>
  </si>
  <si>
    <t>준공여부
(준공/미준공)</t>
  </si>
  <si>
    <t>지구명
(OO지구)</t>
    <phoneticPr fontId="3" type="noConversion"/>
  </si>
  <si>
    <t>택지종류
(민간/공공)</t>
    <phoneticPr fontId="3" type="noConversion"/>
  </si>
  <si>
    <t>특이사항</t>
    <phoneticPr fontId="2" type="noConversion"/>
  </si>
  <si>
    <t>시도</t>
    <phoneticPr fontId="3" type="noConversion"/>
  </si>
  <si>
    <t>시군구</t>
    <phoneticPr fontId="3" type="noConversion"/>
  </si>
  <si>
    <t>읍면동</t>
    <phoneticPr fontId="3" type="noConversion"/>
  </si>
  <si>
    <t>시공사</t>
  </si>
  <si>
    <t>시행사</t>
  </si>
  <si>
    <t>(민간
/공공)</t>
  </si>
  <si>
    <t>(임대
/분양)</t>
  </si>
  <si>
    <t>규모별
(전용 ㎡)</t>
  </si>
  <si>
    <t>총분양
가구수</t>
  </si>
  <si>
    <t>미분양가구수</t>
  </si>
  <si>
    <t>26.7말</t>
    <phoneticPr fontId="3" type="noConversion"/>
  </si>
  <si>
    <t>26.8말</t>
    <phoneticPr fontId="3" type="noConversion"/>
  </si>
  <si>
    <t>40-60</t>
    <phoneticPr fontId="2" type="noConversion"/>
  </si>
  <si>
    <t>60-85</t>
    <phoneticPr fontId="2" type="noConversion"/>
  </si>
  <si>
    <t>85초과</t>
    <phoneticPr fontId="2" type="noConversion"/>
  </si>
  <si>
    <t>계</t>
    <phoneticPr fontId="2" type="noConversion"/>
  </si>
  <si>
    <t>민간</t>
    <phoneticPr fontId="2" type="noConversion"/>
  </si>
  <si>
    <t>민간</t>
    <phoneticPr fontId="3" type="noConversion"/>
  </si>
  <si>
    <t>분양</t>
    <phoneticPr fontId="2" type="noConversion"/>
  </si>
  <si>
    <t>분양</t>
    <phoneticPr fontId="3" type="noConversion"/>
  </si>
  <si>
    <t>준공</t>
    <phoneticPr fontId="2" type="noConversion"/>
  </si>
  <si>
    <t>준공</t>
    <phoneticPr fontId="3" type="noConversion"/>
  </si>
  <si>
    <t>소  계</t>
    <phoneticPr fontId="2" type="noConversion"/>
  </si>
  <si>
    <t>소  계</t>
    <phoneticPr fontId="3" type="noConversion"/>
  </si>
  <si>
    <t>지에스건설㈜</t>
    <phoneticPr fontId="3" type="noConversion"/>
  </si>
  <si>
    <t>미준공</t>
    <phoneticPr fontId="3" type="noConversion"/>
  </si>
  <si>
    <t>창원시 진해구</t>
    <phoneticPr fontId="3" type="noConversion"/>
  </si>
  <si>
    <t>충무동</t>
    <phoneticPr fontId="3" type="noConversion"/>
  </si>
  <si>
    <t>진해구 충무동 5-10
진해 마린힐즈</t>
    <phoneticPr fontId="3" type="noConversion"/>
  </si>
  <si>
    <t>영일개발㈜</t>
    <phoneticPr fontId="3" type="noConversion"/>
  </si>
  <si>
    <t>㈜동림주택</t>
    <phoneticPr fontId="3" type="noConversion"/>
  </si>
  <si>
    <t>2021.02.03.</t>
    <phoneticPr fontId="3" type="noConversion"/>
  </si>
  <si>
    <t>2021.01.</t>
    <phoneticPr fontId="3" type="noConversion"/>
  </si>
  <si>
    <t>가좌동</t>
    <phoneticPr fontId="3" type="noConversion"/>
  </si>
  <si>
    <t>가좌동 1964
신진주 역세권 파밀리에 피아체 1단지</t>
    <phoneticPr fontId="3" type="noConversion"/>
  </si>
  <si>
    <t>신동아건설(주)</t>
    <phoneticPr fontId="3" type="noConversion"/>
  </si>
  <si>
    <t>우리자산신탁㈜</t>
    <phoneticPr fontId="3" type="noConversion"/>
  </si>
  <si>
    <t>2022.09.02.</t>
    <phoneticPr fontId="3" type="noConversion"/>
  </si>
  <si>
    <t>2022.09.14.</t>
    <phoneticPr fontId="3" type="noConversion"/>
  </si>
  <si>
    <t>2024.04.</t>
    <phoneticPr fontId="3" type="noConversion"/>
  </si>
  <si>
    <t>가좌동 1962
신진주 역세권 파밀리에 피아체 2단지</t>
    <phoneticPr fontId="3" type="noConversion"/>
  </si>
  <si>
    <t>신동아간설㈜</t>
    <phoneticPr fontId="3" type="noConversion"/>
  </si>
  <si>
    <t>용남면</t>
    <phoneticPr fontId="3" type="noConversion"/>
  </si>
  <si>
    <t>용남면 원평리 260
통영 더유엘윈썸</t>
    <phoneticPr fontId="3" type="noConversion"/>
  </si>
  <si>
    <t>㈜신태양건설</t>
    <phoneticPr fontId="3" type="noConversion"/>
  </si>
  <si>
    <t>통영더유엘지역주택조합</t>
    <phoneticPr fontId="3" type="noConversion"/>
  </si>
  <si>
    <t>2021.01.04.</t>
    <phoneticPr fontId="3" type="noConversion"/>
  </si>
  <si>
    <t>2026.07.</t>
    <phoneticPr fontId="3" type="noConversion"/>
  </si>
  <si>
    <t>광도면</t>
    <phoneticPr fontId="3" type="noConversion"/>
  </si>
  <si>
    <t>광도면 죽림리 1573-2
통영 주영 더 팰리스 5차</t>
    <phoneticPr fontId="3" type="noConversion"/>
  </si>
  <si>
    <t>(유)주영
산업개발</t>
    <phoneticPr fontId="3" type="noConversion"/>
  </si>
  <si>
    <t>2014.11.19.</t>
    <phoneticPr fontId="2" type="noConversion"/>
  </si>
  <si>
    <t>2014.12.10.</t>
    <phoneticPr fontId="3" type="noConversion"/>
  </si>
  <si>
    <t>2018.02.14.</t>
    <phoneticPr fontId="3" type="noConversion"/>
  </si>
  <si>
    <t>광도면 죽림리 1582-2
디 엘본 S136</t>
    <phoneticPr fontId="3" type="noConversion"/>
  </si>
  <si>
    <t>선원건설㈜</t>
    <phoneticPr fontId="3" type="noConversion"/>
  </si>
  <si>
    <t>2021.03.26.</t>
    <phoneticPr fontId="3" type="noConversion"/>
  </si>
  <si>
    <t>2021.04.16.</t>
    <phoneticPr fontId="3" type="noConversion"/>
  </si>
  <si>
    <t>2024.01.30</t>
    <phoneticPr fontId="3" type="noConversion"/>
  </si>
  <si>
    <t>광도면 죽림리 1584
통영 주영더팰리스6차</t>
    <phoneticPr fontId="3" type="noConversion"/>
  </si>
  <si>
    <t>(유)주영산업개발</t>
    <phoneticPr fontId="3" type="noConversion"/>
  </si>
  <si>
    <t>2015.11.13.</t>
    <phoneticPr fontId="3" type="noConversion"/>
  </si>
  <si>
    <t>2015.12.03.</t>
    <phoneticPr fontId="2" type="noConversion"/>
  </si>
  <si>
    <t>2018.02.09</t>
    <phoneticPr fontId="3" type="noConversion"/>
  </si>
  <si>
    <t>준공</t>
  </si>
  <si>
    <t>광도면 죽림리 263-1
주영더팰리스지븐</t>
    <phoneticPr fontId="3" type="noConversion"/>
  </si>
  <si>
    <t>59A형</t>
    <phoneticPr fontId="3" type="noConversion"/>
  </si>
  <si>
    <t>2022.06.03.</t>
    <phoneticPr fontId="3" type="noConversion"/>
  </si>
  <si>
    <t>2022.07.06.</t>
    <phoneticPr fontId="3" type="noConversion"/>
  </si>
  <si>
    <t>2025.04.</t>
    <phoneticPr fontId="3" type="noConversion"/>
  </si>
  <si>
    <t>LH매입 : 81호</t>
    <phoneticPr fontId="2" type="noConversion"/>
  </si>
  <si>
    <t>59B형</t>
    <phoneticPr fontId="3" type="noConversion"/>
  </si>
  <si>
    <t>59C형</t>
    <phoneticPr fontId="3" type="noConversion"/>
  </si>
  <si>
    <t>73A형</t>
    <phoneticPr fontId="3" type="noConversion"/>
  </si>
  <si>
    <t>73B형</t>
    <phoneticPr fontId="3" type="noConversion"/>
  </si>
  <si>
    <t>84형</t>
    <phoneticPr fontId="3" type="noConversion"/>
  </si>
  <si>
    <t>동금동</t>
    <phoneticPr fontId="3" type="noConversion"/>
  </si>
  <si>
    <t>동금동 151-5
e편한세상 삼천포 오션프라임</t>
    <phoneticPr fontId="3" type="noConversion"/>
  </si>
  <si>
    <t>디엘이앤씨㈜</t>
    <phoneticPr fontId="3" type="noConversion"/>
  </si>
  <si>
    <t>대한토지신탁㈜</t>
    <phoneticPr fontId="3" type="noConversion"/>
  </si>
  <si>
    <t>2022.07.28.</t>
    <phoneticPr fontId="3" type="noConversion"/>
  </si>
  <si>
    <t>2022.09.01.</t>
    <phoneticPr fontId="3" type="noConversion"/>
  </si>
  <si>
    <t>2026.02.</t>
    <phoneticPr fontId="3" type="noConversion"/>
  </si>
  <si>
    <t>용강동</t>
    <phoneticPr fontId="3" type="noConversion"/>
  </si>
  <si>
    <t>용강동 509
용강동 대경파미르</t>
    <phoneticPr fontId="3" type="noConversion"/>
  </si>
  <si>
    <t>대경건설㈜</t>
    <phoneticPr fontId="3" type="noConversion"/>
  </si>
  <si>
    <t>㈜대경종합
건설</t>
    <phoneticPr fontId="3" type="noConversion"/>
  </si>
  <si>
    <t>2012.09.13.</t>
    <phoneticPr fontId="2" type="noConversion"/>
  </si>
  <si>
    <t>2012.10.09.</t>
    <phoneticPr fontId="2" type="noConversion"/>
  </si>
  <si>
    <t>2013.10.30</t>
    <phoneticPr fontId="3" type="noConversion"/>
  </si>
  <si>
    <t>정동면</t>
    <phoneticPr fontId="3" type="noConversion"/>
  </si>
  <si>
    <t>정동면 예수리 817-7
사천 리아츠</t>
    <phoneticPr fontId="3" type="noConversion"/>
  </si>
  <si>
    <t>파인건설(주)</t>
    <phoneticPr fontId="3" type="noConversion"/>
  </si>
  <si>
    <t>(주)교보자산신탁</t>
    <phoneticPr fontId="3" type="noConversion"/>
  </si>
  <si>
    <t>2021.12.03.</t>
    <phoneticPr fontId="3" type="noConversion"/>
  </si>
  <si>
    <t>2022.01.05.</t>
    <phoneticPr fontId="3" type="noConversion"/>
  </si>
  <si>
    <t>2025.01.</t>
    <phoneticPr fontId="2" type="noConversion"/>
  </si>
  <si>
    <t>2025.01.</t>
    <phoneticPr fontId="3" type="noConversion"/>
  </si>
  <si>
    <t>사남면</t>
    <phoneticPr fontId="3" type="noConversion"/>
  </si>
  <si>
    <t>사남면 유천리 108
삼정그린코아 포레스트</t>
    <phoneticPr fontId="3" type="noConversion"/>
  </si>
  <si>
    <t>㈜삼정기업/㈜삼정이앤시</t>
    <phoneticPr fontId="3" type="noConversion"/>
  </si>
  <si>
    <t>㈜우리자산
신탁</t>
    <phoneticPr fontId="3" type="noConversion"/>
  </si>
  <si>
    <t>2021.11.25.</t>
    <phoneticPr fontId="3" type="noConversion"/>
  </si>
  <si>
    <t>2021.12.31.</t>
    <phoneticPr fontId="3" type="noConversion"/>
  </si>
  <si>
    <t>2023.09.</t>
    <phoneticPr fontId="3" type="noConversion"/>
  </si>
  <si>
    <r>
      <t xml:space="preserve">삼계동 397-1
김해 삼계 동일스위트
</t>
    </r>
    <r>
      <rPr>
        <b/>
        <sz val="11"/>
        <rFont val="돋움"/>
        <family val="3"/>
        <charset val="129"/>
      </rPr>
      <t>(비공개)</t>
    </r>
    <phoneticPr fontId="3" type="noConversion"/>
  </si>
  <si>
    <t>㈜동일</t>
    <phoneticPr fontId="3" type="noConversion"/>
  </si>
  <si>
    <t>2025.07.25</t>
    <phoneticPr fontId="3" type="noConversion"/>
  </si>
  <si>
    <t>2025.12.31.</t>
    <phoneticPr fontId="3" type="noConversion"/>
  </si>
  <si>
    <t>구산동 691
푸르지오 파크테르</t>
    <phoneticPr fontId="3" type="noConversion"/>
  </si>
  <si>
    <t>㈜대우건설</t>
    <phoneticPr fontId="3" type="noConversion"/>
  </si>
  <si>
    <t>아시아신탁(주)</t>
    <phoneticPr fontId="3" type="noConversion"/>
  </si>
  <si>
    <t>2022.04.29.</t>
    <phoneticPr fontId="3" type="noConversion"/>
  </si>
  <si>
    <t>-</t>
  </si>
  <si>
    <t>내덕지구 1블럭 중흥S-클래스 더퍼스트</t>
    <phoneticPr fontId="3" type="noConversion"/>
  </si>
  <si>
    <t>중흥건설㈜</t>
    <phoneticPr fontId="3" type="noConversion"/>
  </si>
  <si>
    <t>중봉건설㈜</t>
    <phoneticPr fontId="3" type="noConversion"/>
  </si>
  <si>
    <t>2022.01.19.</t>
    <phoneticPr fontId="3" type="noConversion"/>
  </si>
  <si>
    <t>2022.02.27.</t>
    <phoneticPr fontId="3" type="noConversion"/>
  </si>
  <si>
    <t>내덕지구</t>
    <phoneticPr fontId="3" type="noConversion"/>
  </si>
  <si>
    <t>신문동</t>
    <phoneticPr fontId="2" type="noConversion"/>
  </si>
  <si>
    <t>신문동 신문1지구 A7-1블록
더샵 신문그리니티</t>
    <phoneticPr fontId="3" type="noConversion"/>
  </si>
  <si>
    <t>㈜포스코이엔씨</t>
    <phoneticPr fontId="3" type="noConversion"/>
  </si>
  <si>
    <t>㈜무궁화신탁</t>
    <phoneticPr fontId="3" type="noConversion"/>
  </si>
  <si>
    <t>2023.07.06.</t>
    <phoneticPr fontId="3" type="noConversion"/>
  </si>
  <si>
    <t>2023.08.07.</t>
    <phoneticPr fontId="3" type="noConversion"/>
  </si>
  <si>
    <t>2026.02.05.</t>
    <phoneticPr fontId="3" type="noConversion"/>
  </si>
  <si>
    <t>신문지구</t>
    <phoneticPr fontId="3" type="noConversion"/>
  </si>
  <si>
    <t>소  계</t>
  </si>
  <si>
    <t>주촌면</t>
    <phoneticPr fontId="3" type="noConversion"/>
  </si>
  <si>
    <t>주촌면 선지리 213-2
e편한세상 주촌 더프리미어</t>
    <phoneticPr fontId="3" type="noConversion"/>
  </si>
  <si>
    <t>㈜하나
자산신탁</t>
    <phoneticPr fontId="3" type="noConversion"/>
  </si>
  <si>
    <t>2022.10.09.</t>
    <phoneticPr fontId="3" type="noConversion"/>
  </si>
  <si>
    <t>2025.12.</t>
    <phoneticPr fontId="3" type="noConversion"/>
  </si>
  <si>
    <t>교동</t>
    <phoneticPr fontId="3" type="noConversion"/>
  </si>
  <si>
    <t>교동 885-2
오성센트럴 아파트</t>
    <phoneticPr fontId="3" type="noConversion"/>
  </si>
  <si>
    <t>㈜진양
종합건설</t>
    <phoneticPr fontId="3" type="noConversion"/>
  </si>
  <si>
    <t>㈜오성디앤씨</t>
    <phoneticPr fontId="3" type="noConversion"/>
  </si>
  <si>
    <t>2020.12.24.</t>
    <phoneticPr fontId="3" type="noConversion"/>
  </si>
  <si>
    <t>2021.01.25.</t>
    <phoneticPr fontId="3" type="noConversion"/>
  </si>
  <si>
    <t>가곡동</t>
    <phoneticPr fontId="3" type="noConversion"/>
  </si>
  <si>
    <t>가곡동 597-1
수에르떼 밀양</t>
    <phoneticPr fontId="3" type="noConversion"/>
  </si>
  <si>
    <t>주식회사 유원건설</t>
    <phoneticPr fontId="3" type="noConversion"/>
  </si>
  <si>
    <t>코리아신탁㈜</t>
    <phoneticPr fontId="3" type="noConversion"/>
  </si>
  <si>
    <t>2023.05.25.</t>
    <phoneticPr fontId="3" type="noConversion"/>
  </si>
  <si>
    <t>2023.06.21.</t>
    <phoneticPr fontId="3" type="noConversion"/>
  </si>
  <si>
    <t>2023.06.</t>
    <phoneticPr fontId="3" type="noConversion"/>
  </si>
  <si>
    <t>하남읍</t>
    <phoneticPr fontId="3" type="noConversion"/>
  </si>
  <si>
    <t>하남읍 수산리 420-41
수산 사랑채뷰 2차</t>
    <phoneticPr fontId="3" type="noConversion"/>
  </si>
  <si>
    <t>㈜건호
종합건설</t>
    <phoneticPr fontId="3" type="noConversion"/>
  </si>
  <si>
    <t>2018.10.</t>
    <phoneticPr fontId="3" type="noConversion"/>
  </si>
  <si>
    <t>2018.11.</t>
    <phoneticPr fontId="3" type="noConversion"/>
  </si>
  <si>
    <t>2019.03.</t>
    <phoneticPr fontId="3" type="noConversion"/>
  </si>
  <si>
    <t>문동동</t>
    <phoneticPr fontId="3" type="noConversion"/>
  </si>
  <si>
    <t>문동동 353-7(양정동 1096) 
(양정문동지구 아이파크(2단지))</t>
    <phoneticPr fontId="3" type="noConversion"/>
  </si>
  <si>
    <t>현대
산업개발㈜</t>
    <phoneticPr fontId="3" type="noConversion"/>
  </si>
  <si>
    <t>73.90B</t>
    <phoneticPr fontId="3" type="noConversion"/>
  </si>
  <si>
    <t>2015.05.20.</t>
    <phoneticPr fontId="2" type="noConversion"/>
  </si>
  <si>
    <t>2015.06.10.</t>
    <phoneticPr fontId="2" type="noConversion"/>
  </si>
  <si>
    <t>2018.07.31.</t>
    <phoneticPr fontId="3" type="noConversion"/>
  </si>
  <si>
    <t>84.97A</t>
    <phoneticPr fontId="3" type="noConversion"/>
  </si>
  <si>
    <t>84.90B</t>
    <phoneticPr fontId="3" type="noConversion"/>
  </si>
  <si>
    <t>양정동</t>
    <phoneticPr fontId="3" type="noConversion"/>
  </si>
  <si>
    <t>양정동 산 117(양정동 1097)
(양정문동지구 아이파크(1단지))</t>
    <phoneticPr fontId="3" type="noConversion"/>
  </si>
  <si>
    <t>현대산업개발㈜</t>
    <phoneticPr fontId="3" type="noConversion"/>
  </si>
  <si>
    <t>일운면</t>
    <phoneticPr fontId="3" type="noConversion"/>
  </si>
  <si>
    <t>일운면 지세포리 1020-2
(일운면 지세포리 1412)
거제 코아루 파크드림</t>
    <phoneticPr fontId="3" type="noConversion"/>
  </si>
  <si>
    <t>화성산업㈜</t>
    <phoneticPr fontId="3" type="noConversion"/>
  </si>
  <si>
    <t>㈜한국
토지신탁</t>
    <phoneticPr fontId="3" type="noConversion"/>
  </si>
  <si>
    <t>2016.03.10.</t>
    <phoneticPr fontId="3" type="noConversion"/>
  </si>
  <si>
    <t>2016.03.31.</t>
    <phoneticPr fontId="2" type="noConversion"/>
  </si>
  <si>
    <t>2018.11.01.</t>
    <phoneticPr fontId="3" type="noConversion"/>
  </si>
  <si>
    <t>거제면</t>
    <phoneticPr fontId="3" type="noConversion"/>
  </si>
  <si>
    <t>거제면 옥산리 285-4
(거제면 옥산리 285-1)
오션파크자이</t>
    <phoneticPr fontId="3" type="noConversion"/>
  </si>
  <si>
    <t>하나자산
신탁㈜</t>
    <phoneticPr fontId="3" type="noConversion"/>
  </si>
  <si>
    <t>2015.08.28.</t>
    <phoneticPr fontId="3" type="noConversion"/>
  </si>
  <si>
    <t>2015.09.17.</t>
    <phoneticPr fontId="2" type="noConversion"/>
  </si>
  <si>
    <t>2017.09.28.</t>
    <phoneticPr fontId="3" type="noConversion"/>
  </si>
  <si>
    <t>옥포동 238-2 외
반도 거제 유보라</t>
    <phoneticPr fontId="3" type="noConversion"/>
  </si>
  <si>
    <t>㈜반도건설</t>
    <phoneticPr fontId="3" type="noConversion"/>
  </si>
  <si>
    <t>2021.09.17</t>
    <phoneticPr fontId="3" type="noConversion"/>
  </si>
  <si>
    <t>2021.10.06</t>
    <phoneticPr fontId="2" type="noConversion"/>
  </si>
  <si>
    <t>2024.01.31</t>
    <phoneticPr fontId="3" type="noConversion"/>
  </si>
  <si>
    <t>연초면</t>
    <phoneticPr fontId="3" type="noConversion"/>
  </si>
  <si>
    <t>연초면 죽토리 1094 외 13필지
(연초면 죽토리 1238)
거제 일성유수안</t>
    <phoneticPr fontId="3" type="noConversion"/>
  </si>
  <si>
    <t>㈜일성건설</t>
    <phoneticPr fontId="3" type="noConversion"/>
  </si>
  <si>
    <t>2015.11.03.</t>
    <phoneticPr fontId="3" type="noConversion"/>
  </si>
  <si>
    <t>2015.11.25.</t>
    <phoneticPr fontId="2" type="noConversion"/>
  </si>
  <si>
    <t>2018.08.06.</t>
    <phoneticPr fontId="3" type="noConversion"/>
  </si>
  <si>
    <t>신기동</t>
    <phoneticPr fontId="3" type="noConversion"/>
  </si>
  <si>
    <t>신기동 68-1
양산 유탑유블레스 하늘리에</t>
    <phoneticPr fontId="3" type="noConversion"/>
  </si>
  <si>
    <t>(유)유탑엔지니어링</t>
    <phoneticPr fontId="3" type="noConversion"/>
  </si>
  <si>
    <t>한국자산
신탁㈜</t>
    <phoneticPr fontId="3" type="noConversion"/>
  </si>
  <si>
    <t>59.9670A</t>
    <phoneticPr fontId="3" type="noConversion"/>
  </si>
  <si>
    <t>2016.11.24.</t>
    <phoneticPr fontId="2" type="noConversion"/>
  </si>
  <si>
    <t>2016.12.14.</t>
    <phoneticPr fontId="3" type="noConversion"/>
  </si>
  <si>
    <t>2019.08.</t>
    <phoneticPr fontId="3" type="noConversion"/>
  </si>
  <si>
    <t>59.9670B</t>
    <phoneticPr fontId="3" type="noConversion"/>
  </si>
  <si>
    <t>59.8650C</t>
    <phoneticPr fontId="3" type="noConversion"/>
  </si>
  <si>
    <t>59.9950D</t>
    <phoneticPr fontId="3" type="noConversion"/>
  </si>
  <si>
    <t>덕계동</t>
    <phoneticPr fontId="3" type="noConversion"/>
  </si>
  <si>
    <t>덕계동 811-12
경동 스마트홈</t>
    <phoneticPr fontId="3" type="noConversion"/>
  </si>
  <si>
    <t>㈜경동건설</t>
    <phoneticPr fontId="3" type="noConversion"/>
  </si>
  <si>
    <t>분양전환</t>
    <phoneticPr fontId="3" type="noConversion"/>
  </si>
  <si>
    <t>2021.02.26.</t>
    <phoneticPr fontId="3" type="noConversion"/>
  </si>
  <si>
    <t>-</t>
    <phoneticPr fontId="3" type="noConversion"/>
  </si>
  <si>
    <t>2014.01.16.</t>
    <phoneticPr fontId="3" type="noConversion"/>
  </si>
  <si>
    <t>덕계동 724-27
포레스트퀸 101동</t>
    <phoneticPr fontId="2" type="noConversion"/>
  </si>
  <si>
    <t>대성문디앤지 주식회사</t>
    <phoneticPr fontId="2" type="noConversion"/>
  </si>
  <si>
    <t>2021.05.25.</t>
    <phoneticPr fontId="2" type="noConversion"/>
  </si>
  <si>
    <t>2021.06.</t>
    <phoneticPr fontId="2" type="noConversion"/>
  </si>
  <si>
    <t>덕계동 724-14
포레스트퀸 102동</t>
    <phoneticPr fontId="2" type="noConversion"/>
  </si>
  <si>
    <t>물금읍</t>
    <phoneticPr fontId="3" type="noConversion"/>
  </si>
  <si>
    <t>물금읍 범어리 산 135-0
양산 더 포레스트 엠</t>
    <phoneticPr fontId="3" type="noConversion"/>
  </si>
  <si>
    <t>세영종합건설㈜</t>
    <phoneticPr fontId="3" type="noConversion"/>
  </si>
  <si>
    <t>케이비
부동산
신탁(주)</t>
    <phoneticPr fontId="3" type="noConversion"/>
  </si>
  <si>
    <t>2019.11.20.</t>
    <phoneticPr fontId="3" type="noConversion"/>
  </si>
  <si>
    <t>2019.11.28.</t>
    <phoneticPr fontId="3" type="noConversion"/>
  </si>
  <si>
    <t>2021.12.</t>
    <phoneticPr fontId="2" type="noConversion"/>
  </si>
  <si>
    <t>동면</t>
    <phoneticPr fontId="2" type="noConversion"/>
  </si>
  <si>
    <t>동면 석산리 615-0
더샵 남양산 센텀포레</t>
    <phoneticPr fontId="2" type="noConversion"/>
  </si>
  <si>
    <t>㈜포스코이앤씨</t>
    <phoneticPr fontId="2" type="noConversion"/>
  </si>
  <si>
    <t>2021.12.10.</t>
    <phoneticPr fontId="2" type="noConversion"/>
  </si>
  <si>
    <t>2024.09.</t>
    <phoneticPr fontId="2" type="noConversion"/>
  </si>
  <si>
    <t>금서면</t>
    <phoneticPr fontId="3" type="noConversion"/>
  </si>
  <si>
    <t>산청군 금서면 매촌리 628-1</t>
    <phoneticPr fontId="3" type="noConversion"/>
  </si>
  <si>
    <t>영우종합건설 주식회사</t>
    <phoneticPr fontId="3" type="noConversion"/>
  </si>
  <si>
    <t>2023.12.01.</t>
    <phoneticPr fontId="3" type="noConversion"/>
  </si>
  <si>
    <t>2024.01.</t>
    <phoneticPr fontId="3" type="noConversion"/>
  </si>
  <si>
    <t>시천면</t>
    <phoneticPr fontId="2" type="noConversion"/>
  </si>
  <si>
    <t>산청군 시천면 원리 912
지리산 블루힐</t>
    <phoneticPr fontId="2" type="noConversion"/>
  </si>
  <si>
    <t>덕산개발㈜</t>
    <phoneticPr fontId="3" type="noConversion"/>
  </si>
  <si>
    <t>2021. 5. 17.</t>
    <phoneticPr fontId="2" type="noConversion"/>
  </si>
  <si>
    <t>소 계</t>
    <phoneticPr fontId="3" type="noConversion"/>
  </si>
  <si>
    <t>함양읍</t>
    <phoneticPr fontId="3" type="noConversion"/>
  </si>
  <si>
    <t>함양군 함양읍 용평리 642-8
하이페리온골드</t>
    <phoneticPr fontId="3" type="noConversion"/>
  </si>
  <si>
    <t>㈜중부건설</t>
    <phoneticPr fontId="3" type="noConversion"/>
  </si>
  <si>
    <t>㈜신천건설</t>
    <phoneticPr fontId="3" type="noConversion"/>
  </si>
  <si>
    <t>2024.04.03.</t>
    <phoneticPr fontId="3" type="noConversion"/>
  </si>
  <si>
    <t>2024.05.22.</t>
    <phoneticPr fontId="3" type="noConversion"/>
  </si>
  <si>
    <t>2024.05.</t>
    <phoneticPr fontId="3" type="noConversion"/>
  </si>
  <si>
    <t>거창읍</t>
    <phoneticPr fontId="3" type="noConversion"/>
  </si>
  <si>
    <t>거창군 거창읍 대동리 571
나리안길 107동</t>
    <phoneticPr fontId="3" type="noConversion"/>
  </si>
  <si>
    <t>㈜지엔지종합건설</t>
  </si>
  <si>
    <t>(주)무궁화신탁</t>
    <phoneticPr fontId="3" type="noConversion"/>
  </si>
  <si>
    <t>2023.07.28.</t>
    <phoneticPr fontId="3" type="noConversion"/>
  </si>
  <si>
    <t>2023.08.17.</t>
    <phoneticPr fontId="3" type="noConversion"/>
  </si>
  <si>
    <t>2023.07.</t>
    <phoneticPr fontId="3" type="noConversion"/>
  </si>
  <si>
    <t>거창군 거창읍 대평리 1021-4
거창 ES아뜨리움</t>
    <phoneticPr fontId="3" type="noConversion"/>
  </si>
  <si>
    <t>㈜E.S종합건설</t>
    <phoneticPr fontId="2" type="noConversion"/>
  </si>
  <si>
    <t>2024.05.17.</t>
    <phoneticPr fontId="3" type="noConversion"/>
  </si>
  <si>
    <t>2024.07.14.</t>
    <phoneticPr fontId="3" type="noConversion"/>
  </si>
  <si>
    <t>2024.05.31.</t>
    <phoneticPr fontId="3" type="noConversion"/>
  </si>
  <si>
    <t>옥포동</t>
    <phoneticPr fontId="3" type="noConversion"/>
  </si>
  <si>
    <t>김해시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</si>
</sst>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_ "/>
    <numFmt numFmtId="177" formatCode="#,##0_);[Red]\(#,##0\)"/>
    <numFmt numFmtId="178" formatCode="#,##0.0000_);[Red]\(#,##0.0000\)"/>
    <numFmt numFmtId="179" formatCode="0.0000_);[Red]\(0.0000\)"/>
    <numFmt numFmtId="180" formatCode="0.0000_ "/>
    <numFmt numFmtId="181" formatCode="0_);[Red]\(0\)"/>
  </numFmts>
  <fonts count="21" x14ac:knownFonts="1">
    <font>
      <sz val="11"/>
      <color theme="1"/>
      <name val="맑은 고딕"/>
      <family val="2"/>
      <charset val="129"/>
      <scheme val="minor"/>
    </font>
    <font>
      <sz val="20"/>
      <color rgb="FF000000"/>
      <name val="HY견고딕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2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b/>
      <sz val="14"/>
      <name val="돋움"/>
      <family val="3"/>
      <charset val="129"/>
    </font>
    <font>
      <sz val="12"/>
      <color rgb="FF000000"/>
      <name val="돋움"/>
      <family val="3"/>
      <charset val="129"/>
    </font>
    <font>
      <sz val="12"/>
      <color theme="1"/>
      <name val="돋움"/>
      <family val="3"/>
      <charset val="129"/>
    </font>
    <font>
      <sz val="20"/>
      <name val="HY견고딕"/>
      <family val="1"/>
      <charset val="129"/>
    </font>
    <font>
      <sz val="11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20"/>
      <name val="돋움"/>
      <family val="3"/>
      <charset val="129"/>
    </font>
    <font>
      <sz val="11"/>
      <color indexed="8"/>
      <name val="돋움"/>
      <family val="3"/>
      <charset val="129"/>
    </font>
    <font>
      <b/>
      <sz val="11"/>
      <name val="돋움"/>
      <family val="3"/>
      <charset val="129"/>
    </font>
    <font>
      <b/>
      <sz val="11"/>
      <name val="맑은 고딕"/>
      <family val="2"/>
      <charset val="129"/>
      <scheme val="minor"/>
    </font>
    <font>
      <sz val="12"/>
      <name val="굴림"/>
      <family val="3"/>
      <charset val="129"/>
    </font>
    <font>
      <sz val="11"/>
      <name val="굴림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DBEEF3"/>
        <bgColor indexed="64"/>
      </patternFill>
    </fill>
    <fill>
      <patternFill patternType="solid">
        <fgColor rgb="FFFFD7A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3"/>
      </patternFill>
    </fill>
    <fill>
      <patternFill patternType="solid">
        <fgColor rgb="FFFFCC99"/>
        <bgColor rgb="FF000000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4" fillId="0" borderId="0"/>
    <xf numFmtId="41" fontId="4" fillId="0" borderId="0">
      <alignment vertical="center"/>
    </xf>
    <xf numFmtId="0" fontId="4" fillId="0" borderId="0"/>
    <xf numFmtId="0" fontId="13" fillId="5" borderId="0" applyNumberFormat="0" applyBorder="0" applyAlignment="0" applyProtection="0">
      <alignment vertical="center"/>
    </xf>
    <xf numFmtId="0" fontId="12" fillId="0" borderId="0"/>
    <xf numFmtId="0" fontId="1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6" fillId="0" borderId="0" applyFill="0" applyAlignment="0"/>
    <xf numFmtId="41" fontId="4" fillId="0" borderId="0" applyFont="0" applyFill="0" applyBorder="0" applyAlignment="0" applyProtection="0">
      <alignment vertical="center"/>
    </xf>
    <xf numFmtId="0" fontId="19" fillId="0" borderId="0"/>
  </cellStyleXfs>
  <cellXfs count="279">
    <xf numFmtId="0" fontId="0" fillId="0" borderId="0" xfId="0">
      <alignment vertical="center"/>
    </xf>
    <xf numFmtId="0" fontId="5" fillId="0" borderId="0" xfId="1" applyFont="1"/>
    <xf numFmtId="0" fontId="7" fillId="0" borderId="0" xfId="1" applyFont="1"/>
    <xf numFmtId="0" fontId="6" fillId="3" borderId="7" xfId="1" applyFont="1" applyFill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176" fontId="6" fillId="2" borderId="6" xfId="1" applyNumberFormat="1" applyFont="1" applyFill="1" applyBorder="1" applyAlignment="1">
      <alignment horizontal="center" vertical="center"/>
    </xf>
    <xf numFmtId="177" fontId="8" fillId="3" borderId="7" xfId="1" applyNumberFormat="1" applyFont="1" applyFill="1" applyBorder="1" applyAlignment="1">
      <alignment horizontal="center" vertical="center"/>
    </xf>
    <xf numFmtId="177" fontId="8" fillId="3" borderId="6" xfId="1" applyNumberFormat="1" applyFont="1" applyFill="1" applyBorder="1" applyAlignment="1">
      <alignment horizontal="center" vertical="center"/>
    </xf>
    <xf numFmtId="177" fontId="8" fillId="3" borderId="8" xfId="1" applyNumberFormat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177" fontId="5" fillId="0" borderId="6" xfId="1" applyNumberFormat="1" applyFont="1" applyBorder="1" applyAlignment="1">
      <alignment horizontal="center" vertical="center"/>
    </xf>
    <xf numFmtId="177" fontId="5" fillId="0" borderId="8" xfId="1" applyNumberFormat="1" applyFont="1" applyBorder="1" applyAlignment="1">
      <alignment horizontal="center" vertical="center"/>
    </xf>
    <xf numFmtId="41" fontId="5" fillId="0" borderId="5" xfId="2" applyFont="1" applyBorder="1" applyAlignment="1">
      <alignment horizontal="center" vertical="center"/>
    </xf>
    <xf numFmtId="41" fontId="5" fillId="0" borderId="9" xfId="2" applyFont="1" applyBorder="1" applyAlignment="1">
      <alignment horizontal="center" vertical="center"/>
    </xf>
    <xf numFmtId="176" fontId="6" fillId="2" borderId="10" xfId="1" applyNumberFormat="1" applyFont="1" applyFill="1" applyBorder="1" applyAlignment="1">
      <alignment horizontal="center" vertical="center"/>
    </xf>
    <xf numFmtId="177" fontId="8" fillId="3" borderId="11" xfId="1" applyNumberFormat="1" applyFont="1" applyFill="1" applyBorder="1" applyAlignment="1">
      <alignment horizontal="center" vertical="center"/>
    </xf>
    <xf numFmtId="177" fontId="5" fillId="0" borderId="10" xfId="1" applyNumberFormat="1" applyFont="1" applyBorder="1" applyAlignment="1">
      <alignment horizontal="center" vertical="center"/>
    </xf>
    <xf numFmtId="177" fontId="5" fillId="0" borderId="12" xfId="1" applyNumberFormat="1" applyFont="1" applyBorder="1" applyAlignment="1">
      <alignment horizontal="center" vertical="center"/>
    </xf>
    <xf numFmtId="0" fontId="6" fillId="0" borderId="0" xfId="1" quotePrefix="1" applyFont="1" applyAlignment="1">
      <alignment vertical="center"/>
    </xf>
    <xf numFmtId="177" fontId="5" fillId="0" borderId="6" xfId="1" applyNumberFormat="1" applyFont="1" applyFill="1" applyBorder="1" applyAlignment="1">
      <alignment horizontal="center" vertical="center"/>
    </xf>
    <xf numFmtId="177" fontId="5" fillId="0" borderId="8" xfId="1" applyNumberFormat="1" applyFont="1" applyFill="1" applyBorder="1" applyAlignment="1">
      <alignment horizontal="center" vertical="center"/>
    </xf>
    <xf numFmtId="177" fontId="10" fillId="0" borderId="6" xfId="0" applyNumberFormat="1" applyFont="1" applyFill="1" applyBorder="1" applyAlignment="1">
      <alignment horizontal="center" vertical="center"/>
    </xf>
    <xf numFmtId="177" fontId="10" fillId="0" borderId="8" xfId="0" applyNumberFormat="1" applyFont="1" applyFill="1" applyBorder="1" applyAlignment="1">
      <alignment horizontal="center" vertical="center"/>
    </xf>
    <xf numFmtId="177" fontId="9" fillId="0" borderId="6" xfId="1" applyNumberFormat="1" applyFont="1" applyFill="1" applyBorder="1" applyAlignment="1">
      <alignment horizontal="center" vertical="center"/>
    </xf>
    <xf numFmtId="177" fontId="9" fillId="0" borderId="8" xfId="1" applyNumberFormat="1" applyFont="1" applyFill="1" applyBorder="1" applyAlignment="1">
      <alignment horizontal="center" vertical="center"/>
    </xf>
    <xf numFmtId="177" fontId="5" fillId="0" borderId="6" xfId="0" applyNumberFormat="1" applyFont="1" applyFill="1" applyBorder="1" applyAlignment="1">
      <alignment horizontal="center" vertical="center"/>
    </xf>
    <xf numFmtId="177" fontId="5" fillId="0" borderId="8" xfId="0" applyNumberFormat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41" fontId="5" fillId="0" borderId="13" xfId="2" applyFont="1" applyBorder="1" applyAlignment="1">
      <alignment horizontal="center" vertical="center"/>
    </xf>
    <xf numFmtId="176" fontId="6" fillId="2" borderId="14" xfId="1" applyNumberFormat="1" applyFont="1" applyFill="1" applyBorder="1" applyAlignment="1">
      <alignment horizontal="center" vertical="center"/>
    </xf>
    <xf numFmtId="177" fontId="8" fillId="3" borderId="15" xfId="1" applyNumberFormat="1" applyFont="1" applyFill="1" applyBorder="1" applyAlignment="1">
      <alignment horizontal="center" vertical="center"/>
    </xf>
    <xf numFmtId="177" fontId="5" fillId="0" borderId="14" xfId="1" applyNumberFormat="1" applyFont="1" applyBorder="1" applyAlignment="1">
      <alignment horizontal="center" vertical="center"/>
    </xf>
    <xf numFmtId="177" fontId="5" fillId="0" borderId="16" xfId="1" applyNumberFormat="1" applyFont="1" applyBorder="1" applyAlignment="1">
      <alignment horizontal="center" vertical="center"/>
    </xf>
    <xf numFmtId="41" fontId="12" fillId="0" borderId="0" xfId="1" applyNumberFormat="1" applyFont="1"/>
    <xf numFmtId="0" fontId="12" fillId="0" borderId="0" xfId="1" applyFont="1"/>
    <xf numFmtId="0" fontId="12" fillId="0" borderId="0" xfId="1" applyFont="1" applyAlignment="1">
      <alignment vertical="center"/>
    </xf>
    <xf numFmtId="41" fontId="12" fillId="0" borderId="0" xfId="8" applyFont="1" applyAlignment="1">
      <alignment vertical="center"/>
    </xf>
    <xf numFmtId="178" fontId="12" fillId="6" borderId="6" xfId="4" applyNumberFormat="1" applyFont="1" applyFill="1" applyBorder="1" applyAlignment="1">
      <alignment horizontal="center" vertical="center"/>
    </xf>
    <xf numFmtId="41" fontId="12" fillId="0" borderId="0" xfId="8" applyFont="1" applyFill="1" applyAlignment="1">
      <alignment vertical="center"/>
    </xf>
    <xf numFmtId="41" fontId="12" fillId="6" borderId="6" xfId="8" quotePrefix="1" applyFont="1" applyFill="1" applyBorder="1" applyAlignment="1">
      <alignment horizontal="center" vertical="center" wrapText="1"/>
    </xf>
    <xf numFmtId="41" fontId="12" fillId="8" borderId="0" xfId="8" applyFont="1" applyFill="1" applyAlignment="1">
      <alignment vertical="center"/>
    </xf>
    <xf numFmtId="178" fontId="12" fillId="9" borderId="6" xfId="9" applyNumberFormat="1" applyFont="1" applyFill="1" applyBorder="1" applyAlignment="1">
      <alignment horizontal="center" vertical="center"/>
    </xf>
    <xf numFmtId="41" fontId="12" fillId="0" borderId="6" xfId="9" applyNumberFormat="1" applyFont="1" applyFill="1" applyBorder="1" applyAlignment="1">
      <alignment horizontal="right" vertical="center"/>
    </xf>
    <xf numFmtId="41" fontId="12" fillId="0" borderId="6" xfId="8" applyFont="1" applyFill="1" applyBorder="1" applyAlignment="1">
      <alignment horizontal="center" vertical="center"/>
    </xf>
    <xf numFmtId="0" fontId="12" fillId="0" borderId="0" xfId="5" applyAlignment="1">
      <alignment vertical="center"/>
    </xf>
    <xf numFmtId="41" fontId="12" fillId="4" borderId="0" xfId="8" applyFont="1" applyFill="1" applyAlignment="1">
      <alignment vertical="center"/>
    </xf>
    <xf numFmtId="0" fontId="12" fillId="0" borderId="0" xfId="5"/>
    <xf numFmtId="41" fontId="17" fillId="10" borderId="6" xfId="9" applyNumberFormat="1" applyFont="1" applyFill="1" applyBorder="1" applyAlignment="1">
      <alignment horizontal="right" vertical="center"/>
    </xf>
    <xf numFmtId="41" fontId="12" fillId="4" borderId="0" xfId="5" applyNumberFormat="1" applyFill="1" applyAlignment="1">
      <alignment vertical="center"/>
    </xf>
    <xf numFmtId="178" fontId="12" fillId="0" borderId="6" xfId="9" applyNumberFormat="1" applyFont="1" applyFill="1" applyBorder="1" applyAlignment="1">
      <alignment horizontal="center" vertical="center"/>
    </xf>
    <xf numFmtId="41" fontId="12" fillId="11" borderId="0" xfId="5" applyNumberFormat="1" applyFill="1" applyAlignment="1">
      <alignment vertical="center"/>
    </xf>
    <xf numFmtId="0" fontId="12" fillId="11" borderId="0" xfId="5" applyFill="1" applyAlignment="1">
      <alignment vertical="center"/>
    </xf>
    <xf numFmtId="0" fontId="12" fillId="4" borderId="0" xfId="5" applyFill="1" applyAlignment="1">
      <alignment vertical="center"/>
    </xf>
    <xf numFmtId="0" fontId="12" fillId="4" borderId="0" xfId="5" applyFill="1"/>
    <xf numFmtId="0" fontId="12" fillId="12" borderId="0" xfId="5" applyFill="1" applyAlignment="1">
      <alignment vertical="center"/>
    </xf>
    <xf numFmtId="41" fontId="12" fillId="12" borderId="0" xfId="8" applyFont="1" applyFill="1" applyAlignment="1">
      <alignment vertical="center"/>
    </xf>
    <xf numFmtId="0" fontId="12" fillId="12" borderId="0" xfId="5" applyFill="1"/>
    <xf numFmtId="177" fontId="12" fillId="11" borderId="0" xfId="5" applyNumberFormat="1" applyFill="1" applyAlignment="1">
      <alignment vertical="center"/>
    </xf>
    <xf numFmtId="0" fontId="12" fillId="0" borderId="6" xfId="1" applyFont="1" applyBorder="1" applyAlignment="1">
      <alignment horizontal="center" vertical="center"/>
    </xf>
    <xf numFmtId="0" fontId="12" fillId="13" borderId="0" xfId="5" applyFill="1" applyAlignment="1">
      <alignment vertical="center"/>
    </xf>
    <xf numFmtId="41" fontId="12" fillId="13" borderId="0" xfId="8" applyFont="1" applyFill="1" applyAlignment="1">
      <alignment vertical="center"/>
    </xf>
    <xf numFmtId="0" fontId="12" fillId="13" borderId="0" xfId="5" applyFill="1"/>
    <xf numFmtId="177" fontId="12" fillId="4" borderId="0" xfId="5" applyNumberFormat="1" applyFill="1" applyAlignment="1">
      <alignment vertical="center"/>
    </xf>
    <xf numFmtId="41" fontId="12" fillId="0" borderId="6" xfId="9" applyNumberFormat="1" applyFont="1" applyFill="1" applyBorder="1" applyAlignment="1">
      <alignment horizontal="center" vertical="center"/>
    </xf>
    <xf numFmtId="41" fontId="12" fillId="0" borderId="6" xfId="8" applyFont="1" applyFill="1" applyBorder="1" applyAlignment="1">
      <alignment horizontal="right" vertical="center"/>
    </xf>
    <xf numFmtId="177" fontId="12" fillId="0" borderId="0" xfId="5" applyNumberFormat="1" applyAlignment="1">
      <alignment vertical="center"/>
    </xf>
    <xf numFmtId="41" fontId="12" fillId="0" borderId="28" xfId="8" applyFont="1" applyFill="1" applyBorder="1" applyAlignment="1">
      <alignment horizontal="center" vertical="center"/>
    </xf>
    <xf numFmtId="41" fontId="12" fillId="0" borderId="17" xfId="8" applyFont="1" applyFill="1" applyBorder="1" applyAlignment="1">
      <alignment horizontal="center" vertical="center"/>
    </xf>
    <xf numFmtId="176" fontId="12" fillId="0" borderId="6" xfId="8" applyNumberFormat="1" applyFont="1" applyFill="1" applyBorder="1" applyAlignment="1">
      <alignment horizontal="center" vertical="center"/>
    </xf>
    <xf numFmtId="177" fontId="12" fillId="0" borderId="6" xfId="9" applyNumberFormat="1" applyFont="1" applyFill="1" applyBorder="1" applyAlignment="1">
      <alignment horizontal="right" vertical="center"/>
    </xf>
    <xf numFmtId="0" fontId="12" fillId="14" borderId="0" xfId="5" applyFill="1" applyAlignment="1">
      <alignment vertical="center"/>
    </xf>
    <xf numFmtId="41" fontId="12" fillId="14" borderId="0" xfId="8" applyFont="1" applyFill="1" applyAlignment="1">
      <alignment vertical="center"/>
    </xf>
    <xf numFmtId="0" fontId="12" fillId="14" borderId="0" xfId="5" applyFill="1"/>
    <xf numFmtId="41" fontId="17" fillId="10" borderId="6" xfId="8" applyFont="1" applyFill="1" applyBorder="1" applyAlignment="1">
      <alignment horizontal="right" vertical="center"/>
    </xf>
    <xf numFmtId="41" fontId="12" fillId="0" borderId="6" xfId="0" applyNumberFormat="1" applyFont="1" applyBorder="1">
      <alignment vertical="center"/>
    </xf>
    <xf numFmtId="41" fontId="12" fillId="0" borderId="17" xfId="0" applyNumberFormat="1" applyFont="1" applyBorder="1">
      <alignment vertical="center"/>
    </xf>
    <xf numFmtId="180" fontId="12" fillId="0" borderId="6" xfId="1" applyNumberFormat="1" applyFont="1" applyBorder="1" applyAlignment="1">
      <alignment horizontal="center" vertical="center"/>
    </xf>
    <xf numFmtId="41" fontId="12" fillId="0" borderId="6" xfId="1" applyNumberFormat="1" applyFont="1" applyBorder="1" applyAlignment="1">
      <alignment horizontal="right" vertical="center"/>
    </xf>
    <xf numFmtId="178" fontId="12" fillId="9" borderId="17" xfId="9" applyNumberFormat="1" applyFont="1" applyFill="1" applyBorder="1" applyAlignment="1">
      <alignment horizontal="center" vertical="center" shrinkToFit="1"/>
    </xf>
    <xf numFmtId="41" fontId="12" fillId="0" borderId="17" xfId="9" applyNumberFormat="1" applyFont="1" applyFill="1" applyBorder="1" applyAlignment="1">
      <alignment horizontal="right" vertical="center" shrinkToFit="1"/>
    </xf>
    <xf numFmtId="41" fontId="12" fillId="0" borderId="17" xfId="8" applyFont="1" applyFill="1" applyBorder="1" applyAlignment="1">
      <alignment horizontal="center" vertical="center" shrinkToFit="1"/>
    </xf>
    <xf numFmtId="41" fontId="17" fillId="7" borderId="6" xfId="8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vertical="center"/>
    </xf>
    <xf numFmtId="41" fontId="12" fillId="11" borderId="0" xfId="7" applyFont="1" applyFill="1" applyAlignment="1">
      <alignment vertical="center"/>
    </xf>
    <xf numFmtId="0" fontId="12" fillId="0" borderId="0" xfId="1" applyFont="1" applyAlignment="1">
      <alignment horizontal="center" vertical="center"/>
    </xf>
    <xf numFmtId="178" fontId="12" fillId="0" borderId="0" xfId="1" applyNumberFormat="1" applyFont="1" applyAlignment="1">
      <alignment horizontal="center"/>
    </xf>
    <xf numFmtId="177" fontId="12" fillId="0" borderId="0" xfId="1" applyNumberFormat="1" applyFont="1"/>
    <xf numFmtId="41" fontId="12" fillId="0" borderId="0" xfId="8" applyFont="1" applyAlignment="1"/>
    <xf numFmtId="0" fontId="12" fillId="0" borderId="0" xfId="1" applyFont="1" applyAlignment="1">
      <alignment horizontal="center"/>
    </xf>
    <xf numFmtId="41" fontId="12" fillId="0" borderId="0" xfId="8" applyFont="1" applyFill="1" applyAlignment="1">
      <alignment horizontal="center"/>
    </xf>
    <xf numFmtId="0" fontId="17" fillId="10" borderId="6" xfId="5" applyFont="1" applyFill="1" applyBorder="1" applyAlignment="1">
      <alignment horizontal="center" vertical="center"/>
    </xf>
    <xf numFmtId="0" fontId="17" fillId="10" borderId="28" xfId="5" applyFont="1" applyFill="1" applyBorder="1" applyAlignment="1">
      <alignment horizontal="center" vertical="center"/>
    </xf>
    <xf numFmtId="0" fontId="17" fillId="10" borderId="29" xfId="5" applyFont="1" applyFill="1" applyBorder="1" applyAlignment="1">
      <alignment horizontal="center" vertical="center"/>
    </xf>
    <xf numFmtId="0" fontId="17" fillId="10" borderId="7" xfId="5" applyFont="1" applyFill="1" applyBorder="1" applyAlignment="1">
      <alignment horizontal="center" vertical="center"/>
    </xf>
    <xf numFmtId="0" fontId="17" fillId="10" borderId="28" xfId="5" applyFont="1" applyFill="1" applyBorder="1" applyAlignment="1">
      <alignment horizontal="center" vertical="center" shrinkToFit="1"/>
    </xf>
    <xf numFmtId="41" fontId="17" fillId="10" borderId="6" xfId="8" applyFont="1" applyFill="1" applyBorder="1" applyAlignment="1">
      <alignment horizontal="center" vertical="center"/>
    </xf>
    <xf numFmtId="41" fontId="17" fillId="0" borderId="6" xfId="8" applyFont="1" applyFill="1" applyBorder="1" applyAlignment="1">
      <alignment horizontal="center" vertical="center"/>
    </xf>
    <xf numFmtId="0" fontId="12" fillId="10" borderId="7" xfId="1" applyFont="1" applyFill="1" applyBorder="1" applyAlignment="1">
      <alignment horizontal="center" vertical="center" shrinkToFit="1"/>
    </xf>
    <xf numFmtId="0" fontId="17" fillId="10" borderId="29" xfId="5" applyFont="1" applyFill="1" applyBorder="1" applyAlignment="1">
      <alignment vertical="center"/>
    </xf>
    <xf numFmtId="0" fontId="17" fillId="10" borderId="7" xfId="5" applyFont="1" applyFill="1" applyBorder="1" applyAlignment="1">
      <alignment vertical="center"/>
    </xf>
    <xf numFmtId="41" fontId="17" fillId="10" borderId="29" xfId="8" applyFont="1" applyFill="1" applyBorder="1" applyAlignment="1">
      <alignment vertical="center"/>
    </xf>
    <xf numFmtId="41" fontId="17" fillId="10" borderId="7" xfId="8" applyFont="1" applyFill="1" applyBorder="1" applyAlignment="1">
      <alignment vertical="center"/>
    </xf>
    <xf numFmtId="0" fontId="12" fillId="10" borderId="29" xfId="1" applyFont="1" applyFill="1" applyBorder="1" applyAlignment="1">
      <alignment vertical="center" shrinkToFit="1"/>
    </xf>
    <xf numFmtId="0" fontId="12" fillId="10" borderId="7" xfId="1" applyFont="1" applyFill="1" applyBorder="1" applyAlignment="1">
      <alignment vertical="center" shrinkToFit="1"/>
    </xf>
    <xf numFmtId="0" fontId="12" fillId="10" borderId="29" xfId="1" applyFont="1" applyFill="1" applyBorder="1" applyAlignment="1">
      <alignment vertical="center"/>
    </xf>
    <xf numFmtId="0" fontId="12" fillId="10" borderId="7" xfId="1" applyFont="1" applyFill="1" applyBorder="1" applyAlignment="1">
      <alignment vertical="center"/>
    </xf>
    <xf numFmtId="0" fontId="12" fillId="10" borderId="29" xfId="1" applyFont="1" applyFill="1" applyBorder="1" applyAlignment="1">
      <alignment horizontal="center" vertical="center" shrinkToFit="1"/>
    </xf>
    <xf numFmtId="41" fontId="17" fillId="10" borderId="28" xfId="8" applyFont="1" applyFill="1" applyBorder="1" applyAlignment="1">
      <alignment horizontal="center" vertical="center"/>
    </xf>
    <xf numFmtId="0" fontId="17" fillId="10" borderId="29" xfId="1" applyFont="1" applyFill="1" applyBorder="1" applyAlignment="1">
      <alignment horizontal="center" vertical="center" shrinkToFit="1"/>
    </xf>
    <xf numFmtId="0" fontId="17" fillId="10" borderId="7" xfId="1" applyFont="1" applyFill="1" applyBorder="1" applyAlignment="1">
      <alignment horizontal="center" vertical="center" shrinkToFit="1"/>
    </xf>
    <xf numFmtId="0" fontId="18" fillId="10" borderId="29" xfId="0" applyFont="1" applyFill="1" applyBorder="1" applyAlignment="1">
      <alignment horizontal="center" vertical="center"/>
    </xf>
    <xf numFmtId="0" fontId="18" fillId="10" borderId="7" xfId="0" applyFont="1" applyFill="1" applyBorder="1" applyAlignment="1">
      <alignment horizontal="center" vertical="center"/>
    </xf>
    <xf numFmtId="41" fontId="12" fillId="0" borderId="6" xfId="0" applyNumberFormat="1" applyFont="1" applyFill="1" applyBorder="1">
      <alignment vertical="center"/>
    </xf>
    <xf numFmtId="41" fontId="12" fillId="0" borderId="17" xfId="0" applyNumberFormat="1" applyFont="1" applyFill="1" applyBorder="1">
      <alignment vertical="center"/>
    </xf>
    <xf numFmtId="177" fontId="5" fillId="0" borderId="10" xfId="1" applyNumberFormat="1" applyFont="1" applyFill="1" applyBorder="1" applyAlignment="1">
      <alignment horizontal="center" vertical="center"/>
    </xf>
    <xf numFmtId="177" fontId="5" fillId="0" borderId="12" xfId="1" applyNumberFormat="1" applyFont="1" applyFill="1" applyBorder="1" applyAlignment="1">
      <alignment horizontal="center" vertical="center"/>
    </xf>
    <xf numFmtId="181" fontId="20" fillId="0" borderId="6" xfId="11" applyNumberFormat="1" applyFont="1" applyBorder="1" applyAlignment="1">
      <alignment horizontal="right" vertical="center"/>
    </xf>
    <xf numFmtId="0" fontId="12" fillId="0" borderId="17" xfId="9" applyFont="1" applyFill="1" applyBorder="1" applyAlignment="1">
      <alignment horizontal="center" vertical="center" wrapText="1"/>
    </xf>
    <xf numFmtId="0" fontId="12" fillId="0" borderId="17" xfId="9" applyFont="1" applyFill="1" applyBorder="1" applyAlignment="1">
      <alignment horizontal="center" vertical="center"/>
    </xf>
    <xf numFmtId="41" fontId="12" fillId="0" borderId="19" xfId="8" applyFont="1" applyFill="1" applyBorder="1" applyAlignment="1">
      <alignment horizontal="center" vertical="center"/>
    </xf>
    <xf numFmtId="0" fontId="12" fillId="0" borderId="6" xfId="5" applyFont="1" applyBorder="1" applyAlignment="1">
      <alignment horizontal="center" vertical="center"/>
    </xf>
    <xf numFmtId="179" fontId="12" fillId="0" borderId="6" xfId="5" applyNumberFormat="1" applyFont="1" applyBorder="1" applyAlignment="1">
      <alignment horizontal="center" vertical="center"/>
    </xf>
    <xf numFmtId="180" fontId="12" fillId="0" borderId="6" xfId="5" applyNumberFormat="1" applyFont="1" applyBorder="1" applyAlignment="1">
      <alignment horizontal="center" vertical="center"/>
    </xf>
    <xf numFmtId="41" fontId="12" fillId="0" borderId="6" xfId="5" applyNumberFormat="1" applyFont="1" applyBorder="1" applyAlignment="1">
      <alignment horizontal="right" vertical="center"/>
    </xf>
    <xf numFmtId="49" fontId="12" fillId="9" borderId="18" xfId="5" applyNumberFormat="1" applyFont="1" applyFill="1" applyBorder="1" applyAlignment="1">
      <alignment horizontal="center" vertical="center" wrapText="1"/>
    </xf>
    <xf numFmtId="0" fontId="12" fillId="7" borderId="6" xfId="6" applyFont="1" applyFill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12" fillId="0" borderId="17" xfId="1" applyFont="1" applyBorder="1" applyAlignment="1">
      <alignment horizontal="center" vertical="center" shrinkToFit="1"/>
    </xf>
    <xf numFmtId="0" fontId="12" fillId="0" borderId="18" xfId="1" applyFont="1" applyBorder="1" applyAlignment="1">
      <alignment horizontal="center" vertical="center" shrinkToFit="1"/>
    </xf>
    <xf numFmtId="49" fontId="12" fillId="0" borderId="17" xfId="5" applyNumberFormat="1" applyBorder="1" applyAlignment="1">
      <alignment horizontal="center" vertical="center" shrinkToFit="1"/>
    </xf>
    <xf numFmtId="49" fontId="12" fillId="0" borderId="18" xfId="5" applyNumberFormat="1" applyBorder="1" applyAlignment="1">
      <alignment horizontal="center" vertical="center" shrinkToFit="1"/>
    </xf>
    <xf numFmtId="49" fontId="12" fillId="0" borderId="19" xfId="5" applyNumberFormat="1" applyBorder="1" applyAlignment="1">
      <alignment horizontal="center" vertical="center" shrinkToFit="1"/>
    </xf>
    <xf numFmtId="17" fontId="12" fillId="9" borderId="20" xfId="9" applyNumberFormat="1" applyFont="1" applyFill="1" applyBorder="1" applyAlignment="1">
      <alignment horizontal="center" vertical="center" wrapText="1"/>
    </xf>
    <xf numFmtId="17" fontId="12" fillId="9" borderId="21" xfId="9" applyNumberFormat="1" applyFont="1" applyFill="1" applyBorder="1" applyAlignment="1">
      <alignment horizontal="center" vertical="center" wrapText="1"/>
    </xf>
    <xf numFmtId="17" fontId="12" fillId="9" borderId="22" xfId="9" applyNumberFormat="1" applyFont="1" applyFill="1" applyBorder="1" applyAlignment="1">
      <alignment horizontal="center" vertical="center" wrapText="1"/>
    </xf>
    <xf numFmtId="17" fontId="12" fillId="9" borderId="23" xfId="9" applyNumberFormat="1" applyFont="1" applyFill="1" applyBorder="1" applyAlignment="1">
      <alignment horizontal="center" vertical="center" wrapText="1"/>
    </xf>
    <xf numFmtId="17" fontId="12" fillId="9" borderId="0" xfId="9" applyNumberFormat="1" applyFont="1" applyFill="1" applyBorder="1" applyAlignment="1">
      <alignment horizontal="center" vertical="center" wrapText="1"/>
    </xf>
    <xf numFmtId="17" fontId="12" fillId="9" borderId="24" xfId="9" applyNumberFormat="1" applyFont="1" applyFill="1" applyBorder="1" applyAlignment="1">
      <alignment horizontal="center" vertical="center" wrapText="1"/>
    </xf>
    <xf numFmtId="17" fontId="12" fillId="9" borderId="25" xfId="9" applyNumberFormat="1" applyFont="1" applyFill="1" applyBorder="1" applyAlignment="1">
      <alignment horizontal="center" vertical="center" wrapText="1"/>
    </xf>
    <xf numFmtId="17" fontId="12" fillId="9" borderId="26" xfId="9" applyNumberFormat="1" applyFont="1" applyFill="1" applyBorder="1" applyAlignment="1">
      <alignment horizontal="center" vertical="center" wrapText="1"/>
    </xf>
    <xf numFmtId="17" fontId="12" fillId="9" borderId="27" xfId="9" applyNumberFormat="1" applyFont="1" applyFill="1" applyBorder="1" applyAlignment="1">
      <alignment horizontal="center" vertical="center" wrapText="1"/>
    </xf>
    <xf numFmtId="0" fontId="12" fillId="0" borderId="17" xfId="5" applyFont="1" applyBorder="1" applyAlignment="1">
      <alignment horizontal="center" vertical="center"/>
    </xf>
    <xf numFmtId="0" fontId="12" fillId="0" borderId="18" xfId="5" applyFont="1" applyBorder="1" applyAlignment="1">
      <alignment horizontal="center" vertical="center"/>
    </xf>
    <xf numFmtId="0" fontId="12" fillId="0" borderId="19" xfId="5" applyFont="1" applyBorder="1" applyAlignment="1">
      <alignment horizontal="center" vertical="center"/>
    </xf>
    <xf numFmtId="49" fontId="12" fillId="0" borderId="17" xfId="9" applyNumberFormat="1" applyFont="1" applyFill="1" applyBorder="1" applyAlignment="1">
      <alignment horizontal="center" vertical="center" wrapText="1"/>
    </xf>
    <xf numFmtId="49" fontId="12" fillId="0" borderId="18" xfId="9" applyNumberFormat="1" applyFont="1" applyFill="1" applyBorder="1" applyAlignment="1">
      <alignment horizontal="center" vertical="center" wrapText="1"/>
    </xf>
    <xf numFmtId="49" fontId="12" fillId="0" borderId="19" xfId="9" applyNumberFormat="1" applyFont="1" applyFill="1" applyBorder="1" applyAlignment="1">
      <alignment horizontal="center" vertical="center" wrapText="1"/>
    </xf>
    <xf numFmtId="0" fontId="15" fillId="0" borderId="0" xfId="3" applyFont="1" applyAlignment="1">
      <alignment horizontal="left" vertical="center"/>
    </xf>
    <xf numFmtId="0" fontId="12" fillId="6" borderId="6" xfId="4" applyNumberFormat="1" applyFont="1" applyFill="1" applyBorder="1" applyAlignment="1">
      <alignment horizontal="center" vertical="center"/>
    </xf>
    <xf numFmtId="0" fontId="12" fillId="6" borderId="6" xfId="4" applyNumberFormat="1" applyFont="1" applyFill="1" applyBorder="1" applyAlignment="1">
      <alignment horizontal="center" vertical="center" wrapText="1"/>
    </xf>
    <xf numFmtId="177" fontId="12" fillId="6" borderId="6" xfId="4" applyNumberFormat="1" applyFont="1" applyFill="1" applyBorder="1" applyAlignment="1">
      <alignment horizontal="center" vertical="center"/>
    </xf>
    <xf numFmtId="49" fontId="12" fillId="6" borderId="6" xfId="4" applyNumberFormat="1" applyFont="1" applyFill="1" applyBorder="1" applyAlignment="1">
      <alignment horizontal="center" vertical="center" wrapText="1"/>
    </xf>
    <xf numFmtId="49" fontId="12" fillId="6" borderId="6" xfId="4" applyNumberFormat="1" applyFont="1" applyFill="1" applyBorder="1" applyAlignment="1">
      <alignment horizontal="center" vertical="center"/>
    </xf>
    <xf numFmtId="49" fontId="12" fillId="6" borderId="17" xfId="4" applyNumberFormat="1" applyFont="1" applyFill="1" applyBorder="1" applyAlignment="1">
      <alignment horizontal="center" vertical="center" wrapText="1"/>
    </xf>
    <xf numFmtId="49" fontId="12" fillId="6" borderId="18" xfId="4" applyNumberFormat="1" applyFont="1" applyFill="1" applyBorder="1" applyAlignment="1">
      <alignment horizontal="center" vertical="center" wrapText="1"/>
    </xf>
    <xf numFmtId="49" fontId="12" fillId="6" borderId="19" xfId="4" applyNumberFormat="1" applyFont="1" applyFill="1" applyBorder="1" applyAlignment="1">
      <alignment horizontal="center" vertical="center" wrapText="1"/>
    </xf>
    <xf numFmtId="0" fontId="12" fillId="6" borderId="17" xfId="4" applyNumberFormat="1" applyFont="1" applyFill="1" applyBorder="1" applyAlignment="1">
      <alignment horizontal="center" vertical="center"/>
    </xf>
    <xf numFmtId="0" fontId="12" fillId="6" borderId="19" xfId="4" applyNumberFormat="1" applyFont="1" applyFill="1" applyBorder="1" applyAlignment="1">
      <alignment horizontal="center" vertical="center"/>
    </xf>
    <xf numFmtId="0" fontId="12" fillId="7" borderId="6" xfId="4" applyNumberFormat="1" applyFont="1" applyFill="1" applyBorder="1" applyAlignment="1">
      <alignment horizontal="center" vertical="center"/>
    </xf>
    <xf numFmtId="178" fontId="12" fillId="6" borderId="6" xfId="4" applyNumberFormat="1" applyFont="1" applyFill="1" applyBorder="1" applyAlignment="1">
      <alignment horizontal="center" vertical="center" wrapText="1"/>
    </xf>
    <xf numFmtId="177" fontId="12" fillId="6" borderId="6" xfId="4" applyNumberFormat="1" applyFont="1" applyFill="1" applyBorder="1" applyAlignment="1">
      <alignment horizontal="center" vertical="center" wrapText="1"/>
    </xf>
    <xf numFmtId="0" fontId="12" fillId="0" borderId="18" xfId="4" applyNumberFormat="1" applyFont="1" applyFill="1" applyBorder="1" applyAlignment="1">
      <alignment horizontal="center" vertical="center"/>
    </xf>
    <xf numFmtId="0" fontId="12" fillId="0" borderId="19" xfId="4" applyNumberFormat="1" applyFont="1" applyFill="1" applyBorder="1" applyAlignment="1">
      <alignment horizontal="center" vertical="center"/>
    </xf>
    <xf numFmtId="0" fontId="12" fillId="0" borderId="6" xfId="9" applyFont="1" applyFill="1" applyBorder="1" applyAlignment="1">
      <alignment horizontal="center" vertical="center" wrapText="1"/>
    </xf>
    <xf numFmtId="17" fontId="12" fillId="9" borderId="0" xfId="9" applyNumberFormat="1" applyFont="1" applyFill="1" applyAlignment="1">
      <alignment horizontal="center" vertical="center" wrapText="1"/>
    </xf>
    <xf numFmtId="0" fontId="12" fillId="0" borderId="17" xfId="9" applyFont="1" applyFill="1" applyBorder="1" applyAlignment="1">
      <alignment horizontal="center" vertical="center" wrapText="1"/>
    </xf>
    <xf numFmtId="0" fontId="12" fillId="0" borderId="18" xfId="9" applyFont="1" applyFill="1" applyBorder="1" applyAlignment="1">
      <alignment horizontal="center" vertical="center" wrapText="1"/>
    </xf>
    <xf numFmtId="0" fontId="12" fillId="0" borderId="19" xfId="9" applyFont="1" applyFill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shrinkToFit="1"/>
    </xf>
    <xf numFmtId="0" fontId="12" fillId="0" borderId="17" xfId="9" applyFont="1" applyFill="1" applyBorder="1" applyAlignment="1">
      <alignment horizontal="center" vertical="center"/>
    </xf>
    <xf numFmtId="0" fontId="12" fillId="0" borderId="18" xfId="9" applyFont="1" applyFill="1" applyBorder="1" applyAlignment="1">
      <alignment horizontal="center" vertical="center"/>
    </xf>
    <xf numFmtId="0" fontId="12" fillId="0" borderId="19" xfId="9" applyFont="1" applyFill="1" applyBorder="1" applyAlignment="1">
      <alignment horizontal="center" vertical="center"/>
    </xf>
    <xf numFmtId="0" fontId="12" fillId="0" borderId="17" xfId="1" applyFont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2" fillId="0" borderId="19" xfId="1" applyFont="1" applyBorder="1" applyAlignment="1">
      <alignment horizontal="center" vertical="center"/>
    </xf>
    <xf numFmtId="0" fontId="12" fillId="9" borderId="17" xfId="5" applyFont="1" applyFill="1" applyBorder="1" applyAlignment="1">
      <alignment horizontal="center" vertical="center"/>
    </xf>
    <xf numFmtId="0" fontId="12" fillId="9" borderId="18" xfId="5" applyFont="1" applyFill="1" applyBorder="1" applyAlignment="1">
      <alignment horizontal="center" vertical="center"/>
    </xf>
    <xf numFmtId="0" fontId="12" fillId="9" borderId="19" xfId="5" applyFont="1" applyFill="1" applyBorder="1" applyAlignment="1">
      <alignment horizontal="center" vertical="center"/>
    </xf>
    <xf numFmtId="49" fontId="12" fillId="0" borderId="6" xfId="9" applyNumberFormat="1" applyFont="1" applyFill="1" applyBorder="1" applyAlignment="1">
      <alignment horizontal="center" vertical="center" wrapText="1"/>
    </xf>
    <xf numFmtId="0" fontId="12" fillId="9" borderId="17" xfId="9" applyFont="1" applyFill="1" applyBorder="1" applyAlignment="1">
      <alignment horizontal="center" vertical="center"/>
    </xf>
    <xf numFmtId="0" fontId="12" fillId="9" borderId="18" xfId="9" applyFont="1" applyFill="1" applyBorder="1" applyAlignment="1">
      <alignment horizontal="center" vertical="center"/>
    </xf>
    <xf numFmtId="0" fontId="12" fillId="9" borderId="19" xfId="9" applyFont="1" applyFill="1" applyBorder="1" applyAlignment="1">
      <alignment horizontal="center" vertical="center"/>
    </xf>
    <xf numFmtId="49" fontId="12" fillId="0" borderId="17" xfId="5" applyNumberFormat="1" applyFont="1" applyBorder="1" applyAlignment="1">
      <alignment horizontal="center" vertical="center" wrapText="1"/>
    </xf>
    <xf numFmtId="49" fontId="12" fillId="0" borderId="18" xfId="5" applyNumberFormat="1" applyFont="1" applyBorder="1" applyAlignment="1">
      <alignment horizontal="center" vertical="center" wrapText="1"/>
    </xf>
    <xf numFmtId="49" fontId="12" fillId="0" borderId="19" xfId="5" applyNumberFormat="1" applyFont="1" applyBorder="1" applyAlignment="1">
      <alignment horizontal="center" vertical="center" wrapText="1"/>
    </xf>
    <xf numFmtId="41" fontId="12" fillId="0" borderId="17" xfId="5" applyNumberFormat="1" applyFont="1" applyBorder="1" applyAlignment="1">
      <alignment horizontal="center" vertical="center" wrapText="1"/>
    </xf>
    <xf numFmtId="0" fontId="12" fillId="0" borderId="18" xfId="5" applyFont="1" applyBorder="1" applyAlignment="1">
      <alignment horizontal="center" vertical="center" wrapText="1"/>
    </xf>
    <xf numFmtId="0" fontId="12" fillId="0" borderId="19" xfId="5" applyFont="1" applyBorder="1" applyAlignment="1">
      <alignment horizontal="center" vertical="center" wrapText="1"/>
    </xf>
    <xf numFmtId="0" fontId="12" fillId="0" borderId="17" xfId="5" applyBorder="1" applyAlignment="1">
      <alignment horizontal="center" vertical="center" wrapText="1"/>
    </xf>
    <xf numFmtId="0" fontId="12" fillId="0" borderId="18" xfId="5" applyBorder="1" applyAlignment="1">
      <alignment horizontal="center" vertical="center" wrapText="1"/>
    </xf>
    <xf numFmtId="0" fontId="12" fillId="0" borderId="19" xfId="5" applyBorder="1" applyAlignment="1">
      <alignment horizontal="center" vertical="center" wrapText="1"/>
    </xf>
    <xf numFmtId="0" fontId="12" fillId="0" borderId="17" xfId="9" applyFont="1" applyFill="1" applyBorder="1" applyAlignment="1">
      <alignment horizontal="center" vertical="center" shrinkToFit="1"/>
    </xf>
    <xf numFmtId="0" fontId="12" fillId="0" borderId="18" xfId="9" applyFont="1" applyFill="1" applyBorder="1" applyAlignment="1">
      <alignment horizontal="center" vertical="center" shrinkToFit="1"/>
    </xf>
    <xf numFmtId="0" fontId="12" fillId="0" borderId="20" xfId="1" applyFont="1" applyBorder="1" applyAlignment="1">
      <alignment horizontal="center" vertical="center" wrapText="1" shrinkToFit="1"/>
    </xf>
    <xf numFmtId="0" fontId="12" fillId="0" borderId="21" xfId="1" applyFont="1" applyBorder="1" applyAlignment="1">
      <alignment horizontal="center" vertical="center" wrapText="1" shrinkToFit="1"/>
    </xf>
    <xf numFmtId="0" fontId="12" fillId="0" borderId="22" xfId="1" applyFont="1" applyBorder="1" applyAlignment="1">
      <alignment horizontal="center" vertical="center" wrapText="1" shrinkToFit="1"/>
    </xf>
    <xf numFmtId="0" fontId="12" fillId="0" borderId="23" xfId="1" applyFont="1" applyBorder="1" applyAlignment="1">
      <alignment horizontal="center" vertical="center" wrapText="1" shrinkToFit="1"/>
    </xf>
    <xf numFmtId="0" fontId="12" fillId="0" borderId="0" xfId="1" applyFont="1" applyBorder="1" applyAlignment="1">
      <alignment horizontal="center" vertical="center" wrapText="1" shrinkToFit="1"/>
    </xf>
    <xf numFmtId="0" fontId="12" fillId="0" borderId="24" xfId="1" applyFont="1" applyBorder="1" applyAlignment="1">
      <alignment horizontal="center" vertical="center" wrapText="1" shrinkToFit="1"/>
    </xf>
    <xf numFmtId="0" fontId="12" fillId="0" borderId="25" xfId="1" applyFont="1" applyBorder="1" applyAlignment="1">
      <alignment horizontal="center" vertical="center" wrapText="1" shrinkToFit="1"/>
    </xf>
    <xf numFmtId="0" fontId="12" fillId="0" borderId="26" xfId="1" applyFont="1" applyBorder="1" applyAlignment="1">
      <alignment horizontal="center" vertical="center" wrapText="1" shrinkToFit="1"/>
    </xf>
    <xf numFmtId="0" fontId="12" fillId="0" borderId="27" xfId="1" applyFont="1" applyBorder="1" applyAlignment="1">
      <alignment horizontal="center" vertical="center" wrapText="1" shrinkToFit="1"/>
    </xf>
    <xf numFmtId="0" fontId="12" fillId="0" borderId="17" xfId="5" applyFont="1" applyBorder="1" applyAlignment="1">
      <alignment horizontal="center" vertical="center" shrinkToFit="1"/>
    </xf>
    <xf numFmtId="0" fontId="12" fillId="0" borderId="18" xfId="5" applyFont="1" applyBorder="1" applyAlignment="1">
      <alignment horizontal="center" vertical="center" shrinkToFit="1"/>
    </xf>
    <xf numFmtId="0" fontId="12" fillId="0" borderId="19" xfId="5" applyFont="1" applyBorder="1" applyAlignment="1">
      <alignment horizontal="center" vertical="center" shrinkToFit="1"/>
    </xf>
    <xf numFmtId="0" fontId="12" fillId="0" borderId="17" xfId="1" applyFont="1" applyFill="1" applyBorder="1" applyAlignment="1">
      <alignment horizontal="center" vertical="center" shrinkToFit="1"/>
    </xf>
    <xf numFmtId="0" fontId="12" fillId="0" borderId="18" xfId="1" applyFont="1" applyFill="1" applyBorder="1" applyAlignment="1">
      <alignment horizontal="center" vertical="center" shrinkToFit="1"/>
    </xf>
    <xf numFmtId="0" fontId="12" fillId="0" borderId="19" xfId="1" applyFont="1" applyFill="1" applyBorder="1" applyAlignment="1">
      <alignment horizontal="center" vertical="center" shrinkToFit="1"/>
    </xf>
    <xf numFmtId="0" fontId="12" fillId="0" borderId="17" xfId="5" applyFont="1" applyBorder="1" applyAlignment="1">
      <alignment horizontal="center" vertical="center" wrapText="1" shrinkToFit="1"/>
    </xf>
    <xf numFmtId="0" fontId="12" fillId="0" borderId="18" xfId="5" applyFont="1" applyBorder="1" applyAlignment="1">
      <alignment horizontal="center" vertical="center" wrapText="1" shrinkToFit="1"/>
    </xf>
    <xf numFmtId="0" fontId="12" fillId="0" borderId="19" xfId="5" applyFont="1" applyBorder="1" applyAlignment="1">
      <alignment horizontal="center" vertical="center" wrapText="1" shrinkToFit="1"/>
    </xf>
    <xf numFmtId="49" fontId="12" fillId="0" borderId="17" xfId="5" applyNumberFormat="1" applyBorder="1" applyAlignment="1">
      <alignment horizontal="center" vertical="center" wrapText="1"/>
    </xf>
    <xf numFmtId="49" fontId="12" fillId="0" borderId="18" xfId="5" applyNumberFormat="1" applyBorder="1" applyAlignment="1">
      <alignment horizontal="center" vertical="center" wrapText="1"/>
    </xf>
    <xf numFmtId="49" fontId="12" fillId="0" borderId="19" xfId="5" applyNumberFormat="1" applyBorder="1" applyAlignment="1">
      <alignment horizontal="center" vertical="center" wrapText="1"/>
    </xf>
    <xf numFmtId="49" fontId="12" fillId="0" borderId="6" xfId="5" applyNumberFormat="1" applyFont="1" applyBorder="1" applyAlignment="1">
      <alignment horizontal="center" vertical="center" wrapText="1"/>
    </xf>
    <xf numFmtId="0" fontId="12" fillId="9" borderId="17" xfId="9" applyFont="1" applyFill="1" applyBorder="1" applyAlignment="1">
      <alignment horizontal="center" vertical="center" wrapText="1"/>
    </xf>
    <xf numFmtId="0" fontId="12" fillId="9" borderId="18" xfId="9" applyFont="1" applyFill="1" applyBorder="1" applyAlignment="1">
      <alignment horizontal="center" vertical="center" wrapText="1"/>
    </xf>
    <xf numFmtId="0" fontId="12" fillId="9" borderId="19" xfId="9" applyFont="1" applyFill="1" applyBorder="1" applyAlignment="1">
      <alignment horizontal="center" vertical="center" wrapText="1"/>
    </xf>
    <xf numFmtId="41" fontId="12" fillId="0" borderId="20" xfId="8" applyFont="1" applyFill="1" applyBorder="1" applyAlignment="1">
      <alignment horizontal="center" vertical="center" wrapText="1"/>
    </xf>
    <xf numFmtId="41" fontId="12" fillId="0" borderId="21" xfId="8" applyFont="1" applyFill="1" applyBorder="1" applyAlignment="1">
      <alignment horizontal="center" vertical="center" wrapText="1"/>
    </xf>
    <xf numFmtId="41" fontId="12" fillId="0" borderId="22" xfId="8" applyFont="1" applyFill="1" applyBorder="1" applyAlignment="1">
      <alignment horizontal="center" vertical="center" wrapText="1"/>
    </xf>
    <xf numFmtId="41" fontId="12" fillId="0" borderId="23" xfId="8" applyFont="1" applyFill="1" applyBorder="1" applyAlignment="1">
      <alignment horizontal="center" vertical="center" wrapText="1"/>
    </xf>
    <xf numFmtId="41" fontId="12" fillId="0" borderId="0" xfId="8" applyFont="1" applyFill="1" applyBorder="1" applyAlignment="1">
      <alignment horizontal="center" vertical="center" wrapText="1"/>
    </xf>
    <xf numFmtId="41" fontId="12" fillId="0" borderId="24" xfId="8" applyFont="1" applyFill="1" applyBorder="1" applyAlignment="1">
      <alignment horizontal="center" vertical="center" wrapText="1"/>
    </xf>
    <xf numFmtId="41" fontId="12" fillId="0" borderId="25" xfId="8" applyFont="1" applyFill="1" applyBorder="1" applyAlignment="1">
      <alignment horizontal="center" vertical="center" wrapText="1"/>
    </xf>
    <xf numFmtId="41" fontId="12" fillId="0" borderId="26" xfId="8" applyFont="1" applyFill="1" applyBorder="1" applyAlignment="1">
      <alignment horizontal="center" vertical="center" wrapText="1"/>
    </xf>
    <xf numFmtId="41" fontId="12" fillId="0" borderId="27" xfId="8" applyFont="1" applyFill="1" applyBorder="1" applyAlignment="1">
      <alignment horizontal="center" vertical="center" wrapText="1"/>
    </xf>
    <xf numFmtId="41" fontId="12" fillId="9" borderId="17" xfId="8" applyFont="1" applyFill="1" applyBorder="1" applyAlignment="1">
      <alignment horizontal="center" vertical="center"/>
    </xf>
    <xf numFmtId="41" fontId="12" fillId="9" borderId="18" xfId="8" applyFont="1" applyFill="1" applyBorder="1" applyAlignment="1">
      <alignment horizontal="center" vertical="center"/>
    </xf>
    <xf numFmtId="41" fontId="12" fillId="9" borderId="19" xfId="8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9" borderId="18" xfId="1" applyFont="1" applyFill="1" applyBorder="1" applyAlignment="1">
      <alignment horizontal="center" vertical="center" shrinkToFit="1"/>
    </xf>
    <xf numFmtId="0" fontId="12" fillId="9" borderId="19" xfId="1" applyFont="1" applyFill="1" applyBorder="1" applyAlignment="1">
      <alignment horizontal="center" vertical="center" shrinkToFit="1"/>
    </xf>
    <xf numFmtId="0" fontId="12" fillId="0" borderId="17" xfId="5" applyBorder="1" applyAlignment="1">
      <alignment horizontal="center" vertical="center" shrinkToFit="1"/>
    </xf>
    <xf numFmtId="0" fontId="12" fillId="0" borderId="18" xfId="5" applyBorder="1" applyAlignment="1">
      <alignment horizontal="center" vertical="center" shrinkToFit="1"/>
    </xf>
    <xf numFmtId="0" fontId="12" fillId="0" borderId="19" xfId="5" applyBorder="1" applyAlignment="1">
      <alignment horizontal="center" vertical="center" shrinkToFit="1"/>
    </xf>
    <xf numFmtId="0" fontId="12" fillId="0" borderId="17" xfId="5" applyFont="1" applyFill="1" applyBorder="1" applyAlignment="1">
      <alignment horizontal="center" vertical="center" shrinkToFit="1"/>
    </xf>
    <xf numFmtId="0" fontId="12" fillId="0" borderId="18" xfId="5" applyFont="1" applyFill="1" applyBorder="1" applyAlignment="1">
      <alignment horizontal="center" vertical="center" shrinkToFit="1"/>
    </xf>
    <xf numFmtId="0" fontId="12" fillId="0" borderId="19" xfId="5" applyFont="1" applyFill="1" applyBorder="1" applyAlignment="1">
      <alignment horizontal="center" vertical="center" shrinkToFit="1"/>
    </xf>
    <xf numFmtId="17" fontId="12" fillId="0" borderId="20" xfId="9" applyNumberFormat="1" applyFont="1" applyFill="1" applyBorder="1" applyAlignment="1">
      <alignment horizontal="center" vertical="center" wrapText="1"/>
    </xf>
    <xf numFmtId="17" fontId="12" fillId="0" borderId="21" xfId="9" applyNumberFormat="1" applyFont="1" applyFill="1" applyBorder="1" applyAlignment="1">
      <alignment horizontal="center" vertical="center" wrapText="1"/>
    </xf>
    <xf numFmtId="17" fontId="12" fillId="0" borderId="22" xfId="9" applyNumberFormat="1" applyFont="1" applyFill="1" applyBorder="1" applyAlignment="1">
      <alignment horizontal="center" vertical="center" wrapText="1"/>
    </xf>
    <xf numFmtId="17" fontId="12" fillId="0" borderId="23" xfId="9" applyNumberFormat="1" applyFont="1" applyFill="1" applyBorder="1" applyAlignment="1">
      <alignment horizontal="center" vertical="center" wrapText="1"/>
    </xf>
    <xf numFmtId="17" fontId="12" fillId="0" borderId="0" xfId="9" applyNumberFormat="1" applyFont="1" applyFill="1" applyBorder="1" applyAlignment="1">
      <alignment horizontal="center" vertical="center" wrapText="1"/>
    </xf>
    <xf numFmtId="17" fontId="12" fillId="0" borderId="24" xfId="9" applyNumberFormat="1" applyFont="1" applyFill="1" applyBorder="1" applyAlignment="1">
      <alignment horizontal="center" vertical="center" wrapText="1"/>
    </xf>
    <xf numFmtId="17" fontId="12" fillId="0" borderId="25" xfId="9" applyNumberFormat="1" applyFont="1" applyFill="1" applyBorder="1" applyAlignment="1">
      <alignment horizontal="center" vertical="center" wrapText="1"/>
    </xf>
    <xf numFmtId="17" fontId="12" fillId="0" borderId="26" xfId="9" applyNumberFormat="1" applyFont="1" applyFill="1" applyBorder="1" applyAlignment="1">
      <alignment horizontal="center" vertical="center" wrapText="1"/>
    </xf>
    <xf numFmtId="17" fontId="12" fillId="0" borderId="27" xfId="9" applyNumberFormat="1" applyFont="1" applyFill="1" applyBorder="1" applyAlignment="1">
      <alignment horizontal="center" vertical="center" wrapText="1"/>
    </xf>
    <xf numFmtId="0" fontId="12" fillId="0" borderId="17" xfId="5" applyFont="1" applyBorder="1" applyAlignment="1">
      <alignment horizontal="center" vertical="center" wrapText="1"/>
    </xf>
    <xf numFmtId="0" fontId="12" fillId="9" borderId="17" xfId="1" applyFont="1" applyFill="1" applyBorder="1" applyAlignment="1">
      <alignment horizontal="center" vertical="center"/>
    </xf>
    <xf numFmtId="0" fontId="12" fillId="9" borderId="18" xfId="1" applyFont="1" applyFill="1" applyBorder="1" applyAlignment="1">
      <alignment horizontal="center" vertical="center"/>
    </xf>
    <xf numFmtId="0" fontId="12" fillId="9" borderId="19" xfId="1" applyFont="1" applyFill="1" applyBorder="1" applyAlignment="1">
      <alignment horizontal="center" vertical="center"/>
    </xf>
    <xf numFmtId="49" fontId="12" fillId="0" borderId="17" xfId="5" applyNumberFormat="1" applyFont="1" applyBorder="1" applyAlignment="1">
      <alignment horizontal="center" vertical="center" shrinkToFit="1"/>
    </xf>
    <xf numFmtId="49" fontId="12" fillId="0" borderId="18" xfId="5" applyNumberFormat="1" applyFont="1" applyBorder="1" applyAlignment="1">
      <alignment horizontal="center" vertical="center" shrinkToFit="1"/>
    </xf>
    <xf numFmtId="49" fontId="12" fillId="0" borderId="19" xfId="5" applyNumberFormat="1" applyFont="1" applyBorder="1" applyAlignment="1">
      <alignment horizontal="center" vertical="center" shrinkToFit="1"/>
    </xf>
    <xf numFmtId="49" fontId="12" fillId="9" borderId="17" xfId="5" applyNumberFormat="1" applyFill="1" applyBorder="1" applyAlignment="1">
      <alignment horizontal="center" vertical="center" wrapText="1"/>
    </xf>
    <xf numFmtId="49" fontId="12" fillId="9" borderId="18" xfId="5" applyNumberFormat="1" applyFill="1" applyBorder="1" applyAlignment="1">
      <alignment horizontal="center" vertical="center" wrapText="1"/>
    </xf>
    <xf numFmtId="49" fontId="12" fillId="9" borderId="19" xfId="5" applyNumberFormat="1" applyFill="1" applyBorder="1" applyAlignment="1">
      <alignment horizontal="center" vertical="center" wrapText="1"/>
    </xf>
    <xf numFmtId="49" fontId="12" fillId="9" borderId="17" xfId="5" applyNumberFormat="1" applyFont="1" applyFill="1" applyBorder="1" applyAlignment="1">
      <alignment horizontal="center" vertical="center" wrapText="1"/>
    </xf>
    <xf numFmtId="49" fontId="12" fillId="9" borderId="18" xfId="5" applyNumberFormat="1" applyFont="1" applyFill="1" applyBorder="1" applyAlignment="1">
      <alignment horizontal="center" vertical="center" wrapText="1"/>
    </xf>
    <xf numFmtId="49" fontId="12" fillId="9" borderId="19" xfId="5" applyNumberFormat="1" applyFont="1" applyFill="1" applyBorder="1" applyAlignment="1">
      <alignment horizontal="center" vertical="center" wrapText="1"/>
    </xf>
    <xf numFmtId="0" fontId="12" fillId="9" borderId="17" xfId="5" applyFont="1" applyFill="1" applyBorder="1" applyAlignment="1">
      <alignment horizontal="center" vertical="center" wrapText="1"/>
    </xf>
    <xf numFmtId="0" fontId="12" fillId="9" borderId="18" xfId="5" applyFont="1" applyFill="1" applyBorder="1" applyAlignment="1">
      <alignment horizontal="center" vertical="center" wrapText="1"/>
    </xf>
    <xf numFmtId="0" fontId="12" fillId="9" borderId="19" xfId="5" applyFont="1" applyFill="1" applyBorder="1" applyAlignment="1">
      <alignment horizontal="center" vertical="center" wrapText="1"/>
    </xf>
    <xf numFmtId="0" fontId="6" fillId="7" borderId="28" xfId="6" applyFont="1" applyFill="1" applyBorder="1" applyAlignment="1">
      <alignment horizontal="center" vertical="center"/>
    </xf>
    <xf numFmtId="0" fontId="6" fillId="7" borderId="29" xfId="6" applyFont="1" applyFill="1" applyBorder="1" applyAlignment="1">
      <alignment horizontal="center" vertical="center"/>
    </xf>
    <xf numFmtId="0" fontId="6" fillId="7" borderId="7" xfId="6" applyFont="1" applyFill="1" applyBorder="1" applyAlignment="1">
      <alignment horizontal="center" vertical="center"/>
    </xf>
  </cellXfs>
  <cellStyles count="12">
    <cellStyle name="강조색6 4 7" xfId="4" xr:uid="{FA9E2164-0820-4D27-B738-F993DF4BDD86}"/>
    <cellStyle name="쉼표 [0]" xfId="8" builtinId="6"/>
    <cellStyle name="쉼표 [0] 2" xfId="7" xr:uid="{39BB07F0-510F-4713-9A43-2203E0709B99}"/>
    <cellStyle name="쉼표 [0] 2 33" xfId="10" xr:uid="{E1829682-0B3A-4EDD-9DC5-E6502A4F2ED6}"/>
    <cellStyle name="쉼표 [0] 3" xfId="2" xr:uid="{A6CAC65F-8EEA-4A56-9BD5-6EE550965285}"/>
    <cellStyle name="표준" xfId="0" builtinId="0"/>
    <cellStyle name="표준 2" xfId="1" xr:uid="{463D3E7A-3541-4808-9497-E76D7F9C2116}"/>
    <cellStyle name="표준 3 12" xfId="6" xr:uid="{7C1AD65A-A4DB-43F2-A691-B4AED2CD5057}"/>
    <cellStyle name="표준 4" xfId="3" xr:uid="{A9C2556C-0951-45E1-B00C-0860B6544E32}"/>
    <cellStyle name="표준 4 10" xfId="5" xr:uid="{FA71A937-7559-4AE5-AA07-2B4617E08960}"/>
    <cellStyle name="표준 7" xfId="11" xr:uid="{F45FCF2C-B60B-477A-A534-3B6BA517E1F9}"/>
    <cellStyle name="표준_Ⅴ.업체별현황 2" xfId="9" xr:uid="{5160C064-A943-456D-9AB4-2A3FFF5FDE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C0C8-5A47-442C-BD6B-307479368DA0}">
  <sheetPr>
    <tabColor rgb="FFC0504D"/>
    <pageSetUpPr fitToPage="1"/>
  </sheetPr>
  <dimension ref="A1:M50"/>
  <sheetViews>
    <sheetView zoomScale="85" zoomScaleNormal="85" workbookViewId="0">
      <selection sqref="A1:L1"/>
    </sheetView>
  </sheetViews>
  <sheetFormatPr defaultColWidth="8.75" defaultRowHeight="14.25" x14ac:dyDescent="0.15"/>
  <cols>
    <col min="1" max="1" width="28.75" style="1" bestFit="1" customWidth="1"/>
    <col min="2" max="2" width="12.125" style="1" customWidth="1"/>
    <col min="3" max="12" width="15.5" style="1" customWidth="1"/>
    <col min="13" max="16384" width="8.75" style="1"/>
  </cols>
  <sheetData>
    <row r="1" spans="1:12" ht="24.95" customHeight="1" thickBot="1" x14ac:dyDescent="0.2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s="2" customFormat="1" ht="24.95" customHeight="1" x14ac:dyDescent="0.15">
      <c r="A2" s="130" t="s">
        <v>1</v>
      </c>
      <c r="B2" s="132" t="s">
        <v>2</v>
      </c>
      <c r="C2" s="134" t="s">
        <v>32</v>
      </c>
      <c r="D2" s="135"/>
      <c r="E2" s="135"/>
      <c r="F2" s="135"/>
      <c r="G2" s="136"/>
      <c r="H2" s="134" t="s">
        <v>33</v>
      </c>
      <c r="I2" s="135"/>
      <c r="J2" s="135"/>
      <c r="K2" s="135"/>
      <c r="L2" s="136"/>
    </row>
    <row r="3" spans="1:12" s="2" customFormat="1" ht="24.95" customHeight="1" x14ac:dyDescent="0.15">
      <c r="A3" s="131"/>
      <c r="B3" s="133"/>
      <c r="C3" s="3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3" t="s">
        <v>3</v>
      </c>
      <c r="I3" s="4" t="s">
        <v>4</v>
      </c>
      <c r="J3" s="4" t="s">
        <v>5</v>
      </c>
      <c r="K3" s="4" t="s">
        <v>6</v>
      </c>
      <c r="L3" s="5" t="s">
        <v>7</v>
      </c>
    </row>
    <row r="4" spans="1:12" s="2" customFormat="1" ht="24.95" customHeight="1" x14ac:dyDescent="0.15">
      <c r="A4" s="29" t="s">
        <v>8</v>
      </c>
      <c r="B4" s="7">
        <f t="shared" ref="B4:B24" si="0">H4-C4</f>
        <v>1697</v>
      </c>
      <c r="C4" s="8">
        <f t="shared" ref="C4:G4" si="1">SUM(C5:C24)</f>
        <v>4627</v>
      </c>
      <c r="D4" s="9">
        <f t="shared" si="1"/>
        <v>30</v>
      </c>
      <c r="E4" s="9">
        <f t="shared" si="1"/>
        <v>771</v>
      </c>
      <c r="F4" s="9">
        <f t="shared" si="1"/>
        <v>3258</v>
      </c>
      <c r="G4" s="10">
        <f t="shared" si="1"/>
        <v>568</v>
      </c>
      <c r="H4" s="8">
        <f>SUM(H5:H24)</f>
        <v>6324</v>
      </c>
      <c r="I4" s="9">
        <f t="shared" ref="I4:L4" si="2">SUM(I5:I24)</f>
        <v>30</v>
      </c>
      <c r="J4" s="9">
        <f t="shared" si="2"/>
        <v>613</v>
      </c>
      <c r="K4" s="9">
        <f t="shared" si="2"/>
        <v>4935</v>
      </c>
      <c r="L4" s="10">
        <f t="shared" si="2"/>
        <v>746</v>
      </c>
    </row>
    <row r="5" spans="1:12" s="2" customFormat="1" ht="24.95" customHeight="1" x14ac:dyDescent="0.15">
      <c r="A5" s="11" t="s">
        <v>9</v>
      </c>
      <c r="B5" s="7">
        <f t="shared" si="0"/>
        <v>0</v>
      </c>
      <c r="C5" s="8">
        <f>SUM(D5:G5)</f>
        <v>418</v>
      </c>
      <c r="D5" s="12">
        <v>0</v>
      </c>
      <c r="E5" s="12">
        <v>113</v>
      </c>
      <c r="F5" s="12">
        <v>305</v>
      </c>
      <c r="G5" s="13">
        <v>0</v>
      </c>
      <c r="H5" s="8">
        <f>SUM(I5:L5)</f>
        <v>418</v>
      </c>
      <c r="I5" s="12">
        <v>0</v>
      </c>
      <c r="J5" s="12">
        <v>113</v>
      </c>
      <c r="K5" s="12">
        <v>305</v>
      </c>
      <c r="L5" s="13">
        <v>0</v>
      </c>
    </row>
    <row r="6" spans="1:12" s="2" customFormat="1" ht="24.95" customHeight="1" x14ac:dyDescent="0.15">
      <c r="A6" s="11" t="s">
        <v>10</v>
      </c>
      <c r="B6" s="7">
        <f t="shared" si="0"/>
        <v>0</v>
      </c>
      <c r="C6" s="8">
        <f t="shared" ref="C6:C24" si="3">SUM(D6:G6)</f>
        <v>0</v>
      </c>
      <c r="D6" s="12">
        <v>0</v>
      </c>
      <c r="E6" s="12">
        <v>0</v>
      </c>
      <c r="F6" s="12">
        <v>0</v>
      </c>
      <c r="G6" s="13">
        <v>0</v>
      </c>
      <c r="H6" s="8">
        <f t="shared" ref="H6:H24" si="4">SUM(I6:L6)</f>
        <v>0</v>
      </c>
      <c r="I6" s="21">
        <v>0</v>
      </c>
      <c r="J6" s="21">
        <v>0</v>
      </c>
      <c r="K6" s="21">
        <v>0</v>
      </c>
      <c r="L6" s="22">
        <v>0</v>
      </c>
    </row>
    <row r="7" spans="1:12" ht="24.95" customHeight="1" x14ac:dyDescent="0.15">
      <c r="A7" s="14" t="s">
        <v>11</v>
      </c>
      <c r="B7" s="7">
        <f t="shared" si="0"/>
        <v>-26</v>
      </c>
      <c r="C7" s="8">
        <f t="shared" si="3"/>
        <v>1039</v>
      </c>
      <c r="D7" s="21">
        <v>0</v>
      </c>
      <c r="E7" s="21">
        <v>144</v>
      </c>
      <c r="F7" s="21">
        <v>826</v>
      </c>
      <c r="G7" s="22">
        <v>69</v>
      </c>
      <c r="H7" s="8">
        <f t="shared" si="4"/>
        <v>1013</v>
      </c>
      <c r="I7" s="21">
        <v>0</v>
      </c>
      <c r="J7" s="21">
        <v>142</v>
      </c>
      <c r="K7" s="21">
        <v>803</v>
      </c>
      <c r="L7" s="22">
        <v>68</v>
      </c>
    </row>
    <row r="8" spans="1:12" ht="24.75" customHeight="1" x14ac:dyDescent="0.15">
      <c r="A8" s="14" t="s">
        <v>12</v>
      </c>
      <c r="B8" s="7">
        <f t="shared" si="0"/>
        <v>-2</v>
      </c>
      <c r="C8" s="8">
        <f t="shared" si="3"/>
        <v>26</v>
      </c>
      <c r="D8" s="12">
        <v>0</v>
      </c>
      <c r="E8" s="12">
        <v>0</v>
      </c>
      <c r="F8" s="12">
        <v>26</v>
      </c>
      <c r="G8" s="13">
        <v>0</v>
      </c>
      <c r="H8" s="8">
        <f t="shared" si="4"/>
        <v>24</v>
      </c>
      <c r="I8" s="12">
        <v>0</v>
      </c>
      <c r="J8" s="12">
        <v>0</v>
      </c>
      <c r="K8" s="12">
        <v>24</v>
      </c>
      <c r="L8" s="13">
        <v>0</v>
      </c>
    </row>
    <row r="9" spans="1:12" ht="24" customHeight="1" x14ac:dyDescent="0.15">
      <c r="A9" s="14" t="s">
        <v>13</v>
      </c>
      <c r="B9" s="7">
        <f t="shared" si="0"/>
        <v>-2</v>
      </c>
      <c r="C9" s="8">
        <f t="shared" si="3"/>
        <v>166</v>
      </c>
      <c r="D9" s="21">
        <v>0</v>
      </c>
      <c r="E9" s="21">
        <v>78</v>
      </c>
      <c r="F9" s="21">
        <v>87</v>
      </c>
      <c r="G9" s="22">
        <v>1</v>
      </c>
      <c r="H9" s="8">
        <f t="shared" si="4"/>
        <v>164</v>
      </c>
      <c r="I9" s="21">
        <v>0</v>
      </c>
      <c r="J9" s="21">
        <v>77</v>
      </c>
      <c r="K9" s="21">
        <v>86</v>
      </c>
      <c r="L9" s="22">
        <v>1</v>
      </c>
    </row>
    <row r="10" spans="1:12" ht="24.95" customHeight="1" x14ac:dyDescent="0.15">
      <c r="A10" s="14" t="s">
        <v>14</v>
      </c>
      <c r="B10" s="7">
        <f t="shared" si="0"/>
        <v>-181</v>
      </c>
      <c r="C10" s="8">
        <f t="shared" si="3"/>
        <v>302</v>
      </c>
      <c r="D10" s="21">
        <v>0</v>
      </c>
      <c r="E10" s="21">
        <v>170</v>
      </c>
      <c r="F10" s="21">
        <v>70</v>
      </c>
      <c r="G10" s="22">
        <v>62</v>
      </c>
      <c r="H10" s="8">
        <f t="shared" si="4"/>
        <v>121</v>
      </c>
      <c r="I10" s="12">
        <v>0</v>
      </c>
      <c r="J10" s="12">
        <v>17</v>
      </c>
      <c r="K10" s="12">
        <v>48</v>
      </c>
      <c r="L10" s="13">
        <v>56</v>
      </c>
    </row>
    <row r="11" spans="1:12" ht="24.95" customHeight="1" x14ac:dyDescent="0.15">
      <c r="A11" s="14" t="s">
        <v>15</v>
      </c>
      <c r="B11" s="7">
        <f t="shared" si="0"/>
        <v>1405</v>
      </c>
      <c r="C11" s="8">
        <f t="shared" si="3"/>
        <v>1275</v>
      </c>
      <c r="D11" s="27">
        <v>0</v>
      </c>
      <c r="E11" s="27">
        <v>45</v>
      </c>
      <c r="F11" s="27">
        <v>940</v>
      </c>
      <c r="G11" s="28">
        <v>290</v>
      </c>
      <c r="H11" s="8">
        <f t="shared" si="4"/>
        <v>2680</v>
      </c>
      <c r="I11" s="27">
        <v>0</v>
      </c>
      <c r="J11" s="27">
        <v>45</v>
      </c>
      <c r="K11" s="27">
        <v>2158</v>
      </c>
      <c r="L11" s="28">
        <v>477</v>
      </c>
    </row>
    <row r="12" spans="1:12" ht="24.95" customHeight="1" x14ac:dyDescent="0.15">
      <c r="A12" s="14" t="s">
        <v>16</v>
      </c>
      <c r="B12" s="7">
        <f t="shared" si="0"/>
        <v>-4</v>
      </c>
      <c r="C12" s="8">
        <f t="shared" si="3"/>
        <v>175</v>
      </c>
      <c r="D12" s="27">
        <v>0</v>
      </c>
      <c r="E12" s="27">
        <v>0</v>
      </c>
      <c r="F12" s="27">
        <v>175</v>
      </c>
      <c r="G12" s="28">
        <v>0</v>
      </c>
      <c r="H12" s="8">
        <f t="shared" si="4"/>
        <v>171</v>
      </c>
      <c r="I12" s="27">
        <v>0</v>
      </c>
      <c r="J12" s="27">
        <v>0</v>
      </c>
      <c r="K12" s="27">
        <v>171</v>
      </c>
      <c r="L12" s="28">
        <v>0</v>
      </c>
    </row>
    <row r="13" spans="1:12" ht="24.95" customHeight="1" x14ac:dyDescent="0.15">
      <c r="A13" s="14" t="s">
        <v>17</v>
      </c>
      <c r="B13" s="7">
        <f t="shared" si="0"/>
        <v>-5</v>
      </c>
      <c r="C13" s="8">
        <f t="shared" si="3"/>
        <v>378</v>
      </c>
      <c r="D13" s="25">
        <v>0</v>
      </c>
      <c r="E13" s="25">
        <v>0</v>
      </c>
      <c r="F13" s="25">
        <v>338</v>
      </c>
      <c r="G13" s="26">
        <v>40</v>
      </c>
      <c r="H13" s="8">
        <f t="shared" si="4"/>
        <v>373</v>
      </c>
      <c r="I13" s="25">
        <v>0</v>
      </c>
      <c r="J13" s="25">
        <v>0</v>
      </c>
      <c r="K13" s="25">
        <v>334</v>
      </c>
      <c r="L13" s="26">
        <v>39</v>
      </c>
    </row>
    <row r="14" spans="1:12" ht="24.95" customHeight="1" x14ac:dyDescent="0.15">
      <c r="A14" s="14" t="s">
        <v>18</v>
      </c>
      <c r="B14" s="7">
        <f t="shared" si="0"/>
        <v>519</v>
      </c>
      <c r="C14" s="8">
        <f t="shared" si="3"/>
        <v>568</v>
      </c>
      <c r="D14" s="23">
        <v>0</v>
      </c>
      <c r="E14" s="23">
        <v>162</v>
      </c>
      <c r="F14" s="23">
        <v>342</v>
      </c>
      <c r="G14" s="24">
        <v>64</v>
      </c>
      <c r="H14" s="8">
        <f t="shared" si="4"/>
        <v>1087</v>
      </c>
      <c r="I14" s="23">
        <v>0</v>
      </c>
      <c r="J14" s="23">
        <v>160</v>
      </c>
      <c r="K14" s="23">
        <v>864</v>
      </c>
      <c r="L14" s="24">
        <v>63</v>
      </c>
    </row>
    <row r="15" spans="1:12" ht="24.95" customHeight="1" x14ac:dyDescent="0.15">
      <c r="A15" s="14" t="s">
        <v>19</v>
      </c>
      <c r="B15" s="7">
        <f t="shared" si="0"/>
        <v>0</v>
      </c>
      <c r="C15" s="8">
        <f t="shared" si="3"/>
        <v>0</v>
      </c>
      <c r="D15" s="12">
        <v>0</v>
      </c>
      <c r="E15" s="12">
        <v>0</v>
      </c>
      <c r="F15" s="12">
        <v>0</v>
      </c>
      <c r="G15" s="13">
        <v>0</v>
      </c>
      <c r="H15" s="8">
        <f t="shared" si="4"/>
        <v>0</v>
      </c>
      <c r="I15" s="12">
        <v>0</v>
      </c>
      <c r="J15" s="12">
        <v>0</v>
      </c>
      <c r="K15" s="12">
        <v>0</v>
      </c>
      <c r="L15" s="13">
        <v>0</v>
      </c>
    </row>
    <row r="16" spans="1:12" ht="24.95" customHeight="1" x14ac:dyDescent="0.15">
      <c r="A16" s="14" t="s">
        <v>20</v>
      </c>
      <c r="B16" s="7">
        <f t="shared" si="0"/>
        <v>0</v>
      </c>
      <c r="C16" s="8">
        <f t="shared" si="3"/>
        <v>0</v>
      </c>
      <c r="D16" s="12">
        <v>0</v>
      </c>
      <c r="E16" s="12">
        <v>0</v>
      </c>
      <c r="F16" s="12">
        <v>0</v>
      </c>
      <c r="G16" s="13">
        <v>0</v>
      </c>
      <c r="H16" s="8">
        <f t="shared" si="4"/>
        <v>0</v>
      </c>
      <c r="I16" s="12">
        <v>0</v>
      </c>
      <c r="J16" s="12">
        <v>0</v>
      </c>
      <c r="K16" s="12">
        <v>0</v>
      </c>
      <c r="L16" s="13">
        <v>0</v>
      </c>
    </row>
    <row r="17" spans="1:12" ht="24.95" customHeight="1" x14ac:dyDescent="0.15">
      <c r="A17" s="14" t="s">
        <v>21</v>
      </c>
      <c r="B17" s="7">
        <f t="shared" si="0"/>
        <v>0</v>
      </c>
      <c r="C17" s="8">
        <f t="shared" si="3"/>
        <v>0</v>
      </c>
      <c r="D17" s="12">
        <v>0</v>
      </c>
      <c r="E17" s="12">
        <v>0</v>
      </c>
      <c r="F17" s="12">
        <v>0</v>
      </c>
      <c r="G17" s="13">
        <v>0</v>
      </c>
      <c r="H17" s="8">
        <f t="shared" si="4"/>
        <v>0</v>
      </c>
      <c r="I17" s="12">
        <v>0</v>
      </c>
      <c r="J17" s="12">
        <v>0</v>
      </c>
      <c r="K17" s="12">
        <v>0</v>
      </c>
      <c r="L17" s="13">
        <v>0</v>
      </c>
    </row>
    <row r="18" spans="1:12" ht="24.95" customHeight="1" x14ac:dyDescent="0.15">
      <c r="A18" s="14" t="s">
        <v>22</v>
      </c>
      <c r="B18" s="7">
        <f t="shared" si="0"/>
        <v>0</v>
      </c>
      <c r="C18" s="8">
        <f t="shared" si="3"/>
        <v>84</v>
      </c>
      <c r="D18" s="12">
        <v>0</v>
      </c>
      <c r="E18" s="12">
        <v>0</v>
      </c>
      <c r="F18" s="12">
        <v>84</v>
      </c>
      <c r="G18" s="13">
        <v>0</v>
      </c>
      <c r="H18" s="8">
        <f t="shared" si="4"/>
        <v>84</v>
      </c>
      <c r="I18" s="12">
        <v>0</v>
      </c>
      <c r="J18" s="12">
        <v>0</v>
      </c>
      <c r="K18" s="12">
        <v>84</v>
      </c>
      <c r="L18" s="13">
        <v>0</v>
      </c>
    </row>
    <row r="19" spans="1:12" ht="24.95" customHeight="1" x14ac:dyDescent="0.15">
      <c r="A19" s="14" t="s">
        <v>23</v>
      </c>
      <c r="B19" s="7">
        <f t="shared" si="0"/>
        <v>0</v>
      </c>
      <c r="C19" s="8">
        <f t="shared" si="3"/>
        <v>0</v>
      </c>
      <c r="D19" s="21">
        <v>0</v>
      </c>
      <c r="E19" s="21">
        <v>0</v>
      </c>
      <c r="F19" s="21">
        <v>0</v>
      </c>
      <c r="G19" s="22">
        <v>0</v>
      </c>
      <c r="H19" s="8">
        <f t="shared" si="4"/>
        <v>0</v>
      </c>
      <c r="I19" s="21">
        <v>0</v>
      </c>
      <c r="J19" s="21">
        <v>0</v>
      </c>
      <c r="K19" s="21">
        <v>0</v>
      </c>
      <c r="L19" s="22">
        <v>0</v>
      </c>
    </row>
    <row r="20" spans="1:12" ht="24.95" customHeight="1" x14ac:dyDescent="0.15">
      <c r="A20" s="14" t="s">
        <v>24</v>
      </c>
      <c r="B20" s="7">
        <f t="shared" si="0"/>
        <v>0</v>
      </c>
      <c r="C20" s="8">
        <f t="shared" si="3"/>
        <v>0</v>
      </c>
      <c r="D20" s="12">
        <v>0</v>
      </c>
      <c r="E20" s="12">
        <v>0</v>
      </c>
      <c r="F20" s="12">
        <v>0</v>
      </c>
      <c r="G20" s="13">
        <v>0</v>
      </c>
      <c r="H20" s="8">
        <f t="shared" si="4"/>
        <v>0</v>
      </c>
      <c r="I20" s="12">
        <v>0</v>
      </c>
      <c r="J20" s="12">
        <v>0</v>
      </c>
      <c r="K20" s="12">
        <v>0</v>
      </c>
      <c r="L20" s="13">
        <v>0</v>
      </c>
    </row>
    <row r="21" spans="1:12" ht="24.95" customHeight="1" x14ac:dyDescent="0.15">
      <c r="A21" s="14" t="s">
        <v>25</v>
      </c>
      <c r="B21" s="7">
        <f t="shared" si="0"/>
        <v>0</v>
      </c>
      <c r="C21" s="8">
        <f t="shared" si="3"/>
        <v>89</v>
      </c>
      <c r="D21" s="21">
        <v>30</v>
      </c>
      <c r="E21" s="21">
        <v>59</v>
      </c>
      <c r="F21" s="21">
        <v>0</v>
      </c>
      <c r="G21" s="22">
        <v>0</v>
      </c>
      <c r="H21" s="8">
        <f t="shared" si="4"/>
        <v>89</v>
      </c>
      <c r="I21" s="21">
        <v>30</v>
      </c>
      <c r="J21" s="21">
        <v>59</v>
      </c>
      <c r="K21" s="21">
        <v>0</v>
      </c>
      <c r="L21" s="22">
        <v>0</v>
      </c>
    </row>
    <row r="22" spans="1:12" ht="24.95" customHeight="1" x14ac:dyDescent="0.15">
      <c r="A22" s="14" t="s">
        <v>26</v>
      </c>
      <c r="B22" s="7">
        <f t="shared" si="0"/>
        <v>-7</v>
      </c>
      <c r="C22" s="8">
        <f t="shared" si="3"/>
        <v>47</v>
      </c>
      <c r="D22" s="27">
        <v>0</v>
      </c>
      <c r="E22" s="27">
        <v>0</v>
      </c>
      <c r="F22" s="27">
        <v>47</v>
      </c>
      <c r="G22" s="28">
        <v>0</v>
      </c>
      <c r="H22" s="8">
        <f t="shared" si="4"/>
        <v>40</v>
      </c>
      <c r="I22" s="27">
        <v>0</v>
      </c>
      <c r="J22" s="27">
        <v>0</v>
      </c>
      <c r="K22" s="27">
        <v>40</v>
      </c>
      <c r="L22" s="28">
        <v>0</v>
      </c>
    </row>
    <row r="23" spans="1:12" ht="24.95" customHeight="1" x14ac:dyDescent="0.15">
      <c r="A23" s="14" t="s">
        <v>27</v>
      </c>
      <c r="B23" s="7">
        <f t="shared" si="0"/>
        <v>0</v>
      </c>
      <c r="C23" s="8">
        <f t="shared" si="3"/>
        <v>60</v>
      </c>
      <c r="D23" s="12">
        <v>0</v>
      </c>
      <c r="E23" s="12">
        <v>0</v>
      </c>
      <c r="F23" s="12">
        <v>18</v>
      </c>
      <c r="G23" s="13">
        <v>42</v>
      </c>
      <c r="H23" s="8">
        <f t="shared" si="4"/>
        <v>60</v>
      </c>
      <c r="I23" s="12">
        <v>0</v>
      </c>
      <c r="J23" s="12">
        <v>0</v>
      </c>
      <c r="K23" s="12">
        <v>18</v>
      </c>
      <c r="L23" s="13">
        <v>42</v>
      </c>
    </row>
    <row r="24" spans="1:12" ht="24.95" customHeight="1" thickBot="1" x14ac:dyDescent="0.2">
      <c r="A24" s="30" t="s">
        <v>28</v>
      </c>
      <c r="B24" s="31">
        <f t="shared" si="0"/>
        <v>0</v>
      </c>
      <c r="C24" s="32">
        <f t="shared" si="3"/>
        <v>0</v>
      </c>
      <c r="D24" s="33">
        <v>0</v>
      </c>
      <c r="E24" s="33">
        <v>0</v>
      </c>
      <c r="F24" s="33">
        <v>0</v>
      </c>
      <c r="G24" s="34">
        <v>0</v>
      </c>
      <c r="H24" s="32">
        <f t="shared" si="4"/>
        <v>0</v>
      </c>
      <c r="I24" s="116">
        <v>0</v>
      </c>
      <c r="J24" s="116">
        <v>0</v>
      </c>
      <c r="K24" s="116">
        <v>0</v>
      </c>
      <c r="L24" s="117">
        <v>0</v>
      </c>
    </row>
    <row r="25" spans="1:12" ht="24.95" customHeight="1" x14ac:dyDescent="0.15">
      <c r="A25" s="128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</row>
    <row r="26" spans="1:12" ht="24.95" customHeight="1" x14ac:dyDescent="0.15"/>
    <row r="27" spans="1:12" ht="24.95" customHeight="1" thickBot="1" x14ac:dyDescent="0.2">
      <c r="A27" s="128" t="s">
        <v>29</v>
      </c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</row>
    <row r="28" spans="1:12" ht="24.95" customHeight="1" x14ac:dyDescent="0.15">
      <c r="A28" s="130" t="s">
        <v>1</v>
      </c>
      <c r="B28" s="132" t="s">
        <v>2</v>
      </c>
      <c r="C28" s="134" t="s">
        <v>32</v>
      </c>
      <c r="D28" s="135"/>
      <c r="E28" s="135"/>
      <c r="F28" s="135"/>
      <c r="G28" s="136"/>
      <c r="H28" s="134" t="s">
        <v>33</v>
      </c>
      <c r="I28" s="135"/>
      <c r="J28" s="135"/>
      <c r="K28" s="135"/>
      <c r="L28" s="136"/>
    </row>
    <row r="29" spans="1:12" ht="24.95" customHeight="1" x14ac:dyDescent="0.15">
      <c r="A29" s="131"/>
      <c r="B29" s="133"/>
      <c r="C29" s="3" t="s">
        <v>3</v>
      </c>
      <c r="D29" s="4" t="s">
        <v>4</v>
      </c>
      <c r="E29" s="4" t="s">
        <v>5</v>
      </c>
      <c r="F29" s="4" t="s">
        <v>6</v>
      </c>
      <c r="G29" s="5" t="s">
        <v>7</v>
      </c>
      <c r="H29" s="3" t="s">
        <v>3</v>
      </c>
      <c r="I29" s="4" t="s">
        <v>4</v>
      </c>
      <c r="J29" s="4" t="s">
        <v>5</v>
      </c>
      <c r="K29" s="4" t="s">
        <v>6</v>
      </c>
      <c r="L29" s="5" t="s">
        <v>7</v>
      </c>
    </row>
    <row r="30" spans="1:12" s="2" customFormat="1" ht="24.95" customHeight="1" x14ac:dyDescent="0.15">
      <c r="A30" s="6" t="s">
        <v>8</v>
      </c>
      <c r="B30" s="7">
        <f t="shared" ref="B30:B49" si="5">H30-C30</f>
        <v>-178</v>
      </c>
      <c r="C30" s="8">
        <f t="shared" ref="C30:L30" si="6">SUM(C31:C50)</f>
        <v>3151</v>
      </c>
      <c r="D30" s="9">
        <f t="shared" si="6"/>
        <v>30</v>
      </c>
      <c r="E30" s="9">
        <f t="shared" si="6"/>
        <v>735</v>
      </c>
      <c r="F30" s="9">
        <f t="shared" si="6"/>
        <v>2191</v>
      </c>
      <c r="G30" s="10">
        <f t="shared" si="6"/>
        <v>195</v>
      </c>
      <c r="H30" s="8">
        <f t="shared" si="6"/>
        <v>2973</v>
      </c>
      <c r="I30" s="9">
        <f t="shared" si="6"/>
        <v>30</v>
      </c>
      <c r="J30" s="9">
        <f t="shared" si="6"/>
        <v>577</v>
      </c>
      <c r="K30" s="9">
        <f t="shared" si="6"/>
        <v>2178</v>
      </c>
      <c r="L30" s="10">
        <f t="shared" si="6"/>
        <v>188</v>
      </c>
    </row>
    <row r="31" spans="1:12" s="2" customFormat="1" ht="24.95" customHeight="1" x14ac:dyDescent="0.15">
      <c r="A31" s="6" t="s">
        <v>30</v>
      </c>
      <c r="B31" s="7">
        <f t="shared" si="5"/>
        <v>0</v>
      </c>
      <c r="C31" s="8">
        <f t="shared" ref="C31:C36" si="7">SUM(D31:G31)</f>
        <v>418</v>
      </c>
      <c r="D31" s="12">
        <v>0</v>
      </c>
      <c r="E31" s="12">
        <v>113</v>
      </c>
      <c r="F31" s="12">
        <v>305</v>
      </c>
      <c r="G31" s="13">
        <v>0</v>
      </c>
      <c r="H31" s="8">
        <f t="shared" ref="H31:H49" si="8">SUM(I31:L31)</f>
        <v>418</v>
      </c>
      <c r="I31" s="12">
        <v>0</v>
      </c>
      <c r="J31" s="12">
        <v>113</v>
      </c>
      <c r="K31" s="12">
        <v>305</v>
      </c>
      <c r="L31" s="13">
        <v>0</v>
      </c>
    </row>
    <row r="32" spans="1:12" s="2" customFormat="1" ht="24.95" customHeight="1" x14ac:dyDescent="0.15">
      <c r="A32" s="6" t="s">
        <v>31</v>
      </c>
      <c r="B32" s="7">
        <f t="shared" si="5"/>
        <v>0</v>
      </c>
      <c r="C32" s="8">
        <f t="shared" si="7"/>
        <v>0</v>
      </c>
      <c r="D32" s="12">
        <v>0</v>
      </c>
      <c r="E32" s="12">
        <v>0</v>
      </c>
      <c r="F32" s="12">
        <v>0</v>
      </c>
      <c r="G32" s="13">
        <v>0</v>
      </c>
      <c r="H32" s="8">
        <f t="shared" si="8"/>
        <v>0</v>
      </c>
      <c r="I32" s="21">
        <v>0</v>
      </c>
      <c r="J32" s="21">
        <v>0</v>
      </c>
      <c r="K32" s="21">
        <v>0</v>
      </c>
      <c r="L32" s="22">
        <v>0</v>
      </c>
    </row>
    <row r="33" spans="1:13" ht="24.95" customHeight="1" x14ac:dyDescent="0.15">
      <c r="A33" s="14" t="s">
        <v>11</v>
      </c>
      <c r="B33" s="7">
        <f t="shared" si="5"/>
        <v>-4</v>
      </c>
      <c r="C33" s="8">
        <f t="shared" si="7"/>
        <v>746</v>
      </c>
      <c r="D33" s="21">
        <v>0</v>
      </c>
      <c r="E33" s="21">
        <v>144</v>
      </c>
      <c r="F33" s="21">
        <v>602</v>
      </c>
      <c r="G33" s="22">
        <v>0</v>
      </c>
      <c r="H33" s="8">
        <f t="shared" si="8"/>
        <v>742</v>
      </c>
      <c r="I33" s="21">
        <v>0</v>
      </c>
      <c r="J33" s="21">
        <v>142</v>
      </c>
      <c r="K33" s="21">
        <v>600</v>
      </c>
      <c r="L33" s="22">
        <v>0</v>
      </c>
    </row>
    <row r="34" spans="1:13" ht="24.95" customHeight="1" x14ac:dyDescent="0.15">
      <c r="A34" s="14" t="s">
        <v>12</v>
      </c>
      <c r="B34" s="7">
        <f t="shared" si="5"/>
        <v>-2</v>
      </c>
      <c r="C34" s="8">
        <f t="shared" si="7"/>
        <v>26</v>
      </c>
      <c r="D34" s="12">
        <v>0</v>
      </c>
      <c r="E34" s="12">
        <v>0</v>
      </c>
      <c r="F34" s="12">
        <v>26</v>
      </c>
      <c r="G34" s="13">
        <v>0</v>
      </c>
      <c r="H34" s="8">
        <f t="shared" si="8"/>
        <v>24</v>
      </c>
      <c r="I34" s="12">
        <v>0</v>
      </c>
      <c r="J34" s="12">
        <v>0</v>
      </c>
      <c r="K34" s="12">
        <v>24</v>
      </c>
      <c r="L34" s="13">
        <v>0</v>
      </c>
    </row>
    <row r="35" spans="1:13" ht="24.95" customHeight="1" x14ac:dyDescent="0.15">
      <c r="A35" s="14" t="s">
        <v>13</v>
      </c>
      <c r="B35" s="7">
        <f t="shared" si="5"/>
        <v>-2</v>
      </c>
      <c r="C35" s="8">
        <f t="shared" si="7"/>
        <v>112</v>
      </c>
      <c r="D35" s="21">
        <v>0</v>
      </c>
      <c r="E35" s="21">
        <v>42</v>
      </c>
      <c r="F35" s="21">
        <v>69</v>
      </c>
      <c r="G35" s="22">
        <v>1</v>
      </c>
      <c r="H35" s="8">
        <f t="shared" si="8"/>
        <v>110</v>
      </c>
      <c r="I35" s="21">
        <v>0</v>
      </c>
      <c r="J35" s="21">
        <v>41</v>
      </c>
      <c r="K35" s="21">
        <v>68</v>
      </c>
      <c r="L35" s="22">
        <v>1</v>
      </c>
    </row>
    <row r="36" spans="1:13" ht="24.95" customHeight="1" x14ac:dyDescent="0.15">
      <c r="A36" s="14" t="s">
        <v>14</v>
      </c>
      <c r="B36" s="7">
        <f t="shared" si="5"/>
        <v>-181</v>
      </c>
      <c r="C36" s="8">
        <f t="shared" si="7"/>
        <v>302</v>
      </c>
      <c r="D36" s="21">
        <v>0</v>
      </c>
      <c r="E36" s="21">
        <v>170</v>
      </c>
      <c r="F36" s="21">
        <v>70</v>
      </c>
      <c r="G36" s="22">
        <v>62</v>
      </c>
      <c r="H36" s="8">
        <f t="shared" si="8"/>
        <v>121</v>
      </c>
      <c r="I36" s="12">
        <v>0</v>
      </c>
      <c r="J36" s="12">
        <v>17</v>
      </c>
      <c r="K36" s="12">
        <v>48</v>
      </c>
      <c r="L36" s="13">
        <v>56</v>
      </c>
    </row>
    <row r="37" spans="1:13" ht="24.95" customHeight="1" x14ac:dyDescent="0.15">
      <c r="A37" s="14" t="s">
        <v>15</v>
      </c>
      <c r="B37" s="7">
        <f t="shared" si="5"/>
        <v>-14</v>
      </c>
      <c r="C37" s="8">
        <f>SUM(D37:G37)</f>
        <v>591</v>
      </c>
      <c r="D37" s="27">
        <v>0</v>
      </c>
      <c r="E37" s="27">
        <v>45</v>
      </c>
      <c r="F37" s="27">
        <v>499</v>
      </c>
      <c r="G37" s="28">
        <v>47</v>
      </c>
      <c r="H37" s="8">
        <f t="shared" si="8"/>
        <v>577</v>
      </c>
      <c r="I37" s="27">
        <v>0</v>
      </c>
      <c r="J37" s="27">
        <v>45</v>
      </c>
      <c r="K37" s="27">
        <v>485</v>
      </c>
      <c r="L37" s="28">
        <v>47</v>
      </c>
      <c r="M37" s="20"/>
    </row>
    <row r="38" spans="1:13" ht="24.95" customHeight="1" x14ac:dyDescent="0.15">
      <c r="A38" s="14" t="s">
        <v>16</v>
      </c>
      <c r="B38" s="7">
        <f t="shared" si="5"/>
        <v>-3</v>
      </c>
      <c r="C38" s="8">
        <f>SUM(D38:G38)</f>
        <v>56</v>
      </c>
      <c r="D38" s="25">
        <v>0</v>
      </c>
      <c r="E38" s="23">
        <v>0</v>
      </c>
      <c r="F38" s="23">
        <v>56</v>
      </c>
      <c r="G38" s="24">
        <v>0</v>
      </c>
      <c r="H38" s="8">
        <f t="shared" si="8"/>
        <v>53</v>
      </c>
      <c r="I38" s="25">
        <v>0</v>
      </c>
      <c r="J38" s="23">
        <v>0</v>
      </c>
      <c r="K38" s="23">
        <v>53</v>
      </c>
      <c r="L38" s="24">
        <v>0</v>
      </c>
    </row>
    <row r="39" spans="1:13" ht="24.95" customHeight="1" x14ac:dyDescent="0.15">
      <c r="A39" s="14" t="s">
        <v>17</v>
      </c>
      <c r="B39" s="7">
        <f t="shared" si="5"/>
        <v>-5</v>
      </c>
      <c r="C39" s="8">
        <v>378</v>
      </c>
      <c r="D39" s="25">
        <v>0</v>
      </c>
      <c r="E39" s="25">
        <v>0</v>
      </c>
      <c r="F39" s="25">
        <v>338</v>
      </c>
      <c r="G39" s="26">
        <v>40</v>
      </c>
      <c r="H39" s="8">
        <f t="shared" si="8"/>
        <v>373</v>
      </c>
      <c r="I39" s="25">
        <v>0</v>
      </c>
      <c r="J39" s="25">
        <v>0</v>
      </c>
      <c r="K39" s="25">
        <v>334</v>
      </c>
      <c r="L39" s="26">
        <v>39</v>
      </c>
    </row>
    <row r="40" spans="1:13" ht="24.95" customHeight="1" x14ac:dyDescent="0.15">
      <c r="A40" s="14" t="s">
        <v>18</v>
      </c>
      <c r="B40" s="7">
        <f t="shared" si="5"/>
        <v>40</v>
      </c>
      <c r="C40" s="8">
        <f t="shared" ref="C40:C46" si="9">SUM(D40:G40)</f>
        <v>242</v>
      </c>
      <c r="D40" s="23">
        <v>0</v>
      </c>
      <c r="E40" s="23">
        <v>162</v>
      </c>
      <c r="F40" s="23">
        <v>77</v>
      </c>
      <c r="G40" s="24">
        <v>3</v>
      </c>
      <c r="H40" s="8">
        <f t="shared" si="8"/>
        <v>282</v>
      </c>
      <c r="I40" s="23">
        <v>0</v>
      </c>
      <c r="J40" s="23">
        <v>160</v>
      </c>
      <c r="K40" s="23">
        <v>119</v>
      </c>
      <c r="L40" s="24">
        <v>3</v>
      </c>
    </row>
    <row r="41" spans="1:13" ht="24.95" customHeight="1" x14ac:dyDescent="0.15">
      <c r="A41" s="14" t="s">
        <v>19</v>
      </c>
      <c r="B41" s="7">
        <f t="shared" si="5"/>
        <v>0</v>
      </c>
      <c r="C41" s="8">
        <f t="shared" si="9"/>
        <v>0</v>
      </c>
      <c r="D41" s="21">
        <v>0</v>
      </c>
      <c r="E41" s="21">
        <v>0</v>
      </c>
      <c r="F41" s="21">
        <v>0</v>
      </c>
      <c r="G41" s="22">
        <v>0</v>
      </c>
      <c r="H41" s="8">
        <f t="shared" si="8"/>
        <v>0</v>
      </c>
      <c r="I41" s="12">
        <v>0</v>
      </c>
      <c r="J41" s="12">
        <v>0</v>
      </c>
      <c r="K41" s="12">
        <v>0</v>
      </c>
      <c r="L41" s="13">
        <v>0</v>
      </c>
    </row>
    <row r="42" spans="1:13" ht="24.95" customHeight="1" x14ac:dyDescent="0.15">
      <c r="A42" s="14" t="s">
        <v>20</v>
      </c>
      <c r="B42" s="7">
        <f t="shared" si="5"/>
        <v>0</v>
      </c>
      <c r="C42" s="8">
        <f t="shared" si="9"/>
        <v>0</v>
      </c>
      <c r="D42" s="21">
        <v>0</v>
      </c>
      <c r="E42" s="21">
        <v>0</v>
      </c>
      <c r="F42" s="21">
        <v>0</v>
      </c>
      <c r="G42" s="22">
        <v>0</v>
      </c>
      <c r="H42" s="8">
        <f t="shared" si="8"/>
        <v>0</v>
      </c>
      <c r="I42" s="12">
        <v>0</v>
      </c>
      <c r="J42" s="12">
        <v>0</v>
      </c>
      <c r="K42" s="12">
        <v>0</v>
      </c>
      <c r="L42" s="13">
        <v>0</v>
      </c>
    </row>
    <row r="43" spans="1:13" ht="24.95" customHeight="1" x14ac:dyDescent="0.15">
      <c r="A43" s="14" t="s">
        <v>21</v>
      </c>
      <c r="B43" s="7">
        <f t="shared" si="5"/>
        <v>0</v>
      </c>
      <c r="C43" s="8">
        <f t="shared" si="9"/>
        <v>0</v>
      </c>
      <c r="D43" s="21">
        <v>0</v>
      </c>
      <c r="E43" s="21">
        <v>0</v>
      </c>
      <c r="F43" s="21">
        <v>0</v>
      </c>
      <c r="G43" s="22">
        <v>0</v>
      </c>
      <c r="H43" s="8">
        <f t="shared" si="8"/>
        <v>0</v>
      </c>
      <c r="I43" s="12">
        <v>0</v>
      </c>
      <c r="J43" s="12">
        <v>0</v>
      </c>
      <c r="K43" s="12">
        <v>0</v>
      </c>
      <c r="L43" s="13">
        <v>0</v>
      </c>
    </row>
    <row r="44" spans="1:13" ht="24.95" customHeight="1" x14ac:dyDescent="0.15">
      <c r="A44" s="14" t="s">
        <v>22</v>
      </c>
      <c r="B44" s="7">
        <f t="shared" si="5"/>
        <v>0</v>
      </c>
      <c r="C44" s="8">
        <f t="shared" si="9"/>
        <v>84</v>
      </c>
      <c r="D44" s="12">
        <v>0</v>
      </c>
      <c r="E44" s="12">
        <v>0</v>
      </c>
      <c r="F44" s="12">
        <v>84</v>
      </c>
      <c r="G44" s="13">
        <v>0</v>
      </c>
      <c r="H44" s="8">
        <f t="shared" si="8"/>
        <v>84</v>
      </c>
      <c r="I44" s="12">
        <v>0</v>
      </c>
      <c r="J44" s="12">
        <v>0</v>
      </c>
      <c r="K44" s="12">
        <v>84</v>
      </c>
      <c r="L44" s="13">
        <v>0</v>
      </c>
    </row>
    <row r="45" spans="1:13" ht="24.95" customHeight="1" x14ac:dyDescent="0.15">
      <c r="A45" s="14" t="s">
        <v>23</v>
      </c>
      <c r="B45" s="7">
        <f t="shared" si="5"/>
        <v>0</v>
      </c>
      <c r="C45" s="8">
        <f t="shared" si="9"/>
        <v>0</v>
      </c>
      <c r="D45" s="21">
        <v>0</v>
      </c>
      <c r="E45" s="21">
        <v>0</v>
      </c>
      <c r="F45" s="21">
        <v>0</v>
      </c>
      <c r="G45" s="22">
        <v>0</v>
      </c>
      <c r="H45" s="8">
        <f t="shared" si="8"/>
        <v>0</v>
      </c>
      <c r="I45" s="21">
        <v>0</v>
      </c>
      <c r="J45" s="21">
        <v>0</v>
      </c>
      <c r="K45" s="21">
        <v>0</v>
      </c>
      <c r="L45" s="22">
        <v>0</v>
      </c>
    </row>
    <row r="46" spans="1:13" ht="24.95" customHeight="1" x14ac:dyDescent="0.15">
      <c r="A46" s="14" t="s">
        <v>24</v>
      </c>
      <c r="B46" s="7">
        <f t="shared" si="5"/>
        <v>0</v>
      </c>
      <c r="C46" s="8">
        <f t="shared" si="9"/>
        <v>0</v>
      </c>
      <c r="D46" s="21">
        <v>0</v>
      </c>
      <c r="E46" s="21">
        <v>0</v>
      </c>
      <c r="F46" s="21">
        <v>0</v>
      </c>
      <c r="G46" s="22">
        <v>0</v>
      </c>
      <c r="H46" s="8">
        <f t="shared" si="8"/>
        <v>0</v>
      </c>
      <c r="I46" s="21">
        <v>0</v>
      </c>
      <c r="J46" s="21">
        <v>0</v>
      </c>
      <c r="K46" s="21">
        <v>0</v>
      </c>
      <c r="L46" s="22">
        <v>0</v>
      </c>
    </row>
    <row r="47" spans="1:13" ht="24.95" customHeight="1" x14ac:dyDescent="0.15">
      <c r="A47" s="14" t="s">
        <v>25</v>
      </c>
      <c r="B47" s="7">
        <f t="shared" si="5"/>
        <v>0</v>
      </c>
      <c r="C47" s="8">
        <v>89</v>
      </c>
      <c r="D47" s="21">
        <v>30</v>
      </c>
      <c r="E47" s="21">
        <v>59</v>
      </c>
      <c r="F47" s="21">
        <v>0</v>
      </c>
      <c r="G47" s="22">
        <v>0</v>
      </c>
      <c r="H47" s="8">
        <f t="shared" si="8"/>
        <v>89</v>
      </c>
      <c r="I47" s="21">
        <v>30</v>
      </c>
      <c r="J47" s="21">
        <v>59</v>
      </c>
      <c r="K47" s="21">
        <v>0</v>
      </c>
      <c r="L47" s="22">
        <v>0</v>
      </c>
    </row>
    <row r="48" spans="1:13" ht="24.95" customHeight="1" x14ac:dyDescent="0.15">
      <c r="A48" s="14" t="s">
        <v>26</v>
      </c>
      <c r="B48" s="7">
        <f t="shared" si="5"/>
        <v>-7</v>
      </c>
      <c r="C48" s="8">
        <f t="shared" ref="C48:C49" si="10">SUM(D48:G48)</f>
        <v>47</v>
      </c>
      <c r="D48" s="27">
        <v>0</v>
      </c>
      <c r="E48" s="27">
        <v>0</v>
      </c>
      <c r="F48" s="27">
        <v>47</v>
      </c>
      <c r="G48" s="28">
        <v>0</v>
      </c>
      <c r="H48" s="8">
        <f t="shared" si="8"/>
        <v>40</v>
      </c>
      <c r="I48" s="27">
        <v>0</v>
      </c>
      <c r="J48" s="27">
        <v>0</v>
      </c>
      <c r="K48" s="27">
        <v>40</v>
      </c>
      <c r="L48" s="28">
        <v>0</v>
      </c>
    </row>
    <row r="49" spans="1:12" ht="24.95" customHeight="1" x14ac:dyDescent="0.15">
      <c r="A49" s="14" t="s">
        <v>27</v>
      </c>
      <c r="B49" s="7">
        <f t="shared" si="5"/>
        <v>0</v>
      </c>
      <c r="C49" s="8">
        <f t="shared" si="10"/>
        <v>60</v>
      </c>
      <c r="D49" s="21">
        <v>0</v>
      </c>
      <c r="E49" s="21">
        <v>0</v>
      </c>
      <c r="F49" s="21">
        <v>18</v>
      </c>
      <c r="G49" s="22">
        <v>42</v>
      </c>
      <c r="H49" s="8">
        <f t="shared" si="8"/>
        <v>60</v>
      </c>
      <c r="I49" s="21">
        <v>0</v>
      </c>
      <c r="J49" s="21">
        <v>0</v>
      </c>
      <c r="K49" s="21">
        <v>18</v>
      </c>
      <c r="L49" s="22">
        <v>42</v>
      </c>
    </row>
    <row r="50" spans="1:12" ht="24.95" customHeight="1" thickBot="1" x14ac:dyDescent="0.2">
      <c r="A50" s="15" t="s">
        <v>28</v>
      </c>
      <c r="B50" s="16">
        <f>C50-H50</f>
        <v>0</v>
      </c>
      <c r="C50" s="17">
        <f>SUM(C51:C68)</f>
        <v>0</v>
      </c>
      <c r="D50" s="18">
        <v>0</v>
      </c>
      <c r="E50" s="18">
        <v>0</v>
      </c>
      <c r="F50" s="18">
        <v>0</v>
      </c>
      <c r="G50" s="19">
        <v>0</v>
      </c>
      <c r="H50" s="17">
        <f>SUM(H51:H68)</f>
        <v>0</v>
      </c>
      <c r="I50" s="116">
        <v>0</v>
      </c>
      <c r="J50" s="116">
        <v>0</v>
      </c>
      <c r="K50" s="116">
        <v>0</v>
      </c>
      <c r="L50" s="117">
        <v>0</v>
      </c>
    </row>
  </sheetData>
  <mergeCells count="11">
    <mergeCell ref="A27:L27"/>
    <mergeCell ref="A28:A29"/>
    <mergeCell ref="B28:B29"/>
    <mergeCell ref="C28:G28"/>
    <mergeCell ref="H28:L28"/>
    <mergeCell ref="A25:L25"/>
    <mergeCell ref="A1:L1"/>
    <mergeCell ref="A2:A3"/>
    <mergeCell ref="B2:B3"/>
    <mergeCell ref="C2:G2"/>
    <mergeCell ref="H2:L2"/>
  </mergeCells>
  <phoneticPr fontId="2" type="noConversion"/>
  <printOptions horizontalCentered="1"/>
  <pageMargins left="0.25" right="0.25" top="0.75" bottom="0.75" header="0.3" footer="0.3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E3CB7-C1E1-4FEB-8041-017424F46FD5}">
  <dimension ref="A1:AC222"/>
  <sheetViews>
    <sheetView tabSelected="1" view="pageBreakPreview" topLeftCell="B1" zoomScale="85" zoomScaleNormal="85" zoomScaleSheetLayoutView="85" workbookViewId="0">
      <pane xSplit="5" ySplit="4" topLeftCell="G5" activePane="bottomRight" state="frozen"/>
      <selection activeCell="B1" sqref="B1"/>
      <selection pane="topRight" activeCell="G1" sqref="G1"/>
      <selection pane="bottomLeft" activeCell="B5" sqref="B5"/>
      <selection pane="bottomRight" sqref="A1:R1"/>
    </sheetView>
  </sheetViews>
  <sheetFormatPr defaultRowHeight="13.5" x14ac:dyDescent="0.15"/>
  <cols>
    <col min="1" max="1" width="18" style="86" hidden="1" customWidth="1"/>
    <col min="2" max="2" width="18.25" style="36" customWidth="1"/>
    <col min="3" max="5" width="10" style="36" customWidth="1"/>
    <col min="6" max="6" width="13.5" style="36" customWidth="1"/>
    <col min="7" max="7" width="24.25" style="90" bestFit="1" customWidth="1"/>
    <col min="8" max="8" width="21.375" style="36" bestFit="1" customWidth="1"/>
    <col min="9" max="10" width="10" style="36" customWidth="1"/>
    <col min="11" max="11" width="13.125" style="87" customWidth="1"/>
    <col min="12" max="12" width="11.75" style="36" customWidth="1"/>
    <col min="13" max="13" width="11.625" style="89" customWidth="1"/>
    <col min="14" max="14" width="11.875" style="91" customWidth="1"/>
    <col min="15" max="16" width="12.875" style="36" customWidth="1"/>
    <col min="17" max="17" width="12" style="36" customWidth="1"/>
    <col min="18" max="18" width="13.625" style="36" customWidth="1"/>
    <col min="19" max="19" width="12.25" style="36" customWidth="1"/>
    <col min="20" max="20" width="9" style="36"/>
    <col min="21" max="22" width="10.625" style="36" customWidth="1"/>
    <col min="23" max="25" width="9" style="37" customWidth="1"/>
    <col min="26" max="29" width="9" style="38" customWidth="1"/>
    <col min="30" max="31" width="9" style="36" customWidth="1"/>
    <col min="32" max="16384" width="9" style="36"/>
  </cols>
  <sheetData>
    <row r="1" spans="1:29" ht="31.5" customHeight="1" x14ac:dyDescent="0.15">
      <c r="A1" s="157" t="s">
        <v>34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35"/>
    </row>
    <row r="2" spans="1:29" ht="24" customHeight="1" x14ac:dyDescent="0.15">
      <c r="A2" s="158" t="s">
        <v>35</v>
      </c>
      <c r="B2" s="158"/>
      <c r="C2" s="158"/>
      <c r="D2" s="159" t="s">
        <v>36</v>
      </c>
      <c r="E2" s="159"/>
      <c r="F2" s="159"/>
      <c r="G2" s="159" t="s">
        <v>37</v>
      </c>
      <c r="H2" s="158"/>
      <c r="I2" s="158" t="s">
        <v>38</v>
      </c>
      <c r="J2" s="158"/>
      <c r="K2" s="39" t="s">
        <v>39</v>
      </c>
      <c r="L2" s="160" t="s">
        <v>40</v>
      </c>
      <c r="M2" s="160"/>
      <c r="N2" s="160"/>
      <c r="O2" s="161" t="s">
        <v>41</v>
      </c>
      <c r="P2" s="161" t="s">
        <v>42</v>
      </c>
      <c r="Q2" s="161" t="s">
        <v>43</v>
      </c>
      <c r="R2" s="161" t="s">
        <v>44</v>
      </c>
      <c r="S2" s="161" t="s">
        <v>45</v>
      </c>
      <c r="T2" s="161" t="s">
        <v>46</v>
      </c>
      <c r="U2" s="161" t="s">
        <v>46</v>
      </c>
      <c r="V2" s="163" t="s">
        <v>47</v>
      </c>
    </row>
    <row r="3" spans="1:29" ht="19.5" customHeight="1" x14ac:dyDescent="0.15">
      <c r="A3" s="158" t="s">
        <v>48</v>
      </c>
      <c r="B3" s="166" t="s">
        <v>49</v>
      </c>
      <c r="C3" s="168" t="s">
        <v>50</v>
      </c>
      <c r="D3" s="159"/>
      <c r="E3" s="159"/>
      <c r="F3" s="159"/>
      <c r="G3" s="158" t="s">
        <v>51</v>
      </c>
      <c r="H3" s="158" t="s">
        <v>52</v>
      </c>
      <c r="I3" s="159" t="s">
        <v>53</v>
      </c>
      <c r="J3" s="159" t="s">
        <v>54</v>
      </c>
      <c r="K3" s="169" t="s">
        <v>55</v>
      </c>
      <c r="L3" s="170" t="s">
        <v>56</v>
      </c>
      <c r="M3" s="160" t="s">
        <v>57</v>
      </c>
      <c r="N3" s="160"/>
      <c r="O3" s="162"/>
      <c r="P3" s="162"/>
      <c r="Q3" s="162"/>
      <c r="R3" s="162"/>
      <c r="S3" s="162"/>
      <c r="T3" s="162"/>
      <c r="U3" s="162"/>
      <c r="V3" s="164"/>
      <c r="Z3" s="40"/>
      <c r="AA3" s="40"/>
      <c r="AB3" s="40"/>
    </row>
    <row r="4" spans="1:29" ht="19.5" customHeight="1" x14ac:dyDescent="0.15">
      <c r="A4" s="158"/>
      <c r="B4" s="167"/>
      <c r="C4" s="168"/>
      <c r="D4" s="159"/>
      <c r="E4" s="159"/>
      <c r="F4" s="159"/>
      <c r="G4" s="158"/>
      <c r="H4" s="158"/>
      <c r="I4" s="158"/>
      <c r="J4" s="158"/>
      <c r="K4" s="169"/>
      <c r="L4" s="170"/>
      <c r="M4" s="41" t="s">
        <v>58</v>
      </c>
      <c r="N4" s="41" t="s">
        <v>59</v>
      </c>
      <c r="O4" s="162"/>
      <c r="P4" s="162"/>
      <c r="Q4" s="162"/>
      <c r="R4" s="162"/>
      <c r="S4" s="162"/>
      <c r="T4" s="162"/>
      <c r="U4" s="162"/>
      <c r="V4" s="165"/>
      <c r="W4" s="37" t="s">
        <v>60</v>
      </c>
      <c r="X4" s="37" t="s">
        <v>61</v>
      </c>
      <c r="Y4" s="37" t="s">
        <v>62</v>
      </c>
      <c r="Z4" s="42" t="s">
        <v>60</v>
      </c>
      <c r="AA4" s="42" t="s">
        <v>61</v>
      </c>
      <c r="AB4" s="42" t="s">
        <v>62</v>
      </c>
      <c r="AC4" s="42" t="s">
        <v>63</v>
      </c>
    </row>
    <row r="5" spans="1:29" s="58" customFormat="1" ht="21.75" customHeight="1" x14ac:dyDescent="0.15">
      <c r="A5" s="171"/>
      <c r="B5" s="137" t="s">
        <v>74</v>
      </c>
      <c r="C5" s="173" t="s">
        <v>75</v>
      </c>
      <c r="D5" s="142" t="s">
        <v>76</v>
      </c>
      <c r="E5" s="143"/>
      <c r="F5" s="144"/>
      <c r="G5" s="175" t="s">
        <v>77</v>
      </c>
      <c r="H5" s="175" t="s">
        <v>78</v>
      </c>
      <c r="I5" s="179" t="s">
        <v>65</v>
      </c>
      <c r="J5" s="179" t="s">
        <v>67</v>
      </c>
      <c r="K5" s="51">
        <v>45.473300000000002</v>
      </c>
      <c r="L5" s="44">
        <v>22</v>
      </c>
      <c r="M5" s="45">
        <v>19</v>
      </c>
      <c r="N5" s="45">
        <v>19</v>
      </c>
      <c r="O5" s="188"/>
      <c r="P5" s="188" t="s">
        <v>79</v>
      </c>
      <c r="Q5" s="188" t="s">
        <v>80</v>
      </c>
      <c r="R5" s="188" t="s">
        <v>69</v>
      </c>
      <c r="S5" s="188"/>
      <c r="T5" s="188" t="s">
        <v>65</v>
      </c>
      <c r="U5" s="188"/>
      <c r="V5" s="154"/>
      <c r="W5" s="56"/>
      <c r="X5" s="56"/>
      <c r="Y5" s="56"/>
      <c r="Z5" s="57"/>
      <c r="AA5" s="57"/>
      <c r="AB5" s="57"/>
      <c r="AC5" s="57"/>
    </row>
    <row r="6" spans="1:29" s="48" customFormat="1" ht="21.75" customHeight="1" x14ac:dyDescent="0.15">
      <c r="A6" s="171"/>
      <c r="B6" s="138"/>
      <c r="C6" s="173"/>
      <c r="D6" s="145"/>
      <c r="E6" s="174"/>
      <c r="F6" s="147"/>
      <c r="G6" s="176"/>
      <c r="H6" s="176"/>
      <c r="I6" s="180"/>
      <c r="J6" s="180"/>
      <c r="K6" s="51">
        <v>61.686599999999999</v>
      </c>
      <c r="L6" s="44">
        <v>16</v>
      </c>
      <c r="M6" s="45">
        <v>10</v>
      </c>
      <c r="N6" s="45">
        <v>10</v>
      </c>
      <c r="O6" s="188"/>
      <c r="P6" s="188"/>
      <c r="Q6" s="188"/>
      <c r="R6" s="188"/>
      <c r="S6" s="188"/>
      <c r="T6" s="188"/>
      <c r="U6" s="188"/>
      <c r="V6" s="155"/>
      <c r="W6" s="59"/>
      <c r="X6" s="53"/>
      <c r="Y6" s="53"/>
      <c r="Z6" s="38"/>
      <c r="AA6" s="38"/>
      <c r="AB6" s="38"/>
      <c r="AC6" s="38"/>
    </row>
    <row r="7" spans="1:29" s="48" customFormat="1" ht="21.75" customHeight="1" x14ac:dyDescent="0.15">
      <c r="A7" s="171"/>
      <c r="B7" s="138"/>
      <c r="C7" s="173"/>
      <c r="D7" s="145"/>
      <c r="E7" s="174"/>
      <c r="F7" s="147"/>
      <c r="G7" s="176"/>
      <c r="H7" s="176"/>
      <c r="I7" s="180"/>
      <c r="J7" s="180"/>
      <c r="K7" s="51">
        <v>61.686599999999999</v>
      </c>
      <c r="L7" s="44">
        <v>3</v>
      </c>
      <c r="M7" s="45">
        <v>3</v>
      </c>
      <c r="N7" s="45">
        <v>3</v>
      </c>
      <c r="O7" s="188"/>
      <c r="P7" s="188"/>
      <c r="Q7" s="188"/>
      <c r="R7" s="188"/>
      <c r="S7" s="188"/>
      <c r="T7" s="188"/>
      <c r="U7" s="188"/>
      <c r="V7" s="155"/>
      <c r="W7" s="53"/>
      <c r="X7" s="53"/>
      <c r="Y7" s="53"/>
      <c r="Z7" s="38"/>
      <c r="AA7" s="38"/>
      <c r="AB7" s="38"/>
      <c r="AC7" s="38"/>
    </row>
    <row r="8" spans="1:29" s="48" customFormat="1" ht="21.75" customHeight="1" x14ac:dyDescent="0.15">
      <c r="A8" s="171"/>
      <c r="B8" s="138"/>
      <c r="C8" s="173"/>
      <c r="D8" s="145"/>
      <c r="E8" s="174"/>
      <c r="F8" s="147"/>
      <c r="G8" s="177"/>
      <c r="H8" s="177"/>
      <c r="I8" s="181"/>
      <c r="J8" s="181"/>
      <c r="K8" s="51">
        <v>61.686599999999999</v>
      </c>
      <c r="L8" s="44">
        <v>3</v>
      </c>
      <c r="M8" s="45">
        <v>3</v>
      </c>
      <c r="N8" s="45">
        <v>3</v>
      </c>
      <c r="O8" s="188"/>
      <c r="P8" s="188"/>
      <c r="Q8" s="188"/>
      <c r="R8" s="188"/>
      <c r="S8" s="188"/>
      <c r="T8" s="188"/>
      <c r="U8" s="188"/>
      <c r="V8" s="155"/>
      <c r="W8" s="53"/>
      <c r="X8" s="53"/>
      <c r="Y8" s="53"/>
      <c r="Z8" s="38"/>
      <c r="AA8" s="38"/>
      <c r="AB8" s="38"/>
      <c r="AC8" s="38"/>
    </row>
    <row r="9" spans="1:29" s="48" customFormat="1" ht="21" customHeight="1" x14ac:dyDescent="0.15">
      <c r="A9" s="171"/>
      <c r="B9" s="138"/>
      <c r="C9" s="173"/>
      <c r="D9" s="148"/>
      <c r="E9" s="149"/>
      <c r="F9" s="150"/>
      <c r="G9" s="92" t="s">
        <v>71</v>
      </c>
      <c r="H9" s="92"/>
      <c r="I9" s="92"/>
      <c r="J9" s="92"/>
      <c r="K9" s="92"/>
      <c r="L9" s="49">
        <f>SUM(L5:L8)</f>
        <v>44</v>
      </c>
      <c r="M9" s="97">
        <f>SUM(M5:M8)</f>
        <v>35</v>
      </c>
      <c r="N9" s="97">
        <f>SUM(N5:N8)</f>
        <v>35</v>
      </c>
      <c r="O9" s="188"/>
      <c r="P9" s="188"/>
      <c r="Q9" s="188"/>
      <c r="R9" s="188"/>
      <c r="S9" s="188"/>
      <c r="T9" s="188"/>
      <c r="U9" s="188"/>
      <c r="V9" s="156"/>
      <c r="W9" s="50">
        <f>N5</f>
        <v>19</v>
      </c>
      <c r="X9" s="50">
        <f>N6+N7+N8</f>
        <v>16</v>
      </c>
      <c r="Y9" s="53"/>
      <c r="Z9" s="38"/>
      <c r="AA9" s="38"/>
      <c r="AB9" s="38"/>
      <c r="AC9" s="38"/>
    </row>
    <row r="10" spans="1:29" s="48" customFormat="1" ht="21.75" customHeight="1" x14ac:dyDescent="0.15">
      <c r="A10" s="171"/>
      <c r="B10" s="137" t="s">
        <v>12</v>
      </c>
      <c r="C10" s="175" t="s">
        <v>81</v>
      </c>
      <c r="D10" s="142" t="s">
        <v>82</v>
      </c>
      <c r="E10" s="143"/>
      <c r="F10" s="144"/>
      <c r="G10" s="175" t="s">
        <v>83</v>
      </c>
      <c r="H10" s="175" t="s">
        <v>84</v>
      </c>
      <c r="I10" s="179" t="s">
        <v>65</v>
      </c>
      <c r="J10" s="179" t="s">
        <v>67</v>
      </c>
      <c r="K10" s="43">
        <v>84.857200000000006</v>
      </c>
      <c r="L10" s="44">
        <v>21</v>
      </c>
      <c r="M10" s="45">
        <v>9</v>
      </c>
      <c r="N10" s="45">
        <v>9</v>
      </c>
      <c r="O10" s="154" t="s">
        <v>85</v>
      </c>
      <c r="P10" s="154" t="s">
        <v>86</v>
      </c>
      <c r="Q10" s="154" t="s">
        <v>87</v>
      </c>
      <c r="R10" s="154" t="s">
        <v>69</v>
      </c>
      <c r="S10" s="154"/>
      <c r="T10" s="154" t="s">
        <v>65</v>
      </c>
      <c r="U10" s="154"/>
      <c r="V10" s="154"/>
      <c r="W10" s="46"/>
      <c r="X10" s="46"/>
      <c r="Y10" s="46"/>
      <c r="Z10" s="47">
        <f>W13+W15</f>
        <v>0</v>
      </c>
      <c r="AA10" s="47">
        <f t="shared" ref="AA10:AB10" si="0">X13+X15</f>
        <v>24</v>
      </c>
      <c r="AB10" s="47">
        <f t="shared" si="0"/>
        <v>0</v>
      </c>
      <c r="AC10" s="47">
        <f>Z10+AA10+AB10</f>
        <v>24</v>
      </c>
    </row>
    <row r="11" spans="1:29" s="48" customFormat="1" ht="21.75" customHeight="1" x14ac:dyDescent="0.15">
      <c r="A11" s="171"/>
      <c r="B11" s="138"/>
      <c r="C11" s="176"/>
      <c r="D11" s="145"/>
      <c r="E11" s="146"/>
      <c r="F11" s="147"/>
      <c r="G11" s="176"/>
      <c r="H11" s="176"/>
      <c r="I11" s="180"/>
      <c r="J11" s="180"/>
      <c r="K11" s="43">
        <v>84.974199999999996</v>
      </c>
      <c r="L11" s="44">
        <v>25</v>
      </c>
      <c r="M11" s="45">
        <v>10</v>
      </c>
      <c r="N11" s="45">
        <v>8</v>
      </c>
      <c r="O11" s="155"/>
      <c r="P11" s="155"/>
      <c r="Q11" s="155"/>
      <c r="R11" s="155"/>
      <c r="S11" s="155"/>
      <c r="T11" s="155"/>
      <c r="U11" s="155"/>
      <c r="V11" s="155"/>
      <c r="W11" s="46"/>
      <c r="X11" s="46"/>
      <c r="Y11" s="46"/>
      <c r="Z11" s="38"/>
      <c r="AA11" s="38"/>
      <c r="AB11" s="38"/>
      <c r="AC11" s="38"/>
    </row>
    <row r="12" spans="1:29" s="48" customFormat="1" ht="21.75" customHeight="1" x14ac:dyDescent="0.15">
      <c r="A12" s="171"/>
      <c r="B12" s="138"/>
      <c r="C12" s="176"/>
      <c r="D12" s="145"/>
      <c r="E12" s="146"/>
      <c r="F12" s="147"/>
      <c r="G12" s="177"/>
      <c r="H12" s="177"/>
      <c r="I12" s="181"/>
      <c r="J12" s="181"/>
      <c r="K12" s="43">
        <v>84.978200000000001</v>
      </c>
      <c r="L12" s="44">
        <v>5</v>
      </c>
      <c r="M12" s="45">
        <v>0</v>
      </c>
      <c r="N12" s="45">
        <v>0</v>
      </c>
      <c r="O12" s="155"/>
      <c r="P12" s="155"/>
      <c r="Q12" s="155"/>
      <c r="R12" s="155"/>
      <c r="S12" s="155"/>
      <c r="T12" s="155"/>
      <c r="U12" s="155"/>
      <c r="V12" s="155"/>
      <c r="W12" s="46"/>
      <c r="X12" s="46"/>
      <c r="Y12" s="46"/>
      <c r="Z12" s="38"/>
      <c r="AA12" s="38"/>
      <c r="AB12" s="38"/>
      <c r="AC12" s="38"/>
    </row>
    <row r="13" spans="1:29" s="48" customFormat="1" ht="21.75" customHeight="1" x14ac:dyDescent="0.15">
      <c r="A13" s="171"/>
      <c r="B13" s="138"/>
      <c r="C13" s="176"/>
      <c r="D13" s="148"/>
      <c r="E13" s="149"/>
      <c r="F13" s="150"/>
      <c r="G13" s="93" t="s">
        <v>71</v>
      </c>
      <c r="H13" s="94"/>
      <c r="I13" s="94"/>
      <c r="J13" s="94"/>
      <c r="K13" s="95"/>
      <c r="L13" s="49">
        <f>SUM(L10:L12)</f>
        <v>51</v>
      </c>
      <c r="M13" s="97">
        <f>SUM(M10:M12)</f>
        <v>19</v>
      </c>
      <c r="N13" s="97">
        <f>SUM(N10:N12)</f>
        <v>17</v>
      </c>
      <c r="O13" s="156"/>
      <c r="P13" s="156"/>
      <c r="Q13" s="156"/>
      <c r="R13" s="156"/>
      <c r="S13" s="156"/>
      <c r="T13" s="156"/>
      <c r="U13" s="156"/>
      <c r="V13" s="156"/>
      <c r="W13" s="46"/>
      <c r="X13" s="50">
        <f>N10+N11+N12</f>
        <v>17</v>
      </c>
      <c r="Y13" s="46"/>
      <c r="Z13" s="38"/>
      <c r="AA13" s="38"/>
      <c r="AB13" s="38"/>
      <c r="AC13" s="38"/>
    </row>
    <row r="14" spans="1:29" s="48" customFormat="1" ht="21.75" customHeight="1" x14ac:dyDescent="0.15">
      <c r="A14" s="171"/>
      <c r="B14" s="138"/>
      <c r="C14" s="176"/>
      <c r="D14" s="142" t="s">
        <v>88</v>
      </c>
      <c r="E14" s="143"/>
      <c r="F14" s="144"/>
      <c r="G14" s="122" t="s">
        <v>89</v>
      </c>
      <c r="H14" s="60" t="s">
        <v>84</v>
      </c>
      <c r="I14" s="60" t="s">
        <v>65</v>
      </c>
      <c r="J14" s="60" t="s">
        <v>67</v>
      </c>
      <c r="K14" s="122">
        <v>84.857200000000006</v>
      </c>
      <c r="L14" s="44">
        <v>53</v>
      </c>
      <c r="M14" s="45">
        <v>7</v>
      </c>
      <c r="N14" s="45">
        <v>7</v>
      </c>
      <c r="O14" s="154" t="s">
        <v>85</v>
      </c>
      <c r="P14" s="154" t="s">
        <v>86</v>
      </c>
      <c r="Q14" s="154" t="s">
        <v>87</v>
      </c>
      <c r="R14" s="154" t="s">
        <v>69</v>
      </c>
      <c r="S14" s="154"/>
      <c r="T14" s="154" t="s">
        <v>65</v>
      </c>
      <c r="U14" s="154"/>
      <c r="V14" s="154"/>
      <c r="W14" s="46"/>
      <c r="X14" s="46"/>
      <c r="Y14" s="46"/>
      <c r="Z14" s="38"/>
      <c r="AA14" s="38"/>
      <c r="AB14" s="38"/>
      <c r="AC14" s="38"/>
    </row>
    <row r="15" spans="1:29" s="48" customFormat="1" ht="21.75" customHeight="1" x14ac:dyDescent="0.15">
      <c r="A15" s="171"/>
      <c r="B15" s="178"/>
      <c r="C15" s="177"/>
      <c r="D15" s="148"/>
      <c r="E15" s="149"/>
      <c r="F15" s="150"/>
      <c r="G15" s="96" t="s">
        <v>71</v>
      </c>
      <c r="H15" s="108"/>
      <c r="I15" s="108"/>
      <c r="J15" s="108"/>
      <c r="K15" s="99"/>
      <c r="L15" s="49">
        <f>SUM(L14)</f>
        <v>53</v>
      </c>
      <c r="M15" s="97">
        <f>SUM(M14)</f>
        <v>7</v>
      </c>
      <c r="N15" s="97">
        <f>SUM(N14)</f>
        <v>7</v>
      </c>
      <c r="O15" s="156"/>
      <c r="P15" s="156"/>
      <c r="Q15" s="156"/>
      <c r="R15" s="156"/>
      <c r="S15" s="156"/>
      <c r="T15" s="156"/>
      <c r="U15" s="156"/>
      <c r="V15" s="156"/>
      <c r="W15" s="46"/>
      <c r="X15" s="50">
        <f>N14</f>
        <v>7</v>
      </c>
      <c r="Y15" s="46"/>
      <c r="Z15" s="38"/>
      <c r="AA15" s="38"/>
      <c r="AB15" s="38"/>
      <c r="AC15" s="38"/>
    </row>
    <row r="16" spans="1:29" s="63" customFormat="1" ht="21.75" customHeight="1" x14ac:dyDescent="0.15">
      <c r="A16" s="171"/>
      <c r="B16" s="179" t="s">
        <v>13</v>
      </c>
      <c r="C16" s="182" t="s">
        <v>90</v>
      </c>
      <c r="D16" s="142" t="s">
        <v>91</v>
      </c>
      <c r="E16" s="143"/>
      <c r="F16" s="144"/>
      <c r="G16" s="175" t="s">
        <v>92</v>
      </c>
      <c r="H16" s="175" t="s">
        <v>93</v>
      </c>
      <c r="I16" s="179" t="s">
        <v>65</v>
      </c>
      <c r="J16" s="179" t="s">
        <v>67</v>
      </c>
      <c r="K16" s="51">
        <v>59.929499999999997</v>
      </c>
      <c r="L16" s="44">
        <v>109</v>
      </c>
      <c r="M16" s="45">
        <v>36</v>
      </c>
      <c r="N16" s="45">
        <v>36</v>
      </c>
      <c r="O16" s="154" t="s">
        <v>94</v>
      </c>
      <c r="P16" s="154" t="s">
        <v>79</v>
      </c>
      <c r="Q16" s="154" t="s">
        <v>95</v>
      </c>
      <c r="R16" s="154" t="s">
        <v>73</v>
      </c>
      <c r="S16" s="154"/>
      <c r="T16" s="154" t="s">
        <v>65</v>
      </c>
      <c r="U16" s="154"/>
      <c r="V16" s="154"/>
      <c r="W16" s="61"/>
      <c r="X16" s="61"/>
      <c r="Y16" s="61"/>
      <c r="Z16" s="62">
        <f>SUM(W16:W49)</f>
        <v>77</v>
      </c>
      <c r="AA16" s="62">
        <f t="shared" ref="AA16:AB16" si="1">SUM(X16:X49)</f>
        <v>86</v>
      </c>
      <c r="AB16" s="62">
        <f t="shared" si="1"/>
        <v>1</v>
      </c>
      <c r="AC16" s="62">
        <f>Z16+AA16+AB16</f>
        <v>164</v>
      </c>
    </row>
    <row r="17" spans="1:29" s="48" customFormat="1" ht="21.75" customHeight="1" x14ac:dyDescent="0.15">
      <c r="A17" s="171"/>
      <c r="B17" s="180"/>
      <c r="C17" s="183"/>
      <c r="D17" s="145"/>
      <c r="E17" s="146"/>
      <c r="F17" s="147"/>
      <c r="G17" s="176"/>
      <c r="H17" s="176"/>
      <c r="I17" s="180"/>
      <c r="J17" s="180"/>
      <c r="K17" s="51">
        <v>75.793300000000002</v>
      </c>
      <c r="L17" s="44">
        <v>17</v>
      </c>
      <c r="M17" s="45">
        <v>0</v>
      </c>
      <c r="N17" s="45">
        <v>0</v>
      </c>
      <c r="O17" s="155"/>
      <c r="P17" s="155"/>
      <c r="Q17" s="155"/>
      <c r="R17" s="155"/>
      <c r="S17" s="155"/>
      <c r="T17" s="155"/>
      <c r="U17" s="155"/>
      <c r="V17" s="155"/>
      <c r="W17" s="53"/>
      <c r="X17" s="53"/>
      <c r="Y17" s="53"/>
      <c r="Z17" s="47">
        <f>W49</f>
        <v>41</v>
      </c>
      <c r="AA17" s="47">
        <f>X27+X36+X42+X49</f>
        <v>68</v>
      </c>
      <c r="AB17" s="47">
        <f>Y36</f>
        <v>1</v>
      </c>
      <c r="AC17" s="47">
        <f>Z17+AA17+AB17</f>
        <v>110</v>
      </c>
    </row>
    <row r="18" spans="1:29" s="48" customFormat="1" ht="21.75" customHeight="1" x14ac:dyDescent="0.15">
      <c r="A18" s="171"/>
      <c r="B18" s="180"/>
      <c r="C18" s="183"/>
      <c r="D18" s="145"/>
      <c r="E18" s="146"/>
      <c r="F18" s="147"/>
      <c r="G18" s="176"/>
      <c r="H18" s="176"/>
      <c r="I18" s="180"/>
      <c r="J18" s="180"/>
      <c r="K18" s="51">
        <v>75.980599999999995</v>
      </c>
      <c r="L18" s="44">
        <v>40</v>
      </c>
      <c r="M18" s="45">
        <v>8</v>
      </c>
      <c r="N18" s="45">
        <v>8</v>
      </c>
      <c r="O18" s="155"/>
      <c r="P18" s="155"/>
      <c r="Q18" s="155"/>
      <c r="R18" s="155"/>
      <c r="S18" s="155"/>
      <c r="T18" s="155"/>
      <c r="U18" s="155"/>
      <c r="V18" s="155"/>
      <c r="W18" s="53"/>
      <c r="X18" s="53"/>
      <c r="Y18" s="53"/>
      <c r="Z18" s="38"/>
      <c r="AA18" s="38"/>
      <c r="AB18" s="38"/>
      <c r="AC18" s="38"/>
    </row>
    <row r="19" spans="1:29" s="48" customFormat="1" ht="21.75" customHeight="1" x14ac:dyDescent="0.15">
      <c r="A19" s="171"/>
      <c r="B19" s="180"/>
      <c r="C19" s="183"/>
      <c r="D19" s="145"/>
      <c r="E19" s="146"/>
      <c r="F19" s="147"/>
      <c r="G19" s="177"/>
      <c r="H19" s="177"/>
      <c r="I19" s="181"/>
      <c r="J19" s="181"/>
      <c r="K19" s="51">
        <v>84.797799999999995</v>
      </c>
      <c r="L19" s="44">
        <v>52</v>
      </c>
      <c r="M19" s="45">
        <v>10</v>
      </c>
      <c r="N19" s="45">
        <v>10</v>
      </c>
      <c r="O19" s="155"/>
      <c r="P19" s="155"/>
      <c r="Q19" s="155"/>
      <c r="R19" s="155"/>
      <c r="S19" s="155"/>
      <c r="T19" s="155"/>
      <c r="U19" s="155"/>
      <c r="V19" s="155"/>
      <c r="W19" s="53"/>
      <c r="X19" s="53"/>
      <c r="Y19" s="53"/>
      <c r="Z19" s="38"/>
      <c r="AA19" s="38"/>
      <c r="AB19" s="38"/>
      <c r="AC19" s="38"/>
    </row>
    <row r="20" spans="1:29" s="48" customFormat="1" ht="21.75" customHeight="1" x14ac:dyDescent="0.15">
      <c r="A20" s="171"/>
      <c r="B20" s="180"/>
      <c r="C20" s="184"/>
      <c r="D20" s="148"/>
      <c r="E20" s="149"/>
      <c r="F20" s="150"/>
      <c r="G20" s="93" t="s">
        <v>71</v>
      </c>
      <c r="H20" s="94"/>
      <c r="I20" s="94"/>
      <c r="J20" s="94"/>
      <c r="K20" s="95"/>
      <c r="L20" s="49">
        <f>SUM(L16:L19)</f>
        <v>218</v>
      </c>
      <c r="M20" s="97">
        <f>SUM(M16:M19)</f>
        <v>54</v>
      </c>
      <c r="N20" s="97">
        <f>SUM(N16:N19)</f>
        <v>54</v>
      </c>
      <c r="O20" s="156"/>
      <c r="P20" s="156"/>
      <c r="Q20" s="156"/>
      <c r="R20" s="156"/>
      <c r="S20" s="156"/>
      <c r="T20" s="156"/>
      <c r="U20" s="156"/>
      <c r="V20" s="156"/>
      <c r="W20" s="52">
        <f>N16</f>
        <v>36</v>
      </c>
      <c r="X20" s="52">
        <f>N17+N18+N19</f>
        <v>18</v>
      </c>
      <c r="Y20" s="53"/>
      <c r="Z20" s="38"/>
      <c r="AA20" s="38"/>
      <c r="AB20" s="38"/>
      <c r="AC20" s="38"/>
    </row>
    <row r="21" spans="1:29" s="48" customFormat="1" ht="21.75" customHeight="1" x14ac:dyDescent="0.15">
      <c r="A21" s="171"/>
      <c r="B21" s="180"/>
      <c r="C21" s="189" t="s">
        <v>96</v>
      </c>
      <c r="D21" s="142" t="s">
        <v>97</v>
      </c>
      <c r="E21" s="143"/>
      <c r="F21" s="144"/>
      <c r="G21" s="175" t="s">
        <v>98</v>
      </c>
      <c r="H21" s="175" t="s">
        <v>98</v>
      </c>
      <c r="I21" s="179" t="s">
        <v>65</v>
      </c>
      <c r="J21" s="179" t="s">
        <v>67</v>
      </c>
      <c r="K21" s="43">
        <v>74.826999999999998</v>
      </c>
      <c r="L21" s="44">
        <v>283</v>
      </c>
      <c r="M21" s="45">
        <v>1</v>
      </c>
      <c r="N21" s="45">
        <v>1</v>
      </c>
      <c r="O21" s="154" t="s">
        <v>99</v>
      </c>
      <c r="P21" s="154" t="s">
        <v>100</v>
      </c>
      <c r="Q21" s="154" t="s">
        <v>101</v>
      </c>
      <c r="R21" s="154" t="s">
        <v>69</v>
      </c>
      <c r="S21" s="154"/>
      <c r="T21" s="154" t="s">
        <v>65</v>
      </c>
      <c r="U21" s="154"/>
      <c r="V21" s="154"/>
      <c r="W21" s="53"/>
      <c r="X21" s="53"/>
      <c r="Y21" s="53"/>
      <c r="Z21" s="38"/>
      <c r="AA21" s="38"/>
      <c r="AB21" s="38"/>
      <c r="AC21" s="38"/>
    </row>
    <row r="22" spans="1:29" s="48" customFormat="1" ht="21.75" customHeight="1" x14ac:dyDescent="0.15">
      <c r="A22" s="171"/>
      <c r="B22" s="180"/>
      <c r="C22" s="190"/>
      <c r="D22" s="145"/>
      <c r="E22" s="146"/>
      <c r="F22" s="147"/>
      <c r="G22" s="176"/>
      <c r="H22" s="176"/>
      <c r="I22" s="180"/>
      <c r="J22" s="180"/>
      <c r="K22" s="43">
        <v>75.665999999999997</v>
      </c>
      <c r="L22" s="44">
        <v>6</v>
      </c>
      <c r="M22" s="45">
        <v>0</v>
      </c>
      <c r="N22" s="45">
        <v>0</v>
      </c>
      <c r="O22" s="155"/>
      <c r="P22" s="155"/>
      <c r="Q22" s="155"/>
      <c r="R22" s="155"/>
      <c r="S22" s="155"/>
      <c r="T22" s="155"/>
      <c r="U22" s="155"/>
      <c r="V22" s="155"/>
      <c r="W22" s="53"/>
      <c r="X22" s="53"/>
      <c r="Y22" s="53"/>
      <c r="Z22" s="38"/>
      <c r="AA22" s="38"/>
      <c r="AB22" s="38"/>
      <c r="AC22" s="38"/>
    </row>
    <row r="23" spans="1:29" s="48" customFormat="1" ht="21.75" customHeight="1" x14ac:dyDescent="0.15">
      <c r="A23" s="171"/>
      <c r="B23" s="180"/>
      <c r="C23" s="190"/>
      <c r="D23" s="145"/>
      <c r="E23" s="146"/>
      <c r="F23" s="147"/>
      <c r="G23" s="176"/>
      <c r="H23" s="176"/>
      <c r="I23" s="180"/>
      <c r="J23" s="180"/>
      <c r="K23" s="43">
        <v>75.911000000000001</v>
      </c>
      <c r="L23" s="44">
        <v>8</v>
      </c>
      <c r="M23" s="45">
        <v>0</v>
      </c>
      <c r="N23" s="45">
        <v>0</v>
      </c>
      <c r="O23" s="155"/>
      <c r="P23" s="155"/>
      <c r="Q23" s="155"/>
      <c r="R23" s="155"/>
      <c r="S23" s="155"/>
      <c r="T23" s="155"/>
      <c r="U23" s="155"/>
      <c r="V23" s="155"/>
      <c r="W23" s="53"/>
      <c r="X23" s="53"/>
      <c r="Y23" s="53"/>
      <c r="Z23" s="38"/>
      <c r="AA23" s="38"/>
      <c r="AB23" s="38"/>
      <c r="AC23" s="38"/>
    </row>
    <row r="24" spans="1:29" s="48" customFormat="1" ht="21.75" customHeight="1" x14ac:dyDescent="0.15">
      <c r="A24" s="171"/>
      <c r="B24" s="180"/>
      <c r="C24" s="190"/>
      <c r="D24" s="145"/>
      <c r="E24" s="146"/>
      <c r="F24" s="147"/>
      <c r="G24" s="176"/>
      <c r="H24" s="176"/>
      <c r="I24" s="180"/>
      <c r="J24" s="180"/>
      <c r="K24" s="43">
        <v>84.956699999999998</v>
      </c>
      <c r="L24" s="44">
        <v>223</v>
      </c>
      <c r="M24" s="45">
        <v>0</v>
      </c>
      <c r="N24" s="45">
        <v>0</v>
      </c>
      <c r="O24" s="155"/>
      <c r="P24" s="155"/>
      <c r="Q24" s="155"/>
      <c r="R24" s="155"/>
      <c r="S24" s="155"/>
      <c r="T24" s="155"/>
      <c r="U24" s="155"/>
      <c r="V24" s="155"/>
      <c r="W24" s="53"/>
      <c r="X24" s="53"/>
      <c r="Y24" s="53"/>
      <c r="Z24" s="38"/>
      <c r="AA24" s="38"/>
      <c r="AB24" s="38"/>
      <c r="AC24" s="38"/>
    </row>
    <row r="25" spans="1:29" s="48" customFormat="1" ht="21.75" customHeight="1" x14ac:dyDescent="0.15">
      <c r="A25" s="171"/>
      <c r="B25" s="180"/>
      <c r="C25" s="190"/>
      <c r="D25" s="145"/>
      <c r="E25" s="146"/>
      <c r="F25" s="147"/>
      <c r="G25" s="176"/>
      <c r="H25" s="176"/>
      <c r="I25" s="180"/>
      <c r="J25" s="180"/>
      <c r="K25" s="43">
        <v>84.938100000000006</v>
      </c>
      <c r="L25" s="44">
        <v>182</v>
      </c>
      <c r="M25" s="45">
        <v>0</v>
      </c>
      <c r="N25" s="45">
        <v>0</v>
      </c>
      <c r="O25" s="155"/>
      <c r="P25" s="155"/>
      <c r="Q25" s="155"/>
      <c r="R25" s="155"/>
      <c r="S25" s="155"/>
      <c r="T25" s="155"/>
      <c r="U25" s="155"/>
      <c r="V25" s="155"/>
      <c r="W25" s="53"/>
      <c r="X25" s="53"/>
      <c r="Y25" s="53"/>
      <c r="Z25" s="38"/>
      <c r="AA25" s="38"/>
      <c r="AB25" s="38"/>
      <c r="AC25" s="38"/>
    </row>
    <row r="26" spans="1:29" s="48" customFormat="1" ht="21.75" customHeight="1" x14ac:dyDescent="0.15">
      <c r="A26" s="171"/>
      <c r="B26" s="180"/>
      <c r="C26" s="190"/>
      <c r="D26" s="145"/>
      <c r="E26" s="146"/>
      <c r="F26" s="147"/>
      <c r="G26" s="177"/>
      <c r="H26" s="177"/>
      <c r="I26" s="181"/>
      <c r="J26" s="181"/>
      <c r="K26" s="43">
        <v>84.965999999999994</v>
      </c>
      <c r="L26" s="44">
        <v>274</v>
      </c>
      <c r="M26" s="45">
        <v>2</v>
      </c>
      <c r="N26" s="45">
        <v>2</v>
      </c>
      <c r="O26" s="155"/>
      <c r="P26" s="155"/>
      <c r="Q26" s="155"/>
      <c r="R26" s="155"/>
      <c r="S26" s="155"/>
      <c r="T26" s="155"/>
      <c r="U26" s="155"/>
      <c r="V26" s="155"/>
      <c r="W26" s="53"/>
      <c r="X26" s="53"/>
      <c r="Y26" s="53"/>
      <c r="Z26" s="38"/>
      <c r="AA26" s="38"/>
      <c r="AB26" s="38"/>
      <c r="AC26" s="38"/>
    </row>
    <row r="27" spans="1:29" s="48" customFormat="1" ht="21.75" customHeight="1" x14ac:dyDescent="0.15">
      <c r="A27" s="171"/>
      <c r="B27" s="180"/>
      <c r="C27" s="190"/>
      <c r="D27" s="148"/>
      <c r="E27" s="149"/>
      <c r="F27" s="150"/>
      <c r="G27" s="93" t="s">
        <v>71</v>
      </c>
      <c r="H27" s="94"/>
      <c r="I27" s="94"/>
      <c r="J27" s="94"/>
      <c r="K27" s="95"/>
      <c r="L27" s="49">
        <f>SUM(L21:L26)</f>
        <v>976</v>
      </c>
      <c r="M27" s="97">
        <f>SUM(M21:M26)</f>
        <v>3</v>
      </c>
      <c r="N27" s="97">
        <f>SUM(N21:N26)</f>
        <v>3</v>
      </c>
      <c r="O27" s="156"/>
      <c r="P27" s="156"/>
      <c r="Q27" s="156"/>
      <c r="R27" s="156"/>
      <c r="S27" s="156"/>
      <c r="T27" s="156"/>
      <c r="U27" s="156"/>
      <c r="V27" s="156"/>
      <c r="W27" s="53"/>
      <c r="X27" s="50">
        <f>N21+N22+N23+N24+N25+N26</f>
        <v>3</v>
      </c>
      <c r="Y27" s="53"/>
      <c r="Z27" s="38"/>
      <c r="AA27" s="38"/>
      <c r="AB27" s="38"/>
      <c r="AC27" s="38"/>
    </row>
    <row r="28" spans="1:29" s="48" customFormat="1" ht="21.75" customHeight="1" x14ac:dyDescent="0.15">
      <c r="A28" s="171"/>
      <c r="B28" s="180"/>
      <c r="C28" s="190"/>
      <c r="D28" s="142" t="s">
        <v>102</v>
      </c>
      <c r="E28" s="143"/>
      <c r="F28" s="144"/>
      <c r="G28" s="175" t="s">
        <v>103</v>
      </c>
      <c r="H28" s="175"/>
      <c r="I28" s="179" t="s">
        <v>65</v>
      </c>
      <c r="J28" s="179" t="s">
        <v>67</v>
      </c>
      <c r="K28" s="51">
        <v>83.891999999999996</v>
      </c>
      <c r="L28" s="44">
        <v>22</v>
      </c>
      <c r="M28" s="45">
        <v>0</v>
      </c>
      <c r="N28" s="45">
        <v>0</v>
      </c>
      <c r="O28" s="154" t="s">
        <v>104</v>
      </c>
      <c r="P28" s="154" t="s">
        <v>105</v>
      </c>
      <c r="Q28" s="154" t="s">
        <v>106</v>
      </c>
      <c r="R28" s="154" t="s">
        <v>69</v>
      </c>
      <c r="S28" s="154"/>
      <c r="T28" s="154" t="s">
        <v>65</v>
      </c>
      <c r="U28" s="154"/>
      <c r="V28" s="154"/>
      <c r="W28" s="53"/>
      <c r="X28" s="53"/>
      <c r="Y28" s="53"/>
      <c r="Z28" s="38"/>
      <c r="AA28" s="38"/>
      <c r="AB28" s="38"/>
      <c r="AC28" s="38"/>
    </row>
    <row r="29" spans="1:29" s="48" customFormat="1" ht="21.75" customHeight="1" x14ac:dyDescent="0.15">
      <c r="A29" s="171"/>
      <c r="B29" s="180"/>
      <c r="C29" s="190"/>
      <c r="D29" s="145"/>
      <c r="E29" s="146"/>
      <c r="F29" s="147"/>
      <c r="G29" s="176"/>
      <c r="H29" s="176"/>
      <c r="I29" s="180"/>
      <c r="J29" s="180"/>
      <c r="K29" s="51">
        <v>84.356999999999999</v>
      </c>
      <c r="L29" s="44">
        <v>41</v>
      </c>
      <c r="M29" s="45">
        <v>0</v>
      </c>
      <c r="N29" s="45">
        <v>0</v>
      </c>
      <c r="O29" s="155"/>
      <c r="P29" s="155"/>
      <c r="Q29" s="155"/>
      <c r="R29" s="155"/>
      <c r="S29" s="155"/>
      <c r="T29" s="155"/>
      <c r="U29" s="155"/>
      <c r="V29" s="155"/>
      <c r="W29" s="53"/>
      <c r="X29" s="53"/>
      <c r="Y29" s="53"/>
      <c r="Z29" s="38"/>
      <c r="AA29" s="38"/>
      <c r="AB29" s="38"/>
      <c r="AC29" s="38"/>
    </row>
    <row r="30" spans="1:29" s="48" customFormat="1" ht="21.75" customHeight="1" x14ac:dyDescent="0.15">
      <c r="A30" s="171"/>
      <c r="B30" s="180"/>
      <c r="C30" s="190"/>
      <c r="D30" s="145"/>
      <c r="E30" s="146"/>
      <c r="F30" s="147"/>
      <c r="G30" s="176"/>
      <c r="H30" s="176"/>
      <c r="I30" s="180"/>
      <c r="J30" s="180"/>
      <c r="K30" s="51">
        <v>84.278999999999996</v>
      </c>
      <c r="L30" s="44">
        <v>22</v>
      </c>
      <c r="M30" s="45">
        <v>0</v>
      </c>
      <c r="N30" s="45">
        <v>0</v>
      </c>
      <c r="O30" s="155"/>
      <c r="P30" s="155"/>
      <c r="Q30" s="155"/>
      <c r="R30" s="155"/>
      <c r="S30" s="155"/>
      <c r="T30" s="155"/>
      <c r="U30" s="155"/>
      <c r="V30" s="155"/>
      <c r="W30" s="53"/>
      <c r="X30" s="53"/>
      <c r="Y30" s="53"/>
      <c r="Z30" s="38"/>
      <c r="AA30" s="38"/>
      <c r="AB30" s="38"/>
      <c r="AC30" s="38"/>
    </row>
    <row r="31" spans="1:29" s="55" customFormat="1" ht="21.75" customHeight="1" x14ac:dyDescent="0.15">
      <c r="A31" s="171"/>
      <c r="B31" s="180"/>
      <c r="C31" s="190"/>
      <c r="D31" s="145"/>
      <c r="E31" s="146"/>
      <c r="F31" s="147"/>
      <c r="G31" s="176"/>
      <c r="H31" s="176"/>
      <c r="I31" s="180"/>
      <c r="J31" s="180"/>
      <c r="K31" s="51">
        <v>97.302000000000007</v>
      </c>
      <c r="L31" s="44">
        <v>1</v>
      </c>
      <c r="M31" s="45">
        <v>0</v>
      </c>
      <c r="N31" s="45">
        <v>0</v>
      </c>
      <c r="O31" s="155"/>
      <c r="P31" s="155"/>
      <c r="Q31" s="155"/>
      <c r="R31" s="155"/>
      <c r="S31" s="155"/>
      <c r="T31" s="155"/>
      <c r="U31" s="155"/>
      <c r="V31" s="155"/>
      <c r="W31" s="64"/>
      <c r="X31" s="54"/>
      <c r="Y31" s="54"/>
      <c r="Z31" s="47"/>
      <c r="AA31" s="47"/>
      <c r="AB31" s="47"/>
      <c r="AC31" s="47"/>
    </row>
    <row r="32" spans="1:29" s="55" customFormat="1" ht="21.75" customHeight="1" x14ac:dyDescent="0.15">
      <c r="A32" s="171"/>
      <c r="B32" s="180"/>
      <c r="C32" s="190"/>
      <c r="D32" s="145"/>
      <c r="E32" s="146"/>
      <c r="F32" s="147"/>
      <c r="G32" s="176"/>
      <c r="H32" s="176"/>
      <c r="I32" s="180"/>
      <c r="J32" s="180"/>
      <c r="K32" s="51">
        <v>110.39700000000001</v>
      </c>
      <c r="L32" s="44">
        <v>25</v>
      </c>
      <c r="M32" s="45">
        <v>0</v>
      </c>
      <c r="N32" s="45">
        <v>0</v>
      </c>
      <c r="O32" s="155"/>
      <c r="P32" s="155"/>
      <c r="Q32" s="155"/>
      <c r="R32" s="155"/>
      <c r="S32" s="155"/>
      <c r="T32" s="155"/>
      <c r="U32" s="155"/>
      <c r="V32" s="155"/>
      <c r="W32" s="54"/>
      <c r="X32" s="54"/>
      <c r="Y32" s="54"/>
      <c r="Z32" s="47"/>
      <c r="AA32" s="47"/>
      <c r="AB32" s="47"/>
      <c r="AC32" s="47"/>
    </row>
    <row r="33" spans="1:29" s="55" customFormat="1" ht="21.75" customHeight="1" x14ac:dyDescent="0.15">
      <c r="A33" s="171"/>
      <c r="B33" s="180"/>
      <c r="C33" s="190"/>
      <c r="D33" s="145"/>
      <c r="E33" s="146"/>
      <c r="F33" s="147"/>
      <c r="G33" s="176"/>
      <c r="H33" s="176"/>
      <c r="I33" s="180"/>
      <c r="J33" s="180"/>
      <c r="K33" s="51">
        <v>111.81100000000001</v>
      </c>
      <c r="L33" s="44">
        <v>23</v>
      </c>
      <c r="M33" s="45">
        <v>0</v>
      </c>
      <c r="N33" s="45">
        <v>0</v>
      </c>
      <c r="O33" s="155"/>
      <c r="P33" s="155"/>
      <c r="Q33" s="155"/>
      <c r="R33" s="155"/>
      <c r="S33" s="155"/>
      <c r="T33" s="155"/>
      <c r="U33" s="155"/>
      <c r="V33" s="155"/>
      <c r="W33" s="54"/>
      <c r="X33" s="54"/>
      <c r="Y33" s="54"/>
      <c r="Z33" s="47"/>
      <c r="AA33" s="47"/>
      <c r="AB33" s="47"/>
      <c r="AC33" s="47"/>
    </row>
    <row r="34" spans="1:29" s="55" customFormat="1" ht="21.75" customHeight="1" x14ac:dyDescent="0.15">
      <c r="A34" s="171"/>
      <c r="B34" s="180"/>
      <c r="C34" s="190"/>
      <c r="D34" s="145"/>
      <c r="E34" s="146"/>
      <c r="F34" s="147"/>
      <c r="G34" s="176"/>
      <c r="H34" s="176"/>
      <c r="I34" s="180"/>
      <c r="J34" s="180"/>
      <c r="K34" s="51">
        <v>149.85599999999999</v>
      </c>
      <c r="L34" s="44">
        <v>1</v>
      </c>
      <c r="M34" s="45">
        <v>1</v>
      </c>
      <c r="N34" s="45">
        <v>1</v>
      </c>
      <c r="O34" s="155"/>
      <c r="P34" s="155"/>
      <c r="Q34" s="155"/>
      <c r="R34" s="155"/>
      <c r="S34" s="155"/>
      <c r="T34" s="155"/>
      <c r="U34" s="155"/>
      <c r="V34" s="155"/>
      <c r="W34" s="54"/>
      <c r="X34" s="54"/>
      <c r="Y34" s="54"/>
      <c r="Z34" s="47"/>
      <c r="AA34" s="47"/>
      <c r="AB34" s="47"/>
      <c r="AC34" s="47"/>
    </row>
    <row r="35" spans="1:29" s="55" customFormat="1" ht="21.75" customHeight="1" x14ac:dyDescent="0.15">
      <c r="A35" s="171"/>
      <c r="B35" s="180"/>
      <c r="C35" s="190"/>
      <c r="D35" s="145"/>
      <c r="E35" s="146"/>
      <c r="F35" s="147"/>
      <c r="G35" s="177"/>
      <c r="H35" s="177"/>
      <c r="I35" s="181"/>
      <c r="J35" s="181"/>
      <c r="K35" s="51">
        <v>152.90299999999999</v>
      </c>
      <c r="L35" s="44">
        <v>1</v>
      </c>
      <c r="M35" s="45">
        <v>0</v>
      </c>
      <c r="N35" s="45">
        <v>0</v>
      </c>
      <c r="O35" s="155"/>
      <c r="P35" s="155"/>
      <c r="Q35" s="155"/>
      <c r="R35" s="155"/>
      <c r="S35" s="155"/>
      <c r="T35" s="155"/>
      <c r="U35" s="155"/>
      <c r="V35" s="155"/>
      <c r="W35" s="54"/>
      <c r="X35" s="54"/>
      <c r="Y35" s="54"/>
      <c r="Z35" s="47"/>
      <c r="AA35" s="47"/>
      <c r="AB35" s="47"/>
      <c r="AC35" s="47"/>
    </row>
    <row r="36" spans="1:29" s="48" customFormat="1" ht="21.75" customHeight="1" x14ac:dyDescent="0.15">
      <c r="A36" s="171"/>
      <c r="B36" s="180"/>
      <c r="C36" s="190"/>
      <c r="D36" s="148"/>
      <c r="E36" s="149"/>
      <c r="F36" s="150"/>
      <c r="G36" s="93" t="s">
        <v>71</v>
      </c>
      <c r="H36" s="94"/>
      <c r="I36" s="94"/>
      <c r="J36" s="94"/>
      <c r="K36" s="95"/>
      <c r="L36" s="49">
        <f>SUM(L28:L35)</f>
        <v>136</v>
      </c>
      <c r="M36" s="97">
        <f>SUM(M28:M35)</f>
        <v>1</v>
      </c>
      <c r="N36" s="97">
        <f>SUM(N28:N35)</f>
        <v>1</v>
      </c>
      <c r="O36" s="156"/>
      <c r="P36" s="156"/>
      <c r="Q36" s="156"/>
      <c r="R36" s="156"/>
      <c r="S36" s="156"/>
      <c r="T36" s="156"/>
      <c r="U36" s="156"/>
      <c r="V36" s="156"/>
      <c r="W36" s="53"/>
      <c r="X36" s="50">
        <f>N28+N29+N30</f>
        <v>0</v>
      </c>
      <c r="Y36" s="50">
        <f>N31+N32+N33+N34+N35</f>
        <v>1</v>
      </c>
      <c r="Z36" s="38"/>
      <c r="AA36" s="38"/>
      <c r="AB36" s="38"/>
      <c r="AC36" s="38"/>
    </row>
    <row r="37" spans="1:29" s="48" customFormat="1" ht="21.75" customHeight="1" x14ac:dyDescent="0.15">
      <c r="A37" s="171"/>
      <c r="B37" s="180"/>
      <c r="C37" s="190"/>
      <c r="D37" s="142" t="s">
        <v>107</v>
      </c>
      <c r="E37" s="143"/>
      <c r="F37" s="144"/>
      <c r="G37" s="175" t="s">
        <v>108</v>
      </c>
      <c r="H37" s="175" t="s">
        <v>98</v>
      </c>
      <c r="I37" s="179" t="s">
        <v>65</v>
      </c>
      <c r="J37" s="179" t="s">
        <v>67</v>
      </c>
      <c r="K37" s="43">
        <v>78.295299999999997</v>
      </c>
      <c r="L37" s="44">
        <v>2</v>
      </c>
      <c r="M37" s="45">
        <v>0</v>
      </c>
      <c r="N37" s="45">
        <v>0</v>
      </c>
      <c r="O37" s="154" t="s">
        <v>109</v>
      </c>
      <c r="P37" s="154" t="s">
        <v>110</v>
      </c>
      <c r="Q37" s="154" t="s">
        <v>111</v>
      </c>
      <c r="R37" s="154" t="s">
        <v>112</v>
      </c>
      <c r="S37" s="154"/>
      <c r="T37" s="154" t="s">
        <v>65</v>
      </c>
      <c r="U37" s="154"/>
      <c r="V37" s="154"/>
      <c r="W37" s="53"/>
      <c r="X37" s="53"/>
      <c r="Y37" s="53"/>
      <c r="Z37" s="38"/>
      <c r="AA37" s="38"/>
      <c r="AB37" s="38"/>
      <c r="AC37" s="38"/>
    </row>
    <row r="38" spans="1:29" s="48" customFormat="1" ht="21.75" customHeight="1" x14ac:dyDescent="0.15">
      <c r="A38" s="171"/>
      <c r="B38" s="180"/>
      <c r="C38" s="190"/>
      <c r="D38" s="145"/>
      <c r="E38" s="146"/>
      <c r="F38" s="147"/>
      <c r="G38" s="176"/>
      <c r="H38" s="176"/>
      <c r="I38" s="180"/>
      <c r="J38" s="180"/>
      <c r="K38" s="43">
        <v>84.998800000000003</v>
      </c>
      <c r="L38" s="44">
        <v>98</v>
      </c>
      <c r="M38" s="45">
        <v>1</v>
      </c>
      <c r="N38" s="45">
        <v>1</v>
      </c>
      <c r="O38" s="155"/>
      <c r="P38" s="155"/>
      <c r="Q38" s="155"/>
      <c r="R38" s="155"/>
      <c r="S38" s="155"/>
      <c r="T38" s="155"/>
      <c r="U38" s="155"/>
      <c r="V38" s="155"/>
      <c r="W38" s="53"/>
      <c r="X38" s="53"/>
      <c r="Y38" s="53"/>
      <c r="Z38" s="38"/>
      <c r="AA38" s="38"/>
      <c r="AB38" s="38"/>
      <c r="AC38" s="38"/>
    </row>
    <row r="39" spans="1:29" s="48" customFormat="1" ht="21.75" customHeight="1" x14ac:dyDescent="0.15">
      <c r="A39" s="171"/>
      <c r="B39" s="180"/>
      <c r="C39" s="190"/>
      <c r="D39" s="145"/>
      <c r="E39" s="146"/>
      <c r="F39" s="147"/>
      <c r="G39" s="176"/>
      <c r="H39" s="176"/>
      <c r="I39" s="180"/>
      <c r="J39" s="180"/>
      <c r="K39" s="43">
        <v>84.986199999999997</v>
      </c>
      <c r="L39" s="44">
        <v>31</v>
      </c>
      <c r="M39" s="45">
        <v>1</v>
      </c>
      <c r="N39" s="45">
        <v>1</v>
      </c>
      <c r="O39" s="155"/>
      <c r="P39" s="155"/>
      <c r="Q39" s="155"/>
      <c r="R39" s="155"/>
      <c r="S39" s="155"/>
      <c r="T39" s="155"/>
      <c r="U39" s="155"/>
      <c r="V39" s="155"/>
      <c r="W39" s="53"/>
      <c r="X39" s="53"/>
      <c r="Y39" s="53"/>
      <c r="Z39" s="38"/>
      <c r="AA39" s="38"/>
      <c r="AB39" s="38"/>
      <c r="AC39" s="38"/>
    </row>
    <row r="40" spans="1:29" s="48" customFormat="1" ht="21.75" customHeight="1" x14ac:dyDescent="0.15">
      <c r="A40" s="171"/>
      <c r="B40" s="180"/>
      <c r="C40" s="190"/>
      <c r="D40" s="145"/>
      <c r="E40" s="146"/>
      <c r="F40" s="147"/>
      <c r="G40" s="176"/>
      <c r="H40" s="176"/>
      <c r="I40" s="180"/>
      <c r="J40" s="180"/>
      <c r="K40" s="43">
        <v>84.996600000000001</v>
      </c>
      <c r="L40" s="44">
        <v>20</v>
      </c>
      <c r="M40" s="45">
        <v>0</v>
      </c>
      <c r="N40" s="45">
        <v>0</v>
      </c>
      <c r="O40" s="155"/>
      <c r="P40" s="155"/>
      <c r="Q40" s="155"/>
      <c r="R40" s="155"/>
      <c r="S40" s="155"/>
      <c r="T40" s="155"/>
      <c r="U40" s="155"/>
      <c r="V40" s="155"/>
      <c r="W40" s="53"/>
      <c r="X40" s="53"/>
      <c r="Y40" s="53"/>
      <c r="Z40" s="38"/>
      <c r="AA40" s="38"/>
      <c r="AB40" s="38"/>
      <c r="AC40" s="38"/>
    </row>
    <row r="41" spans="1:29" s="48" customFormat="1" ht="21.75" customHeight="1" x14ac:dyDescent="0.15">
      <c r="A41" s="171"/>
      <c r="B41" s="180"/>
      <c r="C41" s="190"/>
      <c r="D41" s="145"/>
      <c r="E41" s="146"/>
      <c r="F41" s="147"/>
      <c r="G41" s="177"/>
      <c r="H41" s="177"/>
      <c r="I41" s="181"/>
      <c r="J41" s="181"/>
      <c r="K41" s="43">
        <v>84.986199999999997</v>
      </c>
      <c r="L41" s="44">
        <v>20</v>
      </c>
      <c r="M41" s="45">
        <v>0</v>
      </c>
      <c r="N41" s="45">
        <v>0</v>
      </c>
      <c r="O41" s="155"/>
      <c r="P41" s="155"/>
      <c r="Q41" s="155"/>
      <c r="R41" s="155"/>
      <c r="S41" s="155"/>
      <c r="T41" s="155"/>
      <c r="U41" s="155"/>
      <c r="V41" s="155"/>
      <c r="W41" s="53"/>
      <c r="X41" s="53"/>
      <c r="Y41" s="53"/>
      <c r="Z41" s="38"/>
      <c r="AA41" s="38"/>
      <c r="AB41" s="38"/>
      <c r="AC41" s="38"/>
    </row>
    <row r="42" spans="1:29" s="48" customFormat="1" ht="21.75" customHeight="1" x14ac:dyDescent="0.15">
      <c r="A42" s="171"/>
      <c r="B42" s="180"/>
      <c r="C42" s="190"/>
      <c r="D42" s="148"/>
      <c r="E42" s="149"/>
      <c r="F42" s="150"/>
      <c r="G42" s="93" t="s">
        <v>71</v>
      </c>
      <c r="H42" s="94"/>
      <c r="I42" s="94"/>
      <c r="J42" s="94"/>
      <c r="K42" s="95"/>
      <c r="L42" s="49">
        <f>SUM(L37:L41)</f>
        <v>171</v>
      </c>
      <c r="M42" s="97">
        <f>SUM(M37:M41)</f>
        <v>2</v>
      </c>
      <c r="N42" s="97">
        <f>SUM(N37:N41)</f>
        <v>2</v>
      </c>
      <c r="O42" s="156"/>
      <c r="P42" s="156"/>
      <c r="Q42" s="156"/>
      <c r="R42" s="156"/>
      <c r="S42" s="156"/>
      <c r="T42" s="156"/>
      <c r="U42" s="156"/>
      <c r="V42" s="156"/>
      <c r="W42" s="53"/>
      <c r="X42" s="50">
        <f>N37+N38+N39+N40+N41</f>
        <v>2</v>
      </c>
      <c r="Y42" s="53"/>
      <c r="Z42" s="38"/>
      <c r="AA42" s="38"/>
      <c r="AB42" s="38"/>
      <c r="AC42" s="38"/>
    </row>
    <row r="43" spans="1:29" s="63" customFormat="1" ht="21.75" customHeight="1" x14ac:dyDescent="0.15">
      <c r="A43" s="171"/>
      <c r="B43" s="180"/>
      <c r="C43" s="190"/>
      <c r="D43" s="142" t="s">
        <v>113</v>
      </c>
      <c r="E43" s="143"/>
      <c r="F43" s="144"/>
      <c r="G43" s="185" t="s">
        <v>108</v>
      </c>
      <c r="H43" s="185" t="s">
        <v>108</v>
      </c>
      <c r="I43" s="185" t="s">
        <v>65</v>
      </c>
      <c r="J43" s="185" t="s">
        <v>67</v>
      </c>
      <c r="K43" s="51" t="s">
        <v>114</v>
      </c>
      <c r="L43" s="44">
        <v>34</v>
      </c>
      <c r="M43" s="65">
        <v>4</v>
      </c>
      <c r="N43" s="65">
        <v>3</v>
      </c>
      <c r="O43" s="192" t="s">
        <v>115</v>
      </c>
      <c r="P43" s="192" t="s">
        <v>116</v>
      </c>
      <c r="Q43" s="192" t="s">
        <v>117</v>
      </c>
      <c r="R43" s="192" t="s">
        <v>69</v>
      </c>
      <c r="S43" s="192"/>
      <c r="T43" s="192"/>
      <c r="U43" s="195"/>
      <c r="V43" s="198" t="s">
        <v>118</v>
      </c>
      <c r="W43" s="61"/>
      <c r="X43" s="61"/>
      <c r="Y43" s="61"/>
      <c r="Z43" s="62"/>
      <c r="AA43" s="62"/>
      <c r="AB43" s="62"/>
      <c r="AC43" s="62"/>
    </row>
    <row r="44" spans="1:29" s="63" customFormat="1" ht="21.75" customHeight="1" x14ac:dyDescent="0.15">
      <c r="A44" s="171"/>
      <c r="B44" s="180"/>
      <c r="C44" s="190"/>
      <c r="D44" s="145"/>
      <c r="E44" s="146"/>
      <c r="F44" s="147"/>
      <c r="G44" s="186"/>
      <c r="H44" s="186"/>
      <c r="I44" s="186"/>
      <c r="J44" s="186"/>
      <c r="K44" s="51" t="s">
        <v>119</v>
      </c>
      <c r="L44" s="44">
        <v>34</v>
      </c>
      <c r="M44" s="65">
        <v>17</v>
      </c>
      <c r="N44" s="65">
        <v>17</v>
      </c>
      <c r="O44" s="193"/>
      <c r="P44" s="193"/>
      <c r="Q44" s="193"/>
      <c r="R44" s="193"/>
      <c r="S44" s="193"/>
      <c r="T44" s="193"/>
      <c r="U44" s="196"/>
      <c r="V44" s="199"/>
      <c r="W44" s="61"/>
      <c r="X44" s="61"/>
      <c r="Y44" s="61"/>
      <c r="Z44" s="62"/>
      <c r="AA44" s="62"/>
      <c r="AB44" s="62"/>
      <c r="AC44" s="62"/>
    </row>
    <row r="45" spans="1:29" s="63" customFormat="1" ht="21.75" customHeight="1" x14ac:dyDescent="0.15">
      <c r="A45" s="171"/>
      <c r="B45" s="180"/>
      <c r="C45" s="190"/>
      <c r="D45" s="145"/>
      <c r="E45" s="146"/>
      <c r="F45" s="147"/>
      <c r="G45" s="186"/>
      <c r="H45" s="186"/>
      <c r="I45" s="186"/>
      <c r="J45" s="186"/>
      <c r="K45" s="51" t="s">
        <v>120</v>
      </c>
      <c r="L45" s="44">
        <v>62</v>
      </c>
      <c r="M45" s="65">
        <v>21</v>
      </c>
      <c r="N45" s="65">
        <v>21</v>
      </c>
      <c r="O45" s="193"/>
      <c r="P45" s="193"/>
      <c r="Q45" s="193"/>
      <c r="R45" s="193"/>
      <c r="S45" s="193"/>
      <c r="T45" s="193"/>
      <c r="U45" s="196"/>
      <c r="V45" s="199"/>
      <c r="W45" s="61"/>
      <c r="X45" s="61"/>
      <c r="Y45" s="61"/>
      <c r="Z45" s="62"/>
      <c r="AA45" s="62"/>
      <c r="AB45" s="62"/>
      <c r="AC45" s="62"/>
    </row>
    <row r="46" spans="1:29" s="48" customFormat="1" ht="21.75" customHeight="1" x14ac:dyDescent="0.15">
      <c r="A46" s="171"/>
      <c r="B46" s="180"/>
      <c r="C46" s="190"/>
      <c r="D46" s="145"/>
      <c r="E46" s="146"/>
      <c r="F46" s="147"/>
      <c r="G46" s="186"/>
      <c r="H46" s="186"/>
      <c r="I46" s="186"/>
      <c r="J46" s="186"/>
      <c r="K46" s="51" t="s">
        <v>121</v>
      </c>
      <c r="L46" s="44">
        <v>136</v>
      </c>
      <c r="M46" s="65">
        <v>59</v>
      </c>
      <c r="N46" s="65">
        <v>58</v>
      </c>
      <c r="O46" s="193"/>
      <c r="P46" s="193"/>
      <c r="Q46" s="193"/>
      <c r="R46" s="193"/>
      <c r="S46" s="193"/>
      <c r="T46" s="193"/>
      <c r="U46" s="196"/>
      <c r="V46" s="199"/>
      <c r="W46" s="53"/>
      <c r="X46" s="53"/>
      <c r="Y46" s="53"/>
      <c r="Z46" s="38"/>
      <c r="AA46" s="38"/>
      <c r="AB46" s="38"/>
      <c r="AC46" s="38"/>
    </row>
    <row r="47" spans="1:29" s="48" customFormat="1" ht="21.75" customHeight="1" x14ac:dyDescent="0.15">
      <c r="A47" s="171"/>
      <c r="B47" s="180"/>
      <c r="C47" s="190"/>
      <c r="D47" s="145"/>
      <c r="E47" s="146"/>
      <c r="F47" s="147"/>
      <c r="G47" s="186"/>
      <c r="H47" s="186"/>
      <c r="I47" s="186"/>
      <c r="J47" s="186"/>
      <c r="K47" s="51" t="s">
        <v>122</v>
      </c>
      <c r="L47" s="44">
        <v>34</v>
      </c>
      <c r="M47" s="65">
        <v>0</v>
      </c>
      <c r="N47" s="65">
        <v>0</v>
      </c>
      <c r="O47" s="193"/>
      <c r="P47" s="193"/>
      <c r="Q47" s="193"/>
      <c r="R47" s="193"/>
      <c r="S47" s="193"/>
      <c r="T47" s="193"/>
      <c r="U47" s="196"/>
      <c r="V47" s="199"/>
      <c r="W47" s="53"/>
      <c r="X47" s="53"/>
      <c r="Y47" s="53"/>
      <c r="Z47" s="38"/>
      <c r="AA47" s="38"/>
      <c r="AB47" s="38"/>
      <c r="AC47" s="38"/>
    </row>
    <row r="48" spans="1:29" s="48" customFormat="1" ht="21.75" customHeight="1" x14ac:dyDescent="0.15">
      <c r="A48" s="171"/>
      <c r="B48" s="180"/>
      <c r="C48" s="190"/>
      <c r="D48" s="145"/>
      <c r="E48" s="146"/>
      <c r="F48" s="147"/>
      <c r="G48" s="187"/>
      <c r="H48" s="187"/>
      <c r="I48" s="187"/>
      <c r="J48" s="187"/>
      <c r="K48" s="51" t="s">
        <v>123</v>
      </c>
      <c r="L48" s="44">
        <v>22</v>
      </c>
      <c r="M48" s="65">
        <v>5</v>
      </c>
      <c r="N48" s="65">
        <v>5</v>
      </c>
      <c r="O48" s="193"/>
      <c r="P48" s="193"/>
      <c r="Q48" s="193"/>
      <c r="R48" s="193"/>
      <c r="S48" s="193"/>
      <c r="T48" s="193"/>
      <c r="U48" s="196"/>
      <c r="V48" s="199"/>
      <c r="W48" s="53"/>
      <c r="X48" s="53"/>
      <c r="Y48" s="53"/>
      <c r="Z48" s="38"/>
      <c r="AA48" s="38"/>
      <c r="AB48" s="38"/>
      <c r="AC48" s="38"/>
    </row>
    <row r="49" spans="1:29" s="48" customFormat="1" ht="21.75" customHeight="1" x14ac:dyDescent="0.15">
      <c r="A49" s="171"/>
      <c r="B49" s="181"/>
      <c r="C49" s="191"/>
      <c r="D49" s="148"/>
      <c r="E49" s="149"/>
      <c r="F49" s="150"/>
      <c r="G49" s="93" t="s">
        <v>71</v>
      </c>
      <c r="H49" s="94"/>
      <c r="I49" s="94"/>
      <c r="J49" s="94"/>
      <c r="K49" s="95"/>
      <c r="L49" s="49">
        <f>SUM(L43:L48)</f>
        <v>322</v>
      </c>
      <c r="M49" s="97">
        <f>SUM(M43:M48)</f>
        <v>106</v>
      </c>
      <c r="N49" s="97">
        <f>SUM(N43:N48)</f>
        <v>104</v>
      </c>
      <c r="O49" s="194"/>
      <c r="P49" s="194"/>
      <c r="Q49" s="194"/>
      <c r="R49" s="194"/>
      <c r="S49" s="194"/>
      <c r="T49" s="194"/>
      <c r="U49" s="197"/>
      <c r="V49" s="200"/>
      <c r="W49" s="50">
        <f>N43+N44+N45</f>
        <v>41</v>
      </c>
      <c r="X49" s="50">
        <f>N46+N47+N48</f>
        <v>63</v>
      </c>
      <c r="Y49" s="53"/>
      <c r="Z49" s="38"/>
      <c r="AA49" s="38"/>
      <c r="AB49" s="38"/>
      <c r="AC49" s="38"/>
    </row>
    <row r="50" spans="1:29" s="48" customFormat="1" ht="21.75" customHeight="1" x14ac:dyDescent="0.15">
      <c r="A50" s="171"/>
      <c r="B50" s="201" t="s">
        <v>14</v>
      </c>
      <c r="C50" s="175" t="s">
        <v>124</v>
      </c>
      <c r="D50" s="203" t="s">
        <v>125</v>
      </c>
      <c r="E50" s="204"/>
      <c r="F50" s="205"/>
      <c r="G50" s="212" t="s">
        <v>126</v>
      </c>
      <c r="H50" s="212" t="s">
        <v>127</v>
      </c>
      <c r="I50" s="212" t="s">
        <v>65</v>
      </c>
      <c r="J50" s="212" t="s">
        <v>67</v>
      </c>
      <c r="K50" s="123">
        <v>84.563199999999995</v>
      </c>
      <c r="L50" s="44">
        <v>91</v>
      </c>
      <c r="M50" s="66">
        <v>5</v>
      </c>
      <c r="N50" s="118">
        <v>5</v>
      </c>
      <c r="O50" s="192" t="s">
        <v>128</v>
      </c>
      <c r="P50" s="192" t="s">
        <v>129</v>
      </c>
      <c r="Q50" s="192" t="s">
        <v>130</v>
      </c>
      <c r="R50" s="192" t="s">
        <v>69</v>
      </c>
      <c r="S50" s="224"/>
      <c r="T50" s="192" t="s">
        <v>65</v>
      </c>
      <c r="U50" s="192"/>
      <c r="V50" s="221"/>
      <c r="W50" s="46"/>
      <c r="X50" s="46"/>
      <c r="Y50" s="46"/>
      <c r="Z50" s="38">
        <f>SUM(W50:W82)</f>
        <v>17</v>
      </c>
      <c r="AA50" s="38">
        <f>SUM(X50:X82)</f>
        <v>17</v>
      </c>
      <c r="AB50" s="38">
        <f>SUM(Y50:Y82)</f>
        <v>52</v>
      </c>
      <c r="AC50" s="38">
        <f>Z50+AA50+AB50</f>
        <v>86</v>
      </c>
    </row>
    <row r="51" spans="1:29" s="48" customFormat="1" ht="21.75" customHeight="1" x14ac:dyDescent="0.15">
      <c r="A51" s="171"/>
      <c r="B51" s="202"/>
      <c r="C51" s="176"/>
      <c r="D51" s="206"/>
      <c r="E51" s="207"/>
      <c r="F51" s="208"/>
      <c r="G51" s="213"/>
      <c r="H51" s="213"/>
      <c r="I51" s="213"/>
      <c r="J51" s="213"/>
      <c r="K51" s="123">
        <v>84.730699999999999</v>
      </c>
      <c r="L51" s="44">
        <v>44</v>
      </c>
      <c r="M51" s="66">
        <v>0</v>
      </c>
      <c r="N51" s="118">
        <v>0</v>
      </c>
      <c r="O51" s="193"/>
      <c r="P51" s="193"/>
      <c r="Q51" s="193"/>
      <c r="R51" s="193"/>
      <c r="S51" s="224"/>
      <c r="T51" s="193"/>
      <c r="U51" s="193"/>
      <c r="V51" s="222"/>
      <c r="W51" s="46"/>
      <c r="X51" s="46"/>
      <c r="Y51" s="46"/>
      <c r="Z51" s="47">
        <f>W71+W82</f>
        <v>17</v>
      </c>
      <c r="AA51" s="47" t="e">
        <f>X65+X71+X82+#REF!+X61</f>
        <v>#REF!</v>
      </c>
      <c r="AB51" s="47" t="e">
        <f>Y65+Y71+Y82+#REF!+Y61</f>
        <v>#REF!</v>
      </c>
      <c r="AC51" s="47" t="e">
        <f>Z51+AA51+AB51</f>
        <v>#REF!</v>
      </c>
    </row>
    <row r="52" spans="1:29" s="48" customFormat="1" ht="21.75" customHeight="1" x14ac:dyDescent="0.15">
      <c r="A52" s="171"/>
      <c r="B52" s="202"/>
      <c r="C52" s="176"/>
      <c r="D52" s="206"/>
      <c r="E52" s="207"/>
      <c r="F52" s="208"/>
      <c r="G52" s="213"/>
      <c r="H52" s="213"/>
      <c r="I52" s="213"/>
      <c r="J52" s="213"/>
      <c r="K52" s="123">
        <v>84.877799999999993</v>
      </c>
      <c r="L52" s="44">
        <v>134</v>
      </c>
      <c r="M52" s="66">
        <v>0</v>
      </c>
      <c r="N52" s="118">
        <v>0</v>
      </c>
      <c r="O52" s="193"/>
      <c r="P52" s="193"/>
      <c r="Q52" s="193"/>
      <c r="R52" s="193"/>
      <c r="S52" s="224"/>
      <c r="T52" s="193"/>
      <c r="U52" s="193"/>
      <c r="V52" s="222"/>
      <c r="W52" s="46"/>
      <c r="X52" s="46"/>
      <c r="Y52" s="46"/>
      <c r="Z52" s="38"/>
      <c r="AA52" s="38"/>
      <c r="AB52" s="38"/>
      <c r="AC52" s="38"/>
    </row>
    <row r="53" spans="1:29" s="48" customFormat="1" ht="21.75" customHeight="1" x14ac:dyDescent="0.15">
      <c r="A53" s="171"/>
      <c r="B53" s="202"/>
      <c r="C53" s="176"/>
      <c r="D53" s="206"/>
      <c r="E53" s="207"/>
      <c r="F53" s="208"/>
      <c r="G53" s="213"/>
      <c r="H53" s="213"/>
      <c r="I53" s="213"/>
      <c r="J53" s="213"/>
      <c r="K53" s="123">
        <v>84.926900000000003</v>
      </c>
      <c r="L53" s="44">
        <v>134</v>
      </c>
      <c r="M53" s="66">
        <v>11</v>
      </c>
      <c r="N53" s="118">
        <v>11</v>
      </c>
      <c r="O53" s="193"/>
      <c r="P53" s="193"/>
      <c r="Q53" s="193"/>
      <c r="R53" s="193"/>
      <c r="S53" s="224"/>
      <c r="T53" s="193"/>
      <c r="U53" s="193"/>
      <c r="V53" s="222"/>
      <c r="W53" s="46"/>
      <c r="X53" s="46"/>
      <c r="Y53" s="46"/>
      <c r="Z53" s="38"/>
      <c r="AA53" s="38"/>
      <c r="AB53" s="38"/>
      <c r="AC53" s="38"/>
    </row>
    <row r="54" spans="1:29" s="55" customFormat="1" ht="21.75" customHeight="1" x14ac:dyDescent="0.15">
      <c r="A54" s="171"/>
      <c r="B54" s="202"/>
      <c r="C54" s="176"/>
      <c r="D54" s="206"/>
      <c r="E54" s="207"/>
      <c r="F54" s="208"/>
      <c r="G54" s="213"/>
      <c r="H54" s="213"/>
      <c r="I54" s="213"/>
      <c r="J54" s="213"/>
      <c r="K54" s="123">
        <v>112.13079999999999</v>
      </c>
      <c r="L54" s="44">
        <v>89</v>
      </c>
      <c r="M54" s="66">
        <v>14</v>
      </c>
      <c r="N54" s="118">
        <v>14</v>
      </c>
      <c r="O54" s="193"/>
      <c r="P54" s="193"/>
      <c r="Q54" s="193"/>
      <c r="R54" s="193"/>
      <c r="S54" s="224"/>
      <c r="T54" s="193"/>
      <c r="U54" s="193"/>
      <c r="V54" s="222"/>
      <c r="W54" s="54"/>
      <c r="X54" s="54"/>
      <c r="Y54" s="54"/>
      <c r="Z54" s="47"/>
      <c r="AA54" s="47"/>
      <c r="AB54" s="47"/>
      <c r="AC54" s="47"/>
    </row>
    <row r="55" spans="1:29" s="55" customFormat="1" ht="21.75" customHeight="1" x14ac:dyDescent="0.15">
      <c r="A55" s="171"/>
      <c r="B55" s="202"/>
      <c r="C55" s="176"/>
      <c r="D55" s="206"/>
      <c r="E55" s="207"/>
      <c r="F55" s="208"/>
      <c r="G55" s="213"/>
      <c r="H55" s="213"/>
      <c r="I55" s="213"/>
      <c r="J55" s="213"/>
      <c r="K55" s="123">
        <v>112.8062</v>
      </c>
      <c r="L55" s="44">
        <v>136</v>
      </c>
      <c r="M55" s="66">
        <v>31</v>
      </c>
      <c r="N55" s="118">
        <v>31</v>
      </c>
      <c r="O55" s="193"/>
      <c r="P55" s="193"/>
      <c r="Q55" s="193"/>
      <c r="R55" s="193"/>
      <c r="S55" s="224"/>
      <c r="T55" s="193"/>
      <c r="U55" s="193"/>
      <c r="V55" s="222"/>
      <c r="W55" s="54"/>
      <c r="X55" s="54"/>
      <c r="Y55" s="54"/>
      <c r="Z55" s="47"/>
      <c r="AA55" s="47"/>
      <c r="AB55" s="47"/>
      <c r="AC55" s="47"/>
    </row>
    <row r="56" spans="1:29" s="55" customFormat="1" ht="21.75" customHeight="1" x14ac:dyDescent="0.15">
      <c r="A56" s="171"/>
      <c r="B56" s="202"/>
      <c r="C56" s="176"/>
      <c r="D56" s="206"/>
      <c r="E56" s="207"/>
      <c r="F56" s="208"/>
      <c r="G56" s="213"/>
      <c r="H56" s="213"/>
      <c r="I56" s="213"/>
      <c r="J56" s="213"/>
      <c r="K56" s="123">
        <v>124.9171</v>
      </c>
      <c r="L56" s="44">
        <v>45</v>
      </c>
      <c r="M56" s="66">
        <v>7</v>
      </c>
      <c r="N56" s="118">
        <v>7</v>
      </c>
      <c r="O56" s="193"/>
      <c r="P56" s="193"/>
      <c r="Q56" s="193"/>
      <c r="R56" s="193"/>
      <c r="S56" s="224"/>
      <c r="T56" s="193"/>
      <c r="U56" s="193"/>
      <c r="V56" s="222"/>
      <c r="W56" s="54"/>
      <c r="X56" s="54"/>
      <c r="Y56" s="54"/>
      <c r="Z56" s="47"/>
      <c r="AA56" s="47"/>
      <c r="AB56" s="47"/>
      <c r="AC56" s="47"/>
    </row>
    <row r="57" spans="1:29" s="55" customFormat="1" ht="21.75" customHeight="1" x14ac:dyDescent="0.15">
      <c r="A57" s="171"/>
      <c r="B57" s="202"/>
      <c r="C57" s="176"/>
      <c r="D57" s="206"/>
      <c r="E57" s="207"/>
      <c r="F57" s="208"/>
      <c r="G57" s="213"/>
      <c r="H57" s="213"/>
      <c r="I57" s="213"/>
      <c r="J57" s="213"/>
      <c r="K57" s="123">
        <v>138.1704</v>
      </c>
      <c r="L57" s="44">
        <v>1</v>
      </c>
      <c r="M57" s="66">
        <v>0</v>
      </c>
      <c r="N57" s="118">
        <v>0</v>
      </c>
      <c r="O57" s="193"/>
      <c r="P57" s="193"/>
      <c r="Q57" s="193"/>
      <c r="R57" s="193"/>
      <c r="S57" s="224"/>
      <c r="T57" s="193"/>
      <c r="U57" s="193"/>
      <c r="V57" s="222"/>
      <c r="W57" s="54"/>
      <c r="X57" s="54"/>
      <c r="Y57" s="54"/>
      <c r="Z57" s="47"/>
      <c r="AA57" s="47"/>
      <c r="AB57" s="47"/>
      <c r="AC57" s="47"/>
    </row>
    <row r="58" spans="1:29" s="55" customFormat="1" ht="21.75" customHeight="1" x14ac:dyDescent="0.15">
      <c r="A58" s="171"/>
      <c r="B58" s="202"/>
      <c r="C58" s="176"/>
      <c r="D58" s="206"/>
      <c r="E58" s="207"/>
      <c r="F58" s="208"/>
      <c r="G58" s="213"/>
      <c r="H58" s="213"/>
      <c r="I58" s="213"/>
      <c r="J58" s="213"/>
      <c r="K58" s="123">
        <v>138.45580000000001</v>
      </c>
      <c r="L58" s="44">
        <v>1</v>
      </c>
      <c r="M58" s="66">
        <v>0</v>
      </c>
      <c r="N58" s="118">
        <v>0</v>
      </c>
      <c r="O58" s="193"/>
      <c r="P58" s="193"/>
      <c r="Q58" s="193"/>
      <c r="R58" s="193"/>
      <c r="S58" s="224"/>
      <c r="T58" s="193"/>
      <c r="U58" s="193"/>
      <c r="V58" s="222"/>
      <c r="W58" s="54"/>
      <c r="X58" s="54"/>
      <c r="Y58" s="54"/>
      <c r="Z58" s="47"/>
      <c r="AA58" s="47"/>
      <c r="AB58" s="47"/>
      <c r="AC58" s="47"/>
    </row>
    <row r="59" spans="1:29" s="55" customFormat="1" ht="21.75" customHeight="1" x14ac:dyDescent="0.15">
      <c r="A59" s="171"/>
      <c r="B59" s="202"/>
      <c r="C59" s="176"/>
      <c r="D59" s="206"/>
      <c r="E59" s="207"/>
      <c r="F59" s="208"/>
      <c r="G59" s="213"/>
      <c r="H59" s="213"/>
      <c r="I59" s="213"/>
      <c r="J59" s="213"/>
      <c r="K59" s="123">
        <v>138.5042</v>
      </c>
      <c r="L59" s="44">
        <v>1</v>
      </c>
      <c r="M59" s="66">
        <v>0</v>
      </c>
      <c r="N59" s="118">
        <v>0</v>
      </c>
      <c r="O59" s="193"/>
      <c r="P59" s="193"/>
      <c r="Q59" s="193"/>
      <c r="R59" s="193"/>
      <c r="S59" s="224"/>
      <c r="T59" s="193"/>
      <c r="U59" s="193"/>
      <c r="V59" s="222"/>
      <c r="W59" s="54"/>
      <c r="X59" s="54"/>
      <c r="Y59" s="54"/>
      <c r="Z59" s="47"/>
      <c r="AA59" s="47"/>
      <c r="AB59" s="47"/>
      <c r="AC59" s="47"/>
    </row>
    <row r="60" spans="1:29" s="55" customFormat="1" ht="21.75" customHeight="1" x14ac:dyDescent="0.15">
      <c r="A60" s="171"/>
      <c r="B60" s="202"/>
      <c r="C60" s="176"/>
      <c r="D60" s="206"/>
      <c r="E60" s="207"/>
      <c r="F60" s="208"/>
      <c r="G60" s="214"/>
      <c r="H60" s="214"/>
      <c r="I60" s="214"/>
      <c r="J60" s="214"/>
      <c r="K60" s="123">
        <v>138.7971</v>
      </c>
      <c r="L60" s="44">
        <v>1</v>
      </c>
      <c r="M60" s="66">
        <v>0</v>
      </c>
      <c r="N60" s="118">
        <v>0</v>
      </c>
      <c r="O60" s="193"/>
      <c r="P60" s="193"/>
      <c r="Q60" s="193"/>
      <c r="R60" s="193"/>
      <c r="S60" s="224"/>
      <c r="T60" s="193"/>
      <c r="U60" s="193"/>
      <c r="V60" s="222"/>
      <c r="W60" s="54"/>
      <c r="X60" s="54"/>
      <c r="Y60" s="54"/>
      <c r="Z60" s="47"/>
      <c r="AA60" s="47"/>
      <c r="AB60" s="47"/>
      <c r="AC60" s="47"/>
    </row>
    <row r="61" spans="1:29" s="48" customFormat="1" ht="21.75" customHeight="1" x14ac:dyDescent="0.15">
      <c r="A61" s="171"/>
      <c r="B61" s="202"/>
      <c r="C61" s="177"/>
      <c r="D61" s="209"/>
      <c r="E61" s="210"/>
      <c r="F61" s="211"/>
      <c r="G61" s="93" t="s">
        <v>71</v>
      </c>
      <c r="H61" s="94"/>
      <c r="I61" s="94"/>
      <c r="J61" s="94"/>
      <c r="K61" s="95"/>
      <c r="L61" s="49">
        <f>SUM(L50:L60)</f>
        <v>677</v>
      </c>
      <c r="M61" s="97">
        <f>SUM(M50:M60)</f>
        <v>68</v>
      </c>
      <c r="N61" s="97">
        <f>SUM(N50:N60)</f>
        <v>68</v>
      </c>
      <c r="O61" s="194"/>
      <c r="P61" s="194"/>
      <c r="Q61" s="194"/>
      <c r="R61" s="194"/>
      <c r="S61" s="224"/>
      <c r="T61" s="194"/>
      <c r="U61" s="194"/>
      <c r="V61" s="223"/>
      <c r="W61" s="46"/>
      <c r="X61" s="50">
        <f>N50+N51+N52+N53</f>
        <v>16</v>
      </c>
      <c r="Y61" s="50">
        <f>N54+N55+N56+N57+N58+N59+N60</f>
        <v>52</v>
      </c>
      <c r="Z61" s="38"/>
      <c r="AA61" s="38"/>
      <c r="AB61" s="38"/>
      <c r="AC61" s="38"/>
    </row>
    <row r="62" spans="1:29" s="48" customFormat="1" ht="21.75" customHeight="1" x14ac:dyDescent="0.15">
      <c r="A62" s="171"/>
      <c r="B62" s="202"/>
      <c r="C62" s="175" t="s">
        <v>131</v>
      </c>
      <c r="D62" s="142" t="s">
        <v>132</v>
      </c>
      <c r="E62" s="143"/>
      <c r="F62" s="144"/>
      <c r="G62" s="175" t="s">
        <v>133</v>
      </c>
      <c r="H62" s="175" t="s">
        <v>134</v>
      </c>
      <c r="I62" s="179" t="s">
        <v>65</v>
      </c>
      <c r="J62" s="179" t="s">
        <v>67</v>
      </c>
      <c r="K62" s="51">
        <v>75.898399999999995</v>
      </c>
      <c r="L62" s="44">
        <v>82</v>
      </c>
      <c r="M62" s="45">
        <v>0</v>
      </c>
      <c r="N62" s="45">
        <v>0</v>
      </c>
      <c r="O62" s="154" t="s">
        <v>135</v>
      </c>
      <c r="P62" s="154" t="s">
        <v>136</v>
      </c>
      <c r="Q62" s="154" t="s">
        <v>137</v>
      </c>
      <c r="R62" s="154" t="s">
        <v>69</v>
      </c>
      <c r="S62" s="154"/>
      <c r="T62" s="154" t="s">
        <v>65</v>
      </c>
      <c r="U62" s="154"/>
      <c r="V62" s="154"/>
      <c r="W62" s="46"/>
      <c r="X62" s="46"/>
      <c r="Y62" s="46"/>
      <c r="Z62" s="38"/>
      <c r="AA62" s="38"/>
      <c r="AB62" s="38"/>
      <c r="AC62" s="38"/>
    </row>
    <row r="63" spans="1:29" s="48" customFormat="1" ht="21.75" customHeight="1" x14ac:dyDescent="0.15">
      <c r="A63" s="171"/>
      <c r="B63" s="202"/>
      <c r="C63" s="176"/>
      <c r="D63" s="145"/>
      <c r="E63" s="146"/>
      <c r="F63" s="147"/>
      <c r="G63" s="176"/>
      <c r="H63" s="176"/>
      <c r="I63" s="180"/>
      <c r="J63" s="180"/>
      <c r="K63" s="51">
        <v>84.999600000000001</v>
      </c>
      <c r="L63" s="44">
        <v>344</v>
      </c>
      <c r="M63" s="45">
        <v>1</v>
      </c>
      <c r="N63" s="45">
        <v>1</v>
      </c>
      <c r="O63" s="155"/>
      <c r="P63" s="155"/>
      <c r="Q63" s="155"/>
      <c r="R63" s="155"/>
      <c r="S63" s="155"/>
      <c r="T63" s="155"/>
      <c r="U63" s="155"/>
      <c r="V63" s="155"/>
      <c r="W63" s="67"/>
      <c r="X63" s="46"/>
      <c r="Y63" s="46"/>
      <c r="Z63" s="38"/>
      <c r="AA63" s="38"/>
      <c r="AB63" s="38"/>
      <c r="AC63" s="38"/>
    </row>
    <row r="64" spans="1:29" s="55" customFormat="1" ht="21.75" customHeight="1" x14ac:dyDescent="0.15">
      <c r="A64" s="171"/>
      <c r="B64" s="202"/>
      <c r="C64" s="176"/>
      <c r="D64" s="145"/>
      <c r="E64" s="146"/>
      <c r="F64" s="147"/>
      <c r="G64" s="177"/>
      <c r="H64" s="177"/>
      <c r="I64" s="181"/>
      <c r="J64" s="181"/>
      <c r="K64" s="51">
        <v>124.797</v>
      </c>
      <c r="L64" s="44">
        <v>48</v>
      </c>
      <c r="M64" s="45">
        <v>0</v>
      </c>
      <c r="N64" s="45">
        <v>0</v>
      </c>
      <c r="O64" s="155"/>
      <c r="P64" s="155"/>
      <c r="Q64" s="155"/>
      <c r="R64" s="155"/>
      <c r="S64" s="155"/>
      <c r="T64" s="155"/>
      <c r="U64" s="155"/>
      <c r="V64" s="155"/>
      <c r="W64" s="54"/>
      <c r="X64" s="54"/>
      <c r="Y64" s="54"/>
      <c r="Z64" s="47"/>
      <c r="AA64" s="47"/>
      <c r="AB64" s="47"/>
      <c r="AC64" s="47"/>
    </row>
    <row r="65" spans="1:29" s="48" customFormat="1" ht="21.75" customHeight="1" x14ac:dyDescent="0.15">
      <c r="A65" s="171"/>
      <c r="B65" s="202"/>
      <c r="C65" s="177"/>
      <c r="D65" s="148"/>
      <c r="E65" s="149"/>
      <c r="F65" s="150"/>
      <c r="G65" s="93" t="s">
        <v>71</v>
      </c>
      <c r="H65" s="94"/>
      <c r="I65" s="94"/>
      <c r="J65" s="94"/>
      <c r="K65" s="95"/>
      <c r="L65" s="49">
        <f>SUM(L62:L64)</f>
        <v>474</v>
      </c>
      <c r="M65" s="97">
        <f>SUM(M62:M64)</f>
        <v>1</v>
      </c>
      <c r="N65" s="97">
        <f>SUM(N62:N64)</f>
        <v>1</v>
      </c>
      <c r="O65" s="156"/>
      <c r="P65" s="156"/>
      <c r="Q65" s="156"/>
      <c r="R65" s="156"/>
      <c r="S65" s="156"/>
      <c r="T65" s="156"/>
      <c r="U65" s="156"/>
      <c r="V65" s="156"/>
      <c r="W65" s="46"/>
      <c r="X65" s="50">
        <f>N62+N63</f>
        <v>1</v>
      </c>
      <c r="Y65" s="50">
        <f>N64</f>
        <v>0</v>
      </c>
      <c r="Z65" s="38"/>
      <c r="AA65" s="38"/>
      <c r="AB65" s="38"/>
      <c r="AC65" s="38"/>
    </row>
    <row r="66" spans="1:29" s="63" customFormat="1" ht="21.75" customHeight="1" x14ac:dyDescent="0.15">
      <c r="A66" s="171"/>
      <c r="B66" s="202"/>
      <c r="C66" s="215" t="s">
        <v>138</v>
      </c>
      <c r="D66" s="142" t="s">
        <v>139</v>
      </c>
      <c r="E66" s="143"/>
      <c r="F66" s="144"/>
      <c r="G66" s="218" t="s">
        <v>140</v>
      </c>
      <c r="H66" s="218" t="s">
        <v>141</v>
      </c>
      <c r="I66" s="212" t="s">
        <v>65</v>
      </c>
      <c r="J66" s="212" t="s">
        <v>67</v>
      </c>
      <c r="K66" s="124">
        <v>59.994999999999997</v>
      </c>
      <c r="L66" s="44">
        <v>200</v>
      </c>
      <c r="M66" s="68">
        <v>97</v>
      </c>
      <c r="N66" s="118">
        <v>0</v>
      </c>
      <c r="O66" s="192" t="s">
        <v>142</v>
      </c>
      <c r="P66" s="192" t="s">
        <v>143</v>
      </c>
      <c r="Q66" s="192" t="s">
        <v>145</v>
      </c>
      <c r="R66" s="192" t="s">
        <v>69</v>
      </c>
      <c r="S66" s="192"/>
      <c r="T66" s="192" t="s">
        <v>65</v>
      </c>
      <c r="U66" s="192"/>
      <c r="V66" s="221"/>
      <c r="W66" s="61"/>
      <c r="X66" s="61"/>
      <c r="Y66" s="61"/>
      <c r="Z66" s="62"/>
      <c r="AA66" s="62"/>
      <c r="AB66" s="62"/>
      <c r="AC66" s="62"/>
    </row>
    <row r="67" spans="1:29" s="63" customFormat="1" ht="21.75" customHeight="1" x14ac:dyDescent="0.15">
      <c r="A67" s="171"/>
      <c r="B67" s="202"/>
      <c r="C67" s="216"/>
      <c r="D67" s="145"/>
      <c r="E67" s="146"/>
      <c r="F67" s="147"/>
      <c r="G67" s="219"/>
      <c r="H67" s="219"/>
      <c r="I67" s="213"/>
      <c r="J67" s="213"/>
      <c r="K67" s="124">
        <v>59.961100000000002</v>
      </c>
      <c r="L67" s="44">
        <v>54</v>
      </c>
      <c r="M67" s="68">
        <v>29</v>
      </c>
      <c r="N67" s="118">
        <v>0</v>
      </c>
      <c r="O67" s="193"/>
      <c r="P67" s="193"/>
      <c r="Q67" s="193"/>
      <c r="R67" s="193"/>
      <c r="S67" s="193"/>
      <c r="T67" s="193"/>
      <c r="U67" s="193"/>
      <c r="V67" s="222"/>
      <c r="W67" s="61"/>
      <c r="X67" s="61"/>
      <c r="Y67" s="61"/>
      <c r="Z67" s="62"/>
      <c r="AA67" s="62"/>
      <c r="AB67" s="62"/>
      <c r="AC67" s="62"/>
    </row>
    <row r="68" spans="1:29" s="48" customFormat="1" ht="21.75" customHeight="1" x14ac:dyDescent="0.15">
      <c r="A68" s="171"/>
      <c r="B68" s="202"/>
      <c r="C68" s="216"/>
      <c r="D68" s="145"/>
      <c r="E68" s="146"/>
      <c r="F68" s="147"/>
      <c r="G68" s="219"/>
      <c r="H68" s="219"/>
      <c r="I68" s="213"/>
      <c r="J68" s="213"/>
      <c r="K68" s="124">
        <v>84.905299999999997</v>
      </c>
      <c r="L68" s="44">
        <v>24</v>
      </c>
      <c r="M68" s="68">
        <v>1</v>
      </c>
      <c r="N68" s="118">
        <v>0</v>
      </c>
      <c r="O68" s="193"/>
      <c r="P68" s="193"/>
      <c r="Q68" s="193"/>
      <c r="R68" s="193"/>
      <c r="S68" s="193"/>
      <c r="T68" s="193"/>
      <c r="U68" s="193"/>
      <c r="V68" s="222"/>
      <c r="W68" s="46"/>
      <c r="X68" s="46"/>
      <c r="Y68" s="46"/>
      <c r="Z68" s="38"/>
      <c r="AA68" s="38"/>
      <c r="AB68" s="38"/>
      <c r="AC68" s="38"/>
    </row>
    <row r="69" spans="1:29" s="48" customFormat="1" ht="21.75" customHeight="1" x14ac:dyDescent="0.15">
      <c r="A69" s="171"/>
      <c r="B69" s="202"/>
      <c r="C69" s="216"/>
      <c r="D69" s="145"/>
      <c r="E69" s="146"/>
      <c r="F69" s="147"/>
      <c r="G69" s="219"/>
      <c r="H69" s="219"/>
      <c r="I69" s="213"/>
      <c r="J69" s="213"/>
      <c r="K69" s="124">
        <v>84.974000000000004</v>
      </c>
      <c r="L69" s="44">
        <v>173</v>
      </c>
      <c r="M69" s="68">
        <v>15</v>
      </c>
      <c r="N69" s="118">
        <v>0</v>
      </c>
      <c r="O69" s="193"/>
      <c r="P69" s="193"/>
      <c r="Q69" s="193"/>
      <c r="R69" s="193"/>
      <c r="S69" s="193"/>
      <c r="T69" s="193"/>
      <c r="U69" s="193"/>
      <c r="V69" s="222"/>
      <c r="W69" s="46"/>
      <c r="X69" s="46"/>
      <c r="Y69" s="46"/>
      <c r="Z69" s="38"/>
      <c r="AA69" s="38"/>
      <c r="AB69" s="38"/>
      <c r="AC69" s="38"/>
    </row>
    <row r="70" spans="1:29" s="55" customFormat="1" ht="21.75" customHeight="1" x14ac:dyDescent="0.15">
      <c r="A70" s="171"/>
      <c r="B70" s="202"/>
      <c r="C70" s="216"/>
      <c r="D70" s="145"/>
      <c r="E70" s="146"/>
      <c r="F70" s="147"/>
      <c r="G70" s="220"/>
      <c r="H70" s="220"/>
      <c r="I70" s="214"/>
      <c r="J70" s="214"/>
      <c r="K70" s="124">
        <v>103.88590000000001</v>
      </c>
      <c r="L70" s="44">
        <v>60</v>
      </c>
      <c r="M70" s="68">
        <v>6</v>
      </c>
      <c r="N70" s="118">
        <v>0</v>
      </c>
      <c r="O70" s="193"/>
      <c r="P70" s="193"/>
      <c r="Q70" s="193"/>
      <c r="R70" s="193"/>
      <c r="S70" s="193"/>
      <c r="T70" s="193"/>
      <c r="U70" s="193"/>
      <c r="V70" s="222"/>
      <c r="W70" s="54"/>
      <c r="X70" s="54"/>
      <c r="Y70" s="54"/>
      <c r="Z70" s="47"/>
      <c r="AA70" s="47"/>
      <c r="AB70" s="47"/>
      <c r="AC70" s="47"/>
    </row>
    <row r="71" spans="1:29" s="48" customFormat="1" ht="21.75" customHeight="1" x14ac:dyDescent="0.15">
      <c r="A71" s="171"/>
      <c r="B71" s="202"/>
      <c r="C71" s="217"/>
      <c r="D71" s="148"/>
      <c r="E71" s="149"/>
      <c r="F71" s="150"/>
      <c r="G71" s="93" t="s">
        <v>71</v>
      </c>
      <c r="H71" s="94"/>
      <c r="I71" s="94"/>
      <c r="J71" s="94"/>
      <c r="K71" s="95"/>
      <c r="L71" s="49">
        <f>SUM(L66:L70)</f>
        <v>511</v>
      </c>
      <c r="M71" s="97">
        <f>SUM(M66:M70)</f>
        <v>148</v>
      </c>
      <c r="N71" s="97">
        <f>SUM(N66:N70)</f>
        <v>0</v>
      </c>
      <c r="O71" s="194"/>
      <c r="P71" s="194"/>
      <c r="Q71" s="194"/>
      <c r="R71" s="194"/>
      <c r="S71" s="194"/>
      <c r="T71" s="194"/>
      <c r="U71" s="194"/>
      <c r="V71" s="223"/>
      <c r="W71" s="50">
        <f>N66+N67</f>
        <v>0</v>
      </c>
      <c r="X71" s="50">
        <f>N68+N69</f>
        <v>0</v>
      </c>
      <c r="Y71" s="50">
        <f>N70</f>
        <v>0</v>
      </c>
      <c r="Z71" s="38"/>
      <c r="AA71" s="38"/>
      <c r="AB71" s="38"/>
      <c r="AC71" s="38"/>
    </row>
    <row r="72" spans="1:29" s="63" customFormat="1" ht="21.75" customHeight="1" x14ac:dyDescent="0.15">
      <c r="A72" s="171"/>
      <c r="B72" s="202"/>
      <c r="C72" s="225" t="s">
        <v>146</v>
      </c>
      <c r="D72" s="142" t="s">
        <v>147</v>
      </c>
      <c r="E72" s="143"/>
      <c r="F72" s="144"/>
      <c r="G72" s="175" t="s">
        <v>148</v>
      </c>
      <c r="H72" s="175" t="s">
        <v>149</v>
      </c>
      <c r="I72" s="179" t="s">
        <v>65</v>
      </c>
      <c r="J72" s="179" t="s">
        <v>67</v>
      </c>
      <c r="K72" s="51">
        <v>59.967199999999998</v>
      </c>
      <c r="L72" s="44">
        <v>317</v>
      </c>
      <c r="M72" s="66">
        <v>19</v>
      </c>
      <c r="N72" s="118">
        <v>5</v>
      </c>
      <c r="O72" s="154" t="s">
        <v>150</v>
      </c>
      <c r="P72" s="154" t="s">
        <v>151</v>
      </c>
      <c r="Q72" s="154" t="s">
        <v>152</v>
      </c>
      <c r="R72" s="154" t="s">
        <v>69</v>
      </c>
      <c r="S72" s="154"/>
      <c r="T72" s="154" t="s">
        <v>65</v>
      </c>
      <c r="U72" s="154"/>
      <c r="V72" s="154"/>
      <c r="W72" s="61"/>
      <c r="X72" s="61"/>
      <c r="Y72" s="61"/>
      <c r="Z72" s="62"/>
      <c r="AA72" s="62"/>
      <c r="AB72" s="62"/>
      <c r="AC72" s="62"/>
    </row>
    <row r="73" spans="1:29" s="63" customFormat="1" ht="21.75" customHeight="1" x14ac:dyDescent="0.15">
      <c r="A73" s="171"/>
      <c r="B73" s="202"/>
      <c r="C73" s="226"/>
      <c r="D73" s="145"/>
      <c r="E73" s="146"/>
      <c r="F73" s="147"/>
      <c r="G73" s="176"/>
      <c r="H73" s="176"/>
      <c r="I73" s="180"/>
      <c r="J73" s="180"/>
      <c r="K73" s="51">
        <v>59.98</v>
      </c>
      <c r="L73" s="44">
        <v>142</v>
      </c>
      <c r="M73" s="66">
        <v>1</v>
      </c>
      <c r="N73" s="118">
        <v>0</v>
      </c>
      <c r="O73" s="155"/>
      <c r="P73" s="155"/>
      <c r="Q73" s="155"/>
      <c r="R73" s="155"/>
      <c r="S73" s="155"/>
      <c r="T73" s="155"/>
      <c r="U73" s="155"/>
      <c r="V73" s="155"/>
      <c r="W73" s="61"/>
      <c r="X73" s="61"/>
      <c r="Y73" s="61"/>
      <c r="Z73" s="62"/>
      <c r="AA73" s="62"/>
      <c r="AB73" s="62"/>
      <c r="AC73" s="62"/>
    </row>
    <row r="74" spans="1:29" s="63" customFormat="1" ht="21.75" customHeight="1" x14ac:dyDescent="0.15">
      <c r="A74" s="171"/>
      <c r="B74" s="202"/>
      <c r="C74" s="226"/>
      <c r="D74" s="145"/>
      <c r="E74" s="146"/>
      <c r="F74" s="147"/>
      <c r="G74" s="176"/>
      <c r="H74" s="176"/>
      <c r="I74" s="180"/>
      <c r="J74" s="180"/>
      <c r="K74" s="51">
        <v>59.992400000000004</v>
      </c>
      <c r="L74" s="44">
        <v>74</v>
      </c>
      <c r="M74" s="66">
        <v>24</v>
      </c>
      <c r="N74" s="118">
        <v>12</v>
      </c>
      <c r="O74" s="155"/>
      <c r="P74" s="155"/>
      <c r="Q74" s="155"/>
      <c r="R74" s="155"/>
      <c r="S74" s="155"/>
      <c r="T74" s="155"/>
      <c r="U74" s="155"/>
      <c r="V74" s="155"/>
      <c r="W74" s="61"/>
      <c r="X74" s="61"/>
      <c r="Y74" s="61"/>
      <c r="Z74" s="62"/>
      <c r="AA74" s="62"/>
      <c r="AB74" s="62"/>
      <c r="AC74" s="62"/>
    </row>
    <row r="75" spans="1:29" s="48" customFormat="1" ht="21.75" customHeight="1" x14ac:dyDescent="0.15">
      <c r="A75" s="171"/>
      <c r="B75" s="202"/>
      <c r="C75" s="226"/>
      <c r="D75" s="145"/>
      <c r="E75" s="146"/>
      <c r="F75" s="147"/>
      <c r="G75" s="176"/>
      <c r="H75" s="176"/>
      <c r="I75" s="180"/>
      <c r="J75" s="180"/>
      <c r="K75" s="51">
        <v>76.353200000000001</v>
      </c>
      <c r="L75" s="44">
        <v>175</v>
      </c>
      <c r="M75" s="66">
        <v>1</v>
      </c>
      <c r="N75" s="118">
        <v>0</v>
      </c>
      <c r="O75" s="155"/>
      <c r="P75" s="155"/>
      <c r="Q75" s="155"/>
      <c r="R75" s="155"/>
      <c r="S75" s="155"/>
      <c r="T75" s="155"/>
      <c r="U75" s="155"/>
      <c r="V75" s="155"/>
      <c r="W75" s="46"/>
      <c r="X75" s="46"/>
      <c r="Y75" s="46"/>
      <c r="Z75" s="38"/>
      <c r="AA75" s="38"/>
      <c r="AB75" s="38"/>
      <c r="AC75" s="38"/>
    </row>
    <row r="76" spans="1:29" s="48" customFormat="1" ht="21.75" customHeight="1" x14ac:dyDescent="0.15">
      <c r="A76" s="171"/>
      <c r="B76" s="202"/>
      <c r="C76" s="226"/>
      <c r="D76" s="145"/>
      <c r="E76" s="146"/>
      <c r="F76" s="147"/>
      <c r="G76" s="176"/>
      <c r="H76" s="176"/>
      <c r="I76" s="180"/>
      <c r="J76" s="180"/>
      <c r="K76" s="51">
        <v>76.442300000000003</v>
      </c>
      <c r="L76" s="44">
        <v>161</v>
      </c>
      <c r="M76" s="66">
        <v>0</v>
      </c>
      <c r="N76" s="118">
        <v>0</v>
      </c>
      <c r="O76" s="155"/>
      <c r="P76" s="155"/>
      <c r="Q76" s="155"/>
      <c r="R76" s="155"/>
      <c r="S76" s="155"/>
      <c r="T76" s="155"/>
      <c r="U76" s="155"/>
      <c r="V76" s="155"/>
      <c r="W76" s="46"/>
      <c r="X76" s="46"/>
      <c r="Y76" s="46"/>
      <c r="Z76" s="38"/>
      <c r="AA76" s="38"/>
      <c r="AB76" s="38"/>
      <c r="AC76" s="38"/>
    </row>
    <row r="77" spans="1:29" s="48" customFormat="1" ht="21.75" customHeight="1" x14ac:dyDescent="0.15">
      <c r="A77" s="171"/>
      <c r="B77" s="202"/>
      <c r="C77" s="226"/>
      <c r="D77" s="145"/>
      <c r="E77" s="146"/>
      <c r="F77" s="147"/>
      <c r="G77" s="176"/>
      <c r="H77" s="176"/>
      <c r="I77" s="180"/>
      <c r="J77" s="180"/>
      <c r="K77" s="51">
        <v>76.675600000000003</v>
      </c>
      <c r="L77" s="44">
        <v>88</v>
      </c>
      <c r="M77" s="66">
        <v>3</v>
      </c>
      <c r="N77" s="118">
        <v>0</v>
      </c>
      <c r="O77" s="155"/>
      <c r="P77" s="155"/>
      <c r="Q77" s="155"/>
      <c r="R77" s="155"/>
      <c r="S77" s="155"/>
      <c r="T77" s="155"/>
      <c r="U77" s="155"/>
      <c r="V77" s="155"/>
      <c r="W77" s="46"/>
      <c r="X77" s="46"/>
      <c r="Y77" s="46"/>
      <c r="Z77" s="38"/>
      <c r="AA77" s="38"/>
      <c r="AB77" s="38"/>
      <c r="AC77" s="38"/>
    </row>
    <row r="78" spans="1:29" s="48" customFormat="1" ht="21.75" customHeight="1" x14ac:dyDescent="0.15">
      <c r="A78" s="171"/>
      <c r="B78" s="202"/>
      <c r="C78" s="226"/>
      <c r="D78" s="145"/>
      <c r="E78" s="146"/>
      <c r="F78" s="147"/>
      <c r="G78" s="176"/>
      <c r="H78" s="176"/>
      <c r="I78" s="180"/>
      <c r="J78" s="180"/>
      <c r="K78" s="51">
        <v>84.989900000000006</v>
      </c>
      <c r="L78" s="44">
        <v>129</v>
      </c>
      <c r="M78" s="66">
        <v>0</v>
      </c>
      <c r="N78" s="118">
        <v>0</v>
      </c>
      <c r="O78" s="155"/>
      <c r="P78" s="155"/>
      <c r="Q78" s="155"/>
      <c r="R78" s="155"/>
      <c r="S78" s="155"/>
      <c r="T78" s="155"/>
      <c r="U78" s="155"/>
      <c r="V78" s="155"/>
      <c r="W78" s="46"/>
      <c r="X78" s="46"/>
      <c r="Y78" s="46"/>
      <c r="Z78" s="38"/>
      <c r="AA78" s="38"/>
      <c r="AB78" s="38"/>
      <c r="AC78" s="38"/>
    </row>
    <row r="79" spans="1:29" s="48" customFormat="1" ht="21.75" customHeight="1" x14ac:dyDescent="0.15">
      <c r="A79" s="171"/>
      <c r="B79" s="202"/>
      <c r="C79" s="226"/>
      <c r="D79" s="145"/>
      <c r="E79" s="146"/>
      <c r="F79" s="147"/>
      <c r="G79" s="176"/>
      <c r="H79" s="176"/>
      <c r="I79" s="180"/>
      <c r="J79" s="180"/>
      <c r="K79" s="51">
        <v>84.987499999999997</v>
      </c>
      <c r="L79" s="44">
        <v>75</v>
      </c>
      <c r="M79" s="66">
        <v>0</v>
      </c>
      <c r="N79" s="118">
        <v>0</v>
      </c>
      <c r="O79" s="155"/>
      <c r="P79" s="155"/>
      <c r="Q79" s="155"/>
      <c r="R79" s="155"/>
      <c r="S79" s="155"/>
      <c r="T79" s="155"/>
      <c r="U79" s="155"/>
      <c r="V79" s="155"/>
      <c r="W79" s="46"/>
      <c r="X79" s="46"/>
      <c r="Y79" s="46"/>
      <c r="Z79" s="38"/>
      <c r="AA79" s="38"/>
      <c r="AB79" s="38"/>
      <c r="AC79" s="38"/>
    </row>
    <row r="80" spans="1:29" s="48" customFormat="1" ht="21.75" customHeight="1" x14ac:dyDescent="0.15">
      <c r="A80" s="171"/>
      <c r="B80" s="202"/>
      <c r="C80" s="226"/>
      <c r="D80" s="145"/>
      <c r="E80" s="146"/>
      <c r="F80" s="147"/>
      <c r="G80" s="176"/>
      <c r="H80" s="176"/>
      <c r="I80" s="180"/>
      <c r="J80" s="180"/>
      <c r="K80" s="51">
        <v>84.971299999999999</v>
      </c>
      <c r="L80" s="44">
        <v>74</v>
      </c>
      <c r="M80" s="66">
        <v>0</v>
      </c>
      <c r="N80" s="118">
        <v>0</v>
      </c>
      <c r="O80" s="155"/>
      <c r="P80" s="155"/>
      <c r="Q80" s="155"/>
      <c r="R80" s="155"/>
      <c r="S80" s="155"/>
      <c r="T80" s="155"/>
      <c r="U80" s="155"/>
      <c r="V80" s="155"/>
      <c r="W80" s="46"/>
      <c r="X80" s="46"/>
      <c r="Y80" s="46"/>
      <c r="Z80" s="38"/>
      <c r="AA80" s="38"/>
      <c r="AB80" s="38"/>
      <c r="AC80" s="38"/>
    </row>
    <row r="81" spans="1:29" s="55" customFormat="1" ht="21.75" customHeight="1" x14ac:dyDescent="0.15">
      <c r="A81" s="171"/>
      <c r="B81" s="202"/>
      <c r="C81" s="226"/>
      <c r="D81" s="145"/>
      <c r="E81" s="146"/>
      <c r="F81" s="147"/>
      <c r="G81" s="177"/>
      <c r="H81" s="177"/>
      <c r="I81" s="181"/>
      <c r="J81" s="181"/>
      <c r="K81" s="51">
        <v>125.32989999999999</v>
      </c>
      <c r="L81" s="44">
        <v>60</v>
      </c>
      <c r="M81" s="66">
        <v>0</v>
      </c>
      <c r="N81" s="118">
        <v>0</v>
      </c>
      <c r="O81" s="155"/>
      <c r="P81" s="155"/>
      <c r="Q81" s="155"/>
      <c r="R81" s="155"/>
      <c r="S81" s="155"/>
      <c r="T81" s="155"/>
      <c r="U81" s="155"/>
      <c r="V81" s="155"/>
      <c r="W81" s="54"/>
      <c r="X81" s="54"/>
      <c r="Y81" s="54"/>
      <c r="Z81" s="47"/>
      <c r="AA81" s="47"/>
      <c r="AB81" s="47"/>
      <c r="AC81" s="47"/>
    </row>
    <row r="82" spans="1:29" s="48" customFormat="1" ht="21.75" customHeight="1" x14ac:dyDescent="0.15">
      <c r="A82" s="171"/>
      <c r="B82" s="202"/>
      <c r="C82" s="227"/>
      <c r="D82" s="148"/>
      <c r="E82" s="149"/>
      <c r="F82" s="150"/>
      <c r="G82" s="93" t="s">
        <v>71</v>
      </c>
      <c r="H82" s="94"/>
      <c r="I82" s="94"/>
      <c r="J82" s="94"/>
      <c r="K82" s="95"/>
      <c r="L82" s="49">
        <f>SUM(L72:L81)</f>
        <v>1295</v>
      </c>
      <c r="M82" s="97">
        <f>SUM(M72:M81)</f>
        <v>48</v>
      </c>
      <c r="N82" s="97">
        <f>SUM(N72:N81)</f>
        <v>17</v>
      </c>
      <c r="O82" s="156"/>
      <c r="P82" s="156"/>
      <c r="Q82" s="156"/>
      <c r="R82" s="156"/>
      <c r="S82" s="156"/>
      <c r="T82" s="156"/>
      <c r="U82" s="156"/>
      <c r="V82" s="156"/>
      <c r="W82" s="50">
        <f>N72+N73+N74</f>
        <v>17</v>
      </c>
      <c r="X82" s="50">
        <f>N75+N76+N77+N78+N79+N80</f>
        <v>0</v>
      </c>
      <c r="Y82" s="50">
        <f>N81</f>
        <v>0</v>
      </c>
      <c r="Z82" s="38"/>
      <c r="AA82" s="38"/>
      <c r="AB82" s="38"/>
      <c r="AC82" s="38"/>
    </row>
    <row r="83" spans="1:29" s="74" customFormat="1" ht="21.75" customHeight="1" x14ac:dyDescent="0.15">
      <c r="A83" s="171"/>
      <c r="B83" s="202" t="s">
        <v>302</v>
      </c>
      <c r="C83" s="243"/>
      <c r="D83" s="228" t="s">
        <v>153</v>
      </c>
      <c r="E83" s="229"/>
      <c r="F83" s="230"/>
      <c r="G83" s="237" t="s">
        <v>154</v>
      </c>
      <c r="H83" s="237" t="s">
        <v>154</v>
      </c>
      <c r="I83" s="237" t="s">
        <v>65</v>
      </c>
      <c r="J83" s="237" t="s">
        <v>67</v>
      </c>
      <c r="K83" s="70">
        <v>54.613300000000002</v>
      </c>
      <c r="L83" s="66">
        <v>21</v>
      </c>
      <c r="M83" s="71">
        <v>21</v>
      </c>
      <c r="N83" s="71">
        <v>21</v>
      </c>
      <c r="O83" s="240" t="s">
        <v>155</v>
      </c>
      <c r="P83" s="240"/>
      <c r="Q83" s="240" t="s">
        <v>156</v>
      </c>
      <c r="R83" s="240" t="s">
        <v>69</v>
      </c>
      <c r="S83" s="192"/>
      <c r="T83" s="192" t="s">
        <v>65</v>
      </c>
      <c r="U83" s="192"/>
      <c r="V83" s="221"/>
      <c r="W83" s="72"/>
      <c r="X83" s="72"/>
      <c r="Y83" s="72"/>
      <c r="Z83" s="73"/>
      <c r="AA83" s="73"/>
      <c r="AB83" s="73"/>
      <c r="AC83" s="73"/>
    </row>
    <row r="84" spans="1:29" s="74" customFormat="1" ht="21.75" customHeight="1" x14ac:dyDescent="0.15">
      <c r="A84" s="171"/>
      <c r="B84" s="202"/>
      <c r="C84" s="243"/>
      <c r="D84" s="231"/>
      <c r="E84" s="232"/>
      <c r="F84" s="233"/>
      <c r="G84" s="238"/>
      <c r="H84" s="238"/>
      <c r="I84" s="238"/>
      <c r="J84" s="238"/>
      <c r="K84" s="70">
        <v>59.906700000000001</v>
      </c>
      <c r="L84" s="66">
        <v>24</v>
      </c>
      <c r="M84" s="71">
        <v>24</v>
      </c>
      <c r="N84" s="71">
        <v>24</v>
      </c>
      <c r="O84" s="241"/>
      <c r="P84" s="241"/>
      <c r="Q84" s="241"/>
      <c r="R84" s="241"/>
      <c r="S84" s="193"/>
      <c r="T84" s="193"/>
      <c r="U84" s="193"/>
      <c r="V84" s="222"/>
      <c r="W84" s="72"/>
      <c r="X84" s="72"/>
      <c r="Y84" s="72"/>
      <c r="Z84" s="73"/>
      <c r="AA84" s="73"/>
      <c r="AB84" s="73"/>
      <c r="AC84" s="73"/>
    </row>
    <row r="85" spans="1:29" s="48" customFormat="1" ht="21.75" customHeight="1" x14ac:dyDescent="0.15">
      <c r="A85" s="171"/>
      <c r="B85" s="202"/>
      <c r="C85" s="243"/>
      <c r="D85" s="231"/>
      <c r="E85" s="232"/>
      <c r="F85" s="233"/>
      <c r="G85" s="238"/>
      <c r="H85" s="238"/>
      <c r="I85" s="238"/>
      <c r="J85" s="238"/>
      <c r="K85" s="70">
        <v>62.962699999999998</v>
      </c>
      <c r="L85" s="66">
        <v>62</v>
      </c>
      <c r="M85" s="71">
        <v>61</v>
      </c>
      <c r="N85" s="71">
        <v>61</v>
      </c>
      <c r="O85" s="241"/>
      <c r="P85" s="241"/>
      <c r="Q85" s="241"/>
      <c r="R85" s="241"/>
      <c r="S85" s="193"/>
      <c r="T85" s="193"/>
      <c r="U85" s="193"/>
      <c r="V85" s="222"/>
      <c r="W85" s="53"/>
      <c r="X85" s="53"/>
      <c r="Y85" s="53"/>
      <c r="Z85" s="38"/>
      <c r="AA85" s="38"/>
      <c r="AB85" s="38"/>
      <c r="AC85" s="38"/>
    </row>
    <row r="86" spans="1:29" s="48" customFormat="1" ht="21.75" customHeight="1" x14ac:dyDescent="0.15">
      <c r="A86" s="171"/>
      <c r="B86" s="202"/>
      <c r="C86" s="243"/>
      <c r="D86" s="231"/>
      <c r="E86" s="232"/>
      <c r="F86" s="233"/>
      <c r="G86" s="238"/>
      <c r="H86" s="238"/>
      <c r="I86" s="238"/>
      <c r="J86" s="238"/>
      <c r="K86" s="70">
        <v>66.505899999999997</v>
      </c>
      <c r="L86" s="66">
        <v>1</v>
      </c>
      <c r="M86" s="71">
        <v>1</v>
      </c>
      <c r="N86" s="71">
        <v>1</v>
      </c>
      <c r="O86" s="241"/>
      <c r="P86" s="241"/>
      <c r="Q86" s="241"/>
      <c r="R86" s="241"/>
      <c r="S86" s="193"/>
      <c r="T86" s="193"/>
      <c r="U86" s="193"/>
      <c r="V86" s="222"/>
      <c r="W86" s="53"/>
      <c r="X86" s="53"/>
      <c r="Y86" s="53"/>
      <c r="Z86" s="38"/>
      <c r="AA86" s="38"/>
      <c r="AB86" s="38"/>
      <c r="AC86" s="38"/>
    </row>
    <row r="87" spans="1:29" s="48" customFormat="1" ht="21.75" customHeight="1" x14ac:dyDescent="0.15">
      <c r="A87" s="171"/>
      <c r="B87" s="202"/>
      <c r="C87" s="243"/>
      <c r="D87" s="231"/>
      <c r="E87" s="232"/>
      <c r="F87" s="233"/>
      <c r="G87" s="238"/>
      <c r="H87" s="238"/>
      <c r="I87" s="238"/>
      <c r="J87" s="238"/>
      <c r="K87" s="70">
        <v>66.459999999999994</v>
      </c>
      <c r="L87" s="66">
        <v>1</v>
      </c>
      <c r="M87" s="71">
        <v>0</v>
      </c>
      <c r="N87" s="71">
        <v>1</v>
      </c>
      <c r="O87" s="241"/>
      <c r="P87" s="241"/>
      <c r="Q87" s="241"/>
      <c r="R87" s="241"/>
      <c r="S87" s="193"/>
      <c r="T87" s="193"/>
      <c r="U87" s="193"/>
      <c r="V87" s="222"/>
      <c r="W87" s="53"/>
      <c r="X87" s="53"/>
      <c r="Y87" s="53"/>
      <c r="Z87" s="38"/>
      <c r="AA87" s="38"/>
      <c r="AB87" s="38"/>
      <c r="AC87" s="38"/>
    </row>
    <row r="88" spans="1:29" s="48" customFormat="1" ht="21.75" customHeight="1" x14ac:dyDescent="0.15">
      <c r="A88" s="171"/>
      <c r="B88" s="202"/>
      <c r="C88" s="243"/>
      <c r="D88" s="231"/>
      <c r="E88" s="232"/>
      <c r="F88" s="233"/>
      <c r="G88" s="238"/>
      <c r="H88" s="238"/>
      <c r="I88" s="238"/>
      <c r="J88" s="238"/>
      <c r="K88" s="70">
        <v>74.992900000000006</v>
      </c>
      <c r="L88" s="66">
        <v>8</v>
      </c>
      <c r="M88" s="71">
        <v>8</v>
      </c>
      <c r="N88" s="71">
        <v>8</v>
      </c>
      <c r="O88" s="241"/>
      <c r="P88" s="241"/>
      <c r="Q88" s="241"/>
      <c r="R88" s="241"/>
      <c r="S88" s="193"/>
      <c r="T88" s="193"/>
      <c r="U88" s="193"/>
      <c r="V88" s="222"/>
      <c r="W88" s="53"/>
      <c r="X88" s="53"/>
      <c r="Y88" s="53"/>
      <c r="Z88" s="38"/>
      <c r="AA88" s="38"/>
      <c r="AB88" s="38"/>
      <c r="AC88" s="38"/>
    </row>
    <row r="89" spans="1:29" s="48" customFormat="1" ht="21.75" customHeight="1" x14ac:dyDescent="0.15">
      <c r="A89" s="171"/>
      <c r="B89" s="202"/>
      <c r="C89" s="243"/>
      <c r="D89" s="231"/>
      <c r="E89" s="232"/>
      <c r="F89" s="233"/>
      <c r="G89" s="238"/>
      <c r="H89" s="238"/>
      <c r="I89" s="238"/>
      <c r="J89" s="238"/>
      <c r="K89" s="70">
        <v>84.993799999999993</v>
      </c>
      <c r="L89" s="66">
        <v>59</v>
      </c>
      <c r="M89" s="71">
        <v>59</v>
      </c>
      <c r="N89" s="71">
        <v>59</v>
      </c>
      <c r="O89" s="241"/>
      <c r="P89" s="241"/>
      <c r="Q89" s="241"/>
      <c r="R89" s="241"/>
      <c r="S89" s="193"/>
      <c r="T89" s="193"/>
      <c r="U89" s="193"/>
      <c r="V89" s="222"/>
      <c r="W89" s="53"/>
      <c r="X89" s="53"/>
      <c r="Y89" s="53"/>
      <c r="Z89" s="38"/>
      <c r="AA89" s="38"/>
      <c r="AB89" s="38"/>
      <c r="AC89" s="38"/>
    </row>
    <row r="90" spans="1:29" s="48" customFormat="1" ht="21.75" customHeight="1" x14ac:dyDescent="0.15">
      <c r="A90" s="171"/>
      <c r="B90" s="202"/>
      <c r="C90" s="243"/>
      <c r="D90" s="231"/>
      <c r="E90" s="232"/>
      <c r="F90" s="233"/>
      <c r="G90" s="238"/>
      <c r="H90" s="238"/>
      <c r="I90" s="238"/>
      <c r="J90" s="238"/>
      <c r="K90" s="70">
        <v>84.956199999999995</v>
      </c>
      <c r="L90" s="66">
        <v>79</v>
      </c>
      <c r="M90" s="71">
        <v>79</v>
      </c>
      <c r="N90" s="71">
        <v>79</v>
      </c>
      <c r="O90" s="241"/>
      <c r="P90" s="241"/>
      <c r="Q90" s="241"/>
      <c r="R90" s="241"/>
      <c r="S90" s="193"/>
      <c r="T90" s="193"/>
      <c r="U90" s="193"/>
      <c r="V90" s="222"/>
      <c r="W90" s="53"/>
      <c r="X90" s="53"/>
      <c r="Y90" s="53"/>
      <c r="Z90" s="38"/>
      <c r="AA90" s="38"/>
      <c r="AB90" s="38"/>
      <c r="AC90" s="38"/>
    </row>
    <row r="91" spans="1:29" s="48" customFormat="1" ht="21.75" customHeight="1" x14ac:dyDescent="0.15">
      <c r="A91" s="171"/>
      <c r="B91" s="202"/>
      <c r="C91" s="243"/>
      <c r="D91" s="231"/>
      <c r="E91" s="232"/>
      <c r="F91" s="233"/>
      <c r="G91" s="238"/>
      <c r="H91" s="238"/>
      <c r="I91" s="238"/>
      <c r="J91" s="238"/>
      <c r="K91" s="70">
        <v>84.993799999999993</v>
      </c>
      <c r="L91" s="66">
        <v>42</v>
      </c>
      <c r="M91" s="71">
        <v>42</v>
      </c>
      <c r="N91" s="71">
        <v>42</v>
      </c>
      <c r="O91" s="241"/>
      <c r="P91" s="241"/>
      <c r="Q91" s="241"/>
      <c r="R91" s="241"/>
      <c r="S91" s="193"/>
      <c r="T91" s="193"/>
      <c r="U91" s="193"/>
      <c r="V91" s="222"/>
      <c r="W91" s="53"/>
      <c r="X91" s="53"/>
      <c r="Y91" s="53"/>
      <c r="Z91" s="38"/>
      <c r="AA91" s="38"/>
      <c r="AB91" s="38"/>
      <c r="AC91" s="38"/>
    </row>
    <row r="92" spans="1:29" s="55" customFormat="1" ht="21.75" customHeight="1" x14ac:dyDescent="0.15">
      <c r="A92" s="171"/>
      <c r="B92" s="202"/>
      <c r="C92" s="243"/>
      <c r="D92" s="231"/>
      <c r="E92" s="232"/>
      <c r="F92" s="233"/>
      <c r="G92" s="238"/>
      <c r="H92" s="238"/>
      <c r="I92" s="238"/>
      <c r="J92" s="238"/>
      <c r="K92" s="70">
        <v>85.847999999999999</v>
      </c>
      <c r="L92" s="66">
        <v>1</v>
      </c>
      <c r="M92" s="71">
        <v>1</v>
      </c>
      <c r="N92" s="71">
        <v>1</v>
      </c>
      <c r="O92" s="241"/>
      <c r="P92" s="241"/>
      <c r="Q92" s="241"/>
      <c r="R92" s="241"/>
      <c r="S92" s="193"/>
      <c r="T92" s="193"/>
      <c r="U92" s="193"/>
      <c r="V92" s="222"/>
      <c r="W92" s="54"/>
      <c r="X92" s="54"/>
      <c r="Y92" s="54"/>
      <c r="Z92" s="47"/>
      <c r="AA92" s="47"/>
      <c r="AB92" s="47"/>
      <c r="AC92" s="47"/>
    </row>
    <row r="93" spans="1:29" s="55" customFormat="1" ht="21.75" customHeight="1" x14ac:dyDescent="0.15">
      <c r="A93" s="171"/>
      <c r="B93" s="202"/>
      <c r="C93" s="243"/>
      <c r="D93" s="231"/>
      <c r="E93" s="232"/>
      <c r="F93" s="233"/>
      <c r="G93" s="239"/>
      <c r="H93" s="239"/>
      <c r="I93" s="239"/>
      <c r="J93" s="239"/>
      <c r="K93" s="70">
        <v>96.304599999999994</v>
      </c>
      <c r="L93" s="66">
        <v>1</v>
      </c>
      <c r="M93" s="71">
        <v>1</v>
      </c>
      <c r="N93" s="71">
        <v>1</v>
      </c>
      <c r="O93" s="241"/>
      <c r="P93" s="241"/>
      <c r="Q93" s="241"/>
      <c r="R93" s="241"/>
      <c r="S93" s="193"/>
      <c r="T93" s="193"/>
      <c r="U93" s="193"/>
      <c r="V93" s="222"/>
      <c r="W93" s="54"/>
      <c r="X93" s="54"/>
      <c r="Y93" s="54"/>
      <c r="Z93" s="47"/>
      <c r="AA93" s="47"/>
      <c r="AB93" s="47"/>
      <c r="AC93" s="47"/>
    </row>
    <row r="94" spans="1:29" s="48" customFormat="1" ht="21.75" customHeight="1" x14ac:dyDescent="0.15">
      <c r="A94" s="171"/>
      <c r="B94" s="202"/>
      <c r="C94" s="244"/>
      <c r="D94" s="234"/>
      <c r="E94" s="235"/>
      <c r="F94" s="236"/>
      <c r="G94" s="109" t="s">
        <v>71</v>
      </c>
      <c r="H94" s="102"/>
      <c r="I94" s="102"/>
      <c r="J94" s="102"/>
      <c r="K94" s="103"/>
      <c r="L94" s="75">
        <f>SUM(L83:L93)</f>
        <v>299</v>
      </c>
      <c r="M94" s="97">
        <f>SUM(M83:M93)</f>
        <v>297</v>
      </c>
      <c r="N94" s="97">
        <f>SUM(N83:N93)</f>
        <v>298</v>
      </c>
      <c r="O94" s="242"/>
      <c r="P94" s="242"/>
      <c r="Q94" s="242"/>
      <c r="R94" s="242"/>
      <c r="S94" s="194"/>
      <c r="T94" s="194"/>
      <c r="U94" s="194"/>
      <c r="V94" s="223"/>
      <c r="W94" s="47">
        <f>N83+N84</f>
        <v>45</v>
      </c>
      <c r="X94" s="47">
        <f>N85+N86+N87+N88+N89+N90+N91</f>
        <v>251</v>
      </c>
      <c r="Y94" s="47">
        <f>N92+N93</f>
        <v>2</v>
      </c>
      <c r="Z94" s="38"/>
      <c r="AA94" s="38"/>
      <c r="AB94" s="38"/>
      <c r="AC94" s="38"/>
    </row>
    <row r="95" spans="1:29" s="48" customFormat="1" ht="21.75" customHeight="1" x14ac:dyDescent="0.15">
      <c r="A95" s="171"/>
      <c r="B95" s="202"/>
      <c r="C95" s="243"/>
      <c r="D95" s="142" t="s">
        <v>157</v>
      </c>
      <c r="E95" s="143"/>
      <c r="F95" s="144"/>
      <c r="G95" s="212" t="s">
        <v>158</v>
      </c>
      <c r="H95" s="212" t="s">
        <v>159</v>
      </c>
      <c r="I95" s="212" t="s">
        <v>65</v>
      </c>
      <c r="J95" s="248" t="s">
        <v>67</v>
      </c>
      <c r="K95" s="122">
        <v>84.9328</v>
      </c>
      <c r="L95" s="44">
        <v>162</v>
      </c>
      <c r="M95" s="76">
        <v>16</v>
      </c>
      <c r="N95" s="114">
        <v>15</v>
      </c>
      <c r="O95" s="212" t="s">
        <v>160</v>
      </c>
      <c r="P95" s="212" t="s">
        <v>115</v>
      </c>
      <c r="Q95" s="212">
        <v>2025.02</v>
      </c>
      <c r="R95" s="212" t="s">
        <v>69</v>
      </c>
      <c r="S95" s="212"/>
      <c r="T95" s="212" t="s">
        <v>65</v>
      </c>
      <c r="U95" s="212"/>
      <c r="V95" s="245"/>
      <c r="W95" s="53"/>
      <c r="X95" s="53"/>
      <c r="Y95" s="53"/>
      <c r="Z95" s="38"/>
      <c r="AA95" s="38"/>
      <c r="AB95" s="38"/>
      <c r="AC95" s="38"/>
    </row>
    <row r="96" spans="1:29" s="48" customFormat="1" ht="21.75" customHeight="1" x14ac:dyDescent="0.15">
      <c r="A96" s="171"/>
      <c r="B96" s="202"/>
      <c r="C96" s="243"/>
      <c r="D96" s="145"/>
      <c r="E96" s="146"/>
      <c r="F96" s="147"/>
      <c r="G96" s="213"/>
      <c r="H96" s="213"/>
      <c r="I96" s="213"/>
      <c r="J96" s="249"/>
      <c r="K96" s="122">
        <v>84.957599999999999</v>
      </c>
      <c r="L96" s="44">
        <v>79</v>
      </c>
      <c r="M96" s="76">
        <v>27</v>
      </c>
      <c r="N96" s="114">
        <v>26</v>
      </c>
      <c r="O96" s="213"/>
      <c r="P96" s="213"/>
      <c r="Q96" s="213"/>
      <c r="R96" s="213"/>
      <c r="S96" s="213"/>
      <c r="T96" s="213"/>
      <c r="U96" s="213"/>
      <c r="V96" s="246"/>
      <c r="W96" s="53"/>
      <c r="X96" s="53"/>
      <c r="Y96" s="53"/>
      <c r="Z96" s="38"/>
      <c r="AA96" s="38"/>
      <c r="AB96" s="38"/>
      <c r="AC96" s="38"/>
    </row>
    <row r="97" spans="1:29" s="48" customFormat="1" ht="21.75" customHeight="1" x14ac:dyDescent="0.15">
      <c r="A97" s="171"/>
      <c r="B97" s="202"/>
      <c r="C97" s="243"/>
      <c r="D97" s="145"/>
      <c r="E97" s="146"/>
      <c r="F97" s="147"/>
      <c r="G97" s="213"/>
      <c r="H97" s="213"/>
      <c r="I97" s="213"/>
      <c r="J97" s="249"/>
      <c r="K97" s="122">
        <v>84.971900000000005</v>
      </c>
      <c r="L97" s="44">
        <v>151</v>
      </c>
      <c r="M97" s="77">
        <v>10</v>
      </c>
      <c r="N97" s="115">
        <v>7</v>
      </c>
      <c r="O97" s="213"/>
      <c r="P97" s="213"/>
      <c r="Q97" s="213"/>
      <c r="R97" s="213"/>
      <c r="S97" s="213"/>
      <c r="T97" s="213"/>
      <c r="U97" s="213"/>
      <c r="V97" s="246"/>
      <c r="W97" s="53"/>
      <c r="X97" s="53"/>
      <c r="Y97" s="53"/>
      <c r="Z97" s="38"/>
      <c r="AA97" s="38"/>
      <c r="AB97" s="38"/>
      <c r="AC97" s="38"/>
    </row>
    <row r="98" spans="1:29" s="48" customFormat="1" ht="21.75" customHeight="1" x14ac:dyDescent="0.15">
      <c r="A98" s="171"/>
      <c r="B98" s="202"/>
      <c r="C98" s="243"/>
      <c r="D98" s="145"/>
      <c r="E98" s="146"/>
      <c r="F98" s="147"/>
      <c r="G98" s="213"/>
      <c r="H98" s="213"/>
      <c r="I98" s="213"/>
      <c r="J98" s="249"/>
      <c r="K98" s="122">
        <v>84.981200000000001</v>
      </c>
      <c r="L98" s="44">
        <v>15</v>
      </c>
      <c r="M98" s="77">
        <v>2</v>
      </c>
      <c r="N98" s="115">
        <v>1</v>
      </c>
      <c r="O98" s="213"/>
      <c r="P98" s="213"/>
      <c r="Q98" s="213"/>
      <c r="R98" s="213"/>
      <c r="S98" s="213"/>
      <c r="T98" s="213"/>
      <c r="U98" s="213"/>
      <c r="V98" s="246"/>
      <c r="W98" s="53"/>
      <c r="X98" s="53"/>
      <c r="Y98" s="53"/>
      <c r="Z98" s="38"/>
      <c r="AA98" s="38"/>
      <c r="AB98" s="38"/>
      <c r="AC98" s="38"/>
    </row>
    <row r="99" spans="1:29" s="55" customFormat="1" ht="21.75" customHeight="1" x14ac:dyDescent="0.15">
      <c r="A99" s="171"/>
      <c r="B99" s="202"/>
      <c r="C99" s="243"/>
      <c r="D99" s="145"/>
      <c r="E99" s="146"/>
      <c r="F99" s="147"/>
      <c r="G99" s="214"/>
      <c r="H99" s="214"/>
      <c r="I99" s="214"/>
      <c r="J99" s="250"/>
      <c r="K99" s="122">
        <v>110.94</v>
      </c>
      <c r="L99" s="44">
        <v>127</v>
      </c>
      <c r="M99" s="77">
        <v>35</v>
      </c>
      <c r="N99" s="115">
        <v>35</v>
      </c>
      <c r="O99" s="213"/>
      <c r="P99" s="213"/>
      <c r="Q99" s="213"/>
      <c r="R99" s="213"/>
      <c r="S99" s="213"/>
      <c r="T99" s="213"/>
      <c r="U99" s="213"/>
      <c r="V99" s="246"/>
      <c r="W99" s="54"/>
      <c r="X99" s="54"/>
      <c r="Y99" s="54"/>
      <c r="Z99" s="47"/>
      <c r="AA99" s="47"/>
      <c r="AB99" s="47"/>
      <c r="AC99" s="47"/>
    </row>
    <row r="100" spans="1:29" s="48" customFormat="1" ht="21.75" customHeight="1" x14ac:dyDescent="0.15">
      <c r="A100" s="171"/>
      <c r="B100" s="202"/>
      <c r="C100" s="244"/>
      <c r="D100" s="148"/>
      <c r="E100" s="149"/>
      <c r="F100" s="150"/>
      <c r="G100" s="93" t="s">
        <v>71</v>
      </c>
      <c r="H100" s="100"/>
      <c r="I100" s="100"/>
      <c r="J100" s="100"/>
      <c r="K100" s="101"/>
      <c r="L100" s="49">
        <f>SUM(L95:L99)</f>
        <v>534</v>
      </c>
      <c r="M100" s="97">
        <f>SUM(M95:M99)</f>
        <v>90</v>
      </c>
      <c r="N100" s="97">
        <f>SUM(N95:N99)</f>
        <v>84</v>
      </c>
      <c r="O100" s="214"/>
      <c r="P100" s="214"/>
      <c r="Q100" s="214"/>
      <c r="R100" s="214"/>
      <c r="S100" s="214"/>
      <c r="T100" s="214"/>
      <c r="U100" s="214"/>
      <c r="V100" s="247"/>
      <c r="W100" s="53"/>
      <c r="X100" s="50">
        <f>N95+N96+N97+N98</f>
        <v>49</v>
      </c>
      <c r="Y100" s="50">
        <f>N99</f>
        <v>35</v>
      </c>
      <c r="Z100" s="38"/>
      <c r="AA100" s="38"/>
      <c r="AB100" s="38"/>
      <c r="AC100" s="38"/>
    </row>
    <row r="101" spans="1:29" s="74" customFormat="1" ht="21.75" customHeight="1" x14ac:dyDescent="0.15">
      <c r="A101" s="171"/>
      <c r="B101" s="202"/>
      <c r="C101" s="243"/>
      <c r="D101" s="142" t="s">
        <v>162</v>
      </c>
      <c r="E101" s="143"/>
      <c r="F101" s="144"/>
      <c r="G101" s="212" t="s">
        <v>163</v>
      </c>
      <c r="H101" s="212" t="s">
        <v>164</v>
      </c>
      <c r="I101" s="212" t="s">
        <v>65</v>
      </c>
      <c r="J101" s="212" t="s">
        <v>67</v>
      </c>
      <c r="K101" s="123">
        <v>59.9221</v>
      </c>
      <c r="L101" s="44">
        <v>108</v>
      </c>
      <c r="M101" s="45" t="s">
        <v>161</v>
      </c>
      <c r="N101" s="45">
        <v>0</v>
      </c>
      <c r="O101" s="192" t="s">
        <v>165</v>
      </c>
      <c r="P101" s="192" t="s">
        <v>166</v>
      </c>
      <c r="Q101" s="260" t="s">
        <v>144</v>
      </c>
      <c r="R101" s="192" t="s">
        <v>69</v>
      </c>
      <c r="S101" s="192" t="s">
        <v>167</v>
      </c>
      <c r="T101" s="192" t="s">
        <v>65</v>
      </c>
      <c r="U101" s="192"/>
      <c r="V101" s="221"/>
      <c r="W101" s="72"/>
      <c r="X101" s="72"/>
      <c r="Y101" s="72"/>
      <c r="Z101" s="73"/>
      <c r="AA101" s="73"/>
      <c r="AB101" s="73"/>
      <c r="AC101" s="73"/>
    </row>
    <row r="102" spans="1:29" s="48" customFormat="1" ht="21.75" customHeight="1" x14ac:dyDescent="0.15">
      <c r="A102" s="171"/>
      <c r="B102" s="202"/>
      <c r="C102" s="243"/>
      <c r="D102" s="145"/>
      <c r="E102" s="146"/>
      <c r="F102" s="147"/>
      <c r="G102" s="213"/>
      <c r="H102" s="213"/>
      <c r="I102" s="213"/>
      <c r="J102" s="213"/>
      <c r="K102" s="123">
        <v>76.948899999999995</v>
      </c>
      <c r="L102" s="44">
        <v>103</v>
      </c>
      <c r="M102" s="45">
        <v>3</v>
      </c>
      <c r="N102" s="45">
        <v>3</v>
      </c>
      <c r="O102" s="193"/>
      <c r="P102" s="193"/>
      <c r="Q102" s="196"/>
      <c r="R102" s="193"/>
      <c r="S102" s="193"/>
      <c r="T102" s="193"/>
      <c r="U102" s="193"/>
      <c r="V102" s="222"/>
      <c r="W102" s="53"/>
      <c r="X102" s="53"/>
      <c r="Y102" s="53"/>
      <c r="Z102" s="38"/>
      <c r="AA102" s="38"/>
      <c r="AB102" s="38"/>
      <c r="AC102" s="38"/>
    </row>
    <row r="103" spans="1:29" s="48" customFormat="1" ht="21.75" customHeight="1" x14ac:dyDescent="0.15">
      <c r="A103" s="171"/>
      <c r="B103" s="202"/>
      <c r="C103" s="243"/>
      <c r="D103" s="145"/>
      <c r="E103" s="146"/>
      <c r="F103" s="147"/>
      <c r="G103" s="213"/>
      <c r="H103" s="213"/>
      <c r="I103" s="213"/>
      <c r="J103" s="213"/>
      <c r="K103" s="123">
        <v>76.602000000000004</v>
      </c>
      <c r="L103" s="44">
        <v>103</v>
      </c>
      <c r="M103" s="69">
        <v>9</v>
      </c>
      <c r="N103" s="69">
        <v>9</v>
      </c>
      <c r="O103" s="193"/>
      <c r="P103" s="193"/>
      <c r="Q103" s="196"/>
      <c r="R103" s="193"/>
      <c r="S103" s="193"/>
      <c r="T103" s="193"/>
      <c r="U103" s="193"/>
      <c r="V103" s="222"/>
      <c r="W103" s="53"/>
      <c r="X103" s="53"/>
      <c r="Y103" s="53"/>
      <c r="Z103" s="38"/>
      <c r="AA103" s="38"/>
      <c r="AB103" s="38"/>
      <c r="AC103" s="38"/>
    </row>
    <row r="104" spans="1:29" s="48" customFormat="1" ht="21.75" customHeight="1" x14ac:dyDescent="0.15">
      <c r="A104" s="171"/>
      <c r="B104" s="202"/>
      <c r="C104" s="243"/>
      <c r="D104" s="145"/>
      <c r="E104" s="146"/>
      <c r="F104" s="147"/>
      <c r="G104" s="213"/>
      <c r="H104" s="213"/>
      <c r="I104" s="213"/>
      <c r="J104" s="213"/>
      <c r="K104" s="123">
        <v>84.999600000000001</v>
      </c>
      <c r="L104" s="44">
        <v>621</v>
      </c>
      <c r="M104" s="69">
        <v>17</v>
      </c>
      <c r="N104" s="69">
        <v>17</v>
      </c>
      <c r="O104" s="193"/>
      <c r="P104" s="193"/>
      <c r="Q104" s="196"/>
      <c r="R104" s="193"/>
      <c r="S104" s="193"/>
      <c r="T104" s="193"/>
      <c r="U104" s="193"/>
      <c r="V104" s="222"/>
      <c r="W104" s="53"/>
      <c r="X104" s="53"/>
      <c r="Y104" s="53"/>
      <c r="Z104" s="38"/>
      <c r="AA104" s="38"/>
      <c r="AB104" s="38"/>
      <c r="AC104" s="38"/>
    </row>
    <row r="105" spans="1:29" s="48" customFormat="1" ht="21.75" customHeight="1" x14ac:dyDescent="0.15">
      <c r="A105" s="171"/>
      <c r="B105" s="202"/>
      <c r="C105" s="243"/>
      <c r="D105" s="145"/>
      <c r="E105" s="146"/>
      <c r="F105" s="147"/>
      <c r="G105" s="214"/>
      <c r="H105" s="214"/>
      <c r="I105" s="214"/>
      <c r="J105" s="214"/>
      <c r="K105" s="123">
        <v>84.998500000000007</v>
      </c>
      <c r="L105" s="44">
        <v>105</v>
      </c>
      <c r="M105" s="69">
        <v>29</v>
      </c>
      <c r="N105" s="69">
        <v>29</v>
      </c>
      <c r="O105" s="193"/>
      <c r="P105" s="193"/>
      <c r="Q105" s="196"/>
      <c r="R105" s="193"/>
      <c r="S105" s="193"/>
      <c r="T105" s="193"/>
      <c r="U105" s="193"/>
      <c r="V105" s="222"/>
      <c r="W105" s="53"/>
      <c r="X105" s="53"/>
      <c r="Y105" s="53"/>
      <c r="Z105" s="38"/>
      <c r="AA105" s="38"/>
      <c r="AB105" s="38"/>
      <c r="AC105" s="38"/>
    </row>
    <row r="106" spans="1:29" s="48" customFormat="1" ht="21.75" customHeight="1" x14ac:dyDescent="0.15">
      <c r="A106" s="171"/>
      <c r="B106" s="202"/>
      <c r="C106" s="244"/>
      <c r="D106" s="148"/>
      <c r="E106" s="149"/>
      <c r="F106" s="150"/>
      <c r="G106" s="93" t="s">
        <v>71</v>
      </c>
      <c r="H106" s="100"/>
      <c r="I106" s="100"/>
      <c r="J106" s="100"/>
      <c r="K106" s="101"/>
      <c r="L106" s="49">
        <f>SUM(L101:L105)</f>
        <v>1040</v>
      </c>
      <c r="M106" s="97">
        <f>SUM(M101:M105)</f>
        <v>58</v>
      </c>
      <c r="N106" s="97">
        <f>SUM(N101:N105)</f>
        <v>58</v>
      </c>
      <c r="O106" s="194"/>
      <c r="P106" s="194"/>
      <c r="Q106" s="197"/>
      <c r="R106" s="194"/>
      <c r="S106" s="194"/>
      <c r="T106" s="194"/>
      <c r="U106" s="194"/>
      <c r="V106" s="223"/>
      <c r="W106" s="50">
        <f>N101</f>
        <v>0</v>
      </c>
      <c r="X106" s="50">
        <f>N102+N103+N104+N105</f>
        <v>58</v>
      </c>
      <c r="Y106" s="53"/>
      <c r="Z106" s="38"/>
      <c r="AA106" s="38"/>
      <c r="AB106" s="38"/>
      <c r="AC106" s="38"/>
    </row>
    <row r="107" spans="1:29" s="48" customFormat="1" ht="21.75" customHeight="1" x14ac:dyDescent="0.15">
      <c r="A107" s="171"/>
      <c r="B107" s="202"/>
      <c r="C107" s="225" t="s">
        <v>168</v>
      </c>
      <c r="D107" s="251" t="s">
        <v>169</v>
      </c>
      <c r="E107" s="252"/>
      <c r="F107" s="253"/>
      <c r="G107" s="151" t="s">
        <v>170</v>
      </c>
      <c r="H107" s="151" t="s">
        <v>171</v>
      </c>
      <c r="I107" s="151" t="s">
        <v>65</v>
      </c>
      <c r="J107" s="151" t="s">
        <v>67</v>
      </c>
      <c r="K107" s="124">
        <v>84.680099999999996</v>
      </c>
      <c r="L107" s="44">
        <v>360</v>
      </c>
      <c r="M107" s="45">
        <v>0</v>
      </c>
      <c r="N107" s="45">
        <v>0</v>
      </c>
      <c r="O107" s="192" t="s">
        <v>172</v>
      </c>
      <c r="P107" s="192" t="s">
        <v>173</v>
      </c>
      <c r="Q107" s="192" t="s">
        <v>174</v>
      </c>
      <c r="R107" s="192" t="s">
        <v>69</v>
      </c>
      <c r="S107" s="192" t="s">
        <v>175</v>
      </c>
      <c r="T107" s="192" t="s">
        <v>65</v>
      </c>
      <c r="U107" s="192"/>
      <c r="V107" s="221"/>
      <c r="W107" s="53"/>
      <c r="X107" s="53"/>
      <c r="Y107" s="53"/>
      <c r="Z107" s="38"/>
      <c r="AA107" s="38"/>
      <c r="AB107" s="38"/>
      <c r="AC107" s="38"/>
    </row>
    <row r="108" spans="1:29" s="48" customFormat="1" ht="21.75" customHeight="1" x14ac:dyDescent="0.15">
      <c r="A108" s="171"/>
      <c r="B108" s="202"/>
      <c r="C108" s="226"/>
      <c r="D108" s="254"/>
      <c r="E108" s="255"/>
      <c r="F108" s="256"/>
      <c r="G108" s="152"/>
      <c r="H108" s="152"/>
      <c r="I108" s="152"/>
      <c r="J108" s="152"/>
      <c r="K108" s="124">
        <v>84.915899999999993</v>
      </c>
      <c r="L108" s="44">
        <v>147</v>
      </c>
      <c r="M108" s="45">
        <v>0</v>
      </c>
      <c r="N108" s="45">
        <v>0</v>
      </c>
      <c r="O108" s="193"/>
      <c r="P108" s="193"/>
      <c r="Q108" s="193"/>
      <c r="R108" s="193"/>
      <c r="S108" s="193"/>
      <c r="T108" s="193"/>
      <c r="U108" s="193"/>
      <c r="V108" s="222"/>
      <c r="W108" s="53"/>
      <c r="X108" s="53"/>
      <c r="Y108" s="53"/>
      <c r="Z108" s="38"/>
      <c r="AA108" s="38"/>
      <c r="AB108" s="38"/>
      <c r="AC108" s="38"/>
    </row>
    <row r="109" spans="1:29" s="48" customFormat="1" ht="21.75" customHeight="1" x14ac:dyDescent="0.15">
      <c r="A109" s="171"/>
      <c r="B109" s="202"/>
      <c r="C109" s="226"/>
      <c r="D109" s="254"/>
      <c r="E109" s="255"/>
      <c r="F109" s="256"/>
      <c r="G109" s="152"/>
      <c r="H109" s="152"/>
      <c r="I109" s="152"/>
      <c r="J109" s="152"/>
      <c r="K109" s="124">
        <v>84.933000000000007</v>
      </c>
      <c r="L109" s="44">
        <v>145</v>
      </c>
      <c r="M109" s="45">
        <v>0</v>
      </c>
      <c r="N109" s="45">
        <v>0</v>
      </c>
      <c r="O109" s="193"/>
      <c r="P109" s="193"/>
      <c r="Q109" s="193"/>
      <c r="R109" s="193"/>
      <c r="S109" s="193"/>
      <c r="T109" s="193"/>
      <c r="U109" s="193"/>
      <c r="V109" s="222"/>
      <c r="W109" s="53"/>
      <c r="X109" s="53"/>
      <c r="Y109" s="53"/>
      <c r="Z109" s="38"/>
      <c r="AA109" s="38"/>
      <c r="AB109" s="38"/>
      <c r="AC109" s="38"/>
    </row>
    <row r="110" spans="1:29" s="55" customFormat="1" ht="21.75" customHeight="1" x14ac:dyDescent="0.15">
      <c r="A110" s="171"/>
      <c r="B110" s="202"/>
      <c r="C110" s="226"/>
      <c r="D110" s="254"/>
      <c r="E110" s="255"/>
      <c r="F110" s="256"/>
      <c r="G110" s="152"/>
      <c r="H110" s="152"/>
      <c r="I110" s="152"/>
      <c r="J110" s="152"/>
      <c r="K110" s="124">
        <v>102.9081</v>
      </c>
      <c r="L110" s="44">
        <v>296</v>
      </c>
      <c r="M110" s="45">
        <v>4</v>
      </c>
      <c r="N110" s="45">
        <v>4</v>
      </c>
      <c r="O110" s="193"/>
      <c r="P110" s="193"/>
      <c r="Q110" s="193"/>
      <c r="R110" s="193"/>
      <c r="S110" s="193"/>
      <c r="T110" s="193"/>
      <c r="U110" s="193"/>
      <c r="V110" s="222"/>
      <c r="W110" s="54"/>
      <c r="X110" s="54"/>
      <c r="Y110" s="54"/>
      <c r="Z110" s="47"/>
      <c r="AA110" s="47"/>
      <c r="AB110" s="47"/>
      <c r="AC110" s="47"/>
    </row>
    <row r="111" spans="1:29" s="55" customFormat="1" ht="21.75" customHeight="1" x14ac:dyDescent="0.15">
      <c r="A111" s="171"/>
      <c r="B111" s="202"/>
      <c r="C111" s="226"/>
      <c r="D111" s="254"/>
      <c r="E111" s="255"/>
      <c r="F111" s="256"/>
      <c r="G111" s="152"/>
      <c r="H111" s="152"/>
      <c r="I111" s="152"/>
      <c r="J111" s="152"/>
      <c r="K111" s="124">
        <v>102.9926</v>
      </c>
      <c r="L111" s="44">
        <v>100</v>
      </c>
      <c r="M111" s="45">
        <v>0</v>
      </c>
      <c r="N111" s="45">
        <v>0</v>
      </c>
      <c r="O111" s="193"/>
      <c r="P111" s="193"/>
      <c r="Q111" s="193"/>
      <c r="R111" s="193"/>
      <c r="S111" s="193"/>
      <c r="T111" s="193"/>
      <c r="U111" s="193"/>
      <c r="V111" s="222"/>
      <c r="W111" s="54"/>
      <c r="X111" s="54"/>
      <c r="Y111" s="54"/>
      <c r="Z111" s="47"/>
      <c r="AA111" s="47"/>
      <c r="AB111" s="47"/>
      <c r="AC111" s="47"/>
    </row>
    <row r="112" spans="1:29" s="55" customFormat="1" ht="21.75" customHeight="1" x14ac:dyDescent="0.15">
      <c r="A112" s="171"/>
      <c r="B112" s="202"/>
      <c r="C112" s="226"/>
      <c r="D112" s="254"/>
      <c r="E112" s="255"/>
      <c r="F112" s="256"/>
      <c r="G112" s="153"/>
      <c r="H112" s="153"/>
      <c r="I112" s="153"/>
      <c r="J112" s="153"/>
      <c r="K112" s="124">
        <v>102.9408</v>
      </c>
      <c r="L112" s="44">
        <v>98</v>
      </c>
      <c r="M112" s="45">
        <v>0</v>
      </c>
      <c r="N112" s="45">
        <v>0</v>
      </c>
      <c r="O112" s="193"/>
      <c r="P112" s="193"/>
      <c r="Q112" s="193"/>
      <c r="R112" s="193"/>
      <c r="S112" s="193"/>
      <c r="T112" s="193"/>
      <c r="U112" s="193"/>
      <c r="V112" s="222"/>
      <c r="W112" s="54"/>
      <c r="X112" s="54"/>
      <c r="Y112" s="54"/>
      <c r="Z112" s="47"/>
      <c r="AA112" s="47"/>
      <c r="AB112" s="47"/>
      <c r="AC112" s="47"/>
    </row>
    <row r="113" spans="1:29" s="48" customFormat="1" ht="21.75" customHeight="1" x14ac:dyDescent="0.15">
      <c r="A113" s="171"/>
      <c r="B113" s="202"/>
      <c r="C113" s="226"/>
      <c r="D113" s="257"/>
      <c r="E113" s="258"/>
      <c r="F113" s="259"/>
      <c r="G113" s="93" t="s">
        <v>176</v>
      </c>
      <c r="H113" s="106"/>
      <c r="I113" s="106"/>
      <c r="J113" s="106"/>
      <c r="K113" s="107"/>
      <c r="L113" s="49">
        <f>SUM(L107:L112)</f>
        <v>1146</v>
      </c>
      <c r="M113" s="97">
        <f>SUM(M107:M112)</f>
        <v>4</v>
      </c>
      <c r="N113" s="97">
        <f>SUM(N107:N112)</f>
        <v>4</v>
      </c>
      <c r="O113" s="194"/>
      <c r="P113" s="194"/>
      <c r="Q113" s="194"/>
      <c r="R113" s="194"/>
      <c r="S113" s="194"/>
      <c r="T113" s="194"/>
      <c r="U113" s="194"/>
      <c r="V113" s="223"/>
      <c r="W113" s="53"/>
      <c r="X113" s="50">
        <f>N107+N108+N109</f>
        <v>0</v>
      </c>
      <c r="Y113" s="50">
        <f>N110+N111+N112</f>
        <v>4</v>
      </c>
      <c r="Z113" s="38"/>
      <c r="AA113" s="38"/>
      <c r="AB113" s="38"/>
      <c r="AC113" s="38"/>
    </row>
    <row r="114" spans="1:29" s="48" customFormat="1" ht="21.75" customHeight="1" x14ac:dyDescent="0.15">
      <c r="A114" s="171"/>
      <c r="B114" s="202"/>
      <c r="C114" s="225" t="s">
        <v>177</v>
      </c>
      <c r="D114" s="142" t="s">
        <v>178</v>
      </c>
      <c r="E114" s="143"/>
      <c r="F114" s="144"/>
      <c r="G114" s="212" t="s">
        <v>126</v>
      </c>
      <c r="H114" s="218" t="s">
        <v>179</v>
      </c>
      <c r="I114" s="212" t="s">
        <v>65</v>
      </c>
      <c r="J114" s="212" t="s">
        <v>67</v>
      </c>
      <c r="K114" s="124">
        <v>84.997399999999999</v>
      </c>
      <c r="L114" s="125">
        <v>155</v>
      </c>
      <c r="M114" s="66">
        <v>9</v>
      </c>
      <c r="N114" s="66">
        <v>9</v>
      </c>
      <c r="O114" s="192" t="s">
        <v>85</v>
      </c>
      <c r="P114" s="192" t="s">
        <v>180</v>
      </c>
      <c r="Q114" s="192" t="s">
        <v>181</v>
      </c>
      <c r="R114" s="192" t="s">
        <v>69</v>
      </c>
      <c r="S114" s="192"/>
      <c r="T114" s="192" t="s">
        <v>65</v>
      </c>
      <c r="U114" s="192"/>
      <c r="V114" s="221"/>
      <c r="W114" s="53"/>
      <c r="X114" s="53"/>
      <c r="Y114" s="53"/>
      <c r="Z114" s="38"/>
      <c r="AA114" s="38"/>
      <c r="AB114" s="38"/>
      <c r="AC114" s="38"/>
    </row>
    <row r="115" spans="1:29" s="48" customFormat="1" ht="21.75" customHeight="1" x14ac:dyDescent="0.15">
      <c r="A115" s="171"/>
      <c r="B115" s="202"/>
      <c r="C115" s="226"/>
      <c r="D115" s="145"/>
      <c r="E115" s="146"/>
      <c r="F115" s="147"/>
      <c r="G115" s="213"/>
      <c r="H115" s="219"/>
      <c r="I115" s="213"/>
      <c r="J115" s="213"/>
      <c r="K115" s="78">
        <v>84.998599999999996</v>
      </c>
      <c r="L115" s="79">
        <v>442</v>
      </c>
      <c r="M115" s="66">
        <v>24</v>
      </c>
      <c r="N115" s="66">
        <v>24</v>
      </c>
      <c r="O115" s="193"/>
      <c r="P115" s="193"/>
      <c r="Q115" s="193"/>
      <c r="R115" s="193"/>
      <c r="S115" s="193"/>
      <c r="T115" s="193"/>
      <c r="U115" s="193"/>
      <c r="V115" s="222"/>
      <c r="W115" s="53"/>
      <c r="X115" s="53"/>
      <c r="Y115" s="53"/>
      <c r="Z115" s="38"/>
      <c r="AA115" s="38"/>
      <c r="AB115" s="38"/>
      <c r="AC115" s="38"/>
    </row>
    <row r="116" spans="1:29" s="55" customFormat="1" ht="21.75" customHeight="1" x14ac:dyDescent="0.15">
      <c r="A116" s="171"/>
      <c r="B116" s="202"/>
      <c r="C116" s="226"/>
      <c r="D116" s="145"/>
      <c r="E116" s="146"/>
      <c r="F116" s="147"/>
      <c r="G116" s="213"/>
      <c r="H116" s="219"/>
      <c r="I116" s="213"/>
      <c r="J116" s="213"/>
      <c r="K116" s="78">
        <v>99.905100000000004</v>
      </c>
      <c r="L116" s="79">
        <v>147</v>
      </c>
      <c r="M116" s="66">
        <v>1</v>
      </c>
      <c r="N116" s="66">
        <v>1</v>
      </c>
      <c r="O116" s="193"/>
      <c r="P116" s="193"/>
      <c r="Q116" s="193"/>
      <c r="R116" s="193"/>
      <c r="S116" s="193"/>
      <c r="T116" s="193"/>
      <c r="U116" s="193"/>
      <c r="V116" s="222"/>
      <c r="W116" s="54"/>
      <c r="X116" s="54"/>
      <c r="Y116" s="54"/>
      <c r="Z116" s="47"/>
      <c r="AA116" s="47"/>
      <c r="AB116" s="47"/>
      <c r="AC116" s="47"/>
    </row>
    <row r="117" spans="1:29" s="55" customFormat="1" ht="21.75" customHeight="1" x14ac:dyDescent="0.15">
      <c r="A117" s="171"/>
      <c r="B117" s="202"/>
      <c r="C117" s="226"/>
      <c r="D117" s="145"/>
      <c r="E117" s="146"/>
      <c r="F117" s="147"/>
      <c r="G117" s="213"/>
      <c r="H117" s="219"/>
      <c r="I117" s="213"/>
      <c r="J117" s="213"/>
      <c r="K117" s="78">
        <v>99.995099999999994</v>
      </c>
      <c r="L117" s="79">
        <v>28</v>
      </c>
      <c r="M117" s="66">
        <v>2</v>
      </c>
      <c r="N117" s="66">
        <v>2</v>
      </c>
      <c r="O117" s="193"/>
      <c r="P117" s="193"/>
      <c r="Q117" s="193"/>
      <c r="R117" s="193"/>
      <c r="S117" s="193"/>
      <c r="T117" s="193"/>
      <c r="U117" s="193"/>
      <c r="V117" s="222"/>
      <c r="W117" s="54"/>
      <c r="X117" s="54"/>
      <c r="Y117" s="54"/>
      <c r="Z117" s="47"/>
      <c r="AA117" s="47"/>
      <c r="AB117" s="47"/>
      <c r="AC117" s="47"/>
    </row>
    <row r="118" spans="1:29" s="55" customFormat="1" ht="21.75" customHeight="1" x14ac:dyDescent="0.15">
      <c r="A118" s="171"/>
      <c r="B118" s="202"/>
      <c r="C118" s="226"/>
      <c r="D118" s="145"/>
      <c r="E118" s="146"/>
      <c r="F118" s="147"/>
      <c r="G118" s="214"/>
      <c r="H118" s="220"/>
      <c r="I118" s="214"/>
      <c r="J118" s="214"/>
      <c r="K118" s="78">
        <v>115.5239</v>
      </c>
      <c r="L118" s="79">
        <v>220</v>
      </c>
      <c r="M118" s="66">
        <v>3</v>
      </c>
      <c r="N118" s="66">
        <v>3</v>
      </c>
      <c r="O118" s="193"/>
      <c r="P118" s="193"/>
      <c r="Q118" s="193"/>
      <c r="R118" s="193"/>
      <c r="S118" s="193"/>
      <c r="T118" s="193"/>
      <c r="U118" s="193"/>
      <c r="V118" s="222"/>
      <c r="W118" s="54"/>
      <c r="X118" s="54"/>
      <c r="Y118" s="54"/>
      <c r="Z118" s="47"/>
      <c r="AA118" s="47"/>
      <c r="AB118" s="47"/>
      <c r="AC118" s="47"/>
    </row>
    <row r="119" spans="1:29" s="48" customFormat="1" ht="21.75" customHeight="1" x14ac:dyDescent="0.15">
      <c r="A119" s="171"/>
      <c r="B119" s="202"/>
      <c r="C119" s="227"/>
      <c r="D119" s="148"/>
      <c r="E119" s="149"/>
      <c r="F119" s="150"/>
      <c r="G119" s="96" t="s">
        <v>71</v>
      </c>
      <c r="H119" s="104"/>
      <c r="I119" s="104"/>
      <c r="J119" s="104"/>
      <c r="K119" s="105"/>
      <c r="L119" s="49">
        <f>SUM(L114:L118)</f>
        <v>992</v>
      </c>
      <c r="M119" s="97">
        <f>SUM(M114:M118)</f>
        <v>39</v>
      </c>
      <c r="N119" s="97">
        <f>SUM(N114:N118)</f>
        <v>39</v>
      </c>
      <c r="O119" s="194"/>
      <c r="P119" s="194"/>
      <c r="Q119" s="194"/>
      <c r="R119" s="194"/>
      <c r="S119" s="194"/>
      <c r="T119" s="194"/>
      <c r="U119" s="194"/>
      <c r="V119" s="223"/>
      <c r="W119" s="53"/>
      <c r="X119" s="50">
        <f>N114+N115</f>
        <v>33</v>
      </c>
      <c r="Y119" s="50">
        <f>N116+N117+N118</f>
        <v>6</v>
      </c>
      <c r="Z119" s="38"/>
      <c r="AA119" s="38"/>
      <c r="AB119" s="38"/>
      <c r="AC119" s="38"/>
    </row>
    <row r="120" spans="1:29" s="48" customFormat="1" ht="21.75" customHeight="1" x14ac:dyDescent="0.15">
      <c r="A120" s="171"/>
      <c r="B120" s="137" t="s">
        <v>16</v>
      </c>
      <c r="C120" s="225" t="s">
        <v>182</v>
      </c>
      <c r="D120" s="142" t="s">
        <v>183</v>
      </c>
      <c r="E120" s="143"/>
      <c r="F120" s="144"/>
      <c r="G120" s="175" t="s">
        <v>184</v>
      </c>
      <c r="H120" s="175" t="s">
        <v>185</v>
      </c>
      <c r="I120" s="179" t="s">
        <v>65</v>
      </c>
      <c r="J120" s="179" t="s">
        <v>67</v>
      </c>
      <c r="K120" s="43">
        <v>73.05</v>
      </c>
      <c r="L120" s="44">
        <v>1</v>
      </c>
      <c r="M120" s="45">
        <v>0</v>
      </c>
      <c r="N120" s="45">
        <v>0</v>
      </c>
      <c r="O120" s="154" t="s">
        <v>186</v>
      </c>
      <c r="P120" s="154" t="s">
        <v>187</v>
      </c>
      <c r="Q120" s="154" t="s">
        <v>80</v>
      </c>
      <c r="R120" s="154" t="s">
        <v>69</v>
      </c>
      <c r="S120" s="154"/>
      <c r="T120" s="154" t="s">
        <v>65</v>
      </c>
      <c r="U120" s="154"/>
      <c r="V120" s="154"/>
      <c r="W120" s="46"/>
      <c r="X120" s="46"/>
      <c r="Y120" s="46"/>
      <c r="Z120" s="38">
        <f>SUM(W120:W133)</f>
        <v>0</v>
      </c>
      <c r="AA120" s="38">
        <f>SUM(X120:X133)</f>
        <v>53</v>
      </c>
      <c r="AB120" s="38">
        <f>SUM(Y120:Y133)</f>
        <v>0</v>
      </c>
      <c r="AC120" s="38">
        <f>Z120+AA120+AB120</f>
        <v>53</v>
      </c>
    </row>
    <row r="121" spans="1:29" s="48" customFormat="1" ht="21.75" customHeight="1" x14ac:dyDescent="0.15">
      <c r="A121" s="171"/>
      <c r="B121" s="138"/>
      <c r="C121" s="226"/>
      <c r="D121" s="145"/>
      <c r="E121" s="146"/>
      <c r="F121" s="147"/>
      <c r="G121" s="176"/>
      <c r="H121" s="176"/>
      <c r="I121" s="180"/>
      <c r="J121" s="180"/>
      <c r="K121" s="43">
        <v>78.239999999999995</v>
      </c>
      <c r="L121" s="44">
        <v>1</v>
      </c>
      <c r="M121" s="45">
        <v>0</v>
      </c>
      <c r="N121" s="45">
        <v>0</v>
      </c>
      <c r="O121" s="155"/>
      <c r="P121" s="155"/>
      <c r="Q121" s="155"/>
      <c r="R121" s="155"/>
      <c r="S121" s="155"/>
      <c r="T121" s="155"/>
      <c r="U121" s="155"/>
      <c r="V121" s="155"/>
      <c r="W121" s="46"/>
      <c r="X121" s="46"/>
      <c r="Y121" s="46"/>
      <c r="Z121" s="47"/>
      <c r="AA121" s="47">
        <f>X125+X130+X133</f>
        <v>53</v>
      </c>
      <c r="AB121" s="47"/>
      <c r="AC121" s="47">
        <f>Z121+AA121+AB121</f>
        <v>53</v>
      </c>
    </row>
    <row r="122" spans="1:29" s="48" customFormat="1" ht="21.75" customHeight="1" x14ac:dyDescent="0.15">
      <c r="A122" s="171"/>
      <c r="B122" s="138"/>
      <c r="C122" s="226"/>
      <c r="D122" s="145"/>
      <c r="E122" s="146"/>
      <c r="F122" s="147"/>
      <c r="G122" s="176"/>
      <c r="H122" s="176"/>
      <c r="I122" s="180"/>
      <c r="J122" s="180"/>
      <c r="K122" s="43">
        <v>84.74</v>
      </c>
      <c r="L122" s="44">
        <v>23</v>
      </c>
      <c r="M122" s="45">
        <v>5</v>
      </c>
      <c r="N122" s="45">
        <v>2</v>
      </c>
      <c r="O122" s="155"/>
      <c r="P122" s="155"/>
      <c r="Q122" s="155"/>
      <c r="R122" s="155"/>
      <c r="S122" s="155"/>
      <c r="T122" s="155"/>
      <c r="U122" s="155"/>
      <c r="V122" s="155"/>
      <c r="W122" s="46"/>
      <c r="X122" s="46"/>
      <c r="Y122" s="46"/>
      <c r="Z122" s="38"/>
      <c r="AA122" s="38"/>
      <c r="AB122" s="38"/>
      <c r="AC122" s="38"/>
    </row>
    <row r="123" spans="1:29" s="48" customFormat="1" ht="21.75" customHeight="1" x14ac:dyDescent="0.15">
      <c r="A123" s="171"/>
      <c r="B123" s="138"/>
      <c r="C123" s="226"/>
      <c r="D123" s="145"/>
      <c r="E123" s="146"/>
      <c r="F123" s="147"/>
      <c r="G123" s="176"/>
      <c r="H123" s="176"/>
      <c r="I123" s="180"/>
      <c r="J123" s="180"/>
      <c r="K123" s="43">
        <v>84.85</v>
      </c>
      <c r="L123" s="44">
        <v>8</v>
      </c>
      <c r="M123" s="45">
        <v>0</v>
      </c>
      <c r="N123" s="45">
        <v>0</v>
      </c>
      <c r="O123" s="155"/>
      <c r="P123" s="155"/>
      <c r="Q123" s="155"/>
      <c r="R123" s="155"/>
      <c r="S123" s="155"/>
      <c r="T123" s="155"/>
      <c r="U123" s="155"/>
      <c r="V123" s="155"/>
      <c r="W123" s="46"/>
      <c r="X123" s="46"/>
      <c r="Y123" s="46"/>
      <c r="Z123" s="38"/>
      <c r="AA123" s="38"/>
      <c r="AB123" s="38"/>
      <c r="AC123" s="38"/>
    </row>
    <row r="124" spans="1:29" s="55" customFormat="1" ht="21.75" customHeight="1" x14ac:dyDescent="0.15">
      <c r="A124" s="171"/>
      <c r="B124" s="138"/>
      <c r="C124" s="226"/>
      <c r="D124" s="145"/>
      <c r="E124" s="146"/>
      <c r="F124" s="147"/>
      <c r="G124" s="177"/>
      <c r="H124" s="177"/>
      <c r="I124" s="181"/>
      <c r="J124" s="181"/>
      <c r="K124" s="51">
        <v>146.57</v>
      </c>
      <c r="L124" s="44">
        <v>1</v>
      </c>
      <c r="M124" s="45">
        <v>0</v>
      </c>
      <c r="N124" s="45">
        <v>0</v>
      </c>
      <c r="O124" s="155"/>
      <c r="P124" s="155"/>
      <c r="Q124" s="155"/>
      <c r="R124" s="155"/>
      <c r="S124" s="155"/>
      <c r="T124" s="155"/>
      <c r="U124" s="155"/>
      <c r="V124" s="155"/>
      <c r="W124" s="54"/>
      <c r="X124" s="54"/>
      <c r="Y124" s="54"/>
      <c r="Z124" s="47"/>
      <c r="AA124" s="47"/>
      <c r="AB124" s="47"/>
      <c r="AC124" s="47"/>
    </row>
    <row r="125" spans="1:29" s="48" customFormat="1" ht="21.75" customHeight="1" x14ac:dyDescent="0.15">
      <c r="A125" s="171"/>
      <c r="B125" s="138"/>
      <c r="C125" s="227"/>
      <c r="D125" s="148"/>
      <c r="E125" s="149"/>
      <c r="F125" s="150"/>
      <c r="G125" s="93" t="s">
        <v>71</v>
      </c>
      <c r="H125" s="94"/>
      <c r="I125" s="94"/>
      <c r="J125" s="94"/>
      <c r="K125" s="95"/>
      <c r="L125" s="49">
        <f>SUM(L120:L124)</f>
        <v>34</v>
      </c>
      <c r="M125" s="97">
        <f>SUM(M120:M124)</f>
        <v>5</v>
      </c>
      <c r="N125" s="97">
        <f>SUM(N120:N124)</f>
        <v>2</v>
      </c>
      <c r="O125" s="156"/>
      <c r="P125" s="156"/>
      <c r="Q125" s="156"/>
      <c r="R125" s="156"/>
      <c r="S125" s="156"/>
      <c r="T125" s="156"/>
      <c r="U125" s="156"/>
      <c r="V125" s="156"/>
      <c r="W125" s="67"/>
      <c r="X125" s="50">
        <f>N120+N121+N122+N123</f>
        <v>2</v>
      </c>
      <c r="Y125" s="50">
        <f>N124</f>
        <v>0</v>
      </c>
      <c r="Z125" s="38"/>
      <c r="AA125" s="38"/>
      <c r="AB125" s="38"/>
      <c r="AC125" s="38"/>
    </row>
    <row r="126" spans="1:29" s="48" customFormat="1" ht="21.75" customHeight="1" x14ac:dyDescent="0.15">
      <c r="A126" s="171"/>
      <c r="B126" s="138"/>
      <c r="C126" s="261" t="s">
        <v>188</v>
      </c>
      <c r="D126" s="142" t="s">
        <v>189</v>
      </c>
      <c r="E126" s="143"/>
      <c r="F126" s="144"/>
      <c r="G126" s="218" t="s">
        <v>190</v>
      </c>
      <c r="H126" s="218" t="s">
        <v>191</v>
      </c>
      <c r="I126" s="212" t="s">
        <v>65</v>
      </c>
      <c r="J126" s="212" t="s">
        <v>67</v>
      </c>
      <c r="K126" s="124">
        <v>73.552099999999996</v>
      </c>
      <c r="L126" s="44">
        <v>18</v>
      </c>
      <c r="M126" s="45">
        <v>18</v>
      </c>
      <c r="N126" s="45">
        <v>18</v>
      </c>
      <c r="O126" s="192" t="s">
        <v>192</v>
      </c>
      <c r="P126" s="192" t="s">
        <v>193</v>
      </c>
      <c r="Q126" s="192" t="s">
        <v>194</v>
      </c>
      <c r="R126" s="192" t="s">
        <v>69</v>
      </c>
      <c r="S126" s="192"/>
      <c r="T126" s="192"/>
      <c r="U126" s="192"/>
      <c r="V126" s="221"/>
      <c r="W126" s="46"/>
      <c r="X126" s="46"/>
      <c r="Y126" s="46"/>
      <c r="Z126" s="38"/>
      <c r="AA126" s="38"/>
      <c r="AB126" s="38"/>
      <c r="AC126" s="38"/>
    </row>
    <row r="127" spans="1:29" s="48" customFormat="1" ht="21.75" customHeight="1" x14ac:dyDescent="0.15">
      <c r="A127" s="171"/>
      <c r="B127" s="138"/>
      <c r="C127" s="262"/>
      <c r="D127" s="145"/>
      <c r="E127" s="146"/>
      <c r="F127" s="147"/>
      <c r="G127" s="219"/>
      <c r="H127" s="219"/>
      <c r="I127" s="213"/>
      <c r="J127" s="213"/>
      <c r="K127" s="124">
        <v>74.429500000000004</v>
      </c>
      <c r="L127" s="44">
        <v>9</v>
      </c>
      <c r="M127" s="45">
        <v>9</v>
      </c>
      <c r="N127" s="45">
        <v>9</v>
      </c>
      <c r="O127" s="193"/>
      <c r="P127" s="193"/>
      <c r="Q127" s="193"/>
      <c r="R127" s="193"/>
      <c r="S127" s="193"/>
      <c r="T127" s="193"/>
      <c r="U127" s="193"/>
      <c r="V127" s="222"/>
      <c r="W127" s="46"/>
      <c r="X127" s="46"/>
      <c r="Y127" s="46"/>
      <c r="Z127" s="38"/>
      <c r="AA127" s="38"/>
      <c r="AB127" s="38"/>
      <c r="AC127" s="38"/>
    </row>
    <row r="128" spans="1:29" s="48" customFormat="1" ht="21.75" customHeight="1" x14ac:dyDescent="0.15">
      <c r="A128" s="171"/>
      <c r="B128" s="138"/>
      <c r="C128" s="262"/>
      <c r="D128" s="145"/>
      <c r="E128" s="146"/>
      <c r="F128" s="147"/>
      <c r="G128" s="219"/>
      <c r="H128" s="219"/>
      <c r="I128" s="213"/>
      <c r="J128" s="213"/>
      <c r="K128" s="124">
        <v>75.211100000000002</v>
      </c>
      <c r="L128" s="44">
        <v>9</v>
      </c>
      <c r="M128" s="45">
        <v>9</v>
      </c>
      <c r="N128" s="45">
        <v>9</v>
      </c>
      <c r="O128" s="193"/>
      <c r="P128" s="193"/>
      <c r="Q128" s="193"/>
      <c r="R128" s="193"/>
      <c r="S128" s="193"/>
      <c r="T128" s="193"/>
      <c r="U128" s="193"/>
      <c r="V128" s="222"/>
      <c r="W128" s="46"/>
      <c r="X128" s="46"/>
      <c r="Y128" s="46"/>
      <c r="Z128" s="38"/>
      <c r="AA128" s="38"/>
      <c r="AB128" s="38"/>
      <c r="AC128" s="38"/>
    </row>
    <row r="129" spans="1:29" s="48" customFormat="1" ht="21.75" customHeight="1" x14ac:dyDescent="0.15">
      <c r="A129" s="171"/>
      <c r="B129" s="138"/>
      <c r="C129" s="262"/>
      <c r="D129" s="145"/>
      <c r="E129" s="146"/>
      <c r="F129" s="147"/>
      <c r="G129" s="220"/>
      <c r="H129" s="220"/>
      <c r="I129" s="214"/>
      <c r="J129" s="214"/>
      <c r="K129" s="124">
        <v>84.994500000000002</v>
      </c>
      <c r="L129" s="44">
        <v>9</v>
      </c>
      <c r="M129" s="45">
        <v>9</v>
      </c>
      <c r="N129" s="45">
        <v>9</v>
      </c>
      <c r="O129" s="193"/>
      <c r="P129" s="193"/>
      <c r="Q129" s="193"/>
      <c r="R129" s="193"/>
      <c r="S129" s="193"/>
      <c r="T129" s="193"/>
      <c r="U129" s="193"/>
      <c r="V129" s="222"/>
      <c r="W129" s="46"/>
      <c r="X129" s="46"/>
      <c r="Y129" s="46"/>
      <c r="Z129" s="38"/>
      <c r="AA129" s="38"/>
      <c r="AB129" s="38"/>
      <c r="AC129" s="38"/>
    </row>
    <row r="130" spans="1:29" s="48" customFormat="1" ht="21.75" customHeight="1" x14ac:dyDescent="0.15">
      <c r="A130" s="171"/>
      <c r="B130" s="138"/>
      <c r="C130" s="263"/>
      <c r="D130" s="148"/>
      <c r="E130" s="149"/>
      <c r="F130" s="150"/>
      <c r="G130" s="93" t="s">
        <v>71</v>
      </c>
      <c r="H130" s="94"/>
      <c r="I130" s="94"/>
      <c r="J130" s="94"/>
      <c r="K130" s="95"/>
      <c r="L130" s="49">
        <f>SUM(L126:L129)</f>
        <v>45</v>
      </c>
      <c r="M130" s="97">
        <f>SUM(M126:M129)</f>
        <v>45</v>
      </c>
      <c r="N130" s="98">
        <f>SUM(N126:N129)</f>
        <v>45</v>
      </c>
      <c r="O130" s="194"/>
      <c r="P130" s="194"/>
      <c r="Q130" s="194"/>
      <c r="R130" s="194"/>
      <c r="S130" s="194"/>
      <c r="T130" s="194"/>
      <c r="U130" s="194"/>
      <c r="V130" s="223"/>
      <c r="W130" s="46"/>
      <c r="X130" s="50">
        <f>N126+N127+N128+N129</f>
        <v>45</v>
      </c>
      <c r="Y130" s="46"/>
      <c r="Z130" s="38"/>
      <c r="AA130" s="38"/>
      <c r="AB130" s="38"/>
      <c r="AC130" s="38"/>
    </row>
    <row r="131" spans="1:29" s="48" customFormat="1" ht="21.75" customHeight="1" x14ac:dyDescent="0.15">
      <c r="A131" s="171"/>
      <c r="B131" s="138"/>
      <c r="C131" s="261" t="s">
        <v>195</v>
      </c>
      <c r="D131" s="142" t="s">
        <v>196</v>
      </c>
      <c r="E131" s="143"/>
      <c r="F131" s="144"/>
      <c r="G131" s="260" t="s">
        <v>197</v>
      </c>
      <c r="H131" s="260" t="s">
        <v>197</v>
      </c>
      <c r="I131" s="151" t="s">
        <v>65</v>
      </c>
      <c r="J131" s="151" t="s">
        <v>67</v>
      </c>
      <c r="K131" s="43">
        <v>84.767200000000003</v>
      </c>
      <c r="L131" s="44">
        <v>64</v>
      </c>
      <c r="M131" s="45">
        <v>0</v>
      </c>
      <c r="N131" s="45">
        <v>0</v>
      </c>
      <c r="O131" s="192" t="s">
        <v>198</v>
      </c>
      <c r="P131" s="192" t="s">
        <v>199</v>
      </c>
      <c r="Q131" s="192" t="s">
        <v>200</v>
      </c>
      <c r="R131" s="192" t="s">
        <v>69</v>
      </c>
      <c r="S131" s="192"/>
      <c r="T131" s="192" t="s">
        <v>65</v>
      </c>
      <c r="U131" s="192"/>
      <c r="V131" s="221"/>
      <c r="W131" s="46"/>
      <c r="X131" s="46"/>
      <c r="Y131" s="46"/>
      <c r="Z131" s="38"/>
      <c r="AA131" s="38"/>
      <c r="AB131" s="38"/>
      <c r="AC131" s="38"/>
    </row>
    <row r="132" spans="1:29" s="48" customFormat="1" ht="21.75" customHeight="1" x14ac:dyDescent="0.15">
      <c r="A132" s="171"/>
      <c r="B132" s="138"/>
      <c r="C132" s="262"/>
      <c r="D132" s="145"/>
      <c r="E132" s="146"/>
      <c r="F132" s="147"/>
      <c r="G132" s="197"/>
      <c r="H132" s="197"/>
      <c r="I132" s="153"/>
      <c r="J132" s="153"/>
      <c r="K132" s="43">
        <v>75.705100000000002</v>
      </c>
      <c r="L132" s="44">
        <v>32</v>
      </c>
      <c r="M132" s="45">
        <v>6</v>
      </c>
      <c r="N132" s="45">
        <v>6</v>
      </c>
      <c r="O132" s="193"/>
      <c r="P132" s="193"/>
      <c r="Q132" s="193"/>
      <c r="R132" s="193"/>
      <c r="S132" s="193"/>
      <c r="T132" s="193"/>
      <c r="U132" s="193"/>
      <c r="V132" s="222"/>
      <c r="W132" s="46"/>
      <c r="X132" s="46"/>
      <c r="Y132" s="46"/>
      <c r="Z132" s="38"/>
      <c r="AA132" s="38"/>
      <c r="AB132" s="38"/>
      <c r="AC132" s="38"/>
    </row>
    <row r="133" spans="1:29" s="48" customFormat="1" ht="21.75" customHeight="1" x14ac:dyDescent="0.15">
      <c r="A133" s="171"/>
      <c r="B133" s="138"/>
      <c r="C133" s="263"/>
      <c r="D133" s="148"/>
      <c r="E133" s="149"/>
      <c r="F133" s="150"/>
      <c r="G133" s="96" t="s">
        <v>71</v>
      </c>
      <c r="H133" s="110"/>
      <c r="I133" s="110"/>
      <c r="J133" s="110"/>
      <c r="K133" s="111"/>
      <c r="L133" s="49">
        <f>SUM(L131:L132)</f>
        <v>96</v>
      </c>
      <c r="M133" s="97">
        <f>SUM(M131:M132)</f>
        <v>6</v>
      </c>
      <c r="N133" s="97">
        <f>SUM(N131:N132)</f>
        <v>6</v>
      </c>
      <c r="O133" s="194"/>
      <c r="P133" s="194"/>
      <c r="Q133" s="194"/>
      <c r="R133" s="194"/>
      <c r="S133" s="194"/>
      <c r="T133" s="194"/>
      <c r="U133" s="194"/>
      <c r="V133" s="223"/>
      <c r="W133" s="46"/>
      <c r="X133" s="50">
        <f>N131+N132</f>
        <v>6</v>
      </c>
      <c r="Y133" s="46"/>
      <c r="Z133" s="38"/>
      <c r="AA133" s="38"/>
      <c r="AB133" s="38"/>
      <c r="AC133" s="38"/>
    </row>
    <row r="134" spans="1:29" s="48" customFormat="1" ht="21.75" customHeight="1" x14ac:dyDescent="0.15">
      <c r="A134" s="171"/>
      <c r="B134" s="137" t="s">
        <v>17</v>
      </c>
      <c r="C134" s="225" t="s">
        <v>201</v>
      </c>
      <c r="D134" s="142" t="s">
        <v>202</v>
      </c>
      <c r="E134" s="143"/>
      <c r="F134" s="144"/>
      <c r="G134" s="175" t="s">
        <v>203</v>
      </c>
      <c r="H134" s="175" t="s">
        <v>179</v>
      </c>
      <c r="I134" s="179" t="s">
        <v>65</v>
      </c>
      <c r="J134" s="179" t="s">
        <v>67</v>
      </c>
      <c r="K134" s="43" t="s">
        <v>204</v>
      </c>
      <c r="L134" s="44">
        <v>160</v>
      </c>
      <c r="M134" s="45">
        <v>0</v>
      </c>
      <c r="N134" s="45">
        <v>0</v>
      </c>
      <c r="O134" s="154" t="s">
        <v>205</v>
      </c>
      <c r="P134" s="154" t="s">
        <v>206</v>
      </c>
      <c r="Q134" s="154" t="s">
        <v>207</v>
      </c>
      <c r="R134" s="154" t="s">
        <v>69</v>
      </c>
      <c r="S134" s="154"/>
      <c r="T134" s="154" t="s">
        <v>65</v>
      </c>
      <c r="U134" s="154"/>
      <c r="V134" s="154"/>
      <c r="W134" s="53"/>
      <c r="X134" s="53"/>
      <c r="Y134" s="53"/>
      <c r="Z134" s="47">
        <f>SUM(W134:W159)</f>
        <v>0</v>
      </c>
      <c r="AA134" s="47">
        <f>SUM(X134:X159)</f>
        <v>178</v>
      </c>
      <c r="AB134" s="47">
        <f>SUM(Y134:Y159)</f>
        <v>32</v>
      </c>
      <c r="AC134" s="47">
        <f>Z134+AA134+AB134</f>
        <v>210</v>
      </c>
    </row>
    <row r="135" spans="1:29" s="48" customFormat="1" ht="21.75" customHeight="1" x14ac:dyDescent="0.15">
      <c r="A135" s="171"/>
      <c r="B135" s="138"/>
      <c r="C135" s="226"/>
      <c r="D135" s="145"/>
      <c r="E135" s="146"/>
      <c r="F135" s="147"/>
      <c r="G135" s="176"/>
      <c r="H135" s="176"/>
      <c r="I135" s="180"/>
      <c r="J135" s="180"/>
      <c r="K135" s="43" t="s">
        <v>208</v>
      </c>
      <c r="L135" s="44">
        <v>172</v>
      </c>
      <c r="M135" s="45">
        <v>2</v>
      </c>
      <c r="N135" s="45">
        <v>2</v>
      </c>
      <c r="O135" s="155"/>
      <c r="P135" s="155"/>
      <c r="Q135" s="155"/>
      <c r="R135" s="155"/>
      <c r="S135" s="155"/>
      <c r="T135" s="155"/>
      <c r="U135" s="155"/>
      <c r="V135" s="155"/>
      <c r="W135" s="53"/>
      <c r="X135" s="53"/>
      <c r="Y135" s="53"/>
      <c r="Z135" s="38"/>
      <c r="AA135" s="38"/>
      <c r="AB135" s="38"/>
      <c r="AC135" s="38"/>
    </row>
    <row r="136" spans="1:29" s="48" customFormat="1" ht="21.75" customHeight="1" x14ac:dyDescent="0.15">
      <c r="A136" s="171"/>
      <c r="B136" s="138"/>
      <c r="C136" s="226"/>
      <c r="D136" s="145"/>
      <c r="E136" s="146"/>
      <c r="F136" s="147"/>
      <c r="G136" s="177"/>
      <c r="H136" s="177"/>
      <c r="I136" s="181"/>
      <c r="J136" s="181"/>
      <c r="K136" s="43" t="s">
        <v>209</v>
      </c>
      <c r="L136" s="44">
        <v>311</v>
      </c>
      <c r="M136" s="45">
        <v>2</v>
      </c>
      <c r="N136" s="45">
        <v>2</v>
      </c>
      <c r="O136" s="155"/>
      <c r="P136" s="155"/>
      <c r="Q136" s="155"/>
      <c r="R136" s="155"/>
      <c r="S136" s="155"/>
      <c r="T136" s="155"/>
      <c r="U136" s="155"/>
      <c r="V136" s="155"/>
      <c r="W136" s="53"/>
      <c r="X136" s="53"/>
      <c r="Y136" s="53"/>
      <c r="Z136" s="38"/>
      <c r="AA136" s="38"/>
      <c r="AB136" s="38"/>
      <c r="AC136" s="38"/>
    </row>
    <row r="137" spans="1:29" s="48" customFormat="1" ht="21.75" customHeight="1" x14ac:dyDescent="0.15">
      <c r="A137" s="171"/>
      <c r="B137" s="138"/>
      <c r="C137" s="227"/>
      <c r="D137" s="148"/>
      <c r="E137" s="149"/>
      <c r="F137" s="150"/>
      <c r="G137" s="93" t="s">
        <v>71</v>
      </c>
      <c r="H137" s="94"/>
      <c r="I137" s="94"/>
      <c r="J137" s="94"/>
      <c r="K137" s="95"/>
      <c r="L137" s="49">
        <f>SUM(L134:L136)</f>
        <v>643</v>
      </c>
      <c r="M137" s="97">
        <f>SUM(M134:M136)</f>
        <v>4</v>
      </c>
      <c r="N137" s="97">
        <f>SUM(N134:N136)</f>
        <v>4</v>
      </c>
      <c r="O137" s="156"/>
      <c r="P137" s="156"/>
      <c r="Q137" s="156"/>
      <c r="R137" s="156"/>
      <c r="S137" s="156"/>
      <c r="T137" s="156"/>
      <c r="U137" s="156"/>
      <c r="V137" s="156"/>
      <c r="W137" s="53"/>
      <c r="X137" s="50">
        <f>N134+N135+N136</f>
        <v>4</v>
      </c>
      <c r="Y137" s="53"/>
      <c r="Z137" s="38"/>
      <c r="AA137" s="38"/>
      <c r="AB137" s="38"/>
      <c r="AC137" s="38"/>
    </row>
    <row r="138" spans="1:29" s="48" customFormat="1" ht="21.75" customHeight="1" x14ac:dyDescent="0.15">
      <c r="A138" s="171"/>
      <c r="B138" s="138"/>
      <c r="C138" s="225" t="s">
        <v>210</v>
      </c>
      <c r="D138" s="142" t="s">
        <v>211</v>
      </c>
      <c r="E138" s="143"/>
      <c r="F138" s="144"/>
      <c r="G138" s="175" t="s">
        <v>212</v>
      </c>
      <c r="H138" s="175" t="s">
        <v>179</v>
      </c>
      <c r="I138" s="179" t="s">
        <v>65</v>
      </c>
      <c r="J138" s="179" t="s">
        <v>67</v>
      </c>
      <c r="K138" s="43">
        <v>73.987700000000004</v>
      </c>
      <c r="L138" s="44">
        <v>129</v>
      </c>
      <c r="M138" s="66">
        <v>0</v>
      </c>
      <c r="N138" s="66">
        <v>0</v>
      </c>
      <c r="O138" s="154" t="s">
        <v>205</v>
      </c>
      <c r="P138" s="154" t="s">
        <v>206</v>
      </c>
      <c r="Q138" s="154" t="s">
        <v>207</v>
      </c>
      <c r="R138" s="154" t="s">
        <v>69</v>
      </c>
      <c r="S138" s="154"/>
      <c r="T138" s="154" t="s">
        <v>65</v>
      </c>
      <c r="U138" s="154"/>
      <c r="V138" s="154"/>
      <c r="W138" s="53"/>
      <c r="X138" s="53"/>
      <c r="Y138" s="53"/>
      <c r="Z138" s="38"/>
      <c r="AA138" s="38"/>
      <c r="AB138" s="38"/>
      <c r="AC138" s="38"/>
    </row>
    <row r="139" spans="1:29" s="48" customFormat="1" ht="21.75" customHeight="1" x14ac:dyDescent="0.15">
      <c r="A139" s="171"/>
      <c r="B139" s="138"/>
      <c r="C139" s="226"/>
      <c r="D139" s="145"/>
      <c r="E139" s="146"/>
      <c r="F139" s="147"/>
      <c r="G139" s="176"/>
      <c r="H139" s="176"/>
      <c r="I139" s="180"/>
      <c r="J139" s="180"/>
      <c r="K139" s="43">
        <v>73.900400000000005</v>
      </c>
      <c r="L139" s="44">
        <v>129</v>
      </c>
      <c r="M139" s="66">
        <v>0</v>
      </c>
      <c r="N139" s="66">
        <v>0</v>
      </c>
      <c r="O139" s="155"/>
      <c r="P139" s="155"/>
      <c r="Q139" s="155"/>
      <c r="R139" s="155"/>
      <c r="S139" s="155"/>
      <c r="T139" s="155"/>
      <c r="U139" s="155"/>
      <c r="V139" s="155"/>
      <c r="W139" s="53"/>
      <c r="X139" s="53"/>
      <c r="Y139" s="53"/>
      <c r="Z139" s="38"/>
      <c r="AA139" s="38"/>
      <c r="AB139" s="38"/>
      <c r="AC139" s="38"/>
    </row>
    <row r="140" spans="1:29" s="48" customFormat="1" ht="21.75" customHeight="1" x14ac:dyDescent="0.15">
      <c r="A140" s="171"/>
      <c r="B140" s="138"/>
      <c r="C140" s="226"/>
      <c r="D140" s="145"/>
      <c r="E140" s="146"/>
      <c r="F140" s="147"/>
      <c r="G140" s="176"/>
      <c r="H140" s="176"/>
      <c r="I140" s="180"/>
      <c r="J140" s="180"/>
      <c r="K140" s="43">
        <v>84.979699999999994</v>
      </c>
      <c r="L140" s="44">
        <v>86</v>
      </c>
      <c r="M140" s="66">
        <v>0</v>
      </c>
      <c r="N140" s="66">
        <v>0</v>
      </c>
      <c r="O140" s="155"/>
      <c r="P140" s="155"/>
      <c r="Q140" s="155"/>
      <c r="R140" s="155"/>
      <c r="S140" s="155"/>
      <c r="T140" s="155"/>
      <c r="U140" s="155"/>
      <c r="V140" s="155"/>
      <c r="W140" s="53"/>
      <c r="X140" s="53"/>
      <c r="Y140" s="53"/>
      <c r="Z140" s="38"/>
      <c r="AA140" s="38"/>
      <c r="AB140" s="38"/>
      <c r="AC140" s="38"/>
    </row>
    <row r="141" spans="1:29" s="48" customFormat="1" ht="21.75" customHeight="1" x14ac:dyDescent="0.15">
      <c r="A141" s="171"/>
      <c r="B141" s="138"/>
      <c r="C141" s="226"/>
      <c r="D141" s="145"/>
      <c r="E141" s="146"/>
      <c r="F141" s="147"/>
      <c r="G141" s="176"/>
      <c r="H141" s="176"/>
      <c r="I141" s="180"/>
      <c r="J141" s="180"/>
      <c r="K141" s="43">
        <v>84.905100000000004</v>
      </c>
      <c r="L141" s="44">
        <v>200</v>
      </c>
      <c r="M141" s="66">
        <v>0</v>
      </c>
      <c r="N141" s="66">
        <v>0</v>
      </c>
      <c r="O141" s="155"/>
      <c r="P141" s="155"/>
      <c r="Q141" s="155"/>
      <c r="R141" s="155"/>
      <c r="S141" s="155"/>
      <c r="T141" s="155"/>
      <c r="U141" s="155"/>
      <c r="V141" s="155"/>
      <c r="W141" s="53"/>
      <c r="X141" s="53"/>
      <c r="Y141" s="53"/>
      <c r="Z141" s="38"/>
      <c r="AA141" s="38"/>
      <c r="AB141" s="38"/>
      <c r="AC141" s="38"/>
    </row>
    <row r="142" spans="1:29" s="48" customFormat="1" ht="21.75" customHeight="1" x14ac:dyDescent="0.15">
      <c r="A142" s="171"/>
      <c r="B142" s="138"/>
      <c r="C142" s="226"/>
      <c r="D142" s="145"/>
      <c r="E142" s="146"/>
      <c r="F142" s="147"/>
      <c r="G142" s="177"/>
      <c r="H142" s="177"/>
      <c r="I142" s="181"/>
      <c r="J142" s="181"/>
      <c r="K142" s="43">
        <v>103.9564</v>
      </c>
      <c r="L142" s="44">
        <v>92</v>
      </c>
      <c r="M142" s="66">
        <v>8</v>
      </c>
      <c r="N142" s="66">
        <v>7</v>
      </c>
      <c r="O142" s="155"/>
      <c r="P142" s="155"/>
      <c r="Q142" s="155"/>
      <c r="R142" s="155"/>
      <c r="S142" s="155"/>
      <c r="T142" s="155"/>
      <c r="U142" s="155"/>
      <c r="V142" s="155"/>
      <c r="W142" s="59"/>
      <c r="X142" s="53"/>
      <c r="Y142" s="53"/>
      <c r="Z142" s="38"/>
      <c r="AA142" s="38"/>
      <c r="AB142" s="38"/>
      <c r="AC142" s="38"/>
    </row>
    <row r="143" spans="1:29" s="48" customFormat="1" ht="21.75" customHeight="1" x14ac:dyDescent="0.15">
      <c r="A143" s="171"/>
      <c r="B143" s="138"/>
      <c r="C143" s="227"/>
      <c r="D143" s="148"/>
      <c r="E143" s="149"/>
      <c r="F143" s="150"/>
      <c r="G143" s="93" t="s">
        <v>71</v>
      </c>
      <c r="H143" s="94"/>
      <c r="I143" s="94"/>
      <c r="J143" s="94"/>
      <c r="K143" s="95"/>
      <c r="L143" s="49">
        <f>SUM(L138:L142)</f>
        <v>636</v>
      </c>
      <c r="M143" s="97">
        <f>SUM(M138:M142)</f>
        <v>8</v>
      </c>
      <c r="N143" s="97">
        <f>SUM(N138:N142)</f>
        <v>7</v>
      </c>
      <c r="O143" s="156"/>
      <c r="P143" s="156"/>
      <c r="Q143" s="156"/>
      <c r="R143" s="156"/>
      <c r="S143" s="156"/>
      <c r="T143" s="156"/>
      <c r="U143" s="156"/>
      <c r="V143" s="156"/>
      <c r="W143" s="53"/>
      <c r="X143" s="50">
        <f>N138+N139+N140+N141</f>
        <v>0</v>
      </c>
      <c r="Y143" s="50">
        <f>N142</f>
        <v>7</v>
      </c>
      <c r="Z143" s="38"/>
      <c r="AA143" s="38"/>
      <c r="AB143" s="38"/>
      <c r="AC143" s="38"/>
    </row>
    <row r="144" spans="1:29" s="48" customFormat="1" ht="21.75" customHeight="1" x14ac:dyDescent="0.15">
      <c r="A144" s="171"/>
      <c r="B144" s="138"/>
      <c r="C144" s="225" t="s">
        <v>213</v>
      </c>
      <c r="D144" s="142" t="s">
        <v>214</v>
      </c>
      <c r="E144" s="143"/>
      <c r="F144" s="144"/>
      <c r="G144" s="175" t="s">
        <v>215</v>
      </c>
      <c r="H144" s="175" t="s">
        <v>216</v>
      </c>
      <c r="I144" s="179" t="s">
        <v>65</v>
      </c>
      <c r="J144" s="179" t="s">
        <v>67</v>
      </c>
      <c r="K144" s="43">
        <v>59.969900000000003</v>
      </c>
      <c r="L144" s="44">
        <v>87</v>
      </c>
      <c r="M144" s="66">
        <v>0</v>
      </c>
      <c r="N144" s="66">
        <v>0</v>
      </c>
      <c r="O144" s="154" t="s">
        <v>217</v>
      </c>
      <c r="P144" s="154" t="s">
        <v>218</v>
      </c>
      <c r="Q144" s="154" t="s">
        <v>219</v>
      </c>
      <c r="R144" s="154" t="s">
        <v>69</v>
      </c>
      <c r="S144" s="154"/>
      <c r="T144" s="154" t="s">
        <v>65</v>
      </c>
      <c r="U144" s="154"/>
      <c r="V144" s="154"/>
      <c r="W144" s="59"/>
      <c r="X144" s="53"/>
      <c r="Y144" s="53"/>
      <c r="Z144" s="38"/>
      <c r="AA144" s="38"/>
      <c r="AB144" s="38"/>
      <c r="AC144" s="38"/>
    </row>
    <row r="145" spans="1:29" s="48" customFormat="1" ht="21.75" customHeight="1" x14ac:dyDescent="0.15">
      <c r="A145" s="171"/>
      <c r="B145" s="138"/>
      <c r="C145" s="226"/>
      <c r="D145" s="145"/>
      <c r="E145" s="146"/>
      <c r="F145" s="147"/>
      <c r="G145" s="176"/>
      <c r="H145" s="176"/>
      <c r="I145" s="180"/>
      <c r="J145" s="180"/>
      <c r="K145" s="43">
        <v>84.9893</v>
      </c>
      <c r="L145" s="44">
        <v>479</v>
      </c>
      <c r="M145" s="66">
        <v>46</v>
      </c>
      <c r="N145" s="66">
        <v>43</v>
      </c>
      <c r="O145" s="155"/>
      <c r="P145" s="155"/>
      <c r="Q145" s="155"/>
      <c r="R145" s="155"/>
      <c r="S145" s="155"/>
      <c r="T145" s="155"/>
      <c r="U145" s="155"/>
      <c r="V145" s="155"/>
      <c r="W145" s="53"/>
      <c r="X145" s="53"/>
      <c r="Y145" s="53"/>
      <c r="Z145" s="38"/>
      <c r="AA145" s="38"/>
      <c r="AB145" s="38"/>
      <c r="AC145" s="38"/>
    </row>
    <row r="146" spans="1:29" s="48" customFormat="1" ht="21.75" customHeight="1" x14ac:dyDescent="0.15">
      <c r="A146" s="171"/>
      <c r="B146" s="138"/>
      <c r="C146" s="226"/>
      <c r="D146" s="145"/>
      <c r="E146" s="146"/>
      <c r="F146" s="147"/>
      <c r="G146" s="177"/>
      <c r="H146" s="177"/>
      <c r="I146" s="181"/>
      <c r="J146" s="181"/>
      <c r="K146" s="43">
        <v>84.907300000000006</v>
      </c>
      <c r="L146" s="44">
        <v>201</v>
      </c>
      <c r="M146" s="66">
        <v>26</v>
      </c>
      <c r="N146" s="66">
        <v>26</v>
      </c>
      <c r="O146" s="155"/>
      <c r="P146" s="155"/>
      <c r="Q146" s="155"/>
      <c r="R146" s="155"/>
      <c r="S146" s="155"/>
      <c r="T146" s="155"/>
      <c r="U146" s="155"/>
      <c r="V146" s="155"/>
      <c r="W146" s="53"/>
      <c r="X146" s="53"/>
      <c r="Y146" s="53"/>
      <c r="Z146" s="38"/>
      <c r="AA146" s="38"/>
      <c r="AB146" s="38"/>
      <c r="AC146" s="38"/>
    </row>
    <row r="147" spans="1:29" s="48" customFormat="1" ht="21.75" customHeight="1" x14ac:dyDescent="0.15">
      <c r="A147" s="171"/>
      <c r="B147" s="138"/>
      <c r="C147" s="227"/>
      <c r="D147" s="148"/>
      <c r="E147" s="149"/>
      <c r="F147" s="150"/>
      <c r="G147" s="93" t="s">
        <v>71</v>
      </c>
      <c r="H147" s="94"/>
      <c r="I147" s="94"/>
      <c r="J147" s="94"/>
      <c r="K147" s="95"/>
      <c r="L147" s="49">
        <f>SUM(L144:L146)</f>
        <v>767</v>
      </c>
      <c r="M147" s="97">
        <f>SUM(M144:M146)</f>
        <v>72</v>
      </c>
      <c r="N147" s="97">
        <f>SUM(N144:N146)</f>
        <v>69</v>
      </c>
      <c r="O147" s="156"/>
      <c r="P147" s="156"/>
      <c r="Q147" s="156"/>
      <c r="R147" s="156"/>
      <c r="S147" s="156"/>
      <c r="T147" s="156"/>
      <c r="U147" s="156"/>
      <c r="V147" s="156"/>
      <c r="W147" s="50">
        <f>N144</f>
        <v>0</v>
      </c>
      <c r="X147" s="50">
        <f>N145+N146</f>
        <v>69</v>
      </c>
      <c r="Y147" s="53"/>
      <c r="Z147" s="38"/>
      <c r="AA147" s="38"/>
      <c r="AB147" s="38"/>
      <c r="AC147" s="38"/>
    </row>
    <row r="148" spans="1:29" s="48" customFormat="1" ht="21.75" customHeight="1" x14ac:dyDescent="0.15">
      <c r="A148" s="171"/>
      <c r="B148" s="138"/>
      <c r="C148" s="225" t="s">
        <v>220</v>
      </c>
      <c r="D148" s="142" t="s">
        <v>221</v>
      </c>
      <c r="E148" s="143"/>
      <c r="F148" s="144"/>
      <c r="G148" s="175" t="s">
        <v>72</v>
      </c>
      <c r="H148" s="175" t="s">
        <v>222</v>
      </c>
      <c r="I148" s="179" t="s">
        <v>65</v>
      </c>
      <c r="J148" s="179" t="s">
        <v>67</v>
      </c>
      <c r="K148" s="43">
        <v>84.94</v>
      </c>
      <c r="L148" s="44">
        <v>398</v>
      </c>
      <c r="M148" s="45">
        <v>2</v>
      </c>
      <c r="N148" s="45">
        <v>2</v>
      </c>
      <c r="O148" s="154" t="s">
        <v>223</v>
      </c>
      <c r="P148" s="154" t="s">
        <v>224</v>
      </c>
      <c r="Q148" s="154" t="s">
        <v>225</v>
      </c>
      <c r="R148" s="154" t="s">
        <v>69</v>
      </c>
      <c r="S148" s="154"/>
      <c r="T148" s="154" t="s">
        <v>65</v>
      </c>
      <c r="U148" s="154"/>
      <c r="V148" s="154"/>
      <c r="W148" s="53"/>
      <c r="X148" s="53"/>
      <c r="Y148" s="53"/>
      <c r="Z148" s="38"/>
      <c r="AA148" s="38"/>
      <c r="AB148" s="38"/>
      <c r="AC148" s="38"/>
    </row>
    <row r="149" spans="1:29" s="48" customFormat="1" ht="21.75" customHeight="1" x14ac:dyDescent="0.15">
      <c r="A149" s="171"/>
      <c r="B149" s="138"/>
      <c r="C149" s="226"/>
      <c r="D149" s="145"/>
      <c r="E149" s="146"/>
      <c r="F149" s="147"/>
      <c r="G149" s="176"/>
      <c r="H149" s="176"/>
      <c r="I149" s="180"/>
      <c r="J149" s="180"/>
      <c r="K149" s="43">
        <v>84.96</v>
      </c>
      <c r="L149" s="44">
        <v>312</v>
      </c>
      <c r="M149" s="45">
        <v>0</v>
      </c>
      <c r="N149" s="45">
        <v>0</v>
      </c>
      <c r="O149" s="155"/>
      <c r="P149" s="155"/>
      <c r="Q149" s="155"/>
      <c r="R149" s="155"/>
      <c r="S149" s="155"/>
      <c r="T149" s="155"/>
      <c r="U149" s="155"/>
      <c r="V149" s="155"/>
      <c r="W149" s="53"/>
      <c r="X149" s="53"/>
      <c r="Y149" s="53"/>
      <c r="Z149" s="38"/>
      <c r="AA149" s="38"/>
      <c r="AB149" s="38"/>
      <c r="AC149" s="38"/>
    </row>
    <row r="150" spans="1:29" s="48" customFormat="1" ht="21.75" customHeight="1" x14ac:dyDescent="0.15">
      <c r="A150" s="171"/>
      <c r="B150" s="138"/>
      <c r="C150" s="226"/>
      <c r="D150" s="145"/>
      <c r="E150" s="146"/>
      <c r="F150" s="147"/>
      <c r="G150" s="177"/>
      <c r="H150" s="177"/>
      <c r="I150" s="181"/>
      <c r="J150" s="181"/>
      <c r="K150" s="43">
        <v>114.43</v>
      </c>
      <c r="L150" s="44">
        <v>73</v>
      </c>
      <c r="M150" s="45">
        <v>0</v>
      </c>
      <c r="N150" s="45">
        <v>0</v>
      </c>
      <c r="O150" s="155"/>
      <c r="P150" s="155"/>
      <c r="Q150" s="155"/>
      <c r="R150" s="155"/>
      <c r="S150" s="155"/>
      <c r="T150" s="155"/>
      <c r="U150" s="155"/>
      <c r="V150" s="155"/>
      <c r="W150" s="53"/>
      <c r="X150" s="53"/>
      <c r="Y150" s="53"/>
      <c r="Z150" s="38"/>
      <c r="AA150" s="38"/>
      <c r="AB150" s="38"/>
      <c r="AC150" s="38"/>
    </row>
    <row r="151" spans="1:29" s="48" customFormat="1" ht="21.75" customHeight="1" x14ac:dyDescent="0.15">
      <c r="A151" s="171"/>
      <c r="B151" s="138"/>
      <c r="C151" s="227"/>
      <c r="D151" s="148"/>
      <c r="E151" s="149"/>
      <c r="F151" s="150"/>
      <c r="G151" s="93" t="s">
        <v>71</v>
      </c>
      <c r="H151" s="94"/>
      <c r="I151" s="94"/>
      <c r="J151" s="94"/>
      <c r="K151" s="95"/>
      <c r="L151" s="49">
        <f>SUM(L148:L150)</f>
        <v>783</v>
      </c>
      <c r="M151" s="97">
        <f>SUM(M148:M150)</f>
        <v>2</v>
      </c>
      <c r="N151" s="97">
        <f>SUM(N148:N150)</f>
        <v>2</v>
      </c>
      <c r="O151" s="156"/>
      <c r="P151" s="156"/>
      <c r="Q151" s="156"/>
      <c r="R151" s="156"/>
      <c r="S151" s="156"/>
      <c r="T151" s="156"/>
      <c r="U151" s="156"/>
      <c r="V151" s="156"/>
      <c r="W151" s="53"/>
      <c r="X151" s="50">
        <f>N148+N149</f>
        <v>2</v>
      </c>
      <c r="Y151" s="50">
        <f>N150</f>
        <v>0</v>
      </c>
      <c r="Z151" s="38"/>
      <c r="AA151" s="38"/>
      <c r="AB151" s="38"/>
      <c r="AC151" s="38"/>
    </row>
    <row r="152" spans="1:29" s="48" customFormat="1" ht="21.75" customHeight="1" x14ac:dyDescent="0.15">
      <c r="A152" s="171"/>
      <c r="B152" s="138"/>
      <c r="C152" s="225" t="s">
        <v>301</v>
      </c>
      <c r="D152" s="142" t="s">
        <v>226</v>
      </c>
      <c r="E152" s="143"/>
      <c r="F152" s="144"/>
      <c r="G152" s="175" t="s">
        <v>227</v>
      </c>
      <c r="H152" s="175" t="s">
        <v>84</v>
      </c>
      <c r="I152" s="179" t="s">
        <v>65</v>
      </c>
      <c r="J152" s="179" t="s">
        <v>67</v>
      </c>
      <c r="K152" s="43">
        <v>84.408600000000007</v>
      </c>
      <c r="L152" s="44">
        <v>148</v>
      </c>
      <c r="M152" s="66">
        <v>21</v>
      </c>
      <c r="N152" s="66">
        <v>21</v>
      </c>
      <c r="O152" s="154" t="s">
        <v>228</v>
      </c>
      <c r="P152" s="154" t="s">
        <v>229</v>
      </c>
      <c r="Q152" s="154" t="s">
        <v>230</v>
      </c>
      <c r="R152" s="154" t="s">
        <v>69</v>
      </c>
      <c r="S152" s="154"/>
      <c r="T152" s="154" t="s">
        <v>65</v>
      </c>
      <c r="U152" s="154"/>
      <c r="V152" s="154"/>
      <c r="W152" s="53"/>
      <c r="X152" s="53"/>
      <c r="Y152" s="53"/>
      <c r="Z152" s="38"/>
      <c r="AA152" s="38"/>
      <c r="AB152" s="38"/>
      <c r="AC152" s="38"/>
    </row>
    <row r="153" spans="1:29" s="48" customFormat="1" ht="21.75" customHeight="1" x14ac:dyDescent="0.15">
      <c r="A153" s="171"/>
      <c r="B153" s="138"/>
      <c r="C153" s="226"/>
      <c r="D153" s="145"/>
      <c r="E153" s="146"/>
      <c r="F153" s="147"/>
      <c r="G153" s="176"/>
      <c r="H153" s="176"/>
      <c r="I153" s="180"/>
      <c r="J153" s="180"/>
      <c r="K153" s="43">
        <v>84.849400000000003</v>
      </c>
      <c r="L153" s="44">
        <v>76</v>
      </c>
      <c r="M153" s="66">
        <v>11</v>
      </c>
      <c r="N153" s="66">
        <v>11</v>
      </c>
      <c r="O153" s="155"/>
      <c r="P153" s="155"/>
      <c r="Q153" s="155"/>
      <c r="R153" s="155"/>
      <c r="S153" s="155"/>
      <c r="T153" s="155"/>
      <c r="U153" s="155"/>
      <c r="V153" s="155"/>
      <c r="W153" s="52"/>
      <c r="X153" s="53"/>
      <c r="Y153" s="53"/>
      <c r="Z153" s="38"/>
      <c r="AA153" s="38"/>
      <c r="AB153" s="38"/>
      <c r="AC153" s="38"/>
    </row>
    <row r="154" spans="1:29" s="48" customFormat="1" ht="21.75" customHeight="1" x14ac:dyDescent="0.15">
      <c r="A154" s="171"/>
      <c r="B154" s="138"/>
      <c r="C154" s="226"/>
      <c r="D154" s="145"/>
      <c r="E154" s="146"/>
      <c r="F154" s="147"/>
      <c r="G154" s="177"/>
      <c r="H154" s="177"/>
      <c r="I154" s="181"/>
      <c r="J154" s="181"/>
      <c r="K154" s="43">
        <v>109.80240000000001</v>
      </c>
      <c r="L154" s="44">
        <v>68</v>
      </c>
      <c r="M154" s="66">
        <v>25</v>
      </c>
      <c r="N154" s="66">
        <v>25</v>
      </c>
      <c r="O154" s="155"/>
      <c r="P154" s="155"/>
      <c r="Q154" s="155"/>
      <c r="R154" s="155"/>
      <c r="S154" s="155"/>
      <c r="T154" s="155"/>
      <c r="U154" s="155"/>
      <c r="V154" s="155"/>
      <c r="W154" s="53"/>
      <c r="X154" s="53"/>
      <c r="Y154" s="53"/>
      <c r="Z154" s="38"/>
      <c r="AA154" s="38"/>
      <c r="AB154" s="38"/>
      <c r="AC154" s="38"/>
    </row>
    <row r="155" spans="1:29" s="48" customFormat="1" ht="21.75" customHeight="1" x14ac:dyDescent="0.15">
      <c r="A155" s="171"/>
      <c r="B155" s="138"/>
      <c r="C155" s="227"/>
      <c r="D155" s="148"/>
      <c r="E155" s="149"/>
      <c r="F155" s="150"/>
      <c r="G155" s="93" t="s">
        <v>71</v>
      </c>
      <c r="H155" s="94"/>
      <c r="I155" s="94"/>
      <c r="J155" s="94"/>
      <c r="K155" s="95"/>
      <c r="L155" s="49">
        <f>SUM(L152:L154)</f>
        <v>292</v>
      </c>
      <c r="M155" s="97">
        <f>SUM(M152:M154)</f>
        <v>57</v>
      </c>
      <c r="N155" s="97">
        <f>SUM(N152:N154)</f>
        <v>57</v>
      </c>
      <c r="O155" s="156"/>
      <c r="P155" s="156"/>
      <c r="Q155" s="156"/>
      <c r="R155" s="156"/>
      <c r="S155" s="156"/>
      <c r="T155" s="156"/>
      <c r="U155" s="156"/>
      <c r="V155" s="156"/>
      <c r="W155" s="53"/>
      <c r="X155" s="50">
        <f>N152+N153</f>
        <v>32</v>
      </c>
      <c r="Y155" s="50">
        <f>N154</f>
        <v>25</v>
      </c>
      <c r="Z155" s="38"/>
      <c r="AA155" s="38"/>
      <c r="AB155" s="38"/>
      <c r="AC155" s="38"/>
    </row>
    <row r="156" spans="1:29" s="48" customFormat="1" ht="21.75" customHeight="1" x14ac:dyDescent="0.15">
      <c r="A156" s="171"/>
      <c r="B156" s="138"/>
      <c r="C156" s="225" t="s">
        <v>231</v>
      </c>
      <c r="D156" s="142" t="s">
        <v>232</v>
      </c>
      <c r="E156" s="143"/>
      <c r="F156" s="144"/>
      <c r="G156" s="175" t="s">
        <v>233</v>
      </c>
      <c r="H156" s="175" t="s">
        <v>233</v>
      </c>
      <c r="I156" s="179" t="s">
        <v>65</v>
      </c>
      <c r="J156" s="179" t="s">
        <v>67</v>
      </c>
      <c r="K156" s="43">
        <v>84.665099999999995</v>
      </c>
      <c r="L156" s="44">
        <v>134</v>
      </c>
      <c r="M156" s="45">
        <v>26</v>
      </c>
      <c r="N156" s="45">
        <v>26</v>
      </c>
      <c r="O156" s="154" t="s">
        <v>234</v>
      </c>
      <c r="P156" s="154" t="s">
        <v>235</v>
      </c>
      <c r="Q156" s="154" t="s">
        <v>236</v>
      </c>
      <c r="R156" s="154" t="s">
        <v>69</v>
      </c>
      <c r="S156" s="154"/>
      <c r="T156" s="154" t="s">
        <v>65</v>
      </c>
      <c r="U156" s="154"/>
      <c r="V156" s="154"/>
      <c r="W156" s="53"/>
      <c r="X156" s="53"/>
      <c r="Y156" s="53"/>
      <c r="Z156" s="38"/>
      <c r="AA156" s="38"/>
      <c r="AB156" s="38"/>
      <c r="AC156" s="38"/>
    </row>
    <row r="157" spans="1:29" s="48" customFormat="1" ht="21.75" customHeight="1" x14ac:dyDescent="0.15">
      <c r="A157" s="171"/>
      <c r="B157" s="138"/>
      <c r="C157" s="226"/>
      <c r="D157" s="145"/>
      <c r="E157" s="146"/>
      <c r="F157" s="147"/>
      <c r="G157" s="176"/>
      <c r="H157" s="176"/>
      <c r="I157" s="180"/>
      <c r="J157" s="180"/>
      <c r="K157" s="43">
        <v>84.424400000000006</v>
      </c>
      <c r="L157" s="44">
        <v>43</v>
      </c>
      <c r="M157" s="45">
        <v>25</v>
      </c>
      <c r="N157" s="45">
        <v>25</v>
      </c>
      <c r="O157" s="155"/>
      <c r="P157" s="155"/>
      <c r="Q157" s="155"/>
      <c r="R157" s="155"/>
      <c r="S157" s="155"/>
      <c r="T157" s="155"/>
      <c r="U157" s="155"/>
      <c r="V157" s="155"/>
      <c r="W157" s="53"/>
      <c r="X157" s="53"/>
      <c r="Y157" s="53"/>
      <c r="Z157" s="38"/>
      <c r="AA157" s="38"/>
      <c r="AB157" s="38"/>
      <c r="AC157" s="38"/>
    </row>
    <row r="158" spans="1:29" s="48" customFormat="1" ht="21.75" customHeight="1" x14ac:dyDescent="0.15">
      <c r="A158" s="171"/>
      <c r="B158" s="138"/>
      <c r="C158" s="226"/>
      <c r="D158" s="145"/>
      <c r="E158" s="146"/>
      <c r="F158" s="147"/>
      <c r="G158" s="177"/>
      <c r="H158" s="177"/>
      <c r="I158" s="181"/>
      <c r="J158" s="181"/>
      <c r="K158" s="43">
        <v>65.682100000000005</v>
      </c>
      <c r="L158" s="44">
        <v>90</v>
      </c>
      <c r="M158" s="45">
        <v>20</v>
      </c>
      <c r="N158" s="45">
        <v>20</v>
      </c>
      <c r="O158" s="155"/>
      <c r="P158" s="155"/>
      <c r="Q158" s="155"/>
      <c r="R158" s="155"/>
      <c r="S158" s="155"/>
      <c r="T158" s="155"/>
      <c r="U158" s="155"/>
      <c r="V158" s="155"/>
      <c r="W158" s="53"/>
      <c r="X158" s="53"/>
      <c r="Y158" s="53"/>
      <c r="Z158" s="38"/>
      <c r="AA158" s="38"/>
      <c r="AB158" s="38"/>
      <c r="AC158" s="38"/>
    </row>
    <row r="159" spans="1:29" s="48" customFormat="1" ht="21.75" customHeight="1" x14ac:dyDescent="0.15">
      <c r="A159" s="171"/>
      <c r="B159" s="138"/>
      <c r="C159" s="227"/>
      <c r="D159" s="148"/>
      <c r="E159" s="149"/>
      <c r="F159" s="150"/>
      <c r="G159" s="93" t="s">
        <v>71</v>
      </c>
      <c r="H159" s="94"/>
      <c r="I159" s="94"/>
      <c r="J159" s="94"/>
      <c r="K159" s="95"/>
      <c r="L159" s="49">
        <f>SUM(L156:L158)</f>
        <v>267</v>
      </c>
      <c r="M159" s="97">
        <f>SUM(M156:M158)</f>
        <v>71</v>
      </c>
      <c r="N159" s="97">
        <f>SUM(N156:N158)</f>
        <v>71</v>
      </c>
      <c r="O159" s="156"/>
      <c r="P159" s="156"/>
      <c r="Q159" s="156"/>
      <c r="R159" s="156"/>
      <c r="S159" s="156"/>
      <c r="T159" s="156"/>
      <c r="U159" s="156"/>
      <c r="V159" s="156"/>
      <c r="W159" s="53"/>
      <c r="X159" s="50">
        <f>N156+N157+N158</f>
        <v>71</v>
      </c>
      <c r="Y159" s="53"/>
      <c r="Z159" s="38"/>
      <c r="AA159" s="38"/>
      <c r="AB159" s="38"/>
      <c r="AC159" s="38"/>
    </row>
    <row r="160" spans="1:29" s="48" customFormat="1" ht="21.75" customHeight="1" x14ac:dyDescent="0.15">
      <c r="A160" s="171"/>
      <c r="B160" s="201" t="s">
        <v>18</v>
      </c>
      <c r="C160" s="225" t="s">
        <v>237</v>
      </c>
      <c r="D160" s="142" t="s">
        <v>238</v>
      </c>
      <c r="E160" s="143"/>
      <c r="F160" s="144"/>
      <c r="G160" s="175" t="s">
        <v>239</v>
      </c>
      <c r="H160" s="175" t="s">
        <v>240</v>
      </c>
      <c r="I160" s="179" t="s">
        <v>65</v>
      </c>
      <c r="J160" s="179" t="s">
        <v>67</v>
      </c>
      <c r="K160" s="43" t="s">
        <v>241</v>
      </c>
      <c r="L160" s="44">
        <v>138</v>
      </c>
      <c r="M160" s="66">
        <v>6</v>
      </c>
      <c r="N160" s="66">
        <v>6</v>
      </c>
      <c r="O160" s="154" t="s">
        <v>242</v>
      </c>
      <c r="P160" s="154" t="s">
        <v>243</v>
      </c>
      <c r="Q160" s="154" t="s">
        <v>244</v>
      </c>
      <c r="R160" s="154" t="s">
        <v>69</v>
      </c>
      <c r="S160" s="154"/>
      <c r="T160" s="154" t="s">
        <v>65</v>
      </c>
      <c r="U160" s="154"/>
      <c r="V160" s="154"/>
      <c r="W160" s="46"/>
      <c r="X160" s="46"/>
      <c r="Y160" s="46"/>
      <c r="Z160" s="38">
        <f>SUM(W160:W196)</f>
        <v>125</v>
      </c>
      <c r="AA160" s="38">
        <f>SUM(X160:X196)</f>
        <v>9</v>
      </c>
      <c r="AB160" s="38">
        <f>SUM(Y160:Y196)</f>
        <v>1</v>
      </c>
      <c r="AC160" s="38">
        <f>Z160+AA160+AB160</f>
        <v>135</v>
      </c>
    </row>
    <row r="161" spans="1:29" s="48" customFormat="1" ht="21.75" customHeight="1" x14ac:dyDescent="0.15">
      <c r="A161" s="171"/>
      <c r="B161" s="202"/>
      <c r="C161" s="226"/>
      <c r="D161" s="145"/>
      <c r="E161" s="146"/>
      <c r="F161" s="147"/>
      <c r="G161" s="176"/>
      <c r="H161" s="176"/>
      <c r="I161" s="180"/>
      <c r="J161" s="180"/>
      <c r="K161" s="43" t="s">
        <v>245</v>
      </c>
      <c r="L161" s="44">
        <v>154</v>
      </c>
      <c r="M161" s="66">
        <v>18</v>
      </c>
      <c r="N161" s="66">
        <v>18</v>
      </c>
      <c r="O161" s="155"/>
      <c r="P161" s="155"/>
      <c r="Q161" s="155"/>
      <c r="R161" s="155"/>
      <c r="S161" s="155"/>
      <c r="T161" s="155"/>
      <c r="U161" s="155"/>
      <c r="V161" s="155"/>
      <c r="W161" s="46"/>
      <c r="X161" s="46"/>
      <c r="Y161" s="46"/>
      <c r="Z161" s="47" t="e">
        <f>W165+W169+#REF!+W176+W183+W196+#REF!</f>
        <v>#REF!</v>
      </c>
      <c r="AA161" s="47" t="e">
        <f>X165+X169+#REF!+X196+#REF!</f>
        <v>#REF!</v>
      </c>
      <c r="AB161" s="47" t="e">
        <f>Y190+#REF!</f>
        <v>#REF!</v>
      </c>
      <c r="AC161" s="47" t="e">
        <f>Z161+AA161+AB161</f>
        <v>#REF!</v>
      </c>
    </row>
    <row r="162" spans="1:29" s="48" customFormat="1" ht="21.75" customHeight="1" x14ac:dyDescent="0.15">
      <c r="A162" s="171"/>
      <c r="B162" s="202"/>
      <c r="C162" s="226"/>
      <c r="D162" s="145"/>
      <c r="E162" s="146"/>
      <c r="F162" s="147"/>
      <c r="G162" s="176"/>
      <c r="H162" s="176"/>
      <c r="I162" s="180"/>
      <c r="J162" s="180"/>
      <c r="K162" s="43" t="s">
        <v>246</v>
      </c>
      <c r="L162" s="44">
        <v>39</v>
      </c>
      <c r="M162" s="66">
        <v>1</v>
      </c>
      <c r="N162" s="66">
        <v>1</v>
      </c>
      <c r="O162" s="155"/>
      <c r="P162" s="155"/>
      <c r="Q162" s="155"/>
      <c r="R162" s="155"/>
      <c r="S162" s="155"/>
      <c r="T162" s="155"/>
      <c r="U162" s="155"/>
      <c r="V162" s="155"/>
      <c r="W162" s="46"/>
      <c r="X162" s="46"/>
      <c r="Y162" s="46"/>
      <c r="Z162" s="38"/>
      <c r="AA162" s="38"/>
      <c r="AB162" s="38"/>
      <c r="AC162" s="38"/>
    </row>
    <row r="163" spans="1:29" s="48" customFormat="1" ht="21.75" customHeight="1" x14ac:dyDescent="0.15">
      <c r="A163" s="171"/>
      <c r="B163" s="202"/>
      <c r="C163" s="226"/>
      <c r="D163" s="145"/>
      <c r="E163" s="146"/>
      <c r="F163" s="147"/>
      <c r="G163" s="176"/>
      <c r="H163" s="176"/>
      <c r="I163" s="180"/>
      <c r="J163" s="180"/>
      <c r="K163" s="43" t="s">
        <v>247</v>
      </c>
      <c r="L163" s="44">
        <v>117</v>
      </c>
      <c r="M163" s="66">
        <v>4</v>
      </c>
      <c r="N163" s="66">
        <v>4</v>
      </c>
      <c r="O163" s="155"/>
      <c r="P163" s="155"/>
      <c r="Q163" s="155"/>
      <c r="R163" s="155"/>
      <c r="S163" s="155"/>
      <c r="T163" s="155"/>
      <c r="U163" s="155"/>
      <c r="V163" s="155"/>
      <c r="W163" s="46"/>
      <c r="X163" s="46"/>
      <c r="Y163" s="46"/>
      <c r="Z163" s="38"/>
      <c r="AA163" s="38"/>
      <c r="AB163" s="38"/>
      <c r="AC163" s="38"/>
    </row>
    <row r="164" spans="1:29" s="48" customFormat="1" ht="21.75" customHeight="1" x14ac:dyDescent="0.15">
      <c r="A164" s="171"/>
      <c r="B164" s="202"/>
      <c r="C164" s="226"/>
      <c r="D164" s="145"/>
      <c r="E164" s="146"/>
      <c r="F164" s="147"/>
      <c r="G164" s="177"/>
      <c r="H164" s="177"/>
      <c r="I164" s="181"/>
      <c r="J164" s="181"/>
      <c r="K164" s="43">
        <v>70.611000000000004</v>
      </c>
      <c r="L164" s="44">
        <v>187</v>
      </c>
      <c r="M164" s="66">
        <v>0</v>
      </c>
      <c r="N164" s="66">
        <v>0</v>
      </c>
      <c r="O164" s="155"/>
      <c r="P164" s="155"/>
      <c r="Q164" s="155"/>
      <c r="R164" s="155"/>
      <c r="S164" s="155"/>
      <c r="T164" s="155"/>
      <c r="U164" s="155"/>
      <c r="V164" s="155"/>
      <c r="W164" s="46"/>
      <c r="X164" s="46"/>
      <c r="Y164" s="46"/>
      <c r="Z164" s="38"/>
      <c r="AA164" s="38"/>
      <c r="AB164" s="38"/>
      <c r="AC164" s="38"/>
    </row>
    <row r="165" spans="1:29" s="48" customFormat="1" ht="21.75" customHeight="1" x14ac:dyDescent="0.15">
      <c r="A165" s="171"/>
      <c r="B165" s="202"/>
      <c r="C165" s="227"/>
      <c r="D165" s="148"/>
      <c r="E165" s="149"/>
      <c r="F165" s="150"/>
      <c r="G165" s="93" t="s">
        <v>71</v>
      </c>
      <c r="H165" s="94"/>
      <c r="I165" s="94"/>
      <c r="J165" s="94"/>
      <c r="K165" s="95"/>
      <c r="L165" s="49">
        <f>SUM(L160:L164)</f>
        <v>635</v>
      </c>
      <c r="M165" s="97">
        <f>SUM(M160:M164)</f>
        <v>29</v>
      </c>
      <c r="N165" s="97">
        <f>SUM(N160:N164)</f>
        <v>29</v>
      </c>
      <c r="O165" s="156"/>
      <c r="P165" s="156"/>
      <c r="Q165" s="156"/>
      <c r="R165" s="156"/>
      <c r="S165" s="156"/>
      <c r="T165" s="156"/>
      <c r="U165" s="156"/>
      <c r="V165" s="156"/>
      <c r="W165" s="50">
        <f>N160+N161+N162+N163</f>
        <v>29</v>
      </c>
      <c r="X165" s="50">
        <f>N164</f>
        <v>0</v>
      </c>
      <c r="Y165" s="46"/>
      <c r="Z165" s="38"/>
      <c r="AA165" s="38"/>
      <c r="AB165" s="38"/>
      <c r="AC165" s="38"/>
    </row>
    <row r="166" spans="1:29" s="48" customFormat="1" ht="21.75" customHeight="1" x14ac:dyDescent="0.15">
      <c r="A166" s="171"/>
      <c r="B166" s="202"/>
      <c r="C166" s="137" t="s">
        <v>248</v>
      </c>
      <c r="D166" s="142" t="s">
        <v>249</v>
      </c>
      <c r="E166" s="143"/>
      <c r="F166" s="144"/>
      <c r="G166" s="212" t="s">
        <v>250</v>
      </c>
      <c r="H166" s="212" t="s">
        <v>250</v>
      </c>
      <c r="I166" s="212" t="s">
        <v>65</v>
      </c>
      <c r="J166" s="212" t="s">
        <v>251</v>
      </c>
      <c r="K166" s="123">
        <v>59.881</v>
      </c>
      <c r="L166" s="44">
        <v>118</v>
      </c>
      <c r="M166" s="45">
        <v>8</v>
      </c>
      <c r="N166" s="45">
        <v>8</v>
      </c>
      <c r="O166" s="264" t="s">
        <v>252</v>
      </c>
      <c r="P166" s="264" t="s">
        <v>253</v>
      </c>
      <c r="Q166" s="264" t="s">
        <v>254</v>
      </c>
      <c r="R166" s="264" t="s">
        <v>69</v>
      </c>
      <c r="S166" s="264"/>
      <c r="T166" s="264" t="s">
        <v>65</v>
      </c>
      <c r="U166" s="264"/>
      <c r="V166" s="139"/>
      <c r="W166" s="46"/>
      <c r="X166" s="46"/>
      <c r="Y166" s="46"/>
      <c r="Z166" s="38"/>
      <c r="AA166" s="38"/>
      <c r="AB166" s="38"/>
      <c r="AC166" s="38"/>
    </row>
    <row r="167" spans="1:29" s="48" customFormat="1" ht="21.75" customHeight="1" x14ac:dyDescent="0.15">
      <c r="A167" s="171"/>
      <c r="B167" s="202"/>
      <c r="C167" s="138"/>
      <c r="D167" s="145"/>
      <c r="E167" s="146"/>
      <c r="F167" s="147"/>
      <c r="G167" s="213"/>
      <c r="H167" s="213"/>
      <c r="I167" s="213"/>
      <c r="J167" s="213"/>
      <c r="K167" s="123">
        <v>59.9758</v>
      </c>
      <c r="L167" s="44">
        <v>303</v>
      </c>
      <c r="M167" s="45">
        <v>16</v>
      </c>
      <c r="N167" s="45">
        <v>16</v>
      </c>
      <c r="O167" s="265"/>
      <c r="P167" s="265"/>
      <c r="Q167" s="265"/>
      <c r="R167" s="265"/>
      <c r="S167" s="265"/>
      <c r="T167" s="265"/>
      <c r="U167" s="265"/>
      <c r="V167" s="140"/>
      <c r="W167" s="46"/>
      <c r="X167" s="46"/>
      <c r="Y167" s="46"/>
      <c r="Z167" s="38"/>
      <c r="AA167" s="38"/>
      <c r="AB167" s="38"/>
      <c r="AC167" s="38"/>
    </row>
    <row r="168" spans="1:29" s="48" customFormat="1" ht="21.75" customHeight="1" x14ac:dyDescent="0.15">
      <c r="A168" s="171"/>
      <c r="B168" s="202"/>
      <c r="C168" s="138"/>
      <c r="D168" s="145"/>
      <c r="E168" s="146"/>
      <c r="F168" s="147"/>
      <c r="G168" s="214"/>
      <c r="H168" s="214"/>
      <c r="I168" s="214"/>
      <c r="J168" s="214"/>
      <c r="K168" s="123">
        <v>84.330299999999994</v>
      </c>
      <c r="L168" s="44">
        <v>66</v>
      </c>
      <c r="M168" s="45">
        <v>4</v>
      </c>
      <c r="N168" s="45">
        <v>4</v>
      </c>
      <c r="O168" s="265"/>
      <c r="P168" s="265"/>
      <c r="Q168" s="265"/>
      <c r="R168" s="265"/>
      <c r="S168" s="265"/>
      <c r="T168" s="265"/>
      <c r="U168" s="265"/>
      <c r="V168" s="140"/>
      <c r="W168" s="46"/>
      <c r="X168" s="46"/>
      <c r="Y168" s="46"/>
      <c r="Z168" s="38"/>
      <c r="AA168" s="38"/>
      <c r="AB168" s="38"/>
      <c r="AC168" s="38"/>
    </row>
    <row r="169" spans="1:29" s="48" customFormat="1" ht="21.75" customHeight="1" x14ac:dyDescent="0.15">
      <c r="A169" s="171"/>
      <c r="B169" s="202"/>
      <c r="C169" s="138"/>
      <c r="D169" s="148"/>
      <c r="E169" s="149"/>
      <c r="F169" s="150"/>
      <c r="G169" s="93" t="s">
        <v>71</v>
      </c>
      <c r="H169" s="94"/>
      <c r="I169" s="94"/>
      <c r="J169" s="94"/>
      <c r="K169" s="95"/>
      <c r="L169" s="49">
        <f>SUM(L166:L168)</f>
        <v>487</v>
      </c>
      <c r="M169" s="97">
        <f>SUM(M166:M168)</f>
        <v>28</v>
      </c>
      <c r="N169" s="97">
        <f>SUM(N166:N168)</f>
        <v>28</v>
      </c>
      <c r="O169" s="266"/>
      <c r="P169" s="266"/>
      <c r="Q169" s="266"/>
      <c r="R169" s="266"/>
      <c r="S169" s="266"/>
      <c r="T169" s="266"/>
      <c r="U169" s="266"/>
      <c r="V169" s="141"/>
      <c r="W169" s="50">
        <f>N166+N167</f>
        <v>24</v>
      </c>
      <c r="X169" s="50">
        <f>N168</f>
        <v>4</v>
      </c>
      <c r="Y169" s="46"/>
      <c r="Z169" s="38"/>
      <c r="AA169" s="38"/>
      <c r="AB169" s="38"/>
      <c r="AC169" s="38"/>
    </row>
    <row r="170" spans="1:29" s="48" customFormat="1" ht="21.75" customHeight="1" x14ac:dyDescent="0.15">
      <c r="A170" s="171"/>
      <c r="B170" s="202"/>
      <c r="C170" s="138"/>
      <c r="D170" s="142" t="s">
        <v>255</v>
      </c>
      <c r="E170" s="143"/>
      <c r="F170" s="144"/>
      <c r="G170" s="151" t="s">
        <v>256</v>
      </c>
      <c r="H170" s="151" t="s">
        <v>256</v>
      </c>
      <c r="I170" s="151" t="s">
        <v>64</v>
      </c>
      <c r="J170" s="151" t="s">
        <v>66</v>
      </c>
      <c r="K170" s="122">
        <v>47.218499999999999</v>
      </c>
      <c r="L170" s="44">
        <v>15</v>
      </c>
      <c r="M170" s="45">
        <v>14</v>
      </c>
      <c r="N170" s="45">
        <v>14</v>
      </c>
      <c r="O170" s="192" t="s">
        <v>257</v>
      </c>
      <c r="P170" s="192"/>
      <c r="Q170" s="192" t="s">
        <v>258</v>
      </c>
      <c r="R170" s="192" t="s">
        <v>68</v>
      </c>
      <c r="S170" s="154"/>
      <c r="T170" s="154" t="s">
        <v>64</v>
      </c>
      <c r="U170" s="154"/>
      <c r="V170" s="154"/>
      <c r="W170" s="46"/>
      <c r="X170" s="46"/>
      <c r="Y170" s="46"/>
      <c r="Z170" s="38"/>
      <c r="AA170" s="38"/>
      <c r="AB170" s="38"/>
      <c r="AC170" s="38"/>
    </row>
    <row r="171" spans="1:29" s="48" customFormat="1" ht="21.75" customHeight="1" x14ac:dyDescent="0.15">
      <c r="A171" s="171"/>
      <c r="B171" s="202"/>
      <c r="C171" s="138"/>
      <c r="D171" s="145"/>
      <c r="E171" s="146"/>
      <c r="F171" s="147"/>
      <c r="G171" s="152"/>
      <c r="H171" s="152"/>
      <c r="I171" s="152"/>
      <c r="J171" s="152"/>
      <c r="K171" s="122">
        <v>49.76</v>
      </c>
      <c r="L171" s="44">
        <v>15</v>
      </c>
      <c r="M171" s="45">
        <v>4</v>
      </c>
      <c r="N171" s="45">
        <v>4</v>
      </c>
      <c r="O171" s="193"/>
      <c r="P171" s="193"/>
      <c r="Q171" s="193"/>
      <c r="R171" s="193"/>
      <c r="S171" s="155"/>
      <c r="T171" s="155"/>
      <c r="U171" s="155"/>
      <c r="V171" s="155"/>
      <c r="W171" s="46"/>
      <c r="X171" s="46"/>
      <c r="Y171" s="46"/>
      <c r="Z171" s="38"/>
      <c r="AA171" s="38"/>
      <c r="AB171" s="38"/>
      <c r="AC171" s="38"/>
    </row>
    <row r="172" spans="1:29" s="48" customFormat="1" ht="21.75" customHeight="1" x14ac:dyDescent="0.15">
      <c r="A172" s="171"/>
      <c r="B172" s="202"/>
      <c r="C172" s="138"/>
      <c r="D172" s="145"/>
      <c r="E172" s="146"/>
      <c r="F172" s="147"/>
      <c r="G172" s="152"/>
      <c r="H172" s="152"/>
      <c r="I172" s="152"/>
      <c r="J172" s="152"/>
      <c r="K172" s="122">
        <v>49.968000000000004</v>
      </c>
      <c r="L172" s="44">
        <v>15</v>
      </c>
      <c r="M172" s="45">
        <v>6</v>
      </c>
      <c r="N172" s="45">
        <v>6</v>
      </c>
      <c r="O172" s="193"/>
      <c r="P172" s="193"/>
      <c r="Q172" s="193"/>
      <c r="R172" s="193"/>
      <c r="S172" s="155"/>
      <c r="T172" s="155"/>
      <c r="U172" s="155"/>
      <c r="V172" s="155"/>
      <c r="W172" s="46"/>
      <c r="X172" s="46"/>
      <c r="Y172" s="46"/>
      <c r="Z172" s="38"/>
      <c r="AA172" s="38"/>
      <c r="AB172" s="38"/>
      <c r="AC172" s="38"/>
    </row>
    <row r="173" spans="1:29" s="48" customFormat="1" ht="21.75" customHeight="1" x14ac:dyDescent="0.15">
      <c r="A173" s="171"/>
      <c r="B173" s="202"/>
      <c r="C173" s="138"/>
      <c r="D173" s="145"/>
      <c r="E173" s="146"/>
      <c r="F173" s="147"/>
      <c r="G173" s="152"/>
      <c r="H173" s="152"/>
      <c r="I173" s="152"/>
      <c r="J173" s="152"/>
      <c r="K173" s="122">
        <v>49.972999999999999</v>
      </c>
      <c r="L173" s="44">
        <v>15</v>
      </c>
      <c r="M173" s="45">
        <v>1</v>
      </c>
      <c r="N173" s="45">
        <v>1</v>
      </c>
      <c r="O173" s="193"/>
      <c r="P173" s="193"/>
      <c r="Q173" s="193"/>
      <c r="R173" s="193"/>
      <c r="S173" s="155"/>
      <c r="T173" s="155"/>
      <c r="U173" s="155"/>
      <c r="V173" s="155"/>
      <c r="W173" s="46"/>
      <c r="X173" s="46"/>
      <c r="Y173" s="46"/>
      <c r="Z173" s="38"/>
      <c r="AA173" s="38"/>
      <c r="AB173" s="38"/>
      <c r="AC173" s="38"/>
    </row>
    <row r="174" spans="1:29" s="48" customFormat="1" ht="21.75" customHeight="1" x14ac:dyDescent="0.15">
      <c r="A174" s="171"/>
      <c r="B174" s="202"/>
      <c r="C174" s="138"/>
      <c r="D174" s="145"/>
      <c r="E174" s="146"/>
      <c r="F174" s="147"/>
      <c r="G174" s="152"/>
      <c r="H174" s="152"/>
      <c r="I174" s="152"/>
      <c r="J174" s="152"/>
      <c r="K174" s="122">
        <v>47.353200000000001</v>
      </c>
      <c r="L174" s="44">
        <v>14</v>
      </c>
      <c r="M174" s="45">
        <v>2</v>
      </c>
      <c r="N174" s="45">
        <v>2</v>
      </c>
      <c r="O174" s="193"/>
      <c r="P174" s="193"/>
      <c r="Q174" s="193"/>
      <c r="R174" s="193"/>
      <c r="S174" s="155"/>
      <c r="T174" s="155"/>
      <c r="U174" s="155"/>
      <c r="V174" s="155"/>
      <c r="W174" s="46"/>
      <c r="X174" s="46"/>
      <c r="Y174" s="46"/>
      <c r="Z174" s="38"/>
      <c r="AA174" s="38"/>
      <c r="AB174" s="38"/>
      <c r="AC174" s="38"/>
    </row>
    <row r="175" spans="1:29" s="48" customFormat="1" ht="21.75" customHeight="1" x14ac:dyDescent="0.15">
      <c r="A175" s="171"/>
      <c r="B175" s="202"/>
      <c r="C175" s="138"/>
      <c r="D175" s="145"/>
      <c r="E175" s="146"/>
      <c r="F175" s="147"/>
      <c r="G175" s="153"/>
      <c r="H175" s="153"/>
      <c r="I175" s="153"/>
      <c r="J175" s="153"/>
      <c r="K175" s="122">
        <v>47.353200000000001</v>
      </c>
      <c r="L175" s="44">
        <v>1</v>
      </c>
      <c r="M175" s="45">
        <v>1</v>
      </c>
      <c r="N175" s="45">
        <v>1</v>
      </c>
      <c r="O175" s="193"/>
      <c r="P175" s="193"/>
      <c r="Q175" s="193"/>
      <c r="R175" s="193"/>
      <c r="S175" s="155"/>
      <c r="T175" s="155"/>
      <c r="U175" s="155"/>
      <c r="V175" s="155"/>
      <c r="W175" s="46"/>
      <c r="X175" s="46"/>
      <c r="Y175" s="46"/>
      <c r="Z175" s="38"/>
      <c r="AA175" s="38"/>
      <c r="AB175" s="38"/>
      <c r="AC175" s="38"/>
    </row>
    <row r="176" spans="1:29" s="48" customFormat="1" ht="21.75" customHeight="1" x14ac:dyDescent="0.15">
      <c r="A176" s="171"/>
      <c r="B176" s="202"/>
      <c r="C176" s="138"/>
      <c r="D176" s="148"/>
      <c r="E176" s="149"/>
      <c r="F176" s="150"/>
      <c r="G176" s="93" t="s">
        <v>70</v>
      </c>
      <c r="H176" s="112"/>
      <c r="I176" s="112"/>
      <c r="J176" s="112"/>
      <c r="K176" s="113"/>
      <c r="L176" s="49">
        <f>SUM(L170:L175)</f>
        <v>75</v>
      </c>
      <c r="M176" s="75">
        <f>SUM(M170:M175)</f>
        <v>28</v>
      </c>
      <c r="N176" s="75">
        <f>SUM(N170:N175)</f>
        <v>28</v>
      </c>
      <c r="O176" s="194"/>
      <c r="P176" s="194"/>
      <c r="Q176" s="194"/>
      <c r="R176" s="194"/>
      <c r="S176" s="156"/>
      <c r="T176" s="156"/>
      <c r="U176" s="156"/>
      <c r="V176" s="156"/>
      <c r="W176" s="50">
        <f>N170+N171+N172+N173+N174+N175</f>
        <v>28</v>
      </c>
      <c r="X176" s="46"/>
      <c r="Y176" s="46"/>
      <c r="Z176" s="38"/>
      <c r="AA176" s="38"/>
      <c r="AB176" s="38"/>
      <c r="AC176" s="38"/>
    </row>
    <row r="177" spans="1:29" s="48" customFormat="1" ht="21.75" customHeight="1" x14ac:dyDescent="0.15">
      <c r="A177" s="171"/>
      <c r="B177" s="202"/>
      <c r="C177" s="138"/>
      <c r="D177" s="142" t="s">
        <v>259</v>
      </c>
      <c r="E177" s="143"/>
      <c r="F177" s="144"/>
      <c r="G177" s="151" t="s">
        <v>256</v>
      </c>
      <c r="H177" s="151" t="s">
        <v>256</v>
      </c>
      <c r="I177" s="151" t="s">
        <v>64</v>
      </c>
      <c r="J177" s="151" t="s">
        <v>66</v>
      </c>
      <c r="K177" s="122">
        <v>47.218499999999999</v>
      </c>
      <c r="L177" s="44">
        <v>15</v>
      </c>
      <c r="M177" s="45">
        <v>14</v>
      </c>
      <c r="N177" s="45">
        <v>14</v>
      </c>
      <c r="O177" s="192" t="s">
        <v>257</v>
      </c>
      <c r="P177" s="192"/>
      <c r="Q177" s="192" t="s">
        <v>258</v>
      </c>
      <c r="R177" s="192" t="s">
        <v>68</v>
      </c>
      <c r="S177" s="154"/>
      <c r="T177" s="154" t="s">
        <v>64</v>
      </c>
      <c r="U177" s="154"/>
      <c r="V177" s="154"/>
      <c r="W177" s="46"/>
      <c r="X177" s="46"/>
      <c r="Y177" s="46"/>
      <c r="Z177" s="38"/>
      <c r="AA177" s="38"/>
      <c r="AB177" s="38"/>
      <c r="AC177" s="38"/>
    </row>
    <row r="178" spans="1:29" s="48" customFormat="1" ht="21.75" customHeight="1" x14ac:dyDescent="0.15">
      <c r="A178" s="171"/>
      <c r="B178" s="202"/>
      <c r="C178" s="138"/>
      <c r="D178" s="145"/>
      <c r="E178" s="146"/>
      <c r="F178" s="147"/>
      <c r="G178" s="152"/>
      <c r="H178" s="152"/>
      <c r="I178" s="152"/>
      <c r="J178" s="152"/>
      <c r="K178" s="122">
        <v>49.76</v>
      </c>
      <c r="L178" s="44">
        <v>15</v>
      </c>
      <c r="M178" s="45">
        <v>13</v>
      </c>
      <c r="N178" s="45">
        <v>12</v>
      </c>
      <c r="O178" s="193"/>
      <c r="P178" s="193"/>
      <c r="Q178" s="193"/>
      <c r="R178" s="193"/>
      <c r="S178" s="155"/>
      <c r="T178" s="155"/>
      <c r="U178" s="155"/>
      <c r="V178" s="155"/>
      <c r="W178" s="46"/>
      <c r="X178" s="46"/>
      <c r="Y178" s="46"/>
      <c r="Z178" s="38"/>
      <c r="AA178" s="38"/>
      <c r="AB178" s="38"/>
      <c r="AC178" s="38"/>
    </row>
    <row r="179" spans="1:29" s="48" customFormat="1" ht="21.75" customHeight="1" x14ac:dyDescent="0.15">
      <c r="A179" s="171"/>
      <c r="B179" s="202"/>
      <c r="C179" s="138"/>
      <c r="D179" s="145"/>
      <c r="E179" s="146"/>
      <c r="F179" s="147"/>
      <c r="G179" s="152"/>
      <c r="H179" s="152"/>
      <c r="I179" s="152"/>
      <c r="J179" s="152"/>
      <c r="K179" s="122">
        <v>49.968000000000004</v>
      </c>
      <c r="L179" s="44">
        <v>15</v>
      </c>
      <c r="M179" s="45">
        <v>11</v>
      </c>
      <c r="N179" s="45">
        <v>11</v>
      </c>
      <c r="O179" s="193"/>
      <c r="P179" s="193"/>
      <c r="Q179" s="193"/>
      <c r="R179" s="193"/>
      <c r="S179" s="155"/>
      <c r="T179" s="155"/>
      <c r="U179" s="155"/>
      <c r="V179" s="155"/>
      <c r="W179" s="46"/>
      <c r="X179" s="46"/>
      <c r="Y179" s="46"/>
      <c r="Z179" s="38"/>
      <c r="AA179" s="38"/>
      <c r="AB179" s="38"/>
      <c r="AC179" s="38"/>
    </row>
    <row r="180" spans="1:29" s="48" customFormat="1" ht="21.75" customHeight="1" x14ac:dyDescent="0.15">
      <c r="A180" s="171"/>
      <c r="B180" s="202"/>
      <c r="C180" s="138"/>
      <c r="D180" s="145"/>
      <c r="E180" s="146"/>
      <c r="F180" s="147"/>
      <c r="G180" s="152"/>
      <c r="H180" s="152"/>
      <c r="I180" s="152"/>
      <c r="J180" s="152"/>
      <c r="K180" s="122">
        <v>49.972999999999999</v>
      </c>
      <c r="L180" s="44">
        <v>15</v>
      </c>
      <c r="M180" s="45">
        <v>4</v>
      </c>
      <c r="N180" s="45">
        <v>4</v>
      </c>
      <c r="O180" s="193"/>
      <c r="P180" s="193"/>
      <c r="Q180" s="193"/>
      <c r="R180" s="193"/>
      <c r="S180" s="155"/>
      <c r="T180" s="155"/>
      <c r="U180" s="155"/>
      <c r="V180" s="155"/>
      <c r="W180" s="46"/>
      <c r="X180" s="46"/>
      <c r="Y180" s="46"/>
      <c r="Z180" s="38"/>
      <c r="AA180" s="38"/>
      <c r="AB180" s="38"/>
      <c r="AC180" s="38"/>
    </row>
    <row r="181" spans="1:29" s="48" customFormat="1" ht="21.75" customHeight="1" x14ac:dyDescent="0.15">
      <c r="A181" s="171"/>
      <c r="B181" s="202"/>
      <c r="C181" s="138"/>
      <c r="D181" s="145"/>
      <c r="E181" s="146"/>
      <c r="F181" s="147"/>
      <c r="G181" s="152"/>
      <c r="H181" s="152"/>
      <c r="I181" s="152"/>
      <c r="J181" s="152"/>
      <c r="K181" s="122">
        <v>47.353200000000001</v>
      </c>
      <c r="L181" s="44">
        <v>14</v>
      </c>
      <c r="M181" s="45">
        <v>3</v>
      </c>
      <c r="N181" s="45">
        <v>2</v>
      </c>
      <c r="O181" s="193"/>
      <c r="P181" s="193"/>
      <c r="Q181" s="193"/>
      <c r="R181" s="193"/>
      <c r="S181" s="155"/>
      <c r="T181" s="155"/>
      <c r="U181" s="155"/>
      <c r="V181" s="155"/>
      <c r="W181" s="46"/>
      <c r="X181" s="46"/>
      <c r="Y181" s="46"/>
      <c r="Z181" s="38"/>
      <c r="AA181" s="38"/>
      <c r="AB181" s="38"/>
      <c r="AC181" s="38"/>
    </row>
    <row r="182" spans="1:29" s="48" customFormat="1" ht="21.75" customHeight="1" x14ac:dyDescent="0.15">
      <c r="A182" s="171"/>
      <c r="B182" s="202"/>
      <c r="C182" s="138"/>
      <c r="D182" s="145"/>
      <c r="E182" s="146"/>
      <c r="F182" s="147"/>
      <c r="G182" s="153"/>
      <c r="H182" s="153"/>
      <c r="I182" s="153"/>
      <c r="J182" s="153"/>
      <c r="K182" s="122">
        <v>47.353200000000001</v>
      </c>
      <c r="L182" s="44">
        <v>1</v>
      </c>
      <c r="M182" s="45">
        <v>1</v>
      </c>
      <c r="N182" s="45">
        <v>1</v>
      </c>
      <c r="O182" s="193"/>
      <c r="P182" s="193"/>
      <c r="Q182" s="193"/>
      <c r="R182" s="193"/>
      <c r="S182" s="155"/>
      <c r="T182" s="155"/>
      <c r="U182" s="155"/>
      <c r="V182" s="155"/>
      <c r="W182" s="46"/>
      <c r="X182" s="46"/>
      <c r="Y182" s="46"/>
      <c r="Z182" s="38"/>
      <c r="AA182" s="38"/>
      <c r="AB182" s="38"/>
      <c r="AC182" s="38"/>
    </row>
    <row r="183" spans="1:29" s="48" customFormat="1" ht="21.75" customHeight="1" x14ac:dyDescent="0.15">
      <c r="A183" s="171"/>
      <c r="B183" s="202"/>
      <c r="C183" s="138"/>
      <c r="D183" s="148"/>
      <c r="E183" s="149"/>
      <c r="F183" s="150"/>
      <c r="G183" s="93" t="s">
        <v>70</v>
      </c>
      <c r="H183" s="112"/>
      <c r="I183" s="112"/>
      <c r="J183" s="112"/>
      <c r="K183" s="113"/>
      <c r="L183" s="49">
        <f>SUM(L177:L182)</f>
        <v>75</v>
      </c>
      <c r="M183" s="75">
        <f>SUM(M177:M182)</f>
        <v>46</v>
      </c>
      <c r="N183" s="75">
        <f>SUM(N177:N182)</f>
        <v>44</v>
      </c>
      <c r="O183" s="194"/>
      <c r="P183" s="194"/>
      <c r="Q183" s="194"/>
      <c r="R183" s="194"/>
      <c r="S183" s="156"/>
      <c r="T183" s="156"/>
      <c r="U183" s="156"/>
      <c r="V183" s="156"/>
      <c r="W183" s="50">
        <f>N177+N178+N179+N180+N181+N182</f>
        <v>44</v>
      </c>
      <c r="X183" s="46"/>
      <c r="Y183" s="46"/>
      <c r="Z183" s="38"/>
      <c r="AA183" s="38"/>
      <c r="AB183" s="38"/>
      <c r="AC183" s="38"/>
    </row>
    <row r="184" spans="1:29" s="48" customFormat="1" ht="21.75" customHeight="1" x14ac:dyDescent="0.15">
      <c r="A184" s="171"/>
      <c r="B184" s="202"/>
      <c r="C184" s="137" t="s" ph="1">
        <v>260</v>
      </c>
      <c r="D184" s="142" t="s">
        <v>261</v>
      </c>
      <c r="E184" s="143"/>
      <c r="F184" s="144"/>
      <c r="G184" s="192" t="s">
        <v>262</v>
      </c>
      <c r="H184" s="192" t="s">
        <v>263</v>
      </c>
      <c r="I184" s="192" t="s">
        <v>65</v>
      </c>
      <c r="J184" s="192" t="s">
        <v>67</v>
      </c>
      <c r="K184" s="43">
        <v>123.0069</v>
      </c>
      <c r="L184" s="44">
        <v>38</v>
      </c>
      <c r="M184" s="45">
        <v>0</v>
      </c>
      <c r="N184" s="66">
        <v>0</v>
      </c>
      <c r="O184" s="192" t="s">
        <v>264</v>
      </c>
      <c r="P184" s="192" t="s">
        <v>265</v>
      </c>
      <c r="Q184" s="260" t="s">
        <v>266</v>
      </c>
      <c r="R184" s="270" t="s">
        <v>69</v>
      </c>
      <c r="S184" s="273"/>
      <c r="T184" s="270" t="s">
        <v>65</v>
      </c>
      <c r="U184" s="270"/>
      <c r="V184" s="267"/>
      <c r="W184" s="46"/>
      <c r="X184" s="46"/>
      <c r="Y184" s="46"/>
      <c r="Z184" s="38"/>
      <c r="AA184" s="38"/>
      <c r="AB184" s="38"/>
      <c r="AC184" s="38"/>
    </row>
    <row r="185" spans="1:29" s="48" customFormat="1" ht="21.75" customHeight="1" x14ac:dyDescent="0.15">
      <c r="A185" s="171"/>
      <c r="B185" s="202"/>
      <c r="C185" s="138"/>
      <c r="D185" s="145"/>
      <c r="E185" s="146"/>
      <c r="F185" s="147"/>
      <c r="G185" s="193"/>
      <c r="H185" s="193"/>
      <c r="I185" s="193"/>
      <c r="J185" s="193"/>
      <c r="K185" s="43">
        <v>185.9068</v>
      </c>
      <c r="L185" s="44">
        <v>1</v>
      </c>
      <c r="M185" s="45">
        <v>0</v>
      </c>
      <c r="N185" s="66">
        <v>0</v>
      </c>
      <c r="O185" s="193"/>
      <c r="P185" s="193"/>
      <c r="Q185" s="196"/>
      <c r="R185" s="271"/>
      <c r="S185" s="274"/>
      <c r="T185" s="271"/>
      <c r="U185" s="271"/>
      <c r="V185" s="268"/>
      <c r="W185" s="46"/>
      <c r="X185" s="46"/>
      <c r="Y185" s="46"/>
      <c r="Z185" s="38"/>
      <c r="AA185" s="38"/>
      <c r="AB185" s="38"/>
      <c r="AC185" s="38"/>
    </row>
    <row r="186" spans="1:29" s="48" customFormat="1" ht="21.75" customHeight="1" x14ac:dyDescent="0.15">
      <c r="A186" s="171"/>
      <c r="B186" s="202"/>
      <c r="C186" s="138"/>
      <c r="D186" s="145"/>
      <c r="E186" s="146"/>
      <c r="F186" s="147"/>
      <c r="G186" s="193"/>
      <c r="H186" s="193"/>
      <c r="I186" s="193"/>
      <c r="J186" s="193"/>
      <c r="K186" s="43">
        <v>130.9024</v>
      </c>
      <c r="L186" s="44">
        <v>30</v>
      </c>
      <c r="M186" s="45">
        <v>0</v>
      </c>
      <c r="N186" s="66">
        <v>0</v>
      </c>
      <c r="O186" s="193"/>
      <c r="P186" s="193"/>
      <c r="Q186" s="196"/>
      <c r="R186" s="271"/>
      <c r="S186" s="274"/>
      <c r="T186" s="271"/>
      <c r="U186" s="271"/>
      <c r="V186" s="268"/>
      <c r="W186" s="46"/>
      <c r="X186" s="46"/>
      <c r="Y186" s="46"/>
      <c r="Z186" s="38"/>
      <c r="AA186" s="38"/>
      <c r="AB186" s="38"/>
      <c r="AC186" s="38"/>
    </row>
    <row r="187" spans="1:29" s="48" customFormat="1" ht="21.75" customHeight="1" x14ac:dyDescent="0.15">
      <c r="A187" s="171"/>
      <c r="B187" s="202"/>
      <c r="C187" s="138"/>
      <c r="D187" s="145"/>
      <c r="E187" s="146"/>
      <c r="F187" s="147"/>
      <c r="G187" s="193"/>
      <c r="H187" s="193"/>
      <c r="I187" s="193"/>
      <c r="J187" s="193"/>
      <c r="K187" s="43">
        <v>130.9024</v>
      </c>
      <c r="L187" s="44">
        <v>6</v>
      </c>
      <c r="M187" s="45">
        <v>0</v>
      </c>
      <c r="N187" s="66">
        <v>0</v>
      </c>
      <c r="O187" s="193"/>
      <c r="P187" s="193"/>
      <c r="Q187" s="196"/>
      <c r="R187" s="271"/>
      <c r="S187" s="274"/>
      <c r="T187" s="271"/>
      <c r="U187" s="271"/>
      <c r="V187" s="268"/>
      <c r="W187" s="46"/>
      <c r="X187" s="46"/>
      <c r="Y187" s="46"/>
      <c r="Z187" s="38"/>
      <c r="AA187" s="38"/>
      <c r="AB187" s="38"/>
      <c r="AC187" s="38"/>
    </row>
    <row r="188" spans="1:29" s="48" customFormat="1" ht="21.75" customHeight="1" x14ac:dyDescent="0.15">
      <c r="A188" s="171"/>
      <c r="B188" s="202"/>
      <c r="C188" s="138"/>
      <c r="D188" s="145"/>
      <c r="E188" s="146"/>
      <c r="F188" s="147"/>
      <c r="G188" s="193"/>
      <c r="H188" s="193"/>
      <c r="I188" s="193"/>
      <c r="J188" s="193"/>
      <c r="K188" s="43">
        <v>134.066</v>
      </c>
      <c r="L188" s="44">
        <v>9</v>
      </c>
      <c r="M188" s="45">
        <v>0</v>
      </c>
      <c r="N188" s="66">
        <v>0</v>
      </c>
      <c r="O188" s="193"/>
      <c r="P188" s="193"/>
      <c r="Q188" s="196"/>
      <c r="R188" s="271"/>
      <c r="S188" s="274"/>
      <c r="T188" s="271"/>
      <c r="U188" s="271"/>
      <c r="V188" s="268"/>
      <c r="W188" s="46"/>
      <c r="X188" s="46"/>
      <c r="Y188" s="46"/>
      <c r="Z188" s="38"/>
      <c r="AA188" s="38"/>
      <c r="AB188" s="38"/>
      <c r="AC188" s="38"/>
    </row>
    <row r="189" spans="1:29" s="48" customFormat="1" ht="21.75" customHeight="1" x14ac:dyDescent="0.15">
      <c r="A189" s="171"/>
      <c r="B189" s="202"/>
      <c r="C189" s="138"/>
      <c r="D189" s="145"/>
      <c r="E189" s="146"/>
      <c r="F189" s="147"/>
      <c r="G189" s="194"/>
      <c r="H189" s="194"/>
      <c r="I189" s="194"/>
      <c r="J189" s="194"/>
      <c r="K189" s="43">
        <v>210.7398</v>
      </c>
      <c r="L189" s="44">
        <v>6</v>
      </c>
      <c r="M189" s="45">
        <v>1</v>
      </c>
      <c r="N189" s="45">
        <v>1</v>
      </c>
      <c r="O189" s="193"/>
      <c r="P189" s="193"/>
      <c r="Q189" s="196"/>
      <c r="R189" s="271"/>
      <c r="S189" s="274"/>
      <c r="T189" s="271"/>
      <c r="U189" s="271"/>
      <c r="V189" s="268"/>
      <c r="W189" s="46"/>
      <c r="X189" s="46"/>
      <c r="Y189" s="46"/>
      <c r="Z189" s="38"/>
      <c r="AA189" s="38"/>
      <c r="AB189" s="38"/>
      <c r="AC189" s="38"/>
    </row>
    <row r="190" spans="1:29" s="48" customFormat="1" ht="21.75" customHeight="1" x14ac:dyDescent="0.15">
      <c r="A190" s="171"/>
      <c r="B190" s="202"/>
      <c r="C190" s="138"/>
      <c r="D190" s="148"/>
      <c r="E190" s="149"/>
      <c r="F190" s="150"/>
      <c r="G190" s="93" t="s">
        <v>71</v>
      </c>
      <c r="H190" s="94"/>
      <c r="I190" s="94"/>
      <c r="J190" s="94"/>
      <c r="K190" s="95"/>
      <c r="L190" s="49">
        <f>SUM(L184:L189)</f>
        <v>90</v>
      </c>
      <c r="M190" s="97">
        <f>SUM(M184:M189)</f>
        <v>1</v>
      </c>
      <c r="N190" s="97">
        <f>SUM(N184:N189)</f>
        <v>1</v>
      </c>
      <c r="O190" s="194"/>
      <c r="P190" s="194"/>
      <c r="Q190" s="197"/>
      <c r="R190" s="272"/>
      <c r="S190" s="275"/>
      <c r="T190" s="272"/>
      <c r="U190" s="272"/>
      <c r="V190" s="269"/>
      <c r="W190" s="46"/>
      <c r="X190" s="46"/>
      <c r="Y190" s="50">
        <f>N184+N185+N186+N187+N188+N189</f>
        <v>1</v>
      </c>
      <c r="Z190" s="38"/>
      <c r="AA190" s="38"/>
      <c r="AB190" s="38"/>
      <c r="AC190" s="38"/>
    </row>
    <row r="191" spans="1:29" s="48" customFormat="1" ht="21.75" customHeight="1" x14ac:dyDescent="0.15">
      <c r="A191" s="171"/>
      <c r="B191" s="202"/>
      <c r="C191" s="137" t="s">
        <v>267</v>
      </c>
      <c r="D191" s="142" t="s">
        <v>268</v>
      </c>
      <c r="E191" s="143"/>
      <c r="F191" s="144"/>
      <c r="G191" s="151" t="s">
        <v>269</v>
      </c>
      <c r="H191" s="151" t="s">
        <v>159</v>
      </c>
      <c r="I191" s="151" t="s">
        <v>64</v>
      </c>
      <c r="J191" s="151" t="s">
        <v>66</v>
      </c>
      <c r="K191" s="122">
        <v>59.987900000000003</v>
      </c>
      <c r="L191" s="44">
        <v>18</v>
      </c>
      <c r="M191" s="45">
        <v>0</v>
      </c>
      <c r="N191" s="121">
        <v>0</v>
      </c>
      <c r="O191" s="192" t="s">
        <v>270</v>
      </c>
      <c r="P191" s="192"/>
      <c r="Q191" s="192" t="s">
        <v>271</v>
      </c>
      <c r="R191" s="270" t="s">
        <v>68</v>
      </c>
      <c r="S191" s="126"/>
      <c r="T191" s="270" t="s">
        <v>64</v>
      </c>
      <c r="U191" s="126"/>
      <c r="V191" s="267"/>
      <c r="W191" s="46"/>
      <c r="X191" s="46"/>
      <c r="Y191" s="46"/>
      <c r="Z191" s="38"/>
      <c r="AA191" s="38"/>
      <c r="AB191" s="38"/>
      <c r="AC191" s="38"/>
    </row>
    <row r="192" spans="1:29" s="48" customFormat="1" ht="21.75" customHeight="1" x14ac:dyDescent="0.15">
      <c r="A192" s="171"/>
      <c r="B192" s="202"/>
      <c r="C192" s="138"/>
      <c r="D192" s="145"/>
      <c r="E192" s="146"/>
      <c r="F192" s="147"/>
      <c r="G192" s="152"/>
      <c r="H192" s="152"/>
      <c r="I192" s="152"/>
      <c r="J192" s="152"/>
      <c r="K192" s="122">
        <v>59.970500000000001</v>
      </c>
      <c r="L192" s="44">
        <v>14</v>
      </c>
      <c r="M192" s="45">
        <v>0</v>
      </c>
      <c r="N192" s="45">
        <v>0</v>
      </c>
      <c r="O192" s="193"/>
      <c r="P192" s="193"/>
      <c r="Q192" s="193"/>
      <c r="R192" s="271"/>
      <c r="S192" s="126"/>
      <c r="T192" s="271"/>
      <c r="U192" s="126"/>
      <c r="V192" s="268"/>
      <c r="W192" s="46"/>
      <c r="X192" s="46"/>
      <c r="Y192" s="46"/>
      <c r="Z192" s="38"/>
      <c r="AA192" s="38"/>
      <c r="AB192" s="38"/>
      <c r="AC192" s="38"/>
    </row>
    <row r="193" spans="1:29" s="48" customFormat="1" ht="21.75" customHeight="1" x14ac:dyDescent="0.15">
      <c r="A193" s="171"/>
      <c r="B193" s="202"/>
      <c r="C193" s="138"/>
      <c r="D193" s="145"/>
      <c r="E193" s="146"/>
      <c r="F193" s="147"/>
      <c r="G193" s="152"/>
      <c r="H193" s="152"/>
      <c r="I193" s="152"/>
      <c r="J193" s="152"/>
      <c r="K193" s="122">
        <v>74.9876</v>
      </c>
      <c r="L193" s="44">
        <v>12</v>
      </c>
      <c r="M193" s="45">
        <v>0</v>
      </c>
      <c r="N193" s="45">
        <v>0</v>
      </c>
      <c r="O193" s="193"/>
      <c r="P193" s="193"/>
      <c r="Q193" s="193"/>
      <c r="R193" s="271"/>
      <c r="S193" s="126"/>
      <c r="T193" s="271"/>
      <c r="U193" s="126"/>
      <c r="V193" s="268"/>
      <c r="W193" s="46"/>
      <c r="X193" s="46"/>
      <c r="Y193" s="46"/>
      <c r="Z193" s="38"/>
      <c r="AA193" s="38"/>
      <c r="AB193" s="38"/>
      <c r="AC193" s="38"/>
    </row>
    <row r="194" spans="1:29" s="48" customFormat="1" ht="21.75" customHeight="1" x14ac:dyDescent="0.15">
      <c r="A194" s="171"/>
      <c r="B194" s="202"/>
      <c r="C194" s="138"/>
      <c r="D194" s="145"/>
      <c r="E194" s="146"/>
      <c r="F194" s="147"/>
      <c r="G194" s="152"/>
      <c r="H194" s="152"/>
      <c r="I194" s="152"/>
      <c r="J194" s="152"/>
      <c r="K194" s="122">
        <v>74.949600000000004</v>
      </c>
      <c r="L194" s="44">
        <v>44</v>
      </c>
      <c r="M194" s="45">
        <v>2</v>
      </c>
      <c r="N194" s="45">
        <v>2</v>
      </c>
      <c r="O194" s="193"/>
      <c r="P194" s="193"/>
      <c r="Q194" s="193"/>
      <c r="R194" s="271"/>
      <c r="S194" s="126"/>
      <c r="T194" s="271"/>
      <c r="U194" s="126"/>
      <c r="V194" s="268"/>
      <c r="W194" s="46"/>
      <c r="X194" s="46"/>
      <c r="Y194" s="46"/>
      <c r="Z194" s="38"/>
      <c r="AA194" s="38"/>
      <c r="AB194" s="38"/>
      <c r="AC194" s="38"/>
    </row>
    <row r="195" spans="1:29" s="48" customFormat="1" ht="21.75" customHeight="1" x14ac:dyDescent="0.15">
      <c r="A195" s="171"/>
      <c r="B195" s="202"/>
      <c r="C195" s="138"/>
      <c r="D195" s="145"/>
      <c r="E195" s="146"/>
      <c r="F195" s="147"/>
      <c r="G195" s="153"/>
      <c r="H195" s="153"/>
      <c r="I195" s="153"/>
      <c r="J195" s="153"/>
      <c r="K195" s="122">
        <v>84.988600000000005</v>
      </c>
      <c r="L195" s="44">
        <v>238</v>
      </c>
      <c r="M195" s="45">
        <v>3</v>
      </c>
      <c r="N195" s="45">
        <v>3</v>
      </c>
      <c r="O195" s="193"/>
      <c r="P195" s="193"/>
      <c r="Q195" s="193"/>
      <c r="R195" s="271"/>
      <c r="S195" s="126"/>
      <c r="T195" s="271"/>
      <c r="U195" s="126"/>
      <c r="V195" s="268"/>
      <c r="W195" s="46"/>
      <c r="X195" s="46"/>
      <c r="Y195" s="46"/>
      <c r="Z195" s="38"/>
      <c r="AA195" s="38"/>
      <c r="AB195" s="38"/>
      <c r="AC195" s="38"/>
    </row>
    <row r="196" spans="1:29" s="48" customFormat="1" ht="21.75" customHeight="1" x14ac:dyDescent="0.15">
      <c r="A196" s="171"/>
      <c r="B196" s="202"/>
      <c r="C196" s="178"/>
      <c r="D196" s="148"/>
      <c r="E196" s="149"/>
      <c r="F196" s="150"/>
      <c r="G196" s="93" t="s">
        <v>71</v>
      </c>
      <c r="H196" s="94"/>
      <c r="I196" s="94"/>
      <c r="J196" s="94"/>
      <c r="K196" s="95"/>
      <c r="L196" s="49">
        <f>SUM(L191:L195)</f>
        <v>326</v>
      </c>
      <c r="M196" s="97">
        <f>SUM(M191:M195)</f>
        <v>5</v>
      </c>
      <c r="N196" s="97">
        <f>SUM(N191:N195)</f>
        <v>5</v>
      </c>
      <c r="O196" s="194"/>
      <c r="P196" s="194"/>
      <c r="Q196" s="194"/>
      <c r="R196" s="272"/>
      <c r="S196" s="126"/>
      <c r="T196" s="272"/>
      <c r="U196" s="126"/>
      <c r="V196" s="269"/>
      <c r="W196" s="50">
        <f>N191+N192</f>
        <v>0</v>
      </c>
      <c r="X196" s="50">
        <f>N193+N194+N195</f>
        <v>5</v>
      </c>
      <c r="Y196" s="46"/>
      <c r="Z196" s="38"/>
      <c r="AA196" s="38"/>
      <c r="AB196" s="38"/>
      <c r="AC196" s="38"/>
    </row>
    <row r="197" spans="1:29" s="48" customFormat="1" ht="26.25" customHeight="1" x14ac:dyDescent="0.15">
      <c r="A197" s="171"/>
      <c r="B197" s="179" t="s">
        <v>25</v>
      </c>
      <c r="C197" s="225" t="s">
        <v>272</v>
      </c>
      <c r="D197" s="142" t="s">
        <v>273</v>
      </c>
      <c r="E197" s="143"/>
      <c r="F197" s="144"/>
      <c r="G197" s="119" t="s">
        <v>274</v>
      </c>
      <c r="H197" s="119" t="s">
        <v>127</v>
      </c>
      <c r="I197" s="120" t="s">
        <v>65</v>
      </c>
      <c r="J197" s="120" t="s">
        <v>67</v>
      </c>
      <c r="K197" s="80">
        <v>59.813800000000001</v>
      </c>
      <c r="L197" s="81">
        <v>77</v>
      </c>
      <c r="M197" s="82">
        <v>27</v>
      </c>
      <c r="N197" s="82">
        <v>27</v>
      </c>
      <c r="O197" s="154" t="s">
        <v>275</v>
      </c>
      <c r="P197" s="154"/>
      <c r="Q197" s="154" t="s">
        <v>276</v>
      </c>
      <c r="R197" s="154" t="s">
        <v>69</v>
      </c>
      <c r="S197" s="154"/>
      <c r="T197" s="154" t="s">
        <v>65</v>
      </c>
      <c r="U197" s="154"/>
      <c r="V197" s="154"/>
      <c r="W197" s="53"/>
      <c r="X197" s="53"/>
      <c r="Y197" s="53"/>
      <c r="Z197" s="47">
        <f>W198+W201</f>
        <v>89</v>
      </c>
      <c r="AA197" s="47">
        <f>X198+X201</f>
        <v>0</v>
      </c>
      <c r="AB197" s="47">
        <f t="shared" ref="AB197" si="2">Y198+Y201</f>
        <v>0</v>
      </c>
      <c r="AC197" s="47">
        <f>Z197+AA197+AB197</f>
        <v>89</v>
      </c>
    </row>
    <row r="198" spans="1:29" s="48" customFormat="1" ht="21.75" customHeight="1" x14ac:dyDescent="0.15">
      <c r="A198" s="171"/>
      <c r="B198" s="180"/>
      <c r="C198" s="227"/>
      <c r="D198" s="148"/>
      <c r="E198" s="149"/>
      <c r="F198" s="150"/>
      <c r="G198" s="93" t="s">
        <v>71</v>
      </c>
      <c r="H198" s="94"/>
      <c r="I198" s="94"/>
      <c r="J198" s="94"/>
      <c r="K198" s="95"/>
      <c r="L198" s="49">
        <f>SUM(L197:L197)</f>
        <v>77</v>
      </c>
      <c r="M198" s="97">
        <f>SUM(M197)</f>
        <v>27</v>
      </c>
      <c r="N198" s="97">
        <f>SUM(N197)</f>
        <v>27</v>
      </c>
      <c r="O198" s="156"/>
      <c r="P198" s="156"/>
      <c r="Q198" s="156"/>
      <c r="R198" s="156"/>
      <c r="S198" s="156"/>
      <c r="T198" s="156"/>
      <c r="U198" s="156"/>
      <c r="V198" s="156"/>
      <c r="W198" s="47">
        <f>N197</f>
        <v>27</v>
      </c>
      <c r="X198" s="53"/>
      <c r="Y198" s="53"/>
      <c r="Z198" s="38"/>
      <c r="AA198" s="38"/>
      <c r="AB198" s="38"/>
      <c r="AC198" s="38"/>
    </row>
    <row r="199" spans="1:29" s="48" customFormat="1" ht="26.45" customHeight="1" x14ac:dyDescent="0.15">
      <c r="A199" s="171"/>
      <c r="B199" s="180"/>
      <c r="C199" s="225" t="s">
        <v>277</v>
      </c>
      <c r="D199" s="142" t="s">
        <v>278</v>
      </c>
      <c r="E199" s="143"/>
      <c r="F199" s="144"/>
      <c r="G199" s="175" t="s">
        <v>279</v>
      </c>
      <c r="H199" s="175" t="s">
        <v>279</v>
      </c>
      <c r="I199" s="179" t="s">
        <v>65</v>
      </c>
      <c r="J199" s="179" t="s">
        <v>67</v>
      </c>
      <c r="K199" s="80">
        <v>39.832999999999998</v>
      </c>
      <c r="L199" s="81">
        <v>35</v>
      </c>
      <c r="M199" s="69">
        <v>30</v>
      </c>
      <c r="N199" s="69">
        <v>30</v>
      </c>
      <c r="O199" s="154" t="s">
        <v>280</v>
      </c>
      <c r="P199" s="154"/>
      <c r="Q199" s="154" t="s">
        <v>258</v>
      </c>
      <c r="R199" s="154" t="s">
        <v>68</v>
      </c>
      <c r="S199" s="192"/>
      <c r="T199" s="192" t="s">
        <v>64</v>
      </c>
      <c r="U199" s="192"/>
      <c r="V199" s="221"/>
      <c r="W199" s="53"/>
      <c r="X199" s="53"/>
      <c r="Y199" s="53"/>
      <c r="Z199" s="46"/>
      <c r="AA199" s="46"/>
      <c r="AB199" s="46"/>
      <c r="AC199" s="46"/>
    </row>
    <row r="200" spans="1:29" s="48" customFormat="1" ht="26.45" customHeight="1" x14ac:dyDescent="0.15">
      <c r="A200" s="171"/>
      <c r="B200" s="180"/>
      <c r="C200" s="226"/>
      <c r="D200" s="145"/>
      <c r="E200" s="146"/>
      <c r="F200" s="147"/>
      <c r="G200" s="177"/>
      <c r="H200" s="177"/>
      <c r="I200" s="181"/>
      <c r="J200" s="181"/>
      <c r="K200" s="80">
        <v>59.775399999999998</v>
      </c>
      <c r="L200" s="81">
        <v>35</v>
      </c>
      <c r="M200" s="69">
        <v>32</v>
      </c>
      <c r="N200" s="69">
        <v>32</v>
      </c>
      <c r="O200" s="155"/>
      <c r="P200" s="155"/>
      <c r="Q200" s="155"/>
      <c r="R200" s="155"/>
      <c r="S200" s="193"/>
      <c r="T200" s="193"/>
      <c r="U200" s="193"/>
      <c r="V200" s="222"/>
      <c r="W200" s="53"/>
      <c r="X200" s="53"/>
      <c r="Y200" s="53"/>
      <c r="Z200" s="46"/>
      <c r="AA200" s="46"/>
      <c r="AB200" s="46"/>
      <c r="AC200" s="46"/>
    </row>
    <row r="201" spans="1:29" s="48" customFormat="1" ht="26.45" customHeight="1" x14ac:dyDescent="0.15">
      <c r="A201" s="171"/>
      <c r="B201" s="181"/>
      <c r="C201" s="227"/>
      <c r="D201" s="148"/>
      <c r="E201" s="149"/>
      <c r="F201" s="150"/>
      <c r="G201" s="93" t="s">
        <v>281</v>
      </c>
      <c r="H201" s="94"/>
      <c r="I201" s="94"/>
      <c r="J201" s="94"/>
      <c r="K201" s="95"/>
      <c r="L201" s="97">
        <f t="shared" ref="L201" si="3">SUM(L199:L200)</f>
        <v>70</v>
      </c>
      <c r="M201" s="97">
        <f>SUM(M199:M200)</f>
        <v>62</v>
      </c>
      <c r="N201" s="97">
        <f>SUM(N199:N200)</f>
        <v>62</v>
      </c>
      <c r="O201" s="156"/>
      <c r="P201" s="156"/>
      <c r="Q201" s="156"/>
      <c r="R201" s="156"/>
      <c r="S201" s="194"/>
      <c r="T201" s="194"/>
      <c r="U201" s="194"/>
      <c r="V201" s="223"/>
      <c r="W201" s="50">
        <f>N199+N200</f>
        <v>62</v>
      </c>
      <c r="X201" s="53"/>
      <c r="Y201" s="53"/>
      <c r="Z201" s="46"/>
      <c r="AA201" s="46"/>
      <c r="AB201" s="46"/>
      <c r="AC201" s="46"/>
    </row>
    <row r="202" spans="1:29" s="48" customFormat="1" ht="21.75" customHeight="1" x14ac:dyDescent="0.15">
      <c r="A202" s="171"/>
      <c r="B202" s="179" t="s">
        <v>26</v>
      </c>
      <c r="C202" s="225" t="s">
        <v>282</v>
      </c>
      <c r="D202" s="142" t="s">
        <v>283</v>
      </c>
      <c r="E202" s="143"/>
      <c r="F202" s="144"/>
      <c r="G202" s="119" t="s">
        <v>284</v>
      </c>
      <c r="H202" s="119" t="s">
        <v>285</v>
      </c>
      <c r="I202" s="120" t="s">
        <v>65</v>
      </c>
      <c r="J202" s="120" t="s">
        <v>67</v>
      </c>
      <c r="K202" s="80">
        <v>84.962100000000007</v>
      </c>
      <c r="L202" s="81">
        <v>34</v>
      </c>
      <c r="M202" s="82">
        <v>10</v>
      </c>
      <c r="N202" s="82">
        <v>10</v>
      </c>
      <c r="O202" s="154" t="s">
        <v>286</v>
      </c>
      <c r="P202" s="154" t="s">
        <v>287</v>
      </c>
      <c r="Q202" s="154" t="s">
        <v>288</v>
      </c>
      <c r="R202" s="154" t="s">
        <v>69</v>
      </c>
      <c r="S202" s="192"/>
      <c r="T202" s="192" t="s">
        <v>65</v>
      </c>
      <c r="U202" s="192"/>
      <c r="V202" s="221"/>
      <c r="W202" s="67"/>
      <c r="X202" s="46"/>
      <c r="Y202" s="46"/>
      <c r="Z202" s="47" t="e">
        <f>W203+#REF!</f>
        <v>#REF!</v>
      </c>
      <c r="AA202" s="47" t="e">
        <f>X203+#REF!</f>
        <v>#REF!</v>
      </c>
      <c r="AB202" s="47" t="e">
        <f>Y203+#REF!</f>
        <v>#REF!</v>
      </c>
      <c r="AC202" s="47" t="e">
        <f>Z202+AA202+AB202</f>
        <v>#REF!</v>
      </c>
    </row>
    <row r="203" spans="1:29" s="48" customFormat="1" ht="21.75" customHeight="1" x14ac:dyDescent="0.15">
      <c r="A203" s="171"/>
      <c r="B203" s="180"/>
      <c r="C203" s="226"/>
      <c r="D203" s="148"/>
      <c r="E203" s="149"/>
      <c r="F203" s="150"/>
      <c r="G203" s="93" t="s">
        <v>71</v>
      </c>
      <c r="H203" s="94"/>
      <c r="I203" s="94"/>
      <c r="J203" s="94"/>
      <c r="K203" s="95"/>
      <c r="L203" s="49">
        <f>SUM(L202:L202)</f>
        <v>34</v>
      </c>
      <c r="M203" s="97">
        <f>SUM(M202)</f>
        <v>10</v>
      </c>
      <c r="N203" s="97">
        <f>SUM(N202)</f>
        <v>10</v>
      </c>
      <c r="O203" s="156"/>
      <c r="P203" s="156"/>
      <c r="Q203" s="156"/>
      <c r="R203" s="156"/>
      <c r="S203" s="194"/>
      <c r="T203" s="194"/>
      <c r="U203" s="194"/>
      <c r="V203" s="223"/>
      <c r="W203" s="67"/>
      <c r="X203" s="50">
        <f>N202</f>
        <v>10</v>
      </c>
      <c r="Y203" s="46"/>
      <c r="Z203" s="38"/>
      <c r="AA203" s="38"/>
      <c r="AB203" s="38"/>
      <c r="AC203" s="38"/>
    </row>
    <row r="204" spans="1:29" s="48" customFormat="1" ht="21.75" customHeight="1" x14ac:dyDescent="0.15">
      <c r="A204" s="171"/>
      <c r="B204" s="137" t="s">
        <v>27</v>
      </c>
      <c r="C204" s="225" t="s">
        <v>289</v>
      </c>
      <c r="D204" s="142" t="s">
        <v>290</v>
      </c>
      <c r="E204" s="143"/>
      <c r="F204" s="144"/>
      <c r="G204" s="175" t="s">
        <v>291</v>
      </c>
      <c r="H204" s="175" t="s">
        <v>292</v>
      </c>
      <c r="I204" s="179" t="s">
        <v>65</v>
      </c>
      <c r="J204" s="179" t="s">
        <v>67</v>
      </c>
      <c r="K204" s="43">
        <v>84.862499999999997</v>
      </c>
      <c r="L204" s="44">
        <v>24</v>
      </c>
      <c r="M204" s="45">
        <v>2</v>
      </c>
      <c r="N204" s="45">
        <v>2</v>
      </c>
      <c r="O204" s="154" t="s">
        <v>293</v>
      </c>
      <c r="P204" s="154" t="s">
        <v>294</v>
      </c>
      <c r="Q204" s="154" t="s">
        <v>295</v>
      </c>
      <c r="R204" s="154" t="s">
        <v>69</v>
      </c>
      <c r="S204" s="154"/>
      <c r="T204" s="154" t="s">
        <v>65</v>
      </c>
      <c r="U204" s="154"/>
      <c r="V204" s="154"/>
      <c r="W204" s="53"/>
      <c r="X204" s="53"/>
      <c r="Y204" s="53"/>
      <c r="Z204" s="47">
        <f>W208+W213</f>
        <v>0</v>
      </c>
      <c r="AA204" s="47">
        <f t="shared" ref="AA204:AB204" si="4">X208+X213</f>
        <v>18</v>
      </c>
      <c r="AB204" s="47">
        <f t="shared" si="4"/>
        <v>42</v>
      </c>
      <c r="AC204" s="47">
        <f>Z204+AA204+AB204</f>
        <v>60</v>
      </c>
    </row>
    <row r="205" spans="1:29" s="48" customFormat="1" ht="21.75" customHeight="1" x14ac:dyDescent="0.15">
      <c r="A205" s="171"/>
      <c r="B205" s="138"/>
      <c r="C205" s="226"/>
      <c r="D205" s="145"/>
      <c r="E205" s="146"/>
      <c r="F205" s="147"/>
      <c r="G205" s="176"/>
      <c r="H205" s="176"/>
      <c r="I205" s="180"/>
      <c r="J205" s="180"/>
      <c r="K205" s="43">
        <v>84.957599999999999</v>
      </c>
      <c r="L205" s="44">
        <v>19</v>
      </c>
      <c r="M205" s="45">
        <v>5</v>
      </c>
      <c r="N205" s="45">
        <v>5</v>
      </c>
      <c r="O205" s="155"/>
      <c r="P205" s="155"/>
      <c r="Q205" s="155"/>
      <c r="R205" s="155"/>
      <c r="S205" s="155"/>
      <c r="T205" s="155"/>
      <c r="U205" s="155"/>
      <c r="V205" s="155"/>
      <c r="W205" s="53"/>
      <c r="X205" s="53"/>
      <c r="Y205" s="53"/>
      <c r="Z205" s="38"/>
      <c r="AA205" s="38"/>
      <c r="AB205" s="38"/>
      <c r="AC205" s="38"/>
    </row>
    <row r="206" spans="1:29" s="48" customFormat="1" ht="21.75" customHeight="1" x14ac:dyDescent="0.15">
      <c r="A206" s="171"/>
      <c r="B206" s="138"/>
      <c r="C206" s="226"/>
      <c r="D206" s="145"/>
      <c r="E206" s="146"/>
      <c r="F206" s="147"/>
      <c r="G206" s="176"/>
      <c r="H206" s="176"/>
      <c r="I206" s="180"/>
      <c r="J206" s="180"/>
      <c r="K206" s="43">
        <v>155.0102</v>
      </c>
      <c r="L206" s="44">
        <v>3</v>
      </c>
      <c r="M206" s="45">
        <v>3</v>
      </c>
      <c r="N206" s="45">
        <v>3</v>
      </c>
      <c r="O206" s="155"/>
      <c r="P206" s="155"/>
      <c r="Q206" s="155"/>
      <c r="R206" s="155"/>
      <c r="S206" s="155"/>
      <c r="T206" s="155"/>
      <c r="U206" s="155"/>
      <c r="V206" s="155"/>
      <c r="W206" s="59"/>
      <c r="X206" s="53"/>
      <c r="Y206" s="53"/>
      <c r="Z206" s="38"/>
      <c r="AA206" s="38"/>
      <c r="AB206" s="38"/>
      <c r="AC206" s="38"/>
    </row>
    <row r="207" spans="1:29" s="48" customFormat="1" ht="21.75" customHeight="1" x14ac:dyDescent="0.15">
      <c r="A207" s="171"/>
      <c r="B207" s="138"/>
      <c r="C207" s="226"/>
      <c r="D207" s="145"/>
      <c r="E207" s="146"/>
      <c r="F207" s="147"/>
      <c r="G207" s="177"/>
      <c r="H207" s="177"/>
      <c r="I207" s="181"/>
      <c r="J207" s="181"/>
      <c r="K207" s="43">
        <v>151.76669999999999</v>
      </c>
      <c r="L207" s="44">
        <v>2</v>
      </c>
      <c r="M207" s="45">
        <v>1</v>
      </c>
      <c r="N207" s="45">
        <v>1</v>
      </c>
      <c r="O207" s="155"/>
      <c r="P207" s="155"/>
      <c r="Q207" s="155"/>
      <c r="R207" s="155"/>
      <c r="S207" s="155"/>
      <c r="T207" s="155"/>
      <c r="U207" s="155"/>
      <c r="V207" s="155"/>
      <c r="W207" s="53"/>
      <c r="X207" s="53"/>
      <c r="Y207" s="53"/>
      <c r="Z207" s="38"/>
      <c r="AA207" s="38"/>
      <c r="AB207" s="38"/>
      <c r="AC207" s="38"/>
    </row>
    <row r="208" spans="1:29" s="48" customFormat="1" ht="21.75" customHeight="1" x14ac:dyDescent="0.15">
      <c r="A208" s="171"/>
      <c r="B208" s="138"/>
      <c r="C208" s="226"/>
      <c r="D208" s="148"/>
      <c r="E208" s="149"/>
      <c r="F208" s="150"/>
      <c r="G208" s="93" t="s">
        <v>71</v>
      </c>
      <c r="H208" s="94"/>
      <c r="I208" s="94"/>
      <c r="J208" s="94"/>
      <c r="K208" s="95"/>
      <c r="L208" s="49">
        <f>SUM(L204:L207)</f>
        <v>48</v>
      </c>
      <c r="M208" s="97">
        <f>SUM(M204:M207)</f>
        <v>11</v>
      </c>
      <c r="N208" s="97">
        <f>SUM(N204:N207)</f>
        <v>11</v>
      </c>
      <c r="O208" s="156"/>
      <c r="P208" s="156"/>
      <c r="Q208" s="156"/>
      <c r="R208" s="156"/>
      <c r="S208" s="156"/>
      <c r="T208" s="156"/>
      <c r="U208" s="156"/>
      <c r="V208" s="156"/>
      <c r="W208" s="53"/>
      <c r="X208" s="50">
        <f>N204+N205</f>
        <v>7</v>
      </c>
      <c r="Y208" s="50">
        <f>N206+N207</f>
        <v>4</v>
      </c>
      <c r="Z208" s="38"/>
      <c r="AA208" s="38"/>
      <c r="AB208" s="38"/>
      <c r="AC208" s="38"/>
    </row>
    <row r="209" spans="1:29" s="48" customFormat="1" ht="21.75" customHeight="1" x14ac:dyDescent="0.15">
      <c r="A209" s="171"/>
      <c r="B209" s="138"/>
      <c r="C209" s="226"/>
      <c r="D209" s="142" t="s">
        <v>296</v>
      </c>
      <c r="E209" s="143"/>
      <c r="F209" s="144"/>
      <c r="G209" s="175" t="s">
        <v>297</v>
      </c>
      <c r="H209" s="175"/>
      <c r="I209" s="179" t="s">
        <v>65</v>
      </c>
      <c r="J209" s="179" t="s">
        <v>67</v>
      </c>
      <c r="K209" s="122">
        <v>83.954099999999997</v>
      </c>
      <c r="L209" s="44">
        <v>19</v>
      </c>
      <c r="M209" s="45">
        <v>10</v>
      </c>
      <c r="N209" s="45">
        <v>10</v>
      </c>
      <c r="O209" s="192" t="s">
        <v>298</v>
      </c>
      <c r="P209" s="192" t="s">
        <v>299</v>
      </c>
      <c r="Q209" s="192" t="s">
        <v>300</v>
      </c>
      <c r="R209" s="192" t="s">
        <v>69</v>
      </c>
      <c r="S209" s="192"/>
      <c r="T209" s="192" t="s">
        <v>65</v>
      </c>
      <c r="U209" s="154"/>
      <c r="V209" s="154"/>
      <c r="W209" s="53"/>
      <c r="X209" s="53"/>
      <c r="Y209" s="53"/>
      <c r="Z209" s="38"/>
      <c r="AA209" s="38"/>
      <c r="AB209" s="38"/>
      <c r="AC209" s="38"/>
    </row>
    <row r="210" spans="1:29" s="48" customFormat="1" ht="21.75" customHeight="1" x14ac:dyDescent="0.15">
      <c r="A210" s="171"/>
      <c r="B210" s="138"/>
      <c r="C210" s="226"/>
      <c r="D210" s="145"/>
      <c r="E210" s="146"/>
      <c r="F210" s="147"/>
      <c r="G210" s="176"/>
      <c r="H210" s="176"/>
      <c r="I210" s="180"/>
      <c r="J210" s="180"/>
      <c r="K210" s="122">
        <v>84.725300000000004</v>
      </c>
      <c r="L210" s="44">
        <v>19</v>
      </c>
      <c r="M210" s="45">
        <v>1</v>
      </c>
      <c r="N210" s="45">
        <v>1</v>
      </c>
      <c r="O210" s="193"/>
      <c r="P210" s="193"/>
      <c r="Q210" s="193"/>
      <c r="R210" s="193"/>
      <c r="S210" s="193"/>
      <c r="T210" s="193"/>
      <c r="U210" s="155"/>
      <c r="V210" s="155"/>
      <c r="W210" s="53"/>
      <c r="X210" s="53"/>
      <c r="Y210" s="53"/>
      <c r="Z210" s="38"/>
      <c r="AA210" s="38"/>
      <c r="AB210" s="38"/>
      <c r="AC210" s="38"/>
    </row>
    <row r="211" spans="1:29" s="48" customFormat="1" ht="21.75" customHeight="1" x14ac:dyDescent="0.15">
      <c r="A211" s="171"/>
      <c r="B211" s="138"/>
      <c r="C211" s="226"/>
      <c r="D211" s="145"/>
      <c r="E211" s="146"/>
      <c r="F211" s="147"/>
      <c r="G211" s="177"/>
      <c r="H211" s="177"/>
      <c r="I211" s="181"/>
      <c r="J211" s="181"/>
      <c r="K211" s="122">
        <v>155.30250000000001</v>
      </c>
      <c r="L211" s="44">
        <v>38</v>
      </c>
      <c r="M211" s="45">
        <v>38</v>
      </c>
      <c r="N211" s="45">
        <v>38</v>
      </c>
      <c r="O211" s="193"/>
      <c r="P211" s="193"/>
      <c r="Q211" s="193"/>
      <c r="R211" s="193"/>
      <c r="S211" s="193"/>
      <c r="T211" s="193"/>
      <c r="U211" s="155"/>
      <c r="V211" s="155"/>
      <c r="W211" s="53"/>
      <c r="X211" s="53"/>
      <c r="Y211" s="53"/>
      <c r="Z211" s="38"/>
      <c r="AA211" s="38"/>
      <c r="AB211" s="38"/>
      <c r="AC211" s="38"/>
    </row>
    <row r="212" spans="1:29" s="48" customFormat="1" ht="21.75" customHeight="1" x14ac:dyDescent="0.15">
      <c r="A212" s="171"/>
      <c r="B212" s="178"/>
      <c r="C212" s="227"/>
      <c r="D212" s="148"/>
      <c r="E212" s="149"/>
      <c r="F212" s="150"/>
      <c r="G212" s="93" t="s">
        <v>71</v>
      </c>
      <c r="H212" s="94"/>
      <c r="I212" s="94"/>
      <c r="J212" s="94"/>
      <c r="K212" s="95"/>
      <c r="L212" s="49">
        <f>SUM(L209:L211)</f>
        <v>76</v>
      </c>
      <c r="M212" s="97">
        <f>SUM(M209:M211)</f>
        <v>49</v>
      </c>
      <c r="N212" s="97">
        <f>SUM(N209:N211)</f>
        <v>49</v>
      </c>
      <c r="O212" s="194"/>
      <c r="P212" s="194"/>
      <c r="Q212" s="194"/>
      <c r="R212" s="194"/>
      <c r="S212" s="194"/>
      <c r="T212" s="194"/>
      <c r="U212" s="156"/>
      <c r="V212" s="156"/>
      <c r="W212" s="53"/>
      <c r="X212" s="53"/>
      <c r="Y212" s="53"/>
      <c r="Z212" s="38"/>
      <c r="AA212" s="38"/>
      <c r="AB212" s="38"/>
      <c r="AC212" s="38"/>
    </row>
    <row r="213" spans="1:29" s="48" customFormat="1" ht="21.75" customHeight="1" x14ac:dyDescent="0.15">
      <c r="A213" s="172"/>
      <c r="B213" s="276"/>
      <c r="C213" s="277"/>
      <c r="D213" s="277"/>
      <c r="E213" s="277"/>
      <c r="F213" s="277"/>
      <c r="G213" s="277"/>
      <c r="H213" s="277"/>
      <c r="I213" s="277"/>
      <c r="J213" s="277"/>
      <c r="K213" s="278"/>
      <c r="L213" s="83" t="e">
        <f>L212+L208+#REF!+L203+L198+#REF!+L196+L190+L183+L176+#REF!+L169+#REF!+L165+#REF!+L159+L155+L151+L147+L143+L137+#REF!+L133+L130+L125+L119+#REF!+#REF!+#REF!+L113+L106+#REF!+L100+#REF!+L94+#REF!+#REF!+L82+L71+L65+L61+L49+L42+L36+L27+L20+L15+L13+#REF!+#REF!+#REF!+L9+#REF!+#REF!+L201+#REF!+#REF!+#REF!</f>
        <v>#REF!</v>
      </c>
      <c r="M213" s="83" t="e">
        <f>SUM(#REF!,#REF!,#REF!,M9,#REF!,#REF!,#REF!,M13,M15,M20,M27,M36,M42,M49,M61,M65,M71,M82,#REF!,#REF!,M94,#REF!,M100,#REF!,M106,M113,#REF!,#REF!,#REF!,M119,M125,M130,M133,#REF!,M137,M143,M147,M151,M155,M159,#REF!,M165,#REF!,M169,#REF!,M176,M183,M190,#REF!,M196,#REF!,#REF!,M198,M201,M203,#REF!,M208,M212)</f>
        <v>#REF!</v>
      </c>
      <c r="N213" s="83" t="e">
        <f>SUM(#REF!,#REF!,#REF!,N9,#REF!,#REF!,#REF!,N13,N15,N20,N27,N36,N42,N49,N61,N65,N71,N82,#REF!,#REF!,N94,#REF!,N100,#REF!,N106,N113,#REF!,#REF!,#REF!,N119,N125,N130,N133,#REF!,N137,N143,N147,N151,N155,N159,#REF!,N165,#REF!,N169,#REF!,N176,N183,N190,#REF!,N196,#REF!,#REF!,N198,N201,N203,#REF!,N208,N212)</f>
        <v>#REF!</v>
      </c>
      <c r="O213" s="127"/>
      <c r="P213" s="127"/>
      <c r="Q213" s="84"/>
      <c r="R213" s="84"/>
      <c r="S213" s="84"/>
      <c r="T213" s="84"/>
      <c r="U213" s="84"/>
      <c r="V213" s="84"/>
      <c r="W213" s="85"/>
      <c r="X213" s="50">
        <f>N209+N210</f>
        <v>11</v>
      </c>
      <c r="Y213" s="50">
        <f>N211</f>
        <v>38</v>
      </c>
      <c r="Z213" s="38"/>
      <c r="AA213" s="38"/>
      <c r="AB213" s="38"/>
      <c r="AC213" s="38"/>
    </row>
    <row r="214" spans="1:29" ht="22.5" customHeight="1" x14ac:dyDescent="0.15">
      <c r="L214" s="88"/>
      <c r="N214" s="89"/>
    </row>
    <row r="215" spans="1:29" ht="20.25" customHeight="1" x14ac:dyDescent="0.15"/>
    <row r="216" spans="1:29" ht="20.25" customHeight="1" x14ac:dyDescent="0.15"/>
    <row r="217" spans="1:29" ht="20.25" customHeight="1" x14ac:dyDescent="0.15"/>
    <row r="218" spans="1:29" ht="20.25" customHeight="1" x14ac:dyDescent="0.15"/>
    <row r="219" spans="1:29" ht="20.25" customHeight="1" x14ac:dyDescent="0.15"/>
    <row r="220" spans="1:29" ht="20.25" customHeight="1" x14ac:dyDescent="0.15"/>
    <row r="221" spans="1:29" ht="20.25" customHeight="1" x14ac:dyDescent="0.15"/>
    <row r="222" spans="1:29" ht="20.25" customHeight="1" x14ac:dyDescent="0.15"/>
  </sheetData>
  <mergeCells count="534">
    <mergeCell ref="C107:C113"/>
    <mergeCell ref="B204:B212"/>
    <mergeCell ref="C204:C212"/>
    <mergeCell ref="B83:B119"/>
    <mergeCell ref="U114:U119"/>
    <mergeCell ref="S5:S9"/>
    <mergeCell ref="T5:T9"/>
    <mergeCell ref="U209:U212"/>
    <mergeCell ref="V209:V212"/>
    <mergeCell ref="B213:K213"/>
    <mergeCell ref="O209:O212"/>
    <mergeCell ref="P209:P212"/>
    <mergeCell ref="Q209:Q212"/>
    <mergeCell ref="R209:R212"/>
    <mergeCell ref="S209:S212"/>
    <mergeCell ref="T209:T212"/>
    <mergeCell ref="D209:F212"/>
    <mergeCell ref="G209:G211"/>
    <mergeCell ref="H209:H211"/>
    <mergeCell ref="I209:I211"/>
    <mergeCell ref="J209:J211"/>
    <mergeCell ref="I204:I207"/>
    <mergeCell ref="J204:J207"/>
    <mergeCell ref="O204:O208"/>
    <mergeCell ref="P204:P208"/>
    <mergeCell ref="T202:T203"/>
    <mergeCell ref="U202:U203"/>
    <mergeCell ref="V202:V203"/>
    <mergeCell ref="D204:F208"/>
    <mergeCell ref="G204:G207"/>
    <mergeCell ref="H204:H207"/>
    <mergeCell ref="S204:S208"/>
    <mergeCell ref="T204:T208"/>
    <mergeCell ref="U204:U208"/>
    <mergeCell ref="V204:V208"/>
    <mergeCell ref="Q204:Q208"/>
    <mergeCell ref="R204:R208"/>
    <mergeCell ref="U197:U198"/>
    <mergeCell ref="V197:V198"/>
    <mergeCell ref="C199:C201"/>
    <mergeCell ref="D199:F201"/>
    <mergeCell ref="G199:G200"/>
    <mergeCell ref="H199:H200"/>
    <mergeCell ref="B202:B203"/>
    <mergeCell ref="C202:C203"/>
    <mergeCell ref="D202:F203"/>
    <mergeCell ref="O202:O203"/>
    <mergeCell ref="P202:P203"/>
    <mergeCell ref="Q202:Q203"/>
    <mergeCell ref="R202:R203"/>
    <mergeCell ref="O199:O201"/>
    <mergeCell ref="P199:P201"/>
    <mergeCell ref="Q199:Q201"/>
    <mergeCell ref="R199:R201"/>
    <mergeCell ref="I199:I200"/>
    <mergeCell ref="J199:J200"/>
    <mergeCell ref="U199:U201"/>
    <mergeCell ref="V199:V201"/>
    <mergeCell ref="S199:S201"/>
    <mergeCell ref="T199:T201"/>
    <mergeCell ref="S202:S203"/>
    <mergeCell ref="B197:B201"/>
    <mergeCell ref="C197:C198"/>
    <mergeCell ref="D197:F198"/>
    <mergeCell ref="O197:O198"/>
    <mergeCell ref="P197:P198"/>
    <mergeCell ref="Q197:Q198"/>
    <mergeCell ref="R197:R198"/>
    <mergeCell ref="S197:S198"/>
    <mergeCell ref="T197:T198"/>
    <mergeCell ref="O191:O196"/>
    <mergeCell ref="P191:P196"/>
    <mergeCell ref="Q191:Q196"/>
    <mergeCell ref="R191:R196"/>
    <mergeCell ref="T191:T196"/>
    <mergeCell ref="V191:V196"/>
    <mergeCell ref="C191:C196"/>
    <mergeCell ref="D191:F196"/>
    <mergeCell ref="G191:G195"/>
    <mergeCell ref="H191:H195"/>
    <mergeCell ref="I191:I195"/>
    <mergeCell ref="J191:J195"/>
    <mergeCell ref="V184:V190"/>
    <mergeCell ref="D177:F183"/>
    <mergeCell ref="G177:G182"/>
    <mergeCell ref="H177:H182"/>
    <mergeCell ref="P184:P190"/>
    <mergeCell ref="Q184:Q190"/>
    <mergeCell ref="R184:R190"/>
    <mergeCell ref="S184:S190"/>
    <mergeCell ref="T184:T190"/>
    <mergeCell ref="U184:U190"/>
    <mergeCell ref="U177:U183"/>
    <mergeCell ref="O177:O183"/>
    <mergeCell ref="S177:S183"/>
    <mergeCell ref="T177:T183"/>
    <mergeCell ref="C184:C190"/>
    <mergeCell ref="D184:F190"/>
    <mergeCell ref="G184:G189"/>
    <mergeCell ref="H184:H189"/>
    <mergeCell ref="I184:I189"/>
    <mergeCell ref="J184:J189"/>
    <mergeCell ref="O184:O190"/>
    <mergeCell ref="B160:B196"/>
    <mergeCell ref="C160:C165"/>
    <mergeCell ref="D160:F165"/>
    <mergeCell ref="G160:G164"/>
    <mergeCell ref="H160:H164"/>
    <mergeCell ref="I160:I164"/>
    <mergeCell ref="J160:J164"/>
    <mergeCell ref="U160:U165"/>
    <mergeCell ref="V160:V165"/>
    <mergeCell ref="O160:O165"/>
    <mergeCell ref="P160:P165"/>
    <mergeCell ref="Q160:Q165"/>
    <mergeCell ref="R160:R165"/>
    <mergeCell ref="S160:S165"/>
    <mergeCell ref="T160:T165"/>
    <mergeCell ref="T166:T169"/>
    <mergeCell ref="U166:U169"/>
    <mergeCell ref="R166:R169"/>
    <mergeCell ref="S166:S169"/>
    <mergeCell ref="D166:F169"/>
    <mergeCell ref="G166:G168"/>
    <mergeCell ref="H166:H168"/>
    <mergeCell ref="I166:I168"/>
    <mergeCell ref="J166:J168"/>
    <mergeCell ref="H152:H154"/>
    <mergeCell ref="I152:I154"/>
    <mergeCell ref="J152:J154"/>
    <mergeCell ref="O152:O155"/>
    <mergeCell ref="Q156:Q159"/>
    <mergeCell ref="R156:R159"/>
    <mergeCell ref="S156:S159"/>
    <mergeCell ref="T156:T159"/>
    <mergeCell ref="U156:U159"/>
    <mergeCell ref="D148:F151"/>
    <mergeCell ref="G148:G150"/>
    <mergeCell ref="H148:H150"/>
    <mergeCell ref="I148:I150"/>
    <mergeCell ref="J148:J150"/>
    <mergeCell ref="U148:U151"/>
    <mergeCell ref="V156:V159"/>
    <mergeCell ref="V152:V155"/>
    <mergeCell ref="C156:C159"/>
    <mergeCell ref="D156:F159"/>
    <mergeCell ref="G156:G158"/>
    <mergeCell ref="H156:H158"/>
    <mergeCell ref="I156:I158"/>
    <mergeCell ref="J156:J158"/>
    <mergeCell ref="O156:O159"/>
    <mergeCell ref="P156:P159"/>
    <mergeCell ref="P152:P155"/>
    <mergeCell ref="Q152:Q155"/>
    <mergeCell ref="R152:R155"/>
    <mergeCell ref="S152:S155"/>
    <mergeCell ref="T152:T155"/>
    <mergeCell ref="U152:U155"/>
    <mergeCell ref="D152:F155"/>
    <mergeCell ref="G152:G154"/>
    <mergeCell ref="P144:P147"/>
    <mergeCell ref="P138:P143"/>
    <mergeCell ref="Q138:Q143"/>
    <mergeCell ref="R138:R143"/>
    <mergeCell ref="S138:S143"/>
    <mergeCell ref="T138:T143"/>
    <mergeCell ref="U138:U143"/>
    <mergeCell ref="O138:O143"/>
    <mergeCell ref="O148:O151"/>
    <mergeCell ref="P148:P151"/>
    <mergeCell ref="Q148:Q151"/>
    <mergeCell ref="P134:P137"/>
    <mergeCell ref="C152:C155"/>
    <mergeCell ref="U134:U137"/>
    <mergeCell ref="V134:V137"/>
    <mergeCell ref="Q144:Q147"/>
    <mergeCell ref="R144:R147"/>
    <mergeCell ref="V148:V151"/>
    <mergeCell ref="R148:R151"/>
    <mergeCell ref="S148:S151"/>
    <mergeCell ref="T148:T151"/>
    <mergeCell ref="C148:C151"/>
    <mergeCell ref="Q134:Q137"/>
    <mergeCell ref="R134:R137"/>
    <mergeCell ref="S134:S137"/>
    <mergeCell ref="T134:T137"/>
    <mergeCell ref="S144:S147"/>
    <mergeCell ref="T144:T147"/>
    <mergeCell ref="U144:U147"/>
    <mergeCell ref="V144:V147"/>
    <mergeCell ref="V138:V143"/>
    <mergeCell ref="C144:C147"/>
    <mergeCell ref="D144:F147"/>
    <mergeCell ref="G144:G146"/>
    <mergeCell ref="H144:H146"/>
    <mergeCell ref="G126:G129"/>
    <mergeCell ref="H126:H129"/>
    <mergeCell ref="I126:I129"/>
    <mergeCell ref="J126:J129"/>
    <mergeCell ref="O126:O130"/>
    <mergeCell ref="C126:C130"/>
    <mergeCell ref="D126:F130"/>
    <mergeCell ref="B134:B159"/>
    <mergeCell ref="C134:C137"/>
    <mergeCell ref="D134:F137"/>
    <mergeCell ref="G134:G136"/>
    <mergeCell ref="H134:H136"/>
    <mergeCell ref="I134:I136"/>
    <mergeCell ref="J134:J136"/>
    <mergeCell ref="C138:C143"/>
    <mergeCell ref="D138:F143"/>
    <mergeCell ref="G138:G142"/>
    <mergeCell ref="H138:H142"/>
    <mergeCell ref="I138:I142"/>
    <mergeCell ref="J138:J142"/>
    <mergeCell ref="O134:O137"/>
    <mergeCell ref="I144:I146"/>
    <mergeCell ref="J144:J146"/>
    <mergeCell ref="O144:O147"/>
    <mergeCell ref="Q131:Q133"/>
    <mergeCell ref="R131:R133"/>
    <mergeCell ref="S131:S133"/>
    <mergeCell ref="T131:T133"/>
    <mergeCell ref="U131:U133"/>
    <mergeCell ref="V131:V133"/>
    <mergeCell ref="V126:V130"/>
    <mergeCell ref="Q126:Q130"/>
    <mergeCell ref="R126:R130"/>
    <mergeCell ref="S126:S130"/>
    <mergeCell ref="T126:T130"/>
    <mergeCell ref="U126:U130"/>
    <mergeCell ref="B120:B133"/>
    <mergeCell ref="C120:C125"/>
    <mergeCell ref="D120:F125"/>
    <mergeCell ref="G120:G124"/>
    <mergeCell ref="H120:H124"/>
    <mergeCell ref="I120:I124"/>
    <mergeCell ref="J120:J124"/>
    <mergeCell ref="O114:O119"/>
    <mergeCell ref="P114:P119"/>
    <mergeCell ref="C114:C119"/>
    <mergeCell ref="D114:F119"/>
    <mergeCell ref="G114:G118"/>
    <mergeCell ref="H114:H118"/>
    <mergeCell ref="I114:I118"/>
    <mergeCell ref="J114:J118"/>
    <mergeCell ref="C131:C133"/>
    <mergeCell ref="D131:F133"/>
    <mergeCell ref="G131:G132"/>
    <mergeCell ref="H131:H132"/>
    <mergeCell ref="I131:I132"/>
    <mergeCell ref="J131:J132"/>
    <mergeCell ref="O131:O133"/>
    <mergeCell ref="P131:P133"/>
    <mergeCell ref="P126:P130"/>
    <mergeCell ref="O101:O106"/>
    <mergeCell ref="Q107:Q113"/>
    <mergeCell ref="R107:R113"/>
    <mergeCell ref="S107:S113"/>
    <mergeCell ref="T107:T113"/>
    <mergeCell ref="U107:U113"/>
    <mergeCell ref="V107:V113"/>
    <mergeCell ref="O120:O125"/>
    <mergeCell ref="P120:P125"/>
    <mergeCell ref="Q120:Q125"/>
    <mergeCell ref="R120:R125"/>
    <mergeCell ref="V114:V119"/>
    <mergeCell ref="Q114:Q119"/>
    <mergeCell ref="R114:R119"/>
    <mergeCell ref="S114:S119"/>
    <mergeCell ref="T114:T119"/>
    <mergeCell ref="S120:S125"/>
    <mergeCell ref="T120:T125"/>
    <mergeCell ref="U120:U125"/>
    <mergeCell ref="V120:V125"/>
    <mergeCell ref="P95:P100"/>
    <mergeCell ref="Q95:Q100"/>
    <mergeCell ref="R95:R100"/>
    <mergeCell ref="D95:F100"/>
    <mergeCell ref="G95:G99"/>
    <mergeCell ref="H95:H99"/>
    <mergeCell ref="V101:V106"/>
    <mergeCell ref="D107:F113"/>
    <mergeCell ref="G107:G112"/>
    <mergeCell ref="H107:H112"/>
    <mergeCell ref="I107:I112"/>
    <mergeCell ref="J107:J112"/>
    <mergeCell ref="O107:O113"/>
    <mergeCell ref="P107:P113"/>
    <mergeCell ref="P101:P106"/>
    <mergeCell ref="Q101:Q106"/>
    <mergeCell ref="R101:R106"/>
    <mergeCell ref="S101:S106"/>
    <mergeCell ref="T101:T106"/>
    <mergeCell ref="U101:U106"/>
    <mergeCell ref="G101:G105"/>
    <mergeCell ref="H101:H105"/>
    <mergeCell ref="I101:I105"/>
    <mergeCell ref="J101:J105"/>
    <mergeCell ref="D83:F94"/>
    <mergeCell ref="G83:G93"/>
    <mergeCell ref="H83:H93"/>
    <mergeCell ref="I83:I93"/>
    <mergeCell ref="J83:J93"/>
    <mergeCell ref="O83:O94"/>
    <mergeCell ref="D101:F106"/>
    <mergeCell ref="V83:V94"/>
    <mergeCell ref="C95:C100"/>
    <mergeCell ref="P83:P94"/>
    <mergeCell ref="Q83:Q94"/>
    <mergeCell ref="R83:R94"/>
    <mergeCell ref="S83:S94"/>
    <mergeCell ref="T83:T94"/>
    <mergeCell ref="U83:U94"/>
    <mergeCell ref="C83:C94"/>
    <mergeCell ref="S95:S100"/>
    <mergeCell ref="T95:T100"/>
    <mergeCell ref="U95:U100"/>
    <mergeCell ref="V95:V100"/>
    <mergeCell ref="C101:C106"/>
    <mergeCell ref="I95:I99"/>
    <mergeCell ref="J95:J99"/>
    <mergeCell ref="O95:O100"/>
    <mergeCell ref="Q72:Q82"/>
    <mergeCell ref="R72:R82"/>
    <mergeCell ref="S72:S82"/>
    <mergeCell ref="T72:T82"/>
    <mergeCell ref="U72:U82"/>
    <mergeCell ref="V72:V82"/>
    <mergeCell ref="V66:V71"/>
    <mergeCell ref="C72:C82"/>
    <mergeCell ref="D72:F82"/>
    <mergeCell ref="G72:G81"/>
    <mergeCell ref="H72:H81"/>
    <mergeCell ref="I72:I81"/>
    <mergeCell ref="J72:J81"/>
    <mergeCell ref="O72:O82"/>
    <mergeCell ref="P72:P82"/>
    <mergeCell ref="P66:P71"/>
    <mergeCell ref="Q66:Q71"/>
    <mergeCell ref="R66:R71"/>
    <mergeCell ref="S66:S71"/>
    <mergeCell ref="T66:T71"/>
    <mergeCell ref="U66:U71"/>
    <mergeCell ref="O66:O71"/>
    <mergeCell ref="J66:J70"/>
    <mergeCell ref="U50:U61"/>
    <mergeCell ref="V50:V61"/>
    <mergeCell ref="C62:C65"/>
    <mergeCell ref="D62:F65"/>
    <mergeCell ref="G62:G64"/>
    <mergeCell ref="H62:H64"/>
    <mergeCell ref="I62:I64"/>
    <mergeCell ref="J62:J64"/>
    <mergeCell ref="J50:J60"/>
    <mergeCell ref="O50:O61"/>
    <mergeCell ref="P50:P61"/>
    <mergeCell ref="Q50:Q61"/>
    <mergeCell ref="R50:R61"/>
    <mergeCell ref="S50:S61"/>
    <mergeCell ref="U62:U65"/>
    <mergeCell ref="V62:V65"/>
    <mergeCell ref="O62:O65"/>
    <mergeCell ref="P62:P65"/>
    <mergeCell ref="Q62:Q65"/>
    <mergeCell ref="R62:R65"/>
    <mergeCell ref="S62:S65"/>
    <mergeCell ref="T62:T65"/>
    <mergeCell ref="G50:G60"/>
    <mergeCell ref="H50:H60"/>
    <mergeCell ref="I50:I60"/>
    <mergeCell ref="C66:C71"/>
    <mergeCell ref="D66:F71"/>
    <mergeCell ref="G66:G70"/>
    <mergeCell ref="H66:H70"/>
    <mergeCell ref="I66:I70"/>
    <mergeCell ref="T50:T61"/>
    <mergeCell ref="I43:I48"/>
    <mergeCell ref="J43:J48"/>
    <mergeCell ref="O43:O49"/>
    <mergeCell ref="P43:P49"/>
    <mergeCell ref="Q43:Q49"/>
    <mergeCell ref="P37:P42"/>
    <mergeCell ref="Q37:Q42"/>
    <mergeCell ref="D37:F42"/>
    <mergeCell ref="G37:G41"/>
    <mergeCell ref="V28:V36"/>
    <mergeCell ref="R43:R49"/>
    <mergeCell ref="S43:S49"/>
    <mergeCell ref="T43:T49"/>
    <mergeCell ref="U43:U49"/>
    <mergeCell ref="V43:V49"/>
    <mergeCell ref="V37:V42"/>
    <mergeCell ref="R37:R42"/>
    <mergeCell ref="S37:S42"/>
    <mergeCell ref="T37:T42"/>
    <mergeCell ref="U37:U42"/>
    <mergeCell ref="T21:T27"/>
    <mergeCell ref="U21:U27"/>
    <mergeCell ref="H37:H41"/>
    <mergeCell ref="I37:I41"/>
    <mergeCell ref="J37:J41"/>
    <mergeCell ref="O37:O42"/>
    <mergeCell ref="R28:R36"/>
    <mergeCell ref="S28:S36"/>
    <mergeCell ref="T28:T36"/>
    <mergeCell ref="U28:U36"/>
    <mergeCell ref="I28:I35"/>
    <mergeCell ref="J28:J35"/>
    <mergeCell ref="O28:O36"/>
    <mergeCell ref="P28:P36"/>
    <mergeCell ref="Q28:Q36"/>
    <mergeCell ref="P21:P27"/>
    <mergeCell ref="Q21:Q27"/>
    <mergeCell ref="R21:R27"/>
    <mergeCell ref="S21:S27"/>
    <mergeCell ref="U14:U15"/>
    <mergeCell ref="V14:V15"/>
    <mergeCell ref="I10:I12"/>
    <mergeCell ref="J10:J12"/>
    <mergeCell ref="I16:I19"/>
    <mergeCell ref="J16:J19"/>
    <mergeCell ref="U16:U20"/>
    <mergeCell ref="V16:V20"/>
    <mergeCell ref="C21:C49"/>
    <mergeCell ref="D21:F27"/>
    <mergeCell ref="G21:G26"/>
    <mergeCell ref="H21:H26"/>
    <mergeCell ref="I21:I26"/>
    <mergeCell ref="J21:J26"/>
    <mergeCell ref="O21:O27"/>
    <mergeCell ref="O16:O20"/>
    <mergeCell ref="P16:P20"/>
    <mergeCell ref="Q16:Q20"/>
    <mergeCell ref="R16:R20"/>
    <mergeCell ref="S16:S20"/>
    <mergeCell ref="T16:T20"/>
    <mergeCell ref="V21:V27"/>
    <mergeCell ref="D28:F36"/>
    <mergeCell ref="G28:G35"/>
    <mergeCell ref="O14:O15"/>
    <mergeCell ref="P14:P15"/>
    <mergeCell ref="Q14:Q15"/>
    <mergeCell ref="R14:R15"/>
    <mergeCell ref="S14:S15"/>
    <mergeCell ref="T14:T15"/>
    <mergeCell ref="O10:O13"/>
    <mergeCell ref="P10:P13"/>
    <mergeCell ref="Q10:Q13"/>
    <mergeCell ref="R10:R13"/>
    <mergeCell ref="S10:S13"/>
    <mergeCell ref="T10:T13"/>
    <mergeCell ref="U5:U9"/>
    <mergeCell ref="V5:V9"/>
    <mergeCell ref="I5:I8"/>
    <mergeCell ref="J5:J8"/>
    <mergeCell ref="O5:O9"/>
    <mergeCell ref="P5:P9"/>
    <mergeCell ref="Q5:Q9"/>
    <mergeCell ref="R5:R9"/>
    <mergeCell ref="U10:U13"/>
    <mergeCell ref="V10:V13"/>
    <mergeCell ref="A5:A213"/>
    <mergeCell ref="B5:B9"/>
    <mergeCell ref="C5:C9"/>
    <mergeCell ref="D5:F9"/>
    <mergeCell ref="G5:G8"/>
    <mergeCell ref="H5:H8"/>
    <mergeCell ref="B10:B15"/>
    <mergeCell ref="C10:C15"/>
    <mergeCell ref="D10:F13"/>
    <mergeCell ref="G10:G12"/>
    <mergeCell ref="H10:H12"/>
    <mergeCell ref="B16:B49"/>
    <mergeCell ref="C16:C20"/>
    <mergeCell ref="D16:F20"/>
    <mergeCell ref="G16:G19"/>
    <mergeCell ref="H16:H19"/>
    <mergeCell ref="D43:F49"/>
    <mergeCell ref="G43:G48"/>
    <mergeCell ref="D14:F15"/>
    <mergeCell ref="H28:H35"/>
    <mergeCell ref="H43:H48"/>
    <mergeCell ref="B50:B82"/>
    <mergeCell ref="C50:C61"/>
    <mergeCell ref="D50:F61"/>
    <mergeCell ref="S2:S4"/>
    <mergeCell ref="T2:T4"/>
    <mergeCell ref="U2:U4"/>
    <mergeCell ref="V2:V4"/>
    <mergeCell ref="A3:A4"/>
    <mergeCell ref="B3:B4"/>
    <mergeCell ref="C3:C4"/>
    <mergeCell ref="G3:G4"/>
    <mergeCell ref="H3:H4"/>
    <mergeCell ref="I3:I4"/>
    <mergeCell ref="J3:J4"/>
    <mergeCell ref="K3:K4"/>
    <mergeCell ref="L3:L4"/>
    <mergeCell ref="M3:N3"/>
    <mergeCell ref="A1:R1"/>
    <mergeCell ref="A2:C2"/>
    <mergeCell ref="D2:F4"/>
    <mergeCell ref="G2:H2"/>
    <mergeCell ref="I2:J2"/>
    <mergeCell ref="L2:N2"/>
    <mergeCell ref="O2:O4"/>
    <mergeCell ref="P2:P4"/>
    <mergeCell ref="Q2:Q4"/>
    <mergeCell ref="R2:R4"/>
    <mergeCell ref="C166:C183"/>
    <mergeCell ref="V166:V169"/>
    <mergeCell ref="D170:F176"/>
    <mergeCell ref="G170:G175"/>
    <mergeCell ref="H170:H175"/>
    <mergeCell ref="I170:I175"/>
    <mergeCell ref="J170:J175"/>
    <mergeCell ref="V170:V176"/>
    <mergeCell ref="V177:V183"/>
    <mergeCell ref="O166:O169"/>
    <mergeCell ref="P166:P169"/>
    <mergeCell ref="Q166:Q169"/>
    <mergeCell ref="Q170:Q176"/>
    <mergeCell ref="R170:R176"/>
    <mergeCell ref="S170:S176"/>
    <mergeCell ref="P177:P183"/>
    <mergeCell ref="I177:I182"/>
    <mergeCell ref="J177:J182"/>
    <mergeCell ref="O170:O176"/>
    <mergeCell ref="P170:P176"/>
    <mergeCell ref="T170:T176"/>
    <mergeCell ref="U170:U176"/>
    <mergeCell ref="Q177:Q183"/>
    <mergeCell ref="R177:R183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8" orientation="landscape" r:id="rId1"/>
  <rowBreaks count="6" manualBreakCount="6">
    <brk id="27" min="1" max="21" man="1"/>
    <brk id="61" min="1" max="21" man="1"/>
    <brk id="100" min="1" max="21" man="1"/>
    <brk id="133" min="1" max="21" man="1"/>
    <brk id="159" min="1" max="21" man="1"/>
    <brk id="196" min="1" max="2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총괄표</vt:lpstr>
      <vt:lpstr>업체별현황</vt:lpstr>
      <vt:lpstr>업체별현황!Print_Area</vt:lpstr>
      <vt:lpstr>총괄표!Print_Area</vt:lpstr>
      <vt:lpstr>업체별현황!Print_Titles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2026-09-14T01:53:58Z</cp:lastPrinted>
  <dcterms:created xsi:type="dcterms:W3CDTF">2026-06-29T06:15:49Z</dcterms:created>
  <dcterms:modified xsi:type="dcterms:W3CDTF">2026-09-14T23:21:38Z</dcterms:modified>
</cp:coreProperties>
</file>