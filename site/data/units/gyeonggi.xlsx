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9-1. [매월]미분양자료 제출(道→국토부)\[월보] 미분양(매월 15·20·25)\[매월 15일, 마지막날] 국토부 제출(시군제출마감 10일, 25일)\26.09.30\0.총합\"/>
    </mc:Choice>
  </mc:AlternateContent>
  <xr:revisionPtr revIDLastSave="0" documentId="13_ncr:1_{F5BA7E9A-FE39-46F3-BF20-064986374E8D}" xr6:coauthVersionLast="47" xr6:coauthVersionMax="47" xr10:uidLastSave="{00000000-0000-0000-0000-000000000000}"/>
  <bookViews>
    <workbookView xWindow="-120" yWindow="-120" windowWidth="29040" windowHeight="15720" tabRatio="407" xr2:uid="{00000000-000D-0000-FFFF-FFFF00000000}"/>
  </bookViews>
  <sheets>
    <sheet name="총괄표(경기도)" sheetId="1" r:id="rId1"/>
    <sheet name="업체별 현황 " sheetId="15" r:id="rId2"/>
    <sheet name="총괄표(국토부통계누리순서)" sheetId="16" state="hidden" r:id="rId3"/>
  </sheets>
  <definedNames>
    <definedName name="_xlnm._FilterDatabase" localSheetId="1" hidden="1">'업체별 현황 '!$A$6:$BTT$6</definedName>
    <definedName name="_xlnm._FilterDatabase" localSheetId="0" hidden="1">'총괄표(경기도)'!$A$3:$L$35</definedName>
    <definedName name="_xlnm._FilterDatabase" localSheetId="2" hidden="1">'총괄표(국토부통계누리순서)'!$A$4:$N$35</definedName>
    <definedName name="_xlnm.Print_Area" localSheetId="1">'업체별 현황 '!$A$1:$U$928</definedName>
    <definedName name="_xlnm.Print_Area" localSheetId="0">'총괄표(경기도)'!$A$38:$L$72</definedName>
    <definedName name="_xlnm.Print_Area" localSheetId="2">'총괄표(국토부통계누리순서)'!$A$1:$L$35</definedName>
    <definedName name="_xlnm.Print_Titles" localSheetId="1">'업체별 현황 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6" i="15" l="1"/>
  <c r="O70" i="15" l="1"/>
  <c r="N70" i="15"/>
  <c r="N629" i="15" l="1"/>
  <c r="O629" i="15"/>
  <c r="M629" i="15"/>
  <c r="M592" i="15"/>
  <c r="N592" i="15"/>
  <c r="O592" i="15"/>
  <c r="N252" i="15" l="1"/>
  <c r="O252" i="15"/>
  <c r="M252" i="15"/>
  <c r="N1136" i="15" l="1"/>
  <c r="N1132" i="15"/>
  <c r="N1129" i="15"/>
  <c r="N1125" i="15"/>
  <c r="N1123" i="15"/>
  <c r="N1120" i="15"/>
  <c r="N1116" i="15"/>
  <c r="N1117" i="15" s="1"/>
  <c r="N1111" i="15"/>
  <c r="N1112" i="15" s="1"/>
  <c r="N1102" i="15"/>
  <c r="N1092" i="15"/>
  <c r="N1084" i="15"/>
  <c r="N1078" i="15"/>
  <c r="N1067" i="15"/>
  <c r="N1054" i="15"/>
  <c r="N1049" i="15"/>
  <c r="N1041" i="15"/>
  <c r="N1032" i="15"/>
  <c r="N1019" i="15"/>
  <c r="N1015" i="15"/>
  <c r="N1003" i="15"/>
  <c r="N990" i="15"/>
  <c r="N991" i="15" s="1"/>
  <c r="N983" i="15"/>
  <c r="N976" i="15"/>
  <c r="N964" i="15"/>
  <c r="N954" i="15"/>
  <c r="N944" i="15"/>
  <c r="N937" i="15"/>
  <c r="N938" i="15" s="1"/>
  <c r="N927" i="15"/>
  <c r="N928" i="15" s="1"/>
  <c r="N917" i="15"/>
  <c r="N910" i="15"/>
  <c r="N901" i="15"/>
  <c r="N894" i="15"/>
  <c r="N885" i="15"/>
  <c r="N880" i="15"/>
  <c r="N871" i="15"/>
  <c r="N865" i="15"/>
  <c r="N856" i="15"/>
  <c r="N849" i="15"/>
  <c r="N842" i="15"/>
  <c r="N835" i="15"/>
  <c r="N828" i="15"/>
  <c r="N820" i="15"/>
  <c r="N814" i="15"/>
  <c r="N801" i="15"/>
  <c r="N798" i="15"/>
  <c r="N795" i="15"/>
  <c r="N793" i="15"/>
  <c r="N788" i="15"/>
  <c r="N783" i="15"/>
  <c r="N773" i="15"/>
  <c r="N774" i="15" s="1"/>
  <c r="N767" i="15"/>
  <c r="N764" i="15"/>
  <c r="N759" i="15"/>
  <c r="N752" i="15"/>
  <c r="N745" i="15"/>
  <c r="N740" i="15"/>
  <c r="N736" i="15"/>
  <c r="N732" i="15"/>
  <c r="N716" i="15"/>
  <c r="N710" i="15"/>
  <c r="N700" i="15"/>
  <c r="N688" i="15"/>
  <c r="N674" i="15"/>
  <c r="N659" i="15"/>
  <c r="N652" i="15"/>
  <c r="N641" i="15"/>
  <c r="N625" i="15"/>
  <c r="N622" i="15"/>
  <c r="N614" i="15"/>
  <c r="N608" i="15"/>
  <c r="N603" i="15"/>
  <c r="N598" i="15"/>
  <c r="N586" i="15"/>
  <c r="N581" i="15"/>
  <c r="N577" i="15"/>
  <c r="N572" i="15"/>
  <c r="N555" i="15"/>
  <c r="N549" i="15"/>
  <c r="N545" i="15"/>
  <c r="N540" i="15"/>
  <c r="N529" i="15"/>
  <c r="N524" i="15"/>
  <c r="N517" i="15"/>
  <c r="N518" i="15" s="1"/>
  <c r="N508" i="15"/>
  <c r="N503" i="15"/>
  <c r="N496" i="15"/>
  <c r="N491" i="15"/>
  <c r="N483" i="15"/>
  <c r="N479" i="15"/>
  <c r="N469" i="15"/>
  <c r="N462" i="15"/>
  <c r="N452" i="15"/>
  <c r="N445" i="15"/>
  <c r="N437" i="15"/>
  <c r="N434" i="15"/>
  <c r="N428" i="15"/>
  <c r="N420" i="15"/>
  <c r="N417" i="15"/>
  <c r="N413" i="15"/>
  <c r="N410" i="15"/>
  <c r="N402" i="15"/>
  <c r="N398" i="15"/>
  <c r="N395" i="15"/>
  <c r="N386" i="15"/>
  <c r="N381" i="15"/>
  <c r="N376" i="15"/>
  <c r="N371" i="15"/>
  <c r="N367" i="15"/>
  <c r="N361" i="15"/>
  <c r="N355" i="15"/>
  <c r="N348" i="15"/>
  <c r="N344" i="15"/>
  <c r="N333" i="15"/>
  <c r="N330" i="15"/>
  <c r="N326" i="15"/>
  <c r="N319" i="15"/>
  <c r="N316" i="15"/>
  <c r="N311" i="15"/>
  <c r="N307" i="15"/>
  <c r="N302" i="15"/>
  <c r="N296" i="15"/>
  <c r="N292" i="15"/>
  <c r="N286" i="15"/>
  <c r="N279" i="15"/>
  <c r="N276" i="15"/>
  <c r="N273" i="15"/>
  <c r="N267" i="15"/>
  <c r="N261" i="15"/>
  <c r="N257" i="15"/>
  <c r="N245" i="15"/>
  <c r="N240" i="15"/>
  <c r="N231" i="15"/>
  <c r="N225" i="15"/>
  <c r="N220" i="15"/>
  <c r="N212" i="15"/>
  <c r="N204" i="15"/>
  <c r="N197" i="15"/>
  <c r="N174" i="15"/>
  <c r="N163" i="15"/>
  <c r="N159" i="15"/>
  <c r="N151" i="15"/>
  <c r="N146" i="15"/>
  <c r="N140" i="15"/>
  <c r="N135" i="15"/>
  <c r="N128" i="15"/>
  <c r="N123" i="15"/>
  <c r="N119" i="15"/>
  <c r="N113" i="15"/>
  <c r="N108" i="15"/>
  <c r="N104" i="15"/>
  <c r="N99" i="15"/>
  <c r="N95" i="15"/>
  <c r="N88" i="15"/>
  <c r="N79" i="15"/>
  <c r="N69" i="15"/>
  <c r="N52" i="15"/>
  <c r="N47" i="15"/>
  <c r="N43" i="15"/>
  <c r="N39" i="15"/>
  <c r="N34" i="15"/>
  <c r="N30" i="15"/>
  <c r="N26" i="15"/>
  <c r="N19" i="15"/>
  <c r="N16" i="15"/>
  <c r="N9" i="15"/>
  <c r="N902" i="15" l="1"/>
  <c r="N918" i="15"/>
  <c r="N20" i="15"/>
  <c r="N1079" i="15"/>
  <c r="N1103" i="15"/>
  <c r="N484" i="15"/>
  <c r="N1050" i="15"/>
  <c r="N573" i="15"/>
  <c r="N768" i="15"/>
  <c r="N253" i="15"/>
  <c r="N387" i="15"/>
  <c r="N53" i="15"/>
  <c r="N136" i="15"/>
  <c r="N509" i="15"/>
  <c r="N872" i="15"/>
  <c r="N1137" i="15"/>
  <c r="N630" i="15"/>
  <c r="N802" i="15"/>
  <c r="N984" i="15"/>
  <c r="N280" i="15"/>
  <c r="O267" i="15"/>
  <c r="M267" i="15"/>
  <c r="O1049" i="15"/>
  <c r="M1049" i="15"/>
  <c r="O1041" i="15"/>
  <c r="M1041" i="15"/>
  <c r="N6" i="15" l="1"/>
  <c r="O245" i="15"/>
  <c r="M245" i="15"/>
  <c r="O386" i="15" l="1"/>
  <c r="M386" i="15"/>
  <c r="O296" i="15"/>
  <c r="O367" i="15"/>
  <c r="O361" i="15"/>
  <c r="O381" i="15" l="1"/>
  <c r="M381" i="15"/>
  <c r="O376" i="15"/>
  <c r="M376" i="15"/>
  <c r="O231" i="15" l="1"/>
  <c r="M231" i="15"/>
  <c r="O767" i="15" l="1"/>
  <c r="M767" i="15"/>
  <c r="O1136" i="15" l="1"/>
  <c r="M1136" i="15"/>
  <c r="O865" i="15" l="1"/>
  <c r="O1032" i="15" l="1"/>
  <c r="M1032" i="15"/>
  <c r="O572" i="15" l="1"/>
  <c r="M572" i="15"/>
  <c r="M371" i="15" l="1"/>
  <c r="O371" i="15"/>
  <c r="M483" i="15" l="1"/>
  <c r="O483" i="15"/>
  <c r="O135" i="15" l="1"/>
  <c r="M135" i="15"/>
  <c r="O128" i="15"/>
  <c r="M128" i="15"/>
  <c r="O88" i="15"/>
  <c r="O240" i="15"/>
  <c r="M240" i="15"/>
  <c r="O225" i="15"/>
  <c r="M225" i="15"/>
  <c r="O759" i="15"/>
  <c r="M759" i="15"/>
  <c r="M1116" i="15" l="1"/>
  <c r="O19" i="15"/>
  <c r="M19" i="15"/>
  <c r="O9" i="15" l="1"/>
  <c r="O26" i="15"/>
  <c r="O30" i="15"/>
  <c r="O34" i="15"/>
  <c r="O39" i="15"/>
  <c r="O43" i="15"/>
  <c r="O47" i="15"/>
  <c r="O52" i="15"/>
  <c r="O69" i="15"/>
  <c r="O79" i="15"/>
  <c r="O95" i="15"/>
  <c r="O99" i="15"/>
  <c r="O104" i="15"/>
  <c r="O108" i="15"/>
  <c r="O113" i="15"/>
  <c r="O119" i="15"/>
  <c r="O123" i="15"/>
  <c r="O140" i="15"/>
  <c r="O146" i="15"/>
  <c r="O151" i="15"/>
  <c r="O159" i="15"/>
  <c r="O163" i="15"/>
  <c r="O174" i="15"/>
  <c r="O197" i="15"/>
  <c r="O204" i="15"/>
  <c r="O212" i="15"/>
  <c r="O220" i="15"/>
  <c r="O257" i="15"/>
  <c r="O261" i="15"/>
  <c r="O273" i="15"/>
  <c r="O276" i="15"/>
  <c r="O279" i="15"/>
  <c r="O286" i="15"/>
  <c r="O292" i="15"/>
  <c r="O302" i="15"/>
  <c r="O307" i="15"/>
  <c r="O311" i="15"/>
  <c r="O316" i="15"/>
  <c r="O319" i="15"/>
  <c r="O326" i="15"/>
  <c r="O330" i="15"/>
  <c r="O333" i="15"/>
  <c r="O344" i="15"/>
  <c r="O348" i="15"/>
  <c r="O355" i="15"/>
  <c r="O395" i="15"/>
  <c r="O398" i="15"/>
  <c r="O402" i="15"/>
  <c r="O410" i="15"/>
  <c r="O413" i="15"/>
  <c r="O417" i="15"/>
  <c r="O420" i="15"/>
  <c r="O428" i="15"/>
  <c r="O434" i="15"/>
  <c r="O437" i="15"/>
  <c r="O445" i="15"/>
  <c r="O452" i="15"/>
  <c r="O462" i="15"/>
  <c r="O469" i="15"/>
  <c r="O479" i="15"/>
  <c r="O491" i="15"/>
  <c r="O496" i="15"/>
  <c r="O503" i="15"/>
  <c r="O508" i="15"/>
  <c r="O517" i="15"/>
  <c r="O518" i="15" s="1"/>
  <c r="O524" i="15"/>
  <c r="O529" i="15"/>
  <c r="O540" i="15"/>
  <c r="O545" i="15"/>
  <c r="O549" i="15"/>
  <c r="O555" i="15"/>
  <c r="O577" i="15"/>
  <c r="O581" i="15"/>
  <c r="O586" i="15"/>
  <c r="O598" i="15"/>
  <c r="O603" i="15"/>
  <c r="O608" i="15"/>
  <c r="O614" i="15"/>
  <c r="O622" i="15"/>
  <c r="O625" i="15"/>
  <c r="O641" i="15"/>
  <c r="O652" i="15"/>
  <c r="O659" i="15"/>
  <c r="O674" i="15"/>
  <c r="O688" i="15"/>
  <c r="O700" i="15"/>
  <c r="O710" i="15"/>
  <c r="O716" i="15"/>
  <c r="O732" i="15"/>
  <c r="O736" i="15"/>
  <c r="O740" i="15"/>
  <c r="O745" i="15"/>
  <c r="O752" i="15"/>
  <c r="O764" i="15"/>
  <c r="O773" i="15"/>
  <c r="O774" i="15" s="1"/>
  <c r="O783" i="15"/>
  <c r="O788" i="15"/>
  <c r="O793" i="15"/>
  <c r="O795" i="15"/>
  <c r="O798" i="15"/>
  <c r="O801" i="15"/>
  <c r="O814" i="15"/>
  <c r="O820" i="15"/>
  <c r="O828" i="15"/>
  <c r="O835" i="15"/>
  <c r="O842" i="15"/>
  <c r="O849" i="15"/>
  <c r="O856" i="15"/>
  <c r="O871" i="15"/>
  <c r="O880" i="15"/>
  <c r="O885" i="15"/>
  <c r="O894" i="15"/>
  <c r="O901" i="15"/>
  <c r="O910" i="15"/>
  <c r="O917" i="15"/>
  <c r="O927" i="15"/>
  <c r="O928" i="15" s="1"/>
  <c r="O937" i="15"/>
  <c r="O938" i="15" s="1"/>
  <c r="O944" i="15"/>
  <c r="O954" i="15"/>
  <c r="O964" i="15"/>
  <c r="O976" i="15"/>
  <c r="O983" i="15"/>
  <c r="O990" i="15"/>
  <c r="O991" i="15" s="1"/>
  <c r="O1003" i="15"/>
  <c r="O1015" i="15"/>
  <c r="O1019" i="15"/>
  <c r="O1054" i="15"/>
  <c r="O1067" i="15"/>
  <c r="O1078" i="15"/>
  <c r="O1084" i="15"/>
  <c r="O1092" i="15"/>
  <c r="O1102" i="15"/>
  <c r="O1111" i="15"/>
  <c r="O1112" i="15" s="1"/>
  <c r="O1116" i="15"/>
  <c r="O1117" i="15" s="1"/>
  <c r="O1120" i="15"/>
  <c r="O1123" i="15"/>
  <c r="O1125" i="15"/>
  <c r="O1129" i="15"/>
  <c r="O1132" i="15"/>
  <c r="M1132" i="15"/>
  <c r="O630" i="15" l="1"/>
  <c r="O253" i="15"/>
  <c r="O280" i="15"/>
  <c r="O1050" i="15"/>
  <c r="O387" i="15"/>
  <c r="O768" i="15"/>
  <c r="O1137" i="15"/>
  <c r="O573" i="15"/>
  <c r="O484" i="15"/>
  <c r="O136" i="15"/>
  <c r="O20" i="15"/>
  <c r="O802" i="15"/>
  <c r="O1103" i="15"/>
  <c r="O1079" i="15"/>
  <c r="O53" i="15"/>
  <c r="O902" i="15"/>
  <c r="O509" i="15"/>
  <c r="O918" i="15"/>
  <c r="O984" i="15"/>
  <c r="O872" i="15"/>
  <c r="M764" i="15"/>
  <c r="O6" i="15" l="1"/>
  <c r="M1078" i="15"/>
  <c r="M123" i="15" l="1"/>
  <c r="M976" i="15"/>
  <c r="M983" i="15"/>
  <c r="M479" i="15"/>
  <c r="M469" i="15"/>
  <c r="M462" i="15"/>
  <c r="M452" i="15"/>
  <c r="M445" i="15"/>
  <c r="M437" i="15"/>
  <c r="M434" i="15"/>
  <c r="M428" i="15"/>
  <c r="M420" i="15"/>
  <c r="M417" i="15"/>
  <c r="M413" i="15"/>
  <c r="M410" i="15"/>
  <c r="M402" i="15"/>
  <c r="M398" i="15"/>
  <c r="M395" i="15"/>
  <c r="M484" i="15" l="1"/>
  <c r="M367" i="15"/>
  <c r="M361" i="15"/>
  <c r="M865" i="15" l="1"/>
  <c r="M835" i="15"/>
  <c r="M814" i="15"/>
  <c r="M113" i="15" l="1"/>
  <c r="M108" i="15"/>
  <c r="M104" i="15"/>
  <c r="M99" i="15"/>
  <c r="M95" i="15"/>
  <c r="M1003" i="15" l="1"/>
  <c r="M598" i="15" l="1"/>
  <c r="M586" i="15"/>
  <c r="M795" i="15" l="1"/>
  <c r="M1129" i="15" l="1"/>
  <c r="M1125" i="15"/>
  <c r="M1123" i="15"/>
  <c r="M1120" i="15"/>
  <c r="M1137" i="15" l="1"/>
  <c r="M740" i="15"/>
  <c r="C34" i="1" l="1"/>
  <c r="C33" i="1"/>
  <c r="C32" i="1"/>
  <c r="C31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M894" i="15" l="1"/>
  <c r="M16" i="15" l="1"/>
  <c r="K28" i="16" l="1"/>
  <c r="L28" i="16"/>
  <c r="L872" i="15" l="1"/>
  <c r="M871" i="15"/>
  <c r="F28" i="16" l="1"/>
  <c r="F54" i="16"/>
  <c r="F44" i="16"/>
  <c r="G44" i="16"/>
  <c r="G51" i="16"/>
  <c r="E54" i="16"/>
  <c r="G54" i="16"/>
  <c r="M79" i="15" l="1"/>
  <c r="M88" i="15"/>
  <c r="M136" i="15" l="1"/>
  <c r="M752" i="15"/>
  <c r="M745" i="15"/>
  <c r="M1015" i="15" l="1"/>
  <c r="M355" i="15" l="1"/>
  <c r="M1117" i="15" l="1"/>
  <c r="M1111" i="15"/>
  <c r="M1112" i="15" s="1"/>
  <c r="M1102" i="15"/>
  <c r="M1092" i="15"/>
  <c r="M1083" i="15"/>
  <c r="M1084" i="15" s="1"/>
  <c r="M1067" i="15"/>
  <c r="M1054" i="15"/>
  <c r="M1019" i="15"/>
  <c r="M1050" i="15" s="1"/>
  <c r="M990" i="15"/>
  <c r="M991" i="15" s="1"/>
  <c r="M964" i="15"/>
  <c r="M954" i="15"/>
  <c r="M944" i="15"/>
  <c r="M937" i="15"/>
  <c r="M938" i="15" s="1"/>
  <c r="M927" i="15"/>
  <c r="M928" i="15" s="1"/>
  <c r="M917" i="15"/>
  <c r="M910" i="15"/>
  <c r="M901" i="15"/>
  <c r="M885" i="15"/>
  <c r="M880" i="15"/>
  <c r="M856" i="15"/>
  <c r="M849" i="15"/>
  <c r="M842" i="15"/>
  <c r="M828" i="15"/>
  <c r="M820" i="15"/>
  <c r="M801" i="15"/>
  <c r="M798" i="15"/>
  <c r="M793" i="15"/>
  <c r="M788" i="15"/>
  <c r="M783" i="15"/>
  <c r="M778" i="15"/>
  <c r="M773" i="15"/>
  <c r="M774" i="15" s="1"/>
  <c r="M736" i="15"/>
  <c r="M732" i="15"/>
  <c r="M716" i="15"/>
  <c r="M710" i="15"/>
  <c r="M700" i="15"/>
  <c r="M688" i="15"/>
  <c r="M674" i="15"/>
  <c r="M659" i="15"/>
  <c r="M652" i="15"/>
  <c r="M641" i="15"/>
  <c r="M625" i="15"/>
  <c r="M622" i="15"/>
  <c r="M614" i="15"/>
  <c r="M608" i="15"/>
  <c r="M603" i="15"/>
  <c r="M581" i="15"/>
  <c r="M577" i="15"/>
  <c r="M555" i="15"/>
  <c r="M549" i="15"/>
  <c r="M545" i="15"/>
  <c r="M540" i="15"/>
  <c r="M529" i="15"/>
  <c r="M524" i="15"/>
  <c r="M517" i="15"/>
  <c r="M518" i="15" s="1"/>
  <c r="M508" i="15"/>
  <c r="M503" i="15"/>
  <c r="M496" i="15"/>
  <c r="M491" i="15"/>
  <c r="M348" i="15"/>
  <c r="M344" i="15"/>
  <c r="M333" i="15"/>
  <c r="M330" i="15"/>
  <c r="M326" i="15"/>
  <c r="M319" i="15"/>
  <c r="M316" i="15"/>
  <c r="M311" i="15"/>
  <c r="M307" i="15"/>
  <c r="M302" i="15"/>
  <c r="M296" i="15"/>
  <c r="M292" i="15"/>
  <c r="M286" i="15"/>
  <c r="M279" i="15"/>
  <c r="M276" i="15"/>
  <c r="M273" i="15"/>
  <c r="M261" i="15"/>
  <c r="M257" i="15"/>
  <c r="M220" i="15"/>
  <c r="M212" i="15"/>
  <c r="M204" i="15"/>
  <c r="M197" i="15"/>
  <c r="M174" i="15"/>
  <c r="M163" i="15"/>
  <c r="M159" i="15"/>
  <c r="M151" i="15"/>
  <c r="M146" i="15"/>
  <c r="M140" i="15"/>
  <c r="M69" i="15"/>
  <c r="M52" i="15"/>
  <c r="M47" i="15"/>
  <c r="M43" i="15"/>
  <c r="M39" i="15"/>
  <c r="M34" i="15"/>
  <c r="M30" i="15"/>
  <c r="M26" i="15"/>
  <c r="M9" i="15"/>
  <c r="M20" i="15" s="1"/>
  <c r="M280" i="15" l="1"/>
  <c r="M387" i="15"/>
  <c r="M768" i="15"/>
  <c r="M253" i="15"/>
  <c r="M573" i="15"/>
  <c r="M1079" i="15"/>
  <c r="M984" i="15"/>
  <c r="M872" i="15"/>
  <c r="M918" i="15"/>
  <c r="M802" i="15"/>
  <c r="M630" i="15"/>
  <c r="M902" i="15"/>
  <c r="M509" i="15"/>
  <c r="M1103" i="15"/>
  <c r="C44" i="1" l="1"/>
  <c r="C35" i="1" l="1"/>
  <c r="C30" i="1"/>
  <c r="L72" i="16" l="1"/>
  <c r="K72" i="16"/>
  <c r="J72" i="16"/>
  <c r="I72" i="16"/>
  <c r="G72" i="16"/>
  <c r="F72" i="16"/>
  <c r="E72" i="16"/>
  <c r="D72" i="16"/>
  <c r="L71" i="16"/>
  <c r="K71" i="16"/>
  <c r="J71" i="16"/>
  <c r="I71" i="16"/>
  <c r="G71" i="16"/>
  <c r="F71" i="16"/>
  <c r="E71" i="16"/>
  <c r="D71" i="16"/>
  <c r="L70" i="16"/>
  <c r="K70" i="16"/>
  <c r="J70" i="16"/>
  <c r="I70" i="16"/>
  <c r="G70" i="16"/>
  <c r="F70" i="16"/>
  <c r="E70" i="16"/>
  <c r="D70" i="16"/>
  <c r="L69" i="16"/>
  <c r="K69" i="16"/>
  <c r="J69" i="16"/>
  <c r="I69" i="16"/>
  <c r="G69" i="16"/>
  <c r="F69" i="16"/>
  <c r="E69" i="16"/>
  <c r="D69" i="16"/>
  <c r="L68" i="16"/>
  <c r="K68" i="16"/>
  <c r="J68" i="16"/>
  <c r="I68" i="16"/>
  <c r="G68" i="16"/>
  <c r="F68" i="16"/>
  <c r="E68" i="16"/>
  <c r="D68" i="16"/>
  <c r="L67" i="16"/>
  <c r="K67" i="16"/>
  <c r="J67" i="16"/>
  <c r="I67" i="16"/>
  <c r="G67" i="16"/>
  <c r="F67" i="16"/>
  <c r="E67" i="16"/>
  <c r="D67" i="16"/>
  <c r="L66" i="16"/>
  <c r="K66" i="16"/>
  <c r="J66" i="16"/>
  <c r="I66" i="16"/>
  <c r="G66" i="16"/>
  <c r="F66" i="16"/>
  <c r="E66" i="16"/>
  <c r="D66" i="16"/>
  <c r="L65" i="16"/>
  <c r="K65" i="16"/>
  <c r="J65" i="16"/>
  <c r="I65" i="16"/>
  <c r="G65" i="16"/>
  <c r="F65" i="16"/>
  <c r="E65" i="16"/>
  <c r="D65" i="16"/>
  <c r="L64" i="16"/>
  <c r="K64" i="16"/>
  <c r="J64" i="16"/>
  <c r="I64" i="16"/>
  <c r="G64" i="16"/>
  <c r="F64" i="16"/>
  <c r="E64" i="16"/>
  <c r="D64" i="16"/>
  <c r="L63" i="16"/>
  <c r="K63" i="16"/>
  <c r="J63" i="16"/>
  <c r="I63" i="16"/>
  <c r="G63" i="16"/>
  <c r="F63" i="16"/>
  <c r="E63" i="16"/>
  <c r="D63" i="16"/>
  <c r="L62" i="16"/>
  <c r="K62" i="16"/>
  <c r="J62" i="16"/>
  <c r="I62" i="16"/>
  <c r="G62" i="16"/>
  <c r="F62" i="16"/>
  <c r="E62" i="16"/>
  <c r="D62" i="16"/>
  <c r="L61" i="16"/>
  <c r="K61" i="16"/>
  <c r="J61" i="16"/>
  <c r="I61" i="16"/>
  <c r="G61" i="16"/>
  <c r="F61" i="16"/>
  <c r="E61" i="16"/>
  <c r="D61" i="16"/>
  <c r="L60" i="16"/>
  <c r="K60" i="16"/>
  <c r="J60" i="16"/>
  <c r="I60" i="16"/>
  <c r="G60" i="16"/>
  <c r="F60" i="16"/>
  <c r="E60" i="16"/>
  <c r="D60" i="16"/>
  <c r="L59" i="16"/>
  <c r="K59" i="16"/>
  <c r="J59" i="16"/>
  <c r="I59" i="16"/>
  <c r="G59" i="16"/>
  <c r="F59" i="16"/>
  <c r="E59" i="16"/>
  <c r="D59" i="16"/>
  <c r="L58" i="16"/>
  <c r="K58" i="16"/>
  <c r="J58" i="16"/>
  <c r="I58" i="16"/>
  <c r="G58" i="16"/>
  <c r="F58" i="16"/>
  <c r="E58" i="16"/>
  <c r="D58" i="16"/>
  <c r="L57" i="16"/>
  <c r="K57" i="16"/>
  <c r="J57" i="16"/>
  <c r="I57" i="16"/>
  <c r="G57" i="16"/>
  <c r="F57" i="16"/>
  <c r="E57" i="16"/>
  <c r="D57" i="16"/>
  <c r="L56" i="16"/>
  <c r="K56" i="16"/>
  <c r="J56" i="16"/>
  <c r="I56" i="16"/>
  <c r="G56" i="16"/>
  <c r="F56" i="16"/>
  <c r="E56" i="16"/>
  <c r="D56" i="16"/>
  <c r="L55" i="16"/>
  <c r="K55" i="16"/>
  <c r="J55" i="16"/>
  <c r="I55" i="16"/>
  <c r="G55" i="16"/>
  <c r="F55" i="16"/>
  <c r="E55" i="16"/>
  <c r="D55" i="16"/>
  <c r="L54" i="16"/>
  <c r="K54" i="16"/>
  <c r="J54" i="16"/>
  <c r="I54" i="16"/>
  <c r="D54" i="16"/>
  <c r="L53" i="16"/>
  <c r="K53" i="16"/>
  <c r="J53" i="16"/>
  <c r="I53" i="16"/>
  <c r="G53" i="16"/>
  <c r="D53" i="16"/>
  <c r="L52" i="16"/>
  <c r="K52" i="16"/>
  <c r="J52" i="16"/>
  <c r="I52" i="16"/>
  <c r="G52" i="16"/>
  <c r="F52" i="16"/>
  <c r="E52" i="16"/>
  <c r="D52" i="16"/>
  <c r="L51" i="16"/>
  <c r="K51" i="16"/>
  <c r="J51" i="16"/>
  <c r="I51" i="16"/>
  <c r="F51" i="16"/>
  <c r="E51" i="16"/>
  <c r="D51" i="16"/>
  <c r="L50" i="16"/>
  <c r="K50" i="16"/>
  <c r="J50" i="16"/>
  <c r="I50" i="16"/>
  <c r="G50" i="16"/>
  <c r="F50" i="16"/>
  <c r="E50" i="16"/>
  <c r="D50" i="16"/>
  <c r="L49" i="16"/>
  <c r="K49" i="16"/>
  <c r="J49" i="16"/>
  <c r="I49" i="16"/>
  <c r="G49" i="16"/>
  <c r="F49" i="16"/>
  <c r="E49" i="16"/>
  <c r="D49" i="16"/>
  <c r="L48" i="16"/>
  <c r="K48" i="16"/>
  <c r="J48" i="16"/>
  <c r="I48" i="16"/>
  <c r="G48" i="16"/>
  <c r="F48" i="16"/>
  <c r="E48" i="16"/>
  <c r="D48" i="16"/>
  <c r="L47" i="16"/>
  <c r="K47" i="16"/>
  <c r="J47" i="16"/>
  <c r="I47" i="16"/>
  <c r="G47" i="16"/>
  <c r="F47" i="16"/>
  <c r="E47" i="16"/>
  <c r="D47" i="16"/>
  <c r="L46" i="16"/>
  <c r="K46" i="16"/>
  <c r="J46" i="16"/>
  <c r="I46" i="16"/>
  <c r="G46" i="16"/>
  <c r="F46" i="16"/>
  <c r="E46" i="16"/>
  <c r="D46" i="16"/>
  <c r="L45" i="16"/>
  <c r="K45" i="16"/>
  <c r="J45" i="16"/>
  <c r="I45" i="16"/>
  <c r="G45" i="16"/>
  <c r="F45" i="16"/>
  <c r="E45" i="16"/>
  <c r="D45" i="16"/>
  <c r="L44" i="16"/>
  <c r="K44" i="16"/>
  <c r="J44" i="16"/>
  <c r="I44" i="16"/>
  <c r="E44" i="16"/>
  <c r="D44" i="16"/>
  <c r="L43" i="16"/>
  <c r="K43" i="16"/>
  <c r="J43" i="16"/>
  <c r="I43" i="16"/>
  <c r="G43" i="16"/>
  <c r="F43" i="16"/>
  <c r="E43" i="16"/>
  <c r="D43" i="16"/>
  <c r="L42" i="16"/>
  <c r="K42" i="16"/>
  <c r="J42" i="16"/>
  <c r="I42" i="16"/>
  <c r="G42" i="16"/>
  <c r="F42" i="16"/>
  <c r="E42" i="16"/>
  <c r="D42" i="16"/>
  <c r="L35" i="16"/>
  <c r="K35" i="16"/>
  <c r="J35" i="16"/>
  <c r="I35" i="16"/>
  <c r="G35" i="16"/>
  <c r="F35" i="16"/>
  <c r="E35" i="16"/>
  <c r="D35" i="16"/>
  <c r="L34" i="16"/>
  <c r="K34" i="16"/>
  <c r="J34" i="16"/>
  <c r="I34" i="16"/>
  <c r="G34" i="16"/>
  <c r="F34" i="16"/>
  <c r="E34" i="16"/>
  <c r="D34" i="16"/>
  <c r="L33" i="16"/>
  <c r="K33" i="16"/>
  <c r="J33" i="16"/>
  <c r="I33" i="16"/>
  <c r="G33" i="16"/>
  <c r="F33" i="16"/>
  <c r="E33" i="16"/>
  <c r="D33" i="16"/>
  <c r="L32" i="16"/>
  <c r="K32" i="16"/>
  <c r="J32" i="16"/>
  <c r="I32" i="16"/>
  <c r="G32" i="16"/>
  <c r="F32" i="16"/>
  <c r="E32" i="16"/>
  <c r="D32" i="16"/>
  <c r="L31" i="16"/>
  <c r="K31" i="16"/>
  <c r="J31" i="16"/>
  <c r="I31" i="16"/>
  <c r="G31" i="16"/>
  <c r="F31" i="16"/>
  <c r="E31" i="16"/>
  <c r="D31" i="16"/>
  <c r="L30" i="16"/>
  <c r="K30" i="16"/>
  <c r="J30" i="16"/>
  <c r="I30" i="16"/>
  <c r="G30" i="16"/>
  <c r="F30" i="16"/>
  <c r="E30" i="16"/>
  <c r="D30" i="16"/>
  <c r="L29" i="16"/>
  <c r="K29" i="16"/>
  <c r="J29" i="16"/>
  <c r="I29" i="16"/>
  <c r="G29" i="16"/>
  <c r="F29" i="16"/>
  <c r="E29" i="16"/>
  <c r="D29" i="16"/>
  <c r="J28" i="16"/>
  <c r="I28" i="16"/>
  <c r="G28" i="16"/>
  <c r="E28" i="16"/>
  <c r="D28" i="16"/>
  <c r="L27" i="16"/>
  <c r="K27" i="16"/>
  <c r="J27" i="16"/>
  <c r="I27" i="16"/>
  <c r="G27" i="16"/>
  <c r="F27" i="16"/>
  <c r="E27" i="16"/>
  <c r="D27" i="16"/>
  <c r="L26" i="16"/>
  <c r="K26" i="16"/>
  <c r="J26" i="16"/>
  <c r="I26" i="16"/>
  <c r="G26" i="16"/>
  <c r="F26" i="16"/>
  <c r="E26" i="16"/>
  <c r="D26" i="16"/>
  <c r="L25" i="16"/>
  <c r="K25" i="16"/>
  <c r="J25" i="16"/>
  <c r="I25" i="16"/>
  <c r="G25" i="16"/>
  <c r="F25" i="16"/>
  <c r="E25" i="16"/>
  <c r="D25" i="16"/>
  <c r="L24" i="16"/>
  <c r="K24" i="16"/>
  <c r="J24" i="16"/>
  <c r="I24" i="16"/>
  <c r="G24" i="16"/>
  <c r="F24" i="16"/>
  <c r="E24" i="16"/>
  <c r="D24" i="16"/>
  <c r="L23" i="16"/>
  <c r="K23" i="16"/>
  <c r="J23" i="16"/>
  <c r="I23" i="16"/>
  <c r="G23" i="16"/>
  <c r="F23" i="16"/>
  <c r="E23" i="16"/>
  <c r="D23" i="16"/>
  <c r="L22" i="16"/>
  <c r="K22" i="16"/>
  <c r="J22" i="16"/>
  <c r="I22" i="16"/>
  <c r="G22" i="16"/>
  <c r="F22" i="16"/>
  <c r="E22" i="16"/>
  <c r="D22" i="16"/>
  <c r="L21" i="16"/>
  <c r="K21" i="16"/>
  <c r="J21" i="16"/>
  <c r="I21" i="16"/>
  <c r="G21" i="16"/>
  <c r="F21" i="16"/>
  <c r="E21" i="16"/>
  <c r="D21" i="16"/>
  <c r="L20" i="16"/>
  <c r="K20" i="16"/>
  <c r="J20" i="16"/>
  <c r="I20" i="16"/>
  <c r="G20" i="16"/>
  <c r="F20" i="16"/>
  <c r="E20" i="16"/>
  <c r="D20" i="16"/>
  <c r="L19" i="16"/>
  <c r="K19" i="16"/>
  <c r="J19" i="16"/>
  <c r="I19" i="16"/>
  <c r="G19" i="16"/>
  <c r="F19" i="16"/>
  <c r="E19" i="16"/>
  <c r="D19" i="16"/>
  <c r="L18" i="16"/>
  <c r="K18" i="16"/>
  <c r="J18" i="16"/>
  <c r="I18" i="16"/>
  <c r="G18" i="16"/>
  <c r="F18" i="16"/>
  <c r="E18" i="16"/>
  <c r="D18" i="16"/>
  <c r="L17" i="16"/>
  <c r="K17" i="16"/>
  <c r="J17" i="16"/>
  <c r="I17" i="16"/>
  <c r="G17" i="16"/>
  <c r="F17" i="16"/>
  <c r="E17" i="16"/>
  <c r="D17" i="16"/>
  <c r="L16" i="16"/>
  <c r="K16" i="16"/>
  <c r="J16" i="16"/>
  <c r="I16" i="16"/>
  <c r="G16" i="16"/>
  <c r="F16" i="16"/>
  <c r="E16" i="16"/>
  <c r="D16" i="16"/>
  <c r="L15" i="16"/>
  <c r="K15" i="16"/>
  <c r="J15" i="16"/>
  <c r="I15" i="16"/>
  <c r="G15" i="16"/>
  <c r="F15" i="16"/>
  <c r="E15" i="16"/>
  <c r="D15" i="16"/>
  <c r="L14" i="16"/>
  <c r="K14" i="16"/>
  <c r="J14" i="16"/>
  <c r="I14" i="16"/>
  <c r="G14" i="16"/>
  <c r="F14" i="16"/>
  <c r="E14" i="16"/>
  <c r="D14" i="16"/>
  <c r="L13" i="16"/>
  <c r="K13" i="16"/>
  <c r="J13" i="16"/>
  <c r="I13" i="16"/>
  <c r="G13" i="16"/>
  <c r="F13" i="16"/>
  <c r="E13" i="16"/>
  <c r="D13" i="16"/>
  <c r="L12" i="16"/>
  <c r="K12" i="16"/>
  <c r="J12" i="16"/>
  <c r="I12" i="16"/>
  <c r="G12" i="16"/>
  <c r="F12" i="16"/>
  <c r="E12" i="16"/>
  <c r="D12" i="16"/>
  <c r="L11" i="16"/>
  <c r="K11" i="16"/>
  <c r="J11" i="16"/>
  <c r="I11" i="16"/>
  <c r="G11" i="16"/>
  <c r="F11" i="16"/>
  <c r="E11" i="16"/>
  <c r="D11" i="16"/>
  <c r="L10" i="16"/>
  <c r="K10" i="16"/>
  <c r="J10" i="16"/>
  <c r="I10" i="16"/>
  <c r="G10" i="16"/>
  <c r="F10" i="16"/>
  <c r="E10" i="16"/>
  <c r="D10" i="16"/>
  <c r="L9" i="16"/>
  <c r="K9" i="16"/>
  <c r="J9" i="16"/>
  <c r="I9" i="16"/>
  <c r="G9" i="16"/>
  <c r="F9" i="16"/>
  <c r="E9" i="16"/>
  <c r="D9" i="16"/>
  <c r="L8" i="16"/>
  <c r="K8" i="16"/>
  <c r="J8" i="16"/>
  <c r="I8" i="16"/>
  <c r="G8" i="16"/>
  <c r="F8" i="16"/>
  <c r="E8" i="16"/>
  <c r="D8" i="16"/>
  <c r="L7" i="16"/>
  <c r="K7" i="16"/>
  <c r="J7" i="16"/>
  <c r="I7" i="16"/>
  <c r="G7" i="16"/>
  <c r="F7" i="16"/>
  <c r="E7" i="16"/>
  <c r="D7" i="16"/>
  <c r="L6" i="16"/>
  <c r="K6" i="16"/>
  <c r="J6" i="16"/>
  <c r="I6" i="16"/>
  <c r="G6" i="16"/>
  <c r="F6" i="16"/>
  <c r="E6" i="16"/>
  <c r="D6" i="16"/>
  <c r="L5" i="16"/>
  <c r="K5" i="16"/>
  <c r="J5" i="16"/>
  <c r="I5" i="16"/>
  <c r="G5" i="16"/>
  <c r="F5" i="16"/>
  <c r="E5" i="16"/>
  <c r="D5" i="16"/>
  <c r="D41" i="16" l="1"/>
  <c r="H72" i="16"/>
  <c r="C72" i="16"/>
  <c r="H53" i="16"/>
  <c r="C53" i="16"/>
  <c r="H62" i="16"/>
  <c r="C62" i="16"/>
  <c r="H65" i="16"/>
  <c r="C65" i="16"/>
  <c r="H57" i="16"/>
  <c r="C57" i="16"/>
  <c r="H59" i="16"/>
  <c r="C59" i="16"/>
  <c r="H68" i="16"/>
  <c r="C68" i="16"/>
  <c r="H44" i="16"/>
  <c r="C44" i="16"/>
  <c r="H61" i="16"/>
  <c r="C61" i="16"/>
  <c r="H64" i="16"/>
  <c r="C64" i="16"/>
  <c r="H56" i="16"/>
  <c r="C56" i="16"/>
  <c r="H45" i="16"/>
  <c r="C45" i="16"/>
  <c r="H54" i="16"/>
  <c r="C54" i="16"/>
  <c r="H46" i="16"/>
  <c r="C46" i="16"/>
  <c r="H67" i="16"/>
  <c r="C67" i="16"/>
  <c r="H43" i="16"/>
  <c r="C43" i="16"/>
  <c r="H51" i="16"/>
  <c r="C51" i="16"/>
  <c r="H60" i="16"/>
  <c r="C60" i="16"/>
  <c r="B72" i="16" l="1"/>
  <c r="B68" i="16"/>
  <c r="B67" i="16"/>
  <c r="B64" i="16"/>
  <c r="B61" i="16"/>
  <c r="B59" i="16"/>
  <c r="B51" i="16"/>
  <c r="B46" i="16"/>
  <c r="B43" i="16"/>
  <c r="B62" i="16"/>
  <c r="B44" i="16"/>
  <c r="B53" i="16"/>
  <c r="B54" i="16"/>
  <c r="B45" i="16"/>
  <c r="B56" i="16"/>
  <c r="B57" i="16"/>
  <c r="B65" i="16"/>
  <c r="H32" i="16"/>
  <c r="C32" i="16"/>
  <c r="H34" i="16"/>
  <c r="C34" i="16"/>
  <c r="H15" i="16"/>
  <c r="C15" i="16"/>
  <c r="H12" i="16"/>
  <c r="C12" i="16"/>
  <c r="H29" i="16"/>
  <c r="C29" i="16"/>
  <c r="H35" i="16"/>
  <c r="C35" i="16"/>
  <c r="H33" i="16"/>
  <c r="C33" i="16"/>
  <c r="H21" i="16"/>
  <c r="C21" i="16"/>
  <c r="H26" i="16"/>
  <c r="C26" i="16"/>
  <c r="H16" i="16"/>
  <c r="C16" i="16"/>
  <c r="H25" i="16"/>
  <c r="C25" i="16"/>
  <c r="H28" i="16"/>
  <c r="C28" i="16"/>
  <c r="H18" i="16"/>
  <c r="C18" i="16"/>
  <c r="H20" i="16"/>
  <c r="C20" i="16"/>
  <c r="H22" i="16"/>
  <c r="C22" i="16"/>
  <c r="H10" i="16"/>
  <c r="C10" i="16"/>
  <c r="H31" i="16"/>
  <c r="C31" i="16"/>
  <c r="H7" i="16"/>
  <c r="C7" i="16"/>
  <c r="H24" i="16"/>
  <c r="C24" i="16"/>
  <c r="H27" i="16"/>
  <c r="C27" i="16"/>
  <c r="H19" i="16"/>
  <c r="C19" i="16"/>
  <c r="H8" i="16"/>
  <c r="C8" i="16"/>
  <c r="H11" i="16"/>
  <c r="C11" i="16"/>
  <c r="H17" i="16"/>
  <c r="C17" i="16"/>
  <c r="H9" i="16"/>
  <c r="C9" i="16"/>
  <c r="H30" i="16"/>
  <c r="C30" i="16"/>
  <c r="H6" i="16"/>
  <c r="C6" i="16"/>
  <c r="H14" i="16"/>
  <c r="C14" i="16"/>
  <c r="H23" i="16"/>
  <c r="C23" i="16"/>
  <c r="H5" i="16"/>
  <c r="C5" i="16"/>
  <c r="H71" i="16"/>
  <c r="C71" i="16"/>
  <c r="H70" i="16"/>
  <c r="C70" i="16"/>
  <c r="H69" i="16"/>
  <c r="C69" i="16"/>
  <c r="H66" i="16"/>
  <c r="C66" i="16"/>
  <c r="H63" i="16"/>
  <c r="C63" i="16"/>
  <c r="B60" i="16"/>
  <c r="H58" i="16"/>
  <c r="C58" i="16"/>
  <c r="H55" i="16"/>
  <c r="C55" i="16"/>
  <c r="H52" i="16"/>
  <c r="C52" i="16"/>
  <c r="H50" i="16"/>
  <c r="C50" i="16"/>
  <c r="H49" i="16"/>
  <c r="C49" i="16"/>
  <c r="H48" i="16"/>
  <c r="C48" i="16"/>
  <c r="H47" i="16"/>
  <c r="C47" i="16"/>
  <c r="H42" i="16"/>
  <c r="C42" i="16"/>
  <c r="L41" i="16"/>
  <c r="K41" i="16"/>
  <c r="J41" i="16"/>
  <c r="I41" i="16"/>
  <c r="G41" i="16"/>
  <c r="F41" i="16"/>
  <c r="E41" i="16"/>
  <c r="H13" i="16"/>
  <c r="C13" i="16"/>
  <c r="L4" i="16"/>
  <c r="K4" i="16"/>
  <c r="J4" i="16"/>
  <c r="I4" i="16"/>
  <c r="G4" i="16"/>
  <c r="F4" i="16"/>
  <c r="E4" i="16"/>
  <c r="D4" i="16"/>
  <c r="C41" i="16" l="1"/>
  <c r="B71" i="16"/>
  <c r="B69" i="16"/>
  <c r="B63" i="16"/>
  <c r="B58" i="16"/>
  <c r="B55" i="16"/>
  <c r="B50" i="16"/>
  <c r="B47" i="16"/>
  <c r="B52" i="16"/>
  <c r="H41" i="16"/>
  <c r="B42" i="16"/>
  <c r="B49" i="16"/>
  <c r="B48" i="16"/>
  <c r="B66" i="16"/>
  <c r="B70" i="16"/>
  <c r="B5" i="16"/>
  <c r="B14" i="16"/>
  <c r="B7" i="16"/>
  <c r="B16" i="16"/>
  <c r="B32" i="16"/>
  <c r="B19" i="16"/>
  <c r="B8" i="16"/>
  <c r="B13" i="16"/>
  <c r="B9" i="16"/>
  <c r="B27" i="16"/>
  <c r="B33" i="16"/>
  <c r="B28" i="16"/>
  <c r="B34" i="16"/>
  <c r="B23" i="16"/>
  <c r="B17" i="16"/>
  <c r="B24" i="16"/>
  <c r="B30" i="16"/>
  <c r="B11" i="16"/>
  <c r="B25" i="16"/>
  <c r="B31" i="16"/>
  <c r="B35" i="16"/>
  <c r="B15" i="16"/>
  <c r="B21" i="16"/>
  <c r="B29" i="16"/>
  <c r="B6" i="16"/>
  <c r="H4" i="16"/>
  <c r="B26" i="16"/>
  <c r="B12" i="16"/>
  <c r="B22" i="16"/>
  <c r="B18" i="16"/>
  <c r="B10" i="16"/>
  <c r="B20" i="16"/>
  <c r="C4" i="16"/>
  <c r="B41" i="16" l="1"/>
  <c r="B4" i="16"/>
  <c r="H13" i="1" l="1"/>
  <c r="H53" i="1" l="1"/>
  <c r="C53" i="1"/>
  <c r="B53" i="1" l="1"/>
  <c r="C45" i="1" l="1"/>
  <c r="C43" i="1"/>
  <c r="C56" i="1"/>
  <c r="L4" i="1" l="1"/>
  <c r="K4" i="1"/>
  <c r="J4" i="1"/>
  <c r="I4" i="1"/>
  <c r="G4" i="1"/>
  <c r="F4" i="1"/>
  <c r="E4" i="1"/>
  <c r="D4" i="1"/>
  <c r="H43" i="1" l="1"/>
  <c r="H44" i="1"/>
  <c r="H45" i="1"/>
  <c r="H46" i="1"/>
  <c r="H47" i="1"/>
  <c r="H48" i="1"/>
  <c r="H49" i="1"/>
  <c r="H50" i="1"/>
  <c r="H51" i="1"/>
  <c r="H52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C46" i="1"/>
  <c r="C47" i="1"/>
  <c r="C48" i="1"/>
  <c r="C49" i="1"/>
  <c r="C50" i="1"/>
  <c r="C51" i="1"/>
  <c r="C52" i="1"/>
  <c r="C54" i="1"/>
  <c r="C55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H6" i="1"/>
  <c r="H7" i="1"/>
  <c r="B7" i="1" s="1"/>
  <c r="H8" i="1"/>
  <c r="H9" i="1"/>
  <c r="H10" i="1"/>
  <c r="H11" i="1"/>
  <c r="H12" i="1"/>
  <c r="B12" i="1" s="1"/>
  <c r="H14" i="1"/>
  <c r="B14" i="1" s="1"/>
  <c r="H15" i="1"/>
  <c r="H16" i="1"/>
  <c r="H17" i="1"/>
  <c r="B17" i="1" s="1"/>
  <c r="H18" i="1"/>
  <c r="H19" i="1"/>
  <c r="B19" i="1" s="1"/>
  <c r="H20" i="1"/>
  <c r="H21" i="1"/>
  <c r="B21" i="1" s="1"/>
  <c r="H22" i="1"/>
  <c r="B22" i="1" s="1"/>
  <c r="H23" i="1"/>
  <c r="H24" i="1"/>
  <c r="H25" i="1"/>
  <c r="H26" i="1"/>
  <c r="H27" i="1"/>
  <c r="H28" i="1"/>
  <c r="H29" i="1"/>
  <c r="B29" i="1" s="1"/>
  <c r="H30" i="1"/>
  <c r="H31" i="1"/>
  <c r="H32" i="1"/>
  <c r="B32" i="1" s="1"/>
  <c r="H33" i="1"/>
  <c r="B33" i="1" s="1"/>
  <c r="H34" i="1"/>
  <c r="H35" i="1"/>
  <c r="B35" i="1" s="1"/>
  <c r="B13" i="1"/>
  <c r="B26" i="1" l="1"/>
  <c r="B34" i="1"/>
  <c r="B20" i="1"/>
  <c r="B11" i="1"/>
  <c r="B10" i="1"/>
  <c r="B9" i="1"/>
  <c r="B8" i="1"/>
  <c r="B31" i="1"/>
  <c r="B18" i="1"/>
  <c r="B15" i="1"/>
  <c r="B16" i="1"/>
  <c r="B30" i="1"/>
  <c r="B28" i="1"/>
  <c r="B27" i="1"/>
  <c r="B25" i="1"/>
  <c r="B6" i="1"/>
  <c r="B24" i="1"/>
  <c r="H5" i="1"/>
  <c r="H4" i="1" s="1"/>
  <c r="C5" i="1" l="1"/>
  <c r="C4" i="1" s="1"/>
  <c r="B4" i="1" s="1"/>
  <c r="B43" i="1" l="1"/>
  <c r="B44" i="1"/>
  <c r="B45" i="1"/>
  <c r="B49" i="1"/>
  <c r="B50" i="1"/>
  <c r="B52" i="1"/>
  <c r="B55" i="1"/>
  <c r="B56" i="1"/>
  <c r="B57" i="1"/>
  <c r="B58" i="1"/>
  <c r="B59" i="1"/>
  <c r="B60" i="1"/>
  <c r="B62" i="1"/>
  <c r="B63" i="1"/>
  <c r="B64" i="1"/>
  <c r="B65" i="1"/>
  <c r="B66" i="1"/>
  <c r="B68" i="1"/>
  <c r="B69" i="1"/>
  <c r="B70" i="1"/>
  <c r="B71" i="1"/>
  <c r="B72" i="1"/>
  <c r="B46" i="1" l="1"/>
  <c r="B61" i="1"/>
  <c r="B51" i="1"/>
  <c r="B54" i="1"/>
  <c r="B47" i="1"/>
  <c r="B48" i="1"/>
  <c r="B67" i="1"/>
  <c r="L41" i="1" l="1"/>
  <c r="K41" i="1"/>
  <c r="J41" i="1"/>
  <c r="I41" i="1"/>
  <c r="G41" i="1"/>
  <c r="F41" i="1"/>
  <c r="E41" i="1"/>
  <c r="D41" i="1"/>
  <c r="H42" i="1" l="1"/>
  <c r="H41" i="1" l="1"/>
  <c r="B23" i="1" l="1"/>
  <c r="C42" i="1" l="1"/>
  <c r="B42" i="1" l="1"/>
  <c r="C41" i="1"/>
  <c r="B5" i="1"/>
  <c r="B41" i="1" l="1"/>
  <c r="M6" i="1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L1118" authorId="0" shapeId="0" xr:uid="{12EAB823-5C93-4682-AD9F-F09278E97EF3}">
      <text>
        <r>
          <rPr>
            <sz val="9"/>
            <color rgb="FF000000"/>
            <rFont val="돋움"/>
            <family val="3"/>
            <charset val="129"/>
          </rPr>
          <t>공급</t>
        </r>
        <r>
          <rPr>
            <sz val="9"/>
            <color rgb="FF000000"/>
            <rFont val="Tahoma"/>
            <family val="2"/>
          </rPr>
          <t>/</t>
        </r>
        <r>
          <rPr>
            <sz val="9"/>
            <color rgb="FF000000"/>
            <rFont val="돋움"/>
            <family val="3"/>
            <charset val="129"/>
          </rPr>
          <t>전용</t>
        </r>
        <r>
          <rPr>
            <sz val="9"/>
            <color rgb="FF000000"/>
            <rFont val="Tahoma"/>
            <family val="2"/>
          </rPr>
          <t xml:space="preserve"> : 58.14</t>
        </r>
        <r>
          <rPr>
            <sz val="9"/>
            <color rgb="FF000000"/>
            <rFont val="돋움"/>
            <family val="3"/>
            <charset val="129"/>
          </rPr>
          <t>㎡</t>
        </r>
        <r>
          <rPr>
            <sz val="9"/>
            <color rgb="FF000000"/>
            <rFont val="Tahoma"/>
            <family val="2"/>
          </rPr>
          <t>/ 46.95</t>
        </r>
        <r>
          <rPr>
            <sz val="9"/>
            <color rgb="FF000000"/>
            <rFont val="돋움"/>
            <family val="3"/>
            <charset val="129"/>
          </rPr>
          <t>㎡</t>
        </r>
      </text>
    </comment>
    <comment ref="L1119" authorId="0" shapeId="0" xr:uid="{AB8E44AA-503C-40AE-8DB4-63EE4F427BC6}">
      <text>
        <r>
          <rPr>
            <sz val="9"/>
            <color rgb="FF000000"/>
            <rFont val="돋움"/>
            <family val="3"/>
            <charset val="129"/>
          </rPr>
          <t>공급</t>
        </r>
        <r>
          <rPr>
            <sz val="9"/>
            <color rgb="FF000000"/>
            <rFont val="Tahoma"/>
            <family val="2"/>
          </rPr>
          <t>/</t>
        </r>
        <r>
          <rPr>
            <sz val="9"/>
            <color rgb="FF000000"/>
            <rFont val="돋움"/>
            <family val="3"/>
            <charset val="129"/>
          </rPr>
          <t>전용</t>
        </r>
        <r>
          <rPr>
            <sz val="9"/>
            <color rgb="FF000000"/>
            <rFont val="Tahoma"/>
            <family val="2"/>
          </rPr>
          <t xml:space="preserve"> : 76.58</t>
        </r>
        <r>
          <rPr>
            <sz val="9"/>
            <color rgb="FF000000"/>
            <rFont val="돋움"/>
            <family val="3"/>
            <charset val="129"/>
          </rPr>
          <t>㎡</t>
        </r>
        <r>
          <rPr>
            <sz val="9"/>
            <color rgb="FF000000"/>
            <rFont val="Tahoma"/>
            <family val="2"/>
          </rPr>
          <t>/ 59.03</t>
        </r>
        <r>
          <rPr>
            <sz val="9"/>
            <color rgb="FF000000"/>
            <rFont val="돋움"/>
            <family val="3"/>
            <charset val="129"/>
          </rPr>
          <t>㎡</t>
        </r>
      </text>
    </comment>
    <comment ref="L1121" authorId="0" shapeId="0" xr:uid="{0302EA47-A7DF-431A-B7C6-B3E65D8F55DD}">
      <text>
        <r>
          <rPr>
            <sz val="9"/>
            <color rgb="FF000000"/>
            <rFont val="돋움"/>
            <family val="3"/>
            <charset val="129"/>
          </rPr>
          <t>공급</t>
        </r>
        <r>
          <rPr>
            <sz val="9"/>
            <color rgb="FF000000"/>
            <rFont val="Tahoma"/>
            <family val="2"/>
          </rPr>
          <t>/</t>
        </r>
        <r>
          <rPr>
            <sz val="9"/>
            <color rgb="FF000000"/>
            <rFont val="돋움"/>
            <family val="3"/>
            <charset val="129"/>
          </rPr>
          <t>전용</t>
        </r>
        <r>
          <rPr>
            <sz val="9"/>
            <color rgb="FF000000"/>
            <rFont val="Tahoma"/>
            <family val="2"/>
          </rPr>
          <t xml:space="preserve"> :     </t>
        </r>
        <r>
          <rPr>
            <sz val="9"/>
            <color rgb="FF000000"/>
            <rFont val="돋움"/>
            <family val="3"/>
            <charset val="129"/>
          </rPr>
          <t>㎡</t>
        </r>
        <r>
          <rPr>
            <sz val="9"/>
            <color rgb="FF000000"/>
            <rFont val="Tahoma"/>
            <family val="2"/>
          </rPr>
          <t xml:space="preserve">/    </t>
        </r>
        <r>
          <rPr>
            <sz val="9"/>
            <color rgb="FF000000"/>
            <rFont val="돋움"/>
            <family val="3"/>
            <charset val="129"/>
          </rPr>
          <t>㎡</t>
        </r>
      </text>
    </comment>
    <comment ref="L1122" authorId="0" shapeId="0" xr:uid="{AA96EE74-4C95-4329-8B99-94CDB73E6687}">
      <text>
        <r>
          <rPr>
            <sz val="9"/>
            <color rgb="FF000000"/>
            <rFont val="돋움"/>
            <family val="3"/>
            <charset val="129"/>
          </rPr>
          <t>공급</t>
        </r>
        <r>
          <rPr>
            <sz val="9"/>
            <color rgb="FF000000"/>
            <rFont val="Tahoma"/>
            <family val="2"/>
          </rPr>
          <t>/</t>
        </r>
        <r>
          <rPr>
            <sz val="9"/>
            <color rgb="FF000000"/>
            <rFont val="돋움"/>
            <family val="3"/>
            <charset val="129"/>
          </rPr>
          <t>전용</t>
        </r>
        <r>
          <rPr>
            <sz val="9"/>
            <color rgb="FF000000"/>
            <rFont val="Tahoma"/>
            <family val="2"/>
          </rPr>
          <t xml:space="preserve"> :     </t>
        </r>
        <r>
          <rPr>
            <sz val="9"/>
            <color rgb="FF000000"/>
            <rFont val="돋움"/>
            <family val="3"/>
            <charset val="129"/>
          </rPr>
          <t>㎡</t>
        </r>
        <r>
          <rPr>
            <sz val="9"/>
            <color rgb="FF000000"/>
            <rFont val="Tahoma"/>
            <family val="2"/>
          </rPr>
          <t xml:space="preserve">/    </t>
        </r>
        <r>
          <rPr>
            <sz val="9"/>
            <color rgb="FF000000"/>
            <rFont val="돋움"/>
            <family val="3"/>
            <charset val="129"/>
          </rPr>
          <t>㎡</t>
        </r>
      </text>
    </comment>
    <comment ref="L1124" authorId="0" shapeId="0" xr:uid="{C4FB26C0-8916-41E6-95AE-537CDF8EAC7F}">
      <text>
        <r>
          <rPr>
            <sz val="9"/>
            <color rgb="FF000000"/>
            <rFont val="돋움"/>
            <family val="3"/>
            <charset val="129"/>
          </rPr>
          <t>공급</t>
        </r>
        <r>
          <rPr>
            <sz val="9"/>
            <color rgb="FF000000"/>
            <rFont val="Tahoma"/>
            <family val="2"/>
          </rPr>
          <t>/</t>
        </r>
        <r>
          <rPr>
            <sz val="9"/>
            <color rgb="FF000000"/>
            <rFont val="돋움"/>
            <family val="3"/>
            <charset val="129"/>
          </rPr>
          <t>전용</t>
        </r>
        <r>
          <rPr>
            <sz val="9"/>
            <color rgb="FF000000"/>
            <rFont val="Tahoma"/>
            <family val="2"/>
          </rPr>
          <t xml:space="preserve"> :     </t>
        </r>
        <r>
          <rPr>
            <sz val="9"/>
            <color rgb="FF000000"/>
            <rFont val="돋움"/>
            <family val="3"/>
            <charset val="129"/>
          </rPr>
          <t>㎡</t>
        </r>
        <r>
          <rPr>
            <sz val="9"/>
            <color rgb="FF000000"/>
            <rFont val="Tahoma"/>
            <family val="2"/>
          </rPr>
          <t xml:space="preserve">/    </t>
        </r>
        <r>
          <rPr>
            <sz val="9"/>
            <color rgb="FF000000"/>
            <rFont val="돋움"/>
            <family val="3"/>
            <charset val="129"/>
          </rPr>
          <t>㎡</t>
        </r>
      </text>
    </comment>
    <comment ref="L1126" authorId="0" shapeId="0" xr:uid="{18D7125D-122B-4C69-A109-F0654C934B85}">
      <text>
        <r>
          <rPr>
            <sz val="9"/>
            <color rgb="FF000000"/>
            <rFont val="돋움"/>
            <family val="3"/>
            <charset val="129"/>
          </rPr>
          <t>공급</t>
        </r>
        <r>
          <rPr>
            <sz val="9"/>
            <color rgb="FF000000"/>
            <rFont val="Tahoma"/>
            <family val="2"/>
          </rPr>
          <t>/</t>
        </r>
        <r>
          <rPr>
            <sz val="9"/>
            <color rgb="FF000000"/>
            <rFont val="돋움"/>
            <family val="3"/>
            <charset val="129"/>
          </rPr>
          <t>전용</t>
        </r>
        <r>
          <rPr>
            <sz val="9"/>
            <color rgb="FF000000"/>
            <rFont val="Tahoma"/>
            <family val="2"/>
          </rPr>
          <t xml:space="preserve"> :     </t>
        </r>
        <r>
          <rPr>
            <sz val="9"/>
            <color rgb="FF000000"/>
            <rFont val="돋움"/>
            <family val="3"/>
            <charset val="129"/>
          </rPr>
          <t>㎡</t>
        </r>
        <r>
          <rPr>
            <sz val="9"/>
            <color rgb="FF000000"/>
            <rFont val="Tahoma"/>
            <family val="2"/>
          </rPr>
          <t xml:space="preserve">/    </t>
        </r>
        <r>
          <rPr>
            <sz val="9"/>
            <color rgb="FF000000"/>
            <rFont val="돋움"/>
            <family val="3"/>
            <charset val="129"/>
          </rPr>
          <t>㎡</t>
        </r>
      </text>
    </comment>
    <comment ref="L1127" authorId="0" shapeId="0" xr:uid="{44B3B5E9-24B4-45B2-832C-AEBE327061C8}">
      <text>
        <r>
          <rPr>
            <sz val="9"/>
            <color rgb="FF000000"/>
            <rFont val="돋움"/>
            <family val="3"/>
            <charset val="129"/>
          </rPr>
          <t>공급</t>
        </r>
        <r>
          <rPr>
            <sz val="9"/>
            <color rgb="FF000000"/>
            <rFont val="Tahoma"/>
            <family val="2"/>
          </rPr>
          <t>/</t>
        </r>
        <r>
          <rPr>
            <sz val="9"/>
            <color rgb="FF000000"/>
            <rFont val="돋움"/>
            <family val="3"/>
            <charset val="129"/>
          </rPr>
          <t>전용</t>
        </r>
        <r>
          <rPr>
            <sz val="9"/>
            <color rgb="FF000000"/>
            <rFont val="Tahoma"/>
            <family val="2"/>
          </rPr>
          <t xml:space="preserve"> :     </t>
        </r>
        <r>
          <rPr>
            <sz val="9"/>
            <color rgb="FF000000"/>
            <rFont val="돋움"/>
            <family val="3"/>
            <charset val="129"/>
          </rPr>
          <t>㎡</t>
        </r>
        <r>
          <rPr>
            <sz val="9"/>
            <color rgb="FF000000"/>
            <rFont val="Tahoma"/>
            <family val="2"/>
          </rPr>
          <t xml:space="preserve">/    </t>
        </r>
        <r>
          <rPr>
            <sz val="9"/>
            <color rgb="FF000000"/>
            <rFont val="돋움"/>
            <family val="3"/>
            <charset val="129"/>
          </rPr>
          <t>㎡</t>
        </r>
      </text>
    </comment>
    <comment ref="L1128" authorId="0" shapeId="0" xr:uid="{5B27A992-50D4-4185-90BA-D4C18275BA09}">
      <text>
        <r>
          <rPr>
            <sz val="9"/>
            <color rgb="FF000000"/>
            <rFont val="돋움"/>
            <family val="3"/>
            <charset val="129"/>
          </rPr>
          <t>공급</t>
        </r>
        <r>
          <rPr>
            <sz val="9"/>
            <color rgb="FF000000"/>
            <rFont val="Tahoma"/>
            <family val="2"/>
          </rPr>
          <t>/</t>
        </r>
        <r>
          <rPr>
            <sz val="9"/>
            <color rgb="FF000000"/>
            <rFont val="돋움"/>
            <family val="3"/>
            <charset val="129"/>
          </rPr>
          <t>전용</t>
        </r>
        <r>
          <rPr>
            <sz val="9"/>
            <color rgb="FF000000"/>
            <rFont val="Tahoma"/>
            <family val="2"/>
          </rPr>
          <t xml:space="preserve"> :     </t>
        </r>
        <r>
          <rPr>
            <sz val="9"/>
            <color rgb="FF000000"/>
            <rFont val="돋움"/>
            <family val="3"/>
            <charset val="129"/>
          </rPr>
          <t>㎡</t>
        </r>
        <r>
          <rPr>
            <sz val="9"/>
            <color rgb="FF000000"/>
            <rFont val="Tahoma"/>
            <family val="2"/>
          </rPr>
          <t xml:space="preserve">/    </t>
        </r>
        <r>
          <rPr>
            <sz val="9"/>
            <color rgb="FF000000"/>
            <rFont val="돋움"/>
            <family val="3"/>
            <charset val="129"/>
          </rPr>
          <t>㎡</t>
        </r>
      </text>
    </comment>
    <comment ref="L1130" authorId="0" shapeId="0" xr:uid="{36C3CF2A-DC23-4C82-8290-4E6924D34BD2}">
      <text>
        <r>
          <rPr>
            <sz val="9"/>
            <color rgb="FF000000"/>
            <rFont val="돋움"/>
            <family val="3"/>
            <charset val="129"/>
          </rPr>
          <t>공급</t>
        </r>
        <r>
          <rPr>
            <sz val="9"/>
            <color rgb="FF000000"/>
            <rFont val="Tahoma"/>
            <family val="2"/>
          </rPr>
          <t>/</t>
        </r>
        <r>
          <rPr>
            <sz val="9"/>
            <color rgb="FF000000"/>
            <rFont val="돋움"/>
            <family val="3"/>
            <charset val="129"/>
          </rPr>
          <t>전용</t>
        </r>
        <r>
          <rPr>
            <sz val="9"/>
            <color rgb="FF000000"/>
            <rFont val="Tahoma"/>
            <family val="2"/>
          </rPr>
          <t xml:space="preserve"> :     </t>
        </r>
        <r>
          <rPr>
            <sz val="9"/>
            <color rgb="FF000000"/>
            <rFont val="돋움"/>
            <family val="3"/>
            <charset val="129"/>
          </rPr>
          <t>㎡</t>
        </r>
        <r>
          <rPr>
            <sz val="9"/>
            <color rgb="FF000000"/>
            <rFont val="Tahoma"/>
            <family val="2"/>
          </rPr>
          <t xml:space="preserve">/    </t>
        </r>
        <r>
          <rPr>
            <sz val="9"/>
            <color rgb="FF000000"/>
            <rFont val="돋움"/>
            <family val="3"/>
            <charset val="129"/>
          </rPr>
          <t>㎡</t>
        </r>
      </text>
    </comment>
    <comment ref="L1131" authorId="0" shapeId="0" xr:uid="{4FE62444-195A-48BD-BF29-E17220695C3D}">
      <text>
        <r>
          <rPr>
            <sz val="9"/>
            <color rgb="FF000000"/>
            <rFont val="돋움"/>
            <family val="3"/>
            <charset val="129"/>
          </rPr>
          <t>공급</t>
        </r>
        <r>
          <rPr>
            <sz val="9"/>
            <color rgb="FF000000"/>
            <rFont val="Tahoma"/>
            <family val="2"/>
          </rPr>
          <t>/</t>
        </r>
        <r>
          <rPr>
            <sz val="9"/>
            <color rgb="FF000000"/>
            <rFont val="돋움"/>
            <family val="3"/>
            <charset val="129"/>
          </rPr>
          <t>전용</t>
        </r>
        <r>
          <rPr>
            <sz val="9"/>
            <color rgb="FF000000"/>
            <rFont val="Tahoma"/>
            <family val="2"/>
          </rPr>
          <t xml:space="preserve"> :     </t>
        </r>
        <r>
          <rPr>
            <sz val="9"/>
            <color rgb="FF000000"/>
            <rFont val="돋움"/>
            <family val="3"/>
            <charset val="129"/>
          </rPr>
          <t>㎡</t>
        </r>
        <r>
          <rPr>
            <sz val="9"/>
            <color rgb="FF000000"/>
            <rFont val="Tahoma"/>
            <family val="2"/>
          </rPr>
          <t xml:space="preserve">/    </t>
        </r>
        <r>
          <rPr>
            <sz val="9"/>
            <color rgb="FF000000"/>
            <rFont val="돋움"/>
            <family val="3"/>
            <charset val="129"/>
          </rPr>
          <t>㎡</t>
        </r>
      </text>
    </comment>
    <comment ref="L1133" authorId="0" shapeId="0" xr:uid="{E0C99C38-F629-4EC2-8332-63AF2093A7FE}">
      <text>
        <r>
          <rPr>
            <sz val="9"/>
            <color rgb="FF000000"/>
            <rFont val="돋움"/>
            <family val="3"/>
            <charset val="129"/>
          </rPr>
          <t>공급</t>
        </r>
        <r>
          <rPr>
            <sz val="9"/>
            <color rgb="FF000000"/>
            <rFont val="Tahoma"/>
            <family val="2"/>
          </rPr>
          <t>/</t>
        </r>
        <r>
          <rPr>
            <sz val="9"/>
            <color rgb="FF000000"/>
            <rFont val="돋움"/>
            <family val="3"/>
            <charset val="129"/>
          </rPr>
          <t>전용</t>
        </r>
        <r>
          <rPr>
            <sz val="9"/>
            <color rgb="FF000000"/>
            <rFont val="Tahoma"/>
            <family val="2"/>
          </rPr>
          <t xml:space="preserve"> : 99.3357 </t>
        </r>
        <r>
          <rPr>
            <sz val="9"/>
            <color rgb="FF000000"/>
            <rFont val="돋움"/>
            <family val="3"/>
            <charset val="129"/>
          </rPr>
          <t>㎡</t>
        </r>
        <r>
          <rPr>
            <sz val="9"/>
            <color rgb="FF000000"/>
            <rFont val="Tahoma"/>
            <family val="2"/>
          </rPr>
          <t>/    74.6595</t>
        </r>
        <r>
          <rPr>
            <sz val="9"/>
            <color rgb="FF000000"/>
            <rFont val="돋움"/>
            <family val="3"/>
            <charset val="129"/>
          </rPr>
          <t>㎡</t>
        </r>
      </text>
    </comment>
    <comment ref="L1134" authorId="0" shapeId="0" xr:uid="{5F1AE744-D6F5-4E5B-9EC7-AF98FA2E2833}">
      <text>
        <r>
          <rPr>
            <sz val="9"/>
            <color rgb="FF000000"/>
            <rFont val="돋움"/>
            <family val="3"/>
            <charset val="129"/>
          </rPr>
          <t>공급</t>
        </r>
        <r>
          <rPr>
            <sz val="9"/>
            <color rgb="FF000000"/>
            <rFont val="Tahoma"/>
            <family val="2"/>
          </rPr>
          <t>/</t>
        </r>
        <r>
          <rPr>
            <sz val="9"/>
            <color rgb="FF000000"/>
            <rFont val="돋움"/>
            <family val="3"/>
            <charset val="129"/>
          </rPr>
          <t>전용</t>
        </r>
        <r>
          <rPr>
            <sz val="9"/>
            <color rgb="FF000000"/>
            <rFont val="Tahoma"/>
            <family val="2"/>
          </rPr>
          <t xml:space="preserve"> : 109.3976</t>
        </r>
        <r>
          <rPr>
            <sz val="9"/>
            <color rgb="FF000000"/>
            <rFont val="돋움"/>
            <family val="3"/>
            <charset val="129"/>
          </rPr>
          <t>㎡</t>
        </r>
        <r>
          <rPr>
            <sz val="9"/>
            <color rgb="FF000000"/>
            <rFont val="Tahoma"/>
            <family val="2"/>
          </rPr>
          <t>/    84.7599</t>
        </r>
        <r>
          <rPr>
            <sz val="9"/>
            <color rgb="FF000000"/>
            <rFont val="돋움"/>
            <family val="3"/>
            <charset val="129"/>
          </rPr>
          <t>㎡</t>
        </r>
      </text>
    </comment>
    <comment ref="L1135" authorId="0" shapeId="0" xr:uid="{459EC27F-0761-4FB1-BB3D-E86EB303D1FF}">
      <text>
        <r>
          <rPr>
            <sz val="9"/>
            <color rgb="FF000000"/>
            <rFont val="돋움"/>
            <family val="3"/>
            <charset val="129"/>
          </rPr>
          <t>공급</t>
        </r>
        <r>
          <rPr>
            <sz val="9"/>
            <color rgb="FF000000"/>
            <rFont val="Tahoma"/>
            <family val="2"/>
          </rPr>
          <t>/</t>
        </r>
        <r>
          <rPr>
            <sz val="9"/>
            <color rgb="FF000000"/>
            <rFont val="돋움"/>
            <family val="3"/>
            <charset val="129"/>
          </rPr>
          <t>전용</t>
        </r>
        <r>
          <rPr>
            <sz val="9"/>
            <color rgb="FF000000"/>
            <rFont val="Tahoma"/>
            <family val="2"/>
          </rPr>
          <t xml:space="preserve"> : 110.5592</t>
        </r>
        <r>
          <rPr>
            <sz val="9"/>
            <color rgb="FF000000"/>
            <rFont val="돋움"/>
            <family val="3"/>
            <charset val="129"/>
          </rPr>
          <t>㎡</t>
        </r>
        <r>
          <rPr>
            <sz val="9"/>
            <color rgb="FF000000"/>
            <rFont val="Tahoma"/>
            <family val="2"/>
          </rPr>
          <t>/    84.9615</t>
        </r>
        <r>
          <rPr>
            <sz val="9"/>
            <color rgb="FF000000"/>
            <rFont val="돋움"/>
            <family val="3"/>
            <charset val="129"/>
          </rPr>
          <t>㎡</t>
        </r>
      </text>
    </comment>
  </commentList>
</comments>
</file>

<file path=xl/sharedStrings.xml><?xml version="1.0" encoding="utf-8"?>
<sst xmlns="http://schemas.openxmlformats.org/spreadsheetml/2006/main" count="2929" uniqueCount="1154">
  <si>
    <t>전용 85㎡초과</t>
  </si>
  <si>
    <t>계</t>
  </si>
  <si>
    <t>시군별</t>
  </si>
  <si>
    <t>전월대비
미분양
증감현황</t>
  </si>
  <si>
    <t>지역</t>
  </si>
  <si>
    <t>유형</t>
  </si>
  <si>
    <t>분양내용</t>
  </si>
  <si>
    <t>(민간
/공공)</t>
  </si>
  <si>
    <t>(임대
/분양)</t>
  </si>
  <si>
    <t>계약
마감일</t>
    <phoneticPr fontId="39" type="noConversion"/>
  </si>
  <si>
    <t>입주예정
(준공)월</t>
    <phoneticPr fontId="39" type="noConversion"/>
  </si>
  <si>
    <t>민간</t>
    <phoneticPr fontId="39" type="noConversion"/>
  </si>
  <si>
    <t>분양</t>
    <phoneticPr fontId="39" type="noConversion"/>
  </si>
  <si>
    <t>미준공</t>
    <phoneticPr fontId="39" type="noConversion"/>
  </si>
  <si>
    <t>전용 60-85㎡</t>
    <phoneticPr fontId="39" type="noConversion"/>
  </si>
  <si>
    <t>전용 40㎡이하</t>
    <phoneticPr fontId="39" type="noConversion"/>
  </si>
  <si>
    <t>전용 40-60㎡</t>
    <phoneticPr fontId="39" type="noConversion"/>
  </si>
  <si>
    <t>공공</t>
    <phoneticPr fontId="39" type="noConversion"/>
  </si>
  <si>
    <t>경기도</t>
    <phoneticPr fontId="39" type="noConversion"/>
  </si>
  <si>
    <t>남양주시</t>
  </si>
  <si>
    <t>김포시</t>
    <phoneticPr fontId="39" type="noConversion"/>
  </si>
  <si>
    <t>파주시</t>
    <phoneticPr fontId="39" type="noConversion"/>
  </si>
  <si>
    <t>의정부시</t>
    <phoneticPr fontId="39" type="noConversion"/>
  </si>
  <si>
    <t>양평군</t>
    <phoneticPr fontId="39" type="noConversion"/>
  </si>
  <si>
    <t>동두천시</t>
  </si>
  <si>
    <t>수원시</t>
  </si>
  <si>
    <t>용인시</t>
  </si>
  <si>
    <t>성남시</t>
  </si>
  <si>
    <t>화성시</t>
  </si>
  <si>
    <t>부천시</t>
  </si>
  <si>
    <t>안산시</t>
  </si>
  <si>
    <t>안양시</t>
  </si>
  <si>
    <t>시흥시</t>
  </si>
  <si>
    <t>김포시</t>
  </si>
  <si>
    <t>파주시</t>
  </si>
  <si>
    <t>의정부시</t>
  </si>
  <si>
    <t>광주시</t>
  </si>
  <si>
    <t>광명시</t>
  </si>
  <si>
    <t>하남시</t>
  </si>
  <si>
    <t>군포시</t>
  </si>
  <si>
    <t>오산시</t>
  </si>
  <si>
    <t>이천시</t>
  </si>
  <si>
    <t>구리시</t>
  </si>
  <si>
    <t>안성시</t>
  </si>
  <si>
    <t>의왕시</t>
  </si>
  <si>
    <t>포천시</t>
  </si>
  <si>
    <t>양평군</t>
  </si>
  <si>
    <t>여주시</t>
  </si>
  <si>
    <t>과천시</t>
  </si>
  <si>
    <t>가평군</t>
  </si>
  <si>
    <t>연천군</t>
  </si>
  <si>
    <t>이천시</t>
    <phoneticPr fontId="39" type="noConversion"/>
  </si>
  <si>
    <t>경기도</t>
    <phoneticPr fontId="39" type="noConversion"/>
  </si>
  <si>
    <t xml:space="preserve">                                                                         지  역  총  괄</t>
  </si>
  <si>
    <t>-</t>
    <phoneticPr fontId="39" type="noConversion"/>
  </si>
  <si>
    <t>분양</t>
    <phoneticPr fontId="40" type="noConversion"/>
  </si>
  <si>
    <t>민간</t>
    <phoneticPr fontId="40" type="noConversion"/>
  </si>
  <si>
    <t>준공</t>
    <phoneticPr fontId="39" type="noConversion"/>
  </si>
  <si>
    <t>58C</t>
    <phoneticPr fontId="39" type="noConversion"/>
  </si>
  <si>
    <t>58B</t>
    <phoneticPr fontId="39" type="noConversion"/>
  </si>
  <si>
    <t>58A</t>
    <phoneticPr fontId="39" type="noConversion"/>
  </si>
  <si>
    <t>분양</t>
    <phoneticPr fontId="42" type="noConversion"/>
  </si>
  <si>
    <t>국제자산신탁㈜</t>
    <phoneticPr fontId="39" type="noConversion"/>
  </si>
  <si>
    <t>대의건설</t>
    <phoneticPr fontId="39" type="noConversion"/>
  </si>
  <si>
    <t>양서면 용담리 704
(에델바움)</t>
    <phoneticPr fontId="39" type="noConversion"/>
  </si>
  <si>
    <t>미준공</t>
  </si>
  <si>
    <t>분양</t>
  </si>
  <si>
    <t>민간</t>
  </si>
  <si>
    <t>장기동</t>
    <phoneticPr fontId="39" type="noConversion"/>
  </si>
  <si>
    <t>미사지구</t>
    <phoneticPr fontId="39" type="noConversion"/>
  </si>
  <si>
    <t>미사지구 C1</t>
  </si>
  <si>
    <t>망월동</t>
    <phoneticPr fontId="39" type="noConversion"/>
  </si>
  <si>
    <t>옥정동</t>
    <phoneticPr fontId="39" type="noConversion"/>
  </si>
  <si>
    <t>쌍동리 252-7번지
(쌍동1지구 7BL)</t>
    <phoneticPr fontId="39" type="noConversion"/>
  </si>
  <si>
    <t>초월읍</t>
    <phoneticPr fontId="39" type="noConversion"/>
  </si>
  <si>
    <t>㈜한국자산신탁</t>
  </si>
  <si>
    <t>㈜한양</t>
  </si>
  <si>
    <t>문산읍 당동리 947일원</t>
    <phoneticPr fontId="39" type="noConversion"/>
  </si>
  <si>
    <t>문산읍</t>
  </si>
  <si>
    <t>경기도 화성시 봉담읍 상리 26-11
(코아루 카보드 줌 시티)</t>
    <phoneticPr fontId="39" type="noConversion"/>
  </si>
  <si>
    <t>봉담읍</t>
    <phoneticPr fontId="39" type="noConversion"/>
  </si>
  <si>
    <t>84D</t>
    <phoneticPr fontId="39" type="noConversion"/>
  </si>
  <si>
    <t>84C</t>
    <phoneticPr fontId="39" type="noConversion"/>
  </si>
  <si>
    <t>84B</t>
    <phoneticPr fontId="39" type="noConversion"/>
  </si>
  <si>
    <t>84A</t>
    <phoneticPr fontId="39" type="noConversion"/>
  </si>
  <si>
    <t>59A</t>
    <phoneticPr fontId="39" type="noConversion"/>
  </si>
  <si>
    <t>공공</t>
  </si>
  <si>
    <t>동탄2택지지구</t>
  </si>
  <si>
    <t>오산동</t>
    <phoneticPr fontId="39" type="noConversion"/>
  </si>
  <si>
    <t>84.9974C</t>
    <phoneticPr fontId="39" type="noConversion"/>
  </si>
  <si>
    <t>84.9380B</t>
    <phoneticPr fontId="39" type="noConversion"/>
  </si>
  <si>
    <t>84.9974A</t>
    <phoneticPr fontId="39" type="noConversion"/>
  </si>
  <si>
    <t>새솔동</t>
    <phoneticPr fontId="39" type="noConversion"/>
  </si>
  <si>
    <t>74B</t>
    <phoneticPr fontId="39" type="noConversion"/>
  </si>
  <si>
    <t>74A</t>
    <phoneticPr fontId="39" type="noConversion"/>
  </si>
  <si>
    <t>98-4 외 1필지(공간라움)</t>
    <phoneticPr fontId="39" type="noConversion"/>
  </si>
  <si>
    <t>의정부동</t>
    <phoneticPr fontId="39" type="noConversion"/>
  </si>
  <si>
    <t>고산지구</t>
    <phoneticPr fontId="39" type="noConversion"/>
  </si>
  <si>
    <t>436-4번지 외 2필지
(스카이파크)</t>
    <phoneticPr fontId="39" type="noConversion"/>
  </si>
  <si>
    <t>월산6 A-2 BL지구</t>
    <phoneticPr fontId="39" type="noConversion"/>
  </si>
  <si>
    <t>화도읍</t>
    <phoneticPr fontId="39" type="noConversion"/>
  </si>
  <si>
    <t>월산6 A-1 BL지구</t>
    <phoneticPr fontId="39" type="noConversion"/>
  </si>
  <si>
    <t>남양주시</t>
    <phoneticPr fontId="39" type="noConversion"/>
  </si>
  <si>
    <t>59B</t>
    <phoneticPr fontId="39" type="noConversion"/>
  </si>
  <si>
    <t>소사본동</t>
    <phoneticPr fontId="39" type="noConversion"/>
  </si>
  <si>
    <t xml:space="preserve">                                                                         지  역  총  괄</t>
    <phoneticPr fontId="39" type="noConversion"/>
  </si>
  <si>
    <t>요진개발㈜</t>
    <phoneticPr fontId="39" type="noConversion"/>
  </si>
  <si>
    <t>고양시 일산동구 풍동
655-18번지 일원
(요진 Y-HAUS)</t>
    <phoneticPr fontId="39" type="noConversion"/>
  </si>
  <si>
    <t>㈜생보부동산신탁</t>
    <phoneticPr fontId="39" type="noConversion"/>
  </si>
  <si>
    <t>합계</t>
    <phoneticPr fontId="39" type="noConversion"/>
  </si>
  <si>
    <t>규모별
(전용 ㎡)</t>
    <phoneticPr fontId="40" type="noConversion"/>
  </si>
  <si>
    <t>택지종류
(민간/공공)</t>
    <phoneticPr fontId="39" type="noConversion"/>
  </si>
  <si>
    <t>지구명
(00지구)</t>
    <phoneticPr fontId="39" type="noConversion"/>
  </si>
  <si>
    <t>준공여부
(준공/미준공)</t>
    <phoneticPr fontId="39" type="noConversion"/>
  </si>
  <si>
    <t>사업자
(전화번호)</t>
    <phoneticPr fontId="39" type="noConversion"/>
  </si>
  <si>
    <t>분양 
승인일</t>
    <phoneticPr fontId="39" type="noConversion"/>
  </si>
  <si>
    <t>경기도 용인시 처인구 이동읍 덕성리 
1267-8번지 외 1필지</t>
    <phoneticPr fontId="42" type="noConversion"/>
  </si>
  <si>
    <t>삼송지구</t>
    <phoneticPr fontId="39" type="noConversion"/>
  </si>
  <si>
    <t>경기도 김포시 장기동 1894-9
(김포한강신도시 Bc-04BL)</t>
    <phoneticPr fontId="39" type="noConversion"/>
  </si>
  <si>
    <t>쌍동1지구 7BL</t>
    <phoneticPr fontId="39" type="noConversion"/>
  </si>
  <si>
    <t>□ 경기도 민간/분양 미분양주택 현황(준공후)</t>
    <phoneticPr fontId="39" type="noConversion"/>
  </si>
  <si>
    <t>옥정지구D-1BL</t>
    <phoneticPr fontId="39" type="noConversion"/>
  </si>
  <si>
    <t>옥정지구</t>
  </si>
  <si>
    <t>옥정지구D-2BL</t>
    <phoneticPr fontId="39" type="noConversion"/>
  </si>
  <si>
    <t>옥정지구D-3BL</t>
    <phoneticPr fontId="39" type="noConversion"/>
  </si>
  <si>
    <t>84.3216A</t>
  </si>
  <si>
    <t>84.3216B</t>
  </si>
  <si>
    <t>안성시</t>
    <phoneticPr fontId="39" type="noConversion"/>
  </si>
  <si>
    <t>공도읍</t>
    <phoneticPr fontId="39" type="noConversion"/>
  </si>
  <si>
    <t>양기리 302-2번지</t>
    <phoneticPr fontId="39" type="noConversion"/>
  </si>
  <si>
    <t>양기2지구</t>
  </si>
  <si>
    <t>491-5
(의정부역 월드메르디앙 스마트시티)</t>
    <phoneticPr fontId="39" type="noConversion"/>
  </si>
  <si>
    <t>㈜무궁화신탁</t>
    <phoneticPr fontId="39" type="noConversion"/>
  </si>
  <si>
    <t>65.0781A</t>
  </si>
  <si>
    <t>65.4427B</t>
  </si>
  <si>
    <t>146-5
(이안 더 센트로)</t>
    <phoneticPr fontId="39" type="noConversion"/>
  </si>
  <si>
    <t>동두천시</t>
    <phoneticPr fontId="39" type="noConversion"/>
  </si>
  <si>
    <t>생연동</t>
    <phoneticPr fontId="39" type="noConversion"/>
  </si>
  <si>
    <t>경기도 동두천시 생연동 284</t>
    <phoneticPr fontId="39" type="noConversion"/>
  </si>
  <si>
    <t>대한토지신탁</t>
    <phoneticPr fontId="39" type="noConversion"/>
  </si>
  <si>
    <t>성남시</t>
    <phoneticPr fontId="39" type="noConversion"/>
  </si>
  <si>
    <t>옥정지구B-5BL</t>
    <phoneticPr fontId="39" type="noConversion"/>
  </si>
  <si>
    <t>84.9701 C1</t>
  </si>
  <si>
    <t>84.9701 C2</t>
  </si>
  <si>
    <t>84.9551 C3</t>
  </si>
  <si>
    <t>84.9551 C4</t>
  </si>
  <si>
    <t>84.9701 C5</t>
  </si>
  <si>
    <t>84.9701 C6</t>
  </si>
  <si>
    <t>84.9551 C8</t>
  </si>
  <si>
    <t>84.9701 C9</t>
  </si>
  <si>
    <t>84.9340 I1</t>
  </si>
  <si>
    <t>84.9340 I2</t>
  </si>
  <si>
    <t>84.9340 I5</t>
  </si>
  <si>
    <t>84.9340 I6</t>
  </si>
  <si>
    <t>84.9673 L1</t>
  </si>
  <si>
    <t>84.9673 L2</t>
  </si>
  <si>
    <t>옥정지구B-6BL</t>
    <phoneticPr fontId="39" type="noConversion"/>
  </si>
  <si>
    <t>84.9551 C7</t>
  </si>
  <si>
    <t>84.9701 C14</t>
  </si>
  <si>
    <t>84.9485 I7</t>
  </si>
  <si>
    <t>옥정지구B-7BL</t>
    <phoneticPr fontId="39" type="noConversion"/>
  </si>
  <si>
    <t>옥정</t>
  </si>
  <si>
    <t>옥정지구B-8BL</t>
    <phoneticPr fontId="39" type="noConversion"/>
  </si>
  <si>
    <t>84 C1</t>
  </si>
  <si>
    <t>84 C2</t>
  </si>
  <si>
    <t>84 C5</t>
  </si>
  <si>
    <t>84 C6</t>
  </si>
  <si>
    <t>84 C7</t>
  </si>
  <si>
    <t>84 C8</t>
  </si>
  <si>
    <t>84 C9</t>
  </si>
  <si>
    <t>84 L1</t>
  </si>
  <si>
    <t>84 L2</t>
  </si>
  <si>
    <t>84 C3</t>
  </si>
  <si>
    <t>84 C4</t>
  </si>
  <si>
    <t>옥정지구B-10BL</t>
    <phoneticPr fontId="39" type="noConversion"/>
  </si>
  <si>
    <t>84 C11</t>
  </si>
  <si>
    <t>84 C13</t>
  </si>
  <si>
    <t>94 I3</t>
  </si>
  <si>
    <t>84 I7</t>
  </si>
  <si>
    <t>㈜현대건설</t>
    <phoneticPr fontId="39" type="noConversion"/>
  </si>
  <si>
    <t>연천군</t>
    <phoneticPr fontId="39" type="noConversion"/>
  </si>
  <si>
    <t>전곡읍</t>
    <phoneticPr fontId="39" type="noConversion"/>
  </si>
  <si>
    <t>전곡리 85-12</t>
    <phoneticPr fontId="39" type="noConversion"/>
  </si>
  <si>
    <t>제일건설㈜
(062-234-3104)</t>
    <phoneticPr fontId="39" type="noConversion"/>
  </si>
  <si>
    <t>보라산업개발주식회사
(062-363-0808)</t>
    <phoneticPr fontId="39" type="noConversion"/>
  </si>
  <si>
    <t>전곡지구</t>
  </si>
  <si>
    <t>경기도 성남시 중원구 하대원동 147-5</t>
    <phoneticPr fontId="39" type="noConversion"/>
  </si>
  <si>
    <t>대우산업개발주식회사</t>
    <phoneticPr fontId="39" type="noConversion"/>
  </si>
  <si>
    <t>준공</t>
  </si>
  <si>
    <t>-</t>
  </si>
  <si>
    <t>양서면</t>
    <phoneticPr fontId="39" type="noConversion"/>
  </si>
  <si>
    <t>양평읍</t>
    <phoneticPr fontId="39" type="noConversion"/>
  </si>
  <si>
    <t>74A</t>
  </si>
  <si>
    <t>74B</t>
  </si>
  <si>
    <t>74C</t>
  </si>
  <si>
    <t>84A</t>
  </si>
  <si>
    <t>84B</t>
  </si>
  <si>
    <t>84C</t>
  </si>
  <si>
    <t>원종동</t>
    <phoneticPr fontId="39" type="noConversion"/>
  </si>
  <si>
    <t>316 외 1필지 주상복합
(원종역 아이원시티)
(건축허가과)</t>
    <phoneticPr fontId="39" type="noConversion"/>
  </si>
  <si>
    <t>70A</t>
    <phoneticPr fontId="39" type="noConversion"/>
  </si>
  <si>
    <t>70B</t>
    <phoneticPr fontId="39" type="noConversion"/>
  </si>
  <si>
    <t>73C</t>
    <phoneticPr fontId="39" type="noConversion"/>
  </si>
  <si>
    <t>74D</t>
    <phoneticPr fontId="39" type="noConversion"/>
  </si>
  <si>
    <t>74E</t>
    <phoneticPr fontId="39" type="noConversion"/>
  </si>
  <si>
    <t>75F</t>
    <phoneticPr fontId="39" type="noConversion"/>
  </si>
  <si>
    <t>76G</t>
    <phoneticPr fontId="39" type="noConversion"/>
  </si>
  <si>
    <t>84H</t>
    <phoneticPr fontId="39" type="noConversion"/>
  </si>
  <si>
    <t>70-7 외 6필지
(현대 프라힐스 소사역 더프라임)
(건축허가과)</t>
    <phoneticPr fontId="39" type="noConversion"/>
  </si>
  <si>
    <t>71B</t>
    <phoneticPr fontId="39" type="noConversion"/>
  </si>
  <si>
    <t>74C</t>
    <phoneticPr fontId="39" type="noConversion"/>
  </si>
  <si>
    <t>74EW</t>
    <phoneticPr fontId="39" type="noConversion"/>
  </si>
  <si>
    <t>74EE</t>
    <phoneticPr fontId="39" type="noConversion"/>
  </si>
  <si>
    <t>70-12 일원
(소사역 한라비발디 프레스티지 민영주택)
(건축허가과)</t>
    <phoneticPr fontId="39" type="noConversion"/>
  </si>
  <si>
    <t>60A</t>
    <phoneticPr fontId="39" type="noConversion"/>
  </si>
  <si>
    <t>60B</t>
    <phoneticPr fontId="39" type="noConversion"/>
  </si>
  <si>
    <t xml:space="preserve">경기도 용인시 기흥구 언남동 384-2번지 외 1필지 </t>
    <phoneticPr fontId="39" type="noConversion"/>
  </si>
  <si>
    <t>민간
(도시형생활주택)</t>
    <phoneticPr fontId="39" type="noConversion"/>
  </si>
  <si>
    <t>127-4(의정부역 신동아파밀리에1)</t>
    <phoneticPr fontId="39" type="noConversion"/>
  </si>
  <si>
    <t>84.9404A</t>
    <phoneticPr fontId="39" type="noConversion"/>
  </si>
  <si>
    <t>84.9364B</t>
    <phoneticPr fontId="39" type="noConversion"/>
  </si>
  <si>
    <t>84.9485 I3</t>
    <phoneticPr fontId="39" type="noConversion"/>
  </si>
  <si>
    <t>84.9701 C12</t>
    <phoneticPr fontId="39" type="noConversion"/>
  </si>
  <si>
    <t>현덕면</t>
    <phoneticPr fontId="39" type="noConversion"/>
  </si>
  <si>
    <t>소계</t>
    <phoneticPr fontId="39" type="noConversion"/>
  </si>
  <si>
    <t>화양지구</t>
    <phoneticPr fontId="39" type="noConversion"/>
  </si>
  <si>
    <t>용현동</t>
    <phoneticPr fontId="39" type="noConversion"/>
  </si>
  <si>
    <t>현대엔지니어링㈜
(02-2134-7430)</t>
    <phoneticPr fontId="39" type="noConversion"/>
  </si>
  <si>
    <t>신영부동산신탁㈜
(02-6256-7855)</t>
    <phoneticPr fontId="39" type="noConversion"/>
  </si>
  <si>
    <t>59.9902A</t>
    <phoneticPr fontId="39" type="noConversion"/>
  </si>
  <si>
    <t>59.9877B</t>
    <phoneticPr fontId="39" type="noConversion"/>
  </si>
  <si>
    <t>59.9877C</t>
    <phoneticPr fontId="39" type="noConversion"/>
  </si>
  <si>
    <t>74.9966A</t>
    <phoneticPr fontId="39" type="noConversion"/>
  </si>
  <si>
    <t>74.9909B</t>
    <phoneticPr fontId="39" type="noConversion"/>
  </si>
  <si>
    <t>84.9634A</t>
    <phoneticPr fontId="39" type="noConversion"/>
  </si>
  <si>
    <t>84.939B</t>
    <phoneticPr fontId="39" type="noConversion"/>
  </si>
  <si>
    <t>민간</t>
    <phoneticPr fontId="39" type="noConversion"/>
  </si>
  <si>
    <t>분양</t>
    <phoneticPr fontId="39" type="noConversion"/>
  </si>
  <si>
    <t>산32외 51필지
(힐스테이트 탑석)</t>
    <phoneticPr fontId="39" type="noConversion"/>
  </si>
  <si>
    <t>분양상담</t>
    <phoneticPr fontId="39" type="noConversion"/>
  </si>
  <si>
    <t>시공사
(전화번호)</t>
    <phoneticPr fontId="39" type="noConversion"/>
  </si>
  <si>
    <t>삼정건설산업㈜
(02-2675-0153)</t>
    <phoneticPr fontId="39" type="noConversion"/>
  </si>
  <si>
    <t>㈜이안이앤디
031-339-0022</t>
    <phoneticPr fontId="39" type="noConversion"/>
  </si>
  <si>
    <t>031-332-1800</t>
    <phoneticPr fontId="39" type="noConversion"/>
  </si>
  <si>
    <t>(주)대능종합건설
(055-322-1843)</t>
    <phoneticPr fontId="42" type="noConversion"/>
  </si>
  <si>
    <t>(주)비에스아이앤씨
031-282-8555
(분양대행사 번호)</t>
    <phoneticPr fontId="39" type="noConversion"/>
  </si>
  <si>
    <t>031-282-8555</t>
    <phoneticPr fontId="39" type="noConversion"/>
  </si>
  <si>
    <t>㈜대송</t>
    <phoneticPr fontId="39" type="noConversion"/>
  </si>
  <si>
    <t>㈜대송
(054-774-7500)</t>
    <phoneticPr fontId="39" type="noConversion"/>
  </si>
  <si>
    <t>요진건설사업㈜</t>
    <phoneticPr fontId="39" type="noConversion"/>
  </si>
  <si>
    <t>요진개발㈜
(02-3438-9440)</t>
    <phoneticPr fontId="39" type="noConversion"/>
  </si>
  <si>
    <t>KB부동산신탁㈜
(031-751-3303)</t>
    <phoneticPr fontId="39" type="noConversion"/>
  </si>
  <si>
    <t>㈜플러스랜드
(031-751-3303)</t>
    <phoneticPr fontId="39" type="noConversion"/>
  </si>
  <si>
    <t>㈜도원종합건설
(032-677-6936)</t>
    <phoneticPr fontId="39" type="noConversion"/>
  </si>
  <si>
    <t>도원주택건설
(1811-7734)</t>
    <phoneticPr fontId="39" type="noConversion"/>
  </si>
  <si>
    <t>현대아산 주식회사
(02-3669-3000)</t>
    <phoneticPr fontId="39" type="noConversion"/>
  </si>
  <si>
    <t>한송건설산업 주식회사
케이비부동산신탁 주식회사
(031-991-1004)</t>
    <phoneticPr fontId="39" type="noConversion"/>
  </si>
  <si>
    <t>주식회사 한라
(1522-6050)</t>
    <phoneticPr fontId="39" type="noConversion"/>
  </si>
  <si>
    <t>진산건설㈜
(031-876-3656)</t>
    <phoneticPr fontId="39" type="noConversion"/>
  </si>
  <si>
    <t>㈜드림개발
(031-857-0778)</t>
    <phoneticPr fontId="39" type="noConversion"/>
  </si>
  <si>
    <t>㈜대광건영
(062-360-9334)</t>
    <phoneticPr fontId="39" type="noConversion"/>
  </si>
  <si>
    <t>㈜공간종합건설
(02-479-1265)</t>
    <phoneticPr fontId="39" type="noConversion"/>
  </si>
  <si>
    <t>㈜부성종합건설
(032-502-1744)</t>
    <phoneticPr fontId="39" type="noConversion"/>
  </si>
  <si>
    <t>교보자산신탁㈜
(031-871-0528)</t>
    <phoneticPr fontId="39" type="noConversion"/>
  </si>
  <si>
    <t>스마트중앙건설㈜
(02-994-7173)</t>
    <phoneticPr fontId="39" type="noConversion"/>
  </si>
  <si>
    <t>㈜무궁화신탁
(031-871-1440)</t>
    <phoneticPr fontId="39" type="noConversion"/>
  </si>
  <si>
    <t>신동아건설㈜
(02-709-7389)</t>
    <phoneticPr fontId="39" type="noConversion"/>
  </si>
  <si>
    <t>㈜하나자산신탁
(02-3452-5722)</t>
    <phoneticPr fontId="39" type="noConversion"/>
  </si>
  <si>
    <t>모델하우스
(1588-4028)</t>
    <phoneticPr fontId="39" type="noConversion"/>
  </si>
  <si>
    <t>우방산업㈜
㈜태길종합건설
동아건설산업㈜
(031-658-2355)</t>
    <phoneticPr fontId="39" type="noConversion"/>
  </si>
  <si>
    <t>우방산업㈜
㈜태길종합건설
동아건설산업㈜
(02-6940-9521)</t>
    <phoneticPr fontId="39" type="noConversion"/>
  </si>
  <si>
    <t>모델하우스
(1533-3830)</t>
    <phoneticPr fontId="39" type="noConversion"/>
  </si>
  <si>
    <t>안양시</t>
    <phoneticPr fontId="39" type="noConversion"/>
  </si>
  <si>
    <t>한림건설㈜
(055-289-9000)</t>
    <phoneticPr fontId="39" type="noConversion"/>
  </si>
  <si>
    <t>고양시</t>
    <phoneticPr fontId="39" type="noConversion"/>
  </si>
  <si>
    <t>준공</t>
    <phoneticPr fontId="39" type="noConversion"/>
  </si>
  <si>
    <t>지축지구</t>
    <phoneticPr fontId="39" type="noConversion"/>
  </si>
  <si>
    <t>공공</t>
    <phoneticPr fontId="39" type="noConversion"/>
  </si>
  <si>
    <t>㈜부영주택
(02-3774-5500)</t>
    <phoneticPr fontId="39" type="noConversion"/>
  </si>
  <si>
    <t>031-595-6943</t>
    <phoneticPr fontId="39" type="noConversion"/>
  </si>
  <si>
    <t>㈜미래도건설
㈜모아종합건설
(062-520-0101)</t>
    <phoneticPr fontId="39" type="noConversion"/>
  </si>
  <si>
    <t>㈜미래도건설
(062-520-0101)</t>
    <phoneticPr fontId="39" type="noConversion"/>
  </si>
  <si>
    <t>분양사업팀
(062-520-0140)</t>
    <phoneticPr fontId="39" type="noConversion"/>
  </si>
  <si>
    <t>에이치엔아이엔씨주식회사
(070-7204-9655)</t>
    <phoneticPr fontId="39" type="noConversion"/>
  </si>
  <si>
    <t>주식회사한산매니지먼트
(1855-0010)</t>
    <phoneticPr fontId="39" type="noConversion"/>
  </si>
  <si>
    <t>㈜대창기업
(02-2050-5800)</t>
    <phoneticPr fontId="39" type="noConversion"/>
  </si>
  <si>
    <t>광덕디앤씨㈜ (02-429-6545)</t>
    <phoneticPr fontId="39" type="noConversion"/>
  </si>
  <si>
    <t xml:space="preserve"> 분양사무소031-239-2332</t>
    <phoneticPr fontId="39" type="noConversion"/>
  </si>
  <si>
    <t>02-511-1000</t>
    <phoneticPr fontId="39" type="noConversion"/>
  </si>
  <si>
    <t>주식회사 청연
(031-853-2001)</t>
    <phoneticPr fontId="39" type="noConversion"/>
  </si>
  <si>
    <t>우리디앤씨
(1600-0232)</t>
    <phoneticPr fontId="39" type="noConversion"/>
  </si>
  <si>
    <t>㈜혁본
(1533-7088)</t>
    <phoneticPr fontId="39" type="noConversion"/>
  </si>
  <si>
    <t>㈜컬리넌홀딩스
(1588-4123)</t>
    <phoneticPr fontId="39" type="noConversion"/>
  </si>
  <si>
    <t>㈜모아종합건설, ㈜미래도건설
(062-520-0101)</t>
    <phoneticPr fontId="39" type="noConversion"/>
  </si>
  <si>
    <t>대영건설산업㈜
(02-567-6344)</t>
    <phoneticPr fontId="39" type="noConversion"/>
  </si>
  <si>
    <t>대영건설산업㈜
(1577-1299)</t>
    <phoneticPr fontId="39" type="noConversion"/>
  </si>
  <si>
    <t>㈜동양건설산업
(02-3420-8181)</t>
    <phoneticPr fontId="39" type="noConversion"/>
  </si>
  <si>
    <t>㈜하남파라곤
(02-3496-6091)</t>
    <phoneticPr fontId="39" type="noConversion"/>
  </si>
  <si>
    <t>02-3420-8170</t>
    <phoneticPr fontId="39" type="noConversion"/>
  </si>
  <si>
    <t>031-992-7780</t>
    <phoneticPr fontId="39" type="noConversion"/>
  </si>
  <si>
    <t>㈜이수건설
(031-868-9746)</t>
    <phoneticPr fontId="39" type="noConversion"/>
  </si>
  <si>
    <t>하남시</t>
    <phoneticPr fontId="39" type="noConversion"/>
  </si>
  <si>
    <t>㈜대송
(02-371-1752)</t>
    <phoneticPr fontId="39" type="noConversion"/>
  </si>
  <si>
    <t>분양</t>
    <phoneticPr fontId="39" type="noConversion"/>
  </si>
  <si>
    <t>우정읍</t>
    <phoneticPr fontId="39" type="noConversion"/>
  </si>
  <si>
    <t>조암리 453-2번지 일원</t>
    <phoneticPr fontId="39" type="noConversion"/>
  </si>
  <si>
    <t>㈜군장종합건설
(063-442-5442)</t>
    <phoneticPr fontId="39" type="noConversion"/>
  </si>
  <si>
    <t>대한토지신탁㈜
(02-528-0564)</t>
    <phoneticPr fontId="39" type="noConversion"/>
  </si>
  <si>
    <t>조암지구</t>
    <phoneticPr fontId="39" type="noConversion"/>
  </si>
  <si>
    <t>99A</t>
    <phoneticPr fontId="39" type="noConversion"/>
  </si>
  <si>
    <t>평택시</t>
    <phoneticPr fontId="39" type="noConversion"/>
  </si>
  <si>
    <t xml:space="preserve">
(단지 요청에 의한 미공개)</t>
    <phoneticPr fontId="39" type="noConversion"/>
  </si>
  <si>
    <t>산곡동</t>
    <phoneticPr fontId="39" type="noConversion"/>
  </si>
  <si>
    <t>고산 공공주택지구 C2블럭
(산곡동 1-2)(대광로제비앙)</t>
    <phoneticPr fontId="39" type="noConversion"/>
  </si>
  <si>
    <t xml:space="preserve"> 부천시</t>
    <phoneticPr fontId="39" type="noConversion"/>
  </si>
  <si>
    <t>동탄(2)택지개발지구 C16BL</t>
    <phoneticPr fontId="39" type="noConversion"/>
  </si>
  <si>
    <t>97A</t>
    <phoneticPr fontId="39" type="noConversion"/>
  </si>
  <si>
    <t>97B</t>
    <phoneticPr fontId="39" type="noConversion"/>
  </si>
  <si>
    <t>97C</t>
    <phoneticPr fontId="39" type="noConversion"/>
  </si>
  <si>
    <t>155A</t>
    <phoneticPr fontId="39" type="noConversion"/>
  </si>
  <si>
    <t>155B</t>
    <phoneticPr fontId="39" type="noConversion"/>
  </si>
  <si>
    <t>경기도 화성시 송산그린시티 EAA10블럭</t>
    <phoneticPr fontId="39" type="noConversion"/>
  </si>
  <si>
    <t>19.98A</t>
    <phoneticPr fontId="39" type="noConversion"/>
  </si>
  <si>
    <t>13.31B</t>
    <phoneticPr fontId="39" type="noConversion"/>
  </si>
  <si>
    <t>13.25B1</t>
    <phoneticPr fontId="39" type="noConversion"/>
  </si>
  <si>
    <t>13.2B2</t>
    <phoneticPr fontId="39" type="noConversion"/>
  </si>
  <si>
    <t>13.91C</t>
    <phoneticPr fontId="39" type="noConversion"/>
  </si>
  <si>
    <t>13.78C1</t>
    <phoneticPr fontId="39" type="noConversion"/>
  </si>
  <si>
    <t>1566-8114</t>
    <phoneticPr fontId="39" type="noConversion"/>
  </si>
  <si>
    <t>소   계</t>
  </si>
  <si>
    <t>131-23번지
(나이키빌)</t>
    <phoneticPr fontId="39" type="noConversion"/>
  </si>
  <si>
    <t>㈜디오시종합건설
(031-874-3006)</t>
    <phoneticPr fontId="39" type="noConversion"/>
  </si>
  <si>
    <t>나이키빌
(031-874-3006)</t>
    <phoneticPr fontId="39" type="noConversion"/>
  </si>
  <si>
    <t>㈜허브씨앤디
(1533-5807)</t>
    <phoneticPr fontId="39" type="noConversion"/>
  </si>
  <si>
    <t>41.0690A</t>
    <phoneticPr fontId="39" type="noConversion"/>
  </si>
  <si>
    <t>23.9227B</t>
    <phoneticPr fontId="39" type="noConversion"/>
  </si>
  <si>
    <t>39.3511C</t>
    <phoneticPr fontId="39" type="noConversion"/>
  </si>
  <si>
    <t>20.9217D1</t>
    <phoneticPr fontId="39" type="noConversion"/>
  </si>
  <si>
    <t>20.9017D2</t>
    <phoneticPr fontId="39" type="noConversion"/>
  </si>
  <si>
    <t>28.7125E</t>
    <phoneticPr fontId="39" type="noConversion"/>
  </si>
  <si>
    <t>43.0810F</t>
    <phoneticPr fontId="39" type="noConversion"/>
  </si>
  <si>
    <t>양주시</t>
    <phoneticPr fontId="39" type="noConversion"/>
  </si>
  <si>
    <t>화양지구 5BL</t>
    <phoneticPr fontId="39" type="noConversion"/>
  </si>
  <si>
    <t>1855-1571</t>
    <phoneticPr fontId="39" type="noConversion"/>
  </si>
  <si>
    <t>㈜서희건설</t>
    <phoneticPr fontId="39" type="noConversion"/>
  </si>
  <si>
    <t>한송건설산업 
주식회사
(분양대행)
(032-328-2001)</t>
    <phoneticPr fontId="39" type="noConversion"/>
  </si>
  <si>
    <t>대림산업㈜
031-693-8196</t>
    <phoneticPr fontId="39" type="noConversion"/>
  </si>
  <si>
    <t>㈜엠디엠
02-2166-3117</t>
    <phoneticPr fontId="39" type="noConversion"/>
  </si>
  <si>
    <t>1533-3442</t>
    <phoneticPr fontId="39" type="noConversion"/>
  </si>
  <si>
    <t>기흥구</t>
    <phoneticPr fontId="39" type="noConversion"/>
  </si>
  <si>
    <t>가재지구</t>
    <phoneticPr fontId="39" type="noConversion"/>
  </si>
  <si>
    <t>가재동</t>
    <phoneticPr fontId="39" type="noConversion"/>
  </si>
  <si>
    <t>신세계건설(주)
(070-7895-3758)</t>
  </si>
  <si>
    <t>에코월드E&amp;C
(031-595-8482)</t>
    <phoneticPr fontId="39" type="noConversion"/>
  </si>
  <si>
    <t>031-595-8482</t>
  </si>
  <si>
    <t>60-85</t>
    <phoneticPr fontId="39" type="noConversion"/>
  </si>
  <si>
    <t>빌리브
센트하이</t>
  </si>
  <si>
    <t>극동건설㈜
(031-591-0447)</t>
  </si>
  <si>
    <t>㈜신유건설
(031-987-3461)</t>
    <phoneticPr fontId="39" type="noConversion"/>
  </si>
  <si>
    <t>031-987-3461</t>
  </si>
  <si>
    <t>40-60</t>
    <phoneticPr fontId="39" type="noConversion"/>
  </si>
  <si>
    <t>마석역
극동스타클래스
더퍼스트</t>
    <phoneticPr fontId="39" type="noConversion"/>
  </si>
  <si>
    <t>청광건설
(02-3461-3600)</t>
    <phoneticPr fontId="39" type="noConversion"/>
  </si>
  <si>
    <t>주원산업개발
(031-575-8973)</t>
    <phoneticPr fontId="39" type="noConversion"/>
  </si>
  <si>
    <t>031-575-8973</t>
    <phoneticPr fontId="39" type="noConversion"/>
  </si>
  <si>
    <t>75A</t>
    <phoneticPr fontId="39" type="noConversion"/>
  </si>
  <si>
    <t>75B</t>
    <phoneticPr fontId="39" type="noConversion"/>
  </si>
  <si>
    <t>㈜케이씨씨건설
(02-523-5500)</t>
    <phoneticPr fontId="39" type="noConversion"/>
  </si>
  <si>
    <t>㈜하나자산신탁
(02-3287-4789)</t>
    <phoneticPr fontId="39" type="noConversion"/>
  </si>
  <si>
    <t>㈜케이씨씨건설
(02-523-5500))</t>
    <phoneticPr fontId="39" type="noConversion"/>
  </si>
  <si>
    <t>브레인시티일반산업단지</t>
    <phoneticPr fontId="39" type="noConversion"/>
  </si>
  <si>
    <t>주식회사한산매니지먼트
(02-2051-1781)</t>
    <phoneticPr fontId="39" type="noConversion"/>
  </si>
  <si>
    <t>포천시</t>
    <phoneticPr fontId="39" type="noConversion"/>
  </si>
  <si>
    <t>군내면</t>
    <phoneticPr fontId="39" type="noConversion"/>
  </si>
  <si>
    <t>용정리 475-1</t>
    <phoneticPr fontId="39" type="noConversion"/>
  </si>
  <si>
    <t>포천대광지역주택조합
070-4231-8530</t>
    <phoneticPr fontId="39" type="noConversion"/>
  </si>
  <si>
    <t>070-4231-8530</t>
    <phoneticPr fontId="39" type="noConversion"/>
  </si>
  <si>
    <t>지구단위계획구역
(용정일반산업단지)
/준공업지역</t>
    <phoneticPr fontId="39" type="noConversion"/>
  </si>
  <si>
    <t>수원시</t>
    <phoneticPr fontId="39" type="noConversion"/>
  </si>
  <si>
    <t>해당없음</t>
    <phoneticPr fontId="39" type="noConversion"/>
  </si>
  <si>
    <t>84E</t>
    <phoneticPr fontId="39" type="noConversion"/>
  </si>
  <si>
    <t>84F</t>
    <phoneticPr fontId="39" type="noConversion"/>
  </si>
  <si>
    <t>(주)대광건영</t>
    <phoneticPr fontId="39" type="noConversion"/>
  </si>
  <si>
    <t>퇴계원읍</t>
    <phoneticPr fontId="39" type="noConversion"/>
  </si>
  <si>
    <t>경기도 용인시 기흥구 마북동 212-1번지 일원</t>
    <phoneticPr fontId="39" type="noConversion"/>
  </si>
  <si>
    <t>동부건설㈜
02-3484-2114</t>
    <phoneticPr fontId="39" type="noConversion"/>
  </si>
  <si>
    <t>한국자산신탁㈜
02-2112-6300</t>
    <phoneticPr fontId="39" type="noConversion"/>
  </si>
  <si>
    <t>1551-2121</t>
    <phoneticPr fontId="39" type="noConversion"/>
  </si>
  <si>
    <t>고양시</t>
    <phoneticPr fontId="39" type="noConversion"/>
  </si>
  <si>
    <t>금오동</t>
    <phoneticPr fontId="39" type="noConversion"/>
  </si>
  <si>
    <t>369-1외 34필지
(의정부 푸르지오 클라시엘)</t>
    <phoneticPr fontId="39" type="noConversion"/>
  </si>
  <si>
    <t>대우건설㈜
(031-853-9613)</t>
    <phoneticPr fontId="39" type="noConversion"/>
  </si>
  <si>
    <t>우리자산신탁㈜
(02-6202-5101)</t>
    <phoneticPr fontId="39" type="noConversion"/>
  </si>
  <si>
    <t>㈜미드미네트웍스
(1551-0656)</t>
    <phoneticPr fontId="39" type="noConversion"/>
  </si>
  <si>
    <t>84.9616A</t>
    <phoneticPr fontId="39" type="noConversion"/>
  </si>
  <si>
    <t>84.9774B</t>
    <phoneticPr fontId="39" type="noConversion"/>
  </si>
  <si>
    <t>84.6644C</t>
    <phoneticPr fontId="39" type="noConversion"/>
  </si>
  <si>
    <t>84.7030D</t>
    <phoneticPr fontId="39" type="noConversion"/>
  </si>
  <si>
    <t>108.4343A</t>
    <phoneticPr fontId="39" type="noConversion"/>
  </si>
  <si>
    <t>110.9795A</t>
    <phoneticPr fontId="39" type="noConversion"/>
  </si>
  <si>
    <t>2022-08</t>
    <phoneticPr fontId="39" type="noConversion"/>
  </si>
  <si>
    <t>2022-09</t>
    <phoneticPr fontId="39" type="noConversion"/>
  </si>
  <si>
    <t>2024-11</t>
    <phoneticPr fontId="39" type="noConversion"/>
  </si>
  <si>
    <t>2023-08</t>
    <phoneticPr fontId="39" type="noConversion"/>
  </si>
  <si>
    <t>2023-10</t>
    <phoneticPr fontId="39" type="noConversion"/>
  </si>
  <si>
    <t>2026-02</t>
    <phoneticPr fontId="39" type="noConversion"/>
  </si>
  <si>
    <t>-</t>
    <phoneticPr fontId="39" type="noConversion"/>
  </si>
  <si>
    <t>2017-09</t>
    <phoneticPr fontId="39" type="noConversion"/>
  </si>
  <si>
    <t>2020-01</t>
    <phoneticPr fontId="39" type="noConversion"/>
  </si>
  <si>
    <t>2020-06</t>
    <phoneticPr fontId="39" type="noConversion"/>
  </si>
  <si>
    <t>2022-11</t>
    <phoneticPr fontId="39" type="noConversion"/>
  </si>
  <si>
    <t>2012-03</t>
    <phoneticPr fontId="39" type="noConversion"/>
  </si>
  <si>
    <t>2013-04</t>
    <phoneticPr fontId="39" type="noConversion"/>
  </si>
  <si>
    <t>2022-05</t>
    <phoneticPr fontId="39" type="noConversion"/>
  </si>
  <si>
    <t>2022-06</t>
    <phoneticPr fontId="39" type="noConversion"/>
  </si>
  <si>
    <t>2022-02</t>
    <phoneticPr fontId="39" type="noConversion"/>
  </si>
  <si>
    <t>2023-05</t>
    <phoneticPr fontId="39" type="noConversion"/>
  </si>
  <si>
    <t>2023-02</t>
    <phoneticPr fontId="39" type="noConversion"/>
  </si>
  <si>
    <t>2020-09</t>
    <phoneticPr fontId="39" type="noConversion"/>
  </si>
  <si>
    <t>2022-12</t>
    <phoneticPr fontId="39" type="noConversion"/>
  </si>
  <si>
    <t>2022-03</t>
    <phoneticPr fontId="39" type="noConversion"/>
  </si>
  <si>
    <t>2022-04</t>
    <phoneticPr fontId="39" type="noConversion"/>
  </si>
  <si>
    <t>2022-07</t>
    <phoneticPr fontId="39" type="noConversion"/>
  </si>
  <si>
    <t>2024-07</t>
    <phoneticPr fontId="39" type="noConversion"/>
  </si>
  <si>
    <t>2024-01</t>
    <phoneticPr fontId="39" type="noConversion"/>
  </si>
  <si>
    <t>2021-08</t>
    <phoneticPr fontId="39" type="noConversion"/>
  </si>
  <si>
    <t>2018-08</t>
    <phoneticPr fontId="39" type="noConversion"/>
  </si>
  <si>
    <t>2024-05</t>
    <phoneticPr fontId="39" type="noConversion"/>
  </si>
  <si>
    <t>2024-12</t>
    <phoneticPr fontId="39" type="noConversion"/>
  </si>
  <si>
    <t>2023-04</t>
    <phoneticPr fontId="39" type="noConversion"/>
  </si>
  <si>
    <t>2023-09</t>
    <phoneticPr fontId="39" type="noConversion"/>
  </si>
  <si>
    <t>2015-05</t>
    <phoneticPr fontId="39" type="noConversion"/>
  </si>
  <si>
    <t>2015-06</t>
    <phoneticPr fontId="39" type="noConversion"/>
  </si>
  <si>
    <t>2015-10</t>
    <phoneticPr fontId="39" type="noConversion"/>
  </si>
  <si>
    <t>2023-12</t>
    <phoneticPr fontId="39" type="noConversion"/>
  </si>
  <si>
    <t>2024-02</t>
    <phoneticPr fontId="39" type="noConversion"/>
  </si>
  <si>
    <t>2023-01</t>
    <phoneticPr fontId="39" type="noConversion"/>
  </si>
  <si>
    <t>2025-07</t>
    <phoneticPr fontId="39" type="noConversion"/>
  </si>
  <si>
    <t>2025-08</t>
    <phoneticPr fontId="39" type="noConversion"/>
  </si>
  <si>
    <t/>
  </si>
  <si>
    <t>2023-03</t>
    <phoneticPr fontId="39" type="noConversion"/>
  </si>
  <si>
    <t>2015-03</t>
    <phoneticPr fontId="39" type="noConversion"/>
  </si>
  <si>
    <t>2015-04</t>
    <phoneticPr fontId="39" type="noConversion"/>
  </si>
  <si>
    <t>2017-10</t>
    <phoneticPr fontId="39" type="noConversion"/>
  </si>
  <si>
    <t>2017-11</t>
    <phoneticPr fontId="39" type="noConversion"/>
  </si>
  <si>
    <t>2020-04</t>
    <phoneticPr fontId="39" type="noConversion"/>
  </si>
  <si>
    <t>2018-09</t>
    <phoneticPr fontId="39" type="noConversion"/>
  </si>
  <si>
    <t>2021-11</t>
    <phoneticPr fontId="39" type="noConversion"/>
  </si>
  <si>
    <t>2021-12</t>
    <phoneticPr fontId="39" type="noConversion"/>
  </si>
  <si>
    <t>2025-03</t>
    <phoneticPr fontId="39" type="noConversion"/>
  </si>
  <si>
    <t>2023-11</t>
    <phoneticPr fontId="39" type="noConversion"/>
  </si>
  <si>
    <t>2027-12</t>
    <phoneticPr fontId="39" type="noConversion"/>
  </si>
  <si>
    <t>2020-05</t>
    <phoneticPr fontId="39" type="noConversion"/>
  </si>
  <si>
    <t>2018-03</t>
    <phoneticPr fontId="39" type="noConversion"/>
  </si>
  <si>
    <t>2018-04</t>
    <phoneticPr fontId="39" type="noConversion"/>
  </si>
  <si>
    <t>2020-07</t>
    <phoneticPr fontId="39" type="noConversion"/>
  </si>
  <si>
    <t>2019-02</t>
    <phoneticPr fontId="39" type="noConversion"/>
  </si>
  <si>
    <t>2019-03</t>
    <phoneticPr fontId="39" type="noConversion"/>
  </si>
  <si>
    <t>2021-02</t>
    <phoneticPr fontId="39" type="noConversion"/>
  </si>
  <si>
    <t>2014-06</t>
    <phoneticPr fontId="39" type="noConversion"/>
  </si>
  <si>
    <t>2014-07</t>
    <phoneticPr fontId="39" type="noConversion"/>
  </si>
  <si>
    <t>2017-08</t>
    <phoneticPr fontId="39" type="noConversion"/>
  </si>
  <si>
    <t>2024-06</t>
    <phoneticPr fontId="39" type="noConversion"/>
  </si>
  <si>
    <t>2018-05</t>
    <phoneticPr fontId="39" type="noConversion"/>
  </si>
  <si>
    <t>2018-06</t>
    <phoneticPr fontId="39" type="noConversion"/>
  </si>
  <si>
    <t>2021-07</t>
    <phoneticPr fontId="39" type="noConversion"/>
  </si>
  <si>
    <t>2022-01</t>
    <phoneticPr fontId="39" type="noConversion"/>
  </si>
  <si>
    <t>2025-01</t>
    <phoneticPr fontId="39" type="noConversion"/>
  </si>
  <si>
    <t>2017-12</t>
    <phoneticPr fontId="39" type="noConversion"/>
  </si>
  <si>
    <t>2018-11</t>
    <phoneticPr fontId="39" type="noConversion"/>
  </si>
  <si>
    <t>2025-02</t>
    <phoneticPr fontId="39" type="noConversion"/>
  </si>
  <si>
    <t>범양건설(주)
02-590-9114</t>
    <phoneticPr fontId="39" type="noConversion"/>
  </si>
  <si>
    <t>온동네디엔아이(주)
02-590-9193</t>
    <phoneticPr fontId="39" type="noConversion"/>
  </si>
  <si>
    <t>김포한강신도시</t>
    <phoneticPr fontId="39" type="noConversion"/>
  </si>
  <si>
    <t>고촌읍</t>
    <phoneticPr fontId="39" type="noConversion"/>
  </si>
  <si>
    <t>경기도 김포시 고촌읍 신곡리 
1072-2번지
(김포신곡6지구 A3BL)</t>
    <phoneticPr fontId="39" type="noConversion"/>
  </si>
  <si>
    <t>GS건설㈜
031-329-4500</t>
    <phoneticPr fontId="39" type="noConversion"/>
  </si>
  <si>
    <t>한국투자
부동산신탁(주)
02-6420-1937</t>
    <phoneticPr fontId="39" type="noConversion"/>
  </si>
  <si>
    <t>모델하우스
1644-3318</t>
    <phoneticPr fontId="39" type="noConversion"/>
  </si>
  <si>
    <t>김포신곡6지구 A3BL</t>
    <phoneticPr fontId="39" type="noConversion"/>
  </si>
  <si>
    <t>076.9937A</t>
  </si>
  <si>
    <t>076.9622B</t>
  </si>
  <si>
    <t>084.9109A</t>
  </si>
  <si>
    <t>084.3506B</t>
  </si>
  <si>
    <t>경기도 용인시 처인구 포곡읍 전대리 192-2번지 일원</t>
    <phoneticPr fontId="39" type="noConversion"/>
  </si>
  <si>
    <t>디더블유대원02)3270-7100</t>
    <phoneticPr fontId="39" type="noConversion"/>
  </si>
  <si>
    <t>디더블유대원
02)3270-7100</t>
    <phoneticPr fontId="39" type="noConversion"/>
  </si>
  <si>
    <t xml:space="preserve">
031)265-8090</t>
    <phoneticPr fontId="39" type="noConversion"/>
  </si>
  <si>
    <t>㈜알비디케이콘스
02-6006-9097</t>
    <phoneticPr fontId="39" type="noConversion"/>
  </si>
  <si>
    <t>㈜알비디케이
02-6006-9062</t>
    <phoneticPr fontId="39" type="noConversion"/>
  </si>
  <si>
    <t>1600-9270</t>
    <phoneticPr fontId="39" type="noConversion"/>
  </si>
  <si>
    <t>공세지구</t>
    <phoneticPr fontId="39" type="noConversion"/>
  </si>
  <si>
    <t>2023-11</t>
  </si>
  <si>
    <t>2023-11</t>
    <phoneticPr fontId="39" type="noConversion"/>
  </si>
  <si>
    <t>2023-12</t>
    <phoneticPr fontId="39" type="noConversion"/>
  </si>
  <si>
    <t>2026-11</t>
    <phoneticPr fontId="39" type="noConversion"/>
  </si>
  <si>
    <t>476번지
(더원 루미에르)
(주거정비과)</t>
    <phoneticPr fontId="39" type="noConversion"/>
  </si>
  <si>
    <t>주식회사 더원종합건설
(032-348-1050)</t>
    <phoneticPr fontId="39" type="noConversion"/>
  </si>
  <si>
    <t>명신아파트 가로주택정비사업</t>
    <phoneticPr fontId="39" type="noConversion"/>
  </si>
  <si>
    <t>분양사무실
(032-668-8268)</t>
    <phoneticPr fontId="39" type="noConversion"/>
  </si>
  <si>
    <t>(단지 요청에 의한 미공개)</t>
    <phoneticPr fontId="39" type="noConversion"/>
  </si>
  <si>
    <t>쌍용건설㈜</t>
    <phoneticPr fontId="39" type="noConversion"/>
  </si>
  <si>
    <t>평택가재피에프브이㈜</t>
    <phoneticPr fontId="39" type="noConversion"/>
  </si>
  <si>
    <t>1660-1134</t>
    <phoneticPr fontId="39" type="noConversion"/>
  </si>
  <si>
    <t>84A</t>
    <phoneticPr fontId="119" type="noConversion"/>
  </si>
  <si>
    <t>2027-01</t>
    <phoneticPr fontId="39" type="noConversion"/>
  </si>
  <si>
    <t xml:space="preserve">죽산면     </t>
    <phoneticPr fontId="39" type="noConversion"/>
  </si>
  <si>
    <t>남광토건㈜
(031-677-9086)</t>
    <phoneticPr fontId="39" type="noConversion"/>
  </si>
  <si>
    <t>한국투자부동산신탁㈜
(02-6420-1953)</t>
    <phoneticPr fontId="39" type="noConversion"/>
  </si>
  <si>
    <t>모델하우스
(1533-1121)</t>
    <phoneticPr fontId="39" type="noConversion"/>
  </si>
  <si>
    <t>2025-11</t>
    <phoneticPr fontId="39" type="noConversion"/>
  </si>
  <si>
    <t>죽산지구</t>
    <phoneticPr fontId="39" type="noConversion"/>
  </si>
  <si>
    <t>신소현동</t>
    <phoneticPr fontId="39" type="noConversion"/>
  </si>
  <si>
    <t>84번지 일원</t>
    <phoneticPr fontId="39" type="noConversion"/>
  </si>
  <si>
    <t>에스엠상선㈜
(02-6940-9661)</t>
    <phoneticPr fontId="39" type="noConversion"/>
  </si>
  <si>
    <t>모델하우스
(1551-9760)</t>
    <phoneticPr fontId="39" type="noConversion"/>
  </si>
  <si>
    <t>2027-03</t>
    <phoneticPr fontId="39" type="noConversion"/>
  </si>
  <si>
    <t>당왕지구
1BL</t>
    <phoneticPr fontId="39" type="noConversion"/>
  </si>
  <si>
    <t>준공</t>
    <phoneticPr fontId="39" type="noConversion"/>
  </si>
  <si>
    <t>59C</t>
    <phoneticPr fontId="39" type="noConversion"/>
  </si>
  <si>
    <t>장안동</t>
    <phoneticPr fontId="39" type="noConversion"/>
  </si>
  <si>
    <t>브레인시티일반산업단지 공동5BL</t>
    <phoneticPr fontId="39" type="noConversion"/>
  </si>
  <si>
    <t xml:space="preserve">㈜대광건영 </t>
    <phoneticPr fontId="39" type="noConversion"/>
  </si>
  <si>
    <t>브레인시티5피에프브이㈜</t>
    <phoneticPr fontId="39" type="noConversion"/>
  </si>
  <si>
    <t>1600-8338</t>
    <phoneticPr fontId="39" type="noConversion"/>
  </si>
  <si>
    <t>지에스건설㈜
(1600-0478)</t>
    <phoneticPr fontId="39" type="noConversion"/>
  </si>
  <si>
    <t>교보자산신탁㈜
(02-3404-3436)</t>
    <phoneticPr fontId="39" type="noConversion"/>
  </si>
  <si>
    <t>2026-12</t>
    <phoneticPr fontId="39" type="noConversion"/>
  </si>
  <si>
    <t>서천지구</t>
    <phoneticPr fontId="39" type="noConversion"/>
  </si>
  <si>
    <t>84D</t>
  </si>
  <si>
    <t>2024-04</t>
  </si>
  <si>
    <t>2024-04</t>
    <phoneticPr fontId="39" type="noConversion"/>
  </si>
  <si>
    <t>준공</t>
    <phoneticPr fontId="39" type="noConversion"/>
  </si>
  <si>
    <t>2026-10</t>
    <phoneticPr fontId="39" type="noConversion"/>
  </si>
  <si>
    <t>범내지구</t>
    <phoneticPr fontId="39" type="noConversion"/>
  </si>
  <si>
    <t>2029-01</t>
    <phoneticPr fontId="39" type="noConversion"/>
  </si>
  <si>
    <t>2025-10</t>
    <phoneticPr fontId="39" type="noConversion"/>
  </si>
  <si>
    <t>□ 경기도  민간/분양 미분양주택 현황 (총괄)</t>
    <phoneticPr fontId="39" type="noConversion"/>
  </si>
  <si>
    <t>기흥구</t>
    <phoneticPr fontId="39" type="noConversion"/>
  </si>
  <si>
    <t>도</t>
    <phoneticPr fontId="39" type="noConversion"/>
  </si>
  <si>
    <t>처인구</t>
    <phoneticPr fontId="42" type="noConversion"/>
  </si>
  <si>
    <t>처인구</t>
    <phoneticPr fontId="39" type="noConversion"/>
  </si>
  <si>
    <t>경기도 용인시 기흥구 
마북동 355-3번지 일원</t>
    <phoneticPr fontId="39" type="noConversion"/>
  </si>
  <si>
    <t>시</t>
    <phoneticPr fontId="39" type="noConversion"/>
  </si>
  <si>
    <t>070-5029-3800</t>
    <phoneticPr fontId="39" type="noConversion"/>
  </si>
  <si>
    <t>031-335-1254</t>
    <phoneticPr fontId="39" type="noConversion"/>
  </si>
  <si>
    <t>1588-5036</t>
    <phoneticPr fontId="39" type="noConversion"/>
  </si>
  <si>
    <t>민간</t>
    <phoneticPr fontId="39" type="noConversion"/>
  </si>
  <si>
    <t>역북2지구</t>
    <phoneticPr fontId="39" type="noConversion"/>
  </si>
  <si>
    <t>미준공</t>
    <phoneticPr fontId="39" type="noConversion"/>
  </si>
  <si>
    <t>2027-03</t>
    <phoneticPr fontId="39" type="noConversion"/>
  </si>
  <si>
    <t>2024-04</t>
    <phoneticPr fontId="39" type="noConversion"/>
  </si>
  <si>
    <t>2024-02</t>
    <phoneticPr fontId="39" type="noConversion"/>
  </si>
  <si>
    <t>민간
(주택조합방식)</t>
    <phoneticPr fontId="39" type="noConversion"/>
  </si>
  <si>
    <t>경기도 용인시 처인구 역북동
89-25번지 일원[역북 2지구]</t>
    <phoneticPr fontId="39" type="noConversion"/>
  </si>
  <si>
    <t>원미동</t>
    <phoneticPr fontId="39" type="noConversion"/>
  </si>
  <si>
    <t>동문건설
(02-2239-1000)</t>
    <phoneticPr fontId="39" type="noConversion"/>
  </si>
  <si>
    <t>㈜무궁화신탁
(02-3456-0000)</t>
    <phoneticPr fontId="39" type="noConversion"/>
  </si>
  <si>
    <t>분양홍보관
(1555-5875)</t>
    <phoneticPr fontId="39" type="noConversion"/>
  </si>
  <si>
    <t>구(동,읍)</t>
    <phoneticPr fontId="39" type="noConversion"/>
  </si>
  <si>
    <t>권선구</t>
    <phoneticPr fontId="39" type="noConversion"/>
  </si>
  <si>
    <t>덕양구</t>
    <phoneticPr fontId="39" type="noConversion"/>
  </si>
  <si>
    <t>덕양구</t>
    <phoneticPr fontId="39" type="noConversion"/>
  </si>
  <si>
    <t>경기도 고양시 덕양구 오금로 33</t>
    <phoneticPr fontId="39" type="noConversion"/>
  </si>
  <si>
    <t>일산동구</t>
    <phoneticPr fontId="39" type="noConversion"/>
  </si>
  <si>
    <t>중원구</t>
    <phoneticPr fontId="39" type="noConversion"/>
  </si>
  <si>
    <t xml:space="preserve">처인구
</t>
    <phoneticPr fontId="42" type="noConversion"/>
  </si>
  <si>
    <t>경기도 용인시 기흥구 서천동 
335-2번지 일원</t>
    <phoneticPr fontId="39" type="noConversion"/>
  </si>
  <si>
    <t>남양주 화도읍 월산리 81일원
[월산 사랑으로 부영아파트]</t>
    <phoneticPr fontId="39" type="noConversion"/>
  </si>
  <si>
    <t>남양주 화도읍 답내리 516-4
[답내 사랑으로 부영아파트]</t>
    <phoneticPr fontId="39" type="noConversion"/>
  </si>
  <si>
    <t>남양주 화도읍 마석우리 295-32일원</t>
    <phoneticPr fontId="39" type="noConversion"/>
  </si>
  <si>
    <t>남양주 화도읍 마석우리 256-1일원</t>
    <phoneticPr fontId="39" type="noConversion"/>
  </si>
  <si>
    <t>남양주 퇴계원읍 퇴계원리 102-8일원
[청광플러스]</t>
    <phoneticPr fontId="39" type="noConversion"/>
  </si>
  <si>
    <t>경기도 용인시 기흥구
산42-4(공세지구 D3블럭)</t>
    <phoneticPr fontId="39" type="noConversion"/>
  </si>
  <si>
    <t xml:space="preserve"> 2024-04</t>
    <phoneticPr fontId="39" type="noConversion"/>
  </si>
  <si>
    <t xml:space="preserve"> 2024-05</t>
    <phoneticPr fontId="39" type="noConversion"/>
  </si>
  <si>
    <t xml:space="preserve"> 2027-12</t>
    <phoneticPr fontId="39" type="noConversion"/>
  </si>
  <si>
    <t>평택화양센트럴지역주택조합 외 1</t>
    <phoneticPr fontId="39" type="noConversion"/>
  </si>
  <si>
    <t>1666-3966</t>
    <phoneticPr fontId="39" type="noConversion"/>
  </si>
  <si>
    <t>화양지구 3BL</t>
    <phoneticPr fontId="39" type="noConversion"/>
  </si>
  <si>
    <t>(단지요청에 의한 미공개)</t>
    <phoneticPr fontId="39" type="noConversion"/>
  </si>
  <si>
    <t>(단지요청에 의한 비공개)</t>
  </si>
  <si>
    <t>(단지요청에 의한 비공개)</t>
    <phoneticPr fontId="39" type="noConversion"/>
  </si>
  <si>
    <t>덕평지구</t>
    <phoneticPr fontId="39" type="noConversion"/>
  </si>
  <si>
    <t>코오롱글로벌㈜</t>
    <phoneticPr fontId="39" type="noConversion"/>
  </si>
  <si>
    <t>양평덕평지구지역주택조합</t>
    <phoneticPr fontId="39" type="noConversion"/>
  </si>
  <si>
    <t>양평읍 덕평리 661-7
(하늘채 센트로힐스)</t>
    <phoneticPr fontId="39" type="noConversion"/>
  </si>
  <si>
    <t>양평읍</t>
    <phoneticPr fontId="39" type="noConversion"/>
  </si>
  <si>
    <t>시 행 사</t>
    <phoneticPr fontId="39" type="noConversion"/>
  </si>
  <si>
    <t>59.9557A</t>
    <phoneticPr fontId="39" type="noConversion"/>
  </si>
  <si>
    <t>59.9485B</t>
    <phoneticPr fontId="39" type="noConversion"/>
  </si>
  <si>
    <t>84.9455A</t>
    <phoneticPr fontId="39" type="noConversion"/>
  </si>
  <si>
    <t>84.9893B</t>
    <phoneticPr fontId="39" type="noConversion"/>
  </si>
  <si>
    <t>99.9273A</t>
    <phoneticPr fontId="39" type="noConversion"/>
  </si>
  <si>
    <t>99.9852B</t>
    <phoneticPr fontId="39" type="noConversion"/>
  </si>
  <si>
    <t>136.9781P</t>
    <phoneticPr fontId="39" type="noConversion"/>
  </si>
  <si>
    <t>화양지구 9-1BL</t>
    <phoneticPr fontId="39" type="noConversion"/>
  </si>
  <si>
    <t>㈜신영씨앤디</t>
    <phoneticPr fontId="39" type="noConversion"/>
  </si>
  <si>
    <t>투탑건설㈜ 02-2039-1886</t>
    <phoneticPr fontId="39" type="noConversion"/>
  </si>
  <si>
    <t>석수리버하임
㈜031-494-1886</t>
    <phoneticPr fontId="39" type="noConversion"/>
  </si>
  <si>
    <t>031-396-1886</t>
  </si>
  <si>
    <t>84.9963C</t>
    <phoneticPr fontId="39" type="noConversion"/>
  </si>
  <si>
    <t>진흥기업㈜
(02-772-1339)</t>
    <phoneticPr fontId="39" type="noConversion"/>
  </si>
  <si>
    <t>㈜미산투자개발
(02-501-0325)</t>
    <phoneticPr fontId="39" type="noConversion"/>
  </si>
  <si>
    <t>논곡지구</t>
    <phoneticPr fontId="39" type="noConversion"/>
  </si>
  <si>
    <t>논곡동</t>
    <phoneticPr fontId="39" type="noConversion"/>
  </si>
  <si>
    <t>-</t>
    <phoneticPr fontId="39" type="noConversion"/>
  </si>
  <si>
    <t>단지요청에 의한 비공개</t>
    <phoneticPr fontId="39" type="noConversion"/>
  </si>
  <si>
    <t>분양</t>
    <phoneticPr fontId="39" type="noConversion"/>
  </si>
  <si>
    <t>민간</t>
    <phoneticPr fontId="39" type="noConversion"/>
  </si>
  <si>
    <t>분양</t>
    <phoneticPr fontId="39" type="noConversion"/>
  </si>
  <si>
    <t>장안구</t>
    <phoneticPr fontId="39" type="noConversion"/>
  </si>
  <si>
    <t>경기도 수원시 장안구 이목동 511-1번지 일원</t>
    <phoneticPr fontId="39" type="noConversion"/>
  </si>
  <si>
    <t>대방건설(주)
(1577-7347)</t>
    <phoneticPr fontId="39" type="noConversion"/>
  </si>
  <si>
    <t>디비이엔씨(주)
(1577-7347)</t>
    <phoneticPr fontId="39" type="noConversion"/>
  </si>
  <si>
    <t>북수원
이목지구
디에트르
더리체
분양사무소
(1688-4007)</t>
    <phoneticPr fontId="39" type="noConversion"/>
  </si>
  <si>
    <t>2024-09</t>
    <phoneticPr fontId="39" type="noConversion"/>
  </si>
  <si>
    <t>2024-10</t>
    <phoneticPr fontId="39" type="noConversion"/>
  </si>
  <si>
    <t>2027-08</t>
    <phoneticPr fontId="39" type="noConversion"/>
  </si>
  <si>
    <t>미준공</t>
    <phoneticPr fontId="39" type="noConversion"/>
  </si>
  <si>
    <t>이목지구</t>
    <phoneticPr fontId="39" type="noConversion"/>
  </si>
  <si>
    <t>공공</t>
    <phoneticPr fontId="39" type="noConversion"/>
  </si>
  <si>
    <t>84.9291S</t>
    <phoneticPr fontId="39" type="noConversion"/>
  </si>
  <si>
    <t>60.9516S</t>
    <phoneticPr fontId="39" type="noConversion"/>
  </si>
  <si>
    <t>2024-08</t>
    <phoneticPr fontId="39" type="noConversion"/>
  </si>
  <si>
    <t>경기도 의정부시 금오동 산26-19
(의정부 롯데캐슬 나리벡시티)</t>
    <phoneticPr fontId="39" type="noConversion"/>
  </si>
  <si>
    <t>롯데건설㈜
(1551-0555)</t>
    <phoneticPr fontId="39" type="noConversion"/>
  </si>
  <si>
    <t>신한자산신탁㈜</t>
    <phoneticPr fontId="39" type="noConversion"/>
  </si>
  <si>
    <t>모델하우스
(1551-0555)</t>
    <phoneticPr fontId="39" type="noConversion"/>
  </si>
  <si>
    <t>84.9906A</t>
    <phoneticPr fontId="39" type="noConversion"/>
  </si>
  <si>
    <t>2027-11</t>
    <phoneticPr fontId="39" type="noConversion"/>
  </si>
  <si>
    <t>84.9957B</t>
    <phoneticPr fontId="39" type="noConversion"/>
  </si>
  <si>
    <t>155.9570A</t>
    <phoneticPr fontId="39" type="noConversion"/>
  </si>
  <si>
    <t>155.9511B</t>
    <phoneticPr fontId="39" type="noConversion"/>
  </si>
  <si>
    <t>155.9511C</t>
    <phoneticPr fontId="39" type="noConversion"/>
  </si>
  <si>
    <t>민간 분양 주택('24. 11월 30일 기준)</t>
    <phoneticPr fontId="39" type="noConversion"/>
  </si>
  <si>
    <t>84A(84.8484)</t>
    <phoneticPr fontId="39" type="noConversion"/>
  </si>
  <si>
    <t>84B(84.9264)</t>
    <phoneticPr fontId="39" type="noConversion"/>
  </si>
  <si>
    <t>84C(84.9851)</t>
    <phoneticPr fontId="39" type="noConversion"/>
  </si>
  <si>
    <t>가평군</t>
    <phoneticPr fontId="39" type="noConversion"/>
  </si>
  <si>
    <t>청평면</t>
    <phoneticPr fontId="39" type="noConversion"/>
  </si>
  <si>
    <t>대한토지신탁㈜
02-528-0470</t>
    <phoneticPr fontId="39" type="noConversion"/>
  </si>
  <si>
    <t>1551-2338</t>
    <phoneticPr fontId="39" type="noConversion"/>
  </si>
  <si>
    <t>청평3지구</t>
    <phoneticPr fontId="39" type="noConversion"/>
  </si>
  <si>
    <t>수원시</t>
    <phoneticPr fontId="39" type="noConversion"/>
  </si>
  <si>
    <t>용인시</t>
    <phoneticPr fontId="39" type="noConversion"/>
  </si>
  <si>
    <t>성남시</t>
    <phoneticPr fontId="39" type="noConversion"/>
  </si>
  <si>
    <t>화성시</t>
    <phoneticPr fontId="39" type="noConversion"/>
  </si>
  <si>
    <t>부천시</t>
    <phoneticPr fontId="39" type="noConversion"/>
  </si>
  <si>
    <t>남양주시</t>
    <phoneticPr fontId="39" type="noConversion"/>
  </si>
  <si>
    <t>안산시</t>
    <phoneticPr fontId="39" type="noConversion"/>
  </si>
  <si>
    <t>안양시</t>
    <phoneticPr fontId="39" type="noConversion"/>
  </si>
  <si>
    <t>시흥시</t>
    <phoneticPr fontId="39" type="noConversion"/>
  </si>
  <si>
    <t>김포시</t>
    <phoneticPr fontId="39" type="noConversion"/>
  </si>
  <si>
    <t>파주시</t>
    <phoneticPr fontId="39" type="noConversion"/>
  </si>
  <si>
    <t>의정부시</t>
    <phoneticPr fontId="39" type="noConversion"/>
  </si>
  <si>
    <t>광주시</t>
    <phoneticPr fontId="39" type="noConversion"/>
  </si>
  <si>
    <t>광명시</t>
    <phoneticPr fontId="39" type="noConversion"/>
  </si>
  <si>
    <t>하남시</t>
    <phoneticPr fontId="39" type="noConversion"/>
  </si>
  <si>
    <t>군포시</t>
    <phoneticPr fontId="39" type="noConversion"/>
  </si>
  <si>
    <t>오산시</t>
    <phoneticPr fontId="39" type="noConversion"/>
  </si>
  <si>
    <t>이천시</t>
    <phoneticPr fontId="39" type="noConversion"/>
  </si>
  <si>
    <t>구리시</t>
    <phoneticPr fontId="39" type="noConversion"/>
  </si>
  <si>
    <t>의왕시</t>
    <phoneticPr fontId="39" type="noConversion"/>
  </si>
  <si>
    <t>포천시</t>
    <phoneticPr fontId="39" type="noConversion"/>
  </si>
  <si>
    <t>양평군</t>
    <phoneticPr fontId="39" type="noConversion"/>
  </si>
  <si>
    <t>여주시</t>
    <phoneticPr fontId="39" type="noConversion"/>
  </si>
  <si>
    <t>동두천시</t>
    <phoneticPr fontId="39" type="noConversion"/>
  </si>
  <si>
    <t>과천시</t>
    <phoneticPr fontId="39" type="noConversion"/>
  </si>
  <si>
    <t>가평군</t>
    <phoneticPr fontId="39" type="noConversion"/>
  </si>
  <si>
    <t>㈜한양
02-721-8385</t>
    <phoneticPr fontId="39" type="noConversion"/>
  </si>
  <si>
    <t>민간 분양 주택('24. 12월 31일 기준)</t>
    <phoneticPr fontId="39" type="noConversion"/>
  </si>
  <si>
    <t>`</t>
    <phoneticPr fontId="39" type="noConversion"/>
  </si>
  <si>
    <t>현대엔지니어링㈜</t>
    <phoneticPr fontId="39" type="noConversion"/>
  </si>
  <si>
    <t>가재지구 1BL</t>
    <phoneticPr fontId="39" type="noConversion"/>
  </si>
  <si>
    <t>(단지 요청에 의한 미공개)</t>
  </si>
  <si>
    <t>㈜신영화양지구개발피에프브이</t>
    <phoneticPr fontId="39" type="noConversion"/>
  </si>
  <si>
    <t>1899-1210</t>
    <phoneticPr fontId="39" type="noConversion"/>
  </si>
  <si>
    <t xml:space="preserve"> 2024-06</t>
    <phoneticPr fontId="39" type="noConversion"/>
  </si>
  <si>
    <t xml:space="preserve"> 2027-04</t>
    <phoneticPr fontId="39" type="noConversion"/>
  </si>
  <si>
    <t>청평리 산 81-18번지 일원</t>
    <phoneticPr fontId="39" type="noConversion"/>
  </si>
  <si>
    <t>가평읍</t>
    <phoneticPr fontId="39" type="noConversion"/>
  </si>
  <si>
    <t>달전리 284-7번지 일원</t>
    <phoneticPr fontId="39" type="noConversion"/>
  </si>
  <si>
    <t>㈜한양
02-721-8114</t>
    <phoneticPr fontId="39" type="noConversion"/>
  </si>
  <si>
    <t>주식회사한국토지신탁
02-6451-1100</t>
    <phoneticPr fontId="39" type="noConversion"/>
  </si>
  <si>
    <t>달전지구</t>
    <phoneticPr fontId="39" type="noConversion"/>
  </si>
  <si>
    <t>83.4952A</t>
    <phoneticPr fontId="39" type="noConversion"/>
  </si>
  <si>
    <t>83.3183B</t>
    <phoneticPr fontId="39" type="noConversion"/>
  </si>
  <si>
    <t>83.7468C</t>
    <phoneticPr fontId="39" type="noConversion"/>
  </si>
  <si>
    <t>-</t>
    <phoneticPr fontId="39" type="noConversion"/>
  </si>
  <si>
    <t>2027-09</t>
    <phoneticPr fontId="39" type="noConversion"/>
  </si>
  <si>
    <t>단지요청에 의한 비공개</t>
  </si>
  <si>
    <t>354-10번지</t>
    <phoneticPr fontId="39" type="noConversion"/>
  </si>
  <si>
    <t>GS건설㈜</t>
    <phoneticPr fontId="39" type="noConversion"/>
  </si>
  <si>
    <t>뉴타운삼호아파트재건축조합
(031-384-8801)</t>
    <phoneticPr fontId="39" type="noConversion"/>
  </si>
  <si>
    <t>1833-4723</t>
    <phoneticPr fontId="39" type="noConversion"/>
  </si>
  <si>
    <t>53A</t>
    <phoneticPr fontId="39" type="noConversion"/>
  </si>
  <si>
    <t>뉴타운삼호아파트지구</t>
    <phoneticPr fontId="39" type="noConversion"/>
  </si>
  <si>
    <t>77A</t>
    <phoneticPr fontId="39" type="noConversion"/>
  </si>
  <si>
    <t>준공</t>
    <phoneticPr fontId="39" type="noConversion"/>
  </si>
  <si>
    <t>-</t>
    <phoneticPr fontId="39" type="noConversion"/>
  </si>
  <si>
    <t>안성시</t>
    <phoneticPr fontId="39" type="noConversion"/>
  </si>
  <si>
    <t>-</t>
    <phoneticPr fontId="39" type="noConversion"/>
  </si>
  <si>
    <t>전용 85㎡초과</t>
    <phoneticPr fontId="39" type="noConversion"/>
  </si>
  <si>
    <t>심곡동</t>
    <phoneticPr fontId="39" type="noConversion"/>
  </si>
  <si>
    <t>심곡동 803
(부천중앙하이츠 심곡)
(원도심재생과)</t>
    <phoneticPr fontId="39" type="noConversion"/>
  </si>
  <si>
    <t>배경산업개발
(043-271-2680)</t>
    <phoneticPr fontId="39" type="noConversion"/>
  </si>
  <si>
    <t>신흥연립 가로주택정비사업 조합
(032-655-5090)</t>
    <phoneticPr fontId="39" type="noConversion"/>
  </si>
  <si>
    <t>신흥연립 가로주택
정비사업 조합
(032-655-5090)</t>
    <phoneticPr fontId="39" type="noConversion"/>
  </si>
  <si>
    <t>민간</t>
    <phoneticPr fontId="39" type="noConversion"/>
  </si>
  <si>
    <t>분양</t>
    <phoneticPr fontId="39" type="noConversion"/>
  </si>
  <si>
    <t>2024-12</t>
    <phoneticPr fontId="39" type="noConversion"/>
  </si>
  <si>
    <t>2025-10</t>
    <phoneticPr fontId="39" type="noConversion"/>
  </si>
  <si>
    <t>2027-12</t>
    <phoneticPr fontId="39" type="noConversion"/>
  </si>
  <si>
    <t>의왕월암공공주택지구</t>
    <phoneticPr fontId="39" type="noConversion"/>
  </si>
  <si>
    <t>공공</t>
    <phoneticPr fontId="39" type="noConversion"/>
  </si>
  <si>
    <t>02-2181-9400</t>
    <phoneticPr fontId="39" type="noConversion"/>
  </si>
  <si>
    <t>031-902-687</t>
    <phoneticPr fontId="39" type="noConversion"/>
  </si>
  <si>
    <t>1688-5800</t>
    <phoneticPr fontId="39" type="noConversion"/>
  </si>
  <si>
    <t>소하동</t>
    <phoneticPr fontId="39" type="noConversion"/>
  </si>
  <si>
    <t>883-18번지 일원</t>
    <phoneticPr fontId="39" type="noConversion"/>
  </si>
  <si>
    <t>신원종합개발
(02-899-8409)</t>
    <phoneticPr fontId="39" type="noConversion"/>
  </si>
  <si>
    <t>소하동2구역
가로주택정비사업조합
(02-6334-8000)</t>
    <phoneticPr fontId="39" type="noConversion"/>
  </si>
  <si>
    <t>서울지점
(02-6908-7000)</t>
    <phoneticPr fontId="39" type="noConversion"/>
  </si>
  <si>
    <t>49(49.85㎡)</t>
    <phoneticPr fontId="39" type="noConversion"/>
  </si>
  <si>
    <t>59A(59.99㎡)</t>
    <phoneticPr fontId="39" type="noConversion"/>
  </si>
  <si>
    <t>59B(59.99㎡)</t>
    <phoneticPr fontId="39" type="noConversion"/>
  </si>
  <si>
    <t>76A(76.61㎡)</t>
    <phoneticPr fontId="39" type="noConversion"/>
  </si>
  <si>
    <t>76B(76.73㎡)</t>
    <phoneticPr fontId="39" type="noConversion"/>
  </si>
  <si>
    <t>76C(76.15㎡)</t>
    <phoneticPr fontId="39" type="noConversion"/>
  </si>
  <si>
    <t>82(82.82㎡)</t>
    <phoneticPr fontId="39" type="noConversion"/>
  </si>
  <si>
    <t>893-3</t>
    <phoneticPr fontId="39" type="noConversion"/>
  </si>
  <si>
    <t>신원종합개발㈜
(02-899-8409)</t>
    <phoneticPr fontId="39" type="noConversion"/>
  </si>
  <si>
    <t>정우연립 소규모재건축정비사업 조합
(02-898-1981)</t>
    <phoneticPr fontId="39" type="noConversion"/>
  </si>
  <si>
    <t>59D</t>
    <phoneticPr fontId="39" type="noConversion"/>
  </si>
  <si>
    <t>59E</t>
    <phoneticPr fontId="39" type="noConversion"/>
  </si>
  <si>
    <t>2025-01</t>
    <phoneticPr fontId="39" type="noConversion"/>
  </si>
  <si>
    <t>2025-03</t>
    <phoneticPr fontId="39" type="noConversion"/>
  </si>
  <si>
    <t>2024-01</t>
    <phoneticPr fontId="39" type="noConversion"/>
  </si>
  <si>
    <t>2026-01</t>
    <phoneticPr fontId="39" type="noConversion"/>
  </si>
  <si>
    <t>경기도 고양시 덕양구 
오부자로15</t>
    <phoneticPr fontId="39" type="noConversion"/>
  </si>
  <si>
    <t>78A
(78.3206)</t>
    <phoneticPr fontId="39" type="noConversion"/>
  </si>
  <si>
    <t>78B
(78.0107)</t>
    <phoneticPr fontId="39" type="noConversion"/>
  </si>
  <si>
    <t>84A
(84.6003)</t>
    <phoneticPr fontId="39" type="noConversion"/>
  </si>
  <si>
    <t>84B
(84.3790)</t>
    <phoneticPr fontId="39" type="noConversion"/>
  </si>
  <si>
    <t>-</t>
    <phoneticPr fontId="39" type="noConversion"/>
  </si>
  <si>
    <t>-</t>
    <phoneticPr fontId="39" type="noConversion"/>
  </si>
  <si>
    <t>풍동</t>
    <phoneticPr fontId="39" type="noConversion"/>
  </si>
  <si>
    <t>75B</t>
    <phoneticPr fontId="39" type="noConversion"/>
  </si>
  <si>
    <t>75C</t>
    <phoneticPr fontId="39" type="noConversion"/>
  </si>
  <si>
    <t>84A</t>
    <phoneticPr fontId="39" type="noConversion"/>
  </si>
  <si>
    <t>84B</t>
    <phoneticPr fontId="39" type="noConversion"/>
  </si>
  <si>
    <t>84C</t>
    <phoneticPr fontId="39" type="noConversion"/>
  </si>
  <si>
    <t>84D</t>
    <phoneticPr fontId="39" type="noConversion"/>
  </si>
  <si>
    <t>1551-1554</t>
    <phoneticPr fontId="39" type="noConversion"/>
  </si>
  <si>
    <t>2024-11</t>
    <phoneticPr fontId="39" type="noConversion"/>
  </si>
  <si>
    <t>소 재 지</t>
    <phoneticPr fontId="39" type="noConversion"/>
  </si>
  <si>
    <t>65.9817A</t>
    <phoneticPr fontId="39" type="noConversion"/>
  </si>
  <si>
    <t>65.8984B</t>
    <phoneticPr fontId="39" type="noConversion"/>
  </si>
  <si>
    <t>75.8195A</t>
    <phoneticPr fontId="39" type="noConversion"/>
  </si>
  <si>
    <t>75.9951B</t>
    <phoneticPr fontId="39" type="noConversion"/>
  </si>
  <si>
    <t>75.9871C</t>
    <phoneticPr fontId="39" type="noConversion"/>
  </si>
  <si>
    <t>84.7914A</t>
    <phoneticPr fontId="39" type="noConversion"/>
  </si>
  <si>
    <t>84.9920B</t>
    <phoneticPr fontId="39" type="noConversion"/>
  </si>
  <si>
    <t>탄벌동</t>
    <phoneticPr fontId="39" type="noConversion"/>
  </si>
  <si>
    <t>경기도 광주시 포돌이로 118</t>
    <phoneticPr fontId="39" type="noConversion"/>
  </si>
  <si>
    <t>서희건설
(02-3416-6700)</t>
    <phoneticPr fontId="39" type="noConversion"/>
  </si>
  <si>
    <t>탄벌지역주택조합
(031-797-9994)</t>
    <phoneticPr fontId="39" type="noConversion"/>
  </si>
  <si>
    <t>031-767-6665</t>
    <phoneticPr fontId="39" type="noConversion"/>
  </si>
  <si>
    <t>탄벌4지구</t>
  </si>
  <si>
    <t>경기도 광주시 포돌이로 117</t>
    <phoneticPr fontId="39" type="noConversion"/>
  </si>
  <si>
    <t>탄벌4지구지역주택조합
(031-797-9994)</t>
    <phoneticPr fontId="39" type="noConversion"/>
  </si>
  <si>
    <t>탄벌4지구</t>
    <phoneticPr fontId="39" type="noConversion"/>
  </si>
  <si>
    <t>84.97B</t>
    <phoneticPr fontId="39" type="noConversion"/>
  </si>
  <si>
    <t>84.98A</t>
    <phoneticPr fontId="39" type="noConversion"/>
  </si>
  <si>
    <t>진사지구 A-2BL</t>
  </si>
  <si>
    <t>2026-03</t>
    <phoneticPr fontId="39" type="noConversion"/>
  </si>
  <si>
    <t>모델하우스
(031-658-8000)</t>
    <phoneticPr fontId="39" type="noConversion"/>
  </si>
  <si>
    <t>우리자산신탁㈜
(02-6202-5142)</t>
    <phoneticPr fontId="39" type="noConversion"/>
  </si>
  <si>
    <t>효성중공업(주)
(031-658-8000)</t>
    <phoneticPr fontId="39" type="noConversion"/>
  </si>
  <si>
    <t>진사리 33번지 일원</t>
    <phoneticPr fontId="39" type="noConversion"/>
  </si>
  <si>
    <t>진사지구 A-1BL</t>
    <phoneticPr fontId="39" type="noConversion"/>
  </si>
  <si>
    <t>진사리 29-13번지 일원</t>
    <phoneticPr fontId="39" type="noConversion"/>
  </si>
  <si>
    <t>죽산리 790번지 일원</t>
  </si>
  <si>
    <t>고강동</t>
    <phoneticPr fontId="39" type="noConversion"/>
  </si>
  <si>
    <t>고강동 307
(고강역 신원아침도시 퍼스티지)
(원도심재생과)</t>
    <phoneticPr fontId="39" type="noConversion"/>
  </si>
  <si>
    <t>신원종합개발㈜
(032-672-6727)</t>
    <phoneticPr fontId="39" type="noConversion"/>
  </si>
  <si>
    <t>건우아파트 가로주택정비사업 조합
032-682-4437)</t>
    <phoneticPr fontId="39" type="noConversion"/>
  </si>
  <si>
    <t>건우아파트 가로주택정비사업 조합
(032-321-3340)</t>
    <phoneticPr fontId="39" type="noConversion"/>
  </si>
  <si>
    <t>2026-08</t>
    <phoneticPr fontId="39" type="noConversion"/>
  </si>
  <si>
    <t>은현면</t>
    <phoneticPr fontId="39" type="noConversion"/>
  </si>
  <si>
    <t>용암리 784-8 일원</t>
    <phoneticPr fontId="39" type="noConversion"/>
  </si>
  <si>
    <t>㈜영무토건
062-650-9126</t>
    <phoneticPr fontId="39" type="noConversion"/>
  </si>
  <si>
    <t>조합 사무장 구성훈
031-863-0307</t>
    <phoneticPr fontId="39" type="noConversion"/>
  </si>
  <si>
    <t>용암3지구</t>
    <phoneticPr fontId="39" type="noConversion"/>
  </si>
  <si>
    <t>㈜대광건영
062-362-8430</t>
    <phoneticPr fontId="39" type="noConversion"/>
  </si>
  <si>
    <t>2025-04</t>
    <phoneticPr fontId="39" type="noConversion"/>
  </si>
  <si>
    <t>2025-05</t>
    <phoneticPr fontId="39" type="noConversion"/>
  </si>
  <si>
    <t>2021-12</t>
    <phoneticPr fontId="39" type="noConversion"/>
  </si>
  <si>
    <t>2022-02</t>
    <phoneticPr fontId="39" type="noConversion"/>
  </si>
  <si>
    <t>2023-05</t>
    <phoneticPr fontId="39" type="noConversion"/>
  </si>
  <si>
    <t>양주시</t>
    <phoneticPr fontId="39" type="noConversion"/>
  </si>
  <si>
    <t>2025-01</t>
    <phoneticPr fontId="39" type="noConversion"/>
  </si>
  <si>
    <t>2027-11.</t>
    <phoneticPr fontId="39" type="noConversion"/>
  </si>
  <si>
    <t>2025-02</t>
    <phoneticPr fontId="39" type="noConversion"/>
  </si>
  <si>
    <t>수택동</t>
    <phoneticPr fontId="39" type="noConversion"/>
  </si>
  <si>
    <t>266-2번지 일원</t>
    <phoneticPr fontId="39" type="noConversion"/>
  </si>
  <si>
    <t>㈜한양건설</t>
    <phoneticPr fontId="39" type="noConversion"/>
  </si>
  <si>
    <t xml:space="preserve">수택지역주택
조합 </t>
    <phoneticPr fontId="39" type="noConversion"/>
  </si>
  <si>
    <t xml:space="preserve">민간 </t>
    <phoneticPr fontId="39" type="noConversion"/>
  </si>
  <si>
    <t>분양</t>
    <phoneticPr fontId="39" type="noConversion"/>
  </si>
  <si>
    <t>2025-04</t>
    <phoneticPr fontId="39" type="noConversion"/>
  </si>
  <si>
    <t>2025-05</t>
    <phoneticPr fontId="39" type="noConversion"/>
  </si>
  <si>
    <t>2027-11</t>
    <phoneticPr fontId="39" type="noConversion"/>
  </si>
  <si>
    <t>84.91A</t>
    <phoneticPr fontId="39" type="noConversion"/>
  </si>
  <si>
    <t>84.98B</t>
    <phoneticPr fontId="39" type="noConversion"/>
  </si>
  <si>
    <t>84.06C</t>
    <phoneticPr fontId="39" type="noConversion"/>
  </si>
  <si>
    <t>160.36P</t>
    <phoneticPr fontId="39" type="noConversion"/>
  </si>
  <si>
    <t>준공</t>
    <phoneticPr fontId="39" type="noConversion"/>
  </si>
  <si>
    <t>-</t>
    <phoneticPr fontId="39" type="noConversion"/>
  </si>
  <si>
    <t>84a</t>
    <phoneticPr fontId="39" type="noConversion"/>
  </si>
  <si>
    <t>84b</t>
    <phoneticPr fontId="39" type="noConversion"/>
  </si>
  <si>
    <t>84c</t>
    <phoneticPr fontId="39" type="noConversion"/>
  </si>
  <si>
    <t>84.9804A</t>
    <phoneticPr fontId="39" type="noConversion"/>
  </si>
  <si>
    <t>84.9850B</t>
    <phoneticPr fontId="39" type="noConversion"/>
  </si>
  <si>
    <t>84.9901C</t>
    <phoneticPr fontId="39" type="noConversion"/>
  </si>
  <si>
    <t>99.9796A</t>
    <phoneticPr fontId="39" type="noConversion"/>
  </si>
  <si>
    <t>99.9853B</t>
    <phoneticPr fontId="39" type="noConversion"/>
  </si>
  <si>
    <t>2025-06</t>
    <phoneticPr fontId="39" type="noConversion"/>
  </si>
  <si>
    <t>2029-10</t>
    <phoneticPr fontId="39" type="noConversion"/>
  </si>
  <si>
    <t>경안2지구
A1BL</t>
    <phoneticPr fontId="39" type="noConversion"/>
  </si>
  <si>
    <t>□ 경기도  민간/분양 미 분양주택 현황 (총괄)-기재된 숫자는  분양되지 않은 주택 수를 의미함</t>
    <phoneticPr fontId="39" type="noConversion"/>
  </si>
  <si>
    <t>옥산동</t>
    <phoneticPr fontId="39" type="noConversion"/>
  </si>
  <si>
    <t>556번지</t>
    <phoneticPr fontId="39" type="noConversion"/>
  </si>
  <si>
    <t>㈜와이엠건영
(062-720-5800)</t>
    <phoneticPr fontId="39" type="noConversion"/>
  </si>
  <si>
    <t>㈜더와이
(062-385-9218)</t>
    <phoneticPr fontId="39" type="noConversion"/>
  </si>
  <si>
    <t>모델하우스
(031-671-7700)</t>
    <phoneticPr fontId="39" type="noConversion"/>
  </si>
  <si>
    <t>2028-05</t>
    <phoneticPr fontId="39" type="noConversion"/>
  </si>
  <si>
    <t>아양지구
B-3-1BL</t>
    <phoneticPr fontId="39" type="noConversion"/>
  </si>
  <si>
    <t>074.8617A</t>
  </si>
  <si>
    <t>074.9448B</t>
  </si>
  <si>
    <t>074.7280C</t>
  </si>
  <si>
    <t>084.7531A</t>
  </si>
  <si>
    <t>084.6833B</t>
  </si>
  <si>
    <t>084.9013C</t>
  </si>
  <si>
    <t>059.9584A</t>
  </si>
  <si>
    <t>059.7776B</t>
  </si>
  <si>
    <t>059.7891C</t>
  </si>
  <si>
    <t xml:space="preserve">호원동 </t>
    <phoneticPr fontId="39" type="noConversion"/>
  </si>
  <si>
    <t>281-21번지 일원
(힐스테이트 회룡역 파크뷰)</t>
    <phoneticPr fontId="39" type="noConversion"/>
  </si>
  <si>
    <t>모델하우스
(1800-7244)</t>
    <phoneticPr fontId="39" type="noConversion"/>
  </si>
  <si>
    <t>민간/
공공
임대</t>
    <phoneticPr fontId="39" type="noConversion"/>
  </si>
  <si>
    <t>2026-04</t>
    <phoneticPr fontId="39" type="noConversion"/>
  </si>
  <si>
    <t>-(단지요청에 의한 비공개)</t>
    <phoneticPr fontId="39" type="noConversion"/>
  </si>
  <si>
    <t>양주용암3지구
지역주택조합
031-862-0307</t>
    <phoneticPr fontId="39" type="noConversion"/>
  </si>
  <si>
    <t>현대건설㈜</t>
    <phoneticPr fontId="39" type="noConversion"/>
  </si>
  <si>
    <t>총분양
가구수</t>
    <phoneticPr fontId="39" type="noConversion"/>
  </si>
  <si>
    <t>미분양결과</t>
    <phoneticPr fontId="39" type="noConversion"/>
  </si>
  <si>
    <t>267-8번지 일원 
(탑석 푸르지오 파크7)</t>
    <phoneticPr fontId="39" type="noConversion"/>
  </si>
  <si>
    <t>모델하우스
(1688-0230)</t>
    <phoneticPr fontId="39" type="noConversion"/>
  </si>
  <si>
    <t>2025-08-25</t>
    <phoneticPr fontId="39" type="noConversion"/>
  </si>
  <si>
    <t>2025-09-25</t>
    <phoneticPr fontId="39" type="noConversion"/>
  </si>
  <si>
    <t>2029-03</t>
    <phoneticPr fontId="39" type="noConversion"/>
  </si>
  <si>
    <t>84G</t>
    <phoneticPr fontId="39" type="noConversion"/>
  </si>
  <si>
    <t>94A</t>
    <phoneticPr fontId="39" type="noConversion"/>
  </si>
  <si>
    <t>94B</t>
    <phoneticPr fontId="39" type="noConversion"/>
  </si>
  <si>
    <t>94C</t>
    <phoneticPr fontId="39" type="noConversion"/>
  </si>
  <si>
    <t>94D</t>
    <phoneticPr fontId="39" type="noConversion"/>
  </si>
  <si>
    <t>122A</t>
    <phoneticPr fontId="39" type="noConversion"/>
  </si>
  <si>
    <t>122B</t>
    <phoneticPr fontId="39" type="noConversion"/>
  </si>
  <si>
    <t>49A</t>
    <phoneticPr fontId="39" type="noConversion"/>
  </si>
  <si>
    <t>-단지요청에 의한 미공개</t>
  </si>
  <si>
    <t>-단지요청에 의한 미공개</t>
    <phoneticPr fontId="39" type="noConversion"/>
  </si>
  <si>
    <t>084.9371A</t>
    <phoneticPr fontId="39" type="noConversion"/>
  </si>
  <si>
    <t>084.9284B</t>
    <phoneticPr fontId="39" type="noConversion"/>
  </si>
  <si>
    <t>112.9387A</t>
    <phoneticPr fontId="39" type="noConversion"/>
  </si>
  <si>
    <t>112.8889B</t>
    <phoneticPr fontId="39" type="noConversion"/>
  </si>
  <si>
    <t>186.8963P</t>
    <phoneticPr fontId="39" type="noConversion"/>
  </si>
  <si>
    <t>담당부서 :  경기도 주택정책과 031-8008-4927</t>
    <phoneticPr fontId="39" type="noConversion"/>
  </si>
  <si>
    <t xml:space="preserve">㈜대우건설
</t>
    <phoneticPr fontId="39" type="noConversion"/>
  </si>
  <si>
    <t>에스지씨이앤씨 주식회사
(02-489-8414)</t>
    <phoneticPr fontId="39" type="noConversion"/>
  </si>
  <si>
    <t>윈앤윈종합개발㈜
(031-895-6747)</t>
    <phoneticPr fontId="39" type="noConversion"/>
  </si>
  <si>
    <t>84A
(84.9439)</t>
    <phoneticPr fontId="39" type="noConversion"/>
  </si>
  <si>
    <t>84B
(84.2465)</t>
    <phoneticPr fontId="39" type="noConversion"/>
  </si>
  <si>
    <t>84C
(84.1954)</t>
    <phoneticPr fontId="39" type="noConversion"/>
  </si>
  <si>
    <t>84D
(84.9149)</t>
    <phoneticPr fontId="39" type="noConversion"/>
  </si>
  <si>
    <t>84E
(84.9119)</t>
    <phoneticPr fontId="39" type="noConversion"/>
  </si>
  <si>
    <t>84F
(84.9873)</t>
    <phoneticPr fontId="39" type="noConversion"/>
  </si>
  <si>
    <t>오목천동 315-2 외2</t>
    <phoneticPr fontId="39" type="noConversion"/>
  </si>
  <si>
    <t>66.9500A</t>
    <phoneticPr fontId="39" type="noConversion"/>
  </si>
  <si>
    <t>66.9695B</t>
    <phoneticPr fontId="39" type="noConversion"/>
  </si>
  <si>
    <t>84.9582A</t>
    <phoneticPr fontId="39" type="noConversion"/>
  </si>
  <si>
    <t>84.7529B</t>
    <phoneticPr fontId="39" type="noConversion"/>
  </si>
  <si>
    <t>104.7405A</t>
    <phoneticPr fontId="39" type="noConversion"/>
  </si>
  <si>
    <t>104.9590B</t>
    <phoneticPr fontId="39" type="noConversion"/>
  </si>
  <si>
    <t>127.4605A</t>
    <phoneticPr fontId="39" type="noConversion"/>
  </si>
  <si>
    <t>127.7132B</t>
    <phoneticPr fontId="39" type="noConversion"/>
  </si>
  <si>
    <t>ㅡ</t>
    <phoneticPr fontId="39" type="noConversion"/>
  </si>
  <si>
    <t>진흥기업㈜</t>
    <phoneticPr fontId="39" type="noConversion"/>
  </si>
  <si>
    <t>㈜한국토지신탁</t>
    <phoneticPr fontId="39" type="noConversion"/>
  </si>
  <si>
    <t>117A</t>
    <phoneticPr fontId="39" type="noConversion"/>
  </si>
  <si>
    <t>117B</t>
    <phoneticPr fontId="39" type="noConversion"/>
  </si>
  <si>
    <t>117C</t>
    <phoneticPr fontId="39" type="noConversion"/>
  </si>
  <si>
    <t>2025-12</t>
    <phoneticPr fontId="39" type="noConversion"/>
  </si>
  <si>
    <t>2028-04</t>
    <phoneticPr fontId="39" type="noConversion"/>
  </si>
  <si>
    <t>오빈1지구</t>
    <phoneticPr fontId="39" type="noConversion"/>
  </si>
  <si>
    <t>양평읍 오빈리 140-1
(효성해링턴 플레이스 양평)</t>
    <phoneticPr fontId="39" type="noConversion"/>
  </si>
  <si>
    <t>2023-1</t>
    <phoneticPr fontId="39" type="noConversion"/>
  </si>
  <si>
    <t>ㅡ</t>
  </si>
  <si>
    <t>의왕월암 공공주택지구 
B-2블록</t>
    <phoneticPr fontId="39" type="noConversion"/>
  </si>
  <si>
    <t>경기도 용인시 처인구 양지리 713번지 일원</t>
    <phoneticPr fontId="39" type="noConversion"/>
  </si>
  <si>
    <t>에스엠스틸㈜
02-6940-9663</t>
    <phoneticPr fontId="39" type="noConversion"/>
  </si>
  <si>
    <t>㈜삼라, 
에스엠스틸㈜
02-6940-9663</t>
    <phoneticPr fontId="39" type="noConversion"/>
  </si>
  <si>
    <t>1660-0997</t>
    <phoneticPr fontId="39" type="noConversion"/>
  </si>
  <si>
    <t>2028-12</t>
    <phoneticPr fontId="39" type="noConversion"/>
  </si>
  <si>
    <t>양지지구
1bl</t>
    <phoneticPr fontId="39" type="noConversion"/>
  </si>
  <si>
    <t>시흥시 수인로 2365
(논곡동 378번지
효성 해링턴플레이스 목감역@)</t>
    <phoneticPr fontId="39" type="noConversion"/>
  </si>
  <si>
    <t>1600-3267</t>
    <phoneticPr fontId="39" type="noConversion"/>
  </si>
  <si>
    <t>2023.7.26.</t>
    <phoneticPr fontId="39" type="noConversion"/>
  </si>
  <si>
    <t>2023.9.1.</t>
    <phoneticPr fontId="39" type="noConversion"/>
  </si>
  <si>
    <t>2024.1.</t>
    <phoneticPr fontId="39" type="noConversion"/>
  </si>
  <si>
    <t>거모동</t>
    <phoneticPr fontId="39" type="noConversion"/>
  </si>
  <si>
    <t>경기도 시흥시 거모동
1175 일원 S-2BL</t>
    <phoneticPr fontId="39" type="noConversion"/>
  </si>
  <si>
    <t>대방산업개발
주식회사
(02-2181-4300)</t>
    <phoneticPr fontId="39" type="noConversion"/>
  </si>
  <si>
    <t>1688-8003</t>
    <phoneticPr fontId="39" type="noConversion"/>
  </si>
  <si>
    <t>2025.11.14.</t>
    <phoneticPr fontId="39" type="noConversion"/>
  </si>
  <si>
    <t>2025.12.17.</t>
    <phoneticPr fontId="39" type="noConversion"/>
  </si>
  <si>
    <t>2028.08.31.</t>
    <phoneticPr fontId="39" type="noConversion"/>
  </si>
  <si>
    <t>거모지구</t>
    <phoneticPr fontId="39" type="noConversion"/>
  </si>
  <si>
    <t>거모동</t>
  </si>
  <si>
    <t>경기도 시흥시 거모동
1196-1 일원 B-2BL</t>
    <phoneticPr fontId="39" type="noConversion"/>
  </si>
  <si>
    <t>2025.11.14.</t>
  </si>
  <si>
    <t>2025.12.17.</t>
  </si>
  <si>
    <t>2028.08.31.</t>
  </si>
  <si>
    <t>경기도 시흥시 거모동
1288 일원 B-6BL</t>
    <phoneticPr fontId="39" type="noConversion"/>
  </si>
  <si>
    <t>㈜모아주택산업,
㈜로제비앙건설
062-520-0101
062-362-8425</t>
    <phoneticPr fontId="39" type="noConversion"/>
  </si>
  <si>
    <t>한아건설㈜
062-606-1064</t>
    <phoneticPr fontId="39" type="noConversion"/>
  </si>
  <si>
    <t>1551-1178</t>
    <phoneticPr fontId="39" type="noConversion"/>
  </si>
  <si>
    <t>2025.11.28</t>
    <phoneticPr fontId="39" type="noConversion"/>
  </si>
  <si>
    <t>2025.12.31</t>
    <phoneticPr fontId="39" type="noConversion"/>
  </si>
  <si>
    <t>2029.01</t>
    <phoneticPr fontId="39" type="noConversion"/>
  </si>
  <si>
    <t>(비공개)</t>
    <phoneticPr fontId="39" type="noConversion"/>
  </si>
  <si>
    <t>소  계</t>
    <phoneticPr fontId="39" type="noConversion"/>
  </si>
  <si>
    <t>659번지</t>
    <phoneticPr fontId="39" type="noConversion"/>
  </si>
  <si>
    <t>㈜금성백조주택
(042-242-2002)</t>
    <phoneticPr fontId="39" type="noConversion"/>
  </si>
  <si>
    <t>모델하우스
(1899-1482)</t>
    <phoneticPr fontId="39" type="noConversion"/>
  </si>
  <si>
    <t>2025-10-29</t>
    <phoneticPr fontId="39" type="noConversion"/>
  </si>
  <si>
    <t>2028-06</t>
    <phoneticPr fontId="39" type="noConversion"/>
  </si>
  <si>
    <t>아양지구
B-2BL</t>
    <phoneticPr fontId="39" type="noConversion"/>
  </si>
  <si>
    <t>2026-09</t>
    <phoneticPr fontId="39" type="noConversion"/>
  </si>
  <si>
    <t>만안구 석수2동</t>
    <phoneticPr fontId="39" type="noConversion"/>
  </si>
  <si>
    <t>335-1번지</t>
    <phoneticPr fontId="39" type="noConversion"/>
  </si>
  <si>
    <r>
      <t>2026-0</t>
    </r>
    <r>
      <rPr>
        <sz val="14"/>
        <rFont val="맑은 고딕"/>
        <family val="3"/>
        <charset val="129"/>
      </rPr>
      <t>2</t>
    </r>
    <phoneticPr fontId="39" type="noConversion"/>
  </si>
  <si>
    <r>
      <rPr>
        <sz val="14"/>
        <color theme="1"/>
        <rFont val="맑은 고딕"/>
        <family val="3"/>
        <charset val="129"/>
      </rPr>
      <t>㈜동인위즈</t>
    </r>
    <r>
      <rPr>
        <sz val="14"/>
        <color theme="1"/>
        <rFont val="Calibri"/>
        <family val="3"/>
      </rPr>
      <t xml:space="preserve">
(031-967-1184)</t>
    </r>
    <phoneticPr fontId="39" type="noConversion"/>
  </si>
  <si>
    <r>
      <rPr>
        <sz val="14"/>
        <color theme="1"/>
        <rFont val="맑은고딕"/>
        <family val="3"/>
        <charset val="129"/>
      </rPr>
      <t>2019-0</t>
    </r>
    <r>
      <rPr>
        <sz val="14"/>
        <color theme="1"/>
        <rFont val="굴림"/>
        <family val="3"/>
        <charset val="129"/>
      </rPr>
      <t>7</t>
    </r>
    <phoneticPr fontId="39" type="noConversion"/>
  </si>
  <si>
    <t>2019-07</t>
    <phoneticPr fontId="39" type="noConversion"/>
  </si>
  <si>
    <t>2028-10</t>
    <phoneticPr fontId="39" type="noConversion"/>
  </si>
  <si>
    <t>2025-6</t>
    <phoneticPr fontId="39" type="noConversion"/>
  </si>
  <si>
    <t>2028-02</t>
    <phoneticPr fontId="39" type="noConversion"/>
  </si>
  <si>
    <t>2024-9</t>
    <phoneticPr fontId="39" type="noConversion"/>
  </si>
  <si>
    <t>2028-5</t>
    <phoneticPr fontId="39" type="noConversion"/>
  </si>
  <si>
    <t>2026-7</t>
    <phoneticPr fontId="39" type="noConversion"/>
  </si>
  <si>
    <t>송산그린시티</t>
    <phoneticPr fontId="39" type="noConversion"/>
  </si>
  <si>
    <t>99B</t>
    <phoneticPr fontId="39" type="noConversion"/>
  </si>
  <si>
    <t>126P</t>
    <phoneticPr fontId="39" type="noConversion"/>
  </si>
  <si>
    <t>127P</t>
    <phoneticPr fontId="39" type="noConversion"/>
  </si>
  <si>
    <r>
      <t>202</t>
    </r>
    <r>
      <rPr>
        <sz val="14"/>
        <rFont val="맑은 고딕"/>
        <family val="3"/>
        <charset val="129"/>
      </rPr>
      <t>3</t>
    </r>
    <r>
      <rPr>
        <sz val="14"/>
        <rFont val="맑은고딕"/>
        <family val="3"/>
        <charset val="129"/>
      </rPr>
      <t>-08</t>
    </r>
    <phoneticPr fontId="39" type="noConversion"/>
  </si>
  <si>
    <t>2026-3</t>
    <phoneticPr fontId="39" type="noConversion"/>
  </si>
  <si>
    <t>2024-12</t>
  </si>
  <si>
    <t>2025-01</t>
  </si>
  <si>
    <t>2027-12</t>
  </si>
  <si>
    <t>2028-4</t>
  </si>
  <si>
    <t>24.12.06</t>
  </si>
  <si>
    <t>2025-09</t>
  </si>
  <si>
    <r>
      <t>원미</t>
    </r>
    <r>
      <rPr>
        <sz val="14"/>
        <color theme="1"/>
        <rFont val="굴림"/>
        <family val="3"/>
        <charset val="129"/>
      </rPr>
      <t>동</t>
    </r>
    <r>
      <rPr>
        <sz val="14"/>
        <color theme="1"/>
        <rFont val="맑은고딕"/>
        <family val="3"/>
        <charset val="129"/>
      </rPr>
      <t xml:space="preserve"> 119-2
(부천원미동문디이스트)
(주거정비과)</t>
    </r>
    <phoneticPr fontId="39" type="noConversion"/>
  </si>
  <si>
    <t>2027. 2.</t>
  </si>
  <si>
    <r>
      <t>2024</t>
    </r>
    <r>
      <rPr>
        <sz val="14"/>
        <rFont val="맑은 고딕"/>
        <family val="3"/>
        <charset val="129"/>
      </rPr>
      <t>-</t>
    </r>
    <r>
      <rPr>
        <sz val="14"/>
        <rFont val="맑은고딕"/>
        <family val="3"/>
        <charset val="129"/>
      </rPr>
      <t>12</t>
    </r>
    <phoneticPr fontId="39" type="noConversion"/>
  </si>
  <si>
    <r>
      <t>2027</t>
    </r>
    <r>
      <rPr>
        <sz val="14"/>
        <rFont val="맑은 고딕"/>
        <family val="3"/>
        <charset val="129"/>
      </rPr>
      <t>-</t>
    </r>
    <r>
      <rPr>
        <sz val="14"/>
        <rFont val="맑은고딕"/>
        <family val="3"/>
        <charset val="129"/>
      </rPr>
      <t>2</t>
    </r>
    <phoneticPr fontId="39" type="noConversion"/>
  </si>
  <si>
    <r>
      <t>2024</t>
    </r>
    <r>
      <rPr>
        <sz val="14"/>
        <rFont val="맑은 고딕"/>
        <family val="3"/>
        <charset val="129"/>
      </rPr>
      <t>-</t>
    </r>
    <r>
      <rPr>
        <sz val="14"/>
        <rFont val="맑은고딕"/>
        <family val="3"/>
        <charset val="129"/>
      </rPr>
      <t>6</t>
    </r>
    <phoneticPr fontId="39" type="noConversion"/>
  </si>
  <si>
    <r>
      <t>2024</t>
    </r>
    <r>
      <rPr>
        <sz val="14"/>
        <rFont val="맑은 고딕"/>
        <family val="3"/>
        <charset val="129"/>
      </rPr>
      <t>-</t>
    </r>
    <r>
      <rPr>
        <sz val="14"/>
        <rFont val="맑은고딕"/>
        <family val="3"/>
        <charset val="129"/>
      </rPr>
      <t>7</t>
    </r>
    <phoneticPr fontId="39" type="noConversion"/>
  </si>
  <si>
    <r>
      <t>2028</t>
    </r>
    <r>
      <rPr>
        <sz val="14"/>
        <rFont val="맑은 고딕"/>
        <family val="3"/>
        <charset val="129"/>
      </rPr>
      <t>-</t>
    </r>
    <r>
      <rPr>
        <sz val="14"/>
        <rFont val="맑은고딕"/>
        <family val="3"/>
        <charset val="129"/>
      </rPr>
      <t>7</t>
    </r>
    <phoneticPr fontId="39" type="noConversion"/>
  </si>
  <si>
    <r>
      <t>2024-</t>
    </r>
    <r>
      <rPr>
        <sz val="14"/>
        <color theme="1"/>
        <rFont val="맑은 고딕"/>
        <family val="3"/>
        <charset val="129"/>
      </rPr>
      <t>09</t>
    </r>
    <phoneticPr fontId="39" type="noConversion"/>
  </si>
  <si>
    <r>
      <t>미</t>
    </r>
    <r>
      <rPr>
        <sz val="14"/>
        <rFont val="굴림"/>
        <family val="3"/>
        <charset val="129"/>
      </rPr>
      <t>준</t>
    </r>
    <r>
      <rPr>
        <sz val="14"/>
        <rFont val="맑은고딕"/>
        <family val="3"/>
        <charset val="129"/>
      </rPr>
      <t>공</t>
    </r>
    <phoneticPr fontId="39" type="noConversion"/>
  </si>
  <si>
    <t>29-4
(명남더블레스)</t>
    <phoneticPr fontId="39" type="noConversion"/>
  </si>
  <si>
    <t>명남종합건설㈜</t>
    <phoneticPr fontId="39" type="noConversion"/>
  </si>
  <si>
    <t>명남더블레스</t>
    <phoneticPr fontId="39" type="noConversion"/>
  </si>
  <si>
    <t>코리아신탁㈜
(031-821-7771)</t>
    <phoneticPr fontId="39" type="noConversion"/>
  </si>
  <si>
    <t>의정부동</t>
  </si>
  <si>
    <t>94-8
(의정부역 다채로움)</t>
    <phoneticPr fontId="39" type="noConversion"/>
  </si>
  <si>
    <t>㈜부성종합건설</t>
    <phoneticPr fontId="39" type="noConversion"/>
  </si>
  <si>
    <t>부성건설</t>
    <phoneticPr fontId="39" type="noConversion"/>
  </si>
  <si>
    <t>교보자산신탁㈜</t>
    <phoneticPr fontId="39" type="noConversion"/>
  </si>
  <si>
    <t>84.3216A</t>
    <phoneticPr fontId="39" type="noConversion"/>
  </si>
  <si>
    <t>2024-11-29</t>
    <phoneticPr fontId="39" type="noConversion"/>
  </si>
  <si>
    <t>84.3216B</t>
    <phoneticPr fontId="39" type="noConversion"/>
  </si>
  <si>
    <t>100-1
(해링턴플레이스 의정부역)</t>
    <phoneticPr fontId="39" type="noConversion"/>
  </si>
  <si>
    <t>㈜하나자산신탁</t>
    <phoneticPr fontId="39" type="noConversion"/>
  </si>
  <si>
    <t>㈜하나자산신탁
(031-873-8979)</t>
    <phoneticPr fontId="39" type="noConversion"/>
  </si>
  <si>
    <t>84.5611A</t>
    <phoneticPr fontId="39" type="noConversion"/>
  </si>
  <si>
    <t>84.8589B</t>
    <phoneticPr fontId="39" type="noConversion"/>
  </si>
  <si>
    <t>84.9517C</t>
    <phoneticPr fontId="39" type="noConversion"/>
  </si>
  <si>
    <t>2024-07-08</t>
    <phoneticPr fontId="39" type="noConversion"/>
  </si>
  <si>
    <t>2024-08-01</t>
    <phoneticPr fontId="39" type="noConversion"/>
  </si>
  <si>
    <r>
      <t xml:space="preserve">준공
</t>
    </r>
    <r>
      <rPr>
        <sz val="14"/>
        <rFont val="맑은 고딕"/>
        <family val="3"/>
        <charset val="129"/>
      </rPr>
      <t>(부분
준공)</t>
    </r>
    <phoneticPr fontId="39" type="noConversion"/>
  </si>
  <si>
    <t xml:space="preserve"> 경기도 안양시 만안구 안양동 398-32번지 일원</t>
    <phoneticPr fontId="39" type="noConversion"/>
  </si>
  <si>
    <t>지에스건설㈜
(1644-2654)</t>
    <phoneticPr fontId="39" type="noConversion"/>
  </si>
  <si>
    <t>상록지구주택재개발정비사업조합
(031-442-7818)</t>
    <phoneticPr fontId="39" type="noConversion"/>
  </si>
  <si>
    <t>49.9890A</t>
    <phoneticPr fontId="39" type="noConversion"/>
  </si>
  <si>
    <t>2029-09</t>
    <phoneticPr fontId="39" type="noConversion"/>
  </si>
  <si>
    <t>상록지구</t>
    <phoneticPr fontId="39" type="noConversion"/>
  </si>
  <si>
    <t>49.9890B</t>
    <phoneticPr fontId="39" type="noConversion"/>
  </si>
  <si>
    <t>49.9890C</t>
    <phoneticPr fontId="39" type="noConversion"/>
  </si>
  <si>
    <t>59.9949A</t>
    <phoneticPr fontId="39" type="noConversion"/>
  </si>
  <si>
    <t>59.9899B</t>
    <phoneticPr fontId="39" type="noConversion"/>
  </si>
  <si>
    <t>59.9905C</t>
    <phoneticPr fontId="39" type="noConversion"/>
  </si>
  <si>
    <t>59.9948D</t>
    <phoneticPr fontId="39" type="noConversion"/>
  </si>
  <si>
    <t>76.9842B</t>
    <phoneticPr fontId="39" type="noConversion"/>
  </si>
  <si>
    <t>84.9902A</t>
    <phoneticPr fontId="39" type="noConversion"/>
  </si>
  <si>
    <t>84.9914B</t>
    <phoneticPr fontId="39" type="noConversion"/>
  </si>
  <si>
    <t>만안구
안양동</t>
    <phoneticPr fontId="39" type="noConversion"/>
  </si>
  <si>
    <t>경기도 안양시 만안구
안양동 841-5 일원
안양역 센트럴 아이파크 수자인</t>
    <phoneticPr fontId="39" type="noConversion"/>
  </si>
  <si>
    <t>02-2008–9114</t>
    <phoneticPr fontId="39" type="noConversion"/>
  </si>
  <si>
    <t>031-465-3063</t>
    <phoneticPr fontId="39" type="noConversion"/>
  </si>
  <si>
    <t>1844-2066</t>
    <phoneticPr fontId="39" type="noConversion"/>
  </si>
  <si>
    <t>안양역세권지구</t>
    <phoneticPr fontId="39" type="noConversion"/>
  </si>
  <si>
    <t>동안구비산3동</t>
    <phoneticPr fontId="39" type="noConversion"/>
  </si>
  <si>
    <t>원미동</t>
  </si>
  <si>
    <t>원미동 150-1
(부천역 에피트 어바닉)
(원도심재생과)</t>
  </si>
  <si>
    <t>에이치엘디앤아이한라㈜
(02-3434-5114)</t>
  </si>
  <si>
    <t>장미연립 가로주택정비사업 조합
(032-662-8105)</t>
  </si>
  <si>
    <t>분양홍보관
(032-611-0105)</t>
  </si>
  <si>
    <t>64A</t>
  </si>
  <si>
    <t>64B</t>
  </si>
  <si>
    <t>소  계</t>
  </si>
  <si>
    <t>괴안동</t>
    <phoneticPr fontId="39" type="noConversion"/>
  </si>
  <si>
    <t>괴안동 201
(쌍용 더 플래티넘 온수역)
(주거정비과)</t>
    <phoneticPr fontId="39" type="noConversion"/>
  </si>
  <si>
    <t>쌍용건설㈜
(02-3433-7114)</t>
    <phoneticPr fontId="39" type="noConversion"/>
  </si>
  <si>
    <t>괴안3D구역 재개발정비사업조합
(032-342-5156)</t>
    <phoneticPr fontId="39" type="noConversion"/>
  </si>
  <si>
    <t>분양사무실
(02-2613-3332)</t>
    <phoneticPr fontId="39" type="noConversion"/>
  </si>
  <si>
    <r>
      <t>여주</t>
    </r>
    <r>
      <rPr>
        <sz val="14"/>
        <color theme="1"/>
        <rFont val="굴림"/>
        <family val="3"/>
        <charset val="129"/>
      </rPr>
      <t>시</t>
    </r>
    <phoneticPr fontId="39" type="noConversion"/>
  </si>
  <si>
    <t>95A</t>
  </si>
  <si>
    <t>95B</t>
  </si>
  <si>
    <t>옥정지구 중상1 · 복합1 BL
(옥정동 962-8,-9)</t>
    <phoneticPr fontId="39" type="noConversion"/>
  </si>
  <si>
    <t>㈜대방건설
(02-2181-9400)</t>
    <phoneticPr fontId="39" type="noConversion"/>
  </si>
  <si>
    <r>
      <t xml:space="preserve">옥정중앙역 디에트르 
모델하우스
</t>
    </r>
    <r>
      <rPr>
        <sz val="11"/>
        <color rgb="FF000000"/>
        <rFont val="돋움"/>
        <family val="3"/>
        <charset val="129"/>
      </rPr>
      <t>(1688-7002)</t>
    </r>
    <phoneticPr fontId="39" type="noConversion"/>
  </si>
  <si>
    <t>2026.04.08</t>
    <phoneticPr fontId="39" type="noConversion"/>
  </si>
  <si>
    <t>2026.05.14.</t>
    <phoneticPr fontId="39" type="noConversion"/>
  </si>
  <si>
    <t>2030.06.</t>
    <phoneticPr fontId="39" type="noConversion"/>
  </si>
  <si>
    <t>옥정지구</t>
    <phoneticPr fontId="39" type="noConversion"/>
  </si>
  <si>
    <t>경기도 시흥시 거모동
1171 일원 B-1BL</t>
    <phoneticPr fontId="39" type="noConversion"/>
  </si>
  <si>
    <t>㈜호반건설, 
진아건설㈜
(070-4760-6375)</t>
    <phoneticPr fontId="39" type="noConversion"/>
  </si>
  <si>
    <t>㈜호반건설
(070-4760-6375)</t>
    <phoneticPr fontId="39" type="noConversion"/>
  </si>
  <si>
    <t>1670-1737</t>
    <phoneticPr fontId="39" type="noConversion"/>
  </si>
  <si>
    <t>2026.03.12.</t>
    <phoneticPr fontId="39" type="noConversion"/>
  </si>
  <si>
    <t>2026.04.15.</t>
    <phoneticPr fontId="39" type="noConversion"/>
  </si>
  <si>
    <t>2028.11.30.</t>
    <phoneticPr fontId="39" type="noConversion"/>
  </si>
  <si>
    <t>평동 135-1 일원</t>
  </si>
  <si>
    <t>동아건설산업㈜
(031-227-7207)</t>
    <phoneticPr fontId="39" type="noConversion"/>
  </si>
  <si>
    <t>수원역 아너스빌 타임원 견본주택
(1544-6236)</t>
    <phoneticPr fontId="39" type="noConversion"/>
  </si>
  <si>
    <t>84A
(84.6388)</t>
    <phoneticPr fontId="39" type="noConversion"/>
  </si>
  <si>
    <t>2026. 5. 21.</t>
    <phoneticPr fontId="39" type="noConversion"/>
  </si>
  <si>
    <t>(정당)
2026. 06. 24.
(예당)
2026. 06. 27.</t>
    <phoneticPr fontId="39" type="noConversion"/>
  </si>
  <si>
    <t>2028. 10.</t>
    <phoneticPr fontId="39" type="noConversion"/>
  </si>
  <si>
    <t>평동지구</t>
    <phoneticPr fontId="39" type="noConversion"/>
  </si>
  <si>
    <t>84B
(84.8874)</t>
    <phoneticPr fontId="39" type="noConversion"/>
  </si>
  <si>
    <t>에스엠하이플러스㈜
(02-6940-9635)
㈜아주엠앤씨
(02-767-1502)</t>
    <phoneticPr fontId="39" type="noConversion"/>
  </si>
  <si>
    <t>처인구 고림동 646-2번지 일원</t>
    <phoneticPr fontId="39" type="noConversion"/>
  </si>
  <si>
    <t>고림지구</t>
    <phoneticPr fontId="39" type="noConversion"/>
  </si>
  <si>
    <t>110A</t>
    <phoneticPr fontId="39" type="noConversion"/>
  </si>
  <si>
    <t>㈜화인뷰
㈜디케이랜드
031-338-2340</t>
    <phoneticPr fontId="39" type="noConversion"/>
  </si>
  <si>
    <t>1551-3300</t>
    <phoneticPr fontId="39" type="noConversion"/>
  </si>
  <si>
    <r>
      <t>2025</t>
    </r>
    <r>
      <rPr>
        <sz val="14"/>
        <rFont val="맑은 고딕"/>
        <family val="3"/>
        <charset val="129"/>
      </rPr>
      <t>-08</t>
    </r>
    <phoneticPr fontId="39" type="noConversion"/>
  </si>
  <si>
    <t>2028-07</t>
    <phoneticPr fontId="39" type="noConversion"/>
  </si>
  <si>
    <t>2025-09</t>
    <phoneticPr fontId="39" type="noConversion"/>
  </si>
  <si>
    <t>처인구 양지읍 양지리 산105-8번지</t>
    <phoneticPr fontId="39" type="noConversion"/>
  </si>
  <si>
    <t>양지지구 2BL
(지역주택조합)</t>
    <phoneticPr fontId="39" type="noConversion"/>
  </si>
  <si>
    <t>2026-05</t>
    <phoneticPr fontId="39" type="noConversion"/>
  </si>
  <si>
    <t>2030-09</t>
    <phoneticPr fontId="39" type="noConversion"/>
  </si>
  <si>
    <t>괴안동 106-1
(엘리프 역곡)
(원도심재생과)</t>
    <phoneticPr fontId="39" type="noConversion"/>
  </si>
  <si>
    <t>대현청실외2 가로주택정비사업 조합
(032-349-9697)</t>
    <phoneticPr fontId="39" type="noConversion"/>
  </si>
  <si>
    <t>&lt;추가&gt;
무순위 청약
('26. 6. 29. ~ 7. 1.)</t>
    <phoneticPr fontId="39" type="noConversion"/>
  </si>
  <si>
    <t>소사동</t>
    <phoneticPr fontId="39" type="noConversion"/>
  </si>
  <si>
    <t>소사동 48-21
(e편한세상 부천 어반스퀘어)
(주거정비과)</t>
    <phoneticPr fontId="39" type="noConversion"/>
  </si>
  <si>
    <t>디엘이앤씨(주)
(02-6299-5881)</t>
    <phoneticPr fontId="39" type="noConversion"/>
  </si>
  <si>
    <t>소사3구역 재개발정비사업조합
(032-344-5834)</t>
    <phoneticPr fontId="39" type="noConversion"/>
  </si>
  <si>
    <t>분양사무실
(032-323-1649)</t>
    <phoneticPr fontId="39" type="noConversion"/>
  </si>
  <si>
    <t>의정부동 253-19번지 일원
(의정부역센트럴아이파크)</t>
    <phoneticPr fontId="39" type="noConversion"/>
  </si>
  <si>
    <t>아이파크현대산업
개발주식회사
(1566-0431)</t>
    <phoneticPr fontId="39" type="noConversion"/>
  </si>
  <si>
    <t>분양상담
(010-6261-8045)</t>
    <phoneticPr fontId="39" type="noConversion"/>
  </si>
  <si>
    <t>2026-04-07</t>
    <phoneticPr fontId="39" type="noConversion"/>
  </si>
  <si>
    <t>2026-04-29</t>
    <phoneticPr fontId="39" type="noConversion"/>
  </si>
  <si>
    <t>2029-12</t>
    <phoneticPr fontId="39" type="noConversion"/>
  </si>
  <si>
    <t>양벌동</t>
    <phoneticPr fontId="39" type="noConversion"/>
  </si>
  <si>
    <t>산54-3번지 일원</t>
    <phoneticPr fontId="39" type="noConversion"/>
  </si>
  <si>
    <t>롯데건설㈜
(02-3480-9114)</t>
    <phoneticPr fontId="39" type="noConversion"/>
  </si>
  <si>
    <t>신한자산신탁㈜
(031-767-8440)</t>
    <phoneticPr fontId="39" type="noConversion"/>
  </si>
  <si>
    <t>1899-2340</t>
    <phoneticPr fontId="39" type="noConversion"/>
  </si>
  <si>
    <t>쌍령공원
공동주택
1단지</t>
    <phoneticPr fontId="39" type="noConversion"/>
  </si>
  <si>
    <r>
      <t>2026</t>
    </r>
    <r>
      <rPr>
        <sz val="14"/>
        <rFont val="맑은 고딕"/>
        <family val="3"/>
        <charset val="129"/>
      </rPr>
      <t>-12</t>
    </r>
    <phoneticPr fontId="39" type="noConversion"/>
  </si>
  <si>
    <t>124P</t>
    <phoneticPr fontId="39" type="noConversion"/>
  </si>
  <si>
    <t>125P</t>
    <phoneticPr fontId="39" type="noConversion"/>
  </si>
  <si>
    <t>대야동</t>
    <phoneticPr fontId="39" type="noConversion"/>
  </si>
  <si>
    <t>경기도 시흥시 대야동
140-5</t>
    <phoneticPr fontId="39" type="noConversion"/>
  </si>
  <si>
    <t>현대엔지니어링
(02-2134-1114)</t>
    <phoneticPr fontId="39" type="noConversion"/>
  </si>
  <si>
    <t xml:space="preserve"> ㈜베가
(032-667-4545)</t>
    <phoneticPr fontId="39" type="noConversion"/>
  </si>
  <si>
    <t>1866-0430</t>
    <phoneticPr fontId="39" type="noConversion"/>
  </si>
  <si>
    <t>2026.05.15.</t>
    <phoneticPr fontId="39" type="noConversion"/>
  </si>
  <si>
    <t>2026.06.24</t>
    <phoneticPr fontId="39" type="noConversion"/>
  </si>
  <si>
    <t>2029.03</t>
    <phoneticPr fontId="39" type="noConversion"/>
  </si>
  <si>
    <t>대야1지구</t>
    <phoneticPr fontId="39" type="noConversion"/>
  </si>
  <si>
    <t>처인구 고림동 620번지 일원</t>
    <phoneticPr fontId="39" type="noConversion"/>
  </si>
  <si>
    <t>사업주체의 비공개 요청</t>
    <phoneticPr fontId="39" type="noConversion"/>
  </si>
  <si>
    <t>2026.04.09.</t>
    <phoneticPr fontId="39" type="noConversion"/>
  </si>
  <si>
    <t>2026.05.13.</t>
    <phoneticPr fontId="39" type="noConversion"/>
  </si>
  <si>
    <t>2028.10.</t>
    <phoneticPr fontId="39" type="noConversion"/>
  </si>
  <si>
    <t>고림2지구 ABL</t>
    <phoneticPr fontId="39" type="noConversion"/>
  </si>
  <si>
    <t>처인구</t>
  </si>
  <si>
    <t>민간 분양 주택('26. 08월 31일 기준)</t>
    <phoneticPr fontId="39" type="noConversion"/>
  </si>
  <si>
    <t>-</t>
    <phoneticPr fontId="119" type="noConversion"/>
  </si>
  <si>
    <t>역북동</t>
    <phoneticPr fontId="39" type="noConversion"/>
  </si>
  <si>
    <t>처인구 역북동 89-25번지 일원</t>
    <phoneticPr fontId="39" type="noConversion"/>
  </si>
  <si>
    <t>㈜서희건설
02)3416-6700</t>
    <phoneticPr fontId="39" type="noConversion"/>
  </si>
  <si>
    <t>역북지역주택조합,
㈜서희건설</t>
    <phoneticPr fontId="39" type="noConversion"/>
  </si>
  <si>
    <t xml:space="preserve">031-335-1254 </t>
    <phoneticPr fontId="39" type="noConversion"/>
  </si>
  <si>
    <t>2026.07.16.</t>
    <phoneticPr fontId="39" type="noConversion"/>
  </si>
  <si>
    <t>2026.08.20.</t>
    <phoneticPr fontId="39" type="noConversion"/>
  </si>
  <si>
    <t>2027.03.</t>
    <phoneticPr fontId="39" type="noConversion"/>
  </si>
  <si>
    <t>역북2지구
(지역주택조합)</t>
    <phoneticPr fontId="39" type="noConversion"/>
  </si>
  <si>
    <t>166p</t>
    <phoneticPr fontId="39" type="noConversion"/>
  </si>
  <si>
    <t>진접읍</t>
    <phoneticPr fontId="39" type="noConversion"/>
  </si>
  <si>
    <t>진접2 공공주택지구 S-1BL</t>
    <phoneticPr fontId="39" type="noConversion"/>
  </si>
  <si>
    <t>㈜서한
(053-741-9980)</t>
    <phoneticPr fontId="39" type="noConversion"/>
  </si>
  <si>
    <t>031-568-8900</t>
    <phoneticPr fontId="39" type="noConversion"/>
  </si>
  <si>
    <t>72</t>
    <phoneticPr fontId="39" type="noConversion"/>
  </si>
  <si>
    <t>2026-07</t>
    <phoneticPr fontId="39" type="noConversion"/>
  </si>
  <si>
    <t>진접2 S-2BL</t>
    <phoneticPr fontId="39" type="noConversion"/>
  </si>
  <si>
    <t>95A</t>
    <phoneticPr fontId="39" type="noConversion"/>
  </si>
  <si>
    <t>95B</t>
    <phoneticPr fontId="39" type="noConversion"/>
  </si>
  <si>
    <t>민간 분양 주택('26. 09월 30일 기준)</t>
    <phoneticPr fontId="39" type="noConversion"/>
  </si>
  <si>
    <t>전월
('26.08/31)</t>
    <phoneticPr fontId="39" type="noConversion"/>
  </si>
  <si>
    <t>당해월
('26.09/30)</t>
    <phoneticPr fontId="39" type="noConversion"/>
  </si>
  <si>
    <t xml:space="preserve"> □ 경기도 민간부문 미분양 현황 ('26.09.30. 기준)-기재된 숫자는 분양되지  않은 주택 수를 의미함</t>
    <phoneticPr fontId="39" type="noConversion"/>
  </si>
  <si>
    <t>2026.08.06.</t>
    <phoneticPr fontId="39" type="noConversion"/>
  </si>
  <si>
    <t>2026.09.09.</t>
    <phoneticPr fontId="39" type="noConversion"/>
  </si>
  <si>
    <t>2029.01.</t>
    <phoneticPr fontId="39" type="noConversion"/>
  </si>
  <si>
    <t>용인반도 체클러스터 일반산업단지 공동주택용지 D1-1 BL</t>
    <phoneticPr fontId="39" type="noConversion"/>
  </si>
  <si>
    <t>71A</t>
    <phoneticPr fontId="39" type="noConversion"/>
  </si>
  <si>
    <t>고당리 350-3 일원</t>
    <phoneticPr fontId="39" type="noConversion"/>
  </si>
  <si>
    <t>02-2007-2000</t>
    <phoneticPr fontId="39" type="noConversion"/>
  </si>
  <si>
    <t>02-2007-2424</t>
    <phoneticPr fontId="39" type="noConversion"/>
  </si>
  <si>
    <t>1533-0589</t>
    <phoneticPr fontId="39" type="noConversion"/>
  </si>
  <si>
    <t>2026-8</t>
    <phoneticPr fontId="39" type="noConversion"/>
  </si>
  <si>
    <t>2029-9</t>
    <phoneticPr fontId="39" type="noConversion"/>
  </si>
  <si>
    <t>고덕동</t>
    <phoneticPr fontId="3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</si>
</sst>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7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 * #,##0_ ;_ * \-#,##0_ ;_ * &quot;-&quot;_ ;_ @_ "/>
    <numFmt numFmtId="177" formatCode="#,##0_ "/>
    <numFmt numFmtId="178" formatCode="#,##0_);[Red]\(#,##0\)"/>
    <numFmt numFmtId="179" formatCode="_ * #,##0.00_ ;_ * \-#,##0.00_ ;_ * &quot;-&quot;??_ ;_ @_ "/>
    <numFmt numFmtId="180" formatCode="#,##0;&quot;₩&quot;&quot;₩&quot;&quot;₩&quot;&quot;₩&quot;\(#,##0&quot;₩&quot;&quot;₩&quot;&quot;₩&quot;&quot;₩&quot;\)"/>
    <numFmt numFmtId="181" formatCode="_(&quot;$&quot;* #,##0.00_);_(&quot;$&quot;* \(#,##0.00\);_(&quot;$&quot;* &quot;-&quot;??_);_(@_)"/>
    <numFmt numFmtId="182" formatCode="&quot;₩&quot;&quot;₩&quot;&quot;₩&quot;&quot;₩&quot;\$#,##0.00;&quot;₩&quot;&quot;₩&quot;&quot;₩&quot;&quot;₩&quot;\(&quot;₩&quot;&quot;₩&quot;&quot;₩&quot;&quot;₩&quot;\$#,##0.00&quot;₩&quot;&quot;₩&quot;&quot;₩&quot;&quot;₩&quot;\)"/>
    <numFmt numFmtId="183" formatCode="&quot;₩&quot;&quot;₩&quot;&quot;₩&quot;&quot;₩&quot;\$#,##0;&quot;₩&quot;&quot;₩&quot;&quot;₩&quot;&quot;₩&quot;\(&quot;₩&quot;&quot;₩&quot;&quot;₩&quot;&quot;₩&quot;\$#,##0&quot;₩&quot;&quot;₩&quot;&quot;₩&quot;&quot;₩&quot;\)"/>
    <numFmt numFmtId="184" formatCode="&quot;₩&quot;#,##0.00;&quot;₩&quot;\-#,##0.00"/>
    <numFmt numFmtId="185" formatCode="#,##0.00_ "/>
    <numFmt numFmtId="186" formatCode="#,##0;&quot;-&quot;#,##0"/>
    <numFmt numFmtId="187" formatCode="&quot;R$&quot;#,##0.00;&quot;R$&quot;\-#,##0.00"/>
    <numFmt numFmtId="188" formatCode="yyyy&quot;年&quot;&quot;₩&quot;&quot;₩&quot;&quot;₩&quot;&quot;₩&quot;\ mm&quot;月&quot;&quot;₩&quot;&quot;₩&quot;&quot;₩&quot;&quot;₩&quot;\ dd&quot;日&quot;"/>
    <numFmt numFmtId="189" formatCode="#,##0.0000000;[Red]&quot;-&quot;#,##0.0000000"/>
    <numFmt numFmtId="190" formatCode="#,##0.000000000;[Red]&quot;-&quot;#,##0.000000000"/>
    <numFmt numFmtId="191" formatCode="#,##0.00_);[Red]\(#,##0.00\)"/>
    <numFmt numFmtId="192" formatCode="yyyy/mm"/>
    <numFmt numFmtId="193" formatCode="#,##0.0000_);[Red]\(#,##0.0000\)"/>
    <numFmt numFmtId="194" formatCode="0.0000_ "/>
    <numFmt numFmtId="195" formatCode="_-* #,##0.0000_-;\-* #,##0.0000_-;_-* &quot;-&quot;_-;_-@_-"/>
    <numFmt numFmtId="196" formatCode="#,##0.0_);[Red]\(#,##0.0\)"/>
    <numFmt numFmtId="197" formatCode="0.0000;[Red]0.0000"/>
    <numFmt numFmtId="198" formatCode="0_ "/>
  </numFmts>
  <fonts count="165">
    <font>
      <sz val="11"/>
      <color rgb="FF000000"/>
      <name val="돋움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000000"/>
      <name val="돋움"/>
      <family val="3"/>
      <charset val="129"/>
    </font>
    <font>
      <sz val="12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20"/>
      <color rgb="FF000000"/>
      <name val="HY견고딕"/>
      <family val="1"/>
      <charset val="129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  <font>
      <sz val="11"/>
      <color indexed="8"/>
      <name val="돋움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굴림"/>
      <family val="3"/>
      <charset val="129"/>
    </font>
    <font>
      <sz val="12"/>
      <color indexed="8"/>
      <name val="돋움"/>
      <family val="3"/>
      <charset val="129"/>
    </font>
    <font>
      <sz val="10"/>
      <name val="돋움"/>
      <family val="3"/>
      <charset val="129"/>
    </font>
    <font>
      <sz val="10"/>
      <name val="굴림체"/>
      <family val="3"/>
      <charset val="129"/>
    </font>
    <font>
      <sz val="12"/>
      <name val="바탕체"/>
      <family val="1"/>
      <charset val="129"/>
    </font>
    <font>
      <sz val="12"/>
      <name val="Times New Roman"/>
      <family val="1"/>
    </font>
    <font>
      <sz val="14"/>
      <name val="뼻뮝"/>
      <family val="3"/>
      <charset val="129"/>
    </font>
    <font>
      <sz val="12"/>
      <name val="뼻뮝"/>
      <family val="3"/>
      <charset val="129"/>
    </font>
    <font>
      <sz val="12"/>
      <color indexed="24"/>
      <name val="바탕체"/>
      <family val="1"/>
      <charset val="129"/>
    </font>
    <font>
      <sz val="12"/>
      <name val="ⓒoUAAA¨u"/>
      <family val="1"/>
      <charset val="129"/>
    </font>
    <font>
      <sz val="11"/>
      <name val="￥i￠￢￠?o"/>
      <family val="3"/>
      <charset val="129"/>
    </font>
    <font>
      <sz val="12"/>
      <name val="¹UAAA¼"/>
      <family val="3"/>
      <charset val="129"/>
    </font>
    <font>
      <sz val="10"/>
      <name val="±¼¸²A¼"/>
      <family val="3"/>
      <charset val="129"/>
    </font>
    <font>
      <sz val="12"/>
      <name val="System"/>
      <family val="2"/>
      <charset val="129"/>
    </font>
    <font>
      <sz val="10"/>
      <name val="MS Sans Serif"/>
      <family val="2"/>
    </font>
    <font>
      <sz val="10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8"/>
      <name val="Arial"/>
      <family val="2"/>
    </font>
    <font>
      <b/>
      <sz val="11"/>
      <name val="Helv"/>
      <family val="2"/>
    </font>
    <font>
      <sz val="10"/>
      <color indexed="64"/>
      <name val="Arial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b/>
      <sz val="12"/>
      <name val="돋움"/>
      <family val="3"/>
      <charset val="129"/>
    </font>
    <font>
      <b/>
      <sz val="14"/>
      <name val="돋움"/>
      <family val="3"/>
      <charset val="129"/>
    </font>
    <font>
      <sz val="10"/>
      <color theme="1"/>
      <name val="맑은 고딕"/>
      <family val="2"/>
      <charset val="129"/>
    </font>
    <font>
      <sz val="12"/>
      <name val="굴림"/>
      <family val="3"/>
      <charset val="129"/>
    </font>
    <font>
      <sz val="11"/>
      <name val="굴림체"/>
      <family val="3"/>
      <charset val="129"/>
    </font>
    <font>
      <sz val="11"/>
      <name val="바탕체"/>
      <family val="1"/>
      <charset val="129"/>
    </font>
    <font>
      <u/>
      <sz val="11"/>
      <color indexed="36"/>
      <name val="돋움"/>
      <family val="3"/>
      <charset val="129"/>
    </font>
    <font>
      <sz val="10"/>
      <name val="바탕"/>
      <family val="1"/>
      <charset val="129"/>
    </font>
    <font>
      <sz val="12"/>
      <color indexed="24"/>
      <name val="Helv"/>
      <family val="2"/>
    </font>
    <font>
      <sz val="10"/>
      <name val="돋움체"/>
      <family val="3"/>
      <charset val="129"/>
    </font>
    <font>
      <b/>
      <sz val="10"/>
      <name val="Helv"/>
      <family val="2"/>
    </font>
    <font>
      <u/>
      <sz val="11"/>
      <color indexed="12"/>
      <name val="돋움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sz val="10"/>
      <name val="Univers (WN)"/>
      <family val="2"/>
    </font>
    <font>
      <sz val="7"/>
      <name val="Small Fonts"/>
      <family val="2"/>
    </font>
    <font>
      <sz val="18"/>
      <color indexed="12"/>
      <name val="MS Sans Serif"/>
      <family val="2"/>
    </font>
    <font>
      <b/>
      <u/>
      <sz val="13"/>
      <name val="굴림체"/>
      <family val="3"/>
      <charset val="129"/>
    </font>
    <font>
      <sz val="12"/>
      <name val="굴림체"/>
      <family val="3"/>
      <charset val="129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1"/>
      <color rgb="FFFF0000"/>
      <name val="돋움"/>
      <family val="3"/>
      <charset val="129"/>
    </font>
    <font>
      <b/>
      <sz val="14"/>
      <color theme="1"/>
      <name val="맑은 고딕"/>
      <family val="3"/>
      <charset val="129"/>
      <scheme val="major"/>
    </font>
    <font>
      <b/>
      <sz val="20"/>
      <color theme="1"/>
      <name val="맑은 고딕"/>
      <family val="3"/>
      <charset val="129"/>
      <scheme val="major"/>
    </font>
    <font>
      <sz val="12"/>
      <color rgb="FFFF0000"/>
      <name val="돋움"/>
      <family val="3"/>
      <charset val="129"/>
    </font>
    <font>
      <sz val="12"/>
      <color theme="1"/>
      <name val="돋움"/>
      <family val="3"/>
      <charset val="129"/>
    </font>
    <font>
      <b/>
      <sz val="12"/>
      <color theme="1"/>
      <name val="돋움"/>
      <family val="3"/>
      <charset val="129"/>
    </font>
    <font>
      <sz val="14"/>
      <color theme="1"/>
      <name val="돋움"/>
      <family val="3"/>
      <charset val="129"/>
    </font>
    <font>
      <b/>
      <sz val="14"/>
      <color theme="1"/>
      <name val="돋움"/>
      <family val="3"/>
      <charset val="129"/>
    </font>
    <font>
      <sz val="12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color rgb="FFFFFFFF"/>
      <name val="맑은 고딕"/>
      <family val="3"/>
      <charset val="129"/>
    </font>
    <font>
      <sz val="14"/>
      <color theme="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b/>
      <sz val="18"/>
      <color rgb="FF0000FF"/>
      <name val="돋움"/>
      <family val="3"/>
      <charset val="129"/>
    </font>
    <font>
      <sz val="11"/>
      <color theme="1"/>
      <name val="맑은고딕"/>
      <family val="3"/>
      <charset val="129"/>
    </font>
    <font>
      <sz val="11"/>
      <name val="맑은고딕"/>
      <family val="3"/>
      <charset val="129"/>
    </font>
    <font>
      <sz val="11"/>
      <color theme="0"/>
      <name val="맑은고딕"/>
      <family val="3"/>
      <charset val="129"/>
    </font>
    <font>
      <sz val="14"/>
      <color theme="0"/>
      <name val="맑은고딕"/>
      <family val="3"/>
      <charset val="129"/>
    </font>
    <font>
      <sz val="14"/>
      <color rgb="FF000000"/>
      <name val="맑은고딕"/>
      <family val="3"/>
      <charset val="129"/>
    </font>
    <font>
      <sz val="14"/>
      <color theme="1"/>
      <name val="맑은고딕"/>
      <family val="3"/>
      <charset val="129"/>
    </font>
    <font>
      <sz val="14"/>
      <color indexed="8"/>
      <name val="맑은고딕"/>
      <family val="3"/>
      <charset val="129"/>
    </font>
    <font>
      <sz val="14"/>
      <name val="맑은고딕"/>
      <family val="3"/>
      <charset val="129"/>
    </font>
    <font>
      <b/>
      <sz val="14"/>
      <name val="맑은고딕"/>
      <family val="3"/>
      <charset val="129"/>
    </font>
    <font>
      <b/>
      <sz val="14"/>
      <color theme="1"/>
      <name val="맑은고딕"/>
      <family val="3"/>
      <charset val="129"/>
    </font>
    <font>
      <b/>
      <sz val="14"/>
      <color theme="0"/>
      <name val="맑은고딕"/>
      <family val="3"/>
      <charset val="129"/>
    </font>
    <font>
      <sz val="14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sz val="14"/>
      <color theme="1"/>
      <name val="맑은 고딕"/>
      <family val="3"/>
      <charset val="129"/>
      <scheme val="major"/>
    </font>
    <font>
      <b/>
      <sz val="14"/>
      <color rgb="FF000000"/>
      <name val="맑은고딕"/>
      <family val="3"/>
      <charset val="129"/>
    </font>
    <font>
      <b/>
      <sz val="14"/>
      <color rgb="FF000000"/>
      <name val="맑은 고딕"/>
      <family val="3"/>
      <charset val="129"/>
      <scheme val="major"/>
    </font>
    <font>
      <sz val="14"/>
      <color rgb="FFFF0000"/>
      <name val="맑은고딕"/>
      <family val="3"/>
      <charset val="129"/>
    </font>
    <font>
      <b/>
      <sz val="11"/>
      <name val="맑은고딕"/>
      <family val="3"/>
      <charset val="129"/>
    </font>
    <font>
      <sz val="14"/>
      <color theme="1"/>
      <name val="굴림"/>
      <family val="3"/>
      <charset val="129"/>
    </font>
    <font>
      <sz val="14"/>
      <color rgb="FF000000"/>
      <name val="굴림"/>
      <family val="3"/>
      <charset val="129"/>
    </font>
    <font>
      <sz val="14"/>
      <color rgb="FF000000"/>
      <name val="맑은 고딕"/>
      <family val="3"/>
      <charset val="129"/>
    </font>
    <font>
      <sz val="14"/>
      <name val="돋움"/>
      <family val="3"/>
      <charset val="129"/>
    </font>
    <font>
      <sz val="14"/>
      <color theme="1"/>
      <name val="맑은 고딕"/>
      <family val="3"/>
      <charset val="129"/>
    </font>
    <font>
      <sz val="14"/>
      <name val="굴림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ajor"/>
    </font>
    <font>
      <b/>
      <sz val="11"/>
      <color rgb="FF000000"/>
      <name val="맑은 고딕"/>
      <family val="3"/>
      <charset val="129"/>
      <scheme val="maj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b/>
      <sz val="14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</font>
    <font>
      <sz val="14"/>
      <color theme="1"/>
      <name val="Calibri"/>
      <family val="3"/>
    </font>
    <font>
      <sz val="14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ajor"/>
    </font>
    <font>
      <b/>
      <sz val="11"/>
      <name val="맑은 고딕"/>
      <family val="3"/>
      <charset val="129"/>
      <scheme val="minor"/>
    </font>
    <font>
      <b/>
      <sz val="14"/>
      <color rgb="FFFF0000"/>
      <name val="돋움"/>
      <family val="3"/>
      <charset val="129"/>
    </font>
    <font>
      <sz val="20"/>
      <name val="HY견고딕"/>
      <family val="1"/>
      <charset val="129"/>
    </font>
  </fonts>
  <fills count="42">
    <fill>
      <patternFill patternType="none"/>
    </fill>
    <fill>
      <patternFill patternType="gray125"/>
    </fill>
    <fill>
      <patternFill patternType="solid">
        <fgColor rgb="FFDBEEF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C99"/>
        <bgColor rgb="FF000000"/>
      </patternFill>
    </fill>
    <fill>
      <patternFill patternType="solid">
        <fgColor rgb="FFFFD7A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0"/>
      </patternFill>
    </fill>
    <fill>
      <patternFill patternType="solid">
        <fgColor rgb="FFFFCC99"/>
        <bgColor indexed="0"/>
      </patternFill>
    </fill>
    <fill>
      <patternFill patternType="solid">
        <fgColor rgb="FFFFFF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theme="1"/>
      </top>
      <bottom/>
      <diagonal/>
    </border>
    <border>
      <left style="thin">
        <color indexed="64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auto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</borders>
  <cellStyleXfs count="49742">
    <xf numFmtId="0" fontId="0" fillId="0" borderId="0"/>
    <xf numFmtId="41" fontId="38" fillId="0" borderId="0"/>
    <xf numFmtId="41" fontId="38" fillId="0" borderId="0"/>
    <xf numFmtId="41" fontId="38" fillId="0" borderId="0">
      <alignment vertical="center"/>
    </xf>
    <xf numFmtId="41" fontId="38" fillId="0" borderId="0"/>
    <xf numFmtId="0" fontId="38" fillId="0" borderId="0"/>
    <xf numFmtId="0" fontId="38" fillId="0" borderId="0"/>
    <xf numFmtId="0" fontId="38" fillId="0" borderId="0">
      <alignment vertical="center"/>
    </xf>
    <xf numFmtId="0" fontId="38" fillId="0" borderId="0"/>
    <xf numFmtId="0" fontId="33" fillId="0" borderId="1">
      <alignment horizontal="left" vertical="center"/>
    </xf>
    <xf numFmtId="0" fontId="33" fillId="0" borderId="2">
      <alignment horizontal="left" vertical="center"/>
    </xf>
    <xf numFmtId="0" fontId="34" fillId="0" borderId="0">
      <alignment vertical="center"/>
    </xf>
    <xf numFmtId="0" fontId="38" fillId="0" borderId="0"/>
    <xf numFmtId="9" fontId="32" fillId="0" borderId="0"/>
    <xf numFmtId="41" fontId="38" fillId="0" borderId="0"/>
    <xf numFmtId="41" fontId="38" fillId="0" borderId="0"/>
    <xf numFmtId="0" fontId="38" fillId="0" borderId="0"/>
    <xf numFmtId="0" fontId="38" fillId="0" borderId="0"/>
    <xf numFmtId="0" fontId="38" fillId="0" borderId="0"/>
    <xf numFmtId="41" fontId="38" fillId="0" borderId="0"/>
    <xf numFmtId="0" fontId="38" fillId="0" borderId="0"/>
    <xf numFmtId="41" fontId="38" fillId="0" borderId="0"/>
    <xf numFmtId="0" fontId="38" fillId="0" borderId="0"/>
    <xf numFmtId="0" fontId="34" fillId="0" borderId="0">
      <alignment vertical="center"/>
    </xf>
    <xf numFmtId="0" fontId="38" fillId="0" borderId="0"/>
    <xf numFmtId="9" fontId="32" fillId="0" borderId="0"/>
    <xf numFmtId="41" fontId="38" fillId="0" borderId="0"/>
    <xf numFmtId="41" fontId="38" fillId="0" borderId="0"/>
    <xf numFmtId="0" fontId="38" fillId="0" borderId="0"/>
    <xf numFmtId="0" fontId="38" fillId="0" borderId="0"/>
    <xf numFmtId="0" fontId="38" fillId="0" borderId="0"/>
    <xf numFmtId="41" fontId="38" fillId="0" borderId="0"/>
    <xf numFmtId="0" fontId="38" fillId="0" borderId="0"/>
    <xf numFmtId="41" fontId="38" fillId="0" borderId="0"/>
    <xf numFmtId="0" fontId="38" fillId="0" borderId="0"/>
    <xf numFmtId="0" fontId="34" fillId="0" borderId="0">
      <alignment vertical="center"/>
    </xf>
    <xf numFmtId="0" fontId="38" fillId="0" borderId="0"/>
    <xf numFmtId="41" fontId="38" fillId="0" borderId="0"/>
    <xf numFmtId="41" fontId="38" fillId="0" borderId="0"/>
    <xf numFmtId="0" fontId="38" fillId="0" borderId="0"/>
    <xf numFmtId="0" fontId="38" fillId="0" borderId="0"/>
    <xf numFmtId="0" fontId="38" fillId="0" borderId="0"/>
    <xf numFmtId="41" fontId="38" fillId="0" borderId="0"/>
    <xf numFmtId="0" fontId="38" fillId="0" borderId="0"/>
    <xf numFmtId="0" fontId="34" fillId="0" borderId="0">
      <alignment vertical="center"/>
    </xf>
    <xf numFmtId="0" fontId="38" fillId="0" borderId="0"/>
    <xf numFmtId="9" fontId="32" fillId="0" borderId="0"/>
    <xf numFmtId="41" fontId="38" fillId="0" borderId="0"/>
    <xf numFmtId="0" fontId="38" fillId="0" borderId="0"/>
    <xf numFmtId="0" fontId="34" fillId="0" borderId="0">
      <alignment vertical="center"/>
    </xf>
    <xf numFmtId="0" fontId="38" fillId="0" borderId="0"/>
    <xf numFmtId="41" fontId="38" fillId="0" borderId="0"/>
    <xf numFmtId="41" fontId="38" fillId="0" borderId="0"/>
    <xf numFmtId="0" fontId="38" fillId="0" borderId="0"/>
    <xf numFmtId="0" fontId="38" fillId="0" borderId="0"/>
    <xf numFmtId="0" fontId="38" fillId="0" borderId="0"/>
    <xf numFmtId="41" fontId="38" fillId="0" borderId="0"/>
    <xf numFmtId="0" fontId="38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41" fontId="38" fillId="0" borderId="0"/>
    <xf numFmtId="0" fontId="38" fillId="0" borderId="0"/>
    <xf numFmtId="0" fontId="34" fillId="0" borderId="0">
      <alignment vertical="center"/>
    </xf>
    <xf numFmtId="0" fontId="38" fillId="0" borderId="0"/>
    <xf numFmtId="41" fontId="38" fillId="0" borderId="0"/>
    <xf numFmtId="41" fontId="38" fillId="0" borderId="0"/>
    <xf numFmtId="0" fontId="38" fillId="0" borderId="0"/>
    <xf numFmtId="0" fontId="38" fillId="0" borderId="0"/>
    <xf numFmtId="0" fontId="38" fillId="0" borderId="0"/>
    <xf numFmtId="41" fontId="38" fillId="0" borderId="0"/>
    <xf numFmtId="0" fontId="38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41" fontId="38" fillId="0" borderId="0"/>
    <xf numFmtId="41" fontId="38" fillId="0" borderId="0">
      <alignment vertical="center"/>
    </xf>
    <xf numFmtId="0" fontId="38" fillId="0" borderId="0"/>
    <xf numFmtId="41" fontId="38" fillId="0" borderId="0"/>
    <xf numFmtId="41" fontId="38" fillId="0" borderId="0"/>
    <xf numFmtId="0" fontId="38" fillId="0" borderId="0"/>
    <xf numFmtId="41" fontId="38" fillId="0" borderId="0"/>
    <xf numFmtId="0" fontId="38" fillId="0" borderId="0"/>
    <xf numFmtId="0" fontId="38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>
      <alignment vertical="center"/>
    </xf>
    <xf numFmtId="0" fontId="34" fillId="0" borderId="0">
      <alignment vertical="center"/>
    </xf>
    <xf numFmtId="0" fontId="40" fillId="0" borderId="0" applyFill="0" applyAlignment="0"/>
    <xf numFmtId="41" fontId="40" fillId="0" borderId="0" applyFont="0" applyFill="0" applyAlignment="0" applyProtection="0"/>
    <xf numFmtId="41" fontId="40" fillId="0" borderId="0" applyFont="0" applyFill="0" applyAlignment="0" applyProtection="0"/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40" fillId="0" borderId="0" applyFill="0" applyAlignment="0"/>
    <xf numFmtId="0" fontId="40" fillId="0" borderId="0" applyFill="0" applyAlignment="0"/>
    <xf numFmtId="0" fontId="41" fillId="0" borderId="0">
      <alignment vertical="center"/>
    </xf>
    <xf numFmtId="0" fontId="41" fillId="0" borderId="0"/>
    <xf numFmtId="0" fontId="45" fillId="0" borderId="1" applyNumberFormat="0" applyAlignment="0" applyProtection="0">
      <alignment horizontal="left" vertical="center"/>
    </xf>
    <xf numFmtId="0" fontId="45" fillId="0" borderId="2">
      <alignment horizontal="left" vertical="center"/>
    </xf>
    <xf numFmtId="0" fontId="31" fillId="0" borderId="0">
      <alignment vertical="center"/>
    </xf>
    <xf numFmtId="0" fontId="40" fillId="0" borderId="0" applyFill="0" applyAlignment="0"/>
    <xf numFmtId="9" fontId="42" fillId="0" borderId="0" applyFont="0" applyFill="0" applyAlignment="0" applyProtection="0"/>
    <xf numFmtId="41" fontId="40" fillId="0" borderId="0" applyFont="0" applyFill="0" applyAlignment="0" applyProtection="0"/>
    <xf numFmtId="41" fontId="40" fillId="0" borderId="0" applyFont="0" applyFill="0" applyAlignment="0" applyProtection="0"/>
    <xf numFmtId="0" fontId="40" fillId="0" borderId="0" applyFill="0" applyAlignment="0"/>
    <xf numFmtId="0" fontId="40" fillId="0" borderId="0" applyFill="0" applyAlignment="0"/>
    <xf numFmtId="0" fontId="40" fillId="0" borderId="0" applyFill="0" applyAlignment="0"/>
    <xf numFmtId="41" fontId="40" fillId="0" borderId="0" applyFont="0" applyFill="0" applyAlignment="0" applyProtection="0"/>
    <xf numFmtId="0" fontId="40" fillId="0" borderId="0" applyFill="0" applyAlignment="0"/>
    <xf numFmtId="41" fontId="40" fillId="0" borderId="0" applyFont="0" applyFill="0" applyAlignment="0" applyProtection="0"/>
    <xf numFmtId="0" fontId="40" fillId="0" borderId="0" applyFill="0" applyAlignment="0"/>
    <xf numFmtId="0" fontId="31" fillId="0" borderId="0">
      <alignment vertical="center"/>
    </xf>
    <xf numFmtId="0" fontId="40" fillId="0" borderId="0" applyFill="0" applyAlignment="0"/>
    <xf numFmtId="9" fontId="42" fillId="0" borderId="0" applyFont="0" applyFill="0" applyAlignment="0" applyProtection="0"/>
    <xf numFmtId="41" fontId="40" fillId="0" borderId="0" applyFont="0" applyFill="0" applyAlignment="0" applyProtection="0"/>
    <xf numFmtId="41" fontId="40" fillId="0" borderId="0" applyFont="0" applyFill="0" applyAlignment="0" applyProtection="0"/>
    <xf numFmtId="0" fontId="40" fillId="0" borderId="0" applyFill="0" applyAlignment="0"/>
    <xf numFmtId="0" fontId="40" fillId="0" borderId="0" applyFill="0" applyAlignment="0"/>
    <xf numFmtId="0" fontId="40" fillId="0" borderId="0" applyFill="0" applyAlignment="0"/>
    <xf numFmtId="41" fontId="40" fillId="0" borderId="0" applyFont="0" applyFill="0" applyAlignment="0" applyProtection="0"/>
    <xf numFmtId="0" fontId="40" fillId="0" borderId="0" applyFill="0" applyAlignment="0"/>
    <xf numFmtId="41" fontId="40" fillId="0" borderId="0" applyFont="0" applyFill="0" applyAlignment="0" applyProtection="0"/>
    <xf numFmtId="0" fontId="40" fillId="0" borderId="0" applyFill="0" applyAlignment="0"/>
    <xf numFmtId="0" fontId="31" fillId="0" borderId="0">
      <alignment vertical="center"/>
    </xf>
    <xf numFmtId="0" fontId="40" fillId="0" borderId="0" applyFill="0" applyAlignment="0"/>
    <xf numFmtId="41" fontId="40" fillId="0" borderId="0" applyFont="0" applyFill="0" applyAlignment="0" applyProtection="0"/>
    <xf numFmtId="41" fontId="40" fillId="0" borderId="0" applyFont="0" applyFill="0" applyAlignment="0" applyProtection="0"/>
    <xf numFmtId="0" fontId="40" fillId="0" borderId="0" applyFill="0" applyAlignment="0"/>
    <xf numFmtId="0" fontId="40" fillId="0" borderId="0" applyFill="0" applyAlignment="0"/>
    <xf numFmtId="0" fontId="40" fillId="0" borderId="0" applyFill="0" applyAlignment="0"/>
    <xf numFmtId="41" fontId="40" fillId="0" borderId="0" applyFont="0" applyFill="0" applyAlignment="0" applyProtection="0"/>
    <xf numFmtId="0" fontId="40" fillId="0" borderId="0" applyFill="0" applyAlignment="0"/>
    <xf numFmtId="0" fontId="31" fillId="0" borderId="0">
      <alignment vertical="center"/>
    </xf>
    <xf numFmtId="0" fontId="40" fillId="0" borderId="0" applyFill="0" applyAlignment="0"/>
    <xf numFmtId="9" fontId="42" fillId="0" borderId="0" applyFont="0" applyFill="0" applyAlignment="0" applyProtection="0"/>
    <xf numFmtId="41" fontId="40" fillId="0" borderId="0" applyFont="0" applyFill="0" applyAlignment="0" applyProtection="0"/>
    <xf numFmtId="0" fontId="40" fillId="0" borderId="0" applyFill="0" applyAlignment="0"/>
    <xf numFmtId="0" fontId="31" fillId="0" borderId="0">
      <alignment vertical="center"/>
    </xf>
    <xf numFmtId="0" fontId="40" fillId="0" borderId="0" applyFill="0" applyAlignment="0"/>
    <xf numFmtId="41" fontId="40" fillId="0" borderId="0" applyFont="0" applyFill="0" applyAlignment="0" applyProtection="0"/>
    <xf numFmtId="41" fontId="40" fillId="0" borderId="0" applyFont="0" applyFill="0" applyAlignment="0" applyProtection="0"/>
    <xf numFmtId="0" fontId="40" fillId="0" borderId="0" applyFill="0" applyAlignment="0"/>
    <xf numFmtId="0" fontId="40" fillId="0" borderId="0" applyFill="0" applyAlignment="0"/>
    <xf numFmtId="0" fontId="40" fillId="0" borderId="0" applyFill="0" applyAlignment="0"/>
    <xf numFmtId="41" fontId="40" fillId="0" borderId="0" applyFont="0" applyFill="0" applyAlignment="0" applyProtection="0"/>
    <xf numFmtId="0" fontId="40" fillId="0" borderId="0" applyFill="0" applyAlignment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41" fontId="40" fillId="0" borderId="0" applyFont="0" applyFill="0" applyAlignment="0" applyProtection="0"/>
    <xf numFmtId="0" fontId="40" fillId="0" borderId="0" applyFill="0" applyAlignment="0"/>
    <xf numFmtId="0" fontId="31" fillId="0" borderId="0">
      <alignment vertical="center"/>
    </xf>
    <xf numFmtId="0" fontId="40" fillId="0" borderId="0" applyFill="0" applyAlignment="0"/>
    <xf numFmtId="41" fontId="40" fillId="0" borderId="0" applyFont="0" applyFill="0" applyAlignment="0" applyProtection="0"/>
    <xf numFmtId="41" fontId="40" fillId="0" borderId="0" applyFont="0" applyFill="0" applyAlignment="0" applyProtection="0"/>
    <xf numFmtId="0" fontId="40" fillId="0" borderId="0" applyFill="0" applyAlignment="0"/>
    <xf numFmtId="0" fontId="40" fillId="0" borderId="0" applyFill="0" applyAlignment="0"/>
    <xf numFmtId="0" fontId="40" fillId="0" borderId="0" applyFill="0" applyAlignment="0"/>
    <xf numFmtId="41" fontId="40" fillId="0" borderId="0" applyFont="0" applyFill="0" applyAlignment="0" applyProtection="0"/>
    <xf numFmtId="0" fontId="40" fillId="0" borderId="0" applyFill="0" applyAlignment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0" fontId="41" fillId="0" borderId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0" fillId="0" borderId="0" applyFont="0" applyFill="0" applyBorder="0" applyAlignment="0" applyProtection="0">
      <alignment vertical="center"/>
    </xf>
    <xf numFmtId="9" fontId="40" fillId="0" borderId="0" applyFont="0" applyFill="0" applyBorder="0" applyAlignment="0" applyProtection="0">
      <alignment vertical="center"/>
    </xf>
    <xf numFmtId="0" fontId="60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63" fillId="10" borderId="0" applyNumberFormat="0" applyBorder="0" applyAlignment="0" applyProtection="0">
      <alignment vertical="center"/>
    </xf>
    <xf numFmtId="3" fontId="60" fillId="0" borderId="0" applyFont="0" applyFill="0" applyBorder="0" applyAlignment="0" applyProtection="0"/>
    <xf numFmtId="0" fontId="62" fillId="6" borderId="0" applyNumberFormat="0" applyBorder="0" applyAlignment="0" applyProtection="0">
      <alignment vertical="center"/>
    </xf>
    <xf numFmtId="0" fontId="56" fillId="0" borderId="0"/>
    <xf numFmtId="184" fontId="41" fillId="0" borderId="0" applyFont="0" applyFill="0" applyBorder="0" applyAlignment="0" applyProtection="0"/>
    <xf numFmtId="0" fontId="56" fillId="0" borderId="0" applyFont="0" applyFill="0" applyBorder="0" applyAlignment="0" applyProtection="0"/>
    <xf numFmtId="38" fontId="58" fillId="0" borderId="0" applyFont="0" applyFill="0" applyBorder="0" applyAlignment="0" applyProtection="0"/>
    <xf numFmtId="0" fontId="49" fillId="0" borderId="0"/>
    <xf numFmtId="0" fontId="62" fillId="3" borderId="0" applyNumberFormat="0" applyBorder="0" applyAlignment="0" applyProtection="0">
      <alignment vertical="center"/>
    </xf>
    <xf numFmtId="182" fontId="59" fillId="0" borderId="0"/>
    <xf numFmtId="0" fontId="62" fillId="11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53" fillId="0" borderId="0" applyFont="0" applyFill="0" applyBorder="0" applyAlignment="0" applyProtection="0"/>
    <xf numFmtId="180" fontId="59" fillId="0" borderId="0"/>
    <xf numFmtId="0" fontId="62" fillId="5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48" fillId="0" borderId="0"/>
    <xf numFmtId="0" fontId="63" fillId="11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181" fontId="6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7" fillId="0" borderId="0"/>
    <xf numFmtId="0" fontId="62" fillId="9" borderId="0" applyNumberFormat="0" applyBorder="0" applyAlignment="0" applyProtection="0">
      <alignment vertical="center"/>
    </xf>
    <xf numFmtId="0" fontId="56" fillId="0" borderId="0" applyFont="0" applyFill="0" applyBorder="0" applyAlignment="0" applyProtection="0"/>
    <xf numFmtId="0" fontId="43" fillId="0" borderId="0">
      <alignment vertical="center"/>
    </xf>
    <xf numFmtId="0" fontId="62" fillId="8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55" fillId="0" borderId="0" applyFont="0" applyFill="0" applyBorder="0" applyAlignment="0" applyProtection="0"/>
    <xf numFmtId="0" fontId="62" fillId="6" borderId="0" applyNumberFormat="0" applyBorder="0" applyAlignment="0" applyProtection="0">
      <alignment vertical="center"/>
    </xf>
    <xf numFmtId="0" fontId="48" fillId="0" borderId="0"/>
    <xf numFmtId="0" fontId="62" fillId="4" borderId="0" applyNumberFormat="0" applyBorder="0" applyAlignment="0" applyProtection="0">
      <alignment vertical="center"/>
    </xf>
    <xf numFmtId="0" fontId="56" fillId="0" borderId="0" applyFont="0" applyFill="0" applyBorder="0" applyAlignment="0" applyProtection="0"/>
    <xf numFmtId="0" fontId="47" fillId="0" borderId="0" applyFont="0" applyFill="0" applyBorder="0" applyAlignment="0" applyProtection="0"/>
    <xf numFmtId="183" fontId="59" fillId="0" borderId="0"/>
    <xf numFmtId="2" fontId="60" fillId="0" borderId="0" applyFont="0" applyFill="0" applyBorder="0" applyAlignment="0" applyProtection="0"/>
    <xf numFmtId="0" fontId="61" fillId="0" borderId="1" applyNumberFormat="0" applyAlignment="0" applyProtection="0">
      <alignment horizontal="left" vertical="center"/>
    </xf>
    <xf numFmtId="0" fontId="61" fillId="0" borderId="2">
      <alignment horizontal="left" vertical="center"/>
    </xf>
    <xf numFmtId="0" fontId="7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176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0" fillId="0" borderId="0"/>
    <xf numFmtId="10" fontId="60" fillId="0" borderId="0" applyFont="0" applyFill="0" applyBorder="0" applyAlignment="0" applyProtection="0"/>
    <xf numFmtId="0" fontId="80" fillId="0" borderId="0"/>
    <xf numFmtId="0" fontId="60" fillId="0" borderId="7" applyNumberFormat="0" applyFont="0" applyFill="0" applyAlignment="0" applyProtection="0"/>
    <xf numFmtId="0" fontId="63" fillId="17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40" fontId="50" fillId="0" borderId="0" applyFont="0" applyFill="0" applyBorder="0" applyAlignment="0" applyProtection="0"/>
    <xf numFmtId="38" fontId="50" fillId="0" borderId="0" applyFont="0" applyFill="0" applyBorder="0" applyAlignment="0" applyProtection="0"/>
    <xf numFmtId="0" fontId="41" fillId="22" borderId="9" applyNumberFormat="0" applyFont="0" applyAlignment="0" applyProtection="0">
      <alignment vertical="center"/>
    </xf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67" fillId="23" borderId="0" applyNumberFormat="0" applyBorder="0" applyAlignment="0" applyProtection="0">
      <alignment vertical="center"/>
    </xf>
    <xf numFmtId="0" fontId="51" fillId="0" borderId="0"/>
    <xf numFmtId="0" fontId="68" fillId="0" borderId="0" applyNumberFormat="0" applyFill="0" applyBorder="0" applyAlignment="0" applyProtection="0">
      <alignment vertical="center"/>
    </xf>
    <xf numFmtId="0" fontId="69" fillId="24" borderId="10" applyNumberFormat="0" applyAlignment="0" applyProtection="0">
      <alignment vertical="center"/>
    </xf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70" fillId="0" borderId="11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2" fillId="8" borderId="8" applyNumberFormat="0" applyAlignment="0" applyProtection="0">
      <alignment vertical="center"/>
    </xf>
    <xf numFmtId="3" fontId="52" fillId="0" borderId="0" applyFont="0" applyFill="0" applyBorder="0" applyAlignment="0" applyProtection="0"/>
    <xf numFmtId="0" fontId="74" fillId="0" borderId="13" applyNumberFormat="0" applyFill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48" fillId="0" borderId="0"/>
    <xf numFmtId="0" fontId="78" fillId="21" borderId="16" applyNumberFormat="0" applyAlignment="0" applyProtection="0">
      <alignment vertical="center"/>
    </xf>
    <xf numFmtId="0" fontId="41" fillId="0" borderId="0"/>
    <xf numFmtId="0" fontId="41" fillId="0" borderId="0">
      <alignment vertical="center"/>
    </xf>
    <xf numFmtId="0" fontId="63" fillId="20" borderId="0" applyNumberFormat="0" applyBorder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3" fillId="20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41" fillId="0" borderId="0"/>
    <xf numFmtId="0" fontId="76" fillId="0" borderId="15" applyNumberFormat="0" applyFill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63" fillId="15" borderId="0" applyNumberFormat="0" applyBorder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63" fillId="15" borderId="0" applyNumberFormat="0" applyBorder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63" fillId="14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41" fillId="0" borderId="0"/>
    <xf numFmtId="0" fontId="62" fillId="8" borderId="0" applyNumberFormat="0" applyBorder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41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76" fillId="0" borderId="15" applyNumberFormat="0" applyFill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65" fillId="21" borderId="8" applyNumberFormat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41" fillId="0" borderId="0"/>
    <xf numFmtId="0" fontId="63" fillId="15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3" fillId="15" borderId="0" applyNumberFormat="0" applyBorder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41" fillId="0" borderId="0">
      <alignment vertical="center"/>
    </xf>
    <xf numFmtId="0" fontId="62" fillId="4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4" fillId="0" borderId="13" applyNumberFormat="0" applyFill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41" fillId="0" borderId="0">
      <alignment vertical="center"/>
    </xf>
    <xf numFmtId="0" fontId="62" fillId="11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41" fillId="0" borderId="0">
      <alignment vertical="center"/>
    </xf>
    <xf numFmtId="0" fontId="63" fillId="15" borderId="0" applyNumberFormat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2" fillId="5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5" fillId="21" borderId="8" applyNumberFormat="0" applyAlignment="0" applyProtection="0">
      <alignment vertical="center"/>
    </xf>
    <xf numFmtId="41" fontId="41" fillId="0" borderId="0" applyFont="0" applyFill="0" applyBorder="0" applyAlignment="0" applyProtection="0"/>
    <xf numFmtId="0" fontId="62" fillId="5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78" fillId="21" borderId="16" applyNumberFormat="0" applyAlignment="0" applyProtection="0">
      <alignment vertical="center"/>
    </xf>
    <xf numFmtId="41" fontId="41" fillId="0" borderId="0" applyFont="0" applyFill="0" applyBorder="0" applyAlignment="0" applyProtection="0"/>
    <xf numFmtId="0" fontId="62" fillId="8" borderId="0" applyNumberFormat="0" applyBorder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3" fillId="20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3" fillId="14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78" fillId="21" borderId="16" applyNumberFormat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3" fillId="14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2" fillId="6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2" fillId="12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5" fillId="21" borderId="8" applyNumberFormat="0" applyAlignment="0" applyProtection="0">
      <alignment vertical="center"/>
    </xf>
    <xf numFmtId="184" fontId="41" fillId="0" borderId="0" applyFont="0" applyFill="0" applyBorder="0" applyAlignment="0" applyProtection="0"/>
    <xf numFmtId="0" fontId="71" fillId="0" borderId="12" applyNumberFormat="0" applyFill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41" fillId="0" borderId="0">
      <alignment vertical="center"/>
    </xf>
    <xf numFmtId="0" fontId="41" fillId="22" borderId="9" applyNumberFormat="0" applyFon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41" fillId="0" borderId="0"/>
    <xf numFmtId="0" fontId="41" fillId="22" borderId="9" applyNumberFormat="0" applyFont="0" applyAlignment="0" applyProtection="0">
      <alignment vertical="center"/>
    </xf>
    <xf numFmtId="0" fontId="41" fillId="0" borderId="0"/>
    <xf numFmtId="0" fontId="62" fillId="11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184" fontId="41" fillId="0" borderId="0" applyFont="0" applyFill="0" applyBorder="0" applyAlignment="0" applyProtection="0"/>
    <xf numFmtId="0" fontId="41" fillId="0" borderId="0"/>
    <xf numFmtId="0" fontId="62" fillId="8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41" fillId="0" borderId="0"/>
    <xf numFmtId="0" fontId="71" fillId="0" borderId="12" applyNumberFormat="0" applyFill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41" fillId="0" borderId="0"/>
    <xf numFmtId="0" fontId="65" fillId="21" borderId="8" applyNumberFormat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184" fontId="41" fillId="0" borderId="0" applyFont="0" applyFill="0" applyBorder="0" applyAlignment="0" applyProtection="0"/>
    <xf numFmtId="0" fontId="66" fillId="4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41" fillId="0" borderId="0"/>
    <xf numFmtId="0" fontId="63" fillId="20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3" fillId="11" borderId="0" applyNumberFormat="0" applyBorder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41" fillId="0" borderId="0"/>
    <xf numFmtId="0" fontId="67" fillId="23" borderId="0" applyNumberFormat="0" applyBorder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41" fillId="0" borderId="0"/>
    <xf numFmtId="41" fontId="41" fillId="0" borderId="0" applyFont="0" applyFill="0" applyBorder="0" applyAlignment="0" applyProtection="0"/>
    <xf numFmtId="0" fontId="63" fillId="14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41" fillId="0" borderId="0"/>
    <xf numFmtId="41" fontId="41" fillId="0" borderId="0" applyFont="0" applyFill="0" applyBorder="0" applyAlignment="0" applyProtection="0"/>
    <xf numFmtId="0" fontId="63" fillId="18" borderId="0" applyNumberFormat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184" fontId="41" fillId="0" borderId="0" applyFont="0" applyFill="0" applyBorder="0" applyAlignment="0" applyProtection="0"/>
    <xf numFmtId="0" fontId="71" fillId="0" borderId="12" applyNumberFormat="0" applyFill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41" fillId="0" borderId="0"/>
    <xf numFmtId="0" fontId="68" fillId="0" borderId="0" applyNumberFormat="0" applyFill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3" fillId="14" borderId="0" applyNumberFormat="0" applyBorder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184" fontId="41" fillId="0" borderId="0" applyFont="0" applyFill="0" applyBorder="0" applyAlignment="0" applyProtection="0"/>
    <xf numFmtId="0" fontId="70" fillId="0" borderId="11" applyNumberFormat="0" applyFill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0" fontId="78" fillId="21" borderId="16" applyNumberFormat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41" fontId="41" fillId="0" borderId="0" applyFont="0" applyFill="0" applyBorder="0" applyAlignment="0" applyProtection="0"/>
    <xf numFmtId="0" fontId="63" fillId="14" borderId="0" applyNumberFormat="0" applyBorder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3" fillId="17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41" fillId="0" borderId="0">
      <alignment vertical="center"/>
    </xf>
    <xf numFmtId="0" fontId="63" fillId="10" borderId="0" applyNumberFormat="0" applyBorder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3" fillId="17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184" fontId="41" fillId="0" borderId="0" applyFont="0" applyFill="0" applyBorder="0" applyAlignment="0" applyProtection="0"/>
    <xf numFmtId="0" fontId="62" fillId="11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41" fillId="0" borderId="0"/>
    <xf numFmtId="0" fontId="41" fillId="0" borderId="0"/>
    <xf numFmtId="0" fontId="63" fillId="13" borderId="0" applyNumberFormat="0" applyBorder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41" fillId="0" borderId="0">
      <alignment vertical="center"/>
    </xf>
    <xf numFmtId="0" fontId="66" fillId="4" borderId="0" applyNumberFormat="0" applyBorder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7" fillId="23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41" fillId="0" borderId="0">
      <alignment vertical="center"/>
    </xf>
    <xf numFmtId="0" fontId="63" fillId="11" borderId="0" applyNumberFormat="0" applyBorder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3" fillId="18" borderId="0" applyNumberFormat="0" applyBorder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41" fontId="41" fillId="0" borderId="0" applyFont="0" applyFill="0" applyBorder="0" applyAlignment="0" applyProtection="0"/>
    <xf numFmtId="0" fontId="62" fillId="6" borderId="0" applyNumberFormat="0" applyBorder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41" fontId="41" fillId="0" borderId="0" applyFont="0" applyFill="0" applyBorder="0" applyAlignment="0" applyProtection="0"/>
    <xf numFmtId="0" fontId="62" fillId="11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41" fillId="0" borderId="0"/>
    <xf numFmtId="0" fontId="62" fillId="4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73" fillId="0" borderId="0" applyNumberForma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8" fillId="0" borderId="0" applyNumberFormat="0" applyFill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184" fontId="41" fillId="0" borderId="0" applyFont="0" applyFill="0" applyBorder="0" applyAlignment="0" applyProtection="0"/>
    <xf numFmtId="0" fontId="63" fillId="20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41" fillId="0" borderId="0">
      <alignment vertical="center"/>
    </xf>
    <xf numFmtId="0" fontId="76" fillId="0" borderId="15" applyNumberFormat="0" applyFill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41" fillId="0" borderId="0">
      <alignment vertical="center"/>
    </xf>
    <xf numFmtId="0" fontId="63" fillId="14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9" fillId="24" borderId="10" applyNumberFormat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5" fillId="21" borderId="8" applyNumberFormat="0" applyAlignment="0" applyProtection="0">
      <alignment vertical="center"/>
    </xf>
    <xf numFmtId="41" fontId="41" fillId="0" borderId="0" applyFont="0" applyFill="0" applyBorder="0" applyAlignment="0" applyProtection="0"/>
    <xf numFmtId="0" fontId="63" fillId="17" borderId="0" applyNumberFormat="0" applyBorder="0" applyAlignment="0" applyProtection="0">
      <alignment vertical="center"/>
    </xf>
    <xf numFmtId="0" fontId="41" fillId="0" borderId="0"/>
    <xf numFmtId="184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0" fontId="74" fillId="0" borderId="13" applyNumberFormat="0" applyFill="0" applyAlignment="0" applyProtection="0">
      <alignment vertical="center"/>
    </xf>
    <xf numFmtId="184" fontId="41" fillId="0" borderId="0" applyFont="0" applyFill="0" applyBorder="0" applyAlignment="0" applyProtection="0"/>
    <xf numFmtId="0" fontId="41" fillId="0" borderId="0">
      <alignment vertical="center"/>
    </xf>
    <xf numFmtId="0" fontId="63" fillId="13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41" fillId="0" borderId="0">
      <alignment vertical="center"/>
    </xf>
    <xf numFmtId="0" fontId="41" fillId="22" borderId="9" applyNumberFormat="0" applyFont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0" borderId="0"/>
    <xf numFmtId="0" fontId="62" fillId="7" borderId="0" applyNumberFormat="0" applyBorder="0" applyAlignment="0" applyProtection="0">
      <alignment vertical="center"/>
    </xf>
    <xf numFmtId="0" fontId="41" fillId="0" borderId="0">
      <alignment vertical="center"/>
    </xf>
    <xf numFmtId="0" fontId="63" fillId="15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3" fillId="11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41" fillId="0" borderId="0"/>
    <xf numFmtId="0" fontId="66" fillId="4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8" fillId="21" borderId="16" applyNumberFormat="0" applyAlignment="0" applyProtection="0">
      <alignment vertical="center"/>
    </xf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41" fontId="41" fillId="0" borderId="0" applyFont="0" applyFill="0" applyBorder="0" applyAlignment="0" applyProtection="0"/>
    <xf numFmtId="0" fontId="63" fillId="11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2" fillId="5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184" fontId="41" fillId="0" borderId="0" applyFont="0" applyFill="0" applyBorder="0" applyAlignment="0" applyProtection="0"/>
    <xf numFmtId="0" fontId="62" fillId="7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2" fillId="3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0" fontId="62" fillId="6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71" fillId="0" borderId="12" applyNumberFormat="0" applyFill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41" fillId="0" borderId="0"/>
    <xf numFmtId="9" fontId="41" fillId="0" borderId="0" applyFont="0" applyFill="0" applyBorder="0" applyAlignment="0" applyProtection="0"/>
    <xf numFmtId="0" fontId="76" fillId="0" borderId="15" applyNumberFormat="0" applyFill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41" fontId="41" fillId="0" borderId="0" applyFont="0" applyFill="0" applyBorder="0" applyAlignment="0" applyProtection="0"/>
    <xf numFmtId="0" fontId="63" fillId="14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184" fontId="41" fillId="0" borderId="0" applyFont="0" applyFill="0" applyBorder="0" applyAlignment="0" applyProtection="0"/>
    <xf numFmtId="0" fontId="71" fillId="0" borderId="12" applyNumberFormat="0" applyFill="0" applyAlignment="0" applyProtection="0">
      <alignment vertical="center"/>
    </xf>
    <xf numFmtId="41" fontId="41" fillId="0" borderId="0" applyFont="0" applyFill="0" applyBorder="0" applyAlignment="0" applyProtection="0"/>
    <xf numFmtId="0" fontId="75" fillId="0" borderId="14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41" fillId="0" borderId="0"/>
    <xf numFmtId="0" fontId="62" fillId="4" borderId="0" applyNumberFormat="0" applyBorder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9" fillId="24" borderId="10" applyNumberFormat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63" fillId="20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41" fillId="22" borderId="9" applyNumberFormat="0" applyFont="0" applyAlignment="0" applyProtection="0">
      <alignment vertical="center"/>
    </xf>
    <xf numFmtId="41" fontId="41" fillId="0" borderId="0" applyFont="0" applyFill="0" applyBorder="0" applyAlignment="0" applyProtection="0"/>
    <xf numFmtId="0" fontId="67" fillId="23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2" fillId="6" borderId="0" applyNumberFormat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184" fontId="41" fillId="0" borderId="0" applyFont="0" applyFill="0" applyBorder="0" applyAlignment="0" applyProtection="0"/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184" fontId="41" fillId="0" borderId="0" applyFont="0" applyFill="0" applyBorder="0" applyAlignment="0" applyProtection="0"/>
    <xf numFmtId="0" fontId="64" fillId="0" borderId="0" applyNumberFormat="0" applyFill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0" fontId="63" fillId="15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3" fillId="19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41" fillId="0" borderId="0">
      <alignment vertical="center"/>
    </xf>
    <xf numFmtId="0" fontId="62" fillId="4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2" fillId="6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9" fillId="24" borderId="10" applyNumberFormat="0" applyAlignment="0" applyProtection="0">
      <alignment vertical="center"/>
    </xf>
    <xf numFmtId="41" fontId="41" fillId="0" borderId="0" applyFont="0" applyFill="0" applyBorder="0" applyAlignment="0" applyProtection="0"/>
    <xf numFmtId="0" fontId="69" fillId="24" borderId="10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184" fontId="41" fillId="0" borderId="0" applyFont="0" applyFill="0" applyBorder="0" applyAlignment="0" applyProtection="0"/>
    <xf numFmtId="0" fontId="73" fillId="0" borderId="0" applyNumberFormat="0" applyFill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41" fontId="41" fillId="0" borderId="0" applyFont="0" applyFill="0" applyBorder="0" applyAlignment="0" applyProtection="0"/>
    <xf numFmtId="0" fontId="62" fillId="9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75" fillId="0" borderId="14" applyNumberFormat="0" applyFill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75" fillId="0" borderId="14" applyNumberFormat="0" applyFill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4" fillId="0" borderId="0" applyNumberForma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3" fillId="14" borderId="0" applyNumberFormat="0" applyBorder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41" fillId="0" borderId="0">
      <alignment vertical="center"/>
    </xf>
    <xf numFmtId="0" fontId="62" fillId="3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2" fillId="9" borderId="0" applyNumberFormat="0" applyBorder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3" fillId="18" borderId="0" applyNumberFormat="0" applyBorder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41" fillId="0" borderId="0"/>
    <xf numFmtId="0" fontId="62" fillId="10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41" fillId="0" borderId="0">
      <alignment vertical="center"/>
    </xf>
    <xf numFmtId="0" fontId="62" fillId="10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41" fillId="0" borderId="0"/>
    <xf numFmtId="0" fontId="62" fillId="6" borderId="0" applyNumberFormat="0" applyBorder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184" fontId="41" fillId="0" borderId="0" applyFont="0" applyFill="0" applyBorder="0" applyAlignment="0" applyProtection="0"/>
    <xf numFmtId="0" fontId="41" fillId="0" borderId="0"/>
    <xf numFmtId="41" fontId="41" fillId="0" borderId="0" applyFont="0" applyFill="0" applyBorder="0" applyAlignment="0" applyProtection="0"/>
    <xf numFmtId="0" fontId="41" fillId="22" borderId="9" applyNumberFormat="0" applyFont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41" fontId="41" fillId="0" borderId="0" applyFont="0" applyFill="0" applyBorder="0" applyAlignment="0" applyProtection="0"/>
    <xf numFmtId="0" fontId="73" fillId="0" borderId="0" applyNumberFormat="0" applyFill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0" borderId="0">
      <alignment vertical="center"/>
    </xf>
    <xf numFmtId="0" fontId="63" fillId="17" borderId="0" applyNumberFormat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184" fontId="41" fillId="0" borderId="0" applyFont="0" applyFill="0" applyBorder="0" applyAlignment="0" applyProtection="0"/>
    <xf numFmtId="0" fontId="63" fillId="17" borderId="0" applyNumberFormat="0" applyBorder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2" fillId="9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41" fillId="0" borderId="0"/>
    <xf numFmtId="41" fontId="41" fillId="0" borderId="0" applyFont="0" applyFill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41" fillId="0" borderId="0">
      <alignment vertical="center"/>
    </xf>
    <xf numFmtId="0" fontId="62" fillId="9" borderId="0" applyNumberFormat="0" applyBorder="0" applyAlignment="0" applyProtection="0">
      <alignment vertical="center"/>
    </xf>
    <xf numFmtId="0" fontId="41" fillId="0" borderId="0"/>
    <xf numFmtId="0" fontId="41" fillId="0" borderId="0">
      <alignment vertical="center"/>
    </xf>
    <xf numFmtId="0" fontId="63" fillId="14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41" fillId="0" borderId="0">
      <alignment vertical="center"/>
    </xf>
    <xf numFmtId="0" fontId="62" fillId="6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3" fillId="10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7" fillId="23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41" fillId="0" borderId="0"/>
    <xf numFmtId="41" fontId="41" fillId="0" borderId="0" applyFont="0" applyFill="0" applyBorder="0" applyAlignment="0" applyProtection="0"/>
    <xf numFmtId="0" fontId="63" fillId="18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7" fillId="23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41" fontId="41" fillId="0" borderId="0" applyFont="0" applyFill="0" applyBorder="0" applyAlignment="0" applyProtection="0"/>
    <xf numFmtId="0" fontId="62" fillId="5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3" fillId="14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0" fontId="74" fillId="0" borderId="13" applyNumberFormat="0" applyFill="0" applyAlignment="0" applyProtection="0">
      <alignment vertical="center"/>
    </xf>
    <xf numFmtId="0" fontId="41" fillId="0" borderId="0"/>
    <xf numFmtId="41" fontId="41" fillId="0" borderId="0" applyFont="0" applyFill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41" fontId="41" fillId="0" borderId="0" applyFont="0" applyFill="0" applyBorder="0" applyAlignment="0" applyProtection="0"/>
    <xf numFmtId="0" fontId="71" fillId="0" borderId="12" applyNumberFormat="0" applyFill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41" fillId="0" borderId="0"/>
    <xf numFmtId="9" fontId="41" fillId="0" borderId="0" applyFont="0" applyFill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78" fillId="21" borderId="16" applyNumberFormat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9" fontId="41" fillId="0" borderId="0" applyFont="0" applyFill="0" applyBorder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72" fillId="8" borderId="8" applyNumberFormat="0" applyAlignment="0" applyProtection="0">
      <alignment vertical="center"/>
    </xf>
    <xf numFmtId="41" fontId="41" fillId="0" borderId="0" applyFont="0" applyFill="0" applyBorder="0" applyAlignment="0" applyProtection="0"/>
    <xf numFmtId="9" fontId="41" fillId="0" borderId="0" applyFont="0" applyFill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0" fontId="63" fillId="16" borderId="0" applyNumberFormat="0" applyBorder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3" fillId="15" borderId="0" applyNumberFormat="0" applyBorder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41" fontId="41" fillId="0" borderId="0" applyFont="0" applyFill="0" applyBorder="0" applyAlignment="0" applyProtection="0"/>
    <xf numFmtId="0" fontId="63" fillId="17" borderId="0" applyNumberFormat="0" applyBorder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41" fontId="41" fillId="0" borderId="0" applyFont="0" applyFill="0" applyBorder="0" applyAlignment="0" applyProtection="0"/>
    <xf numFmtId="0" fontId="64" fillId="0" borderId="0" applyNumberForma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41" fillId="0" borderId="0"/>
    <xf numFmtId="0" fontId="63" fillId="17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41" fillId="0" borderId="0">
      <alignment vertical="center"/>
    </xf>
    <xf numFmtId="0" fontId="75" fillId="0" borderId="14" applyNumberFormat="0" applyFill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41" fillId="0" borderId="0">
      <alignment vertical="center"/>
    </xf>
    <xf numFmtId="9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63" fillId="13" borderId="0" applyNumberFormat="0" applyBorder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41" fillId="0" borderId="0"/>
    <xf numFmtId="0" fontId="63" fillId="14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41" fillId="0" borderId="0"/>
    <xf numFmtId="0" fontId="63" fillId="13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2" fillId="10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63" fillId="16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78" fillId="21" borderId="16" applyNumberFormat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/>
    <xf numFmtId="0" fontId="63" fillId="1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3" fillId="11" borderId="0" applyNumberFormat="0" applyBorder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3" fillId="14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70" fillId="0" borderId="11" applyNumberFormat="0" applyFill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41" fillId="0" borderId="0"/>
    <xf numFmtId="0" fontId="62" fillId="7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3" fillId="19" borderId="0" applyNumberFormat="0" applyBorder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41" fillId="0" borderId="0">
      <alignment vertical="center"/>
    </xf>
    <xf numFmtId="0" fontId="65" fillId="21" borderId="8" applyNumberFormat="0" applyAlignment="0" applyProtection="0">
      <alignment vertical="center"/>
    </xf>
    <xf numFmtId="0" fontId="41" fillId="0" borderId="0">
      <alignment vertical="center"/>
    </xf>
    <xf numFmtId="0" fontId="76" fillId="0" borderId="15" applyNumberFormat="0" applyFill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9" fontId="41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62" fillId="7" borderId="0" applyNumberFormat="0" applyBorder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3" fillId="19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3" fillId="15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73" fillId="0" borderId="0" applyNumberFormat="0" applyFill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0" fontId="63" fillId="13" borderId="0" applyNumberFormat="0" applyBorder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41" fillId="22" borderId="9" applyNumberFormat="0" applyFont="0" applyAlignment="0" applyProtection="0">
      <alignment vertical="center"/>
    </xf>
    <xf numFmtId="41" fontId="41" fillId="0" borderId="0" applyFont="0" applyFill="0" applyBorder="0" applyAlignment="0" applyProtection="0"/>
    <xf numFmtId="0" fontId="63" fillId="17" borderId="0" applyNumberFormat="0" applyBorder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6" fillId="4" borderId="0" applyNumberFormat="0" applyBorder="0" applyAlignment="0" applyProtection="0">
      <alignment vertical="center"/>
    </xf>
    <xf numFmtId="0" fontId="41" fillId="0" borderId="0"/>
    <xf numFmtId="0" fontId="64" fillId="0" borderId="0" applyNumberFormat="0" applyFill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9" fillId="24" borderId="10" applyNumberFormat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0" borderId="0"/>
    <xf numFmtId="0" fontId="64" fillId="0" borderId="0" applyNumberForma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7" fillId="23" borderId="0" applyNumberFormat="0" applyBorder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8" fillId="21" borderId="16" applyNumberFormat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3" fillId="17" borderId="0" applyNumberFormat="0" applyBorder="0" applyAlignment="0" applyProtection="0">
      <alignment vertical="center"/>
    </xf>
    <xf numFmtId="0" fontId="41" fillId="0" borderId="0">
      <alignment vertical="center"/>
    </xf>
    <xf numFmtId="0" fontId="63" fillId="10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3" fillId="10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5" fillId="21" borderId="8" applyNumberFormat="0" applyAlignment="0" applyProtection="0">
      <alignment vertical="center"/>
    </xf>
    <xf numFmtId="0" fontId="41" fillId="0" borderId="0">
      <alignment vertical="center"/>
    </xf>
    <xf numFmtId="0" fontId="63" fillId="10" borderId="0" applyNumberFormat="0" applyBorder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184" fontId="41" fillId="0" borderId="0" applyFont="0" applyFill="0" applyBorder="0" applyAlignment="0" applyProtection="0"/>
    <xf numFmtId="0" fontId="75" fillId="0" borderId="14" applyNumberFormat="0" applyFill="0" applyAlignment="0" applyProtection="0">
      <alignment vertical="center"/>
    </xf>
    <xf numFmtId="0" fontId="41" fillId="0" borderId="0"/>
    <xf numFmtId="0" fontId="64" fillId="0" borderId="0" applyNumberFormat="0" applyFill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41" fontId="41" fillId="0" borderId="0" applyFont="0" applyFill="0" applyBorder="0" applyAlignment="0" applyProtection="0"/>
    <xf numFmtId="0" fontId="62" fillId="6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41" fillId="0" borderId="0"/>
    <xf numFmtId="41" fontId="41" fillId="0" borderId="0" applyFont="0" applyFill="0" applyBorder="0" applyAlignment="0" applyProtection="0"/>
    <xf numFmtId="0" fontId="62" fillId="3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6" fillId="4" borderId="0" applyNumberFormat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0" fontId="63" fillId="11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7" fillId="23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41" fillId="0" borderId="0">
      <alignment vertical="center"/>
    </xf>
    <xf numFmtId="0" fontId="62" fillId="6" borderId="0" applyNumberFormat="0" applyBorder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73" fillId="0" borderId="0" applyNumberFormat="0" applyFill="0" applyBorder="0" applyAlignment="0" applyProtection="0">
      <alignment vertical="center"/>
    </xf>
    <xf numFmtId="9" fontId="41" fillId="0" borderId="0" applyFont="0" applyFill="0" applyBorder="0" applyAlignment="0" applyProtection="0"/>
    <xf numFmtId="0" fontId="63" fillId="14" borderId="0" applyNumberFormat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/>
    <xf numFmtId="0" fontId="68" fillId="0" borderId="0" applyNumberFormat="0" applyFill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3" fillId="19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41" fillId="0" borderId="0"/>
    <xf numFmtId="0" fontId="64" fillId="0" borderId="0" applyNumberFormat="0" applyFill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2" fillId="11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41" fillId="0" borderId="0">
      <alignment vertical="center"/>
    </xf>
    <xf numFmtId="0" fontId="63" fillId="10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41" fillId="0" borderId="0">
      <alignment vertical="center"/>
    </xf>
    <xf numFmtId="0" fontId="63" fillId="16" borderId="0" applyNumberFormat="0" applyBorder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/>
    <xf numFmtId="0" fontId="41" fillId="0" borderId="0">
      <alignment vertical="center"/>
    </xf>
    <xf numFmtId="0" fontId="62" fillId="6" borderId="0" applyNumberFormat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41" fillId="0" borderId="0"/>
    <xf numFmtId="0" fontId="77" fillId="5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41" fillId="0" borderId="0">
      <alignment vertical="center"/>
    </xf>
    <xf numFmtId="0" fontId="62" fillId="8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3" fillId="14" borderId="0" applyNumberFormat="0" applyBorder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41" fillId="0" borderId="0"/>
    <xf numFmtId="0" fontId="62" fillId="7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41" fillId="0" borderId="0"/>
    <xf numFmtId="0" fontId="41" fillId="0" borderId="0">
      <alignment vertical="center"/>
    </xf>
    <xf numFmtId="0" fontId="70" fillId="0" borderId="11" applyNumberFormat="0" applyFill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8" fillId="0" borderId="0" applyNumberFormat="0" applyFill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184" fontId="41" fillId="0" borderId="0" applyFont="0" applyFill="0" applyBorder="0" applyAlignment="0" applyProtection="0"/>
    <xf numFmtId="0" fontId="63" fillId="13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184" fontId="41" fillId="0" borderId="0" applyFont="0" applyFill="0" applyBorder="0" applyAlignment="0" applyProtection="0"/>
    <xf numFmtId="0" fontId="64" fillId="0" borderId="0" applyNumberFormat="0" applyFill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2" fillId="7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0" fontId="41" fillId="22" borderId="9" applyNumberFormat="0" applyFont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3" fillId="19" borderId="0" applyNumberFormat="0" applyBorder="0" applyAlignment="0" applyProtection="0">
      <alignment vertical="center"/>
    </xf>
    <xf numFmtId="184" fontId="41" fillId="0" borderId="0" applyFont="0" applyFill="0" applyBorder="0" applyAlignment="0" applyProtection="0"/>
    <xf numFmtId="0" fontId="62" fillId="7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184" fontId="41" fillId="0" borderId="0" applyFont="0" applyFill="0" applyBorder="0" applyAlignment="0" applyProtection="0"/>
    <xf numFmtId="0" fontId="41" fillId="0" borderId="0"/>
    <xf numFmtId="0" fontId="76" fillId="0" borderId="15" applyNumberFormat="0" applyFill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72" fillId="8" borderId="8" applyNumberFormat="0" applyAlignment="0" applyProtection="0">
      <alignment vertical="center"/>
    </xf>
    <xf numFmtId="41" fontId="41" fillId="0" borderId="0" applyFont="0" applyFill="0" applyBorder="0" applyAlignment="0" applyProtection="0"/>
    <xf numFmtId="0" fontId="41" fillId="22" borderId="9" applyNumberFormat="0" applyFon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41" fontId="41" fillId="0" borderId="0" applyFont="0" applyFill="0" applyBorder="0" applyAlignment="0" applyProtection="0"/>
    <xf numFmtId="0" fontId="63" fillId="16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9" fontId="41" fillId="0" borderId="0" applyFont="0" applyFill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41" fillId="0" borderId="0"/>
    <xf numFmtId="0" fontId="63" fillId="19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41" fillId="0" borderId="0">
      <alignment vertical="center"/>
    </xf>
    <xf numFmtId="0" fontId="63" fillId="13" borderId="0" applyNumberFormat="0" applyBorder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41" fillId="0" borderId="0"/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8" fillId="0" borderId="0" applyNumberFormat="0" applyFill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41" fillId="0" borderId="0">
      <alignment vertical="center"/>
    </xf>
    <xf numFmtId="0" fontId="63" fillId="13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75" fillId="0" borderId="14" applyNumberFormat="0" applyFill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6" fillId="4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2" fillId="10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3" fillId="11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66" fillId="4" borderId="0" applyNumberFormat="0" applyBorder="0" applyAlignment="0" applyProtection="0">
      <alignment vertical="center"/>
    </xf>
    <xf numFmtId="0" fontId="41" fillId="0" borderId="0">
      <alignment vertical="center"/>
    </xf>
    <xf numFmtId="0" fontId="63" fillId="10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0" fontId="62" fillId="3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3" fillId="11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78" fillId="21" borderId="16" applyNumberFormat="0" applyAlignment="0" applyProtection="0">
      <alignment vertical="center"/>
    </xf>
    <xf numFmtId="41" fontId="41" fillId="0" borderId="0" applyFont="0" applyFill="0" applyBorder="0" applyAlignment="0" applyProtection="0"/>
    <xf numFmtId="0" fontId="63" fillId="19" borderId="0" applyNumberFormat="0" applyBorder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184" fontId="41" fillId="0" borderId="0" applyFont="0" applyFill="0" applyBorder="0" applyAlignment="0" applyProtection="0"/>
    <xf numFmtId="0" fontId="63" fillId="19" borderId="0" applyNumberFormat="0" applyBorder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41" fillId="0" borderId="0">
      <alignment vertical="center"/>
    </xf>
    <xf numFmtId="0" fontId="41" fillId="0" borderId="0"/>
    <xf numFmtId="0" fontId="78" fillId="21" borderId="16" applyNumberFormat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41" fillId="0" borderId="0">
      <alignment vertical="center"/>
    </xf>
    <xf numFmtId="0" fontId="62" fillId="9" borderId="0" applyNumberFormat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0" fontId="65" fillId="21" borderId="8" applyNumberFormat="0" applyAlignment="0" applyProtection="0">
      <alignment vertical="center"/>
    </xf>
    <xf numFmtId="41" fontId="41" fillId="0" borderId="0" applyFont="0" applyFill="0" applyBorder="0" applyAlignment="0" applyProtection="0"/>
    <xf numFmtId="0" fontId="63" fillId="15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2" fillId="3" borderId="0" applyNumberFormat="0" applyBorder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/>
    <xf numFmtId="0" fontId="73" fillId="0" borderId="0" applyNumberFormat="0" applyFill="0" applyBorder="0" applyAlignment="0" applyProtection="0">
      <alignment vertical="center"/>
    </xf>
    <xf numFmtId="0" fontId="41" fillId="0" borderId="0">
      <alignment vertical="center"/>
    </xf>
    <xf numFmtId="0" fontId="62" fillId="9" borderId="0" applyNumberFormat="0" applyBorder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41" fillId="0" borderId="0"/>
    <xf numFmtId="0" fontId="63" fillId="1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9" fontId="41" fillId="0" borderId="0" applyFont="0" applyFill="0" applyBorder="0" applyAlignment="0" applyProtection="0"/>
    <xf numFmtId="0" fontId="62" fillId="5" borderId="0" applyNumberFormat="0" applyBorder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41" fillId="0" borderId="0">
      <alignment vertical="center"/>
    </xf>
    <xf numFmtId="0" fontId="62" fillId="9" borderId="0" applyNumberFormat="0" applyBorder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72" fillId="8" borderId="8" applyNumberFormat="0" applyAlignment="0" applyProtection="0">
      <alignment vertical="center"/>
    </xf>
    <xf numFmtId="41" fontId="41" fillId="0" borderId="0" applyFont="0" applyFill="0" applyBorder="0" applyAlignment="0" applyProtection="0"/>
    <xf numFmtId="0" fontId="63" fillId="17" borderId="0" applyNumberFormat="0" applyBorder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41" fillId="0" borderId="0"/>
    <xf numFmtId="41" fontId="41" fillId="0" borderId="0" applyFont="0" applyFill="0" applyBorder="0" applyAlignment="0" applyProtection="0"/>
    <xf numFmtId="0" fontId="62" fillId="9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41" fillId="0" borderId="0">
      <alignment vertical="center"/>
    </xf>
    <xf numFmtId="0" fontId="66" fillId="4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184" fontId="41" fillId="0" borderId="0" applyFont="0" applyFill="0" applyBorder="0" applyAlignment="0" applyProtection="0"/>
    <xf numFmtId="0" fontId="63" fillId="13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0" borderId="0"/>
    <xf numFmtId="41" fontId="41" fillId="0" borderId="0" applyFont="0" applyFill="0" applyBorder="0" applyAlignment="0" applyProtection="0"/>
    <xf numFmtId="0" fontId="69" fillId="24" borderId="10" applyNumberForma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41" fillId="0" borderId="0">
      <alignment vertical="center"/>
    </xf>
    <xf numFmtId="0" fontId="64" fillId="0" borderId="0" applyNumberFormat="0" applyFill="0" applyBorder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41" fillId="0" borderId="0">
      <alignment vertical="center"/>
    </xf>
    <xf numFmtId="0" fontId="64" fillId="0" borderId="0" applyNumberFormat="0" applyFill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41" fontId="41" fillId="0" borderId="0" applyFont="0" applyFill="0" applyBorder="0" applyAlignment="0" applyProtection="0"/>
    <xf numFmtId="0" fontId="41" fillId="0" borderId="0"/>
    <xf numFmtId="0" fontId="74" fillId="0" borderId="13" applyNumberFormat="0" applyFill="0" applyAlignment="0" applyProtection="0">
      <alignment vertical="center"/>
    </xf>
    <xf numFmtId="0" fontId="41" fillId="0" borderId="0">
      <alignment vertical="center"/>
    </xf>
    <xf numFmtId="0" fontId="62" fillId="8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2" fillId="4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2" fillId="6" borderId="0" applyNumberFormat="0" applyBorder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41" fillId="0" borderId="0"/>
    <xf numFmtId="0" fontId="76" fillId="0" borderId="0" applyNumberForma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2" fillId="3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41" fillId="0" borderId="0"/>
    <xf numFmtId="0" fontId="75" fillId="0" borderId="14" applyNumberFormat="0" applyFill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41" fillId="0" borderId="0"/>
    <xf numFmtId="0" fontId="62" fillId="6" borderId="0" applyNumberFormat="0" applyBorder="0" applyAlignment="0" applyProtection="0">
      <alignment vertical="center"/>
    </xf>
    <xf numFmtId="0" fontId="41" fillId="0" borderId="0"/>
    <xf numFmtId="0" fontId="62" fillId="3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184" fontId="41" fillId="0" borderId="0" applyFont="0" applyFill="0" applyBorder="0" applyAlignment="0" applyProtection="0"/>
    <xf numFmtId="0" fontId="41" fillId="22" borderId="9" applyNumberFormat="0" applyFont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184" fontId="41" fillId="0" borderId="0" applyFont="0" applyFill="0" applyBorder="0" applyAlignment="0" applyProtection="0"/>
    <xf numFmtId="0" fontId="63" fillId="14" borderId="0" applyNumberFormat="0" applyBorder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41" fillId="0" borderId="0"/>
    <xf numFmtId="0" fontId="73" fillId="0" borderId="0" applyNumberFormat="0" applyFill="0" applyBorder="0" applyAlignment="0" applyProtection="0">
      <alignment vertical="center"/>
    </xf>
    <xf numFmtId="0" fontId="41" fillId="0" borderId="0">
      <alignment vertical="center"/>
    </xf>
    <xf numFmtId="0" fontId="62" fillId="4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63" fillId="13" borderId="0" applyNumberFormat="0" applyBorder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0" fontId="41" fillId="0" borderId="0">
      <alignment vertical="center"/>
    </xf>
    <xf numFmtId="0" fontId="69" fillId="24" borderId="10" applyNumberFormat="0" applyAlignment="0" applyProtection="0">
      <alignment vertical="center"/>
    </xf>
    <xf numFmtId="41" fontId="41" fillId="0" borderId="0" applyFont="0" applyFill="0" applyBorder="0" applyAlignment="0" applyProtection="0"/>
    <xf numFmtId="0" fontId="77" fillId="5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41" fillId="0" borderId="0"/>
    <xf numFmtId="0" fontId="66" fillId="4" borderId="0" applyNumberFormat="0" applyBorder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41" fillId="0" borderId="0"/>
    <xf numFmtId="0" fontId="67" fillId="23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41" fillId="0" borderId="0"/>
    <xf numFmtId="0" fontId="76" fillId="0" borderId="0" applyNumberFormat="0" applyFill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62" fillId="10" borderId="0" applyNumberFormat="0" applyBorder="0" applyAlignment="0" applyProtection="0">
      <alignment vertical="center"/>
    </xf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6" fillId="4" borderId="0" applyNumberFormat="0" applyBorder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0" fontId="70" fillId="0" borderId="11" applyNumberFormat="0" applyFill="0" applyAlignment="0" applyProtection="0">
      <alignment vertical="center"/>
    </xf>
    <xf numFmtId="0" fontId="41" fillId="0" borderId="0"/>
    <xf numFmtId="0" fontId="41" fillId="22" borderId="9" applyNumberFormat="0" applyFont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41" fillId="0" borderId="0"/>
    <xf numFmtId="0" fontId="63" fillId="18" borderId="0" applyNumberFormat="0" applyBorder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8" fillId="0" borderId="0" applyNumberForma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8" fillId="0" borderId="0" applyNumberForma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41" fillId="0" borderId="0">
      <alignment vertical="center"/>
    </xf>
    <xf numFmtId="0" fontId="62" fillId="12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41" fillId="0" borderId="0"/>
    <xf numFmtId="0" fontId="76" fillId="0" borderId="0" applyNumberFormat="0" applyFill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184" fontId="41" fillId="0" borderId="0" applyFont="0" applyFill="0" applyBorder="0" applyAlignment="0" applyProtection="0"/>
    <xf numFmtId="0" fontId="63" fillId="20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3" fillId="16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41" fillId="0" borderId="0">
      <alignment vertical="center"/>
    </xf>
    <xf numFmtId="0" fontId="62" fillId="6" borderId="0" applyNumberFormat="0" applyBorder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41" fontId="41" fillId="0" borderId="0" applyFont="0" applyFill="0" applyBorder="0" applyAlignment="0" applyProtection="0"/>
    <xf numFmtId="0" fontId="72" fillId="8" borderId="8" applyNumberFormat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3" fillId="10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41" fillId="0" borderId="0"/>
    <xf numFmtId="0" fontId="68" fillId="0" borderId="0" applyNumberForma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3" fillId="1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73" fillId="0" borderId="0" applyNumberForma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41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41" fillId="0" borderId="0"/>
    <xf numFmtId="0" fontId="62" fillId="9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9" fillId="24" borderId="10" applyNumberFormat="0" applyAlignment="0" applyProtection="0">
      <alignment vertical="center"/>
    </xf>
    <xf numFmtId="41" fontId="41" fillId="0" borderId="0" applyFont="0" applyFill="0" applyBorder="0" applyAlignment="0" applyProtection="0"/>
    <xf numFmtId="184" fontId="41" fillId="0" borderId="0" applyFont="0" applyFill="0" applyBorder="0" applyAlignment="0" applyProtection="0"/>
    <xf numFmtId="0" fontId="63" fillId="16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2" fillId="10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2" fillId="8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41" fillId="0" borderId="0">
      <alignment vertical="center"/>
    </xf>
    <xf numFmtId="0" fontId="62" fillId="9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41" fontId="41" fillId="0" borderId="0" applyFont="0" applyFill="0" applyBorder="0" applyAlignment="0" applyProtection="0"/>
    <xf numFmtId="184" fontId="41" fillId="0" borderId="0" applyFont="0" applyFill="0" applyBorder="0" applyAlignment="0" applyProtection="0"/>
    <xf numFmtId="0" fontId="68" fillId="0" borderId="0" applyNumberFormat="0" applyFill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184" fontId="41" fillId="0" borderId="0" applyFont="0" applyFill="0" applyBorder="0" applyAlignment="0" applyProtection="0"/>
    <xf numFmtId="0" fontId="41" fillId="0" borderId="0"/>
    <xf numFmtId="0" fontId="41" fillId="0" borderId="0"/>
    <xf numFmtId="184" fontId="41" fillId="0" borderId="0" applyFont="0" applyFill="0" applyBorder="0" applyAlignment="0" applyProtection="0"/>
    <xf numFmtId="0" fontId="75" fillId="0" borderId="14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70" fillId="0" borderId="11" applyNumberFormat="0" applyFill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41" fillId="0" borderId="0">
      <alignment vertical="center"/>
    </xf>
    <xf numFmtId="0" fontId="63" fillId="19" borderId="0" applyNumberFormat="0" applyBorder="0" applyAlignment="0" applyProtection="0">
      <alignment vertical="center"/>
    </xf>
    <xf numFmtId="184" fontId="41" fillId="0" borderId="0" applyFont="0" applyFill="0" applyBorder="0" applyAlignment="0" applyProtection="0"/>
    <xf numFmtId="0" fontId="41" fillId="0" borderId="0">
      <alignment vertical="center"/>
    </xf>
    <xf numFmtId="0" fontId="64" fillId="0" borderId="0" applyNumberFormat="0" applyFill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41" fillId="0" borderId="0">
      <alignment vertical="center"/>
    </xf>
    <xf numFmtId="0" fontId="63" fillId="15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41" fillId="0" borderId="0"/>
    <xf numFmtId="0" fontId="63" fillId="11" borderId="0" applyNumberFormat="0" applyBorder="0" applyAlignment="0" applyProtection="0">
      <alignment vertical="center"/>
    </xf>
    <xf numFmtId="0" fontId="41" fillId="0" borderId="0"/>
    <xf numFmtId="0" fontId="62" fillId="3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/>
    <xf numFmtId="0" fontId="65" fillId="21" borderId="8" applyNumberFormat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4" fillId="0" borderId="0" applyNumberFormat="0" applyFill="0" applyBorder="0" applyAlignment="0" applyProtection="0">
      <alignment vertical="center"/>
    </xf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75" fillId="0" borderId="14" applyNumberFormat="0" applyFill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41" fontId="41" fillId="0" borderId="0" applyFont="0" applyFill="0" applyBorder="0" applyAlignment="0" applyProtection="0"/>
    <xf numFmtId="0" fontId="64" fillId="0" borderId="0" applyNumberFormat="0" applyFill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/>
    <xf numFmtId="0" fontId="63" fillId="10" borderId="0" applyNumberFormat="0" applyBorder="0" applyAlignment="0" applyProtection="0">
      <alignment vertical="center"/>
    </xf>
    <xf numFmtId="0" fontId="41" fillId="0" borderId="0">
      <alignment vertical="center"/>
    </xf>
    <xf numFmtId="0" fontId="63" fillId="13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41" fontId="41" fillId="0" borderId="0" applyFont="0" applyFill="0" applyBorder="0" applyAlignment="0" applyProtection="0"/>
    <xf numFmtId="0" fontId="63" fillId="18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3" fillId="11" borderId="0" applyNumberFormat="0" applyBorder="0" applyAlignment="0" applyProtection="0">
      <alignment vertical="center"/>
    </xf>
    <xf numFmtId="0" fontId="41" fillId="0" borderId="0"/>
    <xf numFmtId="41" fontId="41" fillId="0" borderId="0" applyFont="0" applyFill="0" applyBorder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3" fillId="16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184" fontId="41" fillId="0" borderId="0" applyFont="0" applyFill="0" applyBorder="0" applyAlignment="0" applyProtection="0"/>
    <xf numFmtId="0" fontId="73" fillId="0" borderId="0" applyNumberFormat="0" applyFill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184" fontId="41" fillId="0" borderId="0" applyFont="0" applyFill="0" applyBorder="0" applyAlignment="0" applyProtection="0"/>
    <xf numFmtId="0" fontId="63" fillId="19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3" fillId="19" borderId="0" applyNumberFormat="0" applyBorder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0" borderId="0"/>
    <xf numFmtId="0" fontId="62" fillId="8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2" fillId="11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41" fillId="0" borderId="0"/>
    <xf numFmtId="0" fontId="62" fillId="11" borderId="0" applyNumberFormat="0" applyBorder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0" borderId="0"/>
    <xf numFmtId="41" fontId="41" fillId="0" borderId="0" applyFont="0" applyFill="0" applyBorder="0" applyAlignment="0" applyProtection="0"/>
    <xf numFmtId="0" fontId="63" fillId="19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3" fillId="10" borderId="0" applyNumberFormat="0" applyBorder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76" fillId="0" borderId="15" applyNumberFormat="0" applyFill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41" fillId="0" borderId="0"/>
    <xf numFmtId="0" fontId="41" fillId="0" borderId="0"/>
    <xf numFmtId="0" fontId="41" fillId="0" borderId="0">
      <alignment vertical="center"/>
    </xf>
    <xf numFmtId="0" fontId="41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/>
    <xf numFmtId="0" fontId="41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>
      <alignment vertical="center"/>
    </xf>
    <xf numFmtId="0" fontId="41" fillId="0" borderId="0"/>
    <xf numFmtId="0" fontId="41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/>
    <xf numFmtId="0" fontId="41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/>
    <xf numFmtId="0" fontId="41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/>
    <xf numFmtId="0" fontId="41" fillId="0" borderId="0"/>
    <xf numFmtId="0" fontId="41" fillId="0" borderId="0">
      <alignment vertical="center"/>
    </xf>
    <xf numFmtId="0" fontId="41" fillId="0" borderId="0"/>
    <xf numFmtId="0" fontId="41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/>
    <xf numFmtId="0" fontId="41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62" fillId="3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41" fillId="0" borderId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24" borderId="10" applyNumberFormat="0" applyAlignment="0" applyProtection="0">
      <alignment vertical="center"/>
    </xf>
    <xf numFmtId="41" fontId="41" fillId="0" borderId="0" applyFont="0" applyFill="0" applyBorder="0" applyAlignment="0" applyProtection="0"/>
    <xf numFmtId="44" fontId="41" fillId="0" borderId="0" applyFont="0" applyFill="0" applyBorder="0" applyAlignment="0" applyProtection="0">
      <alignment vertical="center"/>
    </xf>
    <xf numFmtId="44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9" fontId="48" fillId="0" borderId="0" applyFont="0" applyFill="0" applyBorder="0" applyAlignment="0" applyProtection="0"/>
    <xf numFmtId="42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6" fillId="0" borderId="0"/>
    <xf numFmtId="0" fontId="62" fillId="0" borderId="0">
      <alignment vertical="center"/>
    </xf>
    <xf numFmtId="0" fontId="41" fillId="0" borderId="0">
      <alignment vertical="center"/>
    </xf>
    <xf numFmtId="0" fontId="62" fillId="0" borderId="0">
      <alignment vertical="center"/>
    </xf>
    <xf numFmtId="0" fontId="81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82" fillId="0" borderId="0">
      <protection locked="0"/>
    </xf>
    <xf numFmtId="0" fontId="82" fillId="0" borderId="0">
      <protection locked="0"/>
    </xf>
    <xf numFmtId="0" fontId="83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3" fillId="0" borderId="0">
      <protection locked="0"/>
    </xf>
    <xf numFmtId="0" fontId="61" fillId="0" borderId="1" applyNumberFormat="0" applyAlignment="0" applyProtection="0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3" fillId="17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69" fillId="24" borderId="10" applyNumberFormat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7" fillId="23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69" fillId="24" borderId="10" applyNumberFormat="0" applyAlignment="0" applyProtection="0">
      <alignment vertical="center"/>
    </xf>
    <xf numFmtId="41" fontId="41" fillId="0" borderId="0" applyFont="0" applyFill="0" applyBorder="0" applyAlignment="0" applyProtection="0"/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72" fillId="8" borderId="8" applyNumberFormat="0" applyAlignment="0" applyProtection="0">
      <alignment vertical="center"/>
    </xf>
    <xf numFmtId="41" fontId="41" fillId="0" borderId="0" applyFont="0" applyFill="0" applyBorder="0" applyAlignment="0" applyProtection="0"/>
    <xf numFmtId="9" fontId="4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9" fillId="24" borderId="10" applyNumberFormat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24" borderId="10" applyNumberFormat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72" fillId="8" borderId="8" applyNumberFormat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71" fillId="0" borderId="12" applyNumberFormat="0" applyFill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68" fillId="0" borderId="0" applyNumberForma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9" fillId="24" borderId="10" applyNumberFormat="0" applyAlignment="0" applyProtection="0">
      <alignment vertical="center"/>
    </xf>
    <xf numFmtId="41" fontId="41" fillId="0" borderId="0" applyFont="0" applyFill="0" applyBorder="0" applyAlignment="0" applyProtection="0"/>
    <xf numFmtId="0" fontId="70" fillId="0" borderId="11" applyNumberFormat="0" applyFill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41" fontId="41" fillId="0" borderId="0" applyFont="0" applyFill="0" applyBorder="0" applyAlignment="0" applyProtection="0"/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41" fontId="41" fillId="0" borderId="0" applyFont="0" applyFill="0" applyBorder="0" applyAlignment="0" applyProtection="0"/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72" fillId="8" borderId="8" applyNumberFormat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0" fontId="72" fillId="8" borderId="8" applyNumberFormat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9" fillId="24" borderId="10" applyNumberFormat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46" fillId="0" borderId="0"/>
    <xf numFmtId="0" fontId="62" fillId="10" borderId="0" applyNumberFormat="0" applyBorder="0" applyAlignment="0" applyProtection="0">
      <alignment vertical="center"/>
    </xf>
    <xf numFmtId="0" fontId="62" fillId="0" borderId="0">
      <alignment vertical="center"/>
    </xf>
    <xf numFmtId="0" fontId="63" fillId="15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9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41" fillId="0" borderId="0">
      <alignment vertical="center"/>
    </xf>
    <xf numFmtId="0" fontId="63" fillId="16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6" fillId="0" borderId="0"/>
    <xf numFmtId="0" fontId="65" fillId="21" borderId="8" applyNumberFormat="0" applyAlignment="0" applyProtection="0">
      <alignment vertical="center"/>
    </xf>
    <xf numFmtId="0" fontId="41" fillId="0" borderId="0">
      <alignment vertical="center"/>
    </xf>
    <xf numFmtId="0" fontId="62" fillId="10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41" fillId="0" borderId="0">
      <alignment vertical="center"/>
    </xf>
    <xf numFmtId="0" fontId="64" fillId="0" borderId="0" applyNumberFormat="0" applyFill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1" fillId="0" borderId="1" applyNumberFormat="0" applyAlignment="0" applyProtection="0">
      <alignment horizontal="left" vertical="center"/>
    </xf>
    <xf numFmtId="0" fontId="61" fillId="0" borderId="2">
      <alignment horizontal="left" vertical="center"/>
    </xf>
    <xf numFmtId="0" fontId="62" fillId="4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41" fillId="0" borderId="0">
      <alignment vertical="center"/>
    </xf>
    <xf numFmtId="0" fontId="63" fillId="13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6" fillId="0" borderId="0"/>
    <xf numFmtId="0" fontId="41" fillId="0" borderId="0">
      <alignment vertical="center"/>
    </xf>
    <xf numFmtId="0" fontId="62" fillId="8" borderId="0" applyNumberFormat="0" applyBorder="0" applyAlignment="0" applyProtection="0">
      <alignment vertical="center"/>
    </xf>
    <xf numFmtId="0" fontId="41" fillId="0" borderId="0">
      <alignment vertical="center"/>
    </xf>
    <xf numFmtId="0" fontId="62" fillId="0" borderId="0">
      <alignment vertical="center"/>
    </xf>
    <xf numFmtId="0" fontId="41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41" fillId="0" borderId="0">
      <alignment vertical="center"/>
    </xf>
    <xf numFmtId="0" fontId="62" fillId="7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41" fillId="0" borderId="0">
      <alignment vertical="center"/>
    </xf>
    <xf numFmtId="0" fontId="61" fillId="0" borderId="1" applyNumberFormat="0" applyAlignment="0" applyProtection="0">
      <alignment horizontal="left" vertical="center"/>
    </xf>
    <xf numFmtId="0" fontId="61" fillId="0" borderId="2">
      <alignment horizontal="left" vertical="center"/>
    </xf>
    <xf numFmtId="0" fontId="63" fillId="11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6" fillId="0" borderId="0"/>
    <xf numFmtId="0" fontId="64" fillId="0" borderId="0" applyNumberFormat="0" applyFill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41" fillId="0" borderId="0">
      <alignment vertical="center"/>
    </xf>
    <xf numFmtId="0" fontId="62" fillId="0" borderId="0">
      <alignment vertical="center"/>
    </xf>
    <xf numFmtId="0" fontId="64" fillId="0" borderId="0" applyNumberFormat="0" applyFill="0" applyBorder="0" applyAlignment="0" applyProtection="0">
      <alignment vertical="center"/>
    </xf>
    <xf numFmtId="0" fontId="41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3" fillId="20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41" fillId="0" borderId="0">
      <alignment vertical="center"/>
    </xf>
    <xf numFmtId="0" fontId="61" fillId="0" borderId="1" applyNumberFormat="0" applyAlignment="0" applyProtection="0">
      <alignment horizontal="left" vertical="center"/>
    </xf>
    <xf numFmtId="0" fontId="61" fillId="0" borderId="2">
      <alignment horizontal="left" vertical="center"/>
    </xf>
    <xf numFmtId="0" fontId="63" fillId="14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6" fillId="0" borderId="0"/>
    <xf numFmtId="0" fontId="62" fillId="10" borderId="0" applyNumberFormat="0" applyBorder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41" fillId="0" borderId="0">
      <alignment vertical="center"/>
    </xf>
    <xf numFmtId="0" fontId="62" fillId="0" borderId="0">
      <alignment vertical="center"/>
    </xf>
    <xf numFmtId="0" fontId="64" fillId="0" borderId="0" applyNumberFormat="0" applyFill="0" applyBorder="0" applyAlignment="0" applyProtection="0">
      <alignment vertical="center"/>
    </xf>
    <xf numFmtId="0" fontId="41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1" fillId="0" borderId="1" applyNumberFormat="0" applyAlignment="0" applyProtection="0">
      <alignment horizontal="left" vertical="center"/>
    </xf>
    <xf numFmtId="0" fontId="61" fillId="0" borderId="2">
      <alignment horizontal="left"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41" fillId="0" borderId="0">
      <alignment vertical="center"/>
    </xf>
    <xf numFmtId="0" fontId="46" fillId="0" borderId="0"/>
    <xf numFmtId="0" fontId="41" fillId="0" borderId="0">
      <alignment vertical="center"/>
    </xf>
    <xf numFmtId="0" fontId="62" fillId="10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2" fillId="0" borderId="0">
      <alignment vertical="center"/>
    </xf>
    <xf numFmtId="0" fontId="41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41" fillId="0" borderId="0">
      <alignment vertical="center"/>
    </xf>
    <xf numFmtId="0" fontId="6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1" fillId="0" borderId="1" applyNumberFormat="0" applyAlignment="0" applyProtection="0">
      <alignment horizontal="left" vertical="center"/>
    </xf>
    <xf numFmtId="0" fontId="61" fillId="0" borderId="2">
      <alignment horizontal="left"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41" fillId="0" borderId="0">
      <alignment vertical="center"/>
    </xf>
    <xf numFmtId="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41" fillId="0" borderId="0">
      <alignment vertical="center"/>
    </xf>
    <xf numFmtId="0" fontId="46" fillId="0" borderId="0"/>
    <xf numFmtId="0" fontId="41" fillId="0" borderId="0">
      <alignment vertical="center"/>
    </xf>
    <xf numFmtId="0" fontId="6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0" borderId="0">
      <alignment vertical="center"/>
    </xf>
    <xf numFmtId="0" fontId="41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41" fillId="0" borderId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1" fillId="0" borderId="1" applyNumberFormat="0" applyAlignment="0" applyProtection="0">
      <alignment horizontal="left" vertical="center"/>
    </xf>
    <xf numFmtId="0" fontId="61" fillId="0" borderId="2">
      <alignment horizontal="left" vertic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41" fillId="0" borderId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41" fillId="0" borderId="0">
      <alignment vertical="center"/>
    </xf>
    <xf numFmtId="0" fontId="46" fillId="0" borderId="0"/>
    <xf numFmtId="0" fontId="41" fillId="0" borderId="0">
      <alignment vertical="center"/>
    </xf>
    <xf numFmtId="0" fontId="6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41" fillId="0" borderId="0">
      <alignment vertical="center"/>
    </xf>
    <xf numFmtId="0" fontId="62" fillId="0" borderId="0">
      <alignment vertical="center"/>
    </xf>
    <xf numFmtId="0" fontId="41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41" fillId="0" borderId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1" fillId="0" borderId="1" applyNumberFormat="0" applyAlignment="0" applyProtection="0">
      <alignment horizontal="left" vertical="center"/>
    </xf>
    <xf numFmtId="0" fontId="61" fillId="0" borderId="2">
      <alignment horizontal="left" vertic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41" fillId="0" borderId="0">
      <alignment vertical="center"/>
    </xf>
    <xf numFmtId="0" fontId="46" fillId="0" borderId="0"/>
    <xf numFmtId="0" fontId="41" fillId="0" borderId="0">
      <alignment vertical="center"/>
    </xf>
    <xf numFmtId="0" fontId="62" fillId="0" borderId="0">
      <alignment vertical="center"/>
    </xf>
    <xf numFmtId="0" fontId="41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1" fillId="0" borderId="1" applyNumberFormat="0" applyAlignment="0" applyProtection="0">
      <alignment horizontal="left" vertical="center"/>
    </xf>
    <xf numFmtId="0" fontId="61" fillId="0" borderId="2">
      <alignment horizontal="left" vertical="center"/>
    </xf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4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1" fontId="40" fillId="0" borderId="0" applyFont="0" applyFill="0" applyAlignment="0" applyProtection="0"/>
    <xf numFmtId="0" fontId="40" fillId="0" borderId="0" applyFill="0" applyAlignment="0"/>
    <xf numFmtId="0" fontId="28" fillId="0" borderId="0">
      <alignment vertical="center"/>
    </xf>
    <xf numFmtId="0" fontId="40" fillId="0" borderId="0" applyFill="0" applyAlignment="0"/>
    <xf numFmtId="41" fontId="40" fillId="0" borderId="0" applyFont="0" applyFill="0" applyAlignment="0" applyProtection="0"/>
    <xf numFmtId="41" fontId="40" fillId="0" borderId="0" applyFont="0" applyFill="0" applyAlignment="0" applyProtection="0"/>
    <xf numFmtId="0" fontId="40" fillId="0" borderId="0" applyFill="0" applyAlignment="0"/>
    <xf numFmtId="0" fontId="40" fillId="0" borderId="0" applyFill="0" applyAlignment="0"/>
    <xf numFmtId="0" fontId="40" fillId="0" borderId="0" applyFill="0" applyAlignment="0"/>
    <xf numFmtId="41" fontId="40" fillId="0" borderId="0" applyFont="0" applyFill="0" applyAlignment="0" applyProtection="0"/>
    <xf numFmtId="0" fontId="40" fillId="0" borderId="0" applyFill="0" applyAlignment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1" fontId="40" fillId="0" borderId="0" applyFont="0" applyFill="0" applyAlignment="0" applyProtection="0"/>
    <xf numFmtId="0" fontId="40" fillId="0" borderId="0" applyFill="0" applyAlignment="0"/>
    <xf numFmtId="0" fontId="28" fillId="0" borderId="0">
      <alignment vertical="center"/>
    </xf>
    <xf numFmtId="0" fontId="40" fillId="0" borderId="0" applyFill="0" applyAlignment="0"/>
    <xf numFmtId="41" fontId="40" fillId="0" borderId="0" applyFont="0" applyFill="0" applyAlignment="0" applyProtection="0"/>
    <xf numFmtId="41" fontId="40" fillId="0" borderId="0" applyFont="0" applyFill="0" applyAlignment="0" applyProtection="0"/>
    <xf numFmtId="0" fontId="40" fillId="0" borderId="0" applyFill="0" applyAlignment="0"/>
    <xf numFmtId="0" fontId="40" fillId="0" borderId="0" applyFill="0" applyAlignment="0"/>
    <xf numFmtId="0" fontId="40" fillId="0" borderId="0" applyFill="0" applyAlignment="0"/>
    <xf numFmtId="41" fontId="40" fillId="0" borderId="0" applyFont="0" applyFill="0" applyAlignment="0" applyProtection="0"/>
    <xf numFmtId="0" fontId="40" fillId="0" borderId="0" applyFill="0" applyAlignment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41" fillId="0" borderId="0"/>
    <xf numFmtId="41" fontId="41" fillId="0" borderId="0" applyFont="0" applyFill="0" applyBorder="0" applyAlignment="0" applyProtection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40" fillId="0" borderId="0" applyFill="0" applyAlignment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86" fillId="0" borderId="0">
      <alignment vertical="center"/>
    </xf>
    <xf numFmtId="41" fontId="86" fillId="0" borderId="0" applyFont="0" applyFill="0" applyBorder="0" applyAlignment="0" applyProtection="0">
      <alignment vertical="center"/>
    </xf>
    <xf numFmtId="10" fontId="48" fillId="0" borderId="0"/>
    <xf numFmtId="0" fontId="4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7" fillId="0" borderId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>
      <alignment vertical="center"/>
    </xf>
    <xf numFmtId="0" fontId="41" fillId="0" borderId="0"/>
    <xf numFmtId="41" fontId="8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60" fillId="0" borderId="0"/>
    <xf numFmtId="0" fontId="60" fillId="0" borderId="0"/>
    <xf numFmtId="0" fontId="60" fillId="0" borderId="0"/>
    <xf numFmtId="0" fontId="60" fillId="0" borderId="0"/>
    <xf numFmtId="0" fontId="47" fillId="0" borderId="0" applyFont="0" applyFill="0" applyBorder="0" applyAlignment="0" applyProtection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176" fontId="89" fillId="0" borderId="3">
      <alignment vertical="center"/>
    </xf>
    <xf numFmtId="186" fontId="48" fillId="0" borderId="0">
      <alignment vertic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0" fontId="65" fillId="21" borderId="8" applyNumberFormat="0" applyAlignment="0" applyProtection="0">
      <alignment vertical="center"/>
    </xf>
    <xf numFmtId="187" fontId="48" fillId="0" borderId="0"/>
    <xf numFmtId="187" fontId="48" fillId="0" borderId="0"/>
    <xf numFmtId="187" fontId="48" fillId="0" borderId="0"/>
    <xf numFmtId="187" fontId="48" fillId="0" borderId="0"/>
    <xf numFmtId="187" fontId="48" fillId="0" borderId="0"/>
    <xf numFmtId="187" fontId="48" fillId="0" borderId="0"/>
    <xf numFmtId="187" fontId="48" fillId="0" borderId="0"/>
    <xf numFmtId="187" fontId="48" fillId="0" borderId="0"/>
    <xf numFmtId="187" fontId="48" fillId="0" borderId="0"/>
    <xf numFmtId="187" fontId="48" fillId="0" borderId="0"/>
    <xf numFmtId="187" fontId="48" fillId="0" borderId="0"/>
    <xf numFmtId="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3" fontId="58" fillId="0" borderId="29">
      <alignment horizontal="center"/>
    </xf>
    <xf numFmtId="0" fontId="90" fillId="0" borderId="0" applyNumberFormat="0" applyFill="0" applyBorder="0" applyAlignment="0" applyProtection="0">
      <alignment vertical="top"/>
      <protection locked="0"/>
    </xf>
    <xf numFmtId="176" fontId="47" fillId="0" borderId="28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41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9" fontId="88" fillId="29" borderId="0" applyFill="0" applyBorder="0" applyProtection="0">
      <alignment horizontal="right"/>
    </xf>
    <xf numFmtId="10" fontId="88" fillId="0" borderId="0" applyFill="0" applyBorder="0" applyProtection="0">
      <alignment horizontal="right"/>
    </xf>
    <xf numFmtId="0" fontId="67" fillId="23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177" fontId="91" fillId="0" borderId="3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69" fillId="24" borderId="10" applyNumberFormat="0" applyAlignment="0" applyProtection="0">
      <alignment vertical="center"/>
    </xf>
    <xf numFmtId="41" fontId="41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7" fillId="0" borderId="0" applyFont="0" applyFill="0" applyBorder="0" applyAlignment="0" applyProtection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70" fillId="0" borderId="11" applyNumberFormat="0" applyFill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0" fontId="72" fillId="8" borderId="8" applyNumberFormat="0" applyAlignment="0" applyProtection="0">
      <alignment vertical="center"/>
    </xf>
    <xf numFmtId="3" fontId="92" fillId="0" borderId="0" applyFont="0" applyFill="0" applyBorder="0" applyAlignment="0" applyProtection="0"/>
    <xf numFmtId="0" fontId="74" fillId="0" borderId="13" applyNumberFormat="0" applyFill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75" fillId="0" borderId="14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0" fontId="78" fillId="21" borderId="16" applyNumberFormat="0" applyAlignment="0" applyProtection="0">
      <alignment vertical="center"/>
    </xf>
    <xf numFmtId="185" fontId="88" fillId="29" borderId="0" applyFill="0" applyBorder="0" applyProtection="0">
      <alignment horizontal="right"/>
    </xf>
    <xf numFmtId="42" fontId="44" fillId="0" borderId="0" applyFont="0" applyFill="0" applyBorder="0" applyAlignment="0" applyProtection="0">
      <alignment vertical="center"/>
    </xf>
    <xf numFmtId="0" fontId="93" fillId="0" borderId="0"/>
    <xf numFmtId="0" fontId="93" fillId="0" borderId="0"/>
    <xf numFmtId="0" fontId="93" fillId="0" borderId="0"/>
    <xf numFmtId="0" fontId="93" fillId="0" borderId="0"/>
    <xf numFmtId="0" fontId="62" fillId="0" borderId="0">
      <alignment vertical="center"/>
    </xf>
    <xf numFmtId="0" fontId="41" fillId="0" borderId="0"/>
    <xf numFmtId="0" fontId="93" fillId="0" borderId="0"/>
    <xf numFmtId="0" fontId="48" fillId="0" borderId="30">
      <alignment vertical="center" wrapText="1"/>
    </xf>
    <xf numFmtId="0" fontId="58" fillId="0" borderId="0"/>
    <xf numFmtId="0" fontId="94" fillId="0" borderId="0"/>
    <xf numFmtId="188" fontId="48" fillId="0" borderId="0"/>
    <xf numFmtId="189" fontId="48" fillId="0" borderId="0"/>
    <xf numFmtId="190" fontId="48" fillId="0" borderId="0"/>
    <xf numFmtId="0" fontId="95" fillId="0" borderId="0" applyNumberFormat="0" applyFill="0" applyBorder="0" applyAlignment="0" applyProtection="0"/>
    <xf numFmtId="38" fontId="96" fillId="30" borderId="0" applyNumberFormat="0" applyBorder="0" applyAlignment="0" applyProtection="0"/>
    <xf numFmtId="0" fontId="97" fillId="0" borderId="0">
      <alignment horizontal="left"/>
    </xf>
    <xf numFmtId="0" fontId="98" fillId="0" borderId="0" applyNumberFormat="0" applyFill="0" applyBorder="0" applyAlignment="0" applyProtection="0"/>
    <xf numFmtId="10" fontId="96" fillId="31" borderId="3" applyNumberFormat="0" applyBorder="0" applyAlignment="0" applyProtection="0"/>
    <xf numFmtId="0" fontId="80" fillId="0" borderId="31"/>
    <xf numFmtId="37" fontId="99" fillId="0" borderId="0"/>
    <xf numFmtId="177" fontId="48" fillId="0" borderId="0"/>
    <xf numFmtId="0" fontId="100" fillId="30" borderId="0">
      <alignment horizontal="centerContinuous"/>
    </xf>
    <xf numFmtId="0" fontId="101" fillId="0" borderId="0" applyFill="0" applyBorder="0" applyProtection="0">
      <alignment horizontal="centerContinuous" vertical="center"/>
    </xf>
    <xf numFmtId="0" fontId="102" fillId="29" borderId="0" applyFill="0" applyBorder="0" applyProtection="0">
      <alignment horizontal="center" vertical="center"/>
    </xf>
    <xf numFmtId="0" fontId="8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1" fillId="0" borderId="0"/>
    <xf numFmtId="0" fontId="62" fillId="0" borderId="0">
      <alignment vertical="center"/>
    </xf>
    <xf numFmtId="0" fontId="62" fillId="0" borderId="0">
      <alignment vertical="center"/>
    </xf>
    <xf numFmtId="0" fontId="44" fillId="0" borderId="0">
      <alignment vertical="center"/>
    </xf>
    <xf numFmtId="0" fontId="62" fillId="0" borderId="0">
      <alignment vertical="center"/>
    </xf>
    <xf numFmtId="0" fontId="87" fillId="0" borderId="0"/>
    <xf numFmtId="0" fontId="87" fillId="0" borderId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0" fontId="43" fillId="0" borderId="0">
      <alignment vertical="center"/>
    </xf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0" fillId="0" borderId="0" applyFill="0" applyAlignment="0"/>
    <xf numFmtId="0" fontId="38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8" fillId="0" borderId="0"/>
    <xf numFmtId="9" fontId="115" fillId="0" borderId="0" applyFont="0" applyFill="0" applyBorder="0" applyAlignment="0" applyProtection="0">
      <alignment vertical="center"/>
    </xf>
    <xf numFmtId="41" fontId="116" fillId="0" borderId="0" applyFont="0" applyFill="0" applyBorder="0" applyAlignment="0" applyProtection="0">
      <alignment vertical="center"/>
    </xf>
    <xf numFmtId="41" fontId="38" fillId="0" borderId="0">
      <alignment vertical="center"/>
    </xf>
    <xf numFmtId="0" fontId="38" fillId="0" borderId="0">
      <alignment vertical="center"/>
    </xf>
    <xf numFmtId="0" fontId="117" fillId="38" borderId="0">
      <alignment vertical="center"/>
    </xf>
    <xf numFmtId="0" fontId="38" fillId="0" borderId="0"/>
    <xf numFmtId="0" fontId="38" fillId="0" borderId="0">
      <alignment vertical="center"/>
    </xf>
    <xf numFmtId="41" fontId="38" fillId="0" borderId="0">
      <alignment vertical="center"/>
    </xf>
    <xf numFmtId="0" fontId="38" fillId="0" borderId="0"/>
    <xf numFmtId="0" fontId="38" fillId="0" borderId="0">
      <alignment vertical="center"/>
    </xf>
    <xf numFmtId="0" fontId="38" fillId="0" borderId="0"/>
    <xf numFmtId="41" fontId="3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810">
    <xf numFmtId="0" fontId="0" fillId="0" borderId="0" xfId="0" applyNumberFormat="1" applyFill="1" applyAlignment="1"/>
    <xf numFmtId="0" fontId="35" fillId="0" borderId="0" xfId="0" applyNumberFormat="1" applyFont="1" applyFill="1" applyAlignment="1"/>
    <xf numFmtId="0" fontId="33" fillId="0" borderId="0" xfId="0" applyNumberFormat="1" applyFont="1" applyFill="1" applyAlignment="1"/>
    <xf numFmtId="0" fontId="33" fillId="0" borderId="0" xfId="0" applyNumberFormat="1" applyFont="1" applyFill="1" applyAlignment="1"/>
    <xf numFmtId="0" fontId="36" fillId="0" borderId="3" xfId="0" applyNumberFormat="1" applyFont="1" applyFill="1" applyBorder="1" applyAlignment="1" applyProtection="1">
      <alignment horizontal="center" vertical="center"/>
    </xf>
    <xf numFmtId="0" fontId="36" fillId="28" borderId="3" xfId="0" applyNumberFormat="1" applyFont="1" applyFill="1" applyBorder="1" applyAlignment="1" applyProtection="1">
      <alignment horizontal="center" vertical="center"/>
    </xf>
    <xf numFmtId="0" fontId="103" fillId="0" borderId="0" xfId="116" applyFont="1"/>
    <xf numFmtId="0" fontId="103" fillId="0" borderId="0" xfId="116" applyFont="1" applyAlignment="1">
      <alignment vertical="center"/>
    </xf>
    <xf numFmtId="0" fontId="103" fillId="0" borderId="0" xfId="116" applyFont="1" applyFill="1" applyAlignment="1">
      <alignment vertical="center"/>
    </xf>
    <xf numFmtId="0" fontId="104" fillId="32" borderId="0" xfId="116" applyFont="1" applyFill="1"/>
    <xf numFmtId="0" fontId="104" fillId="0" borderId="0" xfId="116" applyFont="1" applyFill="1"/>
    <xf numFmtId="0" fontId="104" fillId="0" borderId="0" xfId="116" applyFont="1" applyFill="1" applyAlignment="1"/>
    <xf numFmtId="0" fontId="105" fillId="0" borderId="0" xfId="116" applyFont="1" applyFill="1"/>
    <xf numFmtId="0" fontId="104" fillId="32" borderId="0" xfId="116" applyFont="1" applyFill="1" applyBorder="1" applyAlignment="1">
      <alignment horizontal="center" vertical="center" wrapText="1"/>
    </xf>
    <xf numFmtId="0" fontId="104" fillId="0" borderId="0" xfId="116" applyFont="1" applyFill="1" applyBorder="1" applyAlignment="1">
      <alignment horizontal="center" vertical="center" wrapText="1"/>
    </xf>
    <xf numFmtId="0" fontId="106" fillId="0" borderId="0" xfId="116" applyFont="1" applyFill="1" applyAlignment="1"/>
    <xf numFmtId="0" fontId="104" fillId="32" borderId="0" xfId="116" applyFont="1" applyFill="1" applyAlignment="1"/>
    <xf numFmtId="0" fontId="105" fillId="32" borderId="0" xfId="116" applyFont="1" applyFill="1"/>
    <xf numFmtId="0" fontId="105" fillId="32" borderId="0" xfId="116" applyFont="1" applyFill="1" applyAlignment="1"/>
    <xf numFmtId="0" fontId="105" fillId="0" borderId="0" xfId="116" applyFont="1" applyFill="1" applyAlignment="1"/>
    <xf numFmtId="0" fontId="107" fillId="0" borderId="0" xfId="116" applyFont="1"/>
    <xf numFmtId="0" fontId="103" fillId="0" borderId="0" xfId="116" applyFont="1" applyAlignment="1">
      <alignment horizontal="center" vertical="center"/>
    </xf>
    <xf numFmtId="0" fontId="109" fillId="0" borderId="0" xfId="0" applyNumberFormat="1" applyFont="1" applyFill="1" applyAlignment="1"/>
    <xf numFmtId="178" fontId="112" fillId="28" borderId="3" xfId="0" applyNumberFormat="1" applyFont="1" applyFill="1" applyBorder="1" applyAlignment="1">
      <alignment horizontal="center" vertical="center"/>
    </xf>
    <xf numFmtId="178" fontId="110" fillId="0" borderId="3" xfId="0" applyNumberFormat="1" applyFont="1" applyFill="1" applyBorder="1" applyAlignment="1">
      <alignment horizontal="center" vertical="center"/>
    </xf>
    <xf numFmtId="0" fontId="110" fillId="0" borderId="0" xfId="0" applyNumberFormat="1" applyFont="1" applyFill="1" applyAlignment="1"/>
    <xf numFmtId="178" fontId="112" fillId="28" borderId="34" xfId="0" applyNumberFormat="1" applyFont="1" applyFill="1" applyBorder="1" applyAlignment="1">
      <alignment horizontal="center" vertical="center"/>
    </xf>
    <xf numFmtId="178" fontId="110" fillId="25" borderId="3" xfId="0" applyNumberFormat="1" applyFont="1" applyFill="1" applyBorder="1" applyAlignment="1">
      <alignment horizontal="center" vertical="center"/>
    </xf>
    <xf numFmtId="0" fontId="110" fillId="25" borderId="0" xfId="0" applyNumberFormat="1" applyFont="1" applyFill="1" applyAlignment="1"/>
    <xf numFmtId="0" fontId="33" fillId="25" borderId="0" xfId="0" applyNumberFormat="1" applyFont="1" applyFill="1" applyAlignment="1"/>
    <xf numFmtId="178" fontId="114" fillId="0" borderId="3" xfId="0" applyNumberFormat="1" applyFont="1" applyFill="1" applyBorder="1" applyAlignment="1">
      <alignment horizontal="center" vertical="center"/>
    </xf>
    <xf numFmtId="178" fontId="110" fillId="0" borderId="17" xfId="0" applyNumberFormat="1" applyFont="1" applyFill="1" applyBorder="1" applyAlignment="1">
      <alignment horizontal="center" vertical="center"/>
    </xf>
    <xf numFmtId="9" fontId="104" fillId="0" borderId="0" xfId="49728" applyFont="1" applyFill="1" applyAlignment="1"/>
    <xf numFmtId="177" fontId="111" fillId="33" borderId="3" xfId="0" applyNumberFormat="1" applyFont="1" applyFill="1" applyBorder="1" applyAlignment="1" applyProtection="1">
      <alignment horizontal="center" vertical="center"/>
    </xf>
    <xf numFmtId="177" fontId="111" fillId="33" borderId="34" xfId="0" applyNumberFormat="1" applyFont="1" applyFill="1" applyBorder="1" applyAlignment="1" applyProtection="1">
      <alignment horizontal="center" vertical="center"/>
    </xf>
    <xf numFmtId="0" fontId="104" fillId="25" borderId="0" xfId="116" applyFont="1" applyFill="1" applyAlignment="1"/>
    <xf numFmtId="0" fontId="33" fillId="0" borderId="38" xfId="0" applyNumberFormat="1" applyFont="1" applyFill="1" applyBorder="1" applyAlignment="1"/>
    <xf numFmtId="178" fontId="114" fillId="0" borderId="3" xfId="49724" applyNumberFormat="1" applyFont="1" applyFill="1" applyBorder="1" applyAlignment="1">
      <alignment horizontal="center" vertical="center"/>
    </xf>
    <xf numFmtId="178" fontId="114" fillId="0" borderId="3" xfId="0" applyNumberFormat="1" applyFont="1" applyBorder="1" applyAlignment="1">
      <alignment horizontal="center" vertical="center"/>
    </xf>
    <xf numFmtId="178" fontId="114" fillId="0" borderId="17" xfId="0" applyNumberFormat="1" applyFont="1" applyFill="1" applyBorder="1" applyAlignment="1">
      <alignment horizontal="center" vertical="center"/>
    </xf>
    <xf numFmtId="0" fontId="118" fillId="35" borderId="17" xfId="116" applyFont="1" applyFill="1" applyBorder="1" applyAlignment="1">
      <alignment horizontal="center" vertical="center"/>
    </xf>
    <xf numFmtId="0" fontId="118" fillId="35" borderId="17" xfId="116" applyNumberFormat="1" applyFont="1" applyFill="1" applyBorder="1" applyAlignment="1">
      <alignment horizontal="center" vertical="center" wrapText="1"/>
    </xf>
    <xf numFmtId="178" fontId="114" fillId="0" borderId="3" xfId="5" applyNumberFormat="1" applyFont="1" applyFill="1" applyBorder="1" applyAlignment="1">
      <alignment horizontal="center" vertical="center"/>
    </xf>
    <xf numFmtId="177" fontId="84" fillId="33" borderId="3" xfId="49724" applyNumberFormat="1" applyFont="1" applyFill="1" applyBorder="1" applyAlignment="1" applyProtection="1">
      <alignment horizontal="center" vertical="center"/>
    </xf>
    <xf numFmtId="178" fontId="114" fillId="0" borderId="34" xfId="0" applyNumberFormat="1" applyFont="1" applyFill="1" applyBorder="1" applyAlignment="1">
      <alignment horizontal="center" vertical="center"/>
    </xf>
    <xf numFmtId="0" fontId="36" fillId="0" borderId="32" xfId="0" applyNumberFormat="1" applyFont="1" applyFill="1" applyBorder="1" applyAlignment="1" applyProtection="1">
      <alignment horizontal="center" vertical="center"/>
    </xf>
    <xf numFmtId="41" fontId="110" fillId="25" borderId="33" xfId="3" applyNumberFormat="1" applyFont="1" applyFill="1" applyBorder="1" applyAlignment="1" applyProtection="1">
      <alignment horizontal="center" vertical="center"/>
    </xf>
    <xf numFmtId="41" fontId="110" fillId="25" borderId="37" xfId="3" applyNumberFormat="1" applyFont="1" applyFill="1" applyBorder="1" applyAlignment="1" applyProtection="1">
      <alignment horizontal="center" vertical="center"/>
    </xf>
    <xf numFmtId="0" fontId="103" fillId="0" borderId="0" xfId="116" applyNumberFormat="1" applyFont="1" applyAlignment="1">
      <alignment horizontal="center" vertical="center"/>
    </xf>
    <xf numFmtId="41" fontId="110" fillId="25" borderId="4" xfId="3" applyNumberFormat="1" applyFont="1" applyFill="1" applyBorder="1" applyAlignment="1" applyProtection="1">
      <alignment horizontal="center" vertical="center"/>
    </xf>
    <xf numFmtId="41" fontId="114" fillId="25" borderId="4" xfId="49730" applyNumberFormat="1" applyFont="1" applyFill="1" applyBorder="1" applyAlignment="1" applyProtection="1">
      <alignment horizontal="center" vertical="center"/>
    </xf>
    <xf numFmtId="178" fontId="110" fillId="0" borderId="3" xfId="49738" applyNumberFormat="1" applyFont="1" applyFill="1" applyBorder="1" applyAlignment="1">
      <alignment horizontal="center" vertical="center"/>
    </xf>
    <xf numFmtId="178" fontId="112" fillId="26" borderId="3" xfId="0" applyNumberFormat="1" applyFont="1" applyFill="1" applyBorder="1" applyAlignment="1">
      <alignment horizontal="center" vertical="center"/>
    </xf>
    <xf numFmtId="178" fontId="110" fillId="0" borderId="32" xfId="0" applyNumberFormat="1" applyFont="1" applyFill="1" applyBorder="1" applyAlignment="1">
      <alignment horizontal="center" vertical="center"/>
    </xf>
    <xf numFmtId="178" fontId="114" fillId="0" borderId="32" xfId="0" applyNumberFormat="1" applyFont="1" applyFill="1" applyBorder="1" applyAlignment="1">
      <alignment horizontal="center" vertical="center"/>
    </xf>
    <xf numFmtId="178" fontId="110" fillId="25" borderId="32" xfId="0" applyNumberFormat="1" applyFont="1" applyFill="1" applyBorder="1" applyAlignment="1">
      <alignment horizontal="center" vertical="center"/>
    </xf>
    <xf numFmtId="178" fontId="110" fillId="0" borderId="32" xfId="49738" applyNumberFormat="1" applyFont="1" applyFill="1" applyBorder="1" applyAlignment="1">
      <alignment horizontal="center" vertical="center"/>
    </xf>
    <xf numFmtId="178" fontId="110" fillId="0" borderId="3" xfId="0" applyNumberFormat="1" applyFont="1" applyBorder="1" applyAlignment="1">
      <alignment horizontal="center" vertical="center"/>
    </xf>
    <xf numFmtId="0" fontId="33" fillId="0" borderId="0" xfId="5" applyNumberFormat="1" applyFont="1" applyFill="1" applyAlignment="1"/>
    <xf numFmtId="0" fontId="35" fillId="0" borderId="0" xfId="5" applyNumberFormat="1" applyFont="1" applyFill="1" applyAlignment="1"/>
    <xf numFmtId="0" fontId="36" fillId="28" borderId="3" xfId="5" applyNumberFormat="1" applyFont="1" applyFill="1" applyBorder="1" applyAlignment="1" applyProtection="1">
      <alignment horizontal="center" vertical="center"/>
    </xf>
    <xf numFmtId="0" fontId="36" fillId="0" borderId="3" xfId="5" applyNumberFormat="1" applyFont="1" applyFill="1" applyBorder="1" applyAlignment="1" applyProtection="1">
      <alignment horizontal="center" vertical="center"/>
    </xf>
    <xf numFmtId="0" fontId="36" fillId="0" borderId="32" xfId="5" applyNumberFormat="1" applyFont="1" applyFill="1" applyBorder="1" applyAlignment="1" applyProtection="1">
      <alignment horizontal="center" vertical="center"/>
    </xf>
    <xf numFmtId="0" fontId="84" fillId="0" borderId="4" xfId="5" applyNumberFormat="1" applyFont="1" applyFill="1" applyBorder="1" applyAlignment="1" applyProtection="1">
      <alignment horizontal="center" vertical="center"/>
    </xf>
    <xf numFmtId="177" fontId="84" fillId="33" borderId="3" xfId="5" applyNumberFormat="1" applyFont="1" applyFill="1" applyBorder="1" applyAlignment="1" applyProtection="1">
      <alignment horizontal="center" vertical="center"/>
    </xf>
    <xf numFmtId="178" fontId="85" fillId="28" borderId="3" xfId="5" applyNumberFormat="1" applyFont="1" applyFill="1" applyBorder="1" applyAlignment="1">
      <alignment horizontal="center" vertical="center"/>
    </xf>
    <xf numFmtId="178" fontId="85" fillId="28" borderId="32" xfId="5" applyNumberFormat="1" applyFont="1" applyFill="1" applyBorder="1" applyAlignment="1">
      <alignment horizontal="center" vertical="center"/>
    </xf>
    <xf numFmtId="177" fontId="111" fillId="33" borderId="3" xfId="5" applyNumberFormat="1" applyFont="1" applyFill="1" applyBorder="1" applyAlignment="1" applyProtection="1">
      <alignment horizontal="center" vertical="center"/>
    </xf>
    <xf numFmtId="178" fontId="112" fillId="28" borderId="3" xfId="5" applyNumberFormat="1" applyFont="1" applyFill="1" applyBorder="1" applyAlignment="1">
      <alignment horizontal="center" vertical="center"/>
    </xf>
    <xf numFmtId="178" fontId="110" fillId="0" borderId="3" xfId="5" applyNumberFormat="1" applyFont="1" applyFill="1" applyBorder="1" applyAlignment="1">
      <alignment horizontal="center" vertical="center"/>
    </xf>
    <xf numFmtId="178" fontId="110" fillId="0" borderId="32" xfId="5" applyNumberFormat="1" applyFont="1" applyFill="1" applyBorder="1" applyAlignment="1">
      <alignment horizontal="center" vertical="center"/>
    </xf>
    <xf numFmtId="178" fontId="110" fillId="25" borderId="3" xfId="5" applyNumberFormat="1" applyFont="1" applyFill="1" applyBorder="1" applyAlignment="1">
      <alignment horizontal="center" vertical="center"/>
    </xf>
    <xf numFmtId="0" fontId="110" fillId="25" borderId="0" xfId="5" applyNumberFormat="1" applyFont="1" applyFill="1" applyAlignment="1"/>
    <xf numFmtId="178" fontId="114" fillId="0" borderId="32" xfId="49724" applyNumberFormat="1" applyFont="1" applyFill="1" applyBorder="1" applyAlignment="1">
      <alignment horizontal="center" vertical="center"/>
    </xf>
    <xf numFmtId="0" fontId="109" fillId="0" borderId="0" xfId="5" applyNumberFormat="1" applyFont="1" applyFill="1" applyAlignment="1"/>
    <xf numFmtId="178" fontId="114" fillId="0" borderId="32" xfId="5" applyNumberFormat="1" applyFont="1" applyFill="1" applyBorder="1" applyAlignment="1">
      <alignment horizontal="center" vertical="center"/>
    </xf>
    <xf numFmtId="0" fontId="33" fillId="25" borderId="0" xfId="5" applyNumberFormat="1" applyFont="1" applyFill="1" applyAlignment="1"/>
    <xf numFmtId="0" fontId="110" fillId="0" borderId="0" xfId="5" applyNumberFormat="1" applyFont="1" applyFill="1" applyAlignment="1"/>
    <xf numFmtId="41" fontId="110" fillId="25" borderId="48" xfId="3" applyNumberFormat="1" applyFont="1" applyFill="1" applyBorder="1" applyAlignment="1" applyProtection="1">
      <alignment horizontal="center" vertical="center"/>
    </xf>
    <xf numFmtId="177" fontId="111" fillId="33" borderId="18" xfId="5" applyNumberFormat="1" applyFont="1" applyFill="1" applyBorder="1" applyAlignment="1" applyProtection="1">
      <alignment horizontal="center" vertical="center"/>
    </xf>
    <xf numFmtId="178" fontId="112" fillId="28" borderId="19" xfId="5" applyNumberFormat="1" applyFont="1" applyFill="1" applyBorder="1" applyAlignment="1">
      <alignment horizontal="center" vertical="center"/>
    </xf>
    <xf numFmtId="177" fontId="111" fillId="33" borderId="34" xfId="5" applyNumberFormat="1" applyFont="1" applyFill="1" applyBorder="1" applyAlignment="1" applyProtection="1">
      <alignment horizontal="center" vertical="center"/>
    </xf>
    <xf numFmtId="0" fontId="111" fillId="25" borderId="4" xfId="5" applyNumberFormat="1" applyFont="1" applyFill="1" applyBorder="1" applyAlignment="1" applyProtection="1">
      <alignment horizontal="center" vertical="center"/>
    </xf>
    <xf numFmtId="178" fontId="113" fillId="26" borderId="3" xfId="5" applyNumberFormat="1" applyFont="1" applyFill="1" applyBorder="1" applyAlignment="1">
      <alignment horizontal="center" vertical="center"/>
    </xf>
    <xf numFmtId="178" fontId="113" fillId="26" borderId="32" xfId="5" applyNumberFormat="1" applyFont="1" applyFill="1" applyBorder="1" applyAlignment="1">
      <alignment horizontal="center" vertical="center"/>
    </xf>
    <xf numFmtId="178" fontId="112" fillId="26" borderId="3" xfId="5" applyNumberFormat="1" applyFont="1" applyFill="1" applyBorder="1" applyAlignment="1">
      <alignment horizontal="center" vertical="center"/>
    </xf>
    <xf numFmtId="177" fontId="111" fillId="33" borderId="19" xfId="5" applyNumberFormat="1" applyFont="1" applyFill="1" applyBorder="1" applyAlignment="1" applyProtection="1">
      <alignment horizontal="center" vertical="center"/>
    </xf>
    <xf numFmtId="178" fontId="112" fillId="26" borderId="19" xfId="5" applyNumberFormat="1" applyFont="1" applyFill="1" applyBorder="1" applyAlignment="1">
      <alignment horizontal="center" vertical="center"/>
    </xf>
    <xf numFmtId="178" fontId="110" fillId="0" borderId="19" xfId="5" applyNumberFormat="1" applyFont="1" applyFill="1" applyBorder="1" applyAlignment="1">
      <alignment horizontal="center" vertical="center"/>
    </xf>
    <xf numFmtId="0" fontId="33" fillId="0" borderId="38" xfId="5" applyNumberFormat="1" applyFont="1" applyFill="1" applyBorder="1" applyAlignment="1"/>
    <xf numFmtId="177" fontId="111" fillId="33" borderId="17" xfId="5" applyNumberFormat="1" applyFont="1" applyFill="1" applyBorder="1" applyAlignment="1" applyProtection="1">
      <alignment horizontal="center" vertical="center"/>
    </xf>
    <xf numFmtId="178" fontId="112" fillId="28" borderId="17" xfId="0" applyNumberFormat="1" applyFont="1" applyFill="1" applyBorder="1" applyAlignment="1">
      <alignment horizontal="center" vertical="center"/>
    </xf>
    <xf numFmtId="178" fontId="114" fillId="0" borderId="32" xfId="0" applyNumberFormat="1" applyFont="1" applyBorder="1" applyAlignment="1">
      <alignment horizontal="center" vertical="center"/>
    </xf>
    <xf numFmtId="178" fontId="114" fillId="0" borderId="47" xfId="0" applyNumberFormat="1" applyFont="1" applyFill="1" applyBorder="1" applyAlignment="1">
      <alignment horizontal="center" vertical="center"/>
    </xf>
    <xf numFmtId="178" fontId="110" fillId="0" borderId="47" xfId="0" applyNumberFormat="1" applyFont="1" applyFill="1" applyBorder="1" applyAlignment="1">
      <alignment horizontal="center" vertical="center"/>
    </xf>
    <xf numFmtId="178" fontId="114" fillId="0" borderId="46" xfId="0" applyNumberFormat="1" applyFont="1" applyFill="1" applyBorder="1" applyAlignment="1">
      <alignment horizontal="center" vertical="center"/>
    </xf>
    <xf numFmtId="178" fontId="110" fillId="0" borderId="32" xfId="0" applyNumberFormat="1" applyFont="1" applyBorder="1" applyAlignment="1">
      <alignment horizontal="center" vertical="center"/>
    </xf>
    <xf numFmtId="178" fontId="110" fillId="28" borderId="3" xfId="0" applyNumberFormat="1" applyFont="1" applyFill="1" applyBorder="1" applyAlignment="1">
      <alignment horizontal="center" vertical="center"/>
    </xf>
    <xf numFmtId="178" fontId="110" fillId="28" borderId="34" xfId="0" applyNumberFormat="1" applyFont="1" applyFill="1" applyBorder="1" applyAlignment="1">
      <alignment horizontal="center" vertical="center"/>
    </xf>
    <xf numFmtId="178" fontId="84" fillId="28" borderId="3" xfId="0" applyNumberFormat="1" applyFont="1" applyFill="1" applyBorder="1" applyAlignment="1">
      <alignment horizontal="center" vertical="center"/>
    </xf>
    <xf numFmtId="178" fontId="84" fillId="28" borderId="32" xfId="0" applyNumberFormat="1" applyFont="1" applyFill="1" applyBorder="1" applyAlignment="1">
      <alignment horizontal="center" vertical="center"/>
    </xf>
    <xf numFmtId="178" fontId="111" fillId="26" borderId="3" xfId="0" applyNumberFormat="1" applyFont="1" applyFill="1" applyBorder="1" applyAlignment="1">
      <alignment horizontal="center" vertical="center"/>
    </xf>
    <xf numFmtId="178" fontId="111" fillId="26" borderId="32" xfId="0" applyNumberFormat="1" applyFont="1" applyFill="1" applyBorder="1" applyAlignment="1">
      <alignment horizontal="center" vertical="center"/>
    </xf>
    <xf numFmtId="14" fontId="125" fillId="35" borderId="17" xfId="49729" applyNumberFormat="1" applyFont="1" applyFill="1" applyBorder="1" applyAlignment="1">
      <alignment vertical="center" wrapText="1"/>
    </xf>
    <xf numFmtId="0" fontId="126" fillId="35" borderId="17" xfId="116" applyNumberFormat="1" applyFont="1" applyFill="1" applyBorder="1" applyAlignment="1">
      <alignment horizontal="center" vertical="center"/>
    </xf>
    <xf numFmtId="0" fontId="126" fillId="35" borderId="17" xfId="116" applyNumberFormat="1" applyFont="1" applyFill="1" applyBorder="1" applyAlignment="1">
      <alignment horizontal="center" vertical="center" shrinkToFit="1"/>
    </xf>
    <xf numFmtId="0" fontId="126" fillId="35" borderId="17" xfId="116" applyNumberFormat="1" applyFont="1" applyFill="1" applyBorder="1" applyAlignment="1">
      <alignment horizontal="center" vertical="center" wrapText="1"/>
    </xf>
    <xf numFmtId="14" fontId="124" fillId="0" borderId="0" xfId="49729" applyNumberFormat="1" applyFont="1" applyBorder="1" applyAlignment="1">
      <alignment vertical="center"/>
    </xf>
    <xf numFmtId="0" fontId="123" fillId="0" borderId="0" xfId="116" applyNumberFormat="1" applyFont="1" applyAlignment="1">
      <alignment vertical="center"/>
    </xf>
    <xf numFmtId="0" fontId="123" fillId="0" borderId="0" xfId="116" applyNumberFormat="1" applyFont="1"/>
    <xf numFmtId="0" fontId="103" fillId="0" borderId="0" xfId="116" applyFont="1" applyFill="1"/>
    <xf numFmtId="0" fontId="103" fillId="0" borderId="0" xfId="116" applyFont="1" applyFill="1" applyAlignment="1">
      <alignment horizontal="center" vertical="center"/>
    </xf>
    <xf numFmtId="0" fontId="107" fillId="0" borderId="0" xfId="116" applyFont="1" applyFill="1"/>
    <xf numFmtId="0" fontId="84" fillId="25" borderId="4" xfId="0" applyNumberFormat="1" applyFont="1" applyFill="1" applyBorder="1" applyAlignment="1" applyProtection="1">
      <alignment horizontal="center" vertical="center"/>
    </xf>
    <xf numFmtId="41" fontId="118" fillId="35" borderId="3" xfId="49729" applyFont="1" applyFill="1" applyBorder="1" applyAlignment="1">
      <alignment horizontal="right" vertical="center" wrapText="1"/>
    </xf>
    <xf numFmtId="0" fontId="37" fillId="0" borderId="0" xfId="0" applyNumberFormat="1" applyFont="1" applyFill="1" applyBorder="1" applyAlignment="1">
      <alignment horizontal="left" vertical="center"/>
    </xf>
    <xf numFmtId="0" fontId="37" fillId="0" borderId="31" xfId="0" applyNumberFormat="1" applyFont="1" applyFill="1" applyBorder="1" applyAlignment="1">
      <alignment horizontal="left" vertical="center"/>
    </xf>
    <xf numFmtId="178" fontId="111" fillId="28" borderId="3" xfId="0" applyNumberFormat="1" applyFont="1" applyFill="1" applyBorder="1" applyAlignment="1">
      <alignment horizontal="center" vertical="center"/>
    </xf>
    <xf numFmtId="0" fontId="129" fillId="25" borderId="3" xfId="32014" applyNumberFormat="1" applyFont="1" applyFill="1" applyBorder="1" applyAlignment="1">
      <alignment horizontal="center" vertical="center"/>
    </xf>
    <xf numFmtId="41" fontId="130" fillId="0" borderId="3" xfId="49719" applyFont="1" applyFill="1" applyBorder="1" applyAlignment="1">
      <alignment horizontal="right" vertical="center"/>
    </xf>
    <xf numFmtId="0" fontId="127" fillId="33" borderId="17" xfId="32014" applyNumberFormat="1" applyFont="1" applyFill="1" applyBorder="1" applyAlignment="1">
      <alignment horizontal="center" vertical="center" wrapText="1"/>
    </xf>
    <xf numFmtId="0" fontId="127" fillId="33" borderId="3" xfId="32014" applyNumberFormat="1" applyFont="1" applyFill="1" applyBorder="1" applyAlignment="1">
      <alignment horizontal="center" vertical="center" wrapText="1"/>
    </xf>
    <xf numFmtId="0" fontId="126" fillId="32" borderId="3" xfId="116" applyNumberFormat="1" applyFont="1" applyFill="1" applyBorder="1" applyAlignment="1">
      <alignment horizontal="center" vertical="top"/>
    </xf>
    <xf numFmtId="14" fontId="126" fillId="32" borderId="3" xfId="49719" applyNumberFormat="1" applyFont="1" applyFill="1" applyBorder="1" applyAlignment="1">
      <alignment horizontal="center" vertical="center"/>
    </xf>
    <xf numFmtId="0" fontId="128" fillId="32" borderId="3" xfId="116" applyNumberFormat="1" applyFont="1" applyFill="1" applyBorder="1" applyAlignment="1">
      <alignment horizontal="center" vertical="center"/>
    </xf>
    <xf numFmtId="0" fontId="128" fillId="32" borderId="3" xfId="116" applyNumberFormat="1" applyFont="1" applyFill="1" applyBorder="1" applyAlignment="1">
      <alignment horizontal="center" vertical="center" shrinkToFit="1"/>
    </xf>
    <xf numFmtId="193" fontId="129" fillId="25" borderId="36" xfId="32014" applyNumberFormat="1" applyFont="1" applyFill="1" applyBorder="1" applyAlignment="1">
      <alignment horizontal="center" vertical="center"/>
    </xf>
    <xf numFmtId="178" fontId="130" fillId="25" borderId="3" xfId="32014" applyNumberFormat="1" applyFont="1" applyFill="1" applyBorder="1" applyAlignment="1">
      <alignment horizontal="right" vertical="center"/>
    </xf>
    <xf numFmtId="193" fontId="129" fillId="25" borderId="3" xfId="32014" applyNumberFormat="1" applyFont="1" applyFill="1" applyBorder="1" applyAlignment="1">
      <alignment horizontal="center" vertical="center"/>
    </xf>
    <xf numFmtId="178" fontId="130" fillId="0" borderId="3" xfId="32014" applyNumberFormat="1" applyFont="1" applyFill="1" applyBorder="1" applyAlignment="1">
      <alignment horizontal="right" vertical="center"/>
    </xf>
    <xf numFmtId="0" fontId="127" fillId="25" borderId="3" xfId="32014" applyNumberFormat="1" applyFont="1" applyFill="1" applyBorder="1" applyAlignment="1">
      <alignment horizontal="center" vertical="center" wrapText="1"/>
    </xf>
    <xf numFmtId="0" fontId="128" fillId="0" borderId="3" xfId="116" applyNumberFormat="1" applyFont="1" applyFill="1" applyBorder="1" applyAlignment="1">
      <alignment horizontal="center" vertical="center"/>
    </xf>
    <xf numFmtId="41" fontId="128" fillId="0" borderId="3" xfId="49719" applyFont="1" applyFill="1" applyBorder="1" applyAlignment="1">
      <alignment horizontal="right" vertical="center"/>
    </xf>
    <xf numFmtId="0" fontId="128" fillId="33" borderId="3" xfId="116" applyNumberFormat="1" applyFont="1" applyFill="1" applyBorder="1" applyAlignment="1">
      <alignment horizontal="center" vertical="center"/>
    </xf>
    <xf numFmtId="0" fontId="130" fillId="33" borderId="36" xfId="4156" applyFont="1" applyFill="1" applyBorder="1" applyAlignment="1">
      <alignment horizontal="center" vertical="center"/>
    </xf>
    <xf numFmtId="0" fontId="128" fillId="0" borderId="3" xfId="2500" applyNumberFormat="1" applyFont="1" applyFill="1" applyBorder="1" applyAlignment="1">
      <alignment horizontal="center" vertical="center"/>
    </xf>
    <xf numFmtId="0" fontId="128" fillId="34" borderId="3" xfId="116" applyNumberFormat="1" applyFont="1" applyFill="1" applyBorder="1" applyAlignment="1">
      <alignment horizontal="center" vertical="center"/>
    </xf>
    <xf numFmtId="0" fontId="129" fillId="0" borderId="3" xfId="32014" applyNumberFormat="1" applyFont="1" applyFill="1" applyBorder="1" applyAlignment="1">
      <alignment horizontal="center" vertical="center"/>
    </xf>
    <xf numFmtId="0" fontId="130" fillId="33" borderId="27" xfId="4156" applyNumberFormat="1" applyFont="1" applyFill="1" applyBorder="1" applyAlignment="1">
      <alignment horizontal="center" vertical="center"/>
    </xf>
    <xf numFmtId="0" fontId="130" fillId="33" borderId="36" xfId="4156" applyNumberFormat="1" applyFont="1" applyFill="1" applyBorder="1" applyAlignment="1">
      <alignment horizontal="center" vertical="center"/>
    </xf>
    <xf numFmtId="0" fontId="126" fillId="32" borderId="3" xfId="116" applyNumberFormat="1" applyFont="1" applyFill="1" applyBorder="1" applyAlignment="1">
      <alignment horizontal="center" vertical="center"/>
    </xf>
    <xf numFmtId="0" fontId="129" fillId="0" borderId="3" xfId="2500" applyNumberFormat="1" applyFont="1" applyFill="1" applyBorder="1" applyAlignment="1">
      <alignment horizontal="center" vertical="center"/>
    </xf>
    <xf numFmtId="0" fontId="130" fillId="0" borderId="3" xfId="2500" applyFont="1" applyBorder="1" applyAlignment="1">
      <alignment horizontal="center" vertical="center"/>
    </xf>
    <xf numFmtId="41" fontId="130" fillId="25" borderId="3" xfId="49719" applyFont="1" applyFill="1" applyBorder="1" applyAlignment="1">
      <alignment horizontal="right" vertical="center"/>
    </xf>
    <xf numFmtId="0" fontId="130" fillId="0" borderId="3" xfId="2500" applyNumberFormat="1" applyFont="1" applyFill="1" applyBorder="1" applyAlignment="1">
      <alignment horizontal="center" vertical="center"/>
    </xf>
    <xf numFmtId="0" fontId="130" fillId="33" borderId="3" xfId="4156" applyNumberFormat="1" applyFont="1" applyFill="1" applyBorder="1" applyAlignment="1">
      <alignment horizontal="center" vertical="center"/>
    </xf>
    <xf numFmtId="0" fontId="128" fillId="0" borderId="3" xfId="116" applyNumberFormat="1" applyFont="1" applyFill="1" applyBorder="1" applyAlignment="1">
      <alignment horizontal="center" vertical="center" shrinkToFit="1"/>
    </xf>
    <xf numFmtId="0" fontId="129" fillId="25" borderId="3" xfId="49719" applyNumberFormat="1" applyFont="1" applyFill="1" applyBorder="1" applyAlignment="1">
      <alignment horizontal="center" vertical="center"/>
    </xf>
    <xf numFmtId="0" fontId="129" fillId="25" borderId="3" xfId="32014" applyNumberFormat="1" applyFont="1" applyFill="1" applyBorder="1" applyAlignment="1">
      <alignment horizontal="center" vertical="center" shrinkToFit="1"/>
    </xf>
    <xf numFmtId="0" fontId="128" fillId="33" borderId="17" xfId="116" applyNumberFormat="1" applyFont="1" applyFill="1" applyBorder="1" applyAlignment="1">
      <alignment horizontal="center" vertical="center"/>
    </xf>
    <xf numFmtId="0" fontId="130" fillId="0" borderId="3" xfId="4156" applyNumberFormat="1" applyFont="1" applyFill="1" applyBorder="1" applyAlignment="1">
      <alignment horizontal="center" vertical="center"/>
    </xf>
    <xf numFmtId="0" fontId="130" fillId="25" borderId="36" xfId="4156" applyNumberFormat="1" applyFont="1" applyFill="1" applyBorder="1" applyAlignment="1">
      <alignment horizontal="center" vertical="center"/>
    </xf>
    <xf numFmtId="0" fontId="127" fillId="25" borderId="39" xfId="0" applyNumberFormat="1" applyFont="1" applyFill="1" applyBorder="1" applyAlignment="1">
      <alignment horizontal="center" vertical="center" wrapText="1"/>
    </xf>
    <xf numFmtId="0" fontId="127" fillId="25" borderId="40" xfId="0" applyNumberFormat="1" applyFont="1" applyFill="1" applyBorder="1" applyAlignment="1">
      <alignment horizontal="center" vertical="center" wrapText="1"/>
    </xf>
    <xf numFmtId="0" fontId="130" fillId="25" borderId="19" xfId="4156" applyFont="1" applyFill="1" applyBorder="1" applyAlignment="1">
      <alignment vertical="center" wrapText="1"/>
    </xf>
    <xf numFmtId="14" fontId="126" fillId="32" borderId="3" xfId="49729" applyNumberFormat="1" applyFont="1" applyFill="1" applyBorder="1" applyAlignment="1">
      <alignment horizontal="center" vertical="center" wrapText="1"/>
    </xf>
    <xf numFmtId="0" fontId="128" fillId="32" borderId="3" xfId="116" applyNumberFormat="1" applyFont="1" applyFill="1" applyBorder="1" applyAlignment="1">
      <alignment horizontal="center" vertical="center" wrapText="1"/>
    </xf>
    <xf numFmtId="0" fontId="127" fillId="37" borderId="3" xfId="32014" applyNumberFormat="1" applyFont="1" applyFill="1" applyBorder="1" applyAlignment="1">
      <alignment horizontal="center" vertical="center"/>
    </xf>
    <xf numFmtId="0" fontId="128" fillId="25" borderId="3" xfId="32014" applyNumberFormat="1" applyFont="1" applyFill="1" applyBorder="1" applyAlignment="1">
      <alignment horizontal="center" vertical="center"/>
    </xf>
    <xf numFmtId="0" fontId="128" fillId="37" borderId="3" xfId="32014" applyNumberFormat="1" applyFont="1" applyFill="1" applyBorder="1" applyAlignment="1">
      <alignment horizontal="center" vertical="center"/>
    </xf>
    <xf numFmtId="0" fontId="128" fillId="33" borderId="36" xfId="4156" applyNumberFormat="1" applyFont="1" applyFill="1" applyBorder="1" applyAlignment="1">
      <alignment horizontal="center" vertical="center"/>
    </xf>
    <xf numFmtId="14" fontId="126" fillId="32" borderId="3" xfId="49719" applyNumberFormat="1" applyFont="1" applyFill="1" applyBorder="1" applyAlignment="1">
      <alignment horizontal="center" vertical="center" wrapText="1"/>
    </xf>
    <xf numFmtId="0" fontId="128" fillId="32" borderId="3" xfId="116" quotePrefix="1" applyNumberFormat="1" applyFont="1" applyFill="1" applyBorder="1" applyAlignment="1">
      <alignment horizontal="center" vertical="center" wrapText="1"/>
    </xf>
    <xf numFmtId="0" fontId="128" fillId="32" borderId="3" xfId="116" quotePrefix="1" applyNumberFormat="1" applyFont="1" applyFill="1" applyBorder="1" applyAlignment="1">
      <alignment horizontal="center" vertical="center" shrinkToFit="1"/>
    </xf>
    <xf numFmtId="178" fontId="130" fillId="25" borderId="19" xfId="4156" applyNumberFormat="1" applyFont="1" applyFill="1" applyBorder="1" applyAlignment="1">
      <alignment horizontal="right" vertical="center"/>
    </xf>
    <xf numFmtId="0" fontId="130" fillId="33" borderId="19" xfId="4156" applyFont="1" applyFill="1" applyBorder="1" applyAlignment="1">
      <alignment horizontal="center" vertical="center"/>
    </xf>
    <xf numFmtId="0" fontId="127" fillId="0" borderId="3" xfId="0" applyFont="1" applyBorder="1" applyAlignment="1">
      <alignment horizontal="center" vertical="center"/>
    </xf>
    <xf numFmtId="41" fontId="131" fillId="33" borderId="19" xfId="49729" applyFont="1" applyFill="1" applyBorder="1" applyAlignment="1">
      <alignment horizontal="center" vertical="center"/>
    </xf>
    <xf numFmtId="178" fontId="130" fillId="0" borderId="19" xfId="4156" applyNumberFormat="1" applyFont="1" applyBorder="1" applyAlignment="1">
      <alignment horizontal="right" vertical="center"/>
    </xf>
    <xf numFmtId="0" fontId="127" fillId="37" borderId="49" xfId="0" applyFont="1" applyFill="1" applyBorder="1" applyAlignment="1">
      <alignment horizontal="center" vertical="center" wrapText="1" readingOrder="1"/>
    </xf>
    <xf numFmtId="0" fontId="130" fillId="0" borderId="3" xfId="4156" applyFont="1" applyBorder="1" applyAlignment="1">
      <alignment horizontal="center" vertical="center"/>
    </xf>
    <xf numFmtId="0" fontId="126" fillId="32" borderId="35" xfId="116" applyFont="1" applyFill="1" applyBorder="1" applyAlignment="1">
      <alignment vertical="center"/>
    </xf>
    <xf numFmtId="0" fontId="127" fillId="25" borderId="3" xfId="32014" applyNumberFormat="1" applyFont="1" applyFill="1" applyBorder="1" applyAlignment="1">
      <alignment horizontal="center" vertical="center"/>
    </xf>
    <xf numFmtId="0" fontId="128" fillId="25" borderId="3" xfId="116" applyNumberFormat="1" applyFont="1" applyFill="1" applyBorder="1" applyAlignment="1">
      <alignment horizontal="center" vertical="center"/>
    </xf>
    <xf numFmtId="0" fontId="128" fillId="34" borderId="17" xfId="116" applyNumberFormat="1" applyFont="1" applyFill="1" applyBorder="1" applyAlignment="1">
      <alignment horizontal="center" vertical="center"/>
    </xf>
    <xf numFmtId="49" fontId="130" fillId="25" borderId="17" xfId="32014" applyNumberFormat="1" applyFont="1" applyFill="1" applyBorder="1" applyAlignment="1">
      <alignment vertical="center" wrapText="1"/>
    </xf>
    <xf numFmtId="49" fontId="130" fillId="25" borderId="18" xfId="32014" applyNumberFormat="1" applyFont="1" applyFill="1" applyBorder="1" applyAlignment="1">
      <alignment vertical="center" wrapText="1"/>
    </xf>
    <xf numFmtId="49" fontId="130" fillId="25" borderId="19" xfId="32014" applyNumberFormat="1" applyFont="1" applyFill="1" applyBorder="1" applyAlignment="1">
      <alignment vertical="center" wrapText="1"/>
    </xf>
    <xf numFmtId="193" fontId="128" fillId="0" borderId="3" xfId="116" applyNumberFormat="1" applyFont="1" applyFill="1" applyBorder="1" applyAlignment="1">
      <alignment horizontal="center" vertical="center"/>
    </xf>
    <xf numFmtId="0" fontId="130" fillId="0" borderId="3" xfId="49723" applyNumberFormat="1" applyFont="1" applyFill="1" applyBorder="1" applyAlignment="1">
      <alignment horizontal="center" vertical="center"/>
    </xf>
    <xf numFmtId="0" fontId="128" fillId="0" borderId="3" xfId="4156" applyNumberFormat="1" applyFont="1" applyFill="1" applyBorder="1" applyAlignment="1">
      <alignment horizontal="center" vertical="center"/>
    </xf>
    <xf numFmtId="0" fontId="128" fillId="33" borderId="3" xfId="4156" applyNumberFormat="1" applyFont="1" applyFill="1" applyBorder="1" applyAlignment="1">
      <alignment horizontal="center" vertical="center"/>
    </xf>
    <xf numFmtId="0" fontId="128" fillId="0" borderId="3" xfId="116" applyNumberFormat="1" applyFont="1" applyFill="1" applyBorder="1" applyAlignment="1">
      <alignment horizontal="center" vertical="center" wrapText="1"/>
    </xf>
    <xf numFmtId="0" fontId="128" fillId="33" borderId="3" xfId="116" applyNumberFormat="1" applyFont="1" applyFill="1" applyBorder="1" applyAlignment="1">
      <alignment horizontal="center" vertical="center" wrapText="1"/>
    </xf>
    <xf numFmtId="0" fontId="131" fillId="33" borderId="3" xfId="4156" applyFont="1" applyFill="1" applyBorder="1" applyAlignment="1">
      <alignment horizontal="center" vertical="center"/>
    </xf>
    <xf numFmtId="0" fontId="130" fillId="33" borderId="27" xfId="4156" applyFont="1" applyFill="1" applyBorder="1" applyAlignment="1">
      <alignment horizontal="center" vertical="center"/>
    </xf>
    <xf numFmtId="0" fontId="128" fillId="33" borderId="36" xfId="116" applyNumberFormat="1" applyFont="1" applyFill="1" applyBorder="1" applyAlignment="1">
      <alignment horizontal="center" vertical="center"/>
    </xf>
    <xf numFmtId="0" fontId="130" fillId="25" borderId="3" xfId="4156" applyFont="1" applyFill="1" applyBorder="1" applyAlignment="1">
      <alignment horizontal="center" vertical="center"/>
    </xf>
    <xf numFmtId="197" fontId="127" fillId="25" borderId="3" xfId="49727" applyNumberFormat="1" applyFont="1" applyFill="1" applyBorder="1" applyAlignment="1">
      <alignment horizontal="center" vertical="center"/>
    </xf>
    <xf numFmtId="178" fontId="130" fillId="0" borderId="3" xfId="49727" applyNumberFormat="1" applyFont="1" applyBorder="1" applyAlignment="1">
      <alignment horizontal="right" vertical="center"/>
    </xf>
    <xf numFmtId="197" fontId="127" fillId="25" borderId="3" xfId="49727" applyNumberFormat="1" applyFont="1" applyFill="1" applyBorder="1" applyAlignment="1">
      <alignment horizontal="center" vertical="center" wrapText="1"/>
    </xf>
    <xf numFmtId="0" fontId="137" fillId="33" borderId="36" xfId="49738" applyFont="1" applyFill="1" applyBorder="1" applyAlignment="1">
      <alignment horizontal="center" vertical="center"/>
    </xf>
    <xf numFmtId="0" fontId="128" fillId="0" borderId="3" xfId="49725" applyNumberFormat="1" applyFont="1" applyBorder="1" applyAlignment="1">
      <alignment horizontal="center" vertical="center" shrinkToFit="1"/>
    </xf>
    <xf numFmtId="0" fontId="130" fillId="25" borderId="3" xfId="32014" applyNumberFormat="1" applyFont="1" applyFill="1" applyBorder="1" applyAlignment="1">
      <alignment horizontal="center" vertical="center"/>
    </xf>
    <xf numFmtId="0" fontId="128" fillId="0" borderId="3" xfId="49245" applyNumberFormat="1" applyFont="1" applyBorder="1" applyAlignment="1">
      <alignment horizontal="center" vertical="center" shrinkToFit="1"/>
    </xf>
    <xf numFmtId="195" fontId="128" fillId="0" borderId="3" xfId="49245" applyNumberFormat="1" applyFont="1" applyBorder="1" applyAlignment="1">
      <alignment horizontal="center" vertical="center" shrinkToFit="1"/>
    </xf>
    <xf numFmtId="195" fontId="128" fillId="0" borderId="17" xfId="49245" applyNumberFormat="1" applyFont="1" applyBorder="1" applyAlignment="1">
      <alignment horizontal="center" vertical="center" shrinkToFit="1"/>
    </xf>
    <xf numFmtId="0" fontId="127" fillId="0" borderId="3" xfId="0" applyNumberFormat="1" applyFont="1" applyBorder="1" applyAlignment="1">
      <alignment horizontal="center" vertical="center" wrapText="1"/>
    </xf>
    <xf numFmtId="0" fontId="128" fillId="25" borderId="36" xfId="4156" applyFont="1" applyFill="1" applyBorder="1" applyAlignment="1">
      <alignment horizontal="center" vertical="center"/>
    </xf>
    <xf numFmtId="0" fontId="137" fillId="33" borderId="3" xfId="49738" applyNumberFormat="1" applyFont="1" applyFill="1" applyBorder="1" applyAlignment="1">
      <alignment horizontal="center" vertical="center"/>
    </xf>
    <xf numFmtId="0" fontId="127" fillId="33" borderId="17" xfId="32014" applyFont="1" applyFill="1" applyBorder="1" applyAlignment="1">
      <alignment horizontal="center" vertical="center" wrapText="1"/>
    </xf>
    <xf numFmtId="14" fontId="133" fillId="32" borderId="3" xfId="49719" quotePrefix="1" applyNumberFormat="1" applyFont="1" applyFill="1" applyBorder="1" applyAlignment="1">
      <alignment horizontal="center" vertical="center"/>
    </xf>
    <xf numFmtId="0" fontId="126" fillId="32" borderId="3" xfId="116" applyFont="1" applyFill="1" applyBorder="1" applyAlignment="1">
      <alignment horizontal="center" vertical="center"/>
    </xf>
    <xf numFmtId="0" fontId="126" fillId="32" borderId="3" xfId="116" applyFont="1" applyFill="1" applyBorder="1" applyAlignment="1">
      <alignment horizontal="center" vertical="top"/>
    </xf>
    <xf numFmtId="198" fontId="128" fillId="25" borderId="3" xfId="49727" applyNumberFormat="1" applyFont="1" applyFill="1" applyBorder="1" applyAlignment="1">
      <alignment horizontal="center" vertical="center" wrapText="1"/>
    </xf>
    <xf numFmtId="194" fontId="128" fillId="25" borderId="3" xfId="49727" applyNumberFormat="1" applyFont="1" applyFill="1" applyBorder="1" applyAlignment="1">
      <alignment horizontal="center" vertical="center" wrapText="1"/>
    </xf>
    <xf numFmtId="198" fontId="128" fillId="25" borderId="44" xfId="49727" applyNumberFormat="1" applyFont="1" applyFill="1" applyBorder="1" applyAlignment="1">
      <alignment horizontal="center" vertical="center" wrapText="1"/>
    </xf>
    <xf numFmtId="194" fontId="128" fillId="25" borderId="44" xfId="49727" applyNumberFormat="1" applyFont="1" applyFill="1" applyBorder="1" applyAlignment="1">
      <alignment horizontal="center" vertical="center" wrapText="1"/>
    </xf>
    <xf numFmtId="193" fontId="127" fillId="0" borderId="3" xfId="49727" applyNumberFormat="1" applyFont="1" applyFill="1" applyBorder="1" applyAlignment="1">
      <alignment horizontal="center" vertical="center"/>
    </xf>
    <xf numFmtId="193" fontId="127" fillId="25" borderId="3" xfId="49727" applyNumberFormat="1" applyFont="1" applyFill="1" applyBorder="1" applyAlignment="1">
      <alignment horizontal="center" vertical="center"/>
    </xf>
    <xf numFmtId="193" fontId="129" fillId="25" borderId="17" xfId="32014" applyNumberFormat="1" applyFont="1" applyFill="1" applyBorder="1" applyAlignment="1">
      <alignment horizontal="center" vertical="center"/>
    </xf>
    <xf numFmtId="193" fontId="129" fillId="25" borderId="3" xfId="49727" applyNumberFormat="1" applyFont="1" applyFill="1" applyBorder="1" applyAlignment="1">
      <alignment horizontal="center" vertical="center"/>
    </xf>
    <xf numFmtId="193" fontId="129" fillId="25" borderId="17" xfId="49727" applyNumberFormat="1" applyFont="1" applyFill="1" applyBorder="1" applyAlignment="1">
      <alignment horizontal="center" vertical="center"/>
    </xf>
    <xf numFmtId="0" fontId="127" fillId="0" borderId="3" xfId="49727" applyFont="1" applyFill="1" applyBorder="1" applyAlignment="1">
      <alignment horizontal="center" vertical="center" wrapText="1"/>
    </xf>
    <xf numFmtId="193" fontId="129" fillId="0" borderId="3" xfId="49727" applyNumberFormat="1" applyFont="1" applyFill="1" applyBorder="1" applyAlignment="1">
      <alignment horizontal="center" vertical="center"/>
    </xf>
    <xf numFmtId="178" fontId="127" fillId="0" borderId="3" xfId="49727" applyNumberFormat="1" applyFont="1" applyBorder="1" applyAlignment="1">
      <alignment horizontal="right" vertical="center"/>
    </xf>
    <xf numFmtId="178" fontId="110" fillId="0" borderId="3" xfId="49738" applyNumberFormat="1" applyFont="1" applyBorder="1" applyAlignment="1">
      <alignment horizontal="center" vertical="center"/>
    </xf>
    <xf numFmtId="178" fontId="110" fillId="0" borderId="34" xfId="0" applyNumberFormat="1" applyFont="1" applyBorder="1" applyAlignment="1">
      <alignment horizontal="center" vertical="center"/>
    </xf>
    <xf numFmtId="0" fontId="139" fillId="32" borderId="18" xfId="4156" applyFont="1" applyFill="1" applyBorder="1" applyAlignment="1">
      <alignment vertical="center"/>
    </xf>
    <xf numFmtId="41" fontId="134" fillId="0" borderId="0" xfId="49729" applyFont="1" applyBorder="1" applyAlignment="1">
      <alignment horizontal="right" vertical="center"/>
    </xf>
    <xf numFmtId="0" fontId="136" fillId="0" borderId="0" xfId="116" applyNumberFormat="1" applyFont="1" applyAlignment="1">
      <alignment vertical="center"/>
    </xf>
    <xf numFmtId="41" fontId="130" fillId="0" borderId="3" xfId="49719" applyFont="1" applyFill="1" applyBorder="1" applyAlignment="1">
      <alignment vertical="center"/>
    </xf>
    <xf numFmtId="41" fontId="128" fillId="0" borderId="3" xfId="49729" applyFont="1" applyFill="1" applyBorder="1" applyAlignment="1">
      <alignment horizontal="right" vertical="center"/>
    </xf>
    <xf numFmtId="41" fontId="132" fillId="33" borderId="17" xfId="49719" applyFont="1" applyFill="1" applyBorder="1" applyAlignment="1">
      <alignment vertical="center"/>
    </xf>
    <xf numFmtId="41" fontId="132" fillId="33" borderId="3" xfId="49719" applyFont="1" applyFill="1" applyBorder="1" applyAlignment="1">
      <alignment vertical="center"/>
    </xf>
    <xf numFmtId="41" fontId="132" fillId="33" borderId="3" xfId="49729" applyFont="1" applyFill="1" applyBorder="1" applyAlignment="1">
      <alignment horizontal="right" vertical="center"/>
    </xf>
    <xf numFmtId="41" fontId="133" fillId="32" borderId="3" xfId="49719" applyFont="1" applyFill="1" applyBorder="1" applyAlignment="1">
      <alignment vertical="center"/>
    </xf>
    <xf numFmtId="41" fontId="133" fillId="32" borderId="3" xfId="49729" applyFont="1" applyFill="1" applyBorder="1" applyAlignment="1">
      <alignment horizontal="right" vertical="center"/>
    </xf>
    <xf numFmtId="178" fontId="130" fillId="25" borderId="3" xfId="32014" applyNumberFormat="1" applyFont="1" applyFill="1" applyBorder="1" applyAlignment="1">
      <alignment vertical="center"/>
    </xf>
    <xf numFmtId="178" fontId="130" fillId="25" borderId="19" xfId="32014" applyNumberFormat="1" applyFont="1" applyFill="1" applyBorder="1" applyAlignment="1">
      <alignment vertical="center"/>
    </xf>
    <xf numFmtId="41" fontId="128" fillId="25" borderId="3" xfId="49719" applyFont="1" applyFill="1" applyBorder="1" applyAlignment="1">
      <alignment vertical="center"/>
    </xf>
    <xf numFmtId="41" fontId="128" fillId="0" borderId="3" xfId="49719" applyFont="1" applyFill="1" applyBorder="1" applyAlignment="1">
      <alignment vertical="center"/>
    </xf>
    <xf numFmtId="178" fontId="131" fillId="33" borderId="3" xfId="32014" applyNumberFormat="1" applyFont="1" applyFill="1" applyBorder="1" applyAlignment="1">
      <alignment vertical="center"/>
    </xf>
    <xf numFmtId="178" fontId="131" fillId="33" borderId="3" xfId="32014" applyNumberFormat="1" applyFont="1" applyFill="1" applyBorder="1" applyAlignment="1">
      <alignment horizontal="right" vertical="center"/>
    </xf>
    <xf numFmtId="0" fontId="126" fillId="32" borderId="3" xfId="116" applyNumberFormat="1" applyFont="1" applyFill="1" applyBorder="1" applyAlignment="1">
      <alignment vertical="top"/>
    </xf>
    <xf numFmtId="41" fontId="132" fillId="34" borderId="3" xfId="49719" applyFont="1" applyFill="1" applyBorder="1" applyAlignment="1">
      <alignment vertical="center"/>
    </xf>
    <xf numFmtId="41" fontId="132" fillId="34" borderId="3" xfId="49729" applyFont="1" applyFill="1" applyBorder="1" applyAlignment="1">
      <alignment horizontal="right" vertical="center"/>
    </xf>
    <xf numFmtId="41" fontId="132" fillId="34" borderId="17" xfId="49719" applyFont="1" applyFill="1" applyBorder="1" applyAlignment="1">
      <alignment vertical="center"/>
    </xf>
    <xf numFmtId="0" fontId="126" fillId="32" borderId="3" xfId="116" applyNumberFormat="1" applyFont="1" applyFill="1" applyBorder="1" applyAlignment="1">
      <alignment vertical="center"/>
    </xf>
    <xf numFmtId="178" fontId="128" fillId="0" borderId="3" xfId="2500" applyNumberFormat="1" applyFont="1" applyBorder="1" applyAlignment="1">
      <alignment vertical="center"/>
    </xf>
    <xf numFmtId="41" fontId="132" fillId="33" borderId="3" xfId="49729" applyFont="1" applyFill="1" applyBorder="1" applyAlignment="1">
      <alignment vertical="center"/>
    </xf>
    <xf numFmtId="178" fontId="130" fillId="0" borderId="3" xfId="2500" applyNumberFormat="1" applyFont="1" applyBorder="1" applyAlignment="1">
      <alignment vertical="center"/>
    </xf>
    <xf numFmtId="178" fontId="130" fillId="0" borderId="3" xfId="32014" applyNumberFormat="1" applyFont="1" applyFill="1" applyBorder="1" applyAlignment="1">
      <alignment vertical="center"/>
    </xf>
    <xf numFmtId="41" fontId="130" fillId="25" borderId="3" xfId="49719" applyFont="1" applyFill="1" applyBorder="1" applyAlignment="1">
      <alignment vertical="center"/>
    </xf>
    <xf numFmtId="41" fontId="131" fillId="33" borderId="3" xfId="49729" applyFont="1" applyFill="1" applyBorder="1" applyAlignment="1">
      <alignment horizontal="right" vertical="center"/>
    </xf>
    <xf numFmtId="41" fontId="130" fillId="33" borderId="36" xfId="49719" applyFont="1" applyFill="1" applyBorder="1" applyAlignment="1">
      <alignment horizontal="center" vertical="center"/>
    </xf>
    <xf numFmtId="41" fontId="131" fillId="33" borderId="3" xfId="49719" applyFont="1" applyFill="1" applyBorder="1" applyAlignment="1">
      <alignment horizontal="right" vertical="center"/>
    </xf>
    <xf numFmtId="41" fontId="133" fillId="32" borderId="3" xfId="49729" applyFont="1" applyFill="1" applyBorder="1" applyAlignment="1">
      <alignment vertical="center"/>
    </xf>
    <xf numFmtId="178" fontId="128" fillId="25" borderId="3" xfId="32014" applyNumberFormat="1" applyFont="1" applyFill="1" applyBorder="1" applyAlignment="1">
      <alignment horizontal="right" vertical="center"/>
    </xf>
    <xf numFmtId="41" fontId="131" fillId="33" borderId="3" xfId="49719" applyFont="1" applyFill="1" applyBorder="1" applyAlignment="1">
      <alignment vertical="center"/>
    </xf>
    <xf numFmtId="41" fontId="133" fillId="32" borderId="3" xfId="49729" applyFont="1" applyFill="1" applyBorder="1" applyAlignment="1">
      <alignment horizontal="right" vertical="center" wrapText="1"/>
    </xf>
    <xf numFmtId="41" fontId="132" fillId="33" borderId="3" xfId="49719" applyFont="1" applyFill="1" applyBorder="1" applyAlignment="1">
      <alignment vertical="center" wrapText="1"/>
    </xf>
    <xf numFmtId="41" fontId="132" fillId="33" borderId="3" xfId="49729" applyFont="1" applyFill="1" applyBorder="1" applyAlignment="1">
      <alignment horizontal="right" vertical="center" wrapText="1"/>
    </xf>
    <xf numFmtId="41" fontId="127" fillId="0" borderId="3" xfId="49719" applyFont="1" applyFill="1" applyBorder="1" applyAlignment="1">
      <alignment vertical="center"/>
    </xf>
    <xf numFmtId="41" fontId="133" fillId="32" borderId="3" xfId="49719" applyFont="1" applyFill="1" applyBorder="1" applyAlignment="1">
      <alignment vertical="center" wrapText="1"/>
    </xf>
    <xf numFmtId="178" fontId="130" fillId="0" borderId="19" xfId="4156" applyNumberFormat="1" applyFont="1" applyBorder="1" applyAlignment="1">
      <alignment vertical="center"/>
    </xf>
    <xf numFmtId="41" fontId="131" fillId="33" borderId="19" xfId="49719" applyFont="1" applyFill="1" applyBorder="1" applyAlignment="1">
      <alignment vertical="center"/>
    </xf>
    <xf numFmtId="178" fontId="130" fillId="25" borderId="19" xfId="4156" applyNumberFormat="1" applyFont="1" applyFill="1" applyBorder="1" applyAlignment="1">
      <alignment vertical="center"/>
    </xf>
    <xf numFmtId="178" fontId="130" fillId="0" borderId="3" xfId="4156" applyNumberFormat="1" applyFont="1" applyBorder="1" applyAlignment="1">
      <alignment vertical="center"/>
    </xf>
    <xf numFmtId="41" fontId="131" fillId="33" borderId="17" xfId="49719" applyFont="1" applyFill="1" applyBorder="1" applyAlignment="1">
      <alignment vertical="center"/>
    </xf>
    <xf numFmtId="41" fontId="131" fillId="33" borderId="17" xfId="49719" applyFont="1" applyFill="1" applyBorder="1" applyAlignment="1">
      <alignment horizontal="right" vertical="center"/>
    </xf>
    <xf numFmtId="178" fontId="128" fillId="0" borderId="3" xfId="32014" applyNumberFormat="1" applyFont="1" applyFill="1" applyBorder="1" applyAlignment="1">
      <alignment horizontal="right" vertical="center"/>
    </xf>
    <xf numFmtId="196" fontId="128" fillId="0" borderId="3" xfId="116" applyNumberFormat="1" applyFont="1" applyFill="1" applyBorder="1" applyAlignment="1">
      <alignment horizontal="center" vertical="center"/>
    </xf>
    <xf numFmtId="41" fontId="132" fillId="33" borderId="3" xfId="49719" applyFont="1" applyFill="1" applyBorder="1" applyAlignment="1">
      <alignment horizontal="right" vertical="center"/>
    </xf>
    <xf numFmtId="41" fontId="130" fillId="0" borderId="3" xfId="49719" applyFont="1" applyFill="1" applyBorder="1" applyAlignment="1">
      <alignment vertical="center" wrapText="1"/>
    </xf>
    <xf numFmtId="41" fontId="126" fillId="32" borderId="3" xfId="49719" applyFont="1" applyFill="1" applyBorder="1" applyAlignment="1">
      <alignment vertical="center"/>
    </xf>
    <xf numFmtId="178" fontId="130" fillId="25" borderId="19" xfId="32014" applyNumberFormat="1" applyFont="1" applyFill="1" applyBorder="1" applyAlignment="1">
      <alignment horizontal="right" vertical="center"/>
    </xf>
    <xf numFmtId="41" fontId="128" fillId="0" borderId="3" xfId="49719" applyFont="1" applyFill="1" applyBorder="1" applyAlignment="1">
      <alignment vertical="center" wrapText="1"/>
    </xf>
    <xf numFmtId="0" fontId="130" fillId="25" borderId="3" xfId="4156" applyFont="1" applyFill="1" applyBorder="1" applyAlignment="1">
      <alignment horizontal="right" vertical="center"/>
    </xf>
    <xf numFmtId="177" fontId="130" fillId="0" borderId="3" xfId="49727" applyNumberFormat="1" applyFont="1" applyBorder="1" applyAlignment="1">
      <alignment vertical="center"/>
    </xf>
    <xf numFmtId="177" fontId="137" fillId="33" borderId="3" xfId="0" applyNumberFormat="1" applyFont="1" applyFill="1" applyBorder="1" applyAlignment="1">
      <alignment vertical="center"/>
    </xf>
    <xf numFmtId="177" fontId="137" fillId="33" borderId="3" xfId="0" applyNumberFormat="1" applyFont="1" applyFill="1" applyBorder="1" applyAlignment="1">
      <alignment horizontal="right" vertical="center"/>
    </xf>
    <xf numFmtId="177" fontId="130" fillId="0" borderId="35" xfId="49727" applyNumberFormat="1" applyFont="1" applyBorder="1" applyAlignment="1">
      <alignment vertical="center"/>
    </xf>
    <xf numFmtId="178" fontId="131" fillId="33" borderId="3" xfId="49727" applyNumberFormat="1" applyFont="1" applyFill="1" applyBorder="1" applyAlignment="1">
      <alignment vertical="center"/>
    </xf>
    <xf numFmtId="178" fontId="131" fillId="33" borderId="3" xfId="49727" applyNumberFormat="1" applyFont="1" applyFill="1" applyBorder="1" applyAlignment="1">
      <alignment horizontal="right" vertical="center"/>
    </xf>
    <xf numFmtId="178" fontId="137" fillId="33" borderId="3" xfId="49727" applyNumberFormat="1" applyFont="1" applyFill="1" applyBorder="1" applyAlignment="1">
      <alignment vertical="center"/>
    </xf>
    <xf numFmtId="178" fontId="137" fillId="33" borderId="3" xfId="49727" applyNumberFormat="1" applyFont="1" applyFill="1" applyBorder="1" applyAlignment="1">
      <alignment horizontal="right" vertical="center"/>
    </xf>
    <xf numFmtId="197" fontId="127" fillId="25" borderId="19" xfId="49727" applyNumberFormat="1" applyFont="1" applyFill="1" applyBorder="1" applyAlignment="1">
      <alignment horizontal="center" vertical="center"/>
    </xf>
    <xf numFmtId="177" fontId="130" fillId="0" borderId="22" xfId="49727" applyNumberFormat="1" applyFont="1" applyBorder="1" applyAlignment="1">
      <alignment vertical="center"/>
    </xf>
    <xf numFmtId="177" fontId="130" fillId="0" borderId="22" xfId="49727" applyNumberFormat="1" applyFont="1" applyBorder="1" applyAlignment="1">
      <alignment horizontal="right" vertical="center"/>
    </xf>
    <xf numFmtId="177" fontId="130" fillId="0" borderId="35" xfId="49727" applyNumberFormat="1" applyFont="1" applyBorder="1" applyAlignment="1">
      <alignment horizontal="right" vertical="center"/>
    </xf>
    <xf numFmtId="41" fontId="128" fillId="0" borderId="3" xfId="49719" applyFont="1" applyBorder="1" applyAlignment="1">
      <alignment vertical="center" shrinkToFit="1"/>
    </xf>
    <xf numFmtId="41" fontId="130" fillId="0" borderId="3" xfId="6962" applyFont="1" applyFill="1" applyBorder="1" applyAlignment="1">
      <alignment horizontal="right" vertical="center"/>
    </xf>
    <xf numFmtId="41" fontId="131" fillId="33" borderId="3" xfId="6962" applyFont="1" applyFill="1" applyBorder="1" applyAlignment="1">
      <alignment vertical="center"/>
    </xf>
    <xf numFmtId="41" fontId="131" fillId="33" borderId="3" xfId="6962" applyFont="1" applyFill="1" applyBorder="1" applyAlignment="1">
      <alignment horizontal="right" vertical="center"/>
    </xf>
    <xf numFmtId="0" fontId="128" fillId="0" borderId="3" xfId="49740" applyFont="1" applyBorder="1" applyAlignment="1">
      <alignment vertical="center" shrinkToFit="1"/>
    </xf>
    <xf numFmtId="41" fontId="128" fillId="0" borderId="19" xfId="49741" applyFont="1" applyBorder="1" applyAlignment="1">
      <alignment horizontal="right" vertical="center"/>
    </xf>
    <xf numFmtId="41" fontId="128" fillId="0" borderId="3" xfId="49741" applyFont="1" applyBorder="1" applyAlignment="1">
      <alignment horizontal="right" vertical="center"/>
    </xf>
    <xf numFmtId="178" fontId="127" fillId="0" borderId="3" xfId="49727" applyNumberFormat="1" applyFont="1" applyBorder="1" applyAlignment="1">
      <alignment vertical="center"/>
    </xf>
    <xf numFmtId="41" fontId="137" fillId="33" borderId="3" xfId="49719" applyFont="1" applyFill="1" applyBorder="1" applyAlignment="1">
      <alignment vertical="center"/>
    </xf>
    <xf numFmtId="191" fontId="129" fillId="25" borderId="3" xfId="32014" applyNumberFormat="1" applyFont="1" applyFill="1" applyBorder="1" applyAlignment="1">
      <alignment horizontal="center" vertical="center"/>
    </xf>
    <xf numFmtId="41" fontId="128" fillId="33" borderId="17" xfId="49719" applyFont="1" applyFill="1" applyBorder="1" applyAlignment="1">
      <alignment vertical="center"/>
    </xf>
    <xf numFmtId="41" fontId="128" fillId="33" borderId="17" xfId="49719" applyFont="1" applyFill="1" applyBorder="1" applyAlignment="1">
      <alignment horizontal="right" vertical="center"/>
    </xf>
    <xf numFmtId="41" fontId="128" fillId="25" borderId="44" xfId="2" applyFont="1" applyFill="1" applyBorder="1" applyAlignment="1">
      <alignment vertical="center"/>
    </xf>
    <xf numFmtId="41" fontId="128" fillId="25" borderId="3" xfId="2" applyFont="1" applyFill="1" applyBorder="1" applyAlignment="1">
      <alignment vertical="center"/>
    </xf>
    <xf numFmtId="41" fontId="130" fillId="0" borderId="35" xfId="49719" applyFont="1" applyFill="1" applyBorder="1" applyAlignment="1">
      <alignment vertical="center"/>
    </xf>
    <xf numFmtId="41" fontId="131" fillId="33" borderId="36" xfId="49719" applyFont="1" applyFill="1" applyBorder="1" applyAlignment="1">
      <alignment vertical="center"/>
    </xf>
    <xf numFmtId="193" fontId="127" fillId="0" borderId="3" xfId="49727" applyNumberFormat="1" applyFont="1" applyBorder="1" applyAlignment="1">
      <alignment horizontal="center" vertical="center"/>
    </xf>
    <xf numFmtId="178" fontId="127" fillId="25" borderId="3" xfId="49727" applyNumberFormat="1" applyFont="1" applyFill="1" applyBorder="1" applyAlignment="1">
      <alignment vertical="center"/>
    </xf>
    <xf numFmtId="0" fontId="127" fillId="0" borderId="3" xfId="49727" applyFont="1" applyBorder="1" applyAlignment="1">
      <alignment horizontal="center" vertical="center"/>
    </xf>
    <xf numFmtId="41" fontId="137" fillId="33" borderId="3" xfId="49719" applyFont="1" applyFill="1" applyBorder="1" applyAlignment="1">
      <alignment vertical="center" wrapText="1"/>
    </xf>
    <xf numFmtId="41" fontId="130" fillId="0" borderId="3" xfId="49741" applyFont="1" applyFill="1" applyBorder="1" applyAlignment="1">
      <alignment horizontal="right" vertical="center"/>
    </xf>
    <xf numFmtId="178" fontId="130" fillId="0" borderId="3" xfId="49727" applyNumberFormat="1" applyFont="1" applyBorder="1" applyAlignment="1">
      <alignment vertical="center"/>
    </xf>
    <xf numFmtId="178" fontId="127" fillId="37" borderId="3" xfId="49727" quotePrefix="1" applyNumberFormat="1" applyFont="1" applyFill="1" applyBorder="1" applyAlignment="1">
      <alignment vertical="center"/>
    </xf>
    <xf numFmtId="41" fontId="110" fillId="39" borderId="4" xfId="3" applyNumberFormat="1" applyFont="1" applyFill="1" applyBorder="1" applyAlignment="1" applyProtection="1">
      <alignment horizontal="center" vertical="center"/>
    </xf>
    <xf numFmtId="41" fontId="110" fillId="40" borderId="4" xfId="3" applyNumberFormat="1" applyFont="1" applyFill="1" applyBorder="1" applyAlignment="1" applyProtection="1">
      <alignment horizontal="center" vertical="center"/>
    </xf>
    <xf numFmtId="41" fontId="136" fillId="0" borderId="3" xfId="49719" applyFont="1" applyFill="1" applyBorder="1" applyAlignment="1">
      <alignment horizontal="right" vertical="center"/>
    </xf>
    <xf numFmtId="0" fontId="128" fillId="0" borderId="3" xfId="4156" applyFont="1" applyBorder="1" applyAlignment="1">
      <alignment horizontal="center" vertical="center"/>
    </xf>
    <xf numFmtId="0" fontId="128" fillId="25" borderId="3" xfId="0" applyFont="1" applyFill="1" applyBorder="1" applyAlignment="1">
      <alignment vertical="center"/>
    </xf>
    <xf numFmtId="178" fontId="110" fillId="0" borderId="35" xfId="0" applyNumberFormat="1" applyFont="1" applyBorder="1" applyAlignment="1">
      <alignment horizontal="center" vertical="center"/>
    </xf>
    <xf numFmtId="178" fontId="110" fillId="0" borderId="3" xfId="5" applyNumberFormat="1" applyFont="1" applyBorder="1" applyAlignment="1">
      <alignment horizontal="center" vertical="center"/>
    </xf>
    <xf numFmtId="0" fontId="131" fillId="33" borderId="36" xfId="4156" applyFont="1" applyFill="1" applyBorder="1" applyAlignment="1">
      <alignment vertical="center"/>
    </xf>
    <xf numFmtId="0" fontId="41" fillId="0" borderId="36" xfId="4156" applyBorder="1" applyAlignment="1">
      <alignment horizontal="center" vertical="center"/>
    </xf>
    <xf numFmtId="41" fontId="132" fillId="33" borderId="17" xfId="49719" applyFont="1" applyFill="1" applyBorder="1" applyAlignment="1">
      <alignment vertical="center" wrapText="1"/>
    </xf>
    <xf numFmtId="193" fontId="129" fillId="25" borderId="3" xfId="32014" applyNumberFormat="1" applyFont="1" applyFill="1" applyBorder="1" applyAlignment="1">
      <alignment horizontal="center" vertical="center" wrapText="1"/>
    </xf>
    <xf numFmtId="0" fontId="42" fillId="33" borderId="36" xfId="4156" applyFont="1" applyFill="1" applyBorder="1" applyAlignment="1">
      <alignment vertical="center"/>
    </xf>
    <xf numFmtId="0" fontId="131" fillId="33" borderId="36" xfId="49738" applyFont="1" applyFill="1" applyBorder="1" applyAlignment="1">
      <alignment vertical="center"/>
    </xf>
    <xf numFmtId="178" fontId="144" fillId="0" borderId="3" xfId="32014" applyNumberFormat="1" applyFont="1" applyFill="1" applyBorder="1" applyAlignment="1">
      <alignment horizontal="right" vertical="center"/>
    </xf>
    <xf numFmtId="0" fontId="112" fillId="0" borderId="19" xfId="4156" applyFont="1" applyBorder="1" applyAlignment="1">
      <alignment horizontal="center" vertical="center"/>
    </xf>
    <xf numFmtId="0" fontId="112" fillId="0" borderId="3" xfId="4156" applyFont="1" applyBorder="1" applyAlignment="1">
      <alignment horizontal="center" vertical="center"/>
    </xf>
    <xf numFmtId="0" fontId="140" fillId="33" borderId="36" xfId="4156" applyFont="1" applyFill="1" applyBorder="1" applyAlignment="1">
      <alignment vertical="center"/>
    </xf>
    <xf numFmtId="0" fontId="144" fillId="0" borderId="36" xfId="4156" applyFont="1" applyBorder="1" applyAlignment="1">
      <alignment horizontal="center" vertical="center"/>
    </xf>
    <xf numFmtId="0" fontId="85" fillId="33" borderId="36" xfId="4156" applyFont="1" applyFill="1" applyBorder="1" applyAlignment="1">
      <alignment vertical="center"/>
    </xf>
    <xf numFmtId="178" fontId="85" fillId="33" borderId="3" xfId="32014" applyNumberFormat="1" applyFont="1" applyFill="1" applyBorder="1" applyAlignment="1">
      <alignment horizontal="right" vertical="center"/>
    </xf>
    <xf numFmtId="193" fontId="147" fillId="37" borderId="3" xfId="49727" applyNumberFormat="1" applyFont="1" applyFill="1" applyBorder="1" applyAlignment="1">
      <alignment horizontal="right" vertical="center"/>
    </xf>
    <xf numFmtId="178" fontId="147" fillId="0" borderId="3" xfId="49727" applyNumberFormat="1" applyFont="1" applyBorder="1" applyAlignment="1">
      <alignment horizontal="right" vertical="center"/>
    </xf>
    <xf numFmtId="178" fontId="148" fillId="0" borderId="3" xfId="49727" applyNumberFormat="1" applyFont="1" applyBorder="1" applyAlignment="1">
      <alignment horizontal="right" vertical="center"/>
    </xf>
    <xf numFmtId="193" fontId="149" fillId="37" borderId="3" xfId="49727" applyNumberFormat="1" applyFont="1" applyFill="1" applyBorder="1" applyAlignment="1">
      <alignment horizontal="right" vertical="center"/>
    </xf>
    <xf numFmtId="178" fontId="149" fillId="0" borderId="3" xfId="49727" applyNumberFormat="1" applyFont="1" applyBorder="1" applyAlignment="1">
      <alignment horizontal="right" vertical="center"/>
    </xf>
    <xf numFmtId="178" fontId="0" fillId="25" borderId="3" xfId="49727" applyNumberFormat="1" applyFont="1" applyFill="1" applyBorder="1" applyAlignment="1">
      <alignment horizontal="right" vertical="center"/>
    </xf>
    <xf numFmtId="178" fontId="41" fillId="25" borderId="3" xfId="32014" applyNumberFormat="1" applyFont="1" applyFill="1" applyBorder="1" applyAlignment="1">
      <alignment horizontal="right" vertical="center"/>
    </xf>
    <xf numFmtId="0" fontId="41" fillId="0" borderId="3" xfId="32014" applyFont="1" applyFill="1" applyBorder="1" applyAlignment="1">
      <alignment horizontal="center" vertical="center" wrapText="1"/>
    </xf>
    <xf numFmtId="0" fontId="41" fillId="0" borderId="3" xfId="32014" applyFont="1" applyFill="1" applyBorder="1" applyAlignment="1">
      <alignment horizontal="center" vertical="center"/>
    </xf>
    <xf numFmtId="0" fontId="41" fillId="25" borderId="3" xfId="32014" applyFont="1" applyFill="1" applyBorder="1" applyAlignment="1">
      <alignment horizontal="center" vertical="center"/>
    </xf>
    <xf numFmtId="41" fontId="41" fillId="0" borderId="17" xfId="6962" applyFont="1" applyFill="1" applyBorder="1" applyAlignment="1">
      <alignment horizontal="center" vertical="center"/>
    </xf>
    <xf numFmtId="41" fontId="152" fillId="33" borderId="3" xfId="6962" applyFont="1" applyFill="1" applyBorder="1" applyAlignment="1">
      <alignment horizontal="right" vertical="center"/>
    </xf>
    <xf numFmtId="178" fontId="130" fillId="25" borderId="3" xfId="4156" applyNumberFormat="1" applyFont="1" applyFill="1" applyBorder="1" applyAlignment="1">
      <alignment horizontal="right" vertical="center"/>
    </xf>
    <xf numFmtId="41" fontId="130" fillId="25" borderId="19" xfId="49719" applyFont="1" applyFill="1" applyBorder="1" applyAlignment="1">
      <alignment horizontal="right" vertical="center"/>
    </xf>
    <xf numFmtId="0" fontId="148" fillId="33" borderId="3" xfId="49738" applyFont="1" applyFill="1" applyBorder="1" applyAlignment="1">
      <alignment vertical="center"/>
    </xf>
    <xf numFmtId="0" fontId="150" fillId="33" borderId="3" xfId="49738" applyFont="1" applyFill="1" applyBorder="1" applyAlignment="1">
      <alignment horizontal="right" vertical="center"/>
    </xf>
    <xf numFmtId="0" fontId="150" fillId="33" borderId="3" xfId="49738" applyFont="1" applyFill="1" applyBorder="1" applyAlignment="1">
      <alignment vertical="center"/>
    </xf>
    <xf numFmtId="178" fontId="153" fillId="33" borderId="3" xfId="49727" applyNumberFormat="1" applyFont="1" applyFill="1" applyBorder="1" applyAlignment="1">
      <alignment horizontal="right" vertical="center"/>
    </xf>
    <xf numFmtId="0" fontId="131" fillId="33" borderId="36" xfId="4156" applyFont="1" applyFill="1" applyBorder="1" applyAlignment="1">
      <alignment horizontal="center" vertical="center"/>
    </xf>
    <xf numFmtId="0" fontId="149" fillId="0" borderId="18" xfId="49727" applyFont="1" applyBorder="1" applyAlignment="1">
      <alignment horizontal="center" vertical="center" wrapText="1"/>
    </xf>
    <xf numFmtId="0" fontId="150" fillId="0" borderId="18" xfId="49727" applyFont="1" applyBorder="1" applyAlignment="1">
      <alignment horizontal="center" vertical="center" wrapText="1"/>
    </xf>
    <xf numFmtId="0" fontId="131" fillId="33" borderId="36" xfId="49738" applyFont="1" applyFill="1" applyBorder="1" applyAlignment="1">
      <alignment horizontal="center" vertical="center"/>
    </xf>
    <xf numFmtId="0" fontId="131" fillId="33" borderId="3" xfId="49738" applyFont="1" applyFill="1" applyBorder="1" applyAlignment="1">
      <alignment horizontal="center" vertical="center"/>
    </xf>
    <xf numFmtId="0" fontId="127" fillId="0" borderId="17" xfId="49727" applyFont="1" applyBorder="1" applyAlignment="1">
      <alignment horizontal="center" vertical="center"/>
    </xf>
    <xf numFmtId="0" fontId="130" fillId="0" borderId="19" xfId="4156" applyFont="1" applyFill="1" applyBorder="1" applyAlignment="1">
      <alignment horizontal="center" vertical="center"/>
    </xf>
    <xf numFmtId="0" fontId="130" fillId="25" borderId="19" xfId="4156" applyFont="1" applyFill="1" applyBorder="1" applyAlignment="1">
      <alignment horizontal="center" vertical="center"/>
    </xf>
    <xf numFmtId="49" fontId="127" fillId="25" borderId="18" xfId="49727" applyNumberFormat="1" applyFont="1" applyFill="1" applyBorder="1" applyAlignment="1">
      <alignment horizontal="center" vertical="center" wrapText="1"/>
    </xf>
    <xf numFmtId="0" fontId="130" fillId="0" borderId="19" xfId="4156" applyFont="1" applyBorder="1" applyAlignment="1">
      <alignment horizontal="center" vertical="center"/>
    </xf>
    <xf numFmtId="0" fontId="130" fillId="25" borderId="3" xfId="32014" applyFont="1" applyFill="1" applyBorder="1" applyAlignment="1">
      <alignment horizontal="center" vertical="center"/>
    </xf>
    <xf numFmtId="0" fontId="127" fillId="0" borderId="17" xfId="49727" applyFont="1" applyBorder="1" applyAlignment="1">
      <alignment horizontal="center" vertical="center" wrapText="1"/>
    </xf>
    <xf numFmtId="41" fontId="130" fillId="0" borderId="3" xfId="6962" applyFont="1" applyFill="1" applyBorder="1" applyAlignment="1">
      <alignment vertical="center"/>
    </xf>
    <xf numFmtId="193" fontId="156" fillId="41" borderId="3" xfId="49732" applyNumberFormat="1" applyFont="1" applyFill="1" applyBorder="1" applyAlignment="1">
      <alignment horizontal="center" vertical="center" wrapText="1"/>
    </xf>
    <xf numFmtId="178" fontId="156" fillId="41" borderId="3" xfId="49732" applyNumberFormat="1" applyFont="1" applyFill="1" applyBorder="1" applyAlignment="1">
      <alignment horizontal="center" vertical="center" wrapText="1"/>
    </xf>
    <xf numFmtId="0" fontId="130" fillId="0" borderId="36" xfId="4156" applyFont="1" applyBorder="1" applyAlignment="1">
      <alignment horizontal="center" vertical="center"/>
    </xf>
    <xf numFmtId="49" fontId="41" fillId="25" borderId="18" xfId="32014" applyNumberFormat="1" applyFont="1" applyFill="1" applyBorder="1" applyAlignment="1">
      <alignment horizontal="center" vertical="center" wrapText="1"/>
    </xf>
    <xf numFmtId="0" fontId="127" fillId="0" borderId="3" xfId="49724" applyNumberFormat="1" applyFont="1" applyFill="1" applyBorder="1" applyAlignment="1">
      <alignment horizontal="center" vertical="center" wrapText="1"/>
    </xf>
    <xf numFmtId="41" fontId="114" fillId="25" borderId="4" xfId="3" applyNumberFormat="1" applyFont="1" applyFill="1" applyBorder="1" applyAlignment="1" applyProtection="1">
      <alignment horizontal="center" vertical="center"/>
    </xf>
    <xf numFmtId="41" fontId="114" fillId="25" borderId="37" xfId="3" applyNumberFormat="1" applyFont="1" applyFill="1" applyBorder="1" applyAlignment="1" applyProtection="1">
      <alignment horizontal="center" vertical="center"/>
    </xf>
    <xf numFmtId="198" fontId="157" fillId="25" borderId="3" xfId="49727" applyNumberFormat="1" applyFont="1" applyFill="1" applyBorder="1" applyAlignment="1">
      <alignment horizontal="center" vertical="center" wrapText="1"/>
    </xf>
    <xf numFmtId="41" fontId="157" fillId="25" borderId="3" xfId="49719" applyFont="1" applyFill="1" applyBorder="1" applyAlignment="1">
      <alignment vertical="center"/>
    </xf>
    <xf numFmtId="194" fontId="157" fillId="25" borderId="3" xfId="49727" applyNumberFormat="1" applyFont="1" applyFill="1" applyBorder="1" applyAlignment="1">
      <alignment horizontal="center" vertical="center" wrapText="1"/>
    </xf>
    <xf numFmtId="198" fontId="157" fillId="25" borderId="44" xfId="49727" applyNumberFormat="1" applyFont="1" applyFill="1" applyBorder="1" applyAlignment="1">
      <alignment horizontal="center" vertical="center" wrapText="1"/>
    </xf>
    <xf numFmtId="41" fontId="157" fillId="25" borderId="44" xfId="2" applyFont="1" applyFill="1" applyBorder="1" applyAlignment="1">
      <alignment vertical="center"/>
    </xf>
    <xf numFmtId="198" fontId="157" fillId="25" borderId="19" xfId="49727" applyNumberFormat="1" applyFont="1" applyFill="1" applyBorder="1" applyAlignment="1">
      <alignment horizontal="center" vertical="center" wrapText="1"/>
    </xf>
    <xf numFmtId="41" fontId="157" fillId="25" borderId="19" xfId="2" applyFont="1" applyFill="1" applyBorder="1" applyAlignment="1">
      <alignment vertical="center"/>
    </xf>
    <xf numFmtId="0" fontId="158" fillId="33" borderId="36" xfId="4156" applyFont="1" applyFill="1" applyBorder="1" applyAlignment="1">
      <alignment horizontal="center" vertical="center"/>
    </xf>
    <xf numFmtId="41" fontId="159" fillId="33" borderId="3" xfId="49719" applyFont="1" applyFill="1" applyBorder="1" applyAlignment="1">
      <alignment vertical="center"/>
    </xf>
    <xf numFmtId="41" fontId="159" fillId="33" borderId="3" xfId="49729" applyFont="1" applyFill="1" applyBorder="1" applyAlignment="1">
      <alignment horizontal="right" vertical="center"/>
    </xf>
    <xf numFmtId="198" fontId="160" fillId="0" borderId="3" xfId="49727" applyNumberFormat="1" applyFont="1" applyBorder="1" applyAlignment="1">
      <alignment horizontal="center" vertical="center" wrapText="1"/>
    </xf>
    <xf numFmtId="41" fontId="160" fillId="0" borderId="3" xfId="49719" applyFont="1" applyFill="1" applyBorder="1" applyAlignment="1">
      <alignment horizontal="right" vertical="center"/>
    </xf>
    <xf numFmtId="194" fontId="160" fillId="0" borderId="3" xfId="49727" applyNumberFormat="1" applyFont="1" applyBorder="1" applyAlignment="1">
      <alignment horizontal="center" vertical="center" wrapText="1"/>
    </xf>
    <xf numFmtId="198" fontId="160" fillId="0" borderId="44" xfId="49727" applyNumberFormat="1" applyFont="1" applyBorder="1" applyAlignment="1">
      <alignment horizontal="center" vertical="center" wrapText="1"/>
    </xf>
    <xf numFmtId="41" fontId="160" fillId="0" borderId="44" xfId="2" applyFont="1" applyBorder="1" applyAlignment="1">
      <alignment horizontal="right" vertical="center"/>
    </xf>
    <xf numFmtId="198" fontId="160" fillId="0" borderId="19" xfId="49727" applyNumberFormat="1" applyFont="1" applyBorder="1" applyAlignment="1">
      <alignment horizontal="center" vertical="center" wrapText="1"/>
    </xf>
    <xf numFmtId="41" fontId="160" fillId="0" borderId="19" xfId="2" applyFont="1" applyBorder="1" applyAlignment="1">
      <alignment horizontal="right" vertical="center"/>
    </xf>
    <xf numFmtId="194" fontId="160" fillId="0" borderId="19" xfId="49727" applyNumberFormat="1" applyFont="1" applyBorder="1" applyAlignment="1">
      <alignment horizontal="center" vertical="center" wrapText="1"/>
    </xf>
    <xf numFmtId="194" fontId="160" fillId="0" borderId="44" xfId="49727" applyNumberFormat="1" applyFont="1" applyBorder="1" applyAlignment="1">
      <alignment horizontal="center" vertical="center" wrapText="1"/>
    </xf>
    <xf numFmtId="0" fontId="130" fillId="0" borderId="3" xfId="2500" applyFont="1" applyFill="1" applyBorder="1" applyAlignment="1">
      <alignment horizontal="center" vertical="center"/>
    </xf>
    <xf numFmtId="178" fontId="129" fillId="0" borderId="3" xfId="49719" applyNumberFormat="1" applyFont="1" applyFill="1" applyBorder="1" applyAlignment="1">
      <alignment vertical="center"/>
    </xf>
    <xf numFmtId="41" fontId="130" fillId="33" borderId="3" xfId="4156" applyNumberFormat="1" applyFont="1" applyFill="1" applyBorder="1" applyAlignment="1">
      <alignment horizontal="center" vertical="center"/>
    </xf>
    <xf numFmtId="0" fontId="144" fillId="0" borderId="3" xfId="2500" applyFont="1" applyBorder="1" applyAlignment="1">
      <alignment horizontal="center" vertical="center"/>
    </xf>
    <xf numFmtId="178" fontId="144" fillId="0" borderId="3" xfId="2500" applyNumberFormat="1" applyFont="1" applyBorder="1">
      <alignment vertical="center"/>
    </xf>
    <xf numFmtId="41" fontId="134" fillId="25" borderId="3" xfId="49719" applyFont="1" applyFill="1" applyBorder="1" applyAlignment="1">
      <alignment vertical="center"/>
    </xf>
    <xf numFmtId="41" fontId="134" fillId="34" borderId="3" xfId="49719" applyFont="1" applyFill="1" applyBorder="1" applyAlignment="1">
      <alignment horizontal="right" vertical="center"/>
    </xf>
    <xf numFmtId="41" fontId="114" fillId="25" borderId="33" xfId="3" applyNumberFormat="1" applyFont="1" applyFill="1" applyBorder="1" applyAlignment="1" applyProtection="1">
      <alignment horizontal="center" vertical="center"/>
    </xf>
    <xf numFmtId="41" fontId="118" fillId="35" borderId="3" xfId="49719" applyFont="1" applyFill="1" applyBorder="1" applyAlignment="1">
      <alignment horizontal="right" vertical="center" wrapText="1"/>
    </xf>
    <xf numFmtId="41" fontId="132" fillId="33" borderId="17" xfId="49719" applyFont="1" applyFill="1" applyBorder="1" applyAlignment="1">
      <alignment horizontal="right" vertical="center"/>
    </xf>
    <xf numFmtId="41" fontId="133" fillId="32" borderId="3" xfId="49719" applyFont="1" applyFill="1" applyBorder="1" applyAlignment="1">
      <alignment horizontal="right" vertical="center"/>
    </xf>
    <xf numFmtId="41" fontId="128" fillId="25" borderId="3" xfId="49719" applyFont="1" applyFill="1" applyBorder="1" applyAlignment="1">
      <alignment horizontal="right" vertical="center"/>
    </xf>
    <xf numFmtId="41" fontId="132" fillId="34" borderId="3" xfId="49719" applyFont="1" applyFill="1" applyBorder="1" applyAlignment="1">
      <alignment horizontal="right" vertical="center"/>
    </xf>
    <xf numFmtId="41" fontId="132" fillId="25" borderId="3" xfId="49719" applyFont="1" applyFill="1" applyBorder="1" applyAlignment="1">
      <alignment horizontal="right" vertical="center"/>
    </xf>
    <xf numFmtId="41" fontId="133" fillId="32" borderId="3" xfId="49719" applyFont="1" applyFill="1" applyBorder="1" applyAlignment="1">
      <alignment horizontal="right" vertical="center" wrapText="1"/>
    </xf>
    <xf numFmtId="41" fontId="132" fillId="33" borderId="3" xfId="49719" applyFont="1" applyFill="1" applyBorder="1" applyAlignment="1">
      <alignment horizontal="right" vertical="center" wrapText="1"/>
    </xf>
    <xf numFmtId="41" fontId="131" fillId="33" borderId="19" xfId="49719" applyFont="1" applyFill="1" applyBorder="1" applyAlignment="1">
      <alignment horizontal="right" vertical="center"/>
    </xf>
    <xf numFmtId="0" fontId="127" fillId="0" borderId="3" xfId="0" applyFont="1" applyBorder="1" applyAlignment="1">
      <alignment horizontal="right" vertical="center"/>
    </xf>
    <xf numFmtId="41" fontId="126" fillId="32" borderId="3" xfId="49719" applyFont="1" applyFill="1" applyBorder="1" applyAlignment="1">
      <alignment horizontal="right" vertical="center"/>
    </xf>
    <xf numFmtId="41" fontId="128" fillId="0" borderId="3" xfId="49719" applyFont="1" applyFill="1" applyBorder="1" applyAlignment="1">
      <alignment horizontal="right" vertical="center" wrapText="1"/>
    </xf>
    <xf numFmtId="41" fontId="132" fillId="33" borderId="17" xfId="49719" applyFont="1" applyFill="1" applyBorder="1" applyAlignment="1">
      <alignment horizontal="right" vertical="center" wrapText="1"/>
    </xf>
    <xf numFmtId="41" fontId="127" fillId="0" borderId="3" xfId="49719" applyFont="1" applyBorder="1" applyAlignment="1">
      <alignment horizontal="right" vertical="center"/>
    </xf>
    <xf numFmtId="41" fontId="128" fillId="25" borderId="44" xfId="49719" applyFont="1" applyFill="1" applyBorder="1" applyAlignment="1">
      <alignment horizontal="right" vertical="center"/>
    </xf>
    <xf numFmtId="41" fontId="157" fillId="25" borderId="3" xfId="49719" applyFont="1" applyFill="1" applyBorder="1" applyAlignment="1">
      <alignment horizontal="right" vertical="center"/>
    </xf>
    <xf numFmtId="41" fontId="157" fillId="25" borderId="44" xfId="49719" applyFont="1" applyFill="1" applyBorder="1" applyAlignment="1">
      <alignment horizontal="right" vertical="center"/>
    </xf>
    <xf numFmtId="41" fontId="157" fillId="25" borderId="19" xfId="49719" applyFont="1" applyFill="1" applyBorder="1" applyAlignment="1">
      <alignment horizontal="right" vertical="center"/>
    </xf>
    <xf numFmtId="41" fontId="159" fillId="33" borderId="3" xfId="49719" applyFont="1" applyFill="1" applyBorder="1" applyAlignment="1">
      <alignment horizontal="right" vertical="center"/>
    </xf>
    <xf numFmtId="0" fontId="160" fillId="0" borderId="19" xfId="2" applyNumberFormat="1" applyFont="1" applyBorder="1" applyAlignment="1">
      <alignment horizontal="right" vertical="center"/>
    </xf>
    <xf numFmtId="41" fontId="131" fillId="33" borderId="36" xfId="49719" applyFont="1" applyFill="1" applyBorder="1" applyAlignment="1">
      <alignment horizontal="right" vertical="center"/>
    </xf>
    <xf numFmtId="41" fontId="137" fillId="33" borderId="3" xfId="49719" applyFont="1" applyFill="1" applyBorder="1" applyAlignment="1">
      <alignment horizontal="right" vertical="center"/>
    </xf>
    <xf numFmtId="41" fontId="127" fillId="25" borderId="3" xfId="49719" applyFont="1" applyFill="1" applyBorder="1" applyAlignment="1">
      <alignment horizontal="right" vertical="center"/>
    </xf>
    <xf numFmtId="41" fontId="137" fillId="33" borderId="3" xfId="49719" applyFont="1" applyFill="1" applyBorder="1" applyAlignment="1">
      <alignment horizontal="right" vertical="center" wrapText="1"/>
    </xf>
    <xf numFmtId="0" fontId="131" fillId="33" borderId="2" xfId="4156" applyFont="1" applyFill="1" applyBorder="1" applyAlignment="1">
      <alignment horizontal="center" vertical="center"/>
    </xf>
    <xf numFmtId="0" fontId="131" fillId="33" borderId="36" xfId="4156" applyFont="1" applyFill="1" applyBorder="1" applyAlignment="1">
      <alignment horizontal="center" vertical="center"/>
    </xf>
    <xf numFmtId="49" fontId="127" fillId="25" borderId="18" xfId="49727" applyNumberFormat="1" applyFont="1" applyFill="1" applyBorder="1" applyAlignment="1">
      <alignment horizontal="center" vertical="center" wrapText="1"/>
    </xf>
    <xf numFmtId="49" fontId="127" fillId="25" borderId="19" xfId="49727" applyNumberFormat="1" applyFont="1" applyFill="1" applyBorder="1" applyAlignment="1">
      <alignment horizontal="center" vertical="center" wrapText="1"/>
    </xf>
    <xf numFmtId="178" fontId="127" fillId="25" borderId="3" xfId="49727" applyNumberFormat="1" applyFont="1" applyFill="1" applyBorder="1" applyAlignment="1">
      <alignment horizontal="center" vertical="center"/>
    </xf>
    <xf numFmtId="178" fontId="127" fillId="25" borderId="3" xfId="49727" applyNumberFormat="1" applyFont="1" applyFill="1" applyBorder="1" applyAlignment="1">
      <alignment horizontal="right" vertical="center"/>
    </xf>
    <xf numFmtId="177" fontId="84" fillId="33" borderId="3" xfId="0" applyNumberFormat="1" applyFont="1" applyFill="1" applyBorder="1" applyAlignment="1" applyProtection="1">
      <alignment horizontal="center" vertical="center"/>
    </xf>
    <xf numFmtId="14" fontId="130" fillId="0" borderId="18" xfId="49719" quotePrefix="1" applyNumberFormat="1" applyFont="1" applyFill="1" applyBorder="1" applyAlignment="1">
      <alignment horizontal="center" vertical="center"/>
    </xf>
    <xf numFmtId="0" fontId="131" fillId="33" borderId="25" xfId="49738" applyFont="1" applyFill="1" applyBorder="1" applyAlignment="1">
      <alignment horizontal="center" vertical="center"/>
    </xf>
    <xf numFmtId="0" fontId="131" fillId="33" borderId="26" xfId="49738" applyFont="1" applyFill="1" applyBorder="1" applyAlignment="1">
      <alignment horizontal="center" vertical="center"/>
    </xf>
    <xf numFmtId="0" fontId="161" fillId="0" borderId="0" xfId="116" applyFont="1" applyBorder="1" applyAlignment="1">
      <alignment horizontal="center" vertical="center"/>
    </xf>
    <xf numFmtId="0" fontId="126" fillId="32" borderId="23" xfId="116" applyFont="1" applyFill="1" applyBorder="1" applyAlignment="1">
      <alignment vertical="center"/>
    </xf>
    <xf numFmtId="0" fontId="126" fillId="32" borderId="24" xfId="116" applyFont="1" applyFill="1" applyBorder="1" applyAlignment="1">
      <alignment vertical="center"/>
    </xf>
    <xf numFmtId="0" fontId="126" fillId="32" borderId="19" xfId="116" applyNumberFormat="1" applyFont="1" applyFill="1" applyBorder="1" applyAlignment="1">
      <alignment horizontal="center" vertical="top"/>
    </xf>
    <xf numFmtId="41" fontId="133" fillId="32" borderId="19" xfId="49719" applyFont="1" applyFill="1" applyBorder="1" applyAlignment="1">
      <alignment vertical="center" wrapText="1"/>
    </xf>
    <xf numFmtId="14" fontId="126" fillId="32" borderId="19" xfId="49719" applyNumberFormat="1" applyFont="1" applyFill="1" applyBorder="1" applyAlignment="1">
      <alignment horizontal="center" vertical="center" wrapText="1"/>
    </xf>
    <xf numFmtId="0" fontId="128" fillId="32" borderId="19" xfId="116" quotePrefix="1" applyNumberFormat="1" applyFont="1" applyFill="1" applyBorder="1" applyAlignment="1">
      <alignment horizontal="center" vertical="center" wrapText="1"/>
    </xf>
    <xf numFmtId="0" fontId="139" fillId="32" borderId="19" xfId="116" quotePrefix="1" applyNumberFormat="1" applyFont="1" applyFill="1" applyBorder="1" applyAlignment="1">
      <alignment horizontal="center" vertical="center" shrinkToFit="1"/>
    </xf>
    <xf numFmtId="49" fontId="128" fillId="0" borderId="3" xfId="4156" quotePrefix="1" applyNumberFormat="1" applyFont="1" applyBorder="1" applyAlignment="1">
      <alignment horizontal="center" vertical="center" wrapText="1"/>
    </xf>
    <xf numFmtId="0" fontId="131" fillId="33" borderId="3" xfId="4156" applyFont="1" applyFill="1" applyBorder="1" applyAlignment="1">
      <alignment vertical="center"/>
    </xf>
    <xf numFmtId="0" fontId="131" fillId="33" borderId="36" xfId="4156" applyFont="1" applyFill="1" applyBorder="1" applyAlignment="1">
      <alignment horizontal="center" vertical="center"/>
    </xf>
    <xf numFmtId="0" fontId="131" fillId="33" borderId="36" xfId="4156" applyFont="1" applyFill="1" applyBorder="1" applyAlignment="1">
      <alignment horizontal="center" vertical="center"/>
    </xf>
    <xf numFmtId="0" fontId="130" fillId="0" borderId="19" xfId="4156" applyFont="1" applyBorder="1" applyAlignment="1">
      <alignment horizontal="center" vertical="center"/>
    </xf>
    <xf numFmtId="49" fontId="128" fillId="0" borderId="18" xfId="4156" quotePrefix="1" applyNumberFormat="1" applyFont="1" applyBorder="1" applyAlignment="1">
      <alignment horizontal="center" vertical="center" wrapText="1"/>
    </xf>
    <xf numFmtId="49" fontId="128" fillId="0" borderId="19" xfId="4156" quotePrefix="1" applyNumberFormat="1" applyFont="1" applyBorder="1" applyAlignment="1">
      <alignment horizontal="center" vertical="center" wrapText="1"/>
    </xf>
    <xf numFmtId="193" fontId="156" fillId="0" borderId="3" xfId="49727" applyNumberFormat="1" applyFont="1" applyFill="1" applyBorder="1" applyAlignment="1">
      <alignment horizontal="center" vertical="center"/>
    </xf>
    <xf numFmtId="178" fontId="160" fillId="0" borderId="19" xfId="4156" applyNumberFormat="1" applyFont="1" applyBorder="1" applyAlignment="1">
      <alignment horizontal="right" vertical="center"/>
    </xf>
    <xf numFmtId="178" fontId="160" fillId="0" borderId="3" xfId="4156" applyNumberFormat="1" applyFont="1" applyBorder="1" applyAlignment="1">
      <alignment horizontal="right" vertical="center"/>
    </xf>
    <xf numFmtId="0" fontId="158" fillId="0" borderId="19" xfId="4156" applyFont="1" applyBorder="1" applyAlignment="1">
      <alignment horizontal="center" vertical="center"/>
    </xf>
    <xf numFmtId="49" fontId="128" fillId="0" borderId="18" xfId="4156" quotePrefix="1" applyNumberFormat="1" applyFont="1" applyBorder="1" applyAlignment="1">
      <alignment horizontal="center" vertical="center" wrapText="1"/>
    </xf>
    <xf numFmtId="49" fontId="128" fillId="0" borderId="19" xfId="4156" quotePrefix="1" applyNumberFormat="1" applyFont="1" applyBorder="1" applyAlignment="1">
      <alignment horizontal="center" vertical="center" wrapText="1"/>
    </xf>
    <xf numFmtId="0" fontId="131" fillId="33" borderId="36" xfId="4156" applyFont="1" applyFill="1" applyBorder="1" applyAlignment="1">
      <alignment horizontal="center" vertical="center"/>
    </xf>
    <xf numFmtId="0" fontId="156" fillId="0" borderId="3" xfId="49727" applyNumberFormat="1" applyFont="1" applyFill="1" applyBorder="1" applyAlignment="1">
      <alignment horizontal="center" vertical="center"/>
    </xf>
    <xf numFmtId="0" fontId="114" fillId="0" borderId="0" xfId="0" applyNumberFormat="1" applyFont="1" applyFill="1" applyAlignment="1"/>
    <xf numFmtId="0" fontId="164" fillId="0" borderId="0" xfId="0" applyNumberFormat="1" applyFont="1" applyFill="1" applyBorder="1" applyAlignment="1">
      <alignment horizontal="left" vertical="center"/>
    </xf>
    <xf numFmtId="0" fontId="164" fillId="0" borderId="31" xfId="0" applyNumberFormat="1" applyFont="1" applyFill="1" applyBorder="1" applyAlignment="1">
      <alignment horizontal="left" vertical="center"/>
    </xf>
    <xf numFmtId="0" fontId="114" fillId="0" borderId="38" xfId="0" applyNumberFormat="1" applyFont="1" applyFill="1" applyBorder="1" applyAlignment="1"/>
    <xf numFmtId="0" fontId="131" fillId="33" borderId="36" xfId="4156" applyFont="1" applyFill="1" applyBorder="1" applyAlignment="1">
      <alignment horizontal="center" vertical="center"/>
    </xf>
    <xf numFmtId="0" fontId="122" fillId="0" borderId="0" xfId="0" applyNumberFormat="1" applyFont="1" applyFill="1" applyAlignment="1">
      <alignment horizontal="center"/>
    </xf>
    <xf numFmtId="0" fontId="37" fillId="0" borderId="0" xfId="0" applyNumberFormat="1" applyFont="1" applyFill="1" applyBorder="1" applyAlignment="1">
      <alignment horizontal="left" vertical="center"/>
    </xf>
    <xf numFmtId="0" fontId="84" fillId="0" borderId="6" xfId="0" applyNumberFormat="1" applyFont="1" applyFill="1" applyBorder="1" applyAlignment="1" applyProtection="1">
      <alignment horizontal="center" vertical="center"/>
    </xf>
    <xf numFmtId="0" fontId="84" fillId="0" borderId="4" xfId="0" applyNumberFormat="1" applyFont="1" applyFill="1" applyBorder="1" applyAlignment="1" applyProtection="1">
      <alignment horizontal="center" vertical="center"/>
    </xf>
    <xf numFmtId="0" fontId="36" fillId="33" borderId="5" xfId="0" applyNumberFormat="1" applyFont="1" applyFill="1" applyBorder="1" applyAlignment="1" applyProtection="1">
      <alignment horizontal="center" vertical="center" wrapText="1"/>
    </xf>
    <xf numFmtId="0" fontId="36" fillId="33" borderId="3" xfId="0" applyNumberFormat="1" applyFont="1" applyFill="1" applyBorder="1" applyAlignment="1" applyProtection="1">
      <alignment horizontal="center" vertical="center"/>
    </xf>
    <xf numFmtId="0" fontId="36" fillId="0" borderId="5" xfId="0" applyNumberFormat="1" applyFont="1" applyFill="1" applyBorder="1" applyAlignment="1" applyProtection="1">
      <alignment horizontal="center" vertical="center"/>
    </xf>
    <xf numFmtId="0" fontId="36" fillId="2" borderId="5" xfId="0" applyNumberFormat="1" applyFont="1" applyFill="1" applyBorder="1" applyAlignment="1" applyProtection="1">
      <alignment horizontal="center" vertical="center" wrapText="1"/>
    </xf>
    <xf numFmtId="0" fontId="36" fillId="2" borderId="3" xfId="0" applyNumberFormat="1" applyFont="1" applyFill="1" applyBorder="1" applyAlignment="1" applyProtection="1">
      <alignment horizontal="center" vertical="center"/>
    </xf>
    <xf numFmtId="41" fontId="130" fillId="0" borderId="17" xfId="6962" applyFont="1" applyFill="1" applyBorder="1" applyAlignment="1">
      <alignment horizontal="center" vertical="center"/>
    </xf>
    <xf numFmtId="41" fontId="130" fillId="0" borderId="18" xfId="6962" applyFont="1" applyFill="1" applyBorder="1" applyAlignment="1">
      <alignment horizontal="center" vertical="center"/>
    </xf>
    <xf numFmtId="41" fontId="130" fillId="0" borderId="19" xfId="6962" applyFont="1" applyFill="1" applyBorder="1" applyAlignment="1">
      <alignment horizontal="center" vertical="center"/>
    </xf>
    <xf numFmtId="0" fontId="131" fillId="33" borderId="35" xfId="4156" applyFont="1" applyFill="1" applyBorder="1" applyAlignment="1">
      <alignment horizontal="center" vertical="center"/>
    </xf>
    <xf numFmtId="0" fontId="131" fillId="33" borderId="2" xfId="4156" applyFont="1" applyFill="1" applyBorder="1" applyAlignment="1">
      <alignment horizontal="center" vertical="center"/>
    </xf>
    <xf numFmtId="0" fontId="131" fillId="33" borderId="36" xfId="4156" applyFont="1" applyFill="1" applyBorder="1" applyAlignment="1">
      <alignment horizontal="center" vertical="center"/>
    </xf>
    <xf numFmtId="49" fontId="154" fillId="25" borderId="17" xfId="32014" applyNumberFormat="1" applyFont="1" applyFill="1" applyBorder="1" applyAlignment="1">
      <alignment horizontal="center" vertical="center" wrapText="1"/>
    </xf>
    <xf numFmtId="49" fontId="154" fillId="25" borderId="18" xfId="32014" applyNumberFormat="1" applyFont="1" applyFill="1" applyBorder="1" applyAlignment="1">
      <alignment horizontal="center" vertical="center" wrapText="1"/>
    </xf>
    <xf numFmtId="49" fontId="154" fillId="25" borderId="19" xfId="32014" applyNumberFormat="1" applyFont="1" applyFill="1" applyBorder="1" applyAlignment="1">
      <alignment horizontal="center" vertical="center" wrapText="1"/>
    </xf>
    <xf numFmtId="0" fontId="127" fillId="25" borderId="25" xfId="32014" applyFont="1" applyFill="1" applyBorder="1" applyAlignment="1">
      <alignment horizontal="center" vertical="center" wrapText="1"/>
    </xf>
    <xf numFmtId="0" fontId="127" fillId="25" borderId="26" xfId="32014" applyFont="1" applyFill="1" applyBorder="1" applyAlignment="1">
      <alignment horizontal="center" vertical="center" wrapText="1"/>
    </xf>
    <xf numFmtId="0" fontId="127" fillId="25" borderId="27" xfId="32014" applyFont="1" applyFill="1" applyBorder="1" applyAlignment="1">
      <alignment horizontal="center" vertical="center" wrapText="1"/>
    </xf>
    <xf numFmtId="0" fontId="127" fillId="25" borderId="20" xfId="32014" applyFont="1" applyFill="1" applyBorder="1" applyAlignment="1">
      <alignment horizontal="center" vertical="center" wrapText="1"/>
    </xf>
    <xf numFmtId="0" fontId="127" fillId="25" borderId="0" xfId="32014" applyFont="1" applyFill="1" applyBorder="1" applyAlignment="1">
      <alignment horizontal="center" vertical="center" wrapText="1"/>
    </xf>
    <xf numFmtId="0" fontId="127" fillId="25" borderId="21" xfId="32014" applyFont="1" applyFill="1" applyBorder="1" applyAlignment="1">
      <alignment horizontal="center" vertical="center" wrapText="1"/>
    </xf>
    <xf numFmtId="0" fontId="127" fillId="25" borderId="22" xfId="32014" applyFont="1" applyFill="1" applyBorder="1" applyAlignment="1">
      <alignment horizontal="center" vertical="center" wrapText="1"/>
    </xf>
    <xf numFmtId="0" fontId="127" fillId="25" borderId="23" xfId="32014" applyFont="1" applyFill="1" applyBorder="1" applyAlignment="1">
      <alignment horizontal="center" vertical="center" wrapText="1"/>
    </xf>
    <xf numFmtId="0" fontId="127" fillId="25" borderId="24" xfId="32014" applyFont="1" applyFill="1" applyBorder="1" applyAlignment="1">
      <alignment horizontal="center" vertical="center" wrapText="1"/>
    </xf>
    <xf numFmtId="0" fontId="127" fillId="25" borderId="17" xfId="32014" applyFont="1" applyFill="1" applyBorder="1" applyAlignment="1">
      <alignment horizontal="center" vertical="center" wrapText="1"/>
    </xf>
    <xf numFmtId="0" fontId="127" fillId="25" borderId="18" xfId="32014" applyFont="1" applyFill="1" applyBorder="1" applyAlignment="1">
      <alignment horizontal="center" vertical="center" wrapText="1"/>
    </xf>
    <xf numFmtId="0" fontId="127" fillId="25" borderId="19" xfId="32014" applyFont="1" applyFill="1" applyBorder="1" applyAlignment="1">
      <alignment horizontal="center" vertical="center" wrapText="1"/>
    </xf>
    <xf numFmtId="49" fontId="128" fillId="0" borderId="17" xfId="49719" quotePrefix="1" applyNumberFormat="1" applyFont="1" applyFill="1" applyBorder="1" applyAlignment="1">
      <alignment horizontal="center" vertical="center"/>
    </xf>
    <xf numFmtId="49" fontId="128" fillId="0" borderId="18" xfId="49719" quotePrefix="1" applyNumberFormat="1" applyFont="1" applyFill="1" applyBorder="1" applyAlignment="1">
      <alignment horizontal="center" vertical="center"/>
    </xf>
    <xf numFmtId="49" fontId="128" fillId="0" borderId="19" xfId="49719" quotePrefix="1" applyNumberFormat="1" applyFont="1" applyFill="1" applyBorder="1" applyAlignment="1">
      <alignment horizontal="center" vertical="center"/>
    </xf>
    <xf numFmtId="0" fontId="129" fillId="25" borderId="25" xfId="0" applyFont="1" applyFill="1" applyBorder="1" applyAlignment="1">
      <alignment horizontal="center" vertical="center"/>
    </xf>
    <xf numFmtId="0" fontId="129" fillId="25" borderId="26" xfId="0" applyFont="1" applyFill="1" applyBorder="1" applyAlignment="1">
      <alignment horizontal="center" vertical="center"/>
    </xf>
    <xf numFmtId="0" fontId="129" fillId="25" borderId="27" xfId="0" applyFont="1" applyFill="1" applyBorder="1" applyAlignment="1">
      <alignment horizontal="center" vertical="center"/>
    </xf>
    <xf numFmtId="0" fontId="129" fillId="25" borderId="20" xfId="0" applyFont="1" applyFill="1" applyBorder="1" applyAlignment="1">
      <alignment horizontal="center" vertical="center"/>
    </xf>
    <xf numFmtId="0" fontId="129" fillId="25" borderId="0" xfId="0" applyFont="1" applyFill="1" applyBorder="1" applyAlignment="1">
      <alignment horizontal="center" vertical="center"/>
    </xf>
    <xf numFmtId="0" fontId="129" fillId="25" borderId="21" xfId="0" applyFont="1" applyFill="1" applyBorder="1" applyAlignment="1">
      <alignment horizontal="center" vertical="center"/>
    </xf>
    <xf numFmtId="0" fontId="129" fillId="25" borderId="22" xfId="0" applyFont="1" applyFill="1" applyBorder="1" applyAlignment="1">
      <alignment horizontal="center" vertical="center"/>
    </xf>
    <xf numFmtId="0" fontId="129" fillId="25" borderId="23" xfId="0" applyFont="1" applyFill="1" applyBorder="1" applyAlignment="1">
      <alignment horizontal="center" vertical="center"/>
    </xf>
    <xf numFmtId="0" fontId="129" fillId="25" borderId="24" xfId="0" applyFont="1" applyFill="1" applyBorder="1" applyAlignment="1">
      <alignment horizontal="center" vertical="center"/>
    </xf>
    <xf numFmtId="41" fontId="130" fillId="0" borderId="17" xfId="6962" quotePrefix="1" applyFont="1" applyFill="1" applyBorder="1" applyAlignment="1">
      <alignment horizontal="center" vertical="center"/>
    </xf>
    <xf numFmtId="41" fontId="130" fillId="0" borderId="18" xfId="6962" quotePrefix="1" applyFont="1" applyFill="1" applyBorder="1" applyAlignment="1">
      <alignment horizontal="center" vertical="center"/>
    </xf>
    <xf numFmtId="41" fontId="130" fillId="0" borderId="19" xfId="6962" quotePrefix="1" applyFont="1" applyFill="1" applyBorder="1" applyAlignment="1">
      <alignment horizontal="center" vertical="center"/>
    </xf>
    <xf numFmtId="0" fontId="128" fillId="25" borderId="17" xfId="32014" applyNumberFormat="1" applyFont="1" applyFill="1" applyBorder="1" applyAlignment="1">
      <alignment horizontal="center" vertical="center" wrapText="1"/>
    </xf>
    <xf numFmtId="0" fontId="128" fillId="25" borderId="18" xfId="32014" applyNumberFormat="1" applyFont="1" applyFill="1" applyBorder="1" applyAlignment="1">
      <alignment horizontal="center" vertical="center" wrapText="1"/>
    </xf>
    <xf numFmtId="0" fontId="128" fillId="25" borderId="19" xfId="32014" applyNumberFormat="1" applyFont="1" applyFill="1" applyBorder="1" applyAlignment="1">
      <alignment horizontal="center" vertical="center" wrapText="1"/>
    </xf>
    <xf numFmtId="49" fontId="130" fillId="0" borderId="17" xfId="32014" applyNumberFormat="1" applyFont="1" applyFill="1" applyBorder="1" applyAlignment="1">
      <alignment horizontal="center" vertical="center" wrapText="1"/>
    </xf>
    <xf numFmtId="49" fontId="130" fillId="0" borderId="18" xfId="32014" applyNumberFormat="1" applyFont="1" applyFill="1" applyBorder="1" applyAlignment="1">
      <alignment horizontal="center" vertical="center" wrapText="1"/>
    </xf>
    <xf numFmtId="49" fontId="130" fillId="0" borderId="19" xfId="32014" applyNumberFormat="1" applyFont="1" applyFill="1" applyBorder="1" applyAlignment="1">
      <alignment horizontal="center" vertical="center" wrapText="1"/>
    </xf>
    <xf numFmtId="49" fontId="130" fillId="39" borderId="17" xfId="32014" applyNumberFormat="1" applyFont="1" applyFill="1" applyBorder="1" applyAlignment="1">
      <alignment horizontal="center" vertical="center" wrapText="1"/>
    </xf>
    <xf numFmtId="49" fontId="130" fillId="39" borderId="18" xfId="32014" applyNumberFormat="1" applyFont="1" applyFill="1" applyBorder="1" applyAlignment="1">
      <alignment horizontal="center" vertical="center" wrapText="1"/>
    </xf>
    <xf numFmtId="49" fontId="130" fillId="39" borderId="19" xfId="32014" applyNumberFormat="1" applyFont="1" applyFill="1" applyBorder="1" applyAlignment="1">
      <alignment horizontal="center" vertical="center" wrapText="1"/>
    </xf>
    <xf numFmtId="14" fontId="141" fillId="25" borderId="17" xfId="49719" quotePrefix="1" applyNumberFormat="1" applyFont="1" applyFill="1" applyBorder="1" applyAlignment="1">
      <alignment horizontal="center" vertical="center"/>
    </xf>
    <xf numFmtId="14" fontId="141" fillId="25" borderId="18" xfId="49719" quotePrefix="1" applyNumberFormat="1" applyFont="1" applyFill="1" applyBorder="1" applyAlignment="1">
      <alignment horizontal="center" vertical="center"/>
    </xf>
    <xf numFmtId="14" fontId="141" fillId="25" borderId="19" xfId="49719" quotePrefix="1" applyNumberFormat="1" applyFont="1" applyFill="1" applyBorder="1" applyAlignment="1">
      <alignment horizontal="center" vertical="center"/>
    </xf>
    <xf numFmtId="0" fontId="128" fillId="25" borderId="17" xfId="4156" applyNumberFormat="1" applyFont="1" applyFill="1" applyBorder="1" applyAlignment="1">
      <alignment horizontal="center" vertical="center" wrapText="1"/>
    </xf>
    <xf numFmtId="0" fontId="128" fillId="25" borderId="18" xfId="4156" applyNumberFormat="1" applyFont="1" applyFill="1" applyBorder="1" applyAlignment="1">
      <alignment horizontal="center" vertical="center" wrapText="1"/>
    </xf>
    <xf numFmtId="0" fontId="128" fillId="25" borderId="19" xfId="4156" applyNumberFormat="1" applyFont="1" applyFill="1" applyBorder="1" applyAlignment="1">
      <alignment horizontal="center" vertical="center" wrapText="1"/>
    </xf>
    <xf numFmtId="14" fontId="128" fillId="0" borderId="17" xfId="49719" quotePrefix="1" applyNumberFormat="1" applyFont="1" applyFill="1" applyBorder="1" applyAlignment="1">
      <alignment horizontal="center" vertical="center"/>
    </xf>
    <xf numFmtId="14" fontId="128" fillId="0" borderId="18" xfId="49719" quotePrefix="1" applyNumberFormat="1" applyFont="1" applyFill="1" applyBorder="1" applyAlignment="1">
      <alignment horizontal="center" vertical="center"/>
    </xf>
    <xf numFmtId="14" fontId="128" fillId="0" borderId="19" xfId="49719" quotePrefix="1" applyNumberFormat="1" applyFont="1" applyFill="1" applyBorder="1" applyAlignment="1">
      <alignment horizontal="center" vertical="center"/>
    </xf>
    <xf numFmtId="0" fontId="130" fillId="0" borderId="17" xfId="4156" applyFont="1" applyBorder="1" applyAlignment="1">
      <alignment horizontal="center" vertical="center"/>
    </xf>
    <xf numFmtId="0" fontId="130" fillId="0" borderId="18" xfId="4156" applyFont="1" applyBorder="1" applyAlignment="1">
      <alignment horizontal="center" vertical="center"/>
    </xf>
    <xf numFmtId="0" fontId="130" fillId="0" borderId="19" xfId="4156" applyFont="1" applyBorder="1" applyAlignment="1">
      <alignment horizontal="center" vertical="center"/>
    </xf>
    <xf numFmtId="49" fontId="130" fillId="0" borderId="17" xfId="4156" applyNumberFormat="1" applyFont="1" applyFill="1" applyBorder="1" applyAlignment="1">
      <alignment horizontal="center" vertical="center"/>
    </xf>
    <xf numFmtId="49" fontId="130" fillId="0" borderId="18" xfId="4156" applyNumberFormat="1" applyFont="1" applyFill="1" applyBorder="1" applyAlignment="1">
      <alignment horizontal="center" vertical="center"/>
    </xf>
    <xf numFmtId="49" fontId="130" fillId="0" borderId="19" xfId="4156" applyNumberFormat="1" applyFont="1" applyFill="1" applyBorder="1" applyAlignment="1">
      <alignment horizontal="center" vertical="center"/>
    </xf>
    <xf numFmtId="0" fontId="130" fillId="25" borderId="41" xfId="4156" applyFont="1" applyFill="1" applyBorder="1" applyAlignment="1">
      <alignment horizontal="center" vertical="center"/>
    </xf>
    <xf numFmtId="0" fontId="130" fillId="25" borderId="42" xfId="4156" applyFont="1" applyFill="1" applyBorder="1" applyAlignment="1">
      <alignment horizontal="center" vertical="center"/>
    </xf>
    <xf numFmtId="0" fontId="130" fillId="25" borderId="43" xfId="4156" applyFont="1" applyFill="1" applyBorder="1" applyAlignment="1">
      <alignment horizontal="center" vertical="center"/>
    </xf>
    <xf numFmtId="49" fontId="130" fillId="25" borderId="17" xfId="32014" applyNumberFormat="1" applyFont="1" applyFill="1" applyBorder="1" applyAlignment="1">
      <alignment horizontal="center" vertical="center" wrapText="1"/>
    </xf>
    <xf numFmtId="49" fontId="130" fillId="25" borderId="18" xfId="32014" applyNumberFormat="1" applyFont="1" applyFill="1" applyBorder="1" applyAlignment="1">
      <alignment horizontal="center" vertical="center" wrapText="1"/>
    </xf>
    <xf numFmtId="49" fontId="157" fillId="0" borderId="17" xfId="32014" applyNumberFormat="1" applyFont="1" applyFill="1" applyBorder="1" applyAlignment="1">
      <alignment horizontal="center" vertical="center" wrapText="1"/>
    </xf>
    <xf numFmtId="49" fontId="157" fillId="0" borderId="18" xfId="32014" applyNumberFormat="1" applyFont="1" applyFill="1" applyBorder="1" applyAlignment="1">
      <alignment horizontal="center" vertical="center" wrapText="1"/>
    </xf>
    <xf numFmtId="49" fontId="157" fillId="0" borderId="19" xfId="32014" applyNumberFormat="1" applyFont="1" applyFill="1" applyBorder="1" applyAlignment="1">
      <alignment horizontal="center" vertical="center" wrapText="1"/>
    </xf>
    <xf numFmtId="49" fontId="128" fillId="0" borderId="17" xfId="4156" applyNumberFormat="1" applyFont="1" applyBorder="1" applyAlignment="1">
      <alignment horizontal="center" vertical="center"/>
    </xf>
    <xf numFmtId="49" fontId="128" fillId="0" borderId="18" xfId="4156" applyNumberFormat="1" applyFont="1" applyBorder="1" applyAlignment="1">
      <alignment horizontal="center" vertical="center"/>
    </xf>
    <xf numFmtId="49" fontId="128" fillId="0" borderId="19" xfId="4156" applyNumberFormat="1" applyFont="1" applyBorder="1" applyAlignment="1">
      <alignment horizontal="center" vertical="center"/>
    </xf>
    <xf numFmtId="49" fontId="149" fillId="0" borderId="17" xfId="49732" applyNumberFormat="1" applyFont="1" applyFill="1" applyBorder="1" applyAlignment="1">
      <alignment horizontal="center" vertical="center"/>
    </xf>
    <xf numFmtId="49" fontId="149" fillId="0" borderId="18" xfId="49732" applyNumberFormat="1" applyFont="1" applyFill="1" applyBorder="1" applyAlignment="1">
      <alignment horizontal="center" vertical="center"/>
    </xf>
    <xf numFmtId="49" fontId="149" fillId="0" borderId="19" xfId="49732" applyNumberFormat="1" applyFont="1" applyFill="1" applyBorder="1" applyAlignment="1">
      <alignment horizontal="center" vertical="center"/>
    </xf>
    <xf numFmtId="0" fontId="128" fillId="0" borderId="17" xfId="4156" applyFont="1" applyFill="1" applyBorder="1" applyAlignment="1">
      <alignment horizontal="center" vertical="center"/>
    </xf>
    <xf numFmtId="0" fontId="128" fillId="0" borderId="18" xfId="4156" applyFont="1" applyFill="1" applyBorder="1" applyAlignment="1">
      <alignment horizontal="center" vertical="center"/>
    </xf>
    <xf numFmtId="0" fontId="128" fillId="0" borderId="19" xfId="4156" applyFont="1" applyFill="1" applyBorder="1" applyAlignment="1">
      <alignment horizontal="center" vertical="center"/>
    </xf>
    <xf numFmtId="0" fontId="128" fillId="0" borderId="17" xfId="116" applyFont="1" applyFill="1" applyBorder="1" applyAlignment="1">
      <alignment horizontal="center" vertical="center"/>
    </xf>
    <xf numFmtId="0" fontId="128" fillId="0" borderId="18" xfId="116" applyFont="1" applyFill="1" applyBorder="1" applyAlignment="1">
      <alignment horizontal="center" vertical="center"/>
    </xf>
    <xf numFmtId="0" fontId="128" fillId="0" borderId="19" xfId="116" applyFont="1" applyFill="1" applyBorder="1" applyAlignment="1">
      <alignment horizontal="center" vertical="center"/>
    </xf>
    <xf numFmtId="0" fontId="127" fillId="0" borderId="3" xfId="49724" applyNumberFormat="1" applyFont="1" applyFill="1" applyBorder="1" applyAlignment="1">
      <alignment horizontal="center" vertical="center" wrapText="1"/>
    </xf>
    <xf numFmtId="49" fontId="128" fillId="0" borderId="17" xfId="4156" quotePrefix="1" applyNumberFormat="1" applyFont="1" applyBorder="1" applyAlignment="1">
      <alignment horizontal="center" vertical="center" wrapText="1"/>
    </xf>
    <xf numFmtId="49" fontId="128" fillId="0" borderId="18" xfId="4156" quotePrefix="1" applyNumberFormat="1" applyFont="1" applyBorder="1" applyAlignment="1">
      <alignment horizontal="center" vertical="center" wrapText="1"/>
    </xf>
    <xf numFmtId="49" fontId="128" fillId="0" borderId="19" xfId="4156" quotePrefix="1" applyNumberFormat="1" applyFont="1" applyBorder="1" applyAlignment="1">
      <alignment horizontal="center" vertical="center" wrapText="1"/>
    </xf>
    <xf numFmtId="0" fontId="130" fillId="25" borderId="17" xfId="32014" applyNumberFormat="1" applyFont="1" applyFill="1" applyBorder="1" applyAlignment="1">
      <alignment horizontal="center" vertical="center" wrapText="1"/>
    </xf>
    <xf numFmtId="0" fontId="130" fillId="25" borderId="18" xfId="32014" applyNumberFormat="1" applyFont="1" applyFill="1" applyBorder="1" applyAlignment="1">
      <alignment horizontal="center" vertical="center" wrapText="1"/>
    </xf>
    <xf numFmtId="0" fontId="130" fillId="25" borderId="19" xfId="32014" applyNumberFormat="1" applyFont="1" applyFill="1" applyBorder="1" applyAlignment="1">
      <alignment horizontal="center" vertical="center" wrapText="1"/>
    </xf>
    <xf numFmtId="0" fontId="127" fillId="0" borderId="17" xfId="49724" applyNumberFormat="1" applyFont="1" applyFill="1" applyBorder="1" applyAlignment="1">
      <alignment horizontal="center" vertical="center"/>
    </xf>
    <xf numFmtId="0" fontId="127" fillId="0" borderId="18" xfId="49724" applyNumberFormat="1" applyFont="1" applyFill="1" applyBorder="1" applyAlignment="1">
      <alignment horizontal="center" vertical="center"/>
    </xf>
    <xf numFmtId="0" fontId="127" fillId="0" borderId="19" xfId="49724" applyNumberFormat="1" applyFont="1" applyFill="1" applyBorder="1" applyAlignment="1">
      <alignment horizontal="center" vertical="center"/>
    </xf>
    <xf numFmtId="0" fontId="128" fillId="0" borderId="17" xfId="4156" quotePrefix="1" applyFont="1" applyFill="1" applyBorder="1" applyAlignment="1">
      <alignment horizontal="center" vertical="center"/>
    </xf>
    <xf numFmtId="0" fontId="128" fillId="0" borderId="18" xfId="4156" quotePrefix="1" applyFont="1" applyFill="1" applyBorder="1" applyAlignment="1">
      <alignment horizontal="center" vertical="center"/>
    </xf>
    <xf numFmtId="0" fontId="128" fillId="0" borderId="19" xfId="4156" quotePrefix="1" applyFont="1" applyFill="1" applyBorder="1" applyAlignment="1">
      <alignment horizontal="center" vertical="center"/>
    </xf>
    <xf numFmtId="0" fontId="128" fillId="0" borderId="17" xfId="4156" quotePrefix="1" applyFont="1" applyBorder="1" applyAlignment="1">
      <alignment horizontal="center" vertical="center"/>
    </xf>
    <xf numFmtId="0" fontId="128" fillId="0" borderId="18" xfId="4156" quotePrefix="1" applyFont="1" applyBorder="1" applyAlignment="1">
      <alignment horizontal="center" vertical="center"/>
    </xf>
    <xf numFmtId="0" fontId="128" fillId="0" borderId="19" xfId="4156" quotePrefix="1" applyFont="1" applyBorder="1" applyAlignment="1">
      <alignment horizontal="center" vertical="center"/>
    </xf>
    <xf numFmtId="49" fontId="128" fillId="0" borderId="17" xfId="4156" applyNumberFormat="1" applyFont="1" applyBorder="1" applyAlignment="1">
      <alignment horizontal="center" vertical="center" wrapText="1"/>
    </xf>
    <xf numFmtId="49" fontId="128" fillId="0" borderId="18" xfId="4156" applyNumberFormat="1" applyFont="1" applyBorder="1" applyAlignment="1">
      <alignment horizontal="center" vertical="center" wrapText="1"/>
    </xf>
    <xf numFmtId="49" fontId="128" fillId="0" borderId="19" xfId="4156" applyNumberFormat="1" applyFont="1" applyBorder="1" applyAlignment="1">
      <alignment horizontal="center" vertical="center" wrapText="1"/>
    </xf>
    <xf numFmtId="0" fontId="130" fillId="39" borderId="17" xfId="32014" applyNumberFormat="1" applyFont="1" applyFill="1" applyBorder="1" applyAlignment="1">
      <alignment horizontal="center" vertical="center" wrapText="1"/>
    </xf>
    <xf numFmtId="0" fontId="130" fillId="39" borderId="18" xfId="32014" applyNumberFormat="1" applyFont="1" applyFill="1" applyBorder="1" applyAlignment="1">
      <alignment horizontal="center" vertical="center" wrapText="1"/>
    </xf>
    <xf numFmtId="0" fontId="130" fillId="39" borderId="19" xfId="32014" applyNumberFormat="1" applyFont="1" applyFill="1" applyBorder="1" applyAlignment="1">
      <alignment horizontal="center" vertical="center" wrapText="1"/>
    </xf>
    <xf numFmtId="49" fontId="130" fillId="0" borderId="17" xfId="4156" applyNumberFormat="1" applyFont="1" applyBorder="1" applyAlignment="1">
      <alignment horizontal="center" vertical="center"/>
    </xf>
    <xf numFmtId="49" fontId="130" fillId="0" borderId="18" xfId="4156" applyNumberFormat="1" applyFont="1" applyBorder="1" applyAlignment="1">
      <alignment horizontal="center" vertical="center"/>
    </xf>
    <xf numFmtId="49" fontId="130" fillId="0" borderId="19" xfId="4156" applyNumberFormat="1" applyFont="1" applyBorder="1" applyAlignment="1">
      <alignment horizontal="center" vertical="center"/>
    </xf>
    <xf numFmtId="0" fontId="131" fillId="33" borderId="3" xfId="4156" applyFont="1" applyFill="1" applyBorder="1" applyAlignment="1">
      <alignment horizontal="center" vertical="center"/>
    </xf>
    <xf numFmtId="0" fontId="127" fillId="0" borderId="17" xfId="32014" applyFont="1" applyFill="1" applyBorder="1" applyAlignment="1">
      <alignment horizontal="center" vertical="center" wrapText="1"/>
    </xf>
    <xf numFmtId="0" fontId="127" fillId="0" borderId="18" xfId="32014" applyFont="1" applyFill="1" applyBorder="1" applyAlignment="1">
      <alignment horizontal="center" vertical="center" wrapText="1"/>
    </xf>
    <xf numFmtId="0" fontId="127" fillId="0" borderId="19" xfId="32014" applyFont="1" applyFill="1" applyBorder="1" applyAlignment="1">
      <alignment horizontal="center" vertical="center" wrapText="1"/>
    </xf>
    <xf numFmtId="41" fontId="158" fillId="0" borderId="3" xfId="6962" applyFont="1" applyFill="1" applyBorder="1" applyAlignment="1">
      <alignment horizontal="center" vertical="center" wrapText="1"/>
    </xf>
    <xf numFmtId="0" fontId="128" fillId="0" borderId="25" xfId="116" applyFont="1" applyFill="1" applyBorder="1" applyAlignment="1">
      <alignment horizontal="center" vertical="center" wrapText="1"/>
    </xf>
    <xf numFmtId="0" fontId="128" fillId="0" borderId="26" xfId="116" applyFont="1" applyFill="1" applyBorder="1" applyAlignment="1">
      <alignment horizontal="center" vertical="center" wrapText="1"/>
    </xf>
    <xf numFmtId="0" fontId="128" fillId="0" borderId="27" xfId="116" applyFont="1" applyFill="1" applyBorder="1" applyAlignment="1">
      <alignment horizontal="center" vertical="center" wrapText="1"/>
    </xf>
    <xf numFmtId="0" fontId="128" fillId="0" borderId="20" xfId="116" applyFont="1" applyFill="1" applyBorder="1" applyAlignment="1">
      <alignment horizontal="center" vertical="center" wrapText="1"/>
    </xf>
    <xf numFmtId="0" fontId="128" fillId="0" borderId="0" xfId="116" applyFont="1" applyFill="1" applyBorder="1" applyAlignment="1">
      <alignment horizontal="center" vertical="center" wrapText="1"/>
    </xf>
    <xf numFmtId="0" fontId="128" fillId="0" borderId="21" xfId="116" applyFont="1" applyFill="1" applyBorder="1" applyAlignment="1">
      <alignment horizontal="center" vertical="center" wrapText="1"/>
    </xf>
    <xf numFmtId="0" fontId="128" fillId="0" borderId="22" xfId="116" applyFont="1" applyFill="1" applyBorder="1" applyAlignment="1">
      <alignment horizontal="center" vertical="center" wrapText="1"/>
    </xf>
    <xf numFmtId="0" fontId="128" fillId="0" borderId="23" xfId="116" applyFont="1" applyFill="1" applyBorder="1" applyAlignment="1">
      <alignment horizontal="center" vertical="center" wrapText="1"/>
    </xf>
    <xf numFmtId="0" fontId="128" fillId="0" borderId="24" xfId="116" applyFont="1" applyFill="1" applyBorder="1" applyAlignment="1">
      <alignment horizontal="center" vertical="center" wrapText="1"/>
    </xf>
    <xf numFmtId="0" fontId="147" fillId="37" borderId="17" xfId="49727" applyFont="1" applyFill="1" applyBorder="1" applyAlignment="1">
      <alignment horizontal="center" vertical="center"/>
    </xf>
    <xf numFmtId="0" fontId="147" fillId="37" borderId="18" xfId="49727" applyFont="1" applyFill="1" applyBorder="1" applyAlignment="1">
      <alignment horizontal="center" vertical="center"/>
    </xf>
    <xf numFmtId="0" fontId="147" fillId="37" borderId="19" xfId="49727" applyFont="1" applyFill="1" applyBorder="1" applyAlignment="1">
      <alignment horizontal="center" vertical="center"/>
    </xf>
    <xf numFmtId="0" fontId="145" fillId="0" borderId="17" xfId="32014" applyFont="1" applyFill="1" applyBorder="1" applyAlignment="1">
      <alignment horizontal="center" vertical="center" wrapText="1"/>
    </xf>
    <xf numFmtId="0" fontId="128" fillId="0" borderId="18" xfId="32014" applyFont="1" applyFill="1" applyBorder="1" applyAlignment="1">
      <alignment horizontal="center" vertical="center" wrapText="1"/>
    </xf>
    <xf numFmtId="17" fontId="127" fillId="0" borderId="25" xfId="32014" applyNumberFormat="1" applyFont="1" applyFill="1" applyBorder="1" applyAlignment="1">
      <alignment horizontal="center" vertical="center" wrapText="1"/>
    </xf>
    <xf numFmtId="17" fontId="127" fillId="0" borderId="26" xfId="32014" applyNumberFormat="1" applyFont="1" applyFill="1" applyBorder="1" applyAlignment="1">
      <alignment horizontal="center" vertical="center" wrapText="1"/>
    </xf>
    <xf numFmtId="17" fontId="127" fillId="0" borderId="27" xfId="32014" applyNumberFormat="1" applyFont="1" applyFill="1" applyBorder="1" applyAlignment="1">
      <alignment horizontal="center" vertical="center" wrapText="1"/>
    </xf>
    <xf numFmtId="17" fontId="127" fillId="0" borderId="20" xfId="32014" applyNumberFormat="1" applyFont="1" applyFill="1" applyBorder="1" applyAlignment="1">
      <alignment horizontal="center" vertical="center" wrapText="1"/>
    </xf>
    <xf numFmtId="17" fontId="127" fillId="0" borderId="0" xfId="32014" applyNumberFormat="1" applyFont="1" applyFill="1" applyBorder="1" applyAlignment="1">
      <alignment horizontal="center" vertical="center" wrapText="1"/>
    </xf>
    <xf numFmtId="17" fontId="127" fillId="0" borderId="21" xfId="32014" applyNumberFormat="1" applyFont="1" applyFill="1" applyBorder="1" applyAlignment="1">
      <alignment horizontal="center" vertical="center" wrapText="1"/>
    </xf>
    <xf numFmtId="0" fontId="127" fillId="25" borderId="17" xfId="49727" applyFont="1" applyFill="1" applyBorder="1" applyAlignment="1">
      <alignment horizontal="center" vertical="center" wrapText="1"/>
    </xf>
    <xf numFmtId="0" fontId="127" fillId="25" borderId="18" xfId="49727" applyFont="1" applyFill="1" applyBorder="1" applyAlignment="1">
      <alignment horizontal="center" vertical="center" wrapText="1"/>
    </xf>
    <xf numFmtId="14" fontId="154" fillId="0" borderId="17" xfId="49719" quotePrefix="1" applyNumberFormat="1" applyFont="1" applyFill="1" applyBorder="1" applyAlignment="1">
      <alignment horizontal="center" vertical="center"/>
    </xf>
    <xf numFmtId="14" fontId="130" fillId="0" borderId="18" xfId="49719" quotePrefix="1" applyNumberFormat="1" applyFont="1" applyFill="1" applyBorder="1" applyAlignment="1">
      <alignment horizontal="center" vertical="center"/>
    </xf>
    <xf numFmtId="0" fontId="131" fillId="33" borderId="35" xfId="49738" applyFont="1" applyFill="1" applyBorder="1" applyAlignment="1">
      <alignment horizontal="center" vertical="center"/>
    </xf>
    <xf numFmtId="0" fontId="131" fillId="33" borderId="2" xfId="49738" applyFont="1" applyFill="1" applyBorder="1" applyAlignment="1">
      <alignment horizontal="center" vertical="center"/>
    </xf>
    <xf numFmtId="0" fontId="147" fillId="0" borderId="17" xfId="49727" applyFont="1" applyBorder="1" applyAlignment="1">
      <alignment horizontal="center" vertical="center" wrapText="1"/>
    </xf>
    <xf numFmtId="0" fontId="147" fillId="0" borderId="19" xfId="49727" applyFont="1" applyBorder="1" applyAlignment="1">
      <alignment horizontal="center" vertical="center" wrapText="1"/>
    </xf>
    <xf numFmtId="0" fontId="149" fillId="0" borderId="17" xfId="49732" applyFont="1" applyFill="1" applyBorder="1" applyAlignment="1">
      <alignment horizontal="center" vertical="center"/>
    </xf>
    <xf numFmtId="0" fontId="149" fillId="0" borderId="18" xfId="49732" applyFont="1" applyFill="1" applyBorder="1" applyAlignment="1">
      <alignment horizontal="center" vertical="center"/>
    </xf>
    <xf numFmtId="0" fontId="149" fillId="0" borderId="19" xfId="49732" applyFont="1" applyFill="1" applyBorder="1" applyAlignment="1">
      <alignment horizontal="center" vertical="center"/>
    </xf>
    <xf numFmtId="0" fontId="149" fillId="0" borderId="25" xfId="49732" applyFont="1" applyFill="1" applyBorder="1" applyAlignment="1">
      <alignment horizontal="center" vertical="center" wrapText="1"/>
    </xf>
    <xf numFmtId="0" fontId="149" fillId="0" borderId="26" xfId="49732" applyFont="1" applyFill="1" applyBorder="1" applyAlignment="1">
      <alignment horizontal="center" vertical="center" wrapText="1"/>
    </xf>
    <xf numFmtId="0" fontId="149" fillId="0" borderId="27" xfId="49732" applyFont="1" applyFill="1" applyBorder="1" applyAlignment="1">
      <alignment horizontal="center" vertical="center" wrapText="1"/>
    </xf>
    <xf numFmtId="0" fontId="149" fillId="0" borderId="20" xfId="49732" applyFont="1" applyFill="1" applyBorder="1" applyAlignment="1">
      <alignment horizontal="center" vertical="center" wrapText="1"/>
    </xf>
    <xf numFmtId="0" fontId="149" fillId="0" borderId="0" xfId="49732" applyFont="1" applyFill="1" applyAlignment="1">
      <alignment horizontal="center" vertical="center" wrapText="1"/>
    </xf>
    <xf numFmtId="0" fontId="149" fillId="0" borderId="21" xfId="49732" applyFont="1" applyFill="1" applyBorder="1" applyAlignment="1">
      <alignment horizontal="center" vertical="center" wrapText="1"/>
    </xf>
    <xf numFmtId="0" fontId="149" fillId="0" borderId="22" xfId="49732" applyFont="1" applyFill="1" applyBorder="1" applyAlignment="1">
      <alignment horizontal="center" vertical="center" wrapText="1"/>
    </xf>
    <xf numFmtId="0" fontId="149" fillId="0" borderId="23" xfId="49732" applyFont="1" applyFill="1" applyBorder="1" applyAlignment="1">
      <alignment horizontal="center" vertical="center" wrapText="1"/>
    </xf>
    <xf numFmtId="0" fontId="149" fillId="0" borderId="24" xfId="49732" applyFont="1" applyFill="1" applyBorder="1" applyAlignment="1">
      <alignment horizontal="center" vertical="center" wrapText="1"/>
    </xf>
    <xf numFmtId="0" fontId="149" fillId="0" borderId="17" xfId="49727" applyFont="1" applyBorder="1" applyAlignment="1">
      <alignment horizontal="center" vertical="center" wrapText="1"/>
    </xf>
    <xf numFmtId="0" fontId="149" fillId="0" borderId="18" xfId="49727" applyFont="1" applyBorder="1" applyAlignment="1">
      <alignment horizontal="center" vertical="center" wrapText="1"/>
    </xf>
    <xf numFmtId="0" fontId="149" fillId="0" borderId="19" xfId="49727" applyFont="1" applyBorder="1" applyAlignment="1">
      <alignment horizontal="center" vertical="center" wrapText="1"/>
    </xf>
    <xf numFmtId="0" fontId="127" fillId="0" borderId="17" xfId="0" applyFont="1" applyBorder="1" applyAlignment="1">
      <alignment horizontal="center" vertical="center"/>
    </xf>
    <xf numFmtId="0" fontId="127" fillId="0" borderId="18" xfId="0" applyFont="1" applyBorder="1" applyAlignment="1">
      <alignment horizontal="center" vertical="center"/>
    </xf>
    <xf numFmtId="0" fontId="127" fillId="0" borderId="19" xfId="0" applyFont="1" applyBorder="1" applyAlignment="1">
      <alignment horizontal="center" vertical="center"/>
    </xf>
    <xf numFmtId="0" fontId="128" fillId="0" borderId="17" xfId="32014" applyFont="1" applyFill="1" applyBorder="1" applyAlignment="1">
      <alignment horizontal="center" vertical="center" wrapText="1"/>
    </xf>
    <xf numFmtId="0" fontId="128" fillId="0" borderId="19" xfId="32014" applyFont="1" applyFill="1" applyBorder="1" applyAlignment="1">
      <alignment horizontal="center" vertical="center" wrapText="1"/>
    </xf>
    <xf numFmtId="14" fontId="130" fillId="0" borderId="17" xfId="49719" quotePrefix="1" applyNumberFormat="1" applyFont="1" applyFill="1" applyBorder="1" applyAlignment="1">
      <alignment horizontal="center" vertical="center"/>
    </xf>
    <xf numFmtId="14" fontId="130" fillId="0" borderId="19" xfId="49719" quotePrefix="1" applyNumberFormat="1" applyFont="1" applyFill="1" applyBorder="1" applyAlignment="1">
      <alignment horizontal="center" vertical="center"/>
    </xf>
    <xf numFmtId="0" fontId="126" fillId="32" borderId="35" xfId="116" applyFont="1" applyFill="1" applyBorder="1" applyAlignment="1">
      <alignment horizontal="center" vertical="center"/>
    </xf>
    <xf numFmtId="0" fontId="126" fillId="32" borderId="2" xfId="116" applyFont="1" applyFill="1" applyBorder="1" applyAlignment="1">
      <alignment horizontal="center" vertical="center"/>
    </xf>
    <xf numFmtId="0" fontId="126" fillId="32" borderId="36" xfId="116" applyFont="1" applyFill="1" applyBorder="1" applyAlignment="1">
      <alignment horizontal="center" vertical="center"/>
    </xf>
    <xf numFmtId="0" fontId="149" fillId="0" borderId="27" xfId="49727" applyFont="1" applyBorder="1" applyAlignment="1">
      <alignment horizontal="center" vertical="center" wrapText="1"/>
    </xf>
    <xf numFmtId="0" fontId="149" fillId="0" borderId="21" xfId="49727" applyFont="1" applyBorder="1" applyAlignment="1">
      <alignment horizontal="center" vertical="center" wrapText="1"/>
    </xf>
    <xf numFmtId="0" fontId="149" fillId="0" borderId="24" xfId="49727" applyFont="1" applyBorder="1" applyAlignment="1">
      <alignment horizontal="center" vertical="center" wrapText="1"/>
    </xf>
    <xf numFmtId="49" fontId="141" fillId="39" borderId="17" xfId="32014" applyNumberFormat="1" applyFont="1" applyFill="1" applyBorder="1" applyAlignment="1">
      <alignment horizontal="center" vertical="center" wrapText="1"/>
    </xf>
    <xf numFmtId="49" fontId="141" fillId="39" borderId="18" xfId="32014" applyNumberFormat="1" applyFont="1" applyFill="1" applyBorder="1" applyAlignment="1">
      <alignment horizontal="center" vertical="center" wrapText="1"/>
    </xf>
    <xf numFmtId="49" fontId="141" fillId="39" borderId="19" xfId="32014" applyNumberFormat="1" applyFont="1" applyFill="1" applyBorder="1" applyAlignment="1">
      <alignment horizontal="center" vertical="center" wrapText="1"/>
    </xf>
    <xf numFmtId="0" fontId="128" fillId="0" borderId="17" xfId="116" applyNumberFormat="1" applyFont="1" applyFill="1" applyBorder="1" applyAlignment="1">
      <alignment horizontal="center" vertical="center" shrinkToFit="1"/>
    </xf>
    <xf numFmtId="0" fontId="128" fillId="0" borderId="18" xfId="116" applyNumberFormat="1" applyFont="1" applyFill="1" applyBorder="1" applyAlignment="1">
      <alignment horizontal="center" vertical="center" shrinkToFit="1"/>
    </xf>
    <xf numFmtId="0" fontId="128" fillId="0" borderId="19" xfId="116" applyNumberFormat="1" applyFont="1" applyFill="1" applyBorder="1" applyAlignment="1">
      <alignment horizontal="center" vertical="center" shrinkToFit="1"/>
    </xf>
    <xf numFmtId="0" fontId="130" fillId="0" borderId="17" xfId="4156" applyFont="1" applyFill="1" applyBorder="1" applyAlignment="1">
      <alignment horizontal="center" vertical="center"/>
    </xf>
    <xf numFmtId="0" fontId="130" fillId="0" borderId="18" xfId="4156" applyFont="1" applyFill="1" applyBorder="1" applyAlignment="1">
      <alignment horizontal="center" vertical="center"/>
    </xf>
    <xf numFmtId="0" fontId="130" fillId="0" borderId="19" xfId="4156" applyFont="1" applyFill="1" applyBorder="1" applyAlignment="1">
      <alignment horizontal="center" vertical="center"/>
    </xf>
    <xf numFmtId="0" fontId="130" fillId="0" borderId="17" xfId="4156" applyFont="1" applyFill="1" applyBorder="1" applyAlignment="1">
      <alignment horizontal="center" vertical="center" wrapText="1"/>
    </xf>
    <xf numFmtId="0" fontId="130" fillId="0" borderId="18" xfId="4156" applyFont="1" applyFill="1" applyBorder="1" applyAlignment="1">
      <alignment horizontal="center" vertical="center" wrapText="1"/>
    </xf>
    <xf numFmtId="0" fontId="130" fillId="0" borderId="19" xfId="4156" applyFont="1" applyFill="1" applyBorder="1" applyAlignment="1">
      <alignment horizontal="center" vertical="center" wrapText="1"/>
    </xf>
    <xf numFmtId="0" fontId="127" fillId="0" borderId="17" xfId="0" applyNumberFormat="1" applyFont="1" applyFill="1" applyBorder="1" applyAlignment="1">
      <alignment horizontal="center" vertical="center" wrapText="1"/>
    </xf>
    <xf numFmtId="0" fontId="127" fillId="0" borderId="18" xfId="0" applyNumberFormat="1" applyFont="1" applyFill="1" applyBorder="1" applyAlignment="1">
      <alignment horizontal="center" vertical="center" wrapText="1"/>
    </xf>
    <xf numFmtId="0" fontId="127" fillId="0" borderId="19" xfId="0" applyNumberFormat="1" applyFont="1" applyFill="1" applyBorder="1" applyAlignment="1">
      <alignment horizontal="center" vertical="center" wrapText="1"/>
    </xf>
    <xf numFmtId="41" fontId="130" fillId="0" borderId="25" xfId="6962" applyFont="1" applyFill="1" applyBorder="1" applyAlignment="1">
      <alignment horizontal="center" vertical="center"/>
    </xf>
    <xf numFmtId="41" fontId="130" fillId="0" borderId="26" xfId="6962" applyFont="1" applyFill="1" applyBorder="1" applyAlignment="1">
      <alignment horizontal="center" vertical="center"/>
    </xf>
    <xf numFmtId="41" fontId="130" fillId="0" borderId="27" xfId="6962" applyFont="1" applyFill="1" applyBorder="1" applyAlignment="1">
      <alignment horizontal="center" vertical="center"/>
    </xf>
    <xf numFmtId="41" fontId="130" fillId="0" borderId="20" xfId="6962" applyFont="1" applyFill="1" applyBorder="1" applyAlignment="1">
      <alignment horizontal="center" vertical="center"/>
    </xf>
    <xf numFmtId="41" fontId="130" fillId="0" borderId="0" xfId="6962" applyFont="1" applyFill="1" applyBorder="1" applyAlignment="1">
      <alignment horizontal="center" vertical="center"/>
    </xf>
    <xf numFmtId="41" fontId="130" fillId="0" borderId="21" xfId="6962" applyFont="1" applyFill="1" applyBorder="1" applyAlignment="1">
      <alignment horizontal="center" vertical="center"/>
    </xf>
    <xf numFmtId="41" fontId="130" fillId="0" borderId="22" xfId="6962" applyFont="1" applyFill="1" applyBorder="1" applyAlignment="1">
      <alignment horizontal="center" vertical="center"/>
    </xf>
    <xf numFmtId="41" fontId="130" fillId="0" borderId="23" xfId="6962" applyFont="1" applyFill="1" applyBorder="1" applyAlignment="1">
      <alignment horizontal="center" vertical="center"/>
    </xf>
    <xf numFmtId="41" fontId="130" fillId="0" borderId="24" xfId="6962" applyFont="1" applyFill="1" applyBorder="1" applyAlignment="1">
      <alignment horizontal="center" vertical="center"/>
    </xf>
    <xf numFmtId="41" fontId="158" fillId="0" borderId="3" xfId="6962" applyFont="1" applyFill="1" applyBorder="1" applyAlignment="1">
      <alignment horizontal="center" vertical="center"/>
    </xf>
    <xf numFmtId="0" fontId="128" fillId="39" borderId="17" xfId="116" applyNumberFormat="1" applyFont="1" applyFill="1" applyBorder="1" applyAlignment="1">
      <alignment horizontal="center" vertical="center" wrapText="1"/>
    </xf>
    <xf numFmtId="0" fontId="128" fillId="39" borderId="18" xfId="116" applyNumberFormat="1" applyFont="1" applyFill="1" applyBorder="1" applyAlignment="1">
      <alignment horizontal="center" vertical="center" wrapText="1"/>
    </xf>
    <xf numFmtId="0" fontId="128" fillId="39" borderId="19" xfId="116" applyNumberFormat="1" applyFont="1" applyFill="1" applyBorder="1" applyAlignment="1">
      <alignment horizontal="center" vertical="center" wrapText="1"/>
    </xf>
    <xf numFmtId="0" fontId="130" fillId="0" borderId="17" xfId="32014" applyFont="1" applyFill="1" applyBorder="1" applyAlignment="1">
      <alignment horizontal="center" vertical="center" wrapText="1"/>
    </xf>
    <xf numFmtId="0" fontId="130" fillId="0" borderId="19" xfId="32014" applyFont="1" applyFill="1" applyBorder="1" applyAlignment="1">
      <alignment horizontal="center" vertical="center" wrapText="1"/>
    </xf>
    <xf numFmtId="14" fontId="128" fillId="25" borderId="17" xfId="49719" quotePrefix="1" applyNumberFormat="1" applyFont="1" applyFill="1" applyBorder="1" applyAlignment="1">
      <alignment horizontal="center" vertical="center"/>
    </xf>
    <xf numFmtId="14" fontId="128" fillId="25" borderId="18" xfId="49719" quotePrefix="1" applyNumberFormat="1" applyFont="1" applyFill="1" applyBorder="1" applyAlignment="1">
      <alignment horizontal="center" vertical="center"/>
    </xf>
    <xf numFmtId="14" fontId="128" fillId="25" borderId="19" xfId="49719" quotePrefix="1" applyNumberFormat="1" applyFont="1" applyFill="1" applyBorder="1" applyAlignment="1">
      <alignment horizontal="center" vertical="center"/>
    </xf>
    <xf numFmtId="14" fontId="127" fillId="0" borderId="17" xfId="0" quotePrefix="1" applyNumberFormat="1" applyFont="1" applyBorder="1" applyAlignment="1">
      <alignment horizontal="center" vertical="center"/>
    </xf>
    <xf numFmtId="14" fontId="127" fillId="0" borderId="18" xfId="0" quotePrefix="1" applyNumberFormat="1" applyFont="1" applyBorder="1" applyAlignment="1">
      <alignment horizontal="center" vertical="center"/>
    </xf>
    <xf numFmtId="14" fontId="127" fillId="0" borderId="19" xfId="0" quotePrefix="1" applyNumberFormat="1" applyFont="1" applyBorder="1" applyAlignment="1">
      <alignment horizontal="center" vertical="center"/>
    </xf>
    <xf numFmtId="0" fontId="127" fillId="39" borderId="17" xfId="49724" applyNumberFormat="1" applyFont="1" applyFill="1" applyBorder="1" applyAlignment="1">
      <alignment horizontal="center" vertical="center"/>
    </xf>
    <xf numFmtId="0" fontId="127" fillId="39" borderId="18" xfId="49724" applyNumberFormat="1" applyFont="1" applyFill="1" applyBorder="1" applyAlignment="1">
      <alignment horizontal="center" vertical="center"/>
    </xf>
    <xf numFmtId="0" fontId="127" fillId="39" borderId="19" xfId="49724" applyNumberFormat="1" applyFont="1" applyFill="1" applyBorder="1" applyAlignment="1">
      <alignment horizontal="center" vertical="center"/>
    </xf>
    <xf numFmtId="0" fontId="128" fillId="0" borderId="17" xfId="4156" quotePrefix="1" applyNumberFormat="1" applyFont="1" applyBorder="1" applyAlignment="1">
      <alignment horizontal="center" vertical="center" wrapText="1"/>
    </xf>
    <xf numFmtId="0" fontId="128" fillId="0" borderId="18" xfId="4156" quotePrefix="1" applyNumberFormat="1" applyFont="1" applyBorder="1" applyAlignment="1">
      <alignment horizontal="center" vertical="center" wrapText="1"/>
    </xf>
    <xf numFmtId="0" fontId="128" fillId="0" borderId="19" xfId="4156" quotePrefix="1" applyNumberFormat="1" applyFont="1" applyBorder="1" applyAlignment="1">
      <alignment horizontal="center" vertical="center" wrapText="1"/>
    </xf>
    <xf numFmtId="49" fontId="145" fillId="0" borderId="17" xfId="4156" applyNumberFormat="1" applyFont="1" applyBorder="1" applyAlignment="1">
      <alignment horizontal="center" vertical="center"/>
    </xf>
    <xf numFmtId="0" fontId="43" fillId="0" borderId="3" xfId="4156" applyFont="1" applyBorder="1" applyAlignment="1">
      <alignment horizontal="center" vertical="center"/>
    </xf>
    <xf numFmtId="49" fontId="130" fillId="39" borderId="17" xfId="4156" applyNumberFormat="1" applyFont="1" applyFill="1" applyBorder="1" applyAlignment="1">
      <alignment horizontal="center" vertical="center"/>
    </xf>
    <xf numFmtId="49" fontId="130" fillId="39" borderId="18" xfId="4156" applyNumberFormat="1" applyFont="1" applyFill="1" applyBorder="1" applyAlignment="1">
      <alignment horizontal="center" vertical="center"/>
    </xf>
    <xf numFmtId="49" fontId="130" fillId="39" borderId="19" xfId="4156" applyNumberFormat="1" applyFont="1" applyFill="1" applyBorder="1" applyAlignment="1">
      <alignment horizontal="center" vertical="center"/>
    </xf>
    <xf numFmtId="0" fontId="128" fillId="25" borderId="17" xfId="116" applyFont="1" applyFill="1" applyBorder="1" applyAlignment="1">
      <alignment horizontal="center" vertical="center"/>
    </xf>
    <xf numFmtId="0" fontId="128" fillId="25" borderId="19" xfId="116" applyFont="1" applyFill="1" applyBorder="1" applyAlignment="1">
      <alignment horizontal="center" vertical="center"/>
    </xf>
    <xf numFmtId="0" fontId="144" fillId="0" borderId="17" xfId="2500" applyFont="1" applyBorder="1" applyAlignment="1">
      <alignment horizontal="center" vertical="center" wrapText="1"/>
    </xf>
    <xf numFmtId="0" fontId="144" fillId="0" borderId="18" xfId="2500" applyFont="1" applyBorder="1" applyAlignment="1">
      <alignment horizontal="center" vertical="center" wrapText="1"/>
    </xf>
    <xf numFmtId="0" fontId="144" fillId="0" borderId="19" xfId="2500" applyFont="1" applyBorder="1" applyAlignment="1">
      <alignment horizontal="center" vertical="center" wrapText="1"/>
    </xf>
    <xf numFmtId="0" fontId="129" fillId="0" borderId="25" xfId="2500" applyFont="1" applyFill="1" applyBorder="1" applyAlignment="1">
      <alignment horizontal="center" vertical="center" wrapText="1"/>
    </xf>
    <xf numFmtId="0" fontId="129" fillId="0" borderId="26" xfId="2500" applyFont="1" applyFill="1" applyBorder="1" applyAlignment="1">
      <alignment horizontal="center" vertical="center" wrapText="1"/>
    </xf>
    <xf numFmtId="0" fontId="129" fillId="0" borderId="27" xfId="2500" applyFont="1" applyFill="1" applyBorder="1" applyAlignment="1">
      <alignment horizontal="center" vertical="center" wrapText="1"/>
    </xf>
    <xf numFmtId="0" fontId="129" fillId="0" borderId="20" xfId="2500" applyFont="1" applyFill="1" applyBorder="1" applyAlignment="1">
      <alignment horizontal="center" vertical="center" wrapText="1"/>
    </xf>
    <xf numFmtId="0" fontId="129" fillId="0" borderId="0" xfId="2500" applyFont="1" applyFill="1" applyBorder="1" applyAlignment="1">
      <alignment horizontal="center" vertical="center" wrapText="1"/>
    </xf>
    <xf numFmtId="0" fontId="129" fillId="0" borderId="21" xfId="2500" applyFont="1" applyFill="1" applyBorder="1" applyAlignment="1">
      <alignment horizontal="center" vertical="center" wrapText="1"/>
    </xf>
    <xf numFmtId="0" fontId="129" fillId="0" borderId="22" xfId="2500" applyFont="1" applyFill="1" applyBorder="1" applyAlignment="1">
      <alignment horizontal="center" vertical="center" wrapText="1"/>
    </xf>
    <xf numFmtId="0" fontId="129" fillId="0" borderId="23" xfId="2500" applyFont="1" applyFill="1" applyBorder="1" applyAlignment="1">
      <alignment horizontal="center" vertical="center" wrapText="1"/>
    </xf>
    <xf numFmtId="0" fontId="129" fillId="0" borderId="24" xfId="2500" applyFont="1" applyFill="1" applyBorder="1" applyAlignment="1">
      <alignment horizontal="center" vertical="center" wrapText="1"/>
    </xf>
    <xf numFmtId="0" fontId="127" fillId="0" borderId="17" xfId="32014" applyFont="1" applyFill="1" applyBorder="1" applyAlignment="1">
      <alignment horizontal="center" vertical="center"/>
    </xf>
    <xf numFmtId="0" fontId="127" fillId="0" borderId="18" xfId="32014" applyFont="1" applyFill="1" applyBorder="1" applyAlignment="1">
      <alignment horizontal="center" vertical="center"/>
    </xf>
    <xf numFmtId="0" fontId="127" fillId="0" borderId="19" xfId="32014" applyFont="1" applyFill="1" applyBorder="1" applyAlignment="1">
      <alignment horizontal="center" vertical="center"/>
    </xf>
    <xf numFmtId="14" fontId="130" fillId="25" borderId="17" xfId="32014" quotePrefix="1" applyNumberFormat="1" applyFont="1" applyFill="1" applyBorder="1" applyAlignment="1">
      <alignment horizontal="center" vertical="center"/>
    </xf>
    <xf numFmtId="14" fontId="130" fillId="25" borderId="18" xfId="32014" quotePrefix="1" applyNumberFormat="1" applyFont="1" applyFill="1" applyBorder="1" applyAlignment="1">
      <alignment horizontal="center" vertical="center"/>
    </xf>
    <xf numFmtId="14" fontId="130" fillId="25" borderId="19" xfId="32014" quotePrefix="1" applyNumberFormat="1" applyFont="1" applyFill="1" applyBorder="1" applyAlignment="1">
      <alignment horizontal="center" vertical="center"/>
    </xf>
    <xf numFmtId="41" fontId="104" fillId="33" borderId="3" xfId="49719" applyFont="1" applyFill="1" applyBorder="1" applyAlignment="1">
      <alignment horizontal="center" vertical="center"/>
    </xf>
    <xf numFmtId="49" fontId="130" fillId="25" borderId="19" xfId="32014" applyNumberFormat="1" applyFont="1" applyFill="1" applyBorder="1" applyAlignment="1">
      <alignment horizontal="center" vertical="center" wrapText="1"/>
    </xf>
    <xf numFmtId="14" fontId="128" fillId="0" borderId="17" xfId="49719" quotePrefix="1" applyNumberFormat="1" applyFont="1" applyFill="1" applyBorder="1" applyAlignment="1">
      <alignment horizontal="center" vertical="center" wrapText="1"/>
    </xf>
    <xf numFmtId="14" fontId="128" fillId="0" borderId="18" xfId="49719" quotePrefix="1" applyNumberFormat="1" applyFont="1" applyFill="1" applyBorder="1" applyAlignment="1">
      <alignment horizontal="center" vertical="center" wrapText="1"/>
    </xf>
    <xf numFmtId="14" fontId="128" fillId="0" borderId="19" xfId="49719" quotePrefix="1" applyNumberFormat="1" applyFont="1" applyFill="1" applyBorder="1" applyAlignment="1">
      <alignment horizontal="center" vertical="center" wrapText="1"/>
    </xf>
    <xf numFmtId="0" fontId="151" fillId="0" borderId="17" xfId="32014" applyFont="1" applyFill="1" applyBorder="1" applyAlignment="1">
      <alignment horizontal="center" vertical="center" wrapText="1"/>
    </xf>
    <xf numFmtId="0" fontId="151" fillId="0" borderId="18" xfId="32014" applyFont="1" applyFill="1" applyBorder="1" applyAlignment="1">
      <alignment horizontal="center" vertical="center" wrapText="1"/>
    </xf>
    <xf numFmtId="0" fontId="151" fillId="0" borderId="19" xfId="32014" applyFont="1" applyFill="1" applyBorder="1" applyAlignment="1">
      <alignment horizontal="center" vertical="center" wrapText="1"/>
    </xf>
    <xf numFmtId="0" fontId="130" fillId="25" borderId="17" xfId="4156" applyFont="1" applyFill="1" applyBorder="1" applyAlignment="1">
      <alignment horizontal="center" vertical="center"/>
    </xf>
    <xf numFmtId="0" fontId="130" fillId="25" borderId="18" xfId="4156" applyFont="1" applyFill="1" applyBorder="1" applyAlignment="1">
      <alignment horizontal="center" vertical="center"/>
    </xf>
    <xf numFmtId="0" fontId="130" fillId="25" borderId="19" xfId="4156" applyFont="1" applyFill="1" applyBorder="1" applyAlignment="1">
      <alignment horizontal="center" vertical="center"/>
    </xf>
    <xf numFmtId="0" fontId="130" fillId="0" borderId="17" xfId="32014" quotePrefix="1" applyFont="1" applyFill="1" applyBorder="1" applyAlignment="1">
      <alignment horizontal="center" vertical="center" wrapText="1"/>
    </xf>
    <xf numFmtId="0" fontId="130" fillId="0" borderId="18" xfId="32014" quotePrefix="1" applyFont="1" applyFill="1" applyBorder="1" applyAlignment="1">
      <alignment horizontal="center" vertical="center" wrapText="1"/>
    </xf>
    <xf numFmtId="0" fontId="130" fillId="0" borderId="19" xfId="32014" quotePrefix="1" applyFont="1" applyFill="1" applyBorder="1" applyAlignment="1">
      <alignment horizontal="center" vertical="center" wrapText="1"/>
    </xf>
    <xf numFmtId="17" fontId="127" fillId="0" borderId="22" xfId="32014" applyNumberFormat="1" applyFont="1" applyFill="1" applyBorder="1" applyAlignment="1">
      <alignment horizontal="center" vertical="center" wrapText="1"/>
    </xf>
    <xf numFmtId="17" fontId="127" fillId="0" borderId="23" xfId="32014" applyNumberFormat="1" applyFont="1" applyFill="1" applyBorder="1" applyAlignment="1">
      <alignment horizontal="center" vertical="center" wrapText="1"/>
    </xf>
    <xf numFmtId="17" fontId="127" fillId="0" borderId="24" xfId="32014" applyNumberFormat="1" applyFont="1" applyFill="1" applyBorder="1" applyAlignment="1">
      <alignment horizontal="center" vertical="center" wrapText="1"/>
    </xf>
    <xf numFmtId="0" fontId="128" fillId="0" borderId="17" xfId="2500" applyNumberFormat="1" applyFont="1" applyFill="1" applyBorder="1" applyAlignment="1">
      <alignment horizontal="center" vertical="center"/>
    </xf>
    <xf numFmtId="0" fontId="128" fillId="0" borderId="18" xfId="2500" applyNumberFormat="1" applyFont="1" applyFill="1" applyBorder="1" applyAlignment="1">
      <alignment horizontal="center" vertical="center"/>
    </xf>
    <xf numFmtId="0" fontId="128" fillId="0" borderId="19" xfId="2500" applyNumberFormat="1" applyFont="1" applyFill="1" applyBorder="1" applyAlignment="1">
      <alignment horizontal="center" vertical="center"/>
    </xf>
    <xf numFmtId="0" fontId="128" fillId="0" borderId="17" xfId="116" applyNumberFormat="1" applyFont="1" applyFill="1" applyBorder="1" applyAlignment="1">
      <alignment horizontal="center" vertical="center"/>
    </xf>
    <xf numFmtId="0" fontId="128" fillId="0" borderId="18" xfId="116" applyNumberFormat="1" applyFont="1" applyFill="1" applyBorder="1" applyAlignment="1">
      <alignment horizontal="center" vertical="center"/>
    </xf>
    <xf numFmtId="0" fontId="128" fillId="0" borderId="19" xfId="116" applyNumberFormat="1" applyFont="1" applyFill="1" applyBorder="1" applyAlignment="1">
      <alignment horizontal="center" vertical="center"/>
    </xf>
    <xf numFmtId="0" fontId="128" fillId="25" borderId="18" xfId="116" applyFont="1" applyFill="1" applyBorder="1" applyAlignment="1">
      <alignment horizontal="center" vertical="center"/>
    </xf>
    <xf numFmtId="14" fontId="134" fillId="0" borderId="17" xfId="49719" quotePrefix="1" applyNumberFormat="1" applyFont="1" applyFill="1" applyBorder="1" applyAlignment="1">
      <alignment horizontal="center" vertical="center"/>
    </xf>
    <xf numFmtId="14" fontId="134" fillId="0" borderId="18" xfId="49719" quotePrefix="1" applyNumberFormat="1" applyFont="1" applyFill="1" applyBorder="1" applyAlignment="1">
      <alignment horizontal="center" vertical="center"/>
    </xf>
    <xf numFmtId="14" fontId="134" fillId="0" borderId="19" xfId="49719" quotePrefix="1" applyNumberFormat="1" applyFont="1" applyFill="1" applyBorder="1" applyAlignment="1">
      <alignment horizontal="center" vertical="center"/>
    </xf>
    <xf numFmtId="0" fontId="127" fillId="0" borderId="17" xfId="49724" applyNumberFormat="1" applyFont="1" applyFill="1" applyBorder="1" applyAlignment="1">
      <alignment horizontal="center" vertical="center" wrapText="1"/>
    </xf>
    <xf numFmtId="0" fontId="127" fillId="0" borderId="18" xfId="49724" applyNumberFormat="1" applyFont="1" applyFill="1" applyBorder="1" applyAlignment="1">
      <alignment horizontal="center" vertical="center" wrapText="1"/>
    </xf>
    <xf numFmtId="0" fontId="127" fillId="0" borderId="19" xfId="49724" applyNumberFormat="1" applyFont="1" applyFill="1" applyBorder="1" applyAlignment="1">
      <alignment horizontal="center" vertical="center" wrapText="1"/>
    </xf>
    <xf numFmtId="14" fontId="128" fillId="25" borderId="3" xfId="49719" quotePrefix="1" applyNumberFormat="1" applyFont="1" applyFill="1" applyBorder="1" applyAlignment="1">
      <alignment horizontal="center" vertical="center"/>
    </xf>
    <xf numFmtId="0" fontId="128" fillId="25" borderId="17" xfId="4156" applyNumberFormat="1" applyFont="1" applyFill="1" applyBorder="1" applyAlignment="1">
      <alignment horizontal="center" vertical="center"/>
    </xf>
    <xf numFmtId="0" fontId="128" fillId="25" borderId="18" xfId="4156" applyNumberFormat="1" applyFont="1" applyFill="1" applyBorder="1" applyAlignment="1">
      <alignment horizontal="center" vertical="center"/>
    </xf>
    <xf numFmtId="0" fontId="128" fillId="25" borderId="19" xfId="4156" applyNumberFormat="1" applyFont="1" applyFill="1" applyBorder="1" applyAlignment="1">
      <alignment horizontal="center" vertical="center"/>
    </xf>
    <xf numFmtId="178" fontId="130" fillId="0" borderId="17" xfId="32014" applyNumberFormat="1" applyFont="1" applyFill="1" applyBorder="1" applyAlignment="1">
      <alignment horizontal="center" vertical="center"/>
    </xf>
    <xf numFmtId="178" fontId="130" fillId="0" borderId="18" xfId="32014" applyNumberFormat="1" applyFont="1" applyFill="1" applyBorder="1" applyAlignment="1">
      <alignment horizontal="center" vertical="center"/>
    </xf>
    <xf numFmtId="178" fontId="130" fillId="0" borderId="19" xfId="32014" applyNumberFormat="1" applyFont="1" applyFill="1" applyBorder="1" applyAlignment="1">
      <alignment horizontal="center" vertical="center"/>
    </xf>
    <xf numFmtId="0" fontId="130" fillId="0" borderId="18" xfId="32014" applyFont="1" applyFill="1" applyBorder="1" applyAlignment="1">
      <alignment horizontal="center" vertical="center" wrapText="1"/>
    </xf>
    <xf numFmtId="49" fontId="41" fillId="25" borderId="3" xfId="32014" applyNumberFormat="1" applyFont="1" applyFill="1" applyBorder="1" applyAlignment="1">
      <alignment horizontal="center" vertical="center" wrapText="1"/>
    </xf>
    <xf numFmtId="0" fontId="161" fillId="0" borderId="17" xfId="116" quotePrefix="1" applyFont="1" applyBorder="1" applyAlignment="1">
      <alignment horizontal="center" vertical="center" wrapText="1"/>
    </xf>
    <xf numFmtId="0" fontId="161" fillId="0" borderId="18" xfId="116" applyFont="1" applyBorder="1" applyAlignment="1">
      <alignment horizontal="center" vertical="center"/>
    </xf>
    <xf numFmtId="0" fontId="161" fillId="0" borderId="19" xfId="116" applyFont="1" applyBorder="1" applyAlignment="1">
      <alignment horizontal="center" vertical="center"/>
    </xf>
    <xf numFmtId="41" fontId="104" fillId="33" borderId="35" xfId="49719" applyFont="1" applyFill="1" applyBorder="1" applyAlignment="1">
      <alignment horizontal="center" vertical="center"/>
    </xf>
    <xf numFmtId="41" fontId="104" fillId="33" borderId="2" xfId="49719" applyFont="1" applyFill="1" applyBorder="1" applyAlignment="1">
      <alignment horizontal="center" vertical="center"/>
    </xf>
    <xf numFmtId="41" fontId="104" fillId="33" borderId="36" xfId="49719" applyFont="1" applyFill="1" applyBorder="1" applyAlignment="1">
      <alignment horizontal="center" vertical="center"/>
    </xf>
    <xf numFmtId="0" fontId="134" fillId="0" borderId="17" xfId="116" applyFont="1" applyFill="1" applyBorder="1" applyAlignment="1">
      <alignment horizontal="center" vertical="center"/>
    </xf>
    <xf numFmtId="0" fontId="134" fillId="0" borderId="18" xfId="116" applyFont="1" applyFill="1" applyBorder="1" applyAlignment="1">
      <alignment horizontal="center" vertical="center"/>
    </xf>
    <xf numFmtId="0" fontId="134" fillId="0" borderId="19" xfId="116" applyFont="1" applyFill="1" applyBorder="1" applyAlignment="1">
      <alignment horizontal="center" vertical="center"/>
    </xf>
    <xf numFmtId="0" fontId="134" fillId="0" borderId="25" xfId="116" applyFont="1" applyBorder="1" applyAlignment="1">
      <alignment horizontal="center" vertical="center" wrapText="1"/>
    </xf>
    <xf numFmtId="0" fontId="134" fillId="0" borderId="26" xfId="116" applyFont="1" applyBorder="1" applyAlignment="1">
      <alignment horizontal="center" vertical="center" wrapText="1"/>
    </xf>
    <xf numFmtId="0" fontId="134" fillId="0" borderId="27" xfId="116" applyFont="1" applyBorder="1" applyAlignment="1">
      <alignment horizontal="center" vertical="center" wrapText="1"/>
    </xf>
    <xf numFmtId="0" fontId="134" fillId="0" borderId="20" xfId="116" applyFont="1" applyBorder="1" applyAlignment="1">
      <alignment horizontal="center" vertical="center" wrapText="1"/>
    </xf>
    <xf numFmtId="0" fontId="134" fillId="0" borderId="0" xfId="116" applyFont="1" applyBorder="1" applyAlignment="1">
      <alignment horizontal="center" vertical="center" wrapText="1"/>
    </xf>
    <xf numFmtId="0" fontId="134" fillId="0" borderId="21" xfId="116" applyFont="1" applyBorder="1" applyAlignment="1">
      <alignment horizontal="center" vertical="center" wrapText="1"/>
    </xf>
    <xf numFmtId="0" fontId="134" fillId="0" borderId="22" xfId="116" applyFont="1" applyBorder="1" applyAlignment="1">
      <alignment horizontal="center" vertical="center" wrapText="1"/>
    </xf>
    <xf numFmtId="0" fontId="134" fillId="0" borderId="23" xfId="116" applyFont="1" applyBorder="1" applyAlignment="1">
      <alignment horizontal="center" vertical="center" wrapText="1"/>
    </xf>
    <xf numFmtId="0" fontId="134" fillId="0" borderId="24" xfId="116" applyFont="1" applyBorder="1" applyAlignment="1">
      <alignment horizontal="center" vertical="center" wrapText="1"/>
    </xf>
    <xf numFmtId="0" fontId="144" fillId="0" borderId="17" xfId="2500" applyFont="1" applyBorder="1" applyAlignment="1">
      <alignment horizontal="center" vertical="center"/>
    </xf>
    <xf numFmtId="0" fontId="144" fillId="0" borderId="18" xfId="2500" applyFont="1" applyBorder="1" applyAlignment="1">
      <alignment horizontal="center" vertical="center"/>
    </xf>
    <xf numFmtId="0" fontId="144" fillId="0" borderId="19" xfId="2500" applyFont="1" applyBorder="1" applyAlignment="1">
      <alignment horizontal="center" vertical="center"/>
    </xf>
    <xf numFmtId="0" fontId="130" fillId="25" borderId="17" xfId="4156" applyNumberFormat="1" applyFont="1" applyFill="1" applyBorder="1" applyAlignment="1">
      <alignment horizontal="center" vertical="center"/>
    </xf>
    <xf numFmtId="0" fontId="130" fillId="25" borderId="18" xfId="4156" applyNumberFormat="1" applyFont="1" applyFill="1" applyBorder="1" applyAlignment="1">
      <alignment horizontal="center" vertical="center"/>
    </xf>
    <xf numFmtId="0" fontId="130" fillId="25" borderId="19" xfId="4156" applyNumberFormat="1" applyFont="1" applyFill="1" applyBorder="1" applyAlignment="1">
      <alignment horizontal="center" vertical="center"/>
    </xf>
    <xf numFmtId="0" fontId="127" fillId="0" borderId="25" xfId="49724" applyNumberFormat="1" applyFont="1" applyFill="1" applyBorder="1" applyAlignment="1">
      <alignment horizontal="center" vertical="center" wrapText="1"/>
    </xf>
    <xf numFmtId="0" fontId="127" fillId="0" borderId="26" xfId="49724" applyNumberFormat="1" applyFont="1" applyFill="1" applyBorder="1" applyAlignment="1">
      <alignment horizontal="center" vertical="center" wrapText="1"/>
    </xf>
    <xf numFmtId="0" fontId="127" fillId="0" borderId="27" xfId="49724" applyNumberFormat="1" applyFont="1" applyFill="1" applyBorder="1" applyAlignment="1">
      <alignment horizontal="center" vertical="center" wrapText="1"/>
    </xf>
    <xf numFmtId="0" fontId="127" fillId="0" borderId="20" xfId="49724" applyNumberFormat="1" applyFont="1" applyFill="1" applyBorder="1" applyAlignment="1">
      <alignment horizontal="center" vertical="center" wrapText="1"/>
    </xf>
    <xf numFmtId="0" fontId="127" fillId="0" borderId="0" xfId="49724" applyNumberFormat="1" applyFont="1" applyFill="1" applyBorder="1" applyAlignment="1">
      <alignment horizontal="center" vertical="center" wrapText="1"/>
    </xf>
    <xf numFmtId="0" fontId="127" fillId="0" borderId="21" xfId="49724" applyNumberFormat="1" applyFont="1" applyFill="1" applyBorder="1" applyAlignment="1">
      <alignment horizontal="center" vertical="center" wrapText="1"/>
    </xf>
    <xf numFmtId="0" fontId="127" fillId="0" borderId="22" xfId="49724" applyNumberFormat="1" applyFont="1" applyFill="1" applyBorder="1" applyAlignment="1">
      <alignment horizontal="center" vertical="center" wrapText="1"/>
    </xf>
    <xf numFmtId="0" fontId="127" fillId="0" borderId="23" xfId="49724" applyNumberFormat="1" applyFont="1" applyFill="1" applyBorder="1" applyAlignment="1">
      <alignment horizontal="center" vertical="center" wrapText="1"/>
    </xf>
    <xf numFmtId="0" fontId="127" fillId="0" borderId="24" xfId="49724" applyNumberFormat="1" applyFont="1" applyFill="1" applyBorder="1" applyAlignment="1">
      <alignment horizontal="center" vertical="center" wrapText="1"/>
    </xf>
    <xf numFmtId="0" fontId="128" fillId="0" borderId="17" xfId="116" applyNumberFormat="1" applyFont="1" applyFill="1" applyBorder="1" applyAlignment="1">
      <alignment horizontal="center" vertical="center" wrapText="1"/>
    </xf>
    <xf numFmtId="0" fontId="128" fillId="0" borderId="18" xfId="116" applyNumberFormat="1" applyFont="1" applyFill="1" applyBorder="1" applyAlignment="1">
      <alignment horizontal="center" vertical="center" wrapText="1"/>
    </xf>
    <xf numFmtId="0" fontId="128" fillId="0" borderId="19" xfId="116" applyNumberFormat="1" applyFont="1" applyFill="1" applyBorder="1" applyAlignment="1">
      <alignment horizontal="center" vertical="center" wrapText="1"/>
    </xf>
    <xf numFmtId="0" fontId="128" fillId="25" borderId="17" xfId="116" applyNumberFormat="1" applyFont="1" applyFill="1" applyBorder="1" applyAlignment="1">
      <alignment horizontal="center" vertical="center"/>
    </xf>
    <xf numFmtId="0" fontId="128" fillId="25" borderId="18" xfId="116" applyNumberFormat="1" applyFont="1" applyFill="1" applyBorder="1" applyAlignment="1">
      <alignment horizontal="center" vertical="center"/>
    </xf>
    <xf numFmtId="0" fontId="128" fillId="25" borderId="19" xfId="116" applyNumberFormat="1" applyFont="1" applyFill="1" applyBorder="1" applyAlignment="1">
      <alignment horizontal="center" vertical="center"/>
    </xf>
    <xf numFmtId="0" fontId="128" fillId="0" borderId="17" xfId="116" applyFont="1" applyFill="1" applyBorder="1" applyAlignment="1">
      <alignment horizontal="center" vertical="center" shrinkToFit="1"/>
    </xf>
    <xf numFmtId="0" fontId="128" fillId="0" borderId="18" xfId="116" applyFont="1" applyFill="1" applyBorder="1" applyAlignment="1">
      <alignment horizontal="center" vertical="center" shrinkToFit="1"/>
    </xf>
    <xf numFmtId="0" fontId="128" fillId="0" borderId="19" xfId="116" applyFont="1" applyFill="1" applyBorder="1" applyAlignment="1">
      <alignment horizontal="center" vertical="center" shrinkToFit="1"/>
    </xf>
    <xf numFmtId="41" fontId="128" fillId="0" borderId="17" xfId="49719" applyFont="1" applyFill="1" applyBorder="1" applyAlignment="1">
      <alignment horizontal="center" vertical="center"/>
    </xf>
    <xf numFmtId="41" fontId="128" fillId="0" borderId="18" xfId="49719" applyFont="1" applyFill="1" applyBorder="1" applyAlignment="1">
      <alignment horizontal="center" vertical="center"/>
    </xf>
    <xf numFmtId="41" fontId="128" fillId="0" borderId="19" xfId="49719" applyFont="1" applyFill="1" applyBorder="1" applyAlignment="1">
      <alignment horizontal="center" vertical="center"/>
    </xf>
    <xf numFmtId="49" fontId="128" fillId="25" borderId="17" xfId="49719" quotePrefix="1" applyNumberFormat="1" applyFont="1" applyFill="1" applyBorder="1" applyAlignment="1">
      <alignment horizontal="center" vertical="center" wrapText="1"/>
    </xf>
    <xf numFmtId="49" fontId="128" fillId="25" borderId="18" xfId="49719" quotePrefix="1" applyNumberFormat="1" applyFont="1" applyFill="1" applyBorder="1" applyAlignment="1">
      <alignment horizontal="center" vertical="center" wrapText="1"/>
    </xf>
    <xf numFmtId="41" fontId="128" fillId="0" borderId="3" xfId="49719" applyFont="1" applyFill="1" applyBorder="1" applyAlignment="1">
      <alignment horizontal="center" vertical="center"/>
    </xf>
    <xf numFmtId="0" fontId="128" fillId="0" borderId="17" xfId="116" applyFont="1" applyBorder="1" applyAlignment="1">
      <alignment horizontal="center" vertical="center"/>
    </xf>
    <xf numFmtId="0" fontId="128" fillId="0" borderId="18" xfId="116" applyFont="1" applyBorder="1" applyAlignment="1">
      <alignment horizontal="center" vertical="center"/>
    </xf>
    <xf numFmtId="0" fontId="128" fillId="0" borderId="19" xfId="116" applyFont="1" applyBorder="1" applyAlignment="1">
      <alignment horizontal="center" vertical="center"/>
    </xf>
    <xf numFmtId="17" fontId="130" fillId="25" borderId="25" xfId="32014" applyNumberFormat="1" applyFont="1" applyFill="1" applyBorder="1" applyAlignment="1">
      <alignment horizontal="center" vertical="center" wrapText="1"/>
    </xf>
    <xf numFmtId="17" fontId="130" fillId="25" borderId="26" xfId="32014" applyNumberFormat="1" applyFont="1" applyFill="1" applyBorder="1" applyAlignment="1">
      <alignment horizontal="center" vertical="center" wrapText="1"/>
    </xf>
    <xf numFmtId="17" fontId="130" fillId="25" borderId="27" xfId="32014" applyNumberFormat="1" applyFont="1" applyFill="1" applyBorder="1" applyAlignment="1">
      <alignment horizontal="center" vertical="center" wrapText="1"/>
    </xf>
    <xf numFmtId="17" fontId="130" fillId="25" borderId="20" xfId="32014" applyNumberFormat="1" applyFont="1" applyFill="1" applyBorder="1" applyAlignment="1">
      <alignment horizontal="center" vertical="center" wrapText="1"/>
    </xf>
    <xf numFmtId="17" fontId="130" fillId="25" borderId="0" xfId="32014" applyNumberFormat="1" applyFont="1" applyFill="1" applyBorder="1" applyAlignment="1">
      <alignment horizontal="center" vertical="center" wrapText="1"/>
    </xf>
    <xf numFmtId="17" fontId="130" fillId="25" borderId="21" xfId="32014" applyNumberFormat="1" applyFont="1" applyFill="1" applyBorder="1" applyAlignment="1">
      <alignment horizontal="center" vertical="center" wrapText="1"/>
    </xf>
    <xf numFmtId="17" fontId="130" fillId="25" borderId="22" xfId="32014" applyNumberFormat="1" applyFont="1" applyFill="1" applyBorder="1" applyAlignment="1">
      <alignment horizontal="center" vertical="center" wrapText="1"/>
    </xf>
    <xf numFmtId="17" fontId="130" fillId="25" borderId="23" xfId="32014" applyNumberFormat="1" applyFont="1" applyFill="1" applyBorder="1" applyAlignment="1">
      <alignment horizontal="center" vertical="center" wrapText="1"/>
    </xf>
    <xf numFmtId="17" fontId="130" fillId="25" borderId="24" xfId="32014" applyNumberFormat="1" applyFont="1" applyFill="1" applyBorder="1" applyAlignment="1">
      <alignment horizontal="center" vertical="center" wrapText="1"/>
    </xf>
    <xf numFmtId="0" fontId="130" fillId="0" borderId="17" xfId="4156" applyFont="1" applyBorder="1" applyAlignment="1">
      <alignment horizontal="center" vertical="center" wrapText="1"/>
    </xf>
    <xf numFmtId="0" fontId="130" fillId="0" borderId="18" xfId="4156" applyFont="1" applyBorder="1" applyAlignment="1">
      <alignment horizontal="center" vertical="center" wrapText="1"/>
    </xf>
    <xf numFmtId="0" fontId="130" fillId="0" borderId="19" xfId="4156" applyFont="1" applyBorder="1" applyAlignment="1">
      <alignment horizontal="center" vertical="center" wrapText="1"/>
    </xf>
    <xf numFmtId="0" fontId="130" fillId="0" borderId="17" xfId="32014" applyFont="1" applyFill="1" applyBorder="1" applyAlignment="1">
      <alignment horizontal="center" vertical="center"/>
    </xf>
    <xf numFmtId="0" fontId="130" fillId="0" borderId="18" xfId="32014" applyFont="1" applyFill="1" applyBorder="1" applyAlignment="1">
      <alignment horizontal="center" vertical="center"/>
    </xf>
    <xf numFmtId="0" fontId="130" fillId="0" borderId="19" xfId="32014" applyFont="1" applyFill="1" applyBorder="1" applyAlignment="1">
      <alignment horizontal="center" vertical="center"/>
    </xf>
    <xf numFmtId="0" fontId="127" fillId="0" borderId="17" xfId="32014" quotePrefix="1" applyFont="1" applyFill="1" applyBorder="1" applyAlignment="1">
      <alignment horizontal="center" vertical="center" wrapText="1"/>
    </xf>
    <xf numFmtId="0" fontId="127" fillId="0" borderId="18" xfId="32014" quotePrefix="1" applyFont="1" applyFill="1" applyBorder="1" applyAlignment="1">
      <alignment horizontal="center" vertical="center" wrapText="1"/>
    </xf>
    <xf numFmtId="0" fontId="127" fillId="0" borderId="19" xfId="32014" quotePrefix="1" applyFont="1" applyFill="1" applyBorder="1" applyAlignment="1">
      <alignment horizontal="center" vertical="center" wrapText="1"/>
    </xf>
    <xf numFmtId="0" fontId="146" fillId="25" borderId="17" xfId="32014" applyNumberFormat="1" applyFont="1" applyFill="1" applyBorder="1" applyAlignment="1">
      <alignment horizontal="center" vertical="center" wrapText="1"/>
    </xf>
    <xf numFmtId="0" fontId="146" fillId="25" borderId="18" xfId="32014" applyNumberFormat="1" applyFont="1" applyFill="1" applyBorder="1" applyAlignment="1">
      <alignment horizontal="center" vertical="center" wrapText="1"/>
    </xf>
    <xf numFmtId="0" fontId="146" fillId="25" borderId="19" xfId="32014" applyNumberFormat="1" applyFont="1" applyFill="1" applyBorder="1" applyAlignment="1">
      <alignment horizontal="center" vertical="center" wrapText="1"/>
    </xf>
    <xf numFmtId="49" fontId="128" fillId="0" borderId="17" xfId="49719" quotePrefix="1" applyNumberFormat="1" applyFont="1" applyFill="1" applyBorder="1" applyAlignment="1">
      <alignment horizontal="center" vertical="center" wrapText="1"/>
    </xf>
    <xf numFmtId="49" fontId="128" fillId="0" borderId="18" xfId="49719" quotePrefix="1" applyNumberFormat="1" applyFont="1" applyFill="1" applyBorder="1" applyAlignment="1">
      <alignment horizontal="center" vertical="center" wrapText="1"/>
    </xf>
    <xf numFmtId="49" fontId="128" fillId="0" borderId="19" xfId="49719" quotePrefix="1" applyNumberFormat="1" applyFont="1" applyFill="1" applyBorder="1" applyAlignment="1">
      <alignment horizontal="center" vertical="center" wrapText="1"/>
    </xf>
    <xf numFmtId="0" fontId="131" fillId="33" borderId="17" xfId="4156" applyFont="1" applyFill="1" applyBorder="1" applyAlignment="1">
      <alignment horizontal="center" vertical="center"/>
    </xf>
    <xf numFmtId="41" fontId="128" fillId="39" borderId="17" xfId="49719" applyFont="1" applyFill="1" applyBorder="1" applyAlignment="1">
      <alignment horizontal="center" vertical="center"/>
    </xf>
    <xf numFmtId="41" fontId="128" fillId="39" borderId="18" xfId="49719" applyFont="1" applyFill="1" applyBorder="1" applyAlignment="1">
      <alignment horizontal="center" vertical="center"/>
    </xf>
    <xf numFmtId="41" fontId="128" fillId="39" borderId="19" xfId="49719" applyFont="1" applyFill="1" applyBorder="1" applyAlignment="1">
      <alignment horizontal="center" vertical="center"/>
    </xf>
    <xf numFmtId="49" fontId="146" fillId="0" borderId="17" xfId="32014" applyNumberFormat="1" applyFont="1" applyFill="1" applyBorder="1" applyAlignment="1">
      <alignment horizontal="center" vertical="center" wrapText="1"/>
    </xf>
    <xf numFmtId="49" fontId="146" fillId="0" borderId="18" xfId="32014" applyNumberFormat="1" applyFont="1" applyFill="1" applyBorder="1" applyAlignment="1">
      <alignment horizontal="center" vertical="center" wrapText="1"/>
    </xf>
    <xf numFmtId="49" fontId="146" fillId="0" borderId="19" xfId="32014" applyNumberFormat="1" applyFont="1" applyFill="1" applyBorder="1" applyAlignment="1">
      <alignment horizontal="center" vertical="center" wrapText="1"/>
    </xf>
    <xf numFmtId="0" fontId="128" fillId="39" borderId="17" xfId="116" applyNumberFormat="1" applyFont="1" applyFill="1" applyBorder="1" applyAlignment="1">
      <alignment horizontal="center" vertical="center"/>
    </xf>
    <xf numFmtId="0" fontId="128" fillId="39" borderId="18" xfId="116" applyNumberFormat="1" applyFont="1" applyFill="1" applyBorder="1" applyAlignment="1">
      <alignment horizontal="center" vertical="center"/>
    </xf>
    <xf numFmtId="0" fontId="128" fillId="39" borderId="19" xfId="116" applyNumberFormat="1" applyFont="1" applyFill="1" applyBorder="1" applyAlignment="1">
      <alignment horizontal="center" vertical="center"/>
    </xf>
    <xf numFmtId="0" fontId="142" fillId="0" borderId="17" xfId="32014" quotePrefix="1" applyFont="1" applyFill="1" applyBorder="1" applyAlignment="1">
      <alignment horizontal="center" vertical="center" wrapText="1"/>
    </xf>
    <xf numFmtId="0" fontId="142" fillId="0" borderId="18" xfId="32014" quotePrefix="1" applyFont="1" applyFill="1" applyBorder="1" applyAlignment="1">
      <alignment horizontal="center" vertical="center" wrapText="1"/>
    </xf>
    <xf numFmtId="0" fontId="142" fillId="0" borderId="19" xfId="32014" quotePrefix="1" applyFont="1" applyFill="1" applyBorder="1" applyAlignment="1">
      <alignment horizontal="center" vertical="center" wrapText="1"/>
    </xf>
    <xf numFmtId="0" fontId="128" fillId="0" borderId="17" xfId="32014" applyFont="1" applyFill="1" applyBorder="1" applyAlignment="1">
      <alignment horizontal="center" vertical="center"/>
    </xf>
    <xf numFmtId="0" fontId="128" fillId="0" borderId="18" xfId="32014" applyFont="1" applyFill="1" applyBorder="1" applyAlignment="1">
      <alignment horizontal="center" vertical="center"/>
    </xf>
    <xf numFmtId="0" fontId="128" fillId="0" borderId="19" xfId="32014" applyFont="1" applyFill="1" applyBorder="1" applyAlignment="1">
      <alignment horizontal="center" vertical="center"/>
    </xf>
    <xf numFmtId="14" fontId="128" fillId="0" borderId="17" xfId="32014" quotePrefix="1" applyNumberFormat="1" applyFont="1" applyFill="1" applyBorder="1" applyAlignment="1">
      <alignment horizontal="center" vertical="center"/>
    </xf>
    <xf numFmtId="14" fontId="128" fillId="0" borderId="18" xfId="32014" quotePrefix="1" applyNumberFormat="1" applyFont="1" applyFill="1" applyBorder="1" applyAlignment="1">
      <alignment horizontal="center" vertical="center"/>
    </xf>
    <xf numFmtId="14" fontId="128" fillId="0" borderId="19" xfId="32014" quotePrefix="1" applyNumberFormat="1" applyFont="1" applyFill="1" applyBorder="1" applyAlignment="1">
      <alignment horizontal="center" vertical="center"/>
    </xf>
    <xf numFmtId="41" fontId="128" fillId="0" borderId="27" xfId="49719" applyFont="1" applyFill="1" applyBorder="1" applyAlignment="1">
      <alignment horizontal="center" vertical="center"/>
    </xf>
    <xf numFmtId="41" fontId="128" fillId="0" borderId="21" xfId="49719" applyFont="1" applyFill="1" applyBorder="1" applyAlignment="1">
      <alignment horizontal="center" vertical="center"/>
    </xf>
    <xf numFmtId="41" fontId="128" fillId="0" borderId="24" xfId="49719" applyFont="1" applyFill="1" applyBorder="1" applyAlignment="1">
      <alignment horizontal="center" vertical="center"/>
    </xf>
    <xf numFmtId="14" fontId="146" fillId="0" borderId="17" xfId="49719" quotePrefix="1" applyNumberFormat="1" applyFont="1" applyFill="1" applyBorder="1" applyAlignment="1">
      <alignment horizontal="center" vertical="center"/>
    </xf>
    <xf numFmtId="14" fontId="146" fillId="0" borderId="18" xfId="49719" quotePrefix="1" applyNumberFormat="1" applyFont="1" applyFill="1" applyBorder="1" applyAlignment="1">
      <alignment horizontal="center" vertical="center"/>
    </xf>
    <xf numFmtId="14" fontId="146" fillId="0" borderId="19" xfId="49719" quotePrefix="1" applyNumberFormat="1" applyFont="1" applyFill="1" applyBorder="1" applyAlignment="1">
      <alignment horizontal="center" vertical="center"/>
    </xf>
    <xf numFmtId="0" fontId="128" fillId="0" borderId="3" xfId="116" applyFont="1" applyFill="1" applyBorder="1" applyAlignment="1">
      <alignment horizontal="center" vertical="center"/>
    </xf>
    <xf numFmtId="14" fontId="128" fillId="25" borderId="17" xfId="32014" quotePrefix="1" applyNumberFormat="1" applyFont="1" applyFill="1" applyBorder="1" applyAlignment="1">
      <alignment horizontal="center" vertical="center"/>
    </xf>
    <xf numFmtId="14" fontId="128" fillId="25" borderId="18" xfId="32014" quotePrefix="1" applyNumberFormat="1" applyFont="1" applyFill="1" applyBorder="1" applyAlignment="1">
      <alignment horizontal="center" vertical="center"/>
    </xf>
    <xf numFmtId="14" fontId="128" fillId="25" borderId="19" xfId="32014" quotePrefix="1" applyNumberFormat="1" applyFont="1" applyFill="1" applyBorder="1" applyAlignment="1">
      <alignment horizontal="center" vertical="center"/>
    </xf>
    <xf numFmtId="0" fontId="146" fillId="39" borderId="17" xfId="32014" applyNumberFormat="1" applyFont="1" applyFill="1" applyBorder="1" applyAlignment="1">
      <alignment horizontal="center" vertical="center"/>
    </xf>
    <xf numFmtId="0" fontId="130" fillId="39" borderId="18" xfId="32014" applyNumberFormat="1" applyFont="1" applyFill="1" applyBorder="1" applyAlignment="1">
      <alignment horizontal="center" vertical="center"/>
    </xf>
    <xf numFmtId="0" fontId="130" fillId="39" borderId="19" xfId="32014" applyNumberFormat="1" applyFont="1" applyFill="1" applyBorder="1" applyAlignment="1">
      <alignment horizontal="center" vertical="center"/>
    </xf>
    <xf numFmtId="14" fontId="128" fillId="39" borderId="3" xfId="49719" quotePrefix="1" applyNumberFormat="1" applyFont="1" applyFill="1" applyBorder="1" applyAlignment="1">
      <alignment horizontal="center" vertical="center"/>
    </xf>
    <xf numFmtId="14" fontId="128" fillId="39" borderId="17" xfId="49719" quotePrefix="1" applyNumberFormat="1" applyFont="1" applyFill="1" applyBorder="1" applyAlignment="1">
      <alignment horizontal="center" vertical="center"/>
    </xf>
    <xf numFmtId="49" fontId="130" fillId="0" borderId="17" xfId="49727" applyNumberFormat="1" applyFont="1" applyFill="1" applyBorder="1" applyAlignment="1">
      <alignment horizontal="center" vertical="center" wrapText="1"/>
    </xf>
    <xf numFmtId="49" fontId="130" fillId="0" borderId="18" xfId="49727" applyNumberFormat="1" applyFont="1" applyFill="1" applyBorder="1" applyAlignment="1">
      <alignment horizontal="center" vertical="center" wrapText="1"/>
    </xf>
    <xf numFmtId="49" fontId="130" fillId="0" borderId="19" xfId="49727" applyNumberFormat="1" applyFont="1" applyFill="1" applyBorder="1" applyAlignment="1">
      <alignment horizontal="center" vertical="center" wrapText="1"/>
    </xf>
    <xf numFmtId="49" fontId="130" fillId="0" borderId="17" xfId="32014" quotePrefix="1" applyNumberFormat="1" applyFont="1" applyFill="1" applyBorder="1" applyAlignment="1">
      <alignment horizontal="center" vertical="center" wrapText="1"/>
    </xf>
    <xf numFmtId="49" fontId="130" fillId="0" borderId="18" xfId="32014" quotePrefix="1" applyNumberFormat="1" applyFont="1" applyFill="1" applyBorder="1" applyAlignment="1">
      <alignment horizontal="center" vertical="center" wrapText="1"/>
    </xf>
    <xf numFmtId="49" fontId="130" fillId="0" borderId="19" xfId="32014" quotePrefix="1" applyNumberFormat="1" applyFont="1" applyFill="1" applyBorder="1" applyAlignment="1">
      <alignment horizontal="center" vertical="center" wrapText="1"/>
    </xf>
    <xf numFmtId="17" fontId="128" fillId="25" borderId="25" xfId="32014" applyNumberFormat="1" applyFont="1" applyFill="1" applyBorder="1" applyAlignment="1">
      <alignment horizontal="center" vertical="center" wrapText="1"/>
    </xf>
    <xf numFmtId="17" fontId="128" fillId="25" borderId="26" xfId="32014" applyNumberFormat="1" applyFont="1" applyFill="1" applyBorder="1" applyAlignment="1">
      <alignment horizontal="center" vertical="center" wrapText="1"/>
    </xf>
    <xf numFmtId="17" fontId="128" fillId="25" borderId="27" xfId="32014" applyNumberFormat="1" applyFont="1" applyFill="1" applyBorder="1" applyAlignment="1">
      <alignment horizontal="center" vertical="center" wrapText="1"/>
    </xf>
    <xf numFmtId="17" fontId="128" fillId="25" borderId="20" xfId="32014" applyNumberFormat="1" applyFont="1" applyFill="1" applyBorder="1" applyAlignment="1">
      <alignment horizontal="center" vertical="center" wrapText="1"/>
    </xf>
    <xf numFmtId="17" fontId="128" fillId="25" borderId="0" xfId="32014" applyNumberFormat="1" applyFont="1" applyFill="1" applyBorder="1" applyAlignment="1">
      <alignment horizontal="center" vertical="center" wrapText="1"/>
    </xf>
    <xf numFmtId="17" fontId="128" fillId="25" borderId="21" xfId="32014" applyNumberFormat="1" applyFont="1" applyFill="1" applyBorder="1" applyAlignment="1">
      <alignment horizontal="center" vertical="center" wrapText="1"/>
    </xf>
    <xf numFmtId="17" fontId="128" fillId="25" borderId="22" xfId="32014" applyNumberFormat="1" applyFont="1" applyFill="1" applyBorder="1" applyAlignment="1">
      <alignment horizontal="center" vertical="center" wrapText="1"/>
    </xf>
    <xf numFmtId="17" fontId="128" fillId="25" borderId="23" xfId="32014" applyNumberFormat="1" applyFont="1" applyFill="1" applyBorder="1" applyAlignment="1">
      <alignment horizontal="center" vertical="center" wrapText="1"/>
    </xf>
    <xf numFmtId="17" fontId="128" fillId="25" borderId="24" xfId="32014" applyNumberFormat="1" applyFont="1" applyFill="1" applyBorder="1" applyAlignment="1">
      <alignment horizontal="center" vertical="center" wrapText="1"/>
    </xf>
    <xf numFmtId="0" fontId="127" fillId="0" borderId="17" xfId="49727" applyFont="1" applyBorder="1" applyAlignment="1">
      <alignment horizontal="center" vertical="center" wrapText="1"/>
    </xf>
    <xf numFmtId="0" fontId="127" fillId="0" borderId="18" xfId="49727" applyFont="1" applyBorder="1" applyAlignment="1">
      <alignment horizontal="center" vertical="center" wrapText="1"/>
    </xf>
    <xf numFmtId="0" fontId="127" fillId="0" borderId="19" xfId="49727" applyFont="1" applyBorder="1" applyAlignment="1">
      <alignment horizontal="center" vertical="center" wrapText="1"/>
    </xf>
    <xf numFmtId="0" fontId="127" fillId="0" borderId="17" xfId="49727" applyFont="1" applyBorder="1" applyAlignment="1">
      <alignment horizontal="center" vertical="center"/>
    </xf>
    <xf numFmtId="0" fontId="127" fillId="0" borderId="18" xfId="49727" applyFont="1" applyBorder="1" applyAlignment="1">
      <alignment horizontal="center" vertical="center"/>
    </xf>
    <xf numFmtId="0" fontId="127" fillId="0" borderId="19" xfId="49727" applyFont="1" applyBorder="1" applyAlignment="1">
      <alignment horizontal="center" vertical="center"/>
    </xf>
    <xf numFmtId="0" fontId="38" fillId="0" borderId="17" xfId="32014" applyFont="1" applyFill="1" applyBorder="1" applyAlignment="1">
      <alignment horizontal="center" vertical="center" wrapText="1"/>
    </xf>
    <xf numFmtId="0" fontId="38" fillId="0" borderId="18" xfId="32014" applyFont="1" applyFill="1" applyBorder="1" applyAlignment="1">
      <alignment horizontal="center" vertical="center" wrapText="1"/>
    </xf>
    <xf numFmtId="0" fontId="38" fillId="0" borderId="19" xfId="32014" applyFont="1" applyFill="1" applyBorder="1" applyAlignment="1">
      <alignment horizontal="center" vertical="center" wrapText="1"/>
    </xf>
    <xf numFmtId="0" fontId="128" fillId="25" borderId="17" xfId="32014" quotePrefix="1" applyFont="1" applyFill="1" applyBorder="1" applyAlignment="1">
      <alignment horizontal="center" vertical="center" wrapText="1"/>
    </xf>
    <xf numFmtId="0" fontId="128" fillId="25" borderId="18" xfId="32014" quotePrefix="1" applyFont="1" applyFill="1" applyBorder="1" applyAlignment="1">
      <alignment horizontal="center" vertical="center" wrapText="1"/>
    </xf>
    <xf numFmtId="0" fontId="128" fillId="25" borderId="19" xfId="32014" quotePrefix="1" applyFont="1" applyFill="1" applyBorder="1" applyAlignment="1">
      <alignment horizontal="center" vertical="center" wrapText="1"/>
    </xf>
    <xf numFmtId="0" fontId="127" fillId="0" borderId="17" xfId="49727" quotePrefix="1" applyFont="1" applyBorder="1" applyAlignment="1">
      <alignment horizontal="center" vertical="center" wrapText="1"/>
    </xf>
    <xf numFmtId="0" fontId="127" fillId="0" borderId="18" xfId="49727" quotePrefix="1" applyFont="1" applyBorder="1" applyAlignment="1">
      <alignment horizontal="center" vertical="center" wrapText="1"/>
    </xf>
    <xf numFmtId="0" fontId="127" fillId="0" borderId="19" xfId="49727" quotePrefix="1" applyFont="1" applyBorder="1" applyAlignment="1">
      <alignment horizontal="center" vertical="center" wrapText="1"/>
    </xf>
    <xf numFmtId="0" fontId="127" fillId="0" borderId="17" xfId="0" applyFont="1" applyBorder="1" applyAlignment="1">
      <alignment horizontal="center" vertical="center" wrapText="1"/>
    </xf>
    <xf numFmtId="0" fontId="127" fillId="0" borderId="18" xfId="0" applyFont="1" applyBorder="1" applyAlignment="1">
      <alignment horizontal="center" vertical="center" wrapText="1"/>
    </xf>
    <xf numFmtId="0" fontId="127" fillId="0" borderId="19" xfId="0" applyFont="1" applyBorder="1" applyAlignment="1">
      <alignment horizontal="center" vertical="center" wrapText="1"/>
    </xf>
    <xf numFmtId="0" fontId="127" fillId="0" borderId="25" xfId="32014" applyFont="1" applyFill="1" applyBorder="1" applyAlignment="1">
      <alignment horizontal="center" vertical="center" wrapText="1"/>
    </xf>
    <xf numFmtId="0" fontId="127" fillId="0" borderId="26" xfId="32014" applyFont="1" applyFill="1" applyBorder="1" applyAlignment="1">
      <alignment horizontal="center" vertical="center" wrapText="1"/>
    </xf>
    <xf numFmtId="0" fontId="127" fillId="0" borderId="27" xfId="32014" applyFont="1" applyFill="1" applyBorder="1" applyAlignment="1">
      <alignment horizontal="center" vertical="center" wrapText="1"/>
    </xf>
    <xf numFmtId="0" fontId="127" fillId="0" borderId="20" xfId="32014" applyFont="1" applyFill="1" applyBorder="1" applyAlignment="1">
      <alignment horizontal="center" vertical="center" wrapText="1"/>
    </xf>
    <xf numFmtId="0" fontId="127" fillId="0" borderId="0" xfId="32014" applyFont="1" applyFill="1" applyBorder="1" applyAlignment="1">
      <alignment horizontal="center" vertical="center" wrapText="1"/>
    </xf>
    <xf numFmtId="0" fontId="127" fillId="0" borderId="21" xfId="32014" applyFont="1" applyFill="1" applyBorder="1" applyAlignment="1">
      <alignment horizontal="center" vertical="center" wrapText="1"/>
    </xf>
    <xf numFmtId="0" fontId="127" fillId="0" borderId="22" xfId="32014" applyFont="1" applyFill="1" applyBorder="1" applyAlignment="1">
      <alignment horizontal="center" vertical="center" wrapText="1"/>
    </xf>
    <xf numFmtId="0" fontId="127" fillId="0" borderId="23" xfId="32014" applyFont="1" applyFill="1" applyBorder="1" applyAlignment="1">
      <alignment horizontal="center" vertical="center" wrapText="1"/>
    </xf>
    <xf numFmtId="0" fontId="127" fillId="0" borderId="24" xfId="32014" applyFont="1" applyFill="1" applyBorder="1" applyAlignment="1">
      <alignment horizontal="center" vertical="center" wrapText="1"/>
    </xf>
    <xf numFmtId="0" fontId="156" fillId="25" borderId="18" xfId="32014" applyFont="1" applyFill="1" applyBorder="1" applyAlignment="1">
      <alignment horizontal="center" vertical="center" wrapText="1"/>
    </xf>
    <xf numFmtId="0" fontId="127" fillId="37" borderId="17" xfId="49727" applyFont="1" applyFill="1" applyBorder="1" applyAlignment="1">
      <alignment horizontal="center" vertical="center"/>
    </xf>
    <xf numFmtId="0" fontId="127" fillId="37" borderId="18" xfId="49727" applyFont="1" applyFill="1" applyBorder="1" applyAlignment="1">
      <alignment horizontal="center" vertical="center"/>
    </xf>
    <xf numFmtId="0" fontId="127" fillId="37" borderId="19" xfId="49727" applyFont="1" applyFill="1" applyBorder="1" applyAlignment="1">
      <alignment horizontal="center" vertical="center"/>
    </xf>
    <xf numFmtId="0" fontId="127" fillId="0" borderId="25" xfId="49727" applyFont="1" applyBorder="1" applyAlignment="1">
      <alignment horizontal="center" vertical="center" wrapText="1"/>
    </xf>
    <xf numFmtId="0" fontId="127" fillId="0" borderId="26" xfId="49727" applyFont="1" applyBorder="1" applyAlignment="1">
      <alignment horizontal="center" vertical="center" wrapText="1"/>
    </xf>
    <xf numFmtId="0" fontId="127" fillId="0" borderId="27" xfId="49727" applyFont="1" applyBorder="1" applyAlignment="1">
      <alignment horizontal="center" vertical="center" wrapText="1"/>
    </xf>
    <xf numFmtId="0" fontId="127" fillId="0" borderId="20" xfId="49727" applyFont="1" applyBorder="1" applyAlignment="1">
      <alignment horizontal="center" vertical="center" wrapText="1"/>
    </xf>
    <xf numFmtId="0" fontId="127" fillId="0" borderId="0" xfId="49727" applyFont="1" applyBorder="1" applyAlignment="1">
      <alignment horizontal="center" vertical="center" wrapText="1"/>
    </xf>
    <xf numFmtId="0" fontId="127" fillId="0" borderId="21" xfId="49727" applyFont="1" applyBorder="1" applyAlignment="1">
      <alignment horizontal="center" vertical="center" wrapText="1"/>
    </xf>
    <xf numFmtId="0" fontId="127" fillId="0" borderId="22" xfId="49727" applyFont="1" applyBorder="1" applyAlignment="1">
      <alignment horizontal="center" vertical="center" wrapText="1"/>
    </xf>
    <xf numFmtId="0" fontId="127" fillId="0" borderId="23" xfId="49727" applyFont="1" applyBorder="1" applyAlignment="1">
      <alignment horizontal="center" vertical="center" wrapText="1"/>
    </xf>
    <xf numFmtId="0" fontId="127" fillId="0" borderId="24" xfId="49727" applyFont="1" applyBorder="1" applyAlignment="1">
      <alignment horizontal="center" vertical="center" wrapText="1"/>
    </xf>
    <xf numFmtId="17" fontId="127" fillId="0" borderId="17" xfId="49727" applyNumberFormat="1" applyFont="1" applyBorder="1" applyAlignment="1">
      <alignment horizontal="center" vertical="center" wrapText="1"/>
    </xf>
    <xf numFmtId="17" fontId="127" fillId="0" borderId="18" xfId="49727" applyNumberFormat="1" applyFont="1" applyBorder="1" applyAlignment="1">
      <alignment horizontal="center" vertical="center" wrapText="1"/>
    </xf>
    <xf numFmtId="17" fontId="127" fillId="0" borderId="19" xfId="49727" applyNumberFormat="1" applyFont="1" applyBorder="1" applyAlignment="1">
      <alignment horizontal="center" vertical="center" wrapText="1"/>
    </xf>
    <xf numFmtId="49" fontId="127" fillId="0" borderId="17" xfId="49727" applyNumberFormat="1" applyFont="1" applyBorder="1" applyAlignment="1">
      <alignment horizontal="center" vertical="center" wrapText="1"/>
    </xf>
    <xf numFmtId="49" fontId="127" fillId="0" borderId="18" xfId="49727" applyNumberFormat="1" applyFont="1" applyBorder="1" applyAlignment="1">
      <alignment horizontal="center" vertical="center" wrapText="1"/>
    </xf>
    <xf numFmtId="49" fontId="127" fillId="0" borderId="19" xfId="49727" applyNumberFormat="1" applyFont="1" applyBorder="1" applyAlignment="1">
      <alignment horizontal="center" vertical="center" wrapText="1"/>
    </xf>
    <xf numFmtId="49" fontId="127" fillId="0" borderId="17" xfId="49727" quotePrefix="1" applyNumberFormat="1" applyFont="1" applyBorder="1" applyAlignment="1">
      <alignment horizontal="center" vertical="center" wrapText="1"/>
    </xf>
    <xf numFmtId="49" fontId="127" fillId="0" borderId="18" xfId="49727" quotePrefix="1" applyNumberFormat="1" applyFont="1" applyBorder="1" applyAlignment="1">
      <alignment horizontal="center" vertical="center" wrapText="1"/>
    </xf>
    <xf numFmtId="49" fontId="127" fillId="0" borderId="19" xfId="49727" quotePrefix="1" applyNumberFormat="1" applyFont="1" applyBorder="1" applyAlignment="1">
      <alignment horizontal="center" vertical="center" wrapText="1"/>
    </xf>
    <xf numFmtId="0" fontId="130" fillId="0" borderId="17" xfId="49727" applyNumberFormat="1" applyFont="1" applyFill="1" applyBorder="1" applyAlignment="1">
      <alignment horizontal="center" vertical="center" wrapText="1"/>
    </xf>
    <xf numFmtId="0" fontId="130" fillId="0" borderId="18" xfId="49727" applyNumberFormat="1" applyFont="1" applyFill="1" applyBorder="1" applyAlignment="1">
      <alignment horizontal="center" vertical="center" wrapText="1"/>
    </xf>
    <xf numFmtId="0" fontId="130" fillId="0" borderId="19" xfId="49727" applyNumberFormat="1" applyFont="1" applyFill="1" applyBorder="1" applyAlignment="1">
      <alignment horizontal="center" vertical="center" wrapText="1"/>
    </xf>
    <xf numFmtId="178" fontId="127" fillId="0" borderId="17" xfId="49727" quotePrefix="1" applyNumberFormat="1" applyFont="1" applyBorder="1" applyAlignment="1">
      <alignment horizontal="center" vertical="center"/>
    </xf>
    <xf numFmtId="178" fontId="127" fillId="0" borderId="18" xfId="49727" quotePrefix="1" applyNumberFormat="1" applyFont="1" applyBorder="1" applyAlignment="1">
      <alignment horizontal="center" vertical="center"/>
    </xf>
    <xf numFmtId="178" fontId="127" fillId="0" borderId="19" xfId="49727" quotePrefix="1" applyNumberFormat="1" applyFont="1" applyBorder="1" applyAlignment="1">
      <alignment horizontal="center" vertical="center"/>
    </xf>
    <xf numFmtId="49" fontId="157" fillId="25" borderId="45" xfId="49727" applyNumberFormat="1" applyFont="1" applyFill="1" applyBorder="1" applyAlignment="1">
      <alignment horizontal="center" vertical="center" wrapText="1"/>
    </xf>
    <xf numFmtId="49" fontId="157" fillId="25" borderId="18" xfId="49727" applyNumberFormat="1" applyFont="1" applyFill="1" applyBorder="1" applyAlignment="1">
      <alignment horizontal="center" vertical="center" wrapText="1"/>
    </xf>
    <xf numFmtId="49" fontId="157" fillId="25" borderId="19" xfId="49727" applyNumberFormat="1" applyFont="1" applyFill="1" applyBorder="1" applyAlignment="1">
      <alignment horizontal="center" vertical="center" wrapText="1"/>
    </xf>
    <xf numFmtId="49" fontId="144" fillId="0" borderId="17" xfId="32014" applyNumberFormat="1" applyFont="1" applyFill="1" applyBorder="1" applyAlignment="1">
      <alignment horizontal="center" vertical="center" wrapText="1"/>
    </xf>
    <xf numFmtId="49" fontId="144" fillId="0" borderId="18" xfId="32014" applyNumberFormat="1" applyFont="1" applyFill="1" applyBorder="1" applyAlignment="1">
      <alignment horizontal="center" vertical="center" wrapText="1"/>
    </xf>
    <xf numFmtId="49" fontId="144" fillId="0" borderId="19" xfId="32014" applyNumberFormat="1" applyFont="1" applyFill="1" applyBorder="1" applyAlignment="1">
      <alignment horizontal="center" vertical="center" wrapText="1"/>
    </xf>
    <xf numFmtId="14" fontId="141" fillId="25" borderId="17" xfId="49719" quotePrefix="1" applyNumberFormat="1" applyFont="1" applyFill="1" applyBorder="1" applyAlignment="1">
      <alignment horizontal="center" vertical="center" wrapText="1"/>
    </xf>
    <xf numFmtId="14" fontId="141" fillId="25" borderId="18" xfId="49719" quotePrefix="1" applyNumberFormat="1" applyFont="1" applyFill="1" applyBorder="1" applyAlignment="1">
      <alignment horizontal="center" vertical="center" wrapText="1"/>
    </xf>
    <xf numFmtId="14" fontId="141" fillId="25" borderId="19" xfId="49719" quotePrefix="1" applyNumberFormat="1" applyFont="1" applyFill="1" applyBorder="1" applyAlignment="1">
      <alignment horizontal="center" vertical="center" wrapText="1"/>
    </xf>
    <xf numFmtId="49" fontId="144" fillId="0" borderId="17" xfId="32014" quotePrefix="1" applyNumberFormat="1" applyFont="1" applyFill="1" applyBorder="1" applyAlignment="1">
      <alignment horizontal="center" vertical="center" wrapText="1"/>
    </xf>
    <xf numFmtId="49" fontId="144" fillId="0" borderId="18" xfId="32014" quotePrefix="1" applyNumberFormat="1" applyFont="1" applyFill="1" applyBorder="1" applyAlignment="1">
      <alignment horizontal="center" vertical="center" wrapText="1"/>
    </xf>
    <xf numFmtId="49" fontId="144" fillId="0" borderId="19" xfId="32014" quotePrefix="1" applyNumberFormat="1" applyFont="1" applyFill="1" applyBorder="1" applyAlignment="1">
      <alignment horizontal="center" vertical="center" wrapText="1"/>
    </xf>
    <xf numFmtId="49" fontId="41" fillId="0" borderId="17" xfId="32014" applyNumberFormat="1" applyFont="1" applyFill="1" applyBorder="1" applyAlignment="1">
      <alignment horizontal="center" vertical="center" wrapText="1"/>
    </xf>
    <xf numFmtId="49" fontId="41" fillId="0" borderId="18" xfId="32014" applyNumberFormat="1" applyFont="1" applyFill="1" applyBorder="1" applyAlignment="1">
      <alignment horizontal="center" vertical="center" wrapText="1"/>
    </xf>
    <xf numFmtId="49" fontId="41" fillId="0" borderId="19" xfId="32014" applyNumberFormat="1" applyFont="1" applyFill="1" applyBorder="1" applyAlignment="1">
      <alignment horizontal="center" vertical="center" wrapText="1"/>
    </xf>
    <xf numFmtId="0" fontId="131" fillId="0" borderId="17" xfId="4156" applyFont="1" applyBorder="1" applyAlignment="1">
      <alignment horizontal="center" vertical="center"/>
    </xf>
    <xf numFmtId="0" fontId="131" fillId="0" borderId="18" xfId="4156" applyFont="1" applyBorder="1" applyAlignment="1">
      <alignment horizontal="center" vertical="center"/>
    </xf>
    <xf numFmtId="0" fontId="131" fillId="0" borderId="19" xfId="4156" applyFont="1" applyBorder="1" applyAlignment="1">
      <alignment horizontal="center" vertical="center"/>
    </xf>
    <xf numFmtId="0" fontId="130" fillId="0" borderId="17" xfId="32014" applyNumberFormat="1" applyFont="1" applyFill="1" applyBorder="1" applyAlignment="1">
      <alignment horizontal="center" vertical="center" wrapText="1"/>
    </xf>
    <xf numFmtId="0" fontId="130" fillId="0" borderId="18" xfId="32014" applyNumberFormat="1" applyFont="1" applyFill="1" applyBorder="1" applyAlignment="1">
      <alignment horizontal="center" vertical="center" wrapText="1"/>
    </xf>
    <xf numFmtId="0" fontId="130" fillId="0" borderId="19" xfId="32014" applyNumberFormat="1" applyFont="1" applyFill="1" applyBorder="1" applyAlignment="1">
      <alignment horizontal="center" vertical="center" wrapText="1"/>
    </xf>
    <xf numFmtId="49" fontId="127" fillId="25" borderId="17" xfId="49727" applyNumberFormat="1" applyFont="1" applyFill="1" applyBorder="1" applyAlignment="1">
      <alignment horizontal="center" vertical="center" wrapText="1"/>
    </xf>
    <xf numFmtId="49" fontId="127" fillId="25" borderId="18" xfId="49727" applyNumberFormat="1" applyFont="1" applyFill="1" applyBorder="1" applyAlignment="1">
      <alignment horizontal="center" vertical="center" wrapText="1"/>
    </xf>
    <xf numFmtId="49" fontId="127" fillId="25" borderId="19" xfId="49727" applyNumberFormat="1" applyFont="1" applyFill="1" applyBorder="1" applyAlignment="1">
      <alignment horizontal="center" vertical="center" wrapText="1"/>
    </xf>
    <xf numFmtId="0" fontId="128" fillId="25" borderId="17" xfId="32014" applyNumberFormat="1" applyFont="1" applyFill="1" applyBorder="1" applyAlignment="1">
      <alignment horizontal="center" vertical="center" shrinkToFit="1"/>
    </xf>
    <xf numFmtId="0" fontId="128" fillId="25" borderId="18" xfId="32014" applyNumberFormat="1" applyFont="1" applyFill="1" applyBorder="1" applyAlignment="1">
      <alignment horizontal="center" vertical="center" shrinkToFit="1"/>
    </xf>
    <xf numFmtId="0" fontId="128" fillId="25" borderId="19" xfId="32014" applyNumberFormat="1" applyFont="1" applyFill="1" applyBorder="1" applyAlignment="1">
      <alignment horizontal="center" vertical="center" shrinkToFit="1"/>
    </xf>
    <xf numFmtId="49" fontId="146" fillId="0" borderId="17" xfId="32014" quotePrefix="1" applyNumberFormat="1" applyFont="1" applyFill="1" applyBorder="1" applyAlignment="1">
      <alignment horizontal="center" vertical="center" wrapText="1"/>
    </xf>
    <xf numFmtId="49" fontId="146" fillId="0" borderId="18" xfId="32014" quotePrefix="1" applyNumberFormat="1" applyFont="1" applyFill="1" applyBorder="1" applyAlignment="1">
      <alignment horizontal="center" vertical="center" wrapText="1"/>
    </xf>
    <xf numFmtId="49" fontId="146" fillId="0" borderId="19" xfId="32014" quotePrefix="1" applyNumberFormat="1" applyFont="1" applyFill="1" applyBorder="1" applyAlignment="1">
      <alignment horizontal="center" vertical="center" wrapText="1"/>
    </xf>
    <xf numFmtId="192" fontId="146" fillId="0" borderId="17" xfId="32014" quotePrefix="1" applyNumberFormat="1" applyFont="1" applyFill="1" applyBorder="1" applyAlignment="1">
      <alignment horizontal="center" vertical="center" wrapText="1"/>
    </xf>
    <xf numFmtId="192" fontId="146" fillId="0" borderId="18" xfId="32014" quotePrefix="1" applyNumberFormat="1" applyFont="1" applyFill="1" applyBorder="1" applyAlignment="1">
      <alignment horizontal="center" vertical="center" wrapText="1"/>
    </xf>
    <xf numFmtId="192" fontId="146" fillId="0" borderId="19" xfId="32014" quotePrefix="1" applyNumberFormat="1" applyFont="1" applyFill="1" applyBorder="1" applyAlignment="1">
      <alignment horizontal="center" vertical="center" wrapText="1"/>
    </xf>
    <xf numFmtId="49" fontId="41" fillId="0" borderId="17" xfId="32014" quotePrefix="1" applyNumberFormat="1" applyFont="1" applyFill="1" applyBorder="1" applyAlignment="1">
      <alignment horizontal="center" vertical="center" wrapText="1"/>
    </xf>
    <xf numFmtId="49" fontId="41" fillId="0" borderId="18" xfId="32014" quotePrefix="1" applyNumberFormat="1" applyFont="1" applyFill="1" applyBorder="1" applyAlignment="1">
      <alignment horizontal="center" vertical="center" wrapText="1"/>
    </xf>
    <xf numFmtId="49" fontId="41" fillId="0" borderId="19" xfId="32014" quotePrefix="1" applyNumberFormat="1" applyFont="1" applyFill="1" applyBorder="1" applyAlignment="1">
      <alignment horizontal="center" vertical="center" wrapText="1"/>
    </xf>
    <xf numFmtId="0" fontId="142" fillId="0" borderId="17" xfId="32014" applyFont="1" applyFill="1" applyBorder="1" applyAlignment="1">
      <alignment horizontal="center" vertical="center" wrapText="1"/>
    </xf>
    <xf numFmtId="0" fontId="142" fillId="0" borderId="18" xfId="32014" applyFont="1" applyFill="1" applyBorder="1" applyAlignment="1">
      <alignment horizontal="center" vertical="center" wrapText="1"/>
    </xf>
    <xf numFmtId="0" fontId="142" fillId="0" borderId="19" xfId="32014" applyFont="1" applyFill="1" applyBorder="1" applyAlignment="1">
      <alignment horizontal="center" vertical="center" wrapText="1"/>
    </xf>
    <xf numFmtId="49" fontId="130" fillId="0" borderId="17" xfId="49727" applyNumberFormat="1" applyFont="1" applyBorder="1" applyAlignment="1">
      <alignment horizontal="center" vertical="center" wrapText="1"/>
    </xf>
    <xf numFmtId="49" fontId="130" fillId="0" borderId="18" xfId="49727" applyNumberFormat="1" applyFont="1" applyBorder="1" applyAlignment="1">
      <alignment horizontal="center" vertical="center" wrapText="1"/>
    </xf>
    <xf numFmtId="49" fontId="130" fillId="0" borderId="19" xfId="49727" applyNumberFormat="1" applyFont="1" applyBorder="1" applyAlignment="1">
      <alignment horizontal="center" vertical="center" wrapText="1"/>
    </xf>
    <xf numFmtId="0" fontId="128" fillId="39" borderId="17" xfId="32014" applyNumberFormat="1" applyFont="1" applyFill="1" applyBorder="1" applyAlignment="1">
      <alignment horizontal="center" vertical="center" wrapText="1"/>
    </xf>
    <xf numFmtId="0" fontId="128" fillId="39" borderId="18" xfId="32014" applyNumberFormat="1" applyFont="1" applyFill="1" applyBorder="1" applyAlignment="1">
      <alignment horizontal="center" vertical="center" wrapText="1"/>
    </xf>
    <xf numFmtId="0" fontId="128" fillId="39" borderId="19" xfId="32014" applyNumberFormat="1" applyFont="1" applyFill="1" applyBorder="1" applyAlignment="1">
      <alignment horizontal="center" vertical="center" wrapText="1"/>
    </xf>
    <xf numFmtId="14" fontId="127" fillId="25" borderId="17" xfId="49719" quotePrefix="1" applyNumberFormat="1" applyFont="1" applyFill="1" applyBorder="1" applyAlignment="1">
      <alignment horizontal="center" vertical="center"/>
    </xf>
    <xf numFmtId="14" fontId="127" fillId="25" borderId="18" xfId="49719" quotePrefix="1" applyNumberFormat="1" applyFont="1" applyFill="1" applyBorder="1" applyAlignment="1">
      <alignment horizontal="center" vertical="center"/>
    </xf>
    <xf numFmtId="14" fontId="127" fillId="25" borderId="19" xfId="49719" quotePrefix="1" applyNumberFormat="1" applyFont="1" applyFill="1" applyBorder="1" applyAlignment="1">
      <alignment horizontal="center" vertical="center"/>
    </xf>
    <xf numFmtId="49" fontId="127" fillId="0" borderId="17" xfId="49727" quotePrefix="1" applyNumberFormat="1" applyFont="1" applyFill="1" applyBorder="1" applyAlignment="1">
      <alignment horizontal="center" vertical="center" wrapText="1"/>
    </xf>
    <xf numFmtId="49" fontId="127" fillId="0" borderId="18" xfId="49727" quotePrefix="1" applyNumberFormat="1" applyFont="1" applyFill="1" applyBorder="1" applyAlignment="1">
      <alignment horizontal="center" vertical="center" wrapText="1"/>
    </xf>
    <xf numFmtId="49" fontId="127" fillId="0" borderId="19" xfId="49727" quotePrefix="1" applyNumberFormat="1" applyFont="1" applyFill="1" applyBorder="1" applyAlignment="1">
      <alignment horizontal="center" vertical="center" wrapText="1"/>
    </xf>
    <xf numFmtId="0" fontId="141" fillId="25" borderId="17" xfId="116" applyNumberFormat="1" applyFont="1" applyFill="1" applyBorder="1" applyAlignment="1">
      <alignment horizontal="center" vertical="center"/>
    </xf>
    <xf numFmtId="0" fontId="141" fillId="25" borderId="18" xfId="116" applyNumberFormat="1" applyFont="1" applyFill="1" applyBorder="1" applyAlignment="1">
      <alignment horizontal="center" vertical="center"/>
    </xf>
    <xf numFmtId="0" fontId="141" fillId="25" borderId="19" xfId="116" applyNumberFormat="1" applyFont="1" applyFill="1" applyBorder="1" applyAlignment="1">
      <alignment horizontal="center" vertical="center"/>
    </xf>
    <xf numFmtId="0" fontId="41" fillId="25" borderId="17" xfId="4156" applyFill="1" applyBorder="1" applyAlignment="1">
      <alignment horizontal="center" vertical="center"/>
    </xf>
    <xf numFmtId="0" fontId="41" fillId="25" borderId="18" xfId="4156" applyFill="1" applyBorder="1" applyAlignment="1">
      <alignment horizontal="center" vertical="center"/>
    </xf>
    <xf numFmtId="0" fontId="41" fillId="25" borderId="19" xfId="4156" applyFill="1" applyBorder="1" applyAlignment="1">
      <alignment horizontal="center" vertical="center"/>
    </xf>
    <xf numFmtId="49" fontId="154" fillId="0" borderId="17" xfId="32014" applyNumberFormat="1" applyFont="1" applyFill="1" applyBorder="1" applyAlignment="1">
      <alignment horizontal="center" vertical="center" wrapText="1"/>
    </xf>
    <xf numFmtId="0" fontId="41" fillId="0" borderId="17" xfId="4156" applyBorder="1" applyAlignment="1">
      <alignment horizontal="center" vertical="center"/>
    </xf>
    <xf numFmtId="0" fontId="41" fillId="0" borderId="18" xfId="4156" applyBorder="1" applyAlignment="1">
      <alignment horizontal="center" vertical="center"/>
    </xf>
    <xf numFmtId="0" fontId="41" fillId="0" borderId="19" xfId="4156" applyBorder="1" applyAlignment="1">
      <alignment horizontal="center" vertical="center"/>
    </xf>
    <xf numFmtId="49" fontId="128" fillId="25" borderId="19" xfId="49719" quotePrefix="1" applyNumberFormat="1" applyFont="1" applyFill="1" applyBorder="1" applyAlignment="1">
      <alignment horizontal="center" vertical="center" wrapText="1"/>
    </xf>
    <xf numFmtId="14" fontId="130" fillId="25" borderId="17" xfId="49719" quotePrefix="1" applyNumberFormat="1" applyFont="1" applyFill="1" applyBorder="1" applyAlignment="1">
      <alignment horizontal="center" vertical="center"/>
    </xf>
    <xf numFmtId="14" fontId="130" fillId="25" borderId="18" xfId="49719" quotePrefix="1" applyNumberFormat="1" applyFont="1" applyFill="1" applyBorder="1" applyAlignment="1">
      <alignment horizontal="center" vertical="center"/>
    </xf>
    <xf numFmtId="14" fontId="130" fillId="25" borderId="19" xfId="49719" quotePrefix="1" applyNumberFormat="1" applyFont="1" applyFill="1" applyBorder="1" applyAlignment="1">
      <alignment horizontal="center" vertical="center"/>
    </xf>
    <xf numFmtId="0" fontId="141" fillId="39" borderId="17" xfId="32014" applyNumberFormat="1" applyFont="1" applyFill="1" applyBorder="1" applyAlignment="1">
      <alignment horizontal="center" vertical="center" wrapText="1"/>
    </xf>
    <xf numFmtId="0" fontId="141" fillId="39" borderId="18" xfId="32014" applyNumberFormat="1" applyFont="1" applyFill="1" applyBorder="1" applyAlignment="1">
      <alignment horizontal="center" vertical="center" wrapText="1"/>
    </xf>
    <xf numFmtId="0" fontId="141" fillId="39" borderId="19" xfId="32014" applyNumberFormat="1" applyFont="1" applyFill="1" applyBorder="1" applyAlignment="1">
      <alignment horizontal="center" vertical="center" wrapText="1"/>
    </xf>
    <xf numFmtId="0" fontId="128" fillId="39" borderId="17" xfId="4156" applyNumberFormat="1" applyFont="1" applyFill="1" applyBorder="1" applyAlignment="1">
      <alignment horizontal="center" vertical="center" wrapText="1"/>
    </xf>
    <xf numFmtId="0" fontId="128" fillId="39" borderId="18" xfId="4156" applyNumberFormat="1" applyFont="1" applyFill="1" applyBorder="1" applyAlignment="1">
      <alignment horizontal="center" vertical="center" wrapText="1"/>
    </xf>
    <xf numFmtId="0" fontId="128" fillId="39" borderId="19" xfId="4156" applyNumberFormat="1" applyFont="1" applyFill="1" applyBorder="1" applyAlignment="1">
      <alignment horizontal="center" vertical="center" wrapText="1"/>
    </xf>
    <xf numFmtId="0" fontId="128" fillId="0" borderId="17" xfId="116" applyFont="1" applyFill="1" applyBorder="1" applyAlignment="1">
      <alignment horizontal="center" vertical="center" wrapText="1"/>
    </xf>
    <xf numFmtId="0" fontId="128" fillId="0" borderId="18" xfId="116" applyFont="1" applyFill="1" applyBorder="1" applyAlignment="1">
      <alignment horizontal="center" vertical="center" wrapText="1"/>
    </xf>
    <xf numFmtId="0" fontId="128" fillId="0" borderId="19" xfId="116" applyFont="1" applyFill="1" applyBorder="1" applyAlignment="1">
      <alignment horizontal="center" vertical="center" wrapText="1"/>
    </xf>
    <xf numFmtId="0" fontId="130" fillId="0" borderId="17" xfId="4156" applyNumberFormat="1" applyFont="1" applyBorder="1" applyAlignment="1">
      <alignment horizontal="center" vertical="center" wrapText="1"/>
    </xf>
    <xf numFmtId="0" fontId="130" fillId="0" borderId="18" xfId="4156" applyNumberFormat="1" applyFont="1" applyBorder="1" applyAlignment="1">
      <alignment horizontal="center" vertical="center" wrapText="1"/>
    </xf>
    <xf numFmtId="0" fontId="130" fillId="0" borderId="19" xfId="4156" applyNumberFormat="1" applyFont="1" applyBorder="1" applyAlignment="1">
      <alignment horizontal="center" vertical="center" wrapText="1"/>
    </xf>
    <xf numFmtId="41" fontId="128" fillId="0" borderId="17" xfId="49719" applyFont="1" applyFill="1" applyBorder="1" applyAlignment="1">
      <alignment horizontal="right" vertical="center" wrapText="1"/>
    </xf>
    <xf numFmtId="41" fontId="128" fillId="0" borderId="18" xfId="49719" applyFont="1" applyFill="1" applyBorder="1" applyAlignment="1">
      <alignment horizontal="right" vertical="center" wrapText="1"/>
    </xf>
    <xf numFmtId="41" fontId="128" fillId="0" borderId="19" xfId="49719" applyFont="1" applyFill="1" applyBorder="1" applyAlignment="1">
      <alignment horizontal="right" vertical="center" wrapText="1"/>
    </xf>
    <xf numFmtId="0" fontId="128" fillId="25" borderId="17" xfId="32014" applyFont="1" applyFill="1" applyBorder="1" applyAlignment="1">
      <alignment horizontal="center" vertical="center"/>
    </xf>
    <xf numFmtId="0" fontId="128" fillId="25" borderId="19" xfId="32014" applyFont="1" applyFill="1" applyBorder="1" applyAlignment="1">
      <alignment horizontal="center" vertical="center"/>
    </xf>
    <xf numFmtId="0" fontId="128" fillId="25" borderId="17" xfId="32014" applyFont="1" applyFill="1" applyBorder="1" applyAlignment="1">
      <alignment horizontal="center" vertical="center" wrapText="1"/>
    </xf>
    <xf numFmtId="0" fontId="128" fillId="25" borderId="19" xfId="32014" applyFont="1" applyFill="1" applyBorder="1" applyAlignment="1">
      <alignment horizontal="center" vertical="center" wrapText="1"/>
    </xf>
    <xf numFmtId="0" fontId="128" fillId="25" borderId="18" xfId="32014" applyFont="1" applyFill="1" applyBorder="1" applyAlignment="1">
      <alignment horizontal="center" vertical="center"/>
    </xf>
    <xf numFmtId="0" fontId="151" fillId="0" borderId="17" xfId="116" applyFont="1" applyFill="1" applyBorder="1" applyAlignment="1">
      <alignment horizontal="center" vertical="center" shrinkToFit="1"/>
    </xf>
    <xf numFmtId="0" fontId="151" fillId="0" borderId="18" xfId="116" applyFont="1" applyFill="1" applyBorder="1" applyAlignment="1">
      <alignment horizontal="center" vertical="center" shrinkToFit="1"/>
    </xf>
    <xf numFmtId="0" fontId="151" fillId="0" borderId="19" xfId="116" applyFont="1" applyFill="1" applyBorder="1" applyAlignment="1">
      <alignment horizontal="center" vertical="center" shrinkToFit="1"/>
    </xf>
    <xf numFmtId="192" fontId="128" fillId="0" borderId="17" xfId="49719" quotePrefix="1" applyNumberFormat="1" applyFont="1" applyFill="1" applyBorder="1" applyAlignment="1">
      <alignment horizontal="center" vertical="center"/>
    </xf>
    <xf numFmtId="192" fontId="128" fillId="0" borderId="18" xfId="49719" quotePrefix="1" applyNumberFormat="1" applyFont="1" applyFill="1" applyBorder="1" applyAlignment="1">
      <alignment horizontal="center" vertical="center"/>
    </xf>
    <xf numFmtId="192" fontId="128" fillId="0" borderId="19" xfId="49719" quotePrefix="1" applyNumberFormat="1" applyFont="1" applyFill="1" applyBorder="1" applyAlignment="1">
      <alignment horizontal="center" vertical="center"/>
    </xf>
    <xf numFmtId="41" fontId="128" fillId="39" borderId="3" xfId="49719" applyFont="1" applyFill="1" applyBorder="1" applyAlignment="1">
      <alignment horizontal="center" vertical="center"/>
    </xf>
    <xf numFmtId="0" fontId="128" fillId="39" borderId="17" xfId="116" applyFont="1" applyFill="1" applyBorder="1" applyAlignment="1">
      <alignment horizontal="center" vertical="center"/>
    </xf>
    <xf numFmtId="0" fontId="128" fillId="39" borderId="18" xfId="116" applyFont="1" applyFill="1" applyBorder="1" applyAlignment="1">
      <alignment horizontal="center" vertical="center"/>
    </xf>
    <xf numFmtId="0" fontId="128" fillId="39" borderId="19" xfId="116" applyFont="1" applyFill="1" applyBorder="1" applyAlignment="1">
      <alignment horizontal="center" vertical="center"/>
    </xf>
    <xf numFmtId="41" fontId="130" fillId="0" borderId="25" xfId="6962" quotePrefix="1" applyFont="1" applyFill="1" applyBorder="1" applyAlignment="1">
      <alignment horizontal="center" vertical="center" wrapText="1"/>
    </xf>
    <xf numFmtId="41" fontId="130" fillId="0" borderId="26" xfId="6962" quotePrefix="1" applyFont="1" applyFill="1" applyBorder="1" applyAlignment="1">
      <alignment horizontal="center" vertical="center" wrapText="1"/>
    </xf>
    <xf numFmtId="41" fontId="130" fillId="0" borderId="27" xfId="6962" quotePrefix="1" applyFont="1" applyFill="1" applyBorder="1" applyAlignment="1">
      <alignment horizontal="center" vertical="center" wrapText="1"/>
    </xf>
    <xf numFmtId="41" fontId="130" fillId="0" borderId="20" xfId="6962" quotePrefix="1" applyFont="1" applyFill="1" applyBorder="1" applyAlignment="1">
      <alignment horizontal="center" vertical="center" wrapText="1"/>
    </xf>
    <xf numFmtId="41" fontId="130" fillId="0" borderId="0" xfId="6962" quotePrefix="1" applyFont="1" applyFill="1" applyBorder="1" applyAlignment="1">
      <alignment horizontal="center" vertical="center" wrapText="1"/>
    </xf>
    <xf numFmtId="41" fontId="130" fillId="0" borderId="21" xfId="6962" quotePrefix="1" applyFont="1" applyFill="1" applyBorder="1" applyAlignment="1">
      <alignment horizontal="center" vertical="center" wrapText="1"/>
    </xf>
    <xf numFmtId="41" fontId="130" fillId="0" borderId="22" xfId="6962" quotePrefix="1" applyFont="1" applyFill="1" applyBorder="1" applyAlignment="1">
      <alignment horizontal="center" vertical="center" wrapText="1"/>
    </xf>
    <xf numFmtId="41" fontId="130" fillId="0" borderId="23" xfId="6962" quotePrefix="1" applyFont="1" applyFill="1" applyBorder="1" applyAlignment="1">
      <alignment horizontal="center" vertical="center" wrapText="1"/>
    </xf>
    <xf numFmtId="41" fontId="130" fillId="0" borderId="24" xfId="6962" quotePrefix="1" applyFont="1" applyFill="1" applyBorder="1" applyAlignment="1">
      <alignment horizontal="center" vertical="center" wrapText="1"/>
    </xf>
    <xf numFmtId="0" fontId="130" fillId="0" borderId="17" xfId="116" applyFont="1" applyFill="1" applyBorder="1" applyAlignment="1">
      <alignment horizontal="center" vertical="center"/>
    </xf>
    <xf numFmtId="0" fontId="130" fillId="0" borderId="18" xfId="116" applyFont="1" applyFill="1" applyBorder="1" applyAlignment="1">
      <alignment horizontal="center" vertical="center"/>
    </xf>
    <xf numFmtId="0" fontId="130" fillId="0" borderId="19" xfId="116" applyFont="1" applyFill="1" applyBorder="1" applyAlignment="1">
      <alignment horizontal="center" vertical="center"/>
    </xf>
    <xf numFmtId="17" fontId="128" fillId="0" borderId="25" xfId="32014" applyNumberFormat="1" applyFont="1" applyFill="1" applyBorder="1" applyAlignment="1">
      <alignment horizontal="center" vertical="center" wrapText="1"/>
    </xf>
    <xf numFmtId="17" fontId="128" fillId="0" borderId="26" xfId="32014" applyNumberFormat="1" applyFont="1" applyFill="1" applyBorder="1" applyAlignment="1">
      <alignment horizontal="center" vertical="center" wrapText="1"/>
    </xf>
    <xf numFmtId="17" fontId="128" fillId="0" borderId="27" xfId="32014" applyNumberFormat="1" applyFont="1" applyFill="1" applyBorder="1" applyAlignment="1">
      <alignment horizontal="center" vertical="center" wrapText="1"/>
    </xf>
    <xf numFmtId="17" fontId="128" fillId="0" borderId="20" xfId="32014" applyNumberFormat="1" applyFont="1" applyFill="1" applyBorder="1" applyAlignment="1">
      <alignment horizontal="center" vertical="center" wrapText="1"/>
    </xf>
    <xf numFmtId="17" fontId="128" fillId="0" borderId="0" xfId="32014" applyNumberFormat="1" applyFont="1" applyFill="1" applyBorder="1" applyAlignment="1">
      <alignment horizontal="center" vertical="center" wrapText="1"/>
    </xf>
    <xf numFmtId="17" fontId="128" fillId="0" borderId="21" xfId="32014" applyNumberFormat="1" applyFont="1" applyFill="1" applyBorder="1" applyAlignment="1">
      <alignment horizontal="center" vertical="center" wrapText="1"/>
    </xf>
    <xf numFmtId="17" fontId="128" fillId="0" borderId="22" xfId="32014" applyNumberFormat="1" applyFont="1" applyFill="1" applyBorder="1" applyAlignment="1">
      <alignment horizontal="center" vertical="center" wrapText="1"/>
    </xf>
    <xf numFmtId="17" fontId="128" fillId="0" borderId="23" xfId="32014" applyNumberFormat="1" applyFont="1" applyFill="1" applyBorder="1" applyAlignment="1">
      <alignment horizontal="center" vertical="center" wrapText="1"/>
    </xf>
    <xf numFmtId="17" fontId="128" fillId="0" borderId="24" xfId="32014" applyNumberFormat="1" applyFont="1" applyFill="1" applyBorder="1" applyAlignment="1">
      <alignment horizontal="center" vertical="center" wrapText="1"/>
    </xf>
    <xf numFmtId="0" fontId="130" fillId="25" borderId="25" xfId="4156" applyFont="1" applyFill="1" applyBorder="1" applyAlignment="1">
      <alignment horizontal="center" vertical="center"/>
    </xf>
    <xf numFmtId="0" fontId="130" fillId="25" borderId="26" xfId="4156" applyFont="1" applyFill="1" applyBorder="1" applyAlignment="1">
      <alignment horizontal="center" vertical="center"/>
    </xf>
    <xf numFmtId="0" fontId="130" fillId="25" borderId="27" xfId="4156" applyFont="1" applyFill="1" applyBorder="1" applyAlignment="1">
      <alignment horizontal="center" vertical="center"/>
    </xf>
    <xf numFmtId="0" fontId="130" fillId="25" borderId="20" xfId="4156" applyFont="1" applyFill="1" applyBorder="1" applyAlignment="1">
      <alignment horizontal="center" vertical="center"/>
    </xf>
    <xf numFmtId="0" fontId="130" fillId="25" borderId="0" xfId="4156" applyFont="1" applyFill="1" applyBorder="1" applyAlignment="1">
      <alignment horizontal="center" vertical="center"/>
    </xf>
    <xf numFmtId="0" fontId="130" fillId="25" borderId="21" xfId="4156" applyFont="1" applyFill="1" applyBorder="1" applyAlignment="1">
      <alignment horizontal="center" vertical="center"/>
    </xf>
    <xf numFmtId="0" fontId="130" fillId="25" borderId="22" xfId="4156" applyFont="1" applyFill="1" applyBorder="1" applyAlignment="1">
      <alignment horizontal="center" vertical="center"/>
    </xf>
    <xf numFmtId="0" fontId="130" fillId="25" borderId="23" xfId="4156" applyFont="1" applyFill="1" applyBorder="1" applyAlignment="1">
      <alignment horizontal="center" vertical="center"/>
    </xf>
    <xf numFmtId="0" fontId="130" fillId="25" borderId="24" xfId="4156" applyFont="1" applyFill="1" applyBorder="1" applyAlignment="1">
      <alignment horizontal="center" vertical="center"/>
    </xf>
    <xf numFmtId="0" fontId="130" fillId="25" borderId="25" xfId="4156" applyFont="1" applyFill="1" applyBorder="1" applyAlignment="1">
      <alignment horizontal="center" vertical="center" wrapText="1"/>
    </xf>
    <xf numFmtId="0" fontId="130" fillId="25" borderId="26" xfId="4156" applyFont="1" applyFill="1" applyBorder="1" applyAlignment="1">
      <alignment horizontal="center" vertical="center" wrapText="1"/>
    </xf>
    <xf numFmtId="0" fontId="130" fillId="25" borderId="27" xfId="4156" applyFont="1" applyFill="1" applyBorder="1" applyAlignment="1">
      <alignment horizontal="center" vertical="center" wrapText="1"/>
    </xf>
    <xf numFmtId="0" fontId="130" fillId="25" borderId="20" xfId="4156" applyFont="1" applyFill="1" applyBorder="1" applyAlignment="1">
      <alignment horizontal="center" vertical="center" wrapText="1"/>
    </xf>
    <xf numFmtId="0" fontId="130" fillId="25" borderId="0" xfId="4156" applyFont="1" applyFill="1" applyBorder="1" applyAlignment="1">
      <alignment horizontal="center" vertical="center" wrapText="1"/>
    </xf>
    <xf numFmtId="0" fontId="130" fillId="25" borderId="21" xfId="4156" applyFont="1" applyFill="1" applyBorder="1" applyAlignment="1">
      <alignment horizontal="center" vertical="center" wrapText="1"/>
    </xf>
    <xf numFmtId="0" fontId="130" fillId="25" borderId="22" xfId="4156" applyFont="1" applyFill="1" applyBorder="1" applyAlignment="1">
      <alignment horizontal="center" vertical="center" wrapText="1"/>
    </xf>
    <xf numFmtId="0" fontId="130" fillId="25" borderId="23" xfId="4156" applyFont="1" applyFill="1" applyBorder="1" applyAlignment="1">
      <alignment horizontal="center" vertical="center" wrapText="1"/>
    </xf>
    <xf numFmtId="0" fontId="130" fillId="25" borderId="24" xfId="4156" applyFont="1" applyFill="1" applyBorder="1" applyAlignment="1">
      <alignment horizontal="center" vertical="center" wrapText="1"/>
    </xf>
    <xf numFmtId="0" fontId="128" fillId="25" borderId="25" xfId="32014" quotePrefix="1" applyFont="1" applyFill="1" applyBorder="1" applyAlignment="1">
      <alignment horizontal="center" vertical="center" wrapText="1"/>
    </xf>
    <xf numFmtId="0" fontId="128" fillId="25" borderId="26" xfId="32014" quotePrefix="1" applyFont="1" applyFill="1" applyBorder="1" applyAlignment="1">
      <alignment horizontal="center" vertical="center" wrapText="1"/>
    </xf>
    <xf numFmtId="0" fontId="128" fillId="25" borderId="27" xfId="32014" quotePrefix="1" applyFont="1" applyFill="1" applyBorder="1" applyAlignment="1">
      <alignment horizontal="center" vertical="center" wrapText="1"/>
    </xf>
    <xf numFmtId="0" fontId="128" fillId="25" borderId="20" xfId="32014" quotePrefix="1" applyFont="1" applyFill="1" applyBorder="1" applyAlignment="1">
      <alignment horizontal="center" vertical="center" wrapText="1"/>
    </xf>
    <xf numFmtId="0" fontId="128" fillId="25" borderId="0" xfId="32014" quotePrefix="1" applyFont="1" applyFill="1" applyBorder="1" applyAlignment="1">
      <alignment horizontal="center" vertical="center" wrapText="1"/>
    </xf>
    <xf numFmtId="0" fontId="128" fillId="25" borderId="21" xfId="32014" quotePrefix="1" applyFont="1" applyFill="1" applyBorder="1" applyAlignment="1">
      <alignment horizontal="center" vertical="center" wrapText="1"/>
    </xf>
    <xf numFmtId="0" fontId="128" fillId="25" borderId="22" xfId="32014" quotePrefix="1" applyFont="1" applyFill="1" applyBorder="1" applyAlignment="1">
      <alignment horizontal="center" vertical="center" wrapText="1"/>
    </xf>
    <xf numFmtId="0" fontId="128" fillId="25" borderId="23" xfId="32014" quotePrefix="1" applyFont="1" applyFill="1" applyBorder="1" applyAlignment="1">
      <alignment horizontal="center" vertical="center" wrapText="1"/>
    </xf>
    <xf numFmtId="0" fontId="128" fillId="25" borderId="24" xfId="32014" quotePrefix="1" applyFont="1" applyFill="1" applyBorder="1" applyAlignment="1">
      <alignment horizontal="center" vertical="center" wrapText="1"/>
    </xf>
    <xf numFmtId="192" fontId="130" fillId="0" borderId="17" xfId="32014" quotePrefix="1" applyNumberFormat="1" applyFont="1" applyFill="1" applyBorder="1" applyAlignment="1">
      <alignment horizontal="center" vertical="center" wrapText="1"/>
    </xf>
    <xf numFmtId="192" fontId="130" fillId="0" borderId="18" xfId="32014" quotePrefix="1" applyNumberFormat="1" applyFont="1" applyFill="1" applyBorder="1" applyAlignment="1">
      <alignment horizontal="center" vertical="center" wrapText="1"/>
    </xf>
    <xf numFmtId="192" fontId="130" fillId="0" borderId="19" xfId="32014" quotePrefix="1" applyNumberFormat="1" applyFont="1" applyFill="1" applyBorder="1" applyAlignment="1">
      <alignment horizontal="center" vertical="center" wrapText="1"/>
    </xf>
    <xf numFmtId="0" fontId="41" fillId="25" borderId="25" xfId="4156" applyFill="1" applyBorder="1" applyAlignment="1">
      <alignment horizontal="center" vertical="center"/>
    </xf>
    <xf numFmtId="0" fontId="41" fillId="25" borderId="26" xfId="4156" applyFill="1" applyBorder="1" applyAlignment="1">
      <alignment horizontal="center" vertical="center"/>
    </xf>
    <xf numFmtId="0" fontId="41" fillId="25" borderId="27" xfId="4156" applyFill="1" applyBorder="1" applyAlignment="1">
      <alignment horizontal="center" vertical="center"/>
    </xf>
    <xf numFmtId="0" fontId="41" fillId="25" borderId="20" xfId="4156" applyFill="1" applyBorder="1" applyAlignment="1">
      <alignment horizontal="center" vertical="center"/>
    </xf>
    <xf numFmtId="0" fontId="41" fillId="25" borderId="0" xfId="4156" applyFill="1" applyBorder="1" applyAlignment="1">
      <alignment horizontal="center" vertical="center"/>
    </xf>
    <xf numFmtId="0" fontId="41" fillId="25" borderId="21" xfId="4156" applyFill="1" applyBorder="1" applyAlignment="1">
      <alignment horizontal="center" vertical="center"/>
    </xf>
    <xf numFmtId="0" fontId="41" fillId="25" borderId="22" xfId="4156" applyFill="1" applyBorder="1" applyAlignment="1">
      <alignment horizontal="center" vertical="center"/>
    </xf>
    <xf numFmtId="0" fontId="41" fillId="25" borderId="23" xfId="4156" applyFill="1" applyBorder="1" applyAlignment="1">
      <alignment horizontal="center" vertical="center"/>
    </xf>
    <xf numFmtId="0" fontId="41" fillId="25" borderId="24" xfId="4156" applyFill="1" applyBorder="1" applyAlignment="1">
      <alignment horizontal="center" vertical="center"/>
    </xf>
    <xf numFmtId="0" fontId="128" fillId="25" borderId="17" xfId="116" applyNumberFormat="1" applyFont="1" applyFill="1" applyBorder="1" applyAlignment="1">
      <alignment horizontal="center" vertical="center" shrinkToFit="1"/>
    </xf>
    <xf numFmtId="0" fontId="128" fillId="25" borderId="18" xfId="116" applyNumberFormat="1" applyFont="1" applyFill="1" applyBorder="1" applyAlignment="1">
      <alignment horizontal="center" vertical="center" shrinkToFit="1"/>
    </xf>
    <xf numFmtId="0" fontId="128" fillId="25" borderId="19" xfId="116" applyNumberFormat="1" applyFont="1" applyFill="1" applyBorder="1" applyAlignment="1">
      <alignment horizontal="center" vertical="center" shrinkToFit="1"/>
    </xf>
    <xf numFmtId="0" fontId="137" fillId="33" borderId="35" xfId="49738" applyFont="1" applyFill="1" applyBorder="1" applyAlignment="1">
      <alignment horizontal="center" vertical="center"/>
    </xf>
    <xf numFmtId="0" fontId="137" fillId="33" borderId="2" xfId="49738" applyFont="1" applyFill="1" applyBorder="1" applyAlignment="1">
      <alignment horizontal="center" vertical="center"/>
    </xf>
    <xf numFmtId="0" fontId="130" fillId="0" borderId="17" xfId="0" applyFont="1" applyFill="1" applyBorder="1" applyAlignment="1">
      <alignment horizontal="center" vertical="center"/>
    </xf>
    <xf numFmtId="0" fontId="130" fillId="0" borderId="18" xfId="0" applyFont="1" applyFill="1" applyBorder="1" applyAlignment="1">
      <alignment horizontal="center" vertical="center"/>
    </xf>
    <xf numFmtId="0" fontId="130" fillId="0" borderId="19" xfId="0" applyFont="1" applyFill="1" applyBorder="1" applyAlignment="1">
      <alignment horizontal="center" vertical="center"/>
    </xf>
    <xf numFmtId="0" fontId="130" fillId="0" borderId="25" xfId="4156" quotePrefix="1" applyFont="1" applyFill="1" applyBorder="1" applyAlignment="1">
      <alignment horizontal="center" vertical="center" wrapText="1"/>
    </xf>
    <xf numFmtId="0" fontId="130" fillId="0" borderId="26" xfId="4156" quotePrefix="1" applyFont="1" applyFill="1" applyBorder="1" applyAlignment="1">
      <alignment horizontal="center" vertical="center" wrapText="1"/>
    </xf>
    <xf numFmtId="0" fontId="130" fillId="0" borderId="27" xfId="4156" quotePrefix="1" applyFont="1" applyFill="1" applyBorder="1" applyAlignment="1">
      <alignment horizontal="center" vertical="center" wrapText="1"/>
    </xf>
    <xf numFmtId="0" fontId="130" fillId="0" borderId="20" xfId="4156" quotePrefix="1" applyFont="1" applyFill="1" applyBorder="1" applyAlignment="1">
      <alignment horizontal="center" vertical="center" wrapText="1"/>
    </xf>
    <xf numFmtId="0" fontId="130" fillId="0" borderId="0" xfId="4156" quotePrefix="1" applyFont="1" applyFill="1" applyBorder="1" applyAlignment="1">
      <alignment horizontal="center" vertical="center" wrapText="1"/>
    </xf>
    <xf numFmtId="0" fontId="130" fillId="0" borderId="21" xfId="4156" quotePrefix="1" applyFont="1" applyFill="1" applyBorder="1" applyAlignment="1">
      <alignment horizontal="center" vertical="center" wrapText="1"/>
    </xf>
    <xf numFmtId="0" fontId="130" fillId="0" borderId="22" xfId="4156" quotePrefix="1" applyFont="1" applyFill="1" applyBorder="1" applyAlignment="1">
      <alignment horizontal="center" vertical="center" wrapText="1"/>
    </xf>
    <xf numFmtId="0" fontId="130" fillId="0" borderId="23" xfId="4156" quotePrefix="1" applyFont="1" applyFill="1" applyBorder="1" applyAlignment="1">
      <alignment horizontal="center" vertical="center" wrapText="1"/>
    </xf>
    <xf numFmtId="0" fontId="130" fillId="0" borderId="24" xfId="4156" quotePrefix="1" applyFont="1" applyFill="1" applyBorder="1" applyAlignment="1">
      <alignment horizontal="center" vertical="center" wrapText="1"/>
    </xf>
    <xf numFmtId="0" fontId="131" fillId="33" borderId="36" xfId="49738" applyFont="1" applyFill="1" applyBorder="1" applyAlignment="1">
      <alignment horizontal="center" vertical="center"/>
    </xf>
    <xf numFmtId="0" fontId="128" fillId="0" borderId="25" xfId="32014" applyNumberFormat="1" applyFont="1" applyFill="1" applyBorder="1" applyAlignment="1">
      <alignment horizontal="center" vertical="center" wrapText="1"/>
    </xf>
    <xf numFmtId="0" fontId="128" fillId="0" borderId="26" xfId="32014" applyNumberFormat="1" applyFont="1" applyFill="1" applyBorder="1" applyAlignment="1">
      <alignment horizontal="center" vertical="center" wrapText="1"/>
    </xf>
    <xf numFmtId="0" fontId="128" fillId="0" borderId="27" xfId="32014" applyNumberFormat="1" applyFont="1" applyFill="1" applyBorder="1" applyAlignment="1">
      <alignment horizontal="center" vertical="center" wrapText="1"/>
    </xf>
    <xf numFmtId="0" fontId="128" fillId="0" borderId="20" xfId="32014" applyNumberFormat="1" applyFont="1" applyFill="1" applyBorder="1" applyAlignment="1">
      <alignment horizontal="center" vertical="center" wrapText="1"/>
    </xf>
    <xf numFmtId="0" fontId="128" fillId="0" borderId="0" xfId="32014" applyNumberFormat="1" applyFont="1" applyFill="1" applyBorder="1" applyAlignment="1">
      <alignment horizontal="center" vertical="center" wrapText="1"/>
    </xf>
    <xf numFmtId="0" fontId="128" fillId="0" borderId="21" xfId="32014" applyNumberFormat="1" applyFont="1" applyFill="1" applyBorder="1" applyAlignment="1">
      <alignment horizontal="center" vertical="center" wrapText="1"/>
    </xf>
    <xf numFmtId="0" fontId="128" fillId="0" borderId="22" xfId="32014" applyNumberFormat="1" applyFont="1" applyFill="1" applyBorder="1" applyAlignment="1">
      <alignment horizontal="center" vertical="center" wrapText="1"/>
    </xf>
    <xf numFmtId="0" fontId="128" fillId="0" borderId="23" xfId="32014" applyNumberFormat="1" applyFont="1" applyFill="1" applyBorder="1" applyAlignment="1">
      <alignment horizontal="center" vertical="center" wrapText="1"/>
    </xf>
    <xf numFmtId="0" fontId="128" fillId="0" borderId="24" xfId="32014" applyNumberFormat="1" applyFont="1" applyFill="1" applyBorder="1" applyAlignment="1">
      <alignment horizontal="center" vertical="center" wrapText="1"/>
    </xf>
    <xf numFmtId="0" fontId="128" fillId="0" borderId="17" xfId="4156" applyNumberFormat="1" applyFont="1" applyBorder="1" applyAlignment="1">
      <alignment horizontal="center" vertical="center" wrapText="1"/>
    </xf>
    <xf numFmtId="0" fontId="128" fillId="0" borderId="18" xfId="4156" applyNumberFormat="1" applyFont="1" applyBorder="1" applyAlignment="1">
      <alignment horizontal="center" vertical="center" wrapText="1"/>
    </xf>
    <xf numFmtId="0" fontId="128" fillId="0" borderId="19" xfId="4156" applyNumberFormat="1" applyFont="1" applyBorder="1" applyAlignment="1">
      <alignment horizontal="center" vertical="center" wrapText="1"/>
    </xf>
    <xf numFmtId="0" fontId="127" fillId="25" borderId="17" xfId="49727" applyFont="1" applyFill="1" applyBorder="1" applyAlignment="1">
      <alignment horizontal="center" vertical="center"/>
    </xf>
    <xf numFmtId="0" fontId="127" fillId="25" borderId="18" xfId="49727" applyFont="1" applyFill="1" applyBorder="1" applyAlignment="1">
      <alignment horizontal="center" vertical="center"/>
    </xf>
    <xf numFmtId="0" fontId="127" fillId="25" borderId="19" xfId="49727" applyFont="1" applyFill="1" applyBorder="1" applyAlignment="1">
      <alignment horizontal="center" vertical="center"/>
    </xf>
    <xf numFmtId="0" fontId="130" fillId="25" borderId="17" xfId="32014" applyFont="1" applyFill="1" applyBorder="1" applyAlignment="1">
      <alignment horizontal="center" vertical="center"/>
    </xf>
    <xf numFmtId="0" fontId="130" fillId="25" borderId="19" xfId="32014" applyFont="1" applyFill="1" applyBorder="1" applyAlignment="1">
      <alignment horizontal="center" vertical="center"/>
    </xf>
    <xf numFmtId="0" fontId="41" fillId="0" borderId="17" xfId="4156" applyBorder="1" applyAlignment="1">
      <alignment horizontal="center" vertical="center" wrapText="1"/>
    </xf>
    <xf numFmtId="0" fontId="41" fillId="0" borderId="19" xfId="4156" applyBorder="1" applyAlignment="1">
      <alignment horizontal="center" vertical="center" wrapText="1"/>
    </xf>
    <xf numFmtId="14" fontId="130" fillId="0" borderId="17" xfId="32014" quotePrefix="1" applyNumberFormat="1" applyFont="1" applyFill="1" applyBorder="1" applyAlignment="1">
      <alignment horizontal="center" vertical="center"/>
    </xf>
    <xf numFmtId="14" fontId="130" fillId="0" borderId="18" xfId="32014" quotePrefix="1" applyNumberFormat="1" applyFont="1" applyFill="1" applyBorder="1" applyAlignment="1">
      <alignment horizontal="center" vertical="center"/>
    </xf>
    <xf numFmtId="14" fontId="130" fillId="0" borderId="19" xfId="32014" quotePrefix="1" applyNumberFormat="1" applyFont="1" applyFill="1" applyBorder="1" applyAlignment="1">
      <alignment horizontal="center" vertical="center"/>
    </xf>
    <xf numFmtId="0" fontId="129" fillId="0" borderId="17" xfId="2500" applyFont="1" applyFill="1" applyBorder="1" applyAlignment="1">
      <alignment horizontal="center" vertical="center" wrapText="1"/>
    </xf>
    <xf numFmtId="0" fontId="129" fillId="0" borderId="18" xfId="2500" applyFont="1" applyFill="1" applyBorder="1" applyAlignment="1">
      <alignment horizontal="center" vertical="center" wrapText="1"/>
    </xf>
    <xf numFmtId="0" fontId="129" fillId="0" borderId="19" xfId="2500" applyFont="1" applyFill="1" applyBorder="1" applyAlignment="1">
      <alignment horizontal="center" vertical="center" wrapText="1"/>
    </xf>
    <xf numFmtId="0" fontId="130" fillId="0" borderId="17" xfId="32014" applyFont="1" applyFill="1" applyBorder="1" applyAlignment="1">
      <alignment horizontal="center" vertical="center" wrapText="1" shrinkToFit="1"/>
    </xf>
    <xf numFmtId="0" fontId="130" fillId="0" borderId="18" xfId="32014" applyFont="1" applyFill="1" applyBorder="1" applyAlignment="1">
      <alignment horizontal="center" vertical="center" wrapText="1" shrinkToFit="1"/>
    </xf>
    <xf numFmtId="0" fontId="130" fillId="0" borderId="19" xfId="32014" applyFont="1" applyFill="1" applyBorder="1" applyAlignment="1">
      <alignment horizontal="center" vertical="center" wrapText="1" shrinkToFit="1"/>
    </xf>
    <xf numFmtId="0" fontId="145" fillId="25" borderId="17" xfId="32014" applyNumberFormat="1" applyFont="1" applyFill="1" applyBorder="1" applyAlignment="1">
      <alignment horizontal="center" vertical="center" wrapText="1"/>
    </xf>
    <xf numFmtId="0" fontId="145" fillId="25" borderId="18" xfId="32014" applyNumberFormat="1" applyFont="1" applyFill="1" applyBorder="1" applyAlignment="1">
      <alignment horizontal="center" vertical="center" wrapText="1"/>
    </xf>
    <xf numFmtId="0" fontId="145" fillId="25" borderId="19" xfId="32014" applyNumberFormat="1" applyFont="1" applyFill="1" applyBorder="1" applyAlignment="1">
      <alignment horizontal="center" vertical="center" wrapText="1"/>
    </xf>
    <xf numFmtId="0" fontId="128" fillId="0" borderId="17" xfId="2500" quotePrefix="1" applyFont="1" applyFill="1" applyBorder="1" applyAlignment="1">
      <alignment horizontal="center" vertical="center"/>
    </xf>
    <xf numFmtId="0" fontId="128" fillId="0" borderId="18" xfId="2500" quotePrefix="1" applyFont="1" applyFill="1" applyBorder="1" applyAlignment="1">
      <alignment horizontal="center" vertical="center"/>
    </xf>
    <xf numFmtId="0" fontId="128" fillId="0" borderId="19" xfId="2500" quotePrefix="1" applyFont="1" applyFill="1" applyBorder="1" applyAlignment="1">
      <alignment horizontal="center" vertical="center"/>
    </xf>
    <xf numFmtId="0" fontId="128" fillId="0" borderId="17" xfId="2500" applyFont="1" applyFill="1" applyBorder="1" applyAlignment="1">
      <alignment horizontal="center" vertical="center" wrapText="1"/>
    </xf>
    <xf numFmtId="0" fontId="128" fillId="0" borderId="18" xfId="2500" applyFont="1" applyFill="1" applyBorder="1" applyAlignment="1">
      <alignment horizontal="center" vertical="center" wrapText="1"/>
    </xf>
    <xf numFmtId="0" fontId="128" fillId="0" borderId="19" xfId="2500" applyFont="1" applyFill="1" applyBorder="1" applyAlignment="1">
      <alignment horizontal="center" vertical="center" wrapText="1"/>
    </xf>
    <xf numFmtId="0" fontId="128" fillId="0" borderId="17" xfId="2500" applyFont="1" applyFill="1" applyBorder="1" applyAlignment="1">
      <alignment horizontal="center" vertical="center"/>
    </xf>
    <xf numFmtId="0" fontId="128" fillId="0" borderId="18" xfId="2500" applyFont="1" applyFill="1" applyBorder="1" applyAlignment="1">
      <alignment horizontal="center" vertical="center"/>
    </xf>
    <xf numFmtId="0" fontId="128" fillId="0" borderId="19" xfId="2500" applyFont="1" applyFill="1" applyBorder="1" applyAlignment="1">
      <alignment horizontal="center" vertical="center"/>
    </xf>
    <xf numFmtId="0" fontId="129" fillId="0" borderId="17" xfId="2500" applyFont="1" applyBorder="1" applyAlignment="1">
      <alignment horizontal="center" vertical="center" wrapText="1"/>
    </xf>
    <xf numFmtId="0" fontId="129" fillId="0" borderId="18" xfId="2500" applyFont="1" applyBorder="1" applyAlignment="1">
      <alignment horizontal="center" vertical="center" wrapText="1"/>
    </xf>
    <xf numFmtId="0" fontId="129" fillId="0" borderId="19" xfId="2500" applyFont="1" applyBorder="1" applyAlignment="1">
      <alignment horizontal="center" vertical="center" wrapText="1"/>
    </xf>
    <xf numFmtId="0" fontId="128" fillId="39" borderId="17" xfId="2500" applyNumberFormat="1" applyFont="1" applyFill="1" applyBorder="1" applyAlignment="1">
      <alignment horizontal="center" vertical="center"/>
    </xf>
    <xf numFmtId="0" fontId="128" fillId="39" borderId="18" xfId="2500" applyNumberFormat="1" applyFont="1" applyFill="1" applyBorder="1" applyAlignment="1">
      <alignment horizontal="center" vertical="center"/>
    </xf>
    <xf numFmtId="0" fontId="128" fillId="39" borderId="19" xfId="2500" applyNumberFormat="1" applyFont="1" applyFill="1" applyBorder="1" applyAlignment="1">
      <alignment horizontal="center" vertical="center"/>
    </xf>
    <xf numFmtId="0" fontId="144" fillId="39" borderId="17" xfId="32014" applyFont="1" applyFill="1" applyBorder="1" applyAlignment="1">
      <alignment horizontal="center" vertical="center" wrapText="1"/>
    </xf>
    <xf numFmtId="0" fontId="130" fillId="39" borderId="18" xfId="32014" applyFont="1" applyFill="1" applyBorder="1" applyAlignment="1">
      <alignment horizontal="center" vertical="center" wrapText="1"/>
    </xf>
    <xf numFmtId="0" fontId="130" fillId="39" borderId="19" xfId="32014" applyFont="1" applyFill="1" applyBorder="1" applyAlignment="1">
      <alignment horizontal="center" vertical="center" wrapText="1"/>
    </xf>
    <xf numFmtId="0" fontId="128" fillId="0" borderId="25" xfId="2500" applyFont="1" applyFill="1" applyBorder="1" applyAlignment="1">
      <alignment horizontal="center" vertical="center" wrapText="1"/>
    </xf>
    <xf numFmtId="0" fontId="128" fillId="0" borderId="26" xfId="2500" applyFont="1" applyFill="1" applyBorder="1" applyAlignment="1">
      <alignment horizontal="center" vertical="center" wrapText="1"/>
    </xf>
    <xf numFmtId="0" fontId="128" fillId="0" borderId="27" xfId="2500" applyFont="1" applyFill="1" applyBorder="1" applyAlignment="1">
      <alignment horizontal="center" vertical="center" wrapText="1"/>
    </xf>
    <xf numFmtId="0" fontId="128" fillId="0" borderId="20" xfId="2500" applyFont="1" applyFill="1" applyBorder="1" applyAlignment="1">
      <alignment horizontal="center" vertical="center" wrapText="1"/>
    </xf>
    <xf numFmtId="0" fontId="128" fillId="0" borderId="0" xfId="2500" applyFont="1" applyFill="1" applyBorder="1" applyAlignment="1">
      <alignment horizontal="center" vertical="center" wrapText="1"/>
    </xf>
    <xf numFmtId="0" fontId="128" fillId="0" borderId="21" xfId="2500" applyFont="1" applyFill="1" applyBorder="1" applyAlignment="1">
      <alignment horizontal="center" vertical="center" wrapText="1"/>
    </xf>
    <xf numFmtId="0" fontId="128" fillId="0" borderId="22" xfId="2500" applyFont="1" applyFill="1" applyBorder="1" applyAlignment="1">
      <alignment horizontal="center" vertical="center" wrapText="1"/>
    </xf>
    <xf numFmtId="0" fontId="128" fillId="0" borderId="23" xfId="2500" applyFont="1" applyFill="1" applyBorder="1" applyAlignment="1">
      <alignment horizontal="center" vertical="center" wrapText="1"/>
    </xf>
    <xf numFmtId="0" fontId="128" fillId="0" borderId="24" xfId="2500" applyFont="1" applyFill="1" applyBorder="1" applyAlignment="1">
      <alignment horizontal="center" vertical="center" wrapText="1"/>
    </xf>
    <xf numFmtId="0" fontId="104" fillId="0" borderId="17" xfId="32014" quotePrefix="1" applyFont="1" applyFill="1" applyBorder="1" applyAlignment="1">
      <alignment horizontal="center" vertical="center" wrapText="1"/>
    </xf>
    <xf numFmtId="0" fontId="104" fillId="0" borderId="18" xfId="32014" quotePrefix="1" applyFont="1" applyFill="1" applyBorder="1" applyAlignment="1">
      <alignment horizontal="center" vertical="center" wrapText="1"/>
    </xf>
    <xf numFmtId="0" fontId="104" fillId="0" borderId="19" xfId="32014" quotePrefix="1" applyFont="1" applyFill="1" applyBorder="1" applyAlignment="1">
      <alignment horizontal="center" vertical="center" wrapText="1"/>
    </xf>
    <xf numFmtId="41" fontId="128" fillId="0" borderId="17" xfId="49719" applyFont="1" applyFill="1" applyBorder="1" applyAlignment="1">
      <alignment vertical="center" wrapText="1"/>
    </xf>
    <xf numFmtId="41" fontId="128" fillId="0" borderId="18" xfId="49719" applyFont="1" applyFill="1" applyBorder="1" applyAlignment="1">
      <alignment vertical="center" wrapText="1"/>
    </xf>
    <xf numFmtId="41" fontId="128" fillId="0" borderId="19" xfId="49719" applyFont="1" applyFill="1" applyBorder="1" applyAlignment="1">
      <alignment vertical="center" wrapText="1"/>
    </xf>
    <xf numFmtId="14" fontId="145" fillId="0" borderId="17" xfId="49719" quotePrefix="1" applyNumberFormat="1" applyFont="1" applyFill="1" applyBorder="1" applyAlignment="1">
      <alignment horizontal="center" vertical="center"/>
    </xf>
    <xf numFmtId="14" fontId="145" fillId="0" borderId="18" xfId="49719" quotePrefix="1" applyNumberFormat="1" applyFont="1" applyFill="1" applyBorder="1" applyAlignment="1">
      <alignment horizontal="center" vertical="center"/>
    </xf>
    <xf numFmtId="14" fontId="145" fillId="0" borderId="19" xfId="49719" quotePrefix="1" applyNumberFormat="1" applyFont="1" applyFill="1" applyBorder="1" applyAlignment="1">
      <alignment horizontal="center" vertical="center"/>
    </xf>
    <xf numFmtId="192" fontId="128" fillId="0" borderId="17" xfId="2500" applyNumberFormat="1" applyFont="1" applyFill="1" applyBorder="1" applyAlignment="1">
      <alignment horizontal="center" vertical="center"/>
    </xf>
    <xf numFmtId="192" fontId="128" fillId="0" borderId="18" xfId="2500" applyNumberFormat="1" applyFont="1" applyFill="1" applyBorder="1" applyAlignment="1">
      <alignment horizontal="center" vertical="center"/>
    </xf>
    <xf numFmtId="192" fontId="128" fillId="0" borderId="19" xfId="2500" applyNumberFormat="1" applyFont="1" applyFill="1" applyBorder="1" applyAlignment="1">
      <alignment horizontal="center" vertical="center"/>
    </xf>
    <xf numFmtId="0" fontId="145" fillId="0" borderId="17" xfId="32014" applyNumberFormat="1" applyFont="1" applyFill="1" applyBorder="1" applyAlignment="1">
      <alignment horizontal="center" vertical="center" wrapText="1"/>
    </xf>
    <xf numFmtId="0" fontId="145" fillId="0" borderId="18" xfId="32014" applyNumberFormat="1" applyFont="1" applyFill="1" applyBorder="1" applyAlignment="1">
      <alignment horizontal="center" vertical="center" wrapText="1"/>
    </xf>
    <xf numFmtId="0" fontId="145" fillId="0" borderId="19" xfId="32014" applyNumberFormat="1" applyFont="1" applyFill="1" applyBorder="1" applyAlignment="1">
      <alignment horizontal="center" vertical="center" wrapText="1"/>
    </xf>
    <xf numFmtId="0" fontId="157" fillId="0" borderId="25" xfId="4156" applyFont="1" applyBorder="1" applyAlignment="1">
      <alignment horizontal="center" vertical="center"/>
    </xf>
    <xf numFmtId="0" fontId="157" fillId="0" borderId="26" xfId="4156" applyFont="1" applyBorder="1" applyAlignment="1">
      <alignment horizontal="center" vertical="center"/>
    </xf>
    <xf numFmtId="0" fontId="157" fillId="0" borderId="27" xfId="4156" applyFont="1" applyBorder="1" applyAlignment="1">
      <alignment horizontal="center" vertical="center"/>
    </xf>
    <xf numFmtId="0" fontId="157" fillId="0" borderId="20" xfId="4156" applyFont="1" applyBorder="1" applyAlignment="1">
      <alignment horizontal="center" vertical="center"/>
    </xf>
    <xf numFmtId="0" fontId="157" fillId="0" borderId="0" xfId="4156" applyFont="1" applyAlignment="1">
      <alignment horizontal="center" vertical="center"/>
    </xf>
    <xf numFmtId="0" fontId="157" fillId="0" borderId="21" xfId="4156" applyFont="1" applyBorder="1" applyAlignment="1">
      <alignment horizontal="center" vertical="center"/>
    </xf>
    <xf numFmtId="0" fontId="157" fillId="0" borderId="22" xfId="4156" applyFont="1" applyBorder="1" applyAlignment="1">
      <alignment horizontal="center" vertical="center"/>
    </xf>
    <xf numFmtId="0" fontId="157" fillId="0" borderId="23" xfId="4156" applyFont="1" applyBorder="1" applyAlignment="1">
      <alignment horizontal="center" vertical="center"/>
    </xf>
    <xf numFmtId="0" fontId="157" fillId="0" borderId="24" xfId="4156" applyFont="1" applyBorder="1" applyAlignment="1">
      <alignment horizontal="center" vertical="center"/>
    </xf>
    <xf numFmtId="0" fontId="130" fillId="0" borderId="17" xfId="2500" applyFont="1" applyBorder="1" applyAlignment="1">
      <alignment horizontal="center" vertical="center" wrapText="1"/>
    </xf>
    <xf numFmtId="0" fontId="130" fillId="0" borderId="18" xfId="2500" applyFont="1" applyBorder="1" applyAlignment="1">
      <alignment horizontal="center" vertical="center" wrapText="1"/>
    </xf>
    <xf numFmtId="0" fontId="130" fillId="0" borderId="19" xfId="2500" applyFont="1" applyBorder="1" applyAlignment="1">
      <alignment horizontal="center" vertical="center" wrapText="1"/>
    </xf>
    <xf numFmtId="41" fontId="134" fillId="33" borderId="35" xfId="49719" applyFont="1" applyFill="1" applyBorder="1" applyAlignment="1">
      <alignment horizontal="center" vertical="center"/>
    </xf>
    <xf numFmtId="41" fontId="134" fillId="33" borderId="2" xfId="49719" applyFont="1" applyFill="1" applyBorder="1" applyAlignment="1">
      <alignment horizontal="center" vertical="center"/>
    </xf>
    <xf numFmtId="41" fontId="134" fillId="33" borderId="36" xfId="49719" applyFont="1" applyFill="1" applyBorder="1" applyAlignment="1">
      <alignment horizontal="center" vertical="center"/>
    </xf>
    <xf numFmtId="17" fontId="130" fillId="0" borderId="17" xfId="2500" quotePrefix="1" applyNumberFormat="1" applyFont="1" applyBorder="1" applyAlignment="1">
      <alignment horizontal="center" vertical="center"/>
    </xf>
    <xf numFmtId="17" fontId="130" fillId="0" borderId="18" xfId="2500" quotePrefix="1" applyNumberFormat="1" applyFont="1" applyBorder="1" applyAlignment="1">
      <alignment horizontal="center" vertical="center"/>
    </xf>
    <xf numFmtId="17" fontId="130" fillId="0" borderId="19" xfId="2500" quotePrefix="1" applyNumberFormat="1" applyFont="1" applyBorder="1" applyAlignment="1">
      <alignment horizontal="center" vertical="center"/>
    </xf>
    <xf numFmtId="49" fontId="128" fillId="39" borderId="17" xfId="32014" applyNumberFormat="1" applyFont="1" applyFill="1" applyBorder="1" applyAlignment="1">
      <alignment horizontal="center" vertical="center" wrapText="1"/>
    </xf>
    <xf numFmtId="49" fontId="128" fillId="39" borderId="18" xfId="32014" applyNumberFormat="1" applyFont="1" applyFill="1" applyBorder="1" applyAlignment="1">
      <alignment horizontal="center" vertical="center" wrapText="1"/>
    </xf>
    <xf numFmtId="49" fontId="128" fillId="39" borderId="19" xfId="32014" applyNumberFormat="1" applyFont="1" applyFill="1" applyBorder="1" applyAlignment="1">
      <alignment horizontal="center" vertical="center" wrapText="1"/>
    </xf>
    <xf numFmtId="14" fontId="128" fillId="39" borderId="18" xfId="49719" quotePrefix="1" applyNumberFormat="1" applyFont="1" applyFill="1" applyBorder="1" applyAlignment="1">
      <alignment horizontal="center" vertical="center"/>
    </xf>
    <xf numFmtId="14" fontId="128" fillId="39" borderId="19" xfId="49719" quotePrefix="1" applyNumberFormat="1" applyFont="1" applyFill="1" applyBorder="1" applyAlignment="1">
      <alignment horizontal="center" vertical="center"/>
    </xf>
    <xf numFmtId="192" fontId="128" fillId="0" borderId="17" xfId="2500" quotePrefix="1" applyNumberFormat="1" applyFont="1" applyFill="1" applyBorder="1" applyAlignment="1">
      <alignment horizontal="center" vertical="center"/>
    </xf>
    <xf numFmtId="192" fontId="128" fillId="0" borderId="18" xfId="2500" quotePrefix="1" applyNumberFormat="1" applyFont="1" applyFill="1" applyBorder="1" applyAlignment="1">
      <alignment horizontal="center" vertical="center"/>
    </xf>
    <xf numFmtId="192" fontId="128" fillId="0" borderId="19" xfId="2500" quotePrefix="1" applyNumberFormat="1" applyFont="1" applyFill="1" applyBorder="1" applyAlignment="1">
      <alignment horizontal="center" vertical="center"/>
    </xf>
    <xf numFmtId="0" fontId="128" fillId="0" borderId="17" xfId="116" applyNumberFormat="1" applyFont="1" applyBorder="1" applyAlignment="1">
      <alignment horizontal="center" vertical="center" wrapText="1"/>
    </xf>
    <xf numFmtId="0" fontId="128" fillId="0" borderId="18" xfId="116" applyNumberFormat="1" applyFont="1" applyBorder="1" applyAlignment="1">
      <alignment horizontal="center" vertical="center" wrapText="1"/>
    </xf>
    <xf numFmtId="0" fontId="128" fillId="0" borderId="19" xfId="116" applyNumberFormat="1" applyFont="1" applyBorder="1" applyAlignment="1">
      <alignment horizontal="center" vertical="center" wrapText="1"/>
    </xf>
    <xf numFmtId="0" fontId="128" fillId="0" borderId="17" xfId="2500" applyFont="1" applyBorder="1" applyAlignment="1">
      <alignment horizontal="center" vertical="center"/>
    </xf>
    <xf numFmtId="0" fontId="128" fillId="0" borderId="18" xfId="2500" applyFont="1" applyBorder="1" applyAlignment="1">
      <alignment horizontal="center" vertical="center"/>
    </xf>
    <xf numFmtId="0" fontId="128" fillId="0" borderId="19" xfId="2500" applyFont="1" applyBorder="1" applyAlignment="1">
      <alignment horizontal="center" vertical="center"/>
    </xf>
    <xf numFmtId="0" fontId="130" fillId="0" borderId="17" xfId="2500" applyFont="1" applyBorder="1" applyAlignment="1">
      <alignment horizontal="center" vertical="center"/>
    </xf>
    <xf numFmtId="0" fontId="130" fillId="0" borderId="18" xfId="2500" applyFont="1" applyBorder="1" applyAlignment="1">
      <alignment horizontal="center" vertical="center"/>
    </xf>
    <xf numFmtId="0" fontId="130" fillId="0" borderId="19" xfId="2500" applyFont="1" applyBorder="1" applyAlignment="1">
      <alignment horizontal="center" vertical="center"/>
    </xf>
    <xf numFmtId="0" fontId="128" fillId="39" borderId="17" xfId="2500" applyFont="1" applyFill="1" applyBorder="1" applyAlignment="1">
      <alignment horizontal="center" vertical="center"/>
    </xf>
    <xf numFmtId="0" fontId="128" fillId="39" borderId="18" xfId="2500" applyFont="1" applyFill="1" applyBorder="1" applyAlignment="1">
      <alignment horizontal="center" vertical="center"/>
    </xf>
    <xf numFmtId="0" fontId="128" fillId="39" borderId="19" xfId="2500" applyFont="1" applyFill="1" applyBorder="1" applyAlignment="1">
      <alignment horizontal="center" vertical="center"/>
    </xf>
    <xf numFmtId="49" fontId="130" fillId="0" borderId="17" xfId="32014" applyNumberFormat="1" applyFont="1" applyFill="1" applyBorder="1" applyAlignment="1">
      <alignment horizontal="center" vertical="center"/>
    </xf>
    <xf numFmtId="49" fontId="130" fillId="0" borderId="18" xfId="32014" applyNumberFormat="1" applyFont="1" applyFill="1" applyBorder="1" applyAlignment="1">
      <alignment horizontal="center" vertical="center"/>
    </xf>
    <xf numFmtId="49" fontId="130" fillId="0" borderId="19" xfId="32014" applyNumberFormat="1" applyFont="1" applyFill="1" applyBorder="1" applyAlignment="1">
      <alignment horizontal="center" vertical="center"/>
    </xf>
    <xf numFmtId="0" fontId="128" fillId="0" borderId="17" xfId="116" applyNumberFormat="1" applyFont="1" applyFill="1" applyBorder="1" applyAlignment="1">
      <alignment horizontal="center" vertical="center" wrapText="1" shrinkToFit="1"/>
    </xf>
    <xf numFmtId="0" fontId="128" fillId="0" borderId="18" xfId="116" applyNumberFormat="1" applyFont="1" applyFill="1" applyBorder="1" applyAlignment="1">
      <alignment horizontal="center" vertical="center" wrapText="1" shrinkToFit="1"/>
    </xf>
    <xf numFmtId="0" fontId="128" fillId="0" borderId="19" xfId="116" applyNumberFormat="1" applyFont="1" applyFill="1" applyBorder="1" applyAlignment="1">
      <alignment horizontal="center" vertical="center" wrapText="1" shrinkToFit="1"/>
    </xf>
    <xf numFmtId="0" fontId="130" fillId="39" borderId="17" xfId="2500" applyFont="1" applyFill="1" applyBorder="1" applyAlignment="1">
      <alignment horizontal="center" vertical="center" wrapText="1"/>
    </xf>
    <xf numFmtId="0" fontId="130" fillId="39" borderId="18" xfId="2500" applyFont="1" applyFill="1" applyBorder="1" applyAlignment="1">
      <alignment horizontal="center" vertical="center" wrapText="1"/>
    </xf>
    <xf numFmtId="0" fontId="130" fillId="39" borderId="19" xfId="2500" applyFont="1" applyFill="1" applyBorder="1" applyAlignment="1">
      <alignment horizontal="center" vertical="center" wrapText="1"/>
    </xf>
    <xf numFmtId="0" fontId="129" fillId="0" borderId="17" xfId="2500" applyFont="1" applyFill="1" applyBorder="1" applyAlignment="1">
      <alignment horizontal="center" vertical="center"/>
    </xf>
    <xf numFmtId="0" fontId="129" fillId="0" borderId="18" xfId="2500" applyFont="1" applyFill="1" applyBorder="1" applyAlignment="1">
      <alignment horizontal="center" vertical="center"/>
    </xf>
    <xf numFmtId="0" fontId="129" fillId="0" borderId="19" xfId="2500" applyFont="1" applyFill="1" applyBorder="1" applyAlignment="1">
      <alignment horizontal="center" vertical="center"/>
    </xf>
    <xf numFmtId="0" fontId="129" fillId="0" borderId="17" xfId="2500" applyFont="1" applyBorder="1" applyAlignment="1">
      <alignment horizontal="center" vertical="center"/>
    </xf>
    <xf numFmtId="0" fontId="129" fillId="0" borderId="18" xfId="2500" applyFont="1" applyBorder="1" applyAlignment="1">
      <alignment horizontal="center" vertical="center"/>
    </xf>
    <xf numFmtId="0" fontId="129" fillId="0" borderId="19" xfId="2500" applyFont="1" applyBorder="1" applyAlignment="1">
      <alignment horizontal="center" vertical="center"/>
    </xf>
    <xf numFmtId="0" fontId="130" fillId="0" borderId="17" xfId="49719" quotePrefix="1" applyNumberFormat="1" applyFont="1" applyFill="1" applyBorder="1" applyAlignment="1">
      <alignment horizontal="center" vertical="center"/>
    </xf>
    <xf numFmtId="0" fontId="130" fillId="0" borderId="18" xfId="49719" quotePrefix="1" applyNumberFormat="1" applyFont="1" applyFill="1" applyBorder="1" applyAlignment="1">
      <alignment horizontal="center" vertical="center"/>
    </xf>
    <xf numFmtId="0" fontId="130" fillId="0" borderId="19" xfId="49719" quotePrefix="1" applyNumberFormat="1" applyFont="1" applyFill="1" applyBorder="1" applyAlignment="1">
      <alignment horizontal="center" vertical="center"/>
    </xf>
    <xf numFmtId="14" fontId="128" fillId="0" borderId="17" xfId="2500" applyNumberFormat="1" applyFont="1" applyFill="1" applyBorder="1" applyAlignment="1">
      <alignment horizontal="center" vertical="center"/>
    </xf>
    <xf numFmtId="14" fontId="128" fillId="0" borderId="18" xfId="2500" applyNumberFormat="1" applyFont="1" applyFill="1" applyBorder="1" applyAlignment="1">
      <alignment horizontal="center" vertical="center"/>
    </xf>
    <xf numFmtId="14" fontId="128" fillId="0" borderId="19" xfId="2500" applyNumberFormat="1" applyFont="1" applyFill="1" applyBorder="1" applyAlignment="1">
      <alignment horizontal="center" vertical="center"/>
    </xf>
    <xf numFmtId="0" fontId="145" fillId="0" borderId="17" xfId="2500" quotePrefix="1" applyFont="1" applyFill="1" applyBorder="1" applyAlignment="1">
      <alignment horizontal="center" vertical="center"/>
    </xf>
    <xf numFmtId="14" fontId="128" fillId="0" borderId="17" xfId="2500" quotePrefix="1" applyNumberFormat="1" applyFont="1" applyFill="1" applyBorder="1" applyAlignment="1">
      <alignment horizontal="center" vertical="center"/>
    </xf>
    <xf numFmtId="14" fontId="128" fillId="0" borderId="18" xfId="2500" quotePrefix="1" applyNumberFormat="1" applyFont="1" applyFill="1" applyBorder="1" applyAlignment="1">
      <alignment horizontal="center" vertical="center"/>
    </xf>
    <xf numFmtId="14" fontId="128" fillId="0" borderId="19" xfId="2500" quotePrefix="1" applyNumberFormat="1" applyFont="1" applyFill="1" applyBorder="1" applyAlignment="1">
      <alignment horizontal="center" vertical="center"/>
    </xf>
    <xf numFmtId="0" fontId="134" fillId="0" borderId="17" xfId="32014" applyFont="1" applyFill="1" applyBorder="1" applyAlignment="1">
      <alignment horizontal="center" vertical="center" wrapText="1"/>
    </xf>
    <xf numFmtId="0" fontId="134" fillId="0" borderId="18" xfId="32014" applyFont="1" applyFill="1" applyBorder="1" applyAlignment="1">
      <alignment horizontal="center" vertical="center" wrapText="1"/>
    </xf>
    <xf numFmtId="0" fontId="134" fillId="0" borderId="19" xfId="32014" applyFont="1" applyFill="1" applyBorder="1" applyAlignment="1">
      <alignment horizontal="center" vertical="center" wrapText="1"/>
    </xf>
    <xf numFmtId="0" fontId="104" fillId="0" borderId="18" xfId="32014" applyFont="1" applyFill="1" applyBorder="1" applyAlignment="1">
      <alignment horizontal="center" vertical="center" wrapText="1"/>
    </xf>
    <xf numFmtId="0" fontId="104" fillId="0" borderId="19" xfId="32014" applyFont="1" applyFill="1" applyBorder="1" applyAlignment="1">
      <alignment horizontal="center" vertical="center" wrapText="1"/>
    </xf>
    <xf numFmtId="0" fontId="127" fillId="25" borderId="17" xfId="32014" quotePrefix="1" applyFont="1" applyFill="1" applyBorder="1" applyAlignment="1">
      <alignment horizontal="center" vertical="center"/>
    </xf>
    <xf numFmtId="0" fontId="127" fillId="25" borderId="18" xfId="32014" quotePrefix="1" applyFont="1" applyFill="1" applyBorder="1" applyAlignment="1">
      <alignment horizontal="center" vertical="center"/>
    </xf>
    <xf numFmtId="0" fontId="127" fillId="25" borderId="19" xfId="32014" quotePrefix="1" applyFont="1" applyFill="1" applyBorder="1" applyAlignment="1">
      <alignment horizontal="center" vertical="center"/>
    </xf>
    <xf numFmtId="192" fontId="128" fillId="0" borderId="17" xfId="2500" applyNumberFormat="1" applyFont="1" applyFill="1" applyBorder="1" applyAlignment="1">
      <alignment horizontal="center" vertical="center" wrapText="1"/>
    </xf>
    <xf numFmtId="192" fontId="128" fillId="0" borderId="18" xfId="2500" applyNumberFormat="1" applyFont="1" applyFill="1" applyBorder="1" applyAlignment="1">
      <alignment horizontal="center" vertical="center" wrapText="1"/>
    </xf>
    <xf numFmtId="192" fontId="128" fillId="0" borderId="19" xfId="2500" applyNumberFormat="1" applyFont="1" applyFill="1" applyBorder="1" applyAlignment="1">
      <alignment horizontal="center" vertical="center" wrapText="1"/>
    </xf>
    <xf numFmtId="0" fontId="134" fillId="0" borderId="17" xfId="49719" quotePrefix="1" applyNumberFormat="1" applyFont="1" applyFill="1" applyBorder="1" applyAlignment="1">
      <alignment horizontal="center" vertical="center"/>
    </xf>
    <xf numFmtId="0" fontId="134" fillId="0" borderId="18" xfId="49719" quotePrefix="1" applyNumberFormat="1" applyFont="1" applyFill="1" applyBorder="1" applyAlignment="1">
      <alignment horizontal="center" vertical="center"/>
    </xf>
    <xf numFmtId="0" fontId="134" fillId="0" borderId="19" xfId="49719" quotePrefix="1" applyNumberFormat="1" applyFont="1" applyFill="1" applyBorder="1" applyAlignment="1">
      <alignment horizontal="center" vertical="center"/>
    </xf>
    <xf numFmtId="0" fontId="129" fillId="0" borderId="27" xfId="2500" applyFont="1" applyFill="1" applyBorder="1" applyAlignment="1">
      <alignment horizontal="center" vertical="center"/>
    </xf>
    <xf numFmtId="0" fontId="129" fillId="0" borderId="21" xfId="2500" applyFont="1" applyFill="1" applyBorder="1" applyAlignment="1">
      <alignment horizontal="center" vertical="center"/>
    </xf>
    <xf numFmtId="0" fontId="129" fillId="0" borderId="24" xfId="2500" applyFont="1" applyFill="1" applyBorder="1" applyAlignment="1">
      <alignment horizontal="center" vertical="center"/>
    </xf>
    <xf numFmtId="0" fontId="118" fillId="35" borderId="25" xfId="116" applyFont="1" applyFill="1" applyBorder="1" applyAlignment="1">
      <alignment horizontal="center" vertical="center" wrapText="1"/>
    </xf>
    <xf numFmtId="0" fontId="118" fillId="35" borderId="26" xfId="116" applyFont="1" applyFill="1" applyBorder="1" applyAlignment="1">
      <alignment horizontal="center" vertical="center" wrapText="1"/>
    </xf>
    <xf numFmtId="0" fontId="118" fillId="35" borderId="27" xfId="116" applyFont="1" applyFill="1" applyBorder="1" applyAlignment="1">
      <alignment horizontal="center" vertical="center" wrapText="1"/>
    </xf>
    <xf numFmtId="0" fontId="127" fillId="25" borderId="27" xfId="32014" applyFont="1" applyFill="1" applyBorder="1" applyAlignment="1">
      <alignment horizontal="center" vertical="center"/>
    </xf>
    <xf numFmtId="0" fontId="127" fillId="25" borderId="21" xfId="32014" applyFont="1" applyFill="1" applyBorder="1" applyAlignment="1">
      <alignment horizontal="center" vertical="center"/>
    </xf>
    <xf numFmtId="0" fontId="149" fillId="0" borderId="27" xfId="49732" applyFont="1" applyFill="1" applyBorder="1" applyAlignment="1">
      <alignment horizontal="center" vertical="center"/>
    </xf>
    <xf numFmtId="0" fontId="149" fillId="0" borderId="24" xfId="49732" applyFont="1" applyFill="1" applyBorder="1" applyAlignment="1">
      <alignment horizontal="center" vertical="center"/>
    </xf>
    <xf numFmtId="0" fontId="130" fillId="25" borderId="17" xfId="4156" applyFont="1" applyFill="1" applyBorder="1" applyAlignment="1">
      <alignment horizontal="center" vertical="center" wrapText="1"/>
    </xf>
    <xf numFmtId="0" fontId="130" fillId="25" borderId="18" xfId="4156" applyFont="1" applyFill="1" applyBorder="1" applyAlignment="1">
      <alignment horizontal="center" vertical="center" wrapText="1"/>
    </xf>
    <xf numFmtId="0" fontId="130" fillId="25" borderId="19" xfId="4156" applyFont="1" applyFill="1" applyBorder="1" applyAlignment="1">
      <alignment horizontal="center" vertical="center" wrapText="1"/>
    </xf>
    <xf numFmtId="0" fontId="130" fillId="25" borderId="17" xfId="32014" applyFont="1" applyFill="1" applyBorder="1" applyAlignment="1">
      <alignment horizontal="center" vertical="center" wrapText="1"/>
    </xf>
    <xf numFmtId="0" fontId="130" fillId="25" borderId="18" xfId="32014" applyFont="1" applyFill="1" applyBorder="1" applyAlignment="1">
      <alignment horizontal="center" vertical="center" wrapText="1"/>
    </xf>
    <xf numFmtId="0" fontId="130" fillId="25" borderId="19" xfId="32014" applyFont="1" applyFill="1" applyBorder="1" applyAlignment="1">
      <alignment horizontal="center" vertical="center" wrapText="1"/>
    </xf>
    <xf numFmtId="0" fontId="108" fillId="0" borderId="23" xfId="116" applyFont="1" applyBorder="1" applyAlignment="1">
      <alignment horizontal="left" vertical="center"/>
    </xf>
    <xf numFmtId="0" fontId="107" fillId="36" borderId="3" xfId="116" applyFont="1" applyFill="1" applyBorder="1" applyAlignment="1">
      <alignment horizontal="center" vertical="center"/>
    </xf>
    <xf numFmtId="0" fontId="107" fillId="36" borderId="25" xfId="116" applyFont="1" applyFill="1" applyBorder="1" applyAlignment="1">
      <alignment horizontal="center" vertical="center" wrapText="1"/>
    </xf>
    <xf numFmtId="0" fontId="107" fillId="36" borderId="26" xfId="116" applyFont="1" applyFill="1" applyBorder="1" applyAlignment="1">
      <alignment horizontal="center" vertical="center" wrapText="1"/>
    </xf>
    <xf numFmtId="0" fontId="107" fillId="36" borderId="27" xfId="116" applyFont="1" applyFill="1" applyBorder="1" applyAlignment="1">
      <alignment horizontal="center" vertical="center" wrapText="1"/>
    </xf>
    <xf numFmtId="0" fontId="107" fillId="36" borderId="20" xfId="116" applyFont="1" applyFill="1" applyBorder="1" applyAlignment="1">
      <alignment horizontal="center" vertical="center" wrapText="1"/>
    </xf>
    <xf numFmtId="0" fontId="107" fillId="36" borderId="0" xfId="116" applyFont="1" applyFill="1" applyBorder="1" applyAlignment="1">
      <alignment horizontal="center" vertical="center" wrapText="1"/>
    </xf>
    <xf numFmtId="0" fontId="107" fillId="36" borderId="21" xfId="116" applyFont="1" applyFill="1" applyBorder="1" applyAlignment="1">
      <alignment horizontal="center" vertical="center" wrapText="1"/>
    </xf>
    <xf numFmtId="0" fontId="107" fillId="36" borderId="22" xfId="116" applyFont="1" applyFill="1" applyBorder="1" applyAlignment="1">
      <alignment horizontal="center" vertical="center" wrapText="1"/>
    </xf>
    <xf numFmtId="0" fontId="107" fillId="36" borderId="23" xfId="116" applyFont="1" applyFill="1" applyBorder="1" applyAlignment="1">
      <alignment horizontal="center" vertical="center" wrapText="1"/>
    </xf>
    <xf numFmtId="0" fontId="107" fillId="36" borderId="24" xfId="116" applyFont="1" applyFill="1" applyBorder="1" applyAlignment="1">
      <alignment horizontal="center" vertical="center" wrapText="1"/>
    </xf>
    <xf numFmtId="0" fontId="135" fillId="27" borderId="25" xfId="3340" applyNumberFormat="1" applyFont="1" applyFill="1" applyBorder="1" applyAlignment="1">
      <alignment horizontal="center" vertical="center"/>
    </xf>
    <xf numFmtId="0" fontId="135" fillId="27" borderId="27" xfId="3340" applyNumberFormat="1" applyFont="1" applyFill="1" applyBorder="1" applyAlignment="1">
      <alignment horizontal="center" vertical="center"/>
    </xf>
    <xf numFmtId="0" fontId="135" fillId="27" borderId="22" xfId="3340" applyNumberFormat="1" applyFont="1" applyFill="1" applyBorder="1" applyAlignment="1">
      <alignment horizontal="center" vertical="center"/>
    </xf>
    <xf numFmtId="0" fontId="135" fillId="27" borderId="24" xfId="3340" applyNumberFormat="1" applyFont="1" applyFill="1" applyBorder="1" applyAlignment="1">
      <alignment horizontal="center" vertical="center"/>
    </xf>
    <xf numFmtId="0" fontId="132" fillId="36" borderId="17" xfId="116" applyNumberFormat="1" applyFont="1" applyFill="1" applyBorder="1" applyAlignment="1">
      <alignment horizontal="center" vertical="center" wrapText="1"/>
    </xf>
    <xf numFmtId="0" fontId="132" fillId="36" borderId="18" xfId="116" applyNumberFormat="1" applyFont="1" applyFill="1" applyBorder="1" applyAlignment="1">
      <alignment horizontal="center" vertical="center" wrapText="1"/>
    </xf>
    <xf numFmtId="0" fontId="132" fillId="36" borderId="19" xfId="116" applyNumberFormat="1" applyFont="1" applyFill="1" applyBorder="1" applyAlignment="1">
      <alignment horizontal="center" vertical="center" wrapText="1"/>
    </xf>
    <xf numFmtId="0" fontId="131" fillId="26" borderId="17" xfId="116" applyNumberFormat="1" applyFont="1" applyFill="1" applyBorder="1" applyAlignment="1">
      <alignment horizontal="center" vertical="center" wrapText="1"/>
    </xf>
    <xf numFmtId="0" fontId="131" fillId="26" borderId="18" xfId="116" applyNumberFormat="1" applyFont="1" applyFill="1" applyBorder="1" applyAlignment="1">
      <alignment horizontal="center" vertical="center" wrapText="1"/>
    </xf>
    <xf numFmtId="0" fontId="131" fillId="26" borderId="19" xfId="116" applyNumberFormat="1" applyFont="1" applyFill="1" applyBorder="1" applyAlignment="1">
      <alignment horizontal="center" vertical="center" wrapText="1"/>
    </xf>
    <xf numFmtId="0" fontId="107" fillId="36" borderId="17" xfId="116" applyFont="1" applyFill="1" applyBorder="1" applyAlignment="1">
      <alignment horizontal="center" vertical="center"/>
    </xf>
    <xf numFmtId="0" fontId="107" fillId="36" borderId="19" xfId="116" applyFont="1" applyFill="1" applyBorder="1" applyAlignment="1">
      <alignment horizontal="center" vertical="center"/>
    </xf>
    <xf numFmtId="0" fontId="107" fillId="26" borderId="17" xfId="116" applyFont="1" applyFill="1" applyBorder="1" applyAlignment="1">
      <alignment horizontal="center" vertical="center"/>
    </xf>
    <xf numFmtId="0" fontId="107" fillId="26" borderId="19" xfId="116" applyFont="1" applyFill="1" applyBorder="1" applyAlignment="1">
      <alignment horizontal="center" vertical="center"/>
    </xf>
    <xf numFmtId="0" fontId="107" fillId="36" borderId="17" xfId="116" applyFont="1" applyFill="1" applyBorder="1" applyAlignment="1">
      <alignment horizontal="center" vertical="center" wrapText="1"/>
    </xf>
    <xf numFmtId="0" fontId="107" fillId="36" borderId="19" xfId="116" applyFont="1" applyFill="1" applyBorder="1" applyAlignment="1">
      <alignment horizontal="center" vertical="center" wrapText="1"/>
    </xf>
    <xf numFmtId="0" fontId="107" fillId="36" borderId="17" xfId="116" applyNumberFormat="1" applyFont="1" applyFill="1" applyBorder="1" applyAlignment="1">
      <alignment horizontal="center" vertical="center" wrapText="1"/>
    </xf>
    <xf numFmtId="0" fontId="107" fillId="36" borderId="19" xfId="116" applyNumberFormat="1" applyFont="1" applyFill="1" applyBorder="1" applyAlignment="1">
      <alignment horizontal="center" vertical="center" wrapText="1"/>
    </xf>
    <xf numFmtId="14" fontId="132" fillId="36" borderId="17" xfId="116" applyNumberFormat="1" applyFont="1" applyFill="1" applyBorder="1" applyAlignment="1">
      <alignment horizontal="center" vertical="center" wrapText="1"/>
    </xf>
    <xf numFmtId="14" fontId="132" fillId="36" borderId="18" xfId="116" applyNumberFormat="1" applyFont="1" applyFill="1" applyBorder="1" applyAlignment="1">
      <alignment horizontal="center" vertical="center" wrapText="1"/>
    </xf>
    <xf numFmtId="14" fontId="132" fillId="36" borderId="19" xfId="116" applyNumberFormat="1" applyFont="1" applyFill="1" applyBorder="1" applyAlignment="1">
      <alignment horizontal="center" vertical="center" wrapText="1"/>
    </xf>
    <xf numFmtId="0" fontId="107" fillId="36" borderId="25" xfId="116" applyNumberFormat="1" applyFont="1" applyFill="1" applyBorder="1" applyAlignment="1">
      <alignment horizontal="center" vertical="center"/>
    </xf>
    <xf numFmtId="0" fontId="107" fillId="36" borderId="22" xfId="116" applyNumberFormat="1" applyFont="1" applyFill="1" applyBorder="1" applyAlignment="1">
      <alignment horizontal="center" vertical="center"/>
    </xf>
    <xf numFmtId="0" fontId="107" fillId="36" borderId="26" xfId="116" applyNumberFormat="1" applyFont="1" applyFill="1" applyBorder="1" applyAlignment="1">
      <alignment horizontal="center" vertical="center"/>
    </xf>
    <xf numFmtId="0" fontId="107" fillId="36" borderId="27" xfId="116" applyNumberFormat="1" applyFont="1" applyFill="1" applyBorder="1" applyAlignment="1">
      <alignment horizontal="center" vertical="center"/>
    </xf>
    <xf numFmtId="0" fontId="107" fillId="36" borderId="0" xfId="116" applyNumberFormat="1" applyFont="1" applyFill="1" applyBorder="1" applyAlignment="1">
      <alignment horizontal="center" vertical="center"/>
    </xf>
    <xf numFmtId="0" fontId="107" fillId="36" borderId="21" xfId="116" applyNumberFormat="1" applyFont="1" applyFill="1" applyBorder="1" applyAlignment="1">
      <alignment horizontal="center" vertical="center"/>
    </xf>
    <xf numFmtId="41" fontId="138" fillId="27" borderId="17" xfId="49729" applyFont="1" applyFill="1" applyBorder="1" applyAlignment="1">
      <alignment horizontal="center" vertical="center" wrapText="1"/>
    </xf>
    <xf numFmtId="41" fontId="138" fillId="27" borderId="19" xfId="49729" applyFont="1" applyFill="1" applyBorder="1" applyAlignment="1">
      <alignment horizontal="center" vertical="center" wrapText="1"/>
    </xf>
    <xf numFmtId="0" fontId="118" fillId="35" borderId="25" xfId="116" applyFont="1" applyFill="1" applyBorder="1" applyAlignment="1">
      <alignment horizontal="center" vertical="center"/>
    </xf>
    <xf numFmtId="0" fontId="118" fillId="35" borderId="26" xfId="116" applyFont="1" applyFill="1" applyBorder="1" applyAlignment="1">
      <alignment horizontal="center" vertical="center"/>
    </xf>
    <xf numFmtId="0" fontId="118" fillId="35" borderId="27" xfId="116" applyFont="1" applyFill="1" applyBorder="1" applyAlignment="1">
      <alignment horizontal="center" vertical="center"/>
    </xf>
    <xf numFmtId="0" fontId="132" fillId="33" borderId="35" xfId="4156" applyFont="1" applyFill="1" applyBorder="1" applyAlignment="1">
      <alignment horizontal="center" vertical="center"/>
    </xf>
    <xf numFmtId="0" fontId="132" fillId="33" borderId="2" xfId="4156" applyFont="1" applyFill="1" applyBorder="1" applyAlignment="1">
      <alignment horizontal="center" vertical="center"/>
    </xf>
    <xf numFmtId="0" fontId="132" fillId="33" borderId="36" xfId="4156" applyFont="1" applyFill="1" applyBorder="1" applyAlignment="1">
      <alignment horizontal="center" vertical="center"/>
    </xf>
    <xf numFmtId="0" fontId="128" fillId="0" borderId="3" xfId="116" applyNumberFormat="1" applyFont="1" applyFill="1" applyBorder="1" applyAlignment="1">
      <alignment horizontal="center" vertical="center" wrapText="1"/>
    </xf>
    <xf numFmtId="0" fontId="141" fillId="0" borderId="25" xfId="116" applyFont="1" applyFill="1" applyBorder="1" applyAlignment="1">
      <alignment horizontal="center" vertical="center"/>
    </xf>
    <xf numFmtId="0" fontId="141" fillId="0" borderId="20" xfId="116" applyFont="1" applyFill="1" applyBorder="1" applyAlignment="1">
      <alignment horizontal="center" vertical="center"/>
    </xf>
    <xf numFmtId="0" fontId="141" fillId="0" borderId="22" xfId="116" applyFont="1" applyFill="1" applyBorder="1" applyAlignment="1">
      <alignment horizontal="center" vertical="center"/>
    </xf>
    <xf numFmtId="0" fontId="130" fillId="0" borderId="25" xfId="116" applyFont="1" applyBorder="1" applyAlignment="1">
      <alignment horizontal="center" vertical="center" wrapText="1"/>
    </xf>
    <xf numFmtId="0" fontId="130" fillId="0" borderId="26" xfId="116" applyFont="1" applyBorder="1" applyAlignment="1">
      <alignment horizontal="center" vertical="center" wrapText="1"/>
    </xf>
    <xf numFmtId="0" fontId="130" fillId="0" borderId="27" xfId="116" applyFont="1" applyBorder="1" applyAlignment="1">
      <alignment horizontal="center" vertical="center" wrapText="1"/>
    </xf>
    <xf numFmtId="0" fontId="130" fillId="0" borderId="20" xfId="116" applyFont="1" applyBorder="1" applyAlignment="1">
      <alignment horizontal="center" vertical="center" wrapText="1"/>
    </xf>
    <xf numFmtId="0" fontId="130" fillId="0" borderId="0" xfId="116" applyFont="1" applyBorder="1" applyAlignment="1">
      <alignment horizontal="center" vertical="center" wrapText="1"/>
    </xf>
    <xf numFmtId="0" fontId="130" fillId="0" borderId="21" xfId="116" applyFont="1" applyBorder="1" applyAlignment="1">
      <alignment horizontal="center" vertical="center" wrapText="1"/>
    </xf>
    <xf numFmtId="0" fontId="130" fillId="0" borderId="22" xfId="116" applyFont="1" applyBorder="1" applyAlignment="1">
      <alignment horizontal="center" vertical="center" wrapText="1"/>
    </xf>
    <xf numFmtId="0" fontId="130" fillId="0" borderId="23" xfId="116" applyFont="1" applyBorder="1" applyAlignment="1">
      <alignment horizontal="center" vertical="center" wrapText="1"/>
    </xf>
    <xf numFmtId="0" fontId="130" fillId="0" borderId="24" xfId="116" applyFont="1" applyBorder="1" applyAlignment="1">
      <alignment horizontal="center" vertical="center" wrapText="1"/>
    </xf>
    <xf numFmtId="0" fontId="128" fillId="0" borderId="25" xfId="116" applyFont="1" applyBorder="1" applyAlignment="1">
      <alignment horizontal="center" vertical="center" wrapText="1"/>
    </xf>
    <xf numFmtId="0" fontId="128" fillId="0" borderId="26" xfId="116" applyFont="1" applyBorder="1" applyAlignment="1">
      <alignment horizontal="center" vertical="center" wrapText="1"/>
    </xf>
    <xf numFmtId="0" fontId="128" fillId="0" borderId="27" xfId="116" applyFont="1" applyBorder="1" applyAlignment="1">
      <alignment horizontal="center" vertical="center" wrapText="1"/>
    </xf>
    <xf numFmtId="0" fontId="128" fillId="0" borderId="20" xfId="116" applyFont="1" applyBorder="1" applyAlignment="1">
      <alignment horizontal="center" vertical="center" wrapText="1"/>
    </xf>
    <xf numFmtId="0" fontId="128" fillId="0" borderId="0" xfId="116" applyFont="1" applyBorder="1" applyAlignment="1">
      <alignment horizontal="center" vertical="center" wrapText="1"/>
    </xf>
    <xf numFmtId="0" fontId="128" fillId="0" borderId="21" xfId="116" applyFont="1" applyBorder="1" applyAlignment="1">
      <alignment horizontal="center" vertical="center" wrapText="1"/>
    </xf>
    <xf numFmtId="0" fontId="128" fillId="0" borderId="22" xfId="116" applyFont="1" applyBorder="1" applyAlignment="1">
      <alignment horizontal="center" vertical="center" wrapText="1"/>
    </xf>
    <xf numFmtId="0" fontId="128" fillId="0" borderId="23" xfId="116" applyFont="1" applyBorder="1" applyAlignment="1">
      <alignment horizontal="center" vertical="center" wrapText="1"/>
    </xf>
    <xf numFmtId="0" fontId="128" fillId="0" borderId="24" xfId="116" applyFont="1" applyBorder="1" applyAlignment="1">
      <alignment horizontal="center" vertical="center" wrapText="1"/>
    </xf>
    <xf numFmtId="0" fontId="127" fillId="0" borderId="17" xfId="3342" applyFont="1" applyFill="1" applyBorder="1" applyAlignment="1">
      <alignment horizontal="center" vertical="center" wrapText="1"/>
    </xf>
    <xf numFmtId="0" fontId="127" fillId="0" borderId="18" xfId="3342" applyFont="1" applyFill="1" applyBorder="1" applyAlignment="1">
      <alignment horizontal="center" vertical="center" wrapText="1"/>
    </xf>
    <xf numFmtId="0" fontId="127" fillId="0" borderId="19" xfId="3342" applyFont="1" applyFill="1" applyBorder="1" applyAlignment="1">
      <alignment horizontal="center" vertical="center" wrapText="1"/>
    </xf>
    <xf numFmtId="0" fontId="128" fillId="0" borderId="3" xfId="116" applyFont="1" applyFill="1" applyBorder="1" applyAlignment="1">
      <alignment horizontal="center" vertical="center" shrinkToFit="1"/>
    </xf>
    <xf numFmtId="0" fontId="129" fillId="25" borderId="25" xfId="2500" applyFont="1" applyFill="1" applyBorder="1" applyAlignment="1">
      <alignment horizontal="center" vertical="center" wrapText="1"/>
    </xf>
    <xf numFmtId="0" fontId="129" fillId="25" borderId="26" xfId="2500" applyFont="1" applyFill="1" applyBorder="1" applyAlignment="1">
      <alignment horizontal="center" vertical="center" wrapText="1"/>
    </xf>
    <xf numFmtId="0" fontId="129" fillId="25" borderId="27" xfId="2500" applyFont="1" applyFill="1" applyBorder="1" applyAlignment="1">
      <alignment horizontal="center" vertical="center" wrapText="1"/>
    </xf>
    <xf numFmtId="0" fontId="129" fillId="25" borderId="20" xfId="2500" applyFont="1" applyFill="1" applyBorder="1" applyAlignment="1">
      <alignment horizontal="center" vertical="center" wrapText="1"/>
    </xf>
    <xf numFmtId="0" fontId="129" fillId="25" borderId="0" xfId="2500" applyFont="1" applyFill="1" applyBorder="1" applyAlignment="1">
      <alignment horizontal="center" vertical="center" wrapText="1"/>
    </xf>
    <xf numFmtId="0" fontId="129" fillId="25" borderId="21" xfId="2500" applyFont="1" applyFill="1" applyBorder="1" applyAlignment="1">
      <alignment horizontal="center" vertical="center" wrapText="1"/>
    </xf>
    <xf numFmtId="0" fontId="129" fillId="25" borderId="22" xfId="2500" applyFont="1" applyFill="1" applyBorder="1" applyAlignment="1">
      <alignment horizontal="center" vertical="center" wrapText="1"/>
    </xf>
    <xf numFmtId="0" fontId="129" fillId="25" borderId="23" xfId="2500" applyFont="1" applyFill="1" applyBorder="1" applyAlignment="1">
      <alignment horizontal="center" vertical="center" wrapText="1"/>
    </xf>
    <xf numFmtId="0" fontId="129" fillId="25" borderId="24" xfId="2500" applyFont="1" applyFill="1" applyBorder="1" applyAlignment="1">
      <alignment horizontal="center" vertical="center" wrapText="1"/>
    </xf>
    <xf numFmtId="0" fontId="127" fillId="25" borderId="17" xfId="32014" applyFont="1" applyFill="1" applyBorder="1" applyAlignment="1">
      <alignment horizontal="center" vertical="center"/>
    </xf>
    <xf numFmtId="0" fontId="127" fillId="25" borderId="18" xfId="32014" applyFont="1" applyFill="1" applyBorder="1" applyAlignment="1">
      <alignment horizontal="center" vertical="center"/>
    </xf>
    <xf numFmtId="0" fontId="127" fillId="25" borderId="19" xfId="32014" applyFont="1" applyFill="1" applyBorder="1" applyAlignment="1">
      <alignment horizontal="center" vertical="center"/>
    </xf>
    <xf numFmtId="0" fontId="128" fillId="0" borderId="25" xfId="116" applyNumberFormat="1" applyFont="1" applyFill="1" applyBorder="1" applyAlignment="1">
      <alignment horizontal="center" vertical="center" wrapText="1"/>
    </xf>
    <xf numFmtId="0" fontId="128" fillId="0" borderId="26" xfId="116" applyNumberFormat="1" applyFont="1" applyFill="1" applyBorder="1" applyAlignment="1">
      <alignment horizontal="center" vertical="center" wrapText="1"/>
    </xf>
    <xf numFmtId="0" fontId="128" fillId="0" borderId="27" xfId="116" applyNumberFormat="1" applyFont="1" applyFill="1" applyBorder="1" applyAlignment="1">
      <alignment horizontal="center" vertical="center" wrapText="1"/>
    </xf>
    <xf numFmtId="0" fontId="128" fillId="0" borderId="20" xfId="116" applyNumberFormat="1" applyFont="1" applyFill="1" applyBorder="1" applyAlignment="1">
      <alignment horizontal="center" vertical="center" wrapText="1"/>
    </xf>
    <xf numFmtId="0" fontId="128" fillId="0" borderId="0" xfId="116" applyNumberFormat="1" applyFont="1" applyFill="1" applyBorder="1" applyAlignment="1">
      <alignment horizontal="center" vertical="center" wrapText="1"/>
    </xf>
    <xf numFmtId="0" fontId="128" fillId="0" borderId="21" xfId="116" applyNumberFormat="1" applyFont="1" applyFill="1" applyBorder="1" applyAlignment="1">
      <alignment horizontal="center" vertical="center" wrapText="1"/>
    </xf>
    <xf numFmtId="0" fontId="128" fillId="0" borderId="22" xfId="116" applyNumberFormat="1" applyFont="1" applyFill="1" applyBorder="1" applyAlignment="1">
      <alignment horizontal="center" vertical="center" wrapText="1"/>
    </xf>
    <xf numFmtId="0" fontId="128" fillId="0" borderId="23" xfId="116" applyNumberFormat="1" applyFont="1" applyFill="1" applyBorder="1" applyAlignment="1">
      <alignment horizontal="center" vertical="center" wrapText="1"/>
    </xf>
    <xf numFmtId="0" fontId="128" fillId="0" borderId="24" xfId="116" applyNumberFormat="1" applyFont="1" applyFill="1" applyBorder="1" applyAlignment="1">
      <alignment horizontal="center" vertical="center" wrapText="1"/>
    </xf>
    <xf numFmtId="0" fontId="130" fillId="25" borderId="17" xfId="4156" quotePrefix="1" applyFont="1" applyFill="1" applyBorder="1" applyAlignment="1">
      <alignment horizontal="center" vertical="center" wrapText="1"/>
    </xf>
    <xf numFmtId="0" fontId="130" fillId="25" borderId="18" xfId="4156" quotePrefix="1" applyFont="1" applyFill="1" applyBorder="1" applyAlignment="1">
      <alignment horizontal="center" vertical="center" wrapText="1"/>
    </xf>
    <xf numFmtId="0" fontId="130" fillId="25" borderId="19" xfId="4156" quotePrefix="1" applyFont="1" applyFill="1" applyBorder="1" applyAlignment="1">
      <alignment horizontal="center" vertical="center" wrapText="1"/>
    </xf>
    <xf numFmtId="0" fontId="128" fillId="0" borderId="17" xfId="116" quotePrefix="1" applyFont="1" applyFill="1" applyBorder="1" applyAlignment="1">
      <alignment horizontal="center" vertical="center" wrapText="1"/>
    </xf>
    <xf numFmtId="0" fontId="128" fillId="0" borderId="18" xfId="116" quotePrefix="1" applyFont="1" applyFill="1" applyBorder="1" applyAlignment="1">
      <alignment horizontal="center" vertical="center" wrapText="1"/>
    </xf>
    <xf numFmtId="0" fontId="128" fillId="0" borderId="19" xfId="116" quotePrefix="1" applyFont="1" applyFill="1" applyBorder="1" applyAlignment="1">
      <alignment horizontal="center" vertical="center" wrapText="1"/>
    </xf>
    <xf numFmtId="0" fontId="129" fillId="0" borderId="26" xfId="2500" applyFont="1" applyFill="1" applyBorder="1" applyAlignment="1">
      <alignment horizontal="center" vertical="center"/>
    </xf>
    <xf numFmtId="0" fontId="129" fillId="0" borderId="0" xfId="2500" applyFont="1" applyFill="1" applyBorder="1" applyAlignment="1">
      <alignment horizontal="center" vertical="center"/>
    </xf>
    <xf numFmtId="0" fontId="129" fillId="0" borderId="23" xfId="2500" applyFont="1" applyFill="1" applyBorder="1" applyAlignment="1">
      <alignment horizontal="center" vertical="center"/>
    </xf>
    <xf numFmtId="0" fontId="128" fillId="25" borderId="18" xfId="32014" applyFont="1" applyFill="1" applyBorder="1" applyAlignment="1">
      <alignment horizontal="center" vertical="center" wrapText="1"/>
    </xf>
    <xf numFmtId="0" fontId="141" fillId="0" borderId="17" xfId="116" applyFont="1" applyFill="1" applyBorder="1" applyAlignment="1">
      <alignment horizontal="center" vertical="center"/>
    </xf>
    <xf numFmtId="0" fontId="141" fillId="0" borderId="18" xfId="116" applyFont="1" applyFill="1" applyBorder="1" applyAlignment="1">
      <alignment horizontal="center" vertical="center"/>
    </xf>
    <xf numFmtId="0" fontId="141" fillId="0" borderId="19" xfId="116" applyFont="1" applyFill="1" applyBorder="1" applyAlignment="1">
      <alignment horizontal="center" vertical="center"/>
    </xf>
    <xf numFmtId="0" fontId="145" fillId="0" borderId="17" xfId="4156" applyFont="1" applyFill="1" applyBorder="1" applyAlignment="1">
      <alignment horizontal="center" vertical="center"/>
    </xf>
    <xf numFmtId="0" fontId="156" fillId="0" borderId="17" xfId="32014" applyFont="1" applyFill="1" applyBorder="1" applyAlignment="1">
      <alignment horizontal="center" vertical="center" wrapText="1"/>
    </xf>
    <xf numFmtId="0" fontId="156" fillId="0" borderId="18" xfId="32014" applyFont="1" applyFill="1" applyBorder="1" applyAlignment="1">
      <alignment horizontal="center" vertical="center" wrapText="1"/>
    </xf>
    <xf numFmtId="0" fontId="156" fillId="0" borderId="19" xfId="32014" applyFont="1" applyFill="1" applyBorder="1" applyAlignment="1">
      <alignment horizontal="center" vertical="center" wrapText="1"/>
    </xf>
    <xf numFmtId="0" fontId="131" fillId="25" borderId="25" xfId="4156" applyFont="1" applyFill="1" applyBorder="1" applyAlignment="1">
      <alignment horizontal="center" vertical="center"/>
    </xf>
    <xf numFmtId="0" fontId="131" fillId="25" borderId="26" xfId="4156" applyFont="1" applyFill="1" applyBorder="1" applyAlignment="1">
      <alignment horizontal="center" vertical="center"/>
    </xf>
    <xf numFmtId="0" fontId="131" fillId="25" borderId="27" xfId="4156" applyFont="1" applyFill="1" applyBorder="1" applyAlignment="1">
      <alignment horizontal="center" vertical="center"/>
    </xf>
    <xf numFmtId="0" fontId="131" fillId="25" borderId="20" xfId="4156" applyFont="1" applyFill="1" applyBorder="1" applyAlignment="1">
      <alignment horizontal="center" vertical="center"/>
    </xf>
    <xf numFmtId="0" fontId="131" fillId="25" borderId="0" xfId="4156" applyFont="1" applyFill="1" applyBorder="1" applyAlignment="1">
      <alignment horizontal="center" vertical="center"/>
    </xf>
    <xf numFmtId="0" fontId="131" fillId="25" borderId="21" xfId="4156" applyFont="1" applyFill="1" applyBorder="1" applyAlignment="1">
      <alignment horizontal="center" vertical="center"/>
    </xf>
    <xf numFmtId="0" fontId="131" fillId="25" borderId="22" xfId="4156" applyFont="1" applyFill="1" applyBorder="1" applyAlignment="1">
      <alignment horizontal="center" vertical="center"/>
    </xf>
    <xf numFmtId="0" fontId="131" fillId="25" borderId="23" xfId="4156" applyFont="1" applyFill="1" applyBorder="1" applyAlignment="1">
      <alignment horizontal="center" vertical="center"/>
    </xf>
    <xf numFmtId="0" fontId="131" fillId="25" borderId="24" xfId="4156" applyFont="1" applyFill="1" applyBorder="1" applyAlignment="1">
      <alignment horizontal="center" vertical="center"/>
    </xf>
    <xf numFmtId="0" fontId="131" fillId="25" borderId="3" xfId="4156" applyFont="1" applyFill="1" applyBorder="1" applyAlignment="1">
      <alignment horizontal="center" vertical="center"/>
    </xf>
    <xf numFmtId="41" fontId="130" fillId="33" borderId="35" xfId="6962" applyFont="1" applyFill="1" applyBorder="1" applyAlignment="1">
      <alignment horizontal="center" vertical="center"/>
    </xf>
    <xf numFmtId="41" fontId="130" fillId="33" borderId="2" xfId="6962" applyFont="1" applyFill="1" applyBorder="1" applyAlignment="1">
      <alignment horizontal="center" vertical="center"/>
    </xf>
    <xf numFmtId="41" fontId="130" fillId="33" borderId="36" xfId="6962" applyFont="1" applyFill="1" applyBorder="1" applyAlignment="1">
      <alignment horizontal="center" vertical="center"/>
    </xf>
    <xf numFmtId="0" fontId="42" fillId="33" borderId="35" xfId="4156" applyFont="1" applyFill="1" applyBorder="1" applyAlignment="1">
      <alignment horizontal="center" vertical="center"/>
    </xf>
    <xf numFmtId="0" fontId="42" fillId="33" borderId="2" xfId="4156" applyFont="1" applyFill="1" applyBorder="1" applyAlignment="1">
      <alignment horizontal="center" vertical="center"/>
    </xf>
    <xf numFmtId="0" fontId="42" fillId="33" borderId="36" xfId="4156" applyFont="1" applyFill="1" applyBorder="1" applyAlignment="1">
      <alignment horizontal="center" vertical="center"/>
    </xf>
    <xf numFmtId="0" fontId="127" fillId="0" borderId="25" xfId="0" applyFont="1" applyBorder="1" applyAlignment="1">
      <alignment horizontal="center" vertical="center"/>
    </xf>
    <xf numFmtId="0" fontId="127" fillId="0" borderId="26" xfId="0" applyFont="1" applyBorder="1" applyAlignment="1">
      <alignment horizontal="center" vertical="center"/>
    </xf>
    <xf numFmtId="0" fontId="127" fillId="0" borderId="27" xfId="0" applyFont="1" applyBorder="1" applyAlignment="1">
      <alignment horizontal="center" vertical="center"/>
    </xf>
    <xf numFmtId="0" fontId="127" fillId="0" borderId="20" xfId="0" applyFont="1" applyBorder="1" applyAlignment="1">
      <alignment horizontal="center" vertical="center"/>
    </xf>
    <xf numFmtId="0" fontId="127" fillId="0" borderId="0" xfId="0" applyFont="1" applyBorder="1" applyAlignment="1">
      <alignment horizontal="center" vertical="center"/>
    </xf>
    <xf numFmtId="0" fontId="127" fillId="0" borderId="21" xfId="0" applyFont="1" applyBorder="1" applyAlignment="1">
      <alignment horizontal="center" vertical="center"/>
    </xf>
    <xf numFmtId="0" fontId="127" fillId="0" borderId="22" xfId="0" applyFont="1" applyBorder="1" applyAlignment="1">
      <alignment horizontal="center" vertical="center"/>
    </xf>
    <xf numFmtId="0" fontId="127" fillId="0" borderId="23" xfId="0" applyFont="1" applyBorder="1" applyAlignment="1">
      <alignment horizontal="center" vertical="center"/>
    </xf>
    <xf numFmtId="0" fontId="127" fillId="0" borderId="24" xfId="0" applyFont="1" applyBorder="1" applyAlignment="1">
      <alignment horizontal="center" vertical="center"/>
    </xf>
    <xf numFmtId="0" fontId="127" fillId="25" borderId="19" xfId="49727" applyFont="1" applyFill="1" applyBorder="1" applyAlignment="1">
      <alignment horizontal="center" vertical="center" wrapText="1"/>
    </xf>
    <xf numFmtId="0" fontId="41" fillId="0" borderId="25" xfId="4156" applyBorder="1" applyAlignment="1">
      <alignment horizontal="center" vertical="center"/>
    </xf>
    <xf numFmtId="0" fontId="41" fillId="0" borderId="26" xfId="4156" applyBorder="1" applyAlignment="1">
      <alignment horizontal="center" vertical="center"/>
    </xf>
    <xf numFmtId="0" fontId="41" fillId="0" borderId="27" xfId="4156" applyBorder="1" applyAlignment="1">
      <alignment horizontal="center" vertical="center"/>
    </xf>
    <xf numFmtId="0" fontId="41" fillId="0" borderId="20" xfId="4156" applyBorder="1" applyAlignment="1">
      <alignment horizontal="center" vertical="center"/>
    </xf>
    <xf numFmtId="0" fontId="41" fillId="0" borderId="0" xfId="4156" applyBorder="1" applyAlignment="1">
      <alignment horizontal="center" vertical="center"/>
    </xf>
    <xf numFmtId="0" fontId="41" fillId="0" borderId="21" xfId="4156" applyBorder="1" applyAlignment="1">
      <alignment horizontal="center" vertical="center"/>
    </xf>
    <xf numFmtId="0" fontId="41" fillId="0" borderId="22" xfId="4156" applyBorder="1" applyAlignment="1">
      <alignment horizontal="center" vertical="center"/>
    </xf>
    <xf numFmtId="0" fontId="41" fillId="0" borderId="23" xfId="4156" applyBorder="1" applyAlignment="1">
      <alignment horizontal="center" vertical="center"/>
    </xf>
    <xf numFmtId="0" fontId="41" fillId="0" borderId="24" xfId="4156" applyBorder="1" applyAlignment="1">
      <alignment horizontal="center" vertical="center"/>
    </xf>
    <xf numFmtId="41" fontId="130" fillId="0" borderId="3" xfId="6962" applyFont="1" applyFill="1" applyBorder="1" applyAlignment="1">
      <alignment horizontal="center" vertical="center"/>
    </xf>
    <xf numFmtId="0" fontId="130" fillId="0" borderId="17" xfId="116" applyFont="1" applyFill="1" applyBorder="1" applyAlignment="1">
      <alignment horizontal="center" vertical="center" wrapText="1"/>
    </xf>
    <xf numFmtId="0" fontId="130" fillId="0" borderId="18" xfId="116" applyFont="1" applyFill="1" applyBorder="1" applyAlignment="1">
      <alignment horizontal="center" vertical="center" wrapText="1"/>
    </xf>
    <xf numFmtId="0" fontId="130" fillId="0" borderId="19" xfId="116" applyFont="1" applyFill="1" applyBorder="1" applyAlignment="1">
      <alignment horizontal="center" vertical="center" wrapText="1"/>
    </xf>
    <xf numFmtId="17" fontId="38" fillId="0" borderId="25" xfId="32014" applyNumberFormat="1" applyFont="1" applyFill="1" applyBorder="1" applyAlignment="1">
      <alignment horizontal="center" vertical="center" wrapText="1"/>
    </xf>
    <xf numFmtId="17" fontId="38" fillId="0" borderId="26" xfId="32014" applyNumberFormat="1" applyFont="1" applyFill="1" applyBorder="1" applyAlignment="1">
      <alignment horizontal="center" vertical="center" wrapText="1"/>
    </xf>
    <xf numFmtId="17" fontId="38" fillId="0" borderId="27" xfId="32014" applyNumberFormat="1" applyFont="1" applyFill="1" applyBorder="1" applyAlignment="1">
      <alignment horizontal="center" vertical="center" wrapText="1"/>
    </xf>
    <xf numFmtId="17" fontId="38" fillId="0" borderId="20" xfId="32014" applyNumberFormat="1" applyFont="1" applyFill="1" applyBorder="1" applyAlignment="1">
      <alignment horizontal="center" vertical="center" wrapText="1"/>
    </xf>
    <xf numFmtId="17" fontId="38" fillId="0" borderId="0" xfId="32014" applyNumberFormat="1" applyFont="1" applyFill="1" applyBorder="1" applyAlignment="1">
      <alignment horizontal="center" vertical="center" wrapText="1"/>
    </xf>
    <xf numFmtId="17" fontId="38" fillId="0" borderId="21" xfId="32014" applyNumberFormat="1" applyFont="1" applyFill="1" applyBorder="1" applyAlignment="1">
      <alignment horizontal="center" vertical="center" wrapText="1"/>
    </xf>
    <xf numFmtId="17" fontId="38" fillId="0" borderId="22" xfId="32014" applyNumberFormat="1" applyFont="1" applyFill="1" applyBorder="1" applyAlignment="1">
      <alignment horizontal="center" vertical="center" wrapText="1"/>
    </xf>
    <xf numFmtId="17" fontId="38" fillId="0" borderId="23" xfId="32014" applyNumberFormat="1" applyFont="1" applyFill="1" applyBorder="1" applyAlignment="1">
      <alignment horizontal="center" vertical="center" wrapText="1"/>
    </xf>
    <xf numFmtId="17" fontId="38" fillId="0" borderId="24" xfId="32014" applyNumberFormat="1" applyFont="1" applyFill="1" applyBorder="1" applyAlignment="1">
      <alignment horizontal="center" vertical="center" wrapText="1"/>
    </xf>
    <xf numFmtId="0" fontId="41" fillId="25" borderId="17" xfId="32014" applyFont="1" applyFill="1" applyBorder="1" applyAlignment="1">
      <alignment horizontal="center" vertical="center" wrapText="1"/>
    </xf>
    <xf numFmtId="0" fontId="41" fillId="25" borderId="19" xfId="32014" applyFont="1" applyFill="1" applyBorder="1" applyAlignment="1">
      <alignment horizontal="center" vertical="center" wrapText="1"/>
    </xf>
    <xf numFmtId="0" fontId="130" fillId="25" borderId="25" xfId="32014" applyFont="1" applyFill="1" applyBorder="1" applyAlignment="1">
      <alignment horizontal="center" vertical="center" wrapText="1"/>
    </xf>
    <xf numFmtId="0" fontId="130" fillId="25" borderId="26" xfId="32014" applyFont="1" applyFill="1" applyBorder="1" applyAlignment="1">
      <alignment horizontal="center" vertical="center" wrapText="1"/>
    </xf>
    <xf numFmtId="0" fontId="130" fillId="25" borderId="27" xfId="32014" applyFont="1" applyFill="1" applyBorder="1" applyAlignment="1">
      <alignment horizontal="center" vertical="center" wrapText="1"/>
    </xf>
    <xf numFmtId="0" fontId="130" fillId="25" borderId="20" xfId="32014" applyFont="1" applyFill="1" applyBorder="1" applyAlignment="1">
      <alignment horizontal="center" vertical="center" wrapText="1"/>
    </xf>
    <xf numFmtId="0" fontId="130" fillId="25" borderId="0" xfId="32014" applyFont="1" applyFill="1" applyBorder="1" applyAlignment="1">
      <alignment horizontal="center" vertical="center" wrapText="1"/>
    </xf>
    <xf numFmtId="0" fontId="130" fillId="25" borderId="21" xfId="32014" applyFont="1" applyFill="1" applyBorder="1" applyAlignment="1">
      <alignment horizontal="center" vertical="center" wrapText="1"/>
    </xf>
    <xf numFmtId="0" fontId="130" fillId="25" borderId="22" xfId="32014" applyFont="1" applyFill="1" applyBorder="1" applyAlignment="1">
      <alignment horizontal="center" vertical="center" wrapText="1"/>
    </xf>
    <xf numFmtId="0" fontId="130" fillId="25" borderId="23" xfId="32014" applyFont="1" applyFill="1" applyBorder="1" applyAlignment="1">
      <alignment horizontal="center" vertical="center" wrapText="1"/>
    </xf>
    <xf numFmtId="0" fontId="130" fillId="25" borderId="24" xfId="32014" applyFont="1" applyFill="1" applyBorder="1" applyAlignment="1">
      <alignment horizontal="center" vertical="center" wrapText="1"/>
    </xf>
    <xf numFmtId="17" fontId="41" fillId="25" borderId="25" xfId="32014" applyNumberFormat="1" applyFont="1" applyFill="1" applyBorder="1" applyAlignment="1">
      <alignment horizontal="center" vertical="center" wrapText="1"/>
    </xf>
    <xf numFmtId="17" fontId="41" fillId="25" borderId="26" xfId="32014" applyNumberFormat="1" applyFont="1" applyFill="1" applyBorder="1" applyAlignment="1">
      <alignment horizontal="center" vertical="center" wrapText="1"/>
    </xf>
    <xf numFmtId="17" fontId="41" fillId="25" borderId="27" xfId="32014" applyNumberFormat="1" applyFont="1" applyFill="1" applyBorder="1" applyAlignment="1">
      <alignment horizontal="center" vertical="center" wrapText="1"/>
    </xf>
    <xf numFmtId="17" fontId="41" fillId="25" borderId="22" xfId="32014" applyNumberFormat="1" applyFont="1" applyFill="1" applyBorder="1" applyAlignment="1">
      <alignment horizontal="center" vertical="center" wrapText="1"/>
    </xf>
    <xf numFmtId="17" fontId="41" fillId="25" borderId="23" xfId="32014" applyNumberFormat="1" applyFont="1" applyFill="1" applyBorder="1" applyAlignment="1">
      <alignment horizontal="center" vertical="center" wrapText="1"/>
    </xf>
    <xf numFmtId="17" fontId="41" fillId="25" borderId="24" xfId="32014" applyNumberFormat="1" applyFont="1" applyFill="1" applyBorder="1" applyAlignment="1">
      <alignment horizontal="center" vertical="center" wrapText="1"/>
    </xf>
    <xf numFmtId="49" fontId="141" fillId="0" borderId="17" xfId="32014" applyNumberFormat="1" applyFont="1" applyFill="1" applyBorder="1" applyAlignment="1">
      <alignment horizontal="center" vertical="center" wrapText="1"/>
    </xf>
    <xf numFmtId="49" fontId="141" fillId="0" borderId="18" xfId="32014" applyNumberFormat="1" applyFont="1" applyFill="1" applyBorder="1" applyAlignment="1">
      <alignment horizontal="center" vertical="center" wrapText="1"/>
    </xf>
    <xf numFmtId="49" fontId="141" fillId="0" borderId="19" xfId="32014" applyNumberFormat="1" applyFont="1" applyFill="1" applyBorder="1" applyAlignment="1">
      <alignment horizontal="center" vertical="center" wrapText="1"/>
    </xf>
    <xf numFmtId="49" fontId="127" fillId="0" borderId="17" xfId="32014" quotePrefix="1" applyNumberFormat="1" applyFont="1" applyFill="1" applyBorder="1" applyAlignment="1">
      <alignment horizontal="center" vertical="center" wrapText="1"/>
    </xf>
    <xf numFmtId="49" fontId="127" fillId="0" borderId="18" xfId="32014" quotePrefix="1" applyNumberFormat="1" applyFont="1" applyFill="1" applyBorder="1" applyAlignment="1">
      <alignment horizontal="center" vertical="center" wrapText="1"/>
    </xf>
    <xf numFmtId="49" fontId="127" fillId="0" borderId="19" xfId="32014" quotePrefix="1" applyNumberFormat="1" applyFont="1" applyFill="1" applyBorder="1" applyAlignment="1">
      <alignment horizontal="center" vertical="center" wrapText="1"/>
    </xf>
    <xf numFmtId="41" fontId="130" fillId="0" borderId="17" xfId="6962" applyFont="1" applyFill="1" applyBorder="1" applyAlignment="1">
      <alignment vertical="center"/>
    </xf>
    <xf numFmtId="41" fontId="130" fillId="0" borderId="19" xfId="6962" applyFont="1" applyFill="1" applyBorder="1" applyAlignment="1">
      <alignment vertical="center"/>
    </xf>
    <xf numFmtId="0" fontId="124" fillId="0" borderId="17" xfId="4156" applyFont="1" applyBorder="1" applyAlignment="1">
      <alignment horizontal="center" vertical="center"/>
    </xf>
    <xf numFmtId="0" fontId="124" fillId="0" borderId="18" xfId="4156" applyFont="1" applyBorder="1" applyAlignment="1">
      <alignment horizontal="center" vertical="center"/>
    </xf>
    <xf numFmtId="0" fontId="124" fillId="0" borderId="19" xfId="4156" applyFont="1" applyBorder="1" applyAlignment="1">
      <alignment horizontal="center" vertical="center"/>
    </xf>
    <xf numFmtId="0" fontId="145" fillId="0" borderId="17" xfId="116" applyFont="1" applyFill="1" applyBorder="1" applyAlignment="1">
      <alignment horizontal="center" vertical="center" wrapText="1"/>
    </xf>
    <xf numFmtId="0" fontId="144" fillId="0" borderId="17" xfId="4156" applyFont="1" applyBorder="1" applyAlignment="1">
      <alignment horizontal="center" vertical="center"/>
    </xf>
    <xf numFmtId="0" fontId="144" fillId="0" borderId="18" xfId="4156" applyFont="1" applyBorder="1" applyAlignment="1">
      <alignment horizontal="center" vertical="center"/>
    </xf>
    <xf numFmtId="0" fontId="144" fillId="0" borderId="19" xfId="4156" applyFont="1" applyBorder="1" applyAlignment="1">
      <alignment horizontal="center" vertical="center"/>
    </xf>
    <xf numFmtId="49" fontId="128" fillId="0" borderId="17" xfId="32014" applyNumberFormat="1" applyFont="1" applyFill="1" applyBorder="1" applyAlignment="1">
      <alignment horizontal="center" vertical="center" wrapText="1"/>
    </xf>
    <xf numFmtId="49" fontId="128" fillId="0" borderId="18" xfId="32014" applyNumberFormat="1" applyFont="1" applyFill="1" applyBorder="1" applyAlignment="1">
      <alignment horizontal="center" vertical="center" wrapText="1"/>
    </xf>
    <xf numFmtId="49" fontId="128" fillId="0" borderId="19" xfId="32014" applyNumberFormat="1" applyFont="1" applyFill="1" applyBorder="1" applyAlignment="1">
      <alignment horizontal="center" vertical="center" wrapText="1"/>
    </xf>
    <xf numFmtId="0" fontId="130" fillId="25" borderId="17" xfId="49733" applyFont="1" applyFill="1" applyBorder="1" applyAlignment="1">
      <alignment horizontal="center" vertical="center" wrapText="1"/>
    </xf>
    <xf numFmtId="0" fontId="130" fillId="25" borderId="18" xfId="49733" applyFont="1" applyFill="1" applyBorder="1" applyAlignment="1">
      <alignment horizontal="center" vertical="center" wrapText="1"/>
    </xf>
    <xf numFmtId="0" fontId="130" fillId="25" borderId="19" xfId="49733" applyFont="1" applyFill="1" applyBorder="1" applyAlignment="1">
      <alignment horizontal="center" vertical="center" wrapText="1"/>
    </xf>
    <xf numFmtId="0" fontId="38" fillId="0" borderId="17" xfId="49738" applyBorder="1" applyAlignment="1">
      <alignment horizontal="center" vertical="center"/>
    </xf>
    <xf numFmtId="0" fontId="0" fillId="0" borderId="18" xfId="49738" applyFont="1" applyBorder="1" applyAlignment="1">
      <alignment horizontal="center" vertical="center"/>
    </xf>
    <xf numFmtId="0" fontId="0" fillId="0" borderId="19" xfId="49738" applyFont="1" applyBorder="1" applyAlignment="1">
      <alignment horizontal="center" vertical="center"/>
    </xf>
    <xf numFmtId="14" fontId="130" fillId="0" borderId="17" xfId="49727" quotePrefix="1" applyNumberFormat="1" applyFont="1" applyFill="1" applyBorder="1" applyAlignment="1">
      <alignment horizontal="center" vertical="center"/>
    </xf>
    <xf numFmtId="14" fontId="130" fillId="0" borderId="18" xfId="49727" quotePrefix="1" applyNumberFormat="1" applyFont="1" applyFill="1" applyBorder="1" applyAlignment="1">
      <alignment horizontal="center" vertical="center"/>
    </xf>
    <xf numFmtId="14" fontId="130" fillId="0" borderId="19" xfId="49727" quotePrefix="1" applyNumberFormat="1" applyFont="1" applyFill="1" applyBorder="1" applyAlignment="1">
      <alignment horizontal="center" vertical="center"/>
    </xf>
    <xf numFmtId="0" fontId="127" fillId="0" borderId="17" xfId="49727" applyNumberFormat="1" applyFont="1" applyFill="1" applyBorder="1" applyAlignment="1">
      <alignment horizontal="center" vertical="center" wrapText="1"/>
    </xf>
    <xf numFmtId="0" fontId="127" fillId="0" borderId="18" xfId="49727" applyNumberFormat="1" applyFont="1" applyFill="1" applyBorder="1" applyAlignment="1">
      <alignment horizontal="center" vertical="center" wrapText="1"/>
    </xf>
    <xf numFmtId="0" fontId="127" fillId="0" borderId="19" xfId="49727" applyNumberFormat="1" applyFont="1" applyFill="1" applyBorder="1" applyAlignment="1">
      <alignment horizontal="center" vertical="center" wrapText="1"/>
    </xf>
    <xf numFmtId="17" fontId="127" fillId="0" borderId="25" xfId="49727" applyNumberFormat="1" applyFont="1" applyFill="1" applyBorder="1" applyAlignment="1">
      <alignment horizontal="center" vertical="center" wrapText="1"/>
    </xf>
    <xf numFmtId="17" fontId="127" fillId="0" borderId="26" xfId="49727" applyNumberFormat="1" applyFont="1" applyFill="1" applyBorder="1" applyAlignment="1">
      <alignment horizontal="center" vertical="center" wrapText="1"/>
    </xf>
    <xf numFmtId="17" fontId="127" fillId="0" borderId="27" xfId="49727" applyNumberFormat="1" applyFont="1" applyFill="1" applyBorder="1" applyAlignment="1">
      <alignment horizontal="center" vertical="center" wrapText="1"/>
    </xf>
    <xf numFmtId="17" fontId="127" fillId="0" borderId="20" xfId="49727" applyNumberFormat="1" applyFont="1" applyFill="1" applyBorder="1" applyAlignment="1">
      <alignment horizontal="center" vertical="center" wrapText="1"/>
    </xf>
    <xf numFmtId="17" fontId="127" fillId="0" borderId="0" xfId="49727" applyNumberFormat="1" applyFont="1" applyFill="1" applyBorder="1" applyAlignment="1">
      <alignment horizontal="center" vertical="center" wrapText="1"/>
    </xf>
    <xf numFmtId="17" fontId="127" fillId="0" borderId="21" xfId="49727" applyNumberFormat="1" applyFont="1" applyFill="1" applyBorder="1" applyAlignment="1">
      <alignment horizontal="center" vertical="center" wrapText="1"/>
    </xf>
    <xf numFmtId="17" fontId="127" fillId="0" borderId="22" xfId="49727" applyNumberFormat="1" applyFont="1" applyFill="1" applyBorder="1" applyAlignment="1">
      <alignment horizontal="center" vertical="center" wrapText="1"/>
    </xf>
    <xf numFmtId="17" fontId="127" fillId="0" borderId="23" xfId="49727" applyNumberFormat="1" applyFont="1" applyFill="1" applyBorder="1" applyAlignment="1">
      <alignment horizontal="center" vertical="center" wrapText="1"/>
    </xf>
    <xf numFmtId="17" fontId="127" fillId="0" borderId="24" xfId="49727" applyNumberFormat="1" applyFont="1" applyFill="1" applyBorder="1" applyAlignment="1">
      <alignment horizontal="center" vertical="center" wrapText="1"/>
    </xf>
    <xf numFmtId="0" fontId="130" fillId="25" borderId="17" xfId="49733" applyFont="1" applyFill="1" applyBorder="1" applyAlignment="1">
      <alignment horizontal="center" vertical="center"/>
    </xf>
    <xf numFmtId="0" fontId="130" fillId="25" borderId="18" xfId="49733" applyFont="1" applyFill="1" applyBorder="1" applyAlignment="1">
      <alignment horizontal="center" vertical="center"/>
    </xf>
    <xf numFmtId="0" fontId="130" fillId="25" borderId="19" xfId="49733" applyFont="1" applyFill="1" applyBorder="1" applyAlignment="1">
      <alignment horizontal="center" vertical="center"/>
    </xf>
    <xf numFmtId="0" fontId="154" fillId="39" borderId="17" xfId="49727" applyNumberFormat="1" applyFont="1" applyFill="1" applyBorder="1" applyAlignment="1">
      <alignment horizontal="center" vertical="center" wrapText="1"/>
    </xf>
    <xf numFmtId="0" fontId="154" fillId="39" borderId="18" xfId="49727" applyNumberFormat="1" applyFont="1" applyFill="1" applyBorder="1" applyAlignment="1">
      <alignment horizontal="center" vertical="center" wrapText="1"/>
    </xf>
    <xf numFmtId="0" fontId="154" fillId="39" borderId="19" xfId="49727" applyNumberFormat="1" applyFont="1" applyFill="1" applyBorder="1" applyAlignment="1">
      <alignment horizontal="center" vertical="center" wrapText="1"/>
    </xf>
    <xf numFmtId="0" fontId="127" fillId="0" borderId="17" xfId="49727" quotePrefix="1" applyNumberFormat="1" applyFont="1" applyFill="1" applyBorder="1" applyAlignment="1">
      <alignment horizontal="center" vertical="center" wrapText="1"/>
    </xf>
    <xf numFmtId="0" fontId="127" fillId="0" borderId="18" xfId="49727" quotePrefix="1" applyNumberFormat="1" applyFont="1" applyFill="1" applyBorder="1" applyAlignment="1">
      <alignment horizontal="center" vertical="center" wrapText="1"/>
    </xf>
    <xf numFmtId="0" fontId="127" fillId="25" borderId="17" xfId="49727" applyNumberFormat="1" applyFont="1" applyFill="1" applyBorder="1" applyAlignment="1">
      <alignment horizontal="center" vertical="center" wrapText="1"/>
    </xf>
    <xf numFmtId="0" fontId="127" fillId="25" borderId="18" xfId="49727" applyNumberFormat="1" applyFont="1" applyFill="1" applyBorder="1" applyAlignment="1">
      <alignment horizontal="center" vertical="center" wrapText="1"/>
    </xf>
    <xf numFmtId="0" fontId="127" fillId="25" borderId="19" xfId="49727" applyNumberFormat="1" applyFont="1" applyFill="1" applyBorder="1" applyAlignment="1">
      <alignment horizontal="center" vertical="center" wrapText="1"/>
    </xf>
    <xf numFmtId="0" fontId="38" fillId="0" borderId="17" xfId="49727" applyBorder="1" applyAlignment="1">
      <alignment horizontal="center" vertical="center" wrapText="1"/>
    </xf>
    <xf numFmtId="0" fontId="0" fillId="0" borderId="18" xfId="49727" applyFont="1" applyBorder="1" applyAlignment="1">
      <alignment horizontal="center" vertical="center" wrapText="1"/>
    </xf>
    <xf numFmtId="0" fontId="0" fillId="0" borderId="19" xfId="49727" applyFont="1" applyBorder="1" applyAlignment="1">
      <alignment horizontal="center" vertical="center" wrapText="1"/>
    </xf>
    <xf numFmtId="49" fontId="127" fillId="0" borderId="17" xfId="49727" applyNumberFormat="1" applyFont="1" applyFill="1" applyBorder="1" applyAlignment="1">
      <alignment horizontal="center" vertical="center" wrapText="1"/>
    </xf>
    <xf numFmtId="49" fontId="127" fillId="0" borderId="18" xfId="49727" applyNumberFormat="1" applyFont="1" applyFill="1" applyBorder="1" applyAlignment="1">
      <alignment horizontal="center" vertical="center" wrapText="1"/>
    </xf>
    <xf numFmtId="49" fontId="127" fillId="0" borderId="19" xfId="49727" applyNumberFormat="1" applyFont="1" applyFill="1" applyBorder="1" applyAlignment="1">
      <alignment horizontal="center" vertical="center" wrapText="1"/>
    </xf>
    <xf numFmtId="17" fontId="157" fillId="0" borderId="25" xfId="49727" applyNumberFormat="1" applyFont="1" applyBorder="1" applyAlignment="1">
      <alignment horizontal="center" vertical="center" wrapText="1"/>
    </xf>
    <xf numFmtId="17" fontId="157" fillId="0" borderId="26" xfId="49727" applyNumberFormat="1" applyFont="1" applyBorder="1" applyAlignment="1">
      <alignment horizontal="center" vertical="center" wrapText="1"/>
    </xf>
    <xf numFmtId="17" fontId="157" fillId="0" borderId="27" xfId="49727" applyNumberFormat="1" applyFont="1" applyBorder="1" applyAlignment="1">
      <alignment horizontal="center" vertical="center" wrapText="1"/>
    </xf>
    <xf numFmtId="17" fontId="157" fillId="0" borderId="20" xfId="49727" applyNumberFormat="1" applyFont="1" applyBorder="1" applyAlignment="1">
      <alignment horizontal="center" vertical="center" wrapText="1"/>
    </xf>
    <xf numFmtId="17" fontId="157" fillId="0" borderId="0" xfId="49727" applyNumberFormat="1" applyFont="1" applyAlignment="1">
      <alignment horizontal="center" vertical="center" wrapText="1"/>
    </xf>
    <xf numFmtId="17" fontId="157" fillId="0" borderId="21" xfId="49727" applyNumberFormat="1" applyFont="1" applyBorder="1" applyAlignment="1">
      <alignment horizontal="center" vertical="center" wrapText="1"/>
    </xf>
    <xf numFmtId="17" fontId="157" fillId="0" borderId="22" xfId="49727" applyNumberFormat="1" applyFont="1" applyBorder="1" applyAlignment="1">
      <alignment horizontal="center" vertical="center" wrapText="1"/>
    </xf>
    <xf numFmtId="17" fontId="157" fillId="0" borderId="23" xfId="49727" applyNumberFormat="1" applyFont="1" applyBorder="1" applyAlignment="1">
      <alignment horizontal="center" vertical="center" wrapText="1"/>
    </xf>
    <xf numFmtId="17" fontId="157" fillId="0" borderId="24" xfId="49727" applyNumberFormat="1" applyFont="1" applyBorder="1" applyAlignment="1">
      <alignment horizontal="center" vertical="center" wrapText="1"/>
    </xf>
    <xf numFmtId="49" fontId="160" fillId="0" borderId="45" xfId="49727" applyNumberFormat="1" applyFont="1" applyBorder="1" applyAlignment="1">
      <alignment horizontal="center" vertical="center" wrapText="1"/>
    </xf>
    <xf numFmtId="49" fontId="160" fillId="0" borderId="18" xfId="49727" applyNumberFormat="1" applyFont="1" applyBorder="1" applyAlignment="1">
      <alignment horizontal="center" vertical="center" wrapText="1"/>
    </xf>
    <xf numFmtId="49" fontId="160" fillId="0" borderId="19" xfId="49727" applyNumberFormat="1" applyFont="1" applyBorder="1" applyAlignment="1">
      <alignment horizontal="center" vertical="center" wrapText="1"/>
    </xf>
    <xf numFmtId="49" fontId="32" fillId="37" borderId="17" xfId="49727" applyNumberFormat="1" applyFont="1" applyFill="1" applyBorder="1" applyAlignment="1">
      <alignment horizontal="center" vertical="center" wrapText="1"/>
    </xf>
    <xf numFmtId="49" fontId="32" fillId="37" borderId="18" xfId="49727" applyNumberFormat="1" applyFont="1" applyFill="1" applyBorder="1" applyAlignment="1">
      <alignment horizontal="center" vertical="center" wrapText="1"/>
    </xf>
    <xf numFmtId="49" fontId="32" fillId="37" borderId="19" xfId="49727" applyNumberFormat="1" applyFont="1" applyFill="1" applyBorder="1" applyAlignment="1">
      <alignment horizontal="center" vertical="center" wrapText="1"/>
    </xf>
    <xf numFmtId="0" fontId="127" fillId="0" borderId="17" xfId="49727" applyFont="1" applyFill="1" applyBorder="1" applyAlignment="1">
      <alignment horizontal="center" vertical="center" wrapText="1"/>
    </xf>
    <xf numFmtId="0" fontId="127" fillId="0" borderId="18" xfId="49727" applyFont="1" applyFill="1" applyBorder="1" applyAlignment="1">
      <alignment horizontal="center" vertical="center" wrapText="1"/>
    </xf>
    <xf numFmtId="0" fontId="127" fillId="0" borderId="19" xfId="49727" applyFont="1" applyFill="1" applyBorder="1" applyAlignment="1">
      <alignment horizontal="center" vertical="center" wrapText="1"/>
    </xf>
    <xf numFmtId="0" fontId="128" fillId="0" borderId="25" xfId="116" quotePrefix="1" applyNumberFormat="1" applyFont="1" applyFill="1" applyBorder="1" applyAlignment="1">
      <alignment horizontal="center" vertical="center" wrapText="1"/>
    </xf>
    <xf numFmtId="0" fontId="128" fillId="0" borderId="26" xfId="116" quotePrefix="1" applyNumberFormat="1" applyFont="1" applyFill="1" applyBorder="1" applyAlignment="1">
      <alignment horizontal="center" vertical="center" wrapText="1"/>
    </xf>
    <xf numFmtId="0" fontId="128" fillId="0" borderId="27" xfId="116" quotePrefix="1" applyNumberFormat="1" applyFont="1" applyFill="1" applyBorder="1" applyAlignment="1">
      <alignment horizontal="center" vertical="center" wrapText="1"/>
    </xf>
    <xf numFmtId="0" fontId="128" fillId="0" borderId="20" xfId="116" quotePrefix="1" applyNumberFormat="1" applyFont="1" applyFill="1" applyBorder="1" applyAlignment="1">
      <alignment horizontal="center" vertical="center" wrapText="1"/>
    </xf>
    <xf numFmtId="0" fontId="128" fillId="0" borderId="0" xfId="116" quotePrefix="1" applyNumberFormat="1" applyFont="1" applyFill="1" applyBorder="1" applyAlignment="1">
      <alignment horizontal="center" vertical="center" wrapText="1"/>
    </xf>
    <xf numFmtId="0" fontId="128" fillId="0" borderId="21" xfId="116" quotePrefix="1" applyNumberFormat="1" applyFont="1" applyFill="1" applyBorder="1" applyAlignment="1">
      <alignment horizontal="center" vertical="center" wrapText="1"/>
    </xf>
    <xf numFmtId="0" fontId="128" fillId="0" borderId="22" xfId="116" quotePrefix="1" applyNumberFormat="1" applyFont="1" applyFill="1" applyBorder="1" applyAlignment="1">
      <alignment horizontal="center" vertical="center" wrapText="1"/>
    </xf>
    <xf numFmtId="0" fontId="128" fillId="0" borderId="23" xfId="116" quotePrefix="1" applyNumberFormat="1" applyFont="1" applyFill="1" applyBorder="1" applyAlignment="1">
      <alignment horizontal="center" vertical="center" wrapText="1"/>
    </xf>
    <xf numFmtId="0" fontId="128" fillId="0" borderId="24" xfId="116" quotePrefix="1" applyNumberFormat="1" applyFont="1" applyFill="1" applyBorder="1" applyAlignment="1">
      <alignment horizontal="center" vertical="center" wrapText="1"/>
    </xf>
    <xf numFmtId="0" fontId="127" fillId="25" borderId="17" xfId="49727" applyNumberFormat="1" applyFont="1" applyFill="1" applyBorder="1" applyAlignment="1">
      <alignment horizontal="center" vertical="center"/>
    </xf>
    <xf numFmtId="0" fontId="127" fillId="25" borderId="18" xfId="49727" applyNumberFormat="1" applyFont="1" applyFill="1" applyBorder="1" applyAlignment="1">
      <alignment horizontal="center" vertical="center"/>
    </xf>
    <xf numFmtId="0" fontId="127" fillId="25" borderId="19" xfId="49727" applyNumberFormat="1" applyFont="1" applyFill="1" applyBorder="1" applyAlignment="1">
      <alignment horizontal="center" vertical="center"/>
    </xf>
    <xf numFmtId="49" fontId="38" fillId="0" borderId="17" xfId="49727" applyNumberFormat="1" applyBorder="1" applyAlignment="1">
      <alignment horizontal="center" vertical="center" wrapText="1"/>
    </xf>
    <xf numFmtId="49" fontId="0" fillId="0" borderId="18" xfId="49727" applyNumberFormat="1" applyFont="1" applyBorder="1" applyAlignment="1">
      <alignment horizontal="center" vertical="center" wrapText="1"/>
    </xf>
    <xf numFmtId="49" fontId="0" fillId="0" borderId="19" xfId="49727" applyNumberFormat="1" applyFont="1" applyBorder="1" applyAlignment="1">
      <alignment horizontal="center" vertical="center" wrapText="1"/>
    </xf>
    <xf numFmtId="49" fontId="157" fillId="25" borderId="17" xfId="49727" applyNumberFormat="1" applyFont="1" applyFill="1" applyBorder="1" applyAlignment="1">
      <alignment horizontal="center" vertical="center" wrapText="1"/>
    </xf>
    <xf numFmtId="0" fontId="38" fillId="0" borderId="18" xfId="49727" applyBorder="1" applyAlignment="1">
      <alignment horizontal="center" vertical="center" wrapText="1"/>
    </xf>
    <xf numFmtId="49" fontId="32" fillId="0" borderId="17" xfId="49727" applyNumberFormat="1" applyFont="1" applyBorder="1" applyAlignment="1">
      <alignment horizontal="center" vertical="center" wrapText="1"/>
    </xf>
    <xf numFmtId="49" fontId="32" fillId="0" borderId="18" xfId="49727" applyNumberFormat="1" applyFont="1" applyBorder="1" applyAlignment="1">
      <alignment horizontal="center" vertical="center" wrapText="1"/>
    </xf>
    <xf numFmtId="49" fontId="32" fillId="0" borderId="19" xfId="49727" applyNumberFormat="1" applyFont="1" applyBorder="1" applyAlignment="1">
      <alignment horizontal="center" vertical="center" wrapText="1"/>
    </xf>
    <xf numFmtId="49" fontId="130" fillId="39" borderId="17" xfId="49727" applyNumberFormat="1" applyFont="1" applyFill="1" applyBorder="1" applyAlignment="1">
      <alignment horizontal="center" vertical="center" wrapText="1"/>
    </xf>
    <xf numFmtId="49" fontId="130" fillId="39" borderId="18" xfId="49727" applyNumberFormat="1" applyFont="1" applyFill="1" applyBorder="1" applyAlignment="1">
      <alignment horizontal="center" vertical="center" wrapText="1"/>
    </xf>
    <xf numFmtId="49" fontId="130" fillId="39" borderId="19" xfId="49727" applyNumberFormat="1" applyFont="1" applyFill="1" applyBorder="1" applyAlignment="1">
      <alignment horizontal="center" vertical="center" wrapText="1"/>
    </xf>
    <xf numFmtId="49" fontId="127" fillId="37" borderId="17" xfId="49727" applyNumberFormat="1" applyFont="1" applyFill="1" applyBorder="1" applyAlignment="1">
      <alignment horizontal="center" vertical="center" wrapText="1"/>
    </xf>
    <xf numFmtId="49" fontId="127" fillId="37" borderId="18" xfId="49727" applyNumberFormat="1" applyFont="1" applyFill="1" applyBorder="1" applyAlignment="1">
      <alignment horizontal="center" vertical="center" wrapText="1"/>
    </xf>
    <xf numFmtId="49" fontId="127" fillId="37" borderId="19" xfId="49727" applyNumberFormat="1" applyFont="1" applyFill="1" applyBorder="1" applyAlignment="1">
      <alignment horizontal="center" vertical="center" wrapText="1"/>
    </xf>
    <xf numFmtId="0" fontId="158" fillId="33" borderId="35" xfId="4156" applyFont="1" applyFill="1" applyBorder="1" applyAlignment="1">
      <alignment horizontal="center" vertical="center"/>
    </xf>
    <xf numFmtId="0" fontId="158" fillId="33" borderId="2" xfId="4156" applyFont="1" applyFill="1" applyBorder="1" applyAlignment="1">
      <alignment horizontal="center" vertical="center"/>
    </xf>
    <xf numFmtId="0" fontId="158" fillId="33" borderId="36" xfId="4156" applyFont="1" applyFill="1" applyBorder="1" applyAlignment="1">
      <alignment horizontal="center" vertical="center"/>
    </xf>
    <xf numFmtId="0" fontId="160" fillId="0" borderId="45" xfId="49738" applyFont="1" applyBorder="1" applyAlignment="1">
      <alignment horizontal="center" vertical="center" wrapText="1"/>
    </xf>
    <xf numFmtId="0" fontId="160" fillId="0" borderId="18" xfId="49738" applyFont="1" applyBorder="1" applyAlignment="1">
      <alignment horizontal="center" vertical="center" wrapText="1"/>
    </xf>
    <xf numFmtId="0" fontId="160" fillId="0" borderId="19" xfId="49738" applyFont="1" applyBorder="1" applyAlignment="1">
      <alignment horizontal="center" vertical="center" wrapText="1"/>
    </xf>
    <xf numFmtId="0" fontId="157" fillId="25" borderId="17" xfId="49727" applyFont="1" applyFill="1" applyBorder="1" applyAlignment="1">
      <alignment horizontal="center" vertical="center"/>
    </xf>
    <xf numFmtId="0" fontId="157" fillId="25" borderId="18" xfId="49727" applyFont="1" applyFill="1" applyBorder="1" applyAlignment="1">
      <alignment horizontal="center" vertical="center"/>
    </xf>
    <xf numFmtId="0" fontId="157" fillId="25" borderId="19" xfId="49727" applyFont="1" applyFill="1" applyBorder="1" applyAlignment="1">
      <alignment horizontal="center" vertical="center"/>
    </xf>
    <xf numFmtId="0" fontId="127" fillId="25" borderId="27" xfId="49727" applyNumberFormat="1" applyFont="1" applyFill="1" applyBorder="1" applyAlignment="1">
      <alignment horizontal="center" vertical="center" wrapText="1"/>
    </xf>
    <xf numFmtId="0" fontId="127" fillId="25" borderId="21" xfId="49727" applyNumberFormat="1" applyFont="1" applyFill="1" applyBorder="1" applyAlignment="1">
      <alignment horizontal="center" vertical="center" wrapText="1"/>
    </xf>
    <xf numFmtId="0" fontId="127" fillId="25" borderId="24" xfId="49727" applyNumberFormat="1" applyFont="1" applyFill="1" applyBorder="1" applyAlignment="1">
      <alignment horizontal="center" vertical="center" wrapText="1"/>
    </xf>
    <xf numFmtId="0" fontId="127" fillId="0" borderId="19" xfId="49727" quotePrefix="1" applyNumberFormat="1" applyFont="1" applyFill="1" applyBorder="1" applyAlignment="1">
      <alignment horizontal="center" vertical="center" wrapText="1"/>
    </xf>
    <xf numFmtId="49" fontId="127" fillId="25" borderId="17" xfId="49727" quotePrefix="1" applyNumberFormat="1" applyFont="1" applyFill="1" applyBorder="1" applyAlignment="1">
      <alignment horizontal="center" vertical="center" wrapText="1"/>
    </xf>
    <xf numFmtId="49" fontId="127" fillId="25" borderId="18" xfId="49727" quotePrefix="1" applyNumberFormat="1" applyFont="1" applyFill="1" applyBorder="1" applyAlignment="1">
      <alignment horizontal="center" vertical="center" wrapText="1"/>
    </xf>
    <xf numFmtId="49" fontId="127" fillId="25" borderId="19" xfId="49727" quotePrefix="1" applyNumberFormat="1" applyFont="1" applyFill="1" applyBorder="1" applyAlignment="1">
      <alignment horizontal="center" vertical="center" wrapText="1"/>
    </xf>
    <xf numFmtId="17" fontId="127" fillId="0" borderId="25" xfId="49727" quotePrefix="1" applyNumberFormat="1" applyFont="1" applyFill="1" applyBorder="1" applyAlignment="1">
      <alignment horizontal="center" vertical="center" wrapText="1"/>
    </xf>
    <xf numFmtId="17" fontId="127" fillId="0" borderId="26" xfId="49727" quotePrefix="1" applyNumberFormat="1" applyFont="1" applyFill="1" applyBorder="1" applyAlignment="1">
      <alignment horizontal="center" vertical="center" wrapText="1"/>
    </xf>
    <xf numFmtId="17" fontId="127" fillId="0" borderId="27" xfId="49727" quotePrefix="1" applyNumberFormat="1" applyFont="1" applyFill="1" applyBorder="1" applyAlignment="1">
      <alignment horizontal="center" vertical="center" wrapText="1"/>
    </xf>
    <xf numFmtId="17" fontId="127" fillId="0" borderId="20" xfId="49727" quotePrefix="1" applyNumberFormat="1" applyFont="1" applyFill="1" applyBorder="1" applyAlignment="1">
      <alignment horizontal="center" vertical="center" wrapText="1"/>
    </xf>
    <xf numFmtId="17" fontId="127" fillId="0" borderId="0" xfId="49727" quotePrefix="1" applyNumberFormat="1" applyFont="1" applyFill="1" applyBorder="1" applyAlignment="1">
      <alignment horizontal="center" vertical="center" wrapText="1"/>
    </xf>
    <xf numFmtId="17" fontId="127" fillId="0" borderId="21" xfId="49727" quotePrefix="1" applyNumberFormat="1" applyFont="1" applyFill="1" applyBorder="1" applyAlignment="1">
      <alignment horizontal="center" vertical="center" wrapText="1"/>
    </xf>
    <xf numFmtId="17" fontId="127" fillId="0" borderId="22" xfId="49727" quotePrefix="1" applyNumberFormat="1" applyFont="1" applyFill="1" applyBorder="1" applyAlignment="1">
      <alignment horizontal="center" vertical="center" wrapText="1"/>
    </xf>
    <xf numFmtId="17" fontId="127" fillId="0" borderId="23" xfId="49727" quotePrefix="1" applyNumberFormat="1" applyFont="1" applyFill="1" applyBorder="1" applyAlignment="1">
      <alignment horizontal="center" vertical="center" wrapText="1"/>
    </xf>
    <xf numFmtId="17" fontId="127" fillId="0" borderId="24" xfId="49727" quotePrefix="1" applyNumberFormat="1" applyFont="1" applyFill="1" applyBorder="1" applyAlignment="1">
      <alignment horizontal="center" vertical="center" wrapText="1"/>
    </xf>
    <xf numFmtId="0" fontId="128" fillId="25" borderId="45" xfId="49727" quotePrefix="1" applyFont="1" applyFill="1" applyBorder="1" applyAlignment="1">
      <alignment horizontal="center" vertical="center" wrapText="1"/>
    </xf>
    <xf numFmtId="0" fontId="128" fillId="25" borderId="18" xfId="49727" quotePrefix="1" applyFont="1" applyFill="1" applyBorder="1" applyAlignment="1">
      <alignment horizontal="center" vertical="center" wrapText="1"/>
    </xf>
    <xf numFmtId="0" fontId="128" fillId="25" borderId="19" xfId="49727" quotePrefix="1" applyFont="1" applyFill="1" applyBorder="1" applyAlignment="1">
      <alignment horizontal="center" vertical="center" wrapText="1"/>
    </xf>
    <xf numFmtId="17" fontId="127" fillId="25" borderId="25" xfId="49727" applyNumberFormat="1" applyFont="1" applyFill="1" applyBorder="1" applyAlignment="1">
      <alignment horizontal="center" vertical="center" wrapText="1"/>
    </xf>
    <xf numFmtId="17" fontId="127" fillId="25" borderId="26" xfId="49727" applyNumberFormat="1" applyFont="1" applyFill="1" applyBorder="1" applyAlignment="1">
      <alignment horizontal="center" vertical="center" wrapText="1"/>
    </xf>
    <xf numFmtId="17" fontId="127" fillId="25" borderId="27" xfId="49727" applyNumberFormat="1" applyFont="1" applyFill="1" applyBorder="1" applyAlignment="1">
      <alignment horizontal="center" vertical="center" wrapText="1"/>
    </xf>
    <xf numFmtId="17" fontId="127" fillId="25" borderId="20" xfId="49727" applyNumberFormat="1" applyFont="1" applyFill="1" applyBorder="1" applyAlignment="1">
      <alignment horizontal="center" vertical="center" wrapText="1"/>
    </xf>
    <xf numFmtId="17" fontId="127" fillId="25" borderId="0" xfId="49727" applyNumberFormat="1" applyFont="1" applyFill="1" applyBorder="1" applyAlignment="1">
      <alignment horizontal="center" vertical="center" wrapText="1"/>
    </xf>
    <xf numFmtId="17" fontId="127" fillId="25" borderId="21" xfId="49727" applyNumberFormat="1" applyFont="1" applyFill="1" applyBorder="1" applyAlignment="1">
      <alignment horizontal="center" vertical="center" wrapText="1"/>
    </xf>
    <xf numFmtId="17" fontId="127" fillId="25" borderId="22" xfId="49727" applyNumberFormat="1" applyFont="1" applyFill="1" applyBorder="1" applyAlignment="1">
      <alignment horizontal="center" vertical="center" wrapText="1"/>
    </xf>
    <xf numFmtId="17" fontId="127" fillId="25" borderId="23" xfId="49727" applyNumberFormat="1" applyFont="1" applyFill="1" applyBorder="1" applyAlignment="1">
      <alignment horizontal="center" vertical="center" wrapText="1"/>
    </xf>
    <xf numFmtId="17" fontId="127" fillId="25" borderId="24" xfId="49727" applyNumberFormat="1" applyFont="1" applyFill="1" applyBorder="1" applyAlignment="1">
      <alignment horizontal="center" vertical="center" wrapText="1"/>
    </xf>
    <xf numFmtId="0" fontId="128" fillId="25" borderId="17" xfId="49727" applyFont="1" applyFill="1" applyBorder="1" applyAlignment="1">
      <alignment horizontal="center" vertical="center" wrapText="1"/>
    </xf>
    <xf numFmtId="0" fontId="128" fillId="25" borderId="18" xfId="49727" applyFont="1" applyFill="1" applyBorder="1" applyAlignment="1">
      <alignment horizontal="center" vertical="center" wrapText="1"/>
    </xf>
    <xf numFmtId="0" fontId="128" fillId="25" borderId="19" xfId="49727" applyFont="1" applyFill="1" applyBorder="1" applyAlignment="1">
      <alignment horizontal="center" vertical="center" wrapText="1"/>
    </xf>
    <xf numFmtId="0" fontId="157" fillId="25" borderId="45" xfId="49727" applyFont="1" applyFill="1" applyBorder="1" applyAlignment="1">
      <alignment horizontal="center" vertical="center" wrapText="1"/>
    </xf>
    <xf numFmtId="0" fontId="157" fillId="25" borderId="18" xfId="49727" applyFont="1" applyFill="1" applyBorder="1" applyAlignment="1">
      <alignment horizontal="center" vertical="center" wrapText="1"/>
    </xf>
    <xf numFmtId="0" fontId="157" fillId="25" borderId="19" xfId="49727" applyFont="1" applyFill="1" applyBorder="1" applyAlignment="1">
      <alignment horizontal="center" vertical="center" wrapText="1"/>
    </xf>
    <xf numFmtId="0" fontId="141" fillId="25" borderId="17" xfId="49727" applyFont="1" applyFill="1" applyBorder="1" applyAlignment="1">
      <alignment horizontal="center" vertical="center" wrapText="1"/>
    </xf>
    <xf numFmtId="0" fontId="141" fillId="25" borderId="18" xfId="49727" applyFont="1" applyFill="1" applyBorder="1" applyAlignment="1">
      <alignment horizontal="center" vertical="center" wrapText="1"/>
    </xf>
    <xf numFmtId="0" fontId="141" fillId="25" borderId="54" xfId="49727" applyFont="1" applyFill="1" applyBorder="1" applyAlignment="1">
      <alignment horizontal="center" vertical="center" wrapText="1"/>
    </xf>
    <xf numFmtId="49" fontId="128" fillId="25" borderId="17" xfId="49727" applyNumberFormat="1" applyFont="1" applyFill="1" applyBorder="1" applyAlignment="1">
      <alignment horizontal="center" vertical="center" wrapText="1"/>
    </xf>
    <xf numFmtId="49" fontId="128" fillId="25" borderId="18" xfId="49727" applyNumberFormat="1" applyFont="1" applyFill="1" applyBorder="1" applyAlignment="1">
      <alignment horizontal="center" vertical="center" wrapText="1"/>
    </xf>
    <xf numFmtId="49" fontId="128" fillId="25" borderId="54" xfId="49727" applyNumberFormat="1" applyFont="1" applyFill="1" applyBorder="1" applyAlignment="1">
      <alignment horizontal="center" vertical="center" wrapText="1"/>
    </xf>
    <xf numFmtId="0" fontId="131" fillId="33" borderId="25" xfId="4156" applyFont="1" applyFill="1" applyBorder="1" applyAlignment="1">
      <alignment horizontal="center" vertical="center"/>
    </xf>
    <xf numFmtId="0" fontId="131" fillId="33" borderId="26" xfId="4156" applyFont="1" applyFill="1" applyBorder="1" applyAlignment="1">
      <alignment horizontal="center" vertical="center"/>
    </xf>
    <xf numFmtId="0" fontId="131" fillId="33" borderId="27" xfId="4156" applyFont="1" applyFill="1" applyBorder="1" applyAlignment="1">
      <alignment horizontal="center" vertical="center"/>
    </xf>
    <xf numFmtId="0" fontId="157" fillId="25" borderId="45" xfId="49727" applyFont="1" applyFill="1" applyBorder="1" applyAlignment="1">
      <alignment horizontal="center" vertical="center"/>
    </xf>
    <xf numFmtId="0" fontId="128" fillId="25" borderId="17" xfId="49738" applyFont="1" applyFill="1" applyBorder="1" applyAlignment="1">
      <alignment horizontal="center" vertical="center" wrapText="1"/>
    </xf>
    <xf numFmtId="0" fontId="128" fillId="25" borderId="18" xfId="49738" applyFont="1" applyFill="1" applyBorder="1" applyAlignment="1">
      <alignment horizontal="center" vertical="center" wrapText="1"/>
    </xf>
    <xf numFmtId="0" fontId="128" fillId="25" borderId="19" xfId="49738" applyFont="1" applyFill="1" applyBorder="1" applyAlignment="1">
      <alignment horizontal="center" vertical="center" wrapText="1"/>
    </xf>
    <xf numFmtId="0" fontId="85" fillId="0" borderId="17" xfId="4156" applyFont="1" applyBorder="1" applyAlignment="1">
      <alignment horizontal="center" vertical="center"/>
    </xf>
    <xf numFmtId="0" fontId="85" fillId="0" borderId="18" xfId="4156" applyFont="1" applyBorder="1" applyAlignment="1">
      <alignment horizontal="center" vertical="center"/>
    </xf>
    <xf numFmtId="0" fontId="85" fillId="0" borderId="19" xfId="4156" applyFont="1" applyBorder="1" applyAlignment="1">
      <alignment horizontal="center" vertical="center"/>
    </xf>
    <xf numFmtId="0" fontId="157" fillId="25" borderId="17" xfId="49727" applyFont="1" applyFill="1" applyBorder="1" applyAlignment="1">
      <alignment horizontal="center" vertical="center" wrapText="1"/>
    </xf>
    <xf numFmtId="0" fontId="157" fillId="25" borderId="54" xfId="49727" applyFont="1" applyFill="1" applyBorder="1" applyAlignment="1">
      <alignment horizontal="center" vertical="center" wrapText="1"/>
    </xf>
    <xf numFmtId="17" fontId="157" fillId="0" borderId="55" xfId="49727" applyNumberFormat="1" applyFont="1" applyFill="1" applyBorder="1" applyAlignment="1">
      <alignment horizontal="center" vertical="center" wrapText="1"/>
    </xf>
    <xf numFmtId="17" fontId="157" fillId="0" borderId="56" xfId="49727" applyNumberFormat="1" applyFont="1" applyFill="1" applyBorder="1" applyAlignment="1">
      <alignment horizontal="center" vertical="center" wrapText="1"/>
    </xf>
    <xf numFmtId="17" fontId="157" fillId="0" borderId="50" xfId="49727" applyNumberFormat="1" applyFont="1" applyFill="1" applyBorder="1" applyAlignment="1">
      <alignment horizontal="center" vertical="center" wrapText="1"/>
    </xf>
    <xf numFmtId="17" fontId="157" fillId="0" borderId="20" xfId="49727" applyNumberFormat="1" applyFont="1" applyFill="1" applyBorder="1" applyAlignment="1">
      <alignment horizontal="center" vertical="center" wrapText="1"/>
    </xf>
    <xf numFmtId="17" fontId="157" fillId="0" borderId="0" xfId="49727" applyNumberFormat="1" applyFont="1" applyFill="1" applyBorder="1" applyAlignment="1">
      <alignment horizontal="center" vertical="center" wrapText="1"/>
    </xf>
    <xf numFmtId="17" fontId="157" fillId="0" borderId="21" xfId="49727" applyNumberFormat="1" applyFont="1" applyFill="1" applyBorder="1" applyAlignment="1">
      <alignment horizontal="center" vertical="center" wrapText="1"/>
    </xf>
    <xf numFmtId="17" fontId="157" fillId="0" borderId="22" xfId="49727" applyNumberFormat="1" applyFont="1" applyFill="1" applyBorder="1" applyAlignment="1">
      <alignment horizontal="center" vertical="center" wrapText="1"/>
    </xf>
    <xf numFmtId="17" fontId="157" fillId="0" borderId="23" xfId="49727" applyNumberFormat="1" applyFont="1" applyFill="1" applyBorder="1" applyAlignment="1">
      <alignment horizontal="center" vertical="center" wrapText="1"/>
    </xf>
    <xf numFmtId="17" fontId="157" fillId="0" borderId="24" xfId="49727" applyNumberFormat="1" applyFont="1" applyFill="1" applyBorder="1" applyAlignment="1">
      <alignment horizontal="center" vertical="center" wrapText="1"/>
    </xf>
    <xf numFmtId="0" fontId="128" fillId="25" borderId="17" xfId="49727" applyFont="1" applyFill="1" applyBorder="1" applyAlignment="1">
      <alignment horizontal="center" vertical="center"/>
    </xf>
    <xf numFmtId="0" fontId="128" fillId="25" borderId="18" xfId="49727" applyFont="1" applyFill="1" applyBorder="1" applyAlignment="1">
      <alignment horizontal="center" vertical="center"/>
    </xf>
    <xf numFmtId="0" fontId="128" fillId="25" borderId="19" xfId="49727" applyFont="1" applyFill="1" applyBorder="1" applyAlignment="1">
      <alignment horizontal="center" vertical="center"/>
    </xf>
    <xf numFmtId="0" fontId="128" fillId="25" borderId="17" xfId="49727" quotePrefix="1" applyFont="1" applyFill="1" applyBorder="1" applyAlignment="1">
      <alignment horizontal="center" vertical="center" wrapText="1"/>
    </xf>
    <xf numFmtId="17" fontId="128" fillId="0" borderId="55" xfId="49727" quotePrefix="1" applyNumberFormat="1" applyFont="1" applyFill="1" applyBorder="1" applyAlignment="1">
      <alignment horizontal="center" vertical="center" wrapText="1"/>
    </xf>
    <xf numFmtId="17" fontId="128" fillId="0" borderId="56" xfId="49727" quotePrefix="1" applyNumberFormat="1" applyFont="1" applyFill="1" applyBorder="1" applyAlignment="1">
      <alignment horizontal="center" vertical="center" wrapText="1"/>
    </xf>
    <xf numFmtId="17" fontId="128" fillId="0" borderId="50" xfId="49727" quotePrefix="1" applyNumberFormat="1" applyFont="1" applyFill="1" applyBorder="1" applyAlignment="1">
      <alignment horizontal="center" vertical="center" wrapText="1"/>
    </xf>
    <xf numFmtId="17" fontId="128" fillId="0" borderId="20" xfId="49727" quotePrefix="1" applyNumberFormat="1" applyFont="1" applyFill="1" applyBorder="1" applyAlignment="1">
      <alignment horizontal="center" vertical="center" wrapText="1"/>
    </xf>
    <xf numFmtId="17" fontId="128" fillId="0" borderId="0" xfId="49727" quotePrefix="1" applyNumberFormat="1" applyFont="1" applyFill="1" applyBorder="1" applyAlignment="1">
      <alignment horizontal="center" vertical="center" wrapText="1"/>
    </xf>
    <xf numFmtId="17" fontId="128" fillId="0" borderId="21" xfId="49727" quotePrefix="1" applyNumberFormat="1" applyFont="1" applyFill="1" applyBorder="1" applyAlignment="1">
      <alignment horizontal="center" vertical="center" wrapText="1"/>
    </xf>
    <xf numFmtId="17" fontId="128" fillId="0" borderId="22" xfId="49727" quotePrefix="1" applyNumberFormat="1" applyFont="1" applyFill="1" applyBorder="1" applyAlignment="1">
      <alignment horizontal="center" vertical="center" wrapText="1"/>
    </xf>
    <xf numFmtId="17" fontId="128" fillId="0" borderId="23" xfId="49727" quotePrefix="1" applyNumberFormat="1" applyFont="1" applyFill="1" applyBorder="1" applyAlignment="1">
      <alignment horizontal="center" vertical="center" wrapText="1"/>
    </xf>
    <xf numFmtId="17" fontId="128" fillId="0" borderId="24" xfId="49727" quotePrefix="1" applyNumberFormat="1" applyFont="1" applyFill="1" applyBorder="1" applyAlignment="1">
      <alignment horizontal="center" vertical="center" wrapText="1"/>
    </xf>
    <xf numFmtId="17" fontId="141" fillId="0" borderId="25" xfId="49727" applyNumberFormat="1" applyFont="1" applyFill="1" applyBorder="1" applyAlignment="1">
      <alignment horizontal="center" vertical="center" wrapText="1"/>
    </xf>
    <xf numFmtId="17" fontId="141" fillId="0" borderId="26" xfId="49727" applyNumberFormat="1" applyFont="1" applyFill="1" applyBorder="1" applyAlignment="1">
      <alignment horizontal="center" vertical="center" wrapText="1"/>
    </xf>
    <xf numFmtId="17" fontId="141" fillId="0" borderId="27" xfId="49727" applyNumberFormat="1" applyFont="1" applyFill="1" applyBorder="1" applyAlignment="1">
      <alignment horizontal="center" vertical="center" wrapText="1"/>
    </xf>
    <xf numFmtId="17" fontId="141" fillId="0" borderId="20" xfId="49727" applyNumberFormat="1" applyFont="1" applyFill="1" applyBorder="1" applyAlignment="1">
      <alignment horizontal="center" vertical="center" wrapText="1"/>
    </xf>
    <xf numFmtId="17" fontId="141" fillId="0" borderId="0" xfId="49727" applyNumberFormat="1" applyFont="1" applyFill="1" applyBorder="1" applyAlignment="1">
      <alignment horizontal="center" vertical="center" wrapText="1"/>
    </xf>
    <xf numFmtId="17" fontId="141" fillId="0" borderId="21" xfId="49727" applyNumberFormat="1" applyFont="1" applyFill="1" applyBorder="1" applyAlignment="1">
      <alignment horizontal="center" vertical="center" wrapText="1"/>
    </xf>
    <xf numFmtId="17" fontId="141" fillId="0" borderId="51" xfId="49727" applyNumberFormat="1" applyFont="1" applyFill="1" applyBorder="1" applyAlignment="1">
      <alignment horizontal="center" vertical="center" wrapText="1"/>
    </xf>
    <xf numFmtId="17" fontId="141" fillId="0" borderId="52" xfId="49727" applyNumberFormat="1" applyFont="1" applyFill="1" applyBorder="1" applyAlignment="1">
      <alignment horizontal="center" vertical="center" wrapText="1"/>
    </xf>
    <xf numFmtId="17" fontId="141" fillId="0" borderId="53" xfId="49727" applyNumberFormat="1" applyFont="1" applyFill="1" applyBorder="1" applyAlignment="1">
      <alignment horizontal="center" vertical="center" wrapText="1"/>
    </xf>
    <xf numFmtId="0" fontId="143" fillId="0" borderId="17" xfId="32014" applyFont="1" applyFill="1" applyBorder="1" applyAlignment="1">
      <alignment horizontal="center" vertical="center" wrapText="1"/>
    </xf>
    <xf numFmtId="0" fontId="143" fillId="0" borderId="18" xfId="32014" applyFont="1" applyFill="1" applyBorder="1" applyAlignment="1">
      <alignment horizontal="center" vertical="center" wrapText="1"/>
    </xf>
    <xf numFmtId="0" fontId="143" fillId="0" borderId="19" xfId="32014" applyFont="1" applyFill="1" applyBorder="1" applyAlignment="1">
      <alignment horizontal="center" vertical="center" wrapText="1"/>
    </xf>
    <xf numFmtId="191" fontId="128" fillId="0" borderId="17" xfId="116" applyNumberFormat="1" applyFont="1" applyFill="1" applyBorder="1" applyAlignment="1">
      <alignment horizontal="center" vertical="center" wrapText="1"/>
    </xf>
    <xf numFmtId="191" fontId="128" fillId="0" borderId="18" xfId="116" applyNumberFormat="1" applyFont="1" applyFill="1" applyBorder="1" applyAlignment="1">
      <alignment horizontal="center" vertical="center" wrapText="1"/>
    </xf>
    <xf numFmtId="191" fontId="128" fillId="0" borderId="19" xfId="116" applyNumberFormat="1" applyFont="1" applyFill="1" applyBorder="1" applyAlignment="1">
      <alignment horizontal="center" vertical="center" wrapText="1"/>
    </xf>
    <xf numFmtId="0" fontId="141" fillId="0" borderId="17" xfId="116" applyFont="1" applyFill="1" applyBorder="1" applyAlignment="1">
      <alignment horizontal="center" vertical="center" wrapText="1"/>
    </xf>
    <xf numFmtId="0" fontId="141" fillId="0" borderId="18" xfId="116" applyFont="1" applyFill="1" applyBorder="1" applyAlignment="1">
      <alignment horizontal="center" vertical="center" wrapText="1"/>
    </xf>
    <xf numFmtId="0" fontId="141" fillId="0" borderId="19" xfId="116" applyFont="1" applyFill="1" applyBorder="1" applyAlignment="1">
      <alignment horizontal="center" vertical="center" wrapText="1"/>
    </xf>
    <xf numFmtId="0" fontId="128" fillId="0" borderId="25" xfId="116" quotePrefix="1" applyFont="1" applyFill="1" applyBorder="1" applyAlignment="1">
      <alignment horizontal="center" vertical="center" wrapText="1"/>
    </xf>
    <xf numFmtId="0" fontId="128" fillId="0" borderId="26" xfId="116" quotePrefix="1" applyFont="1" applyFill="1" applyBorder="1" applyAlignment="1">
      <alignment horizontal="center" vertical="center" wrapText="1"/>
    </xf>
    <xf numFmtId="0" fontId="128" fillId="0" borderId="27" xfId="116" quotePrefix="1" applyFont="1" applyFill="1" applyBorder="1" applyAlignment="1">
      <alignment horizontal="center" vertical="center" wrapText="1"/>
    </xf>
    <xf numFmtId="0" fontId="128" fillId="0" borderId="20" xfId="116" quotePrefix="1" applyFont="1" applyFill="1" applyBorder="1" applyAlignment="1">
      <alignment horizontal="center" vertical="center" wrapText="1"/>
    </xf>
    <xf numFmtId="0" fontId="128" fillId="0" borderId="0" xfId="116" quotePrefix="1" applyFont="1" applyFill="1" applyBorder="1" applyAlignment="1">
      <alignment horizontal="center" vertical="center" wrapText="1"/>
    </xf>
    <xf numFmtId="0" fontId="128" fillId="0" borderId="21" xfId="116" quotePrefix="1" applyFont="1" applyFill="1" applyBorder="1" applyAlignment="1">
      <alignment horizontal="center" vertical="center" wrapText="1"/>
    </xf>
    <xf numFmtId="0" fontId="128" fillId="0" borderId="22" xfId="116" quotePrefix="1" applyFont="1" applyFill="1" applyBorder="1" applyAlignment="1">
      <alignment horizontal="center" vertical="center" wrapText="1"/>
    </xf>
    <xf numFmtId="0" fontId="128" fillId="0" borderId="23" xfId="116" quotePrefix="1" applyFont="1" applyFill="1" applyBorder="1" applyAlignment="1">
      <alignment horizontal="center" vertical="center" wrapText="1"/>
    </xf>
    <xf numFmtId="0" fontId="128" fillId="0" borderId="24" xfId="116" quotePrefix="1" applyFont="1" applyFill="1" applyBorder="1" applyAlignment="1">
      <alignment horizontal="center" vertical="center" wrapText="1"/>
    </xf>
    <xf numFmtId="49" fontId="160" fillId="0" borderId="50" xfId="49727" applyNumberFormat="1" applyFont="1" applyBorder="1" applyAlignment="1">
      <alignment horizontal="center" vertical="center" wrapText="1"/>
    </xf>
    <xf numFmtId="49" fontId="160" fillId="0" borderId="21" xfId="49727" applyNumberFormat="1" applyFont="1" applyBorder="1" applyAlignment="1">
      <alignment horizontal="center" vertical="center" wrapText="1"/>
    </xf>
    <xf numFmtId="49" fontId="128" fillId="39" borderId="17" xfId="49727" applyNumberFormat="1" applyFont="1" applyFill="1" applyBorder="1" applyAlignment="1">
      <alignment horizontal="center" vertical="center" wrapText="1"/>
    </xf>
    <xf numFmtId="49" fontId="128" fillId="39" borderId="18" xfId="49727" applyNumberFormat="1" applyFont="1" applyFill="1" applyBorder="1" applyAlignment="1">
      <alignment horizontal="center" vertical="center" wrapText="1"/>
    </xf>
    <xf numFmtId="49" fontId="128" fillId="39" borderId="19" xfId="49727" applyNumberFormat="1" applyFont="1" applyFill="1" applyBorder="1" applyAlignment="1">
      <alignment horizontal="center" vertical="center" wrapText="1"/>
    </xf>
    <xf numFmtId="0" fontId="145" fillId="0" borderId="17" xfId="116" applyNumberFormat="1" applyFont="1" applyFill="1" applyBorder="1" applyAlignment="1">
      <alignment horizontal="center" vertical="center"/>
    </xf>
    <xf numFmtId="0" fontId="128" fillId="39" borderId="17" xfId="4156" applyNumberFormat="1" applyFont="1" applyFill="1" applyBorder="1" applyAlignment="1">
      <alignment horizontal="center" vertical="center"/>
    </xf>
    <xf numFmtId="0" fontId="128" fillId="39" borderId="18" xfId="4156" applyNumberFormat="1" applyFont="1" applyFill="1" applyBorder="1" applyAlignment="1">
      <alignment horizontal="center" vertical="center"/>
    </xf>
    <xf numFmtId="0" fontId="128" fillId="39" borderId="19" xfId="4156" applyNumberFormat="1" applyFont="1" applyFill="1" applyBorder="1" applyAlignment="1">
      <alignment horizontal="center" vertical="center"/>
    </xf>
    <xf numFmtId="0" fontId="127" fillId="0" borderId="25" xfId="49724" applyNumberFormat="1" applyFont="1" applyFill="1" applyBorder="1" applyAlignment="1">
      <alignment horizontal="center" vertical="center"/>
    </xf>
    <xf numFmtId="0" fontId="127" fillId="0" borderId="26" xfId="49724" applyNumberFormat="1" applyFont="1" applyFill="1" applyBorder="1" applyAlignment="1">
      <alignment horizontal="center" vertical="center"/>
    </xf>
    <xf numFmtId="0" fontId="127" fillId="0" borderId="27" xfId="49724" applyNumberFormat="1" applyFont="1" applyFill="1" applyBorder="1" applyAlignment="1">
      <alignment horizontal="center" vertical="center"/>
    </xf>
    <xf numFmtId="0" fontId="127" fillId="0" borderId="20" xfId="49724" applyNumberFormat="1" applyFont="1" applyFill="1" applyBorder="1" applyAlignment="1">
      <alignment horizontal="center" vertical="center"/>
    </xf>
    <xf numFmtId="0" fontId="127" fillId="0" borderId="0" xfId="49724" applyNumberFormat="1" applyFont="1" applyFill="1" applyBorder="1" applyAlignment="1">
      <alignment horizontal="center" vertical="center"/>
    </xf>
    <xf numFmtId="0" fontId="127" fillId="0" borderId="21" xfId="49724" applyNumberFormat="1" applyFont="1" applyFill="1" applyBorder="1" applyAlignment="1">
      <alignment horizontal="center" vertical="center"/>
    </xf>
    <xf numFmtId="0" fontId="127" fillId="0" borderId="22" xfId="49724" applyNumberFormat="1" applyFont="1" applyFill="1" applyBorder="1" applyAlignment="1">
      <alignment horizontal="center" vertical="center"/>
    </xf>
    <xf numFmtId="0" fontId="127" fillId="0" borderId="23" xfId="49724" applyNumberFormat="1" applyFont="1" applyFill="1" applyBorder="1" applyAlignment="1">
      <alignment horizontal="center" vertical="center"/>
    </xf>
    <xf numFmtId="0" fontId="127" fillId="0" borderId="24" xfId="49724" applyNumberFormat="1" applyFont="1" applyFill="1" applyBorder="1" applyAlignment="1">
      <alignment horizontal="center" vertical="center"/>
    </xf>
    <xf numFmtId="41" fontId="131" fillId="33" borderId="35" xfId="4156" applyNumberFormat="1" applyFont="1" applyFill="1" applyBorder="1" applyAlignment="1">
      <alignment horizontal="center" vertical="center"/>
    </xf>
    <xf numFmtId="41" fontId="131" fillId="33" borderId="2" xfId="4156" applyNumberFormat="1" applyFont="1" applyFill="1" applyBorder="1" applyAlignment="1">
      <alignment horizontal="center" vertical="center"/>
    </xf>
    <xf numFmtId="41" fontId="131" fillId="33" borderId="36" xfId="4156" applyNumberFormat="1" applyFont="1" applyFill="1" applyBorder="1" applyAlignment="1">
      <alignment horizontal="center" vertical="center"/>
    </xf>
    <xf numFmtId="0" fontId="134" fillId="0" borderId="0" xfId="116" applyFont="1" applyAlignment="1">
      <alignment horizontal="center" vertical="center" wrapText="1"/>
    </xf>
    <xf numFmtId="17" fontId="127" fillId="25" borderId="25" xfId="32014" applyNumberFormat="1" applyFont="1" applyFill="1" applyBorder="1" applyAlignment="1">
      <alignment horizontal="center" vertical="center" wrapText="1"/>
    </xf>
    <xf numFmtId="17" fontId="127" fillId="25" borderId="26" xfId="32014" applyNumberFormat="1" applyFont="1" applyFill="1" applyBorder="1" applyAlignment="1">
      <alignment horizontal="center" vertical="center" wrapText="1"/>
    </xf>
    <xf numFmtId="17" fontId="127" fillId="25" borderId="27" xfId="32014" applyNumberFormat="1" applyFont="1" applyFill="1" applyBorder="1" applyAlignment="1">
      <alignment horizontal="center" vertical="center" wrapText="1"/>
    </xf>
    <xf numFmtId="17" fontId="127" fillId="25" borderId="20" xfId="32014" applyNumberFormat="1" applyFont="1" applyFill="1" applyBorder="1" applyAlignment="1">
      <alignment horizontal="center" vertical="center" wrapText="1"/>
    </xf>
    <xf numFmtId="17" fontId="127" fillId="25" borderId="0" xfId="32014" applyNumberFormat="1" applyFont="1" applyFill="1" applyBorder="1" applyAlignment="1">
      <alignment horizontal="center" vertical="center" wrapText="1"/>
    </xf>
    <xf numFmtId="17" fontId="127" fillId="25" borderId="21" xfId="32014" applyNumberFormat="1" applyFont="1" applyFill="1" applyBorder="1" applyAlignment="1">
      <alignment horizontal="center" vertical="center" wrapText="1"/>
    </xf>
    <xf numFmtId="17" fontId="127" fillId="25" borderId="22" xfId="32014" applyNumberFormat="1" applyFont="1" applyFill="1" applyBorder="1" applyAlignment="1">
      <alignment horizontal="center" vertical="center" wrapText="1"/>
    </xf>
    <xf numFmtId="17" fontId="127" fillId="25" borderId="23" xfId="32014" applyNumberFormat="1" applyFont="1" applyFill="1" applyBorder="1" applyAlignment="1">
      <alignment horizontal="center" vertical="center" wrapText="1"/>
    </xf>
    <xf numFmtId="17" fontId="127" fillId="25" borderId="24" xfId="32014" applyNumberFormat="1" applyFont="1" applyFill="1" applyBorder="1" applyAlignment="1">
      <alignment horizontal="center" vertical="center" wrapText="1"/>
    </xf>
    <xf numFmtId="0" fontId="145" fillId="25" borderId="17" xfId="32014" applyFont="1" applyFill="1" applyBorder="1" applyAlignment="1">
      <alignment horizontal="center" vertical="center" wrapText="1"/>
    </xf>
    <xf numFmtId="0" fontId="145" fillId="25" borderId="18" xfId="32014" applyFont="1" applyFill="1" applyBorder="1" applyAlignment="1">
      <alignment horizontal="center" vertical="center" wrapText="1"/>
    </xf>
    <xf numFmtId="0" fontId="145" fillId="25" borderId="19" xfId="32014" applyFont="1" applyFill="1" applyBorder="1" applyAlignment="1">
      <alignment horizontal="center" vertical="center" wrapText="1"/>
    </xf>
    <xf numFmtId="0" fontId="128" fillId="0" borderId="3" xfId="4156" quotePrefix="1" applyFont="1" applyBorder="1" applyAlignment="1">
      <alignment horizontal="center" vertical="center"/>
    </xf>
    <xf numFmtId="0" fontId="129" fillId="25" borderId="3" xfId="0" applyFont="1" applyFill="1" applyBorder="1" applyAlignment="1">
      <alignment horizontal="center" vertical="center"/>
    </xf>
    <xf numFmtId="0" fontId="42" fillId="25" borderId="3" xfId="116" applyFont="1" applyFill="1" applyBorder="1" applyAlignment="1">
      <alignment horizontal="center" vertical="center"/>
    </xf>
    <xf numFmtId="41" fontId="162" fillId="25" borderId="3" xfId="6962" applyFont="1" applyFill="1" applyBorder="1" applyAlignment="1">
      <alignment horizontal="center" vertical="center"/>
    </xf>
    <xf numFmtId="0" fontId="128" fillId="0" borderId="25" xfId="116" applyFont="1" applyFill="1" applyBorder="1" applyAlignment="1">
      <alignment horizontal="center" vertical="center" shrinkToFit="1"/>
    </xf>
    <xf numFmtId="0" fontId="128" fillId="0" borderId="26" xfId="116" applyFont="1" applyFill="1" applyBorder="1" applyAlignment="1">
      <alignment horizontal="center" vertical="center" shrinkToFit="1"/>
    </xf>
    <xf numFmtId="0" fontId="128" fillId="0" borderId="27" xfId="116" applyFont="1" applyFill="1" applyBorder="1" applyAlignment="1">
      <alignment horizontal="center" vertical="center" shrinkToFit="1"/>
    </xf>
    <xf numFmtId="0" fontId="128" fillId="0" borderId="20" xfId="116" applyFont="1" applyFill="1" applyBorder="1" applyAlignment="1">
      <alignment horizontal="center" vertical="center" shrinkToFit="1"/>
    </xf>
    <xf numFmtId="0" fontId="128" fillId="0" borderId="0" xfId="116" applyFont="1" applyFill="1" applyBorder="1" applyAlignment="1">
      <alignment horizontal="center" vertical="center" shrinkToFit="1"/>
    </xf>
    <xf numFmtId="0" fontId="128" fillId="0" borderId="21" xfId="116" applyFont="1" applyFill="1" applyBorder="1" applyAlignment="1">
      <alignment horizontal="center" vertical="center" shrinkToFit="1"/>
    </xf>
    <xf numFmtId="0" fontId="128" fillId="0" borderId="22" xfId="116" applyFont="1" applyFill="1" applyBorder="1" applyAlignment="1">
      <alignment horizontal="center" vertical="center" shrinkToFit="1"/>
    </xf>
    <xf numFmtId="0" fontId="128" fillId="0" borderId="23" xfId="116" applyFont="1" applyFill="1" applyBorder="1" applyAlignment="1">
      <alignment horizontal="center" vertical="center" shrinkToFit="1"/>
    </xf>
    <xf numFmtId="0" fontId="128" fillId="0" borderId="24" xfId="116" applyFont="1" applyFill="1" applyBorder="1" applyAlignment="1">
      <alignment horizontal="center" vertical="center" shrinkToFit="1"/>
    </xf>
    <xf numFmtId="49" fontId="41" fillId="25" borderId="17" xfId="32014" applyNumberFormat="1" applyFont="1" applyFill="1" applyBorder="1" applyAlignment="1">
      <alignment horizontal="center" vertical="center" wrapText="1"/>
    </xf>
    <xf numFmtId="49" fontId="41" fillId="25" borderId="19" xfId="32014" applyNumberFormat="1" applyFont="1" applyFill="1" applyBorder="1" applyAlignment="1">
      <alignment horizontal="center" vertical="center" wrapText="1"/>
    </xf>
    <xf numFmtId="0" fontId="145" fillId="0" borderId="17" xfId="4156" quotePrefix="1" applyNumberFormat="1" applyFont="1" applyBorder="1" applyAlignment="1">
      <alignment horizontal="center" vertical="center" wrapText="1"/>
    </xf>
    <xf numFmtId="0" fontId="145" fillId="0" borderId="18" xfId="4156" quotePrefix="1" applyNumberFormat="1" applyFont="1" applyBorder="1" applyAlignment="1">
      <alignment horizontal="center" vertical="center" wrapText="1"/>
    </xf>
    <xf numFmtId="0" fontId="145" fillId="0" borderId="19" xfId="4156" quotePrefix="1" applyNumberFormat="1" applyFont="1" applyBorder="1" applyAlignment="1">
      <alignment horizontal="center" vertical="center" wrapText="1"/>
    </xf>
    <xf numFmtId="0" fontId="160" fillId="0" borderId="44" xfId="49727" applyFont="1" applyBorder="1" applyAlignment="1">
      <alignment horizontal="center" vertical="center" wrapText="1"/>
    </xf>
    <xf numFmtId="0" fontId="160" fillId="0" borderId="3" xfId="49727" applyFont="1" applyBorder="1" applyAlignment="1">
      <alignment horizontal="center" vertical="center" wrapText="1"/>
    </xf>
    <xf numFmtId="0" fontId="160" fillId="0" borderId="44" xfId="49727" applyFont="1" applyBorder="1" applyAlignment="1">
      <alignment horizontal="center" vertical="center"/>
    </xf>
    <xf numFmtId="0" fontId="160" fillId="0" borderId="3" xfId="49727" applyFont="1" applyBorder="1" applyAlignment="1">
      <alignment horizontal="center" vertical="center"/>
    </xf>
    <xf numFmtId="49" fontId="147" fillId="0" borderId="17" xfId="49732" applyNumberFormat="1" applyFont="1" applyFill="1" applyBorder="1" applyAlignment="1">
      <alignment horizontal="center" vertical="center"/>
    </xf>
    <xf numFmtId="49" fontId="147" fillId="0" borderId="18" xfId="49732" applyNumberFormat="1" applyFont="1" applyFill="1" applyBorder="1" applyAlignment="1">
      <alignment horizontal="center" vertical="center"/>
    </xf>
    <xf numFmtId="49" fontId="147" fillId="0" borderId="19" xfId="49732" applyNumberFormat="1" applyFont="1" applyFill="1" applyBorder="1" applyAlignment="1">
      <alignment horizontal="center" vertical="center"/>
    </xf>
    <xf numFmtId="0" fontId="127" fillId="37" borderId="17" xfId="49727" applyNumberFormat="1" applyFont="1" applyFill="1" applyBorder="1" applyAlignment="1">
      <alignment horizontal="center" vertical="center"/>
    </xf>
    <xf numFmtId="0" fontId="127" fillId="37" borderId="18" xfId="49727" applyNumberFormat="1" applyFont="1" applyFill="1" applyBorder="1" applyAlignment="1">
      <alignment horizontal="center" vertical="center"/>
    </xf>
    <xf numFmtId="0" fontId="127" fillId="37" borderId="19" xfId="49727" applyNumberFormat="1" applyFont="1" applyFill="1" applyBorder="1" applyAlignment="1">
      <alignment horizontal="center" vertical="center"/>
    </xf>
    <xf numFmtId="0" fontId="143" fillId="25" borderId="17" xfId="49727" applyNumberFormat="1" applyFont="1" applyFill="1" applyBorder="1" applyAlignment="1">
      <alignment horizontal="center" vertical="center" wrapText="1"/>
    </xf>
    <xf numFmtId="0" fontId="38" fillId="0" borderId="17" xfId="0" applyFont="1" applyBorder="1" applyAlignment="1">
      <alignment horizontal="center" vertical="center"/>
    </xf>
    <xf numFmtId="0" fontId="38" fillId="0" borderId="18" xfId="0" applyFont="1" applyBorder="1" applyAlignment="1">
      <alignment horizontal="center" vertical="center"/>
    </xf>
    <xf numFmtId="0" fontId="38" fillId="0" borderId="19" xfId="0" applyFont="1" applyBorder="1" applyAlignment="1">
      <alignment horizontal="center" vertical="center"/>
    </xf>
    <xf numFmtId="49" fontId="147" fillId="0" borderId="17" xfId="49727" applyNumberFormat="1" applyFont="1" applyBorder="1" applyAlignment="1">
      <alignment horizontal="center" vertical="center" wrapText="1"/>
    </xf>
    <xf numFmtId="49" fontId="147" fillId="0" borderId="18" xfId="49727" applyNumberFormat="1" applyFont="1" applyBorder="1" applyAlignment="1">
      <alignment horizontal="center" vertical="center" wrapText="1"/>
    </xf>
    <xf numFmtId="49" fontId="147" fillId="0" borderId="19" xfId="49727" applyNumberFormat="1" applyFont="1" applyBorder="1" applyAlignment="1">
      <alignment horizontal="center" vertical="center" wrapText="1"/>
    </xf>
    <xf numFmtId="17" fontId="38" fillId="0" borderId="25" xfId="49727" quotePrefix="1" applyNumberFormat="1" applyBorder="1" applyAlignment="1">
      <alignment horizontal="center" vertical="center" wrapText="1"/>
    </xf>
    <xf numFmtId="17" fontId="0" fillId="0" borderId="26" xfId="49727" applyNumberFormat="1" applyFont="1" applyBorder="1" applyAlignment="1">
      <alignment horizontal="center" vertical="center" wrapText="1"/>
    </xf>
    <xf numFmtId="17" fontId="0" fillId="0" borderId="27" xfId="49727" applyNumberFormat="1" applyFont="1" applyBorder="1" applyAlignment="1">
      <alignment horizontal="center" vertical="center" wrapText="1"/>
    </xf>
    <xf numFmtId="17" fontId="0" fillId="0" borderId="20" xfId="49727" applyNumberFormat="1" applyFont="1" applyBorder="1" applyAlignment="1">
      <alignment horizontal="center" vertical="center" wrapText="1"/>
    </xf>
    <xf numFmtId="17" fontId="0" fillId="0" borderId="0" xfId="49727" applyNumberFormat="1" applyFont="1" applyAlignment="1">
      <alignment horizontal="center" vertical="center" wrapText="1"/>
    </xf>
    <xf numFmtId="17" fontId="0" fillId="0" borderId="21" xfId="49727" applyNumberFormat="1" applyFont="1" applyBorder="1" applyAlignment="1">
      <alignment horizontal="center" vertical="center" wrapText="1"/>
    </xf>
    <xf numFmtId="17" fontId="0" fillId="0" borderId="22" xfId="49727" applyNumberFormat="1" applyFont="1" applyBorder="1" applyAlignment="1">
      <alignment horizontal="center" vertical="center" wrapText="1"/>
    </xf>
    <xf numFmtId="17" fontId="0" fillId="0" borderId="23" xfId="49727" applyNumberFormat="1" applyFont="1" applyBorder="1" applyAlignment="1">
      <alignment horizontal="center" vertical="center" wrapText="1"/>
    </xf>
    <xf numFmtId="17" fontId="0" fillId="0" borderId="24" xfId="49727" applyNumberFormat="1" applyFont="1" applyBorder="1" applyAlignment="1">
      <alignment horizontal="center" vertical="center" wrapText="1"/>
    </xf>
    <xf numFmtId="0" fontId="157" fillId="25" borderId="45" xfId="49738" applyFont="1" applyFill="1" applyBorder="1" applyAlignment="1">
      <alignment horizontal="center" vertical="center" wrapText="1"/>
    </xf>
    <xf numFmtId="0" fontId="157" fillId="25" borderId="18" xfId="49738" applyFont="1" applyFill="1" applyBorder="1" applyAlignment="1">
      <alignment horizontal="center" vertical="center" wrapText="1"/>
    </xf>
    <xf numFmtId="0" fontId="157" fillId="25" borderId="19" xfId="49738" applyFont="1" applyFill="1" applyBorder="1" applyAlignment="1">
      <alignment horizontal="center" vertical="center" wrapText="1"/>
    </xf>
    <xf numFmtId="0" fontId="126" fillId="32" borderId="25" xfId="116" applyFont="1" applyFill="1" applyBorder="1" applyAlignment="1">
      <alignment horizontal="center" vertical="center"/>
    </xf>
    <xf numFmtId="0" fontId="126" fillId="32" borderId="26" xfId="116" applyFont="1" applyFill="1" applyBorder="1" applyAlignment="1">
      <alignment horizontal="center" vertical="center"/>
    </xf>
    <xf numFmtId="0" fontId="126" fillId="32" borderId="27" xfId="116" applyFont="1" applyFill="1" applyBorder="1" applyAlignment="1">
      <alignment horizontal="center" vertical="center"/>
    </xf>
    <xf numFmtId="17" fontId="157" fillId="0" borderId="44" xfId="49727" applyNumberFormat="1" applyFont="1" applyBorder="1" applyAlignment="1">
      <alignment horizontal="center" vertical="center" wrapText="1"/>
    </xf>
    <xf numFmtId="17" fontId="157" fillId="0" borderId="3" xfId="49727" applyNumberFormat="1" applyFont="1" applyBorder="1" applyAlignment="1">
      <alignment horizontal="center" vertical="center" wrapText="1"/>
    </xf>
    <xf numFmtId="0" fontId="147" fillId="0" borderId="27" xfId="49727" applyFont="1" applyBorder="1" applyAlignment="1">
      <alignment horizontal="center" vertical="center" wrapText="1"/>
    </xf>
    <xf numFmtId="0" fontId="147" fillId="0" borderId="21" xfId="49727" applyFont="1" applyBorder="1" applyAlignment="1">
      <alignment horizontal="center" vertical="center" wrapText="1"/>
    </xf>
    <xf numFmtId="0" fontId="147" fillId="0" borderId="24" xfId="49727" applyFont="1" applyBorder="1" applyAlignment="1">
      <alignment horizontal="center" vertical="center" wrapText="1"/>
    </xf>
    <xf numFmtId="17" fontId="147" fillId="0" borderId="25" xfId="49727" applyNumberFormat="1" applyFont="1" applyBorder="1" applyAlignment="1">
      <alignment horizontal="center" vertical="center" wrapText="1"/>
    </xf>
    <xf numFmtId="17" fontId="147" fillId="0" borderId="26" xfId="49727" applyNumberFormat="1" applyFont="1" applyBorder="1" applyAlignment="1">
      <alignment horizontal="center" vertical="center" wrapText="1"/>
    </xf>
    <xf numFmtId="17" fontId="147" fillId="0" borderId="27" xfId="49727" applyNumberFormat="1" applyFont="1" applyBorder="1" applyAlignment="1">
      <alignment horizontal="center" vertical="center" wrapText="1"/>
    </xf>
    <xf numFmtId="17" fontId="147" fillId="0" borderId="20" xfId="49727" applyNumberFormat="1" applyFont="1" applyBorder="1" applyAlignment="1">
      <alignment horizontal="center" vertical="center" wrapText="1"/>
    </xf>
    <xf numFmtId="17" fontId="147" fillId="0" borderId="0" xfId="49727" applyNumberFormat="1" applyFont="1" applyBorder="1" applyAlignment="1">
      <alignment horizontal="center" vertical="center" wrapText="1"/>
    </xf>
    <xf numFmtId="17" fontId="147" fillId="0" borderId="21" xfId="49727" applyNumberFormat="1" applyFont="1" applyBorder="1" applyAlignment="1">
      <alignment horizontal="center" vertical="center" wrapText="1"/>
    </xf>
    <xf numFmtId="17" fontId="147" fillId="0" borderId="22" xfId="49727" applyNumberFormat="1" applyFont="1" applyBorder="1" applyAlignment="1">
      <alignment horizontal="center" vertical="center" wrapText="1"/>
    </xf>
    <xf numFmtId="17" fontId="147" fillId="0" borderId="23" xfId="49727" applyNumberFormat="1" applyFont="1" applyBorder="1" applyAlignment="1">
      <alignment horizontal="center" vertical="center" wrapText="1"/>
    </xf>
    <xf numFmtId="17" fontId="147" fillId="0" borderId="24" xfId="49727" applyNumberFormat="1" applyFont="1" applyBorder="1" applyAlignment="1">
      <alignment horizontal="center" vertical="center" wrapText="1"/>
    </xf>
    <xf numFmtId="0" fontId="148" fillId="0" borderId="17" xfId="49727" applyFont="1" applyBorder="1" applyAlignment="1">
      <alignment horizontal="center" vertical="center" wrapText="1"/>
    </xf>
    <xf numFmtId="0" fontId="148" fillId="0" borderId="19" xfId="49727" applyFont="1" applyBorder="1" applyAlignment="1">
      <alignment horizontal="center" vertical="center" wrapText="1"/>
    </xf>
    <xf numFmtId="49" fontId="127" fillId="0" borderId="17" xfId="32014" applyNumberFormat="1" applyFont="1" applyFill="1" applyBorder="1" applyAlignment="1">
      <alignment horizontal="center" vertical="center" wrapText="1"/>
    </xf>
    <xf numFmtId="49" fontId="127" fillId="0" borderId="18" xfId="32014" applyNumberFormat="1" applyFont="1" applyFill="1" applyBorder="1" applyAlignment="1">
      <alignment horizontal="center" vertical="center" wrapText="1"/>
    </xf>
    <xf numFmtId="49" fontId="127" fillId="0" borderId="19" xfId="32014" applyNumberFormat="1" applyFont="1" applyFill="1" applyBorder="1" applyAlignment="1">
      <alignment horizontal="center" vertical="center" wrapText="1"/>
    </xf>
    <xf numFmtId="0" fontId="147" fillId="0" borderId="27" xfId="49732" applyFont="1" applyFill="1" applyBorder="1" applyAlignment="1">
      <alignment horizontal="center" vertical="center"/>
    </xf>
    <xf numFmtId="0" fontId="147" fillId="0" borderId="21" xfId="49732" applyFont="1" applyFill="1" applyBorder="1" applyAlignment="1">
      <alignment horizontal="center" vertical="center"/>
    </xf>
    <xf numFmtId="0" fontId="147" fillId="0" borderId="24" xfId="49732" applyFont="1" applyFill="1" applyBorder="1" applyAlignment="1">
      <alignment horizontal="center" vertical="center"/>
    </xf>
    <xf numFmtId="0" fontId="147" fillId="0" borderId="25" xfId="49732" applyFont="1" applyFill="1" applyBorder="1" applyAlignment="1">
      <alignment horizontal="center" vertical="center" wrapText="1"/>
    </xf>
    <xf numFmtId="0" fontId="147" fillId="0" borderId="26" xfId="49732" applyFont="1" applyFill="1" applyBorder="1" applyAlignment="1">
      <alignment horizontal="center" vertical="center" wrapText="1"/>
    </xf>
    <xf numFmtId="0" fontId="147" fillId="0" borderId="27" xfId="49732" applyFont="1" applyFill="1" applyBorder="1" applyAlignment="1">
      <alignment horizontal="center" vertical="center" wrapText="1"/>
    </xf>
    <xf numFmtId="0" fontId="147" fillId="0" borderId="20" xfId="49732" applyFont="1" applyFill="1" applyBorder="1" applyAlignment="1">
      <alignment horizontal="center" vertical="center" wrapText="1"/>
    </xf>
    <xf numFmtId="0" fontId="147" fillId="0" borderId="0" xfId="49732" applyFont="1" applyFill="1" applyBorder="1" applyAlignment="1">
      <alignment horizontal="center" vertical="center" wrapText="1"/>
    </xf>
    <xf numFmtId="0" fontId="147" fillId="0" borderId="21" xfId="49732" applyFont="1" applyFill="1" applyBorder="1" applyAlignment="1">
      <alignment horizontal="center" vertical="center" wrapText="1"/>
    </xf>
    <xf numFmtId="0" fontId="147" fillId="0" borderId="22" xfId="49732" applyFont="1" applyFill="1" applyBorder="1" applyAlignment="1">
      <alignment horizontal="center" vertical="center" wrapText="1"/>
    </xf>
    <xf numFmtId="0" fontId="147" fillId="0" borderId="23" xfId="49732" applyFont="1" applyFill="1" applyBorder="1" applyAlignment="1">
      <alignment horizontal="center" vertical="center" wrapText="1"/>
    </xf>
    <xf numFmtId="0" fontId="147" fillId="0" borderId="24" xfId="49732" applyFont="1" applyFill="1" applyBorder="1" applyAlignment="1">
      <alignment horizontal="center" vertical="center" wrapText="1"/>
    </xf>
    <xf numFmtId="0" fontId="147" fillId="0" borderId="18" xfId="49727" applyFont="1" applyBorder="1" applyAlignment="1">
      <alignment horizontal="center" vertical="center" wrapText="1"/>
    </xf>
    <xf numFmtId="0" fontId="148" fillId="0" borderId="18" xfId="49727" applyFont="1" applyBorder="1" applyAlignment="1">
      <alignment horizontal="center" vertical="center" wrapText="1"/>
    </xf>
    <xf numFmtId="0" fontId="149" fillId="0" borderId="0" xfId="49732" applyFont="1" applyFill="1" applyBorder="1" applyAlignment="1">
      <alignment horizontal="center" vertical="center" wrapText="1"/>
    </xf>
    <xf numFmtId="0" fontId="149" fillId="0" borderId="21" xfId="49732" applyFont="1" applyFill="1" applyBorder="1" applyAlignment="1">
      <alignment horizontal="center" vertical="center"/>
    </xf>
    <xf numFmtId="0" fontId="150" fillId="0" borderId="17" xfId="49727" applyFont="1" applyBorder="1" applyAlignment="1">
      <alignment horizontal="center" vertical="center" wrapText="1"/>
    </xf>
    <xf numFmtId="0" fontId="150" fillId="0" borderId="19" xfId="49727" applyFont="1" applyBorder="1" applyAlignment="1">
      <alignment horizontal="center" vertical="center" wrapText="1"/>
    </xf>
    <xf numFmtId="0" fontId="156" fillId="25" borderId="25" xfId="32014" applyFont="1" applyFill="1" applyBorder="1" applyAlignment="1">
      <alignment horizontal="center" vertical="center" wrapText="1"/>
    </xf>
    <xf numFmtId="0" fontId="156" fillId="25" borderId="26" xfId="32014" applyFont="1" applyFill="1" applyBorder="1" applyAlignment="1">
      <alignment horizontal="center" vertical="center" wrapText="1"/>
    </xf>
    <xf numFmtId="0" fontId="156" fillId="25" borderId="27" xfId="32014" applyFont="1" applyFill="1" applyBorder="1" applyAlignment="1">
      <alignment horizontal="center" vertical="center" wrapText="1"/>
    </xf>
    <xf numFmtId="0" fontId="156" fillId="25" borderId="20" xfId="32014" applyFont="1" applyFill="1" applyBorder="1" applyAlignment="1">
      <alignment horizontal="center" vertical="center" wrapText="1"/>
    </xf>
    <xf numFmtId="0" fontId="156" fillId="25" borderId="0" xfId="32014" applyFont="1" applyFill="1" applyBorder="1" applyAlignment="1">
      <alignment horizontal="center" vertical="center" wrapText="1"/>
    </xf>
    <xf numFmtId="0" fontId="156" fillId="25" borderId="21" xfId="32014" applyFont="1" applyFill="1" applyBorder="1" applyAlignment="1">
      <alignment horizontal="center" vertical="center" wrapText="1"/>
    </xf>
    <xf numFmtId="0" fontId="156" fillId="25" borderId="22" xfId="32014" applyFont="1" applyFill="1" applyBorder="1" applyAlignment="1">
      <alignment horizontal="center" vertical="center" wrapText="1"/>
    </xf>
    <xf numFmtId="0" fontId="156" fillId="25" borderId="23" xfId="32014" applyFont="1" applyFill="1" applyBorder="1" applyAlignment="1">
      <alignment horizontal="center" vertical="center" wrapText="1"/>
    </xf>
    <xf numFmtId="0" fontId="156" fillId="25" borderId="24" xfId="32014" applyFont="1" applyFill="1" applyBorder="1" applyAlignment="1">
      <alignment horizontal="center" vertical="center" wrapText="1"/>
    </xf>
    <xf numFmtId="0" fontId="128" fillId="25" borderId="54" xfId="49738" applyFont="1" applyFill="1" applyBorder="1" applyAlignment="1">
      <alignment horizontal="center" vertical="center" wrapText="1"/>
    </xf>
    <xf numFmtId="0" fontId="157" fillId="25" borderId="17" xfId="49738" applyFont="1" applyFill="1" applyBorder="1" applyAlignment="1">
      <alignment horizontal="center" vertical="center" wrapText="1"/>
    </xf>
    <xf numFmtId="49" fontId="147" fillId="39" borderId="17" xfId="49727" applyNumberFormat="1" applyFont="1" applyFill="1" applyBorder="1" applyAlignment="1">
      <alignment horizontal="center" vertical="center" wrapText="1"/>
    </xf>
    <xf numFmtId="49" fontId="147" fillId="39" borderId="18" xfId="49727" applyNumberFormat="1" applyFont="1" applyFill="1" applyBorder="1" applyAlignment="1">
      <alignment horizontal="center" vertical="center" wrapText="1"/>
    </xf>
    <xf numFmtId="49" fontId="147" fillId="39" borderId="19" xfId="49727" applyNumberFormat="1" applyFont="1" applyFill="1" applyBorder="1" applyAlignment="1">
      <alignment horizontal="center" vertical="center" wrapText="1"/>
    </xf>
    <xf numFmtId="41" fontId="130" fillId="0" borderId="25" xfId="6962" applyFont="1" applyFill="1" applyBorder="1" applyAlignment="1">
      <alignment horizontal="center" vertical="center" wrapText="1"/>
    </xf>
    <xf numFmtId="41" fontId="130" fillId="0" borderId="26" xfId="6962" applyFont="1" applyFill="1" applyBorder="1" applyAlignment="1">
      <alignment horizontal="center" vertical="center" wrapText="1"/>
    </xf>
    <xf numFmtId="41" fontId="130" fillId="0" borderId="27" xfId="6962" applyFont="1" applyFill="1" applyBorder="1" applyAlignment="1">
      <alignment horizontal="center" vertical="center" wrapText="1"/>
    </xf>
    <xf numFmtId="41" fontId="130" fillId="0" borderId="20" xfId="6962" applyFont="1" applyFill="1" applyBorder="1" applyAlignment="1">
      <alignment horizontal="center" vertical="center" wrapText="1"/>
    </xf>
    <xf numFmtId="41" fontId="130" fillId="0" borderId="0" xfId="6962" applyFont="1" applyFill="1" applyBorder="1" applyAlignment="1">
      <alignment horizontal="center" vertical="center" wrapText="1"/>
    </xf>
    <xf numFmtId="41" fontId="130" fillId="0" borderId="21" xfId="6962" applyFont="1" applyFill="1" applyBorder="1" applyAlignment="1">
      <alignment horizontal="center" vertical="center" wrapText="1"/>
    </xf>
    <xf numFmtId="41" fontId="130" fillId="0" borderId="22" xfId="6962" applyFont="1" applyFill="1" applyBorder="1" applyAlignment="1">
      <alignment horizontal="center" vertical="center" wrapText="1"/>
    </xf>
    <xf numFmtId="41" fontId="130" fillId="0" borderId="23" xfId="6962" applyFont="1" applyFill="1" applyBorder="1" applyAlignment="1">
      <alignment horizontal="center" vertical="center" wrapText="1"/>
    </xf>
    <xf numFmtId="41" fontId="130" fillId="0" borderId="24" xfId="6962" applyFont="1" applyFill="1" applyBorder="1" applyAlignment="1">
      <alignment horizontal="center" vertical="center" wrapText="1"/>
    </xf>
    <xf numFmtId="41" fontId="146" fillId="0" borderId="17" xfId="6962" applyFont="1" applyFill="1" applyBorder="1" applyAlignment="1">
      <alignment horizontal="center" vertical="center"/>
    </xf>
    <xf numFmtId="41" fontId="146" fillId="0" borderId="19" xfId="6962" applyFont="1" applyFill="1" applyBorder="1" applyAlignment="1">
      <alignment horizontal="center" vertical="center"/>
    </xf>
    <xf numFmtId="49" fontId="127" fillId="39" borderId="17" xfId="32014" applyNumberFormat="1" applyFont="1" applyFill="1" applyBorder="1" applyAlignment="1">
      <alignment horizontal="center" vertical="center" wrapText="1"/>
    </xf>
    <xf numFmtId="49" fontId="127" fillId="39" borderId="18" xfId="32014" applyNumberFormat="1" applyFont="1" applyFill="1" applyBorder="1" applyAlignment="1">
      <alignment horizontal="center" vertical="center" wrapText="1"/>
    </xf>
    <xf numFmtId="49" fontId="127" fillId="39" borderId="19" xfId="32014" applyNumberFormat="1" applyFont="1" applyFill="1" applyBorder="1" applyAlignment="1">
      <alignment horizontal="center" vertical="center" wrapText="1"/>
    </xf>
    <xf numFmtId="49" fontId="163" fillId="0" borderId="17" xfId="49727" applyNumberFormat="1" applyFont="1" applyBorder="1" applyAlignment="1">
      <alignment horizontal="center" vertical="center" wrapText="1"/>
    </xf>
    <xf numFmtId="49" fontId="163" fillId="0" borderId="18" xfId="49727" applyNumberFormat="1" applyFont="1" applyBorder="1" applyAlignment="1">
      <alignment horizontal="center" vertical="center" wrapText="1"/>
    </xf>
    <xf numFmtId="49" fontId="163" fillId="0" borderId="19" xfId="49727" applyNumberFormat="1" applyFont="1" applyBorder="1" applyAlignment="1">
      <alignment horizontal="center" vertical="center" wrapText="1"/>
    </xf>
    <xf numFmtId="0" fontId="127" fillId="0" borderId="25" xfId="49727" applyNumberFormat="1" applyFont="1" applyFill="1" applyBorder="1" applyAlignment="1">
      <alignment horizontal="center" vertical="center" wrapText="1"/>
    </xf>
    <xf numFmtId="0" fontId="127" fillId="0" borderId="26" xfId="49727" applyNumberFormat="1" applyFont="1" applyFill="1" applyBorder="1" applyAlignment="1">
      <alignment horizontal="center" vertical="center" wrapText="1"/>
    </xf>
    <xf numFmtId="0" fontId="127" fillId="0" borderId="27" xfId="49727" applyNumberFormat="1" applyFont="1" applyFill="1" applyBorder="1" applyAlignment="1">
      <alignment horizontal="center" vertical="center" wrapText="1"/>
    </xf>
    <xf numFmtId="0" fontId="127" fillId="0" borderId="20" xfId="49727" applyNumberFormat="1" applyFont="1" applyFill="1" applyBorder="1" applyAlignment="1">
      <alignment horizontal="center" vertical="center" wrapText="1"/>
    </xf>
    <xf numFmtId="0" fontId="127" fillId="0" borderId="0" xfId="49727" applyNumberFormat="1" applyFont="1" applyFill="1" applyBorder="1" applyAlignment="1">
      <alignment horizontal="center" vertical="center" wrapText="1"/>
    </xf>
    <xf numFmtId="0" fontId="127" fillId="0" borderId="21" xfId="49727" applyNumberFormat="1" applyFont="1" applyFill="1" applyBorder="1" applyAlignment="1">
      <alignment horizontal="center" vertical="center" wrapText="1"/>
    </xf>
    <xf numFmtId="0" fontId="127" fillId="0" borderId="22" xfId="49727" applyNumberFormat="1" applyFont="1" applyFill="1" applyBorder="1" applyAlignment="1">
      <alignment horizontal="center" vertical="center" wrapText="1"/>
    </xf>
    <xf numFmtId="0" fontId="127" fillId="0" borderId="23" xfId="49727" applyNumberFormat="1" applyFont="1" applyFill="1" applyBorder="1" applyAlignment="1">
      <alignment horizontal="center" vertical="center" wrapText="1"/>
    </xf>
    <xf numFmtId="0" fontId="127" fillId="0" borderId="24" xfId="49727" applyNumberFormat="1" applyFont="1" applyFill="1" applyBorder="1" applyAlignment="1">
      <alignment horizontal="center" vertical="center" wrapText="1"/>
    </xf>
    <xf numFmtId="0" fontId="127" fillId="0" borderId="17" xfId="49738" applyNumberFormat="1" applyFont="1" applyBorder="1" applyAlignment="1">
      <alignment horizontal="center" vertical="center"/>
    </xf>
    <xf numFmtId="0" fontId="127" fillId="0" borderId="18" xfId="49738" applyNumberFormat="1" applyFont="1" applyBorder="1" applyAlignment="1">
      <alignment horizontal="center" vertical="center"/>
    </xf>
    <xf numFmtId="0" fontId="127" fillId="0" borderId="19" xfId="49738" applyNumberFormat="1" applyFont="1" applyBorder="1" applyAlignment="1">
      <alignment horizontal="center" vertical="center"/>
    </xf>
    <xf numFmtId="49" fontId="0" fillId="41" borderId="17" xfId="49732" applyNumberFormat="1" applyFont="1" applyFill="1" applyBorder="1" applyAlignment="1">
      <alignment horizontal="center" vertical="center"/>
    </xf>
    <xf numFmtId="49" fontId="0" fillId="41" borderId="18" xfId="49732" applyNumberFormat="1" applyFont="1" applyFill="1" applyBorder="1" applyAlignment="1">
      <alignment horizontal="center" vertical="center"/>
    </xf>
    <xf numFmtId="49" fontId="0" fillId="41" borderId="19" xfId="49732" applyNumberFormat="1" applyFont="1" applyFill="1" applyBorder="1" applyAlignment="1">
      <alignment horizontal="center" vertical="center"/>
    </xf>
    <xf numFmtId="0" fontId="37" fillId="0" borderId="0" xfId="5" applyNumberFormat="1" applyFont="1" applyFill="1" applyBorder="1" applyAlignment="1">
      <alignment horizontal="left" vertical="center"/>
    </xf>
    <xf numFmtId="0" fontId="36" fillId="0" borderId="6" xfId="5" applyNumberFormat="1" applyFont="1" applyFill="1" applyBorder="1" applyAlignment="1" applyProtection="1">
      <alignment horizontal="center" vertical="center"/>
    </xf>
    <xf numFmtId="0" fontId="36" fillId="0" borderId="4" xfId="5" applyNumberFormat="1" applyFont="1" applyFill="1" applyBorder="1" applyAlignment="1" applyProtection="1">
      <alignment horizontal="center" vertical="center"/>
    </xf>
    <xf numFmtId="0" fontId="36" fillId="2" borderId="5" xfId="5" applyNumberFormat="1" applyFont="1" applyFill="1" applyBorder="1" applyAlignment="1" applyProtection="1">
      <alignment horizontal="center" vertical="center" wrapText="1"/>
    </xf>
    <xf numFmtId="0" fontId="36" fillId="2" borderId="3" xfId="5" applyNumberFormat="1" applyFont="1" applyFill="1" applyBorder="1" applyAlignment="1" applyProtection="1">
      <alignment horizontal="center" vertical="center"/>
    </xf>
    <xf numFmtId="0" fontId="36" fillId="33" borderId="5" xfId="5" applyNumberFormat="1" applyFont="1" applyFill="1" applyBorder="1" applyAlignment="1" applyProtection="1">
      <alignment horizontal="center" vertical="center" wrapText="1"/>
    </xf>
    <xf numFmtId="0" fontId="36" fillId="33" borderId="3" xfId="5" applyNumberFormat="1" applyFont="1" applyFill="1" applyBorder="1" applyAlignment="1" applyProtection="1">
      <alignment horizontal="center" vertical="center"/>
    </xf>
    <xf numFmtId="41" fontId="114" fillId="0" borderId="4" xfId="3" applyNumberFormat="1" applyFont="1" applyFill="1" applyBorder="1" applyAlignment="1" applyProtection="1">
      <alignment horizontal="center" vertical="center"/>
    </xf>
  </cellXfs>
  <cellStyles count="49742">
    <cellStyle name="??&amp;O?&amp;H?_x0008__x000f__x0007_?_x0007__x0001__x0001_" xfId="218" xr:uid="{00000000-0005-0000-0000-000000000000}"/>
    <cellStyle name="??&amp;O?&amp;H?_x0008_??_x0007__x0001__x0001_" xfId="202" xr:uid="{00000000-0005-0000-0000-000001000000}"/>
    <cellStyle name="_1111" xfId="48450" xr:uid="{00000000-0005-0000-0000-000002000000}"/>
    <cellStyle name="_Sheet1" xfId="48459" xr:uid="{00000000-0005-0000-0000-000003000000}"/>
    <cellStyle name="_Sheet3" xfId="48460" xr:uid="{00000000-0005-0000-0000-000004000000}"/>
    <cellStyle name="_노무비단가" xfId="48451" xr:uid="{00000000-0005-0000-0000-000005000000}"/>
    <cellStyle name="_설계변경내역서" xfId="48452" xr:uid="{00000000-0005-0000-0000-000006000000}"/>
    <cellStyle name="_설계설명서" xfId="48453" xr:uid="{00000000-0005-0000-0000-000007000000}"/>
    <cellStyle name="_시간당중기사용료" xfId="48454" xr:uid="{00000000-0005-0000-0000-000008000000}"/>
    <cellStyle name="_실행보고서(당초)" xfId="48455" xr:uid="{00000000-0005-0000-0000-000009000000}"/>
    <cellStyle name="_재료비단가" xfId="48456" xr:uid="{00000000-0005-0000-0000-00000A000000}"/>
    <cellStyle name="_중기적용기준" xfId="48457" xr:uid="{00000000-0005-0000-0000-00000B000000}"/>
    <cellStyle name="_증감대비표" xfId="48458" xr:uid="{00000000-0005-0000-0000-00000C000000}"/>
    <cellStyle name="¤@?e_TEST-1 " xfId="189" xr:uid="{00000000-0005-0000-0000-00000D000000}"/>
    <cellStyle name="0" xfId="48461" xr:uid="{00000000-0005-0000-0000-00000E000000}"/>
    <cellStyle name="00" xfId="48462" xr:uid="{00000000-0005-0000-0000-00000F000000}"/>
    <cellStyle name="20% - 강조색1 10" xfId="6770" xr:uid="{00000000-0005-0000-0000-000010000000}"/>
    <cellStyle name="20% - 강조색1 11" xfId="6836" xr:uid="{00000000-0005-0000-0000-000011000000}"/>
    <cellStyle name="20% - 강조색1 12" xfId="6881" xr:uid="{00000000-0005-0000-0000-000012000000}"/>
    <cellStyle name="20% - 강조색1 13" xfId="6929" xr:uid="{00000000-0005-0000-0000-000013000000}"/>
    <cellStyle name="20% - 강조색1 14" xfId="48463" xr:uid="{00000000-0005-0000-0000-000014000000}"/>
    <cellStyle name="20% - 강조색1 15" xfId="48464" xr:uid="{00000000-0005-0000-0000-000015000000}"/>
    <cellStyle name="20% - 강조색1 16" xfId="48465" xr:uid="{00000000-0005-0000-0000-000016000000}"/>
    <cellStyle name="20% - 강조색1 17" xfId="48466" xr:uid="{00000000-0005-0000-0000-000017000000}"/>
    <cellStyle name="20% - 강조색1 18" xfId="48467" xr:uid="{00000000-0005-0000-0000-000018000000}"/>
    <cellStyle name="20% - 강조색1 19" xfId="48468" xr:uid="{00000000-0005-0000-0000-000019000000}"/>
    <cellStyle name="20% - 강조색1 2" xfId="190" xr:uid="{00000000-0005-0000-0000-00001A000000}"/>
    <cellStyle name="20% - 강조색1 2 10" xfId="6880" xr:uid="{00000000-0005-0000-0000-00001B000000}"/>
    <cellStyle name="20% - 강조색1 2 11" xfId="6928" xr:uid="{00000000-0005-0000-0000-00001C000000}"/>
    <cellStyle name="20% - 강조색1 2 2" xfId="4405" xr:uid="{00000000-0005-0000-0000-00001D000000}"/>
    <cellStyle name="20% - 강조색1 2 3" xfId="6244" xr:uid="{00000000-0005-0000-0000-00001E000000}"/>
    <cellStyle name="20% - 강조색1 2 4" xfId="6558" xr:uid="{00000000-0005-0000-0000-00001F000000}"/>
    <cellStyle name="20% - 강조색1 2 5" xfId="6600" xr:uid="{00000000-0005-0000-0000-000020000000}"/>
    <cellStyle name="20% - 강조색1 2 6" xfId="6633" xr:uid="{00000000-0005-0000-0000-000021000000}"/>
    <cellStyle name="20% - 강조색1 2 7" xfId="6688" xr:uid="{00000000-0005-0000-0000-000022000000}"/>
    <cellStyle name="20% - 강조색1 2 8" xfId="6769" xr:uid="{00000000-0005-0000-0000-000023000000}"/>
    <cellStyle name="20% - 강조색1 2 9" xfId="6835" xr:uid="{00000000-0005-0000-0000-000024000000}"/>
    <cellStyle name="20% - 강조색1 20" xfId="48469" xr:uid="{00000000-0005-0000-0000-000025000000}"/>
    <cellStyle name="20% - 강조색1 21" xfId="48470" xr:uid="{00000000-0005-0000-0000-000026000000}"/>
    <cellStyle name="20% - 강조색1 22" xfId="48471" xr:uid="{00000000-0005-0000-0000-000027000000}"/>
    <cellStyle name="20% - 강조색1 23" xfId="48472" xr:uid="{00000000-0005-0000-0000-000028000000}"/>
    <cellStyle name="20% - 강조색1 24" xfId="48473" xr:uid="{00000000-0005-0000-0000-000029000000}"/>
    <cellStyle name="20% - 강조색1 25" xfId="48474" xr:uid="{00000000-0005-0000-0000-00002A000000}"/>
    <cellStyle name="20% - 강조색1 26" xfId="48475" xr:uid="{00000000-0005-0000-0000-00002B000000}"/>
    <cellStyle name="20% - 강조색1 27" xfId="48476" xr:uid="{00000000-0005-0000-0000-00002C000000}"/>
    <cellStyle name="20% - 강조색1 28" xfId="48477" xr:uid="{00000000-0005-0000-0000-00002D000000}"/>
    <cellStyle name="20% - 강조색1 29" xfId="48478" xr:uid="{00000000-0005-0000-0000-00002E000000}"/>
    <cellStyle name="20% - 강조색1 3" xfId="2816" xr:uid="{00000000-0005-0000-0000-00002F000000}"/>
    <cellStyle name="20% - 강조색1 3 10" xfId="4306" xr:uid="{00000000-0005-0000-0000-000030000000}"/>
    <cellStyle name="20% - 강조색1 3 11" xfId="3954" xr:uid="{00000000-0005-0000-0000-000031000000}"/>
    <cellStyle name="20% - 강조색1 3 2" xfId="2737" xr:uid="{00000000-0005-0000-0000-000032000000}"/>
    <cellStyle name="20% - 강조색1 3 3" xfId="2475" xr:uid="{00000000-0005-0000-0000-000033000000}"/>
    <cellStyle name="20% - 강조색1 3 4" xfId="3816" xr:uid="{00000000-0005-0000-0000-000034000000}"/>
    <cellStyle name="20% - 강조색1 3 5" xfId="2829" xr:uid="{00000000-0005-0000-0000-000035000000}"/>
    <cellStyle name="20% - 강조색1 3 6" xfId="4191" xr:uid="{00000000-0005-0000-0000-000036000000}"/>
    <cellStyle name="20% - 강조색1 3 7" xfId="3700" xr:uid="{00000000-0005-0000-0000-000037000000}"/>
    <cellStyle name="20% - 강조색1 3 8" xfId="4010" xr:uid="{00000000-0005-0000-0000-000038000000}"/>
    <cellStyle name="20% - 강조색1 3 9" xfId="3498" xr:uid="{00000000-0005-0000-0000-000039000000}"/>
    <cellStyle name="20% - 강조색1 30" xfId="48479" xr:uid="{00000000-0005-0000-0000-00003A000000}"/>
    <cellStyle name="20% - 강조색1 31" xfId="48480" xr:uid="{00000000-0005-0000-0000-00003B000000}"/>
    <cellStyle name="20% - 강조색1 32" xfId="48481" xr:uid="{00000000-0005-0000-0000-00003C000000}"/>
    <cellStyle name="20% - 강조색1 33" xfId="48482" xr:uid="{00000000-0005-0000-0000-00003D000000}"/>
    <cellStyle name="20% - 강조색1 4" xfId="374" xr:uid="{00000000-0005-0000-0000-00003E000000}"/>
    <cellStyle name="20% - 강조색1 4 10" xfId="2835" xr:uid="{00000000-0005-0000-0000-00003F000000}"/>
    <cellStyle name="20% - 강조색1 4 11" xfId="2675" xr:uid="{00000000-0005-0000-0000-000040000000}"/>
    <cellStyle name="20% - 강조색1 4 2" xfId="2647" xr:uid="{00000000-0005-0000-0000-000041000000}"/>
    <cellStyle name="20% - 강조색1 4 3" xfId="3003" xr:uid="{00000000-0005-0000-0000-000042000000}"/>
    <cellStyle name="20% - 강조색1 4 4" xfId="4262" xr:uid="{00000000-0005-0000-0000-000043000000}"/>
    <cellStyle name="20% - 강조색1 4 5" xfId="3011" xr:uid="{00000000-0005-0000-0000-000044000000}"/>
    <cellStyle name="20% - 강조색1 4 6" xfId="3925" xr:uid="{00000000-0005-0000-0000-000045000000}"/>
    <cellStyle name="20% - 강조색1 4 7" xfId="3667" xr:uid="{00000000-0005-0000-0000-000046000000}"/>
    <cellStyle name="20% - 강조색1 4 8" xfId="3769" xr:uid="{00000000-0005-0000-0000-000047000000}"/>
    <cellStyle name="20% - 강조색1 4 9" xfId="3251" xr:uid="{00000000-0005-0000-0000-000048000000}"/>
    <cellStyle name="20% - 강조색1 5" xfId="3440" xr:uid="{00000000-0005-0000-0000-000049000000}"/>
    <cellStyle name="20% - 강조색1 5 2" xfId="2525" xr:uid="{00000000-0005-0000-0000-00004A000000}"/>
    <cellStyle name="20% - 강조색1 5 3" xfId="2653" xr:uid="{00000000-0005-0000-0000-00004B000000}"/>
    <cellStyle name="20% - 강조색1 5 4" xfId="3744" xr:uid="{00000000-0005-0000-0000-00004C000000}"/>
    <cellStyle name="20% - 강조색1 5 5" xfId="3593" xr:uid="{00000000-0005-0000-0000-00004D000000}"/>
    <cellStyle name="20% - 강조색1 6" xfId="3102" xr:uid="{00000000-0005-0000-0000-00004E000000}"/>
    <cellStyle name="20% - 강조색1 6 2" xfId="3937" xr:uid="{00000000-0005-0000-0000-00004F000000}"/>
    <cellStyle name="20% - 강조색1 6 3" xfId="3264" xr:uid="{00000000-0005-0000-0000-000050000000}"/>
    <cellStyle name="20% - 강조색1 6 4" xfId="2782" xr:uid="{00000000-0005-0000-0000-000051000000}"/>
    <cellStyle name="20% - 강조색1 6 5" xfId="4146" xr:uid="{00000000-0005-0000-0000-000052000000}"/>
    <cellStyle name="20% - 강조색1 7" xfId="4241" xr:uid="{00000000-0005-0000-0000-000053000000}"/>
    <cellStyle name="20% - 강조색1 7 2" xfId="3941" xr:uid="{00000000-0005-0000-0000-000054000000}"/>
    <cellStyle name="20% - 강조색1 8" xfId="3657" xr:uid="{00000000-0005-0000-0000-000055000000}"/>
    <cellStyle name="20% - 강조색1 8 2" xfId="3023" xr:uid="{00000000-0005-0000-0000-000056000000}"/>
    <cellStyle name="20% - 강조색1 9" xfId="6689" xr:uid="{00000000-0005-0000-0000-000057000000}"/>
    <cellStyle name="20% - 강조색2 10" xfId="6763" xr:uid="{00000000-0005-0000-0000-000058000000}"/>
    <cellStyle name="20% - 강조색2 11" xfId="6831" xr:uid="{00000000-0005-0000-0000-000059000000}"/>
    <cellStyle name="20% - 강조색2 12" xfId="6877" xr:uid="{00000000-0005-0000-0000-00005A000000}"/>
    <cellStyle name="20% - 강조색2 13" xfId="6925" xr:uid="{00000000-0005-0000-0000-00005B000000}"/>
    <cellStyle name="20% - 강조색2 14" xfId="48483" xr:uid="{00000000-0005-0000-0000-00005C000000}"/>
    <cellStyle name="20% - 강조색2 15" xfId="48484" xr:uid="{00000000-0005-0000-0000-00005D000000}"/>
    <cellStyle name="20% - 강조색2 16" xfId="48485" xr:uid="{00000000-0005-0000-0000-00005E000000}"/>
    <cellStyle name="20% - 강조색2 17" xfId="48486" xr:uid="{00000000-0005-0000-0000-00005F000000}"/>
    <cellStyle name="20% - 강조색2 18" xfId="48487" xr:uid="{00000000-0005-0000-0000-000060000000}"/>
    <cellStyle name="20% - 강조색2 19" xfId="48488" xr:uid="{00000000-0005-0000-0000-000061000000}"/>
    <cellStyle name="20% - 강조색2 2" xfId="219" xr:uid="{00000000-0005-0000-0000-000062000000}"/>
    <cellStyle name="20% - 강조색2 2 10" xfId="6876" xr:uid="{00000000-0005-0000-0000-000063000000}"/>
    <cellStyle name="20% - 강조색2 2 11" xfId="6924" xr:uid="{00000000-0005-0000-0000-000064000000}"/>
    <cellStyle name="20% - 강조색2 2 2" xfId="4406" xr:uid="{00000000-0005-0000-0000-000065000000}"/>
    <cellStyle name="20% - 강조색2 2 3" xfId="6246" xr:uid="{00000000-0005-0000-0000-000066000000}"/>
    <cellStyle name="20% - 강조색2 2 4" xfId="6556" xr:uid="{00000000-0005-0000-0000-000067000000}"/>
    <cellStyle name="20% - 강조색2 2 5" xfId="6598" xr:uid="{00000000-0005-0000-0000-000068000000}"/>
    <cellStyle name="20% - 강조색2 2 6" xfId="6629" xr:uid="{00000000-0005-0000-0000-000069000000}"/>
    <cellStyle name="20% - 강조색2 2 7" xfId="6683" xr:uid="{00000000-0005-0000-0000-00006A000000}"/>
    <cellStyle name="20% - 강조색2 2 8" xfId="6762" xr:uid="{00000000-0005-0000-0000-00006B000000}"/>
    <cellStyle name="20% - 강조색2 2 9" xfId="6830" xr:uid="{00000000-0005-0000-0000-00006C000000}"/>
    <cellStyle name="20% - 강조색2 20" xfId="48489" xr:uid="{00000000-0005-0000-0000-00006D000000}"/>
    <cellStyle name="20% - 강조색2 21" xfId="48490" xr:uid="{00000000-0005-0000-0000-00006E000000}"/>
    <cellStyle name="20% - 강조색2 22" xfId="48491" xr:uid="{00000000-0005-0000-0000-00006F000000}"/>
    <cellStyle name="20% - 강조색2 23" xfId="48492" xr:uid="{00000000-0005-0000-0000-000070000000}"/>
    <cellStyle name="20% - 강조색2 24" xfId="48493" xr:uid="{00000000-0005-0000-0000-000071000000}"/>
    <cellStyle name="20% - 강조색2 25" xfId="48494" xr:uid="{00000000-0005-0000-0000-000072000000}"/>
    <cellStyle name="20% - 강조색2 26" xfId="48495" xr:uid="{00000000-0005-0000-0000-000073000000}"/>
    <cellStyle name="20% - 강조색2 27" xfId="48496" xr:uid="{00000000-0005-0000-0000-000074000000}"/>
    <cellStyle name="20% - 강조색2 28" xfId="48497" xr:uid="{00000000-0005-0000-0000-000075000000}"/>
    <cellStyle name="20% - 강조색2 29" xfId="48498" xr:uid="{00000000-0005-0000-0000-000076000000}"/>
    <cellStyle name="20% - 강조색2 3" xfId="3029" xr:uid="{00000000-0005-0000-0000-000077000000}"/>
    <cellStyle name="20% - 강조색2 3 10" xfId="3663" xr:uid="{00000000-0005-0000-0000-000078000000}"/>
    <cellStyle name="20% - 강조색2 3 11" xfId="3177" xr:uid="{00000000-0005-0000-0000-000079000000}"/>
    <cellStyle name="20% - 강조색2 3 2" xfId="3068" xr:uid="{00000000-0005-0000-0000-00007A000000}"/>
    <cellStyle name="20% - 강조색2 3 3" xfId="3971" xr:uid="{00000000-0005-0000-0000-00007B000000}"/>
    <cellStyle name="20% - 강조색2 3 4" xfId="3719" xr:uid="{00000000-0005-0000-0000-00007C000000}"/>
    <cellStyle name="20% - 강조색2 3 5" xfId="3561" xr:uid="{00000000-0005-0000-0000-00007D000000}"/>
    <cellStyle name="20% - 강조색2 3 6" xfId="4037" xr:uid="{00000000-0005-0000-0000-00007E000000}"/>
    <cellStyle name="20% - 강조색2 3 7" xfId="2715" xr:uid="{00000000-0005-0000-0000-00007F000000}"/>
    <cellStyle name="20% - 강조색2 3 8" xfId="4207" xr:uid="{00000000-0005-0000-0000-000080000000}"/>
    <cellStyle name="20% - 강조색2 3 9" xfId="2407" xr:uid="{00000000-0005-0000-0000-000081000000}"/>
    <cellStyle name="20% - 강조색2 30" xfId="48499" xr:uid="{00000000-0005-0000-0000-000082000000}"/>
    <cellStyle name="20% - 강조색2 31" xfId="48500" xr:uid="{00000000-0005-0000-0000-000083000000}"/>
    <cellStyle name="20% - 강조색2 32" xfId="48501" xr:uid="{00000000-0005-0000-0000-000084000000}"/>
    <cellStyle name="20% - 강조색2 33" xfId="48502" xr:uid="{00000000-0005-0000-0000-000085000000}"/>
    <cellStyle name="20% - 강조색2 4" xfId="2587" xr:uid="{00000000-0005-0000-0000-000086000000}"/>
    <cellStyle name="20% - 강조색2 4 10" xfId="3119" xr:uid="{00000000-0005-0000-0000-000087000000}"/>
    <cellStyle name="20% - 강조색2 4 11" xfId="2881" xr:uid="{00000000-0005-0000-0000-000088000000}"/>
    <cellStyle name="20% - 강조색2 4 2" xfId="4045" xr:uid="{00000000-0005-0000-0000-000089000000}"/>
    <cellStyle name="20% - 강조색2 4 3" xfId="2616" xr:uid="{00000000-0005-0000-0000-00008A000000}"/>
    <cellStyle name="20% - 강조색2 4 4" xfId="2940" xr:uid="{00000000-0005-0000-0000-00008B000000}"/>
    <cellStyle name="20% - 강조색2 4 5" xfId="2997" xr:uid="{00000000-0005-0000-0000-00008C000000}"/>
    <cellStyle name="20% - 강조색2 4 6" xfId="3716" xr:uid="{00000000-0005-0000-0000-00008D000000}"/>
    <cellStyle name="20% - 강조색2 4 7" xfId="3655" xr:uid="{00000000-0005-0000-0000-00008E000000}"/>
    <cellStyle name="20% - 강조색2 4 8" xfId="4268" xr:uid="{00000000-0005-0000-0000-00008F000000}"/>
    <cellStyle name="20% - 강조색2 4 9" xfId="3396" xr:uid="{00000000-0005-0000-0000-000090000000}"/>
    <cellStyle name="20% - 강조색2 5" xfId="3217" xr:uid="{00000000-0005-0000-0000-000091000000}"/>
    <cellStyle name="20% - 강조색2 5 2" xfId="2813" xr:uid="{00000000-0005-0000-0000-000092000000}"/>
    <cellStyle name="20% - 강조색2 5 3" xfId="4271" xr:uid="{00000000-0005-0000-0000-000093000000}"/>
    <cellStyle name="20% - 강조색2 5 4" xfId="4300" xr:uid="{00000000-0005-0000-0000-000094000000}"/>
    <cellStyle name="20% - 강조색2 5 5" xfId="3927" xr:uid="{00000000-0005-0000-0000-000095000000}"/>
    <cellStyle name="20% - 강조색2 6" xfId="3299" xr:uid="{00000000-0005-0000-0000-000096000000}"/>
    <cellStyle name="20% - 강조색2 6 2" xfId="3326" xr:uid="{00000000-0005-0000-0000-000097000000}"/>
    <cellStyle name="20% - 강조색2 6 3" xfId="3689" xr:uid="{00000000-0005-0000-0000-000098000000}"/>
    <cellStyle name="20% - 강조색2 6 4" xfId="3540" xr:uid="{00000000-0005-0000-0000-000099000000}"/>
    <cellStyle name="20% - 강조색2 6 5" xfId="2818" xr:uid="{00000000-0005-0000-0000-00009A000000}"/>
    <cellStyle name="20% - 강조색2 7" xfId="2694" xr:uid="{00000000-0005-0000-0000-00009B000000}"/>
    <cellStyle name="20% - 강조색2 7 2" xfId="2963" xr:uid="{00000000-0005-0000-0000-00009C000000}"/>
    <cellStyle name="20% - 강조색2 8" xfId="4183" xr:uid="{00000000-0005-0000-0000-00009D000000}"/>
    <cellStyle name="20% - 강조색2 8 2" xfId="377" xr:uid="{00000000-0005-0000-0000-00009E000000}"/>
    <cellStyle name="20% - 강조색2 9" xfId="6684" xr:uid="{00000000-0005-0000-0000-00009F000000}"/>
    <cellStyle name="20% - 강조색3 10" xfId="6758" xr:uid="{00000000-0005-0000-0000-0000A0000000}"/>
    <cellStyle name="20% - 강조색3 11" xfId="6824" xr:uid="{00000000-0005-0000-0000-0000A1000000}"/>
    <cellStyle name="20% - 강조색3 12" xfId="6875" xr:uid="{00000000-0005-0000-0000-0000A2000000}"/>
    <cellStyle name="20% - 강조색3 13" xfId="6923" xr:uid="{00000000-0005-0000-0000-0000A3000000}"/>
    <cellStyle name="20% - 강조색3 14" xfId="48503" xr:uid="{00000000-0005-0000-0000-0000A4000000}"/>
    <cellStyle name="20% - 강조색3 15" xfId="48504" xr:uid="{00000000-0005-0000-0000-0000A5000000}"/>
    <cellStyle name="20% - 강조색3 16" xfId="48505" xr:uid="{00000000-0005-0000-0000-0000A6000000}"/>
    <cellStyle name="20% - 강조색3 17" xfId="48506" xr:uid="{00000000-0005-0000-0000-0000A7000000}"/>
    <cellStyle name="20% - 강조색3 18" xfId="48507" xr:uid="{00000000-0005-0000-0000-0000A8000000}"/>
    <cellStyle name="20% - 강조색3 19" xfId="48508" xr:uid="{00000000-0005-0000-0000-0000A9000000}"/>
    <cellStyle name="20% - 강조색3 2" xfId="199" xr:uid="{00000000-0005-0000-0000-0000AA000000}"/>
    <cellStyle name="20% - 강조색3 2 10" xfId="6874" xr:uid="{00000000-0005-0000-0000-0000AB000000}"/>
    <cellStyle name="20% - 강조색3 2 11" xfId="6922" xr:uid="{00000000-0005-0000-0000-0000AC000000}"/>
    <cellStyle name="20% - 강조색3 2 2" xfId="4407" xr:uid="{00000000-0005-0000-0000-0000AD000000}"/>
    <cellStyle name="20% - 강조색3 2 3" xfId="6248" xr:uid="{00000000-0005-0000-0000-0000AE000000}"/>
    <cellStyle name="20% - 강조색3 2 4" xfId="6553" xr:uid="{00000000-0005-0000-0000-0000AF000000}"/>
    <cellStyle name="20% - 강조색3 2 5" xfId="6593" xr:uid="{00000000-0005-0000-0000-0000B0000000}"/>
    <cellStyle name="20% - 강조색3 2 6" xfId="6625" xr:uid="{00000000-0005-0000-0000-0000B1000000}"/>
    <cellStyle name="20% - 강조색3 2 7" xfId="6678" xr:uid="{00000000-0005-0000-0000-0000B2000000}"/>
    <cellStyle name="20% - 강조색3 2 8" xfId="6757" xr:uid="{00000000-0005-0000-0000-0000B3000000}"/>
    <cellStyle name="20% - 강조색3 2 9" xfId="6823" xr:uid="{00000000-0005-0000-0000-0000B4000000}"/>
    <cellStyle name="20% - 강조색3 20" xfId="48509" xr:uid="{00000000-0005-0000-0000-0000B5000000}"/>
    <cellStyle name="20% - 강조색3 21" xfId="48510" xr:uid="{00000000-0005-0000-0000-0000B6000000}"/>
    <cellStyle name="20% - 강조색3 22" xfId="48511" xr:uid="{00000000-0005-0000-0000-0000B7000000}"/>
    <cellStyle name="20% - 강조색3 23" xfId="48512" xr:uid="{00000000-0005-0000-0000-0000B8000000}"/>
    <cellStyle name="20% - 강조색3 24" xfId="48513" xr:uid="{00000000-0005-0000-0000-0000B9000000}"/>
    <cellStyle name="20% - 강조색3 25" xfId="48514" xr:uid="{00000000-0005-0000-0000-0000BA000000}"/>
    <cellStyle name="20% - 강조색3 26" xfId="48515" xr:uid="{00000000-0005-0000-0000-0000BB000000}"/>
    <cellStyle name="20% - 강조색3 27" xfId="48516" xr:uid="{00000000-0005-0000-0000-0000BC000000}"/>
    <cellStyle name="20% - 강조색3 28" xfId="48517" xr:uid="{00000000-0005-0000-0000-0000BD000000}"/>
    <cellStyle name="20% - 강조색3 29" xfId="48518" xr:uid="{00000000-0005-0000-0000-0000BE000000}"/>
    <cellStyle name="20% - 강조색3 3" xfId="2741" xr:uid="{00000000-0005-0000-0000-0000BF000000}"/>
    <cellStyle name="20% - 강조색3 3 10" xfId="2804" xr:uid="{00000000-0005-0000-0000-0000C0000000}"/>
    <cellStyle name="20% - 강조색3 3 11" xfId="2588" xr:uid="{00000000-0005-0000-0000-0000C1000000}"/>
    <cellStyle name="20% - 강조색3 3 2" xfId="4009" xr:uid="{00000000-0005-0000-0000-0000C2000000}"/>
    <cellStyle name="20% - 강조색3 3 3" xfId="2498" xr:uid="{00000000-0005-0000-0000-0000C3000000}"/>
    <cellStyle name="20% - 강조색3 3 4" xfId="3364" xr:uid="{00000000-0005-0000-0000-0000C4000000}"/>
    <cellStyle name="20% - 강조색3 3 5" xfId="4151" xr:uid="{00000000-0005-0000-0000-0000C5000000}"/>
    <cellStyle name="20% - 강조색3 3 6" xfId="2920" xr:uid="{00000000-0005-0000-0000-0000C6000000}"/>
    <cellStyle name="20% - 강조색3 3 7" xfId="2536" xr:uid="{00000000-0005-0000-0000-0000C7000000}"/>
    <cellStyle name="20% - 강조색3 3 8" xfId="2879" xr:uid="{00000000-0005-0000-0000-0000C8000000}"/>
    <cellStyle name="20% - 강조색3 3 9" xfId="2939" xr:uid="{00000000-0005-0000-0000-0000C9000000}"/>
    <cellStyle name="20% - 강조색3 30" xfId="48519" xr:uid="{00000000-0005-0000-0000-0000CA000000}"/>
    <cellStyle name="20% - 강조색3 31" xfId="48520" xr:uid="{00000000-0005-0000-0000-0000CB000000}"/>
    <cellStyle name="20% - 강조색3 32" xfId="48521" xr:uid="{00000000-0005-0000-0000-0000CC000000}"/>
    <cellStyle name="20% - 강조색3 33" xfId="48522" xr:uid="{00000000-0005-0000-0000-0000CD000000}"/>
    <cellStyle name="20% - 강조색3 4" xfId="3722" xr:uid="{00000000-0005-0000-0000-0000CE000000}"/>
    <cellStyle name="20% - 강조색3 4 10" xfId="4141" xr:uid="{00000000-0005-0000-0000-0000CF000000}"/>
    <cellStyle name="20% - 강조색3 4 11" xfId="3957" xr:uid="{00000000-0005-0000-0000-0000D0000000}"/>
    <cellStyle name="20% - 강조색3 4 2" xfId="3851" xr:uid="{00000000-0005-0000-0000-0000D1000000}"/>
    <cellStyle name="20% - 강조색3 4 3" xfId="2703" xr:uid="{00000000-0005-0000-0000-0000D2000000}"/>
    <cellStyle name="20% - 강조색3 4 4" xfId="3915" xr:uid="{00000000-0005-0000-0000-0000D3000000}"/>
    <cellStyle name="20% - 강조색3 4 5" xfId="2434" xr:uid="{00000000-0005-0000-0000-0000D4000000}"/>
    <cellStyle name="20% - 강조색3 4 6" xfId="4257" xr:uid="{00000000-0005-0000-0000-0000D5000000}"/>
    <cellStyle name="20% - 강조색3 4 7" xfId="4265" xr:uid="{00000000-0005-0000-0000-0000D6000000}"/>
    <cellStyle name="20% - 강조색3 4 8" xfId="4116" xr:uid="{00000000-0005-0000-0000-0000D7000000}"/>
    <cellStyle name="20% - 강조색3 4 9" xfId="3863" xr:uid="{00000000-0005-0000-0000-0000D8000000}"/>
    <cellStyle name="20% - 강조색3 5" xfId="3168" xr:uid="{00000000-0005-0000-0000-0000D9000000}"/>
    <cellStyle name="20% - 강조색3 5 2" xfId="3507" xr:uid="{00000000-0005-0000-0000-0000DA000000}"/>
    <cellStyle name="20% - 강조색3 5 3" xfId="4110" xr:uid="{00000000-0005-0000-0000-0000DB000000}"/>
    <cellStyle name="20% - 강조색3 5 4" xfId="2558" xr:uid="{00000000-0005-0000-0000-0000DC000000}"/>
    <cellStyle name="20% - 강조색3 5 5" xfId="2427" xr:uid="{00000000-0005-0000-0000-0000DD000000}"/>
    <cellStyle name="20% - 강조색3 6" xfId="2667" xr:uid="{00000000-0005-0000-0000-0000DE000000}"/>
    <cellStyle name="20% - 강조색3 6 2" xfId="3869" xr:uid="{00000000-0005-0000-0000-0000DF000000}"/>
    <cellStyle name="20% - 강조색3 6 3" xfId="2428" xr:uid="{00000000-0005-0000-0000-0000E0000000}"/>
    <cellStyle name="20% - 강조색3 6 4" xfId="3075" xr:uid="{00000000-0005-0000-0000-0000E1000000}"/>
    <cellStyle name="20% - 강조색3 6 5" xfId="3437" xr:uid="{00000000-0005-0000-0000-0000E2000000}"/>
    <cellStyle name="20% - 강조색3 7" xfId="4217" xr:uid="{00000000-0005-0000-0000-0000E3000000}"/>
    <cellStyle name="20% - 강조색3 7 2" xfId="2484" xr:uid="{00000000-0005-0000-0000-0000E4000000}"/>
    <cellStyle name="20% - 강조색3 8" xfId="2470" xr:uid="{00000000-0005-0000-0000-0000E5000000}"/>
    <cellStyle name="20% - 강조색3 8 2" xfId="3432" xr:uid="{00000000-0005-0000-0000-0000E6000000}"/>
    <cellStyle name="20% - 강조색3 9" xfId="6679" xr:uid="{00000000-0005-0000-0000-0000E7000000}"/>
    <cellStyle name="20% - 강조색4 10" xfId="6754" xr:uid="{00000000-0005-0000-0000-0000E8000000}"/>
    <cellStyle name="20% - 강조색4 11" xfId="6820" xr:uid="{00000000-0005-0000-0000-0000E9000000}"/>
    <cellStyle name="20% - 강조색4 12" xfId="6873" xr:uid="{00000000-0005-0000-0000-0000EA000000}"/>
    <cellStyle name="20% - 강조색4 13" xfId="6921" xr:uid="{00000000-0005-0000-0000-0000EB000000}"/>
    <cellStyle name="20% - 강조색4 14" xfId="48523" xr:uid="{00000000-0005-0000-0000-0000EC000000}"/>
    <cellStyle name="20% - 강조색4 15" xfId="48524" xr:uid="{00000000-0005-0000-0000-0000ED000000}"/>
    <cellStyle name="20% - 강조색4 16" xfId="48525" xr:uid="{00000000-0005-0000-0000-0000EE000000}"/>
    <cellStyle name="20% - 강조색4 17" xfId="48526" xr:uid="{00000000-0005-0000-0000-0000EF000000}"/>
    <cellStyle name="20% - 강조색4 18" xfId="48527" xr:uid="{00000000-0005-0000-0000-0000F0000000}"/>
    <cellStyle name="20% - 강조색4 19" xfId="48528" xr:uid="{00000000-0005-0000-0000-0000F1000000}"/>
    <cellStyle name="20% - 강조색4 2" xfId="184" xr:uid="{00000000-0005-0000-0000-0000F2000000}"/>
    <cellStyle name="20% - 강조색4 2 10" xfId="6872" xr:uid="{00000000-0005-0000-0000-0000F3000000}"/>
    <cellStyle name="20% - 강조색4 2 11" xfId="6920" xr:uid="{00000000-0005-0000-0000-0000F4000000}"/>
    <cellStyle name="20% - 강조색4 2 2" xfId="4408" xr:uid="{00000000-0005-0000-0000-0000F5000000}"/>
    <cellStyle name="20% - 강조색4 2 3" xfId="6251" xr:uid="{00000000-0005-0000-0000-0000F6000000}"/>
    <cellStyle name="20% - 강조색4 2 4" xfId="6551" xr:uid="{00000000-0005-0000-0000-0000F7000000}"/>
    <cellStyle name="20% - 강조색4 2 5" xfId="6591" xr:uid="{00000000-0005-0000-0000-0000F8000000}"/>
    <cellStyle name="20% - 강조색4 2 6" xfId="6624" xr:uid="{00000000-0005-0000-0000-0000F9000000}"/>
    <cellStyle name="20% - 강조색4 2 7" xfId="6674" xr:uid="{00000000-0005-0000-0000-0000FA000000}"/>
    <cellStyle name="20% - 강조색4 2 8" xfId="6753" xr:uid="{00000000-0005-0000-0000-0000FB000000}"/>
    <cellStyle name="20% - 강조색4 2 9" xfId="6819" xr:uid="{00000000-0005-0000-0000-0000FC000000}"/>
    <cellStyle name="20% - 강조색4 20" xfId="48529" xr:uid="{00000000-0005-0000-0000-0000FD000000}"/>
    <cellStyle name="20% - 강조색4 21" xfId="48530" xr:uid="{00000000-0005-0000-0000-0000FE000000}"/>
    <cellStyle name="20% - 강조색4 22" xfId="48531" xr:uid="{00000000-0005-0000-0000-0000FF000000}"/>
    <cellStyle name="20% - 강조색4 23" xfId="48532" xr:uid="{00000000-0005-0000-0000-000000010000}"/>
    <cellStyle name="20% - 강조색4 24" xfId="48533" xr:uid="{00000000-0005-0000-0000-000001010000}"/>
    <cellStyle name="20% - 강조색4 25" xfId="48534" xr:uid="{00000000-0005-0000-0000-000002010000}"/>
    <cellStyle name="20% - 강조색4 26" xfId="48535" xr:uid="{00000000-0005-0000-0000-000003010000}"/>
    <cellStyle name="20% - 강조색4 27" xfId="48536" xr:uid="{00000000-0005-0000-0000-000004010000}"/>
    <cellStyle name="20% - 강조색4 28" xfId="48537" xr:uid="{00000000-0005-0000-0000-000005010000}"/>
    <cellStyle name="20% - 강조색4 29" xfId="48538" xr:uid="{00000000-0005-0000-0000-000006010000}"/>
    <cellStyle name="20% - 강조색4 3" xfId="3361" xr:uid="{00000000-0005-0000-0000-000007010000}"/>
    <cellStyle name="20% - 강조색4 3 10" xfId="4044" xr:uid="{00000000-0005-0000-0000-000008010000}"/>
    <cellStyle name="20% - 강조색4 3 11" xfId="2545" xr:uid="{00000000-0005-0000-0000-000009010000}"/>
    <cellStyle name="20% - 강조색4 3 2" xfId="2862" xr:uid="{00000000-0005-0000-0000-00000A010000}"/>
    <cellStyle name="20% - 강조색4 3 3" xfId="3211" xr:uid="{00000000-0005-0000-0000-00000B010000}"/>
    <cellStyle name="20% - 강조색4 3 4" xfId="2780" xr:uid="{00000000-0005-0000-0000-00000C010000}"/>
    <cellStyle name="20% - 강조색4 3 5" xfId="2529" xr:uid="{00000000-0005-0000-0000-00000D010000}"/>
    <cellStyle name="20% - 강조색4 3 6" xfId="2947" xr:uid="{00000000-0005-0000-0000-00000E010000}"/>
    <cellStyle name="20% - 강조색4 3 7" xfId="3626" xr:uid="{00000000-0005-0000-0000-00000F010000}"/>
    <cellStyle name="20% - 강조색4 3 8" xfId="3366" xr:uid="{00000000-0005-0000-0000-000010010000}"/>
    <cellStyle name="20% - 강조색4 3 9" xfId="3198" xr:uid="{00000000-0005-0000-0000-000011010000}"/>
    <cellStyle name="20% - 강조색4 30" xfId="48539" xr:uid="{00000000-0005-0000-0000-000012010000}"/>
    <cellStyle name="20% - 강조색4 31" xfId="48540" xr:uid="{00000000-0005-0000-0000-000013010000}"/>
    <cellStyle name="20% - 강조색4 32" xfId="48541" xr:uid="{00000000-0005-0000-0000-000014010000}"/>
    <cellStyle name="20% - 강조색4 33" xfId="48542" xr:uid="{00000000-0005-0000-0000-000015010000}"/>
    <cellStyle name="20% - 강조색4 4" xfId="3519" xr:uid="{00000000-0005-0000-0000-000016010000}"/>
    <cellStyle name="20% - 강조색4 4 10" xfId="2834" xr:uid="{00000000-0005-0000-0000-000017010000}"/>
    <cellStyle name="20% - 강조색4 4 11" xfId="2726" xr:uid="{00000000-0005-0000-0000-000018010000}"/>
    <cellStyle name="20% - 강조색4 4 2" xfId="2720" xr:uid="{00000000-0005-0000-0000-000019010000}"/>
    <cellStyle name="20% - 강조색4 4 3" xfId="4060" xr:uid="{00000000-0005-0000-0000-00001A010000}"/>
    <cellStyle name="20% - 강조색4 4 4" xfId="2601" xr:uid="{00000000-0005-0000-0000-00001B010000}"/>
    <cellStyle name="20% - 강조색4 4 5" xfId="2970" xr:uid="{00000000-0005-0000-0000-00001C010000}"/>
    <cellStyle name="20% - 강조색4 4 6" xfId="3091" xr:uid="{00000000-0005-0000-0000-00001D010000}"/>
    <cellStyle name="20% - 강조색4 4 7" xfId="3082" xr:uid="{00000000-0005-0000-0000-00001E010000}"/>
    <cellStyle name="20% - 강조색4 4 8" xfId="2968" xr:uid="{00000000-0005-0000-0000-00001F010000}"/>
    <cellStyle name="20% - 강조색4 4 9" xfId="3573" xr:uid="{00000000-0005-0000-0000-000020010000}"/>
    <cellStyle name="20% - 강조색4 5" xfId="4186" xr:uid="{00000000-0005-0000-0000-000021010000}"/>
    <cellStyle name="20% - 강조색4 5 2" xfId="2430" xr:uid="{00000000-0005-0000-0000-000022010000}"/>
    <cellStyle name="20% - 강조색4 5 3" xfId="282" xr:uid="{00000000-0005-0000-0000-000023010000}"/>
    <cellStyle name="20% - 강조색4 5 4" xfId="3644" xr:uid="{00000000-0005-0000-0000-000024010000}"/>
    <cellStyle name="20% - 강조색4 5 5" xfId="3770" xr:uid="{00000000-0005-0000-0000-000025010000}"/>
    <cellStyle name="20% - 강조색4 6" xfId="3279" xr:uid="{00000000-0005-0000-0000-000026010000}"/>
    <cellStyle name="20% - 강조색4 6 2" xfId="3220" xr:uid="{00000000-0005-0000-0000-000027010000}"/>
    <cellStyle name="20% - 강조색4 6 3" xfId="2912" xr:uid="{00000000-0005-0000-0000-000028010000}"/>
    <cellStyle name="20% - 강조색4 6 4" xfId="3081" xr:uid="{00000000-0005-0000-0000-000029010000}"/>
    <cellStyle name="20% - 강조색4 6 5" xfId="4250" xr:uid="{00000000-0005-0000-0000-00002A010000}"/>
    <cellStyle name="20% - 강조색4 7" xfId="3517" xr:uid="{00000000-0005-0000-0000-00002B010000}"/>
    <cellStyle name="20% - 강조색4 7 2" xfId="3037" xr:uid="{00000000-0005-0000-0000-00002C010000}"/>
    <cellStyle name="20% - 강조색4 8" xfId="3040" xr:uid="{00000000-0005-0000-0000-00002D010000}"/>
    <cellStyle name="20% - 강조색4 8 2" xfId="2906" xr:uid="{00000000-0005-0000-0000-00002E010000}"/>
    <cellStyle name="20% - 강조색4 9" xfId="6675" xr:uid="{00000000-0005-0000-0000-00002F010000}"/>
    <cellStyle name="20% - 강조색5 10" xfId="6749" xr:uid="{00000000-0005-0000-0000-000030010000}"/>
    <cellStyle name="20% - 강조색5 11" xfId="6815" xr:uid="{00000000-0005-0000-0000-000031010000}"/>
    <cellStyle name="20% - 강조색5 12" xfId="6871" xr:uid="{00000000-0005-0000-0000-000032010000}"/>
    <cellStyle name="20% - 강조색5 13" xfId="6919" xr:uid="{00000000-0005-0000-0000-000033010000}"/>
    <cellStyle name="20% - 강조색5 14" xfId="48543" xr:uid="{00000000-0005-0000-0000-000034010000}"/>
    <cellStyle name="20% - 강조색5 15" xfId="48544" xr:uid="{00000000-0005-0000-0000-000035010000}"/>
    <cellStyle name="20% - 강조색5 16" xfId="48545" xr:uid="{00000000-0005-0000-0000-000036010000}"/>
    <cellStyle name="20% - 강조색5 17" xfId="48546" xr:uid="{00000000-0005-0000-0000-000037010000}"/>
    <cellStyle name="20% - 강조색5 18" xfId="48547" xr:uid="{00000000-0005-0000-0000-000038010000}"/>
    <cellStyle name="20% - 강조색5 19" xfId="48548" xr:uid="{00000000-0005-0000-0000-000039010000}"/>
    <cellStyle name="20% - 강조색5 2" xfId="194" xr:uid="{00000000-0005-0000-0000-00003A010000}"/>
    <cellStyle name="20% - 강조색5 2 10" xfId="6870" xr:uid="{00000000-0005-0000-0000-00003B010000}"/>
    <cellStyle name="20% - 강조색5 2 11" xfId="6918" xr:uid="{00000000-0005-0000-0000-00003C010000}"/>
    <cellStyle name="20% - 강조색5 2 2" xfId="4409" xr:uid="{00000000-0005-0000-0000-00003D010000}"/>
    <cellStyle name="20% - 강조색5 2 3" xfId="6253" xr:uid="{00000000-0005-0000-0000-00003E010000}"/>
    <cellStyle name="20% - 강조색5 2 4" xfId="6549" xr:uid="{00000000-0005-0000-0000-00003F010000}"/>
    <cellStyle name="20% - 강조색5 2 5" xfId="6589" xr:uid="{00000000-0005-0000-0000-000040010000}"/>
    <cellStyle name="20% - 강조색5 2 6" xfId="6623" xr:uid="{00000000-0005-0000-0000-000041010000}"/>
    <cellStyle name="20% - 강조색5 2 7" xfId="6662" xr:uid="{00000000-0005-0000-0000-000042010000}"/>
    <cellStyle name="20% - 강조색5 2 8" xfId="6748" xr:uid="{00000000-0005-0000-0000-000043010000}"/>
    <cellStyle name="20% - 강조색5 2 9" xfId="6814" xr:uid="{00000000-0005-0000-0000-000044010000}"/>
    <cellStyle name="20% - 강조색5 20" xfId="48549" xr:uid="{00000000-0005-0000-0000-000045010000}"/>
    <cellStyle name="20% - 강조색5 21" xfId="48550" xr:uid="{00000000-0005-0000-0000-000046010000}"/>
    <cellStyle name="20% - 강조색5 22" xfId="48551" xr:uid="{00000000-0005-0000-0000-000047010000}"/>
    <cellStyle name="20% - 강조색5 23" xfId="48552" xr:uid="{00000000-0005-0000-0000-000048010000}"/>
    <cellStyle name="20% - 강조색5 24" xfId="48553" xr:uid="{00000000-0005-0000-0000-000049010000}"/>
    <cellStyle name="20% - 강조색5 25" xfId="48554" xr:uid="{00000000-0005-0000-0000-00004A010000}"/>
    <cellStyle name="20% - 강조색5 26" xfId="48555" xr:uid="{00000000-0005-0000-0000-00004B010000}"/>
    <cellStyle name="20% - 강조색5 27" xfId="48556" xr:uid="{00000000-0005-0000-0000-00004C010000}"/>
    <cellStyle name="20% - 강조색5 28" xfId="48557" xr:uid="{00000000-0005-0000-0000-00004D010000}"/>
    <cellStyle name="20% - 강조색5 29" xfId="48558" xr:uid="{00000000-0005-0000-0000-00004E010000}"/>
    <cellStyle name="20% - 강조색5 3" xfId="2444" xr:uid="{00000000-0005-0000-0000-00004F010000}"/>
    <cellStyle name="20% - 강조색5 3 10" xfId="4259" xr:uid="{00000000-0005-0000-0000-000050010000}"/>
    <cellStyle name="20% - 강조색5 3 11" xfId="3372" xr:uid="{00000000-0005-0000-0000-000051010000}"/>
    <cellStyle name="20% - 강조색5 3 2" xfId="3044" xr:uid="{00000000-0005-0000-0000-000052010000}"/>
    <cellStyle name="20% - 강조색5 3 3" xfId="3350" xr:uid="{00000000-0005-0000-0000-000053010000}"/>
    <cellStyle name="20% - 강조색5 3 4" xfId="4240" xr:uid="{00000000-0005-0000-0000-000054010000}"/>
    <cellStyle name="20% - 강조색5 3 5" xfId="4043" xr:uid="{00000000-0005-0000-0000-000055010000}"/>
    <cellStyle name="20% - 강조색5 3 6" xfId="3385" xr:uid="{00000000-0005-0000-0000-000056010000}"/>
    <cellStyle name="20% - 강조색5 3 7" xfId="3022" xr:uid="{00000000-0005-0000-0000-000057010000}"/>
    <cellStyle name="20% - 강조색5 3 8" xfId="3629" xr:uid="{00000000-0005-0000-0000-000058010000}"/>
    <cellStyle name="20% - 강조색5 3 9" xfId="2961" xr:uid="{00000000-0005-0000-0000-000059010000}"/>
    <cellStyle name="20% - 강조색5 30" xfId="48559" xr:uid="{00000000-0005-0000-0000-00005A010000}"/>
    <cellStyle name="20% - 강조색5 31" xfId="48560" xr:uid="{00000000-0005-0000-0000-00005B010000}"/>
    <cellStyle name="20% - 강조색5 32" xfId="48561" xr:uid="{00000000-0005-0000-0000-00005C010000}"/>
    <cellStyle name="20% - 강조색5 33" xfId="48562" xr:uid="{00000000-0005-0000-0000-00005D010000}"/>
    <cellStyle name="20% - 강조색5 4" xfId="3635" xr:uid="{00000000-0005-0000-0000-00005E010000}"/>
    <cellStyle name="20% - 강조색5 4 10" xfId="3632" xr:uid="{00000000-0005-0000-0000-00005F010000}"/>
    <cellStyle name="20% - 강조색5 4 11" xfId="4002" xr:uid="{00000000-0005-0000-0000-000060010000}"/>
    <cellStyle name="20% - 강조색5 4 2" xfId="4125" xr:uid="{00000000-0005-0000-0000-000061010000}"/>
    <cellStyle name="20% - 강조색5 4 3" xfId="3395" xr:uid="{00000000-0005-0000-0000-000062010000}"/>
    <cellStyle name="20% - 강조색5 4 4" xfId="2669" xr:uid="{00000000-0005-0000-0000-000063010000}"/>
    <cellStyle name="20% - 강조색5 4 5" xfId="3750" xr:uid="{00000000-0005-0000-0000-000064010000}"/>
    <cellStyle name="20% - 강조색5 4 6" xfId="3266" xr:uid="{00000000-0005-0000-0000-000065010000}"/>
    <cellStyle name="20% - 강조색5 4 7" xfId="4218" xr:uid="{00000000-0005-0000-0000-000066010000}"/>
    <cellStyle name="20% - 강조색5 4 8" xfId="3183" xr:uid="{00000000-0005-0000-0000-000067010000}"/>
    <cellStyle name="20% - 강조색5 4 9" xfId="2471" xr:uid="{00000000-0005-0000-0000-000068010000}"/>
    <cellStyle name="20% - 강조색5 5" xfId="2762" xr:uid="{00000000-0005-0000-0000-000069010000}"/>
    <cellStyle name="20% - 강조색5 5 2" xfId="3669" xr:uid="{00000000-0005-0000-0000-00006A010000}"/>
    <cellStyle name="20% - 강조색5 5 3" xfId="3430" xr:uid="{00000000-0005-0000-0000-00006B010000}"/>
    <cellStyle name="20% - 강조색5 5 4" xfId="3305" xr:uid="{00000000-0005-0000-0000-00006C010000}"/>
    <cellStyle name="20% - 강조색5 5 5" xfId="4164" xr:uid="{00000000-0005-0000-0000-00006D010000}"/>
    <cellStyle name="20% - 강조색5 6" xfId="3195" xr:uid="{00000000-0005-0000-0000-00006E010000}"/>
    <cellStyle name="20% - 강조색5 6 2" xfId="2706" xr:uid="{00000000-0005-0000-0000-00006F010000}"/>
    <cellStyle name="20% - 강조색5 6 3" xfId="2918" xr:uid="{00000000-0005-0000-0000-000070010000}"/>
    <cellStyle name="20% - 강조색5 6 4" xfId="3678" xr:uid="{00000000-0005-0000-0000-000071010000}"/>
    <cellStyle name="20% - 강조색5 6 5" xfId="4309" xr:uid="{00000000-0005-0000-0000-000072010000}"/>
    <cellStyle name="20% - 강조색5 7" xfId="3313" xr:uid="{00000000-0005-0000-0000-000073010000}"/>
    <cellStyle name="20% - 강조색5 7 2" xfId="2831" xr:uid="{00000000-0005-0000-0000-000074010000}"/>
    <cellStyle name="20% - 강조색5 8" xfId="2820" xr:uid="{00000000-0005-0000-0000-000075010000}"/>
    <cellStyle name="20% - 강조색5 8 2" xfId="4181" xr:uid="{00000000-0005-0000-0000-000076010000}"/>
    <cellStyle name="20% - 강조색5 9" xfId="6663" xr:uid="{00000000-0005-0000-0000-000077010000}"/>
    <cellStyle name="20% - 강조색6 10" xfId="6744" xr:uid="{00000000-0005-0000-0000-000078010000}"/>
    <cellStyle name="20% - 강조색6 11" xfId="6810" xr:uid="{00000000-0005-0000-0000-000079010000}"/>
    <cellStyle name="20% - 강조색6 12" xfId="6869" xr:uid="{00000000-0005-0000-0000-00007A010000}"/>
    <cellStyle name="20% - 강조색6 13" xfId="6917" xr:uid="{00000000-0005-0000-0000-00007B010000}"/>
    <cellStyle name="20% - 강조색6 14" xfId="48563" xr:uid="{00000000-0005-0000-0000-00007C010000}"/>
    <cellStyle name="20% - 강조색6 15" xfId="48564" xr:uid="{00000000-0005-0000-0000-00007D010000}"/>
    <cellStyle name="20% - 강조색6 16" xfId="48565" xr:uid="{00000000-0005-0000-0000-00007E010000}"/>
    <cellStyle name="20% - 강조색6 17" xfId="48566" xr:uid="{00000000-0005-0000-0000-00007F010000}"/>
    <cellStyle name="20% - 강조색6 18" xfId="48567" xr:uid="{00000000-0005-0000-0000-000080010000}"/>
    <cellStyle name="20% - 강조색6 19" xfId="48568" xr:uid="{00000000-0005-0000-0000-000081010000}"/>
    <cellStyle name="20% - 강조색6 2" xfId="213" xr:uid="{00000000-0005-0000-0000-000082010000}"/>
    <cellStyle name="20% - 강조색6 2 10" xfId="6868" xr:uid="{00000000-0005-0000-0000-000083010000}"/>
    <cellStyle name="20% - 강조색6 2 11" xfId="6916" xr:uid="{00000000-0005-0000-0000-000084010000}"/>
    <cellStyle name="20% - 강조색6 2 2" xfId="4410" xr:uid="{00000000-0005-0000-0000-000085010000}"/>
    <cellStyle name="20% - 강조색6 2 3" xfId="6255" xr:uid="{00000000-0005-0000-0000-000086010000}"/>
    <cellStyle name="20% - 강조색6 2 4" xfId="6546" xr:uid="{00000000-0005-0000-0000-000087010000}"/>
    <cellStyle name="20% - 강조색6 2 5" xfId="6586" xr:uid="{00000000-0005-0000-0000-000088010000}"/>
    <cellStyle name="20% - 강조색6 2 6" xfId="6614" xr:uid="{00000000-0005-0000-0000-000089010000}"/>
    <cellStyle name="20% - 강조색6 2 7" xfId="6654" xr:uid="{00000000-0005-0000-0000-00008A010000}"/>
    <cellStyle name="20% - 강조색6 2 8" xfId="6743" xr:uid="{00000000-0005-0000-0000-00008B010000}"/>
    <cellStyle name="20% - 강조색6 2 9" xfId="6809" xr:uid="{00000000-0005-0000-0000-00008C010000}"/>
    <cellStyle name="20% - 강조색6 20" xfId="48569" xr:uid="{00000000-0005-0000-0000-00008D010000}"/>
    <cellStyle name="20% - 강조색6 21" xfId="48570" xr:uid="{00000000-0005-0000-0000-00008E010000}"/>
    <cellStyle name="20% - 강조색6 22" xfId="48571" xr:uid="{00000000-0005-0000-0000-00008F010000}"/>
    <cellStyle name="20% - 강조색6 23" xfId="48572" xr:uid="{00000000-0005-0000-0000-000090010000}"/>
    <cellStyle name="20% - 강조색6 24" xfId="48573" xr:uid="{00000000-0005-0000-0000-000091010000}"/>
    <cellStyle name="20% - 강조색6 25" xfId="48574" xr:uid="{00000000-0005-0000-0000-000092010000}"/>
    <cellStyle name="20% - 강조색6 26" xfId="48575" xr:uid="{00000000-0005-0000-0000-000093010000}"/>
    <cellStyle name="20% - 강조색6 27" xfId="48576" xr:uid="{00000000-0005-0000-0000-000094010000}"/>
    <cellStyle name="20% - 강조색6 28" xfId="48577" xr:uid="{00000000-0005-0000-0000-000095010000}"/>
    <cellStyle name="20% - 강조색6 29" xfId="48578" xr:uid="{00000000-0005-0000-0000-000096010000}"/>
    <cellStyle name="20% - 강조색6 3" xfId="2408" xr:uid="{00000000-0005-0000-0000-000097010000}"/>
    <cellStyle name="20% - 강조색6 3 10" xfId="2452" xr:uid="{00000000-0005-0000-0000-000098010000}"/>
    <cellStyle name="20% - 강조색6 3 11" xfId="2511" xr:uid="{00000000-0005-0000-0000-000099010000}"/>
    <cellStyle name="20% - 강조색6 3 2" xfId="3539" xr:uid="{00000000-0005-0000-0000-00009A010000}"/>
    <cellStyle name="20% - 강조색6 3 3" xfId="3057" xr:uid="{00000000-0005-0000-0000-00009B010000}"/>
    <cellStyle name="20% - 강조색6 3 4" xfId="3870" xr:uid="{00000000-0005-0000-0000-00009C010000}"/>
    <cellStyle name="20% - 강조색6 3 5" xfId="3900" xr:uid="{00000000-0005-0000-0000-00009D010000}"/>
    <cellStyle name="20% - 강조색6 3 6" xfId="3787" xr:uid="{00000000-0005-0000-0000-00009E010000}"/>
    <cellStyle name="20% - 강조색6 3 7" xfId="3778" xr:uid="{00000000-0005-0000-0000-00009F010000}"/>
    <cellStyle name="20% - 강조색6 3 8" xfId="2938" xr:uid="{00000000-0005-0000-0000-0000A0010000}"/>
    <cellStyle name="20% - 강조색6 3 9" xfId="4280" xr:uid="{00000000-0005-0000-0000-0000A1010000}"/>
    <cellStyle name="20% - 강조색6 30" xfId="48579" xr:uid="{00000000-0005-0000-0000-0000A2010000}"/>
    <cellStyle name="20% - 강조색6 31" xfId="48580" xr:uid="{00000000-0005-0000-0000-0000A3010000}"/>
    <cellStyle name="20% - 강조색6 32" xfId="48581" xr:uid="{00000000-0005-0000-0000-0000A4010000}"/>
    <cellStyle name="20% - 강조색6 33" xfId="48582" xr:uid="{00000000-0005-0000-0000-0000A5010000}"/>
    <cellStyle name="20% - 강조색6 4" xfId="3180" xr:uid="{00000000-0005-0000-0000-0000A6010000}"/>
    <cellStyle name="20% - 강조색6 4 10" xfId="2910" xr:uid="{00000000-0005-0000-0000-0000A7010000}"/>
    <cellStyle name="20% - 강조색6 4 11" xfId="4127" xr:uid="{00000000-0005-0000-0000-0000A8010000}"/>
    <cellStyle name="20% - 강조색6 4 2" xfId="329" xr:uid="{00000000-0005-0000-0000-0000A9010000}"/>
    <cellStyle name="20% - 강조색6 4 3" xfId="3846" xr:uid="{00000000-0005-0000-0000-0000AA010000}"/>
    <cellStyle name="20% - 강조색6 4 4" xfId="361" xr:uid="{00000000-0005-0000-0000-0000AB010000}"/>
    <cellStyle name="20% - 강조색6 4 5" xfId="3989" xr:uid="{00000000-0005-0000-0000-0000AC010000}"/>
    <cellStyle name="20% - 강조색6 4 6" xfId="3111" xr:uid="{00000000-0005-0000-0000-0000AD010000}"/>
    <cellStyle name="20% - 강조색6 4 7" xfId="3137" xr:uid="{00000000-0005-0000-0000-0000AE010000}"/>
    <cellStyle name="20% - 강조색6 4 8" xfId="3352" xr:uid="{00000000-0005-0000-0000-0000AF010000}"/>
    <cellStyle name="20% - 강조색6 4 9" xfId="3229" xr:uid="{00000000-0005-0000-0000-0000B0010000}"/>
    <cellStyle name="20% - 강조색6 5" xfId="4209" xr:uid="{00000000-0005-0000-0000-0000B1010000}"/>
    <cellStyle name="20% - 강조색6 5 2" xfId="3972" xr:uid="{00000000-0005-0000-0000-0000B2010000}"/>
    <cellStyle name="20% - 강조색6 5 3" xfId="3924" xr:uid="{00000000-0005-0000-0000-0000B3010000}"/>
    <cellStyle name="20% - 강조색6 5 4" xfId="3242" xr:uid="{00000000-0005-0000-0000-0000B4010000}"/>
    <cellStyle name="20% - 강조색6 5 5" xfId="3600" xr:uid="{00000000-0005-0000-0000-0000B5010000}"/>
    <cellStyle name="20% - 강조색6 6" xfId="3486" xr:uid="{00000000-0005-0000-0000-0000B6010000}"/>
    <cellStyle name="20% - 강조색6 6 2" xfId="2633" xr:uid="{00000000-0005-0000-0000-0000B7010000}"/>
    <cellStyle name="20% - 강조색6 6 3" xfId="2476" xr:uid="{00000000-0005-0000-0000-0000B8010000}"/>
    <cellStyle name="20% - 강조색6 6 4" xfId="314" xr:uid="{00000000-0005-0000-0000-0000B9010000}"/>
    <cellStyle name="20% - 강조색6 6 5" xfId="3126" xr:uid="{00000000-0005-0000-0000-0000BA010000}"/>
    <cellStyle name="20% - 강조색6 7" xfId="365" xr:uid="{00000000-0005-0000-0000-0000BB010000}"/>
    <cellStyle name="20% - 강조색6 7 2" xfId="2925" xr:uid="{00000000-0005-0000-0000-0000BC010000}"/>
    <cellStyle name="20% - 강조색6 8" xfId="3129" xr:uid="{00000000-0005-0000-0000-0000BD010000}"/>
    <cellStyle name="20% - 강조색6 8 2" xfId="280" xr:uid="{00000000-0005-0000-0000-0000BE010000}"/>
    <cellStyle name="20% - 강조색6 9" xfId="6655" xr:uid="{00000000-0005-0000-0000-0000BF010000}"/>
    <cellStyle name="40% - 강조색1 10" xfId="6740" xr:uid="{00000000-0005-0000-0000-0000C0010000}"/>
    <cellStyle name="40% - 강조색1 11" xfId="6806" xr:uid="{00000000-0005-0000-0000-0000C1010000}"/>
    <cellStyle name="40% - 강조색1 12" xfId="6860" xr:uid="{00000000-0005-0000-0000-0000C2010000}"/>
    <cellStyle name="40% - 강조색1 13" xfId="6907" xr:uid="{00000000-0005-0000-0000-0000C3010000}"/>
    <cellStyle name="40% - 강조색1 14" xfId="48583" xr:uid="{00000000-0005-0000-0000-0000C4010000}"/>
    <cellStyle name="40% - 강조색1 15" xfId="48584" xr:uid="{00000000-0005-0000-0000-0000C5010000}"/>
    <cellStyle name="40% - 강조색1 16" xfId="48585" xr:uid="{00000000-0005-0000-0000-0000C6010000}"/>
    <cellStyle name="40% - 강조색1 17" xfId="48586" xr:uid="{00000000-0005-0000-0000-0000C7010000}"/>
    <cellStyle name="40% - 강조색1 18" xfId="48587" xr:uid="{00000000-0005-0000-0000-0000C8010000}"/>
    <cellStyle name="40% - 강조색1 19" xfId="48588" xr:uid="{00000000-0005-0000-0000-0000C9010000}"/>
    <cellStyle name="40% - 강조색1 2" xfId="210" xr:uid="{00000000-0005-0000-0000-0000CA010000}"/>
    <cellStyle name="40% - 강조색1 2 10" xfId="6859" xr:uid="{00000000-0005-0000-0000-0000CB010000}"/>
    <cellStyle name="40% - 강조색1 2 11" xfId="6906" xr:uid="{00000000-0005-0000-0000-0000CC010000}"/>
    <cellStyle name="40% - 강조색1 2 2" xfId="4411" xr:uid="{00000000-0005-0000-0000-0000CD010000}"/>
    <cellStyle name="40% - 강조색1 2 3" xfId="6257" xr:uid="{00000000-0005-0000-0000-0000CE010000}"/>
    <cellStyle name="40% - 강조색1 2 4" xfId="6544" xr:uid="{00000000-0005-0000-0000-0000CF010000}"/>
    <cellStyle name="40% - 강조색1 2 5" xfId="6584" xr:uid="{00000000-0005-0000-0000-0000D0010000}"/>
    <cellStyle name="40% - 강조색1 2 6" xfId="6609" xr:uid="{00000000-0005-0000-0000-0000D1010000}"/>
    <cellStyle name="40% - 강조색1 2 7" xfId="6652" xr:uid="{00000000-0005-0000-0000-0000D2010000}"/>
    <cellStyle name="40% - 강조색1 2 8" xfId="6739" xr:uid="{00000000-0005-0000-0000-0000D3010000}"/>
    <cellStyle name="40% - 강조색1 2 9" xfId="6805" xr:uid="{00000000-0005-0000-0000-0000D4010000}"/>
    <cellStyle name="40% - 강조색1 20" xfId="48589" xr:uid="{00000000-0005-0000-0000-0000D5010000}"/>
    <cellStyle name="40% - 강조색1 21" xfId="48590" xr:uid="{00000000-0005-0000-0000-0000D6010000}"/>
    <cellStyle name="40% - 강조색1 22" xfId="48591" xr:uid="{00000000-0005-0000-0000-0000D7010000}"/>
    <cellStyle name="40% - 강조색1 23" xfId="48592" xr:uid="{00000000-0005-0000-0000-0000D8010000}"/>
    <cellStyle name="40% - 강조색1 24" xfId="48593" xr:uid="{00000000-0005-0000-0000-0000D9010000}"/>
    <cellStyle name="40% - 강조색1 25" xfId="48594" xr:uid="{00000000-0005-0000-0000-0000DA010000}"/>
    <cellStyle name="40% - 강조색1 26" xfId="48595" xr:uid="{00000000-0005-0000-0000-0000DB010000}"/>
    <cellStyle name="40% - 강조색1 27" xfId="48596" xr:uid="{00000000-0005-0000-0000-0000DC010000}"/>
    <cellStyle name="40% - 강조색1 28" xfId="48597" xr:uid="{00000000-0005-0000-0000-0000DD010000}"/>
    <cellStyle name="40% - 강조색1 29" xfId="48598" xr:uid="{00000000-0005-0000-0000-0000DE010000}"/>
    <cellStyle name="40% - 강조색1 3" xfId="3013" xr:uid="{00000000-0005-0000-0000-0000DF010000}"/>
    <cellStyle name="40% - 강조색1 3 10" xfId="2890" xr:uid="{00000000-0005-0000-0000-0000E0010000}"/>
    <cellStyle name="40% - 강조색1 3 11" xfId="3135" xr:uid="{00000000-0005-0000-0000-0000E1010000}"/>
    <cellStyle name="40% - 강조색1 3 2" xfId="2576" xr:uid="{00000000-0005-0000-0000-0000E2010000}"/>
    <cellStyle name="40% - 강조색1 3 3" xfId="4231" xr:uid="{00000000-0005-0000-0000-0000E3010000}"/>
    <cellStyle name="40% - 강조색1 3 4" xfId="4106" xr:uid="{00000000-0005-0000-0000-0000E4010000}"/>
    <cellStyle name="40% - 강조색1 3 5" xfId="2655" xr:uid="{00000000-0005-0000-0000-0000E5010000}"/>
    <cellStyle name="40% - 강조색1 3 6" xfId="3859" xr:uid="{00000000-0005-0000-0000-0000E6010000}"/>
    <cellStyle name="40% - 강조색1 3 7" xfId="3947" xr:uid="{00000000-0005-0000-0000-0000E7010000}"/>
    <cellStyle name="40% - 강조색1 3 8" xfId="2863" xr:uid="{00000000-0005-0000-0000-0000E8010000}"/>
    <cellStyle name="40% - 강조색1 3 9" xfId="4073" xr:uid="{00000000-0005-0000-0000-0000E9010000}"/>
    <cellStyle name="40% - 강조색1 30" xfId="48599" xr:uid="{00000000-0005-0000-0000-0000EA010000}"/>
    <cellStyle name="40% - 강조색1 31" xfId="48600" xr:uid="{00000000-0005-0000-0000-0000EB010000}"/>
    <cellStyle name="40% - 강조색1 32" xfId="48601" xr:uid="{00000000-0005-0000-0000-0000EC010000}"/>
    <cellStyle name="40% - 강조색1 33" xfId="48602" xr:uid="{00000000-0005-0000-0000-0000ED010000}"/>
    <cellStyle name="40% - 강조색1 4" xfId="3723" xr:uid="{00000000-0005-0000-0000-0000EE010000}"/>
    <cellStyle name="40% - 강조색1 4 10" xfId="3095" xr:uid="{00000000-0005-0000-0000-0000EF010000}"/>
    <cellStyle name="40% - 강조색1 4 11" xfId="2994" xr:uid="{00000000-0005-0000-0000-0000F0010000}"/>
    <cellStyle name="40% - 강조색1 4 2" xfId="3337" xr:uid="{00000000-0005-0000-0000-0000F1010000}"/>
    <cellStyle name="40% - 강조색1 4 3" xfId="2495" xr:uid="{00000000-0005-0000-0000-0000F2010000}"/>
    <cellStyle name="40% - 강조색1 4 4" xfId="3219" xr:uid="{00000000-0005-0000-0000-0000F3010000}"/>
    <cellStyle name="40% - 강조색1 4 5" xfId="3828" xr:uid="{00000000-0005-0000-0000-0000F4010000}"/>
    <cellStyle name="40% - 강조색1 4 6" xfId="2986" xr:uid="{00000000-0005-0000-0000-0000F5010000}"/>
    <cellStyle name="40% - 강조색1 4 7" xfId="3104" xr:uid="{00000000-0005-0000-0000-0000F6010000}"/>
    <cellStyle name="40% - 강조색1 4 8" xfId="2623" xr:uid="{00000000-0005-0000-0000-0000F7010000}"/>
    <cellStyle name="40% - 강조색1 4 9" xfId="3345" xr:uid="{00000000-0005-0000-0000-0000F8010000}"/>
    <cellStyle name="40% - 강조색1 5" xfId="3463" xr:uid="{00000000-0005-0000-0000-0000F9010000}"/>
    <cellStyle name="40% - 강조색1 5 2" xfId="3832" xr:uid="{00000000-0005-0000-0000-0000FA010000}"/>
    <cellStyle name="40% - 강조색1 5 3" xfId="2799" xr:uid="{00000000-0005-0000-0000-0000FB010000}"/>
    <cellStyle name="40% - 강조색1 5 4" xfId="2584" xr:uid="{00000000-0005-0000-0000-0000FC010000}"/>
    <cellStyle name="40% - 강조색1 5 5" xfId="2985" xr:uid="{00000000-0005-0000-0000-0000FD010000}"/>
    <cellStyle name="40% - 강조색1 6" xfId="3154" xr:uid="{00000000-0005-0000-0000-0000FE010000}"/>
    <cellStyle name="40% - 강조색1 6 2" xfId="3807" xr:uid="{00000000-0005-0000-0000-0000FF010000}"/>
    <cellStyle name="40% - 강조색1 6 3" xfId="2725" xr:uid="{00000000-0005-0000-0000-000000020000}"/>
    <cellStyle name="40% - 강조색1 6 4" xfId="2839" xr:uid="{00000000-0005-0000-0000-000001020000}"/>
    <cellStyle name="40% - 강조색1 6 5" xfId="2606" xr:uid="{00000000-0005-0000-0000-000002020000}"/>
    <cellStyle name="40% - 강조색1 7" xfId="3810" xr:uid="{00000000-0005-0000-0000-000003020000}"/>
    <cellStyle name="40% - 강조색1 7 2" xfId="2487" xr:uid="{00000000-0005-0000-0000-000004020000}"/>
    <cellStyle name="40% - 강조색1 8" xfId="2431" xr:uid="{00000000-0005-0000-0000-000005020000}"/>
    <cellStyle name="40% - 강조색1 8 2" xfId="2844" xr:uid="{00000000-0005-0000-0000-000006020000}"/>
    <cellStyle name="40% - 강조색1 9" xfId="6653" xr:uid="{00000000-0005-0000-0000-000007020000}"/>
    <cellStyle name="40% - 강조색2 10" xfId="6728" xr:uid="{00000000-0005-0000-0000-000008020000}"/>
    <cellStyle name="40% - 강조색2 11" xfId="6797" xr:uid="{00000000-0005-0000-0000-000009020000}"/>
    <cellStyle name="40% - 강조색2 12" xfId="6855" xr:uid="{00000000-0005-0000-0000-00000A020000}"/>
    <cellStyle name="40% - 강조색2 13" xfId="6902" xr:uid="{00000000-0005-0000-0000-00000B020000}"/>
    <cellStyle name="40% - 강조색2 14" xfId="48603" xr:uid="{00000000-0005-0000-0000-00000C020000}"/>
    <cellStyle name="40% - 강조색2 15" xfId="48604" xr:uid="{00000000-0005-0000-0000-00000D020000}"/>
    <cellStyle name="40% - 강조색2 16" xfId="48605" xr:uid="{00000000-0005-0000-0000-00000E020000}"/>
    <cellStyle name="40% - 강조색2 17" xfId="48606" xr:uid="{00000000-0005-0000-0000-00000F020000}"/>
    <cellStyle name="40% - 강조색2 18" xfId="48607" xr:uid="{00000000-0005-0000-0000-000010020000}"/>
    <cellStyle name="40% - 강조색2 19" xfId="48608" xr:uid="{00000000-0005-0000-0000-000011020000}"/>
    <cellStyle name="40% - 강조색2 2" xfId="205" xr:uid="{00000000-0005-0000-0000-000012020000}"/>
    <cellStyle name="40% - 강조색2 2 10" xfId="6854" xr:uid="{00000000-0005-0000-0000-000013020000}"/>
    <cellStyle name="40% - 강조색2 2 11" xfId="6901" xr:uid="{00000000-0005-0000-0000-000014020000}"/>
    <cellStyle name="40% - 강조색2 2 2" xfId="4412" xr:uid="{00000000-0005-0000-0000-000015020000}"/>
    <cellStyle name="40% - 강조색2 2 3" xfId="6258" xr:uid="{00000000-0005-0000-0000-000016020000}"/>
    <cellStyle name="40% - 강조색2 2 4" xfId="6537" xr:uid="{00000000-0005-0000-0000-000017020000}"/>
    <cellStyle name="40% - 강조색2 2 5" xfId="6576" xr:uid="{00000000-0005-0000-0000-000018020000}"/>
    <cellStyle name="40% - 강조색2 2 6" xfId="6608" xr:uid="{00000000-0005-0000-0000-000019020000}"/>
    <cellStyle name="40% - 강조색2 2 7" xfId="6650" xr:uid="{00000000-0005-0000-0000-00001A020000}"/>
    <cellStyle name="40% - 강조색2 2 8" xfId="6724" xr:uid="{00000000-0005-0000-0000-00001B020000}"/>
    <cellStyle name="40% - 강조색2 2 9" xfId="6796" xr:uid="{00000000-0005-0000-0000-00001C020000}"/>
    <cellStyle name="40% - 강조색2 20" xfId="48609" xr:uid="{00000000-0005-0000-0000-00001D020000}"/>
    <cellStyle name="40% - 강조색2 21" xfId="48610" xr:uid="{00000000-0005-0000-0000-00001E020000}"/>
    <cellStyle name="40% - 강조색2 22" xfId="48611" xr:uid="{00000000-0005-0000-0000-00001F020000}"/>
    <cellStyle name="40% - 강조색2 23" xfId="48612" xr:uid="{00000000-0005-0000-0000-000020020000}"/>
    <cellStyle name="40% - 강조색2 24" xfId="48613" xr:uid="{00000000-0005-0000-0000-000021020000}"/>
    <cellStyle name="40% - 강조색2 25" xfId="48614" xr:uid="{00000000-0005-0000-0000-000022020000}"/>
    <cellStyle name="40% - 강조색2 26" xfId="48615" xr:uid="{00000000-0005-0000-0000-000023020000}"/>
    <cellStyle name="40% - 강조색2 27" xfId="48616" xr:uid="{00000000-0005-0000-0000-000024020000}"/>
    <cellStyle name="40% - 강조색2 28" xfId="48617" xr:uid="{00000000-0005-0000-0000-000025020000}"/>
    <cellStyle name="40% - 강조색2 29" xfId="48618" xr:uid="{00000000-0005-0000-0000-000026020000}"/>
    <cellStyle name="40% - 강조색2 3" xfId="2490" xr:uid="{00000000-0005-0000-0000-000027020000}"/>
    <cellStyle name="40% - 강조색2 3 10" xfId="3086" xr:uid="{00000000-0005-0000-0000-000028020000}"/>
    <cellStyle name="40% - 강조색2 3 11" xfId="2611" xr:uid="{00000000-0005-0000-0000-000029020000}"/>
    <cellStyle name="40% - 강조색2 3 2" xfId="4204" xr:uid="{00000000-0005-0000-0000-00002A020000}"/>
    <cellStyle name="40% - 강조색2 3 3" xfId="311" xr:uid="{00000000-0005-0000-0000-00002B020000}"/>
    <cellStyle name="40% - 강조색2 3 4" xfId="2683" xr:uid="{00000000-0005-0000-0000-00002C020000}"/>
    <cellStyle name="40% - 강조색2 3 5" xfId="3522" xr:uid="{00000000-0005-0000-0000-00002D020000}"/>
    <cellStyle name="40% - 강조색2 3 6" xfId="2716" xr:uid="{00000000-0005-0000-0000-00002E020000}"/>
    <cellStyle name="40% - 강조색2 3 7" xfId="3032" xr:uid="{00000000-0005-0000-0000-00002F020000}"/>
    <cellStyle name="40% - 강조색2 3 8" xfId="2597" xr:uid="{00000000-0005-0000-0000-000030020000}"/>
    <cellStyle name="40% - 강조색2 3 9" xfId="4006" xr:uid="{00000000-0005-0000-0000-000031020000}"/>
    <cellStyle name="40% - 강조색2 30" xfId="48619" xr:uid="{00000000-0005-0000-0000-000032020000}"/>
    <cellStyle name="40% - 강조색2 31" xfId="48620" xr:uid="{00000000-0005-0000-0000-000033020000}"/>
    <cellStyle name="40% - 강조색2 32" xfId="48621" xr:uid="{00000000-0005-0000-0000-000034020000}"/>
    <cellStyle name="40% - 강조색2 33" xfId="48622" xr:uid="{00000000-0005-0000-0000-000035020000}"/>
    <cellStyle name="40% - 강조색2 4" xfId="2448" xr:uid="{00000000-0005-0000-0000-000036020000}"/>
    <cellStyle name="40% - 강조색2 4 10" xfId="2554" xr:uid="{00000000-0005-0000-0000-000037020000}"/>
    <cellStyle name="40% - 강조색2 4 11" xfId="2802" xr:uid="{00000000-0005-0000-0000-000038020000}"/>
    <cellStyle name="40% - 강조색2 4 2" xfId="3732" xr:uid="{00000000-0005-0000-0000-000039020000}"/>
    <cellStyle name="40% - 강조색2 4 3" xfId="3864" xr:uid="{00000000-0005-0000-0000-00003A020000}"/>
    <cellStyle name="40% - 강조색2 4 4" xfId="3660" xr:uid="{00000000-0005-0000-0000-00003B020000}"/>
    <cellStyle name="40% - 강조색2 4 5" xfId="2564" xr:uid="{00000000-0005-0000-0000-00003C020000}"/>
    <cellStyle name="40% - 강조색2 4 6" xfId="4120" xr:uid="{00000000-0005-0000-0000-00003D020000}"/>
    <cellStyle name="40% - 강조색2 4 7" xfId="3740" xr:uid="{00000000-0005-0000-0000-00003E020000}"/>
    <cellStyle name="40% - 강조색2 4 8" xfId="4051" xr:uid="{00000000-0005-0000-0000-00003F020000}"/>
    <cellStyle name="40% - 강조색2 4 9" xfId="3931" xr:uid="{00000000-0005-0000-0000-000040020000}"/>
    <cellStyle name="40% - 강조색2 5" xfId="3197" xr:uid="{00000000-0005-0000-0000-000041020000}"/>
    <cellStyle name="40% - 강조색2 5 2" xfId="3384" xr:uid="{00000000-0005-0000-0000-000042020000}"/>
    <cellStyle name="40% - 강조색2 5 3" xfId="2540" xr:uid="{00000000-0005-0000-0000-000043020000}"/>
    <cellStyle name="40% - 강조색2 5 4" xfId="3019" xr:uid="{00000000-0005-0000-0000-000044020000}"/>
    <cellStyle name="40% - 강조색2 5 5" xfId="2659" xr:uid="{00000000-0005-0000-0000-000045020000}"/>
    <cellStyle name="40% - 강조색2 6" xfId="3634" xr:uid="{00000000-0005-0000-0000-000046020000}"/>
    <cellStyle name="40% - 강조색2 6 2" xfId="3751" xr:uid="{00000000-0005-0000-0000-000047020000}"/>
    <cellStyle name="40% - 강조색2 6 3" xfId="3269" xr:uid="{00000000-0005-0000-0000-000048020000}"/>
    <cellStyle name="40% - 강조색2 6 4" xfId="4124" xr:uid="{00000000-0005-0000-0000-000049020000}"/>
    <cellStyle name="40% - 강조색2 6 5" xfId="4243" xr:uid="{00000000-0005-0000-0000-00004A020000}"/>
    <cellStyle name="40% - 강조색2 7" xfId="3753" xr:uid="{00000000-0005-0000-0000-00004B020000}"/>
    <cellStyle name="40% - 강조색2 7 2" xfId="3511" xr:uid="{00000000-0005-0000-0000-00004C020000}"/>
    <cellStyle name="40% - 강조색2 8" xfId="3025" xr:uid="{00000000-0005-0000-0000-00004D020000}"/>
    <cellStyle name="40% - 강조색2 8 2" xfId="3308" xr:uid="{00000000-0005-0000-0000-00004E020000}"/>
    <cellStyle name="40% - 강조색2 9" xfId="6651" xr:uid="{00000000-0005-0000-0000-00004F020000}"/>
    <cellStyle name="40% - 강조색3 10" xfId="6722" xr:uid="{00000000-0005-0000-0000-000050020000}"/>
    <cellStyle name="40% - 강조색3 11" xfId="6792" xr:uid="{00000000-0005-0000-0000-000051020000}"/>
    <cellStyle name="40% - 강조색3 12" xfId="6853" xr:uid="{00000000-0005-0000-0000-000052020000}"/>
    <cellStyle name="40% - 강조색3 13" xfId="6900" xr:uid="{00000000-0005-0000-0000-000053020000}"/>
    <cellStyle name="40% - 강조색3 14" xfId="48623" xr:uid="{00000000-0005-0000-0000-000054020000}"/>
    <cellStyle name="40% - 강조색3 15" xfId="48624" xr:uid="{00000000-0005-0000-0000-000055020000}"/>
    <cellStyle name="40% - 강조색3 16" xfId="48625" xr:uid="{00000000-0005-0000-0000-000056020000}"/>
    <cellStyle name="40% - 강조색3 17" xfId="48626" xr:uid="{00000000-0005-0000-0000-000057020000}"/>
    <cellStyle name="40% - 강조색3 18" xfId="48627" xr:uid="{00000000-0005-0000-0000-000058020000}"/>
    <cellStyle name="40% - 강조색3 19" xfId="48628" xr:uid="{00000000-0005-0000-0000-000059020000}"/>
    <cellStyle name="40% - 강조색3 2" xfId="192" xr:uid="{00000000-0005-0000-0000-00005A020000}"/>
    <cellStyle name="40% - 강조색3 2 10" xfId="6852" xr:uid="{00000000-0005-0000-0000-00005B020000}"/>
    <cellStyle name="40% - 강조색3 2 11" xfId="6899" xr:uid="{00000000-0005-0000-0000-00005C020000}"/>
    <cellStyle name="40% - 강조색3 2 2" xfId="4413" xr:uid="{00000000-0005-0000-0000-00005D020000}"/>
    <cellStyle name="40% - 강조색3 2 3" xfId="6259" xr:uid="{00000000-0005-0000-0000-00005E020000}"/>
    <cellStyle name="40% - 강조색3 2 4" xfId="6533" xr:uid="{00000000-0005-0000-0000-00005F020000}"/>
    <cellStyle name="40% - 강조색3 2 5" xfId="6570" xr:uid="{00000000-0005-0000-0000-000060020000}"/>
    <cellStyle name="40% - 강조색3 2 6" xfId="6607" xr:uid="{00000000-0005-0000-0000-000061020000}"/>
    <cellStyle name="40% - 강조색3 2 7" xfId="6648" xr:uid="{00000000-0005-0000-0000-000062020000}"/>
    <cellStyle name="40% - 강조색3 2 8" xfId="6721" xr:uid="{00000000-0005-0000-0000-000063020000}"/>
    <cellStyle name="40% - 강조색3 2 9" xfId="6791" xr:uid="{00000000-0005-0000-0000-000064020000}"/>
    <cellStyle name="40% - 강조색3 20" xfId="48629" xr:uid="{00000000-0005-0000-0000-000065020000}"/>
    <cellStyle name="40% - 강조색3 21" xfId="48630" xr:uid="{00000000-0005-0000-0000-000066020000}"/>
    <cellStyle name="40% - 강조색3 22" xfId="48631" xr:uid="{00000000-0005-0000-0000-000067020000}"/>
    <cellStyle name="40% - 강조색3 23" xfId="48632" xr:uid="{00000000-0005-0000-0000-000068020000}"/>
    <cellStyle name="40% - 강조색3 24" xfId="48633" xr:uid="{00000000-0005-0000-0000-000069020000}"/>
    <cellStyle name="40% - 강조색3 25" xfId="48634" xr:uid="{00000000-0005-0000-0000-00006A020000}"/>
    <cellStyle name="40% - 강조색3 26" xfId="48635" xr:uid="{00000000-0005-0000-0000-00006B020000}"/>
    <cellStyle name="40% - 강조색3 27" xfId="48636" xr:uid="{00000000-0005-0000-0000-00006C020000}"/>
    <cellStyle name="40% - 강조색3 28" xfId="48637" xr:uid="{00000000-0005-0000-0000-00006D020000}"/>
    <cellStyle name="40% - 강조색3 29" xfId="48638" xr:uid="{00000000-0005-0000-0000-00006E020000}"/>
    <cellStyle name="40% - 강조색3 3" xfId="4286" xr:uid="{00000000-0005-0000-0000-00006F020000}"/>
    <cellStyle name="40% - 강조색3 3 10" xfId="3918" xr:uid="{00000000-0005-0000-0000-000070020000}"/>
    <cellStyle name="40% - 강조색3 3 11" xfId="3790" xr:uid="{00000000-0005-0000-0000-000071020000}"/>
    <cellStyle name="40% - 강조색3 3 2" xfId="3553" xr:uid="{00000000-0005-0000-0000-000072020000}"/>
    <cellStyle name="40% - 강조색3 3 3" xfId="4284" xr:uid="{00000000-0005-0000-0000-000073020000}"/>
    <cellStyle name="40% - 강조색3 3 4" xfId="367" xr:uid="{00000000-0005-0000-0000-000074020000}"/>
    <cellStyle name="40% - 강조색3 3 5" xfId="4293" xr:uid="{00000000-0005-0000-0000-000075020000}"/>
    <cellStyle name="40% - 강조색3 3 6" xfId="344" xr:uid="{00000000-0005-0000-0000-000076020000}"/>
    <cellStyle name="40% - 강조색3 3 7" xfId="3637" xr:uid="{00000000-0005-0000-0000-000077020000}"/>
    <cellStyle name="40% - 강조색3 3 8" xfId="3365" xr:uid="{00000000-0005-0000-0000-000078020000}"/>
    <cellStyle name="40% - 강조색3 3 9" xfId="2723" xr:uid="{00000000-0005-0000-0000-000079020000}"/>
    <cellStyle name="40% - 강조색3 30" xfId="48639" xr:uid="{00000000-0005-0000-0000-00007A020000}"/>
    <cellStyle name="40% - 강조색3 31" xfId="48640" xr:uid="{00000000-0005-0000-0000-00007B020000}"/>
    <cellStyle name="40% - 강조색3 32" xfId="48641" xr:uid="{00000000-0005-0000-0000-00007C020000}"/>
    <cellStyle name="40% - 강조색3 33" xfId="48642" xr:uid="{00000000-0005-0000-0000-00007D020000}"/>
    <cellStyle name="40% - 강조색3 4" xfId="3554" xr:uid="{00000000-0005-0000-0000-00007E020000}"/>
    <cellStyle name="40% - 강조색3 4 10" xfId="3557" xr:uid="{00000000-0005-0000-0000-00007F020000}"/>
    <cellStyle name="40% - 강조색3 4 11" xfId="3484" xr:uid="{00000000-0005-0000-0000-000080020000}"/>
    <cellStyle name="40% - 강조색3 4 2" xfId="3110" xr:uid="{00000000-0005-0000-0000-000081020000}"/>
    <cellStyle name="40% - 강조색3 4 3" xfId="3290" xr:uid="{00000000-0005-0000-0000-000082020000}"/>
    <cellStyle name="40% - 강조색3 4 4" xfId="2826" xr:uid="{00000000-0005-0000-0000-000083020000}"/>
    <cellStyle name="40% - 강조색3 4 5" xfId="3772" xr:uid="{00000000-0005-0000-0000-000084020000}"/>
    <cellStyle name="40% - 강조색3 4 6" xfId="2695" xr:uid="{00000000-0005-0000-0000-000085020000}"/>
    <cellStyle name="40% - 강조색3 4 7" xfId="2808" xr:uid="{00000000-0005-0000-0000-000086020000}"/>
    <cellStyle name="40% - 강조색3 4 8" xfId="2573" xr:uid="{00000000-0005-0000-0000-000087020000}"/>
    <cellStyle name="40% - 강조색3 4 9" xfId="3777" xr:uid="{00000000-0005-0000-0000-000088020000}"/>
    <cellStyle name="40% - 강조색3 5" xfId="3536" xr:uid="{00000000-0005-0000-0000-000089020000}"/>
    <cellStyle name="40% - 강조색3 5 2" xfId="3876" xr:uid="{00000000-0005-0000-0000-00008A020000}"/>
    <cellStyle name="40% - 강조색3 5 3" xfId="2690" xr:uid="{00000000-0005-0000-0000-00008B020000}"/>
    <cellStyle name="40% - 강조색3 5 4" xfId="2937" xr:uid="{00000000-0005-0000-0000-00008C020000}"/>
    <cellStyle name="40% - 강조색3 5 5" xfId="2462" xr:uid="{00000000-0005-0000-0000-00008D020000}"/>
    <cellStyle name="40% - 강조색3 6" xfId="4277" xr:uid="{00000000-0005-0000-0000-00008E020000}"/>
    <cellStyle name="40% - 강조색3 6 2" xfId="4030" xr:uid="{00000000-0005-0000-0000-00008F020000}"/>
    <cellStyle name="40% - 강조색3 6 3" xfId="2717" xr:uid="{00000000-0005-0000-0000-000090020000}"/>
    <cellStyle name="40% - 강조색3 6 4" xfId="2631" xr:uid="{00000000-0005-0000-0000-000091020000}"/>
    <cellStyle name="40% - 강조색3 6 5" xfId="3598" xr:uid="{00000000-0005-0000-0000-000092020000}"/>
    <cellStyle name="40% - 강조색3 7" xfId="2410" xr:uid="{00000000-0005-0000-0000-000093020000}"/>
    <cellStyle name="40% - 강조색3 7 2" xfId="2507" xr:uid="{00000000-0005-0000-0000-000094020000}"/>
    <cellStyle name="40% - 강조색3 8" xfId="3838" xr:uid="{00000000-0005-0000-0000-000095020000}"/>
    <cellStyle name="40% - 강조색3 8 2" xfId="3868" xr:uid="{00000000-0005-0000-0000-000096020000}"/>
    <cellStyle name="40% - 강조색3 9" xfId="6649" xr:uid="{00000000-0005-0000-0000-000097020000}"/>
    <cellStyle name="40% - 강조색4 10" xfId="6720" xr:uid="{00000000-0005-0000-0000-000098020000}"/>
    <cellStyle name="40% - 강조색4 11" xfId="6790" xr:uid="{00000000-0005-0000-0000-000099020000}"/>
    <cellStyle name="40% - 강조색4 12" xfId="6851" xr:uid="{00000000-0005-0000-0000-00009A020000}"/>
    <cellStyle name="40% - 강조색4 13" xfId="6898" xr:uid="{00000000-0005-0000-0000-00009B020000}"/>
    <cellStyle name="40% - 강조색4 14" xfId="48643" xr:uid="{00000000-0005-0000-0000-00009C020000}"/>
    <cellStyle name="40% - 강조색4 15" xfId="48644" xr:uid="{00000000-0005-0000-0000-00009D020000}"/>
    <cellStyle name="40% - 강조색4 16" xfId="48645" xr:uid="{00000000-0005-0000-0000-00009E020000}"/>
    <cellStyle name="40% - 강조색4 17" xfId="48646" xr:uid="{00000000-0005-0000-0000-00009F020000}"/>
    <cellStyle name="40% - 강조색4 18" xfId="48647" xr:uid="{00000000-0005-0000-0000-0000A0020000}"/>
    <cellStyle name="40% - 강조색4 19" xfId="48648" xr:uid="{00000000-0005-0000-0000-0000A1020000}"/>
    <cellStyle name="40% - 강조색4 2" xfId="217" xr:uid="{00000000-0005-0000-0000-0000A2020000}"/>
    <cellStyle name="40% - 강조색4 2 10" xfId="6850" xr:uid="{00000000-0005-0000-0000-0000A3020000}"/>
    <cellStyle name="40% - 강조색4 2 11" xfId="6897" xr:uid="{00000000-0005-0000-0000-0000A4020000}"/>
    <cellStyle name="40% - 강조색4 2 2" xfId="4414" xr:uid="{00000000-0005-0000-0000-0000A5020000}"/>
    <cellStyle name="40% - 강조색4 2 3" xfId="6260" xr:uid="{00000000-0005-0000-0000-0000A6020000}"/>
    <cellStyle name="40% - 강조색4 2 4" xfId="6531" xr:uid="{00000000-0005-0000-0000-0000A7020000}"/>
    <cellStyle name="40% - 강조색4 2 5" xfId="6569" xr:uid="{00000000-0005-0000-0000-0000A8020000}"/>
    <cellStyle name="40% - 강조색4 2 6" xfId="6606" xr:uid="{00000000-0005-0000-0000-0000A9020000}"/>
    <cellStyle name="40% - 강조색4 2 7" xfId="6646" xr:uid="{00000000-0005-0000-0000-0000AA020000}"/>
    <cellStyle name="40% - 강조색4 2 8" xfId="6719" xr:uid="{00000000-0005-0000-0000-0000AB020000}"/>
    <cellStyle name="40% - 강조색4 2 9" xfId="6789" xr:uid="{00000000-0005-0000-0000-0000AC020000}"/>
    <cellStyle name="40% - 강조색4 20" xfId="48649" xr:uid="{00000000-0005-0000-0000-0000AD020000}"/>
    <cellStyle name="40% - 강조색4 21" xfId="48650" xr:uid="{00000000-0005-0000-0000-0000AE020000}"/>
    <cellStyle name="40% - 강조색4 22" xfId="48651" xr:uid="{00000000-0005-0000-0000-0000AF020000}"/>
    <cellStyle name="40% - 강조색4 23" xfId="48652" xr:uid="{00000000-0005-0000-0000-0000B0020000}"/>
    <cellStyle name="40% - 강조색4 24" xfId="48653" xr:uid="{00000000-0005-0000-0000-0000B1020000}"/>
    <cellStyle name="40% - 강조색4 25" xfId="48654" xr:uid="{00000000-0005-0000-0000-0000B2020000}"/>
    <cellStyle name="40% - 강조색4 26" xfId="48655" xr:uid="{00000000-0005-0000-0000-0000B3020000}"/>
    <cellStyle name="40% - 강조색4 27" xfId="48656" xr:uid="{00000000-0005-0000-0000-0000B4020000}"/>
    <cellStyle name="40% - 강조색4 28" xfId="48657" xr:uid="{00000000-0005-0000-0000-0000B5020000}"/>
    <cellStyle name="40% - 강조색4 29" xfId="48658" xr:uid="{00000000-0005-0000-0000-0000B6020000}"/>
    <cellStyle name="40% - 강조색4 3" xfId="3604" xr:uid="{00000000-0005-0000-0000-0000B7020000}"/>
    <cellStyle name="40% - 강조색4 3 10" xfId="3115" xr:uid="{00000000-0005-0000-0000-0000B8020000}"/>
    <cellStyle name="40% - 강조색4 3 11" xfId="2878" xr:uid="{00000000-0005-0000-0000-0000B9020000}"/>
    <cellStyle name="40% - 강조색4 3 2" xfId="3935" xr:uid="{00000000-0005-0000-0000-0000BA020000}"/>
    <cellStyle name="40% - 강조색4 3 3" xfId="3121" xr:uid="{00000000-0005-0000-0000-0000BB020000}"/>
    <cellStyle name="40% - 강조색4 3 4" xfId="2876" xr:uid="{00000000-0005-0000-0000-0000BC020000}"/>
    <cellStyle name="40% - 강조색4 3 5" xfId="4095" xr:uid="{00000000-0005-0000-0000-0000BD020000}"/>
    <cellStyle name="40% - 강조색4 3 6" xfId="3178" xr:uid="{00000000-0005-0000-0000-0000BE020000}"/>
    <cellStyle name="40% - 강조색4 3 7" xfId="4019" xr:uid="{00000000-0005-0000-0000-0000BF020000}"/>
    <cellStyle name="40% - 강조색4 3 8" xfId="3125" xr:uid="{00000000-0005-0000-0000-0000C0020000}"/>
    <cellStyle name="40% - 강조색4 3 9" xfId="4104" xr:uid="{00000000-0005-0000-0000-0000C1020000}"/>
    <cellStyle name="40% - 강조색4 30" xfId="48659" xr:uid="{00000000-0005-0000-0000-0000C2020000}"/>
    <cellStyle name="40% - 강조색4 31" xfId="48660" xr:uid="{00000000-0005-0000-0000-0000C3020000}"/>
    <cellStyle name="40% - 강조색4 32" xfId="48661" xr:uid="{00000000-0005-0000-0000-0000C4020000}"/>
    <cellStyle name="40% - 강조색4 33" xfId="48662" xr:uid="{00000000-0005-0000-0000-0000C5020000}"/>
    <cellStyle name="40% - 강조색4 4" xfId="4100" xr:uid="{00000000-0005-0000-0000-0000C6020000}"/>
    <cellStyle name="40% - 강조색4 4 10" xfId="3610" xr:uid="{00000000-0005-0000-0000-0000C7020000}"/>
    <cellStyle name="40% - 강조색4 4 11" xfId="3952" xr:uid="{00000000-0005-0000-0000-0000C8020000}"/>
    <cellStyle name="40% - 강조색4 4 2" xfId="2884" xr:uid="{00000000-0005-0000-0000-0000C9020000}"/>
    <cellStyle name="40% - 강조색4 4 3" xfId="3761" xr:uid="{00000000-0005-0000-0000-0000CA020000}"/>
    <cellStyle name="40% - 강조색4 4 4" xfId="2893" xr:uid="{00000000-0005-0000-0000-0000CB020000}"/>
    <cellStyle name="40% - 강조색4 4 5" xfId="2443" xr:uid="{00000000-0005-0000-0000-0000CC020000}"/>
    <cellStyle name="40% - 강조색4 4 6" xfId="3377" xr:uid="{00000000-0005-0000-0000-0000CD020000}"/>
    <cellStyle name="40% - 강조색4 4 7" xfId="3296" xr:uid="{00000000-0005-0000-0000-0000CE020000}"/>
    <cellStyle name="40% - 강조색4 4 8" xfId="4109" xr:uid="{00000000-0005-0000-0000-0000CF020000}"/>
    <cellStyle name="40% - 강조색4 4 9" xfId="2656" xr:uid="{00000000-0005-0000-0000-0000D0020000}"/>
    <cellStyle name="40% - 강조색4 5" xfId="3375" xr:uid="{00000000-0005-0000-0000-0000D1020000}"/>
    <cellStyle name="40% - 강조색4 5 2" xfId="2687" xr:uid="{00000000-0005-0000-0000-0000D2020000}"/>
    <cellStyle name="40% - 강조색4 5 3" xfId="385" xr:uid="{00000000-0005-0000-0000-0000D3020000}"/>
    <cellStyle name="40% - 강조색4 5 4" xfId="2481" xr:uid="{00000000-0005-0000-0000-0000D4020000}"/>
    <cellStyle name="40% - 강조색4 5 5" xfId="368" xr:uid="{00000000-0005-0000-0000-0000D5020000}"/>
    <cellStyle name="40% - 강조색4 6" xfId="3481" xr:uid="{00000000-0005-0000-0000-0000D6020000}"/>
    <cellStyle name="40% - 강조색4 6 2" xfId="3822" xr:uid="{00000000-0005-0000-0000-0000D7020000}"/>
    <cellStyle name="40% - 강조색4 6 3" xfId="3601" xr:uid="{00000000-0005-0000-0000-0000D8020000}"/>
    <cellStyle name="40% - 강조색4 6 4" xfId="316" xr:uid="{00000000-0005-0000-0000-0000D9020000}"/>
    <cellStyle name="40% - 강조색4 6 5" xfId="2627" xr:uid="{00000000-0005-0000-0000-0000DA020000}"/>
    <cellStyle name="40% - 강조색4 7" xfId="3099" xr:uid="{00000000-0005-0000-0000-0000DB020000}"/>
    <cellStyle name="40% - 강조색4 7 2" xfId="3591" xr:uid="{00000000-0005-0000-0000-0000DC020000}"/>
    <cellStyle name="40% - 강조색4 8" xfId="3438" xr:uid="{00000000-0005-0000-0000-0000DD020000}"/>
    <cellStyle name="40% - 강조색4 8 2" xfId="3956" xr:uid="{00000000-0005-0000-0000-0000DE020000}"/>
    <cellStyle name="40% - 강조색4 9" xfId="6647" xr:uid="{00000000-0005-0000-0000-0000DF020000}"/>
    <cellStyle name="40% - 강조색5 10" xfId="6718" xr:uid="{00000000-0005-0000-0000-0000E0020000}"/>
    <cellStyle name="40% - 강조색5 11" xfId="6788" xr:uid="{00000000-0005-0000-0000-0000E1020000}"/>
    <cellStyle name="40% - 강조색5 12" xfId="6849" xr:uid="{00000000-0005-0000-0000-0000E2020000}"/>
    <cellStyle name="40% - 강조색5 13" xfId="6896" xr:uid="{00000000-0005-0000-0000-0000E3020000}"/>
    <cellStyle name="40% - 강조색5 14" xfId="48663" xr:uid="{00000000-0005-0000-0000-0000E4020000}"/>
    <cellStyle name="40% - 강조색5 15" xfId="48664" xr:uid="{00000000-0005-0000-0000-0000E5020000}"/>
    <cellStyle name="40% - 강조색5 16" xfId="48665" xr:uid="{00000000-0005-0000-0000-0000E6020000}"/>
    <cellStyle name="40% - 강조색5 17" xfId="48666" xr:uid="{00000000-0005-0000-0000-0000E7020000}"/>
    <cellStyle name="40% - 강조색5 18" xfId="48667" xr:uid="{00000000-0005-0000-0000-0000E8020000}"/>
    <cellStyle name="40% - 강조색5 19" xfId="48668" xr:uid="{00000000-0005-0000-0000-0000E9020000}"/>
    <cellStyle name="40% - 강조색5 2" xfId="214" xr:uid="{00000000-0005-0000-0000-0000EA020000}"/>
    <cellStyle name="40% - 강조색5 2 10" xfId="6848" xr:uid="{00000000-0005-0000-0000-0000EB020000}"/>
    <cellStyle name="40% - 강조색5 2 11" xfId="6895" xr:uid="{00000000-0005-0000-0000-0000EC020000}"/>
    <cellStyle name="40% - 강조색5 2 2" xfId="4415" xr:uid="{00000000-0005-0000-0000-0000ED020000}"/>
    <cellStyle name="40% - 강조색5 2 3" xfId="6261" xr:uid="{00000000-0005-0000-0000-0000EE020000}"/>
    <cellStyle name="40% - 강조색5 2 4" xfId="6530" xr:uid="{00000000-0005-0000-0000-0000EF020000}"/>
    <cellStyle name="40% - 강조색5 2 5" xfId="6568" xr:uid="{00000000-0005-0000-0000-0000F0020000}"/>
    <cellStyle name="40% - 강조색5 2 6" xfId="6605" xr:uid="{00000000-0005-0000-0000-0000F1020000}"/>
    <cellStyle name="40% - 강조색5 2 7" xfId="6644" xr:uid="{00000000-0005-0000-0000-0000F2020000}"/>
    <cellStyle name="40% - 강조색5 2 8" xfId="6717" xr:uid="{00000000-0005-0000-0000-0000F3020000}"/>
    <cellStyle name="40% - 강조색5 2 9" xfId="6787" xr:uid="{00000000-0005-0000-0000-0000F4020000}"/>
    <cellStyle name="40% - 강조색5 20" xfId="48669" xr:uid="{00000000-0005-0000-0000-0000F5020000}"/>
    <cellStyle name="40% - 강조색5 21" xfId="48670" xr:uid="{00000000-0005-0000-0000-0000F6020000}"/>
    <cellStyle name="40% - 강조색5 22" xfId="48671" xr:uid="{00000000-0005-0000-0000-0000F7020000}"/>
    <cellStyle name="40% - 강조색5 23" xfId="48672" xr:uid="{00000000-0005-0000-0000-0000F8020000}"/>
    <cellStyle name="40% - 강조색5 24" xfId="48673" xr:uid="{00000000-0005-0000-0000-0000F9020000}"/>
    <cellStyle name="40% - 강조색5 25" xfId="48674" xr:uid="{00000000-0005-0000-0000-0000FA020000}"/>
    <cellStyle name="40% - 강조색5 26" xfId="48675" xr:uid="{00000000-0005-0000-0000-0000FB020000}"/>
    <cellStyle name="40% - 강조색5 27" xfId="48676" xr:uid="{00000000-0005-0000-0000-0000FC020000}"/>
    <cellStyle name="40% - 강조색5 28" xfId="48677" xr:uid="{00000000-0005-0000-0000-0000FD020000}"/>
    <cellStyle name="40% - 강조색5 29" xfId="48678" xr:uid="{00000000-0005-0000-0000-0000FE020000}"/>
    <cellStyle name="40% - 강조색5 3" xfId="3109" xr:uid="{00000000-0005-0000-0000-0000FF020000}"/>
    <cellStyle name="40% - 강조색5 3 10" xfId="3327" xr:uid="{00000000-0005-0000-0000-000000030000}"/>
    <cellStyle name="40% - 강조색5 3 11" xfId="3318" xr:uid="{00000000-0005-0000-0000-000001030000}"/>
    <cellStyle name="40% - 강조색5 3 2" xfId="3065" xr:uid="{00000000-0005-0000-0000-000002030000}"/>
    <cellStyle name="40% - 강조색5 3 3" xfId="3641" xr:uid="{00000000-0005-0000-0000-000003030000}"/>
    <cellStyle name="40% - 강조색5 3 4" xfId="3707" xr:uid="{00000000-0005-0000-0000-000004030000}"/>
    <cellStyle name="40% - 강조색5 3 5" xfId="3150" xr:uid="{00000000-0005-0000-0000-000005030000}"/>
    <cellStyle name="40% - 강조색5 3 6" xfId="3564" xr:uid="{00000000-0005-0000-0000-000006030000}"/>
    <cellStyle name="40% - 강조색5 3 7" xfId="4052" xr:uid="{00000000-0005-0000-0000-000007030000}"/>
    <cellStyle name="40% - 강조색5 3 8" xfId="2537" xr:uid="{00000000-0005-0000-0000-000008030000}"/>
    <cellStyle name="40% - 강조색5 3 9" xfId="3930" xr:uid="{00000000-0005-0000-0000-000009030000}"/>
    <cellStyle name="40% - 강조색5 30" xfId="48679" xr:uid="{00000000-0005-0000-0000-00000A030000}"/>
    <cellStyle name="40% - 강조색5 31" xfId="48680" xr:uid="{00000000-0005-0000-0000-00000B030000}"/>
    <cellStyle name="40% - 강조색5 32" xfId="48681" xr:uid="{00000000-0005-0000-0000-00000C030000}"/>
    <cellStyle name="40% - 강조색5 33" xfId="48682" xr:uid="{00000000-0005-0000-0000-00000D030000}"/>
    <cellStyle name="40% - 강조색5 4" xfId="3085" xr:uid="{00000000-0005-0000-0000-00000E030000}"/>
    <cellStyle name="40% - 강조색5 4 10" xfId="3445" xr:uid="{00000000-0005-0000-0000-00000F030000}"/>
    <cellStyle name="40% - 강조색5 4 11" xfId="2964" xr:uid="{00000000-0005-0000-0000-000010030000}"/>
    <cellStyle name="40% - 강조색5 4 2" xfId="4249" xr:uid="{00000000-0005-0000-0000-000011030000}"/>
    <cellStyle name="40% - 강조색5 4 3" xfId="3284" xr:uid="{00000000-0005-0000-0000-000012030000}"/>
    <cellStyle name="40% - 강조색5 4 4" xfId="3450" xr:uid="{00000000-0005-0000-0000-000013030000}"/>
    <cellStyle name="40% - 강조색5 4 5" xfId="4187" xr:uid="{00000000-0005-0000-0000-000014030000}"/>
    <cellStyle name="40% - 강조색5 4 6" xfId="3818" xr:uid="{00000000-0005-0000-0000-000015030000}"/>
    <cellStyle name="40% - 강조색5 4 7" xfId="3334" xr:uid="{00000000-0005-0000-0000-000016030000}"/>
    <cellStyle name="40% - 강조색5 4 8" xfId="3645" xr:uid="{00000000-0005-0000-0000-000017030000}"/>
    <cellStyle name="40% - 강조색5 4 9" xfId="4281" xr:uid="{00000000-0005-0000-0000-000018030000}"/>
    <cellStyle name="40% - 강조색5 5" xfId="3155" xr:uid="{00000000-0005-0000-0000-000019030000}"/>
    <cellStyle name="40% - 강조색5 5 2" xfId="2677" xr:uid="{00000000-0005-0000-0000-00001A030000}"/>
    <cellStyle name="40% - 강조색5 5 3" xfId="318" xr:uid="{00000000-0005-0000-0000-00001B030000}"/>
    <cellStyle name="40% - 강조색5 5 4" xfId="2734" xr:uid="{00000000-0005-0000-0000-00001C030000}"/>
    <cellStyle name="40% - 강조색5 5 5" xfId="3153" xr:uid="{00000000-0005-0000-0000-00001D030000}"/>
    <cellStyle name="40% - 강조색5 6" xfId="3404" xr:uid="{00000000-0005-0000-0000-00001E030000}"/>
    <cellStyle name="40% - 강조색5 6 2" xfId="2924" xr:uid="{00000000-0005-0000-0000-00001F030000}"/>
    <cellStyle name="40% - 강조색5 6 3" xfId="3607" xr:uid="{00000000-0005-0000-0000-000020030000}"/>
    <cellStyle name="40% - 강조색5 6 4" xfId="3892" xr:uid="{00000000-0005-0000-0000-000021030000}"/>
    <cellStyle name="40% - 강조색5 6 5" xfId="2921" xr:uid="{00000000-0005-0000-0000-000022030000}"/>
    <cellStyle name="40% - 강조색5 7" xfId="3418" xr:uid="{00000000-0005-0000-0000-000023030000}"/>
    <cellStyle name="40% - 강조색5 7 2" xfId="4137" xr:uid="{00000000-0005-0000-0000-000024030000}"/>
    <cellStyle name="40% - 강조색5 8" xfId="4140" xr:uid="{00000000-0005-0000-0000-000025030000}"/>
    <cellStyle name="40% - 강조색5 8 2" xfId="3286" xr:uid="{00000000-0005-0000-0000-000026030000}"/>
    <cellStyle name="40% - 강조색5 9" xfId="6645" xr:uid="{00000000-0005-0000-0000-000027030000}"/>
    <cellStyle name="40% - 강조색6 10" xfId="6716" xr:uid="{00000000-0005-0000-0000-000028030000}"/>
    <cellStyle name="40% - 강조색6 11" xfId="6786" xr:uid="{00000000-0005-0000-0000-000029030000}"/>
    <cellStyle name="40% - 강조색6 12" xfId="6847" xr:uid="{00000000-0005-0000-0000-00002A030000}"/>
    <cellStyle name="40% - 강조색6 13" xfId="6894" xr:uid="{00000000-0005-0000-0000-00002B030000}"/>
    <cellStyle name="40% - 강조색6 14" xfId="48683" xr:uid="{00000000-0005-0000-0000-00002C030000}"/>
    <cellStyle name="40% - 강조색6 15" xfId="48684" xr:uid="{00000000-0005-0000-0000-00002D030000}"/>
    <cellStyle name="40% - 강조색6 16" xfId="48685" xr:uid="{00000000-0005-0000-0000-00002E030000}"/>
    <cellStyle name="40% - 강조색6 17" xfId="48686" xr:uid="{00000000-0005-0000-0000-00002F030000}"/>
    <cellStyle name="40% - 강조색6 18" xfId="48687" xr:uid="{00000000-0005-0000-0000-000030030000}"/>
    <cellStyle name="40% - 강조색6 19" xfId="48688" xr:uid="{00000000-0005-0000-0000-000031030000}"/>
    <cellStyle name="40% - 강조색6 2" xfId="195" xr:uid="{00000000-0005-0000-0000-000032030000}"/>
    <cellStyle name="40% - 강조색6 2 10" xfId="6846" xr:uid="{00000000-0005-0000-0000-000033030000}"/>
    <cellStyle name="40% - 강조색6 2 11" xfId="6893" xr:uid="{00000000-0005-0000-0000-000034030000}"/>
    <cellStyle name="40% - 강조색6 2 2" xfId="4416" xr:uid="{00000000-0005-0000-0000-000035030000}"/>
    <cellStyle name="40% - 강조색6 2 3" xfId="6262" xr:uid="{00000000-0005-0000-0000-000036030000}"/>
    <cellStyle name="40% - 강조색6 2 4" xfId="6529" xr:uid="{00000000-0005-0000-0000-000037030000}"/>
    <cellStyle name="40% - 강조색6 2 5" xfId="6567" xr:uid="{00000000-0005-0000-0000-000038030000}"/>
    <cellStyle name="40% - 강조색6 2 6" xfId="6604" xr:uid="{00000000-0005-0000-0000-000039030000}"/>
    <cellStyle name="40% - 강조색6 2 7" xfId="6642" xr:uid="{00000000-0005-0000-0000-00003A030000}"/>
    <cellStyle name="40% - 강조색6 2 8" xfId="6715" xr:uid="{00000000-0005-0000-0000-00003B030000}"/>
    <cellStyle name="40% - 강조색6 2 9" xfId="6785" xr:uid="{00000000-0005-0000-0000-00003C030000}"/>
    <cellStyle name="40% - 강조색6 20" xfId="48689" xr:uid="{00000000-0005-0000-0000-00003D030000}"/>
    <cellStyle name="40% - 강조색6 21" xfId="48690" xr:uid="{00000000-0005-0000-0000-00003E030000}"/>
    <cellStyle name="40% - 강조색6 22" xfId="48691" xr:uid="{00000000-0005-0000-0000-00003F030000}"/>
    <cellStyle name="40% - 강조색6 23" xfId="48692" xr:uid="{00000000-0005-0000-0000-000040030000}"/>
    <cellStyle name="40% - 강조색6 24" xfId="48693" xr:uid="{00000000-0005-0000-0000-000041030000}"/>
    <cellStyle name="40% - 강조색6 25" xfId="48694" xr:uid="{00000000-0005-0000-0000-000042030000}"/>
    <cellStyle name="40% - 강조색6 26" xfId="48695" xr:uid="{00000000-0005-0000-0000-000043030000}"/>
    <cellStyle name="40% - 강조색6 27" xfId="48696" xr:uid="{00000000-0005-0000-0000-000044030000}"/>
    <cellStyle name="40% - 강조색6 28" xfId="48697" xr:uid="{00000000-0005-0000-0000-000045030000}"/>
    <cellStyle name="40% - 강조색6 29" xfId="48698" xr:uid="{00000000-0005-0000-0000-000046030000}"/>
    <cellStyle name="40% - 강조색6 3" xfId="3381" xr:uid="{00000000-0005-0000-0000-000047030000}"/>
    <cellStyle name="40% - 강조색6 3 10" xfId="2911" xr:uid="{00000000-0005-0000-0000-000048030000}"/>
    <cellStyle name="40% - 강조색6 3 11" xfId="3049" xr:uid="{00000000-0005-0000-0000-000049030000}"/>
    <cellStyle name="40% - 강조색6 3 2" xfId="3866" xr:uid="{00000000-0005-0000-0000-00004A030000}"/>
    <cellStyle name="40% - 강조색6 3 3" xfId="3630" xr:uid="{00000000-0005-0000-0000-00004B030000}"/>
    <cellStyle name="40% - 강조색6 3 4" xfId="4115" xr:uid="{00000000-0005-0000-0000-00004C030000}"/>
    <cellStyle name="40% - 강조색6 3 5" xfId="3995" xr:uid="{00000000-0005-0000-0000-00004D030000}"/>
    <cellStyle name="40% - 강조색6 3 6" xfId="2807" xr:uid="{00000000-0005-0000-0000-00004E030000}"/>
    <cellStyle name="40% - 강조색6 3 7" xfId="4003" xr:uid="{00000000-0005-0000-0000-00004F030000}"/>
    <cellStyle name="40% - 강조색6 3 8" xfId="2486" xr:uid="{00000000-0005-0000-0000-000050030000}"/>
    <cellStyle name="40% - 강조색6 3 9" xfId="4121" xr:uid="{00000000-0005-0000-0000-000051030000}"/>
    <cellStyle name="40% - 강조색6 30" xfId="48699" xr:uid="{00000000-0005-0000-0000-000052030000}"/>
    <cellStyle name="40% - 강조색6 31" xfId="48700" xr:uid="{00000000-0005-0000-0000-000053030000}"/>
    <cellStyle name="40% - 강조색6 32" xfId="48701" xr:uid="{00000000-0005-0000-0000-000054030000}"/>
    <cellStyle name="40% - 강조색6 33" xfId="48702" xr:uid="{00000000-0005-0000-0000-000055030000}"/>
    <cellStyle name="40% - 강조색6 4" xfId="2670" xr:uid="{00000000-0005-0000-0000-000056030000}"/>
    <cellStyle name="40% - 강조색6 4 10" xfId="2787" xr:uid="{00000000-0005-0000-0000-000057030000}"/>
    <cellStyle name="40% - 강조색6 4 11" xfId="3999" xr:uid="{00000000-0005-0000-0000-000058030000}"/>
    <cellStyle name="40% - 강조색6 4 2" xfId="4042" xr:uid="{00000000-0005-0000-0000-000059030000}"/>
    <cellStyle name="40% - 강조색6 4 3" xfId="354" xr:uid="{00000000-0005-0000-0000-00005A030000}"/>
    <cellStyle name="40% - 강조색6 4 4" xfId="3062" xr:uid="{00000000-0005-0000-0000-00005B030000}"/>
    <cellStyle name="40% - 강조색6 4 5" xfId="277" xr:uid="{00000000-0005-0000-0000-00005C030000}"/>
    <cellStyle name="40% - 강조색6 4 6" xfId="288" xr:uid="{00000000-0005-0000-0000-00005D030000}"/>
    <cellStyle name="40% - 강조색6 4 7" xfId="2523" xr:uid="{00000000-0005-0000-0000-00005E030000}"/>
    <cellStyle name="40% - 강조색6 4 8" xfId="4039" xr:uid="{00000000-0005-0000-0000-00005F030000}"/>
    <cellStyle name="40% - 강조색6 4 9" xfId="2709" xr:uid="{00000000-0005-0000-0000-000060030000}"/>
    <cellStyle name="40% - 강조색6 5" xfId="3196" xr:uid="{00000000-0005-0000-0000-000061030000}"/>
    <cellStyle name="40% - 강조색6 5 2" xfId="2707" xr:uid="{00000000-0005-0000-0000-000062030000}"/>
    <cellStyle name="40% - 강조색6 5 3" xfId="2978" xr:uid="{00000000-0005-0000-0000-000063030000}"/>
    <cellStyle name="40% - 강조색6 5 4" xfId="3679" xr:uid="{00000000-0005-0000-0000-000064030000}"/>
    <cellStyle name="40% - 강조색6 5 5" xfId="347" xr:uid="{00000000-0005-0000-0000-000065030000}"/>
    <cellStyle name="40% - 강조색6 6" xfId="3190" xr:uid="{00000000-0005-0000-0000-000066030000}"/>
    <cellStyle name="40% - 강조색6 6 2" xfId="2712" xr:uid="{00000000-0005-0000-0000-000067030000}"/>
    <cellStyle name="40% - 강조색6 6 3" xfId="3548" xr:uid="{00000000-0005-0000-0000-000068030000}"/>
    <cellStyle name="40% - 강조색6 6 4" xfId="3625" xr:uid="{00000000-0005-0000-0000-000069030000}"/>
    <cellStyle name="40% - 강조색6 6 5" xfId="2657" xr:uid="{00000000-0005-0000-0000-00006A030000}"/>
    <cellStyle name="40% - 강조색6 7" xfId="3411" xr:uid="{00000000-0005-0000-0000-00006B030000}"/>
    <cellStyle name="40% - 강조색6 7 2" xfId="3623" xr:uid="{00000000-0005-0000-0000-00006C030000}"/>
    <cellStyle name="40% - 강조색6 8" xfId="4242" xr:uid="{00000000-0005-0000-0000-00006D030000}"/>
    <cellStyle name="40% - 강조색6 8 2" xfId="3896" xr:uid="{00000000-0005-0000-0000-00006E030000}"/>
    <cellStyle name="40% - 강조색6 9" xfId="6643" xr:uid="{00000000-0005-0000-0000-00006F030000}"/>
    <cellStyle name="60% - 강조색1 10" xfId="6784" xr:uid="{00000000-0005-0000-0000-000070030000}"/>
    <cellStyle name="60% - 강조색1 11" xfId="6845" xr:uid="{00000000-0005-0000-0000-000071030000}"/>
    <cellStyle name="60% - 강조색1 12" xfId="6892" xr:uid="{00000000-0005-0000-0000-000072030000}"/>
    <cellStyle name="60% - 강조색1 13" xfId="48703" xr:uid="{00000000-0005-0000-0000-000073030000}"/>
    <cellStyle name="60% - 강조색1 14" xfId="48704" xr:uid="{00000000-0005-0000-0000-000074030000}"/>
    <cellStyle name="60% - 강조색1 15" xfId="48705" xr:uid="{00000000-0005-0000-0000-000075030000}"/>
    <cellStyle name="60% - 강조색1 16" xfId="48706" xr:uid="{00000000-0005-0000-0000-000076030000}"/>
    <cellStyle name="60% - 강조색1 17" xfId="48707" xr:uid="{00000000-0005-0000-0000-000077030000}"/>
    <cellStyle name="60% - 강조색1 18" xfId="48708" xr:uid="{00000000-0005-0000-0000-000078030000}"/>
    <cellStyle name="60% - 강조색1 19" xfId="48709" xr:uid="{00000000-0005-0000-0000-000079030000}"/>
    <cellStyle name="60% - 강조색1 2" xfId="204" xr:uid="{00000000-0005-0000-0000-00007A030000}"/>
    <cellStyle name="60% - 강조색1 2 10" xfId="6844" xr:uid="{00000000-0005-0000-0000-00007B030000}"/>
    <cellStyle name="60% - 강조색1 2 11" xfId="6891" xr:uid="{00000000-0005-0000-0000-00007C030000}"/>
    <cellStyle name="60% - 강조색1 2 2" xfId="4417" xr:uid="{00000000-0005-0000-0000-00007D030000}"/>
    <cellStyle name="60% - 강조색1 2 3" xfId="6263" xr:uid="{00000000-0005-0000-0000-00007E030000}"/>
    <cellStyle name="60% - 강조색1 2 4" xfId="6528" xr:uid="{00000000-0005-0000-0000-00007F030000}"/>
    <cellStyle name="60% - 강조색1 2 5" xfId="6566" xr:uid="{00000000-0005-0000-0000-000080030000}"/>
    <cellStyle name="60% - 강조색1 2 6" xfId="6603" xr:uid="{00000000-0005-0000-0000-000081030000}"/>
    <cellStyle name="60% - 강조색1 2 7" xfId="6641" xr:uid="{00000000-0005-0000-0000-000082030000}"/>
    <cellStyle name="60% - 강조색1 2 8" xfId="6713" xr:uid="{00000000-0005-0000-0000-000083030000}"/>
    <cellStyle name="60% - 강조색1 2 9" xfId="6783" xr:uid="{00000000-0005-0000-0000-000084030000}"/>
    <cellStyle name="60% - 강조색1 20" xfId="48710" xr:uid="{00000000-0005-0000-0000-000085030000}"/>
    <cellStyle name="60% - 강조색1 21" xfId="48711" xr:uid="{00000000-0005-0000-0000-000086030000}"/>
    <cellStyle name="60% - 강조색1 22" xfId="48712" xr:uid="{00000000-0005-0000-0000-000087030000}"/>
    <cellStyle name="60% - 강조색1 23" xfId="48713" xr:uid="{00000000-0005-0000-0000-000088030000}"/>
    <cellStyle name="60% - 강조색1 24" xfId="48714" xr:uid="{00000000-0005-0000-0000-000089030000}"/>
    <cellStyle name="60% - 강조색1 25" xfId="48715" xr:uid="{00000000-0005-0000-0000-00008A030000}"/>
    <cellStyle name="60% - 강조색1 26" xfId="48716" xr:uid="{00000000-0005-0000-0000-00008B030000}"/>
    <cellStyle name="60% - 강조색1 27" xfId="48717" xr:uid="{00000000-0005-0000-0000-00008C030000}"/>
    <cellStyle name="60% - 강조색1 28" xfId="48718" xr:uid="{00000000-0005-0000-0000-00008D030000}"/>
    <cellStyle name="60% - 강조색1 29" xfId="48719" xr:uid="{00000000-0005-0000-0000-00008E030000}"/>
    <cellStyle name="60% - 강조색1 3" xfId="2928" xr:uid="{00000000-0005-0000-0000-00008F030000}"/>
    <cellStyle name="60% - 강조색1 3 10" xfId="4149" xr:uid="{00000000-0005-0000-0000-000090030000}"/>
    <cellStyle name="60% - 강조색1 3 11" xfId="2934" xr:uid="{00000000-0005-0000-0000-000091030000}"/>
    <cellStyle name="60% - 강조색1 3 2" xfId="4150" xr:uid="{00000000-0005-0000-0000-000092030000}"/>
    <cellStyle name="60% - 강조색1 3 3" xfId="2668" xr:uid="{00000000-0005-0000-0000-000093030000}"/>
    <cellStyle name="60% - 강조색1 3 4" xfId="3419" xr:uid="{00000000-0005-0000-0000-000094030000}"/>
    <cellStyle name="60% - 강조색1 3 5" xfId="3181" xr:uid="{00000000-0005-0000-0000-000095030000}"/>
    <cellStyle name="60% - 강조색1 3 6" xfId="3662" xr:uid="{00000000-0005-0000-0000-000096030000}"/>
    <cellStyle name="60% - 강조색1 3 7" xfId="3176" xr:uid="{00000000-0005-0000-0000-000097030000}"/>
    <cellStyle name="60% - 강조색1 3 8" xfId="4210" xr:uid="{00000000-0005-0000-0000-000098030000}"/>
    <cellStyle name="60% - 강조색1 3 9" xfId="4208" xr:uid="{00000000-0005-0000-0000-000099030000}"/>
    <cellStyle name="60% - 강조색1 30" xfId="48720" xr:uid="{00000000-0005-0000-0000-00009A030000}"/>
    <cellStyle name="60% - 강조색1 31" xfId="48721" xr:uid="{00000000-0005-0000-0000-00009B030000}"/>
    <cellStyle name="60% - 강조색1 32" xfId="48722" xr:uid="{00000000-0005-0000-0000-00009C030000}"/>
    <cellStyle name="60% - 강조색1 33" xfId="48723" xr:uid="{00000000-0005-0000-0000-00009D030000}"/>
    <cellStyle name="60% - 강조색1 4" xfId="3478" xr:uid="{00000000-0005-0000-0000-00009E030000}"/>
    <cellStyle name="60% - 강조색1 4 10" xfId="3261" xr:uid="{00000000-0005-0000-0000-00009F030000}"/>
    <cellStyle name="60% - 강조색1 4 11" xfId="2990" xr:uid="{00000000-0005-0000-0000-0000A0030000}"/>
    <cellStyle name="60% - 강조색1 4 2" xfId="2620" xr:uid="{00000000-0005-0000-0000-0000A1030000}"/>
    <cellStyle name="60% - 강조색1 4 3" xfId="2629" xr:uid="{00000000-0005-0000-0000-0000A2030000}"/>
    <cellStyle name="60% - 강조색1 4 4" xfId="3728" xr:uid="{00000000-0005-0000-0000-0000A3030000}"/>
    <cellStyle name="60% - 강조색1 4 5" xfId="3902" xr:uid="{00000000-0005-0000-0000-0000A4030000}"/>
    <cellStyle name="60% - 강조색1 4 6" xfId="3898" xr:uid="{00000000-0005-0000-0000-0000A5030000}"/>
    <cellStyle name="60% - 강조색1 4 7" xfId="2515" xr:uid="{00000000-0005-0000-0000-0000A6030000}"/>
    <cellStyle name="60% - 강조색1 4 8" xfId="2519" xr:uid="{00000000-0005-0000-0000-0000A7030000}"/>
    <cellStyle name="60% - 강조색1 4 9" xfId="3725" xr:uid="{00000000-0005-0000-0000-0000A8030000}"/>
    <cellStyle name="60% - 강조색1 5" xfId="2638" xr:uid="{00000000-0005-0000-0000-0000A9030000}"/>
    <cellStyle name="60% - 강조색1 5 2" xfId="2751" xr:uid="{00000000-0005-0000-0000-0000AA030000}"/>
    <cellStyle name="60% - 강조색1 5 3" xfId="4096" xr:uid="{00000000-0005-0000-0000-0000AB030000}"/>
    <cellStyle name="60% - 강조색1 5 4" xfId="2524" xr:uid="{00000000-0005-0000-0000-0000AC030000}"/>
    <cellStyle name="60% - 강조색1 5 5" xfId="3249" xr:uid="{00000000-0005-0000-0000-0000AD030000}"/>
    <cellStyle name="60% - 강조색1 6" xfId="3979" xr:uid="{00000000-0005-0000-0000-0000AE030000}"/>
    <cellStyle name="60% - 강조색1 6 2" xfId="319" xr:uid="{00000000-0005-0000-0000-0000AF030000}"/>
    <cellStyle name="60% - 강조색1 6 3" xfId="3491" xr:uid="{00000000-0005-0000-0000-0000B0030000}"/>
    <cellStyle name="60% - 강조색1 6 4" xfId="3709" xr:uid="{00000000-0005-0000-0000-0000B1030000}"/>
    <cellStyle name="60% - 강조색1 6 5" xfId="2645" xr:uid="{00000000-0005-0000-0000-0000B2030000}"/>
    <cellStyle name="60% - 강조색1 7" xfId="3255" xr:uid="{00000000-0005-0000-0000-0000B3030000}"/>
    <cellStyle name="60% - 강조색1 7 2" xfId="2766" xr:uid="{00000000-0005-0000-0000-0000B4030000}"/>
    <cellStyle name="60% - 강조색1 8" xfId="4230" xr:uid="{00000000-0005-0000-0000-0000B5030000}"/>
    <cellStyle name="60% - 강조색1 8 2" xfId="3388" xr:uid="{00000000-0005-0000-0000-0000B6030000}"/>
    <cellStyle name="60% - 강조색1 9" xfId="6714" xr:uid="{00000000-0005-0000-0000-0000B7030000}"/>
    <cellStyle name="60% - 강조색2 10" xfId="6782" xr:uid="{00000000-0005-0000-0000-0000B8030000}"/>
    <cellStyle name="60% - 강조색2 11" xfId="6843" xr:uid="{00000000-0005-0000-0000-0000B9030000}"/>
    <cellStyle name="60% - 강조색2 12" xfId="6890" xr:uid="{00000000-0005-0000-0000-0000BA030000}"/>
    <cellStyle name="60% - 강조색2 13" xfId="48724" xr:uid="{00000000-0005-0000-0000-0000BB030000}"/>
    <cellStyle name="60% - 강조색2 14" xfId="48725" xr:uid="{00000000-0005-0000-0000-0000BC030000}"/>
    <cellStyle name="60% - 강조색2 15" xfId="48726" xr:uid="{00000000-0005-0000-0000-0000BD030000}"/>
    <cellStyle name="60% - 강조색2 16" xfId="48727" xr:uid="{00000000-0005-0000-0000-0000BE030000}"/>
    <cellStyle name="60% - 강조색2 17" xfId="48728" xr:uid="{00000000-0005-0000-0000-0000BF030000}"/>
    <cellStyle name="60% - 강조색2 18" xfId="48729" xr:uid="{00000000-0005-0000-0000-0000C0030000}"/>
    <cellStyle name="60% - 강조색2 19" xfId="48730" xr:uid="{00000000-0005-0000-0000-0000C1030000}"/>
    <cellStyle name="60% - 강조색2 2" xfId="182" xr:uid="{00000000-0005-0000-0000-0000C2030000}"/>
    <cellStyle name="60% - 강조색2 2 10" xfId="6842" xr:uid="{00000000-0005-0000-0000-0000C3030000}"/>
    <cellStyle name="60% - 강조색2 2 11" xfId="6889" xr:uid="{00000000-0005-0000-0000-0000C4030000}"/>
    <cellStyle name="60% - 강조색2 2 2" xfId="4418" xr:uid="{00000000-0005-0000-0000-0000C5030000}"/>
    <cellStyle name="60% - 강조색2 2 3" xfId="6264" xr:uid="{00000000-0005-0000-0000-0000C6030000}"/>
    <cellStyle name="60% - 강조색2 2 4" xfId="6527" xr:uid="{00000000-0005-0000-0000-0000C7030000}"/>
    <cellStyle name="60% - 강조색2 2 5" xfId="6565" xr:uid="{00000000-0005-0000-0000-0000C8030000}"/>
    <cellStyle name="60% - 강조색2 2 6" xfId="6559" xr:uid="{00000000-0005-0000-0000-0000C9030000}"/>
    <cellStyle name="60% - 강조색2 2 7" xfId="6640" xr:uid="{00000000-0005-0000-0000-0000CA030000}"/>
    <cellStyle name="60% - 강조색2 2 8" xfId="6711" xr:uid="{00000000-0005-0000-0000-0000CB030000}"/>
    <cellStyle name="60% - 강조색2 2 9" xfId="6781" xr:uid="{00000000-0005-0000-0000-0000CC030000}"/>
    <cellStyle name="60% - 강조색2 20" xfId="48731" xr:uid="{00000000-0005-0000-0000-0000CD030000}"/>
    <cellStyle name="60% - 강조색2 21" xfId="48732" xr:uid="{00000000-0005-0000-0000-0000CE030000}"/>
    <cellStyle name="60% - 강조색2 22" xfId="48733" xr:uid="{00000000-0005-0000-0000-0000CF030000}"/>
    <cellStyle name="60% - 강조색2 23" xfId="48734" xr:uid="{00000000-0005-0000-0000-0000D0030000}"/>
    <cellStyle name="60% - 강조색2 24" xfId="48735" xr:uid="{00000000-0005-0000-0000-0000D1030000}"/>
    <cellStyle name="60% - 강조색2 25" xfId="48736" xr:uid="{00000000-0005-0000-0000-0000D2030000}"/>
    <cellStyle name="60% - 강조색2 26" xfId="48737" xr:uid="{00000000-0005-0000-0000-0000D3030000}"/>
    <cellStyle name="60% - 강조색2 27" xfId="48738" xr:uid="{00000000-0005-0000-0000-0000D4030000}"/>
    <cellStyle name="60% - 강조색2 28" xfId="48739" xr:uid="{00000000-0005-0000-0000-0000D5030000}"/>
    <cellStyle name="60% - 강조색2 29" xfId="48740" xr:uid="{00000000-0005-0000-0000-0000D6030000}"/>
    <cellStyle name="60% - 강조색2 3" xfId="4228" xr:uid="{00000000-0005-0000-0000-0000D7030000}"/>
    <cellStyle name="60% - 강조색2 3 10" xfId="3739" xr:uid="{00000000-0005-0000-0000-0000D8030000}"/>
    <cellStyle name="60% - 강조색2 3 11" xfId="3132" xr:uid="{00000000-0005-0000-0000-0000D9030000}"/>
    <cellStyle name="60% - 강조색2 3 2" xfId="4195" xr:uid="{00000000-0005-0000-0000-0000DA030000}"/>
    <cellStyle name="60% - 강조색2 3 3" xfId="4192" xr:uid="{00000000-0005-0000-0000-0000DB030000}"/>
    <cellStyle name="60% - 강조색2 3 4" xfId="3461" xr:uid="{00000000-0005-0000-0000-0000DC030000}"/>
    <cellStyle name="60% - 강조색2 3 5" xfId="4290" xr:uid="{00000000-0005-0000-0000-0000DD030000}"/>
    <cellStyle name="60% - 강조색2 3 6" xfId="2972" xr:uid="{00000000-0005-0000-0000-0000DE030000}"/>
    <cellStyle name="60% - 강조색2 3 7" xfId="2517" xr:uid="{00000000-0005-0000-0000-0000DF030000}"/>
    <cellStyle name="60% - 강조색2 3 8" xfId="3459" xr:uid="{00000000-0005-0000-0000-0000E0030000}"/>
    <cellStyle name="60% - 강조색2 3 9" xfId="3586" xr:uid="{00000000-0005-0000-0000-0000E1030000}"/>
    <cellStyle name="60% - 강조색2 30" xfId="48741" xr:uid="{00000000-0005-0000-0000-0000E2030000}"/>
    <cellStyle name="60% - 강조색2 31" xfId="48742" xr:uid="{00000000-0005-0000-0000-0000E3030000}"/>
    <cellStyle name="60% - 강조색2 32" xfId="48743" xr:uid="{00000000-0005-0000-0000-0000E4030000}"/>
    <cellStyle name="60% - 강조색2 33" xfId="48744" xr:uid="{00000000-0005-0000-0000-0000E5030000}"/>
    <cellStyle name="60% - 강조색2 4" xfId="3468" xr:uid="{00000000-0005-0000-0000-0000E6030000}"/>
    <cellStyle name="60% - 강조색2 4 10" xfId="384" xr:uid="{00000000-0005-0000-0000-0000E7030000}"/>
    <cellStyle name="60% - 강조색2 4 11" xfId="3701" xr:uid="{00000000-0005-0000-0000-0000E8030000}"/>
    <cellStyle name="60% - 강조색2 4 2" xfId="3409" xr:uid="{00000000-0005-0000-0000-0000E9030000}"/>
    <cellStyle name="60% - 강조색2 4 3" xfId="3615" xr:uid="{00000000-0005-0000-0000-0000EA030000}"/>
    <cellStyle name="60% - 강조색2 4 4" xfId="2621" xr:uid="{00000000-0005-0000-0000-0000EB030000}"/>
    <cellStyle name="60% - 강조색2 4 5" xfId="2624" xr:uid="{00000000-0005-0000-0000-0000EC030000}"/>
    <cellStyle name="60% - 강조색2 4 6" xfId="4080" xr:uid="{00000000-0005-0000-0000-0000ED030000}"/>
    <cellStyle name="60% - 강조색2 4 7" xfId="3494" xr:uid="{00000000-0005-0000-0000-0000EE030000}"/>
    <cellStyle name="60% - 강조색2 4 8" xfId="3836" xr:uid="{00000000-0005-0000-0000-0000EF030000}"/>
    <cellStyle name="60% - 강조색2 4 9" xfId="4298" xr:uid="{00000000-0005-0000-0000-0000F0030000}"/>
    <cellStyle name="60% - 강조색2 5" xfId="3321" xr:uid="{00000000-0005-0000-0000-0000F1030000}"/>
    <cellStyle name="60% - 강조색2 5 2" xfId="2847" xr:uid="{00000000-0005-0000-0000-0000F2030000}"/>
    <cellStyle name="60% - 강조색2 5 3" xfId="3609" xr:uid="{00000000-0005-0000-0000-0000F3030000}"/>
    <cellStyle name="60% - 강조색2 5 4" xfId="3808" xr:uid="{00000000-0005-0000-0000-0000F4030000}"/>
    <cellStyle name="60% - 강조색2 5 5" xfId="3563" xr:uid="{00000000-0005-0000-0000-0000F5030000}"/>
    <cellStyle name="60% - 강조색2 6" xfId="4302" xr:uid="{00000000-0005-0000-0000-0000F6030000}"/>
    <cellStyle name="60% - 강조색2 6 2" xfId="2979" xr:uid="{00000000-0005-0000-0000-0000F7030000}"/>
    <cellStyle name="60% - 강조색2 6 3" xfId="2489" xr:uid="{00000000-0005-0000-0000-0000F8030000}"/>
    <cellStyle name="60% - 강조색2 6 4" xfId="3330" xr:uid="{00000000-0005-0000-0000-0000F9030000}"/>
    <cellStyle name="60% - 강조색2 6 5" xfId="2846" xr:uid="{00000000-0005-0000-0000-0000FA030000}"/>
    <cellStyle name="60% - 강조색2 7" xfId="2609" xr:uid="{00000000-0005-0000-0000-0000FB030000}"/>
    <cellStyle name="60% - 강조색2 7 2" xfId="2589" xr:uid="{00000000-0005-0000-0000-0000FC030000}"/>
    <cellStyle name="60% - 강조색2 8" xfId="3332" xr:uid="{00000000-0005-0000-0000-0000FD030000}"/>
    <cellStyle name="60% - 강조색2 8 2" xfId="2977" xr:uid="{00000000-0005-0000-0000-0000FE030000}"/>
    <cellStyle name="60% - 강조색2 9" xfId="6712" xr:uid="{00000000-0005-0000-0000-0000FF030000}"/>
    <cellStyle name="60% - 강조색3 10" xfId="6780" xr:uid="{00000000-0005-0000-0000-000000040000}"/>
    <cellStyle name="60% - 강조색3 11" xfId="6841" xr:uid="{00000000-0005-0000-0000-000001040000}"/>
    <cellStyle name="60% - 강조색3 12" xfId="6888" xr:uid="{00000000-0005-0000-0000-000002040000}"/>
    <cellStyle name="60% - 강조색3 13" xfId="48745" xr:uid="{00000000-0005-0000-0000-000003040000}"/>
    <cellStyle name="60% - 강조색3 14" xfId="48746" xr:uid="{00000000-0005-0000-0000-000004040000}"/>
    <cellStyle name="60% - 강조색3 15" xfId="48747" xr:uid="{00000000-0005-0000-0000-000005040000}"/>
    <cellStyle name="60% - 강조색3 16" xfId="48748" xr:uid="{00000000-0005-0000-0000-000006040000}"/>
    <cellStyle name="60% - 강조색3 17" xfId="48749" xr:uid="{00000000-0005-0000-0000-000007040000}"/>
    <cellStyle name="60% - 강조색3 18" xfId="48750" xr:uid="{00000000-0005-0000-0000-000008040000}"/>
    <cellStyle name="60% - 강조색3 19" xfId="48751" xr:uid="{00000000-0005-0000-0000-000009040000}"/>
    <cellStyle name="60% - 강조색3 2" xfId="203" xr:uid="{00000000-0005-0000-0000-00000A040000}"/>
    <cellStyle name="60% - 강조색3 2 10" xfId="6840" xr:uid="{00000000-0005-0000-0000-00000B040000}"/>
    <cellStyle name="60% - 강조색3 2 11" xfId="6887" xr:uid="{00000000-0005-0000-0000-00000C040000}"/>
    <cellStyle name="60% - 강조색3 2 2" xfId="4419" xr:uid="{00000000-0005-0000-0000-00000D040000}"/>
    <cellStyle name="60% - 강조색3 2 3" xfId="6265" xr:uid="{00000000-0005-0000-0000-00000E040000}"/>
    <cellStyle name="60% - 강조색3 2 4" xfId="6526" xr:uid="{00000000-0005-0000-0000-00000F040000}"/>
    <cellStyle name="60% - 강조색3 2 5" xfId="6564" xr:uid="{00000000-0005-0000-0000-000010040000}"/>
    <cellStyle name="60% - 강조색3 2 6" xfId="6557" xr:uid="{00000000-0005-0000-0000-000011040000}"/>
    <cellStyle name="60% - 강조색3 2 7" xfId="6639" xr:uid="{00000000-0005-0000-0000-000012040000}"/>
    <cellStyle name="60% - 강조색3 2 8" xfId="6709" xr:uid="{00000000-0005-0000-0000-000013040000}"/>
    <cellStyle name="60% - 강조색3 2 9" xfId="6779" xr:uid="{00000000-0005-0000-0000-000014040000}"/>
    <cellStyle name="60% - 강조색3 20" xfId="48752" xr:uid="{00000000-0005-0000-0000-000015040000}"/>
    <cellStyle name="60% - 강조색3 21" xfId="48753" xr:uid="{00000000-0005-0000-0000-000016040000}"/>
    <cellStyle name="60% - 강조색3 22" xfId="48754" xr:uid="{00000000-0005-0000-0000-000017040000}"/>
    <cellStyle name="60% - 강조색3 23" xfId="48755" xr:uid="{00000000-0005-0000-0000-000018040000}"/>
    <cellStyle name="60% - 강조색3 24" xfId="48756" xr:uid="{00000000-0005-0000-0000-000019040000}"/>
    <cellStyle name="60% - 강조색3 25" xfId="48757" xr:uid="{00000000-0005-0000-0000-00001A040000}"/>
    <cellStyle name="60% - 강조색3 26" xfId="48758" xr:uid="{00000000-0005-0000-0000-00001B040000}"/>
    <cellStyle name="60% - 강조색3 27" xfId="48759" xr:uid="{00000000-0005-0000-0000-00001C040000}"/>
    <cellStyle name="60% - 강조색3 28" xfId="48760" xr:uid="{00000000-0005-0000-0000-00001D040000}"/>
    <cellStyle name="60% - 강조색3 29" xfId="48761" xr:uid="{00000000-0005-0000-0000-00001E040000}"/>
    <cellStyle name="60% - 강조색3 3" xfId="4253" xr:uid="{00000000-0005-0000-0000-00001F040000}"/>
    <cellStyle name="60% - 강조색3 3 10" xfId="363" xr:uid="{00000000-0005-0000-0000-000020040000}"/>
    <cellStyle name="60% - 강조색3 3 11" xfId="3987" xr:uid="{00000000-0005-0000-0000-000021040000}"/>
    <cellStyle name="60% - 강조색3 3 2" xfId="3034" xr:uid="{00000000-0005-0000-0000-000022040000}"/>
    <cellStyle name="60% - 강조색3 3 3" xfId="336" xr:uid="{00000000-0005-0000-0000-000023040000}"/>
    <cellStyle name="60% - 강조색3 3 4" xfId="2672" xr:uid="{00000000-0005-0000-0000-000024040000}"/>
    <cellStyle name="60% - 강조색3 3 5" xfId="4223" xr:uid="{00000000-0005-0000-0000-000025040000}"/>
    <cellStyle name="60% - 강조색3 3 6" xfId="2440" xr:uid="{00000000-0005-0000-0000-000026040000}"/>
    <cellStyle name="60% - 강조색3 3 7" xfId="3288" xr:uid="{00000000-0005-0000-0000-000027040000}"/>
    <cellStyle name="60% - 강조색3 3 8" xfId="2794" xr:uid="{00000000-0005-0000-0000-000028040000}"/>
    <cellStyle name="60% - 강조색3 3 9" xfId="2770" xr:uid="{00000000-0005-0000-0000-000029040000}"/>
    <cellStyle name="60% - 강조색3 30" xfId="48762" xr:uid="{00000000-0005-0000-0000-00002A040000}"/>
    <cellStyle name="60% - 강조색3 31" xfId="48763" xr:uid="{00000000-0005-0000-0000-00002B040000}"/>
    <cellStyle name="60% - 강조색3 32" xfId="48764" xr:uid="{00000000-0005-0000-0000-00002C040000}"/>
    <cellStyle name="60% - 강조색3 33" xfId="48765" xr:uid="{00000000-0005-0000-0000-00002D040000}"/>
    <cellStyle name="60% - 강조색3 4" xfId="3767" xr:uid="{00000000-0005-0000-0000-00002E040000}"/>
    <cellStyle name="60% - 강조색3 4 10" xfId="3028" xr:uid="{00000000-0005-0000-0000-00002F040000}"/>
    <cellStyle name="60% - 강조색3 4 11" xfId="3997" xr:uid="{00000000-0005-0000-0000-000030040000}"/>
    <cellStyle name="60% - 강조색3 4 2" xfId="2532" xr:uid="{00000000-0005-0000-0000-000031040000}"/>
    <cellStyle name="60% - 강조색3 4 3" xfId="3734" xr:uid="{00000000-0005-0000-0000-000032040000}"/>
    <cellStyle name="60% - 강조색3 4 4" xfId="3448" xr:uid="{00000000-0005-0000-0000-000033040000}"/>
    <cellStyle name="60% - 강조색3 4 5" xfId="3684" xr:uid="{00000000-0005-0000-0000-000034040000}"/>
    <cellStyle name="60% - 강조색3 4 6" xfId="2542" xr:uid="{00000000-0005-0000-0000-000035040000}"/>
    <cellStyle name="60% - 강조색3 4 7" xfId="3933" xr:uid="{00000000-0005-0000-0000-000036040000}"/>
    <cellStyle name="60% - 강조색3 4 8" xfId="2544" xr:uid="{00000000-0005-0000-0000-000037040000}"/>
    <cellStyle name="60% - 강조색3 4 9" xfId="2779" xr:uid="{00000000-0005-0000-0000-000038040000}"/>
    <cellStyle name="60% - 강조색3 5" xfId="3343" xr:uid="{00000000-0005-0000-0000-000039040000}"/>
    <cellStyle name="60% - 강조색3 5 2" xfId="4189" xr:uid="{00000000-0005-0000-0000-00003A040000}"/>
    <cellStyle name="60% - 강조색3 5 3" xfId="2661" xr:uid="{00000000-0005-0000-0000-00003B040000}"/>
    <cellStyle name="60% - 강조색3 5 4" xfId="3510" xr:uid="{00000000-0005-0000-0000-00003C040000}"/>
    <cellStyle name="60% - 강조색3 5 5" xfId="3617" xr:uid="{00000000-0005-0000-0000-00003D040000}"/>
    <cellStyle name="60% - 강조색3 6" xfId="4245" xr:uid="{00000000-0005-0000-0000-00003E040000}"/>
    <cellStyle name="60% - 강조색3 6 2" xfId="3252" xr:uid="{00000000-0005-0000-0000-00003F040000}"/>
    <cellStyle name="60% - 강조색3 6 3" xfId="3513" xr:uid="{00000000-0005-0000-0000-000040040000}"/>
    <cellStyle name="60% - 강조색3 6 4" xfId="3173" xr:uid="{00000000-0005-0000-0000-000041040000}"/>
    <cellStyle name="60% - 강조색3 6 5" xfId="3789" xr:uid="{00000000-0005-0000-0000-000042040000}"/>
    <cellStyle name="60% - 강조색3 7" xfId="3067" xr:uid="{00000000-0005-0000-0000-000043040000}"/>
    <cellStyle name="60% - 강조색3 7 2" xfId="3063" xr:uid="{00000000-0005-0000-0000-000044040000}"/>
    <cellStyle name="60% - 강조색3 8" xfId="4282" xr:uid="{00000000-0005-0000-0000-000045040000}"/>
    <cellStyle name="60% - 강조색3 8 2" xfId="3444" xr:uid="{00000000-0005-0000-0000-000046040000}"/>
    <cellStyle name="60% - 강조색3 9" xfId="6710" xr:uid="{00000000-0005-0000-0000-000047040000}"/>
    <cellStyle name="60% - 강조색4 10" xfId="6778" xr:uid="{00000000-0005-0000-0000-000048040000}"/>
    <cellStyle name="60% - 강조색4 11" xfId="6772" xr:uid="{00000000-0005-0000-0000-000049040000}"/>
    <cellStyle name="60% - 강조색4 12" xfId="6886" xr:uid="{00000000-0005-0000-0000-00004A040000}"/>
    <cellStyle name="60% - 강조색4 13" xfId="48766" xr:uid="{00000000-0005-0000-0000-00004B040000}"/>
    <cellStyle name="60% - 강조색4 14" xfId="48767" xr:uid="{00000000-0005-0000-0000-00004C040000}"/>
    <cellStyle name="60% - 강조색4 15" xfId="48768" xr:uid="{00000000-0005-0000-0000-00004D040000}"/>
    <cellStyle name="60% - 강조색4 16" xfId="48769" xr:uid="{00000000-0005-0000-0000-00004E040000}"/>
    <cellStyle name="60% - 강조색4 17" xfId="48770" xr:uid="{00000000-0005-0000-0000-00004F040000}"/>
    <cellStyle name="60% - 강조색4 18" xfId="48771" xr:uid="{00000000-0005-0000-0000-000050040000}"/>
    <cellStyle name="60% - 강조색4 19" xfId="48772" xr:uid="{00000000-0005-0000-0000-000051040000}"/>
    <cellStyle name="60% - 강조색4 2" xfId="193" xr:uid="{00000000-0005-0000-0000-000052040000}"/>
    <cellStyle name="60% - 강조색4 2 10" xfId="6771" xr:uid="{00000000-0005-0000-0000-000053040000}"/>
    <cellStyle name="60% - 강조색4 2 11" xfId="6885" xr:uid="{00000000-0005-0000-0000-000054040000}"/>
    <cellStyle name="60% - 강조색4 2 2" xfId="4420" xr:uid="{00000000-0005-0000-0000-000055040000}"/>
    <cellStyle name="60% - 강조색4 2 3" xfId="6266" xr:uid="{00000000-0005-0000-0000-000056040000}"/>
    <cellStyle name="60% - 강조색4 2 4" xfId="6525" xr:uid="{00000000-0005-0000-0000-000057040000}"/>
    <cellStyle name="60% - 강조색4 2 5" xfId="6563" xr:uid="{00000000-0005-0000-0000-000058040000}"/>
    <cellStyle name="60% - 강조색4 2 6" xfId="6555" xr:uid="{00000000-0005-0000-0000-000059040000}"/>
    <cellStyle name="60% - 강조색4 2 7" xfId="6601" xr:uid="{00000000-0005-0000-0000-00005A040000}"/>
    <cellStyle name="60% - 강조색4 2 8" xfId="6707" xr:uid="{00000000-0005-0000-0000-00005B040000}"/>
    <cellStyle name="60% - 강조색4 2 9" xfId="6777" xr:uid="{00000000-0005-0000-0000-00005C040000}"/>
    <cellStyle name="60% - 강조색4 20" xfId="48773" xr:uid="{00000000-0005-0000-0000-00005D040000}"/>
    <cellStyle name="60% - 강조색4 21" xfId="48774" xr:uid="{00000000-0005-0000-0000-00005E040000}"/>
    <cellStyle name="60% - 강조색4 22" xfId="48775" xr:uid="{00000000-0005-0000-0000-00005F040000}"/>
    <cellStyle name="60% - 강조색4 23" xfId="48776" xr:uid="{00000000-0005-0000-0000-000060040000}"/>
    <cellStyle name="60% - 강조색4 24" xfId="48777" xr:uid="{00000000-0005-0000-0000-000061040000}"/>
    <cellStyle name="60% - 강조색4 25" xfId="48778" xr:uid="{00000000-0005-0000-0000-000062040000}"/>
    <cellStyle name="60% - 강조색4 26" xfId="48779" xr:uid="{00000000-0005-0000-0000-000063040000}"/>
    <cellStyle name="60% - 강조색4 27" xfId="48780" xr:uid="{00000000-0005-0000-0000-000064040000}"/>
    <cellStyle name="60% - 강조색4 28" xfId="48781" xr:uid="{00000000-0005-0000-0000-000065040000}"/>
    <cellStyle name="60% - 강조색4 29" xfId="48782" xr:uid="{00000000-0005-0000-0000-000066040000}"/>
    <cellStyle name="60% - 강조색4 3" xfId="3962" xr:uid="{00000000-0005-0000-0000-000067040000}"/>
    <cellStyle name="60% - 강조색4 3 10" xfId="3841" xr:uid="{00000000-0005-0000-0000-000068040000}"/>
    <cellStyle name="60% - 강조색4 3 11" xfId="2595" xr:uid="{00000000-0005-0000-0000-000069040000}"/>
    <cellStyle name="60% - 강조색4 3 2" xfId="3076" xr:uid="{00000000-0005-0000-0000-00006A040000}"/>
    <cellStyle name="60% - 강조색4 3 3" xfId="2888" xr:uid="{00000000-0005-0000-0000-00006B040000}"/>
    <cellStyle name="60% - 강조색4 3 4" xfId="3357" xr:uid="{00000000-0005-0000-0000-00006C040000}"/>
    <cellStyle name="60% - 강조색4 3 5" xfId="2479" xr:uid="{00000000-0005-0000-0000-00006D040000}"/>
    <cellStyle name="60% - 강조색4 3 6" xfId="4069" xr:uid="{00000000-0005-0000-0000-00006E040000}"/>
    <cellStyle name="60% - 강조색4 3 7" xfId="2995" xr:uid="{00000000-0005-0000-0000-00006F040000}"/>
    <cellStyle name="60% - 강조색4 3 8" xfId="3234" xr:uid="{00000000-0005-0000-0000-000070040000}"/>
    <cellStyle name="60% - 강조색4 3 9" xfId="3502" xr:uid="{00000000-0005-0000-0000-000071040000}"/>
    <cellStyle name="60% - 강조색4 30" xfId="48783" xr:uid="{00000000-0005-0000-0000-000072040000}"/>
    <cellStyle name="60% - 강조색4 31" xfId="48784" xr:uid="{00000000-0005-0000-0000-000073040000}"/>
    <cellStyle name="60% - 강조색4 32" xfId="48785" xr:uid="{00000000-0005-0000-0000-000074040000}"/>
    <cellStyle name="60% - 강조색4 33" xfId="48786" xr:uid="{00000000-0005-0000-0000-000075040000}"/>
    <cellStyle name="60% - 강조색4 4" xfId="2571" xr:uid="{00000000-0005-0000-0000-000076040000}"/>
    <cellStyle name="60% - 강조색4 4 10" xfId="3047" xr:uid="{00000000-0005-0000-0000-000077040000}"/>
    <cellStyle name="60% - 강조색4 4 11" xfId="3151" xr:uid="{00000000-0005-0000-0000-000078040000}"/>
    <cellStyle name="60% - 강조색4 4 2" xfId="2809" xr:uid="{00000000-0005-0000-0000-000079040000}"/>
    <cellStyle name="60% - 강조색4 4 3" xfId="3533" xr:uid="{00000000-0005-0000-0000-00007A040000}"/>
    <cellStyle name="60% - 강조색4 4 4" xfId="3295" xr:uid="{00000000-0005-0000-0000-00007B040000}"/>
    <cellStyle name="60% - 강조색4 4 5" xfId="2738" xr:uid="{00000000-0005-0000-0000-00007C040000}"/>
    <cellStyle name="60% - 강조색4 4 6" xfId="3394" xr:uid="{00000000-0005-0000-0000-00007D040000}"/>
    <cellStyle name="60% - 강조색4 4 7" xfId="3170" xr:uid="{00000000-0005-0000-0000-00007E040000}"/>
    <cellStyle name="60% - 강조색4 4 8" xfId="2464" xr:uid="{00000000-0005-0000-0000-00007F040000}"/>
    <cellStyle name="60% - 강조색4 4 9" xfId="3878" xr:uid="{00000000-0005-0000-0000-000080040000}"/>
    <cellStyle name="60% - 강조색4 5" xfId="3861" xr:uid="{00000000-0005-0000-0000-000081040000}"/>
    <cellStyle name="60% - 강조색4 5 2" xfId="2579" xr:uid="{00000000-0005-0000-0000-000082040000}"/>
    <cellStyle name="60% - 강조색4 5 3" xfId="3201" xr:uid="{00000000-0005-0000-0000-000083040000}"/>
    <cellStyle name="60% - 강조색4 5 4" xfId="4179" xr:uid="{00000000-0005-0000-0000-000084040000}"/>
    <cellStyle name="60% - 강조색4 5 5" xfId="3358" xr:uid="{00000000-0005-0000-0000-000085040000}"/>
    <cellStyle name="60% - 강조색4 6" xfId="4086" xr:uid="{00000000-0005-0000-0000-000086040000}"/>
    <cellStyle name="60% - 강조색4 6 2" xfId="3529" xr:uid="{00000000-0005-0000-0000-000087040000}"/>
    <cellStyle name="60% - 강조색4 6 3" xfId="3842" xr:uid="{00000000-0005-0000-0000-000088040000}"/>
    <cellStyle name="60% - 강조색4 6 4" xfId="2868" xr:uid="{00000000-0005-0000-0000-000089040000}"/>
    <cellStyle name="60% - 강조색4 6 5" xfId="2582" xr:uid="{00000000-0005-0000-0000-00008A040000}"/>
    <cellStyle name="60% - 강조색4 7" xfId="2678" xr:uid="{00000000-0005-0000-0000-00008B040000}"/>
    <cellStyle name="60% - 강조색4 7 2" xfId="3596" xr:uid="{00000000-0005-0000-0000-00008C040000}"/>
    <cellStyle name="60% - 강조색4 8" xfId="3363" xr:uid="{00000000-0005-0000-0000-00008D040000}"/>
    <cellStyle name="60% - 강조색4 8 2" xfId="2870" xr:uid="{00000000-0005-0000-0000-00008E040000}"/>
    <cellStyle name="60% - 강조색4 9" xfId="6708" xr:uid="{00000000-0005-0000-0000-00008F040000}"/>
    <cellStyle name="60% - 강조색5 10" xfId="6776" xr:uid="{00000000-0005-0000-0000-000090040000}"/>
    <cellStyle name="60% - 강조색5 11" xfId="6768" xr:uid="{00000000-0005-0000-0000-000091040000}"/>
    <cellStyle name="60% - 강조색5 12" xfId="6884" xr:uid="{00000000-0005-0000-0000-000092040000}"/>
    <cellStyle name="60% - 강조색5 13" xfId="48787" xr:uid="{00000000-0005-0000-0000-000093040000}"/>
    <cellStyle name="60% - 강조색5 14" xfId="48788" xr:uid="{00000000-0005-0000-0000-000094040000}"/>
    <cellStyle name="60% - 강조색5 15" xfId="48789" xr:uid="{00000000-0005-0000-0000-000095040000}"/>
    <cellStyle name="60% - 강조색5 16" xfId="48790" xr:uid="{00000000-0005-0000-0000-000096040000}"/>
    <cellStyle name="60% - 강조색5 17" xfId="48791" xr:uid="{00000000-0005-0000-0000-000097040000}"/>
    <cellStyle name="60% - 강조색5 18" xfId="48792" xr:uid="{00000000-0005-0000-0000-000098040000}"/>
    <cellStyle name="60% - 강조색5 19" xfId="48793" xr:uid="{00000000-0005-0000-0000-000099040000}"/>
    <cellStyle name="60% - 강조색5 2" xfId="196" xr:uid="{00000000-0005-0000-0000-00009A040000}"/>
    <cellStyle name="60% - 강조색5 2 10" xfId="6767" xr:uid="{00000000-0005-0000-0000-00009B040000}"/>
    <cellStyle name="60% - 강조색5 2 11" xfId="6883" xr:uid="{00000000-0005-0000-0000-00009C040000}"/>
    <cellStyle name="60% - 강조색5 2 2" xfId="4421" xr:uid="{00000000-0005-0000-0000-00009D040000}"/>
    <cellStyle name="60% - 강조색5 2 3" xfId="6267" xr:uid="{00000000-0005-0000-0000-00009E040000}"/>
    <cellStyle name="60% - 강조색5 2 4" xfId="6524" xr:uid="{00000000-0005-0000-0000-00009F040000}"/>
    <cellStyle name="60% - 강조색5 2 5" xfId="6562" xr:uid="{00000000-0005-0000-0000-0000A0040000}"/>
    <cellStyle name="60% - 강조색5 2 6" xfId="6554" xr:uid="{00000000-0005-0000-0000-0000A1040000}"/>
    <cellStyle name="60% - 강조색5 2 7" xfId="6599" xr:uid="{00000000-0005-0000-0000-0000A2040000}"/>
    <cellStyle name="60% - 강조색5 2 8" xfId="6705" xr:uid="{00000000-0005-0000-0000-0000A3040000}"/>
    <cellStyle name="60% - 강조색5 2 9" xfId="6775" xr:uid="{00000000-0005-0000-0000-0000A4040000}"/>
    <cellStyle name="60% - 강조색5 20" xfId="48794" xr:uid="{00000000-0005-0000-0000-0000A5040000}"/>
    <cellStyle name="60% - 강조색5 21" xfId="48795" xr:uid="{00000000-0005-0000-0000-0000A6040000}"/>
    <cellStyle name="60% - 강조색5 22" xfId="48796" xr:uid="{00000000-0005-0000-0000-0000A7040000}"/>
    <cellStyle name="60% - 강조색5 23" xfId="48797" xr:uid="{00000000-0005-0000-0000-0000A8040000}"/>
    <cellStyle name="60% - 강조색5 24" xfId="48798" xr:uid="{00000000-0005-0000-0000-0000A9040000}"/>
    <cellStyle name="60% - 강조색5 25" xfId="48799" xr:uid="{00000000-0005-0000-0000-0000AA040000}"/>
    <cellStyle name="60% - 강조색5 26" xfId="48800" xr:uid="{00000000-0005-0000-0000-0000AB040000}"/>
    <cellStyle name="60% - 강조색5 27" xfId="48801" xr:uid="{00000000-0005-0000-0000-0000AC040000}"/>
    <cellStyle name="60% - 강조색5 28" xfId="48802" xr:uid="{00000000-0005-0000-0000-0000AD040000}"/>
    <cellStyle name="60% - 강조색5 29" xfId="48803" xr:uid="{00000000-0005-0000-0000-0000AE040000}"/>
    <cellStyle name="60% - 강조색5 3" xfId="3843" xr:uid="{00000000-0005-0000-0000-0000AF040000}"/>
    <cellStyle name="60% - 강조색5 3 10" xfId="3303" xr:uid="{00000000-0005-0000-0000-0000B0040000}"/>
    <cellStyle name="60% - 강조색5 3 11" xfId="3666" xr:uid="{00000000-0005-0000-0000-0000B1040000}"/>
    <cellStyle name="60% - 강조색5 3 2" xfId="4139" xr:uid="{00000000-0005-0000-0000-0000B2040000}"/>
    <cellStyle name="60% - 강조색5 3 3" xfId="3893" xr:uid="{00000000-0005-0000-0000-0000B3040000}"/>
    <cellStyle name="60% - 강조색5 3 4" xfId="3370" xr:uid="{00000000-0005-0000-0000-0000B4040000}"/>
    <cellStyle name="60% - 강조색5 3 5" xfId="3853" xr:uid="{00000000-0005-0000-0000-0000B5040000}"/>
    <cellStyle name="60% - 강조색5 3 6" xfId="2821" xr:uid="{00000000-0005-0000-0000-0000B6040000}"/>
    <cellStyle name="60% - 강조색5 3 7" xfId="2441" xr:uid="{00000000-0005-0000-0000-0000B7040000}"/>
    <cellStyle name="60% - 강조색5 3 8" xfId="3368" xr:uid="{00000000-0005-0000-0000-0000B8040000}"/>
    <cellStyle name="60% - 강조색5 3 9" xfId="2795" xr:uid="{00000000-0005-0000-0000-0000B9040000}"/>
    <cellStyle name="60% - 강조색5 30" xfId="48804" xr:uid="{00000000-0005-0000-0000-0000BA040000}"/>
    <cellStyle name="60% - 강조색5 31" xfId="48805" xr:uid="{00000000-0005-0000-0000-0000BB040000}"/>
    <cellStyle name="60% - 강조색5 32" xfId="48806" xr:uid="{00000000-0005-0000-0000-0000BC040000}"/>
    <cellStyle name="60% - 강조색5 33" xfId="48807" xr:uid="{00000000-0005-0000-0000-0000BD040000}"/>
    <cellStyle name="60% - 강조색5 4" xfId="4167" xr:uid="{00000000-0005-0000-0000-0000BE040000}"/>
    <cellStyle name="60% - 강조색5 4 10" xfId="325" xr:uid="{00000000-0005-0000-0000-0000BF040000}"/>
    <cellStyle name="60% - 강조색5 4 11" xfId="3877" xr:uid="{00000000-0005-0000-0000-0000C0040000}"/>
    <cellStyle name="60% - 강조색5 4 2" xfId="324" xr:uid="{00000000-0005-0000-0000-0000C1040000}"/>
    <cellStyle name="60% - 강조색5 4 3" xfId="2528" xr:uid="{00000000-0005-0000-0000-0000C2040000}"/>
    <cellStyle name="60% - 강조색5 4 4" xfId="4225" xr:uid="{00000000-0005-0000-0000-0000C3040000}"/>
    <cellStyle name="60% - 강조색5 4 5" xfId="3128" xr:uid="{00000000-0005-0000-0000-0000C4040000}"/>
    <cellStyle name="60% - 강조색5 4 6" xfId="4026" xr:uid="{00000000-0005-0000-0000-0000C5040000}"/>
    <cellStyle name="60% - 강조색5 4 7" xfId="3996" xr:uid="{00000000-0005-0000-0000-0000C6040000}"/>
    <cellStyle name="60% - 강조색5 4 8" xfId="3339" xr:uid="{00000000-0005-0000-0000-0000C7040000}"/>
    <cellStyle name="60% - 강조색5 4 9" xfId="3820" xr:uid="{00000000-0005-0000-0000-0000C8040000}"/>
    <cellStyle name="60% - 강조색5 5" xfId="2417" xr:uid="{00000000-0005-0000-0000-0000C9040000}"/>
    <cellStyle name="60% - 강조색5 5 2" xfId="286" xr:uid="{00000000-0005-0000-0000-0000CA040000}"/>
    <cellStyle name="60% - 강조색5 5 3" xfId="305" xr:uid="{00000000-0005-0000-0000-0000CB040000}"/>
    <cellStyle name="60% - 강조색5 5 4" xfId="281" xr:uid="{00000000-0005-0000-0000-0000CC040000}"/>
    <cellStyle name="60% - 강조색5 5 5" xfId="3795" xr:uid="{00000000-0005-0000-0000-0000CD040000}"/>
    <cellStyle name="60% - 강조색5 6" xfId="2619" xr:uid="{00000000-0005-0000-0000-0000CE040000}"/>
    <cellStyle name="60% - 강조색5 6 2" xfId="4082" xr:uid="{00000000-0005-0000-0000-0000CF040000}"/>
    <cellStyle name="60% - 강조색5 6 3" xfId="3583" xr:uid="{00000000-0005-0000-0000-0000D0040000}"/>
    <cellStyle name="60% - 강조색5 6 4" xfId="3222" xr:uid="{00000000-0005-0000-0000-0000D1040000}"/>
    <cellStyle name="60% - 강조색5 6 5" xfId="2860" xr:uid="{00000000-0005-0000-0000-0000D2040000}"/>
    <cellStyle name="60% - 강조색5 7" xfId="322" xr:uid="{00000000-0005-0000-0000-0000D3040000}"/>
    <cellStyle name="60% - 강조색5 7 2" xfId="3092" xr:uid="{00000000-0005-0000-0000-0000D4040000}"/>
    <cellStyle name="60% - 강조색5 8" xfId="2710" xr:uid="{00000000-0005-0000-0000-0000D5040000}"/>
    <cellStyle name="60% - 강조색5 8 2" xfId="2953" xr:uid="{00000000-0005-0000-0000-0000D6040000}"/>
    <cellStyle name="60% - 강조색5 9" xfId="6706" xr:uid="{00000000-0005-0000-0000-0000D7040000}"/>
    <cellStyle name="60% - 강조색6 10" xfId="6774" xr:uid="{00000000-0005-0000-0000-0000D8040000}"/>
    <cellStyle name="60% - 강조색6 11" xfId="6764" xr:uid="{00000000-0005-0000-0000-0000D9040000}"/>
    <cellStyle name="60% - 강조색6 12" xfId="6838" xr:uid="{00000000-0005-0000-0000-0000DA040000}"/>
    <cellStyle name="60% - 강조색6 13" xfId="48808" xr:uid="{00000000-0005-0000-0000-0000DB040000}"/>
    <cellStyle name="60% - 강조색6 14" xfId="48809" xr:uid="{00000000-0005-0000-0000-0000DC040000}"/>
    <cellStyle name="60% - 강조색6 15" xfId="48810" xr:uid="{00000000-0005-0000-0000-0000DD040000}"/>
    <cellStyle name="60% - 강조색6 16" xfId="48811" xr:uid="{00000000-0005-0000-0000-0000DE040000}"/>
    <cellStyle name="60% - 강조색6 17" xfId="48812" xr:uid="{00000000-0005-0000-0000-0000DF040000}"/>
    <cellStyle name="60% - 강조색6 18" xfId="48813" xr:uid="{00000000-0005-0000-0000-0000E0040000}"/>
    <cellStyle name="60% - 강조색6 19" xfId="48814" xr:uid="{00000000-0005-0000-0000-0000E1040000}"/>
    <cellStyle name="60% - 강조색6 2" xfId="215" xr:uid="{00000000-0005-0000-0000-0000E2040000}"/>
    <cellStyle name="60% - 강조색6 2 10" xfId="6761" xr:uid="{00000000-0005-0000-0000-0000E3040000}"/>
    <cellStyle name="60% - 강조색6 2 11" xfId="6837" xr:uid="{00000000-0005-0000-0000-0000E4040000}"/>
    <cellStyle name="60% - 강조색6 2 2" xfId="4422" xr:uid="{00000000-0005-0000-0000-0000E5040000}"/>
    <cellStyle name="60% - 강조색6 2 3" xfId="6268" xr:uid="{00000000-0005-0000-0000-0000E6040000}"/>
    <cellStyle name="60% - 강조색6 2 4" xfId="6523" xr:uid="{00000000-0005-0000-0000-0000E7040000}"/>
    <cellStyle name="60% - 강조색6 2 5" xfId="6561" xr:uid="{00000000-0005-0000-0000-0000E8040000}"/>
    <cellStyle name="60% - 강조색6 2 6" xfId="6552" xr:uid="{00000000-0005-0000-0000-0000E9040000}"/>
    <cellStyle name="60% - 강조색6 2 7" xfId="6595" xr:uid="{00000000-0005-0000-0000-0000EA040000}"/>
    <cellStyle name="60% - 강조색6 2 8" xfId="6703" xr:uid="{00000000-0005-0000-0000-0000EB040000}"/>
    <cellStyle name="60% - 강조색6 2 9" xfId="6773" xr:uid="{00000000-0005-0000-0000-0000EC040000}"/>
    <cellStyle name="60% - 강조색6 20" xfId="48815" xr:uid="{00000000-0005-0000-0000-0000ED040000}"/>
    <cellStyle name="60% - 강조색6 21" xfId="48816" xr:uid="{00000000-0005-0000-0000-0000EE040000}"/>
    <cellStyle name="60% - 강조색6 22" xfId="48817" xr:uid="{00000000-0005-0000-0000-0000EF040000}"/>
    <cellStyle name="60% - 강조색6 23" xfId="48818" xr:uid="{00000000-0005-0000-0000-0000F0040000}"/>
    <cellStyle name="60% - 강조색6 24" xfId="48819" xr:uid="{00000000-0005-0000-0000-0000F1040000}"/>
    <cellStyle name="60% - 강조색6 25" xfId="48820" xr:uid="{00000000-0005-0000-0000-0000F2040000}"/>
    <cellStyle name="60% - 강조색6 26" xfId="48821" xr:uid="{00000000-0005-0000-0000-0000F3040000}"/>
    <cellStyle name="60% - 강조색6 27" xfId="48822" xr:uid="{00000000-0005-0000-0000-0000F4040000}"/>
    <cellStyle name="60% - 강조색6 28" xfId="48823" xr:uid="{00000000-0005-0000-0000-0000F5040000}"/>
    <cellStyle name="60% - 강조색6 29" xfId="48824" xr:uid="{00000000-0005-0000-0000-0000F6040000}"/>
    <cellStyle name="60% - 강조색6 3" xfId="3215" xr:uid="{00000000-0005-0000-0000-0000F7040000}"/>
    <cellStyle name="60% - 강조색6 3 10" xfId="4058" xr:uid="{00000000-0005-0000-0000-0000F8040000}"/>
    <cellStyle name="60% - 강조색6 3 11" xfId="4054" xr:uid="{00000000-0005-0000-0000-0000F9040000}"/>
    <cellStyle name="60% - 강조색6 3 2" xfId="3566" xr:uid="{00000000-0005-0000-0000-0000FA040000}"/>
    <cellStyle name="60% - 강조색6 3 3" xfId="2722" xr:uid="{00000000-0005-0000-0000-0000FB040000}"/>
    <cellStyle name="60% - 강조색6 3 4" xfId="3273" xr:uid="{00000000-0005-0000-0000-0000FC040000}"/>
    <cellStyle name="60% - 강조색6 3 5" xfId="4056" xr:uid="{00000000-0005-0000-0000-0000FD040000}"/>
    <cellStyle name="60% - 강조색6 3 6" xfId="2599" xr:uid="{00000000-0005-0000-0000-0000FE040000}"/>
    <cellStyle name="60% - 강조색6 3 7" xfId="3449" xr:uid="{00000000-0005-0000-0000-0000FF040000}"/>
    <cellStyle name="60% - 강조색6 3 8" xfId="3089" xr:uid="{00000000-0005-0000-0000-000000050000}"/>
    <cellStyle name="60% - 강조색6 3 9" xfId="3693" xr:uid="{00000000-0005-0000-0000-000001050000}"/>
    <cellStyle name="60% - 강조색6 30" xfId="48825" xr:uid="{00000000-0005-0000-0000-000002050000}"/>
    <cellStyle name="60% - 강조색6 31" xfId="48826" xr:uid="{00000000-0005-0000-0000-000003050000}"/>
    <cellStyle name="60% - 강조색6 32" xfId="48827" xr:uid="{00000000-0005-0000-0000-000004050000}"/>
    <cellStyle name="60% - 강조색6 33" xfId="48828" xr:uid="{00000000-0005-0000-0000-000005050000}"/>
    <cellStyle name="60% - 강조색6 4" xfId="3093" xr:uid="{00000000-0005-0000-0000-000006050000}"/>
    <cellStyle name="60% - 강조색6 4 10" xfId="3452" xr:uid="{00000000-0005-0000-0000-000007050000}"/>
    <cellStyle name="60% - 강조색6 4 11" xfId="3942" xr:uid="{00000000-0005-0000-0000-000008050000}"/>
    <cellStyle name="60% - 강조색6 4 2" xfId="4182" xr:uid="{00000000-0005-0000-0000-000009050000}"/>
    <cellStyle name="60% - 강조색6 4 3" xfId="337" xr:uid="{00000000-0005-0000-0000-00000A050000}"/>
    <cellStyle name="60% - 강조색6 4 4" xfId="4131" xr:uid="{00000000-0005-0000-0000-00000B050000}"/>
    <cellStyle name="60% - 강조색6 4 5" xfId="3643" xr:uid="{00000000-0005-0000-0000-00000C050000}"/>
    <cellStyle name="60% - 강조색6 4 6" xfId="3639" xr:uid="{00000000-0005-0000-0000-00000D050000}"/>
    <cellStyle name="60% - 강조색6 4 7" xfId="2914" xr:uid="{00000000-0005-0000-0000-00000E050000}"/>
    <cellStyle name="60% - 강조색6 4 8" xfId="3472" xr:uid="{00000000-0005-0000-0000-00000F050000}"/>
    <cellStyle name="60% - 강조색6 4 9" xfId="4129" xr:uid="{00000000-0005-0000-0000-000010050000}"/>
    <cellStyle name="60% - 강조색6 5" xfId="3762" xr:uid="{00000000-0005-0000-0000-000011050000}"/>
    <cellStyle name="60% - 강조색6 5 2" xfId="3407" xr:uid="{00000000-0005-0000-0000-000012050000}"/>
    <cellStyle name="60% - 강조색6 5 3" xfId="3045" xr:uid="{00000000-0005-0000-0000-000013050000}"/>
    <cellStyle name="60% - 강조색6 5 4" xfId="3651" xr:uid="{00000000-0005-0000-0000-000014050000}"/>
    <cellStyle name="60% - 강조색6 5 5" xfId="2967" xr:uid="{00000000-0005-0000-0000-000015050000}"/>
    <cellStyle name="60% - 강조색6 6" xfId="3714" xr:uid="{00000000-0005-0000-0000-000016050000}"/>
    <cellStyle name="60% - 강조색6 6 2" xfId="4264" xr:uid="{00000000-0005-0000-0000-000017050000}"/>
    <cellStyle name="60% - 강조색6 6 3" xfId="3058" xr:uid="{00000000-0005-0000-0000-000018050000}"/>
    <cellStyle name="60% - 강조색6 6 4" xfId="3379" xr:uid="{00000000-0005-0000-0000-000019050000}"/>
    <cellStyle name="60% - 강조색6 6 5" xfId="3278" xr:uid="{00000000-0005-0000-0000-00001A050000}"/>
    <cellStyle name="60% - 강조색6 7" xfId="2900" xr:uid="{00000000-0005-0000-0000-00001B050000}"/>
    <cellStyle name="60% - 강조색6 7 2" xfId="3441" xr:uid="{00000000-0005-0000-0000-00001C050000}"/>
    <cellStyle name="60% - 강조색6 8" xfId="4114" xr:uid="{00000000-0005-0000-0000-00001D050000}"/>
    <cellStyle name="60% - 강조색6 8 2" xfId="3382" xr:uid="{00000000-0005-0000-0000-00001E050000}"/>
    <cellStyle name="60% - 강조색6 9" xfId="6704" xr:uid="{00000000-0005-0000-0000-00001F050000}"/>
    <cellStyle name="A¨­￠￢￠O [0]_INQUIRY ￠?￥i¨u¡AAⓒ￢Aⓒª " xfId="197" xr:uid="{00000000-0005-0000-0000-000020050000}"/>
    <cellStyle name="A¨­￠￢￠O_INQUIRY ￠?￥i¨u¡AAⓒ￢Aⓒª " xfId="207" xr:uid="{00000000-0005-0000-0000-000021050000}"/>
    <cellStyle name="AeE­ [0]_´eAN°yC￥ " xfId="216" xr:uid="{00000000-0005-0000-0000-000022050000}"/>
    <cellStyle name="AeE­_´eAN°yC￥ " xfId="211" xr:uid="{00000000-0005-0000-0000-000023050000}"/>
    <cellStyle name="AeE¡ⓒ [0]_INQUIRY ￠?￥i¨u¡AAⓒ￢Aⓒª " xfId="208" xr:uid="{00000000-0005-0000-0000-000024050000}"/>
    <cellStyle name="AeE¡ⓒ_INQUIRY ￠?￥i¨u¡AAⓒ￢Aⓒª " xfId="201" xr:uid="{00000000-0005-0000-0000-000025050000}"/>
    <cellStyle name="ALIGNMENT" xfId="49620" xr:uid="{00000000-0005-0000-0000-000026050000}"/>
    <cellStyle name="AÞ¸¶ [0]_´eAN°yC￥ " xfId="220" xr:uid="{00000000-0005-0000-0000-000027050000}"/>
    <cellStyle name="AÞ¸¶_´eAN°yC￥ " xfId="187" xr:uid="{00000000-0005-0000-0000-000028050000}"/>
    <cellStyle name="C¡IA¨ª_¡ic¨u¡A¨￢I¨￢¡Æ AN¡Æe " xfId="209" xr:uid="{00000000-0005-0000-0000-000029050000}"/>
    <cellStyle name="C￥AØ_´eAN°yC￥ " xfId="185" xr:uid="{00000000-0005-0000-0000-00002A050000}"/>
    <cellStyle name="category" xfId="49621" xr:uid="{00000000-0005-0000-0000-00002B050000}"/>
    <cellStyle name="Comma [0]" xfId="188" xr:uid="{00000000-0005-0000-0000-00002C050000}"/>
    <cellStyle name="comma zerodec" xfId="198" xr:uid="{00000000-0005-0000-0000-00002D050000}"/>
    <cellStyle name="comma zerodec 2" xfId="49622" xr:uid="{00000000-0005-0000-0000-00002E050000}"/>
    <cellStyle name="Comma_ SG&amp;A Bridge " xfId="200" xr:uid="{00000000-0005-0000-0000-00002F050000}"/>
    <cellStyle name="Comma0" xfId="183" xr:uid="{00000000-0005-0000-0000-000030050000}"/>
    <cellStyle name="Curren?_x0012_퐀_x0017_?" xfId="221" xr:uid="{00000000-0005-0000-0000-000031050000}"/>
    <cellStyle name="Currency [0]" xfId="181" xr:uid="{00000000-0005-0000-0000-000032050000}"/>
    <cellStyle name="Currency_ SG&amp;A Bridge " xfId="206" xr:uid="{00000000-0005-0000-0000-000033050000}"/>
    <cellStyle name="Currency0" xfId="186" xr:uid="{00000000-0005-0000-0000-000034050000}"/>
    <cellStyle name="Currency0 2" xfId="4172" xr:uid="{00000000-0005-0000-0000-000035050000}"/>
    <cellStyle name="Currency0 2 10" xfId="2819" xr:uid="{00000000-0005-0000-0000-000036050000}"/>
    <cellStyle name="Currency0 2 11" xfId="2713" xr:uid="{00000000-0005-0000-0000-000037050000}"/>
    <cellStyle name="Currency0 2 2" xfId="2526" xr:uid="{00000000-0005-0000-0000-000038050000}"/>
    <cellStyle name="Currency0 2 3" xfId="3681" xr:uid="{00000000-0005-0000-0000-000039050000}"/>
    <cellStyle name="Currency0 2 4" xfId="3677" xr:uid="{00000000-0005-0000-0000-00003A050000}"/>
    <cellStyle name="Currency0 2 5" xfId="4049" xr:uid="{00000000-0005-0000-0000-00003B050000}"/>
    <cellStyle name="Currency0 2 6" xfId="3797" xr:uid="{00000000-0005-0000-0000-00003C050000}"/>
    <cellStyle name="Currency0 2 7" xfId="2585" xr:uid="{00000000-0005-0000-0000-00003D050000}"/>
    <cellStyle name="Currency0 2 8" xfId="3078" xr:uid="{00000000-0005-0000-0000-00003E050000}"/>
    <cellStyle name="Currency0 2 9" xfId="3897" xr:uid="{00000000-0005-0000-0000-00003F050000}"/>
    <cellStyle name="Currency0 3" xfId="4113" xr:uid="{00000000-0005-0000-0000-000040050000}"/>
    <cellStyle name="Currency0 3 10" xfId="4272" xr:uid="{00000000-0005-0000-0000-000041050000}"/>
    <cellStyle name="Currency0 3 11" xfId="2509" xr:uid="{00000000-0005-0000-0000-000042050000}"/>
    <cellStyle name="Currency0 3 2" xfId="2746" xr:uid="{00000000-0005-0000-0000-000043050000}"/>
    <cellStyle name="Currency0 3 3" xfId="3053" xr:uid="{00000000-0005-0000-0000-000044050000}"/>
    <cellStyle name="Currency0 3 4" xfId="2565" xr:uid="{00000000-0005-0000-0000-000045050000}"/>
    <cellStyle name="Currency0 3 5" xfId="4154" xr:uid="{00000000-0005-0000-0000-000046050000}"/>
    <cellStyle name="Currency0 3 6" xfId="2930" xr:uid="{00000000-0005-0000-0000-000047050000}"/>
    <cellStyle name="Currency0 3 7" xfId="3661" xr:uid="{00000000-0005-0000-0000-000048050000}"/>
    <cellStyle name="Currency0 3 8" xfId="2935" xr:uid="{00000000-0005-0000-0000-000049050000}"/>
    <cellStyle name="Currency0 3 9" xfId="4157" xr:uid="{00000000-0005-0000-0000-00004A050000}"/>
    <cellStyle name="Currency0 4" xfId="2492" xr:uid="{00000000-0005-0000-0000-00004B050000}"/>
    <cellStyle name="Currency0 4 10" xfId="3664" xr:uid="{00000000-0005-0000-0000-00004C050000}"/>
    <cellStyle name="Currency0 4 11" xfId="4269" xr:uid="{00000000-0005-0000-0000-00004D050000}"/>
    <cellStyle name="Currency0 4 2" xfId="2988" xr:uid="{00000000-0005-0000-0000-00004E050000}"/>
    <cellStyle name="Currency0 4 3" xfId="3963" xr:uid="{00000000-0005-0000-0000-00004F050000}"/>
    <cellStyle name="Currency0 4 4" xfId="3959" xr:uid="{00000000-0005-0000-0000-000050050000}"/>
    <cellStyle name="Currency0 4 5" xfId="3474" xr:uid="{00000000-0005-0000-0000-000051050000}"/>
    <cellStyle name="Currency0 4 6" xfId="4144" xr:uid="{00000000-0005-0000-0000-000052050000}"/>
    <cellStyle name="Currency0 4 7" xfId="2630" xr:uid="{00000000-0005-0000-0000-000053050000}"/>
    <cellStyle name="Currency0 4 8" xfId="2871" xr:uid="{00000000-0005-0000-0000-000054050000}"/>
    <cellStyle name="Currency0 4 9" xfId="2749" xr:uid="{00000000-0005-0000-0000-000055050000}"/>
    <cellStyle name="Currency1" xfId="191" xr:uid="{00000000-0005-0000-0000-000056050000}"/>
    <cellStyle name="Currency1 2" xfId="49623" xr:uid="{00000000-0005-0000-0000-000057050000}"/>
    <cellStyle name="Date" xfId="180" xr:uid="{00000000-0005-0000-0000-000058050000}"/>
    <cellStyle name="Dollar (zero dec)" xfId="222" xr:uid="{00000000-0005-0000-0000-000059050000}"/>
    <cellStyle name="Dollar (zero dec) 2" xfId="49624" xr:uid="{00000000-0005-0000-0000-00005A050000}"/>
    <cellStyle name="Excel_BuiltIn_Hyperlink 1" xfId="49625" xr:uid="{00000000-0005-0000-0000-00005B050000}"/>
    <cellStyle name="F2" xfId="6233" xr:uid="{00000000-0005-0000-0000-00005C050000}"/>
    <cellStyle name="F3" xfId="6234" xr:uid="{00000000-0005-0000-0000-00005D050000}"/>
    <cellStyle name="F4" xfId="6235" xr:uid="{00000000-0005-0000-0000-00005E050000}"/>
    <cellStyle name="F5" xfId="6236" xr:uid="{00000000-0005-0000-0000-00005F050000}"/>
    <cellStyle name="F6" xfId="6237" xr:uid="{00000000-0005-0000-0000-000060050000}"/>
    <cellStyle name="F7" xfId="6238" xr:uid="{00000000-0005-0000-0000-000061050000}"/>
    <cellStyle name="F8" xfId="6239" xr:uid="{00000000-0005-0000-0000-000062050000}"/>
    <cellStyle name="Fixed" xfId="223" xr:uid="{00000000-0005-0000-0000-000063050000}"/>
    <cellStyle name="Grey" xfId="49626" xr:uid="{00000000-0005-0000-0000-000064050000}"/>
    <cellStyle name="HEADER" xfId="49627" xr:uid="{00000000-0005-0000-0000-000065050000}"/>
    <cellStyle name="Header1" xfId="9" xr:uid="{00000000-0005-0000-0000-000066050000}"/>
    <cellStyle name="Header1 10" xfId="6926" xr:uid="{00000000-0005-0000-0000-000067050000}"/>
    <cellStyle name="Header1 11" xfId="6939" xr:uid="{00000000-0005-0000-0000-000068050000}"/>
    <cellStyle name="Header1 2" xfId="103" xr:uid="{00000000-0005-0000-0000-000069050000}"/>
    <cellStyle name="Header1 2 2" xfId="6240" xr:uid="{00000000-0005-0000-0000-00006A050000}"/>
    <cellStyle name="Header1 3" xfId="224" xr:uid="{00000000-0005-0000-0000-00006B050000}"/>
    <cellStyle name="Header1 4" xfId="6596" xr:uid="{00000000-0005-0000-0000-00006C050000}"/>
    <cellStyle name="Header1 5" xfId="6637" xr:uid="{00000000-0005-0000-0000-00006D050000}"/>
    <cellStyle name="Header1 6" xfId="6693" xr:uid="{00000000-0005-0000-0000-00006E050000}"/>
    <cellStyle name="Header1 7" xfId="6765" xr:uid="{00000000-0005-0000-0000-00006F050000}"/>
    <cellStyle name="Header1 8" xfId="6828" xr:uid="{00000000-0005-0000-0000-000070050000}"/>
    <cellStyle name="Header1 9" xfId="6878" xr:uid="{00000000-0005-0000-0000-000071050000}"/>
    <cellStyle name="Header2" xfId="10" xr:uid="{00000000-0005-0000-0000-000072050000}"/>
    <cellStyle name="Header2 10" xfId="6927" xr:uid="{00000000-0005-0000-0000-000073050000}"/>
    <cellStyle name="Header2 11" xfId="6940" xr:uid="{00000000-0005-0000-0000-000074050000}"/>
    <cellStyle name="Header2 2" xfId="104" xr:uid="{00000000-0005-0000-0000-000075050000}"/>
    <cellStyle name="Header2 2 2" xfId="6241" xr:uid="{00000000-0005-0000-0000-000076050000}"/>
    <cellStyle name="Header2 3" xfId="225" xr:uid="{00000000-0005-0000-0000-000077050000}"/>
    <cellStyle name="Header2 4" xfId="6597" xr:uid="{00000000-0005-0000-0000-000078050000}"/>
    <cellStyle name="Header2 5" xfId="6638" xr:uid="{00000000-0005-0000-0000-000079050000}"/>
    <cellStyle name="Header2 6" xfId="6694" xr:uid="{00000000-0005-0000-0000-00007A050000}"/>
    <cellStyle name="Header2 7" xfId="6766" xr:uid="{00000000-0005-0000-0000-00007B050000}"/>
    <cellStyle name="Header2 8" xfId="6829" xr:uid="{00000000-0005-0000-0000-00007C050000}"/>
    <cellStyle name="Header2 9" xfId="6879" xr:uid="{00000000-0005-0000-0000-00007D050000}"/>
    <cellStyle name="Header2_업체별" xfId="6242" xr:uid="{00000000-0005-0000-0000-00007E050000}"/>
    <cellStyle name="Heading 1" xfId="226" xr:uid="{00000000-0005-0000-0000-00007F050000}"/>
    <cellStyle name="Heading 2" xfId="227" xr:uid="{00000000-0005-0000-0000-000080050000}"/>
    <cellStyle name="Helv8_PFD4.XLS" xfId="49628" xr:uid="{00000000-0005-0000-0000-000081050000}"/>
    <cellStyle name="Input [yellow]" xfId="49629" xr:uid="{00000000-0005-0000-0000-000082050000}"/>
    <cellStyle name="Milliers [0]_Arabian Spec" xfId="228" xr:uid="{00000000-0005-0000-0000-000083050000}"/>
    <cellStyle name="Milliers_Arabian Spec" xfId="229" xr:uid="{00000000-0005-0000-0000-000084050000}"/>
    <cellStyle name="Model" xfId="49630" xr:uid="{00000000-0005-0000-0000-000085050000}"/>
    <cellStyle name="Mon?aire [0]_Arabian Spec" xfId="230" xr:uid="{00000000-0005-0000-0000-000086050000}"/>
    <cellStyle name="Mon?aire_Arabian Spec" xfId="231" xr:uid="{00000000-0005-0000-0000-000087050000}"/>
    <cellStyle name="no dec" xfId="49631" xr:uid="{00000000-0005-0000-0000-000088050000}"/>
    <cellStyle name="Normal - Style1" xfId="49632" xr:uid="{00000000-0005-0000-0000-000089050000}"/>
    <cellStyle name="Normal_ SG&amp;A Bridge " xfId="232" xr:uid="{00000000-0005-0000-0000-00008A050000}"/>
    <cellStyle name="Percent [2]" xfId="233" xr:uid="{00000000-0005-0000-0000-00008B050000}"/>
    <cellStyle name="subhead" xfId="234" xr:uid="{00000000-0005-0000-0000-00008C050000}"/>
    <cellStyle name="Title" xfId="49633" xr:uid="{00000000-0005-0000-0000-00008D050000}"/>
    <cellStyle name="title [1]" xfId="49634" xr:uid="{00000000-0005-0000-0000-00008E050000}"/>
    <cellStyle name="title [2]" xfId="49635" xr:uid="{00000000-0005-0000-0000-00008F050000}"/>
    <cellStyle name="Total" xfId="235" xr:uid="{00000000-0005-0000-0000-000090050000}"/>
    <cellStyle name="강조색1 10" xfId="6691" xr:uid="{00000000-0005-0000-0000-000091050000}"/>
    <cellStyle name="강조색1 11" xfId="6760" xr:uid="{00000000-0005-0000-0000-000092050000}"/>
    <cellStyle name="강조색1 12" xfId="6834" xr:uid="{00000000-0005-0000-0000-000093050000}"/>
    <cellStyle name="강조색1 13" xfId="48829" xr:uid="{00000000-0005-0000-0000-000094050000}"/>
    <cellStyle name="강조색1 14" xfId="48830" xr:uid="{00000000-0005-0000-0000-000095050000}"/>
    <cellStyle name="강조색1 15" xfId="48831" xr:uid="{00000000-0005-0000-0000-000096050000}"/>
    <cellStyle name="강조색1 16" xfId="48832" xr:uid="{00000000-0005-0000-0000-000097050000}"/>
    <cellStyle name="강조색1 17" xfId="48833" xr:uid="{00000000-0005-0000-0000-000098050000}"/>
    <cellStyle name="강조색1 18" xfId="48834" xr:uid="{00000000-0005-0000-0000-000099050000}"/>
    <cellStyle name="강조색1 19" xfId="48835" xr:uid="{00000000-0005-0000-0000-00009A050000}"/>
    <cellStyle name="강조색1 2" xfId="236" xr:uid="{00000000-0005-0000-0000-00009B050000}"/>
    <cellStyle name="강조색1 2 10" xfId="6759" xr:uid="{00000000-0005-0000-0000-00009C050000}"/>
    <cellStyle name="강조색1 2 11" xfId="6833" xr:uid="{00000000-0005-0000-0000-00009D050000}"/>
    <cellStyle name="강조색1 2 2" xfId="4423" xr:uid="{00000000-0005-0000-0000-00009E050000}"/>
    <cellStyle name="강조색1 2 3" xfId="6269" xr:uid="{00000000-0005-0000-0000-00009F050000}"/>
    <cellStyle name="강조색1 2 4" xfId="6522" xr:uid="{00000000-0005-0000-0000-0000A0050000}"/>
    <cellStyle name="강조색1 2 5" xfId="6243" xr:uid="{00000000-0005-0000-0000-0000A1050000}"/>
    <cellStyle name="강조색1 2 6" xfId="6550" xr:uid="{00000000-0005-0000-0000-0000A2050000}"/>
    <cellStyle name="강조색1 2 7" xfId="6594" xr:uid="{00000000-0005-0000-0000-0000A3050000}"/>
    <cellStyle name="강조색1 2 8" xfId="6701" xr:uid="{00000000-0005-0000-0000-0000A4050000}"/>
    <cellStyle name="강조색1 2 9" xfId="6690" xr:uid="{00000000-0005-0000-0000-0000A5050000}"/>
    <cellStyle name="강조색1 20" xfId="48836" xr:uid="{00000000-0005-0000-0000-0000A6050000}"/>
    <cellStyle name="강조색1 21" xfId="48837" xr:uid="{00000000-0005-0000-0000-0000A7050000}"/>
    <cellStyle name="강조색1 22" xfId="48838" xr:uid="{00000000-0005-0000-0000-0000A8050000}"/>
    <cellStyle name="강조색1 23" xfId="48839" xr:uid="{00000000-0005-0000-0000-0000A9050000}"/>
    <cellStyle name="강조색1 24" xfId="48840" xr:uid="{00000000-0005-0000-0000-0000AA050000}"/>
    <cellStyle name="강조색1 25" xfId="48841" xr:uid="{00000000-0005-0000-0000-0000AB050000}"/>
    <cellStyle name="강조색1 26" xfId="48842" xr:uid="{00000000-0005-0000-0000-0000AC050000}"/>
    <cellStyle name="강조색1 27" xfId="48843" xr:uid="{00000000-0005-0000-0000-0000AD050000}"/>
    <cellStyle name="강조색1 28" xfId="48844" xr:uid="{00000000-0005-0000-0000-0000AE050000}"/>
    <cellStyle name="강조색1 29" xfId="48845" xr:uid="{00000000-0005-0000-0000-0000AF050000}"/>
    <cellStyle name="강조색1 3" xfId="4222" xr:uid="{00000000-0005-0000-0000-0000B0050000}"/>
    <cellStyle name="강조색1 3 10" xfId="4232" xr:uid="{00000000-0005-0000-0000-0000B1050000}"/>
    <cellStyle name="강조색1 3 11" xfId="3495" xr:uid="{00000000-0005-0000-0000-0000B2050000}"/>
    <cellStyle name="강조색1 3 2" xfId="3636" xr:uid="{00000000-0005-0000-0000-0000B3050000}"/>
    <cellStyle name="강조색1 3 3" xfId="3616" xr:uid="{00000000-0005-0000-0000-0000B4050000}"/>
    <cellStyle name="강조색1 3 4" xfId="3134" xr:uid="{00000000-0005-0000-0000-0000B5050000}"/>
    <cellStyle name="강조색1 3 5" xfId="2971" xr:uid="{00000000-0005-0000-0000-0000B6050000}"/>
    <cellStyle name="강조색1 3 6" xfId="3946" xr:uid="{00000000-0005-0000-0000-0000B7050000}"/>
    <cellStyle name="강조색1 3 7" xfId="3943" xr:uid="{00000000-0005-0000-0000-0000B8050000}"/>
    <cellStyle name="강조색1 3 8" xfId="3457" xr:uid="{00000000-0005-0000-0000-0000B9050000}"/>
    <cellStyle name="강조색1 3 9" xfId="3237" xr:uid="{00000000-0005-0000-0000-0000BA050000}"/>
    <cellStyle name="강조색1 30" xfId="48846" xr:uid="{00000000-0005-0000-0000-0000BB050000}"/>
    <cellStyle name="강조색1 31" xfId="48847" xr:uid="{00000000-0005-0000-0000-0000BC050000}"/>
    <cellStyle name="강조색1 32" xfId="48848" xr:uid="{00000000-0005-0000-0000-0000BD050000}"/>
    <cellStyle name="강조색1 33" xfId="48849" xr:uid="{00000000-0005-0000-0000-0000BE050000}"/>
    <cellStyle name="강조색1 4" xfId="2613" xr:uid="{00000000-0005-0000-0000-0000BF050000}"/>
    <cellStyle name="강조색1 4 10" xfId="2854" xr:uid="{00000000-0005-0000-0000-0000C0050000}"/>
    <cellStyle name="강조색1 4 11" xfId="3886" xr:uid="{00000000-0005-0000-0000-0000C1050000}"/>
    <cellStyle name="강조색1 4 2" xfId="3227" xr:uid="{00000000-0005-0000-0000-0000C2050000}"/>
    <cellStyle name="강조색1 4 3" xfId="3955" xr:uid="{00000000-0005-0000-0000-0000C3050000}"/>
    <cellStyle name="강조색1 4 4" xfId="2447" xr:uid="{00000000-0005-0000-0000-0000C4050000}"/>
    <cellStyle name="강조색1 4 5" xfId="3401" xr:uid="{00000000-0005-0000-0000-0000C5050000}"/>
    <cellStyle name="강조색1 4 6" xfId="2744" xr:uid="{00000000-0005-0000-0000-0000C6050000}"/>
    <cellStyle name="강조색1 4 7" xfId="2437" xr:uid="{00000000-0005-0000-0000-0000C7050000}"/>
    <cellStyle name="강조색1 4 8" xfId="3471" xr:uid="{00000000-0005-0000-0000-0000C8050000}"/>
    <cellStyle name="강조색1 4 9" xfId="4072" xr:uid="{00000000-0005-0000-0000-0000C9050000}"/>
    <cellStyle name="강조색1 5" xfId="3976" xr:uid="{00000000-0005-0000-0000-0000CA050000}"/>
    <cellStyle name="강조색1 5 2" xfId="2449" xr:uid="{00000000-0005-0000-0000-0000CB050000}"/>
    <cellStyle name="강조색1 5 3" xfId="3489" xr:uid="{00000000-0005-0000-0000-0000CC050000}"/>
    <cellStyle name="강조색1 5 4" xfId="3320" xr:uid="{00000000-0005-0000-0000-0000CD050000}"/>
    <cellStyle name="강조색1 5 5" xfId="2482" xr:uid="{00000000-0005-0000-0000-0000CE050000}"/>
    <cellStyle name="강조색1 6" xfId="2721" xr:uid="{00000000-0005-0000-0000-0000CF050000}"/>
    <cellStyle name="강조색1 6 2" xfId="3805" xr:uid="{00000000-0005-0000-0000-0000D0050000}"/>
    <cellStyle name="강조색1 6 3" xfId="2602" xr:uid="{00000000-0005-0000-0000-0000D1050000}"/>
    <cellStyle name="강조색1 6 4" xfId="3079" xr:uid="{00000000-0005-0000-0000-0000D2050000}"/>
    <cellStyle name="강조색1 6 5" xfId="4312" xr:uid="{00000000-0005-0000-0000-0000D3050000}"/>
    <cellStyle name="강조색1 7" xfId="2605" xr:uid="{00000000-0005-0000-0000-0000D4050000}"/>
    <cellStyle name="강조색1 7 2" xfId="355" xr:uid="{00000000-0005-0000-0000-0000D5050000}"/>
    <cellStyle name="강조색1 8" xfId="326" xr:uid="{00000000-0005-0000-0000-0000D6050000}"/>
    <cellStyle name="강조색1 8 2" xfId="3073" xr:uid="{00000000-0005-0000-0000-0000D7050000}"/>
    <cellStyle name="강조색1 9" xfId="6702" xr:uid="{00000000-0005-0000-0000-0000D8050000}"/>
    <cellStyle name="강조색2 10" xfId="6687" xr:uid="{00000000-0005-0000-0000-0000D9050000}"/>
    <cellStyle name="강조색2 11" xfId="6756" xr:uid="{00000000-0005-0000-0000-0000DA050000}"/>
    <cellStyle name="강조색2 12" xfId="6832" xr:uid="{00000000-0005-0000-0000-0000DB050000}"/>
    <cellStyle name="강조색2 13" xfId="48850" xr:uid="{00000000-0005-0000-0000-0000DC050000}"/>
    <cellStyle name="강조색2 14" xfId="48851" xr:uid="{00000000-0005-0000-0000-0000DD050000}"/>
    <cellStyle name="강조색2 15" xfId="48852" xr:uid="{00000000-0005-0000-0000-0000DE050000}"/>
    <cellStyle name="강조색2 16" xfId="48853" xr:uid="{00000000-0005-0000-0000-0000DF050000}"/>
    <cellStyle name="강조색2 17" xfId="48854" xr:uid="{00000000-0005-0000-0000-0000E0050000}"/>
    <cellStyle name="강조색2 18" xfId="48855" xr:uid="{00000000-0005-0000-0000-0000E1050000}"/>
    <cellStyle name="강조색2 19" xfId="48856" xr:uid="{00000000-0005-0000-0000-0000E2050000}"/>
    <cellStyle name="강조색2 2" xfId="237" xr:uid="{00000000-0005-0000-0000-0000E3050000}"/>
    <cellStyle name="강조색2 2 10" xfId="6755" xr:uid="{00000000-0005-0000-0000-0000E4050000}"/>
    <cellStyle name="강조색2 2 11" xfId="6827" xr:uid="{00000000-0005-0000-0000-0000E5050000}"/>
    <cellStyle name="강조색2 2 2" xfId="4424" xr:uid="{00000000-0005-0000-0000-0000E6050000}"/>
    <cellStyle name="강조색2 2 3" xfId="6270" xr:uid="{00000000-0005-0000-0000-0000E7050000}"/>
    <cellStyle name="강조색2 2 4" xfId="6521" xr:uid="{00000000-0005-0000-0000-0000E8050000}"/>
    <cellStyle name="강조색2 2 5" xfId="6245" xr:uid="{00000000-0005-0000-0000-0000E9050000}"/>
    <cellStyle name="강조색2 2 6" xfId="6548" xr:uid="{00000000-0005-0000-0000-0000EA050000}"/>
    <cellStyle name="강조색2 2 7" xfId="6592" xr:uid="{00000000-0005-0000-0000-0000EB050000}"/>
    <cellStyle name="강조색2 2 8" xfId="6699" xr:uid="{00000000-0005-0000-0000-0000EC050000}"/>
    <cellStyle name="강조색2 2 9" xfId="6686" xr:uid="{00000000-0005-0000-0000-0000ED050000}"/>
    <cellStyle name="강조색2 20" xfId="48857" xr:uid="{00000000-0005-0000-0000-0000EE050000}"/>
    <cellStyle name="강조색2 21" xfId="48858" xr:uid="{00000000-0005-0000-0000-0000EF050000}"/>
    <cellStyle name="강조색2 22" xfId="48859" xr:uid="{00000000-0005-0000-0000-0000F0050000}"/>
    <cellStyle name="강조색2 23" xfId="48860" xr:uid="{00000000-0005-0000-0000-0000F1050000}"/>
    <cellStyle name="강조색2 24" xfId="48861" xr:uid="{00000000-0005-0000-0000-0000F2050000}"/>
    <cellStyle name="강조색2 25" xfId="48862" xr:uid="{00000000-0005-0000-0000-0000F3050000}"/>
    <cellStyle name="강조색2 26" xfId="48863" xr:uid="{00000000-0005-0000-0000-0000F4050000}"/>
    <cellStyle name="강조색2 27" xfId="48864" xr:uid="{00000000-0005-0000-0000-0000F5050000}"/>
    <cellStyle name="강조색2 28" xfId="48865" xr:uid="{00000000-0005-0000-0000-0000F6050000}"/>
    <cellStyle name="강조색2 29" xfId="48866" xr:uid="{00000000-0005-0000-0000-0000F7050000}"/>
    <cellStyle name="강조색2 3" xfId="3845" xr:uid="{00000000-0005-0000-0000-0000F8050000}"/>
    <cellStyle name="강조색2 3 10" xfId="2719" xr:uid="{00000000-0005-0000-0000-0000F9050000}"/>
    <cellStyle name="강조색2 3 11" xfId="4130" xr:uid="{00000000-0005-0000-0000-0000FA050000}"/>
    <cellStyle name="강조색2 3 2" xfId="3763" xr:uid="{00000000-0005-0000-0000-0000FB050000}"/>
    <cellStyle name="강조색2 3 3" xfId="3759" xr:uid="{00000000-0005-0000-0000-0000FC050000}"/>
    <cellStyle name="강조색2 3 4" xfId="2913" xr:uid="{00000000-0005-0000-0000-0000FD050000}"/>
    <cellStyle name="강조색2 3 5" xfId="4255" xr:uid="{00000000-0005-0000-0000-0000FE050000}"/>
    <cellStyle name="강조색2 3 6" xfId="4251" xr:uid="{00000000-0005-0000-0000-0000FF050000}"/>
    <cellStyle name="강조색2 3 7" xfId="3523" xr:uid="{00000000-0005-0000-0000-000000060000}"/>
    <cellStyle name="강조색2 3 8" xfId="3406" xr:uid="{00000000-0005-0000-0000-000001060000}"/>
    <cellStyle name="강조색2 3 9" xfId="2562" xr:uid="{00000000-0005-0000-0000-000002060000}"/>
    <cellStyle name="강조색2 30" xfId="48867" xr:uid="{00000000-0005-0000-0000-000003060000}"/>
    <cellStyle name="강조색2 31" xfId="48868" xr:uid="{00000000-0005-0000-0000-000004060000}"/>
    <cellStyle name="강조색2 32" xfId="48869" xr:uid="{00000000-0005-0000-0000-000005060000}"/>
    <cellStyle name="강조색2 33" xfId="48870" xr:uid="{00000000-0005-0000-0000-000006060000}"/>
    <cellStyle name="강조색2 4" xfId="3042" xr:uid="{00000000-0005-0000-0000-000007060000}"/>
    <cellStyle name="강조색2 4 10" xfId="3446" xr:uid="{00000000-0005-0000-0000-000008060000}"/>
    <cellStyle name="강조색2 4 11" xfId="4028" xr:uid="{00000000-0005-0000-0000-000009060000}"/>
    <cellStyle name="강조색2 4 2" xfId="2446" xr:uid="{00000000-0005-0000-0000-00000A060000}"/>
    <cellStyle name="강조색2 4 3" xfId="3174" xr:uid="{00000000-0005-0000-0000-00000B060000}"/>
    <cellStyle name="강조색2 4 4" xfId="2681" xr:uid="{00000000-0005-0000-0000-00000C060000}"/>
    <cellStyle name="강조색2 4 5" xfId="3036" xr:uid="{00000000-0005-0000-0000-00000D060000}"/>
    <cellStyle name="강조색2 4 6" xfId="2899" xr:uid="{00000000-0005-0000-0000-00000E060000}"/>
    <cellStyle name="강조색2 4 7" xfId="3929" xr:uid="{00000000-0005-0000-0000-00000F060000}"/>
    <cellStyle name="강조색2 4 8" xfId="4235" xr:uid="{00000000-0005-0000-0000-000010060000}"/>
    <cellStyle name="강조색2 4 9" xfId="353" xr:uid="{00000000-0005-0000-0000-000011060000}"/>
    <cellStyle name="강조색2 5" xfId="3026" xr:uid="{00000000-0005-0000-0000-000012060000}"/>
    <cellStyle name="강조색2 5 2" xfId="3017" xr:uid="{00000000-0005-0000-0000-000013060000}"/>
    <cellStyle name="강조색2 5 3" xfId="2965" xr:uid="{00000000-0005-0000-0000-000014060000}"/>
    <cellStyle name="강조색2 5 4" xfId="3633" xr:uid="{00000000-0005-0000-0000-000015060000}"/>
    <cellStyle name="강조색2 5 5" xfId="3747" xr:uid="{00000000-0005-0000-0000-000016060000}"/>
    <cellStyle name="강조색2 6" xfId="3267" xr:uid="{00000000-0005-0000-0000-000017060000}"/>
    <cellStyle name="강조색2 6 2" xfId="3618" xr:uid="{00000000-0005-0000-0000-000018060000}"/>
    <cellStyle name="강조색2 6 3" xfId="3149" xr:uid="{00000000-0005-0000-0000-000019060000}"/>
    <cellStyle name="강조색2 6 4" xfId="3130" xr:uid="{00000000-0005-0000-0000-00001A060000}"/>
    <cellStyle name="강조색2 6 5" xfId="2785" xr:uid="{00000000-0005-0000-0000-00001B060000}"/>
    <cellStyle name="강조색2 7" xfId="3021" xr:uid="{00000000-0005-0000-0000-00001C060000}"/>
    <cellStyle name="강조색2 7 2" xfId="2704" xr:uid="{00000000-0005-0000-0000-00001D060000}"/>
    <cellStyle name="강조색2 8" xfId="2824" xr:uid="{00000000-0005-0000-0000-00001E060000}"/>
    <cellStyle name="강조색2 8 2" xfId="2583" xr:uid="{00000000-0005-0000-0000-00001F060000}"/>
    <cellStyle name="강조색2 9" xfId="6700" xr:uid="{00000000-0005-0000-0000-000020060000}"/>
    <cellStyle name="강조색3 10" xfId="6685" xr:uid="{00000000-0005-0000-0000-000021060000}"/>
    <cellStyle name="강조색3 11" xfId="6752" xr:uid="{00000000-0005-0000-0000-000022060000}"/>
    <cellStyle name="강조색3 12" xfId="6826" xr:uid="{00000000-0005-0000-0000-000023060000}"/>
    <cellStyle name="강조색3 13" xfId="48871" xr:uid="{00000000-0005-0000-0000-000024060000}"/>
    <cellStyle name="강조색3 14" xfId="48872" xr:uid="{00000000-0005-0000-0000-000025060000}"/>
    <cellStyle name="강조색3 15" xfId="48873" xr:uid="{00000000-0005-0000-0000-000026060000}"/>
    <cellStyle name="강조색3 16" xfId="48874" xr:uid="{00000000-0005-0000-0000-000027060000}"/>
    <cellStyle name="강조색3 17" xfId="48875" xr:uid="{00000000-0005-0000-0000-000028060000}"/>
    <cellStyle name="강조색3 18" xfId="48876" xr:uid="{00000000-0005-0000-0000-000029060000}"/>
    <cellStyle name="강조색3 19" xfId="48877" xr:uid="{00000000-0005-0000-0000-00002A060000}"/>
    <cellStyle name="강조색3 2" xfId="238" xr:uid="{00000000-0005-0000-0000-00002B060000}"/>
    <cellStyle name="강조색3 2 10" xfId="6751" xr:uid="{00000000-0005-0000-0000-00002C060000}"/>
    <cellStyle name="강조색3 2 11" xfId="6825" xr:uid="{00000000-0005-0000-0000-00002D060000}"/>
    <cellStyle name="강조색3 2 2" xfId="4425" xr:uid="{00000000-0005-0000-0000-00002E060000}"/>
    <cellStyle name="강조색3 2 3" xfId="6271" xr:uid="{00000000-0005-0000-0000-00002F060000}"/>
    <cellStyle name="강조색3 2 4" xfId="6520" xr:uid="{00000000-0005-0000-0000-000030060000}"/>
    <cellStyle name="강조색3 2 5" xfId="6247" xr:uid="{00000000-0005-0000-0000-000031060000}"/>
    <cellStyle name="강조색3 2 6" xfId="6547" xr:uid="{00000000-0005-0000-0000-000032060000}"/>
    <cellStyle name="강조색3 2 7" xfId="6590" xr:uid="{00000000-0005-0000-0000-000033060000}"/>
    <cellStyle name="강조색3 2 8" xfId="6697" xr:uid="{00000000-0005-0000-0000-000034060000}"/>
    <cellStyle name="강조색3 2 9" xfId="6682" xr:uid="{00000000-0005-0000-0000-000035060000}"/>
    <cellStyle name="강조색3 20" xfId="48878" xr:uid="{00000000-0005-0000-0000-000036060000}"/>
    <cellStyle name="강조색3 21" xfId="48879" xr:uid="{00000000-0005-0000-0000-000037060000}"/>
    <cellStyle name="강조색3 22" xfId="48880" xr:uid="{00000000-0005-0000-0000-000038060000}"/>
    <cellStyle name="강조색3 23" xfId="48881" xr:uid="{00000000-0005-0000-0000-000039060000}"/>
    <cellStyle name="강조색3 24" xfId="48882" xr:uid="{00000000-0005-0000-0000-00003A060000}"/>
    <cellStyle name="강조색3 25" xfId="48883" xr:uid="{00000000-0005-0000-0000-00003B060000}"/>
    <cellStyle name="강조색3 26" xfId="48884" xr:uid="{00000000-0005-0000-0000-00003C060000}"/>
    <cellStyle name="강조색3 27" xfId="48885" xr:uid="{00000000-0005-0000-0000-00003D060000}"/>
    <cellStyle name="강조색3 28" xfId="48886" xr:uid="{00000000-0005-0000-0000-00003E060000}"/>
    <cellStyle name="강조색3 29" xfId="48887" xr:uid="{00000000-0005-0000-0000-00003F060000}"/>
    <cellStyle name="강조색3 3" xfId="2955" xr:uid="{00000000-0005-0000-0000-000040060000}"/>
    <cellStyle name="강조색3 3 10" xfId="2822" xr:uid="{00000000-0005-0000-0000-000041060000}"/>
    <cellStyle name="강조색3 3 11" xfId="4297" xr:uid="{00000000-0005-0000-0000-000042060000}"/>
    <cellStyle name="강조색3 3 2" xfId="4171" xr:uid="{00000000-0005-0000-0000-000043060000}"/>
    <cellStyle name="강조색3 3 3" xfId="4291" xr:uid="{00000000-0005-0000-0000-000044060000}"/>
    <cellStyle name="강조색3 3 4" xfId="3800" xr:uid="{00000000-0005-0000-0000-000045060000}"/>
    <cellStyle name="강조색3 3 5" xfId="3749" xr:uid="{00000000-0005-0000-0000-000046060000}"/>
    <cellStyle name="강조색3 3 6" xfId="3680" xr:uid="{00000000-0005-0000-0000-000047060000}"/>
    <cellStyle name="강조색3 3 7" xfId="3798" xr:uid="{00000000-0005-0000-0000-000048060000}"/>
    <cellStyle name="강조색3 3 8" xfId="3315" xr:uid="{00000000-0005-0000-0000-000049060000}"/>
    <cellStyle name="강조색3 3 9" xfId="3555" xr:uid="{00000000-0005-0000-0000-00004A060000}"/>
    <cellStyle name="강조색3 30" xfId="48888" xr:uid="{00000000-0005-0000-0000-00004B060000}"/>
    <cellStyle name="강조색3 31" xfId="48889" xr:uid="{00000000-0005-0000-0000-00004C060000}"/>
    <cellStyle name="강조색3 32" xfId="48890" xr:uid="{00000000-0005-0000-0000-00004D060000}"/>
    <cellStyle name="강조색3 33" xfId="48891" xr:uid="{00000000-0005-0000-0000-00004E060000}"/>
    <cellStyle name="강조색3 4" xfId="3310" xr:uid="{00000000-0005-0000-0000-00004F060000}"/>
    <cellStyle name="강조색3 4 10" xfId="3676" xr:uid="{00000000-0005-0000-0000-000050060000}"/>
    <cellStyle name="강조색3 4 11" xfId="4025" xr:uid="{00000000-0005-0000-0000-000051060000}"/>
    <cellStyle name="강조색3 4 2" xfId="2568" xr:uid="{00000000-0005-0000-0000-000052060000}"/>
    <cellStyle name="강조색3 4 3" xfId="2454" xr:uid="{00000000-0005-0000-0000-000053060000}"/>
    <cellStyle name="강조색3 4 4" xfId="2691" xr:uid="{00000000-0005-0000-0000-000054060000}"/>
    <cellStyle name="강조색3 4 5" xfId="2806" xr:uid="{00000000-0005-0000-0000-000055060000}"/>
    <cellStyle name="강조색3 4 6" xfId="2570" xr:uid="{00000000-0005-0000-0000-000056060000}"/>
    <cellStyle name="강조색3 4 7" xfId="3775" xr:uid="{00000000-0005-0000-0000-000057060000}"/>
    <cellStyle name="강조색3 4 8" xfId="4153" xr:uid="{00000000-0005-0000-0000-000058060000}"/>
    <cellStyle name="강조색3 4 9" xfId="3874" xr:uid="{00000000-0005-0000-0000-000059060000}"/>
    <cellStyle name="강조색3 5" xfId="3782" xr:uid="{00000000-0005-0000-0000-00005A060000}"/>
    <cellStyle name="강조색3 5 2" xfId="3699" xr:uid="{00000000-0005-0000-0000-00005B060000}"/>
    <cellStyle name="강조색3 5 3" xfId="2933" xr:uid="{00000000-0005-0000-0000-00005C060000}"/>
    <cellStyle name="강조색3 5 4" xfId="4275" xr:uid="{00000000-0005-0000-0000-00005D060000}"/>
    <cellStyle name="강조색3 5 5" xfId="4273" xr:uid="{00000000-0005-0000-0000-00005E060000}"/>
    <cellStyle name="강조색3 6" xfId="3538" xr:uid="{00000000-0005-0000-0000-00005F060000}"/>
    <cellStyle name="강조색3 6 2" xfId="2632" xr:uid="{00000000-0005-0000-0000-000060060000}"/>
    <cellStyle name="강조색3 6 3" xfId="335" xr:uid="{00000000-0005-0000-0000-000061060000}"/>
    <cellStyle name="강조색3 6 4" xfId="2869" xr:uid="{00000000-0005-0000-0000-000062060000}"/>
    <cellStyle name="강조색3 6 5" xfId="3113" xr:uid="{00000000-0005-0000-0000-000063060000}"/>
    <cellStyle name="강조색3 7" xfId="330" xr:uid="{00000000-0005-0000-0000-000064060000}"/>
    <cellStyle name="강조색3 7 2" xfId="3354" xr:uid="{00000000-0005-0000-0000-000065060000}"/>
    <cellStyle name="강조색3 8" xfId="379" xr:uid="{00000000-0005-0000-0000-000066060000}"/>
    <cellStyle name="강조색3 8 2" xfId="3721" xr:uid="{00000000-0005-0000-0000-000067060000}"/>
    <cellStyle name="강조색3 9" xfId="6698" xr:uid="{00000000-0005-0000-0000-000068060000}"/>
    <cellStyle name="강조색4 10" xfId="6681" xr:uid="{00000000-0005-0000-0000-000069060000}"/>
    <cellStyle name="강조색4 11" xfId="6750" xr:uid="{00000000-0005-0000-0000-00006A060000}"/>
    <cellStyle name="강조색4 12" xfId="6822" xr:uid="{00000000-0005-0000-0000-00006B060000}"/>
    <cellStyle name="강조색4 13" xfId="48892" xr:uid="{00000000-0005-0000-0000-00006C060000}"/>
    <cellStyle name="강조색4 14" xfId="48893" xr:uid="{00000000-0005-0000-0000-00006D060000}"/>
    <cellStyle name="강조색4 15" xfId="48894" xr:uid="{00000000-0005-0000-0000-00006E060000}"/>
    <cellStyle name="강조색4 16" xfId="48895" xr:uid="{00000000-0005-0000-0000-00006F060000}"/>
    <cellStyle name="강조색4 17" xfId="48896" xr:uid="{00000000-0005-0000-0000-000070060000}"/>
    <cellStyle name="강조색4 18" xfId="48897" xr:uid="{00000000-0005-0000-0000-000071060000}"/>
    <cellStyle name="강조색4 19" xfId="48898" xr:uid="{00000000-0005-0000-0000-000072060000}"/>
    <cellStyle name="강조색4 2" xfId="239" xr:uid="{00000000-0005-0000-0000-000073060000}"/>
    <cellStyle name="강조색4 2 10" xfId="6747" xr:uid="{00000000-0005-0000-0000-000074060000}"/>
    <cellStyle name="강조색4 2 11" xfId="6821" xr:uid="{00000000-0005-0000-0000-000075060000}"/>
    <cellStyle name="강조색4 2 2" xfId="4426" xr:uid="{00000000-0005-0000-0000-000076060000}"/>
    <cellStyle name="강조색4 2 3" xfId="6272" xr:uid="{00000000-0005-0000-0000-000077060000}"/>
    <cellStyle name="강조색4 2 4" xfId="6519" xr:uid="{00000000-0005-0000-0000-000078060000}"/>
    <cellStyle name="강조색4 2 5" xfId="6249" xr:uid="{00000000-0005-0000-0000-000079060000}"/>
    <cellStyle name="강조색4 2 6" xfId="6545" xr:uid="{00000000-0005-0000-0000-00007A060000}"/>
    <cellStyle name="강조색4 2 7" xfId="6588" xr:uid="{00000000-0005-0000-0000-00007B060000}"/>
    <cellStyle name="강조색4 2 8" xfId="6695" xr:uid="{00000000-0005-0000-0000-00007C060000}"/>
    <cellStyle name="강조색4 2 9" xfId="6680" xr:uid="{00000000-0005-0000-0000-00007D060000}"/>
    <cellStyle name="강조색4 20" xfId="48899" xr:uid="{00000000-0005-0000-0000-00007E060000}"/>
    <cellStyle name="강조색4 21" xfId="48900" xr:uid="{00000000-0005-0000-0000-00007F060000}"/>
    <cellStyle name="강조색4 22" xfId="48901" xr:uid="{00000000-0005-0000-0000-000080060000}"/>
    <cellStyle name="강조색4 23" xfId="48902" xr:uid="{00000000-0005-0000-0000-000081060000}"/>
    <cellStyle name="강조색4 24" xfId="48903" xr:uid="{00000000-0005-0000-0000-000082060000}"/>
    <cellStyle name="강조색4 25" xfId="48904" xr:uid="{00000000-0005-0000-0000-000083060000}"/>
    <cellStyle name="강조색4 26" xfId="48905" xr:uid="{00000000-0005-0000-0000-000084060000}"/>
    <cellStyle name="강조색4 27" xfId="48906" xr:uid="{00000000-0005-0000-0000-000085060000}"/>
    <cellStyle name="강조색4 28" xfId="48907" xr:uid="{00000000-0005-0000-0000-000086060000}"/>
    <cellStyle name="강조색4 29" xfId="48908" xr:uid="{00000000-0005-0000-0000-000087060000}"/>
    <cellStyle name="강조색4 3" xfId="3964" xr:uid="{00000000-0005-0000-0000-000088060000}"/>
    <cellStyle name="강조색4 3 10" xfId="3405" xr:uid="{00000000-0005-0000-0000-000089060000}"/>
    <cellStyle name="강조색4 3 11" xfId="3120" xr:uid="{00000000-0005-0000-0000-00008A060000}"/>
    <cellStyle name="강조색4 3 2" xfId="2641" xr:uid="{00000000-0005-0000-0000-00008B060000}"/>
    <cellStyle name="강조색4 3 3" xfId="4093" xr:uid="{00000000-0005-0000-0000-00008C060000}"/>
    <cellStyle name="강조색4 3 4" xfId="3606" xr:uid="{00000000-0005-0000-0000-00008D060000}"/>
    <cellStyle name="강조색4 3 5" xfId="339" xr:uid="{00000000-0005-0000-0000-00008E060000}"/>
    <cellStyle name="강조색4 3 6" xfId="2648" xr:uid="{00000000-0005-0000-0000-00008F060000}"/>
    <cellStyle name="강조색4 3 7" xfId="3608" xr:uid="{00000000-0005-0000-0000-000090060000}"/>
    <cellStyle name="강조색4 3 8" xfId="3614" xr:uid="{00000000-0005-0000-0000-000091060000}"/>
    <cellStyle name="강조색4 3 9" xfId="3611" xr:uid="{00000000-0005-0000-0000-000092060000}"/>
    <cellStyle name="강조색4 30" xfId="48909" xr:uid="{00000000-0005-0000-0000-000093060000}"/>
    <cellStyle name="강조색4 31" xfId="48910" xr:uid="{00000000-0005-0000-0000-000094060000}"/>
    <cellStyle name="강조색4 32" xfId="48911" xr:uid="{00000000-0005-0000-0000-000095060000}"/>
    <cellStyle name="강조색4 33" xfId="48912" xr:uid="{00000000-0005-0000-0000-000096060000}"/>
    <cellStyle name="강조색4 4" xfId="4099" xr:uid="{00000000-0005-0000-0000-000097060000}"/>
    <cellStyle name="강조색4 4 10" xfId="3854" xr:uid="{00000000-0005-0000-0000-000098060000}"/>
    <cellStyle name="강조색4 4 11" xfId="348" xr:uid="{00000000-0005-0000-0000-000099060000}"/>
    <cellStyle name="강조색4 4 2" xfId="3007" xr:uid="{00000000-0005-0000-0000-00009A060000}"/>
    <cellStyle name="강조색4 4 3" xfId="3621" xr:uid="{00000000-0005-0000-0000-00009B060000}"/>
    <cellStyle name="강조색4 4 4" xfId="3127" xr:uid="{00000000-0005-0000-0000-00009C060000}"/>
    <cellStyle name="강조색4 4 5" xfId="3882" xr:uid="{00000000-0005-0000-0000-00009D060000}"/>
    <cellStyle name="강조색4 4 6" xfId="4107" xr:uid="{00000000-0005-0000-0000-00009E060000}"/>
    <cellStyle name="강조색4 4 7" xfId="4185" xr:uid="{00000000-0005-0000-0000-00009F060000}"/>
    <cellStyle name="강조색4 4 8" xfId="3254" xr:uid="{00000000-0005-0000-0000-0000A0060000}"/>
    <cellStyle name="강조색4 4 9" xfId="4119" xr:uid="{00000000-0005-0000-0000-0000A1060000}"/>
    <cellStyle name="강조색4 5" xfId="2614" xr:uid="{00000000-0005-0000-0000-0000A2060000}"/>
    <cellStyle name="강조색4 5 2" xfId="2855" xr:uid="{00000000-0005-0000-0000-0000A3060000}"/>
    <cellStyle name="강조색4 5 3" xfId="2851" xr:uid="{00000000-0005-0000-0000-0000A4060000}"/>
    <cellStyle name="강조색4 5 4" xfId="3096" xr:uid="{00000000-0005-0000-0000-0000A5060000}"/>
    <cellStyle name="강조색4 5 5" xfId="3341" xr:uid="{00000000-0005-0000-0000-0000A6060000}"/>
    <cellStyle name="강조색4 6" xfId="310" xr:uid="{00000000-0005-0000-0000-0000A7060000}"/>
    <cellStyle name="강조색4 6 2" xfId="369" xr:uid="{00000000-0005-0000-0000-0000A8060000}"/>
    <cellStyle name="강조색4 6 3" xfId="3588" xr:uid="{00000000-0005-0000-0000-0000A9060000}"/>
    <cellStyle name="강조색4 6 4" xfId="3107" xr:uid="{00000000-0005-0000-0000-0000AA060000}"/>
    <cellStyle name="강조색4 6 5" xfId="3830" xr:uid="{00000000-0005-0000-0000-0000AB060000}"/>
    <cellStyle name="강조색4 7" xfId="2736" xr:uid="{00000000-0005-0000-0000-0000AC060000}"/>
    <cellStyle name="강조색4 7 2" xfId="2557" xr:uid="{00000000-0005-0000-0000-0000AD060000}"/>
    <cellStyle name="강조색4 8" xfId="2625" xr:uid="{00000000-0005-0000-0000-0000AE060000}"/>
    <cellStyle name="강조색4 8 2" xfId="3281" xr:uid="{00000000-0005-0000-0000-0000AF060000}"/>
    <cellStyle name="강조색4 9" xfId="6696" xr:uid="{00000000-0005-0000-0000-0000B0060000}"/>
    <cellStyle name="강조색5 10" xfId="6677" xr:uid="{00000000-0005-0000-0000-0000B1060000}"/>
    <cellStyle name="강조색5 11" xfId="6746" xr:uid="{00000000-0005-0000-0000-0000B2060000}"/>
    <cellStyle name="강조색5 12" xfId="6818" xr:uid="{00000000-0005-0000-0000-0000B3060000}"/>
    <cellStyle name="강조색5 13" xfId="48913" xr:uid="{00000000-0005-0000-0000-0000B4060000}"/>
    <cellStyle name="강조색5 14" xfId="48914" xr:uid="{00000000-0005-0000-0000-0000B5060000}"/>
    <cellStyle name="강조색5 15" xfId="48915" xr:uid="{00000000-0005-0000-0000-0000B6060000}"/>
    <cellStyle name="강조색5 16" xfId="48916" xr:uid="{00000000-0005-0000-0000-0000B7060000}"/>
    <cellStyle name="강조색5 17" xfId="48917" xr:uid="{00000000-0005-0000-0000-0000B8060000}"/>
    <cellStyle name="강조색5 18" xfId="48918" xr:uid="{00000000-0005-0000-0000-0000B9060000}"/>
    <cellStyle name="강조색5 19" xfId="48919" xr:uid="{00000000-0005-0000-0000-0000BA060000}"/>
    <cellStyle name="강조색5 2" xfId="240" xr:uid="{00000000-0005-0000-0000-0000BB060000}"/>
    <cellStyle name="강조색5 2 10" xfId="6745" xr:uid="{00000000-0005-0000-0000-0000BC060000}"/>
    <cellStyle name="강조색5 2 11" xfId="6817" xr:uid="{00000000-0005-0000-0000-0000BD060000}"/>
    <cellStyle name="강조색5 2 2" xfId="4427" xr:uid="{00000000-0005-0000-0000-0000BE060000}"/>
    <cellStyle name="강조색5 2 3" xfId="6273" xr:uid="{00000000-0005-0000-0000-0000BF060000}"/>
    <cellStyle name="강조색5 2 4" xfId="6518" xr:uid="{00000000-0005-0000-0000-0000C0060000}"/>
    <cellStyle name="강조색5 2 5" xfId="6250" xr:uid="{00000000-0005-0000-0000-0000C1060000}"/>
    <cellStyle name="강조색5 2 6" xfId="6539" xr:uid="{00000000-0005-0000-0000-0000C2060000}"/>
    <cellStyle name="강조색5 2 7" xfId="6587" xr:uid="{00000000-0005-0000-0000-0000C3060000}"/>
    <cellStyle name="강조색5 2 8" xfId="6634" xr:uid="{00000000-0005-0000-0000-0000C4060000}"/>
    <cellStyle name="강조색5 2 9" xfId="6676" xr:uid="{00000000-0005-0000-0000-0000C5060000}"/>
    <cellStyle name="강조색5 20" xfId="48920" xr:uid="{00000000-0005-0000-0000-0000C6060000}"/>
    <cellStyle name="강조색5 21" xfId="48921" xr:uid="{00000000-0005-0000-0000-0000C7060000}"/>
    <cellStyle name="강조색5 22" xfId="48922" xr:uid="{00000000-0005-0000-0000-0000C8060000}"/>
    <cellStyle name="강조색5 23" xfId="48923" xr:uid="{00000000-0005-0000-0000-0000C9060000}"/>
    <cellStyle name="강조색5 24" xfId="48924" xr:uid="{00000000-0005-0000-0000-0000CA060000}"/>
    <cellStyle name="강조색5 25" xfId="48925" xr:uid="{00000000-0005-0000-0000-0000CB060000}"/>
    <cellStyle name="강조색5 26" xfId="48926" xr:uid="{00000000-0005-0000-0000-0000CC060000}"/>
    <cellStyle name="강조색5 27" xfId="48927" xr:uid="{00000000-0005-0000-0000-0000CD060000}"/>
    <cellStyle name="강조색5 28" xfId="48928" xr:uid="{00000000-0005-0000-0000-0000CE060000}"/>
    <cellStyle name="강조색5 29" xfId="48929" xr:uid="{00000000-0005-0000-0000-0000CF060000}"/>
    <cellStyle name="강조색5 3" xfId="359" xr:uid="{00000000-0005-0000-0000-0000D0060000}"/>
    <cellStyle name="강조색5 3 10" xfId="380" xr:uid="{00000000-0005-0000-0000-0000D1060000}"/>
    <cellStyle name="강조색5 3 11" xfId="3292" xr:uid="{00000000-0005-0000-0000-0000D2060000}"/>
    <cellStyle name="강조색5 3 2" xfId="3640" xr:uid="{00000000-0005-0000-0000-0000D3060000}"/>
    <cellStyle name="강조색5 3 3" xfId="3703" xr:uid="{00000000-0005-0000-0000-0000D4060000}"/>
    <cellStyle name="강조색5 3 4" xfId="3443" xr:uid="{00000000-0005-0000-0000-0000D5060000}"/>
    <cellStyle name="강조색5 3 5" xfId="3051" xr:uid="{00000000-0005-0000-0000-0000D6060000}"/>
    <cellStyle name="강조색5 3 6" xfId="2718" xr:uid="{00000000-0005-0000-0000-0000D7060000}"/>
    <cellStyle name="강조색5 3 7" xfId="3928" xr:uid="{00000000-0005-0000-0000-0000D8060000}"/>
    <cellStyle name="강조색5 3 8" xfId="3487" xr:uid="{00000000-0005-0000-0000-0000D9060000}"/>
    <cellStyle name="강조색5 3 9" xfId="3301" xr:uid="{00000000-0005-0000-0000-0000DA060000}"/>
    <cellStyle name="강조색5 30" xfId="48930" xr:uid="{00000000-0005-0000-0000-0000DB060000}"/>
    <cellStyle name="강조색5 31" xfId="48931" xr:uid="{00000000-0005-0000-0000-0000DC060000}"/>
    <cellStyle name="강조색5 32" xfId="48932" xr:uid="{00000000-0005-0000-0000-0000DD060000}"/>
    <cellStyle name="강조색5 33" xfId="48933" xr:uid="{00000000-0005-0000-0000-0000DE060000}"/>
    <cellStyle name="강조색5 4" xfId="2960" xr:uid="{00000000-0005-0000-0000-0000DF060000}"/>
    <cellStyle name="강조색5 4 10" xfId="3694" xr:uid="{00000000-0005-0000-0000-0000E0060000}"/>
    <cellStyle name="강조색5 4 11" xfId="3785" xr:uid="{00000000-0005-0000-0000-0000E1060000}"/>
    <cellStyle name="강조색5 4 2" xfId="3814" xr:uid="{00000000-0005-0000-0000-0000E2060000}"/>
    <cellStyle name="강조색5 4 3" xfId="4184" xr:uid="{00000000-0005-0000-0000-0000E3060000}"/>
    <cellStyle name="강조색5 4 4" xfId="3697" xr:uid="{00000000-0005-0000-0000-0000E4060000}"/>
    <cellStyle name="강조색5 4 5" xfId="4178" xr:uid="{00000000-0005-0000-0000-0000E5060000}"/>
    <cellStyle name="강조색5 4 6" xfId="4018" xr:uid="{00000000-0005-0000-0000-0000E6060000}"/>
    <cellStyle name="강조색5 4 7" xfId="3224" xr:uid="{00000000-0005-0000-0000-0000E7060000}"/>
    <cellStyle name="강조색5 4 8" xfId="371" xr:uid="{00000000-0005-0000-0000-0000E8060000}"/>
    <cellStyle name="강조색5 4 9" xfId="2823" xr:uid="{00000000-0005-0000-0000-0000E9060000}"/>
    <cellStyle name="강조색5 5" xfId="4133" xr:uid="{00000000-0005-0000-0000-0000EA060000}"/>
    <cellStyle name="강조색5 5 2" xfId="356" xr:uid="{00000000-0005-0000-0000-0000EB060000}"/>
    <cellStyle name="강조색5 5 3" xfId="3638" xr:uid="{00000000-0005-0000-0000-0000EC060000}"/>
    <cellStyle name="강조색5 5 4" xfId="3356" xr:uid="{00000000-0005-0000-0000-0000ED060000}"/>
    <cellStyle name="강조색5 5 5" xfId="3888" xr:uid="{00000000-0005-0000-0000-0000EE060000}"/>
    <cellStyle name="강조색5 6" xfId="3652" xr:uid="{00000000-0005-0000-0000-0000EF060000}"/>
    <cellStyle name="강조색5 6 2" xfId="3429" xr:uid="{00000000-0005-0000-0000-0000F0060000}"/>
    <cellStyle name="강조색5 6 3" xfId="3422" xr:uid="{00000000-0005-0000-0000-0000F1060000}"/>
    <cellStyle name="강조색5 6 4" xfId="3403" xr:uid="{00000000-0005-0000-0000-0000F2060000}"/>
    <cellStyle name="강조색5 6 5" xfId="2941" xr:uid="{00000000-0005-0000-0000-0000F3060000}"/>
    <cellStyle name="강조색5 7" xfId="4138" xr:uid="{00000000-0005-0000-0000-0000F4060000}"/>
    <cellStyle name="강조색5 7 2" xfId="4011" xr:uid="{00000000-0005-0000-0000-0000F5060000}"/>
    <cellStyle name="강조색5 8" xfId="3307" xr:uid="{00000000-0005-0000-0000-0000F6060000}"/>
    <cellStyle name="강조색5 8 2" xfId="2764" xr:uid="{00000000-0005-0000-0000-0000F7060000}"/>
    <cellStyle name="강조색5 9" xfId="6635" xr:uid="{00000000-0005-0000-0000-0000F8060000}"/>
    <cellStyle name="강조색6 10" xfId="6673" xr:uid="{00000000-0005-0000-0000-0000F9060000}"/>
    <cellStyle name="강조색6 11" xfId="6742" xr:uid="{00000000-0005-0000-0000-0000FA060000}"/>
    <cellStyle name="강조색6 12" xfId="6816" xr:uid="{00000000-0005-0000-0000-0000FB060000}"/>
    <cellStyle name="강조색6 13" xfId="48934" xr:uid="{00000000-0005-0000-0000-0000FC060000}"/>
    <cellStyle name="강조색6 14" xfId="48935" xr:uid="{00000000-0005-0000-0000-0000FD060000}"/>
    <cellStyle name="강조색6 15" xfId="48936" xr:uid="{00000000-0005-0000-0000-0000FE060000}"/>
    <cellStyle name="강조색6 16" xfId="48937" xr:uid="{00000000-0005-0000-0000-0000FF060000}"/>
    <cellStyle name="강조색6 17" xfId="48938" xr:uid="{00000000-0005-0000-0000-000000070000}"/>
    <cellStyle name="강조색6 18" xfId="48939" xr:uid="{00000000-0005-0000-0000-000001070000}"/>
    <cellStyle name="강조색6 19" xfId="48940" xr:uid="{00000000-0005-0000-0000-000002070000}"/>
    <cellStyle name="강조색6 2" xfId="241" xr:uid="{00000000-0005-0000-0000-000003070000}"/>
    <cellStyle name="강조색6 2 10" xfId="6741" xr:uid="{00000000-0005-0000-0000-000004070000}"/>
    <cellStyle name="강조색6 2 11" xfId="6813" xr:uid="{00000000-0005-0000-0000-000005070000}"/>
    <cellStyle name="강조색6 2 2" xfId="4428" xr:uid="{00000000-0005-0000-0000-000006070000}"/>
    <cellStyle name="강조색6 2 3" xfId="6274" xr:uid="{00000000-0005-0000-0000-000007070000}"/>
    <cellStyle name="강조색6 2 4" xfId="6517" xr:uid="{00000000-0005-0000-0000-000008070000}"/>
    <cellStyle name="강조색6 2 5" xfId="6252" xr:uid="{00000000-0005-0000-0000-000009070000}"/>
    <cellStyle name="강조색6 2 6" xfId="6535" xr:uid="{00000000-0005-0000-0000-00000A070000}"/>
    <cellStyle name="강조색6 2 7" xfId="6585" xr:uid="{00000000-0005-0000-0000-00000B070000}"/>
    <cellStyle name="강조색6 2 8" xfId="6631" xr:uid="{00000000-0005-0000-0000-00000C070000}"/>
    <cellStyle name="강조색6 2 9" xfId="6672" xr:uid="{00000000-0005-0000-0000-00000D070000}"/>
    <cellStyle name="강조색6 20" xfId="48941" xr:uid="{00000000-0005-0000-0000-00000E070000}"/>
    <cellStyle name="강조색6 21" xfId="48942" xr:uid="{00000000-0005-0000-0000-00000F070000}"/>
    <cellStyle name="강조색6 22" xfId="48943" xr:uid="{00000000-0005-0000-0000-000010070000}"/>
    <cellStyle name="강조색6 23" xfId="48944" xr:uid="{00000000-0005-0000-0000-000011070000}"/>
    <cellStyle name="강조색6 24" xfId="48945" xr:uid="{00000000-0005-0000-0000-000012070000}"/>
    <cellStyle name="강조색6 25" xfId="48946" xr:uid="{00000000-0005-0000-0000-000013070000}"/>
    <cellStyle name="강조색6 26" xfId="48947" xr:uid="{00000000-0005-0000-0000-000014070000}"/>
    <cellStyle name="강조색6 27" xfId="48948" xr:uid="{00000000-0005-0000-0000-000015070000}"/>
    <cellStyle name="강조색6 28" xfId="48949" xr:uid="{00000000-0005-0000-0000-000016070000}"/>
    <cellStyle name="강조색6 29" xfId="48950" xr:uid="{00000000-0005-0000-0000-000017070000}"/>
    <cellStyle name="강조색6 3" xfId="4078" xr:uid="{00000000-0005-0000-0000-000018070000}"/>
    <cellStyle name="강조색6 3 10" xfId="4175" xr:uid="{00000000-0005-0000-0000-000019070000}"/>
    <cellStyle name="강조색6 3 11" xfId="2898" xr:uid="{00000000-0005-0000-0000-00001A070000}"/>
    <cellStyle name="강조색6 3 2" xfId="4117" xr:uid="{00000000-0005-0000-0000-00001B070000}"/>
    <cellStyle name="강조색6 3 3" xfId="2425" xr:uid="{00000000-0005-0000-0000-00001C070000}"/>
    <cellStyle name="강조색6 3 4" xfId="3628" xr:uid="{00000000-0005-0000-0000-00001D070000}"/>
    <cellStyle name="강조색6 3 5" xfId="2569" xr:uid="{00000000-0005-0000-0000-00001E070000}"/>
    <cellStyle name="강조색6 3 6" xfId="2886" xr:uid="{00000000-0005-0000-0000-00001F070000}"/>
    <cellStyle name="강조색6 3 7" xfId="3656" xr:uid="{00000000-0005-0000-0000-000020070000}"/>
    <cellStyle name="강조색6 3 8" xfId="3998" xr:uid="{00000000-0005-0000-0000-000021070000}"/>
    <cellStyle name="강조색6 3 9" xfId="2459" xr:uid="{00000000-0005-0000-0000-000022070000}"/>
    <cellStyle name="강조색6 30" xfId="48951" xr:uid="{00000000-0005-0000-0000-000023070000}"/>
    <cellStyle name="강조색6 31" xfId="48952" xr:uid="{00000000-0005-0000-0000-000024070000}"/>
    <cellStyle name="강조색6 32" xfId="48953" xr:uid="{00000000-0005-0000-0000-000025070000}"/>
    <cellStyle name="강조색6 33" xfId="48954" xr:uid="{00000000-0005-0000-0000-000026070000}"/>
    <cellStyle name="강조색6 4" xfId="276" xr:uid="{00000000-0005-0000-0000-000027070000}"/>
    <cellStyle name="강조색6 4 10" xfId="2830" xr:uid="{00000000-0005-0000-0000-000028070000}"/>
    <cellStyle name="강조색6 4 11" xfId="2531" xr:uid="{00000000-0005-0000-0000-000029070000}"/>
    <cellStyle name="강조색6 4 2" xfId="3431" xr:uid="{00000000-0005-0000-0000-00002A070000}"/>
    <cellStyle name="강조색6 4 3" xfId="2488" xr:uid="{00000000-0005-0000-0000-00002B070000}"/>
    <cellStyle name="강조색6 4 4" xfId="3550" xr:uid="{00000000-0005-0000-0000-00002C070000}"/>
    <cellStyle name="강조색6 4 5" xfId="272" xr:uid="{00000000-0005-0000-0000-00002D070000}"/>
    <cellStyle name="강조색6 4 6" xfId="3913" xr:uid="{00000000-0005-0000-0000-00002E070000}"/>
    <cellStyle name="강조색6 4 7" xfId="3340" xr:uid="{00000000-0005-0000-0000-00002F070000}"/>
    <cellStyle name="강조색6 4 7 2" xfId="49732" xr:uid="{00000000-0005-0000-0000-000030070000}"/>
    <cellStyle name="강조색6 4 8" xfId="4168" xr:uid="{00000000-0005-0000-0000-000031070000}"/>
    <cellStyle name="강조색6 4 9" xfId="2714" xr:uid="{00000000-0005-0000-0000-000032070000}"/>
    <cellStyle name="강조색6 5" xfId="2455" xr:uid="{00000000-0005-0000-0000-000033070000}"/>
    <cellStyle name="강조색6 5 2" xfId="2727" xr:uid="{00000000-0005-0000-0000-000034070000}"/>
    <cellStyle name="강조색6 5 3" xfId="3265" xr:uid="{00000000-0005-0000-0000-000035070000}"/>
    <cellStyle name="강조색6 5 4" xfId="4050" xr:uid="{00000000-0005-0000-0000-000036070000}"/>
    <cellStyle name="강조색6 5 5" xfId="4205" xr:uid="{00000000-0005-0000-0000-000037070000}"/>
    <cellStyle name="강조색6 6" xfId="3069" xr:uid="{00000000-0005-0000-0000-000038070000}"/>
    <cellStyle name="강조색6 6 2" xfId="3434" xr:uid="{00000000-0005-0000-0000-000039070000}"/>
    <cellStyle name="강조색6 6 3" xfId="3746" xr:uid="{00000000-0005-0000-0000-00003A070000}"/>
    <cellStyle name="강조색6 6 4" xfId="2926" xr:uid="{00000000-0005-0000-0000-00003B070000}"/>
    <cellStyle name="강조색6 6 5" xfId="2465" xr:uid="{00000000-0005-0000-0000-00003C070000}"/>
    <cellStyle name="강조색6 7" xfId="4238" xr:uid="{00000000-0005-0000-0000-00003D070000}"/>
    <cellStyle name="강조색6 7 2" xfId="2897" xr:uid="{00000000-0005-0000-0000-00003E070000}"/>
    <cellStyle name="강조색6 8" xfId="2702" xr:uid="{00000000-0005-0000-0000-00003F070000}"/>
    <cellStyle name="강조색6 8 2" xfId="2508" xr:uid="{00000000-0005-0000-0000-000040070000}"/>
    <cellStyle name="강조색6 9" xfId="6632" xr:uid="{00000000-0005-0000-0000-000041070000}"/>
    <cellStyle name="경고문 10" xfId="6666" xr:uid="{00000000-0005-0000-0000-000042070000}"/>
    <cellStyle name="경고문 11" xfId="6733" xr:uid="{00000000-0005-0000-0000-000043070000}"/>
    <cellStyle name="경고문 12" xfId="6812" xr:uid="{00000000-0005-0000-0000-000044070000}"/>
    <cellStyle name="경고문 13" xfId="48955" xr:uid="{00000000-0005-0000-0000-000045070000}"/>
    <cellStyle name="경고문 14" xfId="48956" xr:uid="{00000000-0005-0000-0000-000046070000}"/>
    <cellStyle name="경고문 15" xfId="48957" xr:uid="{00000000-0005-0000-0000-000047070000}"/>
    <cellStyle name="경고문 16" xfId="48958" xr:uid="{00000000-0005-0000-0000-000048070000}"/>
    <cellStyle name="경고문 17" xfId="48959" xr:uid="{00000000-0005-0000-0000-000049070000}"/>
    <cellStyle name="경고문 18" xfId="48960" xr:uid="{00000000-0005-0000-0000-00004A070000}"/>
    <cellStyle name="경고문 19" xfId="48961" xr:uid="{00000000-0005-0000-0000-00004B070000}"/>
    <cellStyle name="경고문 2" xfId="242" xr:uid="{00000000-0005-0000-0000-00004C070000}"/>
    <cellStyle name="경고문 2 10" xfId="6730" xr:uid="{00000000-0005-0000-0000-00004D070000}"/>
    <cellStyle name="경고문 2 11" xfId="6811" xr:uid="{00000000-0005-0000-0000-00004E070000}"/>
    <cellStyle name="경고문 2 2" xfId="4429" xr:uid="{00000000-0005-0000-0000-00004F070000}"/>
    <cellStyle name="경고문 2 3" xfId="6275" xr:uid="{00000000-0005-0000-0000-000050070000}"/>
    <cellStyle name="경고문 2 4" xfId="6516" xr:uid="{00000000-0005-0000-0000-000051070000}"/>
    <cellStyle name="경고문 2 5" xfId="6254" xr:uid="{00000000-0005-0000-0000-000052070000}"/>
    <cellStyle name="경고문 2 6" xfId="6534" xr:uid="{00000000-0005-0000-0000-000053070000}"/>
    <cellStyle name="경고문 2 7" xfId="6583" xr:uid="{00000000-0005-0000-0000-000054070000}"/>
    <cellStyle name="경고문 2 8" xfId="6628" xr:uid="{00000000-0005-0000-0000-000055070000}"/>
    <cellStyle name="경고문 2 9" xfId="6661" xr:uid="{00000000-0005-0000-0000-000056070000}"/>
    <cellStyle name="경고문 20" xfId="48962" xr:uid="{00000000-0005-0000-0000-000057070000}"/>
    <cellStyle name="경고문 21" xfId="48963" xr:uid="{00000000-0005-0000-0000-000058070000}"/>
    <cellStyle name="경고문 22" xfId="48964" xr:uid="{00000000-0005-0000-0000-000059070000}"/>
    <cellStyle name="경고문 23" xfId="48965" xr:uid="{00000000-0005-0000-0000-00005A070000}"/>
    <cellStyle name="경고문 24" xfId="48966" xr:uid="{00000000-0005-0000-0000-00005B070000}"/>
    <cellStyle name="경고문 25" xfId="48967" xr:uid="{00000000-0005-0000-0000-00005C070000}"/>
    <cellStyle name="경고문 26" xfId="48968" xr:uid="{00000000-0005-0000-0000-00005D070000}"/>
    <cellStyle name="경고문 27" xfId="48969" xr:uid="{00000000-0005-0000-0000-00005E070000}"/>
    <cellStyle name="경고문 28" xfId="48970" xr:uid="{00000000-0005-0000-0000-00005F070000}"/>
    <cellStyle name="경고문 29" xfId="48971" xr:uid="{00000000-0005-0000-0000-000060070000}"/>
    <cellStyle name="경고문 3" xfId="2931" xr:uid="{00000000-0005-0000-0000-000061070000}"/>
    <cellStyle name="경고문 3 10" xfId="3232" xr:uid="{00000000-0005-0000-0000-000062070000}"/>
    <cellStyle name="경고문 3 11" xfId="4174" xr:uid="{00000000-0005-0000-0000-000063070000}"/>
    <cellStyle name="경고문 3 2" xfId="2665" xr:uid="{00000000-0005-0000-0000-000064070000}"/>
    <cellStyle name="경고문 3 3" xfId="4152" xr:uid="{00000000-0005-0000-0000-000065070000}"/>
    <cellStyle name="경고문 3 4" xfId="3665" xr:uid="{00000000-0005-0000-0000-000066070000}"/>
    <cellStyle name="경고문 3 5" xfId="3172" xr:uid="{00000000-0005-0000-0000-000067070000}"/>
    <cellStyle name="경고문 3 6" xfId="3547" xr:uid="{00000000-0005-0000-0000-000068070000}"/>
    <cellStyle name="경고문 3 7" xfId="340" xr:uid="{00000000-0005-0000-0000-000069070000}"/>
    <cellStyle name="경고문 3 8" xfId="4206" xr:uid="{00000000-0005-0000-0000-00006A070000}"/>
    <cellStyle name="경고문 3 9" xfId="4038" xr:uid="{00000000-0005-0000-0000-00006B070000}"/>
    <cellStyle name="경고문 30" xfId="48972" xr:uid="{00000000-0005-0000-0000-00006C070000}"/>
    <cellStyle name="경고문 31" xfId="48973" xr:uid="{00000000-0005-0000-0000-00006D070000}"/>
    <cellStyle name="경고문 32" xfId="48974" xr:uid="{00000000-0005-0000-0000-00006E070000}"/>
    <cellStyle name="경고문 33" xfId="48975" xr:uid="{00000000-0005-0000-0000-00006F070000}"/>
    <cellStyle name="경고문 4" xfId="2634" xr:uid="{00000000-0005-0000-0000-000070070000}"/>
    <cellStyle name="경고문 4 10" xfId="2987" xr:uid="{00000000-0005-0000-0000-000071070000}"/>
    <cellStyle name="경고문 4 11" xfId="3015" xr:uid="{00000000-0005-0000-0000-000072070000}"/>
    <cellStyle name="경고문 4 2" xfId="2711" xr:uid="{00000000-0005-0000-0000-000073070000}"/>
    <cellStyle name="경고문 4 3" xfId="3910" xr:uid="{00000000-0005-0000-0000-000074070000}"/>
    <cellStyle name="경고문 4 4" xfId="3417" xr:uid="{00000000-0005-0000-0000-000075070000}"/>
    <cellStyle name="경고문 4 5" xfId="2936" xr:uid="{00000000-0005-0000-0000-000076070000}"/>
    <cellStyle name="경고문 4 6" xfId="2853" xr:uid="{00000000-0005-0000-0000-000077070000}"/>
    <cellStyle name="경고문 4 7" xfId="3425" xr:uid="{00000000-0005-0000-0000-000078070000}"/>
    <cellStyle name="경고문 4 8" xfId="2932" xr:uid="{00000000-0005-0000-0000-000079070000}"/>
    <cellStyle name="경고문 4 9" xfId="2759" xr:uid="{00000000-0005-0000-0000-00007A070000}"/>
    <cellStyle name="경고문 5" xfId="3477" xr:uid="{00000000-0005-0000-0000-00007B070000}"/>
    <cellStyle name="경고문 5 2" xfId="3619" xr:uid="{00000000-0005-0000-0000-00007C070000}"/>
    <cellStyle name="경고문 5 3" xfId="373" xr:uid="{00000000-0005-0000-0000-00007D070000}"/>
    <cellStyle name="경고문 5 4" xfId="4221" xr:uid="{00000000-0005-0000-0000-00007E070000}"/>
    <cellStyle name="경고문 5 5" xfId="3152" xr:uid="{00000000-0005-0000-0000-00007F070000}"/>
    <cellStyle name="경고문 6" xfId="381" xr:uid="{00000000-0005-0000-0000-000080070000}"/>
    <cellStyle name="경고문 6 2" xfId="3005" xr:uid="{00000000-0005-0000-0000-000081070000}"/>
    <cellStyle name="경고문 6 3" xfId="378" xr:uid="{00000000-0005-0000-0000-000082070000}"/>
    <cellStyle name="경고문 6 4" xfId="4254" xr:uid="{00000000-0005-0000-0000-000083070000}"/>
    <cellStyle name="경고문 6 5" xfId="2772" xr:uid="{00000000-0005-0000-0000-000084070000}"/>
    <cellStyle name="경고문 7" xfId="3917" xr:uid="{00000000-0005-0000-0000-000085070000}"/>
    <cellStyle name="경고문 7 2" xfId="4212" xr:uid="{00000000-0005-0000-0000-000086070000}"/>
    <cellStyle name="경고문 8" xfId="2771" xr:uid="{00000000-0005-0000-0000-000087070000}"/>
    <cellStyle name="경고문 8 2" xfId="2533" xr:uid="{00000000-0005-0000-0000-000088070000}"/>
    <cellStyle name="경고문 9" xfId="6630" xr:uid="{00000000-0005-0000-0000-000089070000}"/>
    <cellStyle name="계산 10" xfId="6657" xr:uid="{00000000-0005-0000-0000-00008A070000}"/>
    <cellStyle name="계산 11" xfId="6729" xr:uid="{00000000-0005-0000-0000-00008B070000}"/>
    <cellStyle name="계산 12" xfId="6808" xr:uid="{00000000-0005-0000-0000-00008C070000}"/>
    <cellStyle name="계산 13" xfId="48976" xr:uid="{00000000-0005-0000-0000-00008D070000}"/>
    <cellStyle name="계산 14" xfId="48977" xr:uid="{00000000-0005-0000-0000-00008E070000}"/>
    <cellStyle name="계산 15" xfId="48978" xr:uid="{00000000-0005-0000-0000-00008F070000}"/>
    <cellStyle name="계산 16" xfId="48979" xr:uid="{00000000-0005-0000-0000-000090070000}"/>
    <cellStyle name="계산 17" xfId="48980" xr:uid="{00000000-0005-0000-0000-000091070000}"/>
    <cellStyle name="계산 18" xfId="48981" xr:uid="{00000000-0005-0000-0000-000092070000}"/>
    <cellStyle name="계산 19" xfId="48982" xr:uid="{00000000-0005-0000-0000-000093070000}"/>
    <cellStyle name="계산 2" xfId="243" xr:uid="{00000000-0005-0000-0000-000094070000}"/>
    <cellStyle name="계산 2 10" xfId="4431" xr:uid="{00000000-0005-0000-0000-000095070000}"/>
    <cellStyle name="계산 2 10 2" xfId="4432" xr:uid="{00000000-0005-0000-0000-000096070000}"/>
    <cellStyle name="계산 2 11" xfId="4433" xr:uid="{00000000-0005-0000-0000-000097070000}"/>
    <cellStyle name="계산 2 11 2" xfId="4434" xr:uid="{00000000-0005-0000-0000-000098070000}"/>
    <cellStyle name="계산 2 12" xfId="4435" xr:uid="{00000000-0005-0000-0000-000099070000}"/>
    <cellStyle name="계산 2 12 2" xfId="4436" xr:uid="{00000000-0005-0000-0000-00009A070000}"/>
    <cellStyle name="계산 2 13" xfId="4437" xr:uid="{00000000-0005-0000-0000-00009B070000}"/>
    <cellStyle name="계산 2 13 2" xfId="4438" xr:uid="{00000000-0005-0000-0000-00009C070000}"/>
    <cellStyle name="계산 2 14" xfId="4439" xr:uid="{00000000-0005-0000-0000-00009D070000}"/>
    <cellStyle name="계산 2 14 2" xfId="4440" xr:uid="{00000000-0005-0000-0000-00009E070000}"/>
    <cellStyle name="계산 2 15" xfId="4441" xr:uid="{00000000-0005-0000-0000-00009F070000}"/>
    <cellStyle name="계산 2 15 2" xfId="4442" xr:uid="{00000000-0005-0000-0000-0000A0070000}"/>
    <cellStyle name="계산 2 16" xfId="4443" xr:uid="{00000000-0005-0000-0000-0000A1070000}"/>
    <cellStyle name="계산 2 16 2" xfId="4444" xr:uid="{00000000-0005-0000-0000-0000A2070000}"/>
    <cellStyle name="계산 2 17" xfId="4445" xr:uid="{00000000-0005-0000-0000-0000A3070000}"/>
    <cellStyle name="계산 2 17 2" xfId="4446" xr:uid="{00000000-0005-0000-0000-0000A4070000}"/>
    <cellStyle name="계산 2 18" xfId="4447" xr:uid="{00000000-0005-0000-0000-0000A5070000}"/>
    <cellStyle name="계산 2 18 2" xfId="4448" xr:uid="{00000000-0005-0000-0000-0000A6070000}"/>
    <cellStyle name="계산 2 19" xfId="4449" xr:uid="{00000000-0005-0000-0000-0000A7070000}"/>
    <cellStyle name="계산 2 19 2" xfId="4450" xr:uid="{00000000-0005-0000-0000-0000A8070000}"/>
    <cellStyle name="계산 2 2" xfId="4430" xr:uid="{00000000-0005-0000-0000-0000A9070000}"/>
    <cellStyle name="계산 2 2 10" xfId="4452" xr:uid="{00000000-0005-0000-0000-0000AA070000}"/>
    <cellStyle name="계산 2 2 10 2" xfId="4453" xr:uid="{00000000-0005-0000-0000-0000AB070000}"/>
    <cellStyle name="계산 2 2 11" xfId="4454" xr:uid="{00000000-0005-0000-0000-0000AC070000}"/>
    <cellStyle name="계산 2 2 11 2" xfId="4455" xr:uid="{00000000-0005-0000-0000-0000AD070000}"/>
    <cellStyle name="계산 2 2 12" xfId="4456" xr:uid="{00000000-0005-0000-0000-0000AE070000}"/>
    <cellStyle name="계산 2 2 12 2" xfId="4457" xr:uid="{00000000-0005-0000-0000-0000AF070000}"/>
    <cellStyle name="계산 2 2 13" xfId="4458" xr:uid="{00000000-0005-0000-0000-0000B0070000}"/>
    <cellStyle name="계산 2 2 13 2" xfId="4459" xr:uid="{00000000-0005-0000-0000-0000B1070000}"/>
    <cellStyle name="계산 2 2 14" xfId="4460" xr:uid="{00000000-0005-0000-0000-0000B2070000}"/>
    <cellStyle name="계산 2 2 14 2" xfId="4461" xr:uid="{00000000-0005-0000-0000-0000B3070000}"/>
    <cellStyle name="계산 2 2 15" xfId="4462" xr:uid="{00000000-0005-0000-0000-0000B4070000}"/>
    <cellStyle name="계산 2 2 15 2" xfId="4463" xr:uid="{00000000-0005-0000-0000-0000B5070000}"/>
    <cellStyle name="계산 2 2 16" xfId="4464" xr:uid="{00000000-0005-0000-0000-0000B6070000}"/>
    <cellStyle name="계산 2 2 16 2" xfId="4465" xr:uid="{00000000-0005-0000-0000-0000B7070000}"/>
    <cellStyle name="계산 2 2 17" xfId="4466" xr:uid="{00000000-0005-0000-0000-0000B8070000}"/>
    <cellStyle name="계산 2 2 17 2" xfId="4467" xr:uid="{00000000-0005-0000-0000-0000B9070000}"/>
    <cellStyle name="계산 2 2 18" xfId="4468" xr:uid="{00000000-0005-0000-0000-0000BA070000}"/>
    <cellStyle name="계산 2 2 18 2" xfId="4469" xr:uid="{00000000-0005-0000-0000-0000BB070000}"/>
    <cellStyle name="계산 2 2 19" xfId="4470" xr:uid="{00000000-0005-0000-0000-0000BC070000}"/>
    <cellStyle name="계산 2 2 19 2" xfId="4471" xr:uid="{00000000-0005-0000-0000-0000BD070000}"/>
    <cellStyle name="계산 2 2 2" xfId="4472" xr:uid="{00000000-0005-0000-0000-0000BE070000}"/>
    <cellStyle name="계산 2 2 2 10" xfId="4473" xr:uid="{00000000-0005-0000-0000-0000BF070000}"/>
    <cellStyle name="계산 2 2 2 10 2" xfId="4474" xr:uid="{00000000-0005-0000-0000-0000C0070000}"/>
    <cellStyle name="계산 2 2 2 11" xfId="4475" xr:uid="{00000000-0005-0000-0000-0000C1070000}"/>
    <cellStyle name="계산 2 2 2 11 2" xfId="4476" xr:uid="{00000000-0005-0000-0000-0000C2070000}"/>
    <cellStyle name="계산 2 2 2 12" xfId="4477" xr:uid="{00000000-0005-0000-0000-0000C3070000}"/>
    <cellStyle name="계산 2 2 2 12 2" xfId="4478" xr:uid="{00000000-0005-0000-0000-0000C4070000}"/>
    <cellStyle name="계산 2 2 2 13" xfId="4479" xr:uid="{00000000-0005-0000-0000-0000C5070000}"/>
    <cellStyle name="계산 2 2 2 13 2" xfId="4480" xr:uid="{00000000-0005-0000-0000-0000C6070000}"/>
    <cellStyle name="계산 2 2 2 14" xfId="4481" xr:uid="{00000000-0005-0000-0000-0000C7070000}"/>
    <cellStyle name="계산 2 2 2 14 2" xfId="4482" xr:uid="{00000000-0005-0000-0000-0000C8070000}"/>
    <cellStyle name="계산 2 2 2 15" xfId="4483" xr:uid="{00000000-0005-0000-0000-0000C9070000}"/>
    <cellStyle name="계산 2 2 2 15 2" xfId="4484" xr:uid="{00000000-0005-0000-0000-0000CA070000}"/>
    <cellStyle name="계산 2 2 2 16" xfId="4485" xr:uid="{00000000-0005-0000-0000-0000CB070000}"/>
    <cellStyle name="계산 2 2 2 16 2" xfId="4486" xr:uid="{00000000-0005-0000-0000-0000CC070000}"/>
    <cellStyle name="계산 2 2 2 17" xfId="4487" xr:uid="{00000000-0005-0000-0000-0000CD070000}"/>
    <cellStyle name="계산 2 2 2 17 2" xfId="4488" xr:uid="{00000000-0005-0000-0000-0000CE070000}"/>
    <cellStyle name="계산 2 2 2 18" xfId="4489" xr:uid="{00000000-0005-0000-0000-0000CF070000}"/>
    <cellStyle name="계산 2 2 2 18 2" xfId="4490" xr:uid="{00000000-0005-0000-0000-0000D0070000}"/>
    <cellStyle name="계산 2 2 2 19" xfId="4491" xr:uid="{00000000-0005-0000-0000-0000D1070000}"/>
    <cellStyle name="계산 2 2 2 19 2" xfId="4492" xr:uid="{00000000-0005-0000-0000-0000D2070000}"/>
    <cellStyle name="계산 2 2 2 2" xfId="4493" xr:uid="{00000000-0005-0000-0000-0000D3070000}"/>
    <cellStyle name="계산 2 2 2 2 10" xfId="4494" xr:uid="{00000000-0005-0000-0000-0000D4070000}"/>
    <cellStyle name="계산 2 2 2 2 10 2" xfId="4495" xr:uid="{00000000-0005-0000-0000-0000D5070000}"/>
    <cellStyle name="계산 2 2 2 2 11" xfId="4496" xr:uid="{00000000-0005-0000-0000-0000D6070000}"/>
    <cellStyle name="계산 2 2 2 2 11 2" xfId="4497" xr:uid="{00000000-0005-0000-0000-0000D7070000}"/>
    <cellStyle name="계산 2 2 2 2 12" xfId="4498" xr:uid="{00000000-0005-0000-0000-0000D8070000}"/>
    <cellStyle name="계산 2 2 2 2 12 2" xfId="4499" xr:uid="{00000000-0005-0000-0000-0000D9070000}"/>
    <cellStyle name="계산 2 2 2 2 13" xfId="4500" xr:uid="{00000000-0005-0000-0000-0000DA070000}"/>
    <cellStyle name="계산 2 2 2 2 13 2" xfId="4501" xr:uid="{00000000-0005-0000-0000-0000DB070000}"/>
    <cellStyle name="계산 2 2 2 2 14" xfId="4502" xr:uid="{00000000-0005-0000-0000-0000DC070000}"/>
    <cellStyle name="계산 2 2 2 2 14 2" xfId="4503" xr:uid="{00000000-0005-0000-0000-0000DD070000}"/>
    <cellStyle name="계산 2 2 2 2 15" xfId="4504" xr:uid="{00000000-0005-0000-0000-0000DE070000}"/>
    <cellStyle name="계산 2 2 2 2 15 2" xfId="4505" xr:uid="{00000000-0005-0000-0000-0000DF070000}"/>
    <cellStyle name="계산 2 2 2 2 16" xfId="4506" xr:uid="{00000000-0005-0000-0000-0000E0070000}"/>
    <cellStyle name="계산 2 2 2 2 16 2" xfId="4507" xr:uid="{00000000-0005-0000-0000-0000E1070000}"/>
    <cellStyle name="계산 2 2 2 2 17" xfId="4508" xr:uid="{00000000-0005-0000-0000-0000E2070000}"/>
    <cellStyle name="계산 2 2 2 2 17 2" xfId="4509" xr:uid="{00000000-0005-0000-0000-0000E3070000}"/>
    <cellStyle name="계산 2 2 2 2 18" xfId="4510" xr:uid="{00000000-0005-0000-0000-0000E4070000}"/>
    <cellStyle name="계산 2 2 2 2 18 2" xfId="4511" xr:uid="{00000000-0005-0000-0000-0000E5070000}"/>
    <cellStyle name="계산 2 2 2 2 19" xfId="4512" xr:uid="{00000000-0005-0000-0000-0000E6070000}"/>
    <cellStyle name="계산 2 2 2 2 19 2" xfId="4513" xr:uid="{00000000-0005-0000-0000-0000E7070000}"/>
    <cellStyle name="계산 2 2 2 2 2" xfId="4514" xr:uid="{00000000-0005-0000-0000-0000E8070000}"/>
    <cellStyle name="계산 2 2 2 2 2 2" xfId="4515" xr:uid="{00000000-0005-0000-0000-0000E9070000}"/>
    <cellStyle name="계산 2 2 2 2 20" xfId="4516" xr:uid="{00000000-0005-0000-0000-0000EA070000}"/>
    <cellStyle name="계산 2 2 2 2 3" xfId="4517" xr:uid="{00000000-0005-0000-0000-0000EB070000}"/>
    <cellStyle name="계산 2 2 2 2 3 2" xfId="4518" xr:uid="{00000000-0005-0000-0000-0000EC070000}"/>
    <cellStyle name="계산 2 2 2 2 4" xfId="4519" xr:uid="{00000000-0005-0000-0000-0000ED070000}"/>
    <cellStyle name="계산 2 2 2 2 4 2" xfId="4520" xr:uid="{00000000-0005-0000-0000-0000EE070000}"/>
    <cellStyle name="계산 2 2 2 2 5" xfId="4521" xr:uid="{00000000-0005-0000-0000-0000EF070000}"/>
    <cellStyle name="계산 2 2 2 2 5 2" xfId="4522" xr:uid="{00000000-0005-0000-0000-0000F0070000}"/>
    <cellStyle name="계산 2 2 2 2 6" xfId="4523" xr:uid="{00000000-0005-0000-0000-0000F1070000}"/>
    <cellStyle name="계산 2 2 2 2 6 2" xfId="4524" xr:uid="{00000000-0005-0000-0000-0000F2070000}"/>
    <cellStyle name="계산 2 2 2 2 7" xfId="4525" xr:uid="{00000000-0005-0000-0000-0000F3070000}"/>
    <cellStyle name="계산 2 2 2 2 7 2" xfId="4526" xr:uid="{00000000-0005-0000-0000-0000F4070000}"/>
    <cellStyle name="계산 2 2 2 2 8" xfId="4527" xr:uid="{00000000-0005-0000-0000-0000F5070000}"/>
    <cellStyle name="계산 2 2 2 2 8 2" xfId="4528" xr:uid="{00000000-0005-0000-0000-0000F6070000}"/>
    <cellStyle name="계산 2 2 2 2 9" xfId="4529" xr:uid="{00000000-0005-0000-0000-0000F7070000}"/>
    <cellStyle name="계산 2 2 2 2 9 2" xfId="4530" xr:uid="{00000000-0005-0000-0000-0000F8070000}"/>
    <cellStyle name="계산 2 2 2 20" xfId="4531" xr:uid="{00000000-0005-0000-0000-0000F9070000}"/>
    <cellStyle name="계산 2 2 2 20 2" xfId="4532" xr:uid="{00000000-0005-0000-0000-0000FA070000}"/>
    <cellStyle name="계산 2 2 2 21" xfId="4533" xr:uid="{00000000-0005-0000-0000-0000FB070000}"/>
    <cellStyle name="계산 2 2 2 3" xfId="4534" xr:uid="{00000000-0005-0000-0000-0000FC070000}"/>
    <cellStyle name="계산 2 2 2 3 2" xfId="4535" xr:uid="{00000000-0005-0000-0000-0000FD070000}"/>
    <cellStyle name="계산 2 2 2 4" xfId="4536" xr:uid="{00000000-0005-0000-0000-0000FE070000}"/>
    <cellStyle name="계산 2 2 2 4 2" xfId="4537" xr:uid="{00000000-0005-0000-0000-0000FF070000}"/>
    <cellStyle name="계산 2 2 2 5" xfId="4538" xr:uid="{00000000-0005-0000-0000-000000080000}"/>
    <cellStyle name="계산 2 2 2 5 2" xfId="4539" xr:uid="{00000000-0005-0000-0000-000001080000}"/>
    <cellStyle name="계산 2 2 2 6" xfId="4540" xr:uid="{00000000-0005-0000-0000-000002080000}"/>
    <cellStyle name="계산 2 2 2 6 2" xfId="4541" xr:uid="{00000000-0005-0000-0000-000003080000}"/>
    <cellStyle name="계산 2 2 2 7" xfId="4542" xr:uid="{00000000-0005-0000-0000-000004080000}"/>
    <cellStyle name="계산 2 2 2 7 2" xfId="4543" xr:uid="{00000000-0005-0000-0000-000005080000}"/>
    <cellStyle name="계산 2 2 2 8" xfId="4544" xr:uid="{00000000-0005-0000-0000-000006080000}"/>
    <cellStyle name="계산 2 2 2 8 2" xfId="4545" xr:uid="{00000000-0005-0000-0000-000007080000}"/>
    <cellStyle name="계산 2 2 2 9" xfId="4546" xr:uid="{00000000-0005-0000-0000-000008080000}"/>
    <cellStyle name="계산 2 2 2 9 2" xfId="4547" xr:uid="{00000000-0005-0000-0000-000009080000}"/>
    <cellStyle name="계산 2 2 20" xfId="4548" xr:uid="{00000000-0005-0000-0000-00000A080000}"/>
    <cellStyle name="계산 2 2 20 2" xfId="4549" xr:uid="{00000000-0005-0000-0000-00000B080000}"/>
    <cellStyle name="계산 2 2 21" xfId="4550" xr:uid="{00000000-0005-0000-0000-00000C080000}"/>
    <cellStyle name="계산 2 2 21 2" xfId="4551" xr:uid="{00000000-0005-0000-0000-00000D080000}"/>
    <cellStyle name="계산 2 2 22" xfId="4552" xr:uid="{00000000-0005-0000-0000-00000E080000}"/>
    <cellStyle name="계산 2 2 22 2" xfId="4553" xr:uid="{00000000-0005-0000-0000-00000F080000}"/>
    <cellStyle name="계산 2 2 23" xfId="4554" xr:uid="{00000000-0005-0000-0000-000010080000}"/>
    <cellStyle name="계산 2 2 23 2" xfId="4555" xr:uid="{00000000-0005-0000-0000-000011080000}"/>
    <cellStyle name="계산 2 2 24" xfId="4556" xr:uid="{00000000-0005-0000-0000-000012080000}"/>
    <cellStyle name="계산 2 2 3" xfId="4557" xr:uid="{00000000-0005-0000-0000-000013080000}"/>
    <cellStyle name="계산 2 2 3 10" xfId="4558" xr:uid="{00000000-0005-0000-0000-000014080000}"/>
    <cellStyle name="계산 2 2 3 10 2" xfId="4559" xr:uid="{00000000-0005-0000-0000-000015080000}"/>
    <cellStyle name="계산 2 2 3 11" xfId="4560" xr:uid="{00000000-0005-0000-0000-000016080000}"/>
    <cellStyle name="계산 2 2 3 11 2" xfId="4561" xr:uid="{00000000-0005-0000-0000-000017080000}"/>
    <cellStyle name="계산 2 2 3 12" xfId="4562" xr:uid="{00000000-0005-0000-0000-000018080000}"/>
    <cellStyle name="계산 2 2 3 12 2" xfId="4563" xr:uid="{00000000-0005-0000-0000-000019080000}"/>
    <cellStyle name="계산 2 2 3 13" xfId="4564" xr:uid="{00000000-0005-0000-0000-00001A080000}"/>
    <cellStyle name="계산 2 2 3 13 2" xfId="4565" xr:uid="{00000000-0005-0000-0000-00001B080000}"/>
    <cellStyle name="계산 2 2 3 14" xfId="4566" xr:uid="{00000000-0005-0000-0000-00001C080000}"/>
    <cellStyle name="계산 2 2 3 14 2" xfId="4567" xr:uid="{00000000-0005-0000-0000-00001D080000}"/>
    <cellStyle name="계산 2 2 3 15" xfId="4568" xr:uid="{00000000-0005-0000-0000-00001E080000}"/>
    <cellStyle name="계산 2 2 3 15 2" xfId="4569" xr:uid="{00000000-0005-0000-0000-00001F080000}"/>
    <cellStyle name="계산 2 2 3 16" xfId="4570" xr:uid="{00000000-0005-0000-0000-000020080000}"/>
    <cellStyle name="계산 2 2 3 16 2" xfId="4571" xr:uid="{00000000-0005-0000-0000-000021080000}"/>
    <cellStyle name="계산 2 2 3 17" xfId="4572" xr:uid="{00000000-0005-0000-0000-000022080000}"/>
    <cellStyle name="계산 2 2 3 17 2" xfId="4573" xr:uid="{00000000-0005-0000-0000-000023080000}"/>
    <cellStyle name="계산 2 2 3 18" xfId="4574" xr:uid="{00000000-0005-0000-0000-000024080000}"/>
    <cellStyle name="계산 2 2 3 18 2" xfId="4575" xr:uid="{00000000-0005-0000-0000-000025080000}"/>
    <cellStyle name="계산 2 2 3 19" xfId="4576" xr:uid="{00000000-0005-0000-0000-000026080000}"/>
    <cellStyle name="계산 2 2 3 19 2" xfId="4577" xr:uid="{00000000-0005-0000-0000-000027080000}"/>
    <cellStyle name="계산 2 2 3 2" xfId="4578" xr:uid="{00000000-0005-0000-0000-000028080000}"/>
    <cellStyle name="계산 2 2 3 2 10" xfId="4579" xr:uid="{00000000-0005-0000-0000-000029080000}"/>
    <cellStyle name="계산 2 2 3 2 10 2" xfId="4580" xr:uid="{00000000-0005-0000-0000-00002A080000}"/>
    <cellStyle name="계산 2 2 3 2 11" xfId="4581" xr:uid="{00000000-0005-0000-0000-00002B080000}"/>
    <cellStyle name="계산 2 2 3 2 11 2" xfId="4582" xr:uid="{00000000-0005-0000-0000-00002C080000}"/>
    <cellStyle name="계산 2 2 3 2 12" xfId="4583" xr:uid="{00000000-0005-0000-0000-00002D080000}"/>
    <cellStyle name="계산 2 2 3 2 12 2" xfId="4584" xr:uid="{00000000-0005-0000-0000-00002E080000}"/>
    <cellStyle name="계산 2 2 3 2 13" xfId="4585" xr:uid="{00000000-0005-0000-0000-00002F080000}"/>
    <cellStyle name="계산 2 2 3 2 13 2" xfId="4586" xr:uid="{00000000-0005-0000-0000-000030080000}"/>
    <cellStyle name="계산 2 2 3 2 14" xfId="4587" xr:uid="{00000000-0005-0000-0000-000031080000}"/>
    <cellStyle name="계산 2 2 3 2 14 2" xfId="4588" xr:uid="{00000000-0005-0000-0000-000032080000}"/>
    <cellStyle name="계산 2 2 3 2 15" xfId="4589" xr:uid="{00000000-0005-0000-0000-000033080000}"/>
    <cellStyle name="계산 2 2 3 2 15 2" xfId="4590" xr:uid="{00000000-0005-0000-0000-000034080000}"/>
    <cellStyle name="계산 2 2 3 2 16" xfId="4591" xr:uid="{00000000-0005-0000-0000-000035080000}"/>
    <cellStyle name="계산 2 2 3 2 16 2" xfId="4592" xr:uid="{00000000-0005-0000-0000-000036080000}"/>
    <cellStyle name="계산 2 2 3 2 17" xfId="4593" xr:uid="{00000000-0005-0000-0000-000037080000}"/>
    <cellStyle name="계산 2 2 3 2 17 2" xfId="4594" xr:uid="{00000000-0005-0000-0000-000038080000}"/>
    <cellStyle name="계산 2 2 3 2 18" xfId="4595" xr:uid="{00000000-0005-0000-0000-000039080000}"/>
    <cellStyle name="계산 2 2 3 2 18 2" xfId="4596" xr:uid="{00000000-0005-0000-0000-00003A080000}"/>
    <cellStyle name="계산 2 2 3 2 19" xfId="4597" xr:uid="{00000000-0005-0000-0000-00003B080000}"/>
    <cellStyle name="계산 2 2 3 2 19 2" xfId="4598" xr:uid="{00000000-0005-0000-0000-00003C080000}"/>
    <cellStyle name="계산 2 2 3 2 2" xfId="4599" xr:uid="{00000000-0005-0000-0000-00003D080000}"/>
    <cellStyle name="계산 2 2 3 2 2 2" xfId="4600" xr:uid="{00000000-0005-0000-0000-00003E080000}"/>
    <cellStyle name="계산 2 2 3 2 20" xfId="4601" xr:uid="{00000000-0005-0000-0000-00003F080000}"/>
    <cellStyle name="계산 2 2 3 2 3" xfId="4602" xr:uid="{00000000-0005-0000-0000-000040080000}"/>
    <cellStyle name="계산 2 2 3 2 3 2" xfId="4603" xr:uid="{00000000-0005-0000-0000-000041080000}"/>
    <cellStyle name="계산 2 2 3 2 4" xfId="4604" xr:uid="{00000000-0005-0000-0000-000042080000}"/>
    <cellStyle name="계산 2 2 3 2 4 2" xfId="4605" xr:uid="{00000000-0005-0000-0000-000043080000}"/>
    <cellStyle name="계산 2 2 3 2 5" xfId="4606" xr:uid="{00000000-0005-0000-0000-000044080000}"/>
    <cellStyle name="계산 2 2 3 2 5 2" xfId="4607" xr:uid="{00000000-0005-0000-0000-000045080000}"/>
    <cellStyle name="계산 2 2 3 2 6" xfId="4608" xr:uid="{00000000-0005-0000-0000-000046080000}"/>
    <cellStyle name="계산 2 2 3 2 6 2" xfId="4609" xr:uid="{00000000-0005-0000-0000-000047080000}"/>
    <cellStyle name="계산 2 2 3 2 7" xfId="4610" xr:uid="{00000000-0005-0000-0000-000048080000}"/>
    <cellStyle name="계산 2 2 3 2 7 2" xfId="4611" xr:uid="{00000000-0005-0000-0000-000049080000}"/>
    <cellStyle name="계산 2 2 3 2 8" xfId="4612" xr:uid="{00000000-0005-0000-0000-00004A080000}"/>
    <cellStyle name="계산 2 2 3 2 8 2" xfId="4613" xr:uid="{00000000-0005-0000-0000-00004B080000}"/>
    <cellStyle name="계산 2 2 3 2 9" xfId="4614" xr:uid="{00000000-0005-0000-0000-00004C080000}"/>
    <cellStyle name="계산 2 2 3 2 9 2" xfId="4615" xr:uid="{00000000-0005-0000-0000-00004D080000}"/>
    <cellStyle name="계산 2 2 3 20" xfId="4616" xr:uid="{00000000-0005-0000-0000-00004E080000}"/>
    <cellStyle name="계산 2 2 3 20 2" xfId="4617" xr:uid="{00000000-0005-0000-0000-00004F080000}"/>
    <cellStyle name="계산 2 2 3 21" xfId="4618" xr:uid="{00000000-0005-0000-0000-000050080000}"/>
    <cellStyle name="계산 2 2 3 3" xfId="4619" xr:uid="{00000000-0005-0000-0000-000051080000}"/>
    <cellStyle name="계산 2 2 3 3 2" xfId="4620" xr:uid="{00000000-0005-0000-0000-000052080000}"/>
    <cellStyle name="계산 2 2 3 4" xfId="4621" xr:uid="{00000000-0005-0000-0000-000053080000}"/>
    <cellStyle name="계산 2 2 3 4 2" xfId="4622" xr:uid="{00000000-0005-0000-0000-000054080000}"/>
    <cellStyle name="계산 2 2 3 5" xfId="4623" xr:uid="{00000000-0005-0000-0000-000055080000}"/>
    <cellStyle name="계산 2 2 3 5 2" xfId="4624" xr:uid="{00000000-0005-0000-0000-000056080000}"/>
    <cellStyle name="계산 2 2 3 6" xfId="4625" xr:uid="{00000000-0005-0000-0000-000057080000}"/>
    <cellStyle name="계산 2 2 3 6 2" xfId="4626" xr:uid="{00000000-0005-0000-0000-000058080000}"/>
    <cellStyle name="계산 2 2 3 7" xfId="4627" xr:uid="{00000000-0005-0000-0000-000059080000}"/>
    <cellStyle name="계산 2 2 3 7 2" xfId="4628" xr:uid="{00000000-0005-0000-0000-00005A080000}"/>
    <cellStyle name="계산 2 2 3 8" xfId="4629" xr:uid="{00000000-0005-0000-0000-00005B080000}"/>
    <cellStyle name="계산 2 2 3 8 2" xfId="4630" xr:uid="{00000000-0005-0000-0000-00005C080000}"/>
    <cellStyle name="계산 2 2 3 9" xfId="4631" xr:uid="{00000000-0005-0000-0000-00005D080000}"/>
    <cellStyle name="계산 2 2 3 9 2" xfId="4632" xr:uid="{00000000-0005-0000-0000-00005E080000}"/>
    <cellStyle name="계산 2 2 4" xfId="4633" xr:uid="{00000000-0005-0000-0000-00005F080000}"/>
    <cellStyle name="계산 2 2 4 10" xfId="4634" xr:uid="{00000000-0005-0000-0000-000060080000}"/>
    <cellStyle name="계산 2 2 4 10 2" xfId="4635" xr:uid="{00000000-0005-0000-0000-000061080000}"/>
    <cellStyle name="계산 2 2 4 11" xfId="4636" xr:uid="{00000000-0005-0000-0000-000062080000}"/>
    <cellStyle name="계산 2 2 4 11 2" xfId="4637" xr:uid="{00000000-0005-0000-0000-000063080000}"/>
    <cellStyle name="계산 2 2 4 12" xfId="4638" xr:uid="{00000000-0005-0000-0000-000064080000}"/>
    <cellStyle name="계산 2 2 4 12 2" xfId="4639" xr:uid="{00000000-0005-0000-0000-000065080000}"/>
    <cellStyle name="계산 2 2 4 13" xfId="4640" xr:uid="{00000000-0005-0000-0000-000066080000}"/>
    <cellStyle name="계산 2 2 4 13 2" xfId="4641" xr:uid="{00000000-0005-0000-0000-000067080000}"/>
    <cellStyle name="계산 2 2 4 14" xfId="4642" xr:uid="{00000000-0005-0000-0000-000068080000}"/>
    <cellStyle name="계산 2 2 4 14 2" xfId="4643" xr:uid="{00000000-0005-0000-0000-000069080000}"/>
    <cellStyle name="계산 2 2 4 15" xfId="4644" xr:uid="{00000000-0005-0000-0000-00006A080000}"/>
    <cellStyle name="계산 2 2 4 15 2" xfId="4645" xr:uid="{00000000-0005-0000-0000-00006B080000}"/>
    <cellStyle name="계산 2 2 4 16" xfId="4646" xr:uid="{00000000-0005-0000-0000-00006C080000}"/>
    <cellStyle name="계산 2 2 4 16 2" xfId="4647" xr:uid="{00000000-0005-0000-0000-00006D080000}"/>
    <cellStyle name="계산 2 2 4 17" xfId="4648" xr:uid="{00000000-0005-0000-0000-00006E080000}"/>
    <cellStyle name="계산 2 2 4 17 2" xfId="4649" xr:uid="{00000000-0005-0000-0000-00006F080000}"/>
    <cellStyle name="계산 2 2 4 18" xfId="4650" xr:uid="{00000000-0005-0000-0000-000070080000}"/>
    <cellStyle name="계산 2 2 4 18 2" xfId="4651" xr:uid="{00000000-0005-0000-0000-000071080000}"/>
    <cellStyle name="계산 2 2 4 19" xfId="4652" xr:uid="{00000000-0005-0000-0000-000072080000}"/>
    <cellStyle name="계산 2 2 4 19 2" xfId="4653" xr:uid="{00000000-0005-0000-0000-000073080000}"/>
    <cellStyle name="계산 2 2 4 2" xfId="4654" xr:uid="{00000000-0005-0000-0000-000074080000}"/>
    <cellStyle name="계산 2 2 4 2 10" xfId="4655" xr:uid="{00000000-0005-0000-0000-000075080000}"/>
    <cellStyle name="계산 2 2 4 2 10 2" xfId="4656" xr:uid="{00000000-0005-0000-0000-000076080000}"/>
    <cellStyle name="계산 2 2 4 2 11" xfId="4657" xr:uid="{00000000-0005-0000-0000-000077080000}"/>
    <cellStyle name="계산 2 2 4 2 11 2" xfId="4658" xr:uid="{00000000-0005-0000-0000-000078080000}"/>
    <cellStyle name="계산 2 2 4 2 12" xfId="4659" xr:uid="{00000000-0005-0000-0000-000079080000}"/>
    <cellStyle name="계산 2 2 4 2 12 2" xfId="4660" xr:uid="{00000000-0005-0000-0000-00007A080000}"/>
    <cellStyle name="계산 2 2 4 2 13" xfId="4661" xr:uid="{00000000-0005-0000-0000-00007B080000}"/>
    <cellStyle name="계산 2 2 4 2 13 2" xfId="4662" xr:uid="{00000000-0005-0000-0000-00007C080000}"/>
    <cellStyle name="계산 2 2 4 2 14" xfId="4663" xr:uid="{00000000-0005-0000-0000-00007D080000}"/>
    <cellStyle name="계산 2 2 4 2 14 2" xfId="4664" xr:uid="{00000000-0005-0000-0000-00007E080000}"/>
    <cellStyle name="계산 2 2 4 2 15" xfId="4665" xr:uid="{00000000-0005-0000-0000-00007F080000}"/>
    <cellStyle name="계산 2 2 4 2 15 2" xfId="4666" xr:uid="{00000000-0005-0000-0000-000080080000}"/>
    <cellStyle name="계산 2 2 4 2 16" xfId="4667" xr:uid="{00000000-0005-0000-0000-000081080000}"/>
    <cellStyle name="계산 2 2 4 2 16 2" xfId="4668" xr:uid="{00000000-0005-0000-0000-000082080000}"/>
    <cellStyle name="계산 2 2 4 2 17" xfId="4669" xr:uid="{00000000-0005-0000-0000-000083080000}"/>
    <cellStyle name="계산 2 2 4 2 17 2" xfId="4670" xr:uid="{00000000-0005-0000-0000-000084080000}"/>
    <cellStyle name="계산 2 2 4 2 18" xfId="4671" xr:uid="{00000000-0005-0000-0000-000085080000}"/>
    <cellStyle name="계산 2 2 4 2 18 2" xfId="4672" xr:uid="{00000000-0005-0000-0000-000086080000}"/>
    <cellStyle name="계산 2 2 4 2 19" xfId="4673" xr:uid="{00000000-0005-0000-0000-000087080000}"/>
    <cellStyle name="계산 2 2 4 2 19 2" xfId="4674" xr:uid="{00000000-0005-0000-0000-000088080000}"/>
    <cellStyle name="계산 2 2 4 2 2" xfId="4675" xr:uid="{00000000-0005-0000-0000-000089080000}"/>
    <cellStyle name="계산 2 2 4 2 2 2" xfId="4676" xr:uid="{00000000-0005-0000-0000-00008A080000}"/>
    <cellStyle name="계산 2 2 4 2 20" xfId="4677" xr:uid="{00000000-0005-0000-0000-00008B080000}"/>
    <cellStyle name="계산 2 2 4 2 3" xfId="4678" xr:uid="{00000000-0005-0000-0000-00008C080000}"/>
    <cellStyle name="계산 2 2 4 2 3 2" xfId="4679" xr:uid="{00000000-0005-0000-0000-00008D080000}"/>
    <cellStyle name="계산 2 2 4 2 4" xfId="4680" xr:uid="{00000000-0005-0000-0000-00008E080000}"/>
    <cellStyle name="계산 2 2 4 2 4 2" xfId="4681" xr:uid="{00000000-0005-0000-0000-00008F080000}"/>
    <cellStyle name="계산 2 2 4 2 5" xfId="4682" xr:uid="{00000000-0005-0000-0000-000090080000}"/>
    <cellStyle name="계산 2 2 4 2 5 2" xfId="4683" xr:uid="{00000000-0005-0000-0000-000091080000}"/>
    <cellStyle name="계산 2 2 4 2 6" xfId="4684" xr:uid="{00000000-0005-0000-0000-000092080000}"/>
    <cellStyle name="계산 2 2 4 2 6 2" xfId="4685" xr:uid="{00000000-0005-0000-0000-000093080000}"/>
    <cellStyle name="계산 2 2 4 2 7" xfId="4686" xr:uid="{00000000-0005-0000-0000-000094080000}"/>
    <cellStyle name="계산 2 2 4 2 7 2" xfId="4687" xr:uid="{00000000-0005-0000-0000-000095080000}"/>
    <cellStyle name="계산 2 2 4 2 8" xfId="4688" xr:uid="{00000000-0005-0000-0000-000096080000}"/>
    <cellStyle name="계산 2 2 4 2 8 2" xfId="4689" xr:uid="{00000000-0005-0000-0000-000097080000}"/>
    <cellStyle name="계산 2 2 4 2 9" xfId="4690" xr:uid="{00000000-0005-0000-0000-000098080000}"/>
    <cellStyle name="계산 2 2 4 2 9 2" xfId="4691" xr:uid="{00000000-0005-0000-0000-000099080000}"/>
    <cellStyle name="계산 2 2 4 20" xfId="4692" xr:uid="{00000000-0005-0000-0000-00009A080000}"/>
    <cellStyle name="계산 2 2 4 20 2" xfId="4693" xr:uid="{00000000-0005-0000-0000-00009B080000}"/>
    <cellStyle name="계산 2 2 4 21" xfId="4694" xr:uid="{00000000-0005-0000-0000-00009C080000}"/>
    <cellStyle name="계산 2 2 4 3" xfId="4695" xr:uid="{00000000-0005-0000-0000-00009D080000}"/>
    <cellStyle name="계산 2 2 4 3 2" xfId="4696" xr:uid="{00000000-0005-0000-0000-00009E080000}"/>
    <cellStyle name="계산 2 2 4 4" xfId="4697" xr:uid="{00000000-0005-0000-0000-00009F080000}"/>
    <cellStyle name="계산 2 2 4 4 2" xfId="4698" xr:uid="{00000000-0005-0000-0000-0000A0080000}"/>
    <cellStyle name="계산 2 2 4 5" xfId="4699" xr:uid="{00000000-0005-0000-0000-0000A1080000}"/>
    <cellStyle name="계산 2 2 4 5 2" xfId="4700" xr:uid="{00000000-0005-0000-0000-0000A2080000}"/>
    <cellStyle name="계산 2 2 4 6" xfId="4701" xr:uid="{00000000-0005-0000-0000-0000A3080000}"/>
    <cellStyle name="계산 2 2 4 6 2" xfId="4702" xr:uid="{00000000-0005-0000-0000-0000A4080000}"/>
    <cellStyle name="계산 2 2 4 7" xfId="4703" xr:uid="{00000000-0005-0000-0000-0000A5080000}"/>
    <cellStyle name="계산 2 2 4 7 2" xfId="4704" xr:uid="{00000000-0005-0000-0000-0000A6080000}"/>
    <cellStyle name="계산 2 2 4 8" xfId="4705" xr:uid="{00000000-0005-0000-0000-0000A7080000}"/>
    <cellStyle name="계산 2 2 4 8 2" xfId="4706" xr:uid="{00000000-0005-0000-0000-0000A8080000}"/>
    <cellStyle name="계산 2 2 4 9" xfId="4707" xr:uid="{00000000-0005-0000-0000-0000A9080000}"/>
    <cellStyle name="계산 2 2 4 9 2" xfId="4708" xr:uid="{00000000-0005-0000-0000-0000AA080000}"/>
    <cellStyle name="계산 2 2 5" xfId="4709" xr:uid="{00000000-0005-0000-0000-0000AB080000}"/>
    <cellStyle name="계산 2 2 5 10" xfId="4710" xr:uid="{00000000-0005-0000-0000-0000AC080000}"/>
    <cellStyle name="계산 2 2 5 10 2" xfId="4711" xr:uid="{00000000-0005-0000-0000-0000AD080000}"/>
    <cellStyle name="계산 2 2 5 11" xfId="4712" xr:uid="{00000000-0005-0000-0000-0000AE080000}"/>
    <cellStyle name="계산 2 2 5 11 2" xfId="4713" xr:uid="{00000000-0005-0000-0000-0000AF080000}"/>
    <cellStyle name="계산 2 2 5 12" xfId="4714" xr:uid="{00000000-0005-0000-0000-0000B0080000}"/>
    <cellStyle name="계산 2 2 5 12 2" xfId="4715" xr:uid="{00000000-0005-0000-0000-0000B1080000}"/>
    <cellStyle name="계산 2 2 5 13" xfId="4716" xr:uid="{00000000-0005-0000-0000-0000B2080000}"/>
    <cellStyle name="계산 2 2 5 13 2" xfId="4717" xr:uid="{00000000-0005-0000-0000-0000B3080000}"/>
    <cellStyle name="계산 2 2 5 14" xfId="4718" xr:uid="{00000000-0005-0000-0000-0000B4080000}"/>
    <cellStyle name="계산 2 2 5 14 2" xfId="4719" xr:uid="{00000000-0005-0000-0000-0000B5080000}"/>
    <cellStyle name="계산 2 2 5 15" xfId="4720" xr:uid="{00000000-0005-0000-0000-0000B6080000}"/>
    <cellStyle name="계산 2 2 5 15 2" xfId="4721" xr:uid="{00000000-0005-0000-0000-0000B7080000}"/>
    <cellStyle name="계산 2 2 5 16" xfId="4722" xr:uid="{00000000-0005-0000-0000-0000B8080000}"/>
    <cellStyle name="계산 2 2 5 16 2" xfId="4723" xr:uid="{00000000-0005-0000-0000-0000B9080000}"/>
    <cellStyle name="계산 2 2 5 17" xfId="4724" xr:uid="{00000000-0005-0000-0000-0000BA080000}"/>
    <cellStyle name="계산 2 2 5 17 2" xfId="4725" xr:uid="{00000000-0005-0000-0000-0000BB080000}"/>
    <cellStyle name="계산 2 2 5 18" xfId="4726" xr:uid="{00000000-0005-0000-0000-0000BC080000}"/>
    <cellStyle name="계산 2 2 5 18 2" xfId="4727" xr:uid="{00000000-0005-0000-0000-0000BD080000}"/>
    <cellStyle name="계산 2 2 5 19" xfId="4728" xr:uid="{00000000-0005-0000-0000-0000BE080000}"/>
    <cellStyle name="계산 2 2 5 19 2" xfId="4729" xr:uid="{00000000-0005-0000-0000-0000BF080000}"/>
    <cellStyle name="계산 2 2 5 2" xfId="4730" xr:uid="{00000000-0005-0000-0000-0000C0080000}"/>
    <cellStyle name="계산 2 2 5 2 2" xfId="4731" xr:uid="{00000000-0005-0000-0000-0000C1080000}"/>
    <cellStyle name="계산 2 2 5 20" xfId="4732" xr:uid="{00000000-0005-0000-0000-0000C2080000}"/>
    <cellStyle name="계산 2 2 5 3" xfId="4733" xr:uid="{00000000-0005-0000-0000-0000C3080000}"/>
    <cellStyle name="계산 2 2 5 3 2" xfId="4734" xr:uid="{00000000-0005-0000-0000-0000C4080000}"/>
    <cellStyle name="계산 2 2 5 4" xfId="4735" xr:uid="{00000000-0005-0000-0000-0000C5080000}"/>
    <cellStyle name="계산 2 2 5 4 2" xfId="4736" xr:uid="{00000000-0005-0000-0000-0000C6080000}"/>
    <cellStyle name="계산 2 2 5 5" xfId="4737" xr:uid="{00000000-0005-0000-0000-0000C7080000}"/>
    <cellStyle name="계산 2 2 5 5 2" xfId="4738" xr:uid="{00000000-0005-0000-0000-0000C8080000}"/>
    <cellStyle name="계산 2 2 5 6" xfId="4739" xr:uid="{00000000-0005-0000-0000-0000C9080000}"/>
    <cellStyle name="계산 2 2 5 6 2" xfId="4740" xr:uid="{00000000-0005-0000-0000-0000CA080000}"/>
    <cellStyle name="계산 2 2 5 7" xfId="4741" xr:uid="{00000000-0005-0000-0000-0000CB080000}"/>
    <cellStyle name="계산 2 2 5 7 2" xfId="4742" xr:uid="{00000000-0005-0000-0000-0000CC080000}"/>
    <cellStyle name="계산 2 2 5 8" xfId="4743" xr:uid="{00000000-0005-0000-0000-0000CD080000}"/>
    <cellStyle name="계산 2 2 5 8 2" xfId="4744" xr:uid="{00000000-0005-0000-0000-0000CE080000}"/>
    <cellStyle name="계산 2 2 5 9" xfId="4745" xr:uid="{00000000-0005-0000-0000-0000CF080000}"/>
    <cellStyle name="계산 2 2 5 9 2" xfId="4746" xr:uid="{00000000-0005-0000-0000-0000D0080000}"/>
    <cellStyle name="계산 2 2 6" xfId="4747" xr:uid="{00000000-0005-0000-0000-0000D1080000}"/>
    <cellStyle name="계산 2 2 6 2" xfId="4748" xr:uid="{00000000-0005-0000-0000-0000D2080000}"/>
    <cellStyle name="계산 2 2 7" xfId="4749" xr:uid="{00000000-0005-0000-0000-0000D3080000}"/>
    <cellStyle name="계산 2 2 7 2" xfId="4750" xr:uid="{00000000-0005-0000-0000-0000D4080000}"/>
    <cellStyle name="계산 2 2 8" xfId="4751" xr:uid="{00000000-0005-0000-0000-0000D5080000}"/>
    <cellStyle name="계산 2 2 8 2" xfId="4752" xr:uid="{00000000-0005-0000-0000-0000D6080000}"/>
    <cellStyle name="계산 2 2 9" xfId="4753" xr:uid="{00000000-0005-0000-0000-0000D7080000}"/>
    <cellStyle name="계산 2 2 9 2" xfId="4754" xr:uid="{00000000-0005-0000-0000-0000D8080000}"/>
    <cellStyle name="계산 2 20" xfId="4755" xr:uid="{00000000-0005-0000-0000-0000D9080000}"/>
    <cellStyle name="계산 2 20 2" xfId="4756" xr:uid="{00000000-0005-0000-0000-0000DA080000}"/>
    <cellStyle name="계산 2 21" xfId="4757" xr:uid="{00000000-0005-0000-0000-0000DB080000}"/>
    <cellStyle name="계산 2 22" xfId="6276" xr:uid="{00000000-0005-0000-0000-0000DC080000}"/>
    <cellStyle name="계산 2 23" xfId="6515" xr:uid="{00000000-0005-0000-0000-0000DD080000}"/>
    <cellStyle name="계산 2 24" xfId="6256" xr:uid="{00000000-0005-0000-0000-0000DE080000}"/>
    <cellStyle name="계산 2 25" xfId="6532" xr:uid="{00000000-0005-0000-0000-0000DF080000}"/>
    <cellStyle name="계산 2 26" xfId="6574" xr:uid="{00000000-0005-0000-0000-0000E0080000}"/>
    <cellStyle name="계산 2 27" xfId="6626" xr:uid="{00000000-0005-0000-0000-0000E1080000}"/>
    <cellStyle name="계산 2 28" xfId="6656" xr:uid="{00000000-0005-0000-0000-0000E2080000}"/>
    <cellStyle name="계산 2 29" xfId="6723" xr:uid="{00000000-0005-0000-0000-0000E3080000}"/>
    <cellStyle name="계산 2 3" xfId="4758" xr:uid="{00000000-0005-0000-0000-0000E4080000}"/>
    <cellStyle name="계산 2 3 2" xfId="4759" xr:uid="{00000000-0005-0000-0000-0000E5080000}"/>
    <cellStyle name="계산 2 30" xfId="6807" xr:uid="{00000000-0005-0000-0000-0000E6080000}"/>
    <cellStyle name="계산 2 4" xfId="4760" xr:uid="{00000000-0005-0000-0000-0000E7080000}"/>
    <cellStyle name="계산 2 4 2" xfId="4761" xr:uid="{00000000-0005-0000-0000-0000E8080000}"/>
    <cellStyle name="계산 2 5" xfId="4762" xr:uid="{00000000-0005-0000-0000-0000E9080000}"/>
    <cellStyle name="계산 2 5 2" xfId="4763" xr:uid="{00000000-0005-0000-0000-0000EA080000}"/>
    <cellStyle name="계산 2 6" xfId="4764" xr:uid="{00000000-0005-0000-0000-0000EB080000}"/>
    <cellStyle name="계산 2 6 2" xfId="4765" xr:uid="{00000000-0005-0000-0000-0000EC080000}"/>
    <cellStyle name="계산 2 7" xfId="4766" xr:uid="{00000000-0005-0000-0000-0000ED080000}"/>
    <cellStyle name="계산 2 7 2" xfId="4767" xr:uid="{00000000-0005-0000-0000-0000EE080000}"/>
    <cellStyle name="계산 2 8" xfId="4768" xr:uid="{00000000-0005-0000-0000-0000EF080000}"/>
    <cellStyle name="계산 2 8 2" xfId="4769" xr:uid="{00000000-0005-0000-0000-0000F0080000}"/>
    <cellStyle name="계산 2 9" xfId="4770" xr:uid="{00000000-0005-0000-0000-0000F1080000}"/>
    <cellStyle name="계산 2 9 2" xfId="4771" xr:uid="{00000000-0005-0000-0000-0000F2080000}"/>
    <cellStyle name="계산 20" xfId="48983" xr:uid="{00000000-0005-0000-0000-0000F3080000}"/>
    <cellStyle name="계산 21" xfId="48984" xr:uid="{00000000-0005-0000-0000-0000F4080000}"/>
    <cellStyle name="계산 22" xfId="48985" xr:uid="{00000000-0005-0000-0000-0000F5080000}"/>
    <cellStyle name="계산 23" xfId="48986" xr:uid="{00000000-0005-0000-0000-0000F6080000}"/>
    <cellStyle name="계산 24" xfId="48987" xr:uid="{00000000-0005-0000-0000-0000F7080000}"/>
    <cellStyle name="계산 25" xfId="48988" xr:uid="{00000000-0005-0000-0000-0000F8080000}"/>
    <cellStyle name="계산 26" xfId="48989" xr:uid="{00000000-0005-0000-0000-0000F9080000}"/>
    <cellStyle name="계산 27" xfId="48990" xr:uid="{00000000-0005-0000-0000-0000FA080000}"/>
    <cellStyle name="계산 28" xfId="48991" xr:uid="{00000000-0005-0000-0000-0000FB080000}"/>
    <cellStyle name="계산 29" xfId="48992" xr:uid="{00000000-0005-0000-0000-0000FC080000}"/>
    <cellStyle name="계산 3" xfId="3257" xr:uid="{00000000-0005-0000-0000-0000FD080000}"/>
    <cellStyle name="계산 3 10" xfId="3333" xr:uid="{00000000-0005-0000-0000-0000FE080000}"/>
    <cellStyle name="계산 3 11" xfId="3705" xr:uid="{00000000-0005-0000-0000-0000FF080000}"/>
    <cellStyle name="계산 3 2" xfId="3216" xr:uid="{00000000-0005-0000-0000-000000090000}"/>
    <cellStyle name="계산 3 3" xfId="3817" xr:uid="{00000000-0005-0000-0000-000001090000}"/>
    <cellStyle name="계산 3 4" xfId="2617" xr:uid="{00000000-0005-0000-0000-000002090000}"/>
    <cellStyle name="계산 3 5" xfId="3702" xr:uid="{00000000-0005-0000-0000-000003090000}"/>
    <cellStyle name="계산 3 6" xfId="2753" xr:uid="{00000000-0005-0000-0000-000004090000}"/>
    <cellStyle name="계산 3 7" xfId="3084" xr:uid="{00000000-0005-0000-0000-000005090000}"/>
    <cellStyle name="계산 3 8" xfId="3466" xr:uid="{00000000-0005-0000-0000-000006090000}"/>
    <cellStyle name="계산 3 9" xfId="2982" xr:uid="{00000000-0005-0000-0000-000007090000}"/>
    <cellStyle name="계산 30" xfId="48993" xr:uid="{00000000-0005-0000-0000-000008090000}"/>
    <cellStyle name="계산 31" xfId="48994" xr:uid="{00000000-0005-0000-0000-000009090000}"/>
    <cellStyle name="계산 32" xfId="48995" xr:uid="{00000000-0005-0000-0000-00000A090000}"/>
    <cellStyle name="계산 33" xfId="48996" xr:uid="{00000000-0005-0000-0000-00000B090000}"/>
    <cellStyle name="계산 4" xfId="3239" xr:uid="{00000000-0005-0000-0000-00000C090000}"/>
    <cellStyle name="계산 4 10" xfId="4101" xr:uid="{00000000-0005-0000-0000-00000D090000}"/>
    <cellStyle name="계산 4 11" xfId="2980" xr:uid="{00000000-0005-0000-0000-00000E090000}"/>
    <cellStyle name="계산 4 2" xfId="4201" xr:uid="{00000000-0005-0000-0000-00000F090000}"/>
    <cellStyle name="계산 4 3" xfId="2622" xr:uid="{00000000-0005-0000-0000-000010090000}"/>
    <cellStyle name="계산 4 4" xfId="4196" xr:uid="{00000000-0005-0000-0000-000011090000}"/>
    <cellStyle name="계산 4 5" xfId="352" xr:uid="{00000000-0005-0000-0000-000012090000}"/>
    <cellStyle name="계산 4 6" xfId="2857" xr:uid="{00000000-0005-0000-0000-000013090000}"/>
    <cellStyle name="계산 4 7" xfId="2673" xr:uid="{00000000-0005-0000-0000-000014090000}"/>
    <cellStyle name="계산 4 8" xfId="4057" xr:uid="{00000000-0005-0000-0000-000015090000}"/>
    <cellStyle name="계산 4 9" xfId="3821" xr:uid="{00000000-0005-0000-0000-000016090000}"/>
    <cellStyle name="계산 5" xfId="3323" xr:uid="{00000000-0005-0000-0000-000017090000}"/>
    <cellStyle name="계산 5 2" xfId="3080" xr:uid="{00000000-0005-0000-0000-000018090000}"/>
    <cellStyle name="계산 5 3" xfId="2521" xr:uid="{00000000-0005-0000-0000-000019090000}"/>
    <cellStyle name="계산 5 4" xfId="2429" xr:uid="{00000000-0005-0000-0000-00001A090000}"/>
    <cellStyle name="계산 5 5" xfId="2840" xr:uid="{00000000-0005-0000-0000-00001B090000}"/>
    <cellStyle name="계산 6" xfId="2607" xr:uid="{00000000-0005-0000-0000-00001C090000}"/>
    <cellStyle name="계산 6 2" xfId="2742" xr:uid="{00000000-0005-0000-0000-00001D090000}"/>
    <cellStyle name="계산 6 3" xfId="3812" xr:uid="{00000000-0005-0000-0000-00001E090000}"/>
    <cellStyle name="계산 6 4" xfId="2432" xr:uid="{00000000-0005-0000-0000-00001F090000}"/>
    <cellStyle name="계산 6 5" xfId="2626" xr:uid="{00000000-0005-0000-0000-000020090000}"/>
    <cellStyle name="계산 7" xfId="4305" xr:uid="{00000000-0005-0000-0000-000021090000}"/>
    <cellStyle name="계산 7 2" xfId="2491" xr:uid="{00000000-0005-0000-0000-000022090000}"/>
    <cellStyle name="계산 8" xfId="4311" xr:uid="{00000000-0005-0000-0000-000023090000}"/>
    <cellStyle name="계산 8 2" xfId="2976" xr:uid="{00000000-0005-0000-0000-000024090000}"/>
    <cellStyle name="계산 9" xfId="6627" xr:uid="{00000000-0005-0000-0000-000025090000}"/>
    <cellStyle name="咬訌裝?INCOM1" xfId="48997" xr:uid="{00000000-0005-0000-0000-000026090000}"/>
    <cellStyle name="咬訌裝?INCOM10" xfId="48998" xr:uid="{00000000-0005-0000-0000-000027090000}"/>
    <cellStyle name="咬訌裝?INCOM2" xfId="48999" xr:uid="{00000000-0005-0000-0000-000028090000}"/>
    <cellStyle name="咬訌裝?INCOM3" xfId="49000" xr:uid="{00000000-0005-0000-0000-000029090000}"/>
    <cellStyle name="咬訌裝?INCOM4" xfId="49001" xr:uid="{00000000-0005-0000-0000-00002A090000}"/>
    <cellStyle name="咬訌裝?INCOM5" xfId="49002" xr:uid="{00000000-0005-0000-0000-00002B090000}"/>
    <cellStyle name="咬訌裝?INCOM6" xfId="49003" xr:uid="{00000000-0005-0000-0000-00002C090000}"/>
    <cellStyle name="咬訌裝?INCOM7" xfId="49004" xr:uid="{00000000-0005-0000-0000-00002D090000}"/>
    <cellStyle name="咬訌裝?INCOM8" xfId="49005" xr:uid="{00000000-0005-0000-0000-00002E090000}"/>
    <cellStyle name="咬訌裝?INCOM9" xfId="49006" xr:uid="{00000000-0005-0000-0000-00002F090000}"/>
    <cellStyle name="咬訌裝?PRIB11" xfId="49007" xr:uid="{00000000-0005-0000-0000-000030090000}"/>
    <cellStyle name="나쁨 10" xfId="6295" xr:uid="{00000000-0005-0000-0000-000031090000}"/>
    <cellStyle name="나쁨 11" xfId="6500" xr:uid="{00000000-0005-0000-0000-000032090000}"/>
    <cellStyle name="나쁨 12" xfId="6277" xr:uid="{00000000-0005-0000-0000-000033090000}"/>
    <cellStyle name="나쁨 13" xfId="49008" xr:uid="{00000000-0005-0000-0000-000034090000}"/>
    <cellStyle name="나쁨 14" xfId="49009" xr:uid="{00000000-0005-0000-0000-000035090000}"/>
    <cellStyle name="나쁨 15" xfId="49010" xr:uid="{00000000-0005-0000-0000-000036090000}"/>
    <cellStyle name="나쁨 16" xfId="49011" xr:uid="{00000000-0005-0000-0000-000037090000}"/>
    <cellStyle name="나쁨 17" xfId="49012" xr:uid="{00000000-0005-0000-0000-000038090000}"/>
    <cellStyle name="나쁨 18" xfId="49013" xr:uid="{00000000-0005-0000-0000-000039090000}"/>
    <cellStyle name="나쁨 19" xfId="49014" xr:uid="{00000000-0005-0000-0000-00003A090000}"/>
    <cellStyle name="나쁨 2" xfId="244" xr:uid="{00000000-0005-0000-0000-00003B090000}"/>
    <cellStyle name="나쁨 2 10" xfId="6499" xr:uid="{00000000-0005-0000-0000-00003C090000}"/>
    <cellStyle name="나쁨 2 11" xfId="6278" xr:uid="{00000000-0005-0000-0000-00003D090000}"/>
    <cellStyle name="나쁨 2 2" xfId="4772" xr:uid="{00000000-0005-0000-0000-00003E090000}"/>
    <cellStyle name="나쁨 2 3" xfId="6331" xr:uid="{00000000-0005-0000-0000-00003F090000}"/>
    <cellStyle name="나쁨 2 4" xfId="6462" xr:uid="{00000000-0005-0000-0000-000040090000}"/>
    <cellStyle name="나쁨 2 5" xfId="6322" xr:uid="{00000000-0005-0000-0000-000041090000}"/>
    <cellStyle name="나쁨 2 6" xfId="6471" xr:uid="{00000000-0005-0000-0000-000042090000}"/>
    <cellStyle name="나쁨 2 7" xfId="6314" xr:uid="{00000000-0005-0000-0000-000043090000}"/>
    <cellStyle name="나쁨 2 8" xfId="6482" xr:uid="{00000000-0005-0000-0000-000044090000}"/>
    <cellStyle name="나쁨 2 9" xfId="6296" xr:uid="{00000000-0005-0000-0000-000045090000}"/>
    <cellStyle name="나쁨 20" xfId="49015" xr:uid="{00000000-0005-0000-0000-000046090000}"/>
    <cellStyle name="나쁨 21" xfId="49016" xr:uid="{00000000-0005-0000-0000-000047090000}"/>
    <cellStyle name="나쁨 22" xfId="49017" xr:uid="{00000000-0005-0000-0000-000048090000}"/>
    <cellStyle name="나쁨 23" xfId="49018" xr:uid="{00000000-0005-0000-0000-000049090000}"/>
    <cellStyle name="나쁨 24" xfId="49019" xr:uid="{00000000-0005-0000-0000-00004A090000}"/>
    <cellStyle name="나쁨 25" xfId="49020" xr:uid="{00000000-0005-0000-0000-00004B090000}"/>
    <cellStyle name="나쁨 26" xfId="49021" xr:uid="{00000000-0005-0000-0000-00004C090000}"/>
    <cellStyle name="나쁨 27" xfId="49022" xr:uid="{00000000-0005-0000-0000-00004D090000}"/>
    <cellStyle name="나쁨 28" xfId="49023" xr:uid="{00000000-0005-0000-0000-00004E090000}"/>
    <cellStyle name="나쁨 29" xfId="49024" xr:uid="{00000000-0005-0000-0000-00004F090000}"/>
    <cellStyle name="나쁨 3" xfId="3035" xr:uid="{00000000-0005-0000-0000-000050090000}"/>
    <cellStyle name="나쁨 3 10" xfId="3499" xr:uid="{00000000-0005-0000-0000-000051090000}"/>
    <cellStyle name="나쁨 3 11" xfId="2527" xr:uid="{00000000-0005-0000-0000-000052090000}"/>
    <cellStyle name="나쁨 3 2" xfId="4012" xr:uid="{00000000-0005-0000-0000-000053090000}"/>
    <cellStyle name="나쁨 3 3" xfId="3033" xr:uid="{00000000-0005-0000-0000-000054090000}"/>
    <cellStyle name="나쁨 3 4" xfId="3158" xr:uid="{00000000-0005-0000-0000-000055090000}"/>
    <cellStyle name="나쁨 3 5" xfId="3730" xr:uid="{00000000-0005-0000-0000-000056090000}"/>
    <cellStyle name="나쁨 3 6" xfId="360" xr:uid="{00000000-0005-0000-0000-000057090000}"/>
    <cellStyle name="나쁨 3 7" xfId="4016" xr:uid="{00000000-0005-0000-0000-000058090000}"/>
    <cellStyle name="나쁨 3 8" xfId="2650" xr:uid="{00000000-0005-0000-0000-000059090000}"/>
    <cellStyle name="나쁨 3 9" xfId="3285" xr:uid="{00000000-0005-0000-0000-00005A090000}"/>
    <cellStyle name="나쁨 30" xfId="49025" xr:uid="{00000000-0005-0000-0000-00005B090000}"/>
    <cellStyle name="나쁨 31" xfId="49026" xr:uid="{00000000-0005-0000-0000-00005C090000}"/>
    <cellStyle name="나쁨 32" xfId="49027" xr:uid="{00000000-0005-0000-0000-00005D090000}"/>
    <cellStyle name="나쁨 33" xfId="49028" xr:uid="{00000000-0005-0000-0000-00005E090000}"/>
    <cellStyle name="나쁨 4" xfId="4013" xr:uid="{00000000-0005-0000-0000-00005F090000}"/>
    <cellStyle name="나쁨 4 10" xfId="3027" xr:uid="{00000000-0005-0000-0000-000060090000}"/>
    <cellStyle name="나쁨 4 11" xfId="3737" xr:uid="{00000000-0005-0000-0000-000061090000}"/>
    <cellStyle name="나쁨 4 2" xfId="3256" xr:uid="{00000000-0005-0000-0000-000062090000}"/>
    <cellStyle name="나쁨 4 3" xfId="3244" xr:uid="{00000000-0005-0000-0000-000063090000}"/>
    <cellStyle name="나쁨 4 4" xfId="3745" xr:uid="{00000000-0005-0000-0000-000064090000}"/>
    <cellStyle name="나쁨 4 5" xfId="3504" xr:uid="{00000000-0005-0000-0000-000065090000}"/>
    <cellStyle name="나쁨 4 6" xfId="4087" xr:uid="{00000000-0005-0000-0000-000066090000}"/>
    <cellStyle name="나쁨 4 7" xfId="4237" xr:uid="{00000000-0005-0000-0000-000067090000}"/>
    <cellStyle name="나쁨 4 8" xfId="3991" xr:uid="{00000000-0005-0000-0000-000068090000}"/>
    <cellStyle name="나쁨 4 9" xfId="3020" xr:uid="{00000000-0005-0000-0000-000069090000}"/>
    <cellStyle name="나쁨 5" xfId="3895" xr:uid="{00000000-0005-0000-0000-00006A090000}"/>
    <cellStyle name="나쁨 5 2" xfId="2547" xr:uid="{00000000-0005-0000-0000-00006B090000}"/>
    <cellStyle name="나쁨 5 3" xfId="3752" xr:uid="{00000000-0005-0000-0000-00006C090000}"/>
    <cellStyle name="나쁨 5 4" xfId="3270" xr:uid="{00000000-0005-0000-0000-00006D090000}"/>
    <cellStyle name="나쁨 5 5" xfId="2784" xr:uid="{00000000-0005-0000-0000-00006E090000}"/>
    <cellStyle name="나쁨 6" xfId="2769" xr:uid="{00000000-0005-0000-0000-00006F090000}"/>
    <cellStyle name="나쁨 6 2" xfId="3754" xr:uid="{00000000-0005-0000-0000-000070090000}"/>
    <cellStyle name="나쁨 6 3" xfId="3899" xr:uid="{00000000-0005-0000-0000-000071090000}"/>
    <cellStyle name="나쁨 6 4" xfId="3415" xr:uid="{00000000-0005-0000-0000-000072090000}"/>
    <cellStyle name="나쁨 6 5" xfId="4289" xr:uid="{00000000-0005-0000-0000-000073090000}"/>
    <cellStyle name="나쁨 7" xfId="3306" xr:uid="{00000000-0005-0000-0000-000074090000}"/>
    <cellStyle name="나쁨 7 2" xfId="3603" xr:uid="{00000000-0005-0000-0000-000075090000}"/>
    <cellStyle name="나쁨 8" xfId="3070" xr:uid="{00000000-0005-0000-0000-000076090000}"/>
    <cellStyle name="나쁨 8 2" xfId="3791" xr:uid="{00000000-0005-0000-0000-000077090000}"/>
    <cellStyle name="나쁨 9" xfId="6483" xr:uid="{00000000-0005-0000-0000-000078090000}"/>
    <cellStyle name="내역서" xfId="49029" xr:uid="{00000000-0005-0000-0000-000079090000}"/>
    <cellStyle name="뒤에 오는 하이퍼링크_1111" xfId="49030" xr:uid="{00000000-0005-0000-0000-00007A090000}"/>
    <cellStyle name="똿뗦먛귟 [0.00]_PRODUCT DETAIL Q1" xfId="245" xr:uid="{00000000-0005-0000-0000-00007B090000}"/>
    <cellStyle name="똿뗦먛귟_PRODUCT DETAIL Q1" xfId="246" xr:uid="{00000000-0005-0000-0000-00007C090000}"/>
    <cellStyle name="마이너스키" xfId="49031" xr:uid="{00000000-0005-0000-0000-00007D090000}"/>
    <cellStyle name="메모 10" xfId="6297" xr:uid="{00000000-0005-0000-0000-00007E090000}"/>
    <cellStyle name="메모 11" xfId="6498" xr:uid="{00000000-0005-0000-0000-00007F090000}"/>
    <cellStyle name="메모 12" xfId="6279" xr:uid="{00000000-0005-0000-0000-000080090000}"/>
    <cellStyle name="메모 13" xfId="49032" xr:uid="{00000000-0005-0000-0000-000081090000}"/>
    <cellStyle name="메모 14" xfId="49033" xr:uid="{00000000-0005-0000-0000-000082090000}"/>
    <cellStyle name="메모 15" xfId="49034" xr:uid="{00000000-0005-0000-0000-000083090000}"/>
    <cellStyle name="메모 16" xfId="49035" xr:uid="{00000000-0005-0000-0000-000084090000}"/>
    <cellStyle name="메모 17" xfId="49036" xr:uid="{00000000-0005-0000-0000-000085090000}"/>
    <cellStyle name="메모 18" xfId="49037" xr:uid="{00000000-0005-0000-0000-000086090000}"/>
    <cellStyle name="메모 19" xfId="49038" xr:uid="{00000000-0005-0000-0000-000087090000}"/>
    <cellStyle name="메모 2" xfId="247" xr:uid="{00000000-0005-0000-0000-000088090000}"/>
    <cellStyle name="메모 2 10" xfId="4773" xr:uid="{00000000-0005-0000-0000-000089090000}"/>
    <cellStyle name="메모 2 10 2" xfId="4774" xr:uid="{00000000-0005-0000-0000-00008A090000}"/>
    <cellStyle name="메모 2 11" xfId="4775" xr:uid="{00000000-0005-0000-0000-00008B090000}"/>
    <cellStyle name="메모 2 11 2" xfId="4776" xr:uid="{00000000-0005-0000-0000-00008C090000}"/>
    <cellStyle name="메모 2 12" xfId="4777" xr:uid="{00000000-0005-0000-0000-00008D090000}"/>
    <cellStyle name="메모 2 12 2" xfId="4778" xr:uid="{00000000-0005-0000-0000-00008E090000}"/>
    <cellStyle name="메모 2 13" xfId="4779" xr:uid="{00000000-0005-0000-0000-00008F090000}"/>
    <cellStyle name="메모 2 13 2" xfId="4780" xr:uid="{00000000-0005-0000-0000-000090090000}"/>
    <cellStyle name="메모 2 14" xfId="4781" xr:uid="{00000000-0005-0000-0000-000091090000}"/>
    <cellStyle name="메모 2 14 2" xfId="4782" xr:uid="{00000000-0005-0000-0000-000092090000}"/>
    <cellStyle name="메모 2 15" xfId="4783" xr:uid="{00000000-0005-0000-0000-000093090000}"/>
    <cellStyle name="메모 2 15 2" xfId="4784" xr:uid="{00000000-0005-0000-0000-000094090000}"/>
    <cellStyle name="메모 2 16" xfId="4785" xr:uid="{00000000-0005-0000-0000-000095090000}"/>
    <cellStyle name="메모 2 16 2" xfId="4786" xr:uid="{00000000-0005-0000-0000-000096090000}"/>
    <cellStyle name="메모 2 17" xfId="4787" xr:uid="{00000000-0005-0000-0000-000097090000}"/>
    <cellStyle name="메모 2 17 2" xfId="4788" xr:uid="{00000000-0005-0000-0000-000098090000}"/>
    <cellStyle name="메모 2 18" xfId="4789" xr:uid="{00000000-0005-0000-0000-000099090000}"/>
    <cellStyle name="메모 2 18 2" xfId="4790" xr:uid="{00000000-0005-0000-0000-00009A090000}"/>
    <cellStyle name="메모 2 19" xfId="4791" xr:uid="{00000000-0005-0000-0000-00009B090000}"/>
    <cellStyle name="메모 2 19 2" xfId="4792" xr:uid="{00000000-0005-0000-0000-00009C090000}"/>
    <cellStyle name="메모 2 2" xfId="4294" xr:uid="{00000000-0005-0000-0000-00009D090000}"/>
    <cellStyle name="메모 2 2 10" xfId="3793" xr:uid="{00000000-0005-0000-0000-00009E090000}"/>
    <cellStyle name="메모 2 2 10 2" xfId="4793" xr:uid="{00000000-0005-0000-0000-00009F090000}"/>
    <cellStyle name="메모 2 2 11" xfId="2760" xr:uid="{00000000-0005-0000-0000-0000A0090000}"/>
    <cellStyle name="메모 2 2 11 2" xfId="4794" xr:uid="{00000000-0005-0000-0000-0000A1090000}"/>
    <cellStyle name="메모 2 2 12" xfId="4795" xr:uid="{00000000-0005-0000-0000-0000A2090000}"/>
    <cellStyle name="메모 2 2 12 2" xfId="4796" xr:uid="{00000000-0005-0000-0000-0000A3090000}"/>
    <cellStyle name="메모 2 2 13" xfId="4797" xr:uid="{00000000-0005-0000-0000-0000A4090000}"/>
    <cellStyle name="메모 2 2 13 2" xfId="4798" xr:uid="{00000000-0005-0000-0000-0000A5090000}"/>
    <cellStyle name="메모 2 2 14" xfId="4799" xr:uid="{00000000-0005-0000-0000-0000A6090000}"/>
    <cellStyle name="메모 2 2 14 2" xfId="4800" xr:uid="{00000000-0005-0000-0000-0000A7090000}"/>
    <cellStyle name="메모 2 2 15" xfId="4801" xr:uid="{00000000-0005-0000-0000-0000A8090000}"/>
    <cellStyle name="메모 2 2 15 2" xfId="4802" xr:uid="{00000000-0005-0000-0000-0000A9090000}"/>
    <cellStyle name="메모 2 2 16" xfId="4803" xr:uid="{00000000-0005-0000-0000-0000AA090000}"/>
    <cellStyle name="메모 2 2 16 2" xfId="4804" xr:uid="{00000000-0005-0000-0000-0000AB090000}"/>
    <cellStyle name="메모 2 2 17" xfId="4805" xr:uid="{00000000-0005-0000-0000-0000AC090000}"/>
    <cellStyle name="메모 2 2 17 2" xfId="4806" xr:uid="{00000000-0005-0000-0000-0000AD090000}"/>
    <cellStyle name="메모 2 2 18" xfId="4807" xr:uid="{00000000-0005-0000-0000-0000AE090000}"/>
    <cellStyle name="메모 2 2 18 2" xfId="4808" xr:uid="{00000000-0005-0000-0000-0000AF090000}"/>
    <cellStyle name="메모 2 2 19" xfId="4809" xr:uid="{00000000-0005-0000-0000-0000B0090000}"/>
    <cellStyle name="메모 2 2 19 2" xfId="4810" xr:uid="{00000000-0005-0000-0000-0000B1090000}"/>
    <cellStyle name="메모 2 2 2" xfId="3071" xr:uid="{00000000-0005-0000-0000-0000B2090000}"/>
    <cellStyle name="메모 2 2 2 10" xfId="4811" xr:uid="{00000000-0005-0000-0000-0000B3090000}"/>
    <cellStyle name="메모 2 2 2 10 2" xfId="4812" xr:uid="{00000000-0005-0000-0000-0000B4090000}"/>
    <cellStyle name="메모 2 2 2 11" xfId="4813" xr:uid="{00000000-0005-0000-0000-0000B5090000}"/>
    <cellStyle name="메모 2 2 2 11 2" xfId="4814" xr:uid="{00000000-0005-0000-0000-0000B6090000}"/>
    <cellStyle name="메모 2 2 2 12" xfId="4815" xr:uid="{00000000-0005-0000-0000-0000B7090000}"/>
    <cellStyle name="메모 2 2 2 12 2" xfId="4816" xr:uid="{00000000-0005-0000-0000-0000B8090000}"/>
    <cellStyle name="메모 2 2 2 13" xfId="4817" xr:uid="{00000000-0005-0000-0000-0000B9090000}"/>
    <cellStyle name="메모 2 2 2 13 2" xfId="4818" xr:uid="{00000000-0005-0000-0000-0000BA090000}"/>
    <cellStyle name="메모 2 2 2 14" xfId="4819" xr:uid="{00000000-0005-0000-0000-0000BB090000}"/>
    <cellStyle name="메모 2 2 2 14 2" xfId="4820" xr:uid="{00000000-0005-0000-0000-0000BC090000}"/>
    <cellStyle name="메모 2 2 2 15" xfId="4821" xr:uid="{00000000-0005-0000-0000-0000BD090000}"/>
    <cellStyle name="메모 2 2 2 15 2" xfId="4822" xr:uid="{00000000-0005-0000-0000-0000BE090000}"/>
    <cellStyle name="메모 2 2 2 16" xfId="4823" xr:uid="{00000000-0005-0000-0000-0000BF090000}"/>
    <cellStyle name="메모 2 2 2 16 2" xfId="4824" xr:uid="{00000000-0005-0000-0000-0000C0090000}"/>
    <cellStyle name="메모 2 2 2 17" xfId="4825" xr:uid="{00000000-0005-0000-0000-0000C1090000}"/>
    <cellStyle name="메모 2 2 2 17 2" xfId="4826" xr:uid="{00000000-0005-0000-0000-0000C2090000}"/>
    <cellStyle name="메모 2 2 2 18" xfId="4827" xr:uid="{00000000-0005-0000-0000-0000C3090000}"/>
    <cellStyle name="메모 2 2 2 18 2" xfId="4828" xr:uid="{00000000-0005-0000-0000-0000C4090000}"/>
    <cellStyle name="메모 2 2 2 19" xfId="4829" xr:uid="{00000000-0005-0000-0000-0000C5090000}"/>
    <cellStyle name="메모 2 2 2 19 2" xfId="4830" xr:uid="{00000000-0005-0000-0000-0000C6090000}"/>
    <cellStyle name="메모 2 2 2 2" xfId="4831" xr:uid="{00000000-0005-0000-0000-0000C7090000}"/>
    <cellStyle name="메모 2 2 2 2 10" xfId="4832" xr:uid="{00000000-0005-0000-0000-0000C8090000}"/>
    <cellStyle name="메모 2 2 2 2 10 2" xfId="4833" xr:uid="{00000000-0005-0000-0000-0000C9090000}"/>
    <cellStyle name="메모 2 2 2 2 11" xfId="4834" xr:uid="{00000000-0005-0000-0000-0000CA090000}"/>
    <cellStyle name="메모 2 2 2 2 11 2" xfId="4835" xr:uid="{00000000-0005-0000-0000-0000CB090000}"/>
    <cellStyle name="메모 2 2 2 2 12" xfId="4836" xr:uid="{00000000-0005-0000-0000-0000CC090000}"/>
    <cellStyle name="메모 2 2 2 2 12 2" xfId="4837" xr:uid="{00000000-0005-0000-0000-0000CD090000}"/>
    <cellStyle name="메모 2 2 2 2 13" xfId="4838" xr:uid="{00000000-0005-0000-0000-0000CE090000}"/>
    <cellStyle name="메모 2 2 2 2 13 2" xfId="4839" xr:uid="{00000000-0005-0000-0000-0000CF090000}"/>
    <cellStyle name="메모 2 2 2 2 14" xfId="4840" xr:uid="{00000000-0005-0000-0000-0000D0090000}"/>
    <cellStyle name="메모 2 2 2 2 14 2" xfId="4841" xr:uid="{00000000-0005-0000-0000-0000D1090000}"/>
    <cellStyle name="메모 2 2 2 2 15" xfId="4842" xr:uid="{00000000-0005-0000-0000-0000D2090000}"/>
    <cellStyle name="메모 2 2 2 2 15 2" xfId="4843" xr:uid="{00000000-0005-0000-0000-0000D3090000}"/>
    <cellStyle name="메모 2 2 2 2 16" xfId="4844" xr:uid="{00000000-0005-0000-0000-0000D4090000}"/>
    <cellStyle name="메모 2 2 2 2 16 2" xfId="4845" xr:uid="{00000000-0005-0000-0000-0000D5090000}"/>
    <cellStyle name="메모 2 2 2 2 17" xfId="4846" xr:uid="{00000000-0005-0000-0000-0000D6090000}"/>
    <cellStyle name="메모 2 2 2 2 17 2" xfId="4847" xr:uid="{00000000-0005-0000-0000-0000D7090000}"/>
    <cellStyle name="메모 2 2 2 2 18" xfId="4848" xr:uid="{00000000-0005-0000-0000-0000D8090000}"/>
    <cellStyle name="메모 2 2 2 2 18 2" xfId="4849" xr:uid="{00000000-0005-0000-0000-0000D9090000}"/>
    <cellStyle name="메모 2 2 2 2 19" xfId="4850" xr:uid="{00000000-0005-0000-0000-0000DA090000}"/>
    <cellStyle name="메모 2 2 2 2 19 2" xfId="4851" xr:uid="{00000000-0005-0000-0000-0000DB090000}"/>
    <cellStyle name="메모 2 2 2 2 2" xfId="4852" xr:uid="{00000000-0005-0000-0000-0000DC090000}"/>
    <cellStyle name="메모 2 2 2 2 2 2" xfId="4853" xr:uid="{00000000-0005-0000-0000-0000DD090000}"/>
    <cellStyle name="메모 2 2 2 2 20" xfId="4854" xr:uid="{00000000-0005-0000-0000-0000DE090000}"/>
    <cellStyle name="메모 2 2 2 2 3" xfId="4855" xr:uid="{00000000-0005-0000-0000-0000DF090000}"/>
    <cellStyle name="메모 2 2 2 2 3 2" xfId="4856" xr:uid="{00000000-0005-0000-0000-0000E0090000}"/>
    <cellStyle name="메모 2 2 2 2 4" xfId="4857" xr:uid="{00000000-0005-0000-0000-0000E1090000}"/>
    <cellStyle name="메모 2 2 2 2 4 2" xfId="4858" xr:uid="{00000000-0005-0000-0000-0000E2090000}"/>
    <cellStyle name="메모 2 2 2 2 5" xfId="4859" xr:uid="{00000000-0005-0000-0000-0000E3090000}"/>
    <cellStyle name="메모 2 2 2 2 5 2" xfId="4860" xr:uid="{00000000-0005-0000-0000-0000E4090000}"/>
    <cellStyle name="메모 2 2 2 2 6" xfId="4861" xr:uid="{00000000-0005-0000-0000-0000E5090000}"/>
    <cellStyle name="메모 2 2 2 2 6 2" xfId="4862" xr:uid="{00000000-0005-0000-0000-0000E6090000}"/>
    <cellStyle name="메모 2 2 2 2 7" xfId="4863" xr:uid="{00000000-0005-0000-0000-0000E7090000}"/>
    <cellStyle name="메모 2 2 2 2 7 2" xfId="4864" xr:uid="{00000000-0005-0000-0000-0000E8090000}"/>
    <cellStyle name="메모 2 2 2 2 8" xfId="4865" xr:uid="{00000000-0005-0000-0000-0000E9090000}"/>
    <cellStyle name="메모 2 2 2 2 8 2" xfId="4866" xr:uid="{00000000-0005-0000-0000-0000EA090000}"/>
    <cellStyle name="메모 2 2 2 2 9" xfId="4867" xr:uid="{00000000-0005-0000-0000-0000EB090000}"/>
    <cellStyle name="메모 2 2 2 2 9 2" xfId="4868" xr:uid="{00000000-0005-0000-0000-0000EC090000}"/>
    <cellStyle name="메모 2 2 2 20" xfId="4869" xr:uid="{00000000-0005-0000-0000-0000ED090000}"/>
    <cellStyle name="메모 2 2 2 20 2" xfId="4870" xr:uid="{00000000-0005-0000-0000-0000EE090000}"/>
    <cellStyle name="메모 2 2 2 21" xfId="4871" xr:uid="{00000000-0005-0000-0000-0000EF090000}"/>
    <cellStyle name="메모 2 2 2 3" xfId="4872" xr:uid="{00000000-0005-0000-0000-0000F0090000}"/>
    <cellStyle name="메모 2 2 2 3 2" xfId="4873" xr:uid="{00000000-0005-0000-0000-0000F1090000}"/>
    <cellStyle name="메모 2 2 2 4" xfId="4874" xr:uid="{00000000-0005-0000-0000-0000F2090000}"/>
    <cellStyle name="메모 2 2 2 4 2" xfId="4875" xr:uid="{00000000-0005-0000-0000-0000F3090000}"/>
    <cellStyle name="메모 2 2 2 5" xfId="4876" xr:uid="{00000000-0005-0000-0000-0000F4090000}"/>
    <cellStyle name="메모 2 2 2 5 2" xfId="4877" xr:uid="{00000000-0005-0000-0000-0000F5090000}"/>
    <cellStyle name="메모 2 2 2 6" xfId="4878" xr:uid="{00000000-0005-0000-0000-0000F6090000}"/>
    <cellStyle name="메모 2 2 2 6 2" xfId="4879" xr:uid="{00000000-0005-0000-0000-0000F7090000}"/>
    <cellStyle name="메모 2 2 2 7" xfId="4880" xr:uid="{00000000-0005-0000-0000-0000F8090000}"/>
    <cellStyle name="메모 2 2 2 7 2" xfId="4881" xr:uid="{00000000-0005-0000-0000-0000F9090000}"/>
    <cellStyle name="메모 2 2 2 8" xfId="4882" xr:uid="{00000000-0005-0000-0000-0000FA090000}"/>
    <cellStyle name="메모 2 2 2 8 2" xfId="4883" xr:uid="{00000000-0005-0000-0000-0000FB090000}"/>
    <cellStyle name="메모 2 2 2 9" xfId="4884" xr:uid="{00000000-0005-0000-0000-0000FC090000}"/>
    <cellStyle name="메모 2 2 2 9 2" xfId="4885" xr:uid="{00000000-0005-0000-0000-0000FD090000}"/>
    <cellStyle name="메모 2 2 20" xfId="4886" xr:uid="{00000000-0005-0000-0000-0000FE090000}"/>
    <cellStyle name="메모 2 2 20 2" xfId="4887" xr:uid="{00000000-0005-0000-0000-0000FF090000}"/>
    <cellStyle name="메모 2 2 21" xfId="4888" xr:uid="{00000000-0005-0000-0000-0000000A0000}"/>
    <cellStyle name="메모 2 2 21 2" xfId="4889" xr:uid="{00000000-0005-0000-0000-0000010A0000}"/>
    <cellStyle name="메모 2 2 22" xfId="4890" xr:uid="{00000000-0005-0000-0000-0000020A0000}"/>
    <cellStyle name="메모 2 2 22 2" xfId="4891" xr:uid="{00000000-0005-0000-0000-0000030A0000}"/>
    <cellStyle name="메모 2 2 23" xfId="4892" xr:uid="{00000000-0005-0000-0000-0000040A0000}"/>
    <cellStyle name="메모 2 2 23 2" xfId="4893" xr:uid="{00000000-0005-0000-0000-0000050A0000}"/>
    <cellStyle name="메모 2 2 24" xfId="4894" xr:uid="{00000000-0005-0000-0000-0000060A0000}"/>
    <cellStyle name="메모 2 2 25" xfId="49040" xr:uid="{00000000-0005-0000-0000-0000070A0000}"/>
    <cellStyle name="메모 2 2 3" xfId="3577" xr:uid="{00000000-0005-0000-0000-0000080A0000}"/>
    <cellStyle name="메모 2 2 3 10" xfId="4895" xr:uid="{00000000-0005-0000-0000-0000090A0000}"/>
    <cellStyle name="메모 2 2 3 10 2" xfId="4896" xr:uid="{00000000-0005-0000-0000-00000A0A0000}"/>
    <cellStyle name="메모 2 2 3 11" xfId="4897" xr:uid="{00000000-0005-0000-0000-00000B0A0000}"/>
    <cellStyle name="메모 2 2 3 11 2" xfId="4898" xr:uid="{00000000-0005-0000-0000-00000C0A0000}"/>
    <cellStyle name="메모 2 2 3 12" xfId="4899" xr:uid="{00000000-0005-0000-0000-00000D0A0000}"/>
    <cellStyle name="메모 2 2 3 12 2" xfId="4900" xr:uid="{00000000-0005-0000-0000-00000E0A0000}"/>
    <cellStyle name="메모 2 2 3 13" xfId="4901" xr:uid="{00000000-0005-0000-0000-00000F0A0000}"/>
    <cellStyle name="메모 2 2 3 13 2" xfId="4902" xr:uid="{00000000-0005-0000-0000-0000100A0000}"/>
    <cellStyle name="메모 2 2 3 14" xfId="4903" xr:uid="{00000000-0005-0000-0000-0000110A0000}"/>
    <cellStyle name="메모 2 2 3 14 2" xfId="4904" xr:uid="{00000000-0005-0000-0000-0000120A0000}"/>
    <cellStyle name="메모 2 2 3 15" xfId="4905" xr:uid="{00000000-0005-0000-0000-0000130A0000}"/>
    <cellStyle name="메모 2 2 3 15 2" xfId="4906" xr:uid="{00000000-0005-0000-0000-0000140A0000}"/>
    <cellStyle name="메모 2 2 3 16" xfId="4907" xr:uid="{00000000-0005-0000-0000-0000150A0000}"/>
    <cellStyle name="메모 2 2 3 16 2" xfId="4908" xr:uid="{00000000-0005-0000-0000-0000160A0000}"/>
    <cellStyle name="메모 2 2 3 17" xfId="4909" xr:uid="{00000000-0005-0000-0000-0000170A0000}"/>
    <cellStyle name="메모 2 2 3 17 2" xfId="4910" xr:uid="{00000000-0005-0000-0000-0000180A0000}"/>
    <cellStyle name="메모 2 2 3 18" xfId="4911" xr:uid="{00000000-0005-0000-0000-0000190A0000}"/>
    <cellStyle name="메모 2 2 3 18 2" xfId="4912" xr:uid="{00000000-0005-0000-0000-00001A0A0000}"/>
    <cellStyle name="메모 2 2 3 19" xfId="4913" xr:uid="{00000000-0005-0000-0000-00001B0A0000}"/>
    <cellStyle name="메모 2 2 3 19 2" xfId="4914" xr:uid="{00000000-0005-0000-0000-00001C0A0000}"/>
    <cellStyle name="메모 2 2 3 2" xfId="4915" xr:uid="{00000000-0005-0000-0000-00001D0A0000}"/>
    <cellStyle name="메모 2 2 3 2 10" xfId="4916" xr:uid="{00000000-0005-0000-0000-00001E0A0000}"/>
    <cellStyle name="메모 2 2 3 2 10 2" xfId="4917" xr:uid="{00000000-0005-0000-0000-00001F0A0000}"/>
    <cellStyle name="메모 2 2 3 2 11" xfId="4918" xr:uid="{00000000-0005-0000-0000-0000200A0000}"/>
    <cellStyle name="메모 2 2 3 2 11 2" xfId="4919" xr:uid="{00000000-0005-0000-0000-0000210A0000}"/>
    <cellStyle name="메모 2 2 3 2 12" xfId="4920" xr:uid="{00000000-0005-0000-0000-0000220A0000}"/>
    <cellStyle name="메모 2 2 3 2 12 2" xfId="4921" xr:uid="{00000000-0005-0000-0000-0000230A0000}"/>
    <cellStyle name="메모 2 2 3 2 13" xfId="4922" xr:uid="{00000000-0005-0000-0000-0000240A0000}"/>
    <cellStyle name="메모 2 2 3 2 13 2" xfId="4923" xr:uid="{00000000-0005-0000-0000-0000250A0000}"/>
    <cellStyle name="메모 2 2 3 2 14" xfId="4924" xr:uid="{00000000-0005-0000-0000-0000260A0000}"/>
    <cellStyle name="메모 2 2 3 2 14 2" xfId="4925" xr:uid="{00000000-0005-0000-0000-0000270A0000}"/>
    <cellStyle name="메모 2 2 3 2 15" xfId="4926" xr:uid="{00000000-0005-0000-0000-0000280A0000}"/>
    <cellStyle name="메모 2 2 3 2 15 2" xfId="4927" xr:uid="{00000000-0005-0000-0000-0000290A0000}"/>
    <cellStyle name="메모 2 2 3 2 16" xfId="4928" xr:uid="{00000000-0005-0000-0000-00002A0A0000}"/>
    <cellStyle name="메모 2 2 3 2 16 2" xfId="4929" xr:uid="{00000000-0005-0000-0000-00002B0A0000}"/>
    <cellStyle name="메모 2 2 3 2 17" xfId="4930" xr:uid="{00000000-0005-0000-0000-00002C0A0000}"/>
    <cellStyle name="메모 2 2 3 2 17 2" xfId="4931" xr:uid="{00000000-0005-0000-0000-00002D0A0000}"/>
    <cellStyle name="메모 2 2 3 2 18" xfId="4932" xr:uid="{00000000-0005-0000-0000-00002E0A0000}"/>
    <cellStyle name="메모 2 2 3 2 18 2" xfId="4933" xr:uid="{00000000-0005-0000-0000-00002F0A0000}"/>
    <cellStyle name="메모 2 2 3 2 19" xfId="4934" xr:uid="{00000000-0005-0000-0000-0000300A0000}"/>
    <cellStyle name="메모 2 2 3 2 19 2" xfId="4935" xr:uid="{00000000-0005-0000-0000-0000310A0000}"/>
    <cellStyle name="메모 2 2 3 2 2" xfId="4936" xr:uid="{00000000-0005-0000-0000-0000320A0000}"/>
    <cellStyle name="메모 2 2 3 2 2 2" xfId="4937" xr:uid="{00000000-0005-0000-0000-0000330A0000}"/>
    <cellStyle name="메모 2 2 3 2 20" xfId="4938" xr:uid="{00000000-0005-0000-0000-0000340A0000}"/>
    <cellStyle name="메모 2 2 3 2 3" xfId="4939" xr:uid="{00000000-0005-0000-0000-0000350A0000}"/>
    <cellStyle name="메모 2 2 3 2 3 2" xfId="4940" xr:uid="{00000000-0005-0000-0000-0000360A0000}"/>
    <cellStyle name="메모 2 2 3 2 4" xfId="4941" xr:uid="{00000000-0005-0000-0000-0000370A0000}"/>
    <cellStyle name="메모 2 2 3 2 4 2" xfId="4942" xr:uid="{00000000-0005-0000-0000-0000380A0000}"/>
    <cellStyle name="메모 2 2 3 2 5" xfId="4943" xr:uid="{00000000-0005-0000-0000-0000390A0000}"/>
    <cellStyle name="메모 2 2 3 2 5 2" xfId="4944" xr:uid="{00000000-0005-0000-0000-00003A0A0000}"/>
    <cellStyle name="메모 2 2 3 2 6" xfId="4945" xr:uid="{00000000-0005-0000-0000-00003B0A0000}"/>
    <cellStyle name="메모 2 2 3 2 6 2" xfId="4946" xr:uid="{00000000-0005-0000-0000-00003C0A0000}"/>
    <cellStyle name="메모 2 2 3 2 7" xfId="4947" xr:uid="{00000000-0005-0000-0000-00003D0A0000}"/>
    <cellStyle name="메모 2 2 3 2 7 2" xfId="4948" xr:uid="{00000000-0005-0000-0000-00003E0A0000}"/>
    <cellStyle name="메모 2 2 3 2 8" xfId="4949" xr:uid="{00000000-0005-0000-0000-00003F0A0000}"/>
    <cellStyle name="메모 2 2 3 2 8 2" xfId="4950" xr:uid="{00000000-0005-0000-0000-0000400A0000}"/>
    <cellStyle name="메모 2 2 3 2 9" xfId="4951" xr:uid="{00000000-0005-0000-0000-0000410A0000}"/>
    <cellStyle name="메모 2 2 3 2 9 2" xfId="4952" xr:uid="{00000000-0005-0000-0000-0000420A0000}"/>
    <cellStyle name="메모 2 2 3 20" xfId="4953" xr:uid="{00000000-0005-0000-0000-0000430A0000}"/>
    <cellStyle name="메모 2 2 3 20 2" xfId="4954" xr:uid="{00000000-0005-0000-0000-0000440A0000}"/>
    <cellStyle name="메모 2 2 3 21" xfId="4955" xr:uid="{00000000-0005-0000-0000-0000450A0000}"/>
    <cellStyle name="메모 2 2 3 3" xfId="4956" xr:uid="{00000000-0005-0000-0000-0000460A0000}"/>
    <cellStyle name="메모 2 2 3 3 2" xfId="4957" xr:uid="{00000000-0005-0000-0000-0000470A0000}"/>
    <cellStyle name="메모 2 2 3 4" xfId="4958" xr:uid="{00000000-0005-0000-0000-0000480A0000}"/>
    <cellStyle name="메모 2 2 3 4 2" xfId="4959" xr:uid="{00000000-0005-0000-0000-0000490A0000}"/>
    <cellStyle name="메모 2 2 3 5" xfId="4960" xr:uid="{00000000-0005-0000-0000-00004A0A0000}"/>
    <cellStyle name="메모 2 2 3 5 2" xfId="4961" xr:uid="{00000000-0005-0000-0000-00004B0A0000}"/>
    <cellStyle name="메모 2 2 3 6" xfId="4962" xr:uid="{00000000-0005-0000-0000-00004C0A0000}"/>
    <cellStyle name="메모 2 2 3 6 2" xfId="4963" xr:uid="{00000000-0005-0000-0000-00004D0A0000}"/>
    <cellStyle name="메모 2 2 3 7" xfId="4964" xr:uid="{00000000-0005-0000-0000-00004E0A0000}"/>
    <cellStyle name="메모 2 2 3 7 2" xfId="4965" xr:uid="{00000000-0005-0000-0000-00004F0A0000}"/>
    <cellStyle name="메모 2 2 3 8" xfId="4966" xr:uid="{00000000-0005-0000-0000-0000500A0000}"/>
    <cellStyle name="메모 2 2 3 8 2" xfId="4967" xr:uid="{00000000-0005-0000-0000-0000510A0000}"/>
    <cellStyle name="메모 2 2 3 9" xfId="4968" xr:uid="{00000000-0005-0000-0000-0000520A0000}"/>
    <cellStyle name="메모 2 2 3 9 2" xfId="4969" xr:uid="{00000000-0005-0000-0000-0000530A0000}"/>
    <cellStyle name="메모 2 2 4" xfId="2755" xr:uid="{00000000-0005-0000-0000-0000540A0000}"/>
    <cellStyle name="메모 2 2 4 10" xfId="4970" xr:uid="{00000000-0005-0000-0000-0000550A0000}"/>
    <cellStyle name="메모 2 2 4 10 2" xfId="4971" xr:uid="{00000000-0005-0000-0000-0000560A0000}"/>
    <cellStyle name="메모 2 2 4 11" xfId="4972" xr:uid="{00000000-0005-0000-0000-0000570A0000}"/>
    <cellStyle name="메모 2 2 4 11 2" xfId="4973" xr:uid="{00000000-0005-0000-0000-0000580A0000}"/>
    <cellStyle name="메모 2 2 4 12" xfId="4974" xr:uid="{00000000-0005-0000-0000-0000590A0000}"/>
    <cellStyle name="메모 2 2 4 12 2" xfId="4975" xr:uid="{00000000-0005-0000-0000-00005A0A0000}"/>
    <cellStyle name="메모 2 2 4 13" xfId="4976" xr:uid="{00000000-0005-0000-0000-00005B0A0000}"/>
    <cellStyle name="메모 2 2 4 13 2" xfId="4977" xr:uid="{00000000-0005-0000-0000-00005C0A0000}"/>
    <cellStyle name="메모 2 2 4 14" xfId="4978" xr:uid="{00000000-0005-0000-0000-00005D0A0000}"/>
    <cellStyle name="메모 2 2 4 14 2" xfId="4979" xr:uid="{00000000-0005-0000-0000-00005E0A0000}"/>
    <cellStyle name="메모 2 2 4 15" xfId="4980" xr:uid="{00000000-0005-0000-0000-00005F0A0000}"/>
    <cellStyle name="메모 2 2 4 15 2" xfId="4981" xr:uid="{00000000-0005-0000-0000-0000600A0000}"/>
    <cellStyle name="메모 2 2 4 16" xfId="4982" xr:uid="{00000000-0005-0000-0000-0000610A0000}"/>
    <cellStyle name="메모 2 2 4 16 2" xfId="4983" xr:uid="{00000000-0005-0000-0000-0000620A0000}"/>
    <cellStyle name="메모 2 2 4 17" xfId="4984" xr:uid="{00000000-0005-0000-0000-0000630A0000}"/>
    <cellStyle name="메모 2 2 4 17 2" xfId="4985" xr:uid="{00000000-0005-0000-0000-0000640A0000}"/>
    <cellStyle name="메모 2 2 4 18" xfId="4986" xr:uid="{00000000-0005-0000-0000-0000650A0000}"/>
    <cellStyle name="메모 2 2 4 18 2" xfId="4987" xr:uid="{00000000-0005-0000-0000-0000660A0000}"/>
    <cellStyle name="메모 2 2 4 19" xfId="4988" xr:uid="{00000000-0005-0000-0000-0000670A0000}"/>
    <cellStyle name="메모 2 2 4 19 2" xfId="4989" xr:uid="{00000000-0005-0000-0000-0000680A0000}"/>
    <cellStyle name="메모 2 2 4 2" xfId="4990" xr:uid="{00000000-0005-0000-0000-0000690A0000}"/>
    <cellStyle name="메모 2 2 4 2 10" xfId="4991" xr:uid="{00000000-0005-0000-0000-00006A0A0000}"/>
    <cellStyle name="메모 2 2 4 2 10 2" xfId="4992" xr:uid="{00000000-0005-0000-0000-00006B0A0000}"/>
    <cellStyle name="메모 2 2 4 2 11" xfId="4993" xr:uid="{00000000-0005-0000-0000-00006C0A0000}"/>
    <cellStyle name="메모 2 2 4 2 11 2" xfId="4994" xr:uid="{00000000-0005-0000-0000-00006D0A0000}"/>
    <cellStyle name="메모 2 2 4 2 12" xfId="4995" xr:uid="{00000000-0005-0000-0000-00006E0A0000}"/>
    <cellStyle name="메모 2 2 4 2 12 2" xfId="4996" xr:uid="{00000000-0005-0000-0000-00006F0A0000}"/>
    <cellStyle name="메모 2 2 4 2 13" xfId="4997" xr:uid="{00000000-0005-0000-0000-0000700A0000}"/>
    <cellStyle name="메모 2 2 4 2 13 2" xfId="4998" xr:uid="{00000000-0005-0000-0000-0000710A0000}"/>
    <cellStyle name="메모 2 2 4 2 14" xfId="4999" xr:uid="{00000000-0005-0000-0000-0000720A0000}"/>
    <cellStyle name="메모 2 2 4 2 14 2" xfId="5000" xr:uid="{00000000-0005-0000-0000-0000730A0000}"/>
    <cellStyle name="메모 2 2 4 2 15" xfId="5001" xr:uid="{00000000-0005-0000-0000-0000740A0000}"/>
    <cellStyle name="메모 2 2 4 2 15 2" xfId="5002" xr:uid="{00000000-0005-0000-0000-0000750A0000}"/>
    <cellStyle name="메모 2 2 4 2 16" xfId="5003" xr:uid="{00000000-0005-0000-0000-0000760A0000}"/>
    <cellStyle name="메모 2 2 4 2 16 2" xfId="5004" xr:uid="{00000000-0005-0000-0000-0000770A0000}"/>
    <cellStyle name="메모 2 2 4 2 17" xfId="5005" xr:uid="{00000000-0005-0000-0000-0000780A0000}"/>
    <cellStyle name="메모 2 2 4 2 17 2" xfId="5006" xr:uid="{00000000-0005-0000-0000-0000790A0000}"/>
    <cellStyle name="메모 2 2 4 2 18" xfId="5007" xr:uid="{00000000-0005-0000-0000-00007A0A0000}"/>
    <cellStyle name="메모 2 2 4 2 18 2" xfId="5008" xr:uid="{00000000-0005-0000-0000-00007B0A0000}"/>
    <cellStyle name="메모 2 2 4 2 19" xfId="5009" xr:uid="{00000000-0005-0000-0000-00007C0A0000}"/>
    <cellStyle name="메모 2 2 4 2 19 2" xfId="5010" xr:uid="{00000000-0005-0000-0000-00007D0A0000}"/>
    <cellStyle name="메모 2 2 4 2 2" xfId="5011" xr:uid="{00000000-0005-0000-0000-00007E0A0000}"/>
    <cellStyle name="메모 2 2 4 2 2 2" xfId="5012" xr:uid="{00000000-0005-0000-0000-00007F0A0000}"/>
    <cellStyle name="메모 2 2 4 2 20" xfId="5013" xr:uid="{00000000-0005-0000-0000-0000800A0000}"/>
    <cellStyle name="메모 2 2 4 2 3" xfId="5014" xr:uid="{00000000-0005-0000-0000-0000810A0000}"/>
    <cellStyle name="메모 2 2 4 2 3 2" xfId="5015" xr:uid="{00000000-0005-0000-0000-0000820A0000}"/>
    <cellStyle name="메모 2 2 4 2 4" xfId="5016" xr:uid="{00000000-0005-0000-0000-0000830A0000}"/>
    <cellStyle name="메모 2 2 4 2 4 2" xfId="5017" xr:uid="{00000000-0005-0000-0000-0000840A0000}"/>
    <cellStyle name="메모 2 2 4 2 5" xfId="5018" xr:uid="{00000000-0005-0000-0000-0000850A0000}"/>
    <cellStyle name="메모 2 2 4 2 5 2" xfId="5019" xr:uid="{00000000-0005-0000-0000-0000860A0000}"/>
    <cellStyle name="메모 2 2 4 2 6" xfId="5020" xr:uid="{00000000-0005-0000-0000-0000870A0000}"/>
    <cellStyle name="메모 2 2 4 2 6 2" xfId="5021" xr:uid="{00000000-0005-0000-0000-0000880A0000}"/>
    <cellStyle name="메모 2 2 4 2 7" xfId="5022" xr:uid="{00000000-0005-0000-0000-0000890A0000}"/>
    <cellStyle name="메모 2 2 4 2 7 2" xfId="5023" xr:uid="{00000000-0005-0000-0000-00008A0A0000}"/>
    <cellStyle name="메모 2 2 4 2 8" xfId="5024" xr:uid="{00000000-0005-0000-0000-00008B0A0000}"/>
    <cellStyle name="메모 2 2 4 2 8 2" xfId="5025" xr:uid="{00000000-0005-0000-0000-00008C0A0000}"/>
    <cellStyle name="메모 2 2 4 2 9" xfId="5026" xr:uid="{00000000-0005-0000-0000-00008D0A0000}"/>
    <cellStyle name="메모 2 2 4 2 9 2" xfId="5027" xr:uid="{00000000-0005-0000-0000-00008E0A0000}"/>
    <cellStyle name="메모 2 2 4 20" xfId="5028" xr:uid="{00000000-0005-0000-0000-00008F0A0000}"/>
    <cellStyle name="메모 2 2 4 20 2" xfId="5029" xr:uid="{00000000-0005-0000-0000-0000900A0000}"/>
    <cellStyle name="메모 2 2 4 21" xfId="5030" xr:uid="{00000000-0005-0000-0000-0000910A0000}"/>
    <cellStyle name="메모 2 2 4 3" xfId="5031" xr:uid="{00000000-0005-0000-0000-0000920A0000}"/>
    <cellStyle name="메모 2 2 4 3 2" xfId="5032" xr:uid="{00000000-0005-0000-0000-0000930A0000}"/>
    <cellStyle name="메모 2 2 4 4" xfId="5033" xr:uid="{00000000-0005-0000-0000-0000940A0000}"/>
    <cellStyle name="메모 2 2 4 4 2" xfId="5034" xr:uid="{00000000-0005-0000-0000-0000950A0000}"/>
    <cellStyle name="메모 2 2 4 5" xfId="5035" xr:uid="{00000000-0005-0000-0000-0000960A0000}"/>
    <cellStyle name="메모 2 2 4 5 2" xfId="5036" xr:uid="{00000000-0005-0000-0000-0000970A0000}"/>
    <cellStyle name="메모 2 2 4 6" xfId="5037" xr:uid="{00000000-0005-0000-0000-0000980A0000}"/>
    <cellStyle name="메모 2 2 4 6 2" xfId="5038" xr:uid="{00000000-0005-0000-0000-0000990A0000}"/>
    <cellStyle name="메모 2 2 4 7" xfId="5039" xr:uid="{00000000-0005-0000-0000-00009A0A0000}"/>
    <cellStyle name="메모 2 2 4 7 2" xfId="5040" xr:uid="{00000000-0005-0000-0000-00009B0A0000}"/>
    <cellStyle name="메모 2 2 4 8" xfId="5041" xr:uid="{00000000-0005-0000-0000-00009C0A0000}"/>
    <cellStyle name="메모 2 2 4 8 2" xfId="5042" xr:uid="{00000000-0005-0000-0000-00009D0A0000}"/>
    <cellStyle name="메모 2 2 4 9" xfId="5043" xr:uid="{00000000-0005-0000-0000-00009E0A0000}"/>
    <cellStyle name="메모 2 2 4 9 2" xfId="5044" xr:uid="{00000000-0005-0000-0000-00009F0A0000}"/>
    <cellStyle name="메모 2 2 5" xfId="2758" xr:uid="{00000000-0005-0000-0000-0000A00A0000}"/>
    <cellStyle name="메모 2 2 5 10" xfId="5045" xr:uid="{00000000-0005-0000-0000-0000A10A0000}"/>
    <cellStyle name="메모 2 2 5 10 2" xfId="5046" xr:uid="{00000000-0005-0000-0000-0000A20A0000}"/>
    <cellStyle name="메모 2 2 5 11" xfId="5047" xr:uid="{00000000-0005-0000-0000-0000A30A0000}"/>
    <cellStyle name="메모 2 2 5 11 2" xfId="5048" xr:uid="{00000000-0005-0000-0000-0000A40A0000}"/>
    <cellStyle name="메모 2 2 5 12" xfId="5049" xr:uid="{00000000-0005-0000-0000-0000A50A0000}"/>
    <cellStyle name="메모 2 2 5 12 2" xfId="5050" xr:uid="{00000000-0005-0000-0000-0000A60A0000}"/>
    <cellStyle name="메모 2 2 5 13" xfId="5051" xr:uid="{00000000-0005-0000-0000-0000A70A0000}"/>
    <cellStyle name="메모 2 2 5 13 2" xfId="5052" xr:uid="{00000000-0005-0000-0000-0000A80A0000}"/>
    <cellStyle name="메모 2 2 5 14" xfId="5053" xr:uid="{00000000-0005-0000-0000-0000A90A0000}"/>
    <cellStyle name="메모 2 2 5 14 2" xfId="5054" xr:uid="{00000000-0005-0000-0000-0000AA0A0000}"/>
    <cellStyle name="메모 2 2 5 15" xfId="5055" xr:uid="{00000000-0005-0000-0000-0000AB0A0000}"/>
    <cellStyle name="메모 2 2 5 15 2" xfId="5056" xr:uid="{00000000-0005-0000-0000-0000AC0A0000}"/>
    <cellStyle name="메모 2 2 5 16" xfId="5057" xr:uid="{00000000-0005-0000-0000-0000AD0A0000}"/>
    <cellStyle name="메모 2 2 5 16 2" xfId="5058" xr:uid="{00000000-0005-0000-0000-0000AE0A0000}"/>
    <cellStyle name="메모 2 2 5 17" xfId="5059" xr:uid="{00000000-0005-0000-0000-0000AF0A0000}"/>
    <cellStyle name="메모 2 2 5 17 2" xfId="5060" xr:uid="{00000000-0005-0000-0000-0000B00A0000}"/>
    <cellStyle name="메모 2 2 5 18" xfId="5061" xr:uid="{00000000-0005-0000-0000-0000B10A0000}"/>
    <cellStyle name="메모 2 2 5 18 2" xfId="5062" xr:uid="{00000000-0005-0000-0000-0000B20A0000}"/>
    <cellStyle name="메모 2 2 5 19" xfId="5063" xr:uid="{00000000-0005-0000-0000-0000B30A0000}"/>
    <cellStyle name="메모 2 2 5 19 2" xfId="5064" xr:uid="{00000000-0005-0000-0000-0000B40A0000}"/>
    <cellStyle name="메모 2 2 5 2" xfId="5065" xr:uid="{00000000-0005-0000-0000-0000B50A0000}"/>
    <cellStyle name="메모 2 2 5 2 2" xfId="5066" xr:uid="{00000000-0005-0000-0000-0000B60A0000}"/>
    <cellStyle name="메모 2 2 5 20" xfId="5067" xr:uid="{00000000-0005-0000-0000-0000B70A0000}"/>
    <cellStyle name="메모 2 2 5 3" xfId="5068" xr:uid="{00000000-0005-0000-0000-0000B80A0000}"/>
    <cellStyle name="메모 2 2 5 3 2" xfId="5069" xr:uid="{00000000-0005-0000-0000-0000B90A0000}"/>
    <cellStyle name="메모 2 2 5 4" xfId="5070" xr:uid="{00000000-0005-0000-0000-0000BA0A0000}"/>
    <cellStyle name="메모 2 2 5 4 2" xfId="5071" xr:uid="{00000000-0005-0000-0000-0000BB0A0000}"/>
    <cellStyle name="메모 2 2 5 5" xfId="5072" xr:uid="{00000000-0005-0000-0000-0000BC0A0000}"/>
    <cellStyle name="메모 2 2 5 5 2" xfId="5073" xr:uid="{00000000-0005-0000-0000-0000BD0A0000}"/>
    <cellStyle name="메모 2 2 5 6" xfId="5074" xr:uid="{00000000-0005-0000-0000-0000BE0A0000}"/>
    <cellStyle name="메모 2 2 5 6 2" xfId="5075" xr:uid="{00000000-0005-0000-0000-0000BF0A0000}"/>
    <cellStyle name="메모 2 2 5 7" xfId="5076" xr:uid="{00000000-0005-0000-0000-0000C00A0000}"/>
    <cellStyle name="메모 2 2 5 7 2" xfId="5077" xr:uid="{00000000-0005-0000-0000-0000C10A0000}"/>
    <cellStyle name="메모 2 2 5 8" xfId="5078" xr:uid="{00000000-0005-0000-0000-0000C20A0000}"/>
    <cellStyle name="메모 2 2 5 8 2" xfId="5079" xr:uid="{00000000-0005-0000-0000-0000C30A0000}"/>
    <cellStyle name="메모 2 2 5 9" xfId="5080" xr:uid="{00000000-0005-0000-0000-0000C40A0000}"/>
    <cellStyle name="메모 2 2 5 9 2" xfId="5081" xr:uid="{00000000-0005-0000-0000-0000C50A0000}"/>
    <cellStyle name="메모 2 2 6" xfId="362" xr:uid="{00000000-0005-0000-0000-0000C60A0000}"/>
    <cellStyle name="메모 2 2 6 2" xfId="5082" xr:uid="{00000000-0005-0000-0000-0000C70A0000}"/>
    <cellStyle name="메모 2 2 7" xfId="3410" xr:uid="{00000000-0005-0000-0000-0000C80A0000}"/>
    <cellStyle name="메모 2 2 7 2" xfId="5083" xr:uid="{00000000-0005-0000-0000-0000C90A0000}"/>
    <cellStyle name="메모 2 2 8" xfId="3289" xr:uid="{00000000-0005-0000-0000-0000CA0A0000}"/>
    <cellStyle name="메모 2 2 8 2" xfId="5084" xr:uid="{00000000-0005-0000-0000-0000CB0A0000}"/>
    <cellStyle name="메모 2 2 9" xfId="3520" xr:uid="{00000000-0005-0000-0000-0000CC0A0000}"/>
    <cellStyle name="메모 2 2 9 2" xfId="5085" xr:uid="{00000000-0005-0000-0000-0000CD0A0000}"/>
    <cellStyle name="메모 2 20" xfId="5086" xr:uid="{00000000-0005-0000-0000-0000CE0A0000}"/>
    <cellStyle name="메모 2 20 2" xfId="5087" xr:uid="{00000000-0005-0000-0000-0000CF0A0000}"/>
    <cellStyle name="메모 2 21" xfId="5088" xr:uid="{00000000-0005-0000-0000-0000D00A0000}"/>
    <cellStyle name="메모 2 22" xfId="6332" xr:uid="{00000000-0005-0000-0000-0000D10A0000}"/>
    <cellStyle name="메모 2 23" xfId="6461" xr:uid="{00000000-0005-0000-0000-0000D20A0000}"/>
    <cellStyle name="메모 2 24" xfId="6323" xr:uid="{00000000-0005-0000-0000-0000D30A0000}"/>
    <cellStyle name="메모 2 25" xfId="6469" xr:uid="{00000000-0005-0000-0000-0000D40A0000}"/>
    <cellStyle name="메모 2 26" xfId="6320" xr:uid="{00000000-0005-0000-0000-0000D50A0000}"/>
    <cellStyle name="메모 2 27" xfId="6479" xr:uid="{00000000-0005-0000-0000-0000D60A0000}"/>
    <cellStyle name="메모 2 28" xfId="6298" xr:uid="{00000000-0005-0000-0000-0000D70A0000}"/>
    <cellStyle name="메모 2 29" xfId="6497" xr:uid="{00000000-0005-0000-0000-0000D80A0000}"/>
    <cellStyle name="메모 2 3" xfId="3881" xr:uid="{00000000-0005-0000-0000-0000D90A0000}"/>
    <cellStyle name="메모 2 3 10" xfId="3050" xr:uid="{00000000-0005-0000-0000-0000DA0A0000}"/>
    <cellStyle name="메모 2 3 11" xfId="2688" xr:uid="{00000000-0005-0000-0000-0000DB0A0000}"/>
    <cellStyle name="메모 2 3 2" xfId="4024" xr:uid="{00000000-0005-0000-0000-0000DC0A0000}"/>
    <cellStyle name="메모 2 3 3" xfId="3687" xr:uid="{00000000-0005-0000-0000-0000DD0A0000}"/>
    <cellStyle name="메모 2 3 4" xfId="3300" xr:uid="{00000000-0005-0000-0000-0000DE0A0000}"/>
    <cellStyle name="메모 2 3 5" xfId="3056" xr:uid="{00000000-0005-0000-0000-0000DF0A0000}"/>
    <cellStyle name="메모 2 3 6" xfId="3083" xr:uid="{00000000-0005-0000-0000-0000E00A0000}"/>
    <cellStyle name="메모 2 3 7" xfId="3784" xr:uid="{00000000-0005-0000-0000-0000E10A0000}"/>
    <cellStyle name="메모 2 3 8" xfId="3541" xr:uid="{00000000-0005-0000-0000-0000E20A0000}"/>
    <cellStyle name="메모 2 3 9" xfId="4278" xr:uid="{00000000-0005-0000-0000-0000E30A0000}"/>
    <cellStyle name="메모 2 30" xfId="6280" xr:uid="{00000000-0005-0000-0000-0000E40A0000}"/>
    <cellStyle name="메모 2 31" xfId="49039" xr:uid="{00000000-0005-0000-0000-0000E50A0000}"/>
    <cellStyle name="메모 2 4" xfId="4062" xr:uid="{00000000-0005-0000-0000-0000E60A0000}"/>
    <cellStyle name="메모 2 4 10" xfId="3447" xr:uid="{00000000-0005-0000-0000-0000E70A0000}"/>
    <cellStyle name="메모 2 4 11" xfId="3840" xr:uid="{00000000-0005-0000-0000-0000E80A0000}"/>
    <cellStyle name="메모 2 4 2" xfId="3771" xr:uid="{00000000-0005-0000-0000-0000E90A0000}"/>
    <cellStyle name="메모 2 4 3" xfId="4142" xr:uid="{00000000-0005-0000-0000-0000EA0A0000}"/>
    <cellStyle name="메모 2 4 4" xfId="2419" xr:uid="{00000000-0005-0000-0000-0000EB0A0000}"/>
    <cellStyle name="메모 2 4 5" xfId="2466" xr:uid="{00000000-0005-0000-0000-0000EC0A0000}"/>
    <cellStyle name="메모 2 4 6" xfId="2596" xr:uid="{00000000-0005-0000-0000-0000ED0A0000}"/>
    <cellStyle name="메모 2 4 7" xfId="3399" xr:uid="{00000000-0005-0000-0000-0000EE0A0000}"/>
    <cellStyle name="메모 2 4 8" xfId="3960" xr:uid="{00000000-0005-0000-0000-0000EF0A0000}"/>
    <cellStyle name="메모 2 4 9" xfId="3116" xr:uid="{00000000-0005-0000-0000-0000F00A0000}"/>
    <cellStyle name="메모 2 5" xfId="5089" xr:uid="{00000000-0005-0000-0000-0000F10A0000}"/>
    <cellStyle name="메모 2 5 2" xfId="5090" xr:uid="{00000000-0005-0000-0000-0000F20A0000}"/>
    <cellStyle name="메모 2 6" xfId="5091" xr:uid="{00000000-0005-0000-0000-0000F30A0000}"/>
    <cellStyle name="메모 2 6 2" xfId="5092" xr:uid="{00000000-0005-0000-0000-0000F40A0000}"/>
    <cellStyle name="메모 2 7" xfId="5093" xr:uid="{00000000-0005-0000-0000-0000F50A0000}"/>
    <cellStyle name="메모 2 7 2" xfId="5094" xr:uid="{00000000-0005-0000-0000-0000F60A0000}"/>
    <cellStyle name="메모 2 8" xfId="5095" xr:uid="{00000000-0005-0000-0000-0000F70A0000}"/>
    <cellStyle name="메모 2 8 2" xfId="5096" xr:uid="{00000000-0005-0000-0000-0000F80A0000}"/>
    <cellStyle name="메모 2 9" xfId="5097" xr:uid="{00000000-0005-0000-0000-0000F90A0000}"/>
    <cellStyle name="메모 2 9 2" xfId="5098" xr:uid="{00000000-0005-0000-0000-0000FA0A0000}"/>
    <cellStyle name="메모 20" xfId="49041" xr:uid="{00000000-0005-0000-0000-0000FB0A0000}"/>
    <cellStyle name="메모 21" xfId="49042" xr:uid="{00000000-0005-0000-0000-0000FC0A0000}"/>
    <cellStyle name="메모 22" xfId="49043" xr:uid="{00000000-0005-0000-0000-0000FD0A0000}"/>
    <cellStyle name="메모 23" xfId="49044" xr:uid="{00000000-0005-0000-0000-0000FE0A0000}"/>
    <cellStyle name="메모 24" xfId="49045" xr:uid="{00000000-0005-0000-0000-0000FF0A0000}"/>
    <cellStyle name="메모 25" xfId="49046" xr:uid="{00000000-0005-0000-0000-0000000B0000}"/>
    <cellStyle name="메모 26" xfId="49047" xr:uid="{00000000-0005-0000-0000-0000010B0000}"/>
    <cellStyle name="메모 27" xfId="49048" xr:uid="{00000000-0005-0000-0000-0000020B0000}"/>
    <cellStyle name="메모 28" xfId="49049" xr:uid="{00000000-0005-0000-0000-0000030B0000}"/>
    <cellStyle name="메모 29" xfId="49050" xr:uid="{00000000-0005-0000-0000-0000040B0000}"/>
    <cellStyle name="메모 3" xfId="3041" xr:uid="{00000000-0005-0000-0000-0000050B0000}"/>
    <cellStyle name="메모 3 10" xfId="2505" xr:uid="{00000000-0005-0000-0000-0000060B0000}"/>
    <cellStyle name="메모 3 11" xfId="2474" xr:uid="{00000000-0005-0000-0000-0000070B0000}"/>
    <cellStyle name="메모 3 12" xfId="5099" xr:uid="{00000000-0005-0000-0000-0000080B0000}"/>
    <cellStyle name="메모 3 2" xfId="3179" xr:uid="{00000000-0005-0000-0000-0000090B0000}"/>
    <cellStyle name="메모 3 2 2" xfId="49051" xr:uid="{00000000-0005-0000-0000-00000A0B0000}"/>
    <cellStyle name="메모 3 3" xfId="2518" xr:uid="{00000000-0005-0000-0000-00000B0B0000}"/>
    <cellStyle name="메모 3 4" xfId="2501" xr:uid="{00000000-0005-0000-0000-00000C0B0000}"/>
    <cellStyle name="메모 3 5" xfId="2916" xr:uid="{00000000-0005-0000-0000-00000D0B0000}"/>
    <cellStyle name="메모 3 6" xfId="2439" xr:uid="{00000000-0005-0000-0000-00000E0B0000}"/>
    <cellStyle name="메모 3 7" xfId="2581" xr:uid="{00000000-0005-0000-0000-00000F0B0000}"/>
    <cellStyle name="메모 3 8" xfId="3184" xr:uid="{00000000-0005-0000-0000-0000100B0000}"/>
    <cellStyle name="메모 3 9" xfId="4077" xr:uid="{00000000-0005-0000-0000-0000110B0000}"/>
    <cellStyle name="메모 30" xfId="49052" xr:uid="{00000000-0005-0000-0000-0000120B0000}"/>
    <cellStyle name="메모 31" xfId="49053" xr:uid="{00000000-0005-0000-0000-0000130B0000}"/>
    <cellStyle name="메모 32" xfId="49054" xr:uid="{00000000-0005-0000-0000-0000140B0000}"/>
    <cellStyle name="메모 33" xfId="49055" xr:uid="{00000000-0005-0000-0000-0000150B0000}"/>
    <cellStyle name="메모 34" xfId="49056" xr:uid="{00000000-0005-0000-0000-0000160B0000}"/>
    <cellStyle name="메모 35" xfId="49057" xr:uid="{00000000-0005-0000-0000-0000170B0000}"/>
    <cellStyle name="메모 4" xfId="2553" xr:uid="{00000000-0005-0000-0000-0000180B0000}"/>
    <cellStyle name="메모 4 10" xfId="3829" xr:uid="{00000000-0005-0000-0000-0000190B0000}"/>
    <cellStyle name="메모 4 11" xfId="2535" xr:uid="{00000000-0005-0000-0000-00001A0B0000}"/>
    <cellStyle name="메모 4 12" xfId="49058" xr:uid="{00000000-0005-0000-0000-00001B0B0000}"/>
    <cellStyle name="메모 4 2" xfId="2894" xr:uid="{00000000-0005-0000-0000-00001C0B0000}"/>
    <cellStyle name="메모 4 3" xfId="2864" xr:uid="{00000000-0005-0000-0000-00001D0B0000}"/>
    <cellStyle name="메모 4 4" xfId="3779" xr:uid="{00000000-0005-0000-0000-00001E0B0000}"/>
    <cellStyle name="메모 4 5" xfId="2442" xr:uid="{00000000-0005-0000-0000-00001F0B0000}"/>
    <cellStyle name="메모 4 6" xfId="2445" xr:uid="{00000000-0005-0000-0000-0000200B0000}"/>
    <cellStyle name="메모 4 7" xfId="2797" xr:uid="{00000000-0005-0000-0000-0000210B0000}"/>
    <cellStyle name="메모 4 8" xfId="3627" xr:uid="{00000000-0005-0000-0000-0000220B0000}"/>
    <cellStyle name="메모 4 9" xfId="2902" xr:uid="{00000000-0005-0000-0000-0000230B0000}"/>
    <cellStyle name="메모 5" xfId="372" xr:uid="{00000000-0005-0000-0000-0000240B0000}"/>
    <cellStyle name="메모 5 2" xfId="3847" xr:uid="{00000000-0005-0000-0000-0000250B0000}"/>
    <cellStyle name="메모 5 3" xfId="3559" xr:uid="{00000000-0005-0000-0000-0000260B0000}"/>
    <cellStyle name="메모 5 4" xfId="2639" xr:uid="{00000000-0005-0000-0000-0000270B0000}"/>
    <cellStyle name="메모 5 5" xfId="3823" xr:uid="{00000000-0005-0000-0000-0000280B0000}"/>
    <cellStyle name="메모 6" xfId="3602" xr:uid="{00000000-0005-0000-0000-0000290B0000}"/>
    <cellStyle name="메모 6 2" xfId="3673" xr:uid="{00000000-0005-0000-0000-00002A0B0000}"/>
    <cellStyle name="메모 6 3" xfId="3819" xr:uid="{00000000-0005-0000-0000-00002B0B0000}"/>
    <cellStyle name="메모 6 4" xfId="2423" xr:uid="{00000000-0005-0000-0000-00002C0B0000}"/>
    <cellStyle name="메모 6 5" xfId="2473" xr:uid="{00000000-0005-0000-0000-00002D0B0000}"/>
    <cellStyle name="메모 7" xfId="4194" xr:uid="{00000000-0005-0000-0000-00002E0B0000}"/>
    <cellStyle name="메모 7 2" xfId="2420" xr:uid="{00000000-0005-0000-0000-00002F0B0000}"/>
    <cellStyle name="메모 8" xfId="4310" xr:uid="{00000000-0005-0000-0000-0000300B0000}"/>
    <cellStyle name="메모 8 2" xfId="2966" xr:uid="{00000000-0005-0000-0000-0000310B0000}"/>
    <cellStyle name="메모 9" xfId="6480" xr:uid="{00000000-0005-0000-0000-0000320B0000}"/>
    <cellStyle name="믅됞 [0.00]_PRODUCT DETAIL Q1" xfId="248" xr:uid="{00000000-0005-0000-0000-0000330B0000}"/>
    <cellStyle name="믅됞_PRODUCT DETAIL Q1" xfId="249" xr:uid="{00000000-0005-0000-0000-0000340B0000}"/>
    <cellStyle name="백분율" xfId="49728" builtinId="5"/>
    <cellStyle name="백분율 [0]" xfId="49059" xr:uid="{00000000-0005-0000-0000-0000360B0000}"/>
    <cellStyle name="백분율 [2]" xfId="49060" xr:uid="{00000000-0005-0000-0000-0000370B0000}"/>
    <cellStyle name="백분율 2" xfId="13" xr:uid="{00000000-0005-0000-0000-0000380B0000}"/>
    <cellStyle name="백분율 2 10" xfId="6443" xr:uid="{00000000-0005-0000-0000-0000390B0000}"/>
    <cellStyle name="백분율 2 11" xfId="6343" xr:uid="{00000000-0005-0000-0000-00003A0B0000}"/>
    <cellStyle name="백분율 2 12" xfId="6451" xr:uid="{00000000-0005-0000-0000-00003B0B0000}"/>
    <cellStyle name="백분율 2 13" xfId="6333" xr:uid="{00000000-0005-0000-0000-00003C0B0000}"/>
    <cellStyle name="백분율 2 2" xfId="25" xr:uid="{00000000-0005-0000-0000-00003D0B0000}"/>
    <cellStyle name="백분율 2 2 2" xfId="119" xr:uid="{00000000-0005-0000-0000-00003E0B0000}"/>
    <cellStyle name="백분율 2 2 3" xfId="3200" xr:uid="{00000000-0005-0000-0000-00003F0B0000}"/>
    <cellStyle name="백분율 2 3" xfId="46" xr:uid="{00000000-0005-0000-0000-0000400B0000}"/>
    <cellStyle name="백분율 2 3 2" xfId="140" xr:uid="{00000000-0005-0000-0000-0000410B0000}"/>
    <cellStyle name="백분율 2 3 3" xfId="4036" xr:uid="{00000000-0005-0000-0000-0000420B0000}"/>
    <cellStyle name="백분율 2 4" xfId="107" xr:uid="{00000000-0005-0000-0000-0000430B0000}"/>
    <cellStyle name="백분율 2 4 2" xfId="3811" xr:uid="{00000000-0005-0000-0000-0000440B0000}"/>
    <cellStyle name="백분율 2 5" xfId="4008" xr:uid="{00000000-0005-0000-0000-0000450B0000}"/>
    <cellStyle name="백분율 2 6" xfId="2959" xr:uid="{00000000-0005-0000-0000-0000460B0000}"/>
    <cellStyle name="백분율 2 7" xfId="4304" xr:uid="{00000000-0005-0000-0000-0000470B0000}"/>
    <cellStyle name="백분율 2 8" xfId="3247" xr:uid="{00000000-0005-0000-0000-0000480B0000}"/>
    <cellStyle name="백분율 2 9" xfId="6357" xr:uid="{00000000-0005-0000-0000-0000490B0000}"/>
    <cellStyle name="백분율 3" xfId="179" xr:uid="{00000000-0005-0000-0000-00004A0B0000}"/>
    <cellStyle name="백분율 3 2" xfId="3833" xr:uid="{00000000-0005-0000-0000-00004B0B0000}"/>
    <cellStyle name="백분율 3 2 2" xfId="5100" xr:uid="{00000000-0005-0000-0000-00004C0B0000}"/>
    <cellStyle name="백분율 3 3" xfId="3210" xr:uid="{00000000-0005-0000-0000-00004D0B0000}"/>
    <cellStyle name="백분율 3 3 2" xfId="5101" xr:uid="{00000000-0005-0000-0000-00004E0B0000}"/>
    <cellStyle name="백분율 3 4" xfId="3206" xr:uid="{00000000-0005-0000-0000-00004F0B0000}"/>
    <cellStyle name="백분율 3 5" xfId="3574" xr:uid="{00000000-0005-0000-0000-0000500B0000}"/>
    <cellStyle name="백분율 3 6" xfId="3696" xr:uid="{00000000-0005-0000-0000-0000510B0000}"/>
    <cellStyle name="백분율 3 7" xfId="341" xr:uid="{00000000-0005-0000-0000-0000520B0000}"/>
    <cellStyle name="백분율 3 8" xfId="4065" xr:uid="{00000000-0005-0000-0000-0000530B0000}"/>
    <cellStyle name="백분율 3 9" xfId="3203" xr:uid="{00000000-0005-0000-0000-0000540B0000}"/>
    <cellStyle name="백분율 4" xfId="48420" xr:uid="{00000000-0005-0000-0000-0000550B0000}"/>
    <cellStyle name="백분율 4 2" xfId="3328" xr:uid="{00000000-0005-0000-0000-0000560B0000}"/>
    <cellStyle name="백분율 4 3" xfId="2842" xr:uid="{00000000-0005-0000-0000-0000570B0000}"/>
    <cellStyle name="백분율 4 4" xfId="3850" xr:uid="{00000000-0005-0000-0000-0000580B0000}"/>
    <cellStyle name="백분율 4 5" xfId="4007" xr:uid="{00000000-0005-0000-0000-0000590B0000}"/>
    <cellStyle name="백분율 4 6" xfId="3528" xr:uid="{00000000-0005-0000-0000-00005A0B0000}"/>
    <cellStyle name="보통 10" xfId="6345" xr:uid="{00000000-0005-0000-0000-00005B0B0000}"/>
    <cellStyle name="보통 11" xfId="6450" xr:uid="{00000000-0005-0000-0000-00005C0B0000}"/>
    <cellStyle name="보통 12" xfId="6334" xr:uid="{00000000-0005-0000-0000-00005D0B0000}"/>
    <cellStyle name="보통 13" xfId="49061" xr:uid="{00000000-0005-0000-0000-00005E0B0000}"/>
    <cellStyle name="보통 14" xfId="49062" xr:uid="{00000000-0005-0000-0000-00005F0B0000}"/>
    <cellStyle name="보통 15" xfId="49063" xr:uid="{00000000-0005-0000-0000-0000600B0000}"/>
    <cellStyle name="보통 16" xfId="49064" xr:uid="{00000000-0005-0000-0000-0000610B0000}"/>
    <cellStyle name="보통 17" xfId="49065" xr:uid="{00000000-0005-0000-0000-0000620B0000}"/>
    <cellStyle name="보통 18" xfId="49066" xr:uid="{00000000-0005-0000-0000-0000630B0000}"/>
    <cellStyle name="보통 19" xfId="49067" xr:uid="{00000000-0005-0000-0000-0000640B0000}"/>
    <cellStyle name="보통 2" xfId="250" xr:uid="{00000000-0005-0000-0000-0000650B0000}"/>
    <cellStyle name="보통 2 10" xfId="6449" xr:uid="{00000000-0005-0000-0000-0000660B0000}"/>
    <cellStyle name="보통 2 11" xfId="6335" xr:uid="{00000000-0005-0000-0000-0000670B0000}"/>
    <cellStyle name="보통 2 2" xfId="5102" xr:uid="{00000000-0005-0000-0000-0000680B0000}"/>
    <cellStyle name="보통 2 3" xfId="6377" xr:uid="{00000000-0005-0000-0000-0000690B0000}"/>
    <cellStyle name="보통 2 4" xfId="6421" xr:uid="{00000000-0005-0000-0000-00006A0B0000}"/>
    <cellStyle name="보통 2 5" xfId="6364" xr:uid="{00000000-0005-0000-0000-00006B0B0000}"/>
    <cellStyle name="보통 2 6" xfId="6424" xr:uid="{00000000-0005-0000-0000-00006C0B0000}"/>
    <cellStyle name="보통 2 7" xfId="6359" xr:uid="{00000000-0005-0000-0000-00006D0B0000}"/>
    <cellStyle name="보통 2 8" xfId="6440" xr:uid="{00000000-0005-0000-0000-00006E0B0000}"/>
    <cellStyle name="보통 2 9" xfId="6346" xr:uid="{00000000-0005-0000-0000-00006F0B0000}"/>
    <cellStyle name="보통 20" xfId="49068" xr:uid="{00000000-0005-0000-0000-0000700B0000}"/>
    <cellStyle name="보통 21" xfId="49069" xr:uid="{00000000-0005-0000-0000-0000710B0000}"/>
    <cellStyle name="보통 22" xfId="49070" xr:uid="{00000000-0005-0000-0000-0000720B0000}"/>
    <cellStyle name="보통 23" xfId="49071" xr:uid="{00000000-0005-0000-0000-0000730B0000}"/>
    <cellStyle name="보통 24" xfId="49072" xr:uid="{00000000-0005-0000-0000-0000740B0000}"/>
    <cellStyle name="보통 25" xfId="49073" xr:uid="{00000000-0005-0000-0000-0000750B0000}"/>
    <cellStyle name="보통 26" xfId="49074" xr:uid="{00000000-0005-0000-0000-0000760B0000}"/>
    <cellStyle name="보통 27" xfId="49075" xr:uid="{00000000-0005-0000-0000-0000770B0000}"/>
    <cellStyle name="보통 28" xfId="49076" xr:uid="{00000000-0005-0000-0000-0000780B0000}"/>
    <cellStyle name="보통 29" xfId="49077" xr:uid="{00000000-0005-0000-0000-0000790B0000}"/>
    <cellStyle name="보통 3" xfId="2674" xr:uid="{00000000-0005-0000-0000-00007A0B0000}"/>
    <cellStyle name="보통 3 10" xfId="3397" xr:uid="{00000000-0005-0000-0000-00007B0B0000}"/>
    <cellStyle name="보통 3 11" xfId="2552" xr:uid="{00000000-0005-0000-0000-00007C0B0000}"/>
    <cellStyle name="보통 3 2" xfId="3157" xr:uid="{00000000-0005-0000-0000-00007D0B0000}"/>
    <cellStyle name="보통 3 3" xfId="3163" xr:uid="{00000000-0005-0000-0000-00007E0B0000}"/>
    <cellStyle name="보통 3 4" xfId="2676" xr:uid="{00000000-0005-0000-0000-00007F0B0000}"/>
    <cellStyle name="보통 3 5" xfId="321" xr:uid="{00000000-0005-0000-0000-0000800B0000}"/>
    <cellStyle name="보통 3 6" xfId="3647" xr:uid="{00000000-0005-0000-0000-0000810B0000}"/>
    <cellStyle name="보통 3 7" xfId="3302" xr:uid="{00000000-0005-0000-0000-0000820B0000}"/>
    <cellStyle name="보통 3 8" xfId="3282" xr:uid="{00000000-0005-0000-0000-0000830B0000}"/>
    <cellStyle name="보통 3 9" xfId="2800" xr:uid="{00000000-0005-0000-0000-0000840B0000}"/>
    <cellStyle name="보통 30" xfId="49078" xr:uid="{00000000-0005-0000-0000-0000850B0000}"/>
    <cellStyle name="보통 31" xfId="49079" xr:uid="{00000000-0005-0000-0000-0000860B0000}"/>
    <cellStyle name="보통 32" xfId="49080" xr:uid="{00000000-0005-0000-0000-0000870B0000}"/>
    <cellStyle name="보통 33" xfId="49081" xr:uid="{00000000-0005-0000-0000-0000880B0000}"/>
    <cellStyle name="보통 4" xfId="2436" xr:uid="{00000000-0005-0000-0000-0000890B0000}"/>
    <cellStyle name="보통 4 10" xfId="2664" xr:uid="{00000000-0005-0000-0000-00008A0B0000}"/>
    <cellStyle name="보통 4 11" xfId="2660" xr:uid="{00000000-0005-0000-0000-00008B0B0000}"/>
    <cellStyle name="보통 4 2" xfId="3994" xr:uid="{00000000-0005-0000-0000-00008C0B0000}"/>
    <cellStyle name="보통 4 3" xfId="3143" xr:uid="{00000000-0005-0000-0000-00008D0B0000}"/>
    <cellStyle name="보통 4 4" xfId="3123" xr:uid="{00000000-0005-0000-0000-00008E0B0000}"/>
    <cellStyle name="보통 4 5" xfId="2662" xr:uid="{00000000-0005-0000-0000-00008F0B0000}"/>
    <cellStyle name="보통 4 6" xfId="2776" xr:uid="{00000000-0005-0000-0000-0000900B0000}"/>
    <cellStyle name="보통 4 7" xfId="3872" xr:uid="{00000000-0005-0000-0000-0000910B0000}"/>
    <cellStyle name="보통 4 8" xfId="3512" xr:uid="{00000000-0005-0000-0000-0000920B0000}"/>
    <cellStyle name="보통 4 9" xfId="4122" xr:uid="{00000000-0005-0000-0000-0000930B0000}"/>
    <cellStyle name="보통 5" xfId="3516" xr:uid="{00000000-0005-0000-0000-0000940B0000}"/>
    <cellStyle name="보통 5 2" xfId="3875" xr:uid="{00000000-0005-0000-0000-0000950B0000}"/>
    <cellStyle name="보통 5 3" xfId="2731" xr:uid="{00000000-0005-0000-0000-0000960B0000}"/>
    <cellStyle name="보통 5 4" xfId="2904" xr:uid="{00000000-0005-0000-0000-0000970B0000}"/>
    <cellStyle name="보통 5 5" xfId="3451" xr:uid="{00000000-0005-0000-0000-0000980B0000}"/>
    <cellStyle name="보통 6" xfId="3427" xr:uid="{00000000-0005-0000-0000-0000990B0000}"/>
    <cellStyle name="보통 6 2" xfId="3674" xr:uid="{00000000-0005-0000-0000-00009A0B0000}"/>
    <cellStyle name="보통 6 3" xfId="3670" xr:uid="{00000000-0005-0000-0000-00009B0B0000}"/>
    <cellStyle name="보통 6 4" xfId="3912" xr:uid="{00000000-0005-0000-0000-00009C0B0000}"/>
    <cellStyle name="보통 6 5" xfId="4128" xr:uid="{00000000-0005-0000-0000-00009D0B0000}"/>
    <cellStyle name="보통 7" xfId="4161" xr:uid="{00000000-0005-0000-0000-00009E0B0000}"/>
    <cellStyle name="보통 7 2" xfId="3794" xr:uid="{00000000-0005-0000-0000-00009F0B0000}"/>
    <cellStyle name="보통 8" xfId="3439" xr:uid="{00000000-0005-0000-0000-0000A00B0000}"/>
    <cellStyle name="보통 8 2" xfId="4048" xr:uid="{00000000-0005-0000-0000-0000A10B0000}"/>
    <cellStyle name="보통 9" xfId="6441" xr:uid="{00000000-0005-0000-0000-0000A20B0000}"/>
    <cellStyle name="뷭?_BOOKSHIP" xfId="251" xr:uid="{00000000-0005-0000-0000-0000A30B0000}"/>
    <cellStyle name="설계서" xfId="49082" xr:uid="{00000000-0005-0000-0000-0000A40B0000}"/>
    <cellStyle name="설명 텍스트 10" xfId="6347" xr:uid="{00000000-0005-0000-0000-0000A50B0000}"/>
    <cellStyle name="설명 텍스트 11" xfId="6448" xr:uid="{00000000-0005-0000-0000-0000A60B0000}"/>
    <cellStyle name="설명 텍스트 12" xfId="6336" xr:uid="{00000000-0005-0000-0000-0000A70B0000}"/>
    <cellStyle name="설명 텍스트 13" xfId="49083" xr:uid="{00000000-0005-0000-0000-0000A80B0000}"/>
    <cellStyle name="설명 텍스트 14" xfId="49084" xr:uid="{00000000-0005-0000-0000-0000A90B0000}"/>
    <cellStyle name="설명 텍스트 15" xfId="49085" xr:uid="{00000000-0005-0000-0000-0000AA0B0000}"/>
    <cellStyle name="설명 텍스트 16" xfId="49086" xr:uid="{00000000-0005-0000-0000-0000AB0B0000}"/>
    <cellStyle name="설명 텍스트 17" xfId="49087" xr:uid="{00000000-0005-0000-0000-0000AC0B0000}"/>
    <cellStyle name="설명 텍스트 18" xfId="49088" xr:uid="{00000000-0005-0000-0000-0000AD0B0000}"/>
    <cellStyle name="설명 텍스트 19" xfId="49089" xr:uid="{00000000-0005-0000-0000-0000AE0B0000}"/>
    <cellStyle name="설명 텍스트 2" xfId="252" xr:uid="{00000000-0005-0000-0000-0000AF0B0000}"/>
    <cellStyle name="설명 텍스트 2 10" xfId="6447" xr:uid="{00000000-0005-0000-0000-0000B00B0000}"/>
    <cellStyle name="설명 텍스트 2 11" xfId="6337" xr:uid="{00000000-0005-0000-0000-0000B10B0000}"/>
    <cellStyle name="설명 텍스트 2 2" xfId="5103" xr:uid="{00000000-0005-0000-0000-0000B20B0000}"/>
    <cellStyle name="설명 텍스트 2 3" xfId="6379" xr:uid="{00000000-0005-0000-0000-0000B30B0000}"/>
    <cellStyle name="설명 텍스트 2 4" xfId="6419" xr:uid="{00000000-0005-0000-0000-0000B40B0000}"/>
    <cellStyle name="설명 텍스트 2 5" xfId="6367" xr:uid="{00000000-0005-0000-0000-0000B50B0000}"/>
    <cellStyle name="설명 텍스트 2 6" xfId="6420" xr:uid="{00000000-0005-0000-0000-0000B60B0000}"/>
    <cellStyle name="설명 텍스트 2 7" xfId="6361" xr:uid="{00000000-0005-0000-0000-0000B70B0000}"/>
    <cellStyle name="설명 텍스트 2 8" xfId="6438" xr:uid="{00000000-0005-0000-0000-0000B80B0000}"/>
    <cellStyle name="설명 텍스트 2 9" xfId="6348" xr:uid="{00000000-0005-0000-0000-0000B90B0000}"/>
    <cellStyle name="설명 텍스트 20" xfId="49090" xr:uid="{00000000-0005-0000-0000-0000BA0B0000}"/>
    <cellStyle name="설명 텍스트 21" xfId="49091" xr:uid="{00000000-0005-0000-0000-0000BB0B0000}"/>
    <cellStyle name="설명 텍스트 22" xfId="49092" xr:uid="{00000000-0005-0000-0000-0000BC0B0000}"/>
    <cellStyle name="설명 텍스트 23" xfId="49093" xr:uid="{00000000-0005-0000-0000-0000BD0B0000}"/>
    <cellStyle name="설명 텍스트 24" xfId="49094" xr:uid="{00000000-0005-0000-0000-0000BE0B0000}"/>
    <cellStyle name="설명 텍스트 25" xfId="49095" xr:uid="{00000000-0005-0000-0000-0000BF0B0000}"/>
    <cellStyle name="설명 텍스트 26" xfId="49096" xr:uid="{00000000-0005-0000-0000-0000C00B0000}"/>
    <cellStyle name="설명 텍스트 27" xfId="49097" xr:uid="{00000000-0005-0000-0000-0000C10B0000}"/>
    <cellStyle name="설명 텍스트 28" xfId="49098" xr:uid="{00000000-0005-0000-0000-0000C20B0000}"/>
    <cellStyle name="설명 텍스트 29" xfId="49099" xr:uid="{00000000-0005-0000-0000-0000C30B0000}"/>
    <cellStyle name="설명 텍스트 3" xfId="3532" xr:uid="{00000000-0005-0000-0000-0000C40B0000}"/>
    <cellStyle name="설명 텍스트 3 10" xfId="3558" xr:uid="{00000000-0005-0000-0000-0000C50B0000}"/>
    <cellStyle name="설명 텍스트 3 11" xfId="3568" xr:uid="{00000000-0005-0000-0000-0000C60B0000}"/>
    <cellStyle name="설명 텍스트 3 2" xfId="2477" xr:uid="{00000000-0005-0000-0000-0000C70B0000}"/>
    <cellStyle name="설명 텍스트 3 3" xfId="3309" xr:uid="{00000000-0005-0000-0000-0000C80B0000}"/>
    <cellStyle name="설명 텍스트 3 4" xfId="2538" xr:uid="{00000000-0005-0000-0000-0000C90B0000}"/>
    <cellStyle name="설명 텍스트 3 5" xfId="2929" xr:uid="{00000000-0005-0000-0000-0000CA0B0000}"/>
    <cellStyle name="설명 텍스트 3 6" xfId="3654" xr:uid="{00000000-0005-0000-0000-0000CB0B0000}"/>
    <cellStyle name="설명 텍스트 3 7" xfId="2472" xr:uid="{00000000-0005-0000-0000-0000CC0B0000}"/>
    <cellStyle name="설명 텍스트 3 8" xfId="3659" xr:uid="{00000000-0005-0000-0000-0000CD0B0000}"/>
    <cellStyle name="설명 텍스트 3 9" xfId="4145" xr:uid="{00000000-0005-0000-0000-0000CE0B0000}"/>
    <cellStyle name="설명 텍스트 30" xfId="49100" xr:uid="{00000000-0005-0000-0000-0000CF0B0000}"/>
    <cellStyle name="설명 텍스트 31" xfId="49101" xr:uid="{00000000-0005-0000-0000-0000D00B0000}"/>
    <cellStyle name="설명 텍스트 32" xfId="49102" xr:uid="{00000000-0005-0000-0000-0000D10B0000}"/>
    <cellStyle name="설명 텍스트 33" xfId="49103" xr:uid="{00000000-0005-0000-0000-0000D20B0000}"/>
    <cellStyle name="설명 텍스트 4" xfId="3171" xr:uid="{00000000-0005-0000-0000-0000D30B0000}"/>
    <cellStyle name="설명 텍스트 4 10" xfId="3774" xr:uid="{00000000-0005-0000-0000-0000D40B0000}"/>
    <cellStyle name="설명 텍스트 4 11" xfId="4035" xr:uid="{00000000-0005-0000-0000-0000D50B0000}"/>
    <cellStyle name="설명 텍스트 4 2" xfId="4031" xr:uid="{00000000-0005-0000-0000-0000D60B0000}"/>
    <cellStyle name="설명 텍스트 4 3" xfId="3544" xr:uid="{00000000-0005-0000-0000-0000D70B0000}"/>
    <cellStyle name="설명 텍스트 4 4" xfId="2701" xr:uid="{00000000-0005-0000-0000-0000D80B0000}"/>
    <cellStyle name="설명 텍스트 4 5" xfId="3718" xr:uid="{00000000-0005-0000-0000-0000D90B0000}"/>
    <cellStyle name="설명 텍스트 4 6" xfId="4033" xr:uid="{00000000-0005-0000-0000-0000DA0B0000}"/>
    <cellStyle name="설명 텍스트 4 7" xfId="2575" xr:uid="{00000000-0005-0000-0000-0000DB0B0000}"/>
    <cellStyle name="설명 텍스트 4 8" xfId="2460" xr:uid="{00000000-0005-0000-0000-0000DC0B0000}"/>
    <cellStyle name="설명 텍스트 4 9" xfId="3464" xr:uid="{00000000-0005-0000-0000-0000DD0B0000}"/>
    <cellStyle name="설명 텍스트 5" xfId="3473" xr:uid="{00000000-0005-0000-0000-0000DE0B0000}"/>
    <cellStyle name="설명 텍스트 5 2" xfId="2635" xr:uid="{00000000-0005-0000-0000-0000DF0B0000}"/>
    <cellStyle name="설명 텍스트 5 3" xfId="3949" xr:uid="{00000000-0005-0000-0000-0000E00B0000}"/>
    <cellStyle name="설명 텍스트 5 4" xfId="3958" xr:uid="{00000000-0005-0000-0000-0000E10B0000}"/>
    <cellStyle name="설명 텍스트 5 5" xfId="3595" xr:uid="{00000000-0005-0000-0000-0000E20B0000}"/>
    <cellStyle name="설명 텍스트 6" xfId="4084" xr:uid="{00000000-0005-0000-0000-0000E30B0000}"/>
    <cellStyle name="설명 텍스트 6 2" xfId="3720" xr:uid="{00000000-0005-0000-0000-0000E40B0000}"/>
    <cellStyle name="설명 텍스트 6 3" xfId="3485" xr:uid="{00000000-0005-0000-0000-0000E50B0000}"/>
    <cellStyle name="설명 텍스트 6 4" xfId="2991" xr:uid="{00000000-0005-0000-0000-0000E60B0000}"/>
    <cellStyle name="설명 텍스트 6 5" xfId="3262" xr:uid="{00000000-0005-0000-0000-0000E70B0000}"/>
    <cellStyle name="설명 텍스트 7" xfId="3967" xr:uid="{00000000-0005-0000-0000-0000E80B0000}"/>
    <cellStyle name="설명 텍스트 7 2" xfId="333" xr:uid="{00000000-0005-0000-0000-0000E90B0000}"/>
    <cellStyle name="설명 텍스트 8" xfId="4092" xr:uid="{00000000-0005-0000-0000-0000EA0B0000}"/>
    <cellStyle name="설명 텍스트 8 2" xfId="3605" xr:uid="{00000000-0005-0000-0000-0000EB0B0000}"/>
    <cellStyle name="설명 텍스트 9" xfId="6439" xr:uid="{00000000-0005-0000-0000-0000EC0B0000}"/>
    <cellStyle name="셀 확인 10" xfId="6349" xr:uid="{00000000-0005-0000-0000-0000ED0B0000}"/>
    <cellStyle name="셀 확인 11" xfId="6444" xr:uid="{00000000-0005-0000-0000-0000EE0B0000}"/>
    <cellStyle name="셀 확인 12" xfId="6340" xr:uid="{00000000-0005-0000-0000-0000EF0B0000}"/>
    <cellStyle name="셀 확인 13" xfId="49104" xr:uid="{00000000-0005-0000-0000-0000F00B0000}"/>
    <cellStyle name="셀 확인 14" xfId="49105" xr:uid="{00000000-0005-0000-0000-0000F10B0000}"/>
    <cellStyle name="셀 확인 15" xfId="49106" xr:uid="{00000000-0005-0000-0000-0000F20B0000}"/>
    <cellStyle name="셀 확인 16" xfId="49107" xr:uid="{00000000-0005-0000-0000-0000F30B0000}"/>
    <cellStyle name="셀 확인 17" xfId="49108" xr:uid="{00000000-0005-0000-0000-0000F40B0000}"/>
    <cellStyle name="셀 확인 18" xfId="49109" xr:uid="{00000000-0005-0000-0000-0000F50B0000}"/>
    <cellStyle name="셀 확인 19" xfId="49110" xr:uid="{00000000-0005-0000-0000-0000F60B0000}"/>
    <cellStyle name="셀 확인 2" xfId="253" xr:uid="{00000000-0005-0000-0000-0000F70B0000}"/>
    <cellStyle name="셀 확인 2 10" xfId="6442" xr:uid="{00000000-0005-0000-0000-0000F80B0000}"/>
    <cellStyle name="셀 확인 2 11" xfId="6341" xr:uid="{00000000-0005-0000-0000-0000F90B0000}"/>
    <cellStyle name="셀 확인 2 2" xfId="5104" xr:uid="{00000000-0005-0000-0000-0000FA0B0000}"/>
    <cellStyle name="셀 확인 2 3" xfId="6381" xr:uid="{00000000-0005-0000-0000-0000FB0B0000}"/>
    <cellStyle name="셀 확인 2 4" xfId="6418" xr:uid="{00000000-0005-0000-0000-0000FC0B0000}"/>
    <cellStyle name="셀 확인 2 5" xfId="6368" xr:uid="{00000000-0005-0000-0000-0000FD0B0000}"/>
    <cellStyle name="셀 확인 2 6" xfId="6417" xr:uid="{00000000-0005-0000-0000-0000FE0B0000}"/>
    <cellStyle name="셀 확인 2 7" xfId="6363" xr:uid="{00000000-0005-0000-0000-0000FF0B0000}"/>
    <cellStyle name="셀 확인 2 8" xfId="6436" xr:uid="{00000000-0005-0000-0000-0000000C0000}"/>
    <cellStyle name="셀 확인 2 9" xfId="6350" xr:uid="{00000000-0005-0000-0000-0000010C0000}"/>
    <cellStyle name="셀 확인 20" xfId="49111" xr:uid="{00000000-0005-0000-0000-0000020C0000}"/>
    <cellStyle name="셀 확인 21" xfId="49112" xr:uid="{00000000-0005-0000-0000-0000030C0000}"/>
    <cellStyle name="셀 확인 22" xfId="49113" xr:uid="{00000000-0005-0000-0000-0000040C0000}"/>
    <cellStyle name="셀 확인 23" xfId="49114" xr:uid="{00000000-0005-0000-0000-0000050C0000}"/>
    <cellStyle name="셀 확인 24" xfId="49115" xr:uid="{00000000-0005-0000-0000-0000060C0000}"/>
    <cellStyle name="셀 확인 25" xfId="49116" xr:uid="{00000000-0005-0000-0000-0000070C0000}"/>
    <cellStyle name="셀 확인 26" xfId="49117" xr:uid="{00000000-0005-0000-0000-0000080C0000}"/>
    <cellStyle name="셀 확인 27" xfId="49118" xr:uid="{00000000-0005-0000-0000-0000090C0000}"/>
    <cellStyle name="셀 확인 28" xfId="49119" xr:uid="{00000000-0005-0000-0000-00000A0C0000}"/>
    <cellStyle name="셀 확인 29" xfId="49120" xr:uid="{00000000-0005-0000-0000-00000B0C0000}"/>
    <cellStyle name="셀 확인 3" xfId="3493" xr:uid="{00000000-0005-0000-0000-00000C0C0000}"/>
    <cellStyle name="셀 확인 3 10" xfId="4111" xr:uid="{00000000-0005-0000-0000-00000D0C0000}"/>
    <cellStyle name="셀 확인 3 11" xfId="3613" xr:uid="{00000000-0005-0000-0000-00000E0C0000}"/>
    <cellStyle name="셀 확인 3 2" xfId="2740" xr:uid="{00000000-0005-0000-0000-00000F0C0000}"/>
    <cellStyle name="셀 확인 3 3" xfId="2643" xr:uid="{00000000-0005-0000-0000-0000100C0000}"/>
    <cellStyle name="셀 확인 3 4" xfId="3710" xr:uid="{00000000-0005-0000-0000-0000110C0000}"/>
    <cellStyle name="셀 확인 3 5" xfId="2882" xr:uid="{00000000-0005-0000-0000-0000120C0000}"/>
    <cellStyle name="셀 확인 3 6" xfId="3914" xr:uid="{00000000-0005-0000-0000-0000130C0000}"/>
    <cellStyle name="셀 확인 3 7" xfId="2767" xr:uid="{00000000-0005-0000-0000-0000140C0000}"/>
    <cellStyle name="셀 확인 3 8" xfId="3374" xr:uid="{00000000-0005-0000-0000-0000150C0000}"/>
    <cellStyle name="셀 확인 3 9" xfId="2909" xr:uid="{00000000-0005-0000-0000-0000160C0000}"/>
    <cellStyle name="셀 확인 30" xfId="49121" xr:uid="{00000000-0005-0000-0000-0000170C0000}"/>
    <cellStyle name="셀 확인 31" xfId="49122" xr:uid="{00000000-0005-0000-0000-0000180C0000}"/>
    <cellStyle name="셀 확인 32" xfId="49123" xr:uid="{00000000-0005-0000-0000-0000190C0000}"/>
    <cellStyle name="셀 확인 33" xfId="49124" xr:uid="{00000000-0005-0000-0000-00001A0C0000}"/>
    <cellStyle name="셀 확인 4" xfId="2651" xr:uid="{00000000-0005-0000-0000-00001B0C0000}"/>
    <cellStyle name="셀 확인 4 10" xfId="3984" xr:uid="{00000000-0005-0000-0000-00001C0C0000}"/>
    <cellStyle name="셀 확인 4 11" xfId="2891" xr:uid="{00000000-0005-0000-0000-00001D0C0000}"/>
    <cellStyle name="셀 확인 4 2" xfId="3008" xr:uid="{00000000-0005-0000-0000-00001E0C0000}"/>
    <cellStyle name="셀 확인 4 3" xfId="3421" xr:uid="{00000000-0005-0000-0000-00001F0C0000}"/>
    <cellStyle name="셀 확인 4 4" xfId="4193" xr:uid="{00000000-0005-0000-0000-0000200C0000}"/>
    <cellStyle name="셀 확인 4 5" xfId="338" xr:uid="{00000000-0005-0000-0000-0000210C0000}"/>
    <cellStyle name="셀 확인 4 6" xfId="3906" xr:uid="{00000000-0005-0000-0000-0000220C0000}"/>
    <cellStyle name="셀 확인 4 7" xfId="2973" xr:uid="{00000000-0005-0000-0000-0000230C0000}"/>
    <cellStyle name="셀 확인 4 8" xfId="3578" xr:uid="{00000000-0005-0000-0000-0000240C0000}"/>
    <cellStyle name="셀 확인 4 9" xfId="3097" xr:uid="{00000000-0005-0000-0000-0000250C0000}"/>
    <cellStyle name="셀 확인 5" xfId="3704" xr:uid="{00000000-0005-0000-0000-0000260C0000}"/>
    <cellStyle name="셀 확인 5 2" xfId="3469" xr:uid="{00000000-0005-0000-0000-0000270C0000}"/>
    <cellStyle name="셀 확인 5 3" xfId="2975" xr:uid="{00000000-0005-0000-0000-0000280C0000}"/>
    <cellStyle name="셀 확인 5 4" xfId="3862" xr:uid="{00000000-0005-0000-0000-0000290C0000}"/>
    <cellStyle name="셀 확인 5 5" xfId="3950" xr:uid="{00000000-0005-0000-0000-00002A0C0000}"/>
    <cellStyle name="셀 확인 6" xfId="3852" xr:uid="{00000000-0005-0000-0000-00002B0C0000}"/>
    <cellStyle name="셀 확인 6 2" xfId="4076" xr:uid="{00000000-0005-0000-0000-00002C0C0000}"/>
    <cellStyle name="셀 확인 6 3" xfId="3589" xr:uid="{00000000-0005-0000-0000-00002D0C0000}"/>
    <cellStyle name="셀 확인 6 4" xfId="2615" xr:uid="{00000000-0005-0000-0000-00002E0C0000}"/>
    <cellStyle name="셀 확인 6 5" xfId="3378" xr:uid="{00000000-0005-0000-0000-00002F0C0000}"/>
    <cellStyle name="셀 확인 7" xfId="3291" xr:uid="{00000000-0005-0000-0000-0000300C0000}"/>
    <cellStyle name="셀 확인 7 2" xfId="2503" xr:uid="{00000000-0005-0000-0000-0000310C0000}"/>
    <cellStyle name="셀 확인 8" xfId="2424" xr:uid="{00000000-0005-0000-0000-0000320C0000}"/>
    <cellStyle name="셀 확인 8 2" xfId="3646" xr:uid="{00000000-0005-0000-0000-0000330C0000}"/>
    <cellStyle name="셀 확인 9" xfId="6437" xr:uid="{00000000-0005-0000-0000-0000340C0000}"/>
    <cellStyle name="쉼표 [0]" xfId="49729" builtinId="6"/>
    <cellStyle name="쉼표 [0] 10" xfId="80" xr:uid="{00000000-0005-0000-0000-0000360C0000}"/>
    <cellStyle name="쉼표 [0] 10 10" xfId="79" xr:uid="{00000000-0005-0000-0000-0000370C0000}"/>
    <cellStyle name="쉼표 [0] 10 10 2" xfId="173" xr:uid="{00000000-0005-0000-0000-0000380C0000}"/>
    <cellStyle name="쉼표 [0] 10 11" xfId="4301" xr:uid="{00000000-0005-0000-0000-0000390C0000}"/>
    <cellStyle name="쉼표 [0] 10 12" xfId="4053" xr:uid="{00000000-0005-0000-0000-00003A0C0000}"/>
    <cellStyle name="쉼표 [0] 10 13" xfId="3209" xr:uid="{00000000-0005-0000-0000-00003B0C0000}"/>
    <cellStyle name="쉼표 [0] 10 14" xfId="3329" xr:uid="{00000000-0005-0000-0000-00003C0C0000}"/>
    <cellStyle name="쉼표 [0] 10 15" xfId="2845" xr:uid="{00000000-0005-0000-0000-00003D0C0000}"/>
    <cellStyle name="쉼표 [0] 10 16" xfId="3695" xr:uid="{00000000-0005-0000-0000-00003E0C0000}"/>
    <cellStyle name="쉼표 [0] 10 2" xfId="174" xr:uid="{00000000-0005-0000-0000-00003F0C0000}"/>
    <cellStyle name="쉼표 [0] 10 2 2" xfId="48444" xr:uid="{00000000-0005-0000-0000-0000400C0000}"/>
    <cellStyle name="쉼표 [0] 10 3" xfId="3331" xr:uid="{00000000-0005-0000-0000-0000410C0000}"/>
    <cellStyle name="쉼표 [0] 10 4" xfId="3088" xr:uid="{00000000-0005-0000-0000-0000420C0000}"/>
    <cellStyle name="쉼표 [0] 10 5" xfId="4307" xr:uid="{00000000-0005-0000-0000-0000430C0000}"/>
    <cellStyle name="쉼표 [0] 10 6" xfId="2556" xr:uid="{00000000-0005-0000-0000-0000440C0000}"/>
    <cellStyle name="쉼표 [0] 10 7" xfId="3274" xr:uid="{00000000-0005-0000-0000-0000450C0000}"/>
    <cellStyle name="쉼표 [0] 10 8" xfId="3280" xr:uid="{00000000-0005-0000-0000-0000460C0000}"/>
    <cellStyle name="쉼표 [0] 10 9" xfId="3883" xr:uid="{00000000-0005-0000-0000-0000470C0000}"/>
    <cellStyle name="쉼표 [0] 100" xfId="49125" xr:uid="{00000000-0005-0000-0000-0000480C0000}"/>
    <cellStyle name="쉼표 [0] 101" xfId="49126" xr:uid="{00000000-0005-0000-0000-0000490C0000}"/>
    <cellStyle name="쉼표 [0] 102" xfId="49127" xr:uid="{00000000-0005-0000-0000-00004A0C0000}"/>
    <cellStyle name="쉼표 [0] 103" xfId="49128" xr:uid="{00000000-0005-0000-0000-00004B0C0000}"/>
    <cellStyle name="쉼표 [0] 104" xfId="49129" xr:uid="{00000000-0005-0000-0000-00004C0C0000}"/>
    <cellStyle name="쉼표 [0] 105" xfId="49130" xr:uid="{00000000-0005-0000-0000-00004D0C0000}"/>
    <cellStyle name="쉼표 [0] 106" xfId="49131" xr:uid="{00000000-0005-0000-0000-00004E0C0000}"/>
    <cellStyle name="쉼표 [0] 107" xfId="49132" xr:uid="{00000000-0005-0000-0000-00004F0C0000}"/>
    <cellStyle name="쉼표 [0] 108" xfId="49133" xr:uid="{00000000-0005-0000-0000-0000500C0000}"/>
    <cellStyle name="쉼표 [0] 109" xfId="49134" xr:uid="{00000000-0005-0000-0000-0000510C0000}"/>
    <cellStyle name="쉼표 [0] 11" xfId="3758" xr:uid="{00000000-0005-0000-0000-0000520C0000}"/>
    <cellStyle name="쉼표 [0] 11 2" xfId="49135" xr:uid="{00000000-0005-0000-0000-0000530C0000}"/>
    <cellStyle name="쉼표 [0] 110" xfId="49136" xr:uid="{00000000-0005-0000-0000-0000540C0000}"/>
    <cellStyle name="쉼표 [0] 111" xfId="49137" xr:uid="{00000000-0005-0000-0000-0000550C0000}"/>
    <cellStyle name="쉼표 [0] 112" xfId="49138" xr:uid="{00000000-0005-0000-0000-0000560C0000}"/>
    <cellStyle name="쉼표 [0] 113" xfId="49139" xr:uid="{00000000-0005-0000-0000-0000570C0000}"/>
    <cellStyle name="쉼표 [0] 114" xfId="49140" xr:uid="{00000000-0005-0000-0000-0000580C0000}"/>
    <cellStyle name="쉼표 [0] 115" xfId="49141" xr:uid="{00000000-0005-0000-0000-0000590C0000}"/>
    <cellStyle name="쉼표 [0] 116" xfId="49142" xr:uid="{00000000-0005-0000-0000-00005A0C0000}"/>
    <cellStyle name="쉼표 [0] 117" xfId="49143" xr:uid="{00000000-0005-0000-0000-00005B0C0000}"/>
    <cellStyle name="쉼표 [0] 118" xfId="49144" xr:uid="{00000000-0005-0000-0000-00005C0C0000}"/>
    <cellStyle name="쉼표 [0] 119" xfId="49145" xr:uid="{00000000-0005-0000-0000-00005D0C0000}"/>
    <cellStyle name="쉼표 [0] 12" xfId="3521" xr:uid="{00000000-0005-0000-0000-00005E0C0000}"/>
    <cellStyle name="쉼표 [0] 12 2" xfId="49146" xr:uid="{00000000-0005-0000-0000-00005F0C0000}"/>
    <cellStyle name="쉼표 [0] 120" xfId="49147" xr:uid="{00000000-0005-0000-0000-0000600C0000}"/>
    <cellStyle name="쉼표 [0] 121" xfId="49148" xr:uid="{00000000-0005-0000-0000-0000610C0000}"/>
    <cellStyle name="쉼표 [0] 122" xfId="49149" xr:uid="{00000000-0005-0000-0000-0000620C0000}"/>
    <cellStyle name="쉼표 [0] 123" xfId="49150" xr:uid="{00000000-0005-0000-0000-0000630C0000}"/>
    <cellStyle name="쉼표 [0] 124" xfId="49151" xr:uid="{00000000-0005-0000-0000-0000640C0000}"/>
    <cellStyle name="쉼표 [0] 125" xfId="49152" xr:uid="{00000000-0005-0000-0000-0000650C0000}"/>
    <cellStyle name="쉼표 [0] 126" xfId="49153" xr:uid="{00000000-0005-0000-0000-0000660C0000}"/>
    <cellStyle name="쉼표 [0] 127" xfId="49154" xr:uid="{00000000-0005-0000-0000-0000670C0000}"/>
    <cellStyle name="쉼표 [0] 128" xfId="49155" xr:uid="{00000000-0005-0000-0000-0000680C0000}"/>
    <cellStyle name="쉼표 [0] 129" xfId="49156" xr:uid="{00000000-0005-0000-0000-0000690C0000}"/>
    <cellStyle name="쉼표 [0] 13" xfId="320" xr:uid="{00000000-0005-0000-0000-00006A0C0000}"/>
    <cellStyle name="쉼표 [0] 13 2" xfId="49157" xr:uid="{00000000-0005-0000-0000-00006B0C0000}"/>
    <cellStyle name="쉼표 [0] 130" xfId="49158" xr:uid="{00000000-0005-0000-0000-00006C0C0000}"/>
    <cellStyle name="쉼표 [0] 131" xfId="49159" xr:uid="{00000000-0005-0000-0000-00006D0C0000}"/>
    <cellStyle name="쉼표 [0] 132" xfId="49160" xr:uid="{00000000-0005-0000-0000-00006E0C0000}"/>
    <cellStyle name="쉼표 [0] 133" xfId="49161" xr:uid="{00000000-0005-0000-0000-00006F0C0000}"/>
    <cellStyle name="쉼표 [0] 134" xfId="49162" xr:uid="{00000000-0005-0000-0000-0000700C0000}"/>
    <cellStyle name="쉼표 [0] 135" xfId="49163" xr:uid="{00000000-0005-0000-0000-0000710C0000}"/>
    <cellStyle name="쉼표 [0] 136" xfId="49164" xr:uid="{00000000-0005-0000-0000-0000720C0000}"/>
    <cellStyle name="쉼표 [0] 137" xfId="49165" xr:uid="{00000000-0005-0000-0000-0000730C0000}"/>
    <cellStyle name="쉼표 [0] 138" xfId="49166" xr:uid="{00000000-0005-0000-0000-0000740C0000}"/>
    <cellStyle name="쉼표 [0] 139" xfId="49167" xr:uid="{00000000-0005-0000-0000-0000750C0000}"/>
    <cellStyle name="쉼표 [0] 14" xfId="6941" xr:uid="{00000000-0005-0000-0000-0000760C0000}"/>
    <cellStyle name="쉼표 [0] 14 2" xfId="3156" xr:uid="{00000000-0005-0000-0000-0000770C0000}"/>
    <cellStyle name="쉼표 [0] 14 3" xfId="3287" xr:uid="{00000000-0005-0000-0000-0000780C0000}"/>
    <cellStyle name="쉼표 [0] 14 4" xfId="2793" xr:uid="{00000000-0005-0000-0000-0000790C0000}"/>
    <cellStyle name="쉼표 [0] 14 5" xfId="49168" xr:uid="{00000000-0005-0000-0000-00007A0C0000}"/>
    <cellStyle name="쉼표 [0] 140" xfId="49169" xr:uid="{00000000-0005-0000-0000-00007B0C0000}"/>
    <cellStyle name="쉼표 [0] 141" xfId="49170" xr:uid="{00000000-0005-0000-0000-00007C0C0000}"/>
    <cellStyle name="쉼표 [0] 142" xfId="49171" xr:uid="{00000000-0005-0000-0000-00007D0C0000}"/>
    <cellStyle name="쉼표 [0] 143" xfId="49172" xr:uid="{00000000-0005-0000-0000-00007E0C0000}"/>
    <cellStyle name="쉼표 [0] 144" xfId="49173" xr:uid="{00000000-0005-0000-0000-00007F0C0000}"/>
    <cellStyle name="쉼표 [0] 145" xfId="49174" xr:uid="{00000000-0005-0000-0000-0000800C0000}"/>
    <cellStyle name="쉼표 [0] 146" xfId="49175" xr:uid="{00000000-0005-0000-0000-0000810C0000}"/>
    <cellStyle name="쉼표 [0] 147" xfId="49176" xr:uid="{00000000-0005-0000-0000-0000820C0000}"/>
    <cellStyle name="쉼표 [0] 148" xfId="49177" xr:uid="{00000000-0005-0000-0000-0000830C0000}"/>
    <cellStyle name="쉼표 [0] 149" xfId="49178" xr:uid="{00000000-0005-0000-0000-0000840C0000}"/>
    <cellStyle name="쉼표 [0] 15" xfId="6944" xr:uid="{00000000-0005-0000-0000-0000850C0000}"/>
    <cellStyle name="쉼표 [0] 15 2" xfId="49179" xr:uid="{00000000-0005-0000-0000-0000860C0000}"/>
    <cellStyle name="쉼표 [0] 150" xfId="49180" xr:uid="{00000000-0005-0000-0000-0000870C0000}"/>
    <cellStyle name="쉼표 [0] 151" xfId="49181" xr:uid="{00000000-0005-0000-0000-0000880C0000}"/>
    <cellStyle name="쉼표 [0] 152" xfId="49182" xr:uid="{00000000-0005-0000-0000-0000890C0000}"/>
    <cellStyle name="쉼표 [0] 153" xfId="49183" xr:uid="{00000000-0005-0000-0000-00008A0C0000}"/>
    <cellStyle name="쉼표 [0] 154" xfId="49184" xr:uid="{00000000-0005-0000-0000-00008B0C0000}"/>
    <cellStyle name="쉼표 [0] 155" xfId="49185" xr:uid="{00000000-0005-0000-0000-00008C0C0000}"/>
    <cellStyle name="쉼표 [0] 156" xfId="49186" xr:uid="{00000000-0005-0000-0000-00008D0C0000}"/>
    <cellStyle name="쉼표 [0] 157" xfId="49187" xr:uid="{00000000-0005-0000-0000-00008E0C0000}"/>
    <cellStyle name="쉼표 [0] 158" xfId="49188" xr:uid="{00000000-0005-0000-0000-00008F0C0000}"/>
    <cellStyle name="쉼표 [0] 159" xfId="49189" xr:uid="{00000000-0005-0000-0000-0000900C0000}"/>
    <cellStyle name="쉼표 [0] 16" xfId="2951" xr:uid="{00000000-0005-0000-0000-0000910C0000}"/>
    <cellStyle name="쉼표 [0] 16 2" xfId="3766" xr:uid="{00000000-0005-0000-0000-0000920C0000}"/>
    <cellStyle name="쉼표 [0] 16 3" xfId="4032" xr:uid="{00000000-0005-0000-0000-0000930C0000}"/>
    <cellStyle name="쉼표 [0] 16 4" xfId="4260" xr:uid="{00000000-0005-0000-0000-0000940C0000}"/>
    <cellStyle name="쉼표 [0] 16 5" xfId="4263" xr:uid="{00000000-0005-0000-0000-0000950C0000}"/>
    <cellStyle name="쉼표 [0] 16 6" xfId="3741" xr:uid="{00000000-0005-0000-0000-0000960C0000}"/>
    <cellStyle name="쉼표 [0] 16 7" xfId="2663" xr:uid="{00000000-0005-0000-0000-0000970C0000}"/>
    <cellStyle name="쉼표 [0] 16 8" xfId="49190" xr:uid="{00000000-0005-0000-0000-0000980C0000}"/>
    <cellStyle name="쉼표 [0] 160" xfId="49191" xr:uid="{00000000-0005-0000-0000-0000990C0000}"/>
    <cellStyle name="쉼표 [0] 161" xfId="49192" xr:uid="{00000000-0005-0000-0000-00009A0C0000}"/>
    <cellStyle name="쉼표 [0] 162" xfId="49193" xr:uid="{00000000-0005-0000-0000-00009B0C0000}"/>
    <cellStyle name="쉼표 [0] 163" xfId="49194" xr:uid="{00000000-0005-0000-0000-00009C0C0000}"/>
    <cellStyle name="쉼표 [0] 164" xfId="49195" xr:uid="{00000000-0005-0000-0000-00009D0C0000}"/>
    <cellStyle name="쉼표 [0] 165" xfId="49196" xr:uid="{00000000-0005-0000-0000-00009E0C0000}"/>
    <cellStyle name="쉼표 [0] 166" xfId="49197" xr:uid="{00000000-0005-0000-0000-00009F0C0000}"/>
    <cellStyle name="쉼표 [0] 167" xfId="49198" xr:uid="{00000000-0005-0000-0000-0000A00C0000}"/>
    <cellStyle name="쉼표 [0] 168" xfId="49199" xr:uid="{00000000-0005-0000-0000-0000A10C0000}"/>
    <cellStyle name="쉼표 [0] 169" xfId="49200" xr:uid="{00000000-0005-0000-0000-0000A20C0000}"/>
    <cellStyle name="쉼표 [0] 17" xfId="6962" xr:uid="{00000000-0005-0000-0000-0000A30C0000}"/>
    <cellStyle name="쉼표 [0] 17 2" xfId="49201" xr:uid="{00000000-0005-0000-0000-0000A40C0000}"/>
    <cellStyle name="쉼표 [0] 170" xfId="49202" xr:uid="{00000000-0005-0000-0000-0000A50C0000}"/>
    <cellStyle name="쉼표 [0] 171" xfId="49203" xr:uid="{00000000-0005-0000-0000-0000A60C0000}"/>
    <cellStyle name="쉼표 [0] 172" xfId="49204" xr:uid="{00000000-0005-0000-0000-0000A70C0000}"/>
    <cellStyle name="쉼표 [0] 173" xfId="49205" xr:uid="{00000000-0005-0000-0000-0000A80C0000}"/>
    <cellStyle name="쉼표 [0] 174" xfId="49206" xr:uid="{00000000-0005-0000-0000-0000A90C0000}"/>
    <cellStyle name="쉼표 [0] 175" xfId="49207" xr:uid="{00000000-0005-0000-0000-0000AA0C0000}"/>
    <cellStyle name="쉼표 [0] 176" xfId="49208" xr:uid="{00000000-0005-0000-0000-0000AB0C0000}"/>
    <cellStyle name="쉼표 [0] 177" xfId="49209" xr:uid="{00000000-0005-0000-0000-0000AC0C0000}"/>
    <cellStyle name="쉼표 [0] 178" xfId="49210" xr:uid="{00000000-0005-0000-0000-0000AD0C0000}"/>
    <cellStyle name="쉼표 [0] 179" xfId="49211" xr:uid="{00000000-0005-0000-0000-0000AE0C0000}"/>
    <cellStyle name="쉼표 [0] 18" xfId="3742" xr:uid="{00000000-0005-0000-0000-0000AF0C0000}"/>
    <cellStyle name="쉼표 [0] 18 2" xfId="2541" xr:uid="{00000000-0005-0000-0000-0000B00C0000}"/>
    <cellStyle name="쉼표 [0] 18 3" xfId="3142" xr:uid="{00000000-0005-0000-0000-0000B10C0000}"/>
    <cellStyle name="쉼표 [0] 18 4" xfId="4234" xr:uid="{00000000-0005-0000-0000-0000B20C0000}"/>
    <cellStyle name="쉼표 [0] 18 5" xfId="2778" xr:uid="{00000000-0005-0000-0000-0000B30C0000}"/>
    <cellStyle name="쉼표 [0] 18 6" xfId="3503" xr:uid="{00000000-0005-0000-0000-0000B40C0000}"/>
    <cellStyle name="쉼표 [0] 18 7" xfId="3030" xr:uid="{00000000-0005-0000-0000-0000B50C0000}"/>
    <cellStyle name="쉼표 [0] 18 8" xfId="49212" xr:uid="{00000000-0005-0000-0000-0000B60C0000}"/>
    <cellStyle name="쉼표 [0] 180" xfId="49213" xr:uid="{00000000-0005-0000-0000-0000B70C0000}"/>
    <cellStyle name="쉼표 [0] 181" xfId="49214" xr:uid="{00000000-0005-0000-0000-0000B80C0000}"/>
    <cellStyle name="쉼표 [0] 182" xfId="49215" xr:uid="{00000000-0005-0000-0000-0000B90C0000}"/>
    <cellStyle name="쉼표 [0] 183" xfId="49216" xr:uid="{00000000-0005-0000-0000-0000BA0C0000}"/>
    <cellStyle name="쉼표 [0] 184" xfId="49217" xr:uid="{00000000-0005-0000-0000-0000BB0C0000}"/>
    <cellStyle name="쉼표 [0] 185" xfId="49218" xr:uid="{00000000-0005-0000-0000-0000BC0C0000}"/>
    <cellStyle name="쉼표 [0] 186" xfId="49219" xr:uid="{00000000-0005-0000-0000-0000BD0C0000}"/>
    <cellStyle name="쉼표 [0] 187" xfId="49220" xr:uid="{00000000-0005-0000-0000-0000BE0C0000}"/>
    <cellStyle name="쉼표 [0] 188" xfId="49221" xr:uid="{00000000-0005-0000-0000-0000BF0C0000}"/>
    <cellStyle name="쉼표 [0] 189" xfId="49222" xr:uid="{00000000-0005-0000-0000-0000C00C0000}"/>
    <cellStyle name="쉼표 [0] 19" xfId="6963" xr:uid="{00000000-0005-0000-0000-0000C10C0000}"/>
    <cellStyle name="쉼표 [0] 19 2" xfId="49223" xr:uid="{00000000-0005-0000-0000-0000C20C0000}"/>
    <cellStyle name="쉼표 [0] 190" xfId="49224" xr:uid="{00000000-0005-0000-0000-0000C30C0000}"/>
    <cellStyle name="쉼표 [0] 191" xfId="49225" xr:uid="{00000000-0005-0000-0000-0000C40C0000}"/>
    <cellStyle name="쉼표 [0] 192" xfId="49226" xr:uid="{00000000-0005-0000-0000-0000C50C0000}"/>
    <cellStyle name="쉼표 [0] 193" xfId="49227" xr:uid="{00000000-0005-0000-0000-0000C60C0000}"/>
    <cellStyle name="쉼표 [0] 194" xfId="49228" xr:uid="{00000000-0005-0000-0000-0000C70C0000}"/>
    <cellStyle name="쉼표 [0] 195" xfId="49229" xr:uid="{00000000-0005-0000-0000-0000C80C0000}"/>
    <cellStyle name="쉼표 [0] 196" xfId="49230" xr:uid="{00000000-0005-0000-0000-0000C90C0000}"/>
    <cellStyle name="쉼표 [0] 197" xfId="49231" xr:uid="{00000000-0005-0000-0000-0000CA0C0000}"/>
    <cellStyle name="쉼표 [0] 198" xfId="49232" xr:uid="{00000000-0005-0000-0000-0000CB0C0000}"/>
    <cellStyle name="쉼표 [0] 199" xfId="49233" xr:uid="{00000000-0005-0000-0000-0000CC0C0000}"/>
    <cellStyle name="쉼표 [0] 2" xfId="1" xr:uid="{00000000-0005-0000-0000-0000CD0C0000}"/>
    <cellStyle name="쉼표 [0] 2 10" xfId="2969" xr:uid="{00000000-0005-0000-0000-0000CE0C0000}"/>
    <cellStyle name="쉼표 [0] 2 10 2" xfId="6410" xr:uid="{00000000-0005-0000-0000-0000CF0C0000}"/>
    <cellStyle name="쉼표 [0] 2 11" xfId="3213" xr:uid="{00000000-0005-0000-0000-0000D00C0000}"/>
    <cellStyle name="쉼표 [0] 2 11 2" xfId="6369" xr:uid="{00000000-0005-0000-0000-0000D10C0000}"/>
    <cellStyle name="쉼표 [0] 2 12" xfId="3497" xr:uid="{00000000-0005-0000-0000-0000D20C0000}"/>
    <cellStyle name="쉼표 [0] 2 12 2" xfId="6433" xr:uid="{00000000-0005-0000-0000-0000D30C0000}"/>
    <cellStyle name="쉼표 [0] 2 13" xfId="3455" xr:uid="{00000000-0005-0000-0000-0000D40C0000}"/>
    <cellStyle name="쉼표 [0] 2 14" xfId="3436" xr:uid="{00000000-0005-0000-0000-0000D50C0000}"/>
    <cellStyle name="쉼표 [0] 2 15" xfId="3140" xr:uid="{00000000-0005-0000-0000-0000D60C0000}"/>
    <cellStyle name="쉼표 [0] 2 16" xfId="4163" xr:uid="{00000000-0005-0000-0000-0000D70C0000}"/>
    <cellStyle name="쉼표 [0] 2 17" xfId="386" xr:uid="{00000000-0005-0000-0000-0000D80C0000}"/>
    <cellStyle name="쉼표 [0] 2 18" xfId="3792" xr:uid="{00000000-0005-0000-0000-0000D90C0000}"/>
    <cellStyle name="쉼표 [0] 2 19" xfId="2945" xr:uid="{00000000-0005-0000-0000-0000DA0C0000}"/>
    <cellStyle name="쉼표 [0] 2 2" xfId="2" xr:uid="{00000000-0005-0000-0000-0000DB0C0000}"/>
    <cellStyle name="쉼표 [0] 2 2 10" xfId="6409" xr:uid="{00000000-0005-0000-0000-0000DC0C0000}"/>
    <cellStyle name="쉼표 [0] 2 2 11" xfId="6370" xr:uid="{00000000-0005-0000-0000-0000DD0C0000}"/>
    <cellStyle name="쉼표 [0] 2 2 12" xfId="6432" xr:uid="{00000000-0005-0000-0000-0000DE0C0000}"/>
    <cellStyle name="쉼표 [0] 2 2 13" xfId="6356" xr:uid="{00000000-0005-0000-0000-0000DF0C0000}"/>
    <cellStyle name="쉼표 [0] 2 2 14" xfId="6434" xr:uid="{00000000-0005-0000-0000-0000E00C0000}"/>
    <cellStyle name="쉼표 [0] 2 2 15" xfId="6344" xr:uid="{00000000-0005-0000-0000-0000E10C0000}"/>
    <cellStyle name="쉼표 [0] 2 2 2" xfId="21" xr:uid="{00000000-0005-0000-0000-0000E20C0000}"/>
    <cellStyle name="쉼표 [0] 2 2 2 10" xfId="331" xr:uid="{00000000-0005-0000-0000-0000E30C0000}"/>
    <cellStyle name="쉼표 [0] 2 2 2 11" xfId="3552" xr:uid="{00000000-0005-0000-0000-0000E40C0000}"/>
    <cellStyle name="쉼표 [0] 2 2 2 12" xfId="4285" xr:uid="{00000000-0005-0000-0000-0000E50C0000}"/>
    <cellStyle name="쉼표 [0] 2 2 2 2" xfId="115" xr:uid="{00000000-0005-0000-0000-0000E60C0000}"/>
    <cellStyle name="쉼표 [0] 2 2 2 2 2" xfId="2594" xr:uid="{00000000-0005-0000-0000-0000E70C0000}"/>
    <cellStyle name="쉼표 [0] 2 2 2 3" xfId="2411" xr:uid="{00000000-0005-0000-0000-0000E80C0000}"/>
    <cellStyle name="쉼표 [0] 2 2 2 4" xfId="3245" xr:uid="{00000000-0005-0000-0000-0000E90C0000}"/>
    <cellStyle name="쉼표 [0] 2 2 2 5" xfId="2591" xr:uid="{00000000-0005-0000-0000-0000EA0C0000}"/>
    <cellStyle name="쉼표 [0] 2 2 2 6" xfId="2478" xr:uid="{00000000-0005-0000-0000-0000EB0C0000}"/>
    <cellStyle name="쉼표 [0] 2 2 2 7" xfId="3314" xr:uid="{00000000-0005-0000-0000-0000EC0C0000}"/>
    <cellStyle name="쉼표 [0] 2 2 2 8" xfId="2832" xr:uid="{00000000-0005-0000-0000-0000ED0C0000}"/>
    <cellStyle name="쉼표 [0] 2 2 2 9" xfId="370" xr:uid="{00000000-0005-0000-0000-0000EE0C0000}"/>
    <cellStyle name="쉼표 [0] 2 2 3" xfId="33" xr:uid="{00000000-0005-0000-0000-0000EF0C0000}"/>
    <cellStyle name="쉼표 [0] 2 2 3 10" xfId="2480" xr:uid="{00000000-0005-0000-0000-0000F00C0000}"/>
    <cellStyle name="쉼표 [0] 2 2 3 11" xfId="2903" xr:uid="{00000000-0005-0000-0000-0000F10C0000}"/>
    <cellStyle name="쉼표 [0] 2 2 3 12" xfId="3016" xr:uid="{00000000-0005-0000-0000-0000F20C0000}"/>
    <cellStyle name="쉼표 [0] 2 2 3 2" xfId="127" xr:uid="{00000000-0005-0000-0000-0000F30C0000}"/>
    <cellStyle name="쉼표 [0] 2 2 3 2 2" xfId="2833" xr:uid="{00000000-0005-0000-0000-0000F40C0000}"/>
    <cellStyle name="쉼표 [0] 2 2 3 3" xfId="3658" xr:uid="{00000000-0005-0000-0000-0000F50C0000}"/>
    <cellStyle name="쉼표 [0] 2 2 3 4" xfId="3387" xr:uid="{00000000-0005-0000-0000-0000F60C0000}"/>
    <cellStyle name="쉼표 [0] 2 2 3 5" xfId="3294" xr:uid="{00000000-0005-0000-0000-0000F70C0000}"/>
    <cellStyle name="쉼표 [0] 2 2 3 6" xfId="4021" xr:uid="{00000000-0005-0000-0000-0000F80C0000}"/>
    <cellStyle name="쉼표 [0] 2 2 3 7" xfId="4034" xr:uid="{00000000-0005-0000-0000-0000F90C0000}"/>
    <cellStyle name="쉼표 [0] 2 2 3 8" xfId="3297" xr:uid="{00000000-0005-0000-0000-0000FA0C0000}"/>
    <cellStyle name="쉼표 [0] 2 2 3 9" xfId="2463" xr:uid="{00000000-0005-0000-0000-0000FB0C0000}"/>
    <cellStyle name="쉼표 [0] 2 2 4" xfId="47" xr:uid="{00000000-0005-0000-0000-0000FC0C0000}"/>
    <cellStyle name="쉼표 [0] 2 2 4 10" xfId="3781" xr:uid="{00000000-0005-0000-0000-0000FD0C0000}"/>
    <cellStyle name="쉼표 [0] 2 2 4 11" xfId="2578" xr:uid="{00000000-0005-0000-0000-0000FE0C0000}"/>
    <cellStyle name="쉼표 [0] 2 2 4 12" xfId="2700" xr:uid="{00000000-0005-0000-0000-0000FF0C0000}"/>
    <cellStyle name="쉼표 [0] 2 2 4 2" xfId="141" xr:uid="{00000000-0005-0000-0000-0000000D0000}"/>
    <cellStyle name="쉼표 [0] 2 2 4 2 2" xfId="3055" xr:uid="{00000000-0005-0000-0000-0000010D0000}"/>
    <cellStyle name="쉼표 [0] 2 2 4 3" xfId="4274" xr:uid="{00000000-0005-0000-0000-0000020D0000}"/>
    <cellStyle name="쉼표 [0] 2 2 4 4" xfId="4088" xr:uid="{00000000-0005-0000-0000-0000030D0000}"/>
    <cellStyle name="쉼표 [0] 2 2 4 5" xfId="4085" xr:uid="{00000000-0005-0000-0000-0000040D0000}"/>
    <cellStyle name="쉼표 [0] 2 2 4 6" xfId="3355" xr:uid="{00000000-0005-0000-0000-0000050D0000}"/>
    <cellStyle name="쉼표 [0] 2 2 4 7" xfId="4090" xr:uid="{00000000-0005-0000-0000-0000060D0000}"/>
    <cellStyle name="쉼표 [0] 2 2 4 8" xfId="2867" xr:uid="{00000000-0005-0000-0000-0000070D0000}"/>
    <cellStyle name="쉼표 [0] 2 2 4 9" xfId="2412" xr:uid="{00000000-0005-0000-0000-0000080D0000}"/>
    <cellStyle name="쉼표 [0] 2 2 5" xfId="61" xr:uid="{00000000-0005-0000-0000-0000090D0000}"/>
    <cellStyle name="쉼표 [0] 2 2 5 2" xfId="155" xr:uid="{00000000-0005-0000-0000-00000A0D0000}"/>
    <cellStyle name="쉼표 [0] 2 2 6" xfId="96" xr:uid="{00000000-0005-0000-0000-00000B0D0000}"/>
    <cellStyle name="쉼표 [0] 2 2 6 2" xfId="5105" xr:uid="{00000000-0005-0000-0000-00000C0D0000}"/>
    <cellStyle name="쉼표 [0] 2 2 7" xfId="255" xr:uid="{00000000-0005-0000-0000-00000D0D0000}"/>
    <cellStyle name="쉼표 [0] 2 2 7 2" xfId="6980" xr:uid="{00000000-0005-0000-0000-00000E0D0000}"/>
    <cellStyle name="쉼표 [0] 2 2 7 3" xfId="48424" xr:uid="{00000000-0005-0000-0000-00000F0D0000}"/>
    <cellStyle name="쉼표 [0] 2 2 8" xfId="6413" xr:uid="{00000000-0005-0000-0000-0000100D0000}"/>
    <cellStyle name="쉼표 [0] 2 2 8 2" xfId="7006" xr:uid="{00000000-0005-0000-0000-0000110D0000}"/>
    <cellStyle name="쉼표 [0] 2 2 9" xfId="6375" xr:uid="{00000000-0005-0000-0000-0000120D0000}"/>
    <cellStyle name="쉼표 [0] 2 20" xfId="3353" xr:uid="{00000000-0005-0000-0000-0000130D0000}"/>
    <cellStyle name="쉼표 [0] 2 21" xfId="343" xr:uid="{00000000-0005-0000-0000-0000140D0000}"/>
    <cellStyle name="쉼표 [0] 2 22" xfId="3362" xr:uid="{00000000-0005-0000-0000-0000150D0000}"/>
    <cellStyle name="쉼표 [0] 2 23" xfId="345" xr:uid="{00000000-0005-0000-0000-0000160D0000}"/>
    <cellStyle name="쉼표 [0] 2 24" xfId="3214" xr:uid="{00000000-0005-0000-0000-0000170D0000}"/>
    <cellStyle name="쉼표 [0] 2 25" xfId="3000" xr:uid="{00000000-0005-0000-0000-0000180D0000}"/>
    <cellStyle name="쉼표 [0] 2 26" xfId="2604" xr:uid="{00000000-0005-0000-0000-0000190D0000}"/>
    <cellStyle name="쉼표 [0] 2 27" xfId="2413" xr:uid="{00000000-0005-0000-0000-00001A0D0000}"/>
    <cellStyle name="쉼표 [0] 2 28" xfId="2415" xr:uid="{00000000-0005-0000-0000-00001B0D0000}"/>
    <cellStyle name="쉼표 [0] 2 29" xfId="3160" xr:uid="{00000000-0005-0000-0000-00001C0D0000}"/>
    <cellStyle name="쉼표 [0] 2 3" xfId="14" xr:uid="{00000000-0005-0000-0000-00001D0D0000}"/>
    <cellStyle name="쉼표 [0] 2 3 2" xfId="26" xr:uid="{00000000-0005-0000-0000-00001E0D0000}"/>
    <cellStyle name="쉼표 [0] 2 3 2 2" xfId="120" xr:uid="{00000000-0005-0000-0000-00001F0D0000}"/>
    <cellStyle name="쉼표 [0] 2 3 3" xfId="37" xr:uid="{00000000-0005-0000-0000-0000200D0000}"/>
    <cellStyle name="쉼표 [0] 2 3 3 2" xfId="131" xr:uid="{00000000-0005-0000-0000-0000210D0000}"/>
    <cellStyle name="쉼표 [0] 2 3 4" xfId="51" xr:uid="{00000000-0005-0000-0000-0000220D0000}"/>
    <cellStyle name="쉼표 [0] 2 3 4 2" xfId="145" xr:uid="{00000000-0005-0000-0000-0000230D0000}"/>
    <cellStyle name="쉼표 [0] 2 3 5" xfId="65" xr:uid="{00000000-0005-0000-0000-0000240D0000}"/>
    <cellStyle name="쉼표 [0] 2 3 5 2" xfId="159" xr:uid="{00000000-0005-0000-0000-0000250D0000}"/>
    <cellStyle name="쉼표 [0] 2 3 6" xfId="108" xr:uid="{00000000-0005-0000-0000-0000260D0000}"/>
    <cellStyle name="쉼표 [0] 2 3 7" xfId="383" xr:uid="{00000000-0005-0000-0000-0000270D0000}"/>
    <cellStyle name="쉼표 [0] 2 3 7 2" xfId="6984" xr:uid="{00000000-0005-0000-0000-0000280D0000}"/>
    <cellStyle name="쉼표 [0] 2 3 8" xfId="7010" xr:uid="{00000000-0005-0000-0000-0000290D0000}"/>
    <cellStyle name="쉼표 [0] 2 30" xfId="2561" xr:uid="{00000000-0005-0000-0000-00002A0D0000}"/>
    <cellStyle name="쉼표 [0] 2 31" xfId="3855" xr:uid="{00000000-0005-0000-0000-00002B0D0000}"/>
    <cellStyle name="쉼표 [0] 2 32" xfId="3465" xr:uid="{00000000-0005-0000-0000-00002C0D0000}"/>
    <cellStyle name="쉼표 [0] 2 33" xfId="49719" xr:uid="{00000000-0005-0000-0000-00002D0D0000}"/>
    <cellStyle name="쉼표 [0] 2 34" xfId="49739" xr:uid="{00000000-0005-0000-0000-00002E0D0000}"/>
    <cellStyle name="쉼표 [0] 2 4" xfId="15" xr:uid="{00000000-0005-0000-0000-00002F0D0000}"/>
    <cellStyle name="쉼표 [0] 2 4 10" xfId="3585" xr:uid="{00000000-0005-0000-0000-0000300D0000}"/>
    <cellStyle name="쉼표 [0] 2 4 11" xfId="2435" xr:uid="{00000000-0005-0000-0000-0000310D0000}"/>
    <cellStyle name="쉼표 [0] 2 4 12" xfId="3367" xr:uid="{00000000-0005-0000-0000-0000320D0000}"/>
    <cellStyle name="쉼표 [0] 2 4 2" xfId="27" xr:uid="{00000000-0005-0000-0000-0000330D0000}"/>
    <cellStyle name="쉼표 [0] 2 4 2 2" xfId="121" xr:uid="{00000000-0005-0000-0000-0000340D0000}"/>
    <cellStyle name="쉼표 [0] 2 4 2 3" xfId="3988" xr:uid="{00000000-0005-0000-0000-0000350D0000}"/>
    <cellStyle name="쉼표 [0] 2 4 3" xfId="38" xr:uid="{00000000-0005-0000-0000-0000360D0000}"/>
    <cellStyle name="쉼표 [0] 2 4 3 2" xfId="132" xr:uid="{00000000-0005-0000-0000-0000370D0000}"/>
    <cellStyle name="쉼표 [0] 2 4 3 3" xfId="2646" xr:uid="{00000000-0005-0000-0000-0000380D0000}"/>
    <cellStyle name="쉼표 [0] 2 4 4" xfId="52" xr:uid="{00000000-0005-0000-0000-0000390D0000}"/>
    <cellStyle name="쉼표 [0] 2 4 4 2" xfId="146" xr:uid="{00000000-0005-0000-0000-00003A0D0000}"/>
    <cellStyle name="쉼표 [0] 2 4 4 3" xfId="3136" xr:uid="{00000000-0005-0000-0000-00003B0D0000}"/>
    <cellStyle name="쉼표 [0] 2 4 5" xfId="66" xr:uid="{00000000-0005-0000-0000-00003C0D0000}"/>
    <cellStyle name="쉼표 [0] 2 4 5 2" xfId="160" xr:uid="{00000000-0005-0000-0000-00003D0D0000}"/>
    <cellStyle name="쉼표 [0] 2 4 5 3" xfId="2461" xr:uid="{00000000-0005-0000-0000-00003E0D0000}"/>
    <cellStyle name="쉼표 [0] 2 4 6" xfId="109" xr:uid="{00000000-0005-0000-0000-00003F0D0000}"/>
    <cellStyle name="쉼표 [0] 2 4 6 2" xfId="3501" xr:uid="{00000000-0005-0000-0000-0000400D0000}"/>
    <cellStyle name="쉼표 [0] 2 4 7" xfId="2892" xr:uid="{00000000-0005-0000-0000-0000410D0000}"/>
    <cellStyle name="쉼표 [0] 2 4 7 2" xfId="6985" xr:uid="{00000000-0005-0000-0000-0000420D0000}"/>
    <cellStyle name="쉼표 [0] 2 4 8" xfId="2895" xr:uid="{00000000-0005-0000-0000-0000430D0000}"/>
    <cellStyle name="쉼표 [0] 2 4 8 2" xfId="7011" xr:uid="{00000000-0005-0000-0000-0000440D0000}"/>
    <cellStyle name="쉼표 [0] 2 4 9" xfId="2598" xr:uid="{00000000-0005-0000-0000-0000450D0000}"/>
    <cellStyle name="쉼표 [0] 2 5" xfId="19" xr:uid="{00000000-0005-0000-0000-0000460D0000}"/>
    <cellStyle name="쉼표 [0] 2 5 10" xfId="4068" xr:uid="{00000000-0005-0000-0000-0000470D0000}"/>
    <cellStyle name="쉼표 [0] 2 5 11" xfId="4074" xr:uid="{00000000-0005-0000-0000-0000480D0000}"/>
    <cellStyle name="쉼표 [0] 2 5 12" xfId="3101" xr:uid="{00000000-0005-0000-0000-0000490D0000}"/>
    <cellStyle name="쉼표 [0] 2 5 2" xfId="31" xr:uid="{00000000-0005-0000-0000-00004A0D0000}"/>
    <cellStyle name="쉼표 [0] 2 5 2 2" xfId="125" xr:uid="{00000000-0005-0000-0000-00004B0D0000}"/>
    <cellStyle name="쉼표 [0] 2 5 2 3" xfId="4071" xr:uid="{00000000-0005-0000-0000-00004C0D0000}"/>
    <cellStyle name="쉼표 [0] 2 5 3" xfId="42" xr:uid="{00000000-0005-0000-0000-00004D0D0000}"/>
    <cellStyle name="쉼표 [0] 2 5 3 2" xfId="136" xr:uid="{00000000-0005-0000-0000-00004E0D0000}"/>
    <cellStyle name="쉼표 [0] 2 5 3 3" xfId="274" xr:uid="{00000000-0005-0000-0000-00004F0D0000}"/>
    <cellStyle name="쉼표 [0] 2 5 4" xfId="56" xr:uid="{00000000-0005-0000-0000-0000500D0000}"/>
    <cellStyle name="쉼표 [0] 2 5 4 2" xfId="150" xr:uid="{00000000-0005-0000-0000-0000510D0000}"/>
    <cellStyle name="쉼표 [0] 2 5 4 3" xfId="283" xr:uid="{00000000-0005-0000-0000-0000520D0000}"/>
    <cellStyle name="쉼표 [0] 2 5 5" xfId="70" xr:uid="{00000000-0005-0000-0000-0000530D0000}"/>
    <cellStyle name="쉼표 [0] 2 5 5 2" xfId="164" xr:uid="{00000000-0005-0000-0000-0000540D0000}"/>
    <cellStyle name="쉼표 [0] 2 5 5 3" xfId="3338" xr:uid="{00000000-0005-0000-0000-0000550D0000}"/>
    <cellStyle name="쉼표 [0] 2 5 6" xfId="113" xr:uid="{00000000-0005-0000-0000-0000560D0000}"/>
    <cellStyle name="쉼표 [0] 2 5 6 2" xfId="3462" xr:uid="{00000000-0005-0000-0000-0000570D0000}"/>
    <cellStyle name="쉼표 [0] 2 5 7" xfId="4081" xr:uid="{00000000-0005-0000-0000-0000580D0000}"/>
    <cellStyle name="쉼표 [0] 2 5 7 2" xfId="6989" xr:uid="{00000000-0005-0000-0000-0000590D0000}"/>
    <cellStyle name="쉼표 [0] 2 5 8" xfId="3582" xr:uid="{00000000-0005-0000-0000-00005A0D0000}"/>
    <cellStyle name="쉼표 [0] 2 5 8 2" xfId="7015" xr:uid="{00000000-0005-0000-0000-00005B0D0000}"/>
    <cellStyle name="쉼표 [0] 2 5 9" xfId="3932" xr:uid="{00000000-0005-0000-0000-00005C0D0000}"/>
    <cellStyle name="쉼표 [0] 2 6" xfId="95" xr:uid="{00000000-0005-0000-0000-00005D0D0000}"/>
    <cellStyle name="쉼표 [0] 2 6 10" xfId="2791" xr:uid="{00000000-0005-0000-0000-00005E0D0000}"/>
    <cellStyle name="쉼표 [0] 2 6 11" xfId="3346" xr:uid="{00000000-0005-0000-0000-00005F0D0000}"/>
    <cellStyle name="쉼표 [0] 2 6 12" xfId="2859" xr:uid="{00000000-0005-0000-0000-0000600D0000}"/>
    <cellStyle name="쉼표 [0] 2 6 13" xfId="7113" xr:uid="{00000000-0005-0000-0000-0000610D0000}"/>
    <cellStyle name="쉼표 [0] 2 6 14" xfId="48449" xr:uid="{00000000-0005-0000-0000-0000620D0000}"/>
    <cellStyle name="쉼표 [0] 2 6 2" xfId="3348" xr:uid="{00000000-0005-0000-0000-0000630D0000}"/>
    <cellStyle name="쉼표 [0] 2 6 3" xfId="4097" xr:uid="{00000000-0005-0000-0000-0000640D0000}"/>
    <cellStyle name="쉼표 [0] 2 6 4" xfId="3837" xr:uid="{00000000-0005-0000-0000-0000650D0000}"/>
    <cellStyle name="쉼표 [0] 2 6 5" xfId="284" xr:uid="{00000000-0005-0000-0000-0000660D0000}"/>
    <cellStyle name="쉼표 [0] 2 6 6" xfId="2496" xr:uid="{00000000-0005-0000-0000-0000670D0000}"/>
    <cellStyle name="쉼표 [0] 2 6 7" xfId="2956" xr:uid="{00000000-0005-0000-0000-0000680D0000}"/>
    <cellStyle name="쉼표 [0] 2 6 8" xfId="3592" xr:uid="{00000000-0005-0000-0000-0000690D0000}"/>
    <cellStyle name="쉼표 [0] 2 6 9" xfId="2814" xr:uid="{00000000-0005-0000-0000-00006A0D0000}"/>
    <cellStyle name="쉼표 [0] 2 7" xfId="254" xr:uid="{00000000-0005-0000-0000-00006B0D0000}"/>
    <cellStyle name="쉼표 [0] 2 7 2" xfId="3442" xr:uid="{00000000-0005-0000-0000-00006C0D0000}"/>
    <cellStyle name="쉼표 [0] 2 8" xfId="3204" xr:uid="{00000000-0005-0000-0000-00006D0D0000}"/>
    <cellStyle name="쉼표 [0] 2 9" xfId="3686" xr:uid="{00000000-0005-0000-0000-00006E0D0000}"/>
    <cellStyle name="쉼표 [0] 2 9 2" xfId="6374" xr:uid="{00000000-0005-0000-0000-00006F0D0000}"/>
    <cellStyle name="쉼표 [0] 2_업체별" xfId="5106" xr:uid="{00000000-0005-0000-0000-0000700D0000}"/>
    <cellStyle name="쉼표 [0] 20" xfId="83" xr:uid="{00000000-0005-0000-0000-0000710D0000}"/>
    <cellStyle name="쉼표 [0] 20 2" xfId="177" xr:uid="{00000000-0005-0000-0000-0000720D0000}"/>
    <cellStyle name="쉼표 [0] 20 3" xfId="3575" xr:uid="{00000000-0005-0000-0000-0000730D0000}"/>
    <cellStyle name="쉼표 [0] 20 4" xfId="3060" xr:uid="{00000000-0005-0000-0000-0000740D0000}"/>
    <cellStyle name="쉼표 [0] 20 5" xfId="3692" xr:uid="{00000000-0005-0000-0000-0000750D0000}"/>
    <cellStyle name="쉼표 [0] 200" xfId="49234" xr:uid="{00000000-0005-0000-0000-0000760D0000}"/>
    <cellStyle name="쉼표 [0] 201" xfId="49235" xr:uid="{00000000-0005-0000-0000-0000770D0000}"/>
    <cellStyle name="쉼표 [0] 202" xfId="49236" xr:uid="{00000000-0005-0000-0000-0000780D0000}"/>
    <cellStyle name="쉼표 [0] 203" xfId="49237" xr:uid="{00000000-0005-0000-0000-0000790D0000}"/>
    <cellStyle name="쉼표 [0] 204" xfId="49238" xr:uid="{00000000-0005-0000-0000-00007A0D0000}"/>
    <cellStyle name="쉼표 [0] 205" xfId="49239" xr:uid="{00000000-0005-0000-0000-00007B0D0000}"/>
    <cellStyle name="쉼표 [0] 206" xfId="49240" xr:uid="{00000000-0005-0000-0000-00007C0D0000}"/>
    <cellStyle name="쉼표 [0] 207" xfId="48445" xr:uid="{00000000-0005-0000-0000-00007D0D0000}"/>
    <cellStyle name="쉼표 [0] 208" xfId="48446" xr:uid="{00000000-0005-0000-0000-00007E0D0000}"/>
    <cellStyle name="쉼표 [0] 209" xfId="49741" xr:uid="{3D18F606-4333-4A6F-AE6E-CA7A37E37DF6}"/>
    <cellStyle name="쉼표 [0] 21" xfId="19724" xr:uid="{00000000-0005-0000-0000-00007F0D0000}"/>
    <cellStyle name="쉼표 [0] 21 2" xfId="4066" xr:uid="{00000000-0005-0000-0000-0000800D0000}"/>
    <cellStyle name="쉼표 [0] 21 3" xfId="3456" xr:uid="{00000000-0005-0000-0000-0000810D0000}"/>
    <cellStyle name="쉼표 [0] 21 4" xfId="49241" xr:uid="{00000000-0005-0000-0000-0000820D0000}"/>
    <cellStyle name="쉼표 [0] 22" xfId="49242" xr:uid="{00000000-0005-0000-0000-0000830D0000}"/>
    <cellStyle name="쉼표 [0] 22 2" xfId="3571" xr:uid="{00000000-0005-0000-0000-0000840D0000}"/>
    <cellStyle name="쉼표 [0] 22 3" xfId="3891" xr:uid="{00000000-0005-0000-0000-0000850D0000}"/>
    <cellStyle name="쉼표 [0] 23" xfId="92" xr:uid="{00000000-0005-0000-0000-0000860D0000}"/>
    <cellStyle name="쉼표 [0] 23 2" xfId="3400" xr:uid="{00000000-0005-0000-0000-0000870D0000}"/>
    <cellStyle name="쉼표 [0] 23 3" xfId="3729" xr:uid="{00000000-0005-0000-0000-0000880D0000}"/>
    <cellStyle name="쉼표 [0] 23 4" xfId="6342" xr:uid="{00000000-0005-0000-0000-0000890D0000}"/>
    <cellStyle name="쉼표 [0] 23 5" xfId="49243" xr:uid="{00000000-0005-0000-0000-00008A0D0000}"/>
    <cellStyle name="쉼표 [0] 24" xfId="2803" xr:uid="{00000000-0005-0000-0000-00008B0D0000}"/>
    <cellStyle name="쉼표 [0] 24 2" xfId="3885" xr:uid="{00000000-0005-0000-0000-00008C0D0000}"/>
    <cellStyle name="쉼표 [0] 24 3" xfId="3398" xr:uid="{00000000-0005-0000-0000-00008D0D0000}"/>
    <cellStyle name="쉼표 [0] 24 4" xfId="49244" xr:uid="{00000000-0005-0000-0000-00008E0D0000}"/>
    <cellStyle name="쉼표 [0] 25" xfId="49245" xr:uid="{00000000-0005-0000-0000-00008F0D0000}"/>
    <cellStyle name="쉼표 [0] 25 2" xfId="349" xr:uid="{00000000-0005-0000-0000-0000900D0000}"/>
    <cellStyle name="쉼표 [0] 25 2 2" xfId="49722" xr:uid="{00000000-0005-0000-0000-0000910D0000}"/>
    <cellStyle name="쉼표 [0] 25 2 2 10" xfId="49725" xr:uid="{00000000-0005-0000-0000-0000920D0000}"/>
    <cellStyle name="쉼표 [0] 25 3" xfId="2680" xr:uid="{00000000-0005-0000-0000-0000930D0000}"/>
    <cellStyle name="쉼표 [0] 26" xfId="82" xr:uid="{00000000-0005-0000-0000-0000940D0000}"/>
    <cellStyle name="쉼표 [0] 26 2" xfId="176" xr:uid="{00000000-0005-0000-0000-0000950D0000}"/>
    <cellStyle name="쉼표 [0] 26 3" xfId="2458" xr:uid="{00000000-0005-0000-0000-0000960D0000}"/>
    <cellStyle name="쉼표 [0] 27" xfId="49246" xr:uid="{00000000-0005-0000-0000-0000970D0000}"/>
    <cellStyle name="쉼표 [0] 27 2" xfId="3235" xr:uid="{00000000-0005-0000-0000-0000980D0000}"/>
    <cellStyle name="쉼표 [0] 27 3" xfId="2686" xr:uid="{00000000-0005-0000-0000-0000990D0000}"/>
    <cellStyle name="쉼표 [0] 28" xfId="49247" xr:uid="{00000000-0005-0000-0000-00009A0D0000}"/>
    <cellStyle name="쉼표 [0] 28 2" xfId="4015" xr:uid="{00000000-0005-0000-0000-00009B0D0000}"/>
    <cellStyle name="쉼표 [0] 28 3" xfId="3531" xr:uid="{00000000-0005-0000-0000-00009C0D0000}"/>
    <cellStyle name="쉼표 [0] 29" xfId="49248" xr:uid="{00000000-0005-0000-0000-00009D0D0000}"/>
    <cellStyle name="쉼표 [0] 29 2" xfId="382" xr:uid="{00000000-0005-0000-0000-00009E0D0000}"/>
    <cellStyle name="쉼표 [0] 29 3" xfId="3672" xr:uid="{00000000-0005-0000-0000-00009F0D0000}"/>
    <cellStyle name="쉼표 [0] 3" xfId="3" xr:uid="{00000000-0005-0000-0000-0000A00D0000}"/>
    <cellStyle name="쉼표 [0] 3 10" xfId="3867" xr:uid="{00000000-0005-0000-0000-0000A10D0000}"/>
    <cellStyle name="쉼표 [0] 3 11" xfId="49730" xr:uid="{00000000-0005-0000-0000-0000A20D0000}"/>
    <cellStyle name="쉼표 [0] 3 2" xfId="97" xr:uid="{00000000-0005-0000-0000-0000A30D0000}"/>
    <cellStyle name="쉼표 [0] 3 2 2" xfId="256" xr:uid="{00000000-0005-0000-0000-0000A40D0000}"/>
    <cellStyle name="쉼표 [0] 3 2 2 10" xfId="2451" xr:uid="{00000000-0005-0000-0000-0000A50D0000}"/>
    <cellStyle name="쉼표 [0] 3 2 2 11" xfId="3668" xr:uid="{00000000-0005-0000-0000-0000A60D0000}"/>
    <cellStyle name="쉼표 [0] 3 2 2 2" xfId="3537" xr:uid="{00000000-0005-0000-0000-0000A70D0000}"/>
    <cellStyle name="쉼표 [0] 3 2 2 3" xfId="3386" xr:uid="{00000000-0005-0000-0000-0000A80D0000}"/>
    <cellStyle name="쉼표 [0] 3 2 2 4" xfId="4123" xr:uid="{00000000-0005-0000-0000-0000A90D0000}"/>
    <cellStyle name="쉼표 [0] 3 2 2 5" xfId="4112" xr:uid="{00000000-0005-0000-0000-0000AA0D0000}"/>
    <cellStyle name="쉼표 [0] 3 2 2 6" xfId="4244" xr:uid="{00000000-0005-0000-0000-0000AB0D0000}"/>
    <cellStyle name="쉼표 [0] 3 2 2 7" xfId="2905" xr:uid="{00000000-0005-0000-0000-0000AC0D0000}"/>
    <cellStyle name="쉼표 [0] 3 2 2 8" xfId="4126" xr:uid="{00000000-0005-0000-0000-0000AD0D0000}"/>
    <cellStyle name="쉼표 [0] 3 2 2 9" xfId="2901" xr:uid="{00000000-0005-0000-0000-0000AE0D0000}"/>
    <cellStyle name="쉼표 [0] 3 2 3" xfId="3193" xr:uid="{00000000-0005-0000-0000-0000AF0D0000}"/>
    <cellStyle name="쉼표 [0] 3 2 3 10" xfId="3675" xr:uid="{00000000-0005-0000-0000-0000B00D0000}"/>
    <cellStyle name="쉼표 [0] 3 2 3 11" xfId="3671" xr:uid="{00000000-0005-0000-0000-0000B10D0000}"/>
    <cellStyle name="쉼표 [0] 3 2 3 2" xfId="3359" xr:uid="{00000000-0005-0000-0000-0000B20D0000}"/>
    <cellStyle name="쉼표 [0] 3 2 3 3" xfId="4165" xr:uid="{00000000-0005-0000-0000-0000B30D0000}"/>
    <cellStyle name="쉼표 [0] 3 2 3 4" xfId="4162" xr:uid="{00000000-0005-0000-0000-0000B40D0000}"/>
    <cellStyle name="쉼표 [0] 3 2 3 5" xfId="2433" xr:uid="{00000000-0005-0000-0000-0000B50D0000}"/>
    <cellStyle name="쉼표 [0] 3 2 3 6" xfId="2590" xr:uid="{00000000-0005-0000-0000-0000B60D0000}"/>
    <cellStyle name="쉼표 [0] 3 2 3 7" xfId="3920" xr:uid="{00000000-0005-0000-0000-0000B70D0000}"/>
    <cellStyle name="쉼표 [0] 3 2 3 8" xfId="2952" xr:uid="{00000000-0005-0000-0000-0000B80D0000}"/>
    <cellStyle name="쉼표 [0] 3 2 3 9" xfId="4143" xr:uid="{00000000-0005-0000-0000-0000B90D0000}"/>
    <cellStyle name="쉼표 [0] 3 2 4" xfId="3934" xr:uid="{00000000-0005-0000-0000-0000BA0D0000}"/>
    <cellStyle name="쉼표 [0] 3 2 4 10" xfId="3435" xr:uid="{00000000-0005-0000-0000-0000BB0D0000}"/>
    <cellStyle name="쉼표 [0] 3 2 4 11" xfId="4020" xr:uid="{00000000-0005-0000-0000-0000BC0D0000}"/>
    <cellStyle name="쉼표 [0] 3 2 4 2" xfId="4296" xr:uid="{00000000-0005-0000-0000-0000BD0D0000}"/>
    <cellStyle name="쉼표 [0] 3 2 4 3" xfId="3186" xr:uid="{00000000-0005-0000-0000-0000BE0D0000}"/>
    <cellStyle name="쉼표 [0] 3 2 4 4" xfId="3926" xr:uid="{00000000-0005-0000-0000-0000BF0D0000}"/>
    <cellStyle name="쉼표 [0] 3 2 4 5" xfId="2873" xr:uid="{00000000-0005-0000-0000-0000C00D0000}"/>
    <cellStyle name="쉼표 [0] 3 2 4 6" xfId="2689" xr:uid="{00000000-0005-0000-0000-0000C10D0000}"/>
    <cellStyle name="쉼표 [0] 3 2 4 7" xfId="3426" xr:uid="{00000000-0005-0000-0000-0000C20D0000}"/>
    <cellStyle name="쉼표 [0] 3 2 4 8" xfId="3508" xr:uid="{00000000-0005-0000-0000-0000C30D0000}"/>
    <cellStyle name="쉼표 [0] 3 2 4 9" xfId="3169" xr:uid="{00000000-0005-0000-0000-0000C40D0000}"/>
    <cellStyle name="쉼표 [0] 3 2 5" xfId="48421" xr:uid="{00000000-0005-0000-0000-0000C50D0000}"/>
    <cellStyle name="쉼표 [0] 3 2 6" xfId="49671" xr:uid="{00000000-0005-0000-0000-0000C60D0000}"/>
    <cellStyle name="쉼표 [0] 3 2 7" xfId="49735" xr:uid="{00000000-0005-0000-0000-0000C70D0000}"/>
    <cellStyle name="쉼표 [0] 3 3" xfId="3973" xr:uid="{00000000-0005-0000-0000-0000C80D0000}"/>
    <cellStyle name="쉼표 [0] 3 4" xfId="3653" xr:uid="{00000000-0005-0000-0000-0000C90D0000}"/>
    <cellStyle name="쉼표 [0] 3 5" xfId="3755" xr:uid="{00000000-0005-0000-0000-0000CA0D0000}"/>
    <cellStyle name="쉼표 [0] 3 6" xfId="3901" xr:uid="{00000000-0005-0000-0000-0000CB0D0000}"/>
    <cellStyle name="쉼표 [0] 3 7" xfId="3420" xr:uid="{00000000-0005-0000-0000-0000CC0D0000}"/>
    <cellStyle name="쉼표 [0] 3 8" xfId="4247" xr:uid="{00000000-0005-0000-0000-0000CD0D0000}"/>
    <cellStyle name="쉼표 [0] 3 9" xfId="2697" xr:uid="{00000000-0005-0000-0000-0000CE0D0000}"/>
    <cellStyle name="쉼표 [0] 3_업체별" xfId="5107" xr:uid="{00000000-0005-0000-0000-0000CF0D0000}"/>
    <cellStyle name="쉼표 [0] 30" xfId="49249" xr:uid="{00000000-0005-0000-0000-0000D00D0000}"/>
    <cellStyle name="쉼표 [0] 30 2" xfId="3905" xr:uid="{00000000-0005-0000-0000-0000D10D0000}"/>
    <cellStyle name="쉼표 [0] 30 3" xfId="2512" xr:uid="{00000000-0005-0000-0000-0000D20D0000}"/>
    <cellStyle name="쉼표 [0] 31" xfId="49250" xr:uid="{00000000-0005-0000-0000-0000D30D0000}"/>
    <cellStyle name="쉼표 [0] 31 2" xfId="3414" xr:uid="{00000000-0005-0000-0000-0000D40D0000}"/>
    <cellStyle name="쉼표 [0] 31 3" xfId="4211" xr:uid="{00000000-0005-0000-0000-0000D50D0000}"/>
    <cellStyle name="쉼표 [0] 32" xfId="49251" xr:uid="{00000000-0005-0000-0000-0000D60D0000}"/>
    <cellStyle name="쉼표 [0] 32 2" xfId="2747" xr:uid="{00000000-0005-0000-0000-0000D70D0000}"/>
    <cellStyle name="쉼표 [0] 32 3" xfId="2993" xr:uid="{00000000-0005-0000-0000-0000D80D0000}"/>
    <cellStyle name="쉼표 [0] 33" xfId="49252" xr:uid="{00000000-0005-0000-0000-0000D90D0000}"/>
    <cellStyle name="쉼표 [0] 33 2" xfId="3185" xr:uid="{00000000-0005-0000-0000-0000DA0D0000}"/>
    <cellStyle name="쉼표 [0] 33 3" xfId="3231" xr:uid="{00000000-0005-0000-0000-0000DB0D0000}"/>
    <cellStyle name="쉼표 [0] 34" xfId="49253" xr:uid="{00000000-0005-0000-0000-0000DC0D0000}"/>
    <cellStyle name="쉼표 [0] 35" xfId="85" xr:uid="{00000000-0005-0000-0000-0000DD0D0000}"/>
    <cellStyle name="쉼표 [0] 35 2" xfId="312" xr:uid="{00000000-0005-0000-0000-0000DE0D0000}"/>
    <cellStyle name="쉼표 [0] 35 3" xfId="49254" xr:uid="{00000000-0005-0000-0000-0000DF0D0000}"/>
    <cellStyle name="쉼표 [0] 36" xfId="49255" xr:uid="{00000000-0005-0000-0000-0000E00D0000}"/>
    <cellStyle name="쉼표 [0] 37" xfId="49256" xr:uid="{00000000-0005-0000-0000-0000E10D0000}"/>
    <cellStyle name="쉼표 [0] 38" xfId="49257" xr:uid="{00000000-0005-0000-0000-0000E20D0000}"/>
    <cellStyle name="쉼표 [0] 39" xfId="49258" xr:uid="{00000000-0005-0000-0000-0000E30D0000}"/>
    <cellStyle name="쉼표 [0] 4" xfId="4" xr:uid="{00000000-0005-0000-0000-0000E40D0000}"/>
    <cellStyle name="쉼표 [0] 4 10" xfId="4215" xr:uid="{00000000-0005-0000-0000-0000E50D0000}"/>
    <cellStyle name="쉼표 [0] 4 10 2" xfId="6360" xr:uid="{00000000-0005-0000-0000-0000E60D0000}"/>
    <cellStyle name="쉼표 [0] 4 11" xfId="3233" xr:uid="{00000000-0005-0000-0000-0000E70D0000}"/>
    <cellStyle name="쉼표 [0] 4 12" xfId="3046" xr:uid="{00000000-0005-0000-0000-0000E80D0000}"/>
    <cellStyle name="쉼표 [0] 4 13" xfId="4287" xr:uid="{00000000-0005-0000-0000-0000E90D0000}"/>
    <cellStyle name="쉼표 [0] 4 2" xfId="98" xr:uid="{00000000-0005-0000-0000-0000EA0D0000}"/>
    <cellStyle name="쉼표 [0] 4 2 10" xfId="6431" xr:uid="{00000000-0005-0000-0000-0000EB0D0000}"/>
    <cellStyle name="쉼표 [0] 4 2 11" xfId="6351" xr:uid="{00000000-0005-0000-0000-0000EC0D0000}"/>
    <cellStyle name="쉼표 [0] 4 2 12" xfId="5108" xr:uid="{00000000-0005-0000-0000-0000ED0D0000}"/>
    <cellStyle name="쉼표 [0] 4 2 2" xfId="3726" xr:uid="{00000000-0005-0000-0000-0000EE0D0000}"/>
    <cellStyle name="쉼표 [0] 4 2 2 10" xfId="3480" xr:uid="{00000000-0005-0000-0000-0000EF0D0000}"/>
    <cellStyle name="쉼표 [0] 4 2 2 11" xfId="2998" xr:uid="{00000000-0005-0000-0000-0000F00D0000}"/>
    <cellStyle name="쉼표 [0] 4 2 2 2" xfId="3717" xr:uid="{00000000-0005-0000-0000-0000F10D0000}"/>
    <cellStyle name="쉼표 [0] 4 2 2 3" xfId="3733" xr:uid="{00000000-0005-0000-0000-0000F20D0000}"/>
    <cellStyle name="쉼표 [0] 4 2 2 4" xfId="3731" xr:uid="{00000000-0005-0000-0000-0000F30D0000}"/>
    <cellStyle name="쉼표 [0] 4 2 2 5" xfId="3006" xr:uid="{00000000-0005-0000-0000-0000F40D0000}"/>
    <cellStyle name="쉼표 [0] 4 2 2 6" xfId="2836" xr:uid="{00000000-0005-0000-0000-0000F50D0000}"/>
    <cellStyle name="쉼표 [0] 4 2 2 7" xfId="4220" xr:uid="{00000000-0005-0000-0000-0000F60D0000}"/>
    <cellStyle name="쉼표 [0] 4 2 2 8" xfId="3981" xr:uid="{00000000-0005-0000-0000-0000F70D0000}"/>
    <cellStyle name="쉼표 [0] 4 2 2 9" xfId="3004" xr:uid="{00000000-0005-0000-0000-0000F80D0000}"/>
    <cellStyle name="쉼표 [0] 4 2 3" xfId="3131" xr:uid="{00000000-0005-0000-0000-0000F90D0000}"/>
    <cellStyle name="쉼표 [0] 4 2 3 10" xfId="3012" xr:uid="{00000000-0005-0000-0000-0000FA0D0000}"/>
    <cellStyle name="쉼표 [0] 4 2 3 11" xfId="275" xr:uid="{00000000-0005-0000-0000-0000FB0D0000}"/>
    <cellStyle name="쉼표 [0] 4 2 3 2" xfId="3148" xr:uid="{00000000-0005-0000-0000-0000FC0D0000}"/>
    <cellStyle name="쉼표 [0] 4 2 3 3" xfId="2954" xr:uid="{00000000-0005-0000-0000-0000FD0D0000}"/>
    <cellStyle name="쉼표 [0] 4 2 3 4" xfId="3144" xr:uid="{00000000-0005-0000-0000-0000FE0D0000}"/>
    <cellStyle name="쉼표 [0] 4 2 3 5" xfId="3982" xr:uid="{00000000-0005-0000-0000-0000FF0D0000}"/>
    <cellStyle name="쉼표 [0] 4 2 3 6" xfId="3985" xr:uid="{00000000-0005-0000-0000-0000000E0000}"/>
    <cellStyle name="쉼표 [0] 4 2 3 7" xfId="4079" xr:uid="{00000000-0005-0000-0000-0000010E0000}"/>
    <cellStyle name="쉼표 [0] 4 2 3 8" xfId="2612" xr:uid="{00000000-0005-0000-0000-0000020E0000}"/>
    <cellStyle name="쉼표 [0] 4 2 3 9" xfId="2974" xr:uid="{00000000-0005-0000-0000-0000030E0000}"/>
    <cellStyle name="쉼표 [0] 4 2 4" xfId="4063" xr:uid="{00000000-0005-0000-0000-0000040E0000}"/>
    <cellStyle name="쉼표 [0] 4 2 4 10" xfId="3094" xr:uid="{00000000-0005-0000-0000-0000050E0000}"/>
    <cellStyle name="쉼표 [0] 4 2 4 11" xfId="3460" xr:uid="{00000000-0005-0000-0000-0000060E0000}"/>
    <cellStyle name="쉼표 [0] 4 2 4 2" xfId="4067" xr:uid="{00000000-0005-0000-0000-0000070E0000}"/>
    <cellStyle name="쉼표 [0] 4 2 4 3" xfId="3813" xr:uid="{00000000-0005-0000-0000-0000080E0000}"/>
    <cellStyle name="쉼표 [0] 4 2 4 4" xfId="3226" xr:uid="{00000000-0005-0000-0000-0000090E0000}"/>
    <cellStyle name="쉼표 [0] 4 2 4 5" xfId="2499" xr:uid="{00000000-0005-0000-0000-00000A0E0000}"/>
    <cellStyle name="쉼표 [0] 4 2 4 6" xfId="2739" xr:uid="{00000000-0005-0000-0000-00000B0E0000}"/>
    <cellStyle name="쉼표 [0] 4 2 4 7" xfId="3223" xr:uid="{00000000-0005-0000-0000-00000C0E0000}"/>
    <cellStyle name="쉼표 [0] 4 2 4 8" xfId="2743" xr:uid="{00000000-0005-0000-0000-00000D0E0000}"/>
    <cellStyle name="쉼표 [0] 4 2 4 9" xfId="4200" xr:uid="{00000000-0005-0000-0000-00000E0E0000}"/>
    <cellStyle name="쉼표 [0] 4 2 5" xfId="6382" xr:uid="{00000000-0005-0000-0000-00000F0E0000}"/>
    <cellStyle name="쉼표 [0] 4 2 6" xfId="6404" xr:uid="{00000000-0005-0000-0000-0000100E0000}"/>
    <cellStyle name="쉼표 [0] 4 2 7" xfId="6378" xr:uid="{00000000-0005-0000-0000-0000110E0000}"/>
    <cellStyle name="쉼표 [0] 4 2 8" xfId="6429" xr:uid="{00000000-0005-0000-0000-0000120E0000}"/>
    <cellStyle name="쉼표 [0] 4 2 9" xfId="6362" xr:uid="{00000000-0005-0000-0000-0000130E0000}"/>
    <cellStyle name="쉼표 [0] 4 3" xfId="3713" xr:uid="{00000000-0005-0000-0000-0000140E0000}"/>
    <cellStyle name="쉼표 [0] 4 3 2" xfId="5109" xr:uid="{00000000-0005-0000-0000-0000150E0000}"/>
    <cellStyle name="쉼표 [0] 4 4" xfId="3576" xr:uid="{00000000-0005-0000-0000-0000160E0000}"/>
    <cellStyle name="쉼표 [0] 4 5" xfId="3620" xr:uid="{00000000-0005-0000-0000-0000170E0000}"/>
    <cellStyle name="쉼표 [0] 4 5 2" xfId="6408" xr:uid="{00000000-0005-0000-0000-0000180E0000}"/>
    <cellStyle name="쉼표 [0] 4 6" xfId="3167" xr:uid="{00000000-0005-0000-0000-0000190E0000}"/>
    <cellStyle name="쉼표 [0] 4 6 2" xfId="6380" xr:uid="{00000000-0005-0000-0000-00001A0E0000}"/>
    <cellStyle name="쉼표 [0] 4 7" xfId="3642" xr:uid="{00000000-0005-0000-0000-00001B0E0000}"/>
    <cellStyle name="쉼표 [0] 4 8" xfId="2679" xr:uid="{00000000-0005-0000-0000-00001C0E0000}"/>
    <cellStyle name="쉼표 [0] 4 9" xfId="2848" xr:uid="{00000000-0005-0000-0000-00001D0E0000}"/>
    <cellStyle name="쉼표 [0] 4 9 2" xfId="6430" xr:uid="{00000000-0005-0000-0000-00001E0E0000}"/>
    <cellStyle name="쉼표 [0] 40" xfId="49259" xr:uid="{00000000-0005-0000-0000-00001F0E0000}"/>
    <cellStyle name="쉼표 [0] 41" xfId="49260" xr:uid="{00000000-0005-0000-0000-0000200E0000}"/>
    <cellStyle name="쉼표 [0] 42" xfId="49261" xr:uid="{00000000-0005-0000-0000-0000210E0000}"/>
    <cellStyle name="쉼표 [0] 43" xfId="49262" xr:uid="{00000000-0005-0000-0000-0000220E0000}"/>
    <cellStyle name="쉼표 [0] 44" xfId="49263" xr:uid="{00000000-0005-0000-0000-0000230E0000}"/>
    <cellStyle name="쉼표 [0] 45" xfId="49264" xr:uid="{00000000-0005-0000-0000-0000240E0000}"/>
    <cellStyle name="쉼표 [0] 46" xfId="49265" xr:uid="{00000000-0005-0000-0000-0000250E0000}"/>
    <cellStyle name="쉼표 [0] 47" xfId="49266" xr:uid="{00000000-0005-0000-0000-0000260E0000}"/>
    <cellStyle name="쉼표 [0] 48" xfId="49267" xr:uid="{00000000-0005-0000-0000-0000270E0000}"/>
    <cellStyle name="쉼표 [0] 49" xfId="49268" xr:uid="{00000000-0005-0000-0000-0000280E0000}"/>
    <cellStyle name="쉼표 [0] 5" xfId="178" xr:uid="{00000000-0005-0000-0000-0000290E0000}"/>
    <cellStyle name="쉼표 [0] 5 10" xfId="2426" xr:uid="{00000000-0005-0000-0000-00002A0E0000}"/>
    <cellStyle name="쉼표 [0] 5 10 2" xfId="6427" xr:uid="{00000000-0005-0000-0000-00002B0E0000}"/>
    <cellStyle name="쉼표 [0] 5 11" xfId="2485" xr:uid="{00000000-0005-0000-0000-00002C0E0000}"/>
    <cellStyle name="쉼표 [0] 5 11 2" xfId="6354" xr:uid="{00000000-0005-0000-0000-00002D0E0000}"/>
    <cellStyle name="쉼표 [0] 5 12" xfId="2603" xr:uid="{00000000-0005-0000-0000-00002E0E0000}"/>
    <cellStyle name="쉼표 [0] 5 13" xfId="2889" xr:uid="{00000000-0005-0000-0000-00002F0E0000}"/>
    <cellStyle name="쉼표 [0] 5 14" xfId="3825" xr:uid="{00000000-0005-0000-0000-0000300E0000}"/>
    <cellStyle name="쉼표 [0] 5 15" xfId="2483" xr:uid="{00000000-0005-0000-0000-0000310E0000}"/>
    <cellStyle name="쉼표 [0] 5 16" xfId="32013" xr:uid="{00000000-0005-0000-0000-0000320E0000}"/>
    <cellStyle name="쉼표 [0] 5 17" xfId="40224" xr:uid="{00000000-0005-0000-0000-0000330E0000}"/>
    <cellStyle name="쉼표 [0] 5 18" xfId="48417" xr:uid="{00000000-0005-0000-0000-0000340E0000}"/>
    <cellStyle name="쉼표 [0] 5 19" xfId="48447" xr:uid="{00000000-0005-0000-0000-0000350E0000}"/>
    <cellStyle name="쉼표 [0] 5 2" xfId="4055" xr:uid="{00000000-0005-0000-0000-0000360E0000}"/>
    <cellStyle name="쉼표 [0] 5 2 10" xfId="6426" xr:uid="{00000000-0005-0000-0000-0000370E0000}"/>
    <cellStyle name="쉼표 [0] 5 2 11" xfId="6358" xr:uid="{00000000-0005-0000-0000-0000380E0000}"/>
    <cellStyle name="쉼표 [0] 5 2 2" xfId="5110" xr:uid="{00000000-0005-0000-0000-0000390E0000}"/>
    <cellStyle name="쉼표 [0] 5 2 3" xfId="6391" xr:uid="{00000000-0005-0000-0000-00003A0E0000}"/>
    <cellStyle name="쉼표 [0] 5 2 4" xfId="6407" xr:uid="{00000000-0005-0000-0000-00003B0E0000}"/>
    <cellStyle name="쉼표 [0] 5 2 5" xfId="6385" xr:uid="{00000000-0005-0000-0000-00003C0E0000}"/>
    <cellStyle name="쉼표 [0] 5 2 6" xfId="6400" xr:uid="{00000000-0005-0000-0000-00003D0E0000}"/>
    <cellStyle name="쉼표 [0] 5 2 7" xfId="6386" xr:uid="{00000000-0005-0000-0000-00003E0E0000}"/>
    <cellStyle name="쉼표 [0] 5 2 8" xfId="6428" xr:uid="{00000000-0005-0000-0000-00003F0E0000}"/>
    <cellStyle name="쉼표 [0] 5 2 9" xfId="6366" xr:uid="{00000000-0005-0000-0000-0000400E0000}"/>
    <cellStyle name="쉼표 [0] 5 3" xfId="3087" xr:uid="{00000000-0005-0000-0000-0000410E0000}"/>
    <cellStyle name="쉼표 [0] 5 4" xfId="3191" xr:uid="{00000000-0005-0000-0000-0000420E0000}"/>
    <cellStyle name="쉼표 [0] 5 5" xfId="3815" xr:uid="{00000000-0005-0000-0000-0000430E0000}"/>
    <cellStyle name="쉼표 [0] 5 5 2" xfId="6384" xr:uid="{00000000-0005-0000-0000-0000440E0000}"/>
    <cellStyle name="쉼표 [0] 5 6" xfId="2828" xr:uid="{00000000-0005-0000-0000-0000450E0000}"/>
    <cellStyle name="쉼표 [0] 5 6 2" xfId="6402" xr:uid="{00000000-0005-0000-0000-0000460E0000}"/>
    <cellStyle name="쉼표 [0] 5 7" xfId="3090" xr:uid="{00000000-0005-0000-0000-0000470E0000}"/>
    <cellStyle name="쉼표 [0] 5 8" xfId="4203" xr:uid="{00000000-0005-0000-0000-0000480E0000}"/>
    <cellStyle name="쉼표 [0] 5 9" xfId="2790" xr:uid="{00000000-0005-0000-0000-0000490E0000}"/>
    <cellStyle name="쉼표 [0] 5 9 2" xfId="6365" xr:uid="{00000000-0005-0000-0000-00004A0E0000}"/>
    <cellStyle name="쉼표 [0] 50" xfId="49269" xr:uid="{00000000-0005-0000-0000-00004B0E0000}"/>
    <cellStyle name="쉼표 [0] 51" xfId="49270" xr:uid="{00000000-0005-0000-0000-00004C0E0000}"/>
    <cellStyle name="쉼표 [0] 52" xfId="49271" xr:uid="{00000000-0005-0000-0000-00004D0E0000}"/>
    <cellStyle name="쉼표 [0] 53" xfId="49272" xr:uid="{00000000-0005-0000-0000-00004E0E0000}"/>
    <cellStyle name="쉼표 [0] 54" xfId="49273" xr:uid="{00000000-0005-0000-0000-00004F0E0000}"/>
    <cellStyle name="쉼표 [0] 55" xfId="49274" xr:uid="{00000000-0005-0000-0000-0000500E0000}"/>
    <cellStyle name="쉼표 [0] 56" xfId="49275" xr:uid="{00000000-0005-0000-0000-0000510E0000}"/>
    <cellStyle name="쉼표 [0] 57" xfId="49276" xr:uid="{00000000-0005-0000-0000-0000520E0000}"/>
    <cellStyle name="쉼표 [0] 58" xfId="49277" xr:uid="{00000000-0005-0000-0000-0000530E0000}"/>
    <cellStyle name="쉼표 [0] 59" xfId="49278" xr:uid="{00000000-0005-0000-0000-0000540E0000}"/>
    <cellStyle name="쉼표 [0] 6" xfId="3764" xr:uid="{00000000-0005-0000-0000-0000550E0000}"/>
    <cellStyle name="쉼표 [0] 6 10" xfId="49279" xr:uid="{00000000-0005-0000-0000-0000560E0000}"/>
    <cellStyle name="쉼표 [0] 6 2" xfId="3760" xr:uid="{00000000-0005-0000-0000-0000570E0000}"/>
    <cellStyle name="쉼표 [0] 6 3" xfId="3276" xr:uid="{00000000-0005-0000-0000-0000580E0000}"/>
    <cellStyle name="쉼표 [0] 6 4" xfId="350" xr:uid="{00000000-0005-0000-0000-0000590E0000}"/>
    <cellStyle name="쉼표 [0] 6 5" xfId="4252" xr:uid="{00000000-0005-0000-0000-00005A0E0000}"/>
    <cellStyle name="쉼표 [0] 6 6" xfId="4224" xr:uid="{00000000-0005-0000-0000-00005B0E0000}"/>
    <cellStyle name="쉼표 [0] 6 7" xfId="4261" xr:uid="{00000000-0005-0000-0000-00005C0E0000}"/>
    <cellStyle name="쉼표 [0] 6 8" xfId="32031" xr:uid="{00000000-0005-0000-0000-00005D0E0000}"/>
    <cellStyle name="쉼표 [0] 6 9" xfId="48419" xr:uid="{00000000-0005-0000-0000-00005E0E0000}"/>
    <cellStyle name="쉼표 [0] 60" xfId="49280" xr:uid="{00000000-0005-0000-0000-00005F0E0000}"/>
    <cellStyle name="쉼표 [0] 61" xfId="49281" xr:uid="{00000000-0005-0000-0000-0000600E0000}"/>
    <cellStyle name="쉼표 [0] 62" xfId="49282" xr:uid="{00000000-0005-0000-0000-0000610E0000}"/>
    <cellStyle name="쉼표 [0] 63" xfId="49283" xr:uid="{00000000-0005-0000-0000-0000620E0000}"/>
    <cellStyle name="쉼표 [0] 64" xfId="49284" xr:uid="{00000000-0005-0000-0000-0000630E0000}"/>
    <cellStyle name="쉼표 [0] 65" xfId="49285" xr:uid="{00000000-0005-0000-0000-0000640E0000}"/>
    <cellStyle name="쉼표 [0] 66" xfId="49286" xr:uid="{00000000-0005-0000-0000-0000650E0000}"/>
    <cellStyle name="쉼표 [0] 67" xfId="49287" xr:uid="{00000000-0005-0000-0000-0000660E0000}"/>
    <cellStyle name="쉼표 [0] 68" xfId="49288" xr:uid="{00000000-0005-0000-0000-0000670E0000}"/>
    <cellStyle name="쉼표 [0] 69" xfId="49289" xr:uid="{00000000-0005-0000-0000-0000680E0000}"/>
    <cellStyle name="쉼표 [0] 7" xfId="4014" xr:uid="{00000000-0005-0000-0000-0000690E0000}"/>
    <cellStyle name="쉼표 [0] 7 10" xfId="3043" xr:uid="{00000000-0005-0000-0000-00006A0E0000}"/>
    <cellStyle name="쉼표 [0] 7 11" xfId="49290" xr:uid="{00000000-0005-0000-0000-00006B0E0000}"/>
    <cellStyle name="쉼표 [0] 7 2" xfId="3392" xr:uid="{00000000-0005-0000-0000-00006C0E0000}"/>
    <cellStyle name="쉼표 [0] 7 3" xfId="3768" xr:uid="{00000000-0005-0000-0000-00006D0E0000}"/>
    <cellStyle name="쉼표 [0] 7 4" xfId="3526" xr:uid="{00000000-0005-0000-0000-00006E0E0000}"/>
    <cellStyle name="쉼표 [0] 7 5" xfId="3515" xr:uid="{00000000-0005-0000-0000-00006F0E0000}"/>
    <cellStyle name="쉼표 [0] 7 6" xfId="4226" xr:uid="{00000000-0005-0000-0000-0000700E0000}"/>
    <cellStyle name="쉼표 [0] 7 7" xfId="2765" xr:uid="{00000000-0005-0000-0000-0000710E0000}"/>
    <cellStyle name="쉼표 [0] 7 8" xfId="3743" xr:uid="{00000000-0005-0000-0000-0000720E0000}"/>
    <cellStyle name="쉼표 [0] 7 9" xfId="3189" xr:uid="{00000000-0005-0000-0000-0000730E0000}"/>
    <cellStyle name="쉼표 [0] 70" xfId="49291" xr:uid="{00000000-0005-0000-0000-0000740E0000}"/>
    <cellStyle name="쉼표 [0] 71" xfId="49292" xr:uid="{00000000-0005-0000-0000-0000750E0000}"/>
    <cellStyle name="쉼표 [0] 72" xfId="49293" xr:uid="{00000000-0005-0000-0000-0000760E0000}"/>
    <cellStyle name="쉼표 [0] 73" xfId="49294" xr:uid="{00000000-0005-0000-0000-0000770E0000}"/>
    <cellStyle name="쉼표 [0] 74" xfId="49295" xr:uid="{00000000-0005-0000-0000-0000780E0000}"/>
    <cellStyle name="쉼표 [0] 75" xfId="49296" xr:uid="{00000000-0005-0000-0000-0000790E0000}"/>
    <cellStyle name="쉼표 [0] 76" xfId="49297" xr:uid="{00000000-0005-0000-0000-00007A0E0000}"/>
    <cellStyle name="쉼표 [0] 77" xfId="49298" xr:uid="{00000000-0005-0000-0000-00007B0E0000}"/>
    <cellStyle name="쉼표 [0] 78" xfId="49299" xr:uid="{00000000-0005-0000-0000-00007C0E0000}"/>
    <cellStyle name="쉼표 [0] 79" xfId="49300" xr:uid="{00000000-0005-0000-0000-00007D0E0000}"/>
    <cellStyle name="쉼표 [0] 8" xfId="4236" xr:uid="{00000000-0005-0000-0000-00007E0E0000}"/>
    <cellStyle name="쉼표 [0] 8 10" xfId="3145" xr:uid="{00000000-0005-0000-0000-00007F0E0000}"/>
    <cellStyle name="쉼표 [0] 8 11" xfId="3263" xr:uid="{00000000-0005-0000-0000-0000800E0000}"/>
    <cellStyle name="쉼표 [0] 8 12" xfId="49301" xr:uid="{00000000-0005-0000-0000-0000810E0000}"/>
    <cellStyle name="쉼표 [0] 8 2" xfId="2781" xr:uid="{00000000-0005-0000-0000-0000820E0000}"/>
    <cellStyle name="쉼표 [0] 8 3" xfId="4239" xr:uid="{00000000-0005-0000-0000-0000830E0000}"/>
    <cellStyle name="쉼표 [0] 8 4" xfId="2546" xr:uid="{00000000-0005-0000-0000-0000840E0000}"/>
    <cellStyle name="쉼표 [0] 8 5" xfId="3940" xr:uid="{00000000-0005-0000-0000-0000850E0000}"/>
    <cellStyle name="쉼표 [0] 8 6" xfId="3268" xr:uid="{00000000-0005-0000-0000-0000860E0000}"/>
    <cellStyle name="쉼표 [0] 8 7" xfId="3871" xr:uid="{00000000-0005-0000-0000-0000870E0000}"/>
    <cellStyle name="쉼표 [0] 8 8" xfId="2548" xr:uid="{00000000-0005-0000-0000-0000880E0000}"/>
    <cellStyle name="쉼표 [0] 8 9" xfId="3509" xr:uid="{00000000-0005-0000-0000-0000890E0000}"/>
    <cellStyle name="쉼표 [0] 80" xfId="49302" xr:uid="{00000000-0005-0000-0000-00008A0E0000}"/>
    <cellStyle name="쉼표 [0] 81" xfId="49303" xr:uid="{00000000-0005-0000-0000-00008B0E0000}"/>
    <cellStyle name="쉼표 [0] 82" xfId="49304" xr:uid="{00000000-0005-0000-0000-00008C0E0000}"/>
    <cellStyle name="쉼표 [0] 83" xfId="49305" xr:uid="{00000000-0005-0000-0000-00008D0E0000}"/>
    <cellStyle name="쉼표 [0] 84" xfId="49306" xr:uid="{00000000-0005-0000-0000-00008E0E0000}"/>
    <cellStyle name="쉼표 [0] 85" xfId="49307" xr:uid="{00000000-0005-0000-0000-00008F0E0000}"/>
    <cellStyle name="쉼표 [0] 86" xfId="49308" xr:uid="{00000000-0005-0000-0000-0000900E0000}"/>
    <cellStyle name="쉼표 [0] 87" xfId="49309" xr:uid="{00000000-0005-0000-0000-0000910E0000}"/>
    <cellStyle name="쉼표 [0] 88" xfId="49310" xr:uid="{00000000-0005-0000-0000-0000920E0000}"/>
    <cellStyle name="쉼표 [0] 89" xfId="49311" xr:uid="{00000000-0005-0000-0000-0000930E0000}"/>
    <cellStyle name="쉼표 [0] 9" xfId="2786" xr:uid="{00000000-0005-0000-0000-0000940E0000}"/>
    <cellStyle name="쉼표 [0] 9 2" xfId="3412" xr:uid="{00000000-0005-0000-0000-0000950E0000}"/>
    <cellStyle name="쉼표 [0] 9 3" xfId="2468" xr:uid="{00000000-0005-0000-0000-0000960E0000}"/>
    <cellStyle name="쉼표 [0] 9 4" xfId="2825" xr:uid="{00000000-0005-0000-0000-0000970E0000}"/>
    <cellStyle name="쉼표 [0] 9 5" xfId="3551" xr:uid="{00000000-0005-0000-0000-0000980E0000}"/>
    <cellStyle name="쉼표 [0] 9 6" xfId="3138" xr:uid="{00000000-0005-0000-0000-0000990E0000}"/>
    <cellStyle name="쉼표 [0] 9 7" xfId="3066" xr:uid="{00000000-0005-0000-0000-00009A0E0000}"/>
    <cellStyle name="쉼표 [0] 9 8" xfId="2775" xr:uid="{00000000-0005-0000-0000-00009B0E0000}"/>
    <cellStyle name="쉼표 [0] 9 9" xfId="49312" xr:uid="{00000000-0005-0000-0000-00009C0E0000}"/>
    <cellStyle name="쉼표 [0] 90" xfId="49313" xr:uid="{00000000-0005-0000-0000-00009D0E0000}"/>
    <cellStyle name="쉼표 [0] 91" xfId="49314" xr:uid="{00000000-0005-0000-0000-00009E0E0000}"/>
    <cellStyle name="쉼표 [0] 92" xfId="49315" xr:uid="{00000000-0005-0000-0000-00009F0E0000}"/>
    <cellStyle name="쉼표 [0] 93" xfId="49316" xr:uid="{00000000-0005-0000-0000-0000A00E0000}"/>
    <cellStyle name="쉼표 [0] 94" xfId="49317" xr:uid="{00000000-0005-0000-0000-0000A10E0000}"/>
    <cellStyle name="쉼표 [0] 95" xfId="49318" xr:uid="{00000000-0005-0000-0000-0000A20E0000}"/>
    <cellStyle name="쉼표 [0] 96" xfId="49319" xr:uid="{00000000-0005-0000-0000-0000A30E0000}"/>
    <cellStyle name="쉼표 [0] 97" xfId="49320" xr:uid="{00000000-0005-0000-0000-0000A40E0000}"/>
    <cellStyle name="쉼표 [0] 98" xfId="49321" xr:uid="{00000000-0005-0000-0000-0000A50E0000}"/>
    <cellStyle name="쉼표 [0] 99" xfId="49322" xr:uid="{00000000-0005-0000-0000-0000A60E0000}"/>
    <cellStyle name="쉼표 10" xfId="49323" xr:uid="{00000000-0005-0000-0000-0000A70E0000}"/>
    <cellStyle name="쉼표 11" xfId="49324" xr:uid="{00000000-0005-0000-0000-0000A80E0000}"/>
    <cellStyle name="쉼표 12" xfId="49325" xr:uid="{00000000-0005-0000-0000-0000A90E0000}"/>
    <cellStyle name="쉼표 13" xfId="49326" xr:uid="{00000000-0005-0000-0000-0000AA0E0000}"/>
    <cellStyle name="쉼표 14" xfId="49327" xr:uid="{00000000-0005-0000-0000-0000AB0E0000}"/>
    <cellStyle name="쉼표 15" xfId="49328" xr:uid="{00000000-0005-0000-0000-0000AC0E0000}"/>
    <cellStyle name="쉼표 16" xfId="49329" xr:uid="{00000000-0005-0000-0000-0000AD0E0000}"/>
    <cellStyle name="쉼표 17" xfId="49330" xr:uid="{00000000-0005-0000-0000-0000AE0E0000}"/>
    <cellStyle name="쉼표 18" xfId="49331" xr:uid="{00000000-0005-0000-0000-0000AF0E0000}"/>
    <cellStyle name="쉼표 19" xfId="49332" xr:uid="{00000000-0005-0000-0000-0000B00E0000}"/>
    <cellStyle name="쉼표 2" xfId="49333" xr:uid="{00000000-0005-0000-0000-0000B10E0000}"/>
    <cellStyle name="쉼표 20" xfId="49334" xr:uid="{00000000-0005-0000-0000-0000B20E0000}"/>
    <cellStyle name="쉼표 21" xfId="49335" xr:uid="{00000000-0005-0000-0000-0000B30E0000}"/>
    <cellStyle name="쉼표 22" xfId="49336" xr:uid="{00000000-0005-0000-0000-0000B40E0000}"/>
    <cellStyle name="쉼표 23" xfId="49337" xr:uid="{00000000-0005-0000-0000-0000B50E0000}"/>
    <cellStyle name="쉼표 24" xfId="49338" xr:uid="{00000000-0005-0000-0000-0000B60E0000}"/>
    <cellStyle name="쉼표 25" xfId="49339" xr:uid="{00000000-0005-0000-0000-0000B70E0000}"/>
    <cellStyle name="쉼표 26" xfId="49340" xr:uid="{00000000-0005-0000-0000-0000B80E0000}"/>
    <cellStyle name="쉼표 27" xfId="49341" xr:uid="{00000000-0005-0000-0000-0000B90E0000}"/>
    <cellStyle name="쉼표 28" xfId="49342" xr:uid="{00000000-0005-0000-0000-0000BA0E0000}"/>
    <cellStyle name="쉼표 29" xfId="49343" xr:uid="{00000000-0005-0000-0000-0000BB0E0000}"/>
    <cellStyle name="쉼표 3" xfId="49344" xr:uid="{00000000-0005-0000-0000-0000BC0E0000}"/>
    <cellStyle name="쉼표 30" xfId="49345" xr:uid="{00000000-0005-0000-0000-0000BD0E0000}"/>
    <cellStyle name="쉼표 31" xfId="49346" xr:uid="{00000000-0005-0000-0000-0000BE0E0000}"/>
    <cellStyle name="쉼표 32" xfId="49347" xr:uid="{00000000-0005-0000-0000-0000BF0E0000}"/>
    <cellStyle name="쉼표 33" xfId="49348" xr:uid="{00000000-0005-0000-0000-0000C00E0000}"/>
    <cellStyle name="쉼표 34" xfId="49349" xr:uid="{00000000-0005-0000-0000-0000C10E0000}"/>
    <cellStyle name="쉼표 35" xfId="49350" xr:uid="{00000000-0005-0000-0000-0000C20E0000}"/>
    <cellStyle name="쉼표 36" xfId="49351" xr:uid="{00000000-0005-0000-0000-0000C30E0000}"/>
    <cellStyle name="쉼표 37" xfId="49352" xr:uid="{00000000-0005-0000-0000-0000C40E0000}"/>
    <cellStyle name="쉼표 38" xfId="49353" xr:uid="{00000000-0005-0000-0000-0000C50E0000}"/>
    <cellStyle name="쉼표 39" xfId="49354" xr:uid="{00000000-0005-0000-0000-0000C60E0000}"/>
    <cellStyle name="쉼표 4" xfId="49355" xr:uid="{00000000-0005-0000-0000-0000C70E0000}"/>
    <cellStyle name="쉼표 40" xfId="49356" xr:uid="{00000000-0005-0000-0000-0000C80E0000}"/>
    <cellStyle name="쉼표 41" xfId="49357" xr:uid="{00000000-0005-0000-0000-0000C90E0000}"/>
    <cellStyle name="쉼표 42" xfId="49358" xr:uid="{00000000-0005-0000-0000-0000CA0E0000}"/>
    <cellStyle name="쉼표 43" xfId="49359" xr:uid="{00000000-0005-0000-0000-0000CB0E0000}"/>
    <cellStyle name="쉼표 44" xfId="49360" xr:uid="{00000000-0005-0000-0000-0000CC0E0000}"/>
    <cellStyle name="쉼표 45" xfId="49361" xr:uid="{00000000-0005-0000-0000-0000CD0E0000}"/>
    <cellStyle name="쉼표 46" xfId="49668" xr:uid="{00000000-0005-0000-0000-0000CE0E0000}"/>
    <cellStyle name="쉼표 47" xfId="49666" xr:uid="{00000000-0005-0000-0000-0000CF0E0000}"/>
    <cellStyle name="쉼표 48" xfId="49669" xr:uid="{00000000-0005-0000-0000-0000D00E0000}"/>
    <cellStyle name="쉼표 49" xfId="49670" xr:uid="{00000000-0005-0000-0000-0000D10E0000}"/>
    <cellStyle name="쉼표 5" xfId="49362" xr:uid="{00000000-0005-0000-0000-0000D20E0000}"/>
    <cellStyle name="쉼표 50" xfId="49660" xr:uid="{00000000-0005-0000-0000-0000D30E0000}"/>
    <cellStyle name="쉼표 51" xfId="49664" xr:uid="{00000000-0005-0000-0000-0000D40E0000}"/>
    <cellStyle name="쉼표 52" xfId="49661" xr:uid="{00000000-0005-0000-0000-0000D50E0000}"/>
    <cellStyle name="쉼표 53" xfId="49662" xr:uid="{00000000-0005-0000-0000-0000D60E0000}"/>
    <cellStyle name="쉼표 54" xfId="49663" xr:uid="{00000000-0005-0000-0000-0000D70E0000}"/>
    <cellStyle name="쉼표 55" xfId="49665" xr:uid="{00000000-0005-0000-0000-0000D80E0000}"/>
    <cellStyle name="쉼표 56" xfId="49676" xr:uid="{00000000-0005-0000-0000-0000D90E0000}"/>
    <cellStyle name="쉼표 57" xfId="49672" xr:uid="{00000000-0005-0000-0000-0000DA0E0000}"/>
    <cellStyle name="쉼표 58" xfId="49667" xr:uid="{00000000-0005-0000-0000-0000DB0E0000}"/>
    <cellStyle name="쉼표 59" xfId="49675" xr:uid="{00000000-0005-0000-0000-0000DC0E0000}"/>
    <cellStyle name="쉼표 6" xfId="49363" xr:uid="{00000000-0005-0000-0000-0000DD0E0000}"/>
    <cellStyle name="쉼표 60" xfId="49673" xr:uid="{00000000-0005-0000-0000-0000DE0E0000}"/>
    <cellStyle name="쉼표 61" xfId="49677" xr:uid="{00000000-0005-0000-0000-0000DF0E0000}"/>
    <cellStyle name="쉼표 62" xfId="49678" xr:uid="{00000000-0005-0000-0000-0000E00E0000}"/>
    <cellStyle name="쉼표 63" xfId="49680" xr:uid="{00000000-0005-0000-0000-0000E10E0000}"/>
    <cellStyle name="쉼표 64" xfId="49681" xr:uid="{00000000-0005-0000-0000-0000E20E0000}"/>
    <cellStyle name="쉼표 65" xfId="49684" xr:uid="{00000000-0005-0000-0000-0000E30E0000}"/>
    <cellStyle name="쉼표 66" xfId="49679" xr:uid="{00000000-0005-0000-0000-0000E40E0000}"/>
    <cellStyle name="쉼표 67" xfId="49682" xr:uid="{00000000-0005-0000-0000-0000E50E0000}"/>
    <cellStyle name="쉼표 68" xfId="49683" xr:uid="{00000000-0005-0000-0000-0000E60E0000}"/>
    <cellStyle name="쉼표 69" xfId="49685" xr:uid="{00000000-0005-0000-0000-0000E70E0000}"/>
    <cellStyle name="쉼표 7" xfId="49364" xr:uid="{00000000-0005-0000-0000-0000E80E0000}"/>
    <cellStyle name="쉼표 70" xfId="49686" xr:uid="{00000000-0005-0000-0000-0000E90E0000}"/>
    <cellStyle name="쉼표 8" xfId="49365" xr:uid="{00000000-0005-0000-0000-0000EA0E0000}"/>
    <cellStyle name="쉼표 9" xfId="49366" xr:uid="{00000000-0005-0000-0000-0000EB0E0000}"/>
    <cellStyle name="스타일 1" xfId="257" xr:uid="{00000000-0005-0000-0000-0000EC0E0000}"/>
    <cellStyle name="스타일 1 10" xfId="49367" xr:uid="{00000000-0005-0000-0000-0000ED0E0000}"/>
    <cellStyle name="스타일 1 11" xfId="49368" xr:uid="{00000000-0005-0000-0000-0000EE0E0000}"/>
    <cellStyle name="스타일 1 12" xfId="49369" xr:uid="{00000000-0005-0000-0000-0000EF0E0000}"/>
    <cellStyle name="스타일 1 13" xfId="49370" xr:uid="{00000000-0005-0000-0000-0000F00E0000}"/>
    <cellStyle name="스타일 1 14" xfId="49371" xr:uid="{00000000-0005-0000-0000-0000F10E0000}"/>
    <cellStyle name="스타일 1 15" xfId="49372" xr:uid="{00000000-0005-0000-0000-0000F20E0000}"/>
    <cellStyle name="스타일 1 16" xfId="49373" xr:uid="{00000000-0005-0000-0000-0000F30E0000}"/>
    <cellStyle name="스타일 1 17" xfId="49374" xr:uid="{00000000-0005-0000-0000-0000F40E0000}"/>
    <cellStyle name="스타일 1 18" xfId="49375" xr:uid="{00000000-0005-0000-0000-0000F50E0000}"/>
    <cellStyle name="스타일 1 19" xfId="49376" xr:uid="{00000000-0005-0000-0000-0000F60E0000}"/>
    <cellStyle name="스타일 1 2" xfId="49377" xr:uid="{00000000-0005-0000-0000-0000F70E0000}"/>
    <cellStyle name="스타일 1 20" xfId="49378" xr:uid="{00000000-0005-0000-0000-0000F80E0000}"/>
    <cellStyle name="스타일 1 21" xfId="49379" xr:uid="{00000000-0005-0000-0000-0000F90E0000}"/>
    <cellStyle name="스타일 1 22" xfId="49380" xr:uid="{00000000-0005-0000-0000-0000FA0E0000}"/>
    <cellStyle name="스타일 1 23" xfId="49381" xr:uid="{00000000-0005-0000-0000-0000FB0E0000}"/>
    <cellStyle name="스타일 1 24" xfId="49382" xr:uid="{00000000-0005-0000-0000-0000FC0E0000}"/>
    <cellStyle name="스타일 1 25" xfId="49383" xr:uid="{00000000-0005-0000-0000-0000FD0E0000}"/>
    <cellStyle name="스타일 1 26" xfId="49384" xr:uid="{00000000-0005-0000-0000-0000FE0E0000}"/>
    <cellStyle name="스타일 1 27" xfId="49385" xr:uid="{00000000-0005-0000-0000-0000FF0E0000}"/>
    <cellStyle name="스타일 1 28" xfId="49386" xr:uid="{00000000-0005-0000-0000-0000000F0000}"/>
    <cellStyle name="스타일 1 29" xfId="49387" xr:uid="{00000000-0005-0000-0000-0000010F0000}"/>
    <cellStyle name="스타일 1 3" xfId="49388" xr:uid="{00000000-0005-0000-0000-0000020F0000}"/>
    <cellStyle name="스타일 1 30" xfId="49389" xr:uid="{00000000-0005-0000-0000-0000030F0000}"/>
    <cellStyle name="스타일 1 31" xfId="49390" xr:uid="{00000000-0005-0000-0000-0000040F0000}"/>
    <cellStyle name="스타일 1 32" xfId="49391" xr:uid="{00000000-0005-0000-0000-0000050F0000}"/>
    <cellStyle name="스타일 1 33" xfId="49392" xr:uid="{00000000-0005-0000-0000-0000060F0000}"/>
    <cellStyle name="스타일 1 4" xfId="49393" xr:uid="{00000000-0005-0000-0000-0000070F0000}"/>
    <cellStyle name="스타일 1 5" xfId="49394" xr:uid="{00000000-0005-0000-0000-0000080F0000}"/>
    <cellStyle name="스타일 1 6" xfId="49395" xr:uid="{00000000-0005-0000-0000-0000090F0000}"/>
    <cellStyle name="스타일 1 7" xfId="49396" xr:uid="{00000000-0005-0000-0000-00000A0F0000}"/>
    <cellStyle name="스타일 1 8" xfId="49397" xr:uid="{00000000-0005-0000-0000-00000B0F0000}"/>
    <cellStyle name="스타일 1 9" xfId="49398" xr:uid="{00000000-0005-0000-0000-00000C0F0000}"/>
    <cellStyle name="연결된 셀 10" xfId="6383" xr:uid="{00000000-0005-0000-0000-00000D0F0000}"/>
    <cellStyle name="연결된 셀 11" xfId="6412" xr:uid="{00000000-0005-0000-0000-00000E0F0000}"/>
    <cellStyle name="연결된 셀 12" xfId="6372" xr:uid="{00000000-0005-0000-0000-00000F0F0000}"/>
    <cellStyle name="연결된 셀 13" xfId="49399" xr:uid="{00000000-0005-0000-0000-0000100F0000}"/>
    <cellStyle name="연결된 셀 14" xfId="49400" xr:uid="{00000000-0005-0000-0000-0000110F0000}"/>
    <cellStyle name="연결된 셀 15" xfId="49401" xr:uid="{00000000-0005-0000-0000-0000120F0000}"/>
    <cellStyle name="연결된 셀 16" xfId="49402" xr:uid="{00000000-0005-0000-0000-0000130F0000}"/>
    <cellStyle name="연결된 셀 17" xfId="49403" xr:uid="{00000000-0005-0000-0000-0000140F0000}"/>
    <cellStyle name="연결된 셀 18" xfId="49404" xr:uid="{00000000-0005-0000-0000-0000150F0000}"/>
    <cellStyle name="연결된 셀 19" xfId="49405" xr:uid="{00000000-0005-0000-0000-0000160F0000}"/>
    <cellStyle name="연결된 셀 2" xfId="258" xr:uid="{00000000-0005-0000-0000-0000170F0000}"/>
    <cellStyle name="연결된 셀 2 10" xfId="6411" xr:uid="{00000000-0005-0000-0000-0000180F0000}"/>
    <cellStyle name="연결된 셀 2 11" xfId="6373" xr:uid="{00000000-0005-0000-0000-0000190F0000}"/>
    <cellStyle name="연결된 셀 2 2" xfId="5111" xr:uid="{00000000-0005-0000-0000-00001A0F0000}"/>
    <cellStyle name="연결된 셀 2 3" xfId="6394" xr:uid="{00000000-0005-0000-0000-00001B0F0000}"/>
    <cellStyle name="연결된 셀 2 4" xfId="6403" xr:uid="{00000000-0005-0000-0000-00001C0F0000}"/>
    <cellStyle name="연결된 셀 2 5" xfId="6392" xr:uid="{00000000-0005-0000-0000-00001D0F0000}"/>
    <cellStyle name="연결된 셀 2 6" xfId="6399" xr:uid="{00000000-0005-0000-0000-00001E0F0000}"/>
    <cellStyle name="연결된 셀 2 7" xfId="6396" xr:uid="{00000000-0005-0000-0000-00001F0F0000}"/>
    <cellStyle name="연결된 셀 2 8" xfId="6422" xr:uid="{00000000-0005-0000-0000-0000200F0000}"/>
    <cellStyle name="연결된 셀 2 9" xfId="6387" xr:uid="{00000000-0005-0000-0000-0000210F0000}"/>
    <cellStyle name="연결된 셀 20" xfId="49406" xr:uid="{00000000-0005-0000-0000-0000220F0000}"/>
    <cellStyle name="연결된 셀 21" xfId="49407" xr:uid="{00000000-0005-0000-0000-0000230F0000}"/>
    <cellStyle name="연결된 셀 22" xfId="49408" xr:uid="{00000000-0005-0000-0000-0000240F0000}"/>
    <cellStyle name="연결된 셀 23" xfId="49409" xr:uid="{00000000-0005-0000-0000-0000250F0000}"/>
    <cellStyle name="연결된 셀 24" xfId="49410" xr:uid="{00000000-0005-0000-0000-0000260F0000}"/>
    <cellStyle name="연결된 셀 25" xfId="49411" xr:uid="{00000000-0005-0000-0000-0000270F0000}"/>
    <cellStyle name="연결된 셀 26" xfId="49412" xr:uid="{00000000-0005-0000-0000-0000280F0000}"/>
    <cellStyle name="연결된 셀 27" xfId="49413" xr:uid="{00000000-0005-0000-0000-0000290F0000}"/>
    <cellStyle name="연결된 셀 28" xfId="49414" xr:uid="{00000000-0005-0000-0000-00002A0F0000}"/>
    <cellStyle name="연결된 셀 29" xfId="49415" xr:uid="{00000000-0005-0000-0000-00002B0F0000}"/>
    <cellStyle name="연결된 셀 3" xfId="2586" xr:uid="{00000000-0005-0000-0000-00002C0F0000}"/>
    <cellStyle name="연결된 셀 3 10" xfId="3801" xr:uid="{00000000-0005-0000-0000-00002D0F0000}"/>
    <cellStyle name="연결된 셀 3 11" xfId="2438" xr:uid="{00000000-0005-0000-0000-00002E0F0000}"/>
    <cellStyle name="연결된 셀 3 2" xfId="2593" xr:uid="{00000000-0005-0000-0000-00002F0F0000}"/>
    <cellStyle name="연결된 셀 3 3" xfId="3799" xr:uid="{00000000-0005-0000-0000-0000300F0000}"/>
    <cellStyle name="연결된 셀 3 4" xfId="3316" xr:uid="{00000000-0005-0000-0000-0000310F0000}"/>
    <cellStyle name="연결된 셀 3 5" xfId="2996" xr:uid="{00000000-0005-0000-0000-0000320F0000}"/>
    <cellStyle name="연결된 셀 3 6" xfId="3483" xr:uid="{00000000-0005-0000-0000-0000330F0000}"/>
    <cellStyle name="연결된 셀 3 7" xfId="3961" xr:uid="{00000000-0005-0000-0000-0000340F0000}"/>
    <cellStyle name="연결된 셀 3 8" xfId="4267" xr:uid="{00000000-0005-0000-0000-0000350F0000}"/>
    <cellStyle name="연결된 셀 3 9" xfId="3319" xr:uid="{00000000-0005-0000-0000-0000360F0000}"/>
    <cellStyle name="연결된 셀 30" xfId="49416" xr:uid="{00000000-0005-0000-0000-0000370F0000}"/>
    <cellStyle name="연결된 셀 31" xfId="49417" xr:uid="{00000000-0005-0000-0000-0000380F0000}"/>
    <cellStyle name="연결된 셀 32" xfId="49418" xr:uid="{00000000-0005-0000-0000-0000390F0000}"/>
    <cellStyle name="연결된 셀 33" xfId="49419" xr:uid="{00000000-0005-0000-0000-00003A0F0000}"/>
    <cellStyle name="연결된 셀 4" xfId="3534" xr:uid="{00000000-0005-0000-0000-00003B0F0000}"/>
    <cellStyle name="연결된 셀 4 10" xfId="3048" xr:uid="{00000000-0005-0000-0000-00003C0F0000}"/>
    <cellStyle name="연결된 셀 4 11" xfId="3390" xr:uid="{00000000-0005-0000-0000-00003D0F0000}"/>
    <cellStyle name="연결된 셀 4 2" xfId="4022" xr:uid="{00000000-0005-0000-0000-00003E0F0000}"/>
    <cellStyle name="연결된 셀 4 3" xfId="4132" xr:uid="{00000000-0005-0000-0000-00003F0F0000}"/>
    <cellStyle name="연결된 셀 4 4" xfId="3298" xr:uid="{00000000-0005-0000-0000-0000400F0000}"/>
    <cellStyle name="연결된 셀 4 5" xfId="3052" xr:uid="{00000000-0005-0000-0000-0000410F0000}"/>
    <cellStyle name="연결된 셀 4 6" xfId="3783" xr:uid="{00000000-0005-0000-0000-0000420F0000}"/>
    <cellStyle name="연결된 셀 4 7" xfId="3159" xr:uid="{00000000-0005-0000-0000-0000430F0000}"/>
    <cellStyle name="연결된 셀 4 8" xfId="2817" xr:uid="{00000000-0005-0000-0000-0000440F0000}"/>
    <cellStyle name="연결된 셀 4 9" xfId="2796" xr:uid="{00000000-0005-0000-0000-0000450F0000}"/>
    <cellStyle name="연결된 셀 5" xfId="3786" xr:uid="{00000000-0005-0000-0000-0000460F0000}"/>
    <cellStyle name="연결된 셀 5 2" xfId="3567" xr:uid="{00000000-0005-0000-0000-0000470F0000}"/>
    <cellStyle name="연결된 셀 5 3" xfId="2866" xr:uid="{00000000-0005-0000-0000-0000480F0000}"/>
    <cellStyle name="연결된 셀 5 4" xfId="3839" xr:uid="{00000000-0005-0000-0000-0000490F0000}"/>
    <cellStyle name="연결된 셀 5 5" xfId="3835" xr:uid="{00000000-0005-0000-0000-00004A0F0000}"/>
    <cellStyle name="연결된 셀 6" xfId="3351" xr:uid="{00000000-0005-0000-0000-00004B0F0000}"/>
    <cellStyle name="연결된 셀 6 2" xfId="3380" xr:uid="{00000000-0005-0000-0000-00004C0F0000}"/>
    <cellStyle name="연결된 셀 6 3" xfId="2405" xr:uid="{00000000-0005-0000-0000-00004D0F0000}"/>
    <cellStyle name="연결된 셀 6 4" xfId="3650" xr:uid="{00000000-0005-0000-0000-00004E0F0000}"/>
    <cellStyle name="연결된 셀 6 5" xfId="3479" xr:uid="{00000000-0005-0000-0000-00004F0F0000}"/>
    <cellStyle name="연결된 셀 7" xfId="3122" xr:uid="{00000000-0005-0000-0000-0000500F0000}"/>
    <cellStyle name="연결된 셀 7 2" xfId="3848" xr:uid="{00000000-0005-0000-0000-0000510F0000}"/>
    <cellStyle name="연결된 셀 8" xfId="4166" xr:uid="{00000000-0005-0000-0000-0000520F0000}"/>
    <cellStyle name="연결된 셀 8 2" xfId="2992" xr:uid="{00000000-0005-0000-0000-0000530F0000}"/>
    <cellStyle name="연결된 셀 9" xfId="6423" xr:uid="{00000000-0005-0000-0000-0000540F0000}"/>
    <cellStyle name="요약 10" xfId="6389" xr:uid="{00000000-0005-0000-0000-0000550F0000}"/>
    <cellStyle name="요약 11" xfId="6406" xr:uid="{00000000-0005-0000-0000-0000560F0000}"/>
    <cellStyle name="요약 12" xfId="6376" xr:uid="{00000000-0005-0000-0000-0000570F0000}"/>
    <cellStyle name="요약 13" xfId="49420" xr:uid="{00000000-0005-0000-0000-0000580F0000}"/>
    <cellStyle name="요약 14" xfId="49421" xr:uid="{00000000-0005-0000-0000-0000590F0000}"/>
    <cellStyle name="요약 15" xfId="49422" xr:uid="{00000000-0005-0000-0000-00005A0F0000}"/>
    <cellStyle name="요약 16" xfId="49423" xr:uid="{00000000-0005-0000-0000-00005B0F0000}"/>
    <cellStyle name="요약 17" xfId="49424" xr:uid="{00000000-0005-0000-0000-00005C0F0000}"/>
    <cellStyle name="요약 18" xfId="49425" xr:uid="{00000000-0005-0000-0000-00005D0F0000}"/>
    <cellStyle name="요약 19" xfId="49426" xr:uid="{00000000-0005-0000-0000-00005E0F0000}"/>
    <cellStyle name="요약 2" xfId="259" xr:uid="{00000000-0005-0000-0000-00005F0F0000}"/>
    <cellStyle name="요약 2 10" xfId="5113" xr:uid="{00000000-0005-0000-0000-0000600F0000}"/>
    <cellStyle name="요약 2 10 2" xfId="5114" xr:uid="{00000000-0005-0000-0000-0000610F0000}"/>
    <cellStyle name="요약 2 11" xfId="5115" xr:uid="{00000000-0005-0000-0000-0000620F0000}"/>
    <cellStyle name="요약 2 11 2" xfId="5116" xr:uid="{00000000-0005-0000-0000-0000630F0000}"/>
    <cellStyle name="요약 2 12" xfId="5117" xr:uid="{00000000-0005-0000-0000-0000640F0000}"/>
    <cellStyle name="요약 2 12 2" xfId="5118" xr:uid="{00000000-0005-0000-0000-0000650F0000}"/>
    <cellStyle name="요약 2 13" xfId="5119" xr:uid="{00000000-0005-0000-0000-0000660F0000}"/>
    <cellStyle name="요약 2 13 2" xfId="5120" xr:uid="{00000000-0005-0000-0000-0000670F0000}"/>
    <cellStyle name="요약 2 14" xfId="5121" xr:uid="{00000000-0005-0000-0000-0000680F0000}"/>
    <cellStyle name="요약 2 14 2" xfId="5122" xr:uid="{00000000-0005-0000-0000-0000690F0000}"/>
    <cellStyle name="요약 2 15" xfId="5123" xr:uid="{00000000-0005-0000-0000-00006A0F0000}"/>
    <cellStyle name="요약 2 15 2" xfId="5124" xr:uid="{00000000-0005-0000-0000-00006B0F0000}"/>
    <cellStyle name="요약 2 16" xfId="5125" xr:uid="{00000000-0005-0000-0000-00006C0F0000}"/>
    <cellStyle name="요약 2 16 2" xfId="5126" xr:uid="{00000000-0005-0000-0000-00006D0F0000}"/>
    <cellStyle name="요약 2 17" xfId="5127" xr:uid="{00000000-0005-0000-0000-00006E0F0000}"/>
    <cellStyle name="요약 2 17 2" xfId="5128" xr:uid="{00000000-0005-0000-0000-00006F0F0000}"/>
    <cellStyle name="요약 2 18" xfId="5129" xr:uid="{00000000-0005-0000-0000-0000700F0000}"/>
    <cellStyle name="요약 2 18 2" xfId="5130" xr:uid="{00000000-0005-0000-0000-0000710F0000}"/>
    <cellStyle name="요약 2 19" xfId="5131" xr:uid="{00000000-0005-0000-0000-0000720F0000}"/>
    <cellStyle name="요약 2 19 2" xfId="5132" xr:uid="{00000000-0005-0000-0000-0000730F0000}"/>
    <cellStyle name="요약 2 2" xfId="5112" xr:uid="{00000000-0005-0000-0000-0000740F0000}"/>
    <cellStyle name="요약 2 2 10" xfId="5133" xr:uid="{00000000-0005-0000-0000-0000750F0000}"/>
    <cellStyle name="요약 2 2 10 2" xfId="5134" xr:uid="{00000000-0005-0000-0000-0000760F0000}"/>
    <cellStyle name="요약 2 2 11" xfId="5135" xr:uid="{00000000-0005-0000-0000-0000770F0000}"/>
    <cellStyle name="요약 2 2 11 2" xfId="5136" xr:uid="{00000000-0005-0000-0000-0000780F0000}"/>
    <cellStyle name="요약 2 2 12" xfId="5137" xr:uid="{00000000-0005-0000-0000-0000790F0000}"/>
    <cellStyle name="요약 2 2 12 2" xfId="5138" xr:uid="{00000000-0005-0000-0000-00007A0F0000}"/>
    <cellStyle name="요약 2 2 13" xfId="5139" xr:uid="{00000000-0005-0000-0000-00007B0F0000}"/>
    <cellStyle name="요약 2 2 13 2" xfId="5140" xr:uid="{00000000-0005-0000-0000-00007C0F0000}"/>
    <cellStyle name="요약 2 2 14" xfId="5141" xr:uid="{00000000-0005-0000-0000-00007D0F0000}"/>
    <cellStyle name="요약 2 2 14 2" xfId="5142" xr:uid="{00000000-0005-0000-0000-00007E0F0000}"/>
    <cellStyle name="요약 2 2 15" xfId="5143" xr:uid="{00000000-0005-0000-0000-00007F0F0000}"/>
    <cellStyle name="요약 2 2 15 2" xfId="5144" xr:uid="{00000000-0005-0000-0000-0000800F0000}"/>
    <cellStyle name="요약 2 2 16" xfId="5145" xr:uid="{00000000-0005-0000-0000-0000810F0000}"/>
    <cellStyle name="요약 2 2 16 2" xfId="5146" xr:uid="{00000000-0005-0000-0000-0000820F0000}"/>
    <cellStyle name="요약 2 2 17" xfId="5147" xr:uid="{00000000-0005-0000-0000-0000830F0000}"/>
    <cellStyle name="요약 2 2 17 2" xfId="5148" xr:uid="{00000000-0005-0000-0000-0000840F0000}"/>
    <cellStyle name="요약 2 2 18" xfId="5149" xr:uid="{00000000-0005-0000-0000-0000850F0000}"/>
    <cellStyle name="요약 2 2 18 2" xfId="5150" xr:uid="{00000000-0005-0000-0000-0000860F0000}"/>
    <cellStyle name="요약 2 2 19" xfId="5151" xr:uid="{00000000-0005-0000-0000-0000870F0000}"/>
    <cellStyle name="요약 2 2 19 2" xfId="5152" xr:uid="{00000000-0005-0000-0000-0000880F0000}"/>
    <cellStyle name="요약 2 2 2" xfId="5153" xr:uid="{00000000-0005-0000-0000-0000890F0000}"/>
    <cellStyle name="요약 2 2 2 10" xfId="5154" xr:uid="{00000000-0005-0000-0000-00008A0F0000}"/>
    <cellStyle name="요약 2 2 2 10 2" xfId="5155" xr:uid="{00000000-0005-0000-0000-00008B0F0000}"/>
    <cellStyle name="요약 2 2 2 11" xfId="5156" xr:uid="{00000000-0005-0000-0000-00008C0F0000}"/>
    <cellStyle name="요약 2 2 2 11 2" xfId="5157" xr:uid="{00000000-0005-0000-0000-00008D0F0000}"/>
    <cellStyle name="요약 2 2 2 12" xfId="5158" xr:uid="{00000000-0005-0000-0000-00008E0F0000}"/>
    <cellStyle name="요약 2 2 2 12 2" xfId="5159" xr:uid="{00000000-0005-0000-0000-00008F0F0000}"/>
    <cellStyle name="요약 2 2 2 13" xfId="5160" xr:uid="{00000000-0005-0000-0000-0000900F0000}"/>
    <cellStyle name="요약 2 2 2 13 2" xfId="5161" xr:uid="{00000000-0005-0000-0000-0000910F0000}"/>
    <cellStyle name="요약 2 2 2 14" xfId="5162" xr:uid="{00000000-0005-0000-0000-0000920F0000}"/>
    <cellStyle name="요약 2 2 2 14 2" xfId="5163" xr:uid="{00000000-0005-0000-0000-0000930F0000}"/>
    <cellStyle name="요약 2 2 2 15" xfId="5164" xr:uid="{00000000-0005-0000-0000-0000940F0000}"/>
    <cellStyle name="요약 2 2 2 15 2" xfId="5165" xr:uid="{00000000-0005-0000-0000-0000950F0000}"/>
    <cellStyle name="요약 2 2 2 16" xfId="5166" xr:uid="{00000000-0005-0000-0000-0000960F0000}"/>
    <cellStyle name="요약 2 2 2 16 2" xfId="5167" xr:uid="{00000000-0005-0000-0000-0000970F0000}"/>
    <cellStyle name="요약 2 2 2 17" xfId="5168" xr:uid="{00000000-0005-0000-0000-0000980F0000}"/>
    <cellStyle name="요약 2 2 2 17 2" xfId="5169" xr:uid="{00000000-0005-0000-0000-0000990F0000}"/>
    <cellStyle name="요약 2 2 2 18" xfId="5170" xr:uid="{00000000-0005-0000-0000-00009A0F0000}"/>
    <cellStyle name="요약 2 2 2 18 2" xfId="5171" xr:uid="{00000000-0005-0000-0000-00009B0F0000}"/>
    <cellStyle name="요약 2 2 2 19" xfId="5172" xr:uid="{00000000-0005-0000-0000-00009C0F0000}"/>
    <cellStyle name="요약 2 2 2 19 2" xfId="5173" xr:uid="{00000000-0005-0000-0000-00009D0F0000}"/>
    <cellStyle name="요약 2 2 2 2" xfId="5174" xr:uid="{00000000-0005-0000-0000-00009E0F0000}"/>
    <cellStyle name="요약 2 2 2 2 10" xfId="5175" xr:uid="{00000000-0005-0000-0000-00009F0F0000}"/>
    <cellStyle name="요약 2 2 2 2 10 2" xfId="5176" xr:uid="{00000000-0005-0000-0000-0000A00F0000}"/>
    <cellStyle name="요약 2 2 2 2 11" xfId="5177" xr:uid="{00000000-0005-0000-0000-0000A10F0000}"/>
    <cellStyle name="요약 2 2 2 2 11 2" xfId="5178" xr:uid="{00000000-0005-0000-0000-0000A20F0000}"/>
    <cellStyle name="요약 2 2 2 2 12" xfId="5179" xr:uid="{00000000-0005-0000-0000-0000A30F0000}"/>
    <cellStyle name="요약 2 2 2 2 12 2" xfId="5180" xr:uid="{00000000-0005-0000-0000-0000A40F0000}"/>
    <cellStyle name="요약 2 2 2 2 13" xfId="5181" xr:uid="{00000000-0005-0000-0000-0000A50F0000}"/>
    <cellStyle name="요약 2 2 2 2 13 2" xfId="5182" xr:uid="{00000000-0005-0000-0000-0000A60F0000}"/>
    <cellStyle name="요약 2 2 2 2 14" xfId="5183" xr:uid="{00000000-0005-0000-0000-0000A70F0000}"/>
    <cellStyle name="요약 2 2 2 2 14 2" xfId="5184" xr:uid="{00000000-0005-0000-0000-0000A80F0000}"/>
    <cellStyle name="요약 2 2 2 2 15" xfId="5185" xr:uid="{00000000-0005-0000-0000-0000A90F0000}"/>
    <cellStyle name="요약 2 2 2 2 15 2" xfId="5186" xr:uid="{00000000-0005-0000-0000-0000AA0F0000}"/>
    <cellStyle name="요약 2 2 2 2 16" xfId="5187" xr:uid="{00000000-0005-0000-0000-0000AB0F0000}"/>
    <cellStyle name="요약 2 2 2 2 16 2" xfId="5188" xr:uid="{00000000-0005-0000-0000-0000AC0F0000}"/>
    <cellStyle name="요약 2 2 2 2 17" xfId="5189" xr:uid="{00000000-0005-0000-0000-0000AD0F0000}"/>
    <cellStyle name="요약 2 2 2 2 17 2" xfId="5190" xr:uid="{00000000-0005-0000-0000-0000AE0F0000}"/>
    <cellStyle name="요약 2 2 2 2 18" xfId="5191" xr:uid="{00000000-0005-0000-0000-0000AF0F0000}"/>
    <cellStyle name="요약 2 2 2 2 18 2" xfId="5192" xr:uid="{00000000-0005-0000-0000-0000B00F0000}"/>
    <cellStyle name="요약 2 2 2 2 19" xfId="5193" xr:uid="{00000000-0005-0000-0000-0000B10F0000}"/>
    <cellStyle name="요약 2 2 2 2 19 2" xfId="5194" xr:uid="{00000000-0005-0000-0000-0000B20F0000}"/>
    <cellStyle name="요약 2 2 2 2 2" xfId="5195" xr:uid="{00000000-0005-0000-0000-0000B30F0000}"/>
    <cellStyle name="요약 2 2 2 2 2 2" xfId="5196" xr:uid="{00000000-0005-0000-0000-0000B40F0000}"/>
    <cellStyle name="요약 2 2 2 2 20" xfId="5197" xr:uid="{00000000-0005-0000-0000-0000B50F0000}"/>
    <cellStyle name="요약 2 2 2 2 3" xfId="5198" xr:uid="{00000000-0005-0000-0000-0000B60F0000}"/>
    <cellStyle name="요약 2 2 2 2 3 2" xfId="5199" xr:uid="{00000000-0005-0000-0000-0000B70F0000}"/>
    <cellStyle name="요약 2 2 2 2 4" xfId="5200" xr:uid="{00000000-0005-0000-0000-0000B80F0000}"/>
    <cellStyle name="요약 2 2 2 2 4 2" xfId="5201" xr:uid="{00000000-0005-0000-0000-0000B90F0000}"/>
    <cellStyle name="요약 2 2 2 2 5" xfId="5202" xr:uid="{00000000-0005-0000-0000-0000BA0F0000}"/>
    <cellStyle name="요약 2 2 2 2 5 2" xfId="5203" xr:uid="{00000000-0005-0000-0000-0000BB0F0000}"/>
    <cellStyle name="요약 2 2 2 2 6" xfId="5204" xr:uid="{00000000-0005-0000-0000-0000BC0F0000}"/>
    <cellStyle name="요약 2 2 2 2 6 2" xfId="5205" xr:uid="{00000000-0005-0000-0000-0000BD0F0000}"/>
    <cellStyle name="요약 2 2 2 2 7" xfId="5206" xr:uid="{00000000-0005-0000-0000-0000BE0F0000}"/>
    <cellStyle name="요약 2 2 2 2 7 2" xfId="5207" xr:uid="{00000000-0005-0000-0000-0000BF0F0000}"/>
    <cellStyle name="요약 2 2 2 2 8" xfId="5208" xr:uid="{00000000-0005-0000-0000-0000C00F0000}"/>
    <cellStyle name="요약 2 2 2 2 8 2" xfId="5209" xr:uid="{00000000-0005-0000-0000-0000C10F0000}"/>
    <cellStyle name="요약 2 2 2 2 9" xfId="5210" xr:uid="{00000000-0005-0000-0000-0000C20F0000}"/>
    <cellStyle name="요약 2 2 2 2 9 2" xfId="5211" xr:uid="{00000000-0005-0000-0000-0000C30F0000}"/>
    <cellStyle name="요약 2 2 2 20" xfId="5212" xr:uid="{00000000-0005-0000-0000-0000C40F0000}"/>
    <cellStyle name="요약 2 2 2 20 2" xfId="5213" xr:uid="{00000000-0005-0000-0000-0000C50F0000}"/>
    <cellStyle name="요약 2 2 2 21" xfId="5214" xr:uid="{00000000-0005-0000-0000-0000C60F0000}"/>
    <cellStyle name="요약 2 2 2 3" xfId="5215" xr:uid="{00000000-0005-0000-0000-0000C70F0000}"/>
    <cellStyle name="요약 2 2 2 3 2" xfId="5216" xr:uid="{00000000-0005-0000-0000-0000C80F0000}"/>
    <cellStyle name="요약 2 2 2 4" xfId="5217" xr:uid="{00000000-0005-0000-0000-0000C90F0000}"/>
    <cellStyle name="요약 2 2 2 4 2" xfId="5218" xr:uid="{00000000-0005-0000-0000-0000CA0F0000}"/>
    <cellStyle name="요약 2 2 2 5" xfId="5219" xr:uid="{00000000-0005-0000-0000-0000CB0F0000}"/>
    <cellStyle name="요약 2 2 2 5 2" xfId="5220" xr:uid="{00000000-0005-0000-0000-0000CC0F0000}"/>
    <cellStyle name="요약 2 2 2 6" xfId="5221" xr:uid="{00000000-0005-0000-0000-0000CD0F0000}"/>
    <cellStyle name="요약 2 2 2 6 2" xfId="5222" xr:uid="{00000000-0005-0000-0000-0000CE0F0000}"/>
    <cellStyle name="요약 2 2 2 7" xfId="5223" xr:uid="{00000000-0005-0000-0000-0000CF0F0000}"/>
    <cellStyle name="요약 2 2 2 7 2" xfId="5224" xr:uid="{00000000-0005-0000-0000-0000D00F0000}"/>
    <cellStyle name="요약 2 2 2 8" xfId="5225" xr:uid="{00000000-0005-0000-0000-0000D10F0000}"/>
    <cellStyle name="요약 2 2 2 8 2" xfId="5226" xr:uid="{00000000-0005-0000-0000-0000D20F0000}"/>
    <cellStyle name="요약 2 2 2 9" xfId="5227" xr:uid="{00000000-0005-0000-0000-0000D30F0000}"/>
    <cellStyle name="요약 2 2 2 9 2" xfId="5228" xr:uid="{00000000-0005-0000-0000-0000D40F0000}"/>
    <cellStyle name="요약 2 2 20" xfId="5229" xr:uid="{00000000-0005-0000-0000-0000D50F0000}"/>
    <cellStyle name="요약 2 2 20 2" xfId="5230" xr:uid="{00000000-0005-0000-0000-0000D60F0000}"/>
    <cellStyle name="요약 2 2 21" xfId="5231" xr:uid="{00000000-0005-0000-0000-0000D70F0000}"/>
    <cellStyle name="요약 2 2 21 2" xfId="5232" xr:uid="{00000000-0005-0000-0000-0000D80F0000}"/>
    <cellStyle name="요약 2 2 22" xfId="5233" xr:uid="{00000000-0005-0000-0000-0000D90F0000}"/>
    <cellStyle name="요약 2 2 22 2" xfId="5234" xr:uid="{00000000-0005-0000-0000-0000DA0F0000}"/>
    <cellStyle name="요약 2 2 23" xfId="5235" xr:uid="{00000000-0005-0000-0000-0000DB0F0000}"/>
    <cellStyle name="요약 2 2 23 2" xfId="5236" xr:uid="{00000000-0005-0000-0000-0000DC0F0000}"/>
    <cellStyle name="요약 2 2 24" xfId="5237" xr:uid="{00000000-0005-0000-0000-0000DD0F0000}"/>
    <cellStyle name="요약 2 2 3" xfId="5238" xr:uid="{00000000-0005-0000-0000-0000DE0F0000}"/>
    <cellStyle name="요약 2 2 3 10" xfId="5239" xr:uid="{00000000-0005-0000-0000-0000DF0F0000}"/>
    <cellStyle name="요약 2 2 3 10 2" xfId="5240" xr:uid="{00000000-0005-0000-0000-0000E00F0000}"/>
    <cellStyle name="요약 2 2 3 11" xfId="5241" xr:uid="{00000000-0005-0000-0000-0000E10F0000}"/>
    <cellStyle name="요약 2 2 3 11 2" xfId="5242" xr:uid="{00000000-0005-0000-0000-0000E20F0000}"/>
    <cellStyle name="요약 2 2 3 12" xfId="5243" xr:uid="{00000000-0005-0000-0000-0000E30F0000}"/>
    <cellStyle name="요약 2 2 3 12 2" xfId="5244" xr:uid="{00000000-0005-0000-0000-0000E40F0000}"/>
    <cellStyle name="요약 2 2 3 13" xfId="5245" xr:uid="{00000000-0005-0000-0000-0000E50F0000}"/>
    <cellStyle name="요약 2 2 3 13 2" xfId="5246" xr:uid="{00000000-0005-0000-0000-0000E60F0000}"/>
    <cellStyle name="요약 2 2 3 14" xfId="5247" xr:uid="{00000000-0005-0000-0000-0000E70F0000}"/>
    <cellStyle name="요약 2 2 3 14 2" xfId="5248" xr:uid="{00000000-0005-0000-0000-0000E80F0000}"/>
    <cellStyle name="요약 2 2 3 15" xfId="5249" xr:uid="{00000000-0005-0000-0000-0000E90F0000}"/>
    <cellStyle name="요약 2 2 3 15 2" xfId="5250" xr:uid="{00000000-0005-0000-0000-0000EA0F0000}"/>
    <cellStyle name="요약 2 2 3 16" xfId="5251" xr:uid="{00000000-0005-0000-0000-0000EB0F0000}"/>
    <cellStyle name="요약 2 2 3 16 2" xfId="5252" xr:uid="{00000000-0005-0000-0000-0000EC0F0000}"/>
    <cellStyle name="요약 2 2 3 17" xfId="5253" xr:uid="{00000000-0005-0000-0000-0000ED0F0000}"/>
    <cellStyle name="요약 2 2 3 17 2" xfId="5254" xr:uid="{00000000-0005-0000-0000-0000EE0F0000}"/>
    <cellStyle name="요약 2 2 3 18" xfId="5255" xr:uid="{00000000-0005-0000-0000-0000EF0F0000}"/>
    <cellStyle name="요약 2 2 3 18 2" xfId="5256" xr:uid="{00000000-0005-0000-0000-0000F00F0000}"/>
    <cellStyle name="요약 2 2 3 19" xfId="5257" xr:uid="{00000000-0005-0000-0000-0000F10F0000}"/>
    <cellStyle name="요약 2 2 3 19 2" xfId="5258" xr:uid="{00000000-0005-0000-0000-0000F20F0000}"/>
    <cellStyle name="요약 2 2 3 2" xfId="5259" xr:uid="{00000000-0005-0000-0000-0000F30F0000}"/>
    <cellStyle name="요약 2 2 3 2 10" xfId="5260" xr:uid="{00000000-0005-0000-0000-0000F40F0000}"/>
    <cellStyle name="요약 2 2 3 2 10 2" xfId="5261" xr:uid="{00000000-0005-0000-0000-0000F50F0000}"/>
    <cellStyle name="요약 2 2 3 2 11" xfId="5262" xr:uid="{00000000-0005-0000-0000-0000F60F0000}"/>
    <cellStyle name="요약 2 2 3 2 11 2" xfId="5263" xr:uid="{00000000-0005-0000-0000-0000F70F0000}"/>
    <cellStyle name="요약 2 2 3 2 12" xfId="5264" xr:uid="{00000000-0005-0000-0000-0000F80F0000}"/>
    <cellStyle name="요약 2 2 3 2 12 2" xfId="5265" xr:uid="{00000000-0005-0000-0000-0000F90F0000}"/>
    <cellStyle name="요약 2 2 3 2 13" xfId="5266" xr:uid="{00000000-0005-0000-0000-0000FA0F0000}"/>
    <cellStyle name="요약 2 2 3 2 13 2" xfId="5267" xr:uid="{00000000-0005-0000-0000-0000FB0F0000}"/>
    <cellStyle name="요약 2 2 3 2 14" xfId="5268" xr:uid="{00000000-0005-0000-0000-0000FC0F0000}"/>
    <cellStyle name="요약 2 2 3 2 14 2" xfId="5269" xr:uid="{00000000-0005-0000-0000-0000FD0F0000}"/>
    <cellStyle name="요약 2 2 3 2 15" xfId="5270" xr:uid="{00000000-0005-0000-0000-0000FE0F0000}"/>
    <cellStyle name="요약 2 2 3 2 15 2" xfId="5271" xr:uid="{00000000-0005-0000-0000-0000FF0F0000}"/>
    <cellStyle name="요약 2 2 3 2 16" xfId="5272" xr:uid="{00000000-0005-0000-0000-000000100000}"/>
    <cellStyle name="요약 2 2 3 2 16 2" xfId="5273" xr:uid="{00000000-0005-0000-0000-000001100000}"/>
    <cellStyle name="요약 2 2 3 2 17" xfId="5274" xr:uid="{00000000-0005-0000-0000-000002100000}"/>
    <cellStyle name="요약 2 2 3 2 17 2" xfId="5275" xr:uid="{00000000-0005-0000-0000-000003100000}"/>
    <cellStyle name="요약 2 2 3 2 18" xfId="5276" xr:uid="{00000000-0005-0000-0000-000004100000}"/>
    <cellStyle name="요약 2 2 3 2 18 2" xfId="5277" xr:uid="{00000000-0005-0000-0000-000005100000}"/>
    <cellStyle name="요약 2 2 3 2 19" xfId="5278" xr:uid="{00000000-0005-0000-0000-000006100000}"/>
    <cellStyle name="요약 2 2 3 2 19 2" xfId="5279" xr:uid="{00000000-0005-0000-0000-000007100000}"/>
    <cellStyle name="요약 2 2 3 2 2" xfId="5280" xr:uid="{00000000-0005-0000-0000-000008100000}"/>
    <cellStyle name="요약 2 2 3 2 2 2" xfId="5281" xr:uid="{00000000-0005-0000-0000-000009100000}"/>
    <cellStyle name="요약 2 2 3 2 20" xfId="5282" xr:uid="{00000000-0005-0000-0000-00000A100000}"/>
    <cellStyle name="요약 2 2 3 2 3" xfId="5283" xr:uid="{00000000-0005-0000-0000-00000B100000}"/>
    <cellStyle name="요약 2 2 3 2 3 2" xfId="5284" xr:uid="{00000000-0005-0000-0000-00000C100000}"/>
    <cellStyle name="요약 2 2 3 2 4" xfId="5285" xr:uid="{00000000-0005-0000-0000-00000D100000}"/>
    <cellStyle name="요약 2 2 3 2 4 2" xfId="5286" xr:uid="{00000000-0005-0000-0000-00000E100000}"/>
    <cellStyle name="요약 2 2 3 2 5" xfId="5287" xr:uid="{00000000-0005-0000-0000-00000F100000}"/>
    <cellStyle name="요약 2 2 3 2 5 2" xfId="5288" xr:uid="{00000000-0005-0000-0000-000010100000}"/>
    <cellStyle name="요약 2 2 3 2 6" xfId="5289" xr:uid="{00000000-0005-0000-0000-000011100000}"/>
    <cellStyle name="요약 2 2 3 2 6 2" xfId="5290" xr:uid="{00000000-0005-0000-0000-000012100000}"/>
    <cellStyle name="요약 2 2 3 2 7" xfId="5291" xr:uid="{00000000-0005-0000-0000-000013100000}"/>
    <cellStyle name="요약 2 2 3 2 7 2" xfId="5292" xr:uid="{00000000-0005-0000-0000-000014100000}"/>
    <cellStyle name="요약 2 2 3 2 8" xfId="5293" xr:uid="{00000000-0005-0000-0000-000015100000}"/>
    <cellStyle name="요약 2 2 3 2 8 2" xfId="5294" xr:uid="{00000000-0005-0000-0000-000016100000}"/>
    <cellStyle name="요약 2 2 3 2 9" xfId="5295" xr:uid="{00000000-0005-0000-0000-000017100000}"/>
    <cellStyle name="요약 2 2 3 2 9 2" xfId="5296" xr:uid="{00000000-0005-0000-0000-000018100000}"/>
    <cellStyle name="요약 2 2 3 20" xfId="5297" xr:uid="{00000000-0005-0000-0000-000019100000}"/>
    <cellStyle name="요약 2 2 3 20 2" xfId="5298" xr:uid="{00000000-0005-0000-0000-00001A100000}"/>
    <cellStyle name="요약 2 2 3 21" xfId="5299" xr:uid="{00000000-0005-0000-0000-00001B100000}"/>
    <cellStyle name="요약 2 2 3 3" xfId="5300" xr:uid="{00000000-0005-0000-0000-00001C100000}"/>
    <cellStyle name="요약 2 2 3 3 2" xfId="5301" xr:uid="{00000000-0005-0000-0000-00001D100000}"/>
    <cellStyle name="요약 2 2 3 4" xfId="5302" xr:uid="{00000000-0005-0000-0000-00001E100000}"/>
    <cellStyle name="요약 2 2 3 4 2" xfId="5303" xr:uid="{00000000-0005-0000-0000-00001F100000}"/>
    <cellStyle name="요약 2 2 3 5" xfId="5304" xr:uid="{00000000-0005-0000-0000-000020100000}"/>
    <cellStyle name="요약 2 2 3 5 2" xfId="5305" xr:uid="{00000000-0005-0000-0000-000021100000}"/>
    <cellStyle name="요약 2 2 3 6" xfId="5306" xr:uid="{00000000-0005-0000-0000-000022100000}"/>
    <cellStyle name="요약 2 2 3 6 2" xfId="5307" xr:uid="{00000000-0005-0000-0000-000023100000}"/>
    <cellStyle name="요약 2 2 3 7" xfId="5308" xr:uid="{00000000-0005-0000-0000-000024100000}"/>
    <cellStyle name="요약 2 2 3 7 2" xfId="5309" xr:uid="{00000000-0005-0000-0000-000025100000}"/>
    <cellStyle name="요약 2 2 3 8" xfId="5310" xr:uid="{00000000-0005-0000-0000-000026100000}"/>
    <cellStyle name="요약 2 2 3 8 2" xfId="5311" xr:uid="{00000000-0005-0000-0000-000027100000}"/>
    <cellStyle name="요약 2 2 3 9" xfId="5312" xr:uid="{00000000-0005-0000-0000-000028100000}"/>
    <cellStyle name="요약 2 2 3 9 2" xfId="5313" xr:uid="{00000000-0005-0000-0000-000029100000}"/>
    <cellStyle name="요약 2 2 4" xfId="5314" xr:uid="{00000000-0005-0000-0000-00002A100000}"/>
    <cellStyle name="요약 2 2 4 10" xfId="5315" xr:uid="{00000000-0005-0000-0000-00002B100000}"/>
    <cellStyle name="요약 2 2 4 10 2" xfId="5316" xr:uid="{00000000-0005-0000-0000-00002C100000}"/>
    <cellStyle name="요약 2 2 4 11" xfId="5317" xr:uid="{00000000-0005-0000-0000-00002D100000}"/>
    <cellStyle name="요약 2 2 4 11 2" xfId="5318" xr:uid="{00000000-0005-0000-0000-00002E100000}"/>
    <cellStyle name="요약 2 2 4 12" xfId="5319" xr:uid="{00000000-0005-0000-0000-00002F100000}"/>
    <cellStyle name="요약 2 2 4 12 2" xfId="5320" xr:uid="{00000000-0005-0000-0000-000030100000}"/>
    <cellStyle name="요약 2 2 4 13" xfId="5321" xr:uid="{00000000-0005-0000-0000-000031100000}"/>
    <cellStyle name="요약 2 2 4 13 2" xfId="5322" xr:uid="{00000000-0005-0000-0000-000032100000}"/>
    <cellStyle name="요약 2 2 4 14" xfId="5323" xr:uid="{00000000-0005-0000-0000-000033100000}"/>
    <cellStyle name="요약 2 2 4 14 2" xfId="5324" xr:uid="{00000000-0005-0000-0000-000034100000}"/>
    <cellStyle name="요약 2 2 4 15" xfId="5325" xr:uid="{00000000-0005-0000-0000-000035100000}"/>
    <cellStyle name="요약 2 2 4 15 2" xfId="5326" xr:uid="{00000000-0005-0000-0000-000036100000}"/>
    <cellStyle name="요약 2 2 4 16" xfId="5327" xr:uid="{00000000-0005-0000-0000-000037100000}"/>
    <cellStyle name="요약 2 2 4 16 2" xfId="5328" xr:uid="{00000000-0005-0000-0000-000038100000}"/>
    <cellStyle name="요약 2 2 4 17" xfId="5329" xr:uid="{00000000-0005-0000-0000-000039100000}"/>
    <cellStyle name="요약 2 2 4 17 2" xfId="5330" xr:uid="{00000000-0005-0000-0000-00003A100000}"/>
    <cellStyle name="요약 2 2 4 18" xfId="5331" xr:uid="{00000000-0005-0000-0000-00003B100000}"/>
    <cellStyle name="요약 2 2 4 18 2" xfId="5332" xr:uid="{00000000-0005-0000-0000-00003C100000}"/>
    <cellStyle name="요약 2 2 4 19" xfId="5333" xr:uid="{00000000-0005-0000-0000-00003D100000}"/>
    <cellStyle name="요약 2 2 4 19 2" xfId="5334" xr:uid="{00000000-0005-0000-0000-00003E100000}"/>
    <cellStyle name="요약 2 2 4 2" xfId="5335" xr:uid="{00000000-0005-0000-0000-00003F100000}"/>
    <cellStyle name="요약 2 2 4 2 10" xfId="5336" xr:uid="{00000000-0005-0000-0000-000040100000}"/>
    <cellStyle name="요약 2 2 4 2 10 2" xfId="5337" xr:uid="{00000000-0005-0000-0000-000041100000}"/>
    <cellStyle name="요약 2 2 4 2 11" xfId="5338" xr:uid="{00000000-0005-0000-0000-000042100000}"/>
    <cellStyle name="요약 2 2 4 2 11 2" xfId="5339" xr:uid="{00000000-0005-0000-0000-000043100000}"/>
    <cellStyle name="요약 2 2 4 2 12" xfId="5340" xr:uid="{00000000-0005-0000-0000-000044100000}"/>
    <cellStyle name="요약 2 2 4 2 12 2" xfId="5341" xr:uid="{00000000-0005-0000-0000-000045100000}"/>
    <cellStyle name="요약 2 2 4 2 13" xfId="5342" xr:uid="{00000000-0005-0000-0000-000046100000}"/>
    <cellStyle name="요약 2 2 4 2 13 2" xfId="5343" xr:uid="{00000000-0005-0000-0000-000047100000}"/>
    <cellStyle name="요약 2 2 4 2 14" xfId="5344" xr:uid="{00000000-0005-0000-0000-000048100000}"/>
    <cellStyle name="요약 2 2 4 2 14 2" xfId="5345" xr:uid="{00000000-0005-0000-0000-000049100000}"/>
    <cellStyle name="요약 2 2 4 2 15" xfId="5346" xr:uid="{00000000-0005-0000-0000-00004A100000}"/>
    <cellStyle name="요약 2 2 4 2 15 2" xfId="5347" xr:uid="{00000000-0005-0000-0000-00004B100000}"/>
    <cellStyle name="요약 2 2 4 2 16" xfId="5348" xr:uid="{00000000-0005-0000-0000-00004C100000}"/>
    <cellStyle name="요약 2 2 4 2 16 2" xfId="5349" xr:uid="{00000000-0005-0000-0000-00004D100000}"/>
    <cellStyle name="요약 2 2 4 2 17" xfId="5350" xr:uid="{00000000-0005-0000-0000-00004E100000}"/>
    <cellStyle name="요약 2 2 4 2 17 2" xfId="5351" xr:uid="{00000000-0005-0000-0000-00004F100000}"/>
    <cellStyle name="요약 2 2 4 2 18" xfId="5352" xr:uid="{00000000-0005-0000-0000-000050100000}"/>
    <cellStyle name="요약 2 2 4 2 18 2" xfId="5353" xr:uid="{00000000-0005-0000-0000-000051100000}"/>
    <cellStyle name="요약 2 2 4 2 19" xfId="5354" xr:uid="{00000000-0005-0000-0000-000052100000}"/>
    <cellStyle name="요약 2 2 4 2 19 2" xfId="5355" xr:uid="{00000000-0005-0000-0000-000053100000}"/>
    <cellStyle name="요약 2 2 4 2 2" xfId="5356" xr:uid="{00000000-0005-0000-0000-000054100000}"/>
    <cellStyle name="요약 2 2 4 2 2 2" xfId="5357" xr:uid="{00000000-0005-0000-0000-000055100000}"/>
    <cellStyle name="요약 2 2 4 2 20" xfId="5358" xr:uid="{00000000-0005-0000-0000-000056100000}"/>
    <cellStyle name="요약 2 2 4 2 3" xfId="5359" xr:uid="{00000000-0005-0000-0000-000057100000}"/>
    <cellStyle name="요약 2 2 4 2 3 2" xfId="5360" xr:uid="{00000000-0005-0000-0000-000058100000}"/>
    <cellStyle name="요약 2 2 4 2 4" xfId="5361" xr:uid="{00000000-0005-0000-0000-000059100000}"/>
    <cellStyle name="요약 2 2 4 2 4 2" xfId="5362" xr:uid="{00000000-0005-0000-0000-00005A100000}"/>
    <cellStyle name="요약 2 2 4 2 5" xfId="5363" xr:uid="{00000000-0005-0000-0000-00005B100000}"/>
    <cellStyle name="요약 2 2 4 2 5 2" xfId="5364" xr:uid="{00000000-0005-0000-0000-00005C100000}"/>
    <cellStyle name="요약 2 2 4 2 6" xfId="5365" xr:uid="{00000000-0005-0000-0000-00005D100000}"/>
    <cellStyle name="요약 2 2 4 2 6 2" xfId="5366" xr:uid="{00000000-0005-0000-0000-00005E100000}"/>
    <cellStyle name="요약 2 2 4 2 7" xfId="5367" xr:uid="{00000000-0005-0000-0000-00005F100000}"/>
    <cellStyle name="요약 2 2 4 2 7 2" xfId="5368" xr:uid="{00000000-0005-0000-0000-000060100000}"/>
    <cellStyle name="요약 2 2 4 2 8" xfId="5369" xr:uid="{00000000-0005-0000-0000-000061100000}"/>
    <cellStyle name="요약 2 2 4 2 8 2" xfId="5370" xr:uid="{00000000-0005-0000-0000-000062100000}"/>
    <cellStyle name="요약 2 2 4 2 9" xfId="5371" xr:uid="{00000000-0005-0000-0000-000063100000}"/>
    <cellStyle name="요약 2 2 4 2 9 2" xfId="5372" xr:uid="{00000000-0005-0000-0000-000064100000}"/>
    <cellStyle name="요약 2 2 4 20" xfId="5373" xr:uid="{00000000-0005-0000-0000-000065100000}"/>
    <cellStyle name="요약 2 2 4 20 2" xfId="5374" xr:uid="{00000000-0005-0000-0000-000066100000}"/>
    <cellStyle name="요약 2 2 4 21" xfId="5375" xr:uid="{00000000-0005-0000-0000-000067100000}"/>
    <cellStyle name="요약 2 2 4 3" xfId="5376" xr:uid="{00000000-0005-0000-0000-000068100000}"/>
    <cellStyle name="요약 2 2 4 3 2" xfId="5377" xr:uid="{00000000-0005-0000-0000-000069100000}"/>
    <cellStyle name="요약 2 2 4 4" xfId="5378" xr:uid="{00000000-0005-0000-0000-00006A100000}"/>
    <cellStyle name="요약 2 2 4 4 2" xfId="5379" xr:uid="{00000000-0005-0000-0000-00006B100000}"/>
    <cellStyle name="요약 2 2 4 5" xfId="5380" xr:uid="{00000000-0005-0000-0000-00006C100000}"/>
    <cellStyle name="요약 2 2 4 5 2" xfId="5381" xr:uid="{00000000-0005-0000-0000-00006D100000}"/>
    <cellStyle name="요약 2 2 4 6" xfId="5382" xr:uid="{00000000-0005-0000-0000-00006E100000}"/>
    <cellStyle name="요약 2 2 4 6 2" xfId="5383" xr:uid="{00000000-0005-0000-0000-00006F100000}"/>
    <cellStyle name="요약 2 2 4 7" xfId="5384" xr:uid="{00000000-0005-0000-0000-000070100000}"/>
    <cellStyle name="요약 2 2 4 7 2" xfId="5385" xr:uid="{00000000-0005-0000-0000-000071100000}"/>
    <cellStyle name="요약 2 2 4 8" xfId="5386" xr:uid="{00000000-0005-0000-0000-000072100000}"/>
    <cellStyle name="요약 2 2 4 8 2" xfId="5387" xr:uid="{00000000-0005-0000-0000-000073100000}"/>
    <cellStyle name="요약 2 2 4 9" xfId="5388" xr:uid="{00000000-0005-0000-0000-000074100000}"/>
    <cellStyle name="요약 2 2 4 9 2" xfId="5389" xr:uid="{00000000-0005-0000-0000-000075100000}"/>
    <cellStyle name="요약 2 2 5" xfId="5390" xr:uid="{00000000-0005-0000-0000-000076100000}"/>
    <cellStyle name="요약 2 2 5 10" xfId="5391" xr:uid="{00000000-0005-0000-0000-000077100000}"/>
    <cellStyle name="요약 2 2 5 10 2" xfId="5392" xr:uid="{00000000-0005-0000-0000-000078100000}"/>
    <cellStyle name="요약 2 2 5 11" xfId="5393" xr:uid="{00000000-0005-0000-0000-000079100000}"/>
    <cellStyle name="요약 2 2 5 11 2" xfId="5394" xr:uid="{00000000-0005-0000-0000-00007A100000}"/>
    <cellStyle name="요약 2 2 5 12" xfId="5395" xr:uid="{00000000-0005-0000-0000-00007B100000}"/>
    <cellStyle name="요약 2 2 5 12 2" xfId="5396" xr:uid="{00000000-0005-0000-0000-00007C100000}"/>
    <cellStyle name="요약 2 2 5 13" xfId="5397" xr:uid="{00000000-0005-0000-0000-00007D100000}"/>
    <cellStyle name="요약 2 2 5 13 2" xfId="5398" xr:uid="{00000000-0005-0000-0000-00007E100000}"/>
    <cellStyle name="요약 2 2 5 14" xfId="5399" xr:uid="{00000000-0005-0000-0000-00007F100000}"/>
    <cellStyle name="요약 2 2 5 14 2" xfId="5400" xr:uid="{00000000-0005-0000-0000-000080100000}"/>
    <cellStyle name="요약 2 2 5 15" xfId="5401" xr:uid="{00000000-0005-0000-0000-000081100000}"/>
    <cellStyle name="요약 2 2 5 15 2" xfId="5402" xr:uid="{00000000-0005-0000-0000-000082100000}"/>
    <cellStyle name="요약 2 2 5 16" xfId="5403" xr:uid="{00000000-0005-0000-0000-000083100000}"/>
    <cellStyle name="요약 2 2 5 16 2" xfId="5404" xr:uid="{00000000-0005-0000-0000-000084100000}"/>
    <cellStyle name="요약 2 2 5 17" xfId="5405" xr:uid="{00000000-0005-0000-0000-000085100000}"/>
    <cellStyle name="요약 2 2 5 17 2" xfId="5406" xr:uid="{00000000-0005-0000-0000-000086100000}"/>
    <cellStyle name="요약 2 2 5 18" xfId="5407" xr:uid="{00000000-0005-0000-0000-000087100000}"/>
    <cellStyle name="요약 2 2 5 18 2" xfId="5408" xr:uid="{00000000-0005-0000-0000-000088100000}"/>
    <cellStyle name="요약 2 2 5 19" xfId="5409" xr:uid="{00000000-0005-0000-0000-000089100000}"/>
    <cellStyle name="요약 2 2 5 19 2" xfId="5410" xr:uid="{00000000-0005-0000-0000-00008A100000}"/>
    <cellStyle name="요약 2 2 5 2" xfId="5411" xr:uid="{00000000-0005-0000-0000-00008B100000}"/>
    <cellStyle name="요약 2 2 5 2 2" xfId="5412" xr:uid="{00000000-0005-0000-0000-00008C100000}"/>
    <cellStyle name="요약 2 2 5 20" xfId="5413" xr:uid="{00000000-0005-0000-0000-00008D100000}"/>
    <cellStyle name="요약 2 2 5 3" xfId="5414" xr:uid="{00000000-0005-0000-0000-00008E100000}"/>
    <cellStyle name="요약 2 2 5 3 2" xfId="5415" xr:uid="{00000000-0005-0000-0000-00008F100000}"/>
    <cellStyle name="요약 2 2 5 4" xfId="5416" xr:uid="{00000000-0005-0000-0000-000090100000}"/>
    <cellStyle name="요약 2 2 5 4 2" xfId="5417" xr:uid="{00000000-0005-0000-0000-000091100000}"/>
    <cellStyle name="요약 2 2 5 5" xfId="5418" xr:uid="{00000000-0005-0000-0000-000092100000}"/>
    <cellStyle name="요약 2 2 5 5 2" xfId="5419" xr:uid="{00000000-0005-0000-0000-000093100000}"/>
    <cellStyle name="요약 2 2 5 6" xfId="5420" xr:uid="{00000000-0005-0000-0000-000094100000}"/>
    <cellStyle name="요약 2 2 5 6 2" xfId="5421" xr:uid="{00000000-0005-0000-0000-000095100000}"/>
    <cellStyle name="요약 2 2 5 7" xfId="5422" xr:uid="{00000000-0005-0000-0000-000096100000}"/>
    <cellStyle name="요약 2 2 5 7 2" xfId="5423" xr:uid="{00000000-0005-0000-0000-000097100000}"/>
    <cellStyle name="요약 2 2 5 8" xfId="5424" xr:uid="{00000000-0005-0000-0000-000098100000}"/>
    <cellStyle name="요약 2 2 5 8 2" xfId="5425" xr:uid="{00000000-0005-0000-0000-000099100000}"/>
    <cellStyle name="요약 2 2 5 9" xfId="5426" xr:uid="{00000000-0005-0000-0000-00009A100000}"/>
    <cellStyle name="요약 2 2 5 9 2" xfId="5427" xr:uid="{00000000-0005-0000-0000-00009B100000}"/>
    <cellStyle name="요약 2 2 6" xfId="5428" xr:uid="{00000000-0005-0000-0000-00009C100000}"/>
    <cellStyle name="요약 2 2 6 2" xfId="5429" xr:uid="{00000000-0005-0000-0000-00009D100000}"/>
    <cellStyle name="요약 2 2 7" xfId="5430" xr:uid="{00000000-0005-0000-0000-00009E100000}"/>
    <cellStyle name="요약 2 2 7 2" xfId="5431" xr:uid="{00000000-0005-0000-0000-00009F100000}"/>
    <cellStyle name="요약 2 2 8" xfId="5432" xr:uid="{00000000-0005-0000-0000-0000A0100000}"/>
    <cellStyle name="요약 2 2 8 2" xfId="5433" xr:uid="{00000000-0005-0000-0000-0000A1100000}"/>
    <cellStyle name="요약 2 2 9" xfId="5434" xr:uid="{00000000-0005-0000-0000-0000A2100000}"/>
    <cellStyle name="요약 2 2 9 2" xfId="5435" xr:uid="{00000000-0005-0000-0000-0000A3100000}"/>
    <cellStyle name="요약 2 20" xfId="5436" xr:uid="{00000000-0005-0000-0000-0000A4100000}"/>
    <cellStyle name="요약 2 20 2" xfId="5437" xr:uid="{00000000-0005-0000-0000-0000A5100000}"/>
    <cellStyle name="요약 2 21" xfId="5438" xr:uid="{00000000-0005-0000-0000-0000A6100000}"/>
    <cellStyle name="요약 2 22" xfId="6395" xr:uid="{00000000-0005-0000-0000-0000A7100000}"/>
    <cellStyle name="요약 2 23" xfId="6401" xr:uid="{00000000-0005-0000-0000-0000A8100000}"/>
    <cellStyle name="요약 2 24" xfId="6393" xr:uid="{00000000-0005-0000-0000-0000A9100000}"/>
    <cellStyle name="요약 2 25" xfId="6398" xr:uid="{00000000-0005-0000-0000-0000AA100000}"/>
    <cellStyle name="요약 2 26" xfId="6397" xr:uid="{00000000-0005-0000-0000-0000AB100000}"/>
    <cellStyle name="요약 2 27" xfId="6414" xr:uid="{00000000-0005-0000-0000-0000AC100000}"/>
    <cellStyle name="요약 2 28" xfId="6390" xr:uid="{00000000-0005-0000-0000-0000AD100000}"/>
    <cellStyle name="요약 2 29" xfId="6405" xr:uid="{00000000-0005-0000-0000-0000AE100000}"/>
    <cellStyle name="요약 2 3" xfId="5439" xr:uid="{00000000-0005-0000-0000-0000AF100000}"/>
    <cellStyle name="요약 2 3 2" xfId="5440" xr:uid="{00000000-0005-0000-0000-0000B0100000}"/>
    <cellStyle name="요약 2 30" xfId="6388" xr:uid="{00000000-0005-0000-0000-0000B1100000}"/>
    <cellStyle name="요약 2 4" xfId="5441" xr:uid="{00000000-0005-0000-0000-0000B2100000}"/>
    <cellStyle name="요약 2 4 2" xfId="5442" xr:uid="{00000000-0005-0000-0000-0000B3100000}"/>
    <cellStyle name="요약 2 5" xfId="5443" xr:uid="{00000000-0005-0000-0000-0000B4100000}"/>
    <cellStyle name="요약 2 5 2" xfId="5444" xr:uid="{00000000-0005-0000-0000-0000B5100000}"/>
    <cellStyle name="요약 2 6" xfId="5445" xr:uid="{00000000-0005-0000-0000-0000B6100000}"/>
    <cellStyle name="요약 2 6 2" xfId="5446" xr:uid="{00000000-0005-0000-0000-0000B7100000}"/>
    <cellStyle name="요약 2 7" xfId="5447" xr:uid="{00000000-0005-0000-0000-0000B8100000}"/>
    <cellStyle name="요약 2 7 2" xfId="5448" xr:uid="{00000000-0005-0000-0000-0000B9100000}"/>
    <cellStyle name="요약 2 8" xfId="5449" xr:uid="{00000000-0005-0000-0000-0000BA100000}"/>
    <cellStyle name="요약 2 8 2" xfId="5450" xr:uid="{00000000-0005-0000-0000-0000BB100000}"/>
    <cellStyle name="요약 2 9" xfId="5451" xr:uid="{00000000-0005-0000-0000-0000BC100000}"/>
    <cellStyle name="요약 2 9 2" xfId="5452" xr:uid="{00000000-0005-0000-0000-0000BD100000}"/>
    <cellStyle name="요약 20" xfId="49427" xr:uid="{00000000-0005-0000-0000-0000BE100000}"/>
    <cellStyle name="요약 21" xfId="49428" xr:uid="{00000000-0005-0000-0000-0000BF100000}"/>
    <cellStyle name="요약 22" xfId="49429" xr:uid="{00000000-0005-0000-0000-0000C0100000}"/>
    <cellStyle name="요약 23" xfId="49430" xr:uid="{00000000-0005-0000-0000-0000C1100000}"/>
    <cellStyle name="요약 24" xfId="49431" xr:uid="{00000000-0005-0000-0000-0000C2100000}"/>
    <cellStyle name="요약 25" xfId="49432" xr:uid="{00000000-0005-0000-0000-0000C3100000}"/>
    <cellStyle name="요약 26" xfId="49433" xr:uid="{00000000-0005-0000-0000-0000C4100000}"/>
    <cellStyle name="요약 27" xfId="49434" xr:uid="{00000000-0005-0000-0000-0000C5100000}"/>
    <cellStyle name="요약 28" xfId="49435" xr:uid="{00000000-0005-0000-0000-0000C6100000}"/>
    <cellStyle name="요약 29" xfId="49436" xr:uid="{00000000-0005-0000-0000-0000C7100000}"/>
    <cellStyle name="요약 3" xfId="3059" xr:uid="{00000000-0005-0000-0000-0000C8100000}"/>
    <cellStyle name="요약 3 10" xfId="2514" xr:uid="{00000000-0005-0000-0000-0000C9100000}"/>
    <cellStyle name="요약 3 11" xfId="2923" xr:uid="{00000000-0005-0000-0000-0000CA100000}"/>
    <cellStyle name="요약 3 2" xfId="2885" xr:uid="{00000000-0005-0000-0000-0000CB100000}"/>
    <cellStyle name="요약 3 3" xfId="357" xr:uid="{00000000-0005-0000-0000-0000CC100000}"/>
    <cellStyle name="요약 3 4" xfId="2788" xr:uid="{00000000-0005-0000-0000-0000CD100000}"/>
    <cellStyle name="요약 3 5" xfId="3369" xr:uid="{00000000-0005-0000-0000-0000CE100000}"/>
    <cellStyle name="요약 3 6" xfId="273" xr:uid="{00000000-0005-0000-0000-0000CF100000}"/>
    <cellStyle name="요약 3 7" xfId="2550" xr:uid="{00000000-0005-0000-0000-0000D0100000}"/>
    <cellStyle name="요약 3 8" xfId="3796" xr:uid="{00000000-0005-0000-0000-0000D1100000}"/>
    <cellStyle name="요약 3 9" xfId="3980" xr:uid="{00000000-0005-0000-0000-0000D2100000}"/>
    <cellStyle name="요약 30" xfId="49437" xr:uid="{00000000-0005-0000-0000-0000D3100000}"/>
    <cellStyle name="요약 31" xfId="49438" xr:uid="{00000000-0005-0000-0000-0000D4100000}"/>
    <cellStyle name="요약 32" xfId="49439" xr:uid="{00000000-0005-0000-0000-0000D5100000}"/>
    <cellStyle name="요약 33" xfId="49440" xr:uid="{00000000-0005-0000-0000-0000D6100000}"/>
    <cellStyle name="요약 4" xfId="3622" xr:uid="{00000000-0005-0000-0000-0000D7100000}"/>
    <cellStyle name="요약 4 10" xfId="2815" xr:uid="{00000000-0005-0000-0000-0000D8100000}"/>
    <cellStyle name="요약 4 11" xfId="3860" xr:uid="{00000000-0005-0000-0000-0000D9100000}"/>
    <cellStyle name="요약 4 2" xfId="4108" xr:uid="{00000000-0005-0000-0000-0000DA100000}"/>
    <cellStyle name="요약 4 3" xfId="4233" xr:uid="{00000000-0005-0000-0000-0000DB100000}"/>
    <cellStyle name="요약 4 4" xfId="2837" xr:uid="{00000000-0005-0000-0000-0000DC100000}"/>
    <cellStyle name="요약 4 5" xfId="3139" xr:uid="{00000000-0005-0000-0000-0000DD100000}"/>
    <cellStyle name="요약 4 6" xfId="3579" xr:uid="{00000000-0005-0000-0000-0000DE100000}"/>
    <cellStyle name="요약 4 7" xfId="2856" xr:uid="{00000000-0005-0000-0000-0000DF100000}"/>
    <cellStyle name="요약 4 8" xfId="2852" xr:uid="{00000000-0005-0000-0000-0000E0100000}"/>
    <cellStyle name="요약 4 9" xfId="4070" xr:uid="{00000000-0005-0000-0000-0000E1100000}"/>
    <cellStyle name="요약 5" xfId="3118" xr:uid="{00000000-0005-0000-0000-0000E2100000}"/>
    <cellStyle name="요약 5 2" xfId="315" xr:uid="{00000000-0005-0000-0000-0000E3100000}"/>
    <cellStyle name="요약 5 3" xfId="2872" xr:uid="{00000000-0005-0000-0000-0000E4100000}"/>
    <cellStyle name="요약 5 4" xfId="3347" xr:uid="{00000000-0005-0000-0000-0000E5100000}"/>
    <cellStyle name="요약 5 5" xfId="2421" xr:uid="{00000000-0005-0000-0000-0000E6100000}"/>
    <cellStyle name="요약 6" xfId="3831" xr:uid="{00000000-0005-0000-0000-0000E7100000}"/>
    <cellStyle name="요약 6 2" xfId="2566" xr:uid="{00000000-0005-0000-0000-0000E8100000}"/>
    <cellStyle name="요약 6 3" xfId="2861" xr:uid="{00000000-0005-0000-0000-0000E9100000}"/>
    <cellStyle name="요약 6 4" xfId="287" xr:uid="{00000000-0005-0000-0000-0000EA100000}"/>
    <cellStyle name="요약 6 5" xfId="306" xr:uid="{00000000-0005-0000-0000-0000EB100000}"/>
    <cellStyle name="요약 7" xfId="3691" xr:uid="{00000000-0005-0000-0000-0000EC100000}"/>
    <cellStyle name="요약 7 2" xfId="3194" xr:uid="{00000000-0005-0000-0000-0000ED100000}"/>
    <cellStyle name="요약 8" xfId="2942" xr:uid="{00000000-0005-0000-0000-0000EE100000}"/>
    <cellStyle name="요약 8 2" xfId="2493" xr:uid="{00000000-0005-0000-0000-0000EF100000}"/>
    <cellStyle name="요약 9" xfId="6415" xr:uid="{00000000-0005-0000-0000-0000F0100000}"/>
    <cellStyle name="입력 10" xfId="6445" xr:uid="{00000000-0005-0000-0000-0000F1100000}"/>
    <cellStyle name="입력 11" xfId="6339" xr:uid="{00000000-0005-0000-0000-0000F2100000}"/>
    <cellStyle name="입력 12" xfId="6452" xr:uid="{00000000-0005-0000-0000-0000F3100000}"/>
    <cellStyle name="입력 13" xfId="49441" xr:uid="{00000000-0005-0000-0000-0000F4100000}"/>
    <cellStyle name="입력 14" xfId="49442" xr:uid="{00000000-0005-0000-0000-0000F5100000}"/>
    <cellStyle name="입력 15" xfId="49443" xr:uid="{00000000-0005-0000-0000-0000F6100000}"/>
    <cellStyle name="입력 16" xfId="49444" xr:uid="{00000000-0005-0000-0000-0000F7100000}"/>
    <cellStyle name="입력 17" xfId="49445" xr:uid="{00000000-0005-0000-0000-0000F8100000}"/>
    <cellStyle name="입력 18" xfId="49446" xr:uid="{00000000-0005-0000-0000-0000F9100000}"/>
    <cellStyle name="입력 19" xfId="49447" xr:uid="{00000000-0005-0000-0000-0000FA100000}"/>
    <cellStyle name="입력 2" xfId="260" xr:uid="{00000000-0005-0000-0000-0000FB100000}"/>
    <cellStyle name="입력 2 10" xfId="5454" xr:uid="{00000000-0005-0000-0000-0000FC100000}"/>
    <cellStyle name="입력 2 10 2" xfId="5455" xr:uid="{00000000-0005-0000-0000-0000FD100000}"/>
    <cellStyle name="입력 2 11" xfId="5456" xr:uid="{00000000-0005-0000-0000-0000FE100000}"/>
    <cellStyle name="입력 2 11 2" xfId="5457" xr:uid="{00000000-0005-0000-0000-0000FF100000}"/>
    <cellStyle name="입력 2 12" xfId="5458" xr:uid="{00000000-0005-0000-0000-000000110000}"/>
    <cellStyle name="입력 2 12 2" xfId="5459" xr:uid="{00000000-0005-0000-0000-000001110000}"/>
    <cellStyle name="입력 2 13" xfId="5460" xr:uid="{00000000-0005-0000-0000-000002110000}"/>
    <cellStyle name="입력 2 13 2" xfId="5461" xr:uid="{00000000-0005-0000-0000-000003110000}"/>
    <cellStyle name="입력 2 14" xfId="5462" xr:uid="{00000000-0005-0000-0000-000004110000}"/>
    <cellStyle name="입력 2 14 2" xfId="5463" xr:uid="{00000000-0005-0000-0000-000005110000}"/>
    <cellStyle name="입력 2 15" xfId="5464" xr:uid="{00000000-0005-0000-0000-000006110000}"/>
    <cellStyle name="입력 2 15 2" xfId="5465" xr:uid="{00000000-0005-0000-0000-000007110000}"/>
    <cellStyle name="입력 2 16" xfId="5466" xr:uid="{00000000-0005-0000-0000-000008110000}"/>
    <cellStyle name="입력 2 16 2" xfId="5467" xr:uid="{00000000-0005-0000-0000-000009110000}"/>
    <cellStyle name="입력 2 17" xfId="5468" xr:uid="{00000000-0005-0000-0000-00000A110000}"/>
    <cellStyle name="입력 2 17 2" xfId="5469" xr:uid="{00000000-0005-0000-0000-00000B110000}"/>
    <cellStyle name="입력 2 18" xfId="5470" xr:uid="{00000000-0005-0000-0000-00000C110000}"/>
    <cellStyle name="입력 2 18 2" xfId="5471" xr:uid="{00000000-0005-0000-0000-00000D110000}"/>
    <cellStyle name="입력 2 19" xfId="5472" xr:uid="{00000000-0005-0000-0000-00000E110000}"/>
    <cellStyle name="입력 2 19 2" xfId="5473" xr:uid="{00000000-0005-0000-0000-00000F110000}"/>
    <cellStyle name="입력 2 2" xfId="5453" xr:uid="{00000000-0005-0000-0000-000010110000}"/>
    <cellStyle name="입력 2 2 10" xfId="5474" xr:uid="{00000000-0005-0000-0000-000011110000}"/>
    <cellStyle name="입력 2 2 10 2" xfId="5475" xr:uid="{00000000-0005-0000-0000-000012110000}"/>
    <cellStyle name="입력 2 2 11" xfId="5476" xr:uid="{00000000-0005-0000-0000-000013110000}"/>
    <cellStyle name="입력 2 2 11 2" xfId="5477" xr:uid="{00000000-0005-0000-0000-000014110000}"/>
    <cellStyle name="입력 2 2 12" xfId="5478" xr:uid="{00000000-0005-0000-0000-000015110000}"/>
    <cellStyle name="입력 2 2 12 2" xfId="5479" xr:uid="{00000000-0005-0000-0000-000016110000}"/>
    <cellStyle name="입력 2 2 13" xfId="5480" xr:uid="{00000000-0005-0000-0000-000017110000}"/>
    <cellStyle name="입력 2 2 13 2" xfId="5481" xr:uid="{00000000-0005-0000-0000-000018110000}"/>
    <cellStyle name="입력 2 2 14" xfId="5482" xr:uid="{00000000-0005-0000-0000-000019110000}"/>
    <cellStyle name="입력 2 2 14 2" xfId="5483" xr:uid="{00000000-0005-0000-0000-00001A110000}"/>
    <cellStyle name="입력 2 2 15" xfId="5484" xr:uid="{00000000-0005-0000-0000-00001B110000}"/>
    <cellStyle name="입력 2 2 15 2" xfId="5485" xr:uid="{00000000-0005-0000-0000-00001C110000}"/>
    <cellStyle name="입력 2 2 16" xfId="5486" xr:uid="{00000000-0005-0000-0000-00001D110000}"/>
    <cellStyle name="입력 2 2 16 2" xfId="5487" xr:uid="{00000000-0005-0000-0000-00001E110000}"/>
    <cellStyle name="입력 2 2 17" xfId="5488" xr:uid="{00000000-0005-0000-0000-00001F110000}"/>
    <cellStyle name="입력 2 2 17 2" xfId="5489" xr:uid="{00000000-0005-0000-0000-000020110000}"/>
    <cellStyle name="입력 2 2 18" xfId="5490" xr:uid="{00000000-0005-0000-0000-000021110000}"/>
    <cellStyle name="입력 2 2 18 2" xfId="5491" xr:uid="{00000000-0005-0000-0000-000022110000}"/>
    <cellStyle name="입력 2 2 19" xfId="5492" xr:uid="{00000000-0005-0000-0000-000023110000}"/>
    <cellStyle name="입력 2 2 19 2" xfId="5493" xr:uid="{00000000-0005-0000-0000-000024110000}"/>
    <cellStyle name="입력 2 2 2" xfId="5494" xr:uid="{00000000-0005-0000-0000-000025110000}"/>
    <cellStyle name="입력 2 2 2 10" xfId="5495" xr:uid="{00000000-0005-0000-0000-000026110000}"/>
    <cellStyle name="입력 2 2 2 10 2" xfId="5496" xr:uid="{00000000-0005-0000-0000-000027110000}"/>
    <cellStyle name="입력 2 2 2 11" xfId="5497" xr:uid="{00000000-0005-0000-0000-000028110000}"/>
    <cellStyle name="입력 2 2 2 11 2" xfId="5498" xr:uid="{00000000-0005-0000-0000-000029110000}"/>
    <cellStyle name="입력 2 2 2 12" xfId="5499" xr:uid="{00000000-0005-0000-0000-00002A110000}"/>
    <cellStyle name="입력 2 2 2 12 2" xfId="5500" xr:uid="{00000000-0005-0000-0000-00002B110000}"/>
    <cellStyle name="입력 2 2 2 13" xfId="5501" xr:uid="{00000000-0005-0000-0000-00002C110000}"/>
    <cellStyle name="입력 2 2 2 13 2" xfId="5502" xr:uid="{00000000-0005-0000-0000-00002D110000}"/>
    <cellStyle name="입력 2 2 2 14" xfId="5503" xr:uid="{00000000-0005-0000-0000-00002E110000}"/>
    <cellStyle name="입력 2 2 2 14 2" xfId="5504" xr:uid="{00000000-0005-0000-0000-00002F110000}"/>
    <cellStyle name="입력 2 2 2 15" xfId="5505" xr:uid="{00000000-0005-0000-0000-000030110000}"/>
    <cellStyle name="입력 2 2 2 15 2" xfId="5506" xr:uid="{00000000-0005-0000-0000-000031110000}"/>
    <cellStyle name="입력 2 2 2 16" xfId="5507" xr:uid="{00000000-0005-0000-0000-000032110000}"/>
    <cellStyle name="입력 2 2 2 16 2" xfId="5508" xr:uid="{00000000-0005-0000-0000-000033110000}"/>
    <cellStyle name="입력 2 2 2 17" xfId="5509" xr:uid="{00000000-0005-0000-0000-000034110000}"/>
    <cellStyle name="입력 2 2 2 17 2" xfId="5510" xr:uid="{00000000-0005-0000-0000-000035110000}"/>
    <cellStyle name="입력 2 2 2 18" xfId="5511" xr:uid="{00000000-0005-0000-0000-000036110000}"/>
    <cellStyle name="입력 2 2 2 18 2" xfId="5512" xr:uid="{00000000-0005-0000-0000-000037110000}"/>
    <cellStyle name="입력 2 2 2 19" xfId="5513" xr:uid="{00000000-0005-0000-0000-000038110000}"/>
    <cellStyle name="입력 2 2 2 19 2" xfId="5514" xr:uid="{00000000-0005-0000-0000-000039110000}"/>
    <cellStyle name="입력 2 2 2 2" xfId="5515" xr:uid="{00000000-0005-0000-0000-00003A110000}"/>
    <cellStyle name="입력 2 2 2 2 10" xfId="5516" xr:uid="{00000000-0005-0000-0000-00003B110000}"/>
    <cellStyle name="입력 2 2 2 2 10 2" xfId="5517" xr:uid="{00000000-0005-0000-0000-00003C110000}"/>
    <cellStyle name="입력 2 2 2 2 11" xfId="5518" xr:uid="{00000000-0005-0000-0000-00003D110000}"/>
    <cellStyle name="입력 2 2 2 2 11 2" xfId="5519" xr:uid="{00000000-0005-0000-0000-00003E110000}"/>
    <cellStyle name="입력 2 2 2 2 12" xfId="5520" xr:uid="{00000000-0005-0000-0000-00003F110000}"/>
    <cellStyle name="입력 2 2 2 2 12 2" xfId="5521" xr:uid="{00000000-0005-0000-0000-000040110000}"/>
    <cellStyle name="입력 2 2 2 2 13" xfId="5522" xr:uid="{00000000-0005-0000-0000-000041110000}"/>
    <cellStyle name="입력 2 2 2 2 13 2" xfId="5523" xr:uid="{00000000-0005-0000-0000-000042110000}"/>
    <cellStyle name="입력 2 2 2 2 14" xfId="5524" xr:uid="{00000000-0005-0000-0000-000043110000}"/>
    <cellStyle name="입력 2 2 2 2 14 2" xfId="5525" xr:uid="{00000000-0005-0000-0000-000044110000}"/>
    <cellStyle name="입력 2 2 2 2 15" xfId="5526" xr:uid="{00000000-0005-0000-0000-000045110000}"/>
    <cellStyle name="입력 2 2 2 2 15 2" xfId="5527" xr:uid="{00000000-0005-0000-0000-000046110000}"/>
    <cellStyle name="입력 2 2 2 2 16" xfId="5528" xr:uid="{00000000-0005-0000-0000-000047110000}"/>
    <cellStyle name="입력 2 2 2 2 16 2" xfId="5529" xr:uid="{00000000-0005-0000-0000-000048110000}"/>
    <cellStyle name="입력 2 2 2 2 17" xfId="5530" xr:uid="{00000000-0005-0000-0000-000049110000}"/>
    <cellStyle name="입력 2 2 2 2 17 2" xfId="5531" xr:uid="{00000000-0005-0000-0000-00004A110000}"/>
    <cellStyle name="입력 2 2 2 2 18" xfId="5532" xr:uid="{00000000-0005-0000-0000-00004B110000}"/>
    <cellStyle name="입력 2 2 2 2 18 2" xfId="5533" xr:uid="{00000000-0005-0000-0000-00004C110000}"/>
    <cellStyle name="입력 2 2 2 2 19" xfId="5534" xr:uid="{00000000-0005-0000-0000-00004D110000}"/>
    <cellStyle name="입력 2 2 2 2 19 2" xfId="5535" xr:uid="{00000000-0005-0000-0000-00004E110000}"/>
    <cellStyle name="입력 2 2 2 2 2" xfId="5536" xr:uid="{00000000-0005-0000-0000-00004F110000}"/>
    <cellStyle name="입력 2 2 2 2 2 2" xfId="5537" xr:uid="{00000000-0005-0000-0000-000050110000}"/>
    <cellStyle name="입력 2 2 2 2 20" xfId="5538" xr:uid="{00000000-0005-0000-0000-000051110000}"/>
    <cellStyle name="입력 2 2 2 2 3" xfId="5539" xr:uid="{00000000-0005-0000-0000-000052110000}"/>
    <cellStyle name="입력 2 2 2 2 3 2" xfId="5540" xr:uid="{00000000-0005-0000-0000-000053110000}"/>
    <cellStyle name="입력 2 2 2 2 4" xfId="5541" xr:uid="{00000000-0005-0000-0000-000054110000}"/>
    <cellStyle name="입력 2 2 2 2 4 2" xfId="5542" xr:uid="{00000000-0005-0000-0000-000055110000}"/>
    <cellStyle name="입력 2 2 2 2 5" xfId="5543" xr:uid="{00000000-0005-0000-0000-000056110000}"/>
    <cellStyle name="입력 2 2 2 2 5 2" xfId="5544" xr:uid="{00000000-0005-0000-0000-000057110000}"/>
    <cellStyle name="입력 2 2 2 2 6" xfId="5545" xr:uid="{00000000-0005-0000-0000-000058110000}"/>
    <cellStyle name="입력 2 2 2 2 6 2" xfId="5546" xr:uid="{00000000-0005-0000-0000-000059110000}"/>
    <cellStyle name="입력 2 2 2 2 7" xfId="5547" xr:uid="{00000000-0005-0000-0000-00005A110000}"/>
    <cellStyle name="입력 2 2 2 2 7 2" xfId="5548" xr:uid="{00000000-0005-0000-0000-00005B110000}"/>
    <cellStyle name="입력 2 2 2 2 8" xfId="5549" xr:uid="{00000000-0005-0000-0000-00005C110000}"/>
    <cellStyle name="입력 2 2 2 2 8 2" xfId="5550" xr:uid="{00000000-0005-0000-0000-00005D110000}"/>
    <cellStyle name="입력 2 2 2 2 9" xfId="5551" xr:uid="{00000000-0005-0000-0000-00005E110000}"/>
    <cellStyle name="입력 2 2 2 2 9 2" xfId="5552" xr:uid="{00000000-0005-0000-0000-00005F110000}"/>
    <cellStyle name="입력 2 2 2 20" xfId="5553" xr:uid="{00000000-0005-0000-0000-000060110000}"/>
    <cellStyle name="입력 2 2 2 20 2" xfId="5554" xr:uid="{00000000-0005-0000-0000-000061110000}"/>
    <cellStyle name="입력 2 2 2 21" xfId="5555" xr:uid="{00000000-0005-0000-0000-000062110000}"/>
    <cellStyle name="입력 2 2 2 3" xfId="5556" xr:uid="{00000000-0005-0000-0000-000063110000}"/>
    <cellStyle name="입력 2 2 2 3 2" xfId="5557" xr:uid="{00000000-0005-0000-0000-000064110000}"/>
    <cellStyle name="입력 2 2 2 4" xfId="5558" xr:uid="{00000000-0005-0000-0000-000065110000}"/>
    <cellStyle name="입력 2 2 2 4 2" xfId="5559" xr:uid="{00000000-0005-0000-0000-000066110000}"/>
    <cellStyle name="입력 2 2 2 5" xfId="5560" xr:uid="{00000000-0005-0000-0000-000067110000}"/>
    <cellStyle name="입력 2 2 2 5 2" xfId="5561" xr:uid="{00000000-0005-0000-0000-000068110000}"/>
    <cellStyle name="입력 2 2 2 6" xfId="5562" xr:uid="{00000000-0005-0000-0000-000069110000}"/>
    <cellStyle name="입력 2 2 2 6 2" xfId="5563" xr:uid="{00000000-0005-0000-0000-00006A110000}"/>
    <cellStyle name="입력 2 2 2 7" xfId="5564" xr:uid="{00000000-0005-0000-0000-00006B110000}"/>
    <cellStyle name="입력 2 2 2 7 2" xfId="5565" xr:uid="{00000000-0005-0000-0000-00006C110000}"/>
    <cellStyle name="입력 2 2 2 8" xfId="5566" xr:uid="{00000000-0005-0000-0000-00006D110000}"/>
    <cellStyle name="입력 2 2 2 8 2" xfId="5567" xr:uid="{00000000-0005-0000-0000-00006E110000}"/>
    <cellStyle name="입력 2 2 2 9" xfId="5568" xr:uid="{00000000-0005-0000-0000-00006F110000}"/>
    <cellStyle name="입력 2 2 2 9 2" xfId="5569" xr:uid="{00000000-0005-0000-0000-000070110000}"/>
    <cellStyle name="입력 2 2 20" xfId="5570" xr:uid="{00000000-0005-0000-0000-000071110000}"/>
    <cellStyle name="입력 2 2 20 2" xfId="5571" xr:uid="{00000000-0005-0000-0000-000072110000}"/>
    <cellStyle name="입력 2 2 21" xfId="5572" xr:uid="{00000000-0005-0000-0000-000073110000}"/>
    <cellStyle name="입력 2 2 21 2" xfId="5573" xr:uid="{00000000-0005-0000-0000-000074110000}"/>
    <cellStyle name="입력 2 2 22" xfId="5574" xr:uid="{00000000-0005-0000-0000-000075110000}"/>
    <cellStyle name="입력 2 2 22 2" xfId="5575" xr:uid="{00000000-0005-0000-0000-000076110000}"/>
    <cellStyle name="입력 2 2 23" xfId="5576" xr:uid="{00000000-0005-0000-0000-000077110000}"/>
    <cellStyle name="입력 2 2 23 2" xfId="5577" xr:uid="{00000000-0005-0000-0000-000078110000}"/>
    <cellStyle name="입력 2 2 24" xfId="5578" xr:uid="{00000000-0005-0000-0000-000079110000}"/>
    <cellStyle name="입력 2 2 3" xfId="5579" xr:uid="{00000000-0005-0000-0000-00007A110000}"/>
    <cellStyle name="입력 2 2 3 10" xfId="5580" xr:uid="{00000000-0005-0000-0000-00007B110000}"/>
    <cellStyle name="입력 2 2 3 10 2" xfId="5581" xr:uid="{00000000-0005-0000-0000-00007C110000}"/>
    <cellStyle name="입력 2 2 3 11" xfId="5582" xr:uid="{00000000-0005-0000-0000-00007D110000}"/>
    <cellStyle name="입력 2 2 3 11 2" xfId="5583" xr:uid="{00000000-0005-0000-0000-00007E110000}"/>
    <cellStyle name="입력 2 2 3 12" xfId="5584" xr:uid="{00000000-0005-0000-0000-00007F110000}"/>
    <cellStyle name="입력 2 2 3 12 2" xfId="5585" xr:uid="{00000000-0005-0000-0000-000080110000}"/>
    <cellStyle name="입력 2 2 3 13" xfId="5586" xr:uid="{00000000-0005-0000-0000-000081110000}"/>
    <cellStyle name="입력 2 2 3 13 2" xfId="5587" xr:uid="{00000000-0005-0000-0000-000082110000}"/>
    <cellStyle name="입력 2 2 3 14" xfId="5588" xr:uid="{00000000-0005-0000-0000-000083110000}"/>
    <cellStyle name="입력 2 2 3 14 2" xfId="5589" xr:uid="{00000000-0005-0000-0000-000084110000}"/>
    <cellStyle name="입력 2 2 3 15" xfId="5590" xr:uid="{00000000-0005-0000-0000-000085110000}"/>
    <cellStyle name="입력 2 2 3 15 2" xfId="5591" xr:uid="{00000000-0005-0000-0000-000086110000}"/>
    <cellStyle name="입력 2 2 3 16" xfId="5592" xr:uid="{00000000-0005-0000-0000-000087110000}"/>
    <cellStyle name="입력 2 2 3 16 2" xfId="5593" xr:uid="{00000000-0005-0000-0000-000088110000}"/>
    <cellStyle name="입력 2 2 3 17" xfId="5594" xr:uid="{00000000-0005-0000-0000-000089110000}"/>
    <cellStyle name="입력 2 2 3 17 2" xfId="5595" xr:uid="{00000000-0005-0000-0000-00008A110000}"/>
    <cellStyle name="입력 2 2 3 18" xfId="5596" xr:uid="{00000000-0005-0000-0000-00008B110000}"/>
    <cellStyle name="입력 2 2 3 18 2" xfId="5597" xr:uid="{00000000-0005-0000-0000-00008C110000}"/>
    <cellStyle name="입력 2 2 3 19" xfId="5598" xr:uid="{00000000-0005-0000-0000-00008D110000}"/>
    <cellStyle name="입력 2 2 3 19 2" xfId="5599" xr:uid="{00000000-0005-0000-0000-00008E110000}"/>
    <cellStyle name="입력 2 2 3 2" xfId="5600" xr:uid="{00000000-0005-0000-0000-00008F110000}"/>
    <cellStyle name="입력 2 2 3 2 10" xfId="5601" xr:uid="{00000000-0005-0000-0000-000090110000}"/>
    <cellStyle name="입력 2 2 3 2 10 2" xfId="5602" xr:uid="{00000000-0005-0000-0000-000091110000}"/>
    <cellStyle name="입력 2 2 3 2 11" xfId="5603" xr:uid="{00000000-0005-0000-0000-000092110000}"/>
    <cellStyle name="입력 2 2 3 2 11 2" xfId="5604" xr:uid="{00000000-0005-0000-0000-000093110000}"/>
    <cellStyle name="입력 2 2 3 2 12" xfId="5605" xr:uid="{00000000-0005-0000-0000-000094110000}"/>
    <cellStyle name="입력 2 2 3 2 12 2" xfId="5606" xr:uid="{00000000-0005-0000-0000-000095110000}"/>
    <cellStyle name="입력 2 2 3 2 13" xfId="5607" xr:uid="{00000000-0005-0000-0000-000096110000}"/>
    <cellStyle name="입력 2 2 3 2 13 2" xfId="5608" xr:uid="{00000000-0005-0000-0000-000097110000}"/>
    <cellStyle name="입력 2 2 3 2 14" xfId="5609" xr:uid="{00000000-0005-0000-0000-000098110000}"/>
    <cellStyle name="입력 2 2 3 2 14 2" xfId="5610" xr:uid="{00000000-0005-0000-0000-000099110000}"/>
    <cellStyle name="입력 2 2 3 2 15" xfId="5611" xr:uid="{00000000-0005-0000-0000-00009A110000}"/>
    <cellStyle name="입력 2 2 3 2 15 2" xfId="5612" xr:uid="{00000000-0005-0000-0000-00009B110000}"/>
    <cellStyle name="입력 2 2 3 2 16" xfId="5613" xr:uid="{00000000-0005-0000-0000-00009C110000}"/>
    <cellStyle name="입력 2 2 3 2 16 2" xfId="5614" xr:uid="{00000000-0005-0000-0000-00009D110000}"/>
    <cellStyle name="입력 2 2 3 2 17" xfId="5615" xr:uid="{00000000-0005-0000-0000-00009E110000}"/>
    <cellStyle name="입력 2 2 3 2 17 2" xfId="5616" xr:uid="{00000000-0005-0000-0000-00009F110000}"/>
    <cellStyle name="입력 2 2 3 2 18" xfId="5617" xr:uid="{00000000-0005-0000-0000-0000A0110000}"/>
    <cellStyle name="입력 2 2 3 2 18 2" xfId="5618" xr:uid="{00000000-0005-0000-0000-0000A1110000}"/>
    <cellStyle name="입력 2 2 3 2 19" xfId="5619" xr:uid="{00000000-0005-0000-0000-0000A2110000}"/>
    <cellStyle name="입력 2 2 3 2 19 2" xfId="5620" xr:uid="{00000000-0005-0000-0000-0000A3110000}"/>
    <cellStyle name="입력 2 2 3 2 2" xfId="5621" xr:uid="{00000000-0005-0000-0000-0000A4110000}"/>
    <cellStyle name="입력 2 2 3 2 2 2" xfId="5622" xr:uid="{00000000-0005-0000-0000-0000A5110000}"/>
    <cellStyle name="입력 2 2 3 2 20" xfId="5623" xr:uid="{00000000-0005-0000-0000-0000A6110000}"/>
    <cellStyle name="입력 2 2 3 2 3" xfId="5624" xr:uid="{00000000-0005-0000-0000-0000A7110000}"/>
    <cellStyle name="입력 2 2 3 2 3 2" xfId="5625" xr:uid="{00000000-0005-0000-0000-0000A8110000}"/>
    <cellStyle name="입력 2 2 3 2 4" xfId="5626" xr:uid="{00000000-0005-0000-0000-0000A9110000}"/>
    <cellStyle name="입력 2 2 3 2 4 2" xfId="5627" xr:uid="{00000000-0005-0000-0000-0000AA110000}"/>
    <cellStyle name="입력 2 2 3 2 5" xfId="5628" xr:uid="{00000000-0005-0000-0000-0000AB110000}"/>
    <cellStyle name="입력 2 2 3 2 5 2" xfId="5629" xr:uid="{00000000-0005-0000-0000-0000AC110000}"/>
    <cellStyle name="입력 2 2 3 2 6" xfId="5630" xr:uid="{00000000-0005-0000-0000-0000AD110000}"/>
    <cellStyle name="입력 2 2 3 2 6 2" xfId="5631" xr:uid="{00000000-0005-0000-0000-0000AE110000}"/>
    <cellStyle name="입력 2 2 3 2 7" xfId="5632" xr:uid="{00000000-0005-0000-0000-0000AF110000}"/>
    <cellStyle name="입력 2 2 3 2 7 2" xfId="5633" xr:uid="{00000000-0005-0000-0000-0000B0110000}"/>
    <cellStyle name="입력 2 2 3 2 8" xfId="5634" xr:uid="{00000000-0005-0000-0000-0000B1110000}"/>
    <cellStyle name="입력 2 2 3 2 8 2" xfId="5635" xr:uid="{00000000-0005-0000-0000-0000B2110000}"/>
    <cellStyle name="입력 2 2 3 2 9" xfId="5636" xr:uid="{00000000-0005-0000-0000-0000B3110000}"/>
    <cellStyle name="입력 2 2 3 2 9 2" xfId="5637" xr:uid="{00000000-0005-0000-0000-0000B4110000}"/>
    <cellStyle name="입력 2 2 3 20" xfId="5638" xr:uid="{00000000-0005-0000-0000-0000B5110000}"/>
    <cellStyle name="입력 2 2 3 20 2" xfId="5639" xr:uid="{00000000-0005-0000-0000-0000B6110000}"/>
    <cellStyle name="입력 2 2 3 21" xfId="5640" xr:uid="{00000000-0005-0000-0000-0000B7110000}"/>
    <cellStyle name="입력 2 2 3 3" xfId="5641" xr:uid="{00000000-0005-0000-0000-0000B8110000}"/>
    <cellStyle name="입력 2 2 3 3 2" xfId="5642" xr:uid="{00000000-0005-0000-0000-0000B9110000}"/>
    <cellStyle name="입력 2 2 3 4" xfId="5643" xr:uid="{00000000-0005-0000-0000-0000BA110000}"/>
    <cellStyle name="입력 2 2 3 4 2" xfId="5644" xr:uid="{00000000-0005-0000-0000-0000BB110000}"/>
    <cellStyle name="입력 2 2 3 5" xfId="5645" xr:uid="{00000000-0005-0000-0000-0000BC110000}"/>
    <cellStyle name="입력 2 2 3 5 2" xfId="5646" xr:uid="{00000000-0005-0000-0000-0000BD110000}"/>
    <cellStyle name="입력 2 2 3 6" xfId="5647" xr:uid="{00000000-0005-0000-0000-0000BE110000}"/>
    <cellStyle name="입력 2 2 3 6 2" xfId="5648" xr:uid="{00000000-0005-0000-0000-0000BF110000}"/>
    <cellStyle name="입력 2 2 3 7" xfId="5649" xr:uid="{00000000-0005-0000-0000-0000C0110000}"/>
    <cellStyle name="입력 2 2 3 7 2" xfId="5650" xr:uid="{00000000-0005-0000-0000-0000C1110000}"/>
    <cellStyle name="입력 2 2 3 8" xfId="5651" xr:uid="{00000000-0005-0000-0000-0000C2110000}"/>
    <cellStyle name="입력 2 2 3 8 2" xfId="5652" xr:uid="{00000000-0005-0000-0000-0000C3110000}"/>
    <cellStyle name="입력 2 2 3 9" xfId="5653" xr:uid="{00000000-0005-0000-0000-0000C4110000}"/>
    <cellStyle name="입력 2 2 3 9 2" xfId="5654" xr:uid="{00000000-0005-0000-0000-0000C5110000}"/>
    <cellStyle name="입력 2 2 4" xfId="5655" xr:uid="{00000000-0005-0000-0000-0000C6110000}"/>
    <cellStyle name="입력 2 2 4 10" xfId="5656" xr:uid="{00000000-0005-0000-0000-0000C7110000}"/>
    <cellStyle name="입력 2 2 4 10 2" xfId="5657" xr:uid="{00000000-0005-0000-0000-0000C8110000}"/>
    <cellStyle name="입력 2 2 4 11" xfId="5658" xr:uid="{00000000-0005-0000-0000-0000C9110000}"/>
    <cellStyle name="입력 2 2 4 11 2" xfId="5659" xr:uid="{00000000-0005-0000-0000-0000CA110000}"/>
    <cellStyle name="입력 2 2 4 12" xfId="5660" xr:uid="{00000000-0005-0000-0000-0000CB110000}"/>
    <cellStyle name="입력 2 2 4 12 2" xfId="5661" xr:uid="{00000000-0005-0000-0000-0000CC110000}"/>
    <cellStyle name="입력 2 2 4 13" xfId="5662" xr:uid="{00000000-0005-0000-0000-0000CD110000}"/>
    <cellStyle name="입력 2 2 4 13 2" xfId="5663" xr:uid="{00000000-0005-0000-0000-0000CE110000}"/>
    <cellStyle name="입력 2 2 4 14" xfId="5664" xr:uid="{00000000-0005-0000-0000-0000CF110000}"/>
    <cellStyle name="입력 2 2 4 14 2" xfId="5665" xr:uid="{00000000-0005-0000-0000-0000D0110000}"/>
    <cellStyle name="입력 2 2 4 15" xfId="5666" xr:uid="{00000000-0005-0000-0000-0000D1110000}"/>
    <cellStyle name="입력 2 2 4 15 2" xfId="5667" xr:uid="{00000000-0005-0000-0000-0000D2110000}"/>
    <cellStyle name="입력 2 2 4 16" xfId="5668" xr:uid="{00000000-0005-0000-0000-0000D3110000}"/>
    <cellStyle name="입력 2 2 4 16 2" xfId="5669" xr:uid="{00000000-0005-0000-0000-0000D4110000}"/>
    <cellStyle name="입력 2 2 4 17" xfId="5670" xr:uid="{00000000-0005-0000-0000-0000D5110000}"/>
    <cellStyle name="입력 2 2 4 17 2" xfId="5671" xr:uid="{00000000-0005-0000-0000-0000D6110000}"/>
    <cellStyle name="입력 2 2 4 18" xfId="5672" xr:uid="{00000000-0005-0000-0000-0000D7110000}"/>
    <cellStyle name="입력 2 2 4 18 2" xfId="5673" xr:uid="{00000000-0005-0000-0000-0000D8110000}"/>
    <cellStyle name="입력 2 2 4 19" xfId="5674" xr:uid="{00000000-0005-0000-0000-0000D9110000}"/>
    <cellStyle name="입력 2 2 4 19 2" xfId="5675" xr:uid="{00000000-0005-0000-0000-0000DA110000}"/>
    <cellStyle name="입력 2 2 4 2" xfId="5676" xr:uid="{00000000-0005-0000-0000-0000DB110000}"/>
    <cellStyle name="입력 2 2 4 2 10" xfId="5677" xr:uid="{00000000-0005-0000-0000-0000DC110000}"/>
    <cellStyle name="입력 2 2 4 2 10 2" xfId="5678" xr:uid="{00000000-0005-0000-0000-0000DD110000}"/>
    <cellStyle name="입력 2 2 4 2 11" xfId="5679" xr:uid="{00000000-0005-0000-0000-0000DE110000}"/>
    <cellStyle name="입력 2 2 4 2 11 2" xfId="5680" xr:uid="{00000000-0005-0000-0000-0000DF110000}"/>
    <cellStyle name="입력 2 2 4 2 12" xfId="5681" xr:uid="{00000000-0005-0000-0000-0000E0110000}"/>
    <cellStyle name="입력 2 2 4 2 12 2" xfId="5682" xr:uid="{00000000-0005-0000-0000-0000E1110000}"/>
    <cellStyle name="입력 2 2 4 2 13" xfId="5683" xr:uid="{00000000-0005-0000-0000-0000E2110000}"/>
    <cellStyle name="입력 2 2 4 2 13 2" xfId="5684" xr:uid="{00000000-0005-0000-0000-0000E3110000}"/>
    <cellStyle name="입력 2 2 4 2 14" xfId="5685" xr:uid="{00000000-0005-0000-0000-0000E4110000}"/>
    <cellStyle name="입력 2 2 4 2 14 2" xfId="5686" xr:uid="{00000000-0005-0000-0000-0000E5110000}"/>
    <cellStyle name="입력 2 2 4 2 15" xfId="5687" xr:uid="{00000000-0005-0000-0000-0000E6110000}"/>
    <cellStyle name="입력 2 2 4 2 15 2" xfId="5688" xr:uid="{00000000-0005-0000-0000-0000E7110000}"/>
    <cellStyle name="입력 2 2 4 2 16" xfId="5689" xr:uid="{00000000-0005-0000-0000-0000E8110000}"/>
    <cellStyle name="입력 2 2 4 2 16 2" xfId="5690" xr:uid="{00000000-0005-0000-0000-0000E9110000}"/>
    <cellStyle name="입력 2 2 4 2 17" xfId="5691" xr:uid="{00000000-0005-0000-0000-0000EA110000}"/>
    <cellStyle name="입력 2 2 4 2 17 2" xfId="5692" xr:uid="{00000000-0005-0000-0000-0000EB110000}"/>
    <cellStyle name="입력 2 2 4 2 18" xfId="5693" xr:uid="{00000000-0005-0000-0000-0000EC110000}"/>
    <cellStyle name="입력 2 2 4 2 18 2" xfId="5694" xr:uid="{00000000-0005-0000-0000-0000ED110000}"/>
    <cellStyle name="입력 2 2 4 2 19" xfId="5695" xr:uid="{00000000-0005-0000-0000-0000EE110000}"/>
    <cellStyle name="입력 2 2 4 2 19 2" xfId="5696" xr:uid="{00000000-0005-0000-0000-0000EF110000}"/>
    <cellStyle name="입력 2 2 4 2 2" xfId="5697" xr:uid="{00000000-0005-0000-0000-0000F0110000}"/>
    <cellStyle name="입력 2 2 4 2 2 2" xfId="5698" xr:uid="{00000000-0005-0000-0000-0000F1110000}"/>
    <cellStyle name="입력 2 2 4 2 20" xfId="5699" xr:uid="{00000000-0005-0000-0000-0000F2110000}"/>
    <cellStyle name="입력 2 2 4 2 3" xfId="5700" xr:uid="{00000000-0005-0000-0000-0000F3110000}"/>
    <cellStyle name="입력 2 2 4 2 3 2" xfId="5701" xr:uid="{00000000-0005-0000-0000-0000F4110000}"/>
    <cellStyle name="입력 2 2 4 2 4" xfId="5702" xr:uid="{00000000-0005-0000-0000-0000F5110000}"/>
    <cellStyle name="입력 2 2 4 2 4 2" xfId="5703" xr:uid="{00000000-0005-0000-0000-0000F6110000}"/>
    <cellStyle name="입력 2 2 4 2 5" xfId="5704" xr:uid="{00000000-0005-0000-0000-0000F7110000}"/>
    <cellStyle name="입력 2 2 4 2 5 2" xfId="5705" xr:uid="{00000000-0005-0000-0000-0000F8110000}"/>
    <cellStyle name="입력 2 2 4 2 6" xfId="5706" xr:uid="{00000000-0005-0000-0000-0000F9110000}"/>
    <cellStyle name="입력 2 2 4 2 6 2" xfId="5707" xr:uid="{00000000-0005-0000-0000-0000FA110000}"/>
    <cellStyle name="입력 2 2 4 2 7" xfId="5708" xr:uid="{00000000-0005-0000-0000-0000FB110000}"/>
    <cellStyle name="입력 2 2 4 2 7 2" xfId="5709" xr:uid="{00000000-0005-0000-0000-0000FC110000}"/>
    <cellStyle name="입력 2 2 4 2 8" xfId="5710" xr:uid="{00000000-0005-0000-0000-0000FD110000}"/>
    <cellStyle name="입력 2 2 4 2 8 2" xfId="5711" xr:uid="{00000000-0005-0000-0000-0000FE110000}"/>
    <cellStyle name="입력 2 2 4 2 9" xfId="5712" xr:uid="{00000000-0005-0000-0000-0000FF110000}"/>
    <cellStyle name="입력 2 2 4 2 9 2" xfId="5713" xr:uid="{00000000-0005-0000-0000-000000120000}"/>
    <cellStyle name="입력 2 2 4 20" xfId="5714" xr:uid="{00000000-0005-0000-0000-000001120000}"/>
    <cellStyle name="입력 2 2 4 20 2" xfId="5715" xr:uid="{00000000-0005-0000-0000-000002120000}"/>
    <cellStyle name="입력 2 2 4 21" xfId="5716" xr:uid="{00000000-0005-0000-0000-000003120000}"/>
    <cellStyle name="입력 2 2 4 3" xfId="5717" xr:uid="{00000000-0005-0000-0000-000004120000}"/>
    <cellStyle name="입력 2 2 4 3 2" xfId="5718" xr:uid="{00000000-0005-0000-0000-000005120000}"/>
    <cellStyle name="입력 2 2 4 4" xfId="5719" xr:uid="{00000000-0005-0000-0000-000006120000}"/>
    <cellStyle name="입력 2 2 4 4 2" xfId="5720" xr:uid="{00000000-0005-0000-0000-000007120000}"/>
    <cellStyle name="입력 2 2 4 5" xfId="5721" xr:uid="{00000000-0005-0000-0000-000008120000}"/>
    <cellStyle name="입력 2 2 4 5 2" xfId="5722" xr:uid="{00000000-0005-0000-0000-000009120000}"/>
    <cellStyle name="입력 2 2 4 6" xfId="5723" xr:uid="{00000000-0005-0000-0000-00000A120000}"/>
    <cellStyle name="입력 2 2 4 6 2" xfId="5724" xr:uid="{00000000-0005-0000-0000-00000B120000}"/>
    <cellStyle name="입력 2 2 4 7" xfId="5725" xr:uid="{00000000-0005-0000-0000-00000C120000}"/>
    <cellStyle name="입력 2 2 4 7 2" xfId="5726" xr:uid="{00000000-0005-0000-0000-00000D120000}"/>
    <cellStyle name="입력 2 2 4 8" xfId="5727" xr:uid="{00000000-0005-0000-0000-00000E120000}"/>
    <cellStyle name="입력 2 2 4 8 2" xfId="5728" xr:uid="{00000000-0005-0000-0000-00000F120000}"/>
    <cellStyle name="입력 2 2 4 9" xfId="5729" xr:uid="{00000000-0005-0000-0000-000010120000}"/>
    <cellStyle name="입력 2 2 4 9 2" xfId="5730" xr:uid="{00000000-0005-0000-0000-000011120000}"/>
    <cellStyle name="입력 2 2 5" xfId="5731" xr:uid="{00000000-0005-0000-0000-000012120000}"/>
    <cellStyle name="입력 2 2 5 10" xfId="5732" xr:uid="{00000000-0005-0000-0000-000013120000}"/>
    <cellStyle name="입력 2 2 5 10 2" xfId="5733" xr:uid="{00000000-0005-0000-0000-000014120000}"/>
    <cellStyle name="입력 2 2 5 11" xfId="5734" xr:uid="{00000000-0005-0000-0000-000015120000}"/>
    <cellStyle name="입력 2 2 5 11 2" xfId="5735" xr:uid="{00000000-0005-0000-0000-000016120000}"/>
    <cellStyle name="입력 2 2 5 12" xfId="5736" xr:uid="{00000000-0005-0000-0000-000017120000}"/>
    <cellStyle name="입력 2 2 5 12 2" xfId="5737" xr:uid="{00000000-0005-0000-0000-000018120000}"/>
    <cellStyle name="입력 2 2 5 13" xfId="5738" xr:uid="{00000000-0005-0000-0000-000019120000}"/>
    <cellStyle name="입력 2 2 5 13 2" xfId="5739" xr:uid="{00000000-0005-0000-0000-00001A120000}"/>
    <cellStyle name="입력 2 2 5 14" xfId="5740" xr:uid="{00000000-0005-0000-0000-00001B120000}"/>
    <cellStyle name="입력 2 2 5 14 2" xfId="5741" xr:uid="{00000000-0005-0000-0000-00001C120000}"/>
    <cellStyle name="입력 2 2 5 15" xfId="5742" xr:uid="{00000000-0005-0000-0000-00001D120000}"/>
    <cellStyle name="입력 2 2 5 15 2" xfId="5743" xr:uid="{00000000-0005-0000-0000-00001E120000}"/>
    <cellStyle name="입력 2 2 5 16" xfId="5744" xr:uid="{00000000-0005-0000-0000-00001F120000}"/>
    <cellStyle name="입력 2 2 5 16 2" xfId="5745" xr:uid="{00000000-0005-0000-0000-000020120000}"/>
    <cellStyle name="입력 2 2 5 17" xfId="5746" xr:uid="{00000000-0005-0000-0000-000021120000}"/>
    <cellStyle name="입력 2 2 5 17 2" xfId="5747" xr:uid="{00000000-0005-0000-0000-000022120000}"/>
    <cellStyle name="입력 2 2 5 18" xfId="5748" xr:uid="{00000000-0005-0000-0000-000023120000}"/>
    <cellStyle name="입력 2 2 5 18 2" xfId="5749" xr:uid="{00000000-0005-0000-0000-000024120000}"/>
    <cellStyle name="입력 2 2 5 19" xfId="5750" xr:uid="{00000000-0005-0000-0000-000025120000}"/>
    <cellStyle name="입력 2 2 5 19 2" xfId="5751" xr:uid="{00000000-0005-0000-0000-000026120000}"/>
    <cellStyle name="입력 2 2 5 2" xfId="5752" xr:uid="{00000000-0005-0000-0000-000027120000}"/>
    <cellStyle name="입력 2 2 5 2 2" xfId="5753" xr:uid="{00000000-0005-0000-0000-000028120000}"/>
    <cellStyle name="입력 2 2 5 20" xfId="5754" xr:uid="{00000000-0005-0000-0000-000029120000}"/>
    <cellStyle name="입력 2 2 5 3" xfId="5755" xr:uid="{00000000-0005-0000-0000-00002A120000}"/>
    <cellStyle name="입력 2 2 5 3 2" xfId="5756" xr:uid="{00000000-0005-0000-0000-00002B120000}"/>
    <cellStyle name="입력 2 2 5 4" xfId="5757" xr:uid="{00000000-0005-0000-0000-00002C120000}"/>
    <cellStyle name="입력 2 2 5 4 2" xfId="5758" xr:uid="{00000000-0005-0000-0000-00002D120000}"/>
    <cellStyle name="입력 2 2 5 5" xfId="5759" xr:uid="{00000000-0005-0000-0000-00002E120000}"/>
    <cellStyle name="입력 2 2 5 5 2" xfId="5760" xr:uid="{00000000-0005-0000-0000-00002F120000}"/>
    <cellStyle name="입력 2 2 5 6" xfId="5761" xr:uid="{00000000-0005-0000-0000-000030120000}"/>
    <cellStyle name="입력 2 2 5 6 2" xfId="5762" xr:uid="{00000000-0005-0000-0000-000031120000}"/>
    <cellStyle name="입력 2 2 5 7" xfId="5763" xr:uid="{00000000-0005-0000-0000-000032120000}"/>
    <cellStyle name="입력 2 2 5 7 2" xfId="5764" xr:uid="{00000000-0005-0000-0000-000033120000}"/>
    <cellStyle name="입력 2 2 5 8" xfId="5765" xr:uid="{00000000-0005-0000-0000-000034120000}"/>
    <cellStyle name="입력 2 2 5 8 2" xfId="5766" xr:uid="{00000000-0005-0000-0000-000035120000}"/>
    <cellStyle name="입력 2 2 5 9" xfId="5767" xr:uid="{00000000-0005-0000-0000-000036120000}"/>
    <cellStyle name="입력 2 2 5 9 2" xfId="5768" xr:uid="{00000000-0005-0000-0000-000037120000}"/>
    <cellStyle name="입력 2 2 6" xfId="5769" xr:uid="{00000000-0005-0000-0000-000038120000}"/>
    <cellStyle name="입력 2 2 6 2" xfId="5770" xr:uid="{00000000-0005-0000-0000-000039120000}"/>
    <cellStyle name="입력 2 2 7" xfId="5771" xr:uid="{00000000-0005-0000-0000-00003A120000}"/>
    <cellStyle name="입력 2 2 7 2" xfId="5772" xr:uid="{00000000-0005-0000-0000-00003B120000}"/>
    <cellStyle name="입력 2 2 8" xfId="5773" xr:uid="{00000000-0005-0000-0000-00003C120000}"/>
    <cellStyle name="입력 2 2 8 2" xfId="5774" xr:uid="{00000000-0005-0000-0000-00003D120000}"/>
    <cellStyle name="입력 2 2 9" xfId="5775" xr:uid="{00000000-0005-0000-0000-00003E120000}"/>
    <cellStyle name="입력 2 2 9 2" xfId="5776" xr:uid="{00000000-0005-0000-0000-00003F120000}"/>
    <cellStyle name="입력 2 20" xfId="5777" xr:uid="{00000000-0005-0000-0000-000040120000}"/>
    <cellStyle name="입력 2 20 2" xfId="5778" xr:uid="{00000000-0005-0000-0000-000041120000}"/>
    <cellStyle name="입력 2 21" xfId="5779" xr:uid="{00000000-0005-0000-0000-000042120000}"/>
    <cellStyle name="입력 2 22" xfId="6416" xr:uid="{00000000-0005-0000-0000-000043120000}"/>
    <cellStyle name="입력 2 23" xfId="6371" xr:uid="{00000000-0005-0000-0000-000044120000}"/>
    <cellStyle name="입력 2 24" xfId="6425" xr:uid="{00000000-0005-0000-0000-000045120000}"/>
    <cellStyle name="입력 2 25" xfId="6355" xr:uid="{00000000-0005-0000-0000-000046120000}"/>
    <cellStyle name="입력 2 26" xfId="6435" xr:uid="{00000000-0005-0000-0000-000047120000}"/>
    <cellStyle name="입력 2 27" xfId="6352" xr:uid="{00000000-0005-0000-0000-000048120000}"/>
    <cellStyle name="입력 2 28" xfId="6446" xr:uid="{00000000-0005-0000-0000-000049120000}"/>
    <cellStyle name="입력 2 29" xfId="6338" xr:uid="{00000000-0005-0000-0000-00004A120000}"/>
    <cellStyle name="입력 2 3" xfId="5780" xr:uid="{00000000-0005-0000-0000-00004B120000}"/>
    <cellStyle name="입력 2 3 2" xfId="5781" xr:uid="{00000000-0005-0000-0000-00004C120000}"/>
    <cellStyle name="입력 2 30" xfId="6453" xr:uid="{00000000-0005-0000-0000-00004D120000}"/>
    <cellStyle name="입력 2 4" xfId="5782" xr:uid="{00000000-0005-0000-0000-00004E120000}"/>
    <cellStyle name="입력 2 4 2" xfId="5783" xr:uid="{00000000-0005-0000-0000-00004F120000}"/>
    <cellStyle name="입력 2 5" xfId="5784" xr:uid="{00000000-0005-0000-0000-000050120000}"/>
    <cellStyle name="입력 2 5 2" xfId="5785" xr:uid="{00000000-0005-0000-0000-000051120000}"/>
    <cellStyle name="입력 2 6" xfId="5786" xr:uid="{00000000-0005-0000-0000-000052120000}"/>
    <cellStyle name="입력 2 6 2" xfId="5787" xr:uid="{00000000-0005-0000-0000-000053120000}"/>
    <cellStyle name="입력 2 7" xfId="5788" xr:uid="{00000000-0005-0000-0000-000054120000}"/>
    <cellStyle name="입력 2 7 2" xfId="5789" xr:uid="{00000000-0005-0000-0000-000055120000}"/>
    <cellStyle name="입력 2 8" xfId="5790" xr:uid="{00000000-0005-0000-0000-000056120000}"/>
    <cellStyle name="입력 2 8 2" xfId="5791" xr:uid="{00000000-0005-0000-0000-000057120000}"/>
    <cellStyle name="입력 2 9" xfId="5792" xr:uid="{00000000-0005-0000-0000-000058120000}"/>
    <cellStyle name="입력 2 9 2" xfId="5793" xr:uid="{00000000-0005-0000-0000-000059120000}"/>
    <cellStyle name="입력 20" xfId="49448" xr:uid="{00000000-0005-0000-0000-00005A120000}"/>
    <cellStyle name="입력 21" xfId="49449" xr:uid="{00000000-0005-0000-0000-00005B120000}"/>
    <cellStyle name="입력 22" xfId="49450" xr:uid="{00000000-0005-0000-0000-00005C120000}"/>
    <cellStyle name="입력 23" xfId="49451" xr:uid="{00000000-0005-0000-0000-00005D120000}"/>
    <cellStyle name="입력 24" xfId="49452" xr:uid="{00000000-0005-0000-0000-00005E120000}"/>
    <cellStyle name="입력 25" xfId="49453" xr:uid="{00000000-0005-0000-0000-00005F120000}"/>
    <cellStyle name="입력 26" xfId="49454" xr:uid="{00000000-0005-0000-0000-000060120000}"/>
    <cellStyle name="입력 27" xfId="49455" xr:uid="{00000000-0005-0000-0000-000061120000}"/>
    <cellStyle name="입력 28" xfId="49456" xr:uid="{00000000-0005-0000-0000-000062120000}"/>
    <cellStyle name="입력 29" xfId="49457" xr:uid="{00000000-0005-0000-0000-000063120000}"/>
    <cellStyle name="입력 3" xfId="3887" xr:uid="{00000000-0005-0000-0000-000064120000}"/>
    <cellStyle name="입력 3 10" xfId="3685" xr:uid="{00000000-0005-0000-0000-000065120000}"/>
    <cellStyle name="입력 3 11" xfId="2957" xr:uid="{00000000-0005-0000-0000-000066120000}"/>
    <cellStyle name="입력 3 2" xfId="4180" xr:uid="{00000000-0005-0000-0000-000067120000}"/>
    <cellStyle name="입력 3 3" xfId="3879" xr:uid="{00000000-0005-0000-0000-000068120000}"/>
    <cellStyle name="입력 3 4" xfId="3688" xr:uid="{00000000-0005-0000-0000-000069120000}"/>
    <cellStyle name="입력 3 5" xfId="3208" xr:uid="{00000000-0005-0000-0000-00006A120000}"/>
    <cellStyle name="입력 3 6" xfId="2642" xr:uid="{00000000-0005-0000-0000-00006B120000}"/>
    <cellStyle name="입력 3 7" xfId="2724" xr:uid="{00000000-0005-0000-0000-00006C120000}"/>
    <cellStyle name="입력 3 8" xfId="4061" xr:uid="{00000000-0005-0000-0000-00006D120000}"/>
    <cellStyle name="입력 3 9" xfId="2730" xr:uid="{00000000-0005-0000-0000-00006E120000}"/>
    <cellStyle name="입력 30" xfId="49458" xr:uid="{00000000-0005-0000-0000-00006F120000}"/>
    <cellStyle name="입력 31" xfId="49459" xr:uid="{00000000-0005-0000-0000-000070120000}"/>
    <cellStyle name="입력 32" xfId="49460" xr:uid="{00000000-0005-0000-0000-000071120000}"/>
    <cellStyle name="입력 33" xfId="49461" xr:uid="{00000000-0005-0000-0000-000072120000}"/>
    <cellStyle name="입력 4" xfId="2543" xr:uid="{00000000-0005-0000-0000-000073120000}"/>
    <cellStyle name="입력 4 10" xfId="4064" xr:uid="{00000000-0005-0000-0000-000074120000}"/>
    <cellStyle name="입력 4 11" xfId="2838" xr:uid="{00000000-0005-0000-0000-000075120000}"/>
    <cellStyle name="입력 4 2" xfId="3884" xr:uid="{00000000-0005-0000-0000-000076120000}"/>
    <cellStyle name="입력 4 3" xfId="3524" xr:uid="{00000000-0005-0000-0000-000077120000}"/>
    <cellStyle name="입력 4 4" xfId="4134" xr:uid="{00000000-0005-0000-0000-000078120000}"/>
    <cellStyle name="입력 4 5" xfId="327" xr:uid="{00000000-0005-0000-0000-000079120000}"/>
    <cellStyle name="입력 4 6" xfId="2494" xr:uid="{00000000-0005-0000-0000-00007A120000}"/>
    <cellStyle name="입력 4 7" xfId="3788" xr:uid="{00000000-0005-0000-0000-00007B120000}"/>
    <cellStyle name="입력 4 8" xfId="2915" xr:uid="{00000000-0005-0000-0000-00007C120000}"/>
    <cellStyle name="입력 4 9" xfId="3165" xr:uid="{00000000-0005-0000-0000-00007D120000}"/>
    <cellStyle name="입력 5" xfId="3911" xr:uid="{00000000-0005-0000-0000-00007E120000}"/>
    <cellStyle name="입력 5 2" xfId="2684" xr:uid="{00000000-0005-0000-0000-00007F120000}"/>
    <cellStyle name="입력 5 3" xfId="2958" xr:uid="{00000000-0005-0000-0000-000080120000}"/>
    <cellStyle name="입력 5 4" xfId="2685" xr:uid="{00000000-0005-0000-0000-000081120000}"/>
    <cellStyle name="입력 5 5" xfId="2682" xr:uid="{00000000-0005-0000-0000-000082120000}"/>
    <cellStyle name="입력 6" xfId="4017" xr:uid="{00000000-0005-0000-0000-000083120000}"/>
    <cellStyle name="입력 6 2" xfId="2798" xr:uid="{00000000-0005-0000-0000-000084120000}"/>
    <cellStyle name="입력 6 3" xfId="3857" xr:uid="{00000000-0005-0000-0000-000085120000}"/>
    <cellStyle name="입력 6 4" xfId="3258" xr:uid="{00000000-0005-0000-0000-000086120000}"/>
    <cellStyle name="입력 6 5" xfId="2549" xr:uid="{00000000-0005-0000-0000-000087120000}"/>
    <cellStyle name="입력 7" xfId="3992" xr:uid="{00000000-0005-0000-0000-000088120000}"/>
    <cellStyle name="입력 7 2" xfId="2658" xr:uid="{00000000-0005-0000-0000-000089120000}"/>
    <cellStyle name="입력 8" xfId="2567" xr:uid="{00000000-0005-0000-0000-00008A120000}"/>
    <cellStyle name="입력 8 2" xfId="2453" xr:uid="{00000000-0005-0000-0000-00008B120000}"/>
    <cellStyle name="입력 9" xfId="6353" xr:uid="{00000000-0005-0000-0000-00008C120000}"/>
    <cellStyle name="자리수0" xfId="261" xr:uid="{00000000-0005-0000-0000-00008D120000}"/>
    <cellStyle name="자리수0 2" xfId="49462" xr:uid="{00000000-0005-0000-0000-00008E120000}"/>
    <cellStyle name="제목 1 10" xfId="6484" xr:uid="{00000000-0005-0000-0000-00008F120000}"/>
    <cellStyle name="제목 1 11" xfId="6293" xr:uid="{00000000-0005-0000-0000-000090120000}"/>
    <cellStyle name="제목 1 12" xfId="6502" xr:uid="{00000000-0005-0000-0000-000091120000}"/>
    <cellStyle name="제목 1 13" xfId="49463" xr:uid="{00000000-0005-0000-0000-000092120000}"/>
    <cellStyle name="제목 1 14" xfId="49464" xr:uid="{00000000-0005-0000-0000-000093120000}"/>
    <cellStyle name="제목 1 15" xfId="49465" xr:uid="{00000000-0005-0000-0000-000094120000}"/>
    <cellStyle name="제목 1 16" xfId="49466" xr:uid="{00000000-0005-0000-0000-000095120000}"/>
    <cellStyle name="제목 1 17" xfId="49467" xr:uid="{00000000-0005-0000-0000-000096120000}"/>
    <cellStyle name="제목 1 18" xfId="49468" xr:uid="{00000000-0005-0000-0000-000097120000}"/>
    <cellStyle name="제목 1 19" xfId="49469" xr:uid="{00000000-0005-0000-0000-000098120000}"/>
    <cellStyle name="제목 1 2" xfId="262" xr:uid="{00000000-0005-0000-0000-000099120000}"/>
    <cellStyle name="제목 1 2 10" xfId="6292" xr:uid="{00000000-0005-0000-0000-00009A120000}"/>
    <cellStyle name="제목 1 2 11" xfId="6503" xr:uid="{00000000-0005-0000-0000-00009B120000}"/>
    <cellStyle name="제목 1 2 2" xfId="5794" xr:uid="{00000000-0005-0000-0000-00009C120000}"/>
    <cellStyle name="제목 1 2 3" xfId="6454" xr:uid="{00000000-0005-0000-0000-00009D120000}"/>
    <cellStyle name="제목 1 2 4" xfId="6330" xr:uid="{00000000-0005-0000-0000-00009E120000}"/>
    <cellStyle name="제목 1 2 5" xfId="6463" xr:uid="{00000000-0005-0000-0000-00009F120000}"/>
    <cellStyle name="제목 1 2 6" xfId="6321" xr:uid="{00000000-0005-0000-0000-0000A0120000}"/>
    <cellStyle name="제목 1 2 7" xfId="6472" xr:uid="{00000000-0005-0000-0000-0000A1120000}"/>
    <cellStyle name="제목 1 2 8" xfId="6310" xr:uid="{00000000-0005-0000-0000-0000A2120000}"/>
    <cellStyle name="제목 1 2 9" xfId="6485" xr:uid="{00000000-0005-0000-0000-0000A3120000}"/>
    <cellStyle name="제목 1 20" xfId="49470" xr:uid="{00000000-0005-0000-0000-0000A4120000}"/>
    <cellStyle name="제목 1 21" xfId="49471" xr:uid="{00000000-0005-0000-0000-0000A5120000}"/>
    <cellStyle name="제목 1 22" xfId="49472" xr:uid="{00000000-0005-0000-0000-0000A6120000}"/>
    <cellStyle name="제목 1 23" xfId="49473" xr:uid="{00000000-0005-0000-0000-0000A7120000}"/>
    <cellStyle name="제목 1 24" xfId="49474" xr:uid="{00000000-0005-0000-0000-0000A8120000}"/>
    <cellStyle name="제목 1 25" xfId="49475" xr:uid="{00000000-0005-0000-0000-0000A9120000}"/>
    <cellStyle name="제목 1 26" xfId="49476" xr:uid="{00000000-0005-0000-0000-0000AA120000}"/>
    <cellStyle name="제목 1 27" xfId="49477" xr:uid="{00000000-0005-0000-0000-0000AB120000}"/>
    <cellStyle name="제목 1 28" xfId="49478" xr:uid="{00000000-0005-0000-0000-0000AC120000}"/>
    <cellStyle name="제목 1 29" xfId="49479" xr:uid="{00000000-0005-0000-0000-0000AD120000}"/>
    <cellStyle name="제목 1 3" xfId="3389" xr:uid="{00000000-0005-0000-0000-0000AE120000}"/>
    <cellStyle name="제목 1 3 10" xfId="3166" xr:uid="{00000000-0005-0000-0000-0000AF120000}"/>
    <cellStyle name="제목 1 3 11" xfId="4029" xr:uid="{00000000-0005-0000-0000-0000B0120000}"/>
    <cellStyle name="제목 1 3 2" xfId="3873" xr:uid="{00000000-0005-0000-0000-0000B1120000}"/>
    <cellStyle name="제목 1 3 3" xfId="2908" xr:uid="{00000000-0005-0000-0000-0000B2120000}"/>
    <cellStyle name="제목 1 3 4" xfId="4248" xr:uid="{00000000-0005-0000-0000-0000B3120000}"/>
    <cellStyle name="제목 1 3 5" xfId="3756" xr:uid="{00000000-0005-0000-0000-0000B4120000}"/>
    <cellStyle name="제목 1 3 6" xfId="2946" xr:uid="{00000000-0005-0000-0000-0000B5120000}"/>
    <cellStyle name="제목 1 3 7" xfId="2628" xr:uid="{00000000-0005-0000-0000-0000B6120000}"/>
    <cellStyle name="제목 1 3 8" xfId="3187" xr:uid="{00000000-0005-0000-0000-0000B7120000}"/>
    <cellStyle name="제목 1 3 9" xfId="375" xr:uid="{00000000-0005-0000-0000-0000B8120000}"/>
    <cellStyle name="제목 1 30" xfId="49480" xr:uid="{00000000-0005-0000-0000-0000B9120000}"/>
    <cellStyle name="제목 1 31" xfId="49481" xr:uid="{00000000-0005-0000-0000-0000BA120000}"/>
    <cellStyle name="제목 1 32" xfId="49482" xr:uid="{00000000-0005-0000-0000-0000BB120000}"/>
    <cellStyle name="제목 1 33" xfId="49483" xr:uid="{00000000-0005-0000-0000-0000BC120000}"/>
    <cellStyle name="제목 1 4" xfId="2944" xr:uid="{00000000-0005-0000-0000-0000BD120000}"/>
    <cellStyle name="제목 1 4 10" xfId="2768" xr:uid="{00000000-0005-0000-0000-0000BE120000}"/>
    <cellStyle name="제목 1 4 11" xfId="4160" xr:uid="{00000000-0005-0000-0000-0000BF120000}"/>
    <cellStyle name="제목 1 4 2" xfId="3560" xr:uid="{00000000-0005-0000-0000-0000C0120000}"/>
    <cellStyle name="제목 1 4 3" xfId="3922" xr:uid="{00000000-0005-0000-0000-0000C1120000}"/>
    <cellStyle name="제목 1 4 4" xfId="2522" xr:uid="{00000000-0005-0000-0000-0000C2120000}"/>
    <cellStyle name="제목 1 4 5" xfId="3212" xr:uid="{00000000-0005-0000-0000-0000C3120000}"/>
    <cellStyle name="제목 1 4 6" xfId="3919" xr:uid="{00000000-0005-0000-0000-0000C4120000}"/>
    <cellStyle name="제목 1 4 7" xfId="3556" xr:uid="{00000000-0005-0000-0000-0000C5120000}"/>
    <cellStyle name="제목 1 4 8" xfId="4169" xr:uid="{00000000-0005-0000-0000-0000C6120000}"/>
    <cellStyle name="제목 1 4 9" xfId="4288" xr:uid="{00000000-0005-0000-0000-0000C7120000}"/>
    <cellStyle name="제목 1 5" xfId="3317" xr:uid="{00000000-0005-0000-0000-0000C8120000}"/>
    <cellStyle name="제목 1 5 2" xfId="3064" xr:uid="{00000000-0005-0000-0000-0000C9120000}"/>
    <cellStyle name="제목 1 5 3" xfId="2404" xr:uid="{00000000-0005-0000-0000-0000CA120000}"/>
    <cellStyle name="제목 1 5 4" xfId="4075" xr:uid="{00000000-0005-0000-0000-0000CB120000}"/>
    <cellStyle name="제목 1 5 5" xfId="3228" xr:uid="{00000000-0005-0000-0000-0000CC120000}"/>
    <cellStyle name="제목 1 6" xfId="2927" xr:uid="{00000000-0005-0000-0000-0000CD120000}"/>
    <cellStyle name="제목 1 6 2" xfId="4148" xr:uid="{00000000-0005-0000-0000-0000CE120000}"/>
    <cellStyle name="제목 1 6 3" xfId="3757" xr:uid="{00000000-0005-0000-0000-0000CF120000}"/>
    <cellStyle name="제목 1 6 4" xfId="2692" xr:uid="{00000000-0005-0000-0000-0000D0120000}"/>
    <cellStyle name="제목 1 6 5" xfId="2748" xr:uid="{00000000-0005-0000-0000-0000D1120000}"/>
    <cellStyle name="제목 1 7" xfId="3230" xr:uid="{00000000-0005-0000-0000-0000D2120000}"/>
    <cellStyle name="제목 1 7 2" xfId="3542" xr:uid="{00000000-0005-0000-0000-0000D3120000}"/>
    <cellStyle name="제목 1 8" xfId="3009" xr:uid="{00000000-0005-0000-0000-0000D4120000}"/>
    <cellStyle name="제목 1 8 2" xfId="2516" xr:uid="{00000000-0005-0000-0000-0000D5120000}"/>
    <cellStyle name="제목 1 9" xfId="6311" xr:uid="{00000000-0005-0000-0000-0000D6120000}"/>
    <cellStyle name="제목 10" xfId="3907" xr:uid="{00000000-0005-0000-0000-0000D7120000}"/>
    <cellStyle name="제목 10 2" xfId="3061" xr:uid="{00000000-0005-0000-0000-0000D8120000}"/>
    <cellStyle name="제목 11" xfId="2456" xr:uid="{00000000-0005-0000-0000-0000D9120000}"/>
    <cellStyle name="제목 11 2" xfId="3715" xr:uid="{00000000-0005-0000-0000-0000DA120000}"/>
    <cellStyle name="제목 12" xfId="6312" xr:uid="{00000000-0005-0000-0000-0000DB120000}"/>
    <cellStyle name="제목 13" xfId="6481" xr:uid="{00000000-0005-0000-0000-0000DC120000}"/>
    <cellStyle name="제목 14" xfId="6294" xr:uid="{00000000-0005-0000-0000-0000DD120000}"/>
    <cellStyle name="제목 15" xfId="6501" xr:uid="{00000000-0005-0000-0000-0000DE120000}"/>
    <cellStyle name="제목 16" xfId="49484" xr:uid="{00000000-0005-0000-0000-0000DF120000}"/>
    <cellStyle name="제목 17" xfId="49485" xr:uid="{00000000-0005-0000-0000-0000E0120000}"/>
    <cellStyle name="제목 18" xfId="49486" xr:uid="{00000000-0005-0000-0000-0000E1120000}"/>
    <cellStyle name="제목 19" xfId="49487" xr:uid="{00000000-0005-0000-0000-0000E2120000}"/>
    <cellStyle name="제목 2 10" xfId="6486" xr:uid="{00000000-0005-0000-0000-0000E3120000}"/>
    <cellStyle name="제목 2 11" xfId="6291" xr:uid="{00000000-0005-0000-0000-0000E4120000}"/>
    <cellStyle name="제목 2 12" xfId="6504" xr:uid="{00000000-0005-0000-0000-0000E5120000}"/>
    <cellStyle name="제목 2 13" xfId="49488" xr:uid="{00000000-0005-0000-0000-0000E6120000}"/>
    <cellStyle name="제목 2 14" xfId="49489" xr:uid="{00000000-0005-0000-0000-0000E7120000}"/>
    <cellStyle name="제목 2 15" xfId="49490" xr:uid="{00000000-0005-0000-0000-0000E8120000}"/>
    <cellStyle name="제목 2 16" xfId="49491" xr:uid="{00000000-0005-0000-0000-0000E9120000}"/>
    <cellStyle name="제목 2 17" xfId="49492" xr:uid="{00000000-0005-0000-0000-0000EA120000}"/>
    <cellStyle name="제목 2 18" xfId="49493" xr:uid="{00000000-0005-0000-0000-0000EB120000}"/>
    <cellStyle name="제목 2 19" xfId="49494" xr:uid="{00000000-0005-0000-0000-0000EC120000}"/>
    <cellStyle name="제목 2 2" xfId="263" xr:uid="{00000000-0005-0000-0000-0000ED120000}"/>
    <cellStyle name="제목 2 2 10" xfId="6290" xr:uid="{00000000-0005-0000-0000-0000EE120000}"/>
    <cellStyle name="제목 2 2 11" xfId="6505" xr:uid="{00000000-0005-0000-0000-0000EF120000}"/>
    <cellStyle name="제목 2 2 2" xfId="5795" xr:uid="{00000000-0005-0000-0000-0000F0120000}"/>
    <cellStyle name="제목 2 2 3" xfId="6455" xr:uid="{00000000-0005-0000-0000-0000F1120000}"/>
    <cellStyle name="제목 2 2 4" xfId="6329" xr:uid="{00000000-0005-0000-0000-0000F2120000}"/>
    <cellStyle name="제목 2 2 5" xfId="6464" xr:uid="{00000000-0005-0000-0000-0000F3120000}"/>
    <cellStyle name="제목 2 2 6" xfId="6319" xr:uid="{00000000-0005-0000-0000-0000F4120000}"/>
    <cellStyle name="제목 2 2 7" xfId="6473" xr:uid="{00000000-0005-0000-0000-0000F5120000}"/>
    <cellStyle name="제목 2 2 8" xfId="6308" xr:uid="{00000000-0005-0000-0000-0000F6120000}"/>
    <cellStyle name="제목 2 2 9" xfId="6487" xr:uid="{00000000-0005-0000-0000-0000F7120000}"/>
    <cellStyle name="제목 2 20" xfId="49495" xr:uid="{00000000-0005-0000-0000-0000F8120000}"/>
    <cellStyle name="제목 2 21" xfId="49496" xr:uid="{00000000-0005-0000-0000-0000F9120000}"/>
    <cellStyle name="제목 2 22" xfId="49497" xr:uid="{00000000-0005-0000-0000-0000FA120000}"/>
    <cellStyle name="제목 2 23" xfId="49498" xr:uid="{00000000-0005-0000-0000-0000FB120000}"/>
    <cellStyle name="제목 2 24" xfId="49499" xr:uid="{00000000-0005-0000-0000-0000FC120000}"/>
    <cellStyle name="제목 2 25" xfId="49500" xr:uid="{00000000-0005-0000-0000-0000FD120000}"/>
    <cellStyle name="제목 2 26" xfId="49501" xr:uid="{00000000-0005-0000-0000-0000FE120000}"/>
    <cellStyle name="제목 2 27" xfId="49502" xr:uid="{00000000-0005-0000-0000-0000FF120000}"/>
    <cellStyle name="제목 2 28" xfId="49503" xr:uid="{00000000-0005-0000-0000-000000130000}"/>
    <cellStyle name="제목 2 29" xfId="49504" xr:uid="{00000000-0005-0000-0000-000001130000}"/>
    <cellStyle name="제목 2 3" xfId="342" xr:uid="{00000000-0005-0000-0000-000002130000}"/>
    <cellStyle name="제목 2 3 10" xfId="3475" xr:uid="{00000000-0005-0000-0000-000003130000}"/>
    <cellStyle name="제목 2 3 11" xfId="3965" xr:uid="{00000000-0005-0000-0000-000004130000}"/>
    <cellStyle name="제목 2 3 2" xfId="3535" xr:uid="{00000000-0005-0000-0000-000005130000}"/>
    <cellStyle name="제목 2 3 3" xfId="3117" xr:uid="{00000000-0005-0000-0000-000006130000}"/>
    <cellStyle name="제목 2 3 4" xfId="3727" xr:uid="{00000000-0005-0000-0000-000007130000}"/>
    <cellStyle name="제목 2 3 5" xfId="364" xr:uid="{00000000-0005-0000-0000-000008130000}"/>
    <cellStyle name="제목 2 3 6" xfId="2999" xr:uid="{00000000-0005-0000-0000-000009130000}"/>
    <cellStyle name="제목 2 3 7" xfId="2754" xr:uid="{00000000-0005-0000-0000-00000A130000}"/>
    <cellStyle name="제목 2 3 8" xfId="3241" xr:uid="{00000000-0005-0000-0000-00000B130000}"/>
    <cellStyle name="제목 2 3 9" xfId="3966" xr:uid="{00000000-0005-0000-0000-00000C130000}"/>
    <cellStyle name="제목 2 30" xfId="49505" xr:uid="{00000000-0005-0000-0000-00000D130000}"/>
    <cellStyle name="제목 2 31" xfId="49506" xr:uid="{00000000-0005-0000-0000-00000E130000}"/>
    <cellStyle name="제목 2 32" xfId="49507" xr:uid="{00000000-0005-0000-0000-00000F130000}"/>
    <cellStyle name="제목 2 33" xfId="49508" xr:uid="{00000000-0005-0000-0000-000010130000}"/>
    <cellStyle name="제목 2 4" xfId="4216" xr:uid="{00000000-0005-0000-0000-000011130000}"/>
    <cellStyle name="제목 2 4 10" xfId="2874" xr:uid="{00000000-0005-0000-0000-000012130000}"/>
    <cellStyle name="제목 2 4 11" xfId="3114" xr:uid="{00000000-0005-0000-0000-000013130000}"/>
    <cellStyle name="제목 2 4 2" xfId="4219" xr:uid="{00000000-0005-0000-0000-000014130000}"/>
    <cellStyle name="제목 2 4 3" xfId="3492" xr:uid="{00000000-0005-0000-0000-000015130000}"/>
    <cellStyle name="제목 2 4 4" xfId="3488" xr:uid="{00000000-0005-0000-0000-000016130000}"/>
    <cellStyle name="제목 2 4 5" xfId="3002" xr:uid="{00000000-0005-0000-0000-000017130000}"/>
    <cellStyle name="제목 2 4 6" xfId="3221" xr:uid="{00000000-0005-0000-0000-000018130000}"/>
    <cellStyle name="제목 2 4 7" xfId="3974" xr:uid="{00000000-0005-0000-0000-000019130000}"/>
    <cellStyle name="제목 2 4 8" xfId="4102" xr:uid="{00000000-0005-0000-0000-00001A130000}"/>
    <cellStyle name="제목 2 4 9" xfId="3433" xr:uid="{00000000-0005-0000-0000-00001B130000}"/>
    <cellStyle name="제목 2 5" xfId="2773" xr:uid="{00000000-0005-0000-0000-00001C130000}"/>
    <cellStyle name="제목 2 5 2" xfId="3500" xr:uid="{00000000-0005-0000-0000-00001D130000}"/>
    <cellStyle name="제목 2 5 3" xfId="2652" xr:uid="{00000000-0005-0000-0000-00001E130000}"/>
    <cellStyle name="제목 2 5 4" xfId="2948" xr:uid="{00000000-0005-0000-0000-00001F130000}"/>
    <cellStyle name="제목 2 5 5" xfId="2534" xr:uid="{00000000-0005-0000-0000-000020130000}"/>
    <cellStyle name="제목 2 6" xfId="3391" xr:uid="{00000000-0005-0000-0000-000021130000}"/>
    <cellStyle name="제목 2 6 2" xfId="3014" xr:uid="{00000000-0005-0000-0000-000022130000}"/>
    <cellStyle name="제목 2 6 3" xfId="2733" xr:uid="{00000000-0005-0000-0000-000023130000}"/>
    <cellStyle name="제목 2 6 4" xfId="3706" xr:uid="{00000000-0005-0000-0000-000024130000}"/>
    <cellStyle name="제목 2 6 5" xfId="2618" xr:uid="{00000000-0005-0000-0000-000025130000}"/>
    <cellStyle name="제목 2 7" xfId="3335" xr:uid="{00000000-0005-0000-0000-000026130000}"/>
    <cellStyle name="제목 2 7 2" xfId="3945" xr:uid="{00000000-0005-0000-0000-000027130000}"/>
    <cellStyle name="제목 2 8" xfId="4158" xr:uid="{00000000-0005-0000-0000-000028130000}"/>
    <cellStyle name="제목 2 8 2" xfId="3098" xr:uid="{00000000-0005-0000-0000-000029130000}"/>
    <cellStyle name="제목 2 9" xfId="6309" xr:uid="{00000000-0005-0000-0000-00002A130000}"/>
    <cellStyle name="제목 20" xfId="49509" xr:uid="{00000000-0005-0000-0000-00002B130000}"/>
    <cellStyle name="제목 21" xfId="49510" xr:uid="{00000000-0005-0000-0000-00002C130000}"/>
    <cellStyle name="제목 22" xfId="49511" xr:uid="{00000000-0005-0000-0000-00002D130000}"/>
    <cellStyle name="제목 23" xfId="49512" xr:uid="{00000000-0005-0000-0000-00002E130000}"/>
    <cellStyle name="제목 24" xfId="49513" xr:uid="{00000000-0005-0000-0000-00002F130000}"/>
    <cellStyle name="제목 25" xfId="49514" xr:uid="{00000000-0005-0000-0000-000030130000}"/>
    <cellStyle name="제목 26" xfId="49515" xr:uid="{00000000-0005-0000-0000-000031130000}"/>
    <cellStyle name="제목 27" xfId="49516" xr:uid="{00000000-0005-0000-0000-000032130000}"/>
    <cellStyle name="제목 28" xfId="49517" xr:uid="{00000000-0005-0000-0000-000033130000}"/>
    <cellStyle name="제목 29" xfId="49518" xr:uid="{00000000-0005-0000-0000-000034130000}"/>
    <cellStyle name="제목 3 10" xfId="6488" xr:uid="{00000000-0005-0000-0000-000035130000}"/>
    <cellStyle name="제목 3 11" xfId="6289" xr:uid="{00000000-0005-0000-0000-000036130000}"/>
    <cellStyle name="제목 3 12" xfId="6506" xr:uid="{00000000-0005-0000-0000-000037130000}"/>
    <cellStyle name="제목 3 13" xfId="49519" xr:uid="{00000000-0005-0000-0000-000038130000}"/>
    <cellStyle name="제목 3 14" xfId="49520" xr:uid="{00000000-0005-0000-0000-000039130000}"/>
    <cellStyle name="제목 3 15" xfId="49521" xr:uid="{00000000-0005-0000-0000-00003A130000}"/>
    <cellStyle name="제목 3 16" xfId="49522" xr:uid="{00000000-0005-0000-0000-00003B130000}"/>
    <cellStyle name="제목 3 17" xfId="49523" xr:uid="{00000000-0005-0000-0000-00003C130000}"/>
    <cellStyle name="제목 3 18" xfId="49524" xr:uid="{00000000-0005-0000-0000-00003D130000}"/>
    <cellStyle name="제목 3 19" xfId="49525" xr:uid="{00000000-0005-0000-0000-00003E130000}"/>
    <cellStyle name="제목 3 2" xfId="264" xr:uid="{00000000-0005-0000-0000-00003F130000}"/>
    <cellStyle name="제목 3 2 10" xfId="6288" xr:uid="{00000000-0005-0000-0000-000040130000}"/>
    <cellStyle name="제목 3 2 11" xfId="6507" xr:uid="{00000000-0005-0000-0000-000041130000}"/>
    <cellStyle name="제목 3 2 2" xfId="5796" xr:uid="{00000000-0005-0000-0000-000042130000}"/>
    <cellStyle name="제목 3 2 3" xfId="6456" xr:uid="{00000000-0005-0000-0000-000043130000}"/>
    <cellStyle name="제목 3 2 4" xfId="6328" xr:uid="{00000000-0005-0000-0000-000044130000}"/>
    <cellStyle name="제목 3 2 5" xfId="6465" xr:uid="{00000000-0005-0000-0000-000045130000}"/>
    <cellStyle name="제목 3 2 6" xfId="6318" xr:uid="{00000000-0005-0000-0000-000046130000}"/>
    <cellStyle name="제목 3 2 7" xfId="6474" xr:uid="{00000000-0005-0000-0000-000047130000}"/>
    <cellStyle name="제목 3 2 8" xfId="6306" xr:uid="{00000000-0005-0000-0000-000048130000}"/>
    <cellStyle name="제목 3 2 9" xfId="6489" xr:uid="{00000000-0005-0000-0000-000049130000}"/>
    <cellStyle name="제목 3 20" xfId="49526" xr:uid="{00000000-0005-0000-0000-00004A130000}"/>
    <cellStyle name="제목 3 21" xfId="49527" xr:uid="{00000000-0005-0000-0000-00004B130000}"/>
    <cellStyle name="제목 3 22" xfId="49528" xr:uid="{00000000-0005-0000-0000-00004C130000}"/>
    <cellStyle name="제목 3 23" xfId="49529" xr:uid="{00000000-0005-0000-0000-00004D130000}"/>
    <cellStyle name="제목 3 24" xfId="49530" xr:uid="{00000000-0005-0000-0000-00004E130000}"/>
    <cellStyle name="제목 3 25" xfId="49531" xr:uid="{00000000-0005-0000-0000-00004F130000}"/>
    <cellStyle name="제목 3 26" xfId="49532" xr:uid="{00000000-0005-0000-0000-000050130000}"/>
    <cellStyle name="제목 3 27" xfId="49533" xr:uid="{00000000-0005-0000-0000-000051130000}"/>
    <cellStyle name="제목 3 28" xfId="49534" xr:uid="{00000000-0005-0000-0000-000052130000}"/>
    <cellStyle name="제목 3 29" xfId="49535" xr:uid="{00000000-0005-0000-0000-000053130000}"/>
    <cellStyle name="제목 3 3" xfId="3218" xr:uid="{00000000-0005-0000-0000-000054130000}"/>
    <cellStyle name="제목 3 3 10" xfId="2983" xr:uid="{00000000-0005-0000-0000-000055130000}"/>
    <cellStyle name="제목 3 3 11" xfId="3683" xr:uid="{00000000-0005-0000-0000-000056130000}"/>
    <cellStyle name="제목 3 3 2" xfId="3225" xr:uid="{00000000-0005-0000-0000-000057130000}"/>
    <cellStyle name="제목 3 3 3" xfId="2981" xr:uid="{00000000-0005-0000-0000-000058130000}"/>
    <cellStyle name="제목 3 3 4" xfId="4202" xr:uid="{00000000-0005-0000-0000-000059130000}"/>
    <cellStyle name="제목 3 3 5" xfId="3587" xr:uid="{00000000-0005-0000-0000-00005A130000}"/>
    <cellStyle name="제목 3 3 6" xfId="3948" xr:uid="{00000000-0005-0000-0000-00005B130000}"/>
    <cellStyle name="제목 3 3 7" xfId="3612" xr:uid="{00000000-0005-0000-0000-00005C130000}"/>
    <cellStyle name="제목 3 3 8" xfId="328" xr:uid="{00000000-0005-0000-0000-00005D130000}"/>
    <cellStyle name="제목 3 3 9" xfId="3490" xr:uid="{00000000-0005-0000-0000-00005E130000}"/>
    <cellStyle name="제목 3 30" xfId="49536" xr:uid="{00000000-0005-0000-0000-00005F130000}"/>
    <cellStyle name="제목 3 31" xfId="49537" xr:uid="{00000000-0005-0000-0000-000060130000}"/>
    <cellStyle name="제목 3 32" xfId="49538" xr:uid="{00000000-0005-0000-0000-000061130000}"/>
    <cellStyle name="제목 3 33" xfId="49539" xr:uid="{00000000-0005-0000-0000-000062130000}"/>
    <cellStyle name="제목 3 4" xfId="2422" xr:uid="{00000000-0005-0000-0000-000063130000}"/>
    <cellStyle name="제목 3 4 10" xfId="3806" xr:uid="{00000000-0005-0000-0000-000064130000}"/>
    <cellStyle name="제목 3 4 11" xfId="2865" xr:uid="{00000000-0005-0000-0000-000065130000}"/>
    <cellStyle name="제목 3 4 2" xfId="4308" xr:uid="{00000000-0005-0000-0000-000066130000}"/>
    <cellStyle name="제목 3 4 3" xfId="4299" xr:uid="{00000000-0005-0000-0000-000067130000}"/>
    <cellStyle name="제목 3 4 4" xfId="346" xr:uid="{00000000-0005-0000-0000-000068130000}"/>
    <cellStyle name="제목 3 4 5" xfId="3207" xr:uid="{00000000-0005-0000-0000-000069130000}"/>
    <cellStyle name="제목 3 4 6" xfId="3325" xr:uid="{00000000-0005-0000-0000-00006A130000}"/>
    <cellStyle name="제목 3 4 7" xfId="2843" xr:uid="{00000000-0005-0000-0000-00006B130000}"/>
    <cellStyle name="제목 3 4 8" xfId="3192" xr:uid="{00000000-0005-0000-0000-00006C130000}"/>
    <cellStyle name="제목 3 4 9" xfId="2729" xr:uid="{00000000-0005-0000-0000-00006D130000}"/>
    <cellStyle name="제목 3 5" xfId="2708" xr:uid="{00000000-0005-0000-0000-00006E130000}"/>
    <cellStyle name="제목 3 5 2" xfId="2610" xr:uid="{00000000-0005-0000-0000-00006F130000}"/>
    <cellStyle name="제목 3 5 3" xfId="4303" xr:uid="{00000000-0005-0000-0000-000070130000}"/>
    <cellStyle name="제목 3 5 4" xfId="323" xr:uid="{00000000-0005-0000-0000-000071130000}"/>
    <cellStyle name="제목 3 5 5" xfId="2792" xr:uid="{00000000-0005-0000-0000-000072130000}"/>
    <cellStyle name="제목 3 6" xfId="279" xr:uid="{00000000-0005-0000-0000-000073130000}"/>
    <cellStyle name="제목 3 6 2" xfId="3243" xr:uid="{00000000-0005-0000-0000-000074130000}"/>
    <cellStyle name="제목 3 6 3" xfId="3402" xr:uid="{00000000-0005-0000-0000-000075130000}"/>
    <cellStyle name="제목 3 6 4" xfId="366" xr:uid="{00000000-0005-0000-0000-000076130000}"/>
    <cellStyle name="제목 3 6 5" xfId="3038" xr:uid="{00000000-0005-0000-0000-000077130000}"/>
    <cellStyle name="제목 3 7" xfId="3164" xr:uid="{00000000-0005-0000-0000-000078130000}"/>
    <cellStyle name="제목 3 7 2" xfId="4258" xr:uid="{00000000-0005-0000-0000-000079130000}"/>
    <cellStyle name="제목 3 8" xfId="2801" xr:uid="{00000000-0005-0000-0000-00007A130000}"/>
    <cellStyle name="제목 3 8 2" xfId="2497" xr:uid="{00000000-0005-0000-0000-00007B130000}"/>
    <cellStyle name="제목 3 9" xfId="6307" xr:uid="{00000000-0005-0000-0000-00007C130000}"/>
    <cellStyle name="제목 30" xfId="49540" xr:uid="{00000000-0005-0000-0000-00007D130000}"/>
    <cellStyle name="제목 31" xfId="49541" xr:uid="{00000000-0005-0000-0000-00007E130000}"/>
    <cellStyle name="제목 32" xfId="49542" xr:uid="{00000000-0005-0000-0000-00007F130000}"/>
    <cellStyle name="제목 33" xfId="49543" xr:uid="{00000000-0005-0000-0000-000080130000}"/>
    <cellStyle name="제목 34" xfId="49544" xr:uid="{00000000-0005-0000-0000-000081130000}"/>
    <cellStyle name="제목 35" xfId="49545" xr:uid="{00000000-0005-0000-0000-000082130000}"/>
    <cellStyle name="제목 36" xfId="49546" xr:uid="{00000000-0005-0000-0000-000083130000}"/>
    <cellStyle name="제목 4 10" xfId="6490" xr:uid="{00000000-0005-0000-0000-000084130000}"/>
    <cellStyle name="제목 4 11" xfId="6287" xr:uid="{00000000-0005-0000-0000-000085130000}"/>
    <cellStyle name="제목 4 12" xfId="6508" xr:uid="{00000000-0005-0000-0000-000086130000}"/>
    <cellStyle name="제목 4 13" xfId="49547" xr:uid="{00000000-0005-0000-0000-000087130000}"/>
    <cellStyle name="제목 4 14" xfId="49548" xr:uid="{00000000-0005-0000-0000-000088130000}"/>
    <cellStyle name="제목 4 15" xfId="49549" xr:uid="{00000000-0005-0000-0000-000089130000}"/>
    <cellStyle name="제목 4 16" xfId="49550" xr:uid="{00000000-0005-0000-0000-00008A130000}"/>
    <cellStyle name="제목 4 17" xfId="49551" xr:uid="{00000000-0005-0000-0000-00008B130000}"/>
    <cellStyle name="제목 4 18" xfId="49552" xr:uid="{00000000-0005-0000-0000-00008C130000}"/>
    <cellStyle name="제목 4 19" xfId="49553" xr:uid="{00000000-0005-0000-0000-00008D130000}"/>
    <cellStyle name="제목 4 2" xfId="265" xr:uid="{00000000-0005-0000-0000-00008E130000}"/>
    <cellStyle name="제목 4 2 10" xfId="6286" xr:uid="{00000000-0005-0000-0000-00008F130000}"/>
    <cellStyle name="제목 4 2 11" xfId="6509" xr:uid="{00000000-0005-0000-0000-000090130000}"/>
    <cellStyle name="제목 4 2 2" xfId="5797" xr:uid="{00000000-0005-0000-0000-000091130000}"/>
    <cellStyle name="제목 4 2 3" xfId="6457" xr:uid="{00000000-0005-0000-0000-000092130000}"/>
    <cellStyle name="제목 4 2 4" xfId="6327" xr:uid="{00000000-0005-0000-0000-000093130000}"/>
    <cellStyle name="제목 4 2 5" xfId="6466" xr:uid="{00000000-0005-0000-0000-000094130000}"/>
    <cellStyle name="제목 4 2 6" xfId="6317" xr:uid="{00000000-0005-0000-0000-000095130000}"/>
    <cellStyle name="제목 4 2 7" xfId="6475" xr:uid="{00000000-0005-0000-0000-000096130000}"/>
    <cellStyle name="제목 4 2 8" xfId="6304" xr:uid="{00000000-0005-0000-0000-000097130000}"/>
    <cellStyle name="제목 4 2 9" xfId="6491" xr:uid="{00000000-0005-0000-0000-000098130000}"/>
    <cellStyle name="제목 4 20" xfId="49554" xr:uid="{00000000-0005-0000-0000-000099130000}"/>
    <cellStyle name="제목 4 21" xfId="49555" xr:uid="{00000000-0005-0000-0000-00009A130000}"/>
    <cellStyle name="제목 4 22" xfId="49556" xr:uid="{00000000-0005-0000-0000-00009B130000}"/>
    <cellStyle name="제목 4 23" xfId="49557" xr:uid="{00000000-0005-0000-0000-00009C130000}"/>
    <cellStyle name="제목 4 24" xfId="49558" xr:uid="{00000000-0005-0000-0000-00009D130000}"/>
    <cellStyle name="제목 4 25" xfId="49559" xr:uid="{00000000-0005-0000-0000-00009E130000}"/>
    <cellStyle name="제목 4 26" xfId="49560" xr:uid="{00000000-0005-0000-0000-00009F130000}"/>
    <cellStyle name="제목 4 27" xfId="49561" xr:uid="{00000000-0005-0000-0000-0000A0130000}"/>
    <cellStyle name="제목 4 28" xfId="49562" xr:uid="{00000000-0005-0000-0000-0000A1130000}"/>
    <cellStyle name="제목 4 29" xfId="49563" xr:uid="{00000000-0005-0000-0000-0000A2130000}"/>
    <cellStyle name="제목 4 3" xfId="3765" xr:uid="{00000000-0005-0000-0000-0000A3130000}"/>
    <cellStyle name="제목 4 3 10" xfId="2563" xr:uid="{00000000-0005-0000-0000-0000A4130000}"/>
    <cellStyle name="제목 4 3 11" xfId="3525" xr:uid="{00000000-0005-0000-0000-0000A5130000}"/>
    <cellStyle name="제목 4 3 2" xfId="3162" xr:uid="{00000000-0005-0000-0000-0000A6130000}"/>
    <cellStyle name="제목 4 3 3" xfId="3624" xr:uid="{00000000-0005-0000-0000-0000A7130000}"/>
    <cellStyle name="제목 4 3 4" xfId="3549" xr:uid="{00000000-0005-0000-0000-0000A8130000}"/>
    <cellStyle name="제목 4 3 5" xfId="3259" xr:uid="{00000000-0005-0000-0000-0000A9130000}"/>
    <cellStyle name="제목 4 3 6" xfId="3146" xr:uid="{00000000-0005-0000-0000-0000AA130000}"/>
    <cellStyle name="제목 4 3 7" xfId="3141" xr:uid="{00000000-0005-0000-0000-0000AB130000}"/>
    <cellStyle name="제목 4 3 8" xfId="2666" xr:uid="{00000000-0005-0000-0000-0000AC130000}"/>
    <cellStyle name="제목 4 3 9" xfId="2777" xr:uid="{00000000-0005-0000-0000-0000AD130000}"/>
    <cellStyle name="제목 4 30" xfId="49564" xr:uid="{00000000-0005-0000-0000-0000AE130000}"/>
    <cellStyle name="제목 4 31" xfId="49565" xr:uid="{00000000-0005-0000-0000-0000AF130000}"/>
    <cellStyle name="제목 4 32" xfId="49566" xr:uid="{00000000-0005-0000-0000-0000B0130000}"/>
    <cellStyle name="제목 4 33" xfId="49567" xr:uid="{00000000-0005-0000-0000-0000B1130000}"/>
    <cellStyle name="제목 4 4" xfId="4159" xr:uid="{00000000-0005-0000-0000-0000B2130000}"/>
    <cellStyle name="제목 4 4 10" xfId="3514" xr:uid="{00000000-0005-0000-0000-0000B3130000}"/>
    <cellStyle name="제목 4 4 11" xfId="3506" xr:uid="{00000000-0005-0000-0000-0000B4130000}"/>
    <cellStyle name="제목 4 4 2" xfId="3393" xr:uid="{00000000-0005-0000-0000-0000B5130000}"/>
    <cellStyle name="제목 4 4 3" xfId="4001" xr:uid="{00000000-0005-0000-0000-0000B6130000}"/>
    <cellStyle name="제목 4 4 4" xfId="2907" xr:uid="{00000000-0005-0000-0000-0000B7130000}"/>
    <cellStyle name="제목 4 4 5" xfId="3939" xr:uid="{00000000-0005-0000-0000-0000B8130000}"/>
    <cellStyle name="제목 4 4 6" xfId="3453" xr:uid="{00000000-0005-0000-0000-0000B9130000}"/>
    <cellStyle name="제목 4 4 7" xfId="334" xr:uid="{00000000-0005-0000-0000-0000BA130000}"/>
    <cellStyle name="제목 4 4 8" xfId="3074" xr:uid="{00000000-0005-0000-0000-0000BB130000}"/>
    <cellStyle name="제목 4 4 9" xfId="307" xr:uid="{00000000-0005-0000-0000-0000BC130000}"/>
    <cellStyle name="제목 4 5" xfId="2774" xr:uid="{00000000-0005-0000-0000-0000BD130000}"/>
    <cellStyle name="제목 4 5 2" xfId="2943" xr:uid="{00000000-0005-0000-0000-0000BE130000}"/>
    <cellStyle name="제목 4 5 3" xfId="3505" xr:uid="{00000000-0005-0000-0000-0000BF130000}"/>
    <cellStyle name="제목 4 5 4" xfId="4283" xr:uid="{00000000-0005-0000-0000-0000C0130000}"/>
    <cellStyle name="제목 4 5 5" xfId="4098" xr:uid="{00000000-0005-0000-0000-0000C1130000}"/>
    <cellStyle name="제목 4 6" xfId="4040" xr:uid="{00000000-0005-0000-0000-0000C2130000}"/>
    <cellStyle name="제목 4 6 2" xfId="2418" xr:uid="{00000000-0005-0000-0000-0000C3130000}"/>
    <cellStyle name="제목 4 6 3" xfId="3690" xr:uid="{00000000-0005-0000-0000-0000C4130000}"/>
    <cellStyle name="제목 4 6 4" xfId="3077" xr:uid="{00000000-0005-0000-0000-0000C5130000}"/>
    <cellStyle name="제목 4 6 5" xfId="2827" xr:uid="{00000000-0005-0000-0000-0000C6130000}"/>
    <cellStyle name="제목 4 7" xfId="3849" xr:uid="{00000000-0005-0000-0000-0000C7130000}"/>
    <cellStyle name="제목 4 7 2" xfId="2469" xr:uid="{00000000-0005-0000-0000-0000C8130000}"/>
    <cellStyle name="제목 4 8" xfId="4047" xr:uid="{00000000-0005-0000-0000-0000C9130000}"/>
    <cellStyle name="제목 4 8 2" xfId="2705" xr:uid="{00000000-0005-0000-0000-0000CA130000}"/>
    <cellStyle name="제목 4 9" xfId="6305" xr:uid="{00000000-0005-0000-0000-0000CB130000}"/>
    <cellStyle name="제목 5" xfId="266" xr:uid="{00000000-0005-0000-0000-0000CC130000}"/>
    <cellStyle name="제목 5 10" xfId="6285" xr:uid="{00000000-0005-0000-0000-0000CD130000}"/>
    <cellStyle name="제목 5 11" xfId="6510" xr:uid="{00000000-0005-0000-0000-0000CE130000}"/>
    <cellStyle name="제목 5 2" xfId="5798" xr:uid="{00000000-0005-0000-0000-0000CF130000}"/>
    <cellStyle name="제목 5 3" xfId="6458" xr:uid="{00000000-0005-0000-0000-0000D0130000}"/>
    <cellStyle name="제목 5 4" xfId="6326" xr:uid="{00000000-0005-0000-0000-0000D1130000}"/>
    <cellStyle name="제목 5 5" xfId="6467" xr:uid="{00000000-0005-0000-0000-0000D2130000}"/>
    <cellStyle name="제목 5 6" xfId="6316" xr:uid="{00000000-0005-0000-0000-0000D3130000}"/>
    <cellStyle name="제목 5 7" xfId="6476" xr:uid="{00000000-0005-0000-0000-0000D4130000}"/>
    <cellStyle name="제목 5 8" xfId="6303" xr:uid="{00000000-0005-0000-0000-0000D5130000}"/>
    <cellStyle name="제목 5 9" xfId="6492" xr:uid="{00000000-0005-0000-0000-0000D6130000}"/>
    <cellStyle name="제목 6" xfId="3865" xr:uid="{00000000-0005-0000-0000-0000D7130000}"/>
    <cellStyle name="제목 6 10" xfId="3773" xr:uid="{00000000-0005-0000-0000-0000D8130000}"/>
    <cellStyle name="제목 6 11" xfId="3413" xr:uid="{00000000-0005-0000-0000-0000D9130000}"/>
    <cellStyle name="제목 6 2" xfId="4147" xr:uid="{00000000-0005-0000-0000-0000DA130000}"/>
    <cellStyle name="제목 6 3" xfId="4266" xr:uid="{00000000-0005-0000-0000-0000DB130000}"/>
    <cellStyle name="제목 6 4" xfId="3776" xr:uid="{00000000-0005-0000-0000-0000DC130000}"/>
    <cellStyle name="제목 6 5" xfId="3175" xr:uid="{00000000-0005-0000-0000-0000DD130000}"/>
    <cellStyle name="제목 6 6" xfId="3293" xr:uid="{00000000-0005-0000-0000-0000DE130000}"/>
    <cellStyle name="제목 6 7" xfId="2812" xr:uid="{00000000-0005-0000-0000-0000DF130000}"/>
    <cellStyle name="제목 6 8" xfId="2752" xr:uid="{00000000-0005-0000-0000-0000E0130000}"/>
    <cellStyle name="제목 6 9" xfId="2699" xr:uid="{00000000-0005-0000-0000-0000E1130000}"/>
    <cellStyle name="제목 7" xfId="3527" xr:uid="{00000000-0005-0000-0000-0000E2130000}"/>
    <cellStyle name="제목 7 10" xfId="2577" xr:uid="{00000000-0005-0000-0000-0000E3130000}"/>
    <cellStyle name="제목 7 11" xfId="4270" xr:uid="{00000000-0005-0000-0000-0000E4130000}"/>
    <cellStyle name="제목 7 2" xfId="2989" xr:uid="{00000000-0005-0000-0000-0000E5130000}"/>
    <cellStyle name="제목 7 3" xfId="3597" xr:uid="{00000000-0005-0000-0000-0000E6130000}"/>
    <cellStyle name="제목 7 4" xfId="3112" xr:uid="{00000000-0005-0000-0000-0000E7130000}"/>
    <cellStyle name="제목 7 5" xfId="3834" xr:uid="{00000000-0005-0000-0000-0000E8130000}"/>
    <cellStyle name="제목 7 6" xfId="3584" xr:uid="{00000000-0005-0000-0000-0000E9130000}"/>
    <cellStyle name="제목 7 7" xfId="3594" xr:uid="{00000000-0005-0000-0000-0000EA130000}"/>
    <cellStyle name="제목 7 8" xfId="3826" xr:uid="{00000000-0005-0000-0000-0000EB130000}"/>
    <cellStyle name="제목 7 9" xfId="2640" xr:uid="{00000000-0005-0000-0000-0000EC130000}"/>
    <cellStyle name="제목 8" xfId="3360" xr:uid="{00000000-0005-0000-0000-0000ED130000}"/>
    <cellStyle name="제목 8 2" xfId="2877" xr:uid="{00000000-0005-0000-0000-0000EE130000}"/>
    <cellStyle name="제목 8 3" xfId="2805" xr:uid="{00000000-0005-0000-0000-0000EF130000}"/>
    <cellStyle name="제목 8 4" xfId="3969" xr:uid="{00000000-0005-0000-0000-0000F0130000}"/>
    <cellStyle name="제목 8 5" xfId="2875" xr:uid="{00000000-0005-0000-0000-0000F1130000}"/>
    <cellStyle name="제목 9" xfId="4094" xr:uid="{00000000-0005-0000-0000-0000F2130000}"/>
    <cellStyle name="제목 9 2" xfId="2414" xr:uid="{00000000-0005-0000-0000-0000F3130000}"/>
    <cellStyle name="제목 9 3" xfId="4089" xr:uid="{00000000-0005-0000-0000-0000F4130000}"/>
    <cellStyle name="제목 9 4" xfId="3975" xr:uid="{00000000-0005-0000-0000-0000F5130000}"/>
    <cellStyle name="제목 9 5" xfId="4103" xr:uid="{00000000-0005-0000-0000-0000F6130000}"/>
    <cellStyle name="좋음 10" xfId="6493" xr:uid="{00000000-0005-0000-0000-0000F7130000}"/>
    <cellStyle name="좋음 11" xfId="6284" xr:uid="{00000000-0005-0000-0000-0000F8130000}"/>
    <cellStyle name="좋음 12" xfId="6511" xr:uid="{00000000-0005-0000-0000-0000F9130000}"/>
    <cellStyle name="좋음 13" xfId="49568" xr:uid="{00000000-0005-0000-0000-0000FA130000}"/>
    <cellStyle name="좋음 14" xfId="49569" xr:uid="{00000000-0005-0000-0000-0000FB130000}"/>
    <cellStyle name="좋음 15" xfId="49570" xr:uid="{00000000-0005-0000-0000-0000FC130000}"/>
    <cellStyle name="좋음 16" xfId="49571" xr:uid="{00000000-0005-0000-0000-0000FD130000}"/>
    <cellStyle name="좋음 17" xfId="49572" xr:uid="{00000000-0005-0000-0000-0000FE130000}"/>
    <cellStyle name="좋음 18" xfId="49573" xr:uid="{00000000-0005-0000-0000-0000FF130000}"/>
    <cellStyle name="좋음 19" xfId="49574" xr:uid="{00000000-0005-0000-0000-000000140000}"/>
    <cellStyle name="좋음 2" xfId="267" xr:uid="{00000000-0005-0000-0000-000001140000}"/>
    <cellStyle name="좋음 2 10" xfId="6283" xr:uid="{00000000-0005-0000-0000-000002140000}"/>
    <cellStyle name="좋음 2 11" xfId="6512" xr:uid="{00000000-0005-0000-0000-000003140000}"/>
    <cellStyle name="좋음 2 2" xfId="5799" xr:uid="{00000000-0005-0000-0000-000004140000}"/>
    <cellStyle name="좋음 2 3" xfId="6459" xr:uid="{00000000-0005-0000-0000-000005140000}"/>
    <cellStyle name="좋음 2 4" xfId="6325" xr:uid="{00000000-0005-0000-0000-000006140000}"/>
    <cellStyle name="좋음 2 5" xfId="6468" xr:uid="{00000000-0005-0000-0000-000007140000}"/>
    <cellStyle name="좋음 2 6" xfId="6315" xr:uid="{00000000-0005-0000-0000-000008140000}"/>
    <cellStyle name="좋음 2 7" xfId="6477" xr:uid="{00000000-0005-0000-0000-000009140000}"/>
    <cellStyle name="좋음 2 8" xfId="6301" xr:uid="{00000000-0005-0000-0000-00000A140000}"/>
    <cellStyle name="좋음 2 9" xfId="6494" xr:uid="{00000000-0005-0000-0000-00000B140000}"/>
    <cellStyle name="좋음 20" xfId="49575" xr:uid="{00000000-0005-0000-0000-00000C140000}"/>
    <cellStyle name="좋음 21" xfId="49576" xr:uid="{00000000-0005-0000-0000-00000D140000}"/>
    <cellStyle name="좋음 22" xfId="49577" xr:uid="{00000000-0005-0000-0000-00000E140000}"/>
    <cellStyle name="좋음 23" xfId="49578" xr:uid="{00000000-0005-0000-0000-00000F140000}"/>
    <cellStyle name="좋음 24" xfId="49579" xr:uid="{00000000-0005-0000-0000-000010140000}"/>
    <cellStyle name="좋음 25" xfId="49580" xr:uid="{00000000-0005-0000-0000-000011140000}"/>
    <cellStyle name="좋음 26" xfId="49581" xr:uid="{00000000-0005-0000-0000-000012140000}"/>
    <cellStyle name="좋음 27" xfId="49582" xr:uid="{00000000-0005-0000-0000-000013140000}"/>
    <cellStyle name="좋음 28" xfId="49583" xr:uid="{00000000-0005-0000-0000-000014140000}"/>
    <cellStyle name="좋음 29" xfId="49584" xr:uid="{00000000-0005-0000-0000-000015140000}"/>
    <cellStyle name="좋음 3" xfId="2644" xr:uid="{00000000-0005-0000-0000-000016140000}"/>
    <cellStyle name="좋음 3 10" xfId="2887" xr:uid="{00000000-0005-0000-0000-000017140000}"/>
    <cellStyle name="좋음 3 11" xfId="2883" xr:uid="{00000000-0005-0000-0000-000018140000}"/>
    <cellStyle name="좋음 3 2" xfId="3856" xr:uid="{00000000-0005-0000-0000-000019140000}"/>
    <cellStyle name="좋음 3 3" xfId="3133" xr:uid="{00000000-0005-0000-0000-00001A140000}"/>
    <cellStyle name="좋음 3 4" xfId="2654" xr:uid="{00000000-0005-0000-0000-00001B140000}"/>
    <cellStyle name="좋음 3 5" xfId="3376" xr:uid="{00000000-0005-0000-0000-00001C140000}"/>
    <cellStyle name="좋음 3 6" xfId="3373" xr:uid="{00000000-0005-0000-0000-00001D140000}"/>
    <cellStyle name="좋음 3 7" xfId="2457" xr:uid="{00000000-0005-0000-0000-00001E140000}"/>
    <cellStyle name="좋음 3 8" xfId="3986" xr:uid="{00000000-0005-0000-0000-00001F140000}"/>
    <cellStyle name="좋음 3 9" xfId="2811" xr:uid="{00000000-0005-0000-0000-000020140000}"/>
    <cellStyle name="좋음 30" xfId="49585" xr:uid="{00000000-0005-0000-0000-000021140000}"/>
    <cellStyle name="좋음 31" xfId="49586" xr:uid="{00000000-0005-0000-0000-000022140000}"/>
    <cellStyle name="좋음 32" xfId="49587" xr:uid="{00000000-0005-0000-0000-000023140000}"/>
    <cellStyle name="좋음 33" xfId="49588" xr:uid="{00000000-0005-0000-0000-000024140000}"/>
    <cellStyle name="좋음 4" xfId="2559" xr:uid="{00000000-0005-0000-0000-000025140000}"/>
    <cellStyle name="좋음 4 10" xfId="2849" xr:uid="{00000000-0005-0000-0000-000026140000}"/>
    <cellStyle name="좋음 4 11" xfId="3581" xr:uid="{00000000-0005-0000-0000-000027140000}"/>
    <cellStyle name="좋음 4 2" xfId="2850" xr:uid="{00000000-0005-0000-0000-000028140000}"/>
    <cellStyle name="좋음 4 3" xfId="3908" xr:uid="{00000000-0005-0000-0000-000029140000}"/>
    <cellStyle name="좋음 4 4" xfId="3238" xr:uid="{00000000-0005-0000-0000-00002A140000}"/>
    <cellStyle name="좋음 4 5" xfId="3336" xr:uid="{00000000-0005-0000-0000-00002B140000}"/>
    <cellStyle name="좋음 4 6" xfId="3482" xr:uid="{00000000-0005-0000-0000-00002C140000}"/>
    <cellStyle name="좋음 4 7" xfId="3470" xr:uid="{00000000-0005-0000-0000-00002D140000}"/>
    <cellStyle name="좋음 4 8" xfId="3344" xr:uid="{00000000-0005-0000-0000-00002E140000}"/>
    <cellStyle name="좋음 4 9" xfId="3590" xr:uid="{00000000-0005-0000-0000-00002F140000}"/>
    <cellStyle name="좋음 5" xfId="3304" xr:uid="{00000000-0005-0000-0000-000030140000}"/>
    <cellStyle name="좋음 5 2" xfId="2984" xr:uid="{00000000-0005-0000-0000-000031140000}"/>
    <cellStyle name="좋음 5 3" xfId="2858" xr:uid="{00000000-0005-0000-0000-000032140000}"/>
    <cellStyle name="좋음 5 4" xfId="3108" xr:uid="{00000000-0005-0000-0000-000033140000}"/>
    <cellStyle name="좋음 5 5" xfId="317" xr:uid="{00000000-0005-0000-0000-000034140000}"/>
    <cellStyle name="좋음 6" xfId="2600" xr:uid="{00000000-0005-0000-0000-000035140000}"/>
    <cellStyle name="좋음 6 2" xfId="3371" xr:uid="{00000000-0005-0000-0000-000036140000}"/>
    <cellStyle name="좋음 6 3" xfId="3311" xr:uid="{00000000-0005-0000-0000-000037140000}"/>
    <cellStyle name="좋음 6 4" xfId="2572" xr:uid="{00000000-0005-0000-0000-000038140000}"/>
    <cellStyle name="좋음 6 5" xfId="2732" xr:uid="{00000000-0005-0000-0000-000039140000}"/>
    <cellStyle name="좋음 7" xfId="4197" xr:uid="{00000000-0005-0000-0000-00003A140000}"/>
    <cellStyle name="좋음 7 2" xfId="2810" xr:uid="{00000000-0005-0000-0000-00003B140000}"/>
    <cellStyle name="좋음 8" xfId="2919" xr:uid="{00000000-0005-0000-0000-00003C140000}"/>
    <cellStyle name="좋음 8 2" xfId="4176" xr:uid="{00000000-0005-0000-0000-00003D140000}"/>
    <cellStyle name="좋음 9" xfId="6302" xr:uid="{00000000-0005-0000-0000-00003E140000}"/>
    <cellStyle name="지정되지 않음" xfId="268" xr:uid="{00000000-0005-0000-0000-00003F140000}"/>
    <cellStyle name="출력 10" xfId="6495" xr:uid="{00000000-0005-0000-0000-000040140000}"/>
    <cellStyle name="출력 11" xfId="6282" xr:uid="{00000000-0005-0000-0000-000041140000}"/>
    <cellStyle name="출력 12" xfId="6513" xr:uid="{00000000-0005-0000-0000-000042140000}"/>
    <cellStyle name="출력 13" xfId="49589" xr:uid="{00000000-0005-0000-0000-000043140000}"/>
    <cellStyle name="출력 14" xfId="49590" xr:uid="{00000000-0005-0000-0000-000044140000}"/>
    <cellStyle name="출력 15" xfId="49591" xr:uid="{00000000-0005-0000-0000-000045140000}"/>
    <cellStyle name="출력 16" xfId="49592" xr:uid="{00000000-0005-0000-0000-000046140000}"/>
    <cellStyle name="출력 17" xfId="49593" xr:uid="{00000000-0005-0000-0000-000047140000}"/>
    <cellStyle name="출력 18" xfId="49594" xr:uid="{00000000-0005-0000-0000-000048140000}"/>
    <cellStyle name="출력 19" xfId="49595" xr:uid="{00000000-0005-0000-0000-000049140000}"/>
    <cellStyle name="출력 2" xfId="269" xr:uid="{00000000-0005-0000-0000-00004A140000}"/>
    <cellStyle name="출력 2 10" xfId="5801" xr:uid="{00000000-0005-0000-0000-00004B140000}"/>
    <cellStyle name="출력 2 10 2" xfId="5802" xr:uid="{00000000-0005-0000-0000-00004C140000}"/>
    <cellStyle name="출력 2 11" xfId="5803" xr:uid="{00000000-0005-0000-0000-00004D140000}"/>
    <cellStyle name="출력 2 11 2" xfId="5804" xr:uid="{00000000-0005-0000-0000-00004E140000}"/>
    <cellStyle name="출력 2 12" xfId="5805" xr:uid="{00000000-0005-0000-0000-00004F140000}"/>
    <cellStyle name="출력 2 12 2" xfId="5806" xr:uid="{00000000-0005-0000-0000-000050140000}"/>
    <cellStyle name="출력 2 13" xfId="5807" xr:uid="{00000000-0005-0000-0000-000051140000}"/>
    <cellStyle name="출력 2 13 2" xfId="5808" xr:uid="{00000000-0005-0000-0000-000052140000}"/>
    <cellStyle name="출력 2 14" xfId="5809" xr:uid="{00000000-0005-0000-0000-000053140000}"/>
    <cellStyle name="출력 2 14 2" xfId="5810" xr:uid="{00000000-0005-0000-0000-000054140000}"/>
    <cellStyle name="출력 2 15" xfId="5811" xr:uid="{00000000-0005-0000-0000-000055140000}"/>
    <cellStyle name="출력 2 15 2" xfId="5812" xr:uid="{00000000-0005-0000-0000-000056140000}"/>
    <cellStyle name="출력 2 16" xfId="5813" xr:uid="{00000000-0005-0000-0000-000057140000}"/>
    <cellStyle name="출력 2 16 2" xfId="5814" xr:uid="{00000000-0005-0000-0000-000058140000}"/>
    <cellStyle name="출력 2 17" xfId="5815" xr:uid="{00000000-0005-0000-0000-000059140000}"/>
    <cellStyle name="출력 2 17 2" xfId="5816" xr:uid="{00000000-0005-0000-0000-00005A140000}"/>
    <cellStyle name="출력 2 18" xfId="5817" xr:uid="{00000000-0005-0000-0000-00005B140000}"/>
    <cellStyle name="출력 2 18 2" xfId="5818" xr:uid="{00000000-0005-0000-0000-00005C140000}"/>
    <cellStyle name="출력 2 19" xfId="5819" xr:uid="{00000000-0005-0000-0000-00005D140000}"/>
    <cellStyle name="출력 2 19 2" xfId="5820" xr:uid="{00000000-0005-0000-0000-00005E140000}"/>
    <cellStyle name="출력 2 2" xfId="5800" xr:uid="{00000000-0005-0000-0000-00005F140000}"/>
    <cellStyle name="출력 2 2 10" xfId="5821" xr:uid="{00000000-0005-0000-0000-000060140000}"/>
    <cellStyle name="출력 2 2 10 2" xfId="5822" xr:uid="{00000000-0005-0000-0000-000061140000}"/>
    <cellStyle name="출력 2 2 11" xfId="5823" xr:uid="{00000000-0005-0000-0000-000062140000}"/>
    <cellStyle name="출력 2 2 11 2" xfId="5824" xr:uid="{00000000-0005-0000-0000-000063140000}"/>
    <cellStyle name="출력 2 2 12" xfId="5825" xr:uid="{00000000-0005-0000-0000-000064140000}"/>
    <cellStyle name="출력 2 2 12 2" xfId="5826" xr:uid="{00000000-0005-0000-0000-000065140000}"/>
    <cellStyle name="출력 2 2 13" xfId="5827" xr:uid="{00000000-0005-0000-0000-000066140000}"/>
    <cellStyle name="출력 2 2 13 2" xfId="5828" xr:uid="{00000000-0005-0000-0000-000067140000}"/>
    <cellStyle name="출력 2 2 14" xfId="5829" xr:uid="{00000000-0005-0000-0000-000068140000}"/>
    <cellStyle name="출력 2 2 14 2" xfId="5830" xr:uid="{00000000-0005-0000-0000-000069140000}"/>
    <cellStyle name="출력 2 2 15" xfId="5831" xr:uid="{00000000-0005-0000-0000-00006A140000}"/>
    <cellStyle name="출력 2 2 15 2" xfId="5832" xr:uid="{00000000-0005-0000-0000-00006B140000}"/>
    <cellStyle name="출력 2 2 16" xfId="5833" xr:uid="{00000000-0005-0000-0000-00006C140000}"/>
    <cellStyle name="출력 2 2 16 2" xfId="5834" xr:uid="{00000000-0005-0000-0000-00006D140000}"/>
    <cellStyle name="출력 2 2 17" xfId="5835" xr:uid="{00000000-0005-0000-0000-00006E140000}"/>
    <cellStyle name="출력 2 2 17 2" xfId="5836" xr:uid="{00000000-0005-0000-0000-00006F140000}"/>
    <cellStyle name="출력 2 2 18" xfId="5837" xr:uid="{00000000-0005-0000-0000-000070140000}"/>
    <cellStyle name="출력 2 2 18 2" xfId="5838" xr:uid="{00000000-0005-0000-0000-000071140000}"/>
    <cellStyle name="출력 2 2 19" xfId="5839" xr:uid="{00000000-0005-0000-0000-000072140000}"/>
    <cellStyle name="출력 2 2 19 2" xfId="5840" xr:uid="{00000000-0005-0000-0000-000073140000}"/>
    <cellStyle name="출력 2 2 2" xfId="5841" xr:uid="{00000000-0005-0000-0000-000074140000}"/>
    <cellStyle name="출력 2 2 2 10" xfId="5842" xr:uid="{00000000-0005-0000-0000-000075140000}"/>
    <cellStyle name="출력 2 2 2 10 2" xfId="5843" xr:uid="{00000000-0005-0000-0000-000076140000}"/>
    <cellStyle name="출력 2 2 2 11" xfId="5844" xr:uid="{00000000-0005-0000-0000-000077140000}"/>
    <cellStyle name="출력 2 2 2 11 2" xfId="5845" xr:uid="{00000000-0005-0000-0000-000078140000}"/>
    <cellStyle name="출력 2 2 2 12" xfId="5846" xr:uid="{00000000-0005-0000-0000-000079140000}"/>
    <cellStyle name="출력 2 2 2 12 2" xfId="5847" xr:uid="{00000000-0005-0000-0000-00007A140000}"/>
    <cellStyle name="출력 2 2 2 13" xfId="5848" xr:uid="{00000000-0005-0000-0000-00007B140000}"/>
    <cellStyle name="출력 2 2 2 13 2" xfId="5849" xr:uid="{00000000-0005-0000-0000-00007C140000}"/>
    <cellStyle name="출력 2 2 2 14" xfId="5850" xr:uid="{00000000-0005-0000-0000-00007D140000}"/>
    <cellStyle name="출력 2 2 2 14 2" xfId="5851" xr:uid="{00000000-0005-0000-0000-00007E140000}"/>
    <cellStyle name="출력 2 2 2 15" xfId="5852" xr:uid="{00000000-0005-0000-0000-00007F140000}"/>
    <cellStyle name="출력 2 2 2 15 2" xfId="5853" xr:uid="{00000000-0005-0000-0000-000080140000}"/>
    <cellStyle name="출력 2 2 2 16" xfId="5854" xr:uid="{00000000-0005-0000-0000-000081140000}"/>
    <cellStyle name="출력 2 2 2 16 2" xfId="5855" xr:uid="{00000000-0005-0000-0000-000082140000}"/>
    <cellStyle name="출력 2 2 2 17" xfId="5856" xr:uid="{00000000-0005-0000-0000-000083140000}"/>
    <cellStyle name="출력 2 2 2 17 2" xfId="5857" xr:uid="{00000000-0005-0000-0000-000084140000}"/>
    <cellStyle name="출력 2 2 2 18" xfId="5858" xr:uid="{00000000-0005-0000-0000-000085140000}"/>
    <cellStyle name="출력 2 2 2 18 2" xfId="5859" xr:uid="{00000000-0005-0000-0000-000086140000}"/>
    <cellStyle name="출력 2 2 2 19" xfId="5860" xr:uid="{00000000-0005-0000-0000-000087140000}"/>
    <cellStyle name="출력 2 2 2 19 2" xfId="5861" xr:uid="{00000000-0005-0000-0000-000088140000}"/>
    <cellStyle name="출력 2 2 2 2" xfId="5862" xr:uid="{00000000-0005-0000-0000-000089140000}"/>
    <cellStyle name="출력 2 2 2 2 10" xfId="5863" xr:uid="{00000000-0005-0000-0000-00008A140000}"/>
    <cellStyle name="출력 2 2 2 2 10 2" xfId="5864" xr:uid="{00000000-0005-0000-0000-00008B140000}"/>
    <cellStyle name="출력 2 2 2 2 11" xfId="5865" xr:uid="{00000000-0005-0000-0000-00008C140000}"/>
    <cellStyle name="출력 2 2 2 2 11 2" xfId="5866" xr:uid="{00000000-0005-0000-0000-00008D140000}"/>
    <cellStyle name="출력 2 2 2 2 12" xfId="5867" xr:uid="{00000000-0005-0000-0000-00008E140000}"/>
    <cellStyle name="출력 2 2 2 2 12 2" xfId="5868" xr:uid="{00000000-0005-0000-0000-00008F140000}"/>
    <cellStyle name="출력 2 2 2 2 13" xfId="5869" xr:uid="{00000000-0005-0000-0000-000090140000}"/>
    <cellStyle name="출력 2 2 2 2 13 2" xfId="5870" xr:uid="{00000000-0005-0000-0000-000091140000}"/>
    <cellStyle name="출력 2 2 2 2 14" xfId="5871" xr:uid="{00000000-0005-0000-0000-000092140000}"/>
    <cellStyle name="출력 2 2 2 2 14 2" xfId="5872" xr:uid="{00000000-0005-0000-0000-000093140000}"/>
    <cellStyle name="출력 2 2 2 2 15" xfId="5873" xr:uid="{00000000-0005-0000-0000-000094140000}"/>
    <cellStyle name="출력 2 2 2 2 15 2" xfId="5874" xr:uid="{00000000-0005-0000-0000-000095140000}"/>
    <cellStyle name="출력 2 2 2 2 16" xfId="5875" xr:uid="{00000000-0005-0000-0000-000096140000}"/>
    <cellStyle name="출력 2 2 2 2 16 2" xfId="5876" xr:uid="{00000000-0005-0000-0000-000097140000}"/>
    <cellStyle name="출력 2 2 2 2 17" xfId="5877" xr:uid="{00000000-0005-0000-0000-000098140000}"/>
    <cellStyle name="출력 2 2 2 2 17 2" xfId="5878" xr:uid="{00000000-0005-0000-0000-000099140000}"/>
    <cellStyle name="출력 2 2 2 2 18" xfId="5879" xr:uid="{00000000-0005-0000-0000-00009A140000}"/>
    <cellStyle name="출력 2 2 2 2 18 2" xfId="5880" xr:uid="{00000000-0005-0000-0000-00009B140000}"/>
    <cellStyle name="출력 2 2 2 2 19" xfId="5881" xr:uid="{00000000-0005-0000-0000-00009C140000}"/>
    <cellStyle name="출력 2 2 2 2 19 2" xfId="5882" xr:uid="{00000000-0005-0000-0000-00009D140000}"/>
    <cellStyle name="출력 2 2 2 2 2" xfId="5883" xr:uid="{00000000-0005-0000-0000-00009E140000}"/>
    <cellStyle name="출력 2 2 2 2 2 2" xfId="5884" xr:uid="{00000000-0005-0000-0000-00009F140000}"/>
    <cellStyle name="출력 2 2 2 2 20" xfId="5885" xr:uid="{00000000-0005-0000-0000-0000A0140000}"/>
    <cellStyle name="출력 2 2 2 2 3" xfId="5886" xr:uid="{00000000-0005-0000-0000-0000A1140000}"/>
    <cellStyle name="출력 2 2 2 2 3 2" xfId="5887" xr:uid="{00000000-0005-0000-0000-0000A2140000}"/>
    <cellStyle name="출력 2 2 2 2 4" xfId="5888" xr:uid="{00000000-0005-0000-0000-0000A3140000}"/>
    <cellStyle name="출력 2 2 2 2 4 2" xfId="5889" xr:uid="{00000000-0005-0000-0000-0000A4140000}"/>
    <cellStyle name="출력 2 2 2 2 5" xfId="5890" xr:uid="{00000000-0005-0000-0000-0000A5140000}"/>
    <cellStyle name="출력 2 2 2 2 5 2" xfId="5891" xr:uid="{00000000-0005-0000-0000-0000A6140000}"/>
    <cellStyle name="출력 2 2 2 2 6" xfId="5892" xr:uid="{00000000-0005-0000-0000-0000A7140000}"/>
    <cellStyle name="출력 2 2 2 2 6 2" xfId="5893" xr:uid="{00000000-0005-0000-0000-0000A8140000}"/>
    <cellStyle name="출력 2 2 2 2 7" xfId="5894" xr:uid="{00000000-0005-0000-0000-0000A9140000}"/>
    <cellStyle name="출력 2 2 2 2 7 2" xfId="5895" xr:uid="{00000000-0005-0000-0000-0000AA140000}"/>
    <cellStyle name="출력 2 2 2 2 8" xfId="5896" xr:uid="{00000000-0005-0000-0000-0000AB140000}"/>
    <cellStyle name="출력 2 2 2 2 8 2" xfId="5897" xr:uid="{00000000-0005-0000-0000-0000AC140000}"/>
    <cellStyle name="출력 2 2 2 2 9" xfId="5898" xr:uid="{00000000-0005-0000-0000-0000AD140000}"/>
    <cellStyle name="출력 2 2 2 2 9 2" xfId="5899" xr:uid="{00000000-0005-0000-0000-0000AE140000}"/>
    <cellStyle name="출력 2 2 2 20" xfId="5900" xr:uid="{00000000-0005-0000-0000-0000AF140000}"/>
    <cellStyle name="출력 2 2 2 20 2" xfId="5901" xr:uid="{00000000-0005-0000-0000-0000B0140000}"/>
    <cellStyle name="출력 2 2 2 21" xfId="5902" xr:uid="{00000000-0005-0000-0000-0000B1140000}"/>
    <cellStyle name="출력 2 2 2 3" xfId="5903" xr:uid="{00000000-0005-0000-0000-0000B2140000}"/>
    <cellStyle name="출력 2 2 2 3 2" xfId="5904" xr:uid="{00000000-0005-0000-0000-0000B3140000}"/>
    <cellStyle name="출력 2 2 2 4" xfId="5905" xr:uid="{00000000-0005-0000-0000-0000B4140000}"/>
    <cellStyle name="출력 2 2 2 4 2" xfId="5906" xr:uid="{00000000-0005-0000-0000-0000B5140000}"/>
    <cellStyle name="출력 2 2 2 5" xfId="5907" xr:uid="{00000000-0005-0000-0000-0000B6140000}"/>
    <cellStyle name="출력 2 2 2 5 2" xfId="5908" xr:uid="{00000000-0005-0000-0000-0000B7140000}"/>
    <cellStyle name="출력 2 2 2 6" xfId="5909" xr:uid="{00000000-0005-0000-0000-0000B8140000}"/>
    <cellStyle name="출력 2 2 2 6 2" xfId="5910" xr:uid="{00000000-0005-0000-0000-0000B9140000}"/>
    <cellStyle name="출력 2 2 2 7" xfId="5911" xr:uid="{00000000-0005-0000-0000-0000BA140000}"/>
    <cellStyle name="출력 2 2 2 7 2" xfId="5912" xr:uid="{00000000-0005-0000-0000-0000BB140000}"/>
    <cellStyle name="출력 2 2 2 8" xfId="5913" xr:uid="{00000000-0005-0000-0000-0000BC140000}"/>
    <cellStyle name="출력 2 2 2 8 2" xfId="5914" xr:uid="{00000000-0005-0000-0000-0000BD140000}"/>
    <cellStyle name="출력 2 2 2 9" xfId="5915" xr:uid="{00000000-0005-0000-0000-0000BE140000}"/>
    <cellStyle name="출력 2 2 2 9 2" xfId="5916" xr:uid="{00000000-0005-0000-0000-0000BF140000}"/>
    <cellStyle name="출력 2 2 20" xfId="5917" xr:uid="{00000000-0005-0000-0000-0000C0140000}"/>
    <cellStyle name="출력 2 2 20 2" xfId="5918" xr:uid="{00000000-0005-0000-0000-0000C1140000}"/>
    <cellStyle name="출력 2 2 21" xfId="5919" xr:uid="{00000000-0005-0000-0000-0000C2140000}"/>
    <cellStyle name="출력 2 2 21 2" xfId="5920" xr:uid="{00000000-0005-0000-0000-0000C3140000}"/>
    <cellStyle name="출력 2 2 22" xfId="5921" xr:uid="{00000000-0005-0000-0000-0000C4140000}"/>
    <cellStyle name="출력 2 2 22 2" xfId="5922" xr:uid="{00000000-0005-0000-0000-0000C5140000}"/>
    <cellStyle name="출력 2 2 23" xfId="5923" xr:uid="{00000000-0005-0000-0000-0000C6140000}"/>
    <cellStyle name="출력 2 2 23 2" xfId="5924" xr:uid="{00000000-0005-0000-0000-0000C7140000}"/>
    <cellStyle name="출력 2 2 24" xfId="5925" xr:uid="{00000000-0005-0000-0000-0000C8140000}"/>
    <cellStyle name="출력 2 2 24 2" xfId="5926" xr:uid="{00000000-0005-0000-0000-0000C9140000}"/>
    <cellStyle name="출력 2 2 25" xfId="5927" xr:uid="{00000000-0005-0000-0000-0000CA140000}"/>
    <cellStyle name="출력 2 2 3" xfId="5928" xr:uid="{00000000-0005-0000-0000-0000CB140000}"/>
    <cellStyle name="출력 2 2 3 10" xfId="5929" xr:uid="{00000000-0005-0000-0000-0000CC140000}"/>
    <cellStyle name="출력 2 2 3 10 2" xfId="5930" xr:uid="{00000000-0005-0000-0000-0000CD140000}"/>
    <cellStyle name="출력 2 2 3 11" xfId="5931" xr:uid="{00000000-0005-0000-0000-0000CE140000}"/>
    <cellStyle name="출력 2 2 3 11 2" xfId="5932" xr:uid="{00000000-0005-0000-0000-0000CF140000}"/>
    <cellStyle name="출력 2 2 3 12" xfId="5933" xr:uid="{00000000-0005-0000-0000-0000D0140000}"/>
    <cellStyle name="출력 2 2 3 12 2" xfId="5934" xr:uid="{00000000-0005-0000-0000-0000D1140000}"/>
    <cellStyle name="출력 2 2 3 13" xfId="5935" xr:uid="{00000000-0005-0000-0000-0000D2140000}"/>
    <cellStyle name="출력 2 2 3 13 2" xfId="5936" xr:uid="{00000000-0005-0000-0000-0000D3140000}"/>
    <cellStyle name="출력 2 2 3 14" xfId="5937" xr:uid="{00000000-0005-0000-0000-0000D4140000}"/>
    <cellStyle name="출력 2 2 3 14 2" xfId="5938" xr:uid="{00000000-0005-0000-0000-0000D5140000}"/>
    <cellStyle name="출력 2 2 3 15" xfId="5939" xr:uid="{00000000-0005-0000-0000-0000D6140000}"/>
    <cellStyle name="출력 2 2 3 15 2" xfId="5940" xr:uid="{00000000-0005-0000-0000-0000D7140000}"/>
    <cellStyle name="출력 2 2 3 16" xfId="5941" xr:uid="{00000000-0005-0000-0000-0000D8140000}"/>
    <cellStyle name="출력 2 2 3 16 2" xfId="5942" xr:uid="{00000000-0005-0000-0000-0000D9140000}"/>
    <cellStyle name="출력 2 2 3 17" xfId="5943" xr:uid="{00000000-0005-0000-0000-0000DA140000}"/>
    <cellStyle name="출력 2 2 3 17 2" xfId="5944" xr:uid="{00000000-0005-0000-0000-0000DB140000}"/>
    <cellStyle name="출력 2 2 3 18" xfId="5945" xr:uid="{00000000-0005-0000-0000-0000DC140000}"/>
    <cellStyle name="출력 2 2 3 18 2" xfId="5946" xr:uid="{00000000-0005-0000-0000-0000DD140000}"/>
    <cellStyle name="출력 2 2 3 19" xfId="5947" xr:uid="{00000000-0005-0000-0000-0000DE140000}"/>
    <cellStyle name="출력 2 2 3 19 2" xfId="5948" xr:uid="{00000000-0005-0000-0000-0000DF140000}"/>
    <cellStyle name="출력 2 2 3 2" xfId="5949" xr:uid="{00000000-0005-0000-0000-0000E0140000}"/>
    <cellStyle name="출력 2 2 3 2 10" xfId="5950" xr:uid="{00000000-0005-0000-0000-0000E1140000}"/>
    <cellStyle name="출력 2 2 3 2 10 2" xfId="5951" xr:uid="{00000000-0005-0000-0000-0000E2140000}"/>
    <cellStyle name="출력 2 2 3 2 11" xfId="5952" xr:uid="{00000000-0005-0000-0000-0000E3140000}"/>
    <cellStyle name="출력 2 2 3 2 11 2" xfId="5953" xr:uid="{00000000-0005-0000-0000-0000E4140000}"/>
    <cellStyle name="출력 2 2 3 2 12" xfId="5954" xr:uid="{00000000-0005-0000-0000-0000E5140000}"/>
    <cellStyle name="출력 2 2 3 2 12 2" xfId="5955" xr:uid="{00000000-0005-0000-0000-0000E6140000}"/>
    <cellStyle name="출력 2 2 3 2 13" xfId="5956" xr:uid="{00000000-0005-0000-0000-0000E7140000}"/>
    <cellStyle name="출력 2 2 3 2 13 2" xfId="5957" xr:uid="{00000000-0005-0000-0000-0000E8140000}"/>
    <cellStyle name="출력 2 2 3 2 14" xfId="5958" xr:uid="{00000000-0005-0000-0000-0000E9140000}"/>
    <cellStyle name="출력 2 2 3 2 14 2" xfId="5959" xr:uid="{00000000-0005-0000-0000-0000EA140000}"/>
    <cellStyle name="출력 2 2 3 2 15" xfId="5960" xr:uid="{00000000-0005-0000-0000-0000EB140000}"/>
    <cellStyle name="출력 2 2 3 2 15 2" xfId="5961" xr:uid="{00000000-0005-0000-0000-0000EC140000}"/>
    <cellStyle name="출력 2 2 3 2 16" xfId="5962" xr:uid="{00000000-0005-0000-0000-0000ED140000}"/>
    <cellStyle name="출력 2 2 3 2 16 2" xfId="5963" xr:uid="{00000000-0005-0000-0000-0000EE140000}"/>
    <cellStyle name="출력 2 2 3 2 17" xfId="5964" xr:uid="{00000000-0005-0000-0000-0000EF140000}"/>
    <cellStyle name="출력 2 2 3 2 17 2" xfId="5965" xr:uid="{00000000-0005-0000-0000-0000F0140000}"/>
    <cellStyle name="출력 2 2 3 2 18" xfId="5966" xr:uid="{00000000-0005-0000-0000-0000F1140000}"/>
    <cellStyle name="출력 2 2 3 2 18 2" xfId="5967" xr:uid="{00000000-0005-0000-0000-0000F2140000}"/>
    <cellStyle name="출력 2 2 3 2 19" xfId="5968" xr:uid="{00000000-0005-0000-0000-0000F3140000}"/>
    <cellStyle name="출력 2 2 3 2 19 2" xfId="5969" xr:uid="{00000000-0005-0000-0000-0000F4140000}"/>
    <cellStyle name="출력 2 2 3 2 2" xfId="5970" xr:uid="{00000000-0005-0000-0000-0000F5140000}"/>
    <cellStyle name="출력 2 2 3 2 2 2" xfId="5971" xr:uid="{00000000-0005-0000-0000-0000F6140000}"/>
    <cellStyle name="출력 2 2 3 2 20" xfId="5972" xr:uid="{00000000-0005-0000-0000-0000F7140000}"/>
    <cellStyle name="출력 2 2 3 2 3" xfId="5973" xr:uid="{00000000-0005-0000-0000-0000F8140000}"/>
    <cellStyle name="출력 2 2 3 2 3 2" xfId="5974" xr:uid="{00000000-0005-0000-0000-0000F9140000}"/>
    <cellStyle name="출력 2 2 3 2 4" xfId="5975" xr:uid="{00000000-0005-0000-0000-0000FA140000}"/>
    <cellStyle name="출력 2 2 3 2 4 2" xfId="5976" xr:uid="{00000000-0005-0000-0000-0000FB140000}"/>
    <cellStyle name="출력 2 2 3 2 5" xfId="5977" xr:uid="{00000000-0005-0000-0000-0000FC140000}"/>
    <cellStyle name="출력 2 2 3 2 5 2" xfId="5978" xr:uid="{00000000-0005-0000-0000-0000FD140000}"/>
    <cellStyle name="출력 2 2 3 2 6" xfId="5979" xr:uid="{00000000-0005-0000-0000-0000FE140000}"/>
    <cellStyle name="출력 2 2 3 2 6 2" xfId="5980" xr:uid="{00000000-0005-0000-0000-0000FF140000}"/>
    <cellStyle name="출력 2 2 3 2 7" xfId="5981" xr:uid="{00000000-0005-0000-0000-000000150000}"/>
    <cellStyle name="출력 2 2 3 2 7 2" xfId="5982" xr:uid="{00000000-0005-0000-0000-000001150000}"/>
    <cellStyle name="출력 2 2 3 2 8" xfId="5983" xr:uid="{00000000-0005-0000-0000-000002150000}"/>
    <cellStyle name="출력 2 2 3 2 8 2" xfId="5984" xr:uid="{00000000-0005-0000-0000-000003150000}"/>
    <cellStyle name="출력 2 2 3 2 9" xfId="5985" xr:uid="{00000000-0005-0000-0000-000004150000}"/>
    <cellStyle name="출력 2 2 3 2 9 2" xfId="5986" xr:uid="{00000000-0005-0000-0000-000005150000}"/>
    <cellStyle name="출력 2 2 3 20" xfId="5987" xr:uid="{00000000-0005-0000-0000-000006150000}"/>
    <cellStyle name="출력 2 2 3 20 2" xfId="5988" xr:uid="{00000000-0005-0000-0000-000007150000}"/>
    <cellStyle name="출력 2 2 3 21" xfId="5989" xr:uid="{00000000-0005-0000-0000-000008150000}"/>
    <cellStyle name="출력 2 2 3 3" xfId="5990" xr:uid="{00000000-0005-0000-0000-000009150000}"/>
    <cellStyle name="출력 2 2 3 3 2" xfId="5991" xr:uid="{00000000-0005-0000-0000-00000A150000}"/>
    <cellStyle name="출력 2 2 3 4" xfId="5992" xr:uid="{00000000-0005-0000-0000-00000B150000}"/>
    <cellStyle name="출력 2 2 3 4 2" xfId="5993" xr:uid="{00000000-0005-0000-0000-00000C150000}"/>
    <cellStyle name="출력 2 2 3 5" xfId="5994" xr:uid="{00000000-0005-0000-0000-00000D150000}"/>
    <cellStyle name="출력 2 2 3 5 2" xfId="5995" xr:uid="{00000000-0005-0000-0000-00000E150000}"/>
    <cellStyle name="출력 2 2 3 6" xfId="5996" xr:uid="{00000000-0005-0000-0000-00000F150000}"/>
    <cellStyle name="출력 2 2 3 6 2" xfId="5997" xr:uid="{00000000-0005-0000-0000-000010150000}"/>
    <cellStyle name="출력 2 2 3 7" xfId="5998" xr:uid="{00000000-0005-0000-0000-000011150000}"/>
    <cellStyle name="출력 2 2 3 7 2" xfId="5999" xr:uid="{00000000-0005-0000-0000-000012150000}"/>
    <cellStyle name="출력 2 2 3 8" xfId="6000" xr:uid="{00000000-0005-0000-0000-000013150000}"/>
    <cellStyle name="출력 2 2 3 8 2" xfId="6001" xr:uid="{00000000-0005-0000-0000-000014150000}"/>
    <cellStyle name="출력 2 2 3 9" xfId="6002" xr:uid="{00000000-0005-0000-0000-000015150000}"/>
    <cellStyle name="출력 2 2 3 9 2" xfId="6003" xr:uid="{00000000-0005-0000-0000-000016150000}"/>
    <cellStyle name="출력 2 2 4" xfId="6004" xr:uid="{00000000-0005-0000-0000-000017150000}"/>
    <cellStyle name="출력 2 2 4 10" xfId="6005" xr:uid="{00000000-0005-0000-0000-000018150000}"/>
    <cellStyle name="출력 2 2 4 10 2" xfId="6006" xr:uid="{00000000-0005-0000-0000-000019150000}"/>
    <cellStyle name="출력 2 2 4 11" xfId="6007" xr:uid="{00000000-0005-0000-0000-00001A150000}"/>
    <cellStyle name="출력 2 2 4 11 2" xfId="6008" xr:uid="{00000000-0005-0000-0000-00001B150000}"/>
    <cellStyle name="출력 2 2 4 12" xfId="6009" xr:uid="{00000000-0005-0000-0000-00001C150000}"/>
    <cellStyle name="출력 2 2 4 12 2" xfId="6010" xr:uid="{00000000-0005-0000-0000-00001D150000}"/>
    <cellStyle name="출력 2 2 4 13" xfId="6011" xr:uid="{00000000-0005-0000-0000-00001E150000}"/>
    <cellStyle name="출력 2 2 4 13 2" xfId="6012" xr:uid="{00000000-0005-0000-0000-00001F150000}"/>
    <cellStyle name="출력 2 2 4 14" xfId="6013" xr:uid="{00000000-0005-0000-0000-000020150000}"/>
    <cellStyle name="출력 2 2 4 14 2" xfId="6014" xr:uid="{00000000-0005-0000-0000-000021150000}"/>
    <cellStyle name="출력 2 2 4 15" xfId="6015" xr:uid="{00000000-0005-0000-0000-000022150000}"/>
    <cellStyle name="출력 2 2 4 15 2" xfId="6016" xr:uid="{00000000-0005-0000-0000-000023150000}"/>
    <cellStyle name="출력 2 2 4 16" xfId="6017" xr:uid="{00000000-0005-0000-0000-000024150000}"/>
    <cellStyle name="출력 2 2 4 16 2" xfId="6018" xr:uid="{00000000-0005-0000-0000-000025150000}"/>
    <cellStyle name="출력 2 2 4 17" xfId="6019" xr:uid="{00000000-0005-0000-0000-000026150000}"/>
    <cellStyle name="출력 2 2 4 17 2" xfId="6020" xr:uid="{00000000-0005-0000-0000-000027150000}"/>
    <cellStyle name="출력 2 2 4 18" xfId="6021" xr:uid="{00000000-0005-0000-0000-000028150000}"/>
    <cellStyle name="출력 2 2 4 18 2" xfId="6022" xr:uid="{00000000-0005-0000-0000-000029150000}"/>
    <cellStyle name="출력 2 2 4 19" xfId="6023" xr:uid="{00000000-0005-0000-0000-00002A150000}"/>
    <cellStyle name="출력 2 2 4 19 2" xfId="6024" xr:uid="{00000000-0005-0000-0000-00002B150000}"/>
    <cellStyle name="출력 2 2 4 2" xfId="6025" xr:uid="{00000000-0005-0000-0000-00002C150000}"/>
    <cellStyle name="출력 2 2 4 2 10" xfId="6026" xr:uid="{00000000-0005-0000-0000-00002D150000}"/>
    <cellStyle name="출력 2 2 4 2 10 2" xfId="6027" xr:uid="{00000000-0005-0000-0000-00002E150000}"/>
    <cellStyle name="출력 2 2 4 2 11" xfId="6028" xr:uid="{00000000-0005-0000-0000-00002F150000}"/>
    <cellStyle name="출력 2 2 4 2 11 2" xfId="6029" xr:uid="{00000000-0005-0000-0000-000030150000}"/>
    <cellStyle name="출력 2 2 4 2 12" xfId="6030" xr:uid="{00000000-0005-0000-0000-000031150000}"/>
    <cellStyle name="출력 2 2 4 2 12 2" xfId="6031" xr:uid="{00000000-0005-0000-0000-000032150000}"/>
    <cellStyle name="출력 2 2 4 2 13" xfId="6032" xr:uid="{00000000-0005-0000-0000-000033150000}"/>
    <cellStyle name="출력 2 2 4 2 13 2" xfId="6033" xr:uid="{00000000-0005-0000-0000-000034150000}"/>
    <cellStyle name="출력 2 2 4 2 14" xfId="6034" xr:uid="{00000000-0005-0000-0000-000035150000}"/>
    <cellStyle name="출력 2 2 4 2 14 2" xfId="6035" xr:uid="{00000000-0005-0000-0000-000036150000}"/>
    <cellStyle name="출력 2 2 4 2 15" xfId="6036" xr:uid="{00000000-0005-0000-0000-000037150000}"/>
    <cellStyle name="출력 2 2 4 2 15 2" xfId="6037" xr:uid="{00000000-0005-0000-0000-000038150000}"/>
    <cellStyle name="출력 2 2 4 2 16" xfId="6038" xr:uid="{00000000-0005-0000-0000-000039150000}"/>
    <cellStyle name="출력 2 2 4 2 16 2" xfId="6039" xr:uid="{00000000-0005-0000-0000-00003A150000}"/>
    <cellStyle name="출력 2 2 4 2 17" xfId="6040" xr:uid="{00000000-0005-0000-0000-00003B150000}"/>
    <cellStyle name="출력 2 2 4 2 17 2" xfId="6041" xr:uid="{00000000-0005-0000-0000-00003C150000}"/>
    <cellStyle name="출력 2 2 4 2 18" xfId="6042" xr:uid="{00000000-0005-0000-0000-00003D150000}"/>
    <cellStyle name="출력 2 2 4 2 18 2" xfId="6043" xr:uid="{00000000-0005-0000-0000-00003E150000}"/>
    <cellStyle name="출력 2 2 4 2 19" xfId="6044" xr:uid="{00000000-0005-0000-0000-00003F150000}"/>
    <cellStyle name="출력 2 2 4 2 19 2" xfId="6045" xr:uid="{00000000-0005-0000-0000-000040150000}"/>
    <cellStyle name="출력 2 2 4 2 2" xfId="6046" xr:uid="{00000000-0005-0000-0000-000041150000}"/>
    <cellStyle name="출력 2 2 4 2 2 2" xfId="6047" xr:uid="{00000000-0005-0000-0000-000042150000}"/>
    <cellStyle name="출력 2 2 4 2 20" xfId="6048" xr:uid="{00000000-0005-0000-0000-000043150000}"/>
    <cellStyle name="출력 2 2 4 2 3" xfId="6049" xr:uid="{00000000-0005-0000-0000-000044150000}"/>
    <cellStyle name="출력 2 2 4 2 3 2" xfId="6050" xr:uid="{00000000-0005-0000-0000-000045150000}"/>
    <cellStyle name="출력 2 2 4 2 4" xfId="6051" xr:uid="{00000000-0005-0000-0000-000046150000}"/>
    <cellStyle name="출력 2 2 4 2 4 2" xfId="6052" xr:uid="{00000000-0005-0000-0000-000047150000}"/>
    <cellStyle name="출력 2 2 4 2 5" xfId="6053" xr:uid="{00000000-0005-0000-0000-000048150000}"/>
    <cellStyle name="출력 2 2 4 2 5 2" xfId="6054" xr:uid="{00000000-0005-0000-0000-000049150000}"/>
    <cellStyle name="출력 2 2 4 2 6" xfId="6055" xr:uid="{00000000-0005-0000-0000-00004A150000}"/>
    <cellStyle name="출력 2 2 4 2 6 2" xfId="6056" xr:uid="{00000000-0005-0000-0000-00004B150000}"/>
    <cellStyle name="출력 2 2 4 2 7" xfId="6057" xr:uid="{00000000-0005-0000-0000-00004C150000}"/>
    <cellStyle name="출력 2 2 4 2 7 2" xfId="6058" xr:uid="{00000000-0005-0000-0000-00004D150000}"/>
    <cellStyle name="출력 2 2 4 2 8" xfId="6059" xr:uid="{00000000-0005-0000-0000-00004E150000}"/>
    <cellStyle name="출력 2 2 4 2 8 2" xfId="6060" xr:uid="{00000000-0005-0000-0000-00004F150000}"/>
    <cellStyle name="출력 2 2 4 2 9" xfId="6061" xr:uid="{00000000-0005-0000-0000-000050150000}"/>
    <cellStyle name="출력 2 2 4 2 9 2" xfId="6062" xr:uid="{00000000-0005-0000-0000-000051150000}"/>
    <cellStyle name="출력 2 2 4 20" xfId="6063" xr:uid="{00000000-0005-0000-0000-000052150000}"/>
    <cellStyle name="출력 2 2 4 20 2" xfId="6064" xr:uid="{00000000-0005-0000-0000-000053150000}"/>
    <cellStyle name="출력 2 2 4 21" xfId="6065" xr:uid="{00000000-0005-0000-0000-000054150000}"/>
    <cellStyle name="출력 2 2 4 3" xfId="6066" xr:uid="{00000000-0005-0000-0000-000055150000}"/>
    <cellStyle name="출력 2 2 4 3 2" xfId="6067" xr:uid="{00000000-0005-0000-0000-000056150000}"/>
    <cellStyle name="출력 2 2 4 4" xfId="6068" xr:uid="{00000000-0005-0000-0000-000057150000}"/>
    <cellStyle name="출력 2 2 4 4 2" xfId="6069" xr:uid="{00000000-0005-0000-0000-000058150000}"/>
    <cellStyle name="출력 2 2 4 5" xfId="6070" xr:uid="{00000000-0005-0000-0000-000059150000}"/>
    <cellStyle name="출력 2 2 4 5 2" xfId="6071" xr:uid="{00000000-0005-0000-0000-00005A150000}"/>
    <cellStyle name="출력 2 2 4 6" xfId="6072" xr:uid="{00000000-0005-0000-0000-00005B150000}"/>
    <cellStyle name="출력 2 2 4 6 2" xfId="6073" xr:uid="{00000000-0005-0000-0000-00005C150000}"/>
    <cellStyle name="출력 2 2 4 7" xfId="6074" xr:uid="{00000000-0005-0000-0000-00005D150000}"/>
    <cellStyle name="출력 2 2 4 7 2" xfId="6075" xr:uid="{00000000-0005-0000-0000-00005E150000}"/>
    <cellStyle name="출력 2 2 4 8" xfId="6076" xr:uid="{00000000-0005-0000-0000-00005F150000}"/>
    <cellStyle name="출력 2 2 4 8 2" xfId="6077" xr:uid="{00000000-0005-0000-0000-000060150000}"/>
    <cellStyle name="출력 2 2 4 9" xfId="6078" xr:uid="{00000000-0005-0000-0000-000061150000}"/>
    <cellStyle name="출력 2 2 4 9 2" xfId="6079" xr:uid="{00000000-0005-0000-0000-000062150000}"/>
    <cellStyle name="출력 2 2 5" xfId="6080" xr:uid="{00000000-0005-0000-0000-000063150000}"/>
    <cellStyle name="출력 2 2 5 10" xfId="6081" xr:uid="{00000000-0005-0000-0000-000064150000}"/>
    <cellStyle name="출력 2 2 5 10 2" xfId="6082" xr:uid="{00000000-0005-0000-0000-000065150000}"/>
    <cellStyle name="출력 2 2 5 11" xfId="6083" xr:uid="{00000000-0005-0000-0000-000066150000}"/>
    <cellStyle name="출력 2 2 5 11 2" xfId="6084" xr:uid="{00000000-0005-0000-0000-000067150000}"/>
    <cellStyle name="출력 2 2 5 12" xfId="6085" xr:uid="{00000000-0005-0000-0000-000068150000}"/>
    <cellStyle name="출력 2 2 5 12 2" xfId="6086" xr:uid="{00000000-0005-0000-0000-000069150000}"/>
    <cellStyle name="출력 2 2 5 13" xfId="6087" xr:uid="{00000000-0005-0000-0000-00006A150000}"/>
    <cellStyle name="출력 2 2 5 13 2" xfId="6088" xr:uid="{00000000-0005-0000-0000-00006B150000}"/>
    <cellStyle name="출력 2 2 5 14" xfId="6089" xr:uid="{00000000-0005-0000-0000-00006C150000}"/>
    <cellStyle name="출력 2 2 5 14 2" xfId="6090" xr:uid="{00000000-0005-0000-0000-00006D150000}"/>
    <cellStyle name="출력 2 2 5 15" xfId="6091" xr:uid="{00000000-0005-0000-0000-00006E150000}"/>
    <cellStyle name="출력 2 2 5 15 2" xfId="6092" xr:uid="{00000000-0005-0000-0000-00006F150000}"/>
    <cellStyle name="출력 2 2 5 16" xfId="6093" xr:uid="{00000000-0005-0000-0000-000070150000}"/>
    <cellStyle name="출력 2 2 5 16 2" xfId="6094" xr:uid="{00000000-0005-0000-0000-000071150000}"/>
    <cellStyle name="출력 2 2 5 17" xfId="6095" xr:uid="{00000000-0005-0000-0000-000072150000}"/>
    <cellStyle name="출력 2 2 5 17 2" xfId="6096" xr:uid="{00000000-0005-0000-0000-000073150000}"/>
    <cellStyle name="출력 2 2 5 18" xfId="6097" xr:uid="{00000000-0005-0000-0000-000074150000}"/>
    <cellStyle name="출력 2 2 5 18 2" xfId="6098" xr:uid="{00000000-0005-0000-0000-000075150000}"/>
    <cellStyle name="출력 2 2 5 19" xfId="6099" xr:uid="{00000000-0005-0000-0000-000076150000}"/>
    <cellStyle name="출력 2 2 5 19 2" xfId="6100" xr:uid="{00000000-0005-0000-0000-000077150000}"/>
    <cellStyle name="출력 2 2 5 2" xfId="6101" xr:uid="{00000000-0005-0000-0000-000078150000}"/>
    <cellStyle name="출력 2 2 5 2 10" xfId="6102" xr:uid="{00000000-0005-0000-0000-000079150000}"/>
    <cellStyle name="출력 2 2 5 2 10 2" xfId="6103" xr:uid="{00000000-0005-0000-0000-00007A150000}"/>
    <cellStyle name="출력 2 2 5 2 11" xfId="6104" xr:uid="{00000000-0005-0000-0000-00007B150000}"/>
    <cellStyle name="출력 2 2 5 2 11 2" xfId="6105" xr:uid="{00000000-0005-0000-0000-00007C150000}"/>
    <cellStyle name="출력 2 2 5 2 12" xfId="6106" xr:uid="{00000000-0005-0000-0000-00007D150000}"/>
    <cellStyle name="출력 2 2 5 2 12 2" xfId="6107" xr:uid="{00000000-0005-0000-0000-00007E150000}"/>
    <cellStyle name="출력 2 2 5 2 13" xfId="6108" xr:uid="{00000000-0005-0000-0000-00007F150000}"/>
    <cellStyle name="출력 2 2 5 2 13 2" xfId="6109" xr:uid="{00000000-0005-0000-0000-000080150000}"/>
    <cellStyle name="출력 2 2 5 2 14" xfId="6110" xr:uid="{00000000-0005-0000-0000-000081150000}"/>
    <cellStyle name="출력 2 2 5 2 14 2" xfId="6111" xr:uid="{00000000-0005-0000-0000-000082150000}"/>
    <cellStyle name="출력 2 2 5 2 15" xfId="6112" xr:uid="{00000000-0005-0000-0000-000083150000}"/>
    <cellStyle name="출력 2 2 5 2 15 2" xfId="6113" xr:uid="{00000000-0005-0000-0000-000084150000}"/>
    <cellStyle name="출력 2 2 5 2 16" xfId="6114" xr:uid="{00000000-0005-0000-0000-000085150000}"/>
    <cellStyle name="출력 2 2 5 2 16 2" xfId="6115" xr:uid="{00000000-0005-0000-0000-000086150000}"/>
    <cellStyle name="출력 2 2 5 2 17" xfId="6116" xr:uid="{00000000-0005-0000-0000-000087150000}"/>
    <cellStyle name="출력 2 2 5 2 17 2" xfId="6117" xr:uid="{00000000-0005-0000-0000-000088150000}"/>
    <cellStyle name="출력 2 2 5 2 18" xfId="6118" xr:uid="{00000000-0005-0000-0000-000089150000}"/>
    <cellStyle name="출력 2 2 5 2 18 2" xfId="6119" xr:uid="{00000000-0005-0000-0000-00008A150000}"/>
    <cellStyle name="출력 2 2 5 2 19" xfId="6120" xr:uid="{00000000-0005-0000-0000-00008B150000}"/>
    <cellStyle name="출력 2 2 5 2 19 2" xfId="6121" xr:uid="{00000000-0005-0000-0000-00008C150000}"/>
    <cellStyle name="출력 2 2 5 2 2" xfId="6122" xr:uid="{00000000-0005-0000-0000-00008D150000}"/>
    <cellStyle name="출력 2 2 5 2 2 2" xfId="6123" xr:uid="{00000000-0005-0000-0000-00008E150000}"/>
    <cellStyle name="출력 2 2 5 2 20" xfId="6124" xr:uid="{00000000-0005-0000-0000-00008F150000}"/>
    <cellStyle name="출력 2 2 5 2 3" xfId="6125" xr:uid="{00000000-0005-0000-0000-000090150000}"/>
    <cellStyle name="출력 2 2 5 2 3 2" xfId="6126" xr:uid="{00000000-0005-0000-0000-000091150000}"/>
    <cellStyle name="출력 2 2 5 2 4" xfId="6127" xr:uid="{00000000-0005-0000-0000-000092150000}"/>
    <cellStyle name="출력 2 2 5 2 4 2" xfId="6128" xr:uid="{00000000-0005-0000-0000-000093150000}"/>
    <cellStyle name="출력 2 2 5 2 5" xfId="6129" xr:uid="{00000000-0005-0000-0000-000094150000}"/>
    <cellStyle name="출력 2 2 5 2 5 2" xfId="6130" xr:uid="{00000000-0005-0000-0000-000095150000}"/>
    <cellStyle name="출력 2 2 5 2 6" xfId="6131" xr:uid="{00000000-0005-0000-0000-000096150000}"/>
    <cellStyle name="출력 2 2 5 2 6 2" xfId="6132" xr:uid="{00000000-0005-0000-0000-000097150000}"/>
    <cellStyle name="출력 2 2 5 2 7" xfId="6133" xr:uid="{00000000-0005-0000-0000-000098150000}"/>
    <cellStyle name="출력 2 2 5 2 7 2" xfId="6134" xr:uid="{00000000-0005-0000-0000-000099150000}"/>
    <cellStyle name="출력 2 2 5 2 8" xfId="6135" xr:uid="{00000000-0005-0000-0000-00009A150000}"/>
    <cellStyle name="출력 2 2 5 2 8 2" xfId="6136" xr:uid="{00000000-0005-0000-0000-00009B150000}"/>
    <cellStyle name="출력 2 2 5 2 9" xfId="6137" xr:uid="{00000000-0005-0000-0000-00009C150000}"/>
    <cellStyle name="출력 2 2 5 2 9 2" xfId="6138" xr:uid="{00000000-0005-0000-0000-00009D150000}"/>
    <cellStyle name="출력 2 2 5 20" xfId="6139" xr:uid="{00000000-0005-0000-0000-00009E150000}"/>
    <cellStyle name="출력 2 2 5 20 2" xfId="6140" xr:uid="{00000000-0005-0000-0000-00009F150000}"/>
    <cellStyle name="출력 2 2 5 21" xfId="6141" xr:uid="{00000000-0005-0000-0000-0000A0150000}"/>
    <cellStyle name="출력 2 2 5 3" xfId="6142" xr:uid="{00000000-0005-0000-0000-0000A1150000}"/>
    <cellStyle name="출력 2 2 5 3 2" xfId="6143" xr:uid="{00000000-0005-0000-0000-0000A2150000}"/>
    <cellStyle name="출력 2 2 5 4" xfId="6144" xr:uid="{00000000-0005-0000-0000-0000A3150000}"/>
    <cellStyle name="출력 2 2 5 4 2" xfId="6145" xr:uid="{00000000-0005-0000-0000-0000A4150000}"/>
    <cellStyle name="출력 2 2 5 5" xfId="6146" xr:uid="{00000000-0005-0000-0000-0000A5150000}"/>
    <cellStyle name="출력 2 2 5 5 2" xfId="6147" xr:uid="{00000000-0005-0000-0000-0000A6150000}"/>
    <cellStyle name="출력 2 2 5 6" xfId="6148" xr:uid="{00000000-0005-0000-0000-0000A7150000}"/>
    <cellStyle name="출력 2 2 5 6 2" xfId="6149" xr:uid="{00000000-0005-0000-0000-0000A8150000}"/>
    <cellStyle name="출력 2 2 5 7" xfId="6150" xr:uid="{00000000-0005-0000-0000-0000A9150000}"/>
    <cellStyle name="출력 2 2 5 7 2" xfId="6151" xr:uid="{00000000-0005-0000-0000-0000AA150000}"/>
    <cellStyle name="출력 2 2 5 8" xfId="6152" xr:uid="{00000000-0005-0000-0000-0000AB150000}"/>
    <cellStyle name="출력 2 2 5 8 2" xfId="6153" xr:uid="{00000000-0005-0000-0000-0000AC150000}"/>
    <cellStyle name="출력 2 2 5 9" xfId="6154" xr:uid="{00000000-0005-0000-0000-0000AD150000}"/>
    <cellStyle name="출력 2 2 5 9 2" xfId="6155" xr:uid="{00000000-0005-0000-0000-0000AE150000}"/>
    <cellStyle name="출력 2 2 6" xfId="6156" xr:uid="{00000000-0005-0000-0000-0000AF150000}"/>
    <cellStyle name="출력 2 2 6 10" xfId="6157" xr:uid="{00000000-0005-0000-0000-0000B0150000}"/>
    <cellStyle name="출력 2 2 6 10 2" xfId="6158" xr:uid="{00000000-0005-0000-0000-0000B1150000}"/>
    <cellStyle name="출력 2 2 6 11" xfId="6159" xr:uid="{00000000-0005-0000-0000-0000B2150000}"/>
    <cellStyle name="출력 2 2 6 11 2" xfId="6160" xr:uid="{00000000-0005-0000-0000-0000B3150000}"/>
    <cellStyle name="출력 2 2 6 12" xfId="6161" xr:uid="{00000000-0005-0000-0000-0000B4150000}"/>
    <cellStyle name="출력 2 2 6 12 2" xfId="6162" xr:uid="{00000000-0005-0000-0000-0000B5150000}"/>
    <cellStyle name="출력 2 2 6 13" xfId="6163" xr:uid="{00000000-0005-0000-0000-0000B6150000}"/>
    <cellStyle name="출력 2 2 6 13 2" xfId="6164" xr:uid="{00000000-0005-0000-0000-0000B7150000}"/>
    <cellStyle name="출력 2 2 6 14" xfId="6165" xr:uid="{00000000-0005-0000-0000-0000B8150000}"/>
    <cellStyle name="출력 2 2 6 14 2" xfId="6166" xr:uid="{00000000-0005-0000-0000-0000B9150000}"/>
    <cellStyle name="출력 2 2 6 15" xfId="6167" xr:uid="{00000000-0005-0000-0000-0000BA150000}"/>
    <cellStyle name="출력 2 2 6 15 2" xfId="6168" xr:uid="{00000000-0005-0000-0000-0000BB150000}"/>
    <cellStyle name="출력 2 2 6 16" xfId="6169" xr:uid="{00000000-0005-0000-0000-0000BC150000}"/>
    <cellStyle name="출력 2 2 6 16 2" xfId="6170" xr:uid="{00000000-0005-0000-0000-0000BD150000}"/>
    <cellStyle name="출력 2 2 6 17" xfId="6171" xr:uid="{00000000-0005-0000-0000-0000BE150000}"/>
    <cellStyle name="출력 2 2 6 17 2" xfId="6172" xr:uid="{00000000-0005-0000-0000-0000BF150000}"/>
    <cellStyle name="출력 2 2 6 18" xfId="6173" xr:uid="{00000000-0005-0000-0000-0000C0150000}"/>
    <cellStyle name="출력 2 2 6 18 2" xfId="6174" xr:uid="{00000000-0005-0000-0000-0000C1150000}"/>
    <cellStyle name="출력 2 2 6 19" xfId="6175" xr:uid="{00000000-0005-0000-0000-0000C2150000}"/>
    <cellStyle name="출력 2 2 6 19 2" xfId="6176" xr:uid="{00000000-0005-0000-0000-0000C3150000}"/>
    <cellStyle name="출력 2 2 6 2" xfId="6177" xr:uid="{00000000-0005-0000-0000-0000C4150000}"/>
    <cellStyle name="출력 2 2 6 2 2" xfId="6178" xr:uid="{00000000-0005-0000-0000-0000C5150000}"/>
    <cellStyle name="출력 2 2 6 20" xfId="6179" xr:uid="{00000000-0005-0000-0000-0000C6150000}"/>
    <cellStyle name="출력 2 2 6 3" xfId="6180" xr:uid="{00000000-0005-0000-0000-0000C7150000}"/>
    <cellStyle name="출력 2 2 6 3 2" xfId="6181" xr:uid="{00000000-0005-0000-0000-0000C8150000}"/>
    <cellStyle name="출력 2 2 6 4" xfId="6182" xr:uid="{00000000-0005-0000-0000-0000C9150000}"/>
    <cellStyle name="출력 2 2 6 4 2" xfId="6183" xr:uid="{00000000-0005-0000-0000-0000CA150000}"/>
    <cellStyle name="출력 2 2 6 5" xfId="6184" xr:uid="{00000000-0005-0000-0000-0000CB150000}"/>
    <cellStyle name="출력 2 2 6 5 2" xfId="6185" xr:uid="{00000000-0005-0000-0000-0000CC150000}"/>
    <cellStyle name="출력 2 2 6 6" xfId="6186" xr:uid="{00000000-0005-0000-0000-0000CD150000}"/>
    <cellStyle name="출력 2 2 6 6 2" xfId="6187" xr:uid="{00000000-0005-0000-0000-0000CE150000}"/>
    <cellStyle name="출력 2 2 6 7" xfId="6188" xr:uid="{00000000-0005-0000-0000-0000CF150000}"/>
    <cellStyle name="출력 2 2 6 7 2" xfId="6189" xr:uid="{00000000-0005-0000-0000-0000D0150000}"/>
    <cellStyle name="출력 2 2 6 8" xfId="6190" xr:uid="{00000000-0005-0000-0000-0000D1150000}"/>
    <cellStyle name="출력 2 2 6 8 2" xfId="6191" xr:uid="{00000000-0005-0000-0000-0000D2150000}"/>
    <cellStyle name="출력 2 2 6 9" xfId="6192" xr:uid="{00000000-0005-0000-0000-0000D3150000}"/>
    <cellStyle name="출력 2 2 6 9 2" xfId="6193" xr:uid="{00000000-0005-0000-0000-0000D4150000}"/>
    <cellStyle name="출력 2 2 7" xfId="6194" xr:uid="{00000000-0005-0000-0000-0000D5150000}"/>
    <cellStyle name="출력 2 2 7 2" xfId="6195" xr:uid="{00000000-0005-0000-0000-0000D6150000}"/>
    <cellStyle name="출력 2 2 8" xfId="6196" xr:uid="{00000000-0005-0000-0000-0000D7150000}"/>
    <cellStyle name="출력 2 2 8 2" xfId="6197" xr:uid="{00000000-0005-0000-0000-0000D8150000}"/>
    <cellStyle name="출력 2 2 9" xfId="6198" xr:uid="{00000000-0005-0000-0000-0000D9150000}"/>
    <cellStyle name="출력 2 2 9 2" xfId="6199" xr:uid="{00000000-0005-0000-0000-0000DA150000}"/>
    <cellStyle name="출력 2 20" xfId="6200" xr:uid="{00000000-0005-0000-0000-0000DB150000}"/>
    <cellStyle name="출력 2 20 2" xfId="6201" xr:uid="{00000000-0005-0000-0000-0000DC150000}"/>
    <cellStyle name="출력 2 21" xfId="6202" xr:uid="{00000000-0005-0000-0000-0000DD150000}"/>
    <cellStyle name="출력 2 22" xfId="6460" xr:uid="{00000000-0005-0000-0000-0000DE150000}"/>
    <cellStyle name="출력 2 23" xfId="6324" xr:uid="{00000000-0005-0000-0000-0000DF150000}"/>
    <cellStyle name="출력 2 24" xfId="6470" xr:uid="{00000000-0005-0000-0000-0000E0150000}"/>
    <cellStyle name="출력 2 25" xfId="6313" xr:uid="{00000000-0005-0000-0000-0000E1150000}"/>
    <cellStyle name="출력 2 26" xfId="6478" xr:uid="{00000000-0005-0000-0000-0000E2150000}"/>
    <cellStyle name="출력 2 27" xfId="6299" xr:uid="{00000000-0005-0000-0000-0000E3150000}"/>
    <cellStyle name="출력 2 28" xfId="6496" xr:uid="{00000000-0005-0000-0000-0000E4150000}"/>
    <cellStyle name="출력 2 29" xfId="6281" xr:uid="{00000000-0005-0000-0000-0000E5150000}"/>
    <cellStyle name="출력 2 3" xfId="6203" xr:uid="{00000000-0005-0000-0000-0000E6150000}"/>
    <cellStyle name="출력 2 3 2" xfId="6204" xr:uid="{00000000-0005-0000-0000-0000E7150000}"/>
    <cellStyle name="출력 2 30" xfId="6514" xr:uid="{00000000-0005-0000-0000-0000E8150000}"/>
    <cellStyle name="출력 2 4" xfId="6205" xr:uid="{00000000-0005-0000-0000-0000E9150000}"/>
    <cellStyle name="출력 2 4 2" xfId="6206" xr:uid="{00000000-0005-0000-0000-0000EA150000}"/>
    <cellStyle name="출력 2 5" xfId="6207" xr:uid="{00000000-0005-0000-0000-0000EB150000}"/>
    <cellStyle name="출력 2 5 2" xfId="6208" xr:uid="{00000000-0005-0000-0000-0000EC150000}"/>
    <cellStyle name="출력 2 6" xfId="6209" xr:uid="{00000000-0005-0000-0000-0000ED150000}"/>
    <cellStyle name="출력 2 6 2" xfId="6210" xr:uid="{00000000-0005-0000-0000-0000EE150000}"/>
    <cellStyle name="출력 2 7" xfId="6211" xr:uid="{00000000-0005-0000-0000-0000EF150000}"/>
    <cellStyle name="출력 2 7 2" xfId="6212" xr:uid="{00000000-0005-0000-0000-0000F0150000}"/>
    <cellStyle name="출력 2 8" xfId="6213" xr:uid="{00000000-0005-0000-0000-0000F1150000}"/>
    <cellStyle name="출력 2 8 2" xfId="6214" xr:uid="{00000000-0005-0000-0000-0000F2150000}"/>
    <cellStyle name="출력 2 9" xfId="6215" xr:uid="{00000000-0005-0000-0000-0000F3150000}"/>
    <cellStyle name="출력 2 9 2" xfId="6216" xr:uid="{00000000-0005-0000-0000-0000F4150000}"/>
    <cellStyle name="출력 20" xfId="49596" xr:uid="{00000000-0005-0000-0000-0000F5150000}"/>
    <cellStyle name="출력 21" xfId="49597" xr:uid="{00000000-0005-0000-0000-0000F6150000}"/>
    <cellStyle name="출력 22" xfId="49598" xr:uid="{00000000-0005-0000-0000-0000F7150000}"/>
    <cellStyle name="출력 23" xfId="49599" xr:uid="{00000000-0005-0000-0000-0000F8150000}"/>
    <cellStyle name="출력 24" xfId="49600" xr:uid="{00000000-0005-0000-0000-0000F9150000}"/>
    <cellStyle name="출력 25" xfId="49601" xr:uid="{00000000-0005-0000-0000-0000FA150000}"/>
    <cellStyle name="출력 26" xfId="49602" xr:uid="{00000000-0005-0000-0000-0000FB150000}"/>
    <cellStyle name="출력 27" xfId="49603" xr:uid="{00000000-0005-0000-0000-0000FC150000}"/>
    <cellStyle name="출력 28" xfId="49604" xr:uid="{00000000-0005-0000-0000-0000FD150000}"/>
    <cellStyle name="출력 29" xfId="49605" xr:uid="{00000000-0005-0000-0000-0000FE150000}"/>
    <cellStyle name="출력 3" xfId="3202" xr:uid="{00000000-0005-0000-0000-0000FF150000}"/>
    <cellStyle name="출력 3 10" xfId="2539" xr:uid="{00000000-0005-0000-0000-000000160000}"/>
    <cellStyle name="출력 3 11" xfId="3283" xr:uid="{00000000-0005-0000-0000-000001160000}"/>
    <cellStyle name="출력 3 2" xfId="3543" xr:uid="{00000000-0005-0000-0000-000002160000}"/>
    <cellStyle name="출력 3 3" xfId="3569" xr:uid="{00000000-0005-0000-0000-000003160000}"/>
    <cellStyle name="출력 3 4" xfId="3936" xr:uid="{00000000-0005-0000-0000-000004160000}"/>
    <cellStyle name="출력 3 5" xfId="3182" xr:uid="{00000000-0005-0000-0000-000005160000}"/>
    <cellStyle name="출력 3 6" xfId="2406" xr:uid="{00000000-0005-0000-0000-000006160000}"/>
    <cellStyle name="출력 3 7" xfId="3408" xr:uid="{00000000-0005-0000-0000-000007160000}"/>
    <cellStyle name="출력 3 8" xfId="4135" xr:uid="{00000000-0005-0000-0000-000008160000}"/>
    <cellStyle name="출력 3 9" xfId="2467" xr:uid="{00000000-0005-0000-0000-000009160000}"/>
    <cellStyle name="출력 30" xfId="49606" xr:uid="{00000000-0005-0000-0000-00000A160000}"/>
    <cellStyle name="출력 31" xfId="49607" xr:uid="{00000000-0005-0000-0000-00000B160000}"/>
    <cellStyle name="출력 32" xfId="49608" xr:uid="{00000000-0005-0000-0000-00000C160000}"/>
    <cellStyle name="출력 33" xfId="49609" xr:uid="{00000000-0005-0000-0000-00000D160000}"/>
    <cellStyle name="출력 4" xfId="4256" xr:uid="{00000000-0005-0000-0000-00000E160000}"/>
    <cellStyle name="출력 4 10" xfId="2917" xr:uid="{00000000-0005-0000-0000-00000F160000}"/>
    <cellStyle name="출력 4 11" xfId="3880" xr:uid="{00000000-0005-0000-0000-000010160000}"/>
    <cellStyle name="출력 4 2" xfId="2592" xr:uid="{00000000-0005-0000-0000-000011160000}"/>
    <cellStyle name="출력 4 3" xfId="3161" xr:uid="{00000000-0005-0000-0000-000012160000}"/>
    <cellStyle name="출력 4 4" xfId="2502" xr:uid="{00000000-0005-0000-0000-000013160000}"/>
    <cellStyle name="출력 4 5" xfId="3454" xr:uid="{00000000-0005-0000-0000-000014160000}"/>
    <cellStyle name="출력 4 6" xfId="3545" xr:uid="{00000000-0005-0000-0000-000015160000}"/>
    <cellStyle name="출력 4 7" xfId="2756" xr:uid="{00000000-0005-0000-0000-000016160000}"/>
    <cellStyle name="출력 4 8" xfId="3889" xr:uid="{00000000-0005-0000-0000-000017160000}"/>
    <cellStyle name="출력 4 9" xfId="2580" xr:uid="{00000000-0005-0000-0000-000018160000}"/>
    <cellStyle name="출력 5" xfId="2922" xr:uid="{00000000-0005-0000-0000-000019160000}"/>
    <cellStyle name="출력 5 2" xfId="3275" xr:uid="{00000000-0005-0000-0000-00001A160000}"/>
    <cellStyle name="출력 5 3" xfId="3428" xr:uid="{00000000-0005-0000-0000-00001B160000}"/>
    <cellStyle name="출력 5 4" xfId="3250" xr:uid="{00000000-0005-0000-0000-00001C160000}"/>
    <cellStyle name="출력 5 5" xfId="2789" xr:uid="{00000000-0005-0000-0000-00001D160000}"/>
    <cellStyle name="출력 6" xfId="3804" xr:uid="{00000000-0005-0000-0000-00001E160000}"/>
    <cellStyle name="출력 6 2" xfId="3018" xr:uid="{00000000-0005-0000-0000-00001F160000}"/>
    <cellStyle name="출력 6 3" xfId="2450" xr:uid="{00000000-0005-0000-0000-000020160000}"/>
    <cellStyle name="출력 6 4" xfId="3780" xr:uid="{00000000-0005-0000-0000-000021160000}"/>
    <cellStyle name="출력 6 5" xfId="3748" xr:uid="{00000000-0005-0000-0000-000022160000}"/>
    <cellStyle name="출력 7" xfId="4118" xr:uid="{00000000-0005-0000-0000-000023160000}"/>
    <cellStyle name="출력 7 2" xfId="3383" xr:uid="{00000000-0005-0000-0000-000024160000}"/>
    <cellStyle name="출력 8" xfId="3342" xr:uid="{00000000-0005-0000-0000-000025160000}"/>
    <cellStyle name="출력 8 2" xfId="4276" xr:uid="{00000000-0005-0000-0000-000026160000}"/>
    <cellStyle name="출력 9" xfId="6300" xr:uid="{00000000-0005-0000-0000-000027160000}"/>
    <cellStyle name="콤마 [0]?SAUP-1" xfId="6217" xr:uid="{00000000-0005-0000-0000-000028160000}"/>
    <cellStyle name="콤마 [0]_ 94경비율" xfId="6218" xr:uid="{00000000-0005-0000-0000-000029160000}"/>
    <cellStyle name="콤마 [0]⛸SAUP-1" xfId="6219" xr:uid="{00000000-0005-0000-0000-00002A160000}"/>
    <cellStyle name="콤마 [2]" xfId="49610" xr:uid="{00000000-0005-0000-0000-00002B160000}"/>
    <cellStyle name="콤마_ 94경비율" xfId="6220" xr:uid="{00000000-0005-0000-0000-00002C160000}"/>
    <cellStyle name="통화 [0] 2" xfId="6221" xr:uid="{00000000-0005-0000-0000-00002D160000}"/>
    <cellStyle name="통화 [0] 2 2" xfId="49611" xr:uid="{00000000-0005-0000-0000-00002E160000}"/>
    <cellStyle name="표준" xfId="0" builtinId="0"/>
    <cellStyle name="표준 10" xfId="309" xr:uid="{00000000-0005-0000-0000-000030160000}"/>
    <cellStyle name="표준 10 10" xfId="3682" xr:uid="{00000000-0005-0000-0000-000031160000}"/>
    <cellStyle name="표준 10 11" xfId="3188" xr:uid="{00000000-0005-0000-0000-000032160000}"/>
    <cellStyle name="표준 10 12" xfId="3824" xr:uid="{00000000-0005-0000-0000-000033160000}"/>
    <cellStyle name="표준 10 13" xfId="2409" xr:uid="{00000000-0005-0000-0000-000034160000}"/>
    <cellStyle name="표준 10 14" xfId="49659" xr:uid="{00000000-0005-0000-0000-000035160000}"/>
    <cellStyle name="표준 10 2" xfId="4041" xr:uid="{00000000-0005-0000-0000-000036160000}"/>
    <cellStyle name="표준 10 3" xfId="332" xr:uid="{00000000-0005-0000-0000-000037160000}"/>
    <cellStyle name="표준 10 4" xfId="285" xr:uid="{00000000-0005-0000-0000-000038160000}"/>
    <cellStyle name="표준 10 5" xfId="4292" xr:uid="{00000000-0005-0000-0000-000039160000}"/>
    <cellStyle name="표준 10 6" xfId="2950" xr:uid="{00000000-0005-0000-0000-00003A160000}"/>
    <cellStyle name="표준 10 7" xfId="3916" xr:uid="{00000000-0005-0000-0000-00003B160000}"/>
    <cellStyle name="표준 10 8" xfId="2608" xr:uid="{00000000-0005-0000-0000-00003C160000}"/>
    <cellStyle name="표준 10 9" xfId="3938" xr:uid="{00000000-0005-0000-0000-00003D160000}"/>
    <cellStyle name="표준 11" xfId="4170" xr:uid="{00000000-0005-0000-0000-00003E160000}"/>
    <cellStyle name="표준 11 2" xfId="48422" xr:uid="{00000000-0005-0000-0000-00003F160000}"/>
    <cellStyle name="표준 11 3" xfId="48448" xr:uid="{00000000-0005-0000-0000-000040160000}"/>
    <cellStyle name="표준 12" xfId="4173" xr:uid="{00000000-0005-0000-0000-000041160000}"/>
    <cellStyle name="표준 13" xfId="4004" xr:uid="{00000000-0005-0000-0000-000042160000}"/>
    <cellStyle name="표준 14" xfId="3001" xr:uid="{00000000-0005-0000-0000-000043160000}"/>
    <cellStyle name="표준 14 2" xfId="3990" xr:uid="{00000000-0005-0000-0000-000044160000}"/>
    <cellStyle name="표준 14 3" xfId="2636" xr:uid="{00000000-0005-0000-0000-000045160000}"/>
    <cellStyle name="표준 14 4" xfId="4023" xr:uid="{00000000-0005-0000-0000-000046160000}"/>
    <cellStyle name="표준 14 5" xfId="3698" xr:uid="{00000000-0005-0000-0000-000047160000}"/>
    <cellStyle name="표준 14 6" xfId="3993" xr:uid="{00000000-0005-0000-0000-000048160000}"/>
    <cellStyle name="표준 14 7" xfId="4451" xr:uid="{00000000-0005-0000-0000-000049160000}"/>
    <cellStyle name="표준 15" xfId="6560" xr:uid="{00000000-0005-0000-0000-00004A160000}"/>
    <cellStyle name="표준 16" xfId="4083" xr:uid="{00000000-0005-0000-0000-00004B160000}"/>
    <cellStyle name="표준 16 2" xfId="2693" xr:uid="{00000000-0005-0000-0000-00004C160000}"/>
    <cellStyle name="표준 16 3" xfId="3024" xr:uid="{00000000-0005-0000-0000-00004D160000}"/>
    <cellStyle name="표준 16 4" xfId="4027" xr:uid="{00000000-0005-0000-0000-00004E160000}"/>
    <cellStyle name="표준 16 5" xfId="3416" xr:uid="{00000000-0005-0000-0000-00004F160000}"/>
    <cellStyle name="표준 16 6" xfId="2530" xr:uid="{00000000-0005-0000-0000-000050160000}"/>
    <cellStyle name="표준 16 7" xfId="4246" xr:uid="{00000000-0005-0000-0000-000051160000}"/>
    <cellStyle name="표준 16 8" xfId="6602" xr:uid="{00000000-0005-0000-0000-000052160000}"/>
    <cellStyle name="표준 17" xfId="88" xr:uid="{00000000-0005-0000-0000-000053160000}"/>
    <cellStyle name="표준 17 2" xfId="6636" xr:uid="{00000000-0005-0000-0000-000054160000}"/>
    <cellStyle name="표준 18" xfId="89" xr:uid="{00000000-0005-0000-0000-000055160000}"/>
    <cellStyle name="표준 18 2" xfId="3904" xr:uid="{00000000-0005-0000-0000-000056160000}"/>
    <cellStyle name="표준 18 3" xfId="2745" xr:uid="{00000000-0005-0000-0000-000057160000}"/>
    <cellStyle name="표준 18 4" xfId="278" xr:uid="{00000000-0005-0000-0000-000058160000}"/>
    <cellStyle name="표준 18 5" xfId="2513" xr:uid="{00000000-0005-0000-0000-000059160000}"/>
    <cellStyle name="표준 18 6" xfId="2510" xr:uid="{00000000-0005-0000-0000-00005A160000}"/>
    <cellStyle name="표준 18 7" xfId="3260" xr:uid="{00000000-0005-0000-0000-00005B160000}"/>
    <cellStyle name="표준 18 8" xfId="3253" xr:uid="{00000000-0005-0000-0000-00005C160000}"/>
    <cellStyle name="표준 18 9" xfId="6692" xr:uid="{00000000-0005-0000-0000-00005D160000}"/>
    <cellStyle name="표준 19" xfId="6942" xr:uid="{00000000-0005-0000-0000-00005E160000}"/>
    <cellStyle name="표준 2" xfId="5" xr:uid="{00000000-0005-0000-0000-00005F160000}"/>
    <cellStyle name="표준 2 10" xfId="358" xr:uid="{00000000-0005-0000-0000-000060160000}"/>
    <cellStyle name="표준 2 10 2" xfId="6571" xr:uid="{00000000-0005-0000-0000-000061160000}"/>
    <cellStyle name="표준 2 11" xfId="3476" xr:uid="{00000000-0005-0000-0000-000062160000}"/>
    <cellStyle name="표준 2 11 2" xfId="6610" xr:uid="{00000000-0005-0000-0000-000063160000}"/>
    <cellStyle name="표준 2 12" xfId="4295" xr:uid="{00000000-0005-0000-0000-000064160000}"/>
    <cellStyle name="표준 2 12 2" xfId="6658" xr:uid="{00000000-0005-0000-0000-000065160000}"/>
    <cellStyle name="표준 2 13" xfId="2637" xr:uid="{00000000-0005-0000-0000-000066160000}"/>
    <cellStyle name="표준 2 13 2" xfId="6725" xr:uid="{00000000-0005-0000-0000-000067160000}"/>
    <cellStyle name="표준 2 14" xfId="3240" xr:uid="{00000000-0005-0000-0000-000068160000}"/>
    <cellStyle name="표준 2 15" xfId="2671" xr:uid="{00000000-0005-0000-0000-000069160000}"/>
    <cellStyle name="표준 2 16" xfId="3802" xr:uid="{00000000-0005-0000-0000-00006A160000}"/>
    <cellStyle name="표준 2 17" xfId="3724" xr:uid="{00000000-0005-0000-0000-00006B160000}"/>
    <cellStyle name="표준 2 18" xfId="2757" xr:uid="{00000000-0005-0000-0000-00006C160000}"/>
    <cellStyle name="표준 2 19" xfId="2750" xr:uid="{00000000-0005-0000-0000-00006D160000}"/>
    <cellStyle name="표준 2 2" xfId="6" xr:uid="{00000000-0005-0000-0000-00006E160000}"/>
    <cellStyle name="표준 2 2 10" xfId="6659" xr:uid="{00000000-0005-0000-0000-00006F160000}"/>
    <cellStyle name="표준 2 2 11" xfId="6726" xr:uid="{00000000-0005-0000-0000-000070160000}"/>
    <cellStyle name="표준 2 2 12" xfId="6793" xr:uid="{00000000-0005-0000-0000-000071160000}"/>
    <cellStyle name="표준 2 2 13" xfId="6856" xr:uid="{00000000-0005-0000-0000-000072160000}"/>
    <cellStyle name="표준 2 2 14" xfId="6903" xr:uid="{00000000-0005-0000-0000-000073160000}"/>
    <cellStyle name="표준 2 2 15" xfId="6930" xr:uid="{00000000-0005-0000-0000-000074160000}"/>
    <cellStyle name="표준 2 2 16" xfId="6948" xr:uid="{00000000-0005-0000-0000-000075160000}"/>
    <cellStyle name="표준 2 2 17" xfId="49724" xr:uid="{00000000-0005-0000-0000-000076160000}"/>
    <cellStyle name="표준 2 2 2" xfId="22" xr:uid="{00000000-0005-0000-0000-000077160000}"/>
    <cellStyle name="표준 2 2 2 2" xfId="116" xr:uid="{00000000-0005-0000-0000-000078160000}"/>
    <cellStyle name="표준 2 2 3" xfId="34" xr:uid="{00000000-0005-0000-0000-000079160000}"/>
    <cellStyle name="표준 2 2 3 2" xfId="128" xr:uid="{00000000-0005-0000-0000-00007A160000}"/>
    <cellStyle name="표준 2 2 4" xfId="48" xr:uid="{00000000-0005-0000-0000-00007B160000}"/>
    <cellStyle name="표준 2 2 4 2" xfId="142" xr:uid="{00000000-0005-0000-0000-00007C160000}"/>
    <cellStyle name="표준 2 2 5" xfId="62" xr:uid="{00000000-0005-0000-0000-00007D160000}"/>
    <cellStyle name="표준 2 2 5 2" xfId="156" xr:uid="{00000000-0005-0000-0000-00007E160000}"/>
    <cellStyle name="표준 2 2 6" xfId="100" xr:uid="{00000000-0005-0000-0000-00007F160000}"/>
    <cellStyle name="표준 2 2 6 2" xfId="6222" xr:uid="{00000000-0005-0000-0000-000080160000}"/>
    <cellStyle name="표준 2 2 6 3" xfId="49653" xr:uid="{00000000-0005-0000-0000-000081160000}"/>
    <cellStyle name="표준 2 2 7" xfId="271" xr:uid="{00000000-0005-0000-0000-000082160000}"/>
    <cellStyle name="표준 2 2 7 2" xfId="6981" xr:uid="{00000000-0005-0000-0000-000083160000}"/>
    <cellStyle name="표준 2 2 7 3" xfId="48423" xr:uid="{00000000-0005-0000-0000-000084160000}"/>
    <cellStyle name="표준 2 2 8" xfId="6572" xr:uid="{00000000-0005-0000-0000-000085160000}"/>
    <cellStyle name="표준 2 2 8 2" xfId="7007" xr:uid="{00000000-0005-0000-0000-000086160000}"/>
    <cellStyle name="표준 2 2 9" xfId="6611" xr:uid="{00000000-0005-0000-0000-000087160000}"/>
    <cellStyle name="표준 2 20" xfId="3518" xr:uid="{00000000-0005-0000-0000-000088160000}"/>
    <cellStyle name="표준 2 21" xfId="3248" xr:uid="{00000000-0005-0000-0000-000089160000}"/>
    <cellStyle name="표준 2 22" xfId="2763" xr:uid="{00000000-0005-0000-0000-00008A160000}"/>
    <cellStyle name="표준 2 23" xfId="4005" xr:uid="{00000000-0005-0000-0000-00008B160000}"/>
    <cellStyle name="표준 2 24" xfId="3978" xr:uid="{00000000-0005-0000-0000-00008C160000}"/>
    <cellStyle name="표준 2 25" xfId="3246" xr:uid="{00000000-0005-0000-0000-00008D160000}"/>
    <cellStyle name="표준 2 26" xfId="3890" xr:uid="{00000000-0005-0000-0000-00008E160000}"/>
    <cellStyle name="표준 2 27" xfId="3530" xr:uid="{00000000-0005-0000-0000-00008F160000}"/>
    <cellStyle name="표준 2 28" xfId="3010" xr:uid="{00000000-0005-0000-0000-000090160000}"/>
    <cellStyle name="표준 2 29" xfId="4229" xr:uid="{00000000-0005-0000-0000-000091160000}"/>
    <cellStyle name="표준 2 3" xfId="12" xr:uid="{00000000-0005-0000-0000-000092160000}"/>
    <cellStyle name="표준 2 3 10" xfId="6660" xr:uid="{00000000-0005-0000-0000-000093160000}"/>
    <cellStyle name="표준 2 3 11" xfId="6727" xr:uid="{00000000-0005-0000-0000-000094160000}"/>
    <cellStyle name="표준 2 3 12" xfId="6794" xr:uid="{00000000-0005-0000-0000-000095160000}"/>
    <cellStyle name="표준 2 3 13" xfId="6857" xr:uid="{00000000-0005-0000-0000-000096160000}"/>
    <cellStyle name="표준 2 3 14" xfId="6904" xr:uid="{00000000-0005-0000-0000-000097160000}"/>
    <cellStyle name="표준 2 3 15" xfId="6931" xr:uid="{00000000-0005-0000-0000-000098160000}"/>
    <cellStyle name="표준 2 3 2" xfId="24" xr:uid="{00000000-0005-0000-0000-000099160000}"/>
    <cellStyle name="표준 2 3 2 2" xfId="118" xr:uid="{00000000-0005-0000-0000-00009A160000}"/>
    <cellStyle name="표준 2 3 3" xfId="36" xr:uid="{00000000-0005-0000-0000-00009B160000}"/>
    <cellStyle name="표준 2 3 3 2" xfId="130" xr:uid="{00000000-0005-0000-0000-00009C160000}"/>
    <cellStyle name="표준 2 3 4" xfId="50" xr:uid="{00000000-0005-0000-0000-00009D160000}"/>
    <cellStyle name="표준 2 3 4 2" xfId="144" xr:uid="{00000000-0005-0000-0000-00009E160000}"/>
    <cellStyle name="표준 2 3 5" xfId="64" xr:uid="{00000000-0005-0000-0000-00009F160000}"/>
    <cellStyle name="표준 2 3 5 2" xfId="158" xr:uid="{00000000-0005-0000-0000-0000A0160000}"/>
    <cellStyle name="표준 2 3 6" xfId="106" xr:uid="{00000000-0005-0000-0000-0000A1160000}"/>
    <cellStyle name="표준 2 3 6 2" xfId="6223" xr:uid="{00000000-0005-0000-0000-0000A2160000}"/>
    <cellStyle name="표준 2 3 6 3" xfId="49654" xr:uid="{00000000-0005-0000-0000-0000A3160000}"/>
    <cellStyle name="표준 2 3 7" xfId="3423" xr:uid="{00000000-0005-0000-0000-0000A4160000}"/>
    <cellStyle name="표준 2 3 7 2" xfId="6536" xr:uid="{00000000-0005-0000-0000-0000A5160000}"/>
    <cellStyle name="표준 2 3 7 3" xfId="6983" xr:uid="{00000000-0005-0000-0000-0000A6160000}"/>
    <cellStyle name="표준 2 3 7 4" xfId="48425" xr:uid="{00000000-0005-0000-0000-0000A7160000}"/>
    <cellStyle name="표준 2 3 8" xfId="6573" xr:uid="{00000000-0005-0000-0000-0000A8160000}"/>
    <cellStyle name="표준 2 3 8 2" xfId="7009" xr:uid="{00000000-0005-0000-0000-0000A9160000}"/>
    <cellStyle name="표준 2 3 9" xfId="6612" xr:uid="{00000000-0005-0000-0000-0000AA160000}"/>
    <cellStyle name="표준 2 30" xfId="3147" xr:uid="{00000000-0005-0000-0000-0000AB160000}"/>
    <cellStyle name="표준 2 31" xfId="4227" xr:uid="{00000000-0005-0000-0000-0000AC160000}"/>
    <cellStyle name="표준 2 32" xfId="3738" xr:uid="{00000000-0005-0000-0000-0000AD160000}"/>
    <cellStyle name="표준 2 33" xfId="3983" xr:uid="{00000000-0005-0000-0000-0000AE160000}"/>
    <cellStyle name="표준 2 34" xfId="3570" xr:uid="{00000000-0005-0000-0000-0000AF160000}"/>
    <cellStyle name="표준 2 35" xfId="3953" xr:uid="{00000000-0005-0000-0000-0000B0160000}"/>
    <cellStyle name="표준 2 36" xfId="376" xr:uid="{00000000-0005-0000-0000-0000B1160000}"/>
    <cellStyle name="표준 2 37" xfId="2880" xr:uid="{00000000-0005-0000-0000-0000B2160000}"/>
    <cellStyle name="표준 2 38" xfId="4059" xr:uid="{00000000-0005-0000-0000-0000B3160000}"/>
    <cellStyle name="표준 2 39" xfId="3100" xr:uid="{00000000-0005-0000-0000-0000B4160000}"/>
    <cellStyle name="표준 2 4" xfId="17" xr:uid="{00000000-0005-0000-0000-0000B5160000}"/>
    <cellStyle name="표준 2 4 2" xfId="29" xr:uid="{00000000-0005-0000-0000-0000B6160000}"/>
    <cellStyle name="표준 2 4 2 2" xfId="123" xr:uid="{00000000-0005-0000-0000-0000B7160000}"/>
    <cellStyle name="표준 2 4 3" xfId="40" xr:uid="{00000000-0005-0000-0000-0000B8160000}"/>
    <cellStyle name="표준 2 4 3 2" xfId="134" xr:uid="{00000000-0005-0000-0000-0000B9160000}"/>
    <cellStyle name="표준 2 4 4" xfId="54" xr:uid="{00000000-0005-0000-0000-0000BA160000}"/>
    <cellStyle name="표준 2 4 4 2" xfId="148" xr:uid="{00000000-0005-0000-0000-0000BB160000}"/>
    <cellStyle name="표준 2 4 5" xfId="68" xr:uid="{00000000-0005-0000-0000-0000BC160000}"/>
    <cellStyle name="표준 2 4 5 2" xfId="162" xr:uid="{00000000-0005-0000-0000-0000BD160000}"/>
    <cellStyle name="표준 2 4 6" xfId="111" xr:uid="{00000000-0005-0000-0000-0000BE160000}"/>
    <cellStyle name="표준 2 4 6 2" xfId="49655" xr:uid="{00000000-0005-0000-0000-0000BF160000}"/>
    <cellStyle name="표준 2 4 7" xfId="3458" xr:uid="{00000000-0005-0000-0000-0000C0160000}"/>
    <cellStyle name="표준 2 4 7 2" xfId="6987" xr:uid="{00000000-0005-0000-0000-0000C1160000}"/>
    <cellStyle name="표준 2 4 8" xfId="7013" xr:uid="{00000000-0005-0000-0000-0000C2160000}"/>
    <cellStyle name="표준 2 40" xfId="3809" xr:uid="{00000000-0005-0000-0000-0000C3160000}"/>
    <cellStyle name="표준 2 41" xfId="3467" xr:uid="{00000000-0005-0000-0000-0000C4160000}"/>
    <cellStyle name="표준 2 42" xfId="2506" xr:uid="{00000000-0005-0000-0000-0000C5160000}"/>
    <cellStyle name="표준 2 43" xfId="49734" xr:uid="{00000000-0005-0000-0000-0000C6160000}"/>
    <cellStyle name="표준 2 5" xfId="16" xr:uid="{00000000-0005-0000-0000-0000C7160000}"/>
    <cellStyle name="표준 2 5 10" xfId="3324" xr:uid="{00000000-0005-0000-0000-0000C8160000}"/>
    <cellStyle name="표준 2 5 11" xfId="3708" xr:uid="{00000000-0005-0000-0000-0000C9160000}"/>
    <cellStyle name="표준 2 5 12" xfId="3909" xr:uid="{00000000-0005-0000-0000-0000CA160000}"/>
    <cellStyle name="표준 2 5 2" xfId="28" xr:uid="{00000000-0005-0000-0000-0000CB160000}"/>
    <cellStyle name="표준 2 5 2 2" xfId="122" xr:uid="{00000000-0005-0000-0000-0000CC160000}"/>
    <cellStyle name="표준 2 5 2 3" xfId="3894" xr:uid="{00000000-0005-0000-0000-0000CD160000}"/>
    <cellStyle name="표준 2 5 3" xfId="39" xr:uid="{00000000-0005-0000-0000-0000CE160000}"/>
    <cellStyle name="표준 2 5 3 2" xfId="133" xr:uid="{00000000-0005-0000-0000-0000CF160000}"/>
    <cellStyle name="표준 2 5 3 3" xfId="2735" xr:uid="{00000000-0005-0000-0000-0000D0160000}"/>
    <cellStyle name="표준 2 5 4" xfId="53" xr:uid="{00000000-0005-0000-0000-0000D1160000}"/>
    <cellStyle name="표준 2 5 4 2" xfId="147" xr:uid="{00000000-0005-0000-0000-0000D2160000}"/>
    <cellStyle name="표준 2 5 4 3" xfId="3106" xr:uid="{00000000-0005-0000-0000-0000D3160000}"/>
    <cellStyle name="표준 2 5 5" xfId="67" xr:uid="{00000000-0005-0000-0000-0000D4160000}"/>
    <cellStyle name="표준 2 5 5 2" xfId="161" xr:uid="{00000000-0005-0000-0000-0000D5160000}"/>
    <cellStyle name="표준 2 5 5 3" xfId="3735" xr:uid="{00000000-0005-0000-0000-0000D6160000}"/>
    <cellStyle name="표준 2 5 6" xfId="110" xr:uid="{00000000-0005-0000-0000-0000D7160000}"/>
    <cellStyle name="표준 2 5 6 2" xfId="3599" xr:uid="{00000000-0005-0000-0000-0000D8160000}"/>
    <cellStyle name="표준 2 5 7" xfId="3349" xr:uid="{00000000-0005-0000-0000-0000D9160000}"/>
    <cellStyle name="표준 2 5 7 2" xfId="6986" xr:uid="{00000000-0005-0000-0000-0000DA160000}"/>
    <cellStyle name="표준 2 5 8" xfId="4177" xr:uid="{00000000-0005-0000-0000-0000DB160000}"/>
    <cellStyle name="표준 2 5 8 2" xfId="7012" xr:uid="{00000000-0005-0000-0000-0000DC160000}"/>
    <cellStyle name="표준 2 5 9" xfId="3827" xr:uid="{00000000-0005-0000-0000-0000DD160000}"/>
    <cellStyle name="표준 2 6" xfId="20" xr:uid="{00000000-0005-0000-0000-0000DE160000}"/>
    <cellStyle name="표준 2 6 10" xfId="4136" xr:uid="{00000000-0005-0000-0000-0000DF160000}"/>
    <cellStyle name="표준 2 6 11" xfId="3205" xr:uid="{00000000-0005-0000-0000-0000E0160000}"/>
    <cellStyle name="표준 2 6 12" xfId="308" xr:uid="{00000000-0005-0000-0000-0000E1160000}"/>
    <cellStyle name="표준 2 6 2" xfId="32" xr:uid="{00000000-0005-0000-0000-0000E2160000}"/>
    <cellStyle name="표준 2 6 2 2" xfId="126" xr:uid="{00000000-0005-0000-0000-0000E3160000}"/>
    <cellStyle name="표준 2 6 2 3" xfId="3322" xr:uid="{00000000-0005-0000-0000-0000E4160000}"/>
    <cellStyle name="표준 2 6 3" xfId="43" xr:uid="{00000000-0005-0000-0000-0000E5160000}"/>
    <cellStyle name="표준 2 6 3 2" xfId="137" xr:uid="{00000000-0005-0000-0000-0000E6160000}"/>
    <cellStyle name="표준 2 6 3 3" xfId="3124" xr:uid="{00000000-0005-0000-0000-0000E7160000}"/>
    <cellStyle name="표준 2 6 4" xfId="57" xr:uid="{00000000-0005-0000-0000-0000E8160000}"/>
    <cellStyle name="표준 2 6 4 2" xfId="151" xr:uid="{00000000-0005-0000-0000-0000E9160000}"/>
    <cellStyle name="표준 2 6 4 3" xfId="2649" xr:uid="{00000000-0005-0000-0000-0000EA160000}"/>
    <cellStyle name="표준 2 6 5" xfId="71" xr:uid="{00000000-0005-0000-0000-0000EB160000}"/>
    <cellStyle name="표준 2 6 5 2" xfId="165" xr:uid="{00000000-0005-0000-0000-0000EC160000}"/>
    <cellStyle name="표준 2 6 5 3" xfId="3649" xr:uid="{00000000-0005-0000-0000-0000ED160000}"/>
    <cellStyle name="표준 2 6 6" xfId="114" xr:uid="{00000000-0005-0000-0000-0000EE160000}"/>
    <cellStyle name="표준 2 6 6 2" xfId="3562" xr:uid="{00000000-0005-0000-0000-0000EF160000}"/>
    <cellStyle name="표준 2 6 7" xfId="3977" xr:uid="{00000000-0005-0000-0000-0000F0160000}"/>
    <cellStyle name="표준 2 6 7 2" xfId="6990" xr:uid="{00000000-0005-0000-0000-0000F1160000}"/>
    <cellStyle name="표준 2 6 7 3" xfId="48426" xr:uid="{00000000-0005-0000-0000-0000F2160000}"/>
    <cellStyle name="표준 2 6 8" xfId="4199" xr:uid="{00000000-0005-0000-0000-0000F3160000}"/>
    <cellStyle name="표준 2 6 8 2" xfId="7016" xr:uid="{00000000-0005-0000-0000-0000F4160000}"/>
    <cellStyle name="표준 2 6 9" xfId="351" xr:uid="{00000000-0005-0000-0000-0000F5160000}"/>
    <cellStyle name="표준 2 7" xfId="45" xr:uid="{00000000-0005-0000-0000-0000F6160000}"/>
    <cellStyle name="표준 2 7 10" xfId="3103" xr:uid="{00000000-0005-0000-0000-0000F7160000}"/>
    <cellStyle name="표준 2 7 11" xfId="3712" xr:uid="{00000000-0005-0000-0000-0000F8160000}"/>
    <cellStyle name="표준 2 7 12" xfId="3565" xr:uid="{00000000-0005-0000-0000-0000F9160000}"/>
    <cellStyle name="표준 2 7 2" xfId="139" xr:uid="{00000000-0005-0000-0000-0000FA160000}"/>
    <cellStyle name="표준 2 7 2 2" xfId="3272" xr:uid="{00000000-0005-0000-0000-0000FB160000}"/>
    <cellStyle name="표준 2 7 3" xfId="3736" xr:uid="{00000000-0005-0000-0000-0000FC160000}"/>
    <cellStyle name="표준 2 7 4" xfId="3923" xr:uid="{00000000-0005-0000-0000-0000FD160000}"/>
    <cellStyle name="표준 2 7 5" xfId="3031" xr:uid="{00000000-0005-0000-0000-0000FE160000}"/>
    <cellStyle name="표준 2 7 6" xfId="3572" xr:uid="{00000000-0005-0000-0000-0000FF160000}"/>
    <cellStyle name="표준 2 7 7" xfId="4198" xr:uid="{00000000-0005-0000-0000-000000170000}"/>
    <cellStyle name="표준 2 7 8" xfId="2728" xr:uid="{00000000-0005-0000-0000-000001170000}"/>
    <cellStyle name="표준 2 7 9" xfId="3072" xr:uid="{00000000-0005-0000-0000-000002170000}"/>
    <cellStyle name="표준 2 8" xfId="99" xr:uid="{00000000-0005-0000-0000-000003170000}"/>
    <cellStyle name="표준 2 8 2" xfId="4091" xr:uid="{00000000-0005-0000-0000-000004170000}"/>
    <cellStyle name="표준 2 8 3" xfId="7112" xr:uid="{00000000-0005-0000-0000-000005170000}"/>
    <cellStyle name="표준 2 9" xfId="270" xr:uid="{00000000-0005-0000-0000-000006170000}"/>
    <cellStyle name="표준 2 9 2" xfId="3903" xr:uid="{00000000-0005-0000-0000-000007170000}"/>
    <cellStyle name="표준 2_2011년_급식업체_현황(1)" xfId="49612" xr:uid="{00000000-0005-0000-0000-000008170000}"/>
    <cellStyle name="표준 20" xfId="90" xr:uid="{00000000-0005-0000-0000-000009170000}"/>
    <cellStyle name="표준 20 2" xfId="3951" xr:uid="{00000000-0005-0000-0000-00000A170000}"/>
    <cellStyle name="표준 20 3" xfId="387" xr:uid="{00000000-0005-0000-0000-00000B170000}"/>
    <cellStyle name="표준 20 4" xfId="4213" xr:uid="{00000000-0005-0000-0000-00000C170000}"/>
    <cellStyle name="표준 20 5" xfId="3844" xr:uid="{00000000-0005-0000-0000-00000D170000}"/>
    <cellStyle name="표준 20 6" xfId="6839" xr:uid="{00000000-0005-0000-0000-00000E170000}"/>
    <cellStyle name="표준 21" xfId="91" xr:uid="{00000000-0005-0000-0000-00000F170000}"/>
    <cellStyle name="표준 21 2" xfId="2560" xr:uid="{00000000-0005-0000-0000-000010170000}"/>
    <cellStyle name="표준 21 3" xfId="4105" xr:uid="{00000000-0005-0000-0000-000011170000}"/>
    <cellStyle name="표준 21 4" xfId="6882" xr:uid="{00000000-0005-0000-0000-000012170000}"/>
    <cellStyle name="표준 22" xfId="2949" xr:uid="{00000000-0005-0000-0000-000013170000}"/>
    <cellStyle name="표준 22 2" xfId="3236" xr:uid="{00000000-0005-0000-0000-000014170000}"/>
    <cellStyle name="표준 22 3" xfId="2841" xr:uid="{00000000-0005-0000-0000-000015170000}"/>
    <cellStyle name="표준 23" xfId="6943" xr:uid="{00000000-0005-0000-0000-000016170000}"/>
    <cellStyle name="표준 23 2" xfId="3054" xr:uid="{00000000-0005-0000-0000-000017170000}"/>
    <cellStyle name="표준 23 3" xfId="3105" xr:uid="{00000000-0005-0000-0000-000018170000}"/>
    <cellStyle name="표준 24" xfId="3803" xr:uid="{00000000-0005-0000-0000-000019170000}"/>
    <cellStyle name="표준 24 2" xfId="4214" xr:uid="{00000000-0005-0000-0000-00001A170000}"/>
    <cellStyle name="표준 24 3" xfId="3424" xr:uid="{00000000-0005-0000-0000-00001B170000}"/>
    <cellStyle name="표준 25" xfId="19723" xr:uid="{00000000-0005-0000-0000-00001C170000}"/>
    <cellStyle name="표준 25 2" xfId="3039" xr:uid="{00000000-0005-0000-0000-00001D170000}"/>
    <cellStyle name="표준 25 3" xfId="2551" xr:uid="{00000000-0005-0000-0000-00001E170000}"/>
    <cellStyle name="표준 26" xfId="81" xr:uid="{00000000-0005-0000-0000-00001F170000}"/>
    <cellStyle name="표준 26 2" xfId="175" xr:uid="{00000000-0005-0000-0000-000020170000}"/>
    <cellStyle name="표준 26 3" xfId="4190" xr:uid="{00000000-0005-0000-0000-000021170000}"/>
    <cellStyle name="표준 27" xfId="49720" xr:uid="{00000000-0005-0000-0000-000022170000}"/>
    <cellStyle name="표준 27 2" xfId="4000" xr:uid="{00000000-0005-0000-0000-000023170000}"/>
    <cellStyle name="표준 27 3" xfId="3631" xr:uid="{00000000-0005-0000-0000-000024170000}"/>
    <cellStyle name="표준 28" xfId="2555" xr:uid="{00000000-0005-0000-0000-000025170000}"/>
    <cellStyle name="표준 28 2" xfId="3496" xr:uid="{00000000-0005-0000-0000-000026170000}"/>
    <cellStyle name="표준 28 3" xfId="3711" xr:uid="{00000000-0005-0000-0000-000027170000}"/>
    <cellStyle name="표준 3" xfId="7" xr:uid="{00000000-0005-0000-0000-000028170000}"/>
    <cellStyle name="표준 3 10" xfId="2783" xr:uid="{00000000-0005-0000-0000-000029170000}"/>
    <cellStyle name="표준 3 11" xfId="3199" xr:uid="{00000000-0005-0000-0000-00002A170000}"/>
    <cellStyle name="표준 3 12" xfId="2500" xr:uid="{00000000-0005-0000-0000-00002B170000}"/>
    <cellStyle name="표준 3 12 2" xfId="49737" xr:uid="{00000000-0005-0000-0000-00002C170000}"/>
    <cellStyle name="표준 3 12 3" xfId="49731" xr:uid="{00000000-0005-0000-0000-00002D170000}"/>
    <cellStyle name="표준 3 13" xfId="2504" xr:uid="{00000000-0005-0000-0000-00002E170000}"/>
    <cellStyle name="표준 3 14" xfId="4188" xr:uid="{00000000-0005-0000-0000-00002F170000}"/>
    <cellStyle name="표준 3 15" xfId="3944" xr:uid="{00000000-0005-0000-0000-000030170000}"/>
    <cellStyle name="표준 3 16" xfId="3970" xr:uid="{00000000-0005-0000-0000-000031170000}"/>
    <cellStyle name="표준 3 17" xfId="3648" xr:uid="{00000000-0005-0000-0000-000032170000}"/>
    <cellStyle name="표준 3 2" xfId="101" xr:uid="{00000000-0005-0000-0000-000033170000}"/>
    <cellStyle name="표준 3 2 2" xfId="6224" xr:uid="{00000000-0005-0000-0000-000034170000}"/>
    <cellStyle name="표준 3 2 3" xfId="49613" xr:uid="{00000000-0005-0000-0000-000035170000}"/>
    <cellStyle name="표준 3 3" xfId="2962" xr:uid="{00000000-0005-0000-0000-000036170000}"/>
    <cellStyle name="표준 3 3 2" xfId="49614" xr:uid="{00000000-0005-0000-0000-000037170000}"/>
    <cellStyle name="표준 3 4" xfId="2520" xr:uid="{00000000-0005-0000-0000-000038170000}"/>
    <cellStyle name="표준 3 4 2" xfId="49674" xr:uid="{00000000-0005-0000-0000-000039170000}"/>
    <cellStyle name="표준 3 5" xfId="2696" xr:uid="{00000000-0005-0000-0000-00003A170000}"/>
    <cellStyle name="표준 3 6" xfId="2896" xr:uid="{00000000-0005-0000-0000-00003B170000}"/>
    <cellStyle name="표준 3 7" xfId="3858" xr:uid="{00000000-0005-0000-0000-00003C170000}"/>
    <cellStyle name="표준 3 8" xfId="4046" xr:uid="{00000000-0005-0000-0000-00003D170000}"/>
    <cellStyle name="표준 3 9" xfId="3580" xr:uid="{00000000-0005-0000-0000-00003E170000}"/>
    <cellStyle name="표준 3_2011년_급식업체_현황(1)" xfId="49615" xr:uid="{00000000-0005-0000-0000-00003F170000}"/>
    <cellStyle name="표준 30 2" xfId="3546" xr:uid="{00000000-0005-0000-0000-000040170000}"/>
    <cellStyle name="표준 30 3" xfId="4279" xr:uid="{00000000-0005-0000-0000-000041170000}"/>
    <cellStyle name="표준 31" xfId="49740" xr:uid="{00000000-0005-0000-0000-000042170000}"/>
    <cellStyle name="표준 31 2" xfId="3277" xr:uid="{00000000-0005-0000-0000-000043170000}"/>
    <cellStyle name="표준 31 2 2" xfId="49721" xr:uid="{00000000-0005-0000-0000-000044170000}"/>
    <cellStyle name="표준 31 2 2 10" xfId="49726" xr:uid="{00000000-0005-0000-0000-000045170000}"/>
    <cellStyle name="표준 31 3" xfId="3312" xr:uid="{00000000-0005-0000-0000-000046170000}"/>
    <cellStyle name="표준 32 2" xfId="3968" xr:uid="{00000000-0005-0000-0000-000047170000}"/>
    <cellStyle name="표준 32 3" xfId="4155" xr:uid="{00000000-0005-0000-0000-000048170000}"/>
    <cellStyle name="표준 33 2" xfId="2761" xr:uid="{00000000-0005-0000-0000-000049170000}"/>
    <cellStyle name="표준 33 3" xfId="2574" xr:uid="{00000000-0005-0000-0000-00004A170000}"/>
    <cellStyle name="표준 35" xfId="86" xr:uid="{00000000-0005-0000-0000-00004B170000}"/>
    <cellStyle name="표준 35 2" xfId="313" xr:uid="{00000000-0005-0000-0000-00004C170000}"/>
    <cellStyle name="표준 4" xfId="8" xr:uid="{00000000-0005-0000-0000-00004D170000}"/>
    <cellStyle name="표준 4 10" xfId="4156" xr:uid="{00000000-0005-0000-0000-00004E170000}"/>
    <cellStyle name="표준 4 10 2" xfId="6905" xr:uid="{00000000-0005-0000-0000-00004F170000}"/>
    <cellStyle name="표준 4 10 2 2" xfId="49738" xr:uid="{00000000-0005-0000-0000-000050170000}"/>
    <cellStyle name="표준 4 10 3" xfId="49733" xr:uid="{00000000-0005-0000-0000-000051170000}"/>
    <cellStyle name="표준 4 11" xfId="2698" xr:uid="{00000000-0005-0000-0000-000052170000}"/>
    <cellStyle name="표준 4 11 2" xfId="6932" xr:uid="{00000000-0005-0000-0000-000053170000}"/>
    <cellStyle name="표준 4 12" xfId="3271" xr:uid="{00000000-0005-0000-0000-000054170000}"/>
    <cellStyle name="표준 4 13" xfId="3921" xr:uid="{00000000-0005-0000-0000-000055170000}"/>
    <cellStyle name="표준 4 14" xfId="4313" xr:uid="{00000000-0005-0000-0000-000056170000}"/>
    <cellStyle name="표준 4 15" xfId="4314" xr:uid="{00000000-0005-0000-0000-000057170000}"/>
    <cellStyle name="표준 4 16" xfId="4315" xr:uid="{00000000-0005-0000-0000-000058170000}"/>
    <cellStyle name="표준 4 17" xfId="4316" xr:uid="{00000000-0005-0000-0000-000059170000}"/>
    <cellStyle name="표준 4 18" xfId="2416" xr:uid="{00000000-0005-0000-0000-00005A170000}"/>
    <cellStyle name="표준 4 2" xfId="102" xr:uid="{00000000-0005-0000-0000-00005B170000}"/>
    <cellStyle name="표준 4 2 2" xfId="4317" xr:uid="{00000000-0005-0000-0000-00005C170000}"/>
    <cellStyle name="표준 4 2 3" xfId="49616" xr:uid="{00000000-0005-0000-0000-00005D170000}"/>
    <cellStyle name="표준 4 2 4" xfId="49736" xr:uid="{00000000-0005-0000-0000-00005E170000}"/>
    <cellStyle name="표준 4 3" xfId="4318" xr:uid="{00000000-0005-0000-0000-00005F170000}"/>
    <cellStyle name="표준 4 3 2" xfId="49617" xr:uid="{00000000-0005-0000-0000-000060170000}"/>
    <cellStyle name="표준 4 4" xfId="4319" xr:uid="{00000000-0005-0000-0000-000061170000}"/>
    <cellStyle name="표준 4 4 2" xfId="6575" xr:uid="{00000000-0005-0000-0000-000062170000}"/>
    <cellStyle name="표준 4 4 3" xfId="49656" xr:uid="{00000000-0005-0000-0000-000063170000}"/>
    <cellStyle name="표준 4 5" xfId="4320" xr:uid="{00000000-0005-0000-0000-000064170000}"/>
    <cellStyle name="표준 4 5 2" xfId="6613" xr:uid="{00000000-0005-0000-0000-000065170000}"/>
    <cellStyle name="표준 4 6" xfId="4321" xr:uid="{00000000-0005-0000-0000-000066170000}"/>
    <cellStyle name="표준 4 7" xfId="4322" xr:uid="{00000000-0005-0000-0000-000067170000}"/>
    <cellStyle name="표준 4 8" xfId="4323" xr:uid="{00000000-0005-0000-0000-000068170000}"/>
    <cellStyle name="표준 4 8 2" xfId="6795" xr:uid="{00000000-0005-0000-0000-000069170000}"/>
    <cellStyle name="표준 4 9" xfId="4324" xr:uid="{00000000-0005-0000-0000-00006A170000}"/>
    <cellStyle name="표준 4 9 2" xfId="6858" xr:uid="{00000000-0005-0000-0000-00006B170000}"/>
    <cellStyle name="표준 4_2011년_급식업체_현황(1)" xfId="49618" xr:uid="{00000000-0005-0000-0000-00006C170000}"/>
    <cellStyle name="표준 44" xfId="4325" xr:uid="{00000000-0005-0000-0000-00006D170000}"/>
    <cellStyle name="표준 45" xfId="4326" xr:uid="{00000000-0005-0000-0000-00006E170000}"/>
    <cellStyle name="표준 46" xfId="4327" xr:uid="{00000000-0005-0000-0000-00006F170000}"/>
    <cellStyle name="표준 47" xfId="87" xr:uid="{00000000-0005-0000-0000-000070170000}"/>
    <cellStyle name="표준 47 2" xfId="4328" xr:uid="{00000000-0005-0000-0000-000071170000}"/>
    <cellStyle name="표준 48" xfId="4329" xr:uid="{00000000-0005-0000-0000-000072170000}"/>
    <cellStyle name="표준 49" xfId="4330" xr:uid="{00000000-0005-0000-0000-000073170000}"/>
    <cellStyle name="표준 5" xfId="11" xr:uid="{00000000-0005-0000-0000-000074170000}"/>
    <cellStyle name="표준 5 10" xfId="612" xr:uid="{00000000-0005-0000-0000-000075170000}"/>
    <cellStyle name="표준 5 10 10" xfId="19981" xr:uid="{00000000-0005-0000-0000-000076170000}"/>
    <cellStyle name="표준 5 10 11" xfId="24077" xr:uid="{00000000-0005-0000-0000-000077170000}"/>
    <cellStyle name="표준 5 10 12" xfId="32288" xr:uid="{00000000-0005-0000-0000-000078170000}"/>
    <cellStyle name="표준 5 10 13" xfId="40481" xr:uid="{00000000-0005-0000-0000-000079170000}"/>
    <cellStyle name="표준 5 10 2" xfId="1124" xr:uid="{00000000-0005-0000-0000-00007A170000}"/>
    <cellStyle name="표준 5 10 2 2" xfId="10027" xr:uid="{00000000-0005-0000-0000-00007B170000}"/>
    <cellStyle name="표준 5 10 2 2 2" xfId="14139" xr:uid="{00000000-0005-0000-0000-00007C170000}"/>
    <cellStyle name="표준 5 10 2 2 2 2" xfId="30733" xr:uid="{00000000-0005-0000-0000-00007D170000}"/>
    <cellStyle name="표준 5 10 2 2 2 3" xfId="38944" xr:uid="{00000000-0005-0000-0000-00007E170000}"/>
    <cellStyle name="표준 5 10 2 2 2 4" xfId="47137" xr:uid="{00000000-0005-0000-0000-00007F170000}"/>
    <cellStyle name="표준 5 10 2 2 3" xfId="18379" xr:uid="{00000000-0005-0000-0000-000080170000}"/>
    <cellStyle name="표준 5 10 2 2 4" xfId="22541" xr:uid="{00000000-0005-0000-0000-000081170000}"/>
    <cellStyle name="표준 5 10 2 2 5" xfId="26637" xr:uid="{00000000-0005-0000-0000-000082170000}"/>
    <cellStyle name="표준 5 10 2 2 6" xfId="34848" xr:uid="{00000000-0005-0000-0000-000083170000}"/>
    <cellStyle name="표준 5 10 2 2 7" xfId="43041" xr:uid="{00000000-0005-0000-0000-000084170000}"/>
    <cellStyle name="표준 5 10 2 3" xfId="7979" xr:uid="{00000000-0005-0000-0000-000085170000}"/>
    <cellStyle name="표준 5 10 2 3 2" xfId="28685" xr:uid="{00000000-0005-0000-0000-000086170000}"/>
    <cellStyle name="표준 5 10 2 3 3" xfId="36896" xr:uid="{00000000-0005-0000-0000-000087170000}"/>
    <cellStyle name="표준 5 10 2 3 4" xfId="45089" xr:uid="{00000000-0005-0000-0000-000088170000}"/>
    <cellStyle name="표준 5 10 2 4" xfId="12091" xr:uid="{00000000-0005-0000-0000-000089170000}"/>
    <cellStyle name="표준 5 10 2 5" xfId="16331" xr:uid="{00000000-0005-0000-0000-00008A170000}"/>
    <cellStyle name="표준 5 10 2 6" xfId="20493" xr:uid="{00000000-0005-0000-0000-00008B170000}"/>
    <cellStyle name="표준 5 10 2 7" xfId="24589" xr:uid="{00000000-0005-0000-0000-00008C170000}"/>
    <cellStyle name="표준 5 10 2 8" xfId="32800" xr:uid="{00000000-0005-0000-0000-00008D170000}"/>
    <cellStyle name="표준 5 10 2 9" xfId="40993" xr:uid="{00000000-0005-0000-0000-00008E170000}"/>
    <cellStyle name="표준 5 10 3" xfId="1636" xr:uid="{00000000-0005-0000-0000-00008F170000}"/>
    <cellStyle name="표준 5 10 3 2" xfId="10539" xr:uid="{00000000-0005-0000-0000-000090170000}"/>
    <cellStyle name="표준 5 10 3 2 2" xfId="14651" xr:uid="{00000000-0005-0000-0000-000091170000}"/>
    <cellStyle name="표준 5 10 3 2 2 2" xfId="31245" xr:uid="{00000000-0005-0000-0000-000092170000}"/>
    <cellStyle name="표준 5 10 3 2 2 3" xfId="39456" xr:uid="{00000000-0005-0000-0000-000093170000}"/>
    <cellStyle name="표준 5 10 3 2 2 4" xfId="47649" xr:uid="{00000000-0005-0000-0000-000094170000}"/>
    <cellStyle name="표준 5 10 3 2 3" xfId="18891" xr:uid="{00000000-0005-0000-0000-000095170000}"/>
    <cellStyle name="표준 5 10 3 2 4" xfId="23053" xr:uid="{00000000-0005-0000-0000-000096170000}"/>
    <cellStyle name="표준 5 10 3 2 5" xfId="27149" xr:uid="{00000000-0005-0000-0000-000097170000}"/>
    <cellStyle name="표준 5 10 3 2 6" xfId="35360" xr:uid="{00000000-0005-0000-0000-000098170000}"/>
    <cellStyle name="표준 5 10 3 2 7" xfId="43553" xr:uid="{00000000-0005-0000-0000-000099170000}"/>
    <cellStyle name="표준 5 10 3 3" xfId="8491" xr:uid="{00000000-0005-0000-0000-00009A170000}"/>
    <cellStyle name="표준 5 10 3 3 2" xfId="29197" xr:uid="{00000000-0005-0000-0000-00009B170000}"/>
    <cellStyle name="표준 5 10 3 3 3" xfId="37408" xr:uid="{00000000-0005-0000-0000-00009C170000}"/>
    <cellStyle name="표준 5 10 3 3 4" xfId="45601" xr:uid="{00000000-0005-0000-0000-00009D170000}"/>
    <cellStyle name="표준 5 10 3 4" xfId="12603" xr:uid="{00000000-0005-0000-0000-00009E170000}"/>
    <cellStyle name="표준 5 10 3 5" xfId="16843" xr:uid="{00000000-0005-0000-0000-00009F170000}"/>
    <cellStyle name="표준 5 10 3 6" xfId="21005" xr:uid="{00000000-0005-0000-0000-0000A0170000}"/>
    <cellStyle name="표준 5 10 3 7" xfId="25101" xr:uid="{00000000-0005-0000-0000-0000A1170000}"/>
    <cellStyle name="표준 5 10 3 8" xfId="33312" xr:uid="{00000000-0005-0000-0000-0000A2170000}"/>
    <cellStyle name="표준 5 10 3 9" xfId="41505" xr:uid="{00000000-0005-0000-0000-0000A3170000}"/>
    <cellStyle name="표준 5 10 4" xfId="2148" xr:uid="{00000000-0005-0000-0000-0000A4170000}"/>
    <cellStyle name="표준 5 10 4 2" xfId="11051" xr:uid="{00000000-0005-0000-0000-0000A5170000}"/>
    <cellStyle name="표준 5 10 4 2 2" xfId="15163" xr:uid="{00000000-0005-0000-0000-0000A6170000}"/>
    <cellStyle name="표준 5 10 4 2 2 2" xfId="31757" xr:uid="{00000000-0005-0000-0000-0000A7170000}"/>
    <cellStyle name="표준 5 10 4 2 2 3" xfId="39968" xr:uid="{00000000-0005-0000-0000-0000A8170000}"/>
    <cellStyle name="표준 5 10 4 2 2 4" xfId="48161" xr:uid="{00000000-0005-0000-0000-0000A9170000}"/>
    <cellStyle name="표준 5 10 4 2 3" xfId="19403" xr:uid="{00000000-0005-0000-0000-0000AA170000}"/>
    <cellStyle name="표준 5 10 4 2 4" xfId="23565" xr:uid="{00000000-0005-0000-0000-0000AB170000}"/>
    <cellStyle name="표준 5 10 4 2 5" xfId="27661" xr:uid="{00000000-0005-0000-0000-0000AC170000}"/>
    <cellStyle name="표준 5 10 4 2 6" xfId="35872" xr:uid="{00000000-0005-0000-0000-0000AD170000}"/>
    <cellStyle name="표준 5 10 4 2 7" xfId="44065" xr:uid="{00000000-0005-0000-0000-0000AE170000}"/>
    <cellStyle name="표준 5 10 4 3" xfId="9003" xr:uid="{00000000-0005-0000-0000-0000AF170000}"/>
    <cellStyle name="표준 5 10 4 3 2" xfId="29709" xr:uid="{00000000-0005-0000-0000-0000B0170000}"/>
    <cellStyle name="표준 5 10 4 3 3" xfId="37920" xr:uid="{00000000-0005-0000-0000-0000B1170000}"/>
    <cellStyle name="표준 5 10 4 3 4" xfId="46113" xr:uid="{00000000-0005-0000-0000-0000B2170000}"/>
    <cellStyle name="표준 5 10 4 4" xfId="13115" xr:uid="{00000000-0005-0000-0000-0000B3170000}"/>
    <cellStyle name="표준 5 10 4 5" xfId="17355" xr:uid="{00000000-0005-0000-0000-0000B4170000}"/>
    <cellStyle name="표준 5 10 4 6" xfId="21517" xr:uid="{00000000-0005-0000-0000-0000B5170000}"/>
    <cellStyle name="표준 5 10 4 7" xfId="25613" xr:uid="{00000000-0005-0000-0000-0000B6170000}"/>
    <cellStyle name="표준 5 10 4 8" xfId="33824" xr:uid="{00000000-0005-0000-0000-0000B7170000}"/>
    <cellStyle name="표준 5 10 4 9" xfId="42017" xr:uid="{00000000-0005-0000-0000-0000B8170000}"/>
    <cellStyle name="표준 5 10 5" xfId="4332" xr:uid="{00000000-0005-0000-0000-0000B9170000}"/>
    <cellStyle name="표준 5 10 5 2" xfId="9515" xr:uid="{00000000-0005-0000-0000-0000BA170000}"/>
    <cellStyle name="표준 5 10 5 2 2" xfId="30221" xr:uid="{00000000-0005-0000-0000-0000BB170000}"/>
    <cellStyle name="표준 5 10 5 2 3" xfId="38432" xr:uid="{00000000-0005-0000-0000-0000BC170000}"/>
    <cellStyle name="표준 5 10 5 2 4" xfId="46625" xr:uid="{00000000-0005-0000-0000-0000BD170000}"/>
    <cellStyle name="표준 5 10 5 3" xfId="13627" xr:uid="{00000000-0005-0000-0000-0000BE170000}"/>
    <cellStyle name="표준 5 10 5 4" xfId="17867" xr:uid="{00000000-0005-0000-0000-0000BF170000}"/>
    <cellStyle name="표준 5 10 5 5" xfId="22029" xr:uid="{00000000-0005-0000-0000-0000C0170000}"/>
    <cellStyle name="표준 5 10 5 6" xfId="26125" xr:uid="{00000000-0005-0000-0000-0000C1170000}"/>
    <cellStyle name="표준 5 10 5 7" xfId="34336" xr:uid="{00000000-0005-0000-0000-0000C2170000}"/>
    <cellStyle name="표준 5 10 5 8" xfId="42529" xr:uid="{00000000-0005-0000-0000-0000C3170000}"/>
    <cellStyle name="표준 5 10 6" xfId="6664" xr:uid="{00000000-0005-0000-0000-0000C4170000}"/>
    <cellStyle name="표준 5 10 6 2" xfId="28173" xr:uid="{00000000-0005-0000-0000-0000C5170000}"/>
    <cellStyle name="표준 5 10 6 3" xfId="36384" xr:uid="{00000000-0005-0000-0000-0000C6170000}"/>
    <cellStyle name="표준 5 10 6 4" xfId="44577" xr:uid="{00000000-0005-0000-0000-0000C7170000}"/>
    <cellStyle name="표준 5 10 7" xfId="7467" xr:uid="{00000000-0005-0000-0000-0000C8170000}"/>
    <cellStyle name="표준 5 10 8" xfId="11579" xr:uid="{00000000-0005-0000-0000-0000C9170000}"/>
    <cellStyle name="표준 5 10 9" xfId="15819" xr:uid="{00000000-0005-0000-0000-0000CA170000}"/>
    <cellStyle name="표준 5 11" xfId="868" xr:uid="{00000000-0005-0000-0000-0000CB170000}"/>
    <cellStyle name="표준 5 11 10" xfId="40737" xr:uid="{00000000-0005-0000-0000-0000CC170000}"/>
    <cellStyle name="표준 5 11 2" xfId="4333" xr:uid="{00000000-0005-0000-0000-0000CD170000}"/>
    <cellStyle name="표준 5 11 2 2" xfId="9771" xr:uid="{00000000-0005-0000-0000-0000CE170000}"/>
    <cellStyle name="표준 5 11 2 2 2" xfId="30477" xr:uid="{00000000-0005-0000-0000-0000CF170000}"/>
    <cellStyle name="표준 5 11 2 2 3" xfId="38688" xr:uid="{00000000-0005-0000-0000-0000D0170000}"/>
    <cellStyle name="표준 5 11 2 2 4" xfId="46881" xr:uid="{00000000-0005-0000-0000-0000D1170000}"/>
    <cellStyle name="표준 5 11 2 3" xfId="13883" xr:uid="{00000000-0005-0000-0000-0000D2170000}"/>
    <cellStyle name="표준 5 11 2 4" xfId="18123" xr:uid="{00000000-0005-0000-0000-0000D3170000}"/>
    <cellStyle name="표준 5 11 2 5" xfId="22285" xr:uid="{00000000-0005-0000-0000-0000D4170000}"/>
    <cellStyle name="표준 5 11 2 6" xfId="26381" xr:uid="{00000000-0005-0000-0000-0000D5170000}"/>
    <cellStyle name="표준 5 11 2 7" xfId="34592" xr:uid="{00000000-0005-0000-0000-0000D6170000}"/>
    <cellStyle name="표준 5 11 2 8" xfId="42785" xr:uid="{00000000-0005-0000-0000-0000D7170000}"/>
    <cellStyle name="표준 5 11 3" xfId="6731" xr:uid="{00000000-0005-0000-0000-0000D8170000}"/>
    <cellStyle name="표준 5 11 3 2" xfId="28429" xr:uid="{00000000-0005-0000-0000-0000D9170000}"/>
    <cellStyle name="표준 5 11 3 3" xfId="36640" xr:uid="{00000000-0005-0000-0000-0000DA170000}"/>
    <cellStyle name="표준 5 11 3 4" xfId="44833" xr:uid="{00000000-0005-0000-0000-0000DB170000}"/>
    <cellStyle name="표준 5 11 4" xfId="7723" xr:uid="{00000000-0005-0000-0000-0000DC170000}"/>
    <cellStyle name="표준 5 11 5" xfId="11835" xr:uid="{00000000-0005-0000-0000-0000DD170000}"/>
    <cellStyle name="표준 5 11 6" xfId="16075" xr:uid="{00000000-0005-0000-0000-0000DE170000}"/>
    <cellStyle name="표준 5 11 7" xfId="20237" xr:uid="{00000000-0005-0000-0000-0000DF170000}"/>
    <cellStyle name="표준 5 11 8" xfId="24333" xr:uid="{00000000-0005-0000-0000-0000E0170000}"/>
    <cellStyle name="표준 5 11 9" xfId="32544" xr:uid="{00000000-0005-0000-0000-0000E1170000}"/>
    <cellStyle name="표준 5 12" xfId="1380" xr:uid="{00000000-0005-0000-0000-0000E2170000}"/>
    <cellStyle name="표준 5 12 2" xfId="4334" xr:uid="{00000000-0005-0000-0000-0000E3170000}"/>
    <cellStyle name="표준 5 12 2 2" xfId="10283" xr:uid="{00000000-0005-0000-0000-0000E4170000}"/>
    <cellStyle name="표준 5 12 2 2 2" xfId="30989" xr:uid="{00000000-0005-0000-0000-0000E5170000}"/>
    <cellStyle name="표준 5 12 2 2 3" xfId="39200" xr:uid="{00000000-0005-0000-0000-0000E6170000}"/>
    <cellStyle name="표준 5 12 2 2 4" xfId="47393" xr:uid="{00000000-0005-0000-0000-0000E7170000}"/>
    <cellStyle name="표준 5 12 2 3" xfId="14395" xr:uid="{00000000-0005-0000-0000-0000E8170000}"/>
    <cellStyle name="표준 5 12 2 4" xfId="18635" xr:uid="{00000000-0005-0000-0000-0000E9170000}"/>
    <cellStyle name="표준 5 12 2 5" xfId="22797" xr:uid="{00000000-0005-0000-0000-0000EA170000}"/>
    <cellStyle name="표준 5 12 2 6" xfId="26893" xr:uid="{00000000-0005-0000-0000-0000EB170000}"/>
    <cellStyle name="표준 5 12 2 7" xfId="35104" xr:uid="{00000000-0005-0000-0000-0000EC170000}"/>
    <cellStyle name="표준 5 12 2 8" xfId="43297" xr:uid="{00000000-0005-0000-0000-0000ED170000}"/>
    <cellStyle name="표준 5 12 3" xfId="8235" xr:uid="{00000000-0005-0000-0000-0000EE170000}"/>
    <cellStyle name="표준 5 12 3 2" xfId="28941" xr:uid="{00000000-0005-0000-0000-0000EF170000}"/>
    <cellStyle name="표준 5 12 3 3" xfId="37152" xr:uid="{00000000-0005-0000-0000-0000F0170000}"/>
    <cellStyle name="표준 5 12 3 4" xfId="45345" xr:uid="{00000000-0005-0000-0000-0000F1170000}"/>
    <cellStyle name="표준 5 12 4" xfId="12347" xr:uid="{00000000-0005-0000-0000-0000F2170000}"/>
    <cellStyle name="표준 5 12 5" xfId="16587" xr:uid="{00000000-0005-0000-0000-0000F3170000}"/>
    <cellStyle name="표준 5 12 6" xfId="20749" xr:uid="{00000000-0005-0000-0000-0000F4170000}"/>
    <cellStyle name="표준 5 12 7" xfId="24845" xr:uid="{00000000-0005-0000-0000-0000F5170000}"/>
    <cellStyle name="표준 5 12 8" xfId="33056" xr:uid="{00000000-0005-0000-0000-0000F6170000}"/>
    <cellStyle name="표준 5 12 9" xfId="41249" xr:uid="{00000000-0005-0000-0000-0000F7170000}"/>
    <cellStyle name="표준 5 13" xfId="1892" xr:uid="{00000000-0005-0000-0000-0000F8170000}"/>
    <cellStyle name="표준 5 13 2" xfId="4335" xr:uid="{00000000-0005-0000-0000-0000F9170000}"/>
    <cellStyle name="표준 5 13 2 2" xfId="10795" xr:uid="{00000000-0005-0000-0000-0000FA170000}"/>
    <cellStyle name="표준 5 13 2 2 2" xfId="31501" xr:uid="{00000000-0005-0000-0000-0000FB170000}"/>
    <cellStyle name="표준 5 13 2 2 3" xfId="39712" xr:uid="{00000000-0005-0000-0000-0000FC170000}"/>
    <cellStyle name="표준 5 13 2 2 4" xfId="47905" xr:uid="{00000000-0005-0000-0000-0000FD170000}"/>
    <cellStyle name="표준 5 13 2 3" xfId="14907" xr:uid="{00000000-0005-0000-0000-0000FE170000}"/>
    <cellStyle name="표준 5 13 2 4" xfId="19147" xr:uid="{00000000-0005-0000-0000-0000FF170000}"/>
    <cellStyle name="표준 5 13 2 5" xfId="23309" xr:uid="{00000000-0005-0000-0000-000000180000}"/>
    <cellStyle name="표준 5 13 2 6" xfId="27405" xr:uid="{00000000-0005-0000-0000-000001180000}"/>
    <cellStyle name="표준 5 13 2 7" xfId="35616" xr:uid="{00000000-0005-0000-0000-000002180000}"/>
    <cellStyle name="표준 5 13 2 8" xfId="43809" xr:uid="{00000000-0005-0000-0000-000003180000}"/>
    <cellStyle name="표준 5 13 3" xfId="8747" xr:uid="{00000000-0005-0000-0000-000004180000}"/>
    <cellStyle name="표준 5 13 3 2" xfId="29453" xr:uid="{00000000-0005-0000-0000-000005180000}"/>
    <cellStyle name="표준 5 13 3 3" xfId="37664" xr:uid="{00000000-0005-0000-0000-000006180000}"/>
    <cellStyle name="표준 5 13 3 4" xfId="45857" xr:uid="{00000000-0005-0000-0000-000007180000}"/>
    <cellStyle name="표준 5 13 4" xfId="12859" xr:uid="{00000000-0005-0000-0000-000008180000}"/>
    <cellStyle name="표준 5 13 5" xfId="17099" xr:uid="{00000000-0005-0000-0000-000009180000}"/>
    <cellStyle name="표준 5 13 6" xfId="21261" xr:uid="{00000000-0005-0000-0000-00000A180000}"/>
    <cellStyle name="표준 5 13 7" xfId="25357" xr:uid="{00000000-0005-0000-0000-00000B180000}"/>
    <cellStyle name="표준 5 13 8" xfId="33568" xr:uid="{00000000-0005-0000-0000-00000C180000}"/>
    <cellStyle name="표준 5 13 9" xfId="41761" xr:uid="{00000000-0005-0000-0000-00000D180000}"/>
    <cellStyle name="표준 5 14" xfId="4336" xr:uid="{00000000-0005-0000-0000-00000E180000}"/>
    <cellStyle name="표준 5 14 2" xfId="6908" xr:uid="{00000000-0005-0000-0000-00000F180000}"/>
    <cellStyle name="표준 5 14 2 2" xfId="29965" xr:uid="{00000000-0005-0000-0000-000010180000}"/>
    <cellStyle name="표준 5 14 2 3" xfId="38176" xr:uid="{00000000-0005-0000-0000-000011180000}"/>
    <cellStyle name="표준 5 14 2 4" xfId="46369" xr:uid="{00000000-0005-0000-0000-000012180000}"/>
    <cellStyle name="표준 5 14 3" xfId="9259" xr:uid="{00000000-0005-0000-0000-000013180000}"/>
    <cellStyle name="표준 5 14 4" xfId="13371" xr:uid="{00000000-0005-0000-0000-000014180000}"/>
    <cellStyle name="표준 5 14 5" xfId="17611" xr:uid="{00000000-0005-0000-0000-000015180000}"/>
    <cellStyle name="표준 5 14 6" xfId="21773" xr:uid="{00000000-0005-0000-0000-000016180000}"/>
    <cellStyle name="표준 5 14 7" xfId="25869" xr:uid="{00000000-0005-0000-0000-000017180000}"/>
    <cellStyle name="표준 5 14 8" xfId="34080" xr:uid="{00000000-0005-0000-0000-000018180000}"/>
    <cellStyle name="표준 5 14 9" xfId="42273" xr:uid="{00000000-0005-0000-0000-000019180000}"/>
    <cellStyle name="표준 5 15" xfId="4331" xr:uid="{00000000-0005-0000-0000-00001A180000}"/>
    <cellStyle name="표준 5 15 2" xfId="27917" xr:uid="{00000000-0005-0000-0000-00001B180000}"/>
    <cellStyle name="표준 5 15 3" xfId="36128" xr:uid="{00000000-0005-0000-0000-00001C180000}"/>
    <cellStyle name="표준 5 15 4" xfId="44321" xr:uid="{00000000-0005-0000-0000-00001D180000}"/>
    <cellStyle name="표준 5 16" xfId="4389" xr:uid="{00000000-0005-0000-0000-00001E180000}"/>
    <cellStyle name="표준 5 17" xfId="6945" xr:uid="{00000000-0005-0000-0000-00001F180000}"/>
    <cellStyle name="표준 5 18" xfId="7064" xr:uid="{00000000-0005-0000-0000-000020180000}"/>
    <cellStyle name="표준 5 19" xfId="7080" xr:uid="{00000000-0005-0000-0000-000021180000}"/>
    <cellStyle name="표준 5 2" xfId="23" xr:uid="{00000000-0005-0000-0000-000022180000}"/>
    <cellStyle name="표준 5 2 10" xfId="869" xr:uid="{00000000-0005-0000-0000-000023180000}"/>
    <cellStyle name="표준 5 2 10 2" xfId="6732" xr:uid="{00000000-0005-0000-0000-000024180000}"/>
    <cellStyle name="표준 5 2 10 2 2" xfId="9772" xr:uid="{00000000-0005-0000-0000-000025180000}"/>
    <cellStyle name="표준 5 2 10 2 2 2" xfId="30478" xr:uid="{00000000-0005-0000-0000-000026180000}"/>
    <cellStyle name="표준 5 2 10 2 2 3" xfId="38689" xr:uid="{00000000-0005-0000-0000-000027180000}"/>
    <cellStyle name="표준 5 2 10 2 2 4" xfId="46882" xr:uid="{00000000-0005-0000-0000-000028180000}"/>
    <cellStyle name="표준 5 2 10 2 3" xfId="13884" xr:uid="{00000000-0005-0000-0000-000029180000}"/>
    <cellStyle name="표준 5 2 10 2 4" xfId="18124" xr:uid="{00000000-0005-0000-0000-00002A180000}"/>
    <cellStyle name="표준 5 2 10 2 5" xfId="22286" xr:uid="{00000000-0005-0000-0000-00002B180000}"/>
    <cellStyle name="표준 5 2 10 2 6" xfId="26382" xr:uid="{00000000-0005-0000-0000-00002C180000}"/>
    <cellStyle name="표준 5 2 10 2 7" xfId="34593" xr:uid="{00000000-0005-0000-0000-00002D180000}"/>
    <cellStyle name="표준 5 2 10 2 8" xfId="42786" xr:uid="{00000000-0005-0000-0000-00002E180000}"/>
    <cellStyle name="표준 5 2 10 3" xfId="7724" xr:uid="{00000000-0005-0000-0000-00002F180000}"/>
    <cellStyle name="표준 5 2 10 3 2" xfId="28430" xr:uid="{00000000-0005-0000-0000-000030180000}"/>
    <cellStyle name="표준 5 2 10 3 3" xfId="36641" xr:uid="{00000000-0005-0000-0000-000031180000}"/>
    <cellStyle name="표준 5 2 10 3 4" xfId="44834" xr:uid="{00000000-0005-0000-0000-000032180000}"/>
    <cellStyle name="표준 5 2 10 4" xfId="11836" xr:uid="{00000000-0005-0000-0000-000033180000}"/>
    <cellStyle name="표준 5 2 10 5" xfId="16076" xr:uid="{00000000-0005-0000-0000-000034180000}"/>
    <cellStyle name="표준 5 2 10 6" xfId="20238" xr:uid="{00000000-0005-0000-0000-000035180000}"/>
    <cellStyle name="표준 5 2 10 7" xfId="24334" xr:uid="{00000000-0005-0000-0000-000036180000}"/>
    <cellStyle name="표준 5 2 10 8" xfId="32545" xr:uid="{00000000-0005-0000-0000-000037180000}"/>
    <cellStyle name="표준 5 2 10 9" xfId="40738" xr:uid="{00000000-0005-0000-0000-000038180000}"/>
    <cellStyle name="표준 5 2 11" xfId="1381" xr:uid="{00000000-0005-0000-0000-000039180000}"/>
    <cellStyle name="표준 5 2 11 2" xfId="6798" xr:uid="{00000000-0005-0000-0000-00003A180000}"/>
    <cellStyle name="표준 5 2 11 2 2" xfId="10284" xr:uid="{00000000-0005-0000-0000-00003B180000}"/>
    <cellStyle name="표준 5 2 11 2 2 2" xfId="30990" xr:uid="{00000000-0005-0000-0000-00003C180000}"/>
    <cellStyle name="표준 5 2 11 2 2 3" xfId="39201" xr:uid="{00000000-0005-0000-0000-00003D180000}"/>
    <cellStyle name="표준 5 2 11 2 2 4" xfId="47394" xr:uid="{00000000-0005-0000-0000-00003E180000}"/>
    <cellStyle name="표준 5 2 11 2 3" xfId="14396" xr:uid="{00000000-0005-0000-0000-00003F180000}"/>
    <cellStyle name="표준 5 2 11 2 4" xfId="18636" xr:uid="{00000000-0005-0000-0000-000040180000}"/>
    <cellStyle name="표준 5 2 11 2 5" xfId="22798" xr:uid="{00000000-0005-0000-0000-000041180000}"/>
    <cellStyle name="표준 5 2 11 2 6" xfId="26894" xr:uid="{00000000-0005-0000-0000-000042180000}"/>
    <cellStyle name="표준 5 2 11 2 7" xfId="35105" xr:uid="{00000000-0005-0000-0000-000043180000}"/>
    <cellStyle name="표준 5 2 11 2 8" xfId="43298" xr:uid="{00000000-0005-0000-0000-000044180000}"/>
    <cellStyle name="표준 5 2 11 3" xfId="8236" xr:uid="{00000000-0005-0000-0000-000045180000}"/>
    <cellStyle name="표준 5 2 11 3 2" xfId="28942" xr:uid="{00000000-0005-0000-0000-000046180000}"/>
    <cellStyle name="표준 5 2 11 3 3" xfId="37153" xr:uid="{00000000-0005-0000-0000-000047180000}"/>
    <cellStyle name="표준 5 2 11 3 4" xfId="45346" xr:uid="{00000000-0005-0000-0000-000048180000}"/>
    <cellStyle name="표준 5 2 11 4" xfId="12348" xr:uid="{00000000-0005-0000-0000-000049180000}"/>
    <cellStyle name="표준 5 2 11 5" xfId="16588" xr:uid="{00000000-0005-0000-0000-00004A180000}"/>
    <cellStyle name="표준 5 2 11 6" xfId="20750" xr:uid="{00000000-0005-0000-0000-00004B180000}"/>
    <cellStyle name="표준 5 2 11 7" xfId="24846" xr:uid="{00000000-0005-0000-0000-00004C180000}"/>
    <cellStyle name="표준 5 2 11 8" xfId="33057" xr:uid="{00000000-0005-0000-0000-00004D180000}"/>
    <cellStyle name="표준 5 2 11 9" xfId="41250" xr:uid="{00000000-0005-0000-0000-00004E180000}"/>
    <cellStyle name="표준 5 2 12" xfId="1893" xr:uid="{00000000-0005-0000-0000-00004F180000}"/>
    <cellStyle name="표준 5 2 12 2" xfId="6861" xr:uid="{00000000-0005-0000-0000-000050180000}"/>
    <cellStyle name="표준 5 2 12 2 2" xfId="10796" xr:uid="{00000000-0005-0000-0000-000051180000}"/>
    <cellStyle name="표준 5 2 12 2 2 2" xfId="31502" xr:uid="{00000000-0005-0000-0000-000052180000}"/>
    <cellStyle name="표준 5 2 12 2 2 3" xfId="39713" xr:uid="{00000000-0005-0000-0000-000053180000}"/>
    <cellStyle name="표준 5 2 12 2 2 4" xfId="47906" xr:uid="{00000000-0005-0000-0000-000054180000}"/>
    <cellStyle name="표준 5 2 12 2 3" xfId="14908" xr:uid="{00000000-0005-0000-0000-000055180000}"/>
    <cellStyle name="표준 5 2 12 2 4" xfId="19148" xr:uid="{00000000-0005-0000-0000-000056180000}"/>
    <cellStyle name="표준 5 2 12 2 5" xfId="23310" xr:uid="{00000000-0005-0000-0000-000057180000}"/>
    <cellStyle name="표준 5 2 12 2 6" xfId="27406" xr:uid="{00000000-0005-0000-0000-000058180000}"/>
    <cellStyle name="표준 5 2 12 2 7" xfId="35617" xr:uid="{00000000-0005-0000-0000-000059180000}"/>
    <cellStyle name="표준 5 2 12 2 8" xfId="43810" xr:uid="{00000000-0005-0000-0000-00005A180000}"/>
    <cellStyle name="표준 5 2 12 3" xfId="8748" xr:uid="{00000000-0005-0000-0000-00005B180000}"/>
    <cellStyle name="표준 5 2 12 3 2" xfId="29454" xr:uid="{00000000-0005-0000-0000-00005C180000}"/>
    <cellStyle name="표준 5 2 12 3 3" xfId="37665" xr:uid="{00000000-0005-0000-0000-00005D180000}"/>
    <cellStyle name="표준 5 2 12 3 4" xfId="45858" xr:uid="{00000000-0005-0000-0000-00005E180000}"/>
    <cellStyle name="표준 5 2 12 4" xfId="12860" xr:uid="{00000000-0005-0000-0000-00005F180000}"/>
    <cellStyle name="표준 5 2 12 5" xfId="17100" xr:uid="{00000000-0005-0000-0000-000060180000}"/>
    <cellStyle name="표준 5 2 12 6" xfId="21262" xr:uid="{00000000-0005-0000-0000-000061180000}"/>
    <cellStyle name="표준 5 2 12 7" xfId="25358" xr:uid="{00000000-0005-0000-0000-000062180000}"/>
    <cellStyle name="표준 5 2 12 8" xfId="33569" xr:uid="{00000000-0005-0000-0000-000063180000}"/>
    <cellStyle name="표준 5 2 12 9" xfId="41762" xr:uid="{00000000-0005-0000-0000-000064180000}"/>
    <cellStyle name="표준 5 2 13" xfId="4337" xr:uid="{00000000-0005-0000-0000-000065180000}"/>
    <cellStyle name="표준 5 2 13 2" xfId="6909" xr:uid="{00000000-0005-0000-0000-000066180000}"/>
    <cellStyle name="표준 5 2 13 2 2" xfId="29966" xr:uid="{00000000-0005-0000-0000-000067180000}"/>
    <cellStyle name="표준 5 2 13 2 3" xfId="38177" xr:uid="{00000000-0005-0000-0000-000068180000}"/>
    <cellStyle name="표준 5 2 13 2 4" xfId="46370" xr:uid="{00000000-0005-0000-0000-000069180000}"/>
    <cellStyle name="표준 5 2 13 3" xfId="9260" xr:uid="{00000000-0005-0000-0000-00006A180000}"/>
    <cellStyle name="표준 5 2 13 4" xfId="13372" xr:uid="{00000000-0005-0000-0000-00006B180000}"/>
    <cellStyle name="표준 5 2 13 5" xfId="17612" xr:uid="{00000000-0005-0000-0000-00006C180000}"/>
    <cellStyle name="표준 5 2 13 6" xfId="21774" xr:uid="{00000000-0005-0000-0000-00006D180000}"/>
    <cellStyle name="표준 5 2 13 7" xfId="25870" xr:uid="{00000000-0005-0000-0000-00006E180000}"/>
    <cellStyle name="표준 5 2 13 8" xfId="34081" xr:uid="{00000000-0005-0000-0000-00006F180000}"/>
    <cellStyle name="표준 5 2 13 9" xfId="42274" xr:uid="{00000000-0005-0000-0000-000070180000}"/>
    <cellStyle name="표준 5 2 14" xfId="6933" xr:uid="{00000000-0005-0000-0000-000071180000}"/>
    <cellStyle name="표준 5 2 14 2" xfId="27918" xr:uid="{00000000-0005-0000-0000-000072180000}"/>
    <cellStyle name="표준 5 2 14 3" xfId="36129" xr:uid="{00000000-0005-0000-0000-000073180000}"/>
    <cellStyle name="표준 5 2 14 4" xfId="44322" xr:uid="{00000000-0005-0000-0000-000074180000}"/>
    <cellStyle name="표준 5 2 15" xfId="4390" xr:uid="{00000000-0005-0000-0000-000075180000}"/>
    <cellStyle name="표준 5 2 16" xfId="6946" xr:uid="{00000000-0005-0000-0000-000076180000}"/>
    <cellStyle name="표준 5 2 17" xfId="7065" xr:uid="{00000000-0005-0000-0000-000077180000}"/>
    <cellStyle name="표준 5 2 18" xfId="7081" xr:uid="{00000000-0005-0000-0000-000078180000}"/>
    <cellStyle name="표준 5 2 19" xfId="7097" xr:uid="{00000000-0005-0000-0000-000079180000}"/>
    <cellStyle name="표준 5 2 2" xfId="44" xr:uid="{00000000-0005-0000-0000-00007A180000}"/>
    <cellStyle name="표준 5 2 2 10" xfId="1383" xr:uid="{00000000-0005-0000-0000-00007B180000}"/>
    <cellStyle name="표준 5 2 2 10 2" xfId="10286" xr:uid="{00000000-0005-0000-0000-00007C180000}"/>
    <cellStyle name="표준 5 2 2 10 2 2" xfId="14398" xr:uid="{00000000-0005-0000-0000-00007D180000}"/>
    <cellStyle name="표준 5 2 2 10 2 2 2" xfId="30992" xr:uid="{00000000-0005-0000-0000-00007E180000}"/>
    <cellStyle name="표준 5 2 2 10 2 2 3" xfId="39203" xr:uid="{00000000-0005-0000-0000-00007F180000}"/>
    <cellStyle name="표준 5 2 2 10 2 2 4" xfId="47396" xr:uid="{00000000-0005-0000-0000-000080180000}"/>
    <cellStyle name="표준 5 2 2 10 2 3" xfId="18638" xr:uid="{00000000-0005-0000-0000-000081180000}"/>
    <cellStyle name="표준 5 2 2 10 2 4" xfId="22800" xr:uid="{00000000-0005-0000-0000-000082180000}"/>
    <cellStyle name="표준 5 2 2 10 2 5" xfId="26896" xr:uid="{00000000-0005-0000-0000-000083180000}"/>
    <cellStyle name="표준 5 2 2 10 2 6" xfId="35107" xr:uid="{00000000-0005-0000-0000-000084180000}"/>
    <cellStyle name="표준 5 2 2 10 2 7" xfId="43300" xr:uid="{00000000-0005-0000-0000-000085180000}"/>
    <cellStyle name="표준 5 2 2 10 3" xfId="8238" xr:uid="{00000000-0005-0000-0000-000086180000}"/>
    <cellStyle name="표준 5 2 2 10 3 2" xfId="28944" xr:uid="{00000000-0005-0000-0000-000087180000}"/>
    <cellStyle name="표준 5 2 2 10 3 3" xfId="37155" xr:uid="{00000000-0005-0000-0000-000088180000}"/>
    <cellStyle name="표준 5 2 2 10 3 4" xfId="45348" xr:uid="{00000000-0005-0000-0000-000089180000}"/>
    <cellStyle name="표준 5 2 2 10 4" xfId="12350" xr:uid="{00000000-0005-0000-0000-00008A180000}"/>
    <cellStyle name="표준 5 2 2 10 5" xfId="16590" xr:uid="{00000000-0005-0000-0000-00008B180000}"/>
    <cellStyle name="표준 5 2 2 10 6" xfId="20752" xr:uid="{00000000-0005-0000-0000-00008C180000}"/>
    <cellStyle name="표준 5 2 2 10 7" xfId="24848" xr:uid="{00000000-0005-0000-0000-00008D180000}"/>
    <cellStyle name="표준 5 2 2 10 8" xfId="33059" xr:uid="{00000000-0005-0000-0000-00008E180000}"/>
    <cellStyle name="표준 5 2 2 10 9" xfId="41252" xr:uid="{00000000-0005-0000-0000-00008F180000}"/>
    <cellStyle name="표준 5 2 2 11" xfId="1895" xr:uid="{00000000-0005-0000-0000-000090180000}"/>
    <cellStyle name="표준 5 2 2 11 2" xfId="10798" xr:uid="{00000000-0005-0000-0000-000091180000}"/>
    <cellStyle name="표준 5 2 2 11 2 2" xfId="14910" xr:uid="{00000000-0005-0000-0000-000092180000}"/>
    <cellStyle name="표준 5 2 2 11 2 2 2" xfId="31504" xr:uid="{00000000-0005-0000-0000-000093180000}"/>
    <cellStyle name="표준 5 2 2 11 2 2 3" xfId="39715" xr:uid="{00000000-0005-0000-0000-000094180000}"/>
    <cellStyle name="표준 5 2 2 11 2 2 4" xfId="47908" xr:uid="{00000000-0005-0000-0000-000095180000}"/>
    <cellStyle name="표준 5 2 2 11 2 3" xfId="19150" xr:uid="{00000000-0005-0000-0000-000096180000}"/>
    <cellStyle name="표준 5 2 2 11 2 4" xfId="23312" xr:uid="{00000000-0005-0000-0000-000097180000}"/>
    <cellStyle name="표준 5 2 2 11 2 5" xfId="27408" xr:uid="{00000000-0005-0000-0000-000098180000}"/>
    <cellStyle name="표준 5 2 2 11 2 6" xfId="35619" xr:uid="{00000000-0005-0000-0000-000099180000}"/>
    <cellStyle name="표준 5 2 2 11 2 7" xfId="43812" xr:uid="{00000000-0005-0000-0000-00009A180000}"/>
    <cellStyle name="표준 5 2 2 11 3" xfId="8750" xr:uid="{00000000-0005-0000-0000-00009B180000}"/>
    <cellStyle name="표준 5 2 2 11 3 2" xfId="29456" xr:uid="{00000000-0005-0000-0000-00009C180000}"/>
    <cellStyle name="표준 5 2 2 11 3 3" xfId="37667" xr:uid="{00000000-0005-0000-0000-00009D180000}"/>
    <cellStyle name="표준 5 2 2 11 3 4" xfId="45860" xr:uid="{00000000-0005-0000-0000-00009E180000}"/>
    <cellStyle name="표준 5 2 2 11 4" xfId="12862" xr:uid="{00000000-0005-0000-0000-00009F180000}"/>
    <cellStyle name="표준 5 2 2 11 5" xfId="17102" xr:uid="{00000000-0005-0000-0000-0000A0180000}"/>
    <cellStyle name="표준 5 2 2 11 6" xfId="21264" xr:uid="{00000000-0005-0000-0000-0000A1180000}"/>
    <cellStyle name="표준 5 2 2 11 7" xfId="25360" xr:uid="{00000000-0005-0000-0000-0000A2180000}"/>
    <cellStyle name="표준 5 2 2 11 8" xfId="33571" xr:uid="{00000000-0005-0000-0000-0000A3180000}"/>
    <cellStyle name="표준 5 2 2 11 9" xfId="41764" xr:uid="{00000000-0005-0000-0000-0000A4180000}"/>
    <cellStyle name="표준 5 2 2 12" xfId="4392" xr:uid="{00000000-0005-0000-0000-0000A5180000}"/>
    <cellStyle name="표준 5 2 2 12 2" xfId="9262" xr:uid="{00000000-0005-0000-0000-0000A6180000}"/>
    <cellStyle name="표준 5 2 2 12 2 2" xfId="29968" xr:uid="{00000000-0005-0000-0000-0000A7180000}"/>
    <cellStyle name="표준 5 2 2 12 2 3" xfId="38179" xr:uid="{00000000-0005-0000-0000-0000A8180000}"/>
    <cellStyle name="표준 5 2 2 12 2 4" xfId="46372" xr:uid="{00000000-0005-0000-0000-0000A9180000}"/>
    <cellStyle name="표준 5 2 2 12 3" xfId="13374" xr:uid="{00000000-0005-0000-0000-0000AA180000}"/>
    <cellStyle name="표준 5 2 2 12 4" xfId="17614" xr:uid="{00000000-0005-0000-0000-0000AB180000}"/>
    <cellStyle name="표준 5 2 2 12 5" xfId="21776" xr:uid="{00000000-0005-0000-0000-0000AC180000}"/>
    <cellStyle name="표준 5 2 2 12 6" xfId="25872" xr:uid="{00000000-0005-0000-0000-0000AD180000}"/>
    <cellStyle name="표준 5 2 2 12 7" xfId="34083" xr:uid="{00000000-0005-0000-0000-0000AE180000}"/>
    <cellStyle name="표준 5 2 2 12 8" xfId="42276" xr:uid="{00000000-0005-0000-0000-0000AF180000}"/>
    <cellStyle name="표준 5 2 2 13" xfId="6949" xr:uid="{00000000-0005-0000-0000-0000B0180000}"/>
    <cellStyle name="표준 5 2 2 13 2" xfId="27920" xr:uid="{00000000-0005-0000-0000-0000B1180000}"/>
    <cellStyle name="표준 5 2 2 13 3" xfId="36131" xr:uid="{00000000-0005-0000-0000-0000B2180000}"/>
    <cellStyle name="표준 5 2 2 13 4" xfId="44324" xr:uid="{00000000-0005-0000-0000-0000B3180000}"/>
    <cellStyle name="표준 5 2 2 14" xfId="7067" xr:uid="{00000000-0005-0000-0000-0000B4180000}"/>
    <cellStyle name="표준 5 2 2 15" xfId="7083" xr:uid="{00000000-0005-0000-0000-0000B5180000}"/>
    <cellStyle name="표준 5 2 2 16" xfId="7099" xr:uid="{00000000-0005-0000-0000-0000B6180000}"/>
    <cellStyle name="표준 5 2 2 17" xfId="7207" xr:uid="{00000000-0005-0000-0000-0000B7180000}"/>
    <cellStyle name="표준 5 2 2 18" xfId="7214" xr:uid="{00000000-0005-0000-0000-0000B8180000}"/>
    <cellStyle name="표준 5 2 2 19" xfId="11310" xr:uid="{00000000-0005-0000-0000-0000B9180000}"/>
    <cellStyle name="표준 5 2 2 2" xfId="60" xr:uid="{00000000-0005-0000-0000-0000BA180000}"/>
    <cellStyle name="표준 5 2 2 2 10" xfId="1899" xr:uid="{00000000-0005-0000-0000-0000BB180000}"/>
    <cellStyle name="표준 5 2 2 2 10 2" xfId="10802" xr:uid="{00000000-0005-0000-0000-0000BC180000}"/>
    <cellStyle name="표준 5 2 2 2 10 2 2" xfId="14914" xr:uid="{00000000-0005-0000-0000-0000BD180000}"/>
    <cellStyle name="표준 5 2 2 2 10 2 2 2" xfId="31508" xr:uid="{00000000-0005-0000-0000-0000BE180000}"/>
    <cellStyle name="표준 5 2 2 2 10 2 2 3" xfId="39719" xr:uid="{00000000-0005-0000-0000-0000BF180000}"/>
    <cellStyle name="표준 5 2 2 2 10 2 2 4" xfId="47912" xr:uid="{00000000-0005-0000-0000-0000C0180000}"/>
    <cellStyle name="표준 5 2 2 2 10 2 3" xfId="19154" xr:uid="{00000000-0005-0000-0000-0000C1180000}"/>
    <cellStyle name="표준 5 2 2 2 10 2 4" xfId="23316" xr:uid="{00000000-0005-0000-0000-0000C2180000}"/>
    <cellStyle name="표준 5 2 2 2 10 2 5" xfId="27412" xr:uid="{00000000-0005-0000-0000-0000C3180000}"/>
    <cellStyle name="표준 5 2 2 2 10 2 6" xfId="35623" xr:uid="{00000000-0005-0000-0000-0000C4180000}"/>
    <cellStyle name="표준 5 2 2 2 10 2 7" xfId="43816" xr:uid="{00000000-0005-0000-0000-0000C5180000}"/>
    <cellStyle name="표준 5 2 2 2 10 3" xfId="8754" xr:uid="{00000000-0005-0000-0000-0000C6180000}"/>
    <cellStyle name="표준 5 2 2 2 10 3 2" xfId="29460" xr:uid="{00000000-0005-0000-0000-0000C7180000}"/>
    <cellStyle name="표준 5 2 2 2 10 3 3" xfId="37671" xr:uid="{00000000-0005-0000-0000-0000C8180000}"/>
    <cellStyle name="표준 5 2 2 2 10 3 4" xfId="45864" xr:uid="{00000000-0005-0000-0000-0000C9180000}"/>
    <cellStyle name="표준 5 2 2 2 10 4" xfId="12866" xr:uid="{00000000-0005-0000-0000-0000CA180000}"/>
    <cellStyle name="표준 5 2 2 2 10 5" xfId="17106" xr:uid="{00000000-0005-0000-0000-0000CB180000}"/>
    <cellStyle name="표준 5 2 2 2 10 6" xfId="21268" xr:uid="{00000000-0005-0000-0000-0000CC180000}"/>
    <cellStyle name="표준 5 2 2 2 10 7" xfId="25364" xr:uid="{00000000-0005-0000-0000-0000CD180000}"/>
    <cellStyle name="표준 5 2 2 2 10 8" xfId="33575" xr:uid="{00000000-0005-0000-0000-0000CE180000}"/>
    <cellStyle name="표준 5 2 2 2 10 9" xfId="41768" xr:uid="{00000000-0005-0000-0000-0000CF180000}"/>
    <cellStyle name="표준 5 2 2 2 11" xfId="4396" xr:uid="{00000000-0005-0000-0000-0000D0180000}"/>
    <cellStyle name="표준 5 2 2 2 11 2" xfId="9266" xr:uid="{00000000-0005-0000-0000-0000D1180000}"/>
    <cellStyle name="표준 5 2 2 2 11 2 2" xfId="29972" xr:uid="{00000000-0005-0000-0000-0000D2180000}"/>
    <cellStyle name="표준 5 2 2 2 11 2 3" xfId="38183" xr:uid="{00000000-0005-0000-0000-0000D3180000}"/>
    <cellStyle name="표준 5 2 2 2 11 2 4" xfId="46376" xr:uid="{00000000-0005-0000-0000-0000D4180000}"/>
    <cellStyle name="표준 5 2 2 2 11 3" xfId="13378" xr:uid="{00000000-0005-0000-0000-0000D5180000}"/>
    <cellStyle name="표준 5 2 2 2 11 4" xfId="17618" xr:uid="{00000000-0005-0000-0000-0000D6180000}"/>
    <cellStyle name="표준 5 2 2 2 11 5" xfId="21780" xr:uid="{00000000-0005-0000-0000-0000D7180000}"/>
    <cellStyle name="표준 5 2 2 2 11 6" xfId="25876" xr:uid="{00000000-0005-0000-0000-0000D8180000}"/>
    <cellStyle name="표준 5 2 2 2 11 7" xfId="34087" xr:uid="{00000000-0005-0000-0000-0000D9180000}"/>
    <cellStyle name="표준 5 2 2 2 11 8" xfId="42280" xr:uid="{00000000-0005-0000-0000-0000DA180000}"/>
    <cellStyle name="표준 5 2 2 2 12" xfId="6953" xr:uid="{00000000-0005-0000-0000-0000DB180000}"/>
    <cellStyle name="표준 5 2 2 2 12 2" xfId="27924" xr:uid="{00000000-0005-0000-0000-0000DC180000}"/>
    <cellStyle name="표준 5 2 2 2 12 3" xfId="36135" xr:uid="{00000000-0005-0000-0000-0000DD180000}"/>
    <cellStyle name="표준 5 2 2 2 12 4" xfId="44328" xr:uid="{00000000-0005-0000-0000-0000DE180000}"/>
    <cellStyle name="표준 5 2 2 2 13" xfId="7071" xr:uid="{00000000-0005-0000-0000-0000DF180000}"/>
    <cellStyle name="표준 5 2 2 2 14" xfId="7087" xr:uid="{00000000-0005-0000-0000-0000E0180000}"/>
    <cellStyle name="표준 5 2 2 2 15" xfId="7103" xr:uid="{00000000-0005-0000-0000-0000E1180000}"/>
    <cellStyle name="표준 5 2 2 2 16" xfId="7203" xr:uid="{00000000-0005-0000-0000-0000E2180000}"/>
    <cellStyle name="표준 5 2 2 2 17" xfId="7218" xr:uid="{00000000-0005-0000-0000-0000E3180000}"/>
    <cellStyle name="표준 5 2 2 2 18" xfId="11314" xr:uid="{00000000-0005-0000-0000-0000E4180000}"/>
    <cellStyle name="표준 5 2 2 2 19" xfId="11330" xr:uid="{00000000-0005-0000-0000-0000E5180000}"/>
    <cellStyle name="표준 5 2 2 2 2" xfId="78" xr:uid="{00000000-0005-0000-0000-0000E6180000}"/>
    <cellStyle name="표준 5 2 2 2 2 10" xfId="4404" xr:uid="{00000000-0005-0000-0000-0000E7180000}"/>
    <cellStyle name="표준 5 2 2 2 2 10 2" xfId="9274" xr:uid="{00000000-0005-0000-0000-0000E8180000}"/>
    <cellStyle name="표준 5 2 2 2 2 10 2 2" xfId="29980" xr:uid="{00000000-0005-0000-0000-0000E9180000}"/>
    <cellStyle name="표준 5 2 2 2 2 10 2 3" xfId="38191" xr:uid="{00000000-0005-0000-0000-0000EA180000}"/>
    <cellStyle name="표준 5 2 2 2 2 10 2 4" xfId="46384" xr:uid="{00000000-0005-0000-0000-0000EB180000}"/>
    <cellStyle name="표준 5 2 2 2 2 10 3" xfId="13386" xr:uid="{00000000-0005-0000-0000-0000EC180000}"/>
    <cellStyle name="표준 5 2 2 2 2 10 4" xfId="17626" xr:uid="{00000000-0005-0000-0000-0000ED180000}"/>
    <cellStyle name="표준 5 2 2 2 2 10 5" xfId="21788" xr:uid="{00000000-0005-0000-0000-0000EE180000}"/>
    <cellStyle name="표준 5 2 2 2 2 10 6" xfId="25884" xr:uid="{00000000-0005-0000-0000-0000EF180000}"/>
    <cellStyle name="표준 5 2 2 2 2 10 7" xfId="34095" xr:uid="{00000000-0005-0000-0000-0000F0180000}"/>
    <cellStyle name="표준 5 2 2 2 2 10 8" xfId="42288" xr:uid="{00000000-0005-0000-0000-0000F1180000}"/>
    <cellStyle name="표준 5 2 2 2 2 11" xfId="6961" xr:uid="{00000000-0005-0000-0000-0000F2180000}"/>
    <cellStyle name="표준 5 2 2 2 2 11 2" xfId="27932" xr:uid="{00000000-0005-0000-0000-0000F3180000}"/>
    <cellStyle name="표준 5 2 2 2 2 11 3" xfId="36143" xr:uid="{00000000-0005-0000-0000-0000F4180000}"/>
    <cellStyle name="표준 5 2 2 2 2 11 4" xfId="44336" xr:uid="{00000000-0005-0000-0000-0000F5180000}"/>
    <cellStyle name="표준 5 2 2 2 2 12" xfId="7079" xr:uid="{00000000-0005-0000-0000-0000F6180000}"/>
    <cellStyle name="표준 5 2 2 2 2 13" xfId="7095" xr:uid="{00000000-0005-0000-0000-0000F7180000}"/>
    <cellStyle name="표준 5 2 2 2 2 14" xfId="7111" xr:uid="{00000000-0005-0000-0000-0000F8180000}"/>
    <cellStyle name="표준 5 2 2 2 2 15" xfId="7195" xr:uid="{00000000-0005-0000-0000-0000F9180000}"/>
    <cellStyle name="표준 5 2 2 2 2 16" xfId="7226" xr:uid="{00000000-0005-0000-0000-0000FA180000}"/>
    <cellStyle name="표준 5 2 2 2 2 17" xfId="11322" xr:uid="{00000000-0005-0000-0000-0000FB180000}"/>
    <cellStyle name="표준 5 2 2 2 2 18" xfId="11338" xr:uid="{00000000-0005-0000-0000-0000FC180000}"/>
    <cellStyle name="표준 5 2 2 2 2 19" xfId="15434" xr:uid="{00000000-0005-0000-0000-0000FD180000}"/>
    <cellStyle name="표준 5 2 2 2 2 2" xfId="172" xr:uid="{00000000-0005-0000-0000-0000FE180000}"/>
    <cellStyle name="표준 5 2 2 2 2 2 10" xfId="7179" xr:uid="{00000000-0005-0000-0000-0000FF180000}"/>
    <cellStyle name="표준 5 2 2 2 2 2 10 2" xfId="27948" xr:uid="{00000000-0005-0000-0000-000000190000}"/>
    <cellStyle name="표준 5 2 2 2 2 2 10 3" xfId="36159" xr:uid="{00000000-0005-0000-0000-000001190000}"/>
    <cellStyle name="표준 5 2 2 2 2 2 10 4" xfId="44352" xr:uid="{00000000-0005-0000-0000-000002190000}"/>
    <cellStyle name="표준 5 2 2 2 2 2 11" xfId="7242" xr:uid="{00000000-0005-0000-0000-000003190000}"/>
    <cellStyle name="표준 5 2 2 2 2 2 12" xfId="11354" xr:uid="{00000000-0005-0000-0000-000004190000}"/>
    <cellStyle name="표준 5 2 2 2 2 2 13" xfId="15482" xr:uid="{00000000-0005-0000-0000-000005190000}"/>
    <cellStyle name="표준 5 2 2 2 2 2 14" xfId="15594" xr:uid="{00000000-0005-0000-0000-000006190000}"/>
    <cellStyle name="표준 5 2 2 2 2 2 15" xfId="19756" xr:uid="{00000000-0005-0000-0000-000007190000}"/>
    <cellStyle name="표준 5 2 2 2 2 2 16" xfId="23852" xr:uid="{00000000-0005-0000-0000-000008190000}"/>
    <cellStyle name="표준 5 2 2 2 2 2 17" xfId="32063" xr:uid="{00000000-0005-0000-0000-000009190000}"/>
    <cellStyle name="표준 5 2 2 2 2 2 18" xfId="40256" xr:uid="{00000000-0005-0000-0000-00000A190000}"/>
    <cellStyle name="표준 5 2 2 2 2 2 19" xfId="49637" xr:uid="{00000000-0005-0000-0000-00000B190000}"/>
    <cellStyle name="표준 5 2 2 2 2 2 2" xfId="419" xr:uid="{00000000-0005-0000-0000-00000C190000}"/>
    <cellStyle name="표준 5 2 2 2 2 2 2 10" xfId="7274" xr:uid="{00000000-0005-0000-0000-00000D190000}"/>
    <cellStyle name="표준 5 2 2 2 2 2 2 11" xfId="11386" xr:uid="{00000000-0005-0000-0000-00000E190000}"/>
    <cellStyle name="표준 5 2 2 2 2 2 2 12" xfId="15530" xr:uid="{00000000-0005-0000-0000-00000F190000}"/>
    <cellStyle name="표준 5 2 2 2 2 2 2 13" xfId="15626" xr:uid="{00000000-0005-0000-0000-000010190000}"/>
    <cellStyle name="표준 5 2 2 2 2 2 2 14" xfId="19788" xr:uid="{00000000-0005-0000-0000-000011190000}"/>
    <cellStyle name="표준 5 2 2 2 2 2 2 15" xfId="23884" xr:uid="{00000000-0005-0000-0000-000012190000}"/>
    <cellStyle name="표준 5 2 2 2 2 2 2 16" xfId="32095" xr:uid="{00000000-0005-0000-0000-000013190000}"/>
    <cellStyle name="표준 5 2 2 2 2 2 2 17" xfId="40288" xr:uid="{00000000-0005-0000-0000-000014190000}"/>
    <cellStyle name="표준 5 2 2 2 2 2 2 18" xfId="49703" xr:uid="{00000000-0005-0000-0000-000015190000}"/>
    <cellStyle name="표준 5 2 2 2 2 2 2 2" xfId="483" xr:uid="{00000000-0005-0000-0000-000016190000}"/>
    <cellStyle name="표준 5 2 2 2 2 2 2 2 10" xfId="15690" xr:uid="{00000000-0005-0000-0000-000017190000}"/>
    <cellStyle name="표준 5 2 2 2 2 2 2 2 11" xfId="19852" xr:uid="{00000000-0005-0000-0000-000018190000}"/>
    <cellStyle name="표준 5 2 2 2 2 2 2 2 12" xfId="23948" xr:uid="{00000000-0005-0000-0000-000019190000}"/>
    <cellStyle name="표준 5 2 2 2 2 2 2 2 13" xfId="32159" xr:uid="{00000000-0005-0000-0000-00001A190000}"/>
    <cellStyle name="표준 5 2 2 2 2 2 2 2 14" xfId="40352" xr:uid="{00000000-0005-0000-0000-00001B190000}"/>
    <cellStyle name="표준 5 2 2 2 2 2 2 2 2" xfId="611" xr:uid="{00000000-0005-0000-0000-00001C190000}"/>
    <cellStyle name="표준 5 2 2 2 2 2 2 2 2 10" xfId="19980" xr:uid="{00000000-0005-0000-0000-00001D190000}"/>
    <cellStyle name="표준 5 2 2 2 2 2 2 2 2 11" xfId="24076" xr:uid="{00000000-0005-0000-0000-00001E190000}"/>
    <cellStyle name="표준 5 2 2 2 2 2 2 2 2 12" xfId="32287" xr:uid="{00000000-0005-0000-0000-00001F190000}"/>
    <cellStyle name="표준 5 2 2 2 2 2 2 2 2 13" xfId="40480" xr:uid="{00000000-0005-0000-0000-000020190000}"/>
    <cellStyle name="표준 5 2 2 2 2 2 2 2 2 2" xfId="867" xr:uid="{00000000-0005-0000-0000-000021190000}"/>
    <cellStyle name="표준 5 2 2 2 2 2 2 2 2 2 10" xfId="24332" xr:uid="{00000000-0005-0000-0000-000022190000}"/>
    <cellStyle name="표준 5 2 2 2 2 2 2 2 2 2 11" xfId="32543" xr:uid="{00000000-0005-0000-0000-000023190000}"/>
    <cellStyle name="표준 5 2 2 2 2 2 2 2 2 2 12" xfId="40736" xr:uid="{00000000-0005-0000-0000-000024190000}"/>
    <cellStyle name="표준 5 2 2 2 2 2 2 2 2 2 2" xfId="1379" xr:uid="{00000000-0005-0000-0000-000025190000}"/>
    <cellStyle name="표준 5 2 2 2 2 2 2 2 2 2 2 2" xfId="10282" xr:uid="{00000000-0005-0000-0000-000026190000}"/>
    <cellStyle name="표준 5 2 2 2 2 2 2 2 2 2 2 2 2" xfId="14394" xr:uid="{00000000-0005-0000-0000-000027190000}"/>
    <cellStyle name="표준 5 2 2 2 2 2 2 2 2 2 2 2 2 2" xfId="30988" xr:uid="{00000000-0005-0000-0000-000028190000}"/>
    <cellStyle name="표준 5 2 2 2 2 2 2 2 2 2 2 2 2 3" xfId="39199" xr:uid="{00000000-0005-0000-0000-000029190000}"/>
    <cellStyle name="표준 5 2 2 2 2 2 2 2 2 2 2 2 2 4" xfId="47392" xr:uid="{00000000-0005-0000-0000-00002A190000}"/>
    <cellStyle name="표준 5 2 2 2 2 2 2 2 2 2 2 2 3" xfId="18634" xr:uid="{00000000-0005-0000-0000-00002B190000}"/>
    <cellStyle name="표준 5 2 2 2 2 2 2 2 2 2 2 2 4" xfId="22796" xr:uid="{00000000-0005-0000-0000-00002C190000}"/>
    <cellStyle name="표준 5 2 2 2 2 2 2 2 2 2 2 2 5" xfId="26892" xr:uid="{00000000-0005-0000-0000-00002D190000}"/>
    <cellStyle name="표준 5 2 2 2 2 2 2 2 2 2 2 2 6" xfId="35103" xr:uid="{00000000-0005-0000-0000-00002E190000}"/>
    <cellStyle name="표준 5 2 2 2 2 2 2 2 2 2 2 2 7" xfId="43296" xr:uid="{00000000-0005-0000-0000-00002F190000}"/>
    <cellStyle name="표준 5 2 2 2 2 2 2 2 2 2 2 3" xfId="8234" xr:uid="{00000000-0005-0000-0000-000030190000}"/>
    <cellStyle name="표준 5 2 2 2 2 2 2 2 2 2 2 3 2" xfId="28940" xr:uid="{00000000-0005-0000-0000-000031190000}"/>
    <cellStyle name="표준 5 2 2 2 2 2 2 2 2 2 2 3 3" xfId="37151" xr:uid="{00000000-0005-0000-0000-000032190000}"/>
    <cellStyle name="표준 5 2 2 2 2 2 2 2 2 2 2 3 4" xfId="45344" xr:uid="{00000000-0005-0000-0000-000033190000}"/>
    <cellStyle name="표준 5 2 2 2 2 2 2 2 2 2 2 4" xfId="12346" xr:uid="{00000000-0005-0000-0000-000034190000}"/>
    <cellStyle name="표준 5 2 2 2 2 2 2 2 2 2 2 5" xfId="16586" xr:uid="{00000000-0005-0000-0000-000035190000}"/>
    <cellStyle name="표준 5 2 2 2 2 2 2 2 2 2 2 6" xfId="20748" xr:uid="{00000000-0005-0000-0000-000036190000}"/>
    <cellStyle name="표준 5 2 2 2 2 2 2 2 2 2 2 7" xfId="24844" xr:uid="{00000000-0005-0000-0000-000037190000}"/>
    <cellStyle name="표준 5 2 2 2 2 2 2 2 2 2 2 8" xfId="33055" xr:uid="{00000000-0005-0000-0000-000038190000}"/>
    <cellStyle name="표준 5 2 2 2 2 2 2 2 2 2 2 9" xfId="41248" xr:uid="{00000000-0005-0000-0000-000039190000}"/>
    <cellStyle name="표준 5 2 2 2 2 2 2 2 2 2 3" xfId="1891" xr:uid="{00000000-0005-0000-0000-00003A190000}"/>
    <cellStyle name="표준 5 2 2 2 2 2 2 2 2 2 3 2" xfId="10794" xr:uid="{00000000-0005-0000-0000-00003B190000}"/>
    <cellStyle name="표준 5 2 2 2 2 2 2 2 2 2 3 2 2" xfId="14906" xr:uid="{00000000-0005-0000-0000-00003C190000}"/>
    <cellStyle name="표준 5 2 2 2 2 2 2 2 2 2 3 2 2 2" xfId="31500" xr:uid="{00000000-0005-0000-0000-00003D190000}"/>
    <cellStyle name="표준 5 2 2 2 2 2 2 2 2 2 3 2 2 3" xfId="39711" xr:uid="{00000000-0005-0000-0000-00003E190000}"/>
    <cellStyle name="표준 5 2 2 2 2 2 2 2 2 2 3 2 2 4" xfId="47904" xr:uid="{00000000-0005-0000-0000-00003F190000}"/>
    <cellStyle name="표준 5 2 2 2 2 2 2 2 2 2 3 2 3" xfId="19146" xr:uid="{00000000-0005-0000-0000-000040190000}"/>
    <cellStyle name="표준 5 2 2 2 2 2 2 2 2 2 3 2 4" xfId="23308" xr:uid="{00000000-0005-0000-0000-000041190000}"/>
    <cellStyle name="표준 5 2 2 2 2 2 2 2 2 2 3 2 5" xfId="27404" xr:uid="{00000000-0005-0000-0000-000042190000}"/>
    <cellStyle name="표준 5 2 2 2 2 2 2 2 2 2 3 2 6" xfId="35615" xr:uid="{00000000-0005-0000-0000-000043190000}"/>
    <cellStyle name="표준 5 2 2 2 2 2 2 2 2 2 3 2 7" xfId="43808" xr:uid="{00000000-0005-0000-0000-000044190000}"/>
    <cellStyle name="표준 5 2 2 2 2 2 2 2 2 2 3 3" xfId="8746" xr:uid="{00000000-0005-0000-0000-000045190000}"/>
    <cellStyle name="표준 5 2 2 2 2 2 2 2 2 2 3 3 2" xfId="29452" xr:uid="{00000000-0005-0000-0000-000046190000}"/>
    <cellStyle name="표준 5 2 2 2 2 2 2 2 2 2 3 3 3" xfId="37663" xr:uid="{00000000-0005-0000-0000-000047190000}"/>
    <cellStyle name="표준 5 2 2 2 2 2 2 2 2 2 3 3 4" xfId="45856" xr:uid="{00000000-0005-0000-0000-000048190000}"/>
    <cellStyle name="표준 5 2 2 2 2 2 2 2 2 2 3 4" xfId="12858" xr:uid="{00000000-0005-0000-0000-000049190000}"/>
    <cellStyle name="표준 5 2 2 2 2 2 2 2 2 2 3 5" xfId="17098" xr:uid="{00000000-0005-0000-0000-00004A190000}"/>
    <cellStyle name="표준 5 2 2 2 2 2 2 2 2 2 3 6" xfId="21260" xr:uid="{00000000-0005-0000-0000-00004B190000}"/>
    <cellStyle name="표준 5 2 2 2 2 2 2 2 2 2 3 7" xfId="25356" xr:uid="{00000000-0005-0000-0000-00004C190000}"/>
    <cellStyle name="표준 5 2 2 2 2 2 2 2 2 2 3 8" xfId="33567" xr:uid="{00000000-0005-0000-0000-00004D190000}"/>
    <cellStyle name="표준 5 2 2 2 2 2 2 2 2 2 3 9" xfId="41760" xr:uid="{00000000-0005-0000-0000-00004E190000}"/>
    <cellStyle name="표준 5 2 2 2 2 2 2 2 2 2 4" xfId="2403" xr:uid="{00000000-0005-0000-0000-00004F190000}"/>
    <cellStyle name="표준 5 2 2 2 2 2 2 2 2 2 4 2" xfId="11306" xr:uid="{00000000-0005-0000-0000-000050190000}"/>
    <cellStyle name="표준 5 2 2 2 2 2 2 2 2 2 4 2 2" xfId="15418" xr:uid="{00000000-0005-0000-0000-000051190000}"/>
    <cellStyle name="표준 5 2 2 2 2 2 2 2 2 2 4 2 2 2" xfId="32012" xr:uid="{00000000-0005-0000-0000-000052190000}"/>
    <cellStyle name="표준 5 2 2 2 2 2 2 2 2 2 4 2 2 3" xfId="40223" xr:uid="{00000000-0005-0000-0000-000053190000}"/>
    <cellStyle name="표준 5 2 2 2 2 2 2 2 2 2 4 2 2 4" xfId="48416" xr:uid="{00000000-0005-0000-0000-000054190000}"/>
    <cellStyle name="표준 5 2 2 2 2 2 2 2 2 2 4 2 3" xfId="19658" xr:uid="{00000000-0005-0000-0000-000055190000}"/>
    <cellStyle name="표준 5 2 2 2 2 2 2 2 2 2 4 2 4" xfId="23820" xr:uid="{00000000-0005-0000-0000-000056190000}"/>
    <cellStyle name="표준 5 2 2 2 2 2 2 2 2 2 4 2 5" xfId="27916" xr:uid="{00000000-0005-0000-0000-000057190000}"/>
    <cellStyle name="표준 5 2 2 2 2 2 2 2 2 2 4 2 6" xfId="36127" xr:uid="{00000000-0005-0000-0000-000058190000}"/>
    <cellStyle name="표준 5 2 2 2 2 2 2 2 2 2 4 2 7" xfId="44320" xr:uid="{00000000-0005-0000-0000-000059190000}"/>
    <cellStyle name="표준 5 2 2 2 2 2 2 2 2 2 4 3" xfId="9258" xr:uid="{00000000-0005-0000-0000-00005A190000}"/>
    <cellStyle name="표준 5 2 2 2 2 2 2 2 2 2 4 3 2" xfId="29964" xr:uid="{00000000-0005-0000-0000-00005B190000}"/>
    <cellStyle name="표준 5 2 2 2 2 2 2 2 2 2 4 3 3" xfId="38175" xr:uid="{00000000-0005-0000-0000-00005C190000}"/>
    <cellStyle name="표준 5 2 2 2 2 2 2 2 2 2 4 3 4" xfId="46368" xr:uid="{00000000-0005-0000-0000-00005D190000}"/>
    <cellStyle name="표준 5 2 2 2 2 2 2 2 2 2 4 4" xfId="13370" xr:uid="{00000000-0005-0000-0000-00005E190000}"/>
    <cellStyle name="표준 5 2 2 2 2 2 2 2 2 2 4 5" xfId="17610" xr:uid="{00000000-0005-0000-0000-00005F190000}"/>
    <cellStyle name="표준 5 2 2 2 2 2 2 2 2 2 4 6" xfId="21772" xr:uid="{00000000-0005-0000-0000-000060190000}"/>
    <cellStyle name="표준 5 2 2 2 2 2 2 2 2 2 4 7" xfId="25868" xr:uid="{00000000-0005-0000-0000-000061190000}"/>
    <cellStyle name="표준 5 2 2 2 2 2 2 2 2 2 4 8" xfId="34079" xr:uid="{00000000-0005-0000-0000-000062190000}"/>
    <cellStyle name="표준 5 2 2 2 2 2 2 2 2 2 4 9" xfId="42272" xr:uid="{00000000-0005-0000-0000-000063190000}"/>
    <cellStyle name="표준 5 2 2 2 2 2 2 2 2 2 5" xfId="9770" xr:uid="{00000000-0005-0000-0000-000064190000}"/>
    <cellStyle name="표준 5 2 2 2 2 2 2 2 2 2 5 2" xfId="13882" xr:uid="{00000000-0005-0000-0000-000065190000}"/>
    <cellStyle name="표준 5 2 2 2 2 2 2 2 2 2 5 2 2" xfId="30476" xr:uid="{00000000-0005-0000-0000-000066190000}"/>
    <cellStyle name="표준 5 2 2 2 2 2 2 2 2 2 5 2 3" xfId="38687" xr:uid="{00000000-0005-0000-0000-000067190000}"/>
    <cellStyle name="표준 5 2 2 2 2 2 2 2 2 2 5 2 4" xfId="46880" xr:uid="{00000000-0005-0000-0000-000068190000}"/>
    <cellStyle name="표준 5 2 2 2 2 2 2 2 2 2 5 3" xfId="18122" xr:uid="{00000000-0005-0000-0000-000069190000}"/>
    <cellStyle name="표준 5 2 2 2 2 2 2 2 2 2 5 4" xfId="22284" xr:uid="{00000000-0005-0000-0000-00006A190000}"/>
    <cellStyle name="표준 5 2 2 2 2 2 2 2 2 2 5 5" xfId="26380" xr:uid="{00000000-0005-0000-0000-00006B190000}"/>
    <cellStyle name="표준 5 2 2 2 2 2 2 2 2 2 5 6" xfId="34591" xr:uid="{00000000-0005-0000-0000-00006C190000}"/>
    <cellStyle name="표준 5 2 2 2 2 2 2 2 2 2 5 7" xfId="42784" xr:uid="{00000000-0005-0000-0000-00006D190000}"/>
    <cellStyle name="표준 5 2 2 2 2 2 2 2 2 2 6" xfId="7722" xr:uid="{00000000-0005-0000-0000-00006E190000}"/>
    <cellStyle name="표준 5 2 2 2 2 2 2 2 2 2 6 2" xfId="28428" xr:uid="{00000000-0005-0000-0000-00006F190000}"/>
    <cellStyle name="표준 5 2 2 2 2 2 2 2 2 2 6 3" xfId="36639" xr:uid="{00000000-0005-0000-0000-000070190000}"/>
    <cellStyle name="표준 5 2 2 2 2 2 2 2 2 2 6 4" xfId="44832" xr:uid="{00000000-0005-0000-0000-000071190000}"/>
    <cellStyle name="표준 5 2 2 2 2 2 2 2 2 2 7" xfId="11834" xr:uid="{00000000-0005-0000-0000-000072190000}"/>
    <cellStyle name="표준 5 2 2 2 2 2 2 2 2 2 8" xfId="16074" xr:uid="{00000000-0005-0000-0000-000073190000}"/>
    <cellStyle name="표준 5 2 2 2 2 2 2 2 2 2 9" xfId="20236" xr:uid="{00000000-0005-0000-0000-000074190000}"/>
    <cellStyle name="표준 5 2 2 2 2 2 2 2 2 3" xfId="1123" xr:uid="{00000000-0005-0000-0000-000075190000}"/>
    <cellStyle name="표준 5 2 2 2 2 2 2 2 2 3 2" xfId="10026" xr:uid="{00000000-0005-0000-0000-000076190000}"/>
    <cellStyle name="표준 5 2 2 2 2 2 2 2 2 3 2 2" xfId="14138" xr:uid="{00000000-0005-0000-0000-000077190000}"/>
    <cellStyle name="표준 5 2 2 2 2 2 2 2 2 3 2 2 2" xfId="30732" xr:uid="{00000000-0005-0000-0000-000078190000}"/>
    <cellStyle name="표준 5 2 2 2 2 2 2 2 2 3 2 2 3" xfId="38943" xr:uid="{00000000-0005-0000-0000-000079190000}"/>
    <cellStyle name="표준 5 2 2 2 2 2 2 2 2 3 2 2 4" xfId="47136" xr:uid="{00000000-0005-0000-0000-00007A190000}"/>
    <cellStyle name="표준 5 2 2 2 2 2 2 2 2 3 2 3" xfId="18378" xr:uid="{00000000-0005-0000-0000-00007B190000}"/>
    <cellStyle name="표준 5 2 2 2 2 2 2 2 2 3 2 4" xfId="22540" xr:uid="{00000000-0005-0000-0000-00007C190000}"/>
    <cellStyle name="표준 5 2 2 2 2 2 2 2 2 3 2 5" xfId="26636" xr:uid="{00000000-0005-0000-0000-00007D190000}"/>
    <cellStyle name="표준 5 2 2 2 2 2 2 2 2 3 2 6" xfId="34847" xr:uid="{00000000-0005-0000-0000-00007E190000}"/>
    <cellStyle name="표준 5 2 2 2 2 2 2 2 2 3 2 7" xfId="43040" xr:uid="{00000000-0005-0000-0000-00007F190000}"/>
    <cellStyle name="표준 5 2 2 2 2 2 2 2 2 3 3" xfId="7978" xr:uid="{00000000-0005-0000-0000-000080190000}"/>
    <cellStyle name="표준 5 2 2 2 2 2 2 2 2 3 3 2" xfId="28684" xr:uid="{00000000-0005-0000-0000-000081190000}"/>
    <cellStyle name="표준 5 2 2 2 2 2 2 2 2 3 3 3" xfId="36895" xr:uid="{00000000-0005-0000-0000-000082190000}"/>
    <cellStyle name="표준 5 2 2 2 2 2 2 2 2 3 3 4" xfId="45088" xr:uid="{00000000-0005-0000-0000-000083190000}"/>
    <cellStyle name="표준 5 2 2 2 2 2 2 2 2 3 4" xfId="12090" xr:uid="{00000000-0005-0000-0000-000084190000}"/>
    <cellStyle name="표준 5 2 2 2 2 2 2 2 2 3 5" xfId="16330" xr:uid="{00000000-0005-0000-0000-000085190000}"/>
    <cellStyle name="표준 5 2 2 2 2 2 2 2 2 3 6" xfId="20492" xr:uid="{00000000-0005-0000-0000-000086190000}"/>
    <cellStyle name="표준 5 2 2 2 2 2 2 2 2 3 7" xfId="24588" xr:uid="{00000000-0005-0000-0000-000087190000}"/>
    <cellStyle name="표준 5 2 2 2 2 2 2 2 2 3 8" xfId="32799" xr:uid="{00000000-0005-0000-0000-000088190000}"/>
    <cellStyle name="표준 5 2 2 2 2 2 2 2 2 3 9" xfId="40992" xr:uid="{00000000-0005-0000-0000-000089190000}"/>
    <cellStyle name="표준 5 2 2 2 2 2 2 2 2 4" xfId="1635" xr:uid="{00000000-0005-0000-0000-00008A190000}"/>
    <cellStyle name="표준 5 2 2 2 2 2 2 2 2 4 2" xfId="10538" xr:uid="{00000000-0005-0000-0000-00008B190000}"/>
    <cellStyle name="표준 5 2 2 2 2 2 2 2 2 4 2 2" xfId="14650" xr:uid="{00000000-0005-0000-0000-00008C190000}"/>
    <cellStyle name="표준 5 2 2 2 2 2 2 2 2 4 2 2 2" xfId="31244" xr:uid="{00000000-0005-0000-0000-00008D190000}"/>
    <cellStyle name="표준 5 2 2 2 2 2 2 2 2 4 2 2 3" xfId="39455" xr:uid="{00000000-0005-0000-0000-00008E190000}"/>
    <cellStyle name="표준 5 2 2 2 2 2 2 2 2 4 2 2 4" xfId="47648" xr:uid="{00000000-0005-0000-0000-00008F190000}"/>
    <cellStyle name="표준 5 2 2 2 2 2 2 2 2 4 2 3" xfId="18890" xr:uid="{00000000-0005-0000-0000-000090190000}"/>
    <cellStyle name="표준 5 2 2 2 2 2 2 2 2 4 2 4" xfId="23052" xr:uid="{00000000-0005-0000-0000-000091190000}"/>
    <cellStyle name="표준 5 2 2 2 2 2 2 2 2 4 2 5" xfId="27148" xr:uid="{00000000-0005-0000-0000-000092190000}"/>
    <cellStyle name="표준 5 2 2 2 2 2 2 2 2 4 2 6" xfId="35359" xr:uid="{00000000-0005-0000-0000-000093190000}"/>
    <cellStyle name="표준 5 2 2 2 2 2 2 2 2 4 2 7" xfId="43552" xr:uid="{00000000-0005-0000-0000-000094190000}"/>
    <cellStyle name="표준 5 2 2 2 2 2 2 2 2 4 3" xfId="8490" xr:uid="{00000000-0005-0000-0000-000095190000}"/>
    <cellStyle name="표준 5 2 2 2 2 2 2 2 2 4 3 2" xfId="29196" xr:uid="{00000000-0005-0000-0000-000096190000}"/>
    <cellStyle name="표준 5 2 2 2 2 2 2 2 2 4 3 3" xfId="37407" xr:uid="{00000000-0005-0000-0000-000097190000}"/>
    <cellStyle name="표준 5 2 2 2 2 2 2 2 2 4 3 4" xfId="45600" xr:uid="{00000000-0005-0000-0000-000098190000}"/>
    <cellStyle name="표준 5 2 2 2 2 2 2 2 2 4 4" xfId="12602" xr:uid="{00000000-0005-0000-0000-000099190000}"/>
    <cellStyle name="표준 5 2 2 2 2 2 2 2 2 4 5" xfId="16842" xr:uid="{00000000-0005-0000-0000-00009A190000}"/>
    <cellStyle name="표준 5 2 2 2 2 2 2 2 2 4 6" xfId="21004" xr:uid="{00000000-0005-0000-0000-00009B190000}"/>
    <cellStyle name="표준 5 2 2 2 2 2 2 2 2 4 7" xfId="25100" xr:uid="{00000000-0005-0000-0000-00009C190000}"/>
    <cellStyle name="표준 5 2 2 2 2 2 2 2 2 4 8" xfId="33311" xr:uid="{00000000-0005-0000-0000-00009D190000}"/>
    <cellStyle name="표준 5 2 2 2 2 2 2 2 2 4 9" xfId="41504" xr:uid="{00000000-0005-0000-0000-00009E190000}"/>
    <cellStyle name="표준 5 2 2 2 2 2 2 2 2 5" xfId="2147" xr:uid="{00000000-0005-0000-0000-00009F190000}"/>
    <cellStyle name="표준 5 2 2 2 2 2 2 2 2 5 2" xfId="11050" xr:uid="{00000000-0005-0000-0000-0000A0190000}"/>
    <cellStyle name="표준 5 2 2 2 2 2 2 2 2 5 2 2" xfId="15162" xr:uid="{00000000-0005-0000-0000-0000A1190000}"/>
    <cellStyle name="표준 5 2 2 2 2 2 2 2 2 5 2 2 2" xfId="31756" xr:uid="{00000000-0005-0000-0000-0000A2190000}"/>
    <cellStyle name="표준 5 2 2 2 2 2 2 2 2 5 2 2 3" xfId="39967" xr:uid="{00000000-0005-0000-0000-0000A3190000}"/>
    <cellStyle name="표준 5 2 2 2 2 2 2 2 2 5 2 2 4" xfId="48160" xr:uid="{00000000-0005-0000-0000-0000A4190000}"/>
    <cellStyle name="표준 5 2 2 2 2 2 2 2 2 5 2 3" xfId="19402" xr:uid="{00000000-0005-0000-0000-0000A5190000}"/>
    <cellStyle name="표준 5 2 2 2 2 2 2 2 2 5 2 4" xfId="23564" xr:uid="{00000000-0005-0000-0000-0000A6190000}"/>
    <cellStyle name="표준 5 2 2 2 2 2 2 2 2 5 2 5" xfId="27660" xr:uid="{00000000-0005-0000-0000-0000A7190000}"/>
    <cellStyle name="표준 5 2 2 2 2 2 2 2 2 5 2 6" xfId="35871" xr:uid="{00000000-0005-0000-0000-0000A8190000}"/>
    <cellStyle name="표준 5 2 2 2 2 2 2 2 2 5 2 7" xfId="44064" xr:uid="{00000000-0005-0000-0000-0000A9190000}"/>
    <cellStyle name="표준 5 2 2 2 2 2 2 2 2 5 3" xfId="9002" xr:uid="{00000000-0005-0000-0000-0000AA190000}"/>
    <cellStyle name="표준 5 2 2 2 2 2 2 2 2 5 3 2" xfId="29708" xr:uid="{00000000-0005-0000-0000-0000AB190000}"/>
    <cellStyle name="표준 5 2 2 2 2 2 2 2 2 5 3 3" xfId="37919" xr:uid="{00000000-0005-0000-0000-0000AC190000}"/>
    <cellStyle name="표준 5 2 2 2 2 2 2 2 2 5 3 4" xfId="46112" xr:uid="{00000000-0005-0000-0000-0000AD190000}"/>
    <cellStyle name="표준 5 2 2 2 2 2 2 2 2 5 4" xfId="13114" xr:uid="{00000000-0005-0000-0000-0000AE190000}"/>
    <cellStyle name="표준 5 2 2 2 2 2 2 2 2 5 5" xfId="17354" xr:uid="{00000000-0005-0000-0000-0000AF190000}"/>
    <cellStyle name="표준 5 2 2 2 2 2 2 2 2 5 6" xfId="21516" xr:uid="{00000000-0005-0000-0000-0000B0190000}"/>
    <cellStyle name="표준 5 2 2 2 2 2 2 2 2 5 7" xfId="25612" xr:uid="{00000000-0005-0000-0000-0000B1190000}"/>
    <cellStyle name="표준 5 2 2 2 2 2 2 2 2 5 8" xfId="33823" xr:uid="{00000000-0005-0000-0000-0000B2190000}"/>
    <cellStyle name="표준 5 2 2 2 2 2 2 2 2 5 9" xfId="42016" xr:uid="{00000000-0005-0000-0000-0000B3190000}"/>
    <cellStyle name="표준 5 2 2 2 2 2 2 2 2 6" xfId="9514" xr:uid="{00000000-0005-0000-0000-0000B4190000}"/>
    <cellStyle name="표준 5 2 2 2 2 2 2 2 2 6 2" xfId="13626" xr:uid="{00000000-0005-0000-0000-0000B5190000}"/>
    <cellStyle name="표준 5 2 2 2 2 2 2 2 2 6 2 2" xfId="30220" xr:uid="{00000000-0005-0000-0000-0000B6190000}"/>
    <cellStyle name="표준 5 2 2 2 2 2 2 2 2 6 2 3" xfId="38431" xr:uid="{00000000-0005-0000-0000-0000B7190000}"/>
    <cellStyle name="표준 5 2 2 2 2 2 2 2 2 6 2 4" xfId="46624" xr:uid="{00000000-0005-0000-0000-0000B8190000}"/>
    <cellStyle name="표준 5 2 2 2 2 2 2 2 2 6 3" xfId="17866" xr:uid="{00000000-0005-0000-0000-0000B9190000}"/>
    <cellStyle name="표준 5 2 2 2 2 2 2 2 2 6 4" xfId="22028" xr:uid="{00000000-0005-0000-0000-0000BA190000}"/>
    <cellStyle name="표준 5 2 2 2 2 2 2 2 2 6 5" xfId="26124" xr:uid="{00000000-0005-0000-0000-0000BB190000}"/>
    <cellStyle name="표준 5 2 2 2 2 2 2 2 2 6 6" xfId="34335" xr:uid="{00000000-0005-0000-0000-0000BC190000}"/>
    <cellStyle name="표준 5 2 2 2 2 2 2 2 2 6 7" xfId="42528" xr:uid="{00000000-0005-0000-0000-0000BD190000}"/>
    <cellStyle name="표준 5 2 2 2 2 2 2 2 2 7" xfId="7466" xr:uid="{00000000-0005-0000-0000-0000BE190000}"/>
    <cellStyle name="표준 5 2 2 2 2 2 2 2 2 7 2" xfId="28172" xr:uid="{00000000-0005-0000-0000-0000BF190000}"/>
    <cellStyle name="표준 5 2 2 2 2 2 2 2 2 7 3" xfId="36383" xr:uid="{00000000-0005-0000-0000-0000C0190000}"/>
    <cellStyle name="표준 5 2 2 2 2 2 2 2 2 7 4" xfId="44576" xr:uid="{00000000-0005-0000-0000-0000C1190000}"/>
    <cellStyle name="표준 5 2 2 2 2 2 2 2 2 8" xfId="11578" xr:uid="{00000000-0005-0000-0000-0000C2190000}"/>
    <cellStyle name="표준 5 2 2 2 2 2 2 2 2 9" xfId="15818" xr:uid="{00000000-0005-0000-0000-0000C3190000}"/>
    <cellStyle name="표준 5 2 2 2 2 2 2 2 3" xfId="739" xr:uid="{00000000-0005-0000-0000-0000C4190000}"/>
    <cellStyle name="표준 5 2 2 2 2 2 2 2 3 10" xfId="24204" xr:uid="{00000000-0005-0000-0000-0000C5190000}"/>
    <cellStyle name="표준 5 2 2 2 2 2 2 2 3 11" xfId="32415" xr:uid="{00000000-0005-0000-0000-0000C6190000}"/>
    <cellStyle name="표준 5 2 2 2 2 2 2 2 3 12" xfId="40608" xr:uid="{00000000-0005-0000-0000-0000C7190000}"/>
    <cellStyle name="표준 5 2 2 2 2 2 2 2 3 2" xfId="1251" xr:uid="{00000000-0005-0000-0000-0000C8190000}"/>
    <cellStyle name="표준 5 2 2 2 2 2 2 2 3 2 2" xfId="10154" xr:uid="{00000000-0005-0000-0000-0000C9190000}"/>
    <cellStyle name="표준 5 2 2 2 2 2 2 2 3 2 2 2" xfId="14266" xr:uid="{00000000-0005-0000-0000-0000CA190000}"/>
    <cellStyle name="표준 5 2 2 2 2 2 2 2 3 2 2 2 2" xfId="30860" xr:uid="{00000000-0005-0000-0000-0000CB190000}"/>
    <cellStyle name="표준 5 2 2 2 2 2 2 2 3 2 2 2 3" xfId="39071" xr:uid="{00000000-0005-0000-0000-0000CC190000}"/>
    <cellStyle name="표준 5 2 2 2 2 2 2 2 3 2 2 2 4" xfId="47264" xr:uid="{00000000-0005-0000-0000-0000CD190000}"/>
    <cellStyle name="표준 5 2 2 2 2 2 2 2 3 2 2 3" xfId="18506" xr:uid="{00000000-0005-0000-0000-0000CE190000}"/>
    <cellStyle name="표준 5 2 2 2 2 2 2 2 3 2 2 4" xfId="22668" xr:uid="{00000000-0005-0000-0000-0000CF190000}"/>
    <cellStyle name="표준 5 2 2 2 2 2 2 2 3 2 2 5" xfId="26764" xr:uid="{00000000-0005-0000-0000-0000D0190000}"/>
    <cellStyle name="표준 5 2 2 2 2 2 2 2 3 2 2 6" xfId="34975" xr:uid="{00000000-0005-0000-0000-0000D1190000}"/>
    <cellStyle name="표준 5 2 2 2 2 2 2 2 3 2 2 7" xfId="43168" xr:uid="{00000000-0005-0000-0000-0000D2190000}"/>
    <cellStyle name="표준 5 2 2 2 2 2 2 2 3 2 3" xfId="8106" xr:uid="{00000000-0005-0000-0000-0000D3190000}"/>
    <cellStyle name="표준 5 2 2 2 2 2 2 2 3 2 3 2" xfId="28812" xr:uid="{00000000-0005-0000-0000-0000D4190000}"/>
    <cellStyle name="표준 5 2 2 2 2 2 2 2 3 2 3 3" xfId="37023" xr:uid="{00000000-0005-0000-0000-0000D5190000}"/>
    <cellStyle name="표준 5 2 2 2 2 2 2 2 3 2 3 4" xfId="45216" xr:uid="{00000000-0005-0000-0000-0000D6190000}"/>
    <cellStyle name="표준 5 2 2 2 2 2 2 2 3 2 4" xfId="12218" xr:uid="{00000000-0005-0000-0000-0000D7190000}"/>
    <cellStyle name="표준 5 2 2 2 2 2 2 2 3 2 5" xfId="16458" xr:uid="{00000000-0005-0000-0000-0000D8190000}"/>
    <cellStyle name="표준 5 2 2 2 2 2 2 2 3 2 6" xfId="20620" xr:uid="{00000000-0005-0000-0000-0000D9190000}"/>
    <cellStyle name="표준 5 2 2 2 2 2 2 2 3 2 7" xfId="24716" xr:uid="{00000000-0005-0000-0000-0000DA190000}"/>
    <cellStyle name="표준 5 2 2 2 2 2 2 2 3 2 8" xfId="32927" xr:uid="{00000000-0005-0000-0000-0000DB190000}"/>
    <cellStyle name="표준 5 2 2 2 2 2 2 2 3 2 9" xfId="41120" xr:uid="{00000000-0005-0000-0000-0000DC190000}"/>
    <cellStyle name="표준 5 2 2 2 2 2 2 2 3 3" xfId="1763" xr:uid="{00000000-0005-0000-0000-0000DD190000}"/>
    <cellStyle name="표준 5 2 2 2 2 2 2 2 3 3 2" xfId="10666" xr:uid="{00000000-0005-0000-0000-0000DE190000}"/>
    <cellStyle name="표준 5 2 2 2 2 2 2 2 3 3 2 2" xfId="14778" xr:uid="{00000000-0005-0000-0000-0000DF190000}"/>
    <cellStyle name="표준 5 2 2 2 2 2 2 2 3 3 2 2 2" xfId="31372" xr:uid="{00000000-0005-0000-0000-0000E0190000}"/>
    <cellStyle name="표준 5 2 2 2 2 2 2 2 3 3 2 2 3" xfId="39583" xr:uid="{00000000-0005-0000-0000-0000E1190000}"/>
    <cellStyle name="표준 5 2 2 2 2 2 2 2 3 3 2 2 4" xfId="47776" xr:uid="{00000000-0005-0000-0000-0000E2190000}"/>
    <cellStyle name="표준 5 2 2 2 2 2 2 2 3 3 2 3" xfId="19018" xr:uid="{00000000-0005-0000-0000-0000E3190000}"/>
    <cellStyle name="표준 5 2 2 2 2 2 2 2 3 3 2 4" xfId="23180" xr:uid="{00000000-0005-0000-0000-0000E4190000}"/>
    <cellStyle name="표준 5 2 2 2 2 2 2 2 3 3 2 5" xfId="27276" xr:uid="{00000000-0005-0000-0000-0000E5190000}"/>
    <cellStyle name="표준 5 2 2 2 2 2 2 2 3 3 2 6" xfId="35487" xr:uid="{00000000-0005-0000-0000-0000E6190000}"/>
    <cellStyle name="표준 5 2 2 2 2 2 2 2 3 3 2 7" xfId="43680" xr:uid="{00000000-0005-0000-0000-0000E7190000}"/>
    <cellStyle name="표준 5 2 2 2 2 2 2 2 3 3 3" xfId="8618" xr:uid="{00000000-0005-0000-0000-0000E8190000}"/>
    <cellStyle name="표준 5 2 2 2 2 2 2 2 3 3 3 2" xfId="29324" xr:uid="{00000000-0005-0000-0000-0000E9190000}"/>
    <cellStyle name="표준 5 2 2 2 2 2 2 2 3 3 3 3" xfId="37535" xr:uid="{00000000-0005-0000-0000-0000EA190000}"/>
    <cellStyle name="표준 5 2 2 2 2 2 2 2 3 3 3 4" xfId="45728" xr:uid="{00000000-0005-0000-0000-0000EB190000}"/>
    <cellStyle name="표준 5 2 2 2 2 2 2 2 3 3 4" xfId="12730" xr:uid="{00000000-0005-0000-0000-0000EC190000}"/>
    <cellStyle name="표준 5 2 2 2 2 2 2 2 3 3 5" xfId="16970" xr:uid="{00000000-0005-0000-0000-0000ED190000}"/>
    <cellStyle name="표준 5 2 2 2 2 2 2 2 3 3 6" xfId="21132" xr:uid="{00000000-0005-0000-0000-0000EE190000}"/>
    <cellStyle name="표준 5 2 2 2 2 2 2 2 3 3 7" xfId="25228" xr:uid="{00000000-0005-0000-0000-0000EF190000}"/>
    <cellStyle name="표준 5 2 2 2 2 2 2 2 3 3 8" xfId="33439" xr:uid="{00000000-0005-0000-0000-0000F0190000}"/>
    <cellStyle name="표준 5 2 2 2 2 2 2 2 3 3 9" xfId="41632" xr:uid="{00000000-0005-0000-0000-0000F1190000}"/>
    <cellStyle name="표준 5 2 2 2 2 2 2 2 3 4" xfId="2275" xr:uid="{00000000-0005-0000-0000-0000F2190000}"/>
    <cellStyle name="표준 5 2 2 2 2 2 2 2 3 4 2" xfId="11178" xr:uid="{00000000-0005-0000-0000-0000F3190000}"/>
    <cellStyle name="표준 5 2 2 2 2 2 2 2 3 4 2 2" xfId="15290" xr:uid="{00000000-0005-0000-0000-0000F4190000}"/>
    <cellStyle name="표준 5 2 2 2 2 2 2 2 3 4 2 2 2" xfId="31884" xr:uid="{00000000-0005-0000-0000-0000F5190000}"/>
    <cellStyle name="표준 5 2 2 2 2 2 2 2 3 4 2 2 3" xfId="40095" xr:uid="{00000000-0005-0000-0000-0000F6190000}"/>
    <cellStyle name="표준 5 2 2 2 2 2 2 2 3 4 2 2 4" xfId="48288" xr:uid="{00000000-0005-0000-0000-0000F7190000}"/>
    <cellStyle name="표준 5 2 2 2 2 2 2 2 3 4 2 3" xfId="19530" xr:uid="{00000000-0005-0000-0000-0000F8190000}"/>
    <cellStyle name="표준 5 2 2 2 2 2 2 2 3 4 2 4" xfId="23692" xr:uid="{00000000-0005-0000-0000-0000F9190000}"/>
    <cellStyle name="표준 5 2 2 2 2 2 2 2 3 4 2 5" xfId="27788" xr:uid="{00000000-0005-0000-0000-0000FA190000}"/>
    <cellStyle name="표준 5 2 2 2 2 2 2 2 3 4 2 6" xfId="35999" xr:uid="{00000000-0005-0000-0000-0000FB190000}"/>
    <cellStyle name="표준 5 2 2 2 2 2 2 2 3 4 2 7" xfId="44192" xr:uid="{00000000-0005-0000-0000-0000FC190000}"/>
    <cellStyle name="표준 5 2 2 2 2 2 2 2 3 4 3" xfId="9130" xr:uid="{00000000-0005-0000-0000-0000FD190000}"/>
    <cellStyle name="표준 5 2 2 2 2 2 2 2 3 4 3 2" xfId="29836" xr:uid="{00000000-0005-0000-0000-0000FE190000}"/>
    <cellStyle name="표준 5 2 2 2 2 2 2 2 3 4 3 3" xfId="38047" xr:uid="{00000000-0005-0000-0000-0000FF190000}"/>
    <cellStyle name="표준 5 2 2 2 2 2 2 2 3 4 3 4" xfId="46240" xr:uid="{00000000-0005-0000-0000-0000001A0000}"/>
    <cellStyle name="표준 5 2 2 2 2 2 2 2 3 4 4" xfId="13242" xr:uid="{00000000-0005-0000-0000-0000011A0000}"/>
    <cellStyle name="표준 5 2 2 2 2 2 2 2 3 4 5" xfId="17482" xr:uid="{00000000-0005-0000-0000-0000021A0000}"/>
    <cellStyle name="표준 5 2 2 2 2 2 2 2 3 4 6" xfId="21644" xr:uid="{00000000-0005-0000-0000-0000031A0000}"/>
    <cellStyle name="표준 5 2 2 2 2 2 2 2 3 4 7" xfId="25740" xr:uid="{00000000-0005-0000-0000-0000041A0000}"/>
    <cellStyle name="표준 5 2 2 2 2 2 2 2 3 4 8" xfId="33951" xr:uid="{00000000-0005-0000-0000-0000051A0000}"/>
    <cellStyle name="표준 5 2 2 2 2 2 2 2 3 4 9" xfId="42144" xr:uid="{00000000-0005-0000-0000-0000061A0000}"/>
    <cellStyle name="표준 5 2 2 2 2 2 2 2 3 5" xfId="9642" xr:uid="{00000000-0005-0000-0000-0000071A0000}"/>
    <cellStyle name="표준 5 2 2 2 2 2 2 2 3 5 2" xfId="13754" xr:uid="{00000000-0005-0000-0000-0000081A0000}"/>
    <cellStyle name="표준 5 2 2 2 2 2 2 2 3 5 2 2" xfId="30348" xr:uid="{00000000-0005-0000-0000-0000091A0000}"/>
    <cellStyle name="표준 5 2 2 2 2 2 2 2 3 5 2 3" xfId="38559" xr:uid="{00000000-0005-0000-0000-00000A1A0000}"/>
    <cellStyle name="표준 5 2 2 2 2 2 2 2 3 5 2 4" xfId="46752" xr:uid="{00000000-0005-0000-0000-00000B1A0000}"/>
    <cellStyle name="표준 5 2 2 2 2 2 2 2 3 5 3" xfId="17994" xr:uid="{00000000-0005-0000-0000-00000C1A0000}"/>
    <cellStyle name="표준 5 2 2 2 2 2 2 2 3 5 4" xfId="22156" xr:uid="{00000000-0005-0000-0000-00000D1A0000}"/>
    <cellStyle name="표준 5 2 2 2 2 2 2 2 3 5 5" xfId="26252" xr:uid="{00000000-0005-0000-0000-00000E1A0000}"/>
    <cellStyle name="표준 5 2 2 2 2 2 2 2 3 5 6" xfId="34463" xr:uid="{00000000-0005-0000-0000-00000F1A0000}"/>
    <cellStyle name="표준 5 2 2 2 2 2 2 2 3 5 7" xfId="42656" xr:uid="{00000000-0005-0000-0000-0000101A0000}"/>
    <cellStyle name="표준 5 2 2 2 2 2 2 2 3 6" xfId="7594" xr:uid="{00000000-0005-0000-0000-0000111A0000}"/>
    <cellStyle name="표준 5 2 2 2 2 2 2 2 3 6 2" xfId="28300" xr:uid="{00000000-0005-0000-0000-0000121A0000}"/>
    <cellStyle name="표준 5 2 2 2 2 2 2 2 3 6 3" xfId="36511" xr:uid="{00000000-0005-0000-0000-0000131A0000}"/>
    <cellStyle name="표준 5 2 2 2 2 2 2 2 3 6 4" xfId="44704" xr:uid="{00000000-0005-0000-0000-0000141A0000}"/>
    <cellStyle name="표준 5 2 2 2 2 2 2 2 3 7" xfId="11706" xr:uid="{00000000-0005-0000-0000-0000151A0000}"/>
    <cellStyle name="표준 5 2 2 2 2 2 2 2 3 8" xfId="15946" xr:uid="{00000000-0005-0000-0000-0000161A0000}"/>
    <cellStyle name="표준 5 2 2 2 2 2 2 2 3 9" xfId="20108" xr:uid="{00000000-0005-0000-0000-0000171A0000}"/>
    <cellStyle name="표준 5 2 2 2 2 2 2 2 4" xfId="995" xr:uid="{00000000-0005-0000-0000-0000181A0000}"/>
    <cellStyle name="표준 5 2 2 2 2 2 2 2 4 2" xfId="9898" xr:uid="{00000000-0005-0000-0000-0000191A0000}"/>
    <cellStyle name="표준 5 2 2 2 2 2 2 2 4 2 2" xfId="14010" xr:uid="{00000000-0005-0000-0000-00001A1A0000}"/>
    <cellStyle name="표준 5 2 2 2 2 2 2 2 4 2 2 2" xfId="30604" xr:uid="{00000000-0005-0000-0000-00001B1A0000}"/>
    <cellStyle name="표준 5 2 2 2 2 2 2 2 4 2 2 3" xfId="38815" xr:uid="{00000000-0005-0000-0000-00001C1A0000}"/>
    <cellStyle name="표준 5 2 2 2 2 2 2 2 4 2 2 4" xfId="47008" xr:uid="{00000000-0005-0000-0000-00001D1A0000}"/>
    <cellStyle name="표준 5 2 2 2 2 2 2 2 4 2 3" xfId="18250" xr:uid="{00000000-0005-0000-0000-00001E1A0000}"/>
    <cellStyle name="표준 5 2 2 2 2 2 2 2 4 2 4" xfId="22412" xr:uid="{00000000-0005-0000-0000-00001F1A0000}"/>
    <cellStyle name="표준 5 2 2 2 2 2 2 2 4 2 5" xfId="26508" xr:uid="{00000000-0005-0000-0000-0000201A0000}"/>
    <cellStyle name="표준 5 2 2 2 2 2 2 2 4 2 6" xfId="34719" xr:uid="{00000000-0005-0000-0000-0000211A0000}"/>
    <cellStyle name="표준 5 2 2 2 2 2 2 2 4 2 7" xfId="42912" xr:uid="{00000000-0005-0000-0000-0000221A0000}"/>
    <cellStyle name="표준 5 2 2 2 2 2 2 2 4 3" xfId="7850" xr:uid="{00000000-0005-0000-0000-0000231A0000}"/>
    <cellStyle name="표준 5 2 2 2 2 2 2 2 4 3 2" xfId="28556" xr:uid="{00000000-0005-0000-0000-0000241A0000}"/>
    <cellStyle name="표준 5 2 2 2 2 2 2 2 4 3 3" xfId="36767" xr:uid="{00000000-0005-0000-0000-0000251A0000}"/>
    <cellStyle name="표준 5 2 2 2 2 2 2 2 4 3 4" xfId="44960" xr:uid="{00000000-0005-0000-0000-0000261A0000}"/>
    <cellStyle name="표준 5 2 2 2 2 2 2 2 4 4" xfId="11962" xr:uid="{00000000-0005-0000-0000-0000271A0000}"/>
    <cellStyle name="표준 5 2 2 2 2 2 2 2 4 5" xfId="16202" xr:uid="{00000000-0005-0000-0000-0000281A0000}"/>
    <cellStyle name="표준 5 2 2 2 2 2 2 2 4 6" xfId="20364" xr:uid="{00000000-0005-0000-0000-0000291A0000}"/>
    <cellStyle name="표준 5 2 2 2 2 2 2 2 4 7" xfId="24460" xr:uid="{00000000-0005-0000-0000-00002A1A0000}"/>
    <cellStyle name="표준 5 2 2 2 2 2 2 2 4 8" xfId="32671" xr:uid="{00000000-0005-0000-0000-00002B1A0000}"/>
    <cellStyle name="표준 5 2 2 2 2 2 2 2 4 9" xfId="40864" xr:uid="{00000000-0005-0000-0000-00002C1A0000}"/>
    <cellStyle name="표준 5 2 2 2 2 2 2 2 5" xfId="1507" xr:uid="{00000000-0005-0000-0000-00002D1A0000}"/>
    <cellStyle name="표준 5 2 2 2 2 2 2 2 5 2" xfId="10410" xr:uid="{00000000-0005-0000-0000-00002E1A0000}"/>
    <cellStyle name="표준 5 2 2 2 2 2 2 2 5 2 2" xfId="14522" xr:uid="{00000000-0005-0000-0000-00002F1A0000}"/>
    <cellStyle name="표준 5 2 2 2 2 2 2 2 5 2 2 2" xfId="31116" xr:uid="{00000000-0005-0000-0000-0000301A0000}"/>
    <cellStyle name="표준 5 2 2 2 2 2 2 2 5 2 2 3" xfId="39327" xr:uid="{00000000-0005-0000-0000-0000311A0000}"/>
    <cellStyle name="표준 5 2 2 2 2 2 2 2 5 2 2 4" xfId="47520" xr:uid="{00000000-0005-0000-0000-0000321A0000}"/>
    <cellStyle name="표준 5 2 2 2 2 2 2 2 5 2 3" xfId="18762" xr:uid="{00000000-0005-0000-0000-0000331A0000}"/>
    <cellStyle name="표준 5 2 2 2 2 2 2 2 5 2 4" xfId="22924" xr:uid="{00000000-0005-0000-0000-0000341A0000}"/>
    <cellStyle name="표준 5 2 2 2 2 2 2 2 5 2 5" xfId="27020" xr:uid="{00000000-0005-0000-0000-0000351A0000}"/>
    <cellStyle name="표준 5 2 2 2 2 2 2 2 5 2 6" xfId="35231" xr:uid="{00000000-0005-0000-0000-0000361A0000}"/>
    <cellStyle name="표준 5 2 2 2 2 2 2 2 5 2 7" xfId="43424" xr:uid="{00000000-0005-0000-0000-0000371A0000}"/>
    <cellStyle name="표준 5 2 2 2 2 2 2 2 5 3" xfId="8362" xr:uid="{00000000-0005-0000-0000-0000381A0000}"/>
    <cellStyle name="표준 5 2 2 2 2 2 2 2 5 3 2" xfId="29068" xr:uid="{00000000-0005-0000-0000-0000391A0000}"/>
    <cellStyle name="표준 5 2 2 2 2 2 2 2 5 3 3" xfId="37279" xr:uid="{00000000-0005-0000-0000-00003A1A0000}"/>
    <cellStyle name="표준 5 2 2 2 2 2 2 2 5 3 4" xfId="45472" xr:uid="{00000000-0005-0000-0000-00003B1A0000}"/>
    <cellStyle name="표준 5 2 2 2 2 2 2 2 5 4" xfId="12474" xr:uid="{00000000-0005-0000-0000-00003C1A0000}"/>
    <cellStyle name="표준 5 2 2 2 2 2 2 2 5 5" xfId="16714" xr:uid="{00000000-0005-0000-0000-00003D1A0000}"/>
    <cellStyle name="표준 5 2 2 2 2 2 2 2 5 6" xfId="20876" xr:uid="{00000000-0005-0000-0000-00003E1A0000}"/>
    <cellStyle name="표준 5 2 2 2 2 2 2 2 5 7" xfId="24972" xr:uid="{00000000-0005-0000-0000-00003F1A0000}"/>
    <cellStyle name="표준 5 2 2 2 2 2 2 2 5 8" xfId="33183" xr:uid="{00000000-0005-0000-0000-0000401A0000}"/>
    <cellStyle name="표준 5 2 2 2 2 2 2 2 5 9" xfId="41376" xr:uid="{00000000-0005-0000-0000-0000411A0000}"/>
    <cellStyle name="표준 5 2 2 2 2 2 2 2 6" xfId="2019" xr:uid="{00000000-0005-0000-0000-0000421A0000}"/>
    <cellStyle name="표준 5 2 2 2 2 2 2 2 6 2" xfId="10922" xr:uid="{00000000-0005-0000-0000-0000431A0000}"/>
    <cellStyle name="표준 5 2 2 2 2 2 2 2 6 2 2" xfId="15034" xr:uid="{00000000-0005-0000-0000-0000441A0000}"/>
    <cellStyle name="표준 5 2 2 2 2 2 2 2 6 2 2 2" xfId="31628" xr:uid="{00000000-0005-0000-0000-0000451A0000}"/>
    <cellStyle name="표준 5 2 2 2 2 2 2 2 6 2 2 3" xfId="39839" xr:uid="{00000000-0005-0000-0000-0000461A0000}"/>
    <cellStyle name="표준 5 2 2 2 2 2 2 2 6 2 2 4" xfId="48032" xr:uid="{00000000-0005-0000-0000-0000471A0000}"/>
    <cellStyle name="표준 5 2 2 2 2 2 2 2 6 2 3" xfId="19274" xr:uid="{00000000-0005-0000-0000-0000481A0000}"/>
    <cellStyle name="표준 5 2 2 2 2 2 2 2 6 2 4" xfId="23436" xr:uid="{00000000-0005-0000-0000-0000491A0000}"/>
    <cellStyle name="표준 5 2 2 2 2 2 2 2 6 2 5" xfId="27532" xr:uid="{00000000-0005-0000-0000-00004A1A0000}"/>
    <cellStyle name="표준 5 2 2 2 2 2 2 2 6 2 6" xfId="35743" xr:uid="{00000000-0005-0000-0000-00004B1A0000}"/>
    <cellStyle name="표준 5 2 2 2 2 2 2 2 6 2 7" xfId="43936" xr:uid="{00000000-0005-0000-0000-00004C1A0000}"/>
    <cellStyle name="표준 5 2 2 2 2 2 2 2 6 3" xfId="8874" xr:uid="{00000000-0005-0000-0000-00004D1A0000}"/>
    <cellStyle name="표준 5 2 2 2 2 2 2 2 6 3 2" xfId="29580" xr:uid="{00000000-0005-0000-0000-00004E1A0000}"/>
    <cellStyle name="표준 5 2 2 2 2 2 2 2 6 3 3" xfId="37791" xr:uid="{00000000-0005-0000-0000-00004F1A0000}"/>
    <cellStyle name="표준 5 2 2 2 2 2 2 2 6 3 4" xfId="45984" xr:uid="{00000000-0005-0000-0000-0000501A0000}"/>
    <cellStyle name="표준 5 2 2 2 2 2 2 2 6 4" xfId="12986" xr:uid="{00000000-0005-0000-0000-0000511A0000}"/>
    <cellStyle name="표준 5 2 2 2 2 2 2 2 6 5" xfId="17226" xr:uid="{00000000-0005-0000-0000-0000521A0000}"/>
    <cellStyle name="표준 5 2 2 2 2 2 2 2 6 6" xfId="21388" xr:uid="{00000000-0005-0000-0000-0000531A0000}"/>
    <cellStyle name="표준 5 2 2 2 2 2 2 2 6 7" xfId="25484" xr:uid="{00000000-0005-0000-0000-0000541A0000}"/>
    <cellStyle name="표준 5 2 2 2 2 2 2 2 6 8" xfId="33695" xr:uid="{00000000-0005-0000-0000-0000551A0000}"/>
    <cellStyle name="표준 5 2 2 2 2 2 2 2 6 9" xfId="41888" xr:uid="{00000000-0005-0000-0000-0000561A0000}"/>
    <cellStyle name="표준 5 2 2 2 2 2 2 2 7" xfId="9386" xr:uid="{00000000-0005-0000-0000-0000571A0000}"/>
    <cellStyle name="표준 5 2 2 2 2 2 2 2 7 2" xfId="13498" xr:uid="{00000000-0005-0000-0000-0000581A0000}"/>
    <cellStyle name="표준 5 2 2 2 2 2 2 2 7 2 2" xfId="30092" xr:uid="{00000000-0005-0000-0000-0000591A0000}"/>
    <cellStyle name="표준 5 2 2 2 2 2 2 2 7 2 3" xfId="38303" xr:uid="{00000000-0005-0000-0000-00005A1A0000}"/>
    <cellStyle name="표준 5 2 2 2 2 2 2 2 7 2 4" xfId="46496" xr:uid="{00000000-0005-0000-0000-00005B1A0000}"/>
    <cellStyle name="표준 5 2 2 2 2 2 2 2 7 3" xfId="17738" xr:uid="{00000000-0005-0000-0000-00005C1A0000}"/>
    <cellStyle name="표준 5 2 2 2 2 2 2 2 7 4" xfId="21900" xr:uid="{00000000-0005-0000-0000-00005D1A0000}"/>
    <cellStyle name="표준 5 2 2 2 2 2 2 2 7 5" xfId="25996" xr:uid="{00000000-0005-0000-0000-00005E1A0000}"/>
    <cellStyle name="표준 5 2 2 2 2 2 2 2 7 6" xfId="34207" xr:uid="{00000000-0005-0000-0000-00005F1A0000}"/>
    <cellStyle name="표준 5 2 2 2 2 2 2 2 7 7" xfId="42400" xr:uid="{00000000-0005-0000-0000-0000601A0000}"/>
    <cellStyle name="표준 5 2 2 2 2 2 2 2 8" xfId="7338" xr:uid="{00000000-0005-0000-0000-0000611A0000}"/>
    <cellStyle name="표준 5 2 2 2 2 2 2 2 8 2" xfId="28044" xr:uid="{00000000-0005-0000-0000-0000621A0000}"/>
    <cellStyle name="표준 5 2 2 2 2 2 2 2 8 3" xfId="36255" xr:uid="{00000000-0005-0000-0000-0000631A0000}"/>
    <cellStyle name="표준 5 2 2 2 2 2 2 2 8 4" xfId="44448" xr:uid="{00000000-0005-0000-0000-0000641A0000}"/>
    <cellStyle name="표준 5 2 2 2 2 2 2 2 9" xfId="11450" xr:uid="{00000000-0005-0000-0000-0000651A0000}"/>
    <cellStyle name="표준 5 2 2 2 2 2 2 3" xfId="547" xr:uid="{00000000-0005-0000-0000-0000661A0000}"/>
    <cellStyle name="표준 5 2 2 2 2 2 2 3 10" xfId="19916" xr:uid="{00000000-0005-0000-0000-0000671A0000}"/>
    <cellStyle name="표준 5 2 2 2 2 2 2 3 11" xfId="24012" xr:uid="{00000000-0005-0000-0000-0000681A0000}"/>
    <cellStyle name="표준 5 2 2 2 2 2 2 3 12" xfId="32223" xr:uid="{00000000-0005-0000-0000-0000691A0000}"/>
    <cellStyle name="표준 5 2 2 2 2 2 2 3 13" xfId="40416" xr:uid="{00000000-0005-0000-0000-00006A1A0000}"/>
    <cellStyle name="표준 5 2 2 2 2 2 2 3 2" xfId="803" xr:uid="{00000000-0005-0000-0000-00006B1A0000}"/>
    <cellStyle name="표준 5 2 2 2 2 2 2 3 2 10" xfId="24268" xr:uid="{00000000-0005-0000-0000-00006C1A0000}"/>
    <cellStyle name="표준 5 2 2 2 2 2 2 3 2 11" xfId="32479" xr:uid="{00000000-0005-0000-0000-00006D1A0000}"/>
    <cellStyle name="표준 5 2 2 2 2 2 2 3 2 12" xfId="40672" xr:uid="{00000000-0005-0000-0000-00006E1A0000}"/>
    <cellStyle name="표준 5 2 2 2 2 2 2 3 2 2" xfId="1315" xr:uid="{00000000-0005-0000-0000-00006F1A0000}"/>
    <cellStyle name="표준 5 2 2 2 2 2 2 3 2 2 2" xfId="10218" xr:uid="{00000000-0005-0000-0000-0000701A0000}"/>
    <cellStyle name="표준 5 2 2 2 2 2 2 3 2 2 2 2" xfId="14330" xr:uid="{00000000-0005-0000-0000-0000711A0000}"/>
    <cellStyle name="표준 5 2 2 2 2 2 2 3 2 2 2 2 2" xfId="30924" xr:uid="{00000000-0005-0000-0000-0000721A0000}"/>
    <cellStyle name="표준 5 2 2 2 2 2 2 3 2 2 2 2 3" xfId="39135" xr:uid="{00000000-0005-0000-0000-0000731A0000}"/>
    <cellStyle name="표준 5 2 2 2 2 2 2 3 2 2 2 2 4" xfId="47328" xr:uid="{00000000-0005-0000-0000-0000741A0000}"/>
    <cellStyle name="표준 5 2 2 2 2 2 2 3 2 2 2 3" xfId="18570" xr:uid="{00000000-0005-0000-0000-0000751A0000}"/>
    <cellStyle name="표준 5 2 2 2 2 2 2 3 2 2 2 4" xfId="22732" xr:uid="{00000000-0005-0000-0000-0000761A0000}"/>
    <cellStyle name="표준 5 2 2 2 2 2 2 3 2 2 2 5" xfId="26828" xr:uid="{00000000-0005-0000-0000-0000771A0000}"/>
    <cellStyle name="표준 5 2 2 2 2 2 2 3 2 2 2 6" xfId="35039" xr:uid="{00000000-0005-0000-0000-0000781A0000}"/>
    <cellStyle name="표준 5 2 2 2 2 2 2 3 2 2 2 7" xfId="43232" xr:uid="{00000000-0005-0000-0000-0000791A0000}"/>
    <cellStyle name="표준 5 2 2 2 2 2 2 3 2 2 3" xfId="8170" xr:uid="{00000000-0005-0000-0000-00007A1A0000}"/>
    <cellStyle name="표준 5 2 2 2 2 2 2 3 2 2 3 2" xfId="28876" xr:uid="{00000000-0005-0000-0000-00007B1A0000}"/>
    <cellStyle name="표준 5 2 2 2 2 2 2 3 2 2 3 3" xfId="37087" xr:uid="{00000000-0005-0000-0000-00007C1A0000}"/>
    <cellStyle name="표준 5 2 2 2 2 2 2 3 2 2 3 4" xfId="45280" xr:uid="{00000000-0005-0000-0000-00007D1A0000}"/>
    <cellStyle name="표준 5 2 2 2 2 2 2 3 2 2 4" xfId="12282" xr:uid="{00000000-0005-0000-0000-00007E1A0000}"/>
    <cellStyle name="표준 5 2 2 2 2 2 2 3 2 2 5" xfId="16522" xr:uid="{00000000-0005-0000-0000-00007F1A0000}"/>
    <cellStyle name="표준 5 2 2 2 2 2 2 3 2 2 6" xfId="20684" xr:uid="{00000000-0005-0000-0000-0000801A0000}"/>
    <cellStyle name="표준 5 2 2 2 2 2 2 3 2 2 7" xfId="24780" xr:uid="{00000000-0005-0000-0000-0000811A0000}"/>
    <cellStyle name="표준 5 2 2 2 2 2 2 3 2 2 8" xfId="32991" xr:uid="{00000000-0005-0000-0000-0000821A0000}"/>
    <cellStyle name="표준 5 2 2 2 2 2 2 3 2 2 9" xfId="41184" xr:uid="{00000000-0005-0000-0000-0000831A0000}"/>
    <cellStyle name="표준 5 2 2 2 2 2 2 3 2 3" xfId="1827" xr:uid="{00000000-0005-0000-0000-0000841A0000}"/>
    <cellStyle name="표준 5 2 2 2 2 2 2 3 2 3 2" xfId="10730" xr:uid="{00000000-0005-0000-0000-0000851A0000}"/>
    <cellStyle name="표준 5 2 2 2 2 2 2 3 2 3 2 2" xfId="14842" xr:uid="{00000000-0005-0000-0000-0000861A0000}"/>
    <cellStyle name="표준 5 2 2 2 2 2 2 3 2 3 2 2 2" xfId="31436" xr:uid="{00000000-0005-0000-0000-0000871A0000}"/>
    <cellStyle name="표준 5 2 2 2 2 2 2 3 2 3 2 2 3" xfId="39647" xr:uid="{00000000-0005-0000-0000-0000881A0000}"/>
    <cellStyle name="표준 5 2 2 2 2 2 2 3 2 3 2 2 4" xfId="47840" xr:uid="{00000000-0005-0000-0000-0000891A0000}"/>
    <cellStyle name="표준 5 2 2 2 2 2 2 3 2 3 2 3" xfId="19082" xr:uid="{00000000-0005-0000-0000-00008A1A0000}"/>
    <cellStyle name="표준 5 2 2 2 2 2 2 3 2 3 2 4" xfId="23244" xr:uid="{00000000-0005-0000-0000-00008B1A0000}"/>
    <cellStyle name="표준 5 2 2 2 2 2 2 3 2 3 2 5" xfId="27340" xr:uid="{00000000-0005-0000-0000-00008C1A0000}"/>
    <cellStyle name="표준 5 2 2 2 2 2 2 3 2 3 2 6" xfId="35551" xr:uid="{00000000-0005-0000-0000-00008D1A0000}"/>
    <cellStyle name="표준 5 2 2 2 2 2 2 3 2 3 2 7" xfId="43744" xr:uid="{00000000-0005-0000-0000-00008E1A0000}"/>
    <cellStyle name="표준 5 2 2 2 2 2 2 3 2 3 3" xfId="8682" xr:uid="{00000000-0005-0000-0000-00008F1A0000}"/>
    <cellStyle name="표준 5 2 2 2 2 2 2 3 2 3 3 2" xfId="29388" xr:uid="{00000000-0005-0000-0000-0000901A0000}"/>
    <cellStyle name="표준 5 2 2 2 2 2 2 3 2 3 3 3" xfId="37599" xr:uid="{00000000-0005-0000-0000-0000911A0000}"/>
    <cellStyle name="표준 5 2 2 2 2 2 2 3 2 3 3 4" xfId="45792" xr:uid="{00000000-0005-0000-0000-0000921A0000}"/>
    <cellStyle name="표준 5 2 2 2 2 2 2 3 2 3 4" xfId="12794" xr:uid="{00000000-0005-0000-0000-0000931A0000}"/>
    <cellStyle name="표준 5 2 2 2 2 2 2 3 2 3 5" xfId="17034" xr:uid="{00000000-0005-0000-0000-0000941A0000}"/>
    <cellStyle name="표준 5 2 2 2 2 2 2 3 2 3 6" xfId="21196" xr:uid="{00000000-0005-0000-0000-0000951A0000}"/>
    <cellStyle name="표준 5 2 2 2 2 2 2 3 2 3 7" xfId="25292" xr:uid="{00000000-0005-0000-0000-0000961A0000}"/>
    <cellStyle name="표준 5 2 2 2 2 2 2 3 2 3 8" xfId="33503" xr:uid="{00000000-0005-0000-0000-0000971A0000}"/>
    <cellStyle name="표준 5 2 2 2 2 2 2 3 2 3 9" xfId="41696" xr:uid="{00000000-0005-0000-0000-0000981A0000}"/>
    <cellStyle name="표준 5 2 2 2 2 2 2 3 2 4" xfId="2339" xr:uid="{00000000-0005-0000-0000-0000991A0000}"/>
    <cellStyle name="표준 5 2 2 2 2 2 2 3 2 4 2" xfId="11242" xr:uid="{00000000-0005-0000-0000-00009A1A0000}"/>
    <cellStyle name="표준 5 2 2 2 2 2 2 3 2 4 2 2" xfId="15354" xr:uid="{00000000-0005-0000-0000-00009B1A0000}"/>
    <cellStyle name="표준 5 2 2 2 2 2 2 3 2 4 2 2 2" xfId="31948" xr:uid="{00000000-0005-0000-0000-00009C1A0000}"/>
    <cellStyle name="표준 5 2 2 2 2 2 2 3 2 4 2 2 3" xfId="40159" xr:uid="{00000000-0005-0000-0000-00009D1A0000}"/>
    <cellStyle name="표준 5 2 2 2 2 2 2 3 2 4 2 2 4" xfId="48352" xr:uid="{00000000-0005-0000-0000-00009E1A0000}"/>
    <cellStyle name="표준 5 2 2 2 2 2 2 3 2 4 2 3" xfId="19594" xr:uid="{00000000-0005-0000-0000-00009F1A0000}"/>
    <cellStyle name="표준 5 2 2 2 2 2 2 3 2 4 2 4" xfId="23756" xr:uid="{00000000-0005-0000-0000-0000A01A0000}"/>
    <cellStyle name="표준 5 2 2 2 2 2 2 3 2 4 2 5" xfId="27852" xr:uid="{00000000-0005-0000-0000-0000A11A0000}"/>
    <cellStyle name="표준 5 2 2 2 2 2 2 3 2 4 2 6" xfId="36063" xr:uid="{00000000-0005-0000-0000-0000A21A0000}"/>
    <cellStyle name="표준 5 2 2 2 2 2 2 3 2 4 2 7" xfId="44256" xr:uid="{00000000-0005-0000-0000-0000A31A0000}"/>
    <cellStyle name="표준 5 2 2 2 2 2 2 3 2 4 3" xfId="9194" xr:uid="{00000000-0005-0000-0000-0000A41A0000}"/>
    <cellStyle name="표준 5 2 2 2 2 2 2 3 2 4 3 2" xfId="29900" xr:uid="{00000000-0005-0000-0000-0000A51A0000}"/>
    <cellStyle name="표준 5 2 2 2 2 2 2 3 2 4 3 3" xfId="38111" xr:uid="{00000000-0005-0000-0000-0000A61A0000}"/>
    <cellStyle name="표준 5 2 2 2 2 2 2 3 2 4 3 4" xfId="46304" xr:uid="{00000000-0005-0000-0000-0000A71A0000}"/>
    <cellStyle name="표준 5 2 2 2 2 2 2 3 2 4 4" xfId="13306" xr:uid="{00000000-0005-0000-0000-0000A81A0000}"/>
    <cellStyle name="표준 5 2 2 2 2 2 2 3 2 4 5" xfId="17546" xr:uid="{00000000-0005-0000-0000-0000A91A0000}"/>
    <cellStyle name="표준 5 2 2 2 2 2 2 3 2 4 6" xfId="21708" xr:uid="{00000000-0005-0000-0000-0000AA1A0000}"/>
    <cellStyle name="표준 5 2 2 2 2 2 2 3 2 4 7" xfId="25804" xr:uid="{00000000-0005-0000-0000-0000AB1A0000}"/>
    <cellStyle name="표준 5 2 2 2 2 2 2 3 2 4 8" xfId="34015" xr:uid="{00000000-0005-0000-0000-0000AC1A0000}"/>
    <cellStyle name="표준 5 2 2 2 2 2 2 3 2 4 9" xfId="42208" xr:uid="{00000000-0005-0000-0000-0000AD1A0000}"/>
    <cellStyle name="표준 5 2 2 2 2 2 2 3 2 5" xfId="9706" xr:uid="{00000000-0005-0000-0000-0000AE1A0000}"/>
    <cellStyle name="표준 5 2 2 2 2 2 2 3 2 5 2" xfId="13818" xr:uid="{00000000-0005-0000-0000-0000AF1A0000}"/>
    <cellStyle name="표준 5 2 2 2 2 2 2 3 2 5 2 2" xfId="30412" xr:uid="{00000000-0005-0000-0000-0000B01A0000}"/>
    <cellStyle name="표준 5 2 2 2 2 2 2 3 2 5 2 3" xfId="38623" xr:uid="{00000000-0005-0000-0000-0000B11A0000}"/>
    <cellStyle name="표준 5 2 2 2 2 2 2 3 2 5 2 4" xfId="46816" xr:uid="{00000000-0005-0000-0000-0000B21A0000}"/>
    <cellStyle name="표준 5 2 2 2 2 2 2 3 2 5 3" xfId="18058" xr:uid="{00000000-0005-0000-0000-0000B31A0000}"/>
    <cellStyle name="표준 5 2 2 2 2 2 2 3 2 5 4" xfId="22220" xr:uid="{00000000-0005-0000-0000-0000B41A0000}"/>
    <cellStyle name="표준 5 2 2 2 2 2 2 3 2 5 5" xfId="26316" xr:uid="{00000000-0005-0000-0000-0000B51A0000}"/>
    <cellStyle name="표준 5 2 2 2 2 2 2 3 2 5 6" xfId="34527" xr:uid="{00000000-0005-0000-0000-0000B61A0000}"/>
    <cellStyle name="표준 5 2 2 2 2 2 2 3 2 5 7" xfId="42720" xr:uid="{00000000-0005-0000-0000-0000B71A0000}"/>
    <cellStyle name="표준 5 2 2 2 2 2 2 3 2 6" xfId="7658" xr:uid="{00000000-0005-0000-0000-0000B81A0000}"/>
    <cellStyle name="표준 5 2 2 2 2 2 2 3 2 6 2" xfId="28364" xr:uid="{00000000-0005-0000-0000-0000B91A0000}"/>
    <cellStyle name="표준 5 2 2 2 2 2 2 3 2 6 3" xfId="36575" xr:uid="{00000000-0005-0000-0000-0000BA1A0000}"/>
    <cellStyle name="표준 5 2 2 2 2 2 2 3 2 6 4" xfId="44768" xr:uid="{00000000-0005-0000-0000-0000BB1A0000}"/>
    <cellStyle name="표준 5 2 2 2 2 2 2 3 2 7" xfId="11770" xr:uid="{00000000-0005-0000-0000-0000BC1A0000}"/>
    <cellStyle name="표준 5 2 2 2 2 2 2 3 2 8" xfId="16010" xr:uid="{00000000-0005-0000-0000-0000BD1A0000}"/>
    <cellStyle name="표준 5 2 2 2 2 2 2 3 2 9" xfId="20172" xr:uid="{00000000-0005-0000-0000-0000BE1A0000}"/>
    <cellStyle name="표준 5 2 2 2 2 2 2 3 3" xfId="1059" xr:uid="{00000000-0005-0000-0000-0000BF1A0000}"/>
    <cellStyle name="표준 5 2 2 2 2 2 2 3 3 2" xfId="9962" xr:uid="{00000000-0005-0000-0000-0000C01A0000}"/>
    <cellStyle name="표준 5 2 2 2 2 2 2 3 3 2 2" xfId="14074" xr:uid="{00000000-0005-0000-0000-0000C11A0000}"/>
    <cellStyle name="표준 5 2 2 2 2 2 2 3 3 2 2 2" xfId="30668" xr:uid="{00000000-0005-0000-0000-0000C21A0000}"/>
    <cellStyle name="표준 5 2 2 2 2 2 2 3 3 2 2 3" xfId="38879" xr:uid="{00000000-0005-0000-0000-0000C31A0000}"/>
    <cellStyle name="표준 5 2 2 2 2 2 2 3 3 2 2 4" xfId="47072" xr:uid="{00000000-0005-0000-0000-0000C41A0000}"/>
    <cellStyle name="표준 5 2 2 2 2 2 2 3 3 2 3" xfId="18314" xr:uid="{00000000-0005-0000-0000-0000C51A0000}"/>
    <cellStyle name="표준 5 2 2 2 2 2 2 3 3 2 4" xfId="22476" xr:uid="{00000000-0005-0000-0000-0000C61A0000}"/>
    <cellStyle name="표준 5 2 2 2 2 2 2 3 3 2 5" xfId="26572" xr:uid="{00000000-0005-0000-0000-0000C71A0000}"/>
    <cellStyle name="표준 5 2 2 2 2 2 2 3 3 2 6" xfId="34783" xr:uid="{00000000-0005-0000-0000-0000C81A0000}"/>
    <cellStyle name="표준 5 2 2 2 2 2 2 3 3 2 7" xfId="42976" xr:uid="{00000000-0005-0000-0000-0000C91A0000}"/>
    <cellStyle name="표준 5 2 2 2 2 2 2 3 3 3" xfId="7914" xr:uid="{00000000-0005-0000-0000-0000CA1A0000}"/>
    <cellStyle name="표준 5 2 2 2 2 2 2 3 3 3 2" xfId="28620" xr:uid="{00000000-0005-0000-0000-0000CB1A0000}"/>
    <cellStyle name="표준 5 2 2 2 2 2 2 3 3 3 3" xfId="36831" xr:uid="{00000000-0005-0000-0000-0000CC1A0000}"/>
    <cellStyle name="표준 5 2 2 2 2 2 2 3 3 3 4" xfId="45024" xr:uid="{00000000-0005-0000-0000-0000CD1A0000}"/>
    <cellStyle name="표준 5 2 2 2 2 2 2 3 3 4" xfId="12026" xr:uid="{00000000-0005-0000-0000-0000CE1A0000}"/>
    <cellStyle name="표준 5 2 2 2 2 2 2 3 3 5" xfId="16266" xr:uid="{00000000-0005-0000-0000-0000CF1A0000}"/>
    <cellStyle name="표준 5 2 2 2 2 2 2 3 3 6" xfId="20428" xr:uid="{00000000-0005-0000-0000-0000D01A0000}"/>
    <cellStyle name="표준 5 2 2 2 2 2 2 3 3 7" xfId="24524" xr:uid="{00000000-0005-0000-0000-0000D11A0000}"/>
    <cellStyle name="표준 5 2 2 2 2 2 2 3 3 8" xfId="32735" xr:uid="{00000000-0005-0000-0000-0000D21A0000}"/>
    <cellStyle name="표준 5 2 2 2 2 2 2 3 3 9" xfId="40928" xr:uid="{00000000-0005-0000-0000-0000D31A0000}"/>
    <cellStyle name="표준 5 2 2 2 2 2 2 3 4" xfId="1571" xr:uid="{00000000-0005-0000-0000-0000D41A0000}"/>
    <cellStyle name="표준 5 2 2 2 2 2 2 3 4 2" xfId="10474" xr:uid="{00000000-0005-0000-0000-0000D51A0000}"/>
    <cellStyle name="표준 5 2 2 2 2 2 2 3 4 2 2" xfId="14586" xr:uid="{00000000-0005-0000-0000-0000D61A0000}"/>
    <cellStyle name="표준 5 2 2 2 2 2 2 3 4 2 2 2" xfId="31180" xr:uid="{00000000-0005-0000-0000-0000D71A0000}"/>
    <cellStyle name="표준 5 2 2 2 2 2 2 3 4 2 2 3" xfId="39391" xr:uid="{00000000-0005-0000-0000-0000D81A0000}"/>
    <cellStyle name="표준 5 2 2 2 2 2 2 3 4 2 2 4" xfId="47584" xr:uid="{00000000-0005-0000-0000-0000D91A0000}"/>
    <cellStyle name="표준 5 2 2 2 2 2 2 3 4 2 3" xfId="18826" xr:uid="{00000000-0005-0000-0000-0000DA1A0000}"/>
    <cellStyle name="표준 5 2 2 2 2 2 2 3 4 2 4" xfId="22988" xr:uid="{00000000-0005-0000-0000-0000DB1A0000}"/>
    <cellStyle name="표준 5 2 2 2 2 2 2 3 4 2 5" xfId="27084" xr:uid="{00000000-0005-0000-0000-0000DC1A0000}"/>
    <cellStyle name="표준 5 2 2 2 2 2 2 3 4 2 6" xfId="35295" xr:uid="{00000000-0005-0000-0000-0000DD1A0000}"/>
    <cellStyle name="표준 5 2 2 2 2 2 2 3 4 2 7" xfId="43488" xr:uid="{00000000-0005-0000-0000-0000DE1A0000}"/>
    <cellStyle name="표준 5 2 2 2 2 2 2 3 4 3" xfId="8426" xr:uid="{00000000-0005-0000-0000-0000DF1A0000}"/>
    <cellStyle name="표준 5 2 2 2 2 2 2 3 4 3 2" xfId="29132" xr:uid="{00000000-0005-0000-0000-0000E01A0000}"/>
    <cellStyle name="표준 5 2 2 2 2 2 2 3 4 3 3" xfId="37343" xr:uid="{00000000-0005-0000-0000-0000E11A0000}"/>
    <cellStyle name="표준 5 2 2 2 2 2 2 3 4 3 4" xfId="45536" xr:uid="{00000000-0005-0000-0000-0000E21A0000}"/>
    <cellStyle name="표준 5 2 2 2 2 2 2 3 4 4" xfId="12538" xr:uid="{00000000-0005-0000-0000-0000E31A0000}"/>
    <cellStyle name="표준 5 2 2 2 2 2 2 3 4 5" xfId="16778" xr:uid="{00000000-0005-0000-0000-0000E41A0000}"/>
    <cellStyle name="표준 5 2 2 2 2 2 2 3 4 6" xfId="20940" xr:uid="{00000000-0005-0000-0000-0000E51A0000}"/>
    <cellStyle name="표준 5 2 2 2 2 2 2 3 4 7" xfId="25036" xr:uid="{00000000-0005-0000-0000-0000E61A0000}"/>
    <cellStyle name="표준 5 2 2 2 2 2 2 3 4 8" xfId="33247" xr:uid="{00000000-0005-0000-0000-0000E71A0000}"/>
    <cellStyle name="표준 5 2 2 2 2 2 2 3 4 9" xfId="41440" xr:uid="{00000000-0005-0000-0000-0000E81A0000}"/>
    <cellStyle name="표준 5 2 2 2 2 2 2 3 5" xfId="2083" xr:uid="{00000000-0005-0000-0000-0000E91A0000}"/>
    <cellStyle name="표준 5 2 2 2 2 2 2 3 5 2" xfId="10986" xr:uid="{00000000-0005-0000-0000-0000EA1A0000}"/>
    <cellStyle name="표준 5 2 2 2 2 2 2 3 5 2 2" xfId="15098" xr:uid="{00000000-0005-0000-0000-0000EB1A0000}"/>
    <cellStyle name="표준 5 2 2 2 2 2 2 3 5 2 2 2" xfId="31692" xr:uid="{00000000-0005-0000-0000-0000EC1A0000}"/>
    <cellStyle name="표준 5 2 2 2 2 2 2 3 5 2 2 3" xfId="39903" xr:uid="{00000000-0005-0000-0000-0000ED1A0000}"/>
    <cellStyle name="표준 5 2 2 2 2 2 2 3 5 2 2 4" xfId="48096" xr:uid="{00000000-0005-0000-0000-0000EE1A0000}"/>
    <cellStyle name="표준 5 2 2 2 2 2 2 3 5 2 3" xfId="19338" xr:uid="{00000000-0005-0000-0000-0000EF1A0000}"/>
    <cellStyle name="표준 5 2 2 2 2 2 2 3 5 2 4" xfId="23500" xr:uid="{00000000-0005-0000-0000-0000F01A0000}"/>
    <cellStyle name="표준 5 2 2 2 2 2 2 3 5 2 5" xfId="27596" xr:uid="{00000000-0005-0000-0000-0000F11A0000}"/>
    <cellStyle name="표준 5 2 2 2 2 2 2 3 5 2 6" xfId="35807" xr:uid="{00000000-0005-0000-0000-0000F21A0000}"/>
    <cellStyle name="표준 5 2 2 2 2 2 2 3 5 2 7" xfId="44000" xr:uid="{00000000-0005-0000-0000-0000F31A0000}"/>
    <cellStyle name="표준 5 2 2 2 2 2 2 3 5 3" xfId="8938" xr:uid="{00000000-0005-0000-0000-0000F41A0000}"/>
    <cellStyle name="표준 5 2 2 2 2 2 2 3 5 3 2" xfId="29644" xr:uid="{00000000-0005-0000-0000-0000F51A0000}"/>
    <cellStyle name="표준 5 2 2 2 2 2 2 3 5 3 3" xfId="37855" xr:uid="{00000000-0005-0000-0000-0000F61A0000}"/>
    <cellStyle name="표준 5 2 2 2 2 2 2 3 5 3 4" xfId="46048" xr:uid="{00000000-0005-0000-0000-0000F71A0000}"/>
    <cellStyle name="표준 5 2 2 2 2 2 2 3 5 4" xfId="13050" xr:uid="{00000000-0005-0000-0000-0000F81A0000}"/>
    <cellStyle name="표준 5 2 2 2 2 2 2 3 5 5" xfId="17290" xr:uid="{00000000-0005-0000-0000-0000F91A0000}"/>
    <cellStyle name="표준 5 2 2 2 2 2 2 3 5 6" xfId="21452" xr:uid="{00000000-0005-0000-0000-0000FA1A0000}"/>
    <cellStyle name="표준 5 2 2 2 2 2 2 3 5 7" xfId="25548" xr:uid="{00000000-0005-0000-0000-0000FB1A0000}"/>
    <cellStyle name="표준 5 2 2 2 2 2 2 3 5 8" xfId="33759" xr:uid="{00000000-0005-0000-0000-0000FC1A0000}"/>
    <cellStyle name="표준 5 2 2 2 2 2 2 3 5 9" xfId="41952" xr:uid="{00000000-0005-0000-0000-0000FD1A0000}"/>
    <cellStyle name="표준 5 2 2 2 2 2 2 3 6" xfId="9450" xr:uid="{00000000-0005-0000-0000-0000FE1A0000}"/>
    <cellStyle name="표준 5 2 2 2 2 2 2 3 6 2" xfId="13562" xr:uid="{00000000-0005-0000-0000-0000FF1A0000}"/>
    <cellStyle name="표준 5 2 2 2 2 2 2 3 6 2 2" xfId="30156" xr:uid="{00000000-0005-0000-0000-0000001B0000}"/>
    <cellStyle name="표준 5 2 2 2 2 2 2 3 6 2 3" xfId="38367" xr:uid="{00000000-0005-0000-0000-0000011B0000}"/>
    <cellStyle name="표준 5 2 2 2 2 2 2 3 6 2 4" xfId="46560" xr:uid="{00000000-0005-0000-0000-0000021B0000}"/>
    <cellStyle name="표준 5 2 2 2 2 2 2 3 6 3" xfId="17802" xr:uid="{00000000-0005-0000-0000-0000031B0000}"/>
    <cellStyle name="표준 5 2 2 2 2 2 2 3 6 4" xfId="21964" xr:uid="{00000000-0005-0000-0000-0000041B0000}"/>
    <cellStyle name="표준 5 2 2 2 2 2 2 3 6 5" xfId="26060" xr:uid="{00000000-0005-0000-0000-0000051B0000}"/>
    <cellStyle name="표준 5 2 2 2 2 2 2 3 6 6" xfId="34271" xr:uid="{00000000-0005-0000-0000-0000061B0000}"/>
    <cellStyle name="표준 5 2 2 2 2 2 2 3 6 7" xfId="42464" xr:uid="{00000000-0005-0000-0000-0000071B0000}"/>
    <cellStyle name="표준 5 2 2 2 2 2 2 3 7" xfId="7402" xr:uid="{00000000-0005-0000-0000-0000081B0000}"/>
    <cellStyle name="표준 5 2 2 2 2 2 2 3 7 2" xfId="28108" xr:uid="{00000000-0005-0000-0000-0000091B0000}"/>
    <cellStyle name="표준 5 2 2 2 2 2 2 3 7 3" xfId="36319" xr:uid="{00000000-0005-0000-0000-00000A1B0000}"/>
    <cellStyle name="표준 5 2 2 2 2 2 2 3 7 4" xfId="44512" xr:uid="{00000000-0005-0000-0000-00000B1B0000}"/>
    <cellStyle name="표준 5 2 2 2 2 2 2 3 8" xfId="11514" xr:uid="{00000000-0005-0000-0000-00000C1B0000}"/>
    <cellStyle name="표준 5 2 2 2 2 2 2 3 9" xfId="15754" xr:uid="{00000000-0005-0000-0000-00000D1B0000}"/>
    <cellStyle name="표준 5 2 2 2 2 2 2 4" xfId="675" xr:uid="{00000000-0005-0000-0000-00000E1B0000}"/>
    <cellStyle name="표준 5 2 2 2 2 2 2 4 10" xfId="24140" xr:uid="{00000000-0005-0000-0000-00000F1B0000}"/>
    <cellStyle name="표준 5 2 2 2 2 2 2 4 11" xfId="32351" xr:uid="{00000000-0005-0000-0000-0000101B0000}"/>
    <cellStyle name="표준 5 2 2 2 2 2 2 4 12" xfId="40544" xr:uid="{00000000-0005-0000-0000-0000111B0000}"/>
    <cellStyle name="표준 5 2 2 2 2 2 2 4 2" xfId="1187" xr:uid="{00000000-0005-0000-0000-0000121B0000}"/>
    <cellStyle name="표준 5 2 2 2 2 2 2 4 2 2" xfId="10090" xr:uid="{00000000-0005-0000-0000-0000131B0000}"/>
    <cellStyle name="표준 5 2 2 2 2 2 2 4 2 2 2" xfId="14202" xr:uid="{00000000-0005-0000-0000-0000141B0000}"/>
    <cellStyle name="표준 5 2 2 2 2 2 2 4 2 2 2 2" xfId="30796" xr:uid="{00000000-0005-0000-0000-0000151B0000}"/>
    <cellStyle name="표준 5 2 2 2 2 2 2 4 2 2 2 3" xfId="39007" xr:uid="{00000000-0005-0000-0000-0000161B0000}"/>
    <cellStyle name="표준 5 2 2 2 2 2 2 4 2 2 2 4" xfId="47200" xr:uid="{00000000-0005-0000-0000-0000171B0000}"/>
    <cellStyle name="표준 5 2 2 2 2 2 2 4 2 2 3" xfId="18442" xr:uid="{00000000-0005-0000-0000-0000181B0000}"/>
    <cellStyle name="표준 5 2 2 2 2 2 2 4 2 2 4" xfId="22604" xr:uid="{00000000-0005-0000-0000-0000191B0000}"/>
    <cellStyle name="표준 5 2 2 2 2 2 2 4 2 2 5" xfId="26700" xr:uid="{00000000-0005-0000-0000-00001A1B0000}"/>
    <cellStyle name="표준 5 2 2 2 2 2 2 4 2 2 6" xfId="34911" xr:uid="{00000000-0005-0000-0000-00001B1B0000}"/>
    <cellStyle name="표준 5 2 2 2 2 2 2 4 2 2 7" xfId="43104" xr:uid="{00000000-0005-0000-0000-00001C1B0000}"/>
    <cellStyle name="표준 5 2 2 2 2 2 2 4 2 3" xfId="8042" xr:uid="{00000000-0005-0000-0000-00001D1B0000}"/>
    <cellStyle name="표준 5 2 2 2 2 2 2 4 2 3 2" xfId="28748" xr:uid="{00000000-0005-0000-0000-00001E1B0000}"/>
    <cellStyle name="표준 5 2 2 2 2 2 2 4 2 3 3" xfId="36959" xr:uid="{00000000-0005-0000-0000-00001F1B0000}"/>
    <cellStyle name="표준 5 2 2 2 2 2 2 4 2 3 4" xfId="45152" xr:uid="{00000000-0005-0000-0000-0000201B0000}"/>
    <cellStyle name="표준 5 2 2 2 2 2 2 4 2 4" xfId="12154" xr:uid="{00000000-0005-0000-0000-0000211B0000}"/>
    <cellStyle name="표준 5 2 2 2 2 2 2 4 2 5" xfId="16394" xr:uid="{00000000-0005-0000-0000-0000221B0000}"/>
    <cellStyle name="표준 5 2 2 2 2 2 2 4 2 6" xfId="20556" xr:uid="{00000000-0005-0000-0000-0000231B0000}"/>
    <cellStyle name="표준 5 2 2 2 2 2 2 4 2 7" xfId="24652" xr:uid="{00000000-0005-0000-0000-0000241B0000}"/>
    <cellStyle name="표준 5 2 2 2 2 2 2 4 2 8" xfId="32863" xr:uid="{00000000-0005-0000-0000-0000251B0000}"/>
    <cellStyle name="표준 5 2 2 2 2 2 2 4 2 9" xfId="41056" xr:uid="{00000000-0005-0000-0000-0000261B0000}"/>
    <cellStyle name="표준 5 2 2 2 2 2 2 4 3" xfId="1699" xr:uid="{00000000-0005-0000-0000-0000271B0000}"/>
    <cellStyle name="표준 5 2 2 2 2 2 2 4 3 2" xfId="10602" xr:uid="{00000000-0005-0000-0000-0000281B0000}"/>
    <cellStyle name="표준 5 2 2 2 2 2 2 4 3 2 2" xfId="14714" xr:uid="{00000000-0005-0000-0000-0000291B0000}"/>
    <cellStyle name="표준 5 2 2 2 2 2 2 4 3 2 2 2" xfId="31308" xr:uid="{00000000-0005-0000-0000-00002A1B0000}"/>
    <cellStyle name="표준 5 2 2 2 2 2 2 4 3 2 2 3" xfId="39519" xr:uid="{00000000-0005-0000-0000-00002B1B0000}"/>
    <cellStyle name="표준 5 2 2 2 2 2 2 4 3 2 2 4" xfId="47712" xr:uid="{00000000-0005-0000-0000-00002C1B0000}"/>
    <cellStyle name="표준 5 2 2 2 2 2 2 4 3 2 3" xfId="18954" xr:uid="{00000000-0005-0000-0000-00002D1B0000}"/>
    <cellStyle name="표준 5 2 2 2 2 2 2 4 3 2 4" xfId="23116" xr:uid="{00000000-0005-0000-0000-00002E1B0000}"/>
    <cellStyle name="표준 5 2 2 2 2 2 2 4 3 2 5" xfId="27212" xr:uid="{00000000-0005-0000-0000-00002F1B0000}"/>
    <cellStyle name="표준 5 2 2 2 2 2 2 4 3 2 6" xfId="35423" xr:uid="{00000000-0005-0000-0000-0000301B0000}"/>
    <cellStyle name="표준 5 2 2 2 2 2 2 4 3 2 7" xfId="43616" xr:uid="{00000000-0005-0000-0000-0000311B0000}"/>
    <cellStyle name="표준 5 2 2 2 2 2 2 4 3 3" xfId="8554" xr:uid="{00000000-0005-0000-0000-0000321B0000}"/>
    <cellStyle name="표준 5 2 2 2 2 2 2 4 3 3 2" xfId="29260" xr:uid="{00000000-0005-0000-0000-0000331B0000}"/>
    <cellStyle name="표준 5 2 2 2 2 2 2 4 3 3 3" xfId="37471" xr:uid="{00000000-0005-0000-0000-0000341B0000}"/>
    <cellStyle name="표준 5 2 2 2 2 2 2 4 3 3 4" xfId="45664" xr:uid="{00000000-0005-0000-0000-0000351B0000}"/>
    <cellStyle name="표준 5 2 2 2 2 2 2 4 3 4" xfId="12666" xr:uid="{00000000-0005-0000-0000-0000361B0000}"/>
    <cellStyle name="표준 5 2 2 2 2 2 2 4 3 5" xfId="16906" xr:uid="{00000000-0005-0000-0000-0000371B0000}"/>
    <cellStyle name="표준 5 2 2 2 2 2 2 4 3 6" xfId="21068" xr:uid="{00000000-0005-0000-0000-0000381B0000}"/>
    <cellStyle name="표준 5 2 2 2 2 2 2 4 3 7" xfId="25164" xr:uid="{00000000-0005-0000-0000-0000391B0000}"/>
    <cellStyle name="표준 5 2 2 2 2 2 2 4 3 8" xfId="33375" xr:uid="{00000000-0005-0000-0000-00003A1B0000}"/>
    <cellStyle name="표준 5 2 2 2 2 2 2 4 3 9" xfId="41568" xr:uid="{00000000-0005-0000-0000-00003B1B0000}"/>
    <cellStyle name="표준 5 2 2 2 2 2 2 4 4" xfId="2211" xr:uid="{00000000-0005-0000-0000-00003C1B0000}"/>
    <cellStyle name="표준 5 2 2 2 2 2 2 4 4 2" xfId="11114" xr:uid="{00000000-0005-0000-0000-00003D1B0000}"/>
    <cellStyle name="표준 5 2 2 2 2 2 2 4 4 2 2" xfId="15226" xr:uid="{00000000-0005-0000-0000-00003E1B0000}"/>
    <cellStyle name="표준 5 2 2 2 2 2 2 4 4 2 2 2" xfId="31820" xr:uid="{00000000-0005-0000-0000-00003F1B0000}"/>
    <cellStyle name="표준 5 2 2 2 2 2 2 4 4 2 2 3" xfId="40031" xr:uid="{00000000-0005-0000-0000-0000401B0000}"/>
    <cellStyle name="표준 5 2 2 2 2 2 2 4 4 2 2 4" xfId="48224" xr:uid="{00000000-0005-0000-0000-0000411B0000}"/>
    <cellStyle name="표준 5 2 2 2 2 2 2 4 4 2 3" xfId="19466" xr:uid="{00000000-0005-0000-0000-0000421B0000}"/>
    <cellStyle name="표준 5 2 2 2 2 2 2 4 4 2 4" xfId="23628" xr:uid="{00000000-0005-0000-0000-0000431B0000}"/>
    <cellStyle name="표준 5 2 2 2 2 2 2 4 4 2 5" xfId="27724" xr:uid="{00000000-0005-0000-0000-0000441B0000}"/>
    <cellStyle name="표준 5 2 2 2 2 2 2 4 4 2 6" xfId="35935" xr:uid="{00000000-0005-0000-0000-0000451B0000}"/>
    <cellStyle name="표준 5 2 2 2 2 2 2 4 4 2 7" xfId="44128" xr:uid="{00000000-0005-0000-0000-0000461B0000}"/>
    <cellStyle name="표준 5 2 2 2 2 2 2 4 4 3" xfId="9066" xr:uid="{00000000-0005-0000-0000-0000471B0000}"/>
    <cellStyle name="표준 5 2 2 2 2 2 2 4 4 3 2" xfId="29772" xr:uid="{00000000-0005-0000-0000-0000481B0000}"/>
    <cellStyle name="표준 5 2 2 2 2 2 2 4 4 3 3" xfId="37983" xr:uid="{00000000-0005-0000-0000-0000491B0000}"/>
    <cellStyle name="표준 5 2 2 2 2 2 2 4 4 3 4" xfId="46176" xr:uid="{00000000-0005-0000-0000-00004A1B0000}"/>
    <cellStyle name="표준 5 2 2 2 2 2 2 4 4 4" xfId="13178" xr:uid="{00000000-0005-0000-0000-00004B1B0000}"/>
    <cellStyle name="표준 5 2 2 2 2 2 2 4 4 5" xfId="17418" xr:uid="{00000000-0005-0000-0000-00004C1B0000}"/>
    <cellStyle name="표준 5 2 2 2 2 2 2 4 4 6" xfId="21580" xr:uid="{00000000-0005-0000-0000-00004D1B0000}"/>
    <cellStyle name="표준 5 2 2 2 2 2 2 4 4 7" xfId="25676" xr:uid="{00000000-0005-0000-0000-00004E1B0000}"/>
    <cellStyle name="표준 5 2 2 2 2 2 2 4 4 8" xfId="33887" xr:uid="{00000000-0005-0000-0000-00004F1B0000}"/>
    <cellStyle name="표준 5 2 2 2 2 2 2 4 4 9" xfId="42080" xr:uid="{00000000-0005-0000-0000-0000501B0000}"/>
    <cellStyle name="표준 5 2 2 2 2 2 2 4 5" xfId="9578" xr:uid="{00000000-0005-0000-0000-0000511B0000}"/>
    <cellStyle name="표준 5 2 2 2 2 2 2 4 5 2" xfId="13690" xr:uid="{00000000-0005-0000-0000-0000521B0000}"/>
    <cellStyle name="표준 5 2 2 2 2 2 2 4 5 2 2" xfId="30284" xr:uid="{00000000-0005-0000-0000-0000531B0000}"/>
    <cellStyle name="표준 5 2 2 2 2 2 2 4 5 2 3" xfId="38495" xr:uid="{00000000-0005-0000-0000-0000541B0000}"/>
    <cellStyle name="표준 5 2 2 2 2 2 2 4 5 2 4" xfId="46688" xr:uid="{00000000-0005-0000-0000-0000551B0000}"/>
    <cellStyle name="표준 5 2 2 2 2 2 2 4 5 3" xfId="17930" xr:uid="{00000000-0005-0000-0000-0000561B0000}"/>
    <cellStyle name="표준 5 2 2 2 2 2 2 4 5 4" xfId="22092" xr:uid="{00000000-0005-0000-0000-0000571B0000}"/>
    <cellStyle name="표준 5 2 2 2 2 2 2 4 5 5" xfId="26188" xr:uid="{00000000-0005-0000-0000-0000581B0000}"/>
    <cellStyle name="표준 5 2 2 2 2 2 2 4 5 6" xfId="34399" xr:uid="{00000000-0005-0000-0000-0000591B0000}"/>
    <cellStyle name="표준 5 2 2 2 2 2 2 4 5 7" xfId="42592" xr:uid="{00000000-0005-0000-0000-00005A1B0000}"/>
    <cellStyle name="표준 5 2 2 2 2 2 2 4 6" xfId="7530" xr:uid="{00000000-0005-0000-0000-00005B1B0000}"/>
    <cellStyle name="표준 5 2 2 2 2 2 2 4 6 2" xfId="28236" xr:uid="{00000000-0005-0000-0000-00005C1B0000}"/>
    <cellStyle name="표준 5 2 2 2 2 2 2 4 6 3" xfId="36447" xr:uid="{00000000-0005-0000-0000-00005D1B0000}"/>
    <cellStyle name="표준 5 2 2 2 2 2 2 4 6 4" xfId="44640" xr:uid="{00000000-0005-0000-0000-00005E1B0000}"/>
    <cellStyle name="표준 5 2 2 2 2 2 2 4 7" xfId="11642" xr:uid="{00000000-0005-0000-0000-00005F1B0000}"/>
    <cellStyle name="표준 5 2 2 2 2 2 2 4 8" xfId="15882" xr:uid="{00000000-0005-0000-0000-0000601B0000}"/>
    <cellStyle name="표준 5 2 2 2 2 2 2 4 9" xfId="20044" xr:uid="{00000000-0005-0000-0000-0000611B0000}"/>
    <cellStyle name="표준 5 2 2 2 2 2 2 5" xfId="931" xr:uid="{00000000-0005-0000-0000-0000621B0000}"/>
    <cellStyle name="표준 5 2 2 2 2 2 2 5 2" xfId="9834" xr:uid="{00000000-0005-0000-0000-0000631B0000}"/>
    <cellStyle name="표준 5 2 2 2 2 2 2 5 2 2" xfId="13946" xr:uid="{00000000-0005-0000-0000-0000641B0000}"/>
    <cellStyle name="표준 5 2 2 2 2 2 2 5 2 2 2" xfId="30540" xr:uid="{00000000-0005-0000-0000-0000651B0000}"/>
    <cellStyle name="표준 5 2 2 2 2 2 2 5 2 2 3" xfId="38751" xr:uid="{00000000-0005-0000-0000-0000661B0000}"/>
    <cellStyle name="표준 5 2 2 2 2 2 2 5 2 2 4" xfId="46944" xr:uid="{00000000-0005-0000-0000-0000671B0000}"/>
    <cellStyle name="표준 5 2 2 2 2 2 2 5 2 3" xfId="18186" xr:uid="{00000000-0005-0000-0000-0000681B0000}"/>
    <cellStyle name="표준 5 2 2 2 2 2 2 5 2 4" xfId="22348" xr:uid="{00000000-0005-0000-0000-0000691B0000}"/>
    <cellStyle name="표준 5 2 2 2 2 2 2 5 2 5" xfId="26444" xr:uid="{00000000-0005-0000-0000-00006A1B0000}"/>
    <cellStyle name="표준 5 2 2 2 2 2 2 5 2 6" xfId="34655" xr:uid="{00000000-0005-0000-0000-00006B1B0000}"/>
    <cellStyle name="표준 5 2 2 2 2 2 2 5 2 7" xfId="42848" xr:uid="{00000000-0005-0000-0000-00006C1B0000}"/>
    <cellStyle name="표준 5 2 2 2 2 2 2 5 3" xfId="7786" xr:uid="{00000000-0005-0000-0000-00006D1B0000}"/>
    <cellStyle name="표준 5 2 2 2 2 2 2 5 3 2" xfId="28492" xr:uid="{00000000-0005-0000-0000-00006E1B0000}"/>
    <cellStyle name="표준 5 2 2 2 2 2 2 5 3 3" xfId="36703" xr:uid="{00000000-0005-0000-0000-00006F1B0000}"/>
    <cellStyle name="표준 5 2 2 2 2 2 2 5 3 4" xfId="44896" xr:uid="{00000000-0005-0000-0000-0000701B0000}"/>
    <cellStyle name="표준 5 2 2 2 2 2 2 5 4" xfId="11898" xr:uid="{00000000-0005-0000-0000-0000711B0000}"/>
    <cellStyle name="표준 5 2 2 2 2 2 2 5 5" xfId="16138" xr:uid="{00000000-0005-0000-0000-0000721B0000}"/>
    <cellStyle name="표준 5 2 2 2 2 2 2 5 6" xfId="20300" xr:uid="{00000000-0005-0000-0000-0000731B0000}"/>
    <cellStyle name="표준 5 2 2 2 2 2 2 5 7" xfId="24396" xr:uid="{00000000-0005-0000-0000-0000741B0000}"/>
    <cellStyle name="표준 5 2 2 2 2 2 2 5 8" xfId="32607" xr:uid="{00000000-0005-0000-0000-0000751B0000}"/>
    <cellStyle name="표준 5 2 2 2 2 2 2 5 9" xfId="40800" xr:uid="{00000000-0005-0000-0000-0000761B0000}"/>
    <cellStyle name="표준 5 2 2 2 2 2 2 6" xfId="1443" xr:uid="{00000000-0005-0000-0000-0000771B0000}"/>
    <cellStyle name="표준 5 2 2 2 2 2 2 6 2" xfId="10346" xr:uid="{00000000-0005-0000-0000-0000781B0000}"/>
    <cellStyle name="표준 5 2 2 2 2 2 2 6 2 2" xfId="14458" xr:uid="{00000000-0005-0000-0000-0000791B0000}"/>
    <cellStyle name="표준 5 2 2 2 2 2 2 6 2 2 2" xfId="31052" xr:uid="{00000000-0005-0000-0000-00007A1B0000}"/>
    <cellStyle name="표준 5 2 2 2 2 2 2 6 2 2 3" xfId="39263" xr:uid="{00000000-0005-0000-0000-00007B1B0000}"/>
    <cellStyle name="표준 5 2 2 2 2 2 2 6 2 2 4" xfId="47456" xr:uid="{00000000-0005-0000-0000-00007C1B0000}"/>
    <cellStyle name="표준 5 2 2 2 2 2 2 6 2 3" xfId="18698" xr:uid="{00000000-0005-0000-0000-00007D1B0000}"/>
    <cellStyle name="표준 5 2 2 2 2 2 2 6 2 4" xfId="22860" xr:uid="{00000000-0005-0000-0000-00007E1B0000}"/>
    <cellStyle name="표준 5 2 2 2 2 2 2 6 2 5" xfId="26956" xr:uid="{00000000-0005-0000-0000-00007F1B0000}"/>
    <cellStyle name="표준 5 2 2 2 2 2 2 6 2 6" xfId="35167" xr:uid="{00000000-0005-0000-0000-0000801B0000}"/>
    <cellStyle name="표준 5 2 2 2 2 2 2 6 2 7" xfId="43360" xr:uid="{00000000-0005-0000-0000-0000811B0000}"/>
    <cellStyle name="표준 5 2 2 2 2 2 2 6 3" xfId="8298" xr:uid="{00000000-0005-0000-0000-0000821B0000}"/>
    <cellStyle name="표준 5 2 2 2 2 2 2 6 3 2" xfId="29004" xr:uid="{00000000-0005-0000-0000-0000831B0000}"/>
    <cellStyle name="표준 5 2 2 2 2 2 2 6 3 3" xfId="37215" xr:uid="{00000000-0005-0000-0000-0000841B0000}"/>
    <cellStyle name="표준 5 2 2 2 2 2 2 6 3 4" xfId="45408" xr:uid="{00000000-0005-0000-0000-0000851B0000}"/>
    <cellStyle name="표준 5 2 2 2 2 2 2 6 4" xfId="12410" xr:uid="{00000000-0005-0000-0000-0000861B0000}"/>
    <cellStyle name="표준 5 2 2 2 2 2 2 6 5" xfId="16650" xr:uid="{00000000-0005-0000-0000-0000871B0000}"/>
    <cellStyle name="표준 5 2 2 2 2 2 2 6 6" xfId="20812" xr:uid="{00000000-0005-0000-0000-0000881B0000}"/>
    <cellStyle name="표준 5 2 2 2 2 2 2 6 7" xfId="24908" xr:uid="{00000000-0005-0000-0000-0000891B0000}"/>
    <cellStyle name="표준 5 2 2 2 2 2 2 6 8" xfId="33119" xr:uid="{00000000-0005-0000-0000-00008A1B0000}"/>
    <cellStyle name="표준 5 2 2 2 2 2 2 6 9" xfId="41312" xr:uid="{00000000-0005-0000-0000-00008B1B0000}"/>
    <cellStyle name="표준 5 2 2 2 2 2 2 7" xfId="1955" xr:uid="{00000000-0005-0000-0000-00008C1B0000}"/>
    <cellStyle name="표준 5 2 2 2 2 2 2 7 2" xfId="10858" xr:uid="{00000000-0005-0000-0000-00008D1B0000}"/>
    <cellStyle name="표준 5 2 2 2 2 2 2 7 2 2" xfId="14970" xr:uid="{00000000-0005-0000-0000-00008E1B0000}"/>
    <cellStyle name="표준 5 2 2 2 2 2 2 7 2 2 2" xfId="31564" xr:uid="{00000000-0005-0000-0000-00008F1B0000}"/>
    <cellStyle name="표준 5 2 2 2 2 2 2 7 2 2 3" xfId="39775" xr:uid="{00000000-0005-0000-0000-0000901B0000}"/>
    <cellStyle name="표준 5 2 2 2 2 2 2 7 2 2 4" xfId="47968" xr:uid="{00000000-0005-0000-0000-0000911B0000}"/>
    <cellStyle name="표준 5 2 2 2 2 2 2 7 2 3" xfId="19210" xr:uid="{00000000-0005-0000-0000-0000921B0000}"/>
    <cellStyle name="표준 5 2 2 2 2 2 2 7 2 4" xfId="23372" xr:uid="{00000000-0005-0000-0000-0000931B0000}"/>
    <cellStyle name="표준 5 2 2 2 2 2 2 7 2 5" xfId="27468" xr:uid="{00000000-0005-0000-0000-0000941B0000}"/>
    <cellStyle name="표준 5 2 2 2 2 2 2 7 2 6" xfId="35679" xr:uid="{00000000-0005-0000-0000-0000951B0000}"/>
    <cellStyle name="표준 5 2 2 2 2 2 2 7 2 7" xfId="43872" xr:uid="{00000000-0005-0000-0000-0000961B0000}"/>
    <cellStyle name="표준 5 2 2 2 2 2 2 7 3" xfId="8810" xr:uid="{00000000-0005-0000-0000-0000971B0000}"/>
    <cellStyle name="표준 5 2 2 2 2 2 2 7 3 2" xfId="29516" xr:uid="{00000000-0005-0000-0000-0000981B0000}"/>
    <cellStyle name="표준 5 2 2 2 2 2 2 7 3 3" xfId="37727" xr:uid="{00000000-0005-0000-0000-0000991B0000}"/>
    <cellStyle name="표준 5 2 2 2 2 2 2 7 3 4" xfId="45920" xr:uid="{00000000-0005-0000-0000-00009A1B0000}"/>
    <cellStyle name="표준 5 2 2 2 2 2 2 7 4" xfId="12922" xr:uid="{00000000-0005-0000-0000-00009B1B0000}"/>
    <cellStyle name="표준 5 2 2 2 2 2 2 7 5" xfId="17162" xr:uid="{00000000-0005-0000-0000-00009C1B0000}"/>
    <cellStyle name="표준 5 2 2 2 2 2 2 7 6" xfId="21324" xr:uid="{00000000-0005-0000-0000-00009D1B0000}"/>
    <cellStyle name="표준 5 2 2 2 2 2 2 7 7" xfId="25420" xr:uid="{00000000-0005-0000-0000-00009E1B0000}"/>
    <cellStyle name="표준 5 2 2 2 2 2 2 7 8" xfId="33631" xr:uid="{00000000-0005-0000-0000-00009F1B0000}"/>
    <cellStyle name="표준 5 2 2 2 2 2 2 7 9" xfId="41824" xr:uid="{00000000-0005-0000-0000-0000A01B0000}"/>
    <cellStyle name="표준 5 2 2 2 2 2 2 8" xfId="7047" xr:uid="{00000000-0005-0000-0000-0000A11B0000}"/>
    <cellStyle name="표준 5 2 2 2 2 2 2 8 2" xfId="9322" xr:uid="{00000000-0005-0000-0000-0000A21B0000}"/>
    <cellStyle name="표준 5 2 2 2 2 2 2 8 2 2" xfId="30028" xr:uid="{00000000-0005-0000-0000-0000A31B0000}"/>
    <cellStyle name="표준 5 2 2 2 2 2 2 8 2 3" xfId="38239" xr:uid="{00000000-0005-0000-0000-0000A41B0000}"/>
    <cellStyle name="표준 5 2 2 2 2 2 2 8 2 4" xfId="46432" xr:uid="{00000000-0005-0000-0000-0000A51B0000}"/>
    <cellStyle name="표준 5 2 2 2 2 2 2 8 3" xfId="13434" xr:uid="{00000000-0005-0000-0000-0000A61B0000}"/>
    <cellStyle name="표준 5 2 2 2 2 2 2 8 4" xfId="17674" xr:uid="{00000000-0005-0000-0000-0000A71B0000}"/>
    <cellStyle name="표준 5 2 2 2 2 2 2 8 5" xfId="21836" xr:uid="{00000000-0005-0000-0000-0000A81B0000}"/>
    <cellStyle name="표준 5 2 2 2 2 2 2 8 6" xfId="25932" xr:uid="{00000000-0005-0000-0000-0000A91B0000}"/>
    <cellStyle name="표준 5 2 2 2 2 2 2 8 7" xfId="34143" xr:uid="{00000000-0005-0000-0000-0000AA1B0000}"/>
    <cellStyle name="표준 5 2 2 2 2 2 2 8 8" xfId="42336" xr:uid="{00000000-0005-0000-0000-0000AB1B0000}"/>
    <cellStyle name="표준 5 2 2 2 2 2 2 9" xfId="7131" xr:uid="{00000000-0005-0000-0000-0000AC1B0000}"/>
    <cellStyle name="표준 5 2 2 2 2 2 2 9 2" xfId="27980" xr:uid="{00000000-0005-0000-0000-0000AD1B0000}"/>
    <cellStyle name="표준 5 2 2 2 2 2 2 9 3" xfId="36191" xr:uid="{00000000-0005-0000-0000-0000AE1B0000}"/>
    <cellStyle name="표준 5 2 2 2 2 2 2 9 4" xfId="44384" xr:uid="{00000000-0005-0000-0000-0000AF1B0000}"/>
    <cellStyle name="표준 5 2 2 2 2 2 3" xfId="451" xr:uid="{00000000-0005-0000-0000-0000B01B0000}"/>
    <cellStyle name="표준 5 2 2 2 2 2 3 10" xfId="15658" xr:uid="{00000000-0005-0000-0000-0000B11B0000}"/>
    <cellStyle name="표준 5 2 2 2 2 2 3 11" xfId="19820" xr:uid="{00000000-0005-0000-0000-0000B21B0000}"/>
    <cellStyle name="표준 5 2 2 2 2 2 3 12" xfId="23916" xr:uid="{00000000-0005-0000-0000-0000B31B0000}"/>
    <cellStyle name="표준 5 2 2 2 2 2 3 13" xfId="32127" xr:uid="{00000000-0005-0000-0000-0000B41B0000}"/>
    <cellStyle name="표준 5 2 2 2 2 2 3 14" xfId="40320" xr:uid="{00000000-0005-0000-0000-0000B51B0000}"/>
    <cellStyle name="표준 5 2 2 2 2 2 3 2" xfId="579" xr:uid="{00000000-0005-0000-0000-0000B61B0000}"/>
    <cellStyle name="표준 5 2 2 2 2 2 3 2 10" xfId="19948" xr:uid="{00000000-0005-0000-0000-0000B71B0000}"/>
    <cellStyle name="표준 5 2 2 2 2 2 3 2 11" xfId="24044" xr:uid="{00000000-0005-0000-0000-0000B81B0000}"/>
    <cellStyle name="표준 5 2 2 2 2 2 3 2 12" xfId="32255" xr:uid="{00000000-0005-0000-0000-0000B91B0000}"/>
    <cellStyle name="표준 5 2 2 2 2 2 3 2 13" xfId="40448" xr:uid="{00000000-0005-0000-0000-0000BA1B0000}"/>
    <cellStyle name="표준 5 2 2 2 2 2 3 2 2" xfId="835" xr:uid="{00000000-0005-0000-0000-0000BB1B0000}"/>
    <cellStyle name="표준 5 2 2 2 2 2 3 2 2 10" xfId="24300" xr:uid="{00000000-0005-0000-0000-0000BC1B0000}"/>
    <cellStyle name="표준 5 2 2 2 2 2 3 2 2 11" xfId="32511" xr:uid="{00000000-0005-0000-0000-0000BD1B0000}"/>
    <cellStyle name="표준 5 2 2 2 2 2 3 2 2 12" xfId="40704" xr:uid="{00000000-0005-0000-0000-0000BE1B0000}"/>
    <cellStyle name="표준 5 2 2 2 2 2 3 2 2 2" xfId="1347" xr:uid="{00000000-0005-0000-0000-0000BF1B0000}"/>
    <cellStyle name="표준 5 2 2 2 2 2 3 2 2 2 2" xfId="10250" xr:uid="{00000000-0005-0000-0000-0000C01B0000}"/>
    <cellStyle name="표준 5 2 2 2 2 2 3 2 2 2 2 2" xfId="14362" xr:uid="{00000000-0005-0000-0000-0000C11B0000}"/>
    <cellStyle name="표준 5 2 2 2 2 2 3 2 2 2 2 2 2" xfId="30956" xr:uid="{00000000-0005-0000-0000-0000C21B0000}"/>
    <cellStyle name="표준 5 2 2 2 2 2 3 2 2 2 2 2 3" xfId="39167" xr:uid="{00000000-0005-0000-0000-0000C31B0000}"/>
    <cellStyle name="표준 5 2 2 2 2 2 3 2 2 2 2 2 4" xfId="47360" xr:uid="{00000000-0005-0000-0000-0000C41B0000}"/>
    <cellStyle name="표준 5 2 2 2 2 2 3 2 2 2 2 3" xfId="18602" xr:uid="{00000000-0005-0000-0000-0000C51B0000}"/>
    <cellStyle name="표준 5 2 2 2 2 2 3 2 2 2 2 4" xfId="22764" xr:uid="{00000000-0005-0000-0000-0000C61B0000}"/>
    <cellStyle name="표준 5 2 2 2 2 2 3 2 2 2 2 5" xfId="26860" xr:uid="{00000000-0005-0000-0000-0000C71B0000}"/>
    <cellStyle name="표준 5 2 2 2 2 2 3 2 2 2 2 6" xfId="35071" xr:uid="{00000000-0005-0000-0000-0000C81B0000}"/>
    <cellStyle name="표준 5 2 2 2 2 2 3 2 2 2 2 7" xfId="43264" xr:uid="{00000000-0005-0000-0000-0000C91B0000}"/>
    <cellStyle name="표준 5 2 2 2 2 2 3 2 2 2 3" xfId="8202" xr:uid="{00000000-0005-0000-0000-0000CA1B0000}"/>
    <cellStyle name="표준 5 2 2 2 2 2 3 2 2 2 3 2" xfId="28908" xr:uid="{00000000-0005-0000-0000-0000CB1B0000}"/>
    <cellStyle name="표준 5 2 2 2 2 2 3 2 2 2 3 3" xfId="37119" xr:uid="{00000000-0005-0000-0000-0000CC1B0000}"/>
    <cellStyle name="표준 5 2 2 2 2 2 3 2 2 2 3 4" xfId="45312" xr:uid="{00000000-0005-0000-0000-0000CD1B0000}"/>
    <cellStyle name="표준 5 2 2 2 2 2 3 2 2 2 4" xfId="12314" xr:uid="{00000000-0005-0000-0000-0000CE1B0000}"/>
    <cellStyle name="표준 5 2 2 2 2 2 3 2 2 2 5" xfId="16554" xr:uid="{00000000-0005-0000-0000-0000CF1B0000}"/>
    <cellStyle name="표준 5 2 2 2 2 2 3 2 2 2 6" xfId="20716" xr:uid="{00000000-0005-0000-0000-0000D01B0000}"/>
    <cellStyle name="표준 5 2 2 2 2 2 3 2 2 2 7" xfId="24812" xr:uid="{00000000-0005-0000-0000-0000D11B0000}"/>
    <cellStyle name="표준 5 2 2 2 2 2 3 2 2 2 8" xfId="33023" xr:uid="{00000000-0005-0000-0000-0000D21B0000}"/>
    <cellStyle name="표준 5 2 2 2 2 2 3 2 2 2 9" xfId="41216" xr:uid="{00000000-0005-0000-0000-0000D31B0000}"/>
    <cellStyle name="표준 5 2 2 2 2 2 3 2 2 3" xfId="1859" xr:uid="{00000000-0005-0000-0000-0000D41B0000}"/>
    <cellStyle name="표준 5 2 2 2 2 2 3 2 2 3 2" xfId="10762" xr:uid="{00000000-0005-0000-0000-0000D51B0000}"/>
    <cellStyle name="표준 5 2 2 2 2 2 3 2 2 3 2 2" xfId="14874" xr:uid="{00000000-0005-0000-0000-0000D61B0000}"/>
    <cellStyle name="표준 5 2 2 2 2 2 3 2 2 3 2 2 2" xfId="31468" xr:uid="{00000000-0005-0000-0000-0000D71B0000}"/>
    <cellStyle name="표준 5 2 2 2 2 2 3 2 2 3 2 2 3" xfId="39679" xr:uid="{00000000-0005-0000-0000-0000D81B0000}"/>
    <cellStyle name="표준 5 2 2 2 2 2 3 2 2 3 2 2 4" xfId="47872" xr:uid="{00000000-0005-0000-0000-0000D91B0000}"/>
    <cellStyle name="표준 5 2 2 2 2 2 3 2 2 3 2 3" xfId="19114" xr:uid="{00000000-0005-0000-0000-0000DA1B0000}"/>
    <cellStyle name="표준 5 2 2 2 2 2 3 2 2 3 2 4" xfId="23276" xr:uid="{00000000-0005-0000-0000-0000DB1B0000}"/>
    <cellStyle name="표준 5 2 2 2 2 2 3 2 2 3 2 5" xfId="27372" xr:uid="{00000000-0005-0000-0000-0000DC1B0000}"/>
    <cellStyle name="표준 5 2 2 2 2 2 3 2 2 3 2 6" xfId="35583" xr:uid="{00000000-0005-0000-0000-0000DD1B0000}"/>
    <cellStyle name="표준 5 2 2 2 2 2 3 2 2 3 2 7" xfId="43776" xr:uid="{00000000-0005-0000-0000-0000DE1B0000}"/>
    <cellStyle name="표준 5 2 2 2 2 2 3 2 2 3 3" xfId="8714" xr:uid="{00000000-0005-0000-0000-0000DF1B0000}"/>
    <cellStyle name="표준 5 2 2 2 2 2 3 2 2 3 3 2" xfId="29420" xr:uid="{00000000-0005-0000-0000-0000E01B0000}"/>
    <cellStyle name="표준 5 2 2 2 2 2 3 2 2 3 3 3" xfId="37631" xr:uid="{00000000-0005-0000-0000-0000E11B0000}"/>
    <cellStyle name="표준 5 2 2 2 2 2 3 2 2 3 3 4" xfId="45824" xr:uid="{00000000-0005-0000-0000-0000E21B0000}"/>
    <cellStyle name="표준 5 2 2 2 2 2 3 2 2 3 4" xfId="12826" xr:uid="{00000000-0005-0000-0000-0000E31B0000}"/>
    <cellStyle name="표준 5 2 2 2 2 2 3 2 2 3 5" xfId="17066" xr:uid="{00000000-0005-0000-0000-0000E41B0000}"/>
    <cellStyle name="표준 5 2 2 2 2 2 3 2 2 3 6" xfId="21228" xr:uid="{00000000-0005-0000-0000-0000E51B0000}"/>
    <cellStyle name="표준 5 2 2 2 2 2 3 2 2 3 7" xfId="25324" xr:uid="{00000000-0005-0000-0000-0000E61B0000}"/>
    <cellStyle name="표준 5 2 2 2 2 2 3 2 2 3 8" xfId="33535" xr:uid="{00000000-0005-0000-0000-0000E71B0000}"/>
    <cellStyle name="표준 5 2 2 2 2 2 3 2 2 3 9" xfId="41728" xr:uid="{00000000-0005-0000-0000-0000E81B0000}"/>
    <cellStyle name="표준 5 2 2 2 2 2 3 2 2 4" xfId="2371" xr:uid="{00000000-0005-0000-0000-0000E91B0000}"/>
    <cellStyle name="표준 5 2 2 2 2 2 3 2 2 4 2" xfId="11274" xr:uid="{00000000-0005-0000-0000-0000EA1B0000}"/>
    <cellStyle name="표준 5 2 2 2 2 2 3 2 2 4 2 2" xfId="15386" xr:uid="{00000000-0005-0000-0000-0000EB1B0000}"/>
    <cellStyle name="표준 5 2 2 2 2 2 3 2 2 4 2 2 2" xfId="31980" xr:uid="{00000000-0005-0000-0000-0000EC1B0000}"/>
    <cellStyle name="표준 5 2 2 2 2 2 3 2 2 4 2 2 3" xfId="40191" xr:uid="{00000000-0005-0000-0000-0000ED1B0000}"/>
    <cellStyle name="표준 5 2 2 2 2 2 3 2 2 4 2 2 4" xfId="48384" xr:uid="{00000000-0005-0000-0000-0000EE1B0000}"/>
    <cellStyle name="표준 5 2 2 2 2 2 3 2 2 4 2 3" xfId="19626" xr:uid="{00000000-0005-0000-0000-0000EF1B0000}"/>
    <cellStyle name="표준 5 2 2 2 2 2 3 2 2 4 2 4" xfId="23788" xr:uid="{00000000-0005-0000-0000-0000F01B0000}"/>
    <cellStyle name="표준 5 2 2 2 2 2 3 2 2 4 2 5" xfId="27884" xr:uid="{00000000-0005-0000-0000-0000F11B0000}"/>
    <cellStyle name="표준 5 2 2 2 2 2 3 2 2 4 2 6" xfId="36095" xr:uid="{00000000-0005-0000-0000-0000F21B0000}"/>
    <cellStyle name="표준 5 2 2 2 2 2 3 2 2 4 2 7" xfId="44288" xr:uid="{00000000-0005-0000-0000-0000F31B0000}"/>
    <cellStyle name="표준 5 2 2 2 2 2 3 2 2 4 3" xfId="9226" xr:uid="{00000000-0005-0000-0000-0000F41B0000}"/>
    <cellStyle name="표준 5 2 2 2 2 2 3 2 2 4 3 2" xfId="29932" xr:uid="{00000000-0005-0000-0000-0000F51B0000}"/>
    <cellStyle name="표준 5 2 2 2 2 2 3 2 2 4 3 3" xfId="38143" xr:uid="{00000000-0005-0000-0000-0000F61B0000}"/>
    <cellStyle name="표준 5 2 2 2 2 2 3 2 2 4 3 4" xfId="46336" xr:uid="{00000000-0005-0000-0000-0000F71B0000}"/>
    <cellStyle name="표준 5 2 2 2 2 2 3 2 2 4 4" xfId="13338" xr:uid="{00000000-0005-0000-0000-0000F81B0000}"/>
    <cellStyle name="표준 5 2 2 2 2 2 3 2 2 4 5" xfId="17578" xr:uid="{00000000-0005-0000-0000-0000F91B0000}"/>
    <cellStyle name="표준 5 2 2 2 2 2 3 2 2 4 6" xfId="21740" xr:uid="{00000000-0005-0000-0000-0000FA1B0000}"/>
    <cellStyle name="표준 5 2 2 2 2 2 3 2 2 4 7" xfId="25836" xr:uid="{00000000-0005-0000-0000-0000FB1B0000}"/>
    <cellStyle name="표준 5 2 2 2 2 2 3 2 2 4 8" xfId="34047" xr:uid="{00000000-0005-0000-0000-0000FC1B0000}"/>
    <cellStyle name="표준 5 2 2 2 2 2 3 2 2 4 9" xfId="42240" xr:uid="{00000000-0005-0000-0000-0000FD1B0000}"/>
    <cellStyle name="표준 5 2 2 2 2 2 3 2 2 5" xfId="9738" xr:uid="{00000000-0005-0000-0000-0000FE1B0000}"/>
    <cellStyle name="표준 5 2 2 2 2 2 3 2 2 5 2" xfId="13850" xr:uid="{00000000-0005-0000-0000-0000FF1B0000}"/>
    <cellStyle name="표준 5 2 2 2 2 2 3 2 2 5 2 2" xfId="30444" xr:uid="{00000000-0005-0000-0000-0000001C0000}"/>
    <cellStyle name="표준 5 2 2 2 2 2 3 2 2 5 2 3" xfId="38655" xr:uid="{00000000-0005-0000-0000-0000011C0000}"/>
    <cellStyle name="표준 5 2 2 2 2 2 3 2 2 5 2 4" xfId="46848" xr:uid="{00000000-0005-0000-0000-0000021C0000}"/>
    <cellStyle name="표준 5 2 2 2 2 2 3 2 2 5 3" xfId="18090" xr:uid="{00000000-0005-0000-0000-0000031C0000}"/>
    <cellStyle name="표준 5 2 2 2 2 2 3 2 2 5 4" xfId="22252" xr:uid="{00000000-0005-0000-0000-0000041C0000}"/>
    <cellStyle name="표준 5 2 2 2 2 2 3 2 2 5 5" xfId="26348" xr:uid="{00000000-0005-0000-0000-0000051C0000}"/>
    <cellStyle name="표준 5 2 2 2 2 2 3 2 2 5 6" xfId="34559" xr:uid="{00000000-0005-0000-0000-0000061C0000}"/>
    <cellStyle name="표준 5 2 2 2 2 2 3 2 2 5 7" xfId="42752" xr:uid="{00000000-0005-0000-0000-0000071C0000}"/>
    <cellStyle name="표준 5 2 2 2 2 2 3 2 2 6" xfId="7690" xr:uid="{00000000-0005-0000-0000-0000081C0000}"/>
    <cellStyle name="표준 5 2 2 2 2 2 3 2 2 6 2" xfId="28396" xr:uid="{00000000-0005-0000-0000-0000091C0000}"/>
    <cellStyle name="표준 5 2 2 2 2 2 3 2 2 6 3" xfId="36607" xr:uid="{00000000-0005-0000-0000-00000A1C0000}"/>
    <cellStyle name="표준 5 2 2 2 2 2 3 2 2 6 4" xfId="44800" xr:uid="{00000000-0005-0000-0000-00000B1C0000}"/>
    <cellStyle name="표준 5 2 2 2 2 2 3 2 2 7" xfId="11802" xr:uid="{00000000-0005-0000-0000-00000C1C0000}"/>
    <cellStyle name="표준 5 2 2 2 2 2 3 2 2 8" xfId="16042" xr:uid="{00000000-0005-0000-0000-00000D1C0000}"/>
    <cellStyle name="표준 5 2 2 2 2 2 3 2 2 9" xfId="20204" xr:uid="{00000000-0005-0000-0000-00000E1C0000}"/>
    <cellStyle name="표준 5 2 2 2 2 2 3 2 3" xfId="1091" xr:uid="{00000000-0005-0000-0000-00000F1C0000}"/>
    <cellStyle name="표준 5 2 2 2 2 2 3 2 3 2" xfId="9994" xr:uid="{00000000-0005-0000-0000-0000101C0000}"/>
    <cellStyle name="표준 5 2 2 2 2 2 3 2 3 2 2" xfId="14106" xr:uid="{00000000-0005-0000-0000-0000111C0000}"/>
    <cellStyle name="표준 5 2 2 2 2 2 3 2 3 2 2 2" xfId="30700" xr:uid="{00000000-0005-0000-0000-0000121C0000}"/>
    <cellStyle name="표준 5 2 2 2 2 2 3 2 3 2 2 3" xfId="38911" xr:uid="{00000000-0005-0000-0000-0000131C0000}"/>
    <cellStyle name="표준 5 2 2 2 2 2 3 2 3 2 2 4" xfId="47104" xr:uid="{00000000-0005-0000-0000-0000141C0000}"/>
    <cellStyle name="표준 5 2 2 2 2 2 3 2 3 2 3" xfId="18346" xr:uid="{00000000-0005-0000-0000-0000151C0000}"/>
    <cellStyle name="표준 5 2 2 2 2 2 3 2 3 2 4" xfId="22508" xr:uid="{00000000-0005-0000-0000-0000161C0000}"/>
    <cellStyle name="표준 5 2 2 2 2 2 3 2 3 2 5" xfId="26604" xr:uid="{00000000-0005-0000-0000-0000171C0000}"/>
    <cellStyle name="표준 5 2 2 2 2 2 3 2 3 2 6" xfId="34815" xr:uid="{00000000-0005-0000-0000-0000181C0000}"/>
    <cellStyle name="표준 5 2 2 2 2 2 3 2 3 2 7" xfId="43008" xr:uid="{00000000-0005-0000-0000-0000191C0000}"/>
    <cellStyle name="표준 5 2 2 2 2 2 3 2 3 3" xfId="7946" xr:uid="{00000000-0005-0000-0000-00001A1C0000}"/>
    <cellStyle name="표준 5 2 2 2 2 2 3 2 3 3 2" xfId="28652" xr:uid="{00000000-0005-0000-0000-00001B1C0000}"/>
    <cellStyle name="표준 5 2 2 2 2 2 3 2 3 3 3" xfId="36863" xr:uid="{00000000-0005-0000-0000-00001C1C0000}"/>
    <cellStyle name="표준 5 2 2 2 2 2 3 2 3 3 4" xfId="45056" xr:uid="{00000000-0005-0000-0000-00001D1C0000}"/>
    <cellStyle name="표준 5 2 2 2 2 2 3 2 3 4" xfId="12058" xr:uid="{00000000-0005-0000-0000-00001E1C0000}"/>
    <cellStyle name="표준 5 2 2 2 2 2 3 2 3 5" xfId="16298" xr:uid="{00000000-0005-0000-0000-00001F1C0000}"/>
    <cellStyle name="표준 5 2 2 2 2 2 3 2 3 6" xfId="20460" xr:uid="{00000000-0005-0000-0000-0000201C0000}"/>
    <cellStyle name="표준 5 2 2 2 2 2 3 2 3 7" xfId="24556" xr:uid="{00000000-0005-0000-0000-0000211C0000}"/>
    <cellStyle name="표준 5 2 2 2 2 2 3 2 3 8" xfId="32767" xr:uid="{00000000-0005-0000-0000-0000221C0000}"/>
    <cellStyle name="표준 5 2 2 2 2 2 3 2 3 9" xfId="40960" xr:uid="{00000000-0005-0000-0000-0000231C0000}"/>
    <cellStyle name="표준 5 2 2 2 2 2 3 2 4" xfId="1603" xr:uid="{00000000-0005-0000-0000-0000241C0000}"/>
    <cellStyle name="표준 5 2 2 2 2 2 3 2 4 2" xfId="10506" xr:uid="{00000000-0005-0000-0000-0000251C0000}"/>
    <cellStyle name="표준 5 2 2 2 2 2 3 2 4 2 2" xfId="14618" xr:uid="{00000000-0005-0000-0000-0000261C0000}"/>
    <cellStyle name="표준 5 2 2 2 2 2 3 2 4 2 2 2" xfId="31212" xr:uid="{00000000-0005-0000-0000-0000271C0000}"/>
    <cellStyle name="표준 5 2 2 2 2 2 3 2 4 2 2 3" xfId="39423" xr:uid="{00000000-0005-0000-0000-0000281C0000}"/>
    <cellStyle name="표준 5 2 2 2 2 2 3 2 4 2 2 4" xfId="47616" xr:uid="{00000000-0005-0000-0000-0000291C0000}"/>
    <cellStyle name="표준 5 2 2 2 2 2 3 2 4 2 3" xfId="18858" xr:uid="{00000000-0005-0000-0000-00002A1C0000}"/>
    <cellStyle name="표준 5 2 2 2 2 2 3 2 4 2 4" xfId="23020" xr:uid="{00000000-0005-0000-0000-00002B1C0000}"/>
    <cellStyle name="표준 5 2 2 2 2 2 3 2 4 2 5" xfId="27116" xr:uid="{00000000-0005-0000-0000-00002C1C0000}"/>
    <cellStyle name="표준 5 2 2 2 2 2 3 2 4 2 6" xfId="35327" xr:uid="{00000000-0005-0000-0000-00002D1C0000}"/>
    <cellStyle name="표준 5 2 2 2 2 2 3 2 4 2 7" xfId="43520" xr:uid="{00000000-0005-0000-0000-00002E1C0000}"/>
    <cellStyle name="표준 5 2 2 2 2 2 3 2 4 3" xfId="8458" xr:uid="{00000000-0005-0000-0000-00002F1C0000}"/>
    <cellStyle name="표준 5 2 2 2 2 2 3 2 4 3 2" xfId="29164" xr:uid="{00000000-0005-0000-0000-0000301C0000}"/>
    <cellStyle name="표준 5 2 2 2 2 2 3 2 4 3 3" xfId="37375" xr:uid="{00000000-0005-0000-0000-0000311C0000}"/>
    <cellStyle name="표준 5 2 2 2 2 2 3 2 4 3 4" xfId="45568" xr:uid="{00000000-0005-0000-0000-0000321C0000}"/>
    <cellStyle name="표준 5 2 2 2 2 2 3 2 4 4" xfId="12570" xr:uid="{00000000-0005-0000-0000-0000331C0000}"/>
    <cellStyle name="표준 5 2 2 2 2 2 3 2 4 5" xfId="16810" xr:uid="{00000000-0005-0000-0000-0000341C0000}"/>
    <cellStyle name="표준 5 2 2 2 2 2 3 2 4 6" xfId="20972" xr:uid="{00000000-0005-0000-0000-0000351C0000}"/>
    <cellStyle name="표준 5 2 2 2 2 2 3 2 4 7" xfId="25068" xr:uid="{00000000-0005-0000-0000-0000361C0000}"/>
    <cellStyle name="표준 5 2 2 2 2 2 3 2 4 8" xfId="33279" xr:uid="{00000000-0005-0000-0000-0000371C0000}"/>
    <cellStyle name="표준 5 2 2 2 2 2 3 2 4 9" xfId="41472" xr:uid="{00000000-0005-0000-0000-0000381C0000}"/>
    <cellStyle name="표준 5 2 2 2 2 2 3 2 5" xfId="2115" xr:uid="{00000000-0005-0000-0000-0000391C0000}"/>
    <cellStyle name="표준 5 2 2 2 2 2 3 2 5 2" xfId="11018" xr:uid="{00000000-0005-0000-0000-00003A1C0000}"/>
    <cellStyle name="표준 5 2 2 2 2 2 3 2 5 2 2" xfId="15130" xr:uid="{00000000-0005-0000-0000-00003B1C0000}"/>
    <cellStyle name="표준 5 2 2 2 2 2 3 2 5 2 2 2" xfId="31724" xr:uid="{00000000-0005-0000-0000-00003C1C0000}"/>
    <cellStyle name="표준 5 2 2 2 2 2 3 2 5 2 2 3" xfId="39935" xr:uid="{00000000-0005-0000-0000-00003D1C0000}"/>
    <cellStyle name="표준 5 2 2 2 2 2 3 2 5 2 2 4" xfId="48128" xr:uid="{00000000-0005-0000-0000-00003E1C0000}"/>
    <cellStyle name="표준 5 2 2 2 2 2 3 2 5 2 3" xfId="19370" xr:uid="{00000000-0005-0000-0000-00003F1C0000}"/>
    <cellStyle name="표준 5 2 2 2 2 2 3 2 5 2 4" xfId="23532" xr:uid="{00000000-0005-0000-0000-0000401C0000}"/>
    <cellStyle name="표준 5 2 2 2 2 2 3 2 5 2 5" xfId="27628" xr:uid="{00000000-0005-0000-0000-0000411C0000}"/>
    <cellStyle name="표준 5 2 2 2 2 2 3 2 5 2 6" xfId="35839" xr:uid="{00000000-0005-0000-0000-0000421C0000}"/>
    <cellStyle name="표준 5 2 2 2 2 2 3 2 5 2 7" xfId="44032" xr:uid="{00000000-0005-0000-0000-0000431C0000}"/>
    <cellStyle name="표준 5 2 2 2 2 2 3 2 5 3" xfId="8970" xr:uid="{00000000-0005-0000-0000-0000441C0000}"/>
    <cellStyle name="표준 5 2 2 2 2 2 3 2 5 3 2" xfId="29676" xr:uid="{00000000-0005-0000-0000-0000451C0000}"/>
    <cellStyle name="표준 5 2 2 2 2 2 3 2 5 3 3" xfId="37887" xr:uid="{00000000-0005-0000-0000-0000461C0000}"/>
    <cellStyle name="표준 5 2 2 2 2 2 3 2 5 3 4" xfId="46080" xr:uid="{00000000-0005-0000-0000-0000471C0000}"/>
    <cellStyle name="표준 5 2 2 2 2 2 3 2 5 4" xfId="13082" xr:uid="{00000000-0005-0000-0000-0000481C0000}"/>
    <cellStyle name="표준 5 2 2 2 2 2 3 2 5 5" xfId="17322" xr:uid="{00000000-0005-0000-0000-0000491C0000}"/>
    <cellStyle name="표준 5 2 2 2 2 2 3 2 5 6" xfId="21484" xr:uid="{00000000-0005-0000-0000-00004A1C0000}"/>
    <cellStyle name="표준 5 2 2 2 2 2 3 2 5 7" xfId="25580" xr:uid="{00000000-0005-0000-0000-00004B1C0000}"/>
    <cellStyle name="표준 5 2 2 2 2 2 3 2 5 8" xfId="33791" xr:uid="{00000000-0005-0000-0000-00004C1C0000}"/>
    <cellStyle name="표준 5 2 2 2 2 2 3 2 5 9" xfId="41984" xr:uid="{00000000-0005-0000-0000-00004D1C0000}"/>
    <cellStyle name="표준 5 2 2 2 2 2 3 2 6" xfId="9482" xr:uid="{00000000-0005-0000-0000-00004E1C0000}"/>
    <cellStyle name="표준 5 2 2 2 2 2 3 2 6 2" xfId="13594" xr:uid="{00000000-0005-0000-0000-00004F1C0000}"/>
    <cellStyle name="표준 5 2 2 2 2 2 3 2 6 2 2" xfId="30188" xr:uid="{00000000-0005-0000-0000-0000501C0000}"/>
    <cellStyle name="표준 5 2 2 2 2 2 3 2 6 2 3" xfId="38399" xr:uid="{00000000-0005-0000-0000-0000511C0000}"/>
    <cellStyle name="표준 5 2 2 2 2 2 3 2 6 2 4" xfId="46592" xr:uid="{00000000-0005-0000-0000-0000521C0000}"/>
    <cellStyle name="표준 5 2 2 2 2 2 3 2 6 3" xfId="17834" xr:uid="{00000000-0005-0000-0000-0000531C0000}"/>
    <cellStyle name="표준 5 2 2 2 2 2 3 2 6 4" xfId="21996" xr:uid="{00000000-0005-0000-0000-0000541C0000}"/>
    <cellStyle name="표준 5 2 2 2 2 2 3 2 6 5" xfId="26092" xr:uid="{00000000-0005-0000-0000-0000551C0000}"/>
    <cellStyle name="표준 5 2 2 2 2 2 3 2 6 6" xfId="34303" xr:uid="{00000000-0005-0000-0000-0000561C0000}"/>
    <cellStyle name="표준 5 2 2 2 2 2 3 2 6 7" xfId="42496" xr:uid="{00000000-0005-0000-0000-0000571C0000}"/>
    <cellStyle name="표준 5 2 2 2 2 2 3 2 7" xfId="7434" xr:uid="{00000000-0005-0000-0000-0000581C0000}"/>
    <cellStyle name="표준 5 2 2 2 2 2 3 2 7 2" xfId="28140" xr:uid="{00000000-0005-0000-0000-0000591C0000}"/>
    <cellStyle name="표준 5 2 2 2 2 2 3 2 7 3" xfId="36351" xr:uid="{00000000-0005-0000-0000-00005A1C0000}"/>
    <cellStyle name="표준 5 2 2 2 2 2 3 2 7 4" xfId="44544" xr:uid="{00000000-0005-0000-0000-00005B1C0000}"/>
    <cellStyle name="표준 5 2 2 2 2 2 3 2 8" xfId="11546" xr:uid="{00000000-0005-0000-0000-00005C1C0000}"/>
    <cellStyle name="표준 5 2 2 2 2 2 3 2 9" xfId="15786" xr:uid="{00000000-0005-0000-0000-00005D1C0000}"/>
    <cellStyle name="표준 5 2 2 2 2 2 3 3" xfId="707" xr:uid="{00000000-0005-0000-0000-00005E1C0000}"/>
    <cellStyle name="표준 5 2 2 2 2 2 3 3 10" xfId="24172" xr:uid="{00000000-0005-0000-0000-00005F1C0000}"/>
    <cellStyle name="표준 5 2 2 2 2 2 3 3 11" xfId="32383" xr:uid="{00000000-0005-0000-0000-0000601C0000}"/>
    <cellStyle name="표준 5 2 2 2 2 2 3 3 12" xfId="40576" xr:uid="{00000000-0005-0000-0000-0000611C0000}"/>
    <cellStyle name="표준 5 2 2 2 2 2 3 3 2" xfId="1219" xr:uid="{00000000-0005-0000-0000-0000621C0000}"/>
    <cellStyle name="표준 5 2 2 2 2 2 3 3 2 2" xfId="10122" xr:uid="{00000000-0005-0000-0000-0000631C0000}"/>
    <cellStyle name="표준 5 2 2 2 2 2 3 3 2 2 2" xfId="14234" xr:uid="{00000000-0005-0000-0000-0000641C0000}"/>
    <cellStyle name="표준 5 2 2 2 2 2 3 3 2 2 2 2" xfId="30828" xr:uid="{00000000-0005-0000-0000-0000651C0000}"/>
    <cellStyle name="표준 5 2 2 2 2 2 3 3 2 2 2 3" xfId="39039" xr:uid="{00000000-0005-0000-0000-0000661C0000}"/>
    <cellStyle name="표준 5 2 2 2 2 2 3 3 2 2 2 4" xfId="47232" xr:uid="{00000000-0005-0000-0000-0000671C0000}"/>
    <cellStyle name="표준 5 2 2 2 2 2 3 3 2 2 3" xfId="18474" xr:uid="{00000000-0005-0000-0000-0000681C0000}"/>
    <cellStyle name="표준 5 2 2 2 2 2 3 3 2 2 4" xfId="22636" xr:uid="{00000000-0005-0000-0000-0000691C0000}"/>
    <cellStyle name="표준 5 2 2 2 2 2 3 3 2 2 5" xfId="26732" xr:uid="{00000000-0005-0000-0000-00006A1C0000}"/>
    <cellStyle name="표준 5 2 2 2 2 2 3 3 2 2 6" xfId="34943" xr:uid="{00000000-0005-0000-0000-00006B1C0000}"/>
    <cellStyle name="표준 5 2 2 2 2 2 3 3 2 2 7" xfId="43136" xr:uid="{00000000-0005-0000-0000-00006C1C0000}"/>
    <cellStyle name="표준 5 2 2 2 2 2 3 3 2 3" xfId="8074" xr:uid="{00000000-0005-0000-0000-00006D1C0000}"/>
    <cellStyle name="표준 5 2 2 2 2 2 3 3 2 3 2" xfId="28780" xr:uid="{00000000-0005-0000-0000-00006E1C0000}"/>
    <cellStyle name="표준 5 2 2 2 2 2 3 3 2 3 3" xfId="36991" xr:uid="{00000000-0005-0000-0000-00006F1C0000}"/>
    <cellStyle name="표준 5 2 2 2 2 2 3 3 2 3 4" xfId="45184" xr:uid="{00000000-0005-0000-0000-0000701C0000}"/>
    <cellStyle name="표준 5 2 2 2 2 2 3 3 2 4" xfId="12186" xr:uid="{00000000-0005-0000-0000-0000711C0000}"/>
    <cellStyle name="표준 5 2 2 2 2 2 3 3 2 5" xfId="16426" xr:uid="{00000000-0005-0000-0000-0000721C0000}"/>
    <cellStyle name="표준 5 2 2 2 2 2 3 3 2 6" xfId="20588" xr:uid="{00000000-0005-0000-0000-0000731C0000}"/>
    <cellStyle name="표준 5 2 2 2 2 2 3 3 2 7" xfId="24684" xr:uid="{00000000-0005-0000-0000-0000741C0000}"/>
    <cellStyle name="표준 5 2 2 2 2 2 3 3 2 8" xfId="32895" xr:uid="{00000000-0005-0000-0000-0000751C0000}"/>
    <cellStyle name="표준 5 2 2 2 2 2 3 3 2 9" xfId="41088" xr:uid="{00000000-0005-0000-0000-0000761C0000}"/>
    <cellStyle name="표준 5 2 2 2 2 2 3 3 3" xfId="1731" xr:uid="{00000000-0005-0000-0000-0000771C0000}"/>
    <cellStyle name="표준 5 2 2 2 2 2 3 3 3 2" xfId="10634" xr:uid="{00000000-0005-0000-0000-0000781C0000}"/>
    <cellStyle name="표준 5 2 2 2 2 2 3 3 3 2 2" xfId="14746" xr:uid="{00000000-0005-0000-0000-0000791C0000}"/>
    <cellStyle name="표준 5 2 2 2 2 2 3 3 3 2 2 2" xfId="31340" xr:uid="{00000000-0005-0000-0000-00007A1C0000}"/>
    <cellStyle name="표준 5 2 2 2 2 2 3 3 3 2 2 3" xfId="39551" xr:uid="{00000000-0005-0000-0000-00007B1C0000}"/>
    <cellStyle name="표준 5 2 2 2 2 2 3 3 3 2 2 4" xfId="47744" xr:uid="{00000000-0005-0000-0000-00007C1C0000}"/>
    <cellStyle name="표준 5 2 2 2 2 2 3 3 3 2 3" xfId="18986" xr:uid="{00000000-0005-0000-0000-00007D1C0000}"/>
    <cellStyle name="표준 5 2 2 2 2 2 3 3 3 2 4" xfId="23148" xr:uid="{00000000-0005-0000-0000-00007E1C0000}"/>
    <cellStyle name="표준 5 2 2 2 2 2 3 3 3 2 5" xfId="27244" xr:uid="{00000000-0005-0000-0000-00007F1C0000}"/>
    <cellStyle name="표준 5 2 2 2 2 2 3 3 3 2 6" xfId="35455" xr:uid="{00000000-0005-0000-0000-0000801C0000}"/>
    <cellStyle name="표준 5 2 2 2 2 2 3 3 3 2 7" xfId="43648" xr:uid="{00000000-0005-0000-0000-0000811C0000}"/>
    <cellStyle name="표준 5 2 2 2 2 2 3 3 3 3" xfId="8586" xr:uid="{00000000-0005-0000-0000-0000821C0000}"/>
    <cellStyle name="표준 5 2 2 2 2 2 3 3 3 3 2" xfId="29292" xr:uid="{00000000-0005-0000-0000-0000831C0000}"/>
    <cellStyle name="표준 5 2 2 2 2 2 3 3 3 3 3" xfId="37503" xr:uid="{00000000-0005-0000-0000-0000841C0000}"/>
    <cellStyle name="표준 5 2 2 2 2 2 3 3 3 3 4" xfId="45696" xr:uid="{00000000-0005-0000-0000-0000851C0000}"/>
    <cellStyle name="표준 5 2 2 2 2 2 3 3 3 4" xfId="12698" xr:uid="{00000000-0005-0000-0000-0000861C0000}"/>
    <cellStyle name="표준 5 2 2 2 2 2 3 3 3 5" xfId="16938" xr:uid="{00000000-0005-0000-0000-0000871C0000}"/>
    <cellStyle name="표준 5 2 2 2 2 2 3 3 3 6" xfId="21100" xr:uid="{00000000-0005-0000-0000-0000881C0000}"/>
    <cellStyle name="표준 5 2 2 2 2 2 3 3 3 7" xfId="25196" xr:uid="{00000000-0005-0000-0000-0000891C0000}"/>
    <cellStyle name="표준 5 2 2 2 2 2 3 3 3 8" xfId="33407" xr:uid="{00000000-0005-0000-0000-00008A1C0000}"/>
    <cellStyle name="표준 5 2 2 2 2 2 3 3 3 9" xfId="41600" xr:uid="{00000000-0005-0000-0000-00008B1C0000}"/>
    <cellStyle name="표준 5 2 2 2 2 2 3 3 4" xfId="2243" xr:uid="{00000000-0005-0000-0000-00008C1C0000}"/>
    <cellStyle name="표준 5 2 2 2 2 2 3 3 4 2" xfId="11146" xr:uid="{00000000-0005-0000-0000-00008D1C0000}"/>
    <cellStyle name="표준 5 2 2 2 2 2 3 3 4 2 2" xfId="15258" xr:uid="{00000000-0005-0000-0000-00008E1C0000}"/>
    <cellStyle name="표준 5 2 2 2 2 2 3 3 4 2 2 2" xfId="31852" xr:uid="{00000000-0005-0000-0000-00008F1C0000}"/>
    <cellStyle name="표준 5 2 2 2 2 2 3 3 4 2 2 3" xfId="40063" xr:uid="{00000000-0005-0000-0000-0000901C0000}"/>
    <cellStyle name="표준 5 2 2 2 2 2 3 3 4 2 2 4" xfId="48256" xr:uid="{00000000-0005-0000-0000-0000911C0000}"/>
    <cellStyle name="표준 5 2 2 2 2 2 3 3 4 2 3" xfId="19498" xr:uid="{00000000-0005-0000-0000-0000921C0000}"/>
    <cellStyle name="표준 5 2 2 2 2 2 3 3 4 2 4" xfId="23660" xr:uid="{00000000-0005-0000-0000-0000931C0000}"/>
    <cellStyle name="표준 5 2 2 2 2 2 3 3 4 2 5" xfId="27756" xr:uid="{00000000-0005-0000-0000-0000941C0000}"/>
    <cellStyle name="표준 5 2 2 2 2 2 3 3 4 2 6" xfId="35967" xr:uid="{00000000-0005-0000-0000-0000951C0000}"/>
    <cellStyle name="표준 5 2 2 2 2 2 3 3 4 2 7" xfId="44160" xr:uid="{00000000-0005-0000-0000-0000961C0000}"/>
    <cellStyle name="표준 5 2 2 2 2 2 3 3 4 3" xfId="9098" xr:uid="{00000000-0005-0000-0000-0000971C0000}"/>
    <cellStyle name="표준 5 2 2 2 2 2 3 3 4 3 2" xfId="29804" xr:uid="{00000000-0005-0000-0000-0000981C0000}"/>
    <cellStyle name="표준 5 2 2 2 2 2 3 3 4 3 3" xfId="38015" xr:uid="{00000000-0005-0000-0000-0000991C0000}"/>
    <cellStyle name="표준 5 2 2 2 2 2 3 3 4 3 4" xfId="46208" xr:uid="{00000000-0005-0000-0000-00009A1C0000}"/>
    <cellStyle name="표준 5 2 2 2 2 2 3 3 4 4" xfId="13210" xr:uid="{00000000-0005-0000-0000-00009B1C0000}"/>
    <cellStyle name="표준 5 2 2 2 2 2 3 3 4 5" xfId="17450" xr:uid="{00000000-0005-0000-0000-00009C1C0000}"/>
    <cellStyle name="표준 5 2 2 2 2 2 3 3 4 6" xfId="21612" xr:uid="{00000000-0005-0000-0000-00009D1C0000}"/>
    <cellStyle name="표준 5 2 2 2 2 2 3 3 4 7" xfId="25708" xr:uid="{00000000-0005-0000-0000-00009E1C0000}"/>
    <cellStyle name="표준 5 2 2 2 2 2 3 3 4 8" xfId="33919" xr:uid="{00000000-0005-0000-0000-00009F1C0000}"/>
    <cellStyle name="표준 5 2 2 2 2 2 3 3 4 9" xfId="42112" xr:uid="{00000000-0005-0000-0000-0000A01C0000}"/>
    <cellStyle name="표준 5 2 2 2 2 2 3 3 5" xfId="9610" xr:uid="{00000000-0005-0000-0000-0000A11C0000}"/>
    <cellStyle name="표준 5 2 2 2 2 2 3 3 5 2" xfId="13722" xr:uid="{00000000-0005-0000-0000-0000A21C0000}"/>
    <cellStyle name="표준 5 2 2 2 2 2 3 3 5 2 2" xfId="30316" xr:uid="{00000000-0005-0000-0000-0000A31C0000}"/>
    <cellStyle name="표준 5 2 2 2 2 2 3 3 5 2 3" xfId="38527" xr:uid="{00000000-0005-0000-0000-0000A41C0000}"/>
    <cellStyle name="표준 5 2 2 2 2 2 3 3 5 2 4" xfId="46720" xr:uid="{00000000-0005-0000-0000-0000A51C0000}"/>
    <cellStyle name="표준 5 2 2 2 2 2 3 3 5 3" xfId="17962" xr:uid="{00000000-0005-0000-0000-0000A61C0000}"/>
    <cellStyle name="표준 5 2 2 2 2 2 3 3 5 4" xfId="22124" xr:uid="{00000000-0005-0000-0000-0000A71C0000}"/>
    <cellStyle name="표준 5 2 2 2 2 2 3 3 5 5" xfId="26220" xr:uid="{00000000-0005-0000-0000-0000A81C0000}"/>
    <cellStyle name="표준 5 2 2 2 2 2 3 3 5 6" xfId="34431" xr:uid="{00000000-0005-0000-0000-0000A91C0000}"/>
    <cellStyle name="표준 5 2 2 2 2 2 3 3 5 7" xfId="42624" xr:uid="{00000000-0005-0000-0000-0000AA1C0000}"/>
    <cellStyle name="표준 5 2 2 2 2 2 3 3 6" xfId="7562" xr:uid="{00000000-0005-0000-0000-0000AB1C0000}"/>
    <cellStyle name="표준 5 2 2 2 2 2 3 3 6 2" xfId="28268" xr:uid="{00000000-0005-0000-0000-0000AC1C0000}"/>
    <cellStyle name="표준 5 2 2 2 2 2 3 3 6 3" xfId="36479" xr:uid="{00000000-0005-0000-0000-0000AD1C0000}"/>
    <cellStyle name="표준 5 2 2 2 2 2 3 3 6 4" xfId="44672" xr:uid="{00000000-0005-0000-0000-0000AE1C0000}"/>
    <cellStyle name="표준 5 2 2 2 2 2 3 3 7" xfId="11674" xr:uid="{00000000-0005-0000-0000-0000AF1C0000}"/>
    <cellStyle name="표준 5 2 2 2 2 2 3 3 8" xfId="15914" xr:uid="{00000000-0005-0000-0000-0000B01C0000}"/>
    <cellStyle name="표준 5 2 2 2 2 2 3 3 9" xfId="20076" xr:uid="{00000000-0005-0000-0000-0000B11C0000}"/>
    <cellStyle name="표준 5 2 2 2 2 2 3 4" xfId="963" xr:uid="{00000000-0005-0000-0000-0000B21C0000}"/>
    <cellStyle name="표준 5 2 2 2 2 2 3 4 2" xfId="9866" xr:uid="{00000000-0005-0000-0000-0000B31C0000}"/>
    <cellStyle name="표준 5 2 2 2 2 2 3 4 2 2" xfId="13978" xr:uid="{00000000-0005-0000-0000-0000B41C0000}"/>
    <cellStyle name="표준 5 2 2 2 2 2 3 4 2 2 2" xfId="30572" xr:uid="{00000000-0005-0000-0000-0000B51C0000}"/>
    <cellStyle name="표준 5 2 2 2 2 2 3 4 2 2 3" xfId="38783" xr:uid="{00000000-0005-0000-0000-0000B61C0000}"/>
    <cellStyle name="표준 5 2 2 2 2 2 3 4 2 2 4" xfId="46976" xr:uid="{00000000-0005-0000-0000-0000B71C0000}"/>
    <cellStyle name="표준 5 2 2 2 2 2 3 4 2 3" xfId="18218" xr:uid="{00000000-0005-0000-0000-0000B81C0000}"/>
    <cellStyle name="표준 5 2 2 2 2 2 3 4 2 4" xfId="22380" xr:uid="{00000000-0005-0000-0000-0000B91C0000}"/>
    <cellStyle name="표준 5 2 2 2 2 2 3 4 2 5" xfId="26476" xr:uid="{00000000-0005-0000-0000-0000BA1C0000}"/>
    <cellStyle name="표준 5 2 2 2 2 2 3 4 2 6" xfId="34687" xr:uid="{00000000-0005-0000-0000-0000BB1C0000}"/>
    <cellStyle name="표준 5 2 2 2 2 2 3 4 2 7" xfId="42880" xr:uid="{00000000-0005-0000-0000-0000BC1C0000}"/>
    <cellStyle name="표준 5 2 2 2 2 2 3 4 3" xfId="7818" xr:uid="{00000000-0005-0000-0000-0000BD1C0000}"/>
    <cellStyle name="표준 5 2 2 2 2 2 3 4 3 2" xfId="28524" xr:uid="{00000000-0005-0000-0000-0000BE1C0000}"/>
    <cellStyle name="표준 5 2 2 2 2 2 3 4 3 3" xfId="36735" xr:uid="{00000000-0005-0000-0000-0000BF1C0000}"/>
    <cellStyle name="표준 5 2 2 2 2 2 3 4 3 4" xfId="44928" xr:uid="{00000000-0005-0000-0000-0000C01C0000}"/>
    <cellStyle name="표준 5 2 2 2 2 2 3 4 4" xfId="11930" xr:uid="{00000000-0005-0000-0000-0000C11C0000}"/>
    <cellStyle name="표준 5 2 2 2 2 2 3 4 5" xfId="16170" xr:uid="{00000000-0005-0000-0000-0000C21C0000}"/>
    <cellStyle name="표준 5 2 2 2 2 2 3 4 6" xfId="20332" xr:uid="{00000000-0005-0000-0000-0000C31C0000}"/>
    <cellStyle name="표준 5 2 2 2 2 2 3 4 7" xfId="24428" xr:uid="{00000000-0005-0000-0000-0000C41C0000}"/>
    <cellStyle name="표준 5 2 2 2 2 2 3 4 8" xfId="32639" xr:uid="{00000000-0005-0000-0000-0000C51C0000}"/>
    <cellStyle name="표준 5 2 2 2 2 2 3 4 9" xfId="40832" xr:uid="{00000000-0005-0000-0000-0000C61C0000}"/>
    <cellStyle name="표준 5 2 2 2 2 2 3 5" xfId="1475" xr:uid="{00000000-0005-0000-0000-0000C71C0000}"/>
    <cellStyle name="표준 5 2 2 2 2 2 3 5 2" xfId="10378" xr:uid="{00000000-0005-0000-0000-0000C81C0000}"/>
    <cellStyle name="표준 5 2 2 2 2 2 3 5 2 2" xfId="14490" xr:uid="{00000000-0005-0000-0000-0000C91C0000}"/>
    <cellStyle name="표준 5 2 2 2 2 2 3 5 2 2 2" xfId="31084" xr:uid="{00000000-0005-0000-0000-0000CA1C0000}"/>
    <cellStyle name="표준 5 2 2 2 2 2 3 5 2 2 3" xfId="39295" xr:uid="{00000000-0005-0000-0000-0000CB1C0000}"/>
    <cellStyle name="표준 5 2 2 2 2 2 3 5 2 2 4" xfId="47488" xr:uid="{00000000-0005-0000-0000-0000CC1C0000}"/>
    <cellStyle name="표준 5 2 2 2 2 2 3 5 2 3" xfId="18730" xr:uid="{00000000-0005-0000-0000-0000CD1C0000}"/>
    <cellStyle name="표준 5 2 2 2 2 2 3 5 2 4" xfId="22892" xr:uid="{00000000-0005-0000-0000-0000CE1C0000}"/>
    <cellStyle name="표준 5 2 2 2 2 2 3 5 2 5" xfId="26988" xr:uid="{00000000-0005-0000-0000-0000CF1C0000}"/>
    <cellStyle name="표준 5 2 2 2 2 2 3 5 2 6" xfId="35199" xr:uid="{00000000-0005-0000-0000-0000D01C0000}"/>
    <cellStyle name="표준 5 2 2 2 2 2 3 5 2 7" xfId="43392" xr:uid="{00000000-0005-0000-0000-0000D11C0000}"/>
    <cellStyle name="표준 5 2 2 2 2 2 3 5 3" xfId="8330" xr:uid="{00000000-0005-0000-0000-0000D21C0000}"/>
    <cellStyle name="표준 5 2 2 2 2 2 3 5 3 2" xfId="29036" xr:uid="{00000000-0005-0000-0000-0000D31C0000}"/>
    <cellStyle name="표준 5 2 2 2 2 2 3 5 3 3" xfId="37247" xr:uid="{00000000-0005-0000-0000-0000D41C0000}"/>
    <cellStyle name="표준 5 2 2 2 2 2 3 5 3 4" xfId="45440" xr:uid="{00000000-0005-0000-0000-0000D51C0000}"/>
    <cellStyle name="표준 5 2 2 2 2 2 3 5 4" xfId="12442" xr:uid="{00000000-0005-0000-0000-0000D61C0000}"/>
    <cellStyle name="표준 5 2 2 2 2 2 3 5 5" xfId="16682" xr:uid="{00000000-0005-0000-0000-0000D71C0000}"/>
    <cellStyle name="표준 5 2 2 2 2 2 3 5 6" xfId="20844" xr:uid="{00000000-0005-0000-0000-0000D81C0000}"/>
    <cellStyle name="표준 5 2 2 2 2 2 3 5 7" xfId="24940" xr:uid="{00000000-0005-0000-0000-0000D91C0000}"/>
    <cellStyle name="표준 5 2 2 2 2 2 3 5 8" xfId="33151" xr:uid="{00000000-0005-0000-0000-0000DA1C0000}"/>
    <cellStyle name="표준 5 2 2 2 2 2 3 5 9" xfId="41344" xr:uid="{00000000-0005-0000-0000-0000DB1C0000}"/>
    <cellStyle name="표준 5 2 2 2 2 2 3 6" xfId="1987" xr:uid="{00000000-0005-0000-0000-0000DC1C0000}"/>
    <cellStyle name="표준 5 2 2 2 2 2 3 6 2" xfId="10890" xr:uid="{00000000-0005-0000-0000-0000DD1C0000}"/>
    <cellStyle name="표준 5 2 2 2 2 2 3 6 2 2" xfId="15002" xr:uid="{00000000-0005-0000-0000-0000DE1C0000}"/>
    <cellStyle name="표준 5 2 2 2 2 2 3 6 2 2 2" xfId="31596" xr:uid="{00000000-0005-0000-0000-0000DF1C0000}"/>
    <cellStyle name="표준 5 2 2 2 2 2 3 6 2 2 3" xfId="39807" xr:uid="{00000000-0005-0000-0000-0000E01C0000}"/>
    <cellStyle name="표준 5 2 2 2 2 2 3 6 2 2 4" xfId="48000" xr:uid="{00000000-0005-0000-0000-0000E11C0000}"/>
    <cellStyle name="표준 5 2 2 2 2 2 3 6 2 3" xfId="19242" xr:uid="{00000000-0005-0000-0000-0000E21C0000}"/>
    <cellStyle name="표준 5 2 2 2 2 2 3 6 2 4" xfId="23404" xr:uid="{00000000-0005-0000-0000-0000E31C0000}"/>
    <cellStyle name="표준 5 2 2 2 2 2 3 6 2 5" xfId="27500" xr:uid="{00000000-0005-0000-0000-0000E41C0000}"/>
    <cellStyle name="표준 5 2 2 2 2 2 3 6 2 6" xfId="35711" xr:uid="{00000000-0005-0000-0000-0000E51C0000}"/>
    <cellStyle name="표준 5 2 2 2 2 2 3 6 2 7" xfId="43904" xr:uid="{00000000-0005-0000-0000-0000E61C0000}"/>
    <cellStyle name="표준 5 2 2 2 2 2 3 6 3" xfId="8842" xr:uid="{00000000-0005-0000-0000-0000E71C0000}"/>
    <cellStyle name="표준 5 2 2 2 2 2 3 6 3 2" xfId="29548" xr:uid="{00000000-0005-0000-0000-0000E81C0000}"/>
    <cellStyle name="표준 5 2 2 2 2 2 3 6 3 3" xfId="37759" xr:uid="{00000000-0005-0000-0000-0000E91C0000}"/>
    <cellStyle name="표준 5 2 2 2 2 2 3 6 3 4" xfId="45952" xr:uid="{00000000-0005-0000-0000-0000EA1C0000}"/>
    <cellStyle name="표준 5 2 2 2 2 2 3 6 4" xfId="12954" xr:uid="{00000000-0005-0000-0000-0000EB1C0000}"/>
    <cellStyle name="표준 5 2 2 2 2 2 3 6 5" xfId="17194" xr:uid="{00000000-0005-0000-0000-0000EC1C0000}"/>
    <cellStyle name="표준 5 2 2 2 2 2 3 6 6" xfId="21356" xr:uid="{00000000-0005-0000-0000-0000ED1C0000}"/>
    <cellStyle name="표준 5 2 2 2 2 2 3 6 7" xfId="25452" xr:uid="{00000000-0005-0000-0000-0000EE1C0000}"/>
    <cellStyle name="표준 5 2 2 2 2 2 3 6 8" xfId="33663" xr:uid="{00000000-0005-0000-0000-0000EF1C0000}"/>
    <cellStyle name="표준 5 2 2 2 2 2 3 6 9" xfId="41856" xr:uid="{00000000-0005-0000-0000-0000F01C0000}"/>
    <cellStyle name="표준 5 2 2 2 2 2 3 7" xfId="9354" xr:uid="{00000000-0005-0000-0000-0000F11C0000}"/>
    <cellStyle name="표준 5 2 2 2 2 2 3 7 2" xfId="13466" xr:uid="{00000000-0005-0000-0000-0000F21C0000}"/>
    <cellStyle name="표준 5 2 2 2 2 2 3 7 2 2" xfId="30060" xr:uid="{00000000-0005-0000-0000-0000F31C0000}"/>
    <cellStyle name="표준 5 2 2 2 2 2 3 7 2 3" xfId="38271" xr:uid="{00000000-0005-0000-0000-0000F41C0000}"/>
    <cellStyle name="표준 5 2 2 2 2 2 3 7 2 4" xfId="46464" xr:uid="{00000000-0005-0000-0000-0000F51C0000}"/>
    <cellStyle name="표준 5 2 2 2 2 2 3 7 3" xfId="17706" xr:uid="{00000000-0005-0000-0000-0000F61C0000}"/>
    <cellStyle name="표준 5 2 2 2 2 2 3 7 4" xfId="21868" xr:uid="{00000000-0005-0000-0000-0000F71C0000}"/>
    <cellStyle name="표준 5 2 2 2 2 2 3 7 5" xfId="25964" xr:uid="{00000000-0005-0000-0000-0000F81C0000}"/>
    <cellStyle name="표준 5 2 2 2 2 2 3 7 6" xfId="34175" xr:uid="{00000000-0005-0000-0000-0000F91C0000}"/>
    <cellStyle name="표준 5 2 2 2 2 2 3 7 7" xfId="42368" xr:uid="{00000000-0005-0000-0000-0000FA1C0000}"/>
    <cellStyle name="표준 5 2 2 2 2 2 3 8" xfId="7306" xr:uid="{00000000-0005-0000-0000-0000FB1C0000}"/>
    <cellStyle name="표준 5 2 2 2 2 2 3 8 2" xfId="28012" xr:uid="{00000000-0005-0000-0000-0000FC1C0000}"/>
    <cellStyle name="표준 5 2 2 2 2 2 3 8 3" xfId="36223" xr:uid="{00000000-0005-0000-0000-0000FD1C0000}"/>
    <cellStyle name="표준 5 2 2 2 2 2 3 8 4" xfId="44416" xr:uid="{00000000-0005-0000-0000-0000FE1C0000}"/>
    <cellStyle name="표준 5 2 2 2 2 2 3 9" xfId="11418" xr:uid="{00000000-0005-0000-0000-0000FF1C0000}"/>
    <cellStyle name="표준 5 2 2 2 2 2 4" xfId="515" xr:uid="{00000000-0005-0000-0000-0000001D0000}"/>
    <cellStyle name="표준 5 2 2 2 2 2 4 10" xfId="19884" xr:uid="{00000000-0005-0000-0000-0000011D0000}"/>
    <cellStyle name="표준 5 2 2 2 2 2 4 11" xfId="23980" xr:uid="{00000000-0005-0000-0000-0000021D0000}"/>
    <cellStyle name="표준 5 2 2 2 2 2 4 12" xfId="32191" xr:uid="{00000000-0005-0000-0000-0000031D0000}"/>
    <cellStyle name="표준 5 2 2 2 2 2 4 13" xfId="40384" xr:uid="{00000000-0005-0000-0000-0000041D0000}"/>
    <cellStyle name="표준 5 2 2 2 2 2 4 2" xfId="771" xr:uid="{00000000-0005-0000-0000-0000051D0000}"/>
    <cellStyle name="표준 5 2 2 2 2 2 4 2 10" xfId="24236" xr:uid="{00000000-0005-0000-0000-0000061D0000}"/>
    <cellStyle name="표준 5 2 2 2 2 2 4 2 11" xfId="32447" xr:uid="{00000000-0005-0000-0000-0000071D0000}"/>
    <cellStyle name="표준 5 2 2 2 2 2 4 2 12" xfId="40640" xr:uid="{00000000-0005-0000-0000-0000081D0000}"/>
    <cellStyle name="표준 5 2 2 2 2 2 4 2 2" xfId="1283" xr:uid="{00000000-0005-0000-0000-0000091D0000}"/>
    <cellStyle name="표준 5 2 2 2 2 2 4 2 2 2" xfId="10186" xr:uid="{00000000-0005-0000-0000-00000A1D0000}"/>
    <cellStyle name="표준 5 2 2 2 2 2 4 2 2 2 2" xfId="14298" xr:uid="{00000000-0005-0000-0000-00000B1D0000}"/>
    <cellStyle name="표준 5 2 2 2 2 2 4 2 2 2 2 2" xfId="30892" xr:uid="{00000000-0005-0000-0000-00000C1D0000}"/>
    <cellStyle name="표준 5 2 2 2 2 2 4 2 2 2 2 3" xfId="39103" xr:uid="{00000000-0005-0000-0000-00000D1D0000}"/>
    <cellStyle name="표준 5 2 2 2 2 2 4 2 2 2 2 4" xfId="47296" xr:uid="{00000000-0005-0000-0000-00000E1D0000}"/>
    <cellStyle name="표준 5 2 2 2 2 2 4 2 2 2 3" xfId="18538" xr:uid="{00000000-0005-0000-0000-00000F1D0000}"/>
    <cellStyle name="표준 5 2 2 2 2 2 4 2 2 2 4" xfId="22700" xr:uid="{00000000-0005-0000-0000-0000101D0000}"/>
    <cellStyle name="표준 5 2 2 2 2 2 4 2 2 2 5" xfId="26796" xr:uid="{00000000-0005-0000-0000-0000111D0000}"/>
    <cellStyle name="표준 5 2 2 2 2 2 4 2 2 2 6" xfId="35007" xr:uid="{00000000-0005-0000-0000-0000121D0000}"/>
    <cellStyle name="표준 5 2 2 2 2 2 4 2 2 2 7" xfId="43200" xr:uid="{00000000-0005-0000-0000-0000131D0000}"/>
    <cellStyle name="표준 5 2 2 2 2 2 4 2 2 3" xfId="8138" xr:uid="{00000000-0005-0000-0000-0000141D0000}"/>
    <cellStyle name="표준 5 2 2 2 2 2 4 2 2 3 2" xfId="28844" xr:uid="{00000000-0005-0000-0000-0000151D0000}"/>
    <cellStyle name="표준 5 2 2 2 2 2 4 2 2 3 3" xfId="37055" xr:uid="{00000000-0005-0000-0000-0000161D0000}"/>
    <cellStyle name="표준 5 2 2 2 2 2 4 2 2 3 4" xfId="45248" xr:uid="{00000000-0005-0000-0000-0000171D0000}"/>
    <cellStyle name="표준 5 2 2 2 2 2 4 2 2 4" xfId="12250" xr:uid="{00000000-0005-0000-0000-0000181D0000}"/>
    <cellStyle name="표준 5 2 2 2 2 2 4 2 2 5" xfId="16490" xr:uid="{00000000-0005-0000-0000-0000191D0000}"/>
    <cellStyle name="표준 5 2 2 2 2 2 4 2 2 6" xfId="20652" xr:uid="{00000000-0005-0000-0000-00001A1D0000}"/>
    <cellStyle name="표준 5 2 2 2 2 2 4 2 2 7" xfId="24748" xr:uid="{00000000-0005-0000-0000-00001B1D0000}"/>
    <cellStyle name="표준 5 2 2 2 2 2 4 2 2 8" xfId="32959" xr:uid="{00000000-0005-0000-0000-00001C1D0000}"/>
    <cellStyle name="표준 5 2 2 2 2 2 4 2 2 9" xfId="41152" xr:uid="{00000000-0005-0000-0000-00001D1D0000}"/>
    <cellStyle name="표준 5 2 2 2 2 2 4 2 3" xfId="1795" xr:uid="{00000000-0005-0000-0000-00001E1D0000}"/>
    <cellStyle name="표준 5 2 2 2 2 2 4 2 3 2" xfId="10698" xr:uid="{00000000-0005-0000-0000-00001F1D0000}"/>
    <cellStyle name="표준 5 2 2 2 2 2 4 2 3 2 2" xfId="14810" xr:uid="{00000000-0005-0000-0000-0000201D0000}"/>
    <cellStyle name="표준 5 2 2 2 2 2 4 2 3 2 2 2" xfId="31404" xr:uid="{00000000-0005-0000-0000-0000211D0000}"/>
    <cellStyle name="표준 5 2 2 2 2 2 4 2 3 2 2 3" xfId="39615" xr:uid="{00000000-0005-0000-0000-0000221D0000}"/>
    <cellStyle name="표준 5 2 2 2 2 2 4 2 3 2 2 4" xfId="47808" xr:uid="{00000000-0005-0000-0000-0000231D0000}"/>
    <cellStyle name="표준 5 2 2 2 2 2 4 2 3 2 3" xfId="19050" xr:uid="{00000000-0005-0000-0000-0000241D0000}"/>
    <cellStyle name="표준 5 2 2 2 2 2 4 2 3 2 4" xfId="23212" xr:uid="{00000000-0005-0000-0000-0000251D0000}"/>
    <cellStyle name="표준 5 2 2 2 2 2 4 2 3 2 5" xfId="27308" xr:uid="{00000000-0005-0000-0000-0000261D0000}"/>
    <cellStyle name="표준 5 2 2 2 2 2 4 2 3 2 6" xfId="35519" xr:uid="{00000000-0005-0000-0000-0000271D0000}"/>
    <cellStyle name="표준 5 2 2 2 2 2 4 2 3 2 7" xfId="43712" xr:uid="{00000000-0005-0000-0000-0000281D0000}"/>
    <cellStyle name="표준 5 2 2 2 2 2 4 2 3 3" xfId="8650" xr:uid="{00000000-0005-0000-0000-0000291D0000}"/>
    <cellStyle name="표준 5 2 2 2 2 2 4 2 3 3 2" xfId="29356" xr:uid="{00000000-0005-0000-0000-00002A1D0000}"/>
    <cellStyle name="표준 5 2 2 2 2 2 4 2 3 3 3" xfId="37567" xr:uid="{00000000-0005-0000-0000-00002B1D0000}"/>
    <cellStyle name="표준 5 2 2 2 2 2 4 2 3 3 4" xfId="45760" xr:uid="{00000000-0005-0000-0000-00002C1D0000}"/>
    <cellStyle name="표준 5 2 2 2 2 2 4 2 3 4" xfId="12762" xr:uid="{00000000-0005-0000-0000-00002D1D0000}"/>
    <cellStyle name="표준 5 2 2 2 2 2 4 2 3 5" xfId="17002" xr:uid="{00000000-0005-0000-0000-00002E1D0000}"/>
    <cellStyle name="표준 5 2 2 2 2 2 4 2 3 6" xfId="21164" xr:uid="{00000000-0005-0000-0000-00002F1D0000}"/>
    <cellStyle name="표준 5 2 2 2 2 2 4 2 3 7" xfId="25260" xr:uid="{00000000-0005-0000-0000-0000301D0000}"/>
    <cellStyle name="표준 5 2 2 2 2 2 4 2 3 8" xfId="33471" xr:uid="{00000000-0005-0000-0000-0000311D0000}"/>
    <cellStyle name="표준 5 2 2 2 2 2 4 2 3 9" xfId="41664" xr:uid="{00000000-0005-0000-0000-0000321D0000}"/>
    <cellStyle name="표준 5 2 2 2 2 2 4 2 4" xfId="2307" xr:uid="{00000000-0005-0000-0000-0000331D0000}"/>
    <cellStyle name="표준 5 2 2 2 2 2 4 2 4 2" xfId="11210" xr:uid="{00000000-0005-0000-0000-0000341D0000}"/>
    <cellStyle name="표준 5 2 2 2 2 2 4 2 4 2 2" xfId="15322" xr:uid="{00000000-0005-0000-0000-0000351D0000}"/>
    <cellStyle name="표준 5 2 2 2 2 2 4 2 4 2 2 2" xfId="31916" xr:uid="{00000000-0005-0000-0000-0000361D0000}"/>
    <cellStyle name="표준 5 2 2 2 2 2 4 2 4 2 2 3" xfId="40127" xr:uid="{00000000-0005-0000-0000-0000371D0000}"/>
    <cellStyle name="표준 5 2 2 2 2 2 4 2 4 2 2 4" xfId="48320" xr:uid="{00000000-0005-0000-0000-0000381D0000}"/>
    <cellStyle name="표준 5 2 2 2 2 2 4 2 4 2 3" xfId="19562" xr:uid="{00000000-0005-0000-0000-0000391D0000}"/>
    <cellStyle name="표준 5 2 2 2 2 2 4 2 4 2 4" xfId="23724" xr:uid="{00000000-0005-0000-0000-00003A1D0000}"/>
    <cellStyle name="표준 5 2 2 2 2 2 4 2 4 2 5" xfId="27820" xr:uid="{00000000-0005-0000-0000-00003B1D0000}"/>
    <cellStyle name="표준 5 2 2 2 2 2 4 2 4 2 6" xfId="36031" xr:uid="{00000000-0005-0000-0000-00003C1D0000}"/>
    <cellStyle name="표준 5 2 2 2 2 2 4 2 4 2 7" xfId="44224" xr:uid="{00000000-0005-0000-0000-00003D1D0000}"/>
    <cellStyle name="표준 5 2 2 2 2 2 4 2 4 3" xfId="9162" xr:uid="{00000000-0005-0000-0000-00003E1D0000}"/>
    <cellStyle name="표준 5 2 2 2 2 2 4 2 4 3 2" xfId="29868" xr:uid="{00000000-0005-0000-0000-00003F1D0000}"/>
    <cellStyle name="표준 5 2 2 2 2 2 4 2 4 3 3" xfId="38079" xr:uid="{00000000-0005-0000-0000-0000401D0000}"/>
    <cellStyle name="표준 5 2 2 2 2 2 4 2 4 3 4" xfId="46272" xr:uid="{00000000-0005-0000-0000-0000411D0000}"/>
    <cellStyle name="표준 5 2 2 2 2 2 4 2 4 4" xfId="13274" xr:uid="{00000000-0005-0000-0000-0000421D0000}"/>
    <cellStyle name="표준 5 2 2 2 2 2 4 2 4 5" xfId="17514" xr:uid="{00000000-0005-0000-0000-0000431D0000}"/>
    <cellStyle name="표준 5 2 2 2 2 2 4 2 4 6" xfId="21676" xr:uid="{00000000-0005-0000-0000-0000441D0000}"/>
    <cellStyle name="표준 5 2 2 2 2 2 4 2 4 7" xfId="25772" xr:uid="{00000000-0005-0000-0000-0000451D0000}"/>
    <cellStyle name="표준 5 2 2 2 2 2 4 2 4 8" xfId="33983" xr:uid="{00000000-0005-0000-0000-0000461D0000}"/>
    <cellStyle name="표준 5 2 2 2 2 2 4 2 4 9" xfId="42176" xr:uid="{00000000-0005-0000-0000-0000471D0000}"/>
    <cellStyle name="표준 5 2 2 2 2 2 4 2 5" xfId="9674" xr:uid="{00000000-0005-0000-0000-0000481D0000}"/>
    <cellStyle name="표준 5 2 2 2 2 2 4 2 5 2" xfId="13786" xr:uid="{00000000-0005-0000-0000-0000491D0000}"/>
    <cellStyle name="표준 5 2 2 2 2 2 4 2 5 2 2" xfId="30380" xr:uid="{00000000-0005-0000-0000-00004A1D0000}"/>
    <cellStyle name="표준 5 2 2 2 2 2 4 2 5 2 3" xfId="38591" xr:uid="{00000000-0005-0000-0000-00004B1D0000}"/>
    <cellStyle name="표준 5 2 2 2 2 2 4 2 5 2 4" xfId="46784" xr:uid="{00000000-0005-0000-0000-00004C1D0000}"/>
    <cellStyle name="표준 5 2 2 2 2 2 4 2 5 3" xfId="18026" xr:uid="{00000000-0005-0000-0000-00004D1D0000}"/>
    <cellStyle name="표준 5 2 2 2 2 2 4 2 5 4" xfId="22188" xr:uid="{00000000-0005-0000-0000-00004E1D0000}"/>
    <cellStyle name="표준 5 2 2 2 2 2 4 2 5 5" xfId="26284" xr:uid="{00000000-0005-0000-0000-00004F1D0000}"/>
    <cellStyle name="표준 5 2 2 2 2 2 4 2 5 6" xfId="34495" xr:uid="{00000000-0005-0000-0000-0000501D0000}"/>
    <cellStyle name="표준 5 2 2 2 2 2 4 2 5 7" xfId="42688" xr:uid="{00000000-0005-0000-0000-0000511D0000}"/>
    <cellStyle name="표준 5 2 2 2 2 2 4 2 6" xfId="7626" xr:uid="{00000000-0005-0000-0000-0000521D0000}"/>
    <cellStyle name="표준 5 2 2 2 2 2 4 2 6 2" xfId="28332" xr:uid="{00000000-0005-0000-0000-0000531D0000}"/>
    <cellStyle name="표준 5 2 2 2 2 2 4 2 6 3" xfId="36543" xr:uid="{00000000-0005-0000-0000-0000541D0000}"/>
    <cellStyle name="표준 5 2 2 2 2 2 4 2 6 4" xfId="44736" xr:uid="{00000000-0005-0000-0000-0000551D0000}"/>
    <cellStyle name="표준 5 2 2 2 2 2 4 2 7" xfId="11738" xr:uid="{00000000-0005-0000-0000-0000561D0000}"/>
    <cellStyle name="표준 5 2 2 2 2 2 4 2 8" xfId="15978" xr:uid="{00000000-0005-0000-0000-0000571D0000}"/>
    <cellStyle name="표준 5 2 2 2 2 2 4 2 9" xfId="20140" xr:uid="{00000000-0005-0000-0000-0000581D0000}"/>
    <cellStyle name="표준 5 2 2 2 2 2 4 3" xfId="1027" xr:uid="{00000000-0005-0000-0000-0000591D0000}"/>
    <cellStyle name="표준 5 2 2 2 2 2 4 3 2" xfId="9930" xr:uid="{00000000-0005-0000-0000-00005A1D0000}"/>
    <cellStyle name="표준 5 2 2 2 2 2 4 3 2 2" xfId="14042" xr:uid="{00000000-0005-0000-0000-00005B1D0000}"/>
    <cellStyle name="표준 5 2 2 2 2 2 4 3 2 2 2" xfId="30636" xr:uid="{00000000-0005-0000-0000-00005C1D0000}"/>
    <cellStyle name="표준 5 2 2 2 2 2 4 3 2 2 3" xfId="38847" xr:uid="{00000000-0005-0000-0000-00005D1D0000}"/>
    <cellStyle name="표준 5 2 2 2 2 2 4 3 2 2 4" xfId="47040" xr:uid="{00000000-0005-0000-0000-00005E1D0000}"/>
    <cellStyle name="표준 5 2 2 2 2 2 4 3 2 3" xfId="18282" xr:uid="{00000000-0005-0000-0000-00005F1D0000}"/>
    <cellStyle name="표준 5 2 2 2 2 2 4 3 2 4" xfId="22444" xr:uid="{00000000-0005-0000-0000-0000601D0000}"/>
    <cellStyle name="표준 5 2 2 2 2 2 4 3 2 5" xfId="26540" xr:uid="{00000000-0005-0000-0000-0000611D0000}"/>
    <cellStyle name="표준 5 2 2 2 2 2 4 3 2 6" xfId="34751" xr:uid="{00000000-0005-0000-0000-0000621D0000}"/>
    <cellStyle name="표준 5 2 2 2 2 2 4 3 2 7" xfId="42944" xr:uid="{00000000-0005-0000-0000-0000631D0000}"/>
    <cellStyle name="표준 5 2 2 2 2 2 4 3 3" xfId="7882" xr:uid="{00000000-0005-0000-0000-0000641D0000}"/>
    <cellStyle name="표준 5 2 2 2 2 2 4 3 3 2" xfId="28588" xr:uid="{00000000-0005-0000-0000-0000651D0000}"/>
    <cellStyle name="표준 5 2 2 2 2 2 4 3 3 3" xfId="36799" xr:uid="{00000000-0005-0000-0000-0000661D0000}"/>
    <cellStyle name="표준 5 2 2 2 2 2 4 3 3 4" xfId="44992" xr:uid="{00000000-0005-0000-0000-0000671D0000}"/>
    <cellStyle name="표준 5 2 2 2 2 2 4 3 4" xfId="11994" xr:uid="{00000000-0005-0000-0000-0000681D0000}"/>
    <cellStyle name="표준 5 2 2 2 2 2 4 3 5" xfId="16234" xr:uid="{00000000-0005-0000-0000-0000691D0000}"/>
    <cellStyle name="표준 5 2 2 2 2 2 4 3 6" xfId="20396" xr:uid="{00000000-0005-0000-0000-00006A1D0000}"/>
    <cellStyle name="표준 5 2 2 2 2 2 4 3 7" xfId="24492" xr:uid="{00000000-0005-0000-0000-00006B1D0000}"/>
    <cellStyle name="표준 5 2 2 2 2 2 4 3 8" xfId="32703" xr:uid="{00000000-0005-0000-0000-00006C1D0000}"/>
    <cellStyle name="표준 5 2 2 2 2 2 4 3 9" xfId="40896" xr:uid="{00000000-0005-0000-0000-00006D1D0000}"/>
    <cellStyle name="표준 5 2 2 2 2 2 4 4" xfId="1539" xr:uid="{00000000-0005-0000-0000-00006E1D0000}"/>
    <cellStyle name="표준 5 2 2 2 2 2 4 4 2" xfId="10442" xr:uid="{00000000-0005-0000-0000-00006F1D0000}"/>
    <cellStyle name="표준 5 2 2 2 2 2 4 4 2 2" xfId="14554" xr:uid="{00000000-0005-0000-0000-0000701D0000}"/>
    <cellStyle name="표준 5 2 2 2 2 2 4 4 2 2 2" xfId="31148" xr:uid="{00000000-0005-0000-0000-0000711D0000}"/>
    <cellStyle name="표준 5 2 2 2 2 2 4 4 2 2 3" xfId="39359" xr:uid="{00000000-0005-0000-0000-0000721D0000}"/>
    <cellStyle name="표준 5 2 2 2 2 2 4 4 2 2 4" xfId="47552" xr:uid="{00000000-0005-0000-0000-0000731D0000}"/>
    <cellStyle name="표준 5 2 2 2 2 2 4 4 2 3" xfId="18794" xr:uid="{00000000-0005-0000-0000-0000741D0000}"/>
    <cellStyle name="표준 5 2 2 2 2 2 4 4 2 4" xfId="22956" xr:uid="{00000000-0005-0000-0000-0000751D0000}"/>
    <cellStyle name="표준 5 2 2 2 2 2 4 4 2 5" xfId="27052" xr:uid="{00000000-0005-0000-0000-0000761D0000}"/>
    <cellStyle name="표준 5 2 2 2 2 2 4 4 2 6" xfId="35263" xr:uid="{00000000-0005-0000-0000-0000771D0000}"/>
    <cellStyle name="표준 5 2 2 2 2 2 4 4 2 7" xfId="43456" xr:uid="{00000000-0005-0000-0000-0000781D0000}"/>
    <cellStyle name="표준 5 2 2 2 2 2 4 4 3" xfId="8394" xr:uid="{00000000-0005-0000-0000-0000791D0000}"/>
    <cellStyle name="표준 5 2 2 2 2 2 4 4 3 2" xfId="29100" xr:uid="{00000000-0005-0000-0000-00007A1D0000}"/>
    <cellStyle name="표준 5 2 2 2 2 2 4 4 3 3" xfId="37311" xr:uid="{00000000-0005-0000-0000-00007B1D0000}"/>
    <cellStyle name="표준 5 2 2 2 2 2 4 4 3 4" xfId="45504" xr:uid="{00000000-0005-0000-0000-00007C1D0000}"/>
    <cellStyle name="표준 5 2 2 2 2 2 4 4 4" xfId="12506" xr:uid="{00000000-0005-0000-0000-00007D1D0000}"/>
    <cellStyle name="표준 5 2 2 2 2 2 4 4 5" xfId="16746" xr:uid="{00000000-0005-0000-0000-00007E1D0000}"/>
    <cellStyle name="표준 5 2 2 2 2 2 4 4 6" xfId="20908" xr:uid="{00000000-0005-0000-0000-00007F1D0000}"/>
    <cellStyle name="표준 5 2 2 2 2 2 4 4 7" xfId="25004" xr:uid="{00000000-0005-0000-0000-0000801D0000}"/>
    <cellStyle name="표준 5 2 2 2 2 2 4 4 8" xfId="33215" xr:uid="{00000000-0005-0000-0000-0000811D0000}"/>
    <cellStyle name="표준 5 2 2 2 2 2 4 4 9" xfId="41408" xr:uid="{00000000-0005-0000-0000-0000821D0000}"/>
    <cellStyle name="표준 5 2 2 2 2 2 4 5" xfId="2051" xr:uid="{00000000-0005-0000-0000-0000831D0000}"/>
    <cellStyle name="표준 5 2 2 2 2 2 4 5 2" xfId="10954" xr:uid="{00000000-0005-0000-0000-0000841D0000}"/>
    <cellStyle name="표준 5 2 2 2 2 2 4 5 2 2" xfId="15066" xr:uid="{00000000-0005-0000-0000-0000851D0000}"/>
    <cellStyle name="표준 5 2 2 2 2 2 4 5 2 2 2" xfId="31660" xr:uid="{00000000-0005-0000-0000-0000861D0000}"/>
    <cellStyle name="표준 5 2 2 2 2 2 4 5 2 2 3" xfId="39871" xr:uid="{00000000-0005-0000-0000-0000871D0000}"/>
    <cellStyle name="표준 5 2 2 2 2 2 4 5 2 2 4" xfId="48064" xr:uid="{00000000-0005-0000-0000-0000881D0000}"/>
    <cellStyle name="표준 5 2 2 2 2 2 4 5 2 3" xfId="19306" xr:uid="{00000000-0005-0000-0000-0000891D0000}"/>
    <cellStyle name="표준 5 2 2 2 2 2 4 5 2 4" xfId="23468" xr:uid="{00000000-0005-0000-0000-00008A1D0000}"/>
    <cellStyle name="표준 5 2 2 2 2 2 4 5 2 5" xfId="27564" xr:uid="{00000000-0005-0000-0000-00008B1D0000}"/>
    <cellStyle name="표준 5 2 2 2 2 2 4 5 2 6" xfId="35775" xr:uid="{00000000-0005-0000-0000-00008C1D0000}"/>
    <cellStyle name="표준 5 2 2 2 2 2 4 5 2 7" xfId="43968" xr:uid="{00000000-0005-0000-0000-00008D1D0000}"/>
    <cellStyle name="표준 5 2 2 2 2 2 4 5 3" xfId="8906" xr:uid="{00000000-0005-0000-0000-00008E1D0000}"/>
    <cellStyle name="표준 5 2 2 2 2 2 4 5 3 2" xfId="29612" xr:uid="{00000000-0005-0000-0000-00008F1D0000}"/>
    <cellStyle name="표준 5 2 2 2 2 2 4 5 3 3" xfId="37823" xr:uid="{00000000-0005-0000-0000-0000901D0000}"/>
    <cellStyle name="표준 5 2 2 2 2 2 4 5 3 4" xfId="46016" xr:uid="{00000000-0005-0000-0000-0000911D0000}"/>
    <cellStyle name="표준 5 2 2 2 2 2 4 5 4" xfId="13018" xr:uid="{00000000-0005-0000-0000-0000921D0000}"/>
    <cellStyle name="표준 5 2 2 2 2 2 4 5 5" xfId="17258" xr:uid="{00000000-0005-0000-0000-0000931D0000}"/>
    <cellStyle name="표준 5 2 2 2 2 2 4 5 6" xfId="21420" xr:uid="{00000000-0005-0000-0000-0000941D0000}"/>
    <cellStyle name="표준 5 2 2 2 2 2 4 5 7" xfId="25516" xr:uid="{00000000-0005-0000-0000-0000951D0000}"/>
    <cellStyle name="표준 5 2 2 2 2 2 4 5 8" xfId="33727" xr:uid="{00000000-0005-0000-0000-0000961D0000}"/>
    <cellStyle name="표준 5 2 2 2 2 2 4 5 9" xfId="41920" xr:uid="{00000000-0005-0000-0000-0000971D0000}"/>
    <cellStyle name="표준 5 2 2 2 2 2 4 6" xfId="9418" xr:uid="{00000000-0005-0000-0000-0000981D0000}"/>
    <cellStyle name="표준 5 2 2 2 2 2 4 6 2" xfId="13530" xr:uid="{00000000-0005-0000-0000-0000991D0000}"/>
    <cellStyle name="표준 5 2 2 2 2 2 4 6 2 2" xfId="30124" xr:uid="{00000000-0005-0000-0000-00009A1D0000}"/>
    <cellStyle name="표준 5 2 2 2 2 2 4 6 2 3" xfId="38335" xr:uid="{00000000-0005-0000-0000-00009B1D0000}"/>
    <cellStyle name="표준 5 2 2 2 2 2 4 6 2 4" xfId="46528" xr:uid="{00000000-0005-0000-0000-00009C1D0000}"/>
    <cellStyle name="표준 5 2 2 2 2 2 4 6 3" xfId="17770" xr:uid="{00000000-0005-0000-0000-00009D1D0000}"/>
    <cellStyle name="표준 5 2 2 2 2 2 4 6 4" xfId="21932" xr:uid="{00000000-0005-0000-0000-00009E1D0000}"/>
    <cellStyle name="표준 5 2 2 2 2 2 4 6 5" xfId="26028" xr:uid="{00000000-0005-0000-0000-00009F1D0000}"/>
    <cellStyle name="표준 5 2 2 2 2 2 4 6 6" xfId="34239" xr:uid="{00000000-0005-0000-0000-0000A01D0000}"/>
    <cellStyle name="표준 5 2 2 2 2 2 4 6 7" xfId="42432" xr:uid="{00000000-0005-0000-0000-0000A11D0000}"/>
    <cellStyle name="표준 5 2 2 2 2 2 4 7" xfId="7370" xr:uid="{00000000-0005-0000-0000-0000A21D0000}"/>
    <cellStyle name="표준 5 2 2 2 2 2 4 7 2" xfId="28076" xr:uid="{00000000-0005-0000-0000-0000A31D0000}"/>
    <cellStyle name="표준 5 2 2 2 2 2 4 7 3" xfId="36287" xr:uid="{00000000-0005-0000-0000-0000A41D0000}"/>
    <cellStyle name="표준 5 2 2 2 2 2 4 7 4" xfId="44480" xr:uid="{00000000-0005-0000-0000-0000A51D0000}"/>
    <cellStyle name="표준 5 2 2 2 2 2 4 8" xfId="11482" xr:uid="{00000000-0005-0000-0000-0000A61D0000}"/>
    <cellStyle name="표준 5 2 2 2 2 2 4 9" xfId="15722" xr:uid="{00000000-0005-0000-0000-0000A71D0000}"/>
    <cellStyle name="표준 5 2 2 2 2 2 5" xfId="643" xr:uid="{00000000-0005-0000-0000-0000A81D0000}"/>
    <cellStyle name="표준 5 2 2 2 2 2 5 10" xfId="24108" xr:uid="{00000000-0005-0000-0000-0000A91D0000}"/>
    <cellStyle name="표준 5 2 2 2 2 2 5 11" xfId="32319" xr:uid="{00000000-0005-0000-0000-0000AA1D0000}"/>
    <cellStyle name="표준 5 2 2 2 2 2 5 12" xfId="40512" xr:uid="{00000000-0005-0000-0000-0000AB1D0000}"/>
    <cellStyle name="표준 5 2 2 2 2 2 5 2" xfId="1155" xr:uid="{00000000-0005-0000-0000-0000AC1D0000}"/>
    <cellStyle name="표준 5 2 2 2 2 2 5 2 2" xfId="10058" xr:uid="{00000000-0005-0000-0000-0000AD1D0000}"/>
    <cellStyle name="표준 5 2 2 2 2 2 5 2 2 2" xfId="14170" xr:uid="{00000000-0005-0000-0000-0000AE1D0000}"/>
    <cellStyle name="표준 5 2 2 2 2 2 5 2 2 2 2" xfId="30764" xr:uid="{00000000-0005-0000-0000-0000AF1D0000}"/>
    <cellStyle name="표준 5 2 2 2 2 2 5 2 2 2 3" xfId="38975" xr:uid="{00000000-0005-0000-0000-0000B01D0000}"/>
    <cellStyle name="표준 5 2 2 2 2 2 5 2 2 2 4" xfId="47168" xr:uid="{00000000-0005-0000-0000-0000B11D0000}"/>
    <cellStyle name="표준 5 2 2 2 2 2 5 2 2 3" xfId="18410" xr:uid="{00000000-0005-0000-0000-0000B21D0000}"/>
    <cellStyle name="표준 5 2 2 2 2 2 5 2 2 4" xfId="22572" xr:uid="{00000000-0005-0000-0000-0000B31D0000}"/>
    <cellStyle name="표준 5 2 2 2 2 2 5 2 2 5" xfId="26668" xr:uid="{00000000-0005-0000-0000-0000B41D0000}"/>
    <cellStyle name="표준 5 2 2 2 2 2 5 2 2 6" xfId="34879" xr:uid="{00000000-0005-0000-0000-0000B51D0000}"/>
    <cellStyle name="표준 5 2 2 2 2 2 5 2 2 7" xfId="43072" xr:uid="{00000000-0005-0000-0000-0000B61D0000}"/>
    <cellStyle name="표준 5 2 2 2 2 2 5 2 3" xfId="8010" xr:uid="{00000000-0005-0000-0000-0000B71D0000}"/>
    <cellStyle name="표준 5 2 2 2 2 2 5 2 3 2" xfId="28716" xr:uid="{00000000-0005-0000-0000-0000B81D0000}"/>
    <cellStyle name="표준 5 2 2 2 2 2 5 2 3 3" xfId="36927" xr:uid="{00000000-0005-0000-0000-0000B91D0000}"/>
    <cellStyle name="표준 5 2 2 2 2 2 5 2 3 4" xfId="45120" xr:uid="{00000000-0005-0000-0000-0000BA1D0000}"/>
    <cellStyle name="표준 5 2 2 2 2 2 5 2 4" xfId="12122" xr:uid="{00000000-0005-0000-0000-0000BB1D0000}"/>
    <cellStyle name="표준 5 2 2 2 2 2 5 2 5" xfId="16362" xr:uid="{00000000-0005-0000-0000-0000BC1D0000}"/>
    <cellStyle name="표준 5 2 2 2 2 2 5 2 6" xfId="20524" xr:uid="{00000000-0005-0000-0000-0000BD1D0000}"/>
    <cellStyle name="표준 5 2 2 2 2 2 5 2 7" xfId="24620" xr:uid="{00000000-0005-0000-0000-0000BE1D0000}"/>
    <cellStyle name="표준 5 2 2 2 2 2 5 2 8" xfId="32831" xr:uid="{00000000-0005-0000-0000-0000BF1D0000}"/>
    <cellStyle name="표준 5 2 2 2 2 2 5 2 9" xfId="41024" xr:uid="{00000000-0005-0000-0000-0000C01D0000}"/>
    <cellStyle name="표준 5 2 2 2 2 2 5 3" xfId="1667" xr:uid="{00000000-0005-0000-0000-0000C11D0000}"/>
    <cellStyle name="표준 5 2 2 2 2 2 5 3 2" xfId="10570" xr:uid="{00000000-0005-0000-0000-0000C21D0000}"/>
    <cellStyle name="표준 5 2 2 2 2 2 5 3 2 2" xfId="14682" xr:uid="{00000000-0005-0000-0000-0000C31D0000}"/>
    <cellStyle name="표준 5 2 2 2 2 2 5 3 2 2 2" xfId="31276" xr:uid="{00000000-0005-0000-0000-0000C41D0000}"/>
    <cellStyle name="표준 5 2 2 2 2 2 5 3 2 2 3" xfId="39487" xr:uid="{00000000-0005-0000-0000-0000C51D0000}"/>
    <cellStyle name="표준 5 2 2 2 2 2 5 3 2 2 4" xfId="47680" xr:uid="{00000000-0005-0000-0000-0000C61D0000}"/>
    <cellStyle name="표준 5 2 2 2 2 2 5 3 2 3" xfId="18922" xr:uid="{00000000-0005-0000-0000-0000C71D0000}"/>
    <cellStyle name="표준 5 2 2 2 2 2 5 3 2 4" xfId="23084" xr:uid="{00000000-0005-0000-0000-0000C81D0000}"/>
    <cellStyle name="표준 5 2 2 2 2 2 5 3 2 5" xfId="27180" xr:uid="{00000000-0005-0000-0000-0000C91D0000}"/>
    <cellStyle name="표준 5 2 2 2 2 2 5 3 2 6" xfId="35391" xr:uid="{00000000-0005-0000-0000-0000CA1D0000}"/>
    <cellStyle name="표준 5 2 2 2 2 2 5 3 2 7" xfId="43584" xr:uid="{00000000-0005-0000-0000-0000CB1D0000}"/>
    <cellStyle name="표준 5 2 2 2 2 2 5 3 3" xfId="8522" xr:uid="{00000000-0005-0000-0000-0000CC1D0000}"/>
    <cellStyle name="표준 5 2 2 2 2 2 5 3 3 2" xfId="29228" xr:uid="{00000000-0005-0000-0000-0000CD1D0000}"/>
    <cellStyle name="표준 5 2 2 2 2 2 5 3 3 3" xfId="37439" xr:uid="{00000000-0005-0000-0000-0000CE1D0000}"/>
    <cellStyle name="표준 5 2 2 2 2 2 5 3 3 4" xfId="45632" xr:uid="{00000000-0005-0000-0000-0000CF1D0000}"/>
    <cellStyle name="표준 5 2 2 2 2 2 5 3 4" xfId="12634" xr:uid="{00000000-0005-0000-0000-0000D01D0000}"/>
    <cellStyle name="표준 5 2 2 2 2 2 5 3 5" xfId="16874" xr:uid="{00000000-0005-0000-0000-0000D11D0000}"/>
    <cellStyle name="표준 5 2 2 2 2 2 5 3 6" xfId="21036" xr:uid="{00000000-0005-0000-0000-0000D21D0000}"/>
    <cellStyle name="표준 5 2 2 2 2 2 5 3 7" xfId="25132" xr:uid="{00000000-0005-0000-0000-0000D31D0000}"/>
    <cellStyle name="표준 5 2 2 2 2 2 5 3 8" xfId="33343" xr:uid="{00000000-0005-0000-0000-0000D41D0000}"/>
    <cellStyle name="표준 5 2 2 2 2 2 5 3 9" xfId="41536" xr:uid="{00000000-0005-0000-0000-0000D51D0000}"/>
    <cellStyle name="표준 5 2 2 2 2 2 5 4" xfId="2179" xr:uid="{00000000-0005-0000-0000-0000D61D0000}"/>
    <cellStyle name="표준 5 2 2 2 2 2 5 4 2" xfId="11082" xr:uid="{00000000-0005-0000-0000-0000D71D0000}"/>
    <cellStyle name="표준 5 2 2 2 2 2 5 4 2 2" xfId="15194" xr:uid="{00000000-0005-0000-0000-0000D81D0000}"/>
    <cellStyle name="표준 5 2 2 2 2 2 5 4 2 2 2" xfId="31788" xr:uid="{00000000-0005-0000-0000-0000D91D0000}"/>
    <cellStyle name="표준 5 2 2 2 2 2 5 4 2 2 3" xfId="39999" xr:uid="{00000000-0005-0000-0000-0000DA1D0000}"/>
    <cellStyle name="표준 5 2 2 2 2 2 5 4 2 2 4" xfId="48192" xr:uid="{00000000-0005-0000-0000-0000DB1D0000}"/>
    <cellStyle name="표준 5 2 2 2 2 2 5 4 2 3" xfId="19434" xr:uid="{00000000-0005-0000-0000-0000DC1D0000}"/>
    <cellStyle name="표준 5 2 2 2 2 2 5 4 2 4" xfId="23596" xr:uid="{00000000-0005-0000-0000-0000DD1D0000}"/>
    <cellStyle name="표준 5 2 2 2 2 2 5 4 2 5" xfId="27692" xr:uid="{00000000-0005-0000-0000-0000DE1D0000}"/>
    <cellStyle name="표준 5 2 2 2 2 2 5 4 2 6" xfId="35903" xr:uid="{00000000-0005-0000-0000-0000DF1D0000}"/>
    <cellStyle name="표준 5 2 2 2 2 2 5 4 2 7" xfId="44096" xr:uid="{00000000-0005-0000-0000-0000E01D0000}"/>
    <cellStyle name="표준 5 2 2 2 2 2 5 4 3" xfId="9034" xr:uid="{00000000-0005-0000-0000-0000E11D0000}"/>
    <cellStyle name="표준 5 2 2 2 2 2 5 4 3 2" xfId="29740" xr:uid="{00000000-0005-0000-0000-0000E21D0000}"/>
    <cellStyle name="표준 5 2 2 2 2 2 5 4 3 3" xfId="37951" xr:uid="{00000000-0005-0000-0000-0000E31D0000}"/>
    <cellStyle name="표준 5 2 2 2 2 2 5 4 3 4" xfId="46144" xr:uid="{00000000-0005-0000-0000-0000E41D0000}"/>
    <cellStyle name="표준 5 2 2 2 2 2 5 4 4" xfId="13146" xr:uid="{00000000-0005-0000-0000-0000E51D0000}"/>
    <cellStyle name="표준 5 2 2 2 2 2 5 4 5" xfId="17386" xr:uid="{00000000-0005-0000-0000-0000E61D0000}"/>
    <cellStyle name="표준 5 2 2 2 2 2 5 4 6" xfId="21548" xr:uid="{00000000-0005-0000-0000-0000E71D0000}"/>
    <cellStyle name="표준 5 2 2 2 2 2 5 4 7" xfId="25644" xr:uid="{00000000-0005-0000-0000-0000E81D0000}"/>
    <cellStyle name="표준 5 2 2 2 2 2 5 4 8" xfId="33855" xr:uid="{00000000-0005-0000-0000-0000E91D0000}"/>
    <cellStyle name="표준 5 2 2 2 2 2 5 4 9" xfId="42048" xr:uid="{00000000-0005-0000-0000-0000EA1D0000}"/>
    <cellStyle name="표준 5 2 2 2 2 2 5 5" xfId="9546" xr:uid="{00000000-0005-0000-0000-0000EB1D0000}"/>
    <cellStyle name="표준 5 2 2 2 2 2 5 5 2" xfId="13658" xr:uid="{00000000-0005-0000-0000-0000EC1D0000}"/>
    <cellStyle name="표준 5 2 2 2 2 2 5 5 2 2" xfId="30252" xr:uid="{00000000-0005-0000-0000-0000ED1D0000}"/>
    <cellStyle name="표준 5 2 2 2 2 2 5 5 2 3" xfId="38463" xr:uid="{00000000-0005-0000-0000-0000EE1D0000}"/>
    <cellStyle name="표준 5 2 2 2 2 2 5 5 2 4" xfId="46656" xr:uid="{00000000-0005-0000-0000-0000EF1D0000}"/>
    <cellStyle name="표준 5 2 2 2 2 2 5 5 3" xfId="17898" xr:uid="{00000000-0005-0000-0000-0000F01D0000}"/>
    <cellStyle name="표준 5 2 2 2 2 2 5 5 4" xfId="22060" xr:uid="{00000000-0005-0000-0000-0000F11D0000}"/>
    <cellStyle name="표준 5 2 2 2 2 2 5 5 5" xfId="26156" xr:uid="{00000000-0005-0000-0000-0000F21D0000}"/>
    <cellStyle name="표준 5 2 2 2 2 2 5 5 6" xfId="34367" xr:uid="{00000000-0005-0000-0000-0000F31D0000}"/>
    <cellStyle name="표준 5 2 2 2 2 2 5 5 7" xfId="42560" xr:uid="{00000000-0005-0000-0000-0000F41D0000}"/>
    <cellStyle name="표준 5 2 2 2 2 2 5 6" xfId="7498" xr:uid="{00000000-0005-0000-0000-0000F51D0000}"/>
    <cellStyle name="표준 5 2 2 2 2 2 5 6 2" xfId="28204" xr:uid="{00000000-0005-0000-0000-0000F61D0000}"/>
    <cellStyle name="표준 5 2 2 2 2 2 5 6 3" xfId="36415" xr:uid="{00000000-0005-0000-0000-0000F71D0000}"/>
    <cellStyle name="표준 5 2 2 2 2 2 5 6 4" xfId="44608" xr:uid="{00000000-0005-0000-0000-0000F81D0000}"/>
    <cellStyle name="표준 5 2 2 2 2 2 5 7" xfId="11610" xr:uid="{00000000-0005-0000-0000-0000F91D0000}"/>
    <cellStyle name="표준 5 2 2 2 2 2 5 8" xfId="15850" xr:uid="{00000000-0005-0000-0000-0000FA1D0000}"/>
    <cellStyle name="표준 5 2 2 2 2 2 5 9" xfId="20012" xr:uid="{00000000-0005-0000-0000-0000FB1D0000}"/>
    <cellStyle name="표준 5 2 2 2 2 2 6" xfId="899" xr:uid="{00000000-0005-0000-0000-0000FC1D0000}"/>
    <cellStyle name="표준 5 2 2 2 2 2 6 2" xfId="9802" xr:uid="{00000000-0005-0000-0000-0000FD1D0000}"/>
    <cellStyle name="표준 5 2 2 2 2 2 6 2 2" xfId="13914" xr:uid="{00000000-0005-0000-0000-0000FE1D0000}"/>
    <cellStyle name="표준 5 2 2 2 2 2 6 2 2 2" xfId="30508" xr:uid="{00000000-0005-0000-0000-0000FF1D0000}"/>
    <cellStyle name="표준 5 2 2 2 2 2 6 2 2 3" xfId="38719" xr:uid="{00000000-0005-0000-0000-0000001E0000}"/>
    <cellStyle name="표준 5 2 2 2 2 2 6 2 2 4" xfId="46912" xr:uid="{00000000-0005-0000-0000-0000011E0000}"/>
    <cellStyle name="표준 5 2 2 2 2 2 6 2 3" xfId="18154" xr:uid="{00000000-0005-0000-0000-0000021E0000}"/>
    <cellStyle name="표준 5 2 2 2 2 2 6 2 4" xfId="22316" xr:uid="{00000000-0005-0000-0000-0000031E0000}"/>
    <cellStyle name="표준 5 2 2 2 2 2 6 2 5" xfId="26412" xr:uid="{00000000-0005-0000-0000-0000041E0000}"/>
    <cellStyle name="표준 5 2 2 2 2 2 6 2 6" xfId="34623" xr:uid="{00000000-0005-0000-0000-0000051E0000}"/>
    <cellStyle name="표준 5 2 2 2 2 2 6 2 7" xfId="42816" xr:uid="{00000000-0005-0000-0000-0000061E0000}"/>
    <cellStyle name="표준 5 2 2 2 2 2 6 3" xfId="7754" xr:uid="{00000000-0005-0000-0000-0000071E0000}"/>
    <cellStyle name="표준 5 2 2 2 2 2 6 3 2" xfId="28460" xr:uid="{00000000-0005-0000-0000-0000081E0000}"/>
    <cellStyle name="표준 5 2 2 2 2 2 6 3 3" xfId="36671" xr:uid="{00000000-0005-0000-0000-0000091E0000}"/>
    <cellStyle name="표준 5 2 2 2 2 2 6 3 4" xfId="44864" xr:uid="{00000000-0005-0000-0000-00000A1E0000}"/>
    <cellStyle name="표준 5 2 2 2 2 2 6 4" xfId="11866" xr:uid="{00000000-0005-0000-0000-00000B1E0000}"/>
    <cellStyle name="표준 5 2 2 2 2 2 6 5" xfId="16106" xr:uid="{00000000-0005-0000-0000-00000C1E0000}"/>
    <cellStyle name="표준 5 2 2 2 2 2 6 6" xfId="20268" xr:uid="{00000000-0005-0000-0000-00000D1E0000}"/>
    <cellStyle name="표준 5 2 2 2 2 2 6 7" xfId="24364" xr:uid="{00000000-0005-0000-0000-00000E1E0000}"/>
    <cellStyle name="표준 5 2 2 2 2 2 6 8" xfId="32575" xr:uid="{00000000-0005-0000-0000-00000F1E0000}"/>
    <cellStyle name="표준 5 2 2 2 2 2 6 9" xfId="40768" xr:uid="{00000000-0005-0000-0000-0000101E0000}"/>
    <cellStyle name="표준 5 2 2 2 2 2 7" xfId="1411" xr:uid="{00000000-0005-0000-0000-0000111E0000}"/>
    <cellStyle name="표준 5 2 2 2 2 2 7 2" xfId="10314" xr:uid="{00000000-0005-0000-0000-0000121E0000}"/>
    <cellStyle name="표준 5 2 2 2 2 2 7 2 2" xfId="14426" xr:uid="{00000000-0005-0000-0000-0000131E0000}"/>
    <cellStyle name="표준 5 2 2 2 2 2 7 2 2 2" xfId="31020" xr:uid="{00000000-0005-0000-0000-0000141E0000}"/>
    <cellStyle name="표준 5 2 2 2 2 2 7 2 2 3" xfId="39231" xr:uid="{00000000-0005-0000-0000-0000151E0000}"/>
    <cellStyle name="표준 5 2 2 2 2 2 7 2 2 4" xfId="47424" xr:uid="{00000000-0005-0000-0000-0000161E0000}"/>
    <cellStyle name="표준 5 2 2 2 2 2 7 2 3" xfId="18666" xr:uid="{00000000-0005-0000-0000-0000171E0000}"/>
    <cellStyle name="표준 5 2 2 2 2 2 7 2 4" xfId="22828" xr:uid="{00000000-0005-0000-0000-0000181E0000}"/>
    <cellStyle name="표준 5 2 2 2 2 2 7 2 5" xfId="26924" xr:uid="{00000000-0005-0000-0000-0000191E0000}"/>
    <cellStyle name="표준 5 2 2 2 2 2 7 2 6" xfId="35135" xr:uid="{00000000-0005-0000-0000-00001A1E0000}"/>
    <cellStyle name="표준 5 2 2 2 2 2 7 2 7" xfId="43328" xr:uid="{00000000-0005-0000-0000-00001B1E0000}"/>
    <cellStyle name="표준 5 2 2 2 2 2 7 3" xfId="8266" xr:uid="{00000000-0005-0000-0000-00001C1E0000}"/>
    <cellStyle name="표준 5 2 2 2 2 2 7 3 2" xfId="28972" xr:uid="{00000000-0005-0000-0000-00001D1E0000}"/>
    <cellStyle name="표준 5 2 2 2 2 2 7 3 3" xfId="37183" xr:uid="{00000000-0005-0000-0000-00001E1E0000}"/>
    <cellStyle name="표준 5 2 2 2 2 2 7 3 4" xfId="45376" xr:uid="{00000000-0005-0000-0000-00001F1E0000}"/>
    <cellStyle name="표준 5 2 2 2 2 2 7 4" xfId="12378" xr:uid="{00000000-0005-0000-0000-0000201E0000}"/>
    <cellStyle name="표준 5 2 2 2 2 2 7 5" xfId="16618" xr:uid="{00000000-0005-0000-0000-0000211E0000}"/>
    <cellStyle name="표준 5 2 2 2 2 2 7 6" xfId="20780" xr:uid="{00000000-0005-0000-0000-0000221E0000}"/>
    <cellStyle name="표준 5 2 2 2 2 2 7 7" xfId="24876" xr:uid="{00000000-0005-0000-0000-0000231E0000}"/>
    <cellStyle name="표준 5 2 2 2 2 2 7 8" xfId="33087" xr:uid="{00000000-0005-0000-0000-0000241E0000}"/>
    <cellStyle name="표준 5 2 2 2 2 2 7 9" xfId="41280" xr:uid="{00000000-0005-0000-0000-0000251E0000}"/>
    <cellStyle name="표준 5 2 2 2 2 2 8" xfId="1923" xr:uid="{00000000-0005-0000-0000-0000261E0000}"/>
    <cellStyle name="표준 5 2 2 2 2 2 8 2" xfId="10826" xr:uid="{00000000-0005-0000-0000-0000271E0000}"/>
    <cellStyle name="표준 5 2 2 2 2 2 8 2 2" xfId="14938" xr:uid="{00000000-0005-0000-0000-0000281E0000}"/>
    <cellStyle name="표준 5 2 2 2 2 2 8 2 2 2" xfId="31532" xr:uid="{00000000-0005-0000-0000-0000291E0000}"/>
    <cellStyle name="표준 5 2 2 2 2 2 8 2 2 3" xfId="39743" xr:uid="{00000000-0005-0000-0000-00002A1E0000}"/>
    <cellStyle name="표준 5 2 2 2 2 2 8 2 2 4" xfId="47936" xr:uid="{00000000-0005-0000-0000-00002B1E0000}"/>
    <cellStyle name="표준 5 2 2 2 2 2 8 2 3" xfId="19178" xr:uid="{00000000-0005-0000-0000-00002C1E0000}"/>
    <cellStyle name="표준 5 2 2 2 2 2 8 2 4" xfId="23340" xr:uid="{00000000-0005-0000-0000-00002D1E0000}"/>
    <cellStyle name="표준 5 2 2 2 2 2 8 2 5" xfId="27436" xr:uid="{00000000-0005-0000-0000-00002E1E0000}"/>
    <cellStyle name="표준 5 2 2 2 2 2 8 2 6" xfId="35647" xr:uid="{00000000-0005-0000-0000-00002F1E0000}"/>
    <cellStyle name="표준 5 2 2 2 2 2 8 2 7" xfId="43840" xr:uid="{00000000-0005-0000-0000-0000301E0000}"/>
    <cellStyle name="표준 5 2 2 2 2 2 8 3" xfId="8778" xr:uid="{00000000-0005-0000-0000-0000311E0000}"/>
    <cellStyle name="표준 5 2 2 2 2 2 8 3 2" xfId="29484" xr:uid="{00000000-0005-0000-0000-0000321E0000}"/>
    <cellStyle name="표준 5 2 2 2 2 2 8 3 3" xfId="37695" xr:uid="{00000000-0005-0000-0000-0000331E0000}"/>
    <cellStyle name="표준 5 2 2 2 2 2 8 3 4" xfId="45888" xr:uid="{00000000-0005-0000-0000-0000341E0000}"/>
    <cellStyle name="표준 5 2 2 2 2 2 8 4" xfId="12890" xr:uid="{00000000-0005-0000-0000-0000351E0000}"/>
    <cellStyle name="표준 5 2 2 2 2 2 8 5" xfId="17130" xr:uid="{00000000-0005-0000-0000-0000361E0000}"/>
    <cellStyle name="표준 5 2 2 2 2 2 8 6" xfId="21292" xr:uid="{00000000-0005-0000-0000-0000371E0000}"/>
    <cellStyle name="표준 5 2 2 2 2 2 8 7" xfId="25388" xr:uid="{00000000-0005-0000-0000-0000381E0000}"/>
    <cellStyle name="표준 5 2 2 2 2 2 8 8" xfId="33599" xr:uid="{00000000-0005-0000-0000-0000391E0000}"/>
    <cellStyle name="표준 5 2 2 2 2 2 8 9" xfId="41792" xr:uid="{00000000-0005-0000-0000-00003A1E0000}"/>
    <cellStyle name="표준 5 2 2 2 2 2 9" xfId="6979" xr:uid="{00000000-0005-0000-0000-00003B1E0000}"/>
    <cellStyle name="표준 5 2 2 2 2 2 9 2" xfId="9290" xr:uid="{00000000-0005-0000-0000-00003C1E0000}"/>
    <cellStyle name="표준 5 2 2 2 2 2 9 2 2" xfId="29996" xr:uid="{00000000-0005-0000-0000-00003D1E0000}"/>
    <cellStyle name="표준 5 2 2 2 2 2 9 2 3" xfId="38207" xr:uid="{00000000-0005-0000-0000-00003E1E0000}"/>
    <cellStyle name="표준 5 2 2 2 2 2 9 2 4" xfId="46400" xr:uid="{00000000-0005-0000-0000-00003F1E0000}"/>
    <cellStyle name="표준 5 2 2 2 2 2 9 3" xfId="13402" xr:uid="{00000000-0005-0000-0000-0000401E0000}"/>
    <cellStyle name="표준 5 2 2 2 2 2 9 4" xfId="17642" xr:uid="{00000000-0005-0000-0000-0000411E0000}"/>
    <cellStyle name="표준 5 2 2 2 2 2 9 5" xfId="21804" xr:uid="{00000000-0005-0000-0000-0000421E0000}"/>
    <cellStyle name="표준 5 2 2 2 2 2 9 6" xfId="25900" xr:uid="{00000000-0005-0000-0000-0000431E0000}"/>
    <cellStyle name="표준 5 2 2 2 2 2 9 7" xfId="34111" xr:uid="{00000000-0005-0000-0000-0000441E0000}"/>
    <cellStyle name="표준 5 2 2 2 2 2 9 8" xfId="42304" xr:uid="{00000000-0005-0000-0000-0000451E0000}"/>
    <cellStyle name="표준 5 2 2 2 2 20" xfId="15450" xr:uid="{00000000-0005-0000-0000-0000461E0000}"/>
    <cellStyle name="표준 5 2 2 2 2 21" xfId="15466" xr:uid="{00000000-0005-0000-0000-0000471E0000}"/>
    <cellStyle name="표준 5 2 2 2 2 22" xfId="15562" xr:uid="{00000000-0005-0000-0000-0000481E0000}"/>
    <cellStyle name="표준 5 2 2 2 2 23" xfId="15578" xr:uid="{00000000-0005-0000-0000-0000491E0000}"/>
    <cellStyle name="표준 5 2 2 2 2 24" xfId="19674" xr:uid="{00000000-0005-0000-0000-00004A1E0000}"/>
    <cellStyle name="표준 5 2 2 2 2 25" xfId="19690" xr:uid="{00000000-0005-0000-0000-00004B1E0000}"/>
    <cellStyle name="표준 5 2 2 2 2 26" xfId="19706" xr:uid="{00000000-0005-0000-0000-00004C1E0000}"/>
    <cellStyle name="표준 5 2 2 2 2 27" xfId="19722" xr:uid="{00000000-0005-0000-0000-00004D1E0000}"/>
    <cellStyle name="표준 5 2 2 2 2 28" xfId="19725" xr:uid="{00000000-0005-0000-0000-00004E1E0000}"/>
    <cellStyle name="표준 5 2 2 2 2 29" xfId="23836" xr:uid="{00000000-0005-0000-0000-00004F1E0000}"/>
    <cellStyle name="표준 5 2 2 2 2 3" xfId="293" xr:uid="{00000000-0005-0000-0000-0000501E0000}"/>
    <cellStyle name="표준 5 2 2 2 2 3 10" xfId="7163" xr:uid="{00000000-0005-0000-0000-0000511E0000}"/>
    <cellStyle name="표준 5 2 2 2 2 3 11" xfId="7258" xr:uid="{00000000-0005-0000-0000-0000521E0000}"/>
    <cellStyle name="표준 5 2 2 2 2 3 12" xfId="11370" xr:uid="{00000000-0005-0000-0000-0000531E0000}"/>
    <cellStyle name="표준 5 2 2 2 2 3 13" xfId="15498" xr:uid="{00000000-0005-0000-0000-0000541E0000}"/>
    <cellStyle name="표준 5 2 2 2 2 3 14" xfId="15610" xr:uid="{00000000-0005-0000-0000-0000551E0000}"/>
    <cellStyle name="표준 5 2 2 2 2 3 15" xfId="19772" xr:uid="{00000000-0005-0000-0000-0000561E0000}"/>
    <cellStyle name="표준 5 2 2 2 2 3 16" xfId="23868" xr:uid="{00000000-0005-0000-0000-0000571E0000}"/>
    <cellStyle name="표준 5 2 2 2 2 3 17" xfId="32079" xr:uid="{00000000-0005-0000-0000-0000581E0000}"/>
    <cellStyle name="표준 5 2 2 2 2 3 18" xfId="40272" xr:uid="{00000000-0005-0000-0000-0000591E0000}"/>
    <cellStyle name="표준 5 2 2 2 2 3 19" xfId="49702" xr:uid="{00000000-0005-0000-0000-00005A1E0000}"/>
    <cellStyle name="표준 5 2 2 2 2 3 2" xfId="467" xr:uid="{00000000-0005-0000-0000-00005B1E0000}"/>
    <cellStyle name="표준 5 2 2 2 2 3 2 10" xfId="11434" xr:uid="{00000000-0005-0000-0000-00005C1E0000}"/>
    <cellStyle name="표준 5 2 2 2 2 3 2 11" xfId="15546" xr:uid="{00000000-0005-0000-0000-00005D1E0000}"/>
    <cellStyle name="표준 5 2 2 2 2 3 2 12" xfId="15674" xr:uid="{00000000-0005-0000-0000-00005E1E0000}"/>
    <cellStyle name="표준 5 2 2 2 2 3 2 13" xfId="19836" xr:uid="{00000000-0005-0000-0000-00005F1E0000}"/>
    <cellStyle name="표준 5 2 2 2 2 3 2 14" xfId="23932" xr:uid="{00000000-0005-0000-0000-0000601E0000}"/>
    <cellStyle name="표준 5 2 2 2 2 3 2 15" xfId="32143" xr:uid="{00000000-0005-0000-0000-0000611E0000}"/>
    <cellStyle name="표준 5 2 2 2 2 3 2 16" xfId="40336" xr:uid="{00000000-0005-0000-0000-0000621E0000}"/>
    <cellStyle name="표준 5 2 2 2 2 3 2 2" xfId="595" xr:uid="{00000000-0005-0000-0000-0000631E0000}"/>
    <cellStyle name="표준 5 2 2 2 2 3 2 2 10" xfId="19964" xr:uid="{00000000-0005-0000-0000-0000641E0000}"/>
    <cellStyle name="표준 5 2 2 2 2 3 2 2 11" xfId="24060" xr:uid="{00000000-0005-0000-0000-0000651E0000}"/>
    <cellStyle name="표준 5 2 2 2 2 3 2 2 12" xfId="32271" xr:uid="{00000000-0005-0000-0000-0000661E0000}"/>
    <cellStyle name="표준 5 2 2 2 2 3 2 2 13" xfId="40464" xr:uid="{00000000-0005-0000-0000-0000671E0000}"/>
    <cellStyle name="표준 5 2 2 2 2 3 2 2 2" xfId="851" xr:uid="{00000000-0005-0000-0000-0000681E0000}"/>
    <cellStyle name="표준 5 2 2 2 2 3 2 2 2 10" xfId="24316" xr:uid="{00000000-0005-0000-0000-0000691E0000}"/>
    <cellStyle name="표준 5 2 2 2 2 3 2 2 2 11" xfId="32527" xr:uid="{00000000-0005-0000-0000-00006A1E0000}"/>
    <cellStyle name="표준 5 2 2 2 2 3 2 2 2 12" xfId="40720" xr:uid="{00000000-0005-0000-0000-00006B1E0000}"/>
    <cellStyle name="표준 5 2 2 2 2 3 2 2 2 2" xfId="1363" xr:uid="{00000000-0005-0000-0000-00006C1E0000}"/>
    <cellStyle name="표준 5 2 2 2 2 3 2 2 2 2 2" xfId="10266" xr:uid="{00000000-0005-0000-0000-00006D1E0000}"/>
    <cellStyle name="표준 5 2 2 2 2 3 2 2 2 2 2 2" xfId="14378" xr:uid="{00000000-0005-0000-0000-00006E1E0000}"/>
    <cellStyle name="표준 5 2 2 2 2 3 2 2 2 2 2 2 2" xfId="30972" xr:uid="{00000000-0005-0000-0000-00006F1E0000}"/>
    <cellStyle name="표준 5 2 2 2 2 3 2 2 2 2 2 2 3" xfId="39183" xr:uid="{00000000-0005-0000-0000-0000701E0000}"/>
    <cellStyle name="표준 5 2 2 2 2 3 2 2 2 2 2 2 4" xfId="47376" xr:uid="{00000000-0005-0000-0000-0000711E0000}"/>
    <cellStyle name="표준 5 2 2 2 2 3 2 2 2 2 2 3" xfId="18618" xr:uid="{00000000-0005-0000-0000-0000721E0000}"/>
    <cellStyle name="표준 5 2 2 2 2 3 2 2 2 2 2 4" xfId="22780" xr:uid="{00000000-0005-0000-0000-0000731E0000}"/>
    <cellStyle name="표준 5 2 2 2 2 3 2 2 2 2 2 5" xfId="26876" xr:uid="{00000000-0005-0000-0000-0000741E0000}"/>
    <cellStyle name="표준 5 2 2 2 2 3 2 2 2 2 2 6" xfId="35087" xr:uid="{00000000-0005-0000-0000-0000751E0000}"/>
    <cellStyle name="표준 5 2 2 2 2 3 2 2 2 2 2 7" xfId="43280" xr:uid="{00000000-0005-0000-0000-0000761E0000}"/>
    <cellStyle name="표준 5 2 2 2 2 3 2 2 2 2 3" xfId="8218" xr:uid="{00000000-0005-0000-0000-0000771E0000}"/>
    <cellStyle name="표준 5 2 2 2 2 3 2 2 2 2 3 2" xfId="28924" xr:uid="{00000000-0005-0000-0000-0000781E0000}"/>
    <cellStyle name="표준 5 2 2 2 2 3 2 2 2 2 3 3" xfId="37135" xr:uid="{00000000-0005-0000-0000-0000791E0000}"/>
    <cellStyle name="표준 5 2 2 2 2 3 2 2 2 2 3 4" xfId="45328" xr:uid="{00000000-0005-0000-0000-00007A1E0000}"/>
    <cellStyle name="표준 5 2 2 2 2 3 2 2 2 2 4" xfId="12330" xr:uid="{00000000-0005-0000-0000-00007B1E0000}"/>
    <cellStyle name="표준 5 2 2 2 2 3 2 2 2 2 5" xfId="16570" xr:uid="{00000000-0005-0000-0000-00007C1E0000}"/>
    <cellStyle name="표준 5 2 2 2 2 3 2 2 2 2 6" xfId="20732" xr:uid="{00000000-0005-0000-0000-00007D1E0000}"/>
    <cellStyle name="표준 5 2 2 2 2 3 2 2 2 2 7" xfId="24828" xr:uid="{00000000-0005-0000-0000-00007E1E0000}"/>
    <cellStyle name="표준 5 2 2 2 2 3 2 2 2 2 8" xfId="33039" xr:uid="{00000000-0005-0000-0000-00007F1E0000}"/>
    <cellStyle name="표준 5 2 2 2 2 3 2 2 2 2 9" xfId="41232" xr:uid="{00000000-0005-0000-0000-0000801E0000}"/>
    <cellStyle name="표준 5 2 2 2 2 3 2 2 2 3" xfId="1875" xr:uid="{00000000-0005-0000-0000-0000811E0000}"/>
    <cellStyle name="표준 5 2 2 2 2 3 2 2 2 3 2" xfId="10778" xr:uid="{00000000-0005-0000-0000-0000821E0000}"/>
    <cellStyle name="표준 5 2 2 2 2 3 2 2 2 3 2 2" xfId="14890" xr:uid="{00000000-0005-0000-0000-0000831E0000}"/>
    <cellStyle name="표준 5 2 2 2 2 3 2 2 2 3 2 2 2" xfId="31484" xr:uid="{00000000-0005-0000-0000-0000841E0000}"/>
    <cellStyle name="표준 5 2 2 2 2 3 2 2 2 3 2 2 3" xfId="39695" xr:uid="{00000000-0005-0000-0000-0000851E0000}"/>
    <cellStyle name="표준 5 2 2 2 2 3 2 2 2 3 2 2 4" xfId="47888" xr:uid="{00000000-0005-0000-0000-0000861E0000}"/>
    <cellStyle name="표준 5 2 2 2 2 3 2 2 2 3 2 3" xfId="19130" xr:uid="{00000000-0005-0000-0000-0000871E0000}"/>
    <cellStyle name="표준 5 2 2 2 2 3 2 2 2 3 2 4" xfId="23292" xr:uid="{00000000-0005-0000-0000-0000881E0000}"/>
    <cellStyle name="표준 5 2 2 2 2 3 2 2 2 3 2 5" xfId="27388" xr:uid="{00000000-0005-0000-0000-0000891E0000}"/>
    <cellStyle name="표준 5 2 2 2 2 3 2 2 2 3 2 6" xfId="35599" xr:uid="{00000000-0005-0000-0000-00008A1E0000}"/>
    <cellStyle name="표준 5 2 2 2 2 3 2 2 2 3 2 7" xfId="43792" xr:uid="{00000000-0005-0000-0000-00008B1E0000}"/>
    <cellStyle name="표준 5 2 2 2 2 3 2 2 2 3 3" xfId="8730" xr:uid="{00000000-0005-0000-0000-00008C1E0000}"/>
    <cellStyle name="표준 5 2 2 2 2 3 2 2 2 3 3 2" xfId="29436" xr:uid="{00000000-0005-0000-0000-00008D1E0000}"/>
    <cellStyle name="표준 5 2 2 2 2 3 2 2 2 3 3 3" xfId="37647" xr:uid="{00000000-0005-0000-0000-00008E1E0000}"/>
    <cellStyle name="표준 5 2 2 2 2 3 2 2 2 3 3 4" xfId="45840" xr:uid="{00000000-0005-0000-0000-00008F1E0000}"/>
    <cellStyle name="표준 5 2 2 2 2 3 2 2 2 3 4" xfId="12842" xr:uid="{00000000-0005-0000-0000-0000901E0000}"/>
    <cellStyle name="표준 5 2 2 2 2 3 2 2 2 3 5" xfId="17082" xr:uid="{00000000-0005-0000-0000-0000911E0000}"/>
    <cellStyle name="표준 5 2 2 2 2 3 2 2 2 3 6" xfId="21244" xr:uid="{00000000-0005-0000-0000-0000921E0000}"/>
    <cellStyle name="표준 5 2 2 2 2 3 2 2 2 3 7" xfId="25340" xr:uid="{00000000-0005-0000-0000-0000931E0000}"/>
    <cellStyle name="표준 5 2 2 2 2 3 2 2 2 3 8" xfId="33551" xr:uid="{00000000-0005-0000-0000-0000941E0000}"/>
    <cellStyle name="표준 5 2 2 2 2 3 2 2 2 3 9" xfId="41744" xr:uid="{00000000-0005-0000-0000-0000951E0000}"/>
    <cellStyle name="표준 5 2 2 2 2 3 2 2 2 4" xfId="2387" xr:uid="{00000000-0005-0000-0000-0000961E0000}"/>
    <cellStyle name="표준 5 2 2 2 2 3 2 2 2 4 2" xfId="11290" xr:uid="{00000000-0005-0000-0000-0000971E0000}"/>
    <cellStyle name="표준 5 2 2 2 2 3 2 2 2 4 2 2" xfId="15402" xr:uid="{00000000-0005-0000-0000-0000981E0000}"/>
    <cellStyle name="표준 5 2 2 2 2 3 2 2 2 4 2 2 2" xfId="31996" xr:uid="{00000000-0005-0000-0000-0000991E0000}"/>
    <cellStyle name="표준 5 2 2 2 2 3 2 2 2 4 2 2 3" xfId="40207" xr:uid="{00000000-0005-0000-0000-00009A1E0000}"/>
    <cellStyle name="표준 5 2 2 2 2 3 2 2 2 4 2 2 4" xfId="48400" xr:uid="{00000000-0005-0000-0000-00009B1E0000}"/>
    <cellStyle name="표준 5 2 2 2 2 3 2 2 2 4 2 3" xfId="19642" xr:uid="{00000000-0005-0000-0000-00009C1E0000}"/>
    <cellStyle name="표준 5 2 2 2 2 3 2 2 2 4 2 4" xfId="23804" xr:uid="{00000000-0005-0000-0000-00009D1E0000}"/>
    <cellStyle name="표준 5 2 2 2 2 3 2 2 2 4 2 5" xfId="27900" xr:uid="{00000000-0005-0000-0000-00009E1E0000}"/>
    <cellStyle name="표준 5 2 2 2 2 3 2 2 2 4 2 6" xfId="36111" xr:uid="{00000000-0005-0000-0000-00009F1E0000}"/>
    <cellStyle name="표준 5 2 2 2 2 3 2 2 2 4 2 7" xfId="44304" xr:uid="{00000000-0005-0000-0000-0000A01E0000}"/>
    <cellStyle name="표준 5 2 2 2 2 3 2 2 2 4 3" xfId="9242" xr:uid="{00000000-0005-0000-0000-0000A11E0000}"/>
    <cellStyle name="표준 5 2 2 2 2 3 2 2 2 4 3 2" xfId="29948" xr:uid="{00000000-0005-0000-0000-0000A21E0000}"/>
    <cellStyle name="표준 5 2 2 2 2 3 2 2 2 4 3 3" xfId="38159" xr:uid="{00000000-0005-0000-0000-0000A31E0000}"/>
    <cellStyle name="표준 5 2 2 2 2 3 2 2 2 4 3 4" xfId="46352" xr:uid="{00000000-0005-0000-0000-0000A41E0000}"/>
    <cellStyle name="표준 5 2 2 2 2 3 2 2 2 4 4" xfId="13354" xr:uid="{00000000-0005-0000-0000-0000A51E0000}"/>
    <cellStyle name="표준 5 2 2 2 2 3 2 2 2 4 5" xfId="17594" xr:uid="{00000000-0005-0000-0000-0000A61E0000}"/>
    <cellStyle name="표준 5 2 2 2 2 3 2 2 2 4 6" xfId="21756" xr:uid="{00000000-0005-0000-0000-0000A71E0000}"/>
    <cellStyle name="표준 5 2 2 2 2 3 2 2 2 4 7" xfId="25852" xr:uid="{00000000-0005-0000-0000-0000A81E0000}"/>
    <cellStyle name="표준 5 2 2 2 2 3 2 2 2 4 8" xfId="34063" xr:uid="{00000000-0005-0000-0000-0000A91E0000}"/>
    <cellStyle name="표준 5 2 2 2 2 3 2 2 2 4 9" xfId="42256" xr:uid="{00000000-0005-0000-0000-0000AA1E0000}"/>
    <cellStyle name="표준 5 2 2 2 2 3 2 2 2 5" xfId="9754" xr:uid="{00000000-0005-0000-0000-0000AB1E0000}"/>
    <cellStyle name="표준 5 2 2 2 2 3 2 2 2 5 2" xfId="13866" xr:uid="{00000000-0005-0000-0000-0000AC1E0000}"/>
    <cellStyle name="표준 5 2 2 2 2 3 2 2 2 5 2 2" xfId="30460" xr:uid="{00000000-0005-0000-0000-0000AD1E0000}"/>
    <cellStyle name="표준 5 2 2 2 2 3 2 2 2 5 2 3" xfId="38671" xr:uid="{00000000-0005-0000-0000-0000AE1E0000}"/>
    <cellStyle name="표준 5 2 2 2 2 3 2 2 2 5 2 4" xfId="46864" xr:uid="{00000000-0005-0000-0000-0000AF1E0000}"/>
    <cellStyle name="표준 5 2 2 2 2 3 2 2 2 5 3" xfId="18106" xr:uid="{00000000-0005-0000-0000-0000B01E0000}"/>
    <cellStyle name="표준 5 2 2 2 2 3 2 2 2 5 4" xfId="22268" xr:uid="{00000000-0005-0000-0000-0000B11E0000}"/>
    <cellStyle name="표준 5 2 2 2 2 3 2 2 2 5 5" xfId="26364" xr:uid="{00000000-0005-0000-0000-0000B21E0000}"/>
    <cellStyle name="표준 5 2 2 2 2 3 2 2 2 5 6" xfId="34575" xr:uid="{00000000-0005-0000-0000-0000B31E0000}"/>
    <cellStyle name="표준 5 2 2 2 2 3 2 2 2 5 7" xfId="42768" xr:uid="{00000000-0005-0000-0000-0000B41E0000}"/>
    <cellStyle name="표준 5 2 2 2 2 3 2 2 2 6" xfId="7706" xr:uid="{00000000-0005-0000-0000-0000B51E0000}"/>
    <cellStyle name="표준 5 2 2 2 2 3 2 2 2 6 2" xfId="28412" xr:uid="{00000000-0005-0000-0000-0000B61E0000}"/>
    <cellStyle name="표준 5 2 2 2 2 3 2 2 2 6 3" xfId="36623" xr:uid="{00000000-0005-0000-0000-0000B71E0000}"/>
    <cellStyle name="표준 5 2 2 2 2 3 2 2 2 6 4" xfId="44816" xr:uid="{00000000-0005-0000-0000-0000B81E0000}"/>
    <cellStyle name="표준 5 2 2 2 2 3 2 2 2 7" xfId="11818" xr:uid="{00000000-0005-0000-0000-0000B91E0000}"/>
    <cellStyle name="표준 5 2 2 2 2 3 2 2 2 8" xfId="16058" xr:uid="{00000000-0005-0000-0000-0000BA1E0000}"/>
    <cellStyle name="표준 5 2 2 2 2 3 2 2 2 9" xfId="20220" xr:uid="{00000000-0005-0000-0000-0000BB1E0000}"/>
    <cellStyle name="표준 5 2 2 2 2 3 2 2 3" xfId="1107" xr:uid="{00000000-0005-0000-0000-0000BC1E0000}"/>
    <cellStyle name="표준 5 2 2 2 2 3 2 2 3 2" xfId="10010" xr:uid="{00000000-0005-0000-0000-0000BD1E0000}"/>
    <cellStyle name="표준 5 2 2 2 2 3 2 2 3 2 2" xfId="14122" xr:uid="{00000000-0005-0000-0000-0000BE1E0000}"/>
    <cellStyle name="표준 5 2 2 2 2 3 2 2 3 2 2 2" xfId="30716" xr:uid="{00000000-0005-0000-0000-0000BF1E0000}"/>
    <cellStyle name="표준 5 2 2 2 2 3 2 2 3 2 2 3" xfId="38927" xr:uid="{00000000-0005-0000-0000-0000C01E0000}"/>
    <cellStyle name="표준 5 2 2 2 2 3 2 2 3 2 2 4" xfId="47120" xr:uid="{00000000-0005-0000-0000-0000C11E0000}"/>
    <cellStyle name="표준 5 2 2 2 2 3 2 2 3 2 3" xfId="18362" xr:uid="{00000000-0005-0000-0000-0000C21E0000}"/>
    <cellStyle name="표준 5 2 2 2 2 3 2 2 3 2 4" xfId="22524" xr:uid="{00000000-0005-0000-0000-0000C31E0000}"/>
    <cellStyle name="표준 5 2 2 2 2 3 2 2 3 2 5" xfId="26620" xr:uid="{00000000-0005-0000-0000-0000C41E0000}"/>
    <cellStyle name="표준 5 2 2 2 2 3 2 2 3 2 6" xfId="34831" xr:uid="{00000000-0005-0000-0000-0000C51E0000}"/>
    <cellStyle name="표준 5 2 2 2 2 3 2 2 3 2 7" xfId="43024" xr:uid="{00000000-0005-0000-0000-0000C61E0000}"/>
    <cellStyle name="표준 5 2 2 2 2 3 2 2 3 3" xfId="7962" xr:uid="{00000000-0005-0000-0000-0000C71E0000}"/>
    <cellStyle name="표준 5 2 2 2 2 3 2 2 3 3 2" xfId="28668" xr:uid="{00000000-0005-0000-0000-0000C81E0000}"/>
    <cellStyle name="표준 5 2 2 2 2 3 2 2 3 3 3" xfId="36879" xr:uid="{00000000-0005-0000-0000-0000C91E0000}"/>
    <cellStyle name="표준 5 2 2 2 2 3 2 2 3 3 4" xfId="45072" xr:uid="{00000000-0005-0000-0000-0000CA1E0000}"/>
    <cellStyle name="표준 5 2 2 2 2 3 2 2 3 4" xfId="12074" xr:uid="{00000000-0005-0000-0000-0000CB1E0000}"/>
    <cellStyle name="표준 5 2 2 2 2 3 2 2 3 5" xfId="16314" xr:uid="{00000000-0005-0000-0000-0000CC1E0000}"/>
    <cellStyle name="표준 5 2 2 2 2 3 2 2 3 6" xfId="20476" xr:uid="{00000000-0005-0000-0000-0000CD1E0000}"/>
    <cellStyle name="표준 5 2 2 2 2 3 2 2 3 7" xfId="24572" xr:uid="{00000000-0005-0000-0000-0000CE1E0000}"/>
    <cellStyle name="표준 5 2 2 2 2 3 2 2 3 8" xfId="32783" xr:uid="{00000000-0005-0000-0000-0000CF1E0000}"/>
    <cellStyle name="표준 5 2 2 2 2 3 2 2 3 9" xfId="40976" xr:uid="{00000000-0005-0000-0000-0000D01E0000}"/>
    <cellStyle name="표준 5 2 2 2 2 3 2 2 4" xfId="1619" xr:uid="{00000000-0005-0000-0000-0000D11E0000}"/>
    <cellStyle name="표준 5 2 2 2 2 3 2 2 4 2" xfId="10522" xr:uid="{00000000-0005-0000-0000-0000D21E0000}"/>
    <cellStyle name="표준 5 2 2 2 2 3 2 2 4 2 2" xfId="14634" xr:uid="{00000000-0005-0000-0000-0000D31E0000}"/>
    <cellStyle name="표준 5 2 2 2 2 3 2 2 4 2 2 2" xfId="31228" xr:uid="{00000000-0005-0000-0000-0000D41E0000}"/>
    <cellStyle name="표준 5 2 2 2 2 3 2 2 4 2 2 3" xfId="39439" xr:uid="{00000000-0005-0000-0000-0000D51E0000}"/>
    <cellStyle name="표준 5 2 2 2 2 3 2 2 4 2 2 4" xfId="47632" xr:uid="{00000000-0005-0000-0000-0000D61E0000}"/>
    <cellStyle name="표준 5 2 2 2 2 3 2 2 4 2 3" xfId="18874" xr:uid="{00000000-0005-0000-0000-0000D71E0000}"/>
    <cellStyle name="표준 5 2 2 2 2 3 2 2 4 2 4" xfId="23036" xr:uid="{00000000-0005-0000-0000-0000D81E0000}"/>
    <cellStyle name="표준 5 2 2 2 2 3 2 2 4 2 5" xfId="27132" xr:uid="{00000000-0005-0000-0000-0000D91E0000}"/>
    <cellStyle name="표준 5 2 2 2 2 3 2 2 4 2 6" xfId="35343" xr:uid="{00000000-0005-0000-0000-0000DA1E0000}"/>
    <cellStyle name="표준 5 2 2 2 2 3 2 2 4 2 7" xfId="43536" xr:uid="{00000000-0005-0000-0000-0000DB1E0000}"/>
    <cellStyle name="표준 5 2 2 2 2 3 2 2 4 3" xfId="8474" xr:uid="{00000000-0005-0000-0000-0000DC1E0000}"/>
    <cellStyle name="표준 5 2 2 2 2 3 2 2 4 3 2" xfId="29180" xr:uid="{00000000-0005-0000-0000-0000DD1E0000}"/>
    <cellStyle name="표준 5 2 2 2 2 3 2 2 4 3 3" xfId="37391" xr:uid="{00000000-0005-0000-0000-0000DE1E0000}"/>
    <cellStyle name="표준 5 2 2 2 2 3 2 2 4 3 4" xfId="45584" xr:uid="{00000000-0005-0000-0000-0000DF1E0000}"/>
    <cellStyle name="표준 5 2 2 2 2 3 2 2 4 4" xfId="12586" xr:uid="{00000000-0005-0000-0000-0000E01E0000}"/>
    <cellStyle name="표준 5 2 2 2 2 3 2 2 4 5" xfId="16826" xr:uid="{00000000-0005-0000-0000-0000E11E0000}"/>
    <cellStyle name="표준 5 2 2 2 2 3 2 2 4 6" xfId="20988" xr:uid="{00000000-0005-0000-0000-0000E21E0000}"/>
    <cellStyle name="표준 5 2 2 2 2 3 2 2 4 7" xfId="25084" xr:uid="{00000000-0005-0000-0000-0000E31E0000}"/>
    <cellStyle name="표준 5 2 2 2 2 3 2 2 4 8" xfId="33295" xr:uid="{00000000-0005-0000-0000-0000E41E0000}"/>
    <cellStyle name="표준 5 2 2 2 2 3 2 2 4 9" xfId="41488" xr:uid="{00000000-0005-0000-0000-0000E51E0000}"/>
    <cellStyle name="표준 5 2 2 2 2 3 2 2 5" xfId="2131" xr:uid="{00000000-0005-0000-0000-0000E61E0000}"/>
    <cellStyle name="표준 5 2 2 2 2 3 2 2 5 2" xfId="11034" xr:uid="{00000000-0005-0000-0000-0000E71E0000}"/>
    <cellStyle name="표준 5 2 2 2 2 3 2 2 5 2 2" xfId="15146" xr:uid="{00000000-0005-0000-0000-0000E81E0000}"/>
    <cellStyle name="표준 5 2 2 2 2 3 2 2 5 2 2 2" xfId="31740" xr:uid="{00000000-0005-0000-0000-0000E91E0000}"/>
    <cellStyle name="표준 5 2 2 2 2 3 2 2 5 2 2 3" xfId="39951" xr:uid="{00000000-0005-0000-0000-0000EA1E0000}"/>
    <cellStyle name="표준 5 2 2 2 2 3 2 2 5 2 2 4" xfId="48144" xr:uid="{00000000-0005-0000-0000-0000EB1E0000}"/>
    <cellStyle name="표준 5 2 2 2 2 3 2 2 5 2 3" xfId="19386" xr:uid="{00000000-0005-0000-0000-0000EC1E0000}"/>
    <cellStyle name="표준 5 2 2 2 2 3 2 2 5 2 4" xfId="23548" xr:uid="{00000000-0005-0000-0000-0000ED1E0000}"/>
    <cellStyle name="표준 5 2 2 2 2 3 2 2 5 2 5" xfId="27644" xr:uid="{00000000-0005-0000-0000-0000EE1E0000}"/>
    <cellStyle name="표준 5 2 2 2 2 3 2 2 5 2 6" xfId="35855" xr:uid="{00000000-0005-0000-0000-0000EF1E0000}"/>
    <cellStyle name="표준 5 2 2 2 2 3 2 2 5 2 7" xfId="44048" xr:uid="{00000000-0005-0000-0000-0000F01E0000}"/>
    <cellStyle name="표준 5 2 2 2 2 3 2 2 5 3" xfId="8986" xr:uid="{00000000-0005-0000-0000-0000F11E0000}"/>
    <cellStyle name="표준 5 2 2 2 2 3 2 2 5 3 2" xfId="29692" xr:uid="{00000000-0005-0000-0000-0000F21E0000}"/>
    <cellStyle name="표준 5 2 2 2 2 3 2 2 5 3 3" xfId="37903" xr:uid="{00000000-0005-0000-0000-0000F31E0000}"/>
    <cellStyle name="표준 5 2 2 2 2 3 2 2 5 3 4" xfId="46096" xr:uid="{00000000-0005-0000-0000-0000F41E0000}"/>
    <cellStyle name="표준 5 2 2 2 2 3 2 2 5 4" xfId="13098" xr:uid="{00000000-0005-0000-0000-0000F51E0000}"/>
    <cellStyle name="표준 5 2 2 2 2 3 2 2 5 5" xfId="17338" xr:uid="{00000000-0005-0000-0000-0000F61E0000}"/>
    <cellStyle name="표준 5 2 2 2 2 3 2 2 5 6" xfId="21500" xr:uid="{00000000-0005-0000-0000-0000F71E0000}"/>
    <cellStyle name="표준 5 2 2 2 2 3 2 2 5 7" xfId="25596" xr:uid="{00000000-0005-0000-0000-0000F81E0000}"/>
    <cellStyle name="표준 5 2 2 2 2 3 2 2 5 8" xfId="33807" xr:uid="{00000000-0005-0000-0000-0000F91E0000}"/>
    <cellStyle name="표준 5 2 2 2 2 3 2 2 5 9" xfId="42000" xr:uid="{00000000-0005-0000-0000-0000FA1E0000}"/>
    <cellStyle name="표준 5 2 2 2 2 3 2 2 6" xfId="9498" xr:uid="{00000000-0005-0000-0000-0000FB1E0000}"/>
    <cellStyle name="표준 5 2 2 2 2 3 2 2 6 2" xfId="13610" xr:uid="{00000000-0005-0000-0000-0000FC1E0000}"/>
    <cellStyle name="표준 5 2 2 2 2 3 2 2 6 2 2" xfId="30204" xr:uid="{00000000-0005-0000-0000-0000FD1E0000}"/>
    <cellStyle name="표준 5 2 2 2 2 3 2 2 6 2 3" xfId="38415" xr:uid="{00000000-0005-0000-0000-0000FE1E0000}"/>
    <cellStyle name="표준 5 2 2 2 2 3 2 2 6 2 4" xfId="46608" xr:uid="{00000000-0005-0000-0000-0000FF1E0000}"/>
    <cellStyle name="표준 5 2 2 2 2 3 2 2 6 3" xfId="17850" xr:uid="{00000000-0005-0000-0000-0000001F0000}"/>
    <cellStyle name="표준 5 2 2 2 2 3 2 2 6 4" xfId="22012" xr:uid="{00000000-0005-0000-0000-0000011F0000}"/>
    <cellStyle name="표준 5 2 2 2 2 3 2 2 6 5" xfId="26108" xr:uid="{00000000-0005-0000-0000-0000021F0000}"/>
    <cellStyle name="표준 5 2 2 2 2 3 2 2 6 6" xfId="34319" xr:uid="{00000000-0005-0000-0000-0000031F0000}"/>
    <cellStyle name="표준 5 2 2 2 2 3 2 2 6 7" xfId="42512" xr:uid="{00000000-0005-0000-0000-0000041F0000}"/>
    <cellStyle name="표준 5 2 2 2 2 3 2 2 7" xfId="7450" xr:uid="{00000000-0005-0000-0000-0000051F0000}"/>
    <cellStyle name="표준 5 2 2 2 2 3 2 2 7 2" xfId="28156" xr:uid="{00000000-0005-0000-0000-0000061F0000}"/>
    <cellStyle name="표준 5 2 2 2 2 3 2 2 7 3" xfId="36367" xr:uid="{00000000-0005-0000-0000-0000071F0000}"/>
    <cellStyle name="표준 5 2 2 2 2 3 2 2 7 4" xfId="44560" xr:uid="{00000000-0005-0000-0000-0000081F0000}"/>
    <cellStyle name="표준 5 2 2 2 2 3 2 2 8" xfId="11562" xr:uid="{00000000-0005-0000-0000-0000091F0000}"/>
    <cellStyle name="표준 5 2 2 2 2 3 2 2 9" xfId="15802" xr:uid="{00000000-0005-0000-0000-00000A1F0000}"/>
    <cellStyle name="표준 5 2 2 2 2 3 2 3" xfId="723" xr:uid="{00000000-0005-0000-0000-00000B1F0000}"/>
    <cellStyle name="표준 5 2 2 2 2 3 2 3 10" xfId="24188" xr:uid="{00000000-0005-0000-0000-00000C1F0000}"/>
    <cellStyle name="표준 5 2 2 2 2 3 2 3 11" xfId="32399" xr:uid="{00000000-0005-0000-0000-00000D1F0000}"/>
    <cellStyle name="표준 5 2 2 2 2 3 2 3 12" xfId="40592" xr:uid="{00000000-0005-0000-0000-00000E1F0000}"/>
    <cellStyle name="표준 5 2 2 2 2 3 2 3 2" xfId="1235" xr:uid="{00000000-0005-0000-0000-00000F1F0000}"/>
    <cellStyle name="표준 5 2 2 2 2 3 2 3 2 2" xfId="10138" xr:uid="{00000000-0005-0000-0000-0000101F0000}"/>
    <cellStyle name="표준 5 2 2 2 2 3 2 3 2 2 2" xfId="14250" xr:uid="{00000000-0005-0000-0000-0000111F0000}"/>
    <cellStyle name="표준 5 2 2 2 2 3 2 3 2 2 2 2" xfId="30844" xr:uid="{00000000-0005-0000-0000-0000121F0000}"/>
    <cellStyle name="표준 5 2 2 2 2 3 2 3 2 2 2 3" xfId="39055" xr:uid="{00000000-0005-0000-0000-0000131F0000}"/>
    <cellStyle name="표준 5 2 2 2 2 3 2 3 2 2 2 4" xfId="47248" xr:uid="{00000000-0005-0000-0000-0000141F0000}"/>
    <cellStyle name="표준 5 2 2 2 2 3 2 3 2 2 3" xfId="18490" xr:uid="{00000000-0005-0000-0000-0000151F0000}"/>
    <cellStyle name="표준 5 2 2 2 2 3 2 3 2 2 4" xfId="22652" xr:uid="{00000000-0005-0000-0000-0000161F0000}"/>
    <cellStyle name="표준 5 2 2 2 2 3 2 3 2 2 5" xfId="26748" xr:uid="{00000000-0005-0000-0000-0000171F0000}"/>
    <cellStyle name="표준 5 2 2 2 2 3 2 3 2 2 6" xfId="34959" xr:uid="{00000000-0005-0000-0000-0000181F0000}"/>
    <cellStyle name="표준 5 2 2 2 2 3 2 3 2 2 7" xfId="43152" xr:uid="{00000000-0005-0000-0000-0000191F0000}"/>
    <cellStyle name="표준 5 2 2 2 2 3 2 3 2 3" xfId="8090" xr:uid="{00000000-0005-0000-0000-00001A1F0000}"/>
    <cellStyle name="표준 5 2 2 2 2 3 2 3 2 3 2" xfId="28796" xr:uid="{00000000-0005-0000-0000-00001B1F0000}"/>
    <cellStyle name="표준 5 2 2 2 2 3 2 3 2 3 3" xfId="37007" xr:uid="{00000000-0005-0000-0000-00001C1F0000}"/>
    <cellStyle name="표준 5 2 2 2 2 3 2 3 2 3 4" xfId="45200" xr:uid="{00000000-0005-0000-0000-00001D1F0000}"/>
    <cellStyle name="표준 5 2 2 2 2 3 2 3 2 4" xfId="12202" xr:uid="{00000000-0005-0000-0000-00001E1F0000}"/>
    <cellStyle name="표준 5 2 2 2 2 3 2 3 2 5" xfId="16442" xr:uid="{00000000-0005-0000-0000-00001F1F0000}"/>
    <cellStyle name="표준 5 2 2 2 2 3 2 3 2 6" xfId="20604" xr:uid="{00000000-0005-0000-0000-0000201F0000}"/>
    <cellStyle name="표준 5 2 2 2 2 3 2 3 2 7" xfId="24700" xr:uid="{00000000-0005-0000-0000-0000211F0000}"/>
    <cellStyle name="표준 5 2 2 2 2 3 2 3 2 8" xfId="32911" xr:uid="{00000000-0005-0000-0000-0000221F0000}"/>
    <cellStyle name="표준 5 2 2 2 2 3 2 3 2 9" xfId="41104" xr:uid="{00000000-0005-0000-0000-0000231F0000}"/>
    <cellStyle name="표준 5 2 2 2 2 3 2 3 3" xfId="1747" xr:uid="{00000000-0005-0000-0000-0000241F0000}"/>
    <cellStyle name="표준 5 2 2 2 2 3 2 3 3 2" xfId="10650" xr:uid="{00000000-0005-0000-0000-0000251F0000}"/>
    <cellStyle name="표준 5 2 2 2 2 3 2 3 3 2 2" xfId="14762" xr:uid="{00000000-0005-0000-0000-0000261F0000}"/>
    <cellStyle name="표준 5 2 2 2 2 3 2 3 3 2 2 2" xfId="31356" xr:uid="{00000000-0005-0000-0000-0000271F0000}"/>
    <cellStyle name="표준 5 2 2 2 2 3 2 3 3 2 2 3" xfId="39567" xr:uid="{00000000-0005-0000-0000-0000281F0000}"/>
    <cellStyle name="표준 5 2 2 2 2 3 2 3 3 2 2 4" xfId="47760" xr:uid="{00000000-0005-0000-0000-0000291F0000}"/>
    <cellStyle name="표준 5 2 2 2 2 3 2 3 3 2 3" xfId="19002" xr:uid="{00000000-0005-0000-0000-00002A1F0000}"/>
    <cellStyle name="표준 5 2 2 2 2 3 2 3 3 2 4" xfId="23164" xr:uid="{00000000-0005-0000-0000-00002B1F0000}"/>
    <cellStyle name="표준 5 2 2 2 2 3 2 3 3 2 5" xfId="27260" xr:uid="{00000000-0005-0000-0000-00002C1F0000}"/>
    <cellStyle name="표준 5 2 2 2 2 3 2 3 3 2 6" xfId="35471" xr:uid="{00000000-0005-0000-0000-00002D1F0000}"/>
    <cellStyle name="표준 5 2 2 2 2 3 2 3 3 2 7" xfId="43664" xr:uid="{00000000-0005-0000-0000-00002E1F0000}"/>
    <cellStyle name="표준 5 2 2 2 2 3 2 3 3 3" xfId="8602" xr:uid="{00000000-0005-0000-0000-00002F1F0000}"/>
    <cellStyle name="표준 5 2 2 2 2 3 2 3 3 3 2" xfId="29308" xr:uid="{00000000-0005-0000-0000-0000301F0000}"/>
    <cellStyle name="표준 5 2 2 2 2 3 2 3 3 3 3" xfId="37519" xr:uid="{00000000-0005-0000-0000-0000311F0000}"/>
    <cellStyle name="표준 5 2 2 2 2 3 2 3 3 3 4" xfId="45712" xr:uid="{00000000-0005-0000-0000-0000321F0000}"/>
    <cellStyle name="표준 5 2 2 2 2 3 2 3 3 4" xfId="12714" xr:uid="{00000000-0005-0000-0000-0000331F0000}"/>
    <cellStyle name="표준 5 2 2 2 2 3 2 3 3 5" xfId="16954" xr:uid="{00000000-0005-0000-0000-0000341F0000}"/>
    <cellStyle name="표준 5 2 2 2 2 3 2 3 3 6" xfId="21116" xr:uid="{00000000-0005-0000-0000-0000351F0000}"/>
    <cellStyle name="표준 5 2 2 2 2 3 2 3 3 7" xfId="25212" xr:uid="{00000000-0005-0000-0000-0000361F0000}"/>
    <cellStyle name="표준 5 2 2 2 2 3 2 3 3 8" xfId="33423" xr:uid="{00000000-0005-0000-0000-0000371F0000}"/>
    <cellStyle name="표준 5 2 2 2 2 3 2 3 3 9" xfId="41616" xr:uid="{00000000-0005-0000-0000-0000381F0000}"/>
    <cellStyle name="표준 5 2 2 2 2 3 2 3 4" xfId="2259" xr:uid="{00000000-0005-0000-0000-0000391F0000}"/>
    <cellStyle name="표준 5 2 2 2 2 3 2 3 4 2" xfId="11162" xr:uid="{00000000-0005-0000-0000-00003A1F0000}"/>
    <cellStyle name="표준 5 2 2 2 2 3 2 3 4 2 2" xfId="15274" xr:uid="{00000000-0005-0000-0000-00003B1F0000}"/>
    <cellStyle name="표준 5 2 2 2 2 3 2 3 4 2 2 2" xfId="31868" xr:uid="{00000000-0005-0000-0000-00003C1F0000}"/>
    <cellStyle name="표준 5 2 2 2 2 3 2 3 4 2 2 3" xfId="40079" xr:uid="{00000000-0005-0000-0000-00003D1F0000}"/>
    <cellStyle name="표준 5 2 2 2 2 3 2 3 4 2 2 4" xfId="48272" xr:uid="{00000000-0005-0000-0000-00003E1F0000}"/>
    <cellStyle name="표준 5 2 2 2 2 3 2 3 4 2 3" xfId="19514" xr:uid="{00000000-0005-0000-0000-00003F1F0000}"/>
    <cellStyle name="표준 5 2 2 2 2 3 2 3 4 2 4" xfId="23676" xr:uid="{00000000-0005-0000-0000-0000401F0000}"/>
    <cellStyle name="표준 5 2 2 2 2 3 2 3 4 2 5" xfId="27772" xr:uid="{00000000-0005-0000-0000-0000411F0000}"/>
    <cellStyle name="표준 5 2 2 2 2 3 2 3 4 2 6" xfId="35983" xr:uid="{00000000-0005-0000-0000-0000421F0000}"/>
    <cellStyle name="표준 5 2 2 2 2 3 2 3 4 2 7" xfId="44176" xr:uid="{00000000-0005-0000-0000-0000431F0000}"/>
    <cellStyle name="표준 5 2 2 2 2 3 2 3 4 3" xfId="9114" xr:uid="{00000000-0005-0000-0000-0000441F0000}"/>
    <cellStyle name="표준 5 2 2 2 2 3 2 3 4 3 2" xfId="29820" xr:uid="{00000000-0005-0000-0000-0000451F0000}"/>
    <cellStyle name="표준 5 2 2 2 2 3 2 3 4 3 3" xfId="38031" xr:uid="{00000000-0005-0000-0000-0000461F0000}"/>
    <cellStyle name="표준 5 2 2 2 2 3 2 3 4 3 4" xfId="46224" xr:uid="{00000000-0005-0000-0000-0000471F0000}"/>
    <cellStyle name="표준 5 2 2 2 2 3 2 3 4 4" xfId="13226" xr:uid="{00000000-0005-0000-0000-0000481F0000}"/>
    <cellStyle name="표준 5 2 2 2 2 3 2 3 4 5" xfId="17466" xr:uid="{00000000-0005-0000-0000-0000491F0000}"/>
    <cellStyle name="표준 5 2 2 2 2 3 2 3 4 6" xfId="21628" xr:uid="{00000000-0005-0000-0000-00004A1F0000}"/>
    <cellStyle name="표준 5 2 2 2 2 3 2 3 4 7" xfId="25724" xr:uid="{00000000-0005-0000-0000-00004B1F0000}"/>
    <cellStyle name="표준 5 2 2 2 2 3 2 3 4 8" xfId="33935" xr:uid="{00000000-0005-0000-0000-00004C1F0000}"/>
    <cellStyle name="표준 5 2 2 2 2 3 2 3 4 9" xfId="42128" xr:uid="{00000000-0005-0000-0000-00004D1F0000}"/>
    <cellStyle name="표준 5 2 2 2 2 3 2 3 5" xfId="9626" xr:uid="{00000000-0005-0000-0000-00004E1F0000}"/>
    <cellStyle name="표준 5 2 2 2 2 3 2 3 5 2" xfId="13738" xr:uid="{00000000-0005-0000-0000-00004F1F0000}"/>
    <cellStyle name="표준 5 2 2 2 2 3 2 3 5 2 2" xfId="30332" xr:uid="{00000000-0005-0000-0000-0000501F0000}"/>
    <cellStyle name="표준 5 2 2 2 2 3 2 3 5 2 3" xfId="38543" xr:uid="{00000000-0005-0000-0000-0000511F0000}"/>
    <cellStyle name="표준 5 2 2 2 2 3 2 3 5 2 4" xfId="46736" xr:uid="{00000000-0005-0000-0000-0000521F0000}"/>
    <cellStyle name="표준 5 2 2 2 2 3 2 3 5 3" xfId="17978" xr:uid="{00000000-0005-0000-0000-0000531F0000}"/>
    <cellStyle name="표준 5 2 2 2 2 3 2 3 5 4" xfId="22140" xr:uid="{00000000-0005-0000-0000-0000541F0000}"/>
    <cellStyle name="표준 5 2 2 2 2 3 2 3 5 5" xfId="26236" xr:uid="{00000000-0005-0000-0000-0000551F0000}"/>
    <cellStyle name="표준 5 2 2 2 2 3 2 3 5 6" xfId="34447" xr:uid="{00000000-0005-0000-0000-0000561F0000}"/>
    <cellStyle name="표준 5 2 2 2 2 3 2 3 5 7" xfId="42640" xr:uid="{00000000-0005-0000-0000-0000571F0000}"/>
    <cellStyle name="표준 5 2 2 2 2 3 2 3 6" xfId="7578" xr:uid="{00000000-0005-0000-0000-0000581F0000}"/>
    <cellStyle name="표준 5 2 2 2 2 3 2 3 6 2" xfId="28284" xr:uid="{00000000-0005-0000-0000-0000591F0000}"/>
    <cellStyle name="표준 5 2 2 2 2 3 2 3 6 3" xfId="36495" xr:uid="{00000000-0005-0000-0000-00005A1F0000}"/>
    <cellStyle name="표준 5 2 2 2 2 3 2 3 6 4" xfId="44688" xr:uid="{00000000-0005-0000-0000-00005B1F0000}"/>
    <cellStyle name="표준 5 2 2 2 2 3 2 3 7" xfId="11690" xr:uid="{00000000-0005-0000-0000-00005C1F0000}"/>
    <cellStyle name="표준 5 2 2 2 2 3 2 3 8" xfId="15930" xr:uid="{00000000-0005-0000-0000-00005D1F0000}"/>
    <cellStyle name="표준 5 2 2 2 2 3 2 3 9" xfId="20092" xr:uid="{00000000-0005-0000-0000-00005E1F0000}"/>
    <cellStyle name="표준 5 2 2 2 2 3 2 4" xfId="979" xr:uid="{00000000-0005-0000-0000-00005F1F0000}"/>
    <cellStyle name="표준 5 2 2 2 2 3 2 4 2" xfId="9882" xr:uid="{00000000-0005-0000-0000-0000601F0000}"/>
    <cellStyle name="표준 5 2 2 2 2 3 2 4 2 2" xfId="13994" xr:uid="{00000000-0005-0000-0000-0000611F0000}"/>
    <cellStyle name="표준 5 2 2 2 2 3 2 4 2 2 2" xfId="30588" xr:uid="{00000000-0005-0000-0000-0000621F0000}"/>
    <cellStyle name="표준 5 2 2 2 2 3 2 4 2 2 3" xfId="38799" xr:uid="{00000000-0005-0000-0000-0000631F0000}"/>
    <cellStyle name="표준 5 2 2 2 2 3 2 4 2 2 4" xfId="46992" xr:uid="{00000000-0005-0000-0000-0000641F0000}"/>
    <cellStyle name="표준 5 2 2 2 2 3 2 4 2 3" xfId="18234" xr:uid="{00000000-0005-0000-0000-0000651F0000}"/>
    <cellStyle name="표준 5 2 2 2 2 3 2 4 2 4" xfId="22396" xr:uid="{00000000-0005-0000-0000-0000661F0000}"/>
    <cellStyle name="표준 5 2 2 2 2 3 2 4 2 5" xfId="26492" xr:uid="{00000000-0005-0000-0000-0000671F0000}"/>
    <cellStyle name="표준 5 2 2 2 2 3 2 4 2 6" xfId="34703" xr:uid="{00000000-0005-0000-0000-0000681F0000}"/>
    <cellStyle name="표준 5 2 2 2 2 3 2 4 2 7" xfId="42896" xr:uid="{00000000-0005-0000-0000-0000691F0000}"/>
    <cellStyle name="표준 5 2 2 2 2 3 2 4 3" xfId="7834" xr:uid="{00000000-0005-0000-0000-00006A1F0000}"/>
    <cellStyle name="표준 5 2 2 2 2 3 2 4 3 2" xfId="28540" xr:uid="{00000000-0005-0000-0000-00006B1F0000}"/>
    <cellStyle name="표준 5 2 2 2 2 3 2 4 3 3" xfId="36751" xr:uid="{00000000-0005-0000-0000-00006C1F0000}"/>
    <cellStyle name="표준 5 2 2 2 2 3 2 4 3 4" xfId="44944" xr:uid="{00000000-0005-0000-0000-00006D1F0000}"/>
    <cellStyle name="표준 5 2 2 2 2 3 2 4 4" xfId="11946" xr:uid="{00000000-0005-0000-0000-00006E1F0000}"/>
    <cellStyle name="표준 5 2 2 2 2 3 2 4 5" xfId="16186" xr:uid="{00000000-0005-0000-0000-00006F1F0000}"/>
    <cellStyle name="표준 5 2 2 2 2 3 2 4 6" xfId="20348" xr:uid="{00000000-0005-0000-0000-0000701F0000}"/>
    <cellStyle name="표준 5 2 2 2 2 3 2 4 7" xfId="24444" xr:uid="{00000000-0005-0000-0000-0000711F0000}"/>
    <cellStyle name="표준 5 2 2 2 2 3 2 4 8" xfId="32655" xr:uid="{00000000-0005-0000-0000-0000721F0000}"/>
    <cellStyle name="표준 5 2 2 2 2 3 2 4 9" xfId="40848" xr:uid="{00000000-0005-0000-0000-0000731F0000}"/>
    <cellStyle name="표준 5 2 2 2 2 3 2 5" xfId="1491" xr:uid="{00000000-0005-0000-0000-0000741F0000}"/>
    <cellStyle name="표준 5 2 2 2 2 3 2 5 2" xfId="10394" xr:uid="{00000000-0005-0000-0000-0000751F0000}"/>
    <cellStyle name="표준 5 2 2 2 2 3 2 5 2 2" xfId="14506" xr:uid="{00000000-0005-0000-0000-0000761F0000}"/>
    <cellStyle name="표준 5 2 2 2 2 3 2 5 2 2 2" xfId="31100" xr:uid="{00000000-0005-0000-0000-0000771F0000}"/>
    <cellStyle name="표준 5 2 2 2 2 3 2 5 2 2 3" xfId="39311" xr:uid="{00000000-0005-0000-0000-0000781F0000}"/>
    <cellStyle name="표준 5 2 2 2 2 3 2 5 2 2 4" xfId="47504" xr:uid="{00000000-0005-0000-0000-0000791F0000}"/>
    <cellStyle name="표준 5 2 2 2 2 3 2 5 2 3" xfId="18746" xr:uid="{00000000-0005-0000-0000-00007A1F0000}"/>
    <cellStyle name="표준 5 2 2 2 2 3 2 5 2 4" xfId="22908" xr:uid="{00000000-0005-0000-0000-00007B1F0000}"/>
    <cellStyle name="표준 5 2 2 2 2 3 2 5 2 5" xfId="27004" xr:uid="{00000000-0005-0000-0000-00007C1F0000}"/>
    <cellStyle name="표준 5 2 2 2 2 3 2 5 2 6" xfId="35215" xr:uid="{00000000-0005-0000-0000-00007D1F0000}"/>
    <cellStyle name="표준 5 2 2 2 2 3 2 5 2 7" xfId="43408" xr:uid="{00000000-0005-0000-0000-00007E1F0000}"/>
    <cellStyle name="표준 5 2 2 2 2 3 2 5 3" xfId="8346" xr:uid="{00000000-0005-0000-0000-00007F1F0000}"/>
    <cellStyle name="표준 5 2 2 2 2 3 2 5 3 2" xfId="29052" xr:uid="{00000000-0005-0000-0000-0000801F0000}"/>
    <cellStyle name="표준 5 2 2 2 2 3 2 5 3 3" xfId="37263" xr:uid="{00000000-0005-0000-0000-0000811F0000}"/>
    <cellStyle name="표준 5 2 2 2 2 3 2 5 3 4" xfId="45456" xr:uid="{00000000-0005-0000-0000-0000821F0000}"/>
    <cellStyle name="표준 5 2 2 2 2 3 2 5 4" xfId="12458" xr:uid="{00000000-0005-0000-0000-0000831F0000}"/>
    <cellStyle name="표준 5 2 2 2 2 3 2 5 5" xfId="16698" xr:uid="{00000000-0005-0000-0000-0000841F0000}"/>
    <cellStyle name="표준 5 2 2 2 2 3 2 5 6" xfId="20860" xr:uid="{00000000-0005-0000-0000-0000851F0000}"/>
    <cellStyle name="표준 5 2 2 2 2 3 2 5 7" xfId="24956" xr:uid="{00000000-0005-0000-0000-0000861F0000}"/>
    <cellStyle name="표준 5 2 2 2 2 3 2 5 8" xfId="33167" xr:uid="{00000000-0005-0000-0000-0000871F0000}"/>
    <cellStyle name="표준 5 2 2 2 2 3 2 5 9" xfId="41360" xr:uid="{00000000-0005-0000-0000-0000881F0000}"/>
    <cellStyle name="표준 5 2 2 2 2 3 2 6" xfId="2003" xr:uid="{00000000-0005-0000-0000-0000891F0000}"/>
    <cellStyle name="표준 5 2 2 2 2 3 2 6 2" xfId="10906" xr:uid="{00000000-0005-0000-0000-00008A1F0000}"/>
    <cellStyle name="표준 5 2 2 2 2 3 2 6 2 2" xfId="15018" xr:uid="{00000000-0005-0000-0000-00008B1F0000}"/>
    <cellStyle name="표준 5 2 2 2 2 3 2 6 2 2 2" xfId="31612" xr:uid="{00000000-0005-0000-0000-00008C1F0000}"/>
    <cellStyle name="표준 5 2 2 2 2 3 2 6 2 2 3" xfId="39823" xr:uid="{00000000-0005-0000-0000-00008D1F0000}"/>
    <cellStyle name="표준 5 2 2 2 2 3 2 6 2 2 4" xfId="48016" xr:uid="{00000000-0005-0000-0000-00008E1F0000}"/>
    <cellStyle name="표준 5 2 2 2 2 3 2 6 2 3" xfId="19258" xr:uid="{00000000-0005-0000-0000-00008F1F0000}"/>
    <cellStyle name="표준 5 2 2 2 2 3 2 6 2 4" xfId="23420" xr:uid="{00000000-0005-0000-0000-0000901F0000}"/>
    <cellStyle name="표준 5 2 2 2 2 3 2 6 2 5" xfId="27516" xr:uid="{00000000-0005-0000-0000-0000911F0000}"/>
    <cellStyle name="표준 5 2 2 2 2 3 2 6 2 6" xfId="35727" xr:uid="{00000000-0005-0000-0000-0000921F0000}"/>
    <cellStyle name="표준 5 2 2 2 2 3 2 6 2 7" xfId="43920" xr:uid="{00000000-0005-0000-0000-0000931F0000}"/>
    <cellStyle name="표준 5 2 2 2 2 3 2 6 3" xfId="8858" xr:uid="{00000000-0005-0000-0000-0000941F0000}"/>
    <cellStyle name="표준 5 2 2 2 2 3 2 6 3 2" xfId="29564" xr:uid="{00000000-0005-0000-0000-0000951F0000}"/>
    <cellStyle name="표준 5 2 2 2 2 3 2 6 3 3" xfId="37775" xr:uid="{00000000-0005-0000-0000-0000961F0000}"/>
    <cellStyle name="표준 5 2 2 2 2 3 2 6 3 4" xfId="45968" xr:uid="{00000000-0005-0000-0000-0000971F0000}"/>
    <cellStyle name="표준 5 2 2 2 2 3 2 6 4" xfId="12970" xr:uid="{00000000-0005-0000-0000-0000981F0000}"/>
    <cellStyle name="표준 5 2 2 2 2 3 2 6 5" xfId="17210" xr:uid="{00000000-0005-0000-0000-0000991F0000}"/>
    <cellStyle name="표준 5 2 2 2 2 3 2 6 6" xfId="21372" xr:uid="{00000000-0005-0000-0000-00009A1F0000}"/>
    <cellStyle name="표준 5 2 2 2 2 3 2 6 7" xfId="25468" xr:uid="{00000000-0005-0000-0000-00009B1F0000}"/>
    <cellStyle name="표준 5 2 2 2 2 3 2 6 8" xfId="33679" xr:uid="{00000000-0005-0000-0000-00009C1F0000}"/>
    <cellStyle name="표준 5 2 2 2 2 3 2 6 9" xfId="41872" xr:uid="{00000000-0005-0000-0000-00009D1F0000}"/>
    <cellStyle name="표준 5 2 2 2 2 3 2 7" xfId="7063" xr:uid="{00000000-0005-0000-0000-00009E1F0000}"/>
    <cellStyle name="표준 5 2 2 2 2 3 2 7 2" xfId="9370" xr:uid="{00000000-0005-0000-0000-00009F1F0000}"/>
    <cellStyle name="표준 5 2 2 2 2 3 2 7 2 2" xfId="30076" xr:uid="{00000000-0005-0000-0000-0000A01F0000}"/>
    <cellStyle name="표준 5 2 2 2 2 3 2 7 2 3" xfId="38287" xr:uid="{00000000-0005-0000-0000-0000A11F0000}"/>
    <cellStyle name="표준 5 2 2 2 2 3 2 7 2 4" xfId="46480" xr:uid="{00000000-0005-0000-0000-0000A21F0000}"/>
    <cellStyle name="표준 5 2 2 2 2 3 2 7 3" xfId="13482" xr:uid="{00000000-0005-0000-0000-0000A31F0000}"/>
    <cellStyle name="표준 5 2 2 2 2 3 2 7 4" xfId="17722" xr:uid="{00000000-0005-0000-0000-0000A41F0000}"/>
    <cellStyle name="표준 5 2 2 2 2 3 2 7 5" xfId="21884" xr:uid="{00000000-0005-0000-0000-0000A51F0000}"/>
    <cellStyle name="표준 5 2 2 2 2 3 2 7 6" xfId="25980" xr:uid="{00000000-0005-0000-0000-0000A61F0000}"/>
    <cellStyle name="표준 5 2 2 2 2 3 2 7 7" xfId="34191" xr:uid="{00000000-0005-0000-0000-0000A71F0000}"/>
    <cellStyle name="표준 5 2 2 2 2 3 2 7 8" xfId="42384" xr:uid="{00000000-0005-0000-0000-0000A81F0000}"/>
    <cellStyle name="표준 5 2 2 2 2 3 2 8" xfId="7115" xr:uid="{00000000-0005-0000-0000-0000A91F0000}"/>
    <cellStyle name="표준 5 2 2 2 2 3 2 8 2" xfId="28028" xr:uid="{00000000-0005-0000-0000-0000AA1F0000}"/>
    <cellStyle name="표준 5 2 2 2 2 3 2 8 3" xfId="36239" xr:uid="{00000000-0005-0000-0000-0000AB1F0000}"/>
    <cellStyle name="표준 5 2 2 2 2 3 2 8 4" xfId="44432" xr:uid="{00000000-0005-0000-0000-0000AC1F0000}"/>
    <cellStyle name="표준 5 2 2 2 2 3 2 9" xfId="7322" xr:uid="{00000000-0005-0000-0000-0000AD1F0000}"/>
    <cellStyle name="표준 5 2 2 2 2 3 3" xfId="531" xr:uid="{00000000-0005-0000-0000-0000AE1F0000}"/>
    <cellStyle name="표준 5 2 2 2 2 3 3 10" xfId="19900" xr:uid="{00000000-0005-0000-0000-0000AF1F0000}"/>
    <cellStyle name="표준 5 2 2 2 2 3 3 11" xfId="23996" xr:uid="{00000000-0005-0000-0000-0000B01F0000}"/>
    <cellStyle name="표준 5 2 2 2 2 3 3 12" xfId="32207" xr:uid="{00000000-0005-0000-0000-0000B11F0000}"/>
    <cellStyle name="표준 5 2 2 2 2 3 3 13" xfId="40400" xr:uid="{00000000-0005-0000-0000-0000B21F0000}"/>
    <cellStyle name="표준 5 2 2 2 2 3 3 2" xfId="787" xr:uid="{00000000-0005-0000-0000-0000B31F0000}"/>
    <cellStyle name="표준 5 2 2 2 2 3 3 2 10" xfId="24252" xr:uid="{00000000-0005-0000-0000-0000B41F0000}"/>
    <cellStyle name="표준 5 2 2 2 2 3 3 2 11" xfId="32463" xr:uid="{00000000-0005-0000-0000-0000B51F0000}"/>
    <cellStyle name="표준 5 2 2 2 2 3 3 2 12" xfId="40656" xr:uid="{00000000-0005-0000-0000-0000B61F0000}"/>
    <cellStyle name="표준 5 2 2 2 2 3 3 2 2" xfId="1299" xr:uid="{00000000-0005-0000-0000-0000B71F0000}"/>
    <cellStyle name="표준 5 2 2 2 2 3 3 2 2 2" xfId="10202" xr:uid="{00000000-0005-0000-0000-0000B81F0000}"/>
    <cellStyle name="표준 5 2 2 2 2 3 3 2 2 2 2" xfId="14314" xr:uid="{00000000-0005-0000-0000-0000B91F0000}"/>
    <cellStyle name="표준 5 2 2 2 2 3 3 2 2 2 2 2" xfId="30908" xr:uid="{00000000-0005-0000-0000-0000BA1F0000}"/>
    <cellStyle name="표준 5 2 2 2 2 3 3 2 2 2 2 3" xfId="39119" xr:uid="{00000000-0005-0000-0000-0000BB1F0000}"/>
    <cellStyle name="표준 5 2 2 2 2 3 3 2 2 2 2 4" xfId="47312" xr:uid="{00000000-0005-0000-0000-0000BC1F0000}"/>
    <cellStyle name="표준 5 2 2 2 2 3 3 2 2 2 3" xfId="18554" xr:uid="{00000000-0005-0000-0000-0000BD1F0000}"/>
    <cellStyle name="표준 5 2 2 2 2 3 3 2 2 2 4" xfId="22716" xr:uid="{00000000-0005-0000-0000-0000BE1F0000}"/>
    <cellStyle name="표준 5 2 2 2 2 3 3 2 2 2 5" xfId="26812" xr:uid="{00000000-0005-0000-0000-0000BF1F0000}"/>
    <cellStyle name="표준 5 2 2 2 2 3 3 2 2 2 6" xfId="35023" xr:uid="{00000000-0005-0000-0000-0000C01F0000}"/>
    <cellStyle name="표준 5 2 2 2 2 3 3 2 2 2 7" xfId="43216" xr:uid="{00000000-0005-0000-0000-0000C11F0000}"/>
    <cellStyle name="표준 5 2 2 2 2 3 3 2 2 3" xfId="8154" xr:uid="{00000000-0005-0000-0000-0000C21F0000}"/>
    <cellStyle name="표준 5 2 2 2 2 3 3 2 2 3 2" xfId="28860" xr:uid="{00000000-0005-0000-0000-0000C31F0000}"/>
    <cellStyle name="표준 5 2 2 2 2 3 3 2 2 3 3" xfId="37071" xr:uid="{00000000-0005-0000-0000-0000C41F0000}"/>
    <cellStyle name="표준 5 2 2 2 2 3 3 2 2 3 4" xfId="45264" xr:uid="{00000000-0005-0000-0000-0000C51F0000}"/>
    <cellStyle name="표준 5 2 2 2 2 3 3 2 2 4" xfId="12266" xr:uid="{00000000-0005-0000-0000-0000C61F0000}"/>
    <cellStyle name="표준 5 2 2 2 2 3 3 2 2 5" xfId="16506" xr:uid="{00000000-0005-0000-0000-0000C71F0000}"/>
    <cellStyle name="표준 5 2 2 2 2 3 3 2 2 6" xfId="20668" xr:uid="{00000000-0005-0000-0000-0000C81F0000}"/>
    <cellStyle name="표준 5 2 2 2 2 3 3 2 2 7" xfId="24764" xr:uid="{00000000-0005-0000-0000-0000C91F0000}"/>
    <cellStyle name="표준 5 2 2 2 2 3 3 2 2 8" xfId="32975" xr:uid="{00000000-0005-0000-0000-0000CA1F0000}"/>
    <cellStyle name="표준 5 2 2 2 2 3 3 2 2 9" xfId="41168" xr:uid="{00000000-0005-0000-0000-0000CB1F0000}"/>
    <cellStyle name="표준 5 2 2 2 2 3 3 2 3" xfId="1811" xr:uid="{00000000-0005-0000-0000-0000CC1F0000}"/>
    <cellStyle name="표준 5 2 2 2 2 3 3 2 3 2" xfId="10714" xr:uid="{00000000-0005-0000-0000-0000CD1F0000}"/>
    <cellStyle name="표준 5 2 2 2 2 3 3 2 3 2 2" xfId="14826" xr:uid="{00000000-0005-0000-0000-0000CE1F0000}"/>
    <cellStyle name="표준 5 2 2 2 2 3 3 2 3 2 2 2" xfId="31420" xr:uid="{00000000-0005-0000-0000-0000CF1F0000}"/>
    <cellStyle name="표준 5 2 2 2 2 3 3 2 3 2 2 3" xfId="39631" xr:uid="{00000000-0005-0000-0000-0000D01F0000}"/>
    <cellStyle name="표준 5 2 2 2 2 3 3 2 3 2 2 4" xfId="47824" xr:uid="{00000000-0005-0000-0000-0000D11F0000}"/>
    <cellStyle name="표준 5 2 2 2 2 3 3 2 3 2 3" xfId="19066" xr:uid="{00000000-0005-0000-0000-0000D21F0000}"/>
    <cellStyle name="표준 5 2 2 2 2 3 3 2 3 2 4" xfId="23228" xr:uid="{00000000-0005-0000-0000-0000D31F0000}"/>
    <cellStyle name="표준 5 2 2 2 2 3 3 2 3 2 5" xfId="27324" xr:uid="{00000000-0005-0000-0000-0000D41F0000}"/>
    <cellStyle name="표준 5 2 2 2 2 3 3 2 3 2 6" xfId="35535" xr:uid="{00000000-0005-0000-0000-0000D51F0000}"/>
    <cellStyle name="표준 5 2 2 2 2 3 3 2 3 2 7" xfId="43728" xr:uid="{00000000-0005-0000-0000-0000D61F0000}"/>
    <cellStyle name="표준 5 2 2 2 2 3 3 2 3 3" xfId="8666" xr:uid="{00000000-0005-0000-0000-0000D71F0000}"/>
    <cellStyle name="표준 5 2 2 2 2 3 3 2 3 3 2" xfId="29372" xr:uid="{00000000-0005-0000-0000-0000D81F0000}"/>
    <cellStyle name="표준 5 2 2 2 2 3 3 2 3 3 3" xfId="37583" xr:uid="{00000000-0005-0000-0000-0000D91F0000}"/>
    <cellStyle name="표준 5 2 2 2 2 3 3 2 3 3 4" xfId="45776" xr:uid="{00000000-0005-0000-0000-0000DA1F0000}"/>
    <cellStyle name="표준 5 2 2 2 2 3 3 2 3 4" xfId="12778" xr:uid="{00000000-0005-0000-0000-0000DB1F0000}"/>
    <cellStyle name="표준 5 2 2 2 2 3 3 2 3 5" xfId="17018" xr:uid="{00000000-0005-0000-0000-0000DC1F0000}"/>
    <cellStyle name="표준 5 2 2 2 2 3 3 2 3 6" xfId="21180" xr:uid="{00000000-0005-0000-0000-0000DD1F0000}"/>
    <cellStyle name="표준 5 2 2 2 2 3 3 2 3 7" xfId="25276" xr:uid="{00000000-0005-0000-0000-0000DE1F0000}"/>
    <cellStyle name="표준 5 2 2 2 2 3 3 2 3 8" xfId="33487" xr:uid="{00000000-0005-0000-0000-0000DF1F0000}"/>
    <cellStyle name="표준 5 2 2 2 2 3 3 2 3 9" xfId="41680" xr:uid="{00000000-0005-0000-0000-0000E01F0000}"/>
    <cellStyle name="표준 5 2 2 2 2 3 3 2 4" xfId="2323" xr:uid="{00000000-0005-0000-0000-0000E11F0000}"/>
    <cellStyle name="표준 5 2 2 2 2 3 3 2 4 2" xfId="11226" xr:uid="{00000000-0005-0000-0000-0000E21F0000}"/>
    <cellStyle name="표준 5 2 2 2 2 3 3 2 4 2 2" xfId="15338" xr:uid="{00000000-0005-0000-0000-0000E31F0000}"/>
    <cellStyle name="표준 5 2 2 2 2 3 3 2 4 2 2 2" xfId="31932" xr:uid="{00000000-0005-0000-0000-0000E41F0000}"/>
    <cellStyle name="표준 5 2 2 2 2 3 3 2 4 2 2 3" xfId="40143" xr:uid="{00000000-0005-0000-0000-0000E51F0000}"/>
    <cellStyle name="표준 5 2 2 2 2 3 3 2 4 2 2 4" xfId="48336" xr:uid="{00000000-0005-0000-0000-0000E61F0000}"/>
    <cellStyle name="표준 5 2 2 2 2 3 3 2 4 2 3" xfId="19578" xr:uid="{00000000-0005-0000-0000-0000E71F0000}"/>
    <cellStyle name="표준 5 2 2 2 2 3 3 2 4 2 4" xfId="23740" xr:uid="{00000000-0005-0000-0000-0000E81F0000}"/>
    <cellStyle name="표준 5 2 2 2 2 3 3 2 4 2 5" xfId="27836" xr:uid="{00000000-0005-0000-0000-0000E91F0000}"/>
    <cellStyle name="표준 5 2 2 2 2 3 3 2 4 2 6" xfId="36047" xr:uid="{00000000-0005-0000-0000-0000EA1F0000}"/>
    <cellStyle name="표준 5 2 2 2 2 3 3 2 4 2 7" xfId="44240" xr:uid="{00000000-0005-0000-0000-0000EB1F0000}"/>
    <cellStyle name="표준 5 2 2 2 2 3 3 2 4 3" xfId="9178" xr:uid="{00000000-0005-0000-0000-0000EC1F0000}"/>
    <cellStyle name="표준 5 2 2 2 2 3 3 2 4 3 2" xfId="29884" xr:uid="{00000000-0005-0000-0000-0000ED1F0000}"/>
    <cellStyle name="표준 5 2 2 2 2 3 3 2 4 3 3" xfId="38095" xr:uid="{00000000-0005-0000-0000-0000EE1F0000}"/>
    <cellStyle name="표준 5 2 2 2 2 3 3 2 4 3 4" xfId="46288" xr:uid="{00000000-0005-0000-0000-0000EF1F0000}"/>
    <cellStyle name="표준 5 2 2 2 2 3 3 2 4 4" xfId="13290" xr:uid="{00000000-0005-0000-0000-0000F01F0000}"/>
    <cellStyle name="표준 5 2 2 2 2 3 3 2 4 5" xfId="17530" xr:uid="{00000000-0005-0000-0000-0000F11F0000}"/>
    <cellStyle name="표준 5 2 2 2 2 3 3 2 4 6" xfId="21692" xr:uid="{00000000-0005-0000-0000-0000F21F0000}"/>
    <cellStyle name="표준 5 2 2 2 2 3 3 2 4 7" xfId="25788" xr:uid="{00000000-0005-0000-0000-0000F31F0000}"/>
    <cellStyle name="표준 5 2 2 2 2 3 3 2 4 8" xfId="33999" xr:uid="{00000000-0005-0000-0000-0000F41F0000}"/>
    <cellStyle name="표준 5 2 2 2 2 3 3 2 4 9" xfId="42192" xr:uid="{00000000-0005-0000-0000-0000F51F0000}"/>
    <cellStyle name="표준 5 2 2 2 2 3 3 2 5" xfId="9690" xr:uid="{00000000-0005-0000-0000-0000F61F0000}"/>
    <cellStyle name="표준 5 2 2 2 2 3 3 2 5 2" xfId="13802" xr:uid="{00000000-0005-0000-0000-0000F71F0000}"/>
    <cellStyle name="표준 5 2 2 2 2 3 3 2 5 2 2" xfId="30396" xr:uid="{00000000-0005-0000-0000-0000F81F0000}"/>
    <cellStyle name="표준 5 2 2 2 2 3 3 2 5 2 3" xfId="38607" xr:uid="{00000000-0005-0000-0000-0000F91F0000}"/>
    <cellStyle name="표준 5 2 2 2 2 3 3 2 5 2 4" xfId="46800" xr:uid="{00000000-0005-0000-0000-0000FA1F0000}"/>
    <cellStyle name="표준 5 2 2 2 2 3 3 2 5 3" xfId="18042" xr:uid="{00000000-0005-0000-0000-0000FB1F0000}"/>
    <cellStyle name="표준 5 2 2 2 2 3 3 2 5 4" xfId="22204" xr:uid="{00000000-0005-0000-0000-0000FC1F0000}"/>
    <cellStyle name="표준 5 2 2 2 2 3 3 2 5 5" xfId="26300" xr:uid="{00000000-0005-0000-0000-0000FD1F0000}"/>
    <cellStyle name="표준 5 2 2 2 2 3 3 2 5 6" xfId="34511" xr:uid="{00000000-0005-0000-0000-0000FE1F0000}"/>
    <cellStyle name="표준 5 2 2 2 2 3 3 2 5 7" xfId="42704" xr:uid="{00000000-0005-0000-0000-0000FF1F0000}"/>
    <cellStyle name="표준 5 2 2 2 2 3 3 2 6" xfId="7642" xr:uid="{00000000-0005-0000-0000-000000200000}"/>
    <cellStyle name="표준 5 2 2 2 2 3 3 2 6 2" xfId="28348" xr:uid="{00000000-0005-0000-0000-000001200000}"/>
    <cellStyle name="표준 5 2 2 2 2 3 3 2 6 3" xfId="36559" xr:uid="{00000000-0005-0000-0000-000002200000}"/>
    <cellStyle name="표준 5 2 2 2 2 3 3 2 6 4" xfId="44752" xr:uid="{00000000-0005-0000-0000-000003200000}"/>
    <cellStyle name="표준 5 2 2 2 2 3 3 2 7" xfId="11754" xr:uid="{00000000-0005-0000-0000-000004200000}"/>
    <cellStyle name="표준 5 2 2 2 2 3 3 2 8" xfId="15994" xr:uid="{00000000-0005-0000-0000-000005200000}"/>
    <cellStyle name="표준 5 2 2 2 2 3 3 2 9" xfId="20156" xr:uid="{00000000-0005-0000-0000-000006200000}"/>
    <cellStyle name="표준 5 2 2 2 2 3 3 3" xfId="1043" xr:uid="{00000000-0005-0000-0000-000007200000}"/>
    <cellStyle name="표준 5 2 2 2 2 3 3 3 2" xfId="9946" xr:uid="{00000000-0005-0000-0000-000008200000}"/>
    <cellStyle name="표준 5 2 2 2 2 3 3 3 2 2" xfId="14058" xr:uid="{00000000-0005-0000-0000-000009200000}"/>
    <cellStyle name="표준 5 2 2 2 2 3 3 3 2 2 2" xfId="30652" xr:uid="{00000000-0005-0000-0000-00000A200000}"/>
    <cellStyle name="표준 5 2 2 2 2 3 3 3 2 2 3" xfId="38863" xr:uid="{00000000-0005-0000-0000-00000B200000}"/>
    <cellStyle name="표준 5 2 2 2 2 3 3 3 2 2 4" xfId="47056" xr:uid="{00000000-0005-0000-0000-00000C200000}"/>
    <cellStyle name="표준 5 2 2 2 2 3 3 3 2 3" xfId="18298" xr:uid="{00000000-0005-0000-0000-00000D200000}"/>
    <cellStyle name="표준 5 2 2 2 2 3 3 3 2 4" xfId="22460" xr:uid="{00000000-0005-0000-0000-00000E200000}"/>
    <cellStyle name="표준 5 2 2 2 2 3 3 3 2 5" xfId="26556" xr:uid="{00000000-0005-0000-0000-00000F200000}"/>
    <cellStyle name="표준 5 2 2 2 2 3 3 3 2 6" xfId="34767" xr:uid="{00000000-0005-0000-0000-000010200000}"/>
    <cellStyle name="표준 5 2 2 2 2 3 3 3 2 7" xfId="42960" xr:uid="{00000000-0005-0000-0000-000011200000}"/>
    <cellStyle name="표준 5 2 2 2 2 3 3 3 3" xfId="7898" xr:uid="{00000000-0005-0000-0000-000012200000}"/>
    <cellStyle name="표준 5 2 2 2 2 3 3 3 3 2" xfId="28604" xr:uid="{00000000-0005-0000-0000-000013200000}"/>
    <cellStyle name="표준 5 2 2 2 2 3 3 3 3 3" xfId="36815" xr:uid="{00000000-0005-0000-0000-000014200000}"/>
    <cellStyle name="표준 5 2 2 2 2 3 3 3 3 4" xfId="45008" xr:uid="{00000000-0005-0000-0000-000015200000}"/>
    <cellStyle name="표준 5 2 2 2 2 3 3 3 4" xfId="12010" xr:uid="{00000000-0005-0000-0000-000016200000}"/>
    <cellStyle name="표준 5 2 2 2 2 3 3 3 5" xfId="16250" xr:uid="{00000000-0005-0000-0000-000017200000}"/>
    <cellStyle name="표준 5 2 2 2 2 3 3 3 6" xfId="20412" xr:uid="{00000000-0005-0000-0000-000018200000}"/>
    <cellStyle name="표준 5 2 2 2 2 3 3 3 7" xfId="24508" xr:uid="{00000000-0005-0000-0000-000019200000}"/>
    <cellStyle name="표준 5 2 2 2 2 3 3 3 8" xfId="32719" xr:uid="{00000000-0005-0000-0000-00001A200000}"/>
    <cellStyle name="표준 5 2 2 2 2 3 3 3 9" xfId="40912" xr:uid="{00000000-0005-0000-0000-00001B200000}"/>
    <cellStyle name="표준 5 2 2 2 2 3 3 4" xfId="1555" xr:uid="{00000000-0005-0000-0000-00001C200000}"/>
    <cellStyle name="표준 5 2 2 2 2 3 3 4 2" xfId="10458" xr:uid="{00000000-0005-0000-0000-00001D200000}"/>
    <cellStyle name="표준 5 2 2 2 2 3 3 4 2 2" xfId="14570" xr:uid="{00000000-0005-0000-0000-00001E200000}"/>
    <cellStyle name="표준 5 2 2 2 2 3 3 4 2 2 2" xfId="31164" xr:uid="{00000000-0005-0000-0000-00001F200000}"/>
    <cellStyle name="표준 5 2 2 2 2 3 3 4 2 2 3" xfId="39375" xr:uid="{00000000-0005-0000-0000-000020200000}"/>
    <cellStyle name="표준 5 2 2 2 2 3 3 4 2 2 4" xfId="47568" xr:uid="{00000000-0005-0000-0000-000021200000}"/>
    <cellStyle name="표준 5 2 2 2 2 3 3 4 2 3" xfId="18810" xr:uid="{00000000-0005-0000-0000-000022200000}"/>
    <cellStyle name="표준 5 2 2 2 2 3 3 4 2 4" xfId="22972" xr:uid="{00000000-0005-0000-0000-000023200000}"/>
    <cellStyle name="표준 5 2 2 2 2 3 3 4 2 5" xfId="27068" xr:uid="{00000000-0005-0000-0000-000024200000}"/>
    <cellStyle name="표준 5 2 2 2 2 3 3 4 2 6" xfId="35279" xr:uid="{00000000-0005-0000-0000-000025200000}"/>
    <cellStyle name="표준 5 2 2 2 2 3 3 4 2 7" xfId="43472" xr:uid="{00000000-0005-0000-0000-000026200000}"/>
    <cellStyle name="표준 5 2 2 2 2 3 3 4 3" xfId="8410" xr:uid="{00000000-0005-0000-0000-000027200000}"/>
    <cellStyle name="표준 5 2 2 2 2 3 3 4 3 2" xfId="29116" xr:uid="{00000000-0005-0000-0000-000028200000}"/>
    <cellStyle name="표준 5 2 2 2 2 3 3 4 3 3" xfId="37327" xr:uid="{00000000-0005-0000-0000-000029200000}"/>
    <cellStyle name="표준 5 2 2 2 2 3 3 4 3 4" xfId="45520" xr:uid="{00000000-0005-0000-0000-00002A200000}"/>
    <cellStyle name="표준 5 2 2 2 2 3 3 4 4" xfId="12522" xr:uid="{00000000-0005-0000-0000-00002B200000}"/>
    <cellStyle name="표준 5 2 2 2 2 3 3 4 5" xfId="16762" xr:uid="{00000000-0005-0000-0000-00002C200000}"/>
    <cellStyle name="표준 5 2 2 2 2 3 3 4 6" xfId="20924" xr:uid="{00000000-0005-0000-0000-00002D200000}"/>
    <cellStyle name="표준 5 2 2 2 2 3 3 4 7" xfId="25020" xr:uid="{00000000-0005-0000-0000-00002E200000}"/>
    <cellStyle name="표준 5 2 2 2 2 3 3 4 8" xfId="33231" xr:uid="{00000000-0005-0000-0000-00002F200000}"/>
    <cellStyle name="표준 5 2 2 2 2 3 3 4 9" xfId="41424" xr:uid="{00000000-0005-0000-0000-000030200000}"/>
    <cellStyle name="표준 5 2 2 2 2 3 3 5" xfId="2067" xr:uid="{00000000-0005-0000-0000-000031200000}"/>
    <cellStyle name="표준 5 2 2 2 2 3 3 5 2" xfId="10970" xr:uid="{00000000-0005-0000-0000-000032200000}"/>
    <cellStyle name="표준 5 2 2 2 2 3 3 5 2 2" xfId="15082" xr:uid="{00000000-0005-0000-0000-000033200000}"/>
    <cellStyle name="표준 5 2 2 2 2 3 3 5 2 2 2" xfId="31676" xr:uid="{00000000-0005-0000-0000-000034200000}"/>
    <cellStyle name="표준 5 2 2 2 2 3 3 5 2 2 3" xfId="39887" xr:uid="{00000000-0005-0000-0000-000035200000}"/>
    <cellStyle name="표준 5 2 2 2 2 3 3 5 2 2 4" xfId="48080" xr:uid="{00000000-0005-0000-0000-000036200000}"/>
    <cellStyle name="표준 5 2 2 2 2 3 3 5 2 3" xfId="19322" xr:uid="{00000000-0005-0000-0000-000037200000}"/>
    <cellStyle name="표준 5 2 2 2 2 3 3 5 2 4" xfId="23484" xr:uid="{00000000-0005-0000-0000-000038200000}"/>
    <cellStyle name="표준 5 2 2 2 2 3 3 5 2 5" xfId="27580" xr:uid="{00000000-0005-0000-0000-000039200000}"/>
    <cellStyle name="표준 5 2 2 2 2 3 3 5 2 6" xfId="35791" xr:uid="{00000000-0005-0000-0000-00003A200000}"/>
    <cellStyle name="표준 5 2 2 2 2 3 3 5 2 7" xfId="43984" xr:uid="{00000000-0005-0000-0000-00003B200000}"/>
    <cellStyle name="표준 5 2 2 2 2 3 3 5 3" xfId="8922" xr:uid="{00000000-0005-0000-0000-00003C200000}"/>
    <cellStyle name="표준 5 2 2 2 2 3 3 5 3 2" xfId="29628" xr:uid="{00000000-0005-0000-0000-00003D200000}"/>
    <cellStyle name="표준 5 2 2 2 2 3 3 5 3 3" xfId="37839" xr:uid="{00000000-0005-0000-0000-00003E200000}"/>
    <cellStyle name="표준 5 2 2 2 2 3 3 5 3 4" xfId="46032" xr:uid="{00000000-0005-0000-0000-00003F200000}"/>
    <cellStyle name="표준 5 2 2 2 2 3 3 5 4" xfId="13034" xr:uid="{00000000-0005-0000-0000-000040200000}"/>
    <cellStyle name="표준 5 2 2 2 2 3 3 5 5" xfId="17274" xr:uid="{00000000-0005-0000-0000-000041200000}"/>
    <cellStyle name="표준 5 2 2 2 2 3 3 5 6" xfId="21436" xr:uid="{00000000-0005-0000-0000-000042200000}"/>
    <cellStyle name="표준 5 2 2 2 2 3 3 5 7" xfId="25532" xr:uid="{00000000-0005-0000-0000-000043200000}"/>
    <cellStyle name="표준 5 2 2 2 2 3 3 5 8" xfId="33743" xr:uid="{00000000-0005-0000-0000-000044200000}"/>
    <cellStyle name="표준 5 2 2 2 2 3 3 5 9" xfId="41936" xr:uid="{00000000-0005-0000-0000-000045200000}"/>
    <cellStyle name="표준 5 2 2 2 2 3 3 6" xfId="9434" xr:uid="{00000000-0005-0000-0000-000046200000}"/>
    <cellStyle name="표준 5 2 2 2 2 3 3 6 2" xfId="13546" xr:uid="{00000000-0005-0000-0000-000047200000}"/>
    <cellStyle name="표준 5 2 2 2 2 3 3 6 2 2" xfId="30140" xr:uid="{00000000-0005-0000-0000-000048200000}"/>
    <cellStyle name="표준 5 2 2 2 2 3 3 6 2 3" xfId="38351" xr:uid="{00000000-0005-0000-0000-000049200000}"/>
    <cellStyle name="표준 5 2 2 2 2 3 3 6 2 4" xfId="46544" xr:uid="{00000000-0005-0000-0000-00004A200000}"/>
    <cellStyle name="표준 5 2 2 2 2 3 3 6 3" xfId="17786" xr:uid="{00000000-0005-0000-0000-00004B200000}"/>
    <cellStyle name="표준 5 2 2 2 2 3 3 6 4" xfId="21948" xr:uid="{00000000-0005-0000-0000-00004C200000}"/>
    <cellStyle name="표준 5 2 2 2 2 3 3 6 5" xfId="26044" xr:uid="{00000000-0005-0000-0000-00004D200000}"/>
    <cellStyle name="표준 5 2 2 2 2 3 3 6 6" xfId="34255" xr:uid="{00000000-0005-0000-0000-00004E200000}"/>
    <cellStyle name="표준 5 2 2 2 2 3 3 6 7" xfId="42448" xr:uid="{00000000-0005-0000-0000-00004F200000}"/>
    <cellStyle name="표준 5 2 2 2 2 3 3 7" xfId="7386" xr:uid="{00000000-0005-0000-0000-000050200000}"/>
    <cellStyle name="표준 5 2 2 2 2 3 3 7 2" xfId="28092" xr:uid="{00000000-0005-0000-0000-000051200000}"/>
    <cellStyle name="표준 5 2 2 2 2 3 3 7 3" xfId="36303" xr:uid="{00000000-0005-0000-0000-000052200000}"/>
    <cellStyle name="표준 5 2 2 2 2 3 3 7 4" xfId="44496" xr:uid="{00000000-0005-0000-0000-000053200000}"/>
    <cellStyle name="표준 5 2 2 2 2 3 3 8" xfId="11498" xr:uid="{00000000-0005-0000-0000-000054200000}"/>
    <cellStyle name="표준 5 2 2 2 2 3 3 9" xfId="15738" xr:uid="{00000000-0005-0000-0000-000055200000}"/>
    <cellStyle name="표준 5 2 2 2 2 3 4" xfId="659" xr:uid="{00000000-0005-0000-0000-000056200000}"/>
    <cellStyle name="표준 5 2 2 2 2 3 4 10" xfId="24124" xr:uid="{00000000-0005-0000-0000-000057200000}"/>
    <cellStyle name="표준 5 2 2 2 2 3 4 11" xfId="32335" xr:uid="{00000000-0005-0000-0000-000058200000}"/>
    <cellStyle name="표준 5 2 2 2 2 3 4 12" xfId="40528" xr:uid="{00000000-0005-0000-0000-000059200000}"/>
    <cellStyle name="표준 5 2 2 2 2 3 4 2" xfId="1171" xr:uid="{00000000-0005-0000-0000-00005A200000}"/>
    <cellStyle name="표준 5 2 2 2 2 3 4 2 2" xfId="10074" xr:uid="{00000000-0005-0000-0000-00005B200000}"/>
    <cellStyle name="표준 5 2 2 2 2 3 4 2 2 2" xfId="14186" xr:uid="{00000000-0005-0000-0000-00005C200000}"/>
    <cellStyle name="표준 5 2 2 2 2 3 4 2 2 2 2" xfId="30780" xr:uid="{00000000-0005-0000-0000-00005D200000}"/>
    <cellStyle name="표준 5 2 2 2 2 3 4 2 2 2 3" xfId="38991" xr:uid="{00000000-0005-0000-0000-00005E200000}"/>
    <cellStyle name="표준 5 2 2 2 2 3 4 2 2 2 4" xfId="47184" xr:uid="{00000000-0005-0000-0000-00005F200000}"/>
    <cellStyle name="표준 5 2 2 2 2 3 4 2 2 3" xfId="18426" xr:uid="{00000000-0005-0000-0000-000060200000}"/>
    <cellStyle name="표준 5 2 2 2 2 3 4 2 2 4" xfId="22588" xr:uid="{00000000-0005-0000-0000-000061200000}"/>
    <cellStyle name="표준 5 2 2 2 2 3 4 2 2 5" xfId="26684" xr:uid="{00000000-0005-0000-0000-000062200000}"/>
    <cellStyle name="표준 5 2 2 2 2 3 4 2 2 6" xfId="34895" xr:uid="{00000000-0005-0000-0000-000063200000}"/>
    <cellStyle name="표준 5 2 2 2 2 3 4 2 2 7" xfId="43088" xr:uid="{00000000-0005-0000-0000-000064200000}"/>
    <cellStyle name="표준 5 2 2 2 2 3 4 2 3" xfId="8026" xr:uid="{00000000-0005-0000-0000-000065200000}"/>
    <cellStyle name="표준 5 2 2 2 2 3 4 2 3 2" xfId="28732" xr:uid="{00000000-0005-0000-0000-000066200000}"/>
    <cellStyle name="표준 5 2 2 2 2 3 4 2 3 3" xfId="36943" xr:uid="{00000000-0005-0000-0000-000067200000}"/>
    <cellStyle name="표준 5 2 2 2 2 3 4 2 3 4" xfId="45136" xr:uid="{00000000-0005-0000-0000-000068200000}"/>
    <cellStyle name="표준 5 2 2 2 2 3 4 2 4" xfId="12138" xr:uid="{00000000-0005-0000-0000-000069200000}"/>
    <cellStyle name="표준 5 2 2 2 2 3 4 2 5" xfId="16378" xr:uid="{00000000-0005-0000-0000-00006A200000}"/>
    <cellStyle name="표준 5 2 2 2 2 3 4 2 6" xfId="20540" xr:uid="{00000000-0005-0000-0000-00006B200000}"/>
    <cellStyle name="표준 5 2 2 2 2 3 4 2 7" xfId="24636" xr:uid="{00000000-0005-0000-0000-00006C200000}"/>
    <cellStyle name="표준 5 2 2 2 2 3 4 2 8" xfId="32847" xr:uid="{00000000-0005-0000-0000-00006D200000}"/>
    <cellStyle name="표준 5 2 2 2 2 3 4 2 9" xfId="41040" xr:uid="{00000000-0005-0000-0000-00006E200000}"/>
    <cellStyle name="표준 5 2 2 2 2 3 4 3" xfId="1683" xr:uid="{00000000-0005-0000-0000-00006F200000}"/>
    <cellStyle name="표준 5 2 2 2 2 3 4 3 2" xfId="10586" xr:uid="{00000000-0005-0000-0000-000070200000}"/>
    <cellStyle name="표준 5 2 2 2 2 3 4 3 2 2" xfId="14698" xr:uid="{00000000-0005-0000-0000-000071200000}"/>
    <cellStyle name="표준 5 2 2 2 2 3 4 3 2 2 2" xfId="31292" xr:uid="{00000000-0005-0000-0000-000072200000}"/>
    <cellStyle name="표준 5 2 2 2 2 3 4 3 2 2 3" xfId="39503" xr:uid="{00000000-0005-0000-0000-000073200000}"/>
    <cellStyle name="표준 5 2 2 2 2 3 4 3 2 2 4" xfId="47696" xr:uid="{00000000-0005-0000-0000-000074200000}"/>
    <cellStyle name="표준 5 2 2 2 2 3 4 3 2 3" xfId="18938" xr:uid="{00000000-0005-0000-0000-000075200000}"/>
    <cellStyle name="표준 5 2 2 2 2 3 4 3 2 4" xfId="23100" xr:uid="{00000000-0005-0000-0000-000076200000}"/>
    <cellStyle name="표준 5 2 2 2 2 3 4 3 2 5" xfId="27196" xr:uid="{00000000-0005-0000-0000-000077200000}"/>
    <cellStyle name="표준 5 2 2 2 2 3 4 3 2 6" xfId="35407" xr:uid="{00000000-0005-0000-0000-000078200000}"/>
    <cellStyle name="표준 5 2 2 2 2 3 4 3 2 7" xfId="43600" xr:uid="{00000000-0005-0000-0000-000079200000}"/>
    <cellStyle name="표준 5 2 2 2 2 3 4 3 3" xfId="8538" xr:uid="{00000000-0005-0000-0000-00007A200000}"/>
    <cellStyle name="표준 5 2 2 2 2 3 4 3 3 2" xfId="29244" xr:uid="{00000000-0005-0000-0000-00007B200000}"/>
    <cellStyle name="표준 5 2 2 2 2 3 4 3 3 3" xfId="37455" xr:uid="{00000000-0005-0000-0000-00007C200000}"/>
    <cellStyle name="표준 5 2 2 2 2 3 4 3 3 4" xfId="45648" xr:uid="{00000000-0005-0000-0000-00007D200000}"/>
    <cellStyle name="표준 5 2 2 2 2 3 4 3 4" xfId="12650" xr:uid="{00000000-0005-0000-0000-00007E200000}"/>
    <cellStyle name="표준 5 2 2 2 2 3 4 3 5" xfId="16890" xr:uid="{00000000-0005-0000-0000-00007F200000}"/>
    <cellStyle name="표준 5 2 2 2 2 3 4 3 6" xfId="21052" xr:uid="{00000000-0005-0000-0000-000080200000}"/>
    <cellStyle name="표준 5 2 2 2 2 3 4 3 7" xfId="25148" xr:uid="{00000000-0005-0000-0000-000081200000}"/>
    <cellStyle name="표준 5 2 2 2 2 3 4 3 8" xfId="33359" xr:uid="{00000000-0005-0000-0000-000082200000}"/>
    <cellStyle name="표준 5 2 2 2 2 3 4 3 9" xfId="41552" xr:uid="{00000000-0005-0000-0000-000083200000}"/>
    <cellStyle name="표준 5 2 2 2 2 3 4 4" xfId="2195" xr:uid="{00000000-0005-0000-0000-000084200000}"/>
    <cellStyle name="표준 5 2 2 2 2 3 4 4 2" xfId="11098" xr:uid="{00000000-0005-0000-0000-000085200000}"/>
    <cellStyle name="표준 5 2 2 2 2 3 4 4 2 2" xfId="15210" xr:uid="{00000000-0005-0000-0000-000086200000}"/>
    <cellStyle name="표준 5 2 2 2 2 3 4 4 2 2 2" xfId="31804" xr:uid="{00000000-0005-0000-0000-000087200000}"/>
    <cellStyle name="표준 5 2 2 2 2 3 4 4 2 2 3" xfId="40015" xr:uid="{00000000-0005-0000-0000-000088200000}"/>
    <cellStyle name="표준 5 2 2 2 2 3 4 4 2 2 4" xfId="48208" xr:uid="{00000000-0005-0000-0000-000089200000}"/>
    <cellStyle name="표준 5 2 2 2 2 3 4 4 2 3" xfId="19450" xr:uid="{00000000-0005-0000-0000-00008A200000}"/>
    <cellStyle name="표준 5 2 2 2 2 3 4 4 2 4" xfId="23612" xr:uid="{00000000-0005-0000-0000-00008B200000}"/>
    <cellStyle name="표준 5 2 2 2 2 3 4 4 2 5" xfId="27708" xr:uid="{00000000-0005-0000-0000-00008C200000}"/>
    <cellStyle name="표준 5 2 2 2 2 3 4 4 2 6" xfId="35919" xr:uid="{00000000-0005-0000-0000-00008D200000}"/>
    <cellStyle name="표준 5 2 2 2 2 3 4 4 2 7" xfId="44112" xr:uid="{00000000-0005-0000-0000-00008E200000}"/>
    <cellStyle name="표준 5 2 2 2 2 3 4 4 3" xfId="9050" xr:uid="{00000000-0005-0000-0000-00008F200000}"/>
    <cellStyle name="표준 5 2 2 2 2 3 4 4 3 2" xfId="29756" xr:uid="{00000000-0005-0000-0000-000090200000}"/>
    <cellStyle name="표준 5 2 2 2 2 3 4 4 3 3" xfId="37967" xr:uid="{00000000-0005-0000-0000-000091200000}"/>
    <cellStyle name="표준 5 2 2 2 2 3 4 4 3 4" xfId="46160" xr:uid="{00000000-0005-0000-0000-000092200000}"/>
    <cellStyle name="표준 5 2 2 2 2 3 4 4 4" xfId="13162" xr:uid="{00000000-0005-0000-0000-000093200000}"/>
    <cellStyle name="표준 5 2 2 2 2 3 4 4 5" xfId="17402" xr:uid="{00000000-0005-0000-0000-000094200000}"/>
    <cellStyle name="표준 5 2 2 2 2 3 4 4 6" xfId="21564" xr:uid="{00000000-0005-0000-0000-000095200000}"/>
    <cellStyle name="표준 5 2 2 2 2 3 4 4 7" xfId="25660" xr:uid="{00000000-0005-0000-0000-000096200000}"/>
    <cellStyle name="표준 5 2 2 2 2 3 4 4 8" xfId="33871" xr:uid="{00000000-0005-0000-0000-000097200000}"/>
    <cellStyle name="표준 5 2 2 2 2 3 4 4 9" xfId="42064" xr:uid="{00000000-0005-0000-0000-000098200000}"/>
    <cellStyle name="표준 5 2 2 2 2 3 4 5" xfId="9562" xr:uid="{00000000-0005-0000-0000-000099200000}"/>
    <cellStyle name="표준 5 2 2 2 2 3 4 5 2" xfId="13674" xr:uid="{00000000-0005-0000-0000-00009A200000}"/>
    <cellStyle name="표준 5 2 2 2 2 3 4 5 2 2" xfId="30268" xr:uid="{00000000-0005-0000-0000-00009B200000}"/>
    <cellStyle name="표준 5 2 2 2 2 3 4 5 2 3" xfId="38479" xr:uid="{00000000-0005-0000-0000-00009C200000}"/>
    <cellStyle name="표준 5 2 2 2 2 3 4 5 2 4" xfId="46672" xr:uid="{00000000-0005-0000-0000-00009D200000}"/>
    <cellStyle name="표준 5 2 2 2 2 3 4 5 3" xfId="17914" xr:uid="{00000000-0005-0000-0000-00009E200000}"/>
    <cellStyle name="표준 5 2 2 2 2 3 4 5 4" xfId="22076" xr:uid="{00000000-0005-0000-0000-00009F200000}"/>
    <cellStyle name="표준 5 2 2 2 2 3 4 5 5" xfId="26172" xr:uid="{00000000-0005-0000-0000-0000A0200000}"/>
    <cellStyle name="표준 5 2 2 2 2 3 4 5 6" xfId="34383" xr:uid="{00000000-0005-0000-0000-0000A1200000}"/>
    <cellStyle name="표준 5 2 2 2 2 3 4 5 7" xfId="42576" xr:uid="{00000000-0005-0000-0000-0000A2200000}"/>
    <cellStyle name="표준 5 2 2 2 2 3 4 6" xfId="7514" xr:uid="{00000000-0005-0000-0000-0000A3200000}"/>
    <cellStyle name="표준 5 2 2 2 2 3 4 6 2" xfId="28220" xr:uid="{00000000-0005-0000-0000-0000A4200000}"/>
    <cellStyle name="표준 5 2 2 2 2 3 4 6 3" xfId="36431" xr:uid="{00000000-0005-0000-0000-0000A5200000}"/>
    <cellStyle name="표준 5 2 2 2 2 3 4 6 4" xfId="44624" xr:uid="{00000000-0005-0000-0000-0000A6200000}"/>
    <cellStyle name="표준 5 2 2 2 2 3 4 7" xfId="11626" xr:uid="{00000000-0005-0000-0000-0000A7200000}"/>
    <cellStyle name="표준 5 2 2 2 2 3 4 8" xfId="15866" xr:uid="{00000000-0005-0000-0000-0000A8200000}"/>
    <cellStyle name="표준 5 2 2 2 2 3 4 9" xfId="20028" xr:uid="{00000000-0005-0000-0000-0000A9200000}"/>
    <cellStyle name="표준 5 2 2 2 2 3 5" xfId="915" xr:uid="{00000000-0005-0000-0000-0000AA200000}"/>
    <cellStyle name="표준 5 2 2 2 2 3 5 2" xfId="9818" xr:uid="{00000000-0005-0000-0000-0000AB200000}"/>
    <cellStyle name="표준 5 2 2 2 2 3 5 2 2" xfId="13930" xr:uid="{00000000-0005-0000-0000-0000AC200000}"/>
    <cellStyle name="표준 5 2 2 2 2 3 5 2 2 2" xfId="30524" xr:uid="{00000000-0005-0000-0000-0000AD200000}"/>
    <cellStyle name="표준 5 2 2 2 2 3 5 2 2 3" xfId="38735" xr:uid="{00000000-0005-0000-0000-0000AE200000}"/>
    <cellStyle name="표준 5 2 2 2 2 3 5 2 2 4" xfId="46928" xr:uid="{00000000-0005-0000-0000-0000AF200000}"/>
    <cellStyle name="표준 5 2 2 2 2 3 5 2 3" xfId="18170" xr:uid="{00000000-0005-0000-0000-0000B0200000}"/>
    <cellStyle name="표준 5 2 2 2 2 3 5 2 4" xfId="22332" xr:uid="{00000000-0005-0000-0000-0000B1200000}"/>
    <cellStyle name="표준 5 2 2 2 2 3 5 2 5" xfId="26428" xr:uid="{00000000-0005-0000-0000-0000B2200000}"/>
    <cellStyle name="표준 5 2 2 2 2 3 5 2 6" xfId="34639" xr:uid="{00000000-0005-0000-0000-0000B3200000}"/>
    <cellStyle name="표준 5 2 2 2 2 3 5 2 7" xfId="42832" xr:uid="{00000000-0005-0000-0000-0000B4200000}"/>
    <cellStyle name="표준 5 2 2 2 2 3 5 3" xfId="7770" xr:uid="{00000000-0005-0000-0000-0000B5200000}"/>
    <cellStyle name="표준 5 2 2 2 2 3 5 3 2" xfId="28476" xr:uid="{00000000-0005-0000-0000-0000B6200000}"/>
    <cellStyle name="표준 5 2 2 2 2 3 5 3 3" xfId="36687" xr:uid="{00000000-0005-0000-0000-0000B7200000}"/>
    <cellStyle name="표준 5 2 2 2 2 3 5 3 4" xfId="44880" xr:uid="{00000000-0005-0000-0000-0000B8200000}"/>
    <cellStyle name="표준 5 2 2 2 2 3 5 4" xfId="11882" xr:uid="{00000000-0005-0000-0000-0000B9200000}"/>
    <cellStyle name="표준 5 2 2 2 2 3 5 5" xfId="16122" xr:uid="{00000000-0005-0000-0000-0000BA200000}"/>
    <cellStyle name="표준 5 2 2 2 2 3 5 6" xfId="20284" xr:uid="{00000000-0005-0000-0000-0000BB200000}"/>
    <cellStyle name="표준 5 2 2 2 2 3 5 7" xfId="24380" xr:uid="{00000000-0005-0000-0000-0000BC200000}"/>
    <cellStyle name="표준 5 2 2 2 2 3 5 8" xfId="32591" xr:uid="{00000000-0005-0000-0000-0000BD200000}"/>
    <cellStyle name="표준 5 2 2 2 2 3 5 9" xfId="40784" xr:uid="{00000000-0005-0000-0000-0000BE200000}"/>
    <cellStyle name="표준 5 2 2 2 2 3 6" xfId="1427" xr:uid="{00000000-0005-0000-0000-0000BF200000}"/>
    <cellStyle name="표준 5 2 2 2 2 3 6 2" xfId="10330" xr:uid="{00000000-0005-0000-0000-0000C0200000}"/>
    <cellStyle name="표준 5 2 2 2 2 3 6 2 2" xfId="14442" xr:uid="{00000000-0005-0000-0000-0000C1200000}"/>
    <cellStyle name="표준 5 2 2 2 2 3 6 2 2 2" xfId="31036" xr:uid="{00000000-0005-0000-0000-0000C2200000}"/>
    <cellStyle name="표준 5 2 2 2 2 3 6 2 2 3" xfId="39247" xr:uid="{00000000-0005-0000-0000-0000C3200000}"/>
    <cellStyle name="표준 5 2 2 2 2 3 6 2 2 4" xfId="47440" xr:uid="{00000000-0005-0000-0000-0000C4200000}"/>
    <cellStyle name="표준 5 2 2 2 2 3 6 2 3" xfId="18682" xr:uid="{00000000-0005-0000-0000-0000C5200000}"/>
    <cellStyle name="표준 5 2 2 2 2 3 6 2 4" xfId="22844" xr:uid="{00000000-0005-0000-0000-0000C6200000}"/>
    <cellStyle name="표준 5 2 2 2 2 3 6 2 5" xfId="26940" xr:uid="{00000000-0005-0000-0000-0000C7200000}"/>
    <cellStyle name="표준 5 2 2 2 2 3 6 2 6" xfId="35151" xr:uid="{00000000-0005-0000-0000-0000C8200000}"/>
    <cellStyle name="표준 5 2 2 2 2 3 6 2 7" xfId="43344" xr:uid="{00000000-0005-0000-0000-0000C9200000}"/>
    <cellStyle name="표준 5 2 2 2 2 3 6 3" xfId="8282" xr:uid="{00000000-0005-0000-0000-0000CA200000}"/>
    <cellStyle name="표준 5 2 2 2 2 3 6 3 2" xfId="28988" xr:uid="{00000000-0005-0000-0000-0000CB200000}"/>
    <cellStyle name="표준 5 2 2 2 2 3 6 3 3" xfId="37199" xr:uid="{00000000-0005-0000-0000-0000CC200000}"/>
    <cellStyle name="표준 5 2 2 2 2 3 6 3 4" xfId="45392" xr:uid="{00000000-0005-0000-0000-0000CD200000}"/>
    <cellStyle name="표준 5 2 2 2 2 3 6 4" xfId="12394" xr:uid="{00000000-0005-0000-0000-0000CE200000}"/>
    <cellStyle name="표준 5 2 2 2 2 3 6 5" xfId="16634" xr:uid="{00000000-0005-0000-0000-0000CF200000}"/>
    <cellStyle name="표준 5 2 2 2 2 3 6 6" xfId="20796" xr:uid="{00000000-0005-0000-0000-0000D0200000}"/>
    <cellStyle name="표준 5 2 2 2 2 3 6 7" xfId="24892" xr:uid="{00000000-0005-0000-0000-0000D1200000}"/>
    <cellStyle name="표준 5 2 2 2 2 3 6 8" xfId="33103" xr:uid="{00000000-0005-0000-0000-0000D2200000}"/>
    <cellStyle name="표준 5 2 2 2 2 3 6 9" xfId="41296" xr:uid="{00000000-0005-0000-0000-0000D3200000}"/>
    <cellStyle name="표준 5 2 2 2 2 3 7" xfId="1939" xr:uid="{00000000-0005-0000-0000-0000D4200000}"/>
    <cellStyle name="표준 5 2 2 2 2 3 7 2" xfId="10842" xr:uid="{00000000-0005-0000-0000-0000D5200000}"/>
    <cellStyle name="표준 5 2 2 2 2 3 7 2 2" xfId="14954" xr:uid="{00000000-0005-0000-0000-0000D6200000}"/>
    <cellStyle name="표준 5 2 2 2 2 3 7 2 2 2" xfId="31548" xr:uid="{00000000-0005-0000-0000-0000D7200000}"/>
    <cellStyle name="표준 5 2 2 2 2 3 7 2 2 3" xfId="39759" xr:uid="{00000000-0005-0000-0000-0000D8200000}"/>
    <cellStyle name="표준 5 2 2 2 2 3 7 2 2 4" xfId="47952" xr:uid="{00000000-0005-0000-0000-0000D9200000}"/>
    <cellStyle name="표준 5 2 2 2 2 3 7 2 3" xfId="19194" xr:uid="{00000000-0005-0000-0000-0000DA200000}"/>
    <cellStyle name="표준 5 2 2 2 2 3 7 2 4" xfId="23356" xr:uid="{00000000-0005-0000-0000-0000DB200000}"/>
    <cellStyle name="표준 5 2 2 2 2 3 7 2 5" xfId="27452" xr:uid="{00000000-0005-0000-0000-0000DC200000}"/>
    <cellStyle name="표준 5 2 2 2 2 3 7 2 6" xfId="35663" xr:uid="{00000000-0005-0000-0000-0000DD200000}"/>
    <cellStyle name="표준 5 2 2 2 2 3 7 2 7" xfId="43856" xr:uid="{00000000-0005-0000-0000-0000DE200000}"/>
    <cellStyle name="표준 5 2 2 2 2 3 7 3" xfId="8794" xr:uid="{00000000-0005-0000-0000-0000DF200000}"/>
    <cellStyle name="표준 5 2 2 2 2 3 7 3 2" xfId="29500" xr:uid="{00000000-0005-0000-0000-0000E0200000}"/>
    <cellStyle name="표준 5 2 2 2 2 3 7 3 3" xfId="37711" xr:uid="{00000000-0005-0000-0000-0000E1200000}"/>
    <cellStyle name="표준 5 2 2 2 2 3 7 3 4" xfId="45904" xr:uid="{00000000-0005-0000-0000-0000E2200000}"/>
    <cellStyle name="표준 5 2 2 2 2 3 7 4" xfId="12906" xr:uid="{00000000-0005-0000-0000-0000E3200000}"/>
    <cellStyle name="표준 5 2 2 2 2 3 7 5" xfId="17146" xr:uid="{00000000-0005-0000-0000-0000E4200000}"/>
    <cellStyle name="표준 5 2 2 2 2 3 7 6" xfId="21308" xr:uid="{00000000-0005-0000-0000-0000E5200000}"/>
    <cellStyle name="표준 5 2 2 2 2 3 7 7" xfId="25404" xr:uid="{00000000-0005-0000-0000-0000E6200000}"/>
    <cellStyle name="표준 5 2 2 2 2 3 7 8" xfId="33615" xr:uid="{00000000-0005-0000-0000-0000E7200000}"/>
    <cellStyle name="표준 5 2 2 2 2 3 7 9" xfId="41808" xr:uid="{00000000-0005-0000-0000-0000E8200000}"/>
    <cellStyle name="표준 5 2 2 2 2 3 8" xfId="403" xr:uid="{00000000-0005-0000-0000-0000E9200000}"/>
    <cellStyle name="표준 5 2 2 2 2 3 8 2" xfId="9306" xr:uid="{00000000-0005-0000-0000-0000EA200000}"/>
    <cellStyle name="표준 5 2 2 2 2 3 8 2 2" xfId="30012" xr:uid="{00000000-0005-0000-0000-0000EB200000}"/>
    <cellStyle name="표준 5 2 2 2 2 3 8 2 3" xfId="38223" xr:uid="{00000000-0005-0000-0000-0000EC200000}"/>
    <cellStyle name="표준 5 2 2 2 2 3 8 2 4" xfId="46416" xr:uid="{00000000-0005-0000-0000-0000ED200000}"/>
    <cellStyle name="표준 5 2 2 2 2 3 8 3" xfId="13418" xr:uid="{00000000-0005-0000-0000-0000EE200000}"/>
    <cellStyle name="표준 5 2 2 2 2 3 8 4" xfId="17658" xr:uid="{00000000-0005-0000-0000-0000EF200000}"/>
    <cellStyle name="표준 5 2 2 2 2 3 8 5" xfId="21820" xr:uid="{00000000-0005-0000-0000-0000F0200000}"/>
    <cellStyle name="표준 5 2 2 2 2 3 8 6" xfId="25916" xr:uid="{00000000-0005-0000-0000-0000F1200000}"/>
    <cellStyle name="표준 5 2 2 2 2 3 8 7" xfId="34127" xr:uid="{00000000-0005-0000-0000-0000F2200000}"/>
    <cellStyle name="표준 5 2 2 2 2 3 8 8" xfId="42320" xr:uid="{00000000-0005-0000-0000-0000F3200000}"/>
    <cellStyle name="표준 5 2 2 2 2 3 9" xfId="7005" xr:uid="{00000000-0005-0000-0000-0000F4200000}"/>
    <cellStyle name="표준 5 2 2 2 2 3 9 2" xfId="27964" xr:uid="{00000000-0005-0000-0000-0000F5200000}"/>
    <cellStyle name="표준 5 2 2 2 2 3 9 3" xfId="36175" xr:uid="{00000000-0005-0000-0000-0000F6200000}"/>
    <cellStyle name="표준 5 2 2 2 2 3 9 4" xfId="44368" xr:uid="{00000000-0005-0000-0000-0000F7200000}"/>
    <cellStyle name="표준 5 2 2 2 2 30" xfId="32030" xr:uid="{00000000-0005-0000-0000-0000F8200000}"/>
    <cellStyle name="표준 5 2 2 2 2 31" xfId="32047" xr:uid="{00000000-0005-0000-0000-0000F9200000}"/>
    <cellStyle name="표준 5 2 2 2 2 32" xfId="40240" xr:uid="{00000000-0005-0000-0000-0000FA200000}"/>
    <cellStyle name="표준 5 2 2 2 2 33" xfId="48442" xr:uid="{00000000-0005-0000-0000-0000FB200000}"/>
    <cellStyle name="표준 5 2 2 2 2 4" xfId="435" xr:uid="{00000000-0005-0000-0000-0000FC200000}"/>
    <cellStyle name="표준 5 2 2 2 2 4 10" xfId="11402" xr:uid="{00000000-0005-0000-0000-0000FD200000}"/>
    <cellStyle name="표준 5 2 2 2 2 4 11" xfId="15514" xr:uid="{00000000-0005-0000-0000-0000FE200000}"/>
    <cellStyle name="표준 5 2 2 2 2 4 12" xfId="15642" xr:uid="{00000000-0005-0000-0000-0000FF200000}"/>
    <cellStyle name="표준 5 2 2 2 2 4 13" xfId="19804" xr:uid="{00000000-0005-0000-0000-000000210000}"/>
    <cellStyle name="표준 5 2 2 2 2 4 14" xfId="23900" xr:uid="{00000000-0005-0000-0000-000001210000}"/>
    <cellStyle name="표준 5 2 2 2 2 4 15" xfId="32111" xr:uid="{00000000-0005-0000-0000-000002210000}"/>
    <cellStyle name="표준 5 2 2 2 2 4 16" xfId="40304" xr:uid="{00000000-0005-0000-0000-000003210000}"/>
    <cellStyle name="표준 5 2 2 2 2 4 2" xfId="563" xr:uid="{00000000-0005-0000-0000-000004210000}"/>
    <cellStyle name="표준 5 2 2 2 2 4 2 10" xfId="19932" xr:uid="{00000000-0005-0000-0000-000005210000}"/>
    <cellStyle name="표준 5 2 2 2 2 4 2 11" xfId="24028" xr:uid="{00000000-0005-0000-0000-000006210000}"/>
    <cellStyle name="표준 5 2 2 2 2 4 2 12" xfId="32239" xr:uid="{00000000-0005-0000-0000-000007210000}"/>
    <cellStyle name="표준 5 2 2 2 2 4 2 13" xfId="40432" xr:uid="{00000000-0005-0000-0000-000008210000}"/>
    <cellStyle name="표준 5 2 2 2 2 4 2 2" xfId="819" xr:uid="{00000000-0005-0000-0000-000009210000}"/>
    <cellStyle name="표준 5 2 2 2 2 4 2 2 10" xfId="24284" xr:uid="{00000000-0005-0000-0000-00000A210000}"/>
    <cellStyle name="표준 5 2 2 2 2 4 2 2 11" xfId="32495" xr:uid="{00000000-0005-0000-0000-00000B210000}"/>
    <cellStyle name="표준 5 2 2 2 2 4 2 2 12" xfId="40688" xr:uid="{00000000-0005-0000-0000-00000C210000}"/>
    <cellStyle name="표준 5 2 2 2 2 4 2 2 2" xfId="1331" xr:uid="{00000000-0005-0000-0000-00000D210000}"/>
    <cellStyle name="표준 5 2 2 2 2 4 2 2 2 2" xfId="10234" xr:uid="{00000000-0005-0000-0000-00000E210000}"/>
    <cellStyle name="표준 5 2 2 2 2 4 2 2 2 2 2" xfId="14346" xr:uid="{00000000-0005-0000-0000-00000F210000}"/>
    <cellStyle name="표준 5 2 2 2 2 4 2 2 2 2 2 2" xfId="30940" xr:uid="{00000000-0005-0000-0000-000010210000}"/>
    <cellStyle name="표준 5 2 2 2 2 4 2 2 2 2 2 3" xfId="39151" xr:uid="{00000000-0005-0000-0000-000011210000}"/>
    <cellStyle name="표준 5 2 2 2 2 4 2 2 2 2 2 4" xfId="47344" xr:uid="{00000000-0005-0000-0000-000012210000}"/>
    <cellStyle name="표준 5 2 2 2 2 4 2 2 2 2 3" xfId="18586" xr:uid="{00000000-0005-0000-0000-000013210000}"/>
    <cellStyle name="표준 5 2 2 2 2 4 2 2 2 2 4" xfId="22748" xr:uid="{00000000-0005-0000-0000-000014210000}"/>
    <cellStyle name="표준 5 2 2 2 2 4 2 2 2 2 5" xfId="26844" xr:uid="{00000000-0005-0000-0000-000015210000}"/>
    <cellStyle name="표준 5 2 2 2 2 4 2 2 2 2 6" xfId="35055" xr:uid="{00000000-0005-0000-0000-000016210000}"/>
    <cellStyle name="표준 5 2 2 2 2 4 2 2 2 2 7" xfId="43248" xr:uid="{00000000-0005-0000-0000-000017210000}"/>
    <cellStyle name="표준 5 2 2 2 2 4 2 2 2 3" xfId="8186" xr:uid="{00000000-0005-0000-0000-000018210000}"/>
    <cellStyle name="표준 5 2 2 2 2 4 2 2 2 3 2" xfId="28892" xr:uid="{00000000-0005-0000-0000-000019210000}"/>
    <cellStyle name="표준 5 2 2 2 2 4 2 2 2 3 3" xfId="37103" xr:uid="{00000000-0005-0000-0000-00001A210000}"/>
    <cellStyle name="표준 5 2 2 2 2 4 2 2 2 3 4" xfId="45296" xr:uid="{00000000-0005-0000-0000-00001B210000}"/>
    <cellStyle name="표준 5 2 2 2 2 4 2 2 2 4" xfId="12298" xr:uid="{00000000-0005-0000-0000-00001C210000}"/>
    <cellStyle name="표준 5 2 2 2 2 4 2 2 2 5" xfId="16538" xr:uid="{00000000-0005-0000-0000-00001D210000}"/>
    <cellStyle name="표준 5 2 2 2 2 4 2 2 2 6" xfId="20700" xr:uid="{00000000-0005-0000-0000-00001E210000}"/>
    <cellStyle name="표준 5 2 2 2 2 4 2 2 2 7" xfId="24796" xr:uid="{00000000-0005-0000-0000-00001F210000}"/>
    <cellStyle name="표준 5 2 2 2 2 4 2 2 2 8" xfId="33007" xr:uid="{00000000-0005-0000-0000-000020210000}"/>
    <cellStyle name="표준 5 2 2 2 2 4 2 2 2 9" xfId="41200" xr:uid="{00000000-0005-0000-0000-000021210000}"/>
    <cellStyle name="표준 5 2 2 2 2 4 2 2 3" xfId="1843" xr:uid="{00000000-0005-0000-0000-000022210000}"/>
    <cellStyle name="표준 5 2 2 2 2 4 2 2 3 2" xfId="10746" xr:uid="{00000000-0005-0000-0000-000023210000}"/>
    <cellStyle name="표준 5 2 2 2 2 4 2 2 3 2 2" xfId="14858" xr:uid="{00000000-0005-0000-0000-000024210000}"/>
    <cellStyle name="표준 5 2 2 2 2 4 2 2 3 2 2 2" xfId="31452" xr:uid="{00000000-0005-0000-0000-000025210000}"/>
    <cellStyle name="표준 5 2 2 2 2 4 2 2 3 2 2 3" xfId="39663" xr:uid="{00000000-0005-0000-0000-000026210000}"/>
    <cellStyle name="표준 5 2 2 2 2 4 2 2 3 2 2 4" xfId="47856" xr:uid="{00000000-0005-0000-0000-000027210000}"/>
    <cellStyle name="표준 5 2 2 2 2 4 2 2 3 2 3" xfId="19098" xr:uid="{00000000-0005-0000-0000-000028210000}"/>
    <cellStyle name="표준 5 2 2 2 2 4 2 2 3 2 4" xfId="23260" xr:uid="{00000000-0005-0000-0000-000029210000}"/>
    <cellStyle name="표준 5 2 2 2 2 4 2 2 3 2 5" xfId="27356" xr:uid="{00000000-0005-0000-0000-00002A210000}"/>
    <cellStyle name="표준 5 2 2 2 2 4 2 2 3 2 6" xfId="35567" xr:uid="{00000000-0005-0000-0000-00002B210000}"/>
    <cellStyle name="표준 5 2 2 2 2 4 2 2 3 2 7" xfId="43760" xr:uid="{00000000-0005-0000-0000-00002C210000}"/>
    <cellStyle name="표준 5 2 2 2 2 4 2 2 3 3" xfId="8698" xr:uid="{00000000-0005-0000-0000-00002D210000}"/>
    <cellStyle name="표준 5 2 2 2 2 4 2 2 3 3 2" xfId="29404" xr:uid="{00000000-0005-0000-0000-00002E210000}"/>
    <cellStyle name="표준 5 2 2 2 2 4 2 2 3 3 3" xfId="37615" xr:uid="{00000000-0005-0000-0000-00002F210000}"/>
    <cellStyle name="표준 5 2 2 2 2 4 2 2 3 3 4" xfId="45808" xr:uid="{00000000-0005-0000-0000-000030210000}"/>
    <cellStyle name="표준 5 2 2 2 2 4 2 2 3 4" xfId="12810" xr:uid="{00000000-0005-0000-0000-000031210000}"/>
    <cellStyle name="표준 5 2 2 2 2 4 2 2 3 5" xfId="17050" xr:uid="{00000000-0005-0000-0000-000032210000}"/>
    <cellStyle name="표준 5 2 2 2 2 4 2 2 3 6" xfId="21212" xr:uid="{00000000-0005-0000-0000-000033210000}"/>
    <cellStyle name="표준 5 2 2 2 2 4 2 2 3 7" xfId="25308" xr:uid="{00000000-0005-0000-0000-000034210000}"/>
    <cellStyle name="표준 5 2 2 2 2 4 2 2 3 8" xfId="33519" xr:uid="{00000000-0005-0000-0000-000035210000}"/>
    <cellStyle name="표준 5 2 2 2 2 4 2 2 3 9" xfId="41712" xr:uid="{00000000-0005-0000-0000-000036210000}"/>
    <cellStyle name="표준 5 2 2 2 2 4 2 2 4" xfId="2355" xr:uid="{00000000-0005-0000-0000-000037210000}"/>
    <cellStyle name="표준 5 2 2 2 2 4 2 2 4 2" xfId="11258" xr:uid="{00000000-0005-0000-0000-000038210000}"/>
    <cellStyle name="표준 5 2 2 2 2 4 2 2 4 2 2" xfId="15370" xr:uid="{00000000-0005-0000-0000-000039210000}"/>
    <cellStyle name="표준 5 2 2 2 2 4 2 2 4 2 2 2" xfId="31964" xr:uid="{00000000-0005-0000-0000-00003A210000}"/>
    <cellStyle name="표준 5 2 2 2 2 4 2 2 4 2 2 3" xfId="40175" xr:uid="{00000000-0005-0000-0000-00003B210000}"/>
    <cellStyle name="표준 5 2 2 2 2 4 2 2 4 2 2 4" xfId="48368" xr:uid="{00000000-0005-0000-0000-00003C210000}"/>
    <cellStyle name="표준 5 2 2 2 2 4 2 2 4 2 3" xfId="19610" xr:uid="{00000000-0005-0000-0000-00003D210000}"/>
    <cellStyle name="표준 5 2 2 2 2 4 2 2 4 2 4" xfId="23772" xr:uid="{00000000-0005-0000-0000-00003E210000}"/>
    <cellStyle name="표준 5 2 2 2 2 4 2 2 4 2 5" xfId="27868" xr:uid="{00000000-0005-0000-0000-00003F210000}"/>
    <cellStyle name="표준 5 2 2 2 2 4 2 2 4 2 6" xfId="36079" xr:uid="{00000000-0005-0000-0000-000040210000}"/>
    <cellStyle name="표준 5 2 2 2 2 4 2 2 4 2 7" xfId="44272" xr:uid="{00000000-0005-0000-0000-000041210000}"/>
    <cellStyle name="표준 5 2 2 2 2 4 2 2 4 3" xfId="9210" xr:uid="{00000000-0005-0000-0000-000042210000}"/>
    <cellStyle name="표준 5 2 2 2 2 4 2 2 4 3 2" xfId="29916" xr:uid="{00000000-0005-0000-0000-000043210000}"/>
    <cellStyle name="표준 5 2 2 2 2 4 2 2 4 3 3" xfId="38127" xr:uid="{00000000-0005-0000-0000-000044210000}"/>
    <cellStyle name="표준 5 2 2 2 2 4 2 2 4 3 4" xfId="46320" xr:uid="{00000000-0005-0000-0000-000045210000}"/>
    <cellStyle name="표준 5 2 2 2 2 4 2 2 4 4" xfId="13322" xr:uid="{00000000-0005-0000-0000-000046210000}"/>
    <cellStyle name="표준 5 2 2 2 2 4 2 2 4 5" xfId="17562" xr:uid="{00000000-0005-0000-0000-000047210000}"/>
    <cellStyle name="표준 5 2 2 2 2 4 2 2 4 6" xfId="21724" xr:uid="{00000000-0005-0000-0000-000048210000}"/>
    <cellStyle name="표준 5 2 2 2 2 4 2 2 4 7" xfId="25820" xr:uid="{00000000-0005-0000-0000-000049210000}"/>
    <cellStyle name="표준 5 2 2 2 2 4 2 2 4 8" xfId="34031" xr:uid="{00000000-0005-0000-0000-00004A210000}"/>
    <cellStyle name="표준 5 2 2 2 2 4 2 2 4 9" xfId="42224" xr:uid="{00000000-0005-0000-0000-00004B210000}"/>
    <cellStyle name="표준 5 2 2 2 2 4 2 2 5" xfId="9722" xr:uid="{00000000-0005-0000-0000-00004C210000}"/>
    <cellStyle name="표준 5 2 2 2 2 4 2 2 5 2" xfId="13834" xr:uid="{00000000-0005-0000-0000-00004D210000}"/>
    <cellStyle name="표준 5 2 2 2 2 4 2 2 5 2 2" xfId="30428" xr:uid="{00000000-0005-0000-0000-00004E210000}"/>
    <cellStyle name="표준 5 2 2 2 2 4 2 2 5 2 3" xfId="38639" xr:uid="{00000000-0005-0000-0000-00004F210000}"/>
    <cellStyle name="표준 5 2 2 2 2 4 2 2 5 2 4" xfId="46832" xr:uid="{00000000-0005-0000-0000-000050210000}"/>
    <cellStyle name="표준 5 2 2 2 2 4 2 2 5 3" xfId="18074" xr:uid="{00000000-0005-0000-0000-000051210000}"/>
    <cellStyle name="표준 5 2 2 2 2 4 2 2 5 4" xfId="22236" xr:uid="{00000000-0005-0000-0000-000052210000}"/>
    <cellStyle name="표준 5 2 2 2 2 4 2 2 5 5" xfId="26332" xr:uid="{00000000-0005-0000-0000-000053210000}"/>
    <cellStyle name="표준 5 2 2 2 2 4 2 2 5 6" xfId="34543" xr:uid="{00000000-0005-0000-0000-000054210000}"/>
    <cellStyle name="표준 5 2 2 2 2 4 2 2 5 7" xfId="42736" xr:uid="{00000000-0005-0000-0000-000055210000}"/>
    <cellStyle name="표준 5 2 2 2 2 4 2 2 6" xfId="7674" xr:uid="{00000000-0005-0000-0000-000056210000}"/>
    <cellStyle name="표준 5 2 2 2 2 4 2 2 6 2" xfId="28380" xr:uid="{00000000-0005-0000-0000-000057210000}"/>
    <cellStyle name="표준 5 2 2 2 2 4 2 2 6 3" xfId="36591" xr:uid="{00000000-0005-0000-0000-000058210000}"/>
    <cellStyle name="표준 5 2 2 2 2 4 2 2 6 4" xfId="44784" xr:uid="{00000000-0005-0000-0000-000059210000}"/>
    <cellStyle name="표준 5 2 2 2 2 4 2 2 7" xfId="11786" xr:uid="{00000000-0005-0000-0000-00005A210000}"/>
    <cellStyle name="표준 5 2 2 2 2 4 2 2 8" xfId="16026" xr:uid="{00000000-0005-0000-0000-00005B210000}"/>
    <cellStyle name="표준 5 2 2 2 2 4 2 2 9" xfId="20188" xr:uid="{00000000-0005-0000-0000-00005C210000}"/>
    <cellStyle name="표준 5 2 2 2 2 4 2 3" xfId="1075" xr:uid="{00000000-0005-0000-0000-00005D210000}"/>
    <cellStyle name="표준 5 2 2 2 2 4 2 3 2" xfId="9978" xr:uid="{00000000-0005-0000-0000-00005E210000}"/>
    <cellStyle name="표준 5 2 2 2 2 4 2 3 2 2" xfId="14090" xr:uid="{00000000-0005-0000-0000-00005F210000}"/>
    <cellStyle name="표준 5 2 2 2 2 4 2 3 2 2 2" xfId="30684" xr:uid="{00000000-0005-0000-0000-000060210000}"/>
    <cellStyle name="표준 5 2 2 2 2 4 2 3 2 2 3" xfId="38895" xr:uid="{00000000-0005-0000-0000-000061210000}"/>
    <cellStyle name="표준 5 2 2 2 2 4 2 3 2 2 4" xfId="47088" xr:uid="{00000000-0005-0000-0000-000062210000}"/>
    <cellStyle name="표준 5 2 2 2 2 4 2 3 2 3" xfId="18330" xr:uid="{00000000-0005-0000-0000-000063210000}"/>
    <cellStyle name="표준 5 2 2 2 2 4 2 3 2 4" xfId="22492" xr:uid="{00000000-0005-0000-0000-000064210000}"/>
    <cellStyle name="표준 5 2 2 2 2 4 2 3 2 5" xfId="26588" xr:uid="{00000000-0005-0000-0000-000065210000}"/>
    <cellStyle name="표준 5 2 2 2 2 4 2 3 2 6" xfId="34799" xr:uid="{00000000-0005-0000-0000-000066210000}"/>
    <cellStyle name="표준 5 2 2 2 2 4 2 3 2 7" xfId="42992" xr:uid="{00000000-0005-0000-0000-000067210000}"/>
    <cellStyle name="표준 5 2 2 2 2 4 2 3 3" xfId="7930" xr:uid="{00000000-0005-0000-0000-000068210000}"/>
    <cellStyle name="표준 5 2 2 2 2 4 2 3 3 2" xfId="28636" xr:uid="{00000000-0005-0000-0000-000069210000}"/>
    <cellStyle name="표준 5 2 2 2 2 4 2 3 3 3" xfId="36847" xr:uid="{00000000-0005-0000-0000-00006A210000}"/>
    <cellStyle name="표준 5 2 2 2 2 4 2 3 3 4" xfId="45040" xr:uid="{00000000-0005-0000-0000-00006B210000}"/>
    <cellStyle name="표준 5 2 2 2 2 4 2 3 4" xfId="12042" xr:uid="{00000000-0005-0000-0000-00006C210000}"/>
    <cellStyle name="표준 5 2 2 2 2 4 2 3 5" xfId="16282" xr:uid="{00000000-0005-0000-0000-00006D210000}"/>
    <cellStyle name="표준 5 2 2 2 2 4 2 3 6" xfId="20444" xr:uid="{00000000-0005-0000-0000-00006E210000}"/>
    <cellStyle name="표준 5 2 2 2 2 4 2 3 7" xfId="24540" xr:uid="{00000000-0005-0000-0000-00006F210000}"/>
    <cellStyle name="표준 5 2 2 2 2 4 2 3 8" xfId="32751" xr:uid="{00000000-0005-0000-0000-000070210000}"/>
    <cellStyle name="표준 5 2 2 2 2 4 2 3 9" xfId="40944" xr:uid="{00000000-0005-0000-0000-000071210000}"/>
    <cellStyle name="표준 5 2 2 2 2 4 2 4" xfId="1587" xr:uid="{00000000-0005-0000-0000-000072210000}"/>
    <cellStyle name="표준 5 2 2 2 2 4 2 4 2" xfId="10490" xr:uid="{00000000-0005-0000-0000-000073210000}"/>
    <cellStyle name="표준 5 2 2 2 2 4 2 4 2 2" xfId="14602" xr:uid="{00000000-0005-0000-0000-000074210000}"/>
    <cellStyle name="표준 5 2 2 2 2 4 2 4 2 2 2" xfId="31196" xr:uid="{00000000-0005-0000-0000-000075210000}"/>
    <cellStyle name="표준 5 2 2 2 2 4 2 4 2 2 3" xfId="39407" xr:uid="{00000000-0005-0000-0000-000076210000}"/>
    <cellStyle name="표준 5 2 2 2 2 4 2 4 2 2 4" xfId="47600" xr:uid="{00000000-0005-0000-0000-000077210000}"/>
    <cellStyle name="표준 5 2 2 2 2 4 2 4 2 3" xfId="18842" xr:uid="{00000000-0005-0000-0000-000078210000}"/>
    <cellStyle name="표준 5 2 2 2 2 4 2 4 2 4" xfId="23004" xr:uid="{00000000-0005-0000-0000-000079210000}"/>
    <cellStyle name="표준 5 2 2 2 2 4 2 4 2 5" xfId="27100" xr:uid="{00000000-0005-0000-0000-00007A210000}"/>
    <cellStyle name="표준 5 2 2 2 2 4 2 4 2 6" xfId="35311" xr:uid="{00000000-0005-0000-0000-00007B210000}"/>
    <cellStyle name="표준 5 2 2 2 2 4 2 4 2 7" xfId="43504" xr:uid="{00000000-0005-0000-0000-00007C210000}"/>
    <cellStyle name="표준 5 2 2 2 2 4 2 4 3" xfId="8442" xr:uid="{00000000-0005-0000-0000-00007D210000}"/>
    <cellStyle name="표준 5 2 2 2 2 4 2 4 3 2" xfId="29148" xr:uid="{00000000-0005-0000-0000-00007E210000}"/>
    <cellStyle name="표준 5 2 2 2 2 4 2 4 3 3" xfId="37359" xr:uid="{00000000-0005-0000-0000-00007F210000}"/>
    <cellStyle name="표준 5 2 2 2 2 4 2 4 3 4" xfId="45552" xr:uid="{00000000-0005-0000-0000-000080210000}"/>
    <cellStyle name="표준 5 2 2 2 2 4 2 4 4" xfId="12554" xr:uid="{00000000-0005-0000-0000-000081210000}"/>
    <cellStyle name="표준 5 2 2 2 2 4 2 4 5" xfId="16794" xr:uid="{00000000-0005-0000-0000-000082210000}"/>
    <cellStyle name="표준 5 2 2 2 2 4 2 4 6" xfId="20956" xr:uid="{00000000-0005-0000-0000-000083210000}"/>
    <cellStyle name="표준 5 2 2 2 2 4 2 4 7" xfId="25052" xr:uid="{00000000-0005-0000-0000-000084210000}"/>
    <cellStyle name="표준 5 2 2 2 2 4 2 4 8" xfId="33263" xr:uid="{00000000-0005-0000-0000-000085210000}"/>
    <cellStyle name="표준 5 2 2 2 2 4 2 4 9" xfId="41456" xr:uid="{00000000-0005-0000-0000-000086210000}"/>
    <cellStyle name="표준 5 2 2 2 2 4 2 5" xfId="2099" xr:uid="{00000000-0005-0000-0000-000087210000}"/>
    <cellStyle name="표준 5 2 2 2 2 4 2 5 2" xfId="11002" xr:uid="{00000000-0005-0000-0000-000088210000}"/>
    <cellStyle name="표준 5 2 2 2 2 4 2 5 2 2" xfId="15114" xr:uid="{00000000-0005-0000-0000-000089210000}"/>
    <cellStyle name="표준 5 2 2 2 2 4 2 5 2 2 2" xfId="31708" xr:uid="{00000000-0005-0000-0000-00008A210000}"/>
    <cellStyle name="표준 5 2 2 2 2 4 2 5 2 2 3" xfId="39919" xr:uid="{00000000-0005-0000-0000-00008B210000}"/>
    <cellStyle name="표준 5 2 2 2 2 4 2 5 2 2 4" xfId="48112" xr:uid="{00000000-0005-0000-0000-00008C210000}"/>
    <cellStyle name="표준 5 2 2 2 2 4 2 5 2 3" xfId="19354" xr:uid="{00000000-0005-0000-0000-00008D210000}"/>
    <cellStyle name="표준 5 2 2 2 2 4 2 5 2 4" xfId="23516" xr:uid="{00000000-0005-0000-0000-00008E210000}"/>
    <cellStyle name="표준 5 2 2 2 2 4 2 5 2 5" xfId="27612" xr:uid="{00000000-0005-0000-0000-00008F210000}"/>
    <cellStyle name="표준 5 2 2 2 2 4 2 5 2 6" xfId="35823" xr:uid="{00000000-0005-0000-0000-000090210000}"/>
    <cellStyle name="표준 5 2 2 2 2 4 2 5 2 7" xfId="44016" xr:uid="{00000000-0005-0000-0000-000091210000}"/>
    <cellStyle name="표준 5 2 2 2 2 4 2 5 3" xfId="8954" xr:uid="{00000000-0005-0000-0000-000092210000}"/>
    <cellStyle name="표준 5 2 2 2 2 4 2 5 3 2" xfId="29660" xr:uid="{00000000-0005-0000-0000-000093210000}"/>
    <cellStyle name="표준 5 2 2 2 2 4 2 5 3 3" xfId="37871" xr:uid="{00000000-0005-0000-0000-000094210000}"/>
    <cellStyle name="표준 5 2 2 2 2 4 2 5 3 4" xfId="46064" xr:uid="{00000000-0005-0000-0000-000095210000}"/>
    <cellStyle name="표준 5 2 2 2 2 4 2 5 4" xfId="13066" xr:uid="{00000000-0005-0000-0000-000096210000}"/>
    <cellStyle name="표준 5 2 2 2 2 4 2 5 5" xfId="17306" xr:uid="{00000000-0005-0000-0000-000097210000}"/>
    <cellStyle name="표준 5 2 2 2 2 4 2 5 6" xfId="21468" xr:uid="{00000000-0005-0000-0000-000098210000}"/>
    <cellStyle name="표준 5 2 2 2 2 4 2 5 7" xfId="25564" xr:uid="{00000000-0005-0000-0000-000099210000}"/>
    <cellStyle name="표준 5 2 2 2 2 4 2 5 8" xfId="33775" xr:uid="{00000000-0005-0000-0000-00009A210000}"/>
    <cellStyle name="표준 5 2 2 2 2 4 2 5 9" xfId="41968" xr:uid="{00000000-0005-0000-0000-00009B210000}"/>
    <cellStyle name="표준 5 2 2 2 2 4 2 6" xfId="9466" xr:uid="{00000000-0005-0000-0000-00009C210000}"/>
    <cellStyle name="표준 5 2 2 2 2 4 2 6 2" xfId="13578" xr:uid="{00000000-0005-0000-0000-00009D210000}"/>
    <cellStyle name="표준 5 2 2 2 2 4 2 6 2 2" xfId="30172" xr:uid="{00000000-0005-0000-0000-00009E210000}"/>
    <cellStyle name="표준 5 2 2 2 2 4 2 6 2 3" xfId="38383" xr:uid="{00000000-0005-0000-0000-00009F210000}"/>
    <cellStyle name="표준 5 2 2 2 2 4 2 6 2 4" xfId="46576" xr:uid="{00000000-0005-0000-0000-0000A0210000}"/>
    <cellStyle name="표준 5 2 2 2 2 4 2 6 3" xfId="17818" xr:uid="{00000000-0005-0000-0000-0000A1210000}"/>
    <cellStyle name="표준 5 2 2 2 2 4 2 6 4" xfId="21980" xr:uid="{00000000-0005-0000-0000-0000A2210000}"/>
    <cellStyle name="표준 5 2 2 2 2 4 2 6 5" xfId="26076" xr:uid="{00000000-0005-0000-0000-0000A3210000}"/>
    <cellStyle name="표준 5 2 2 2 2 4 2 6 6" xfId="34287" xr:uid="{00000000-0005-0000-0000-0000A4210000}"/>
    <cellStyle name="표준 5 2 2 2 2 4 2 6 7" xfId="42480" xr:uid="{00000000-0005-0000-0000-0000A5210000}"/>
    <cellStyle name="표준 5 2 2 2 2 4 2 7" xfId="7418" xr:uid="{00000000-0005-0000-0000-0000A6210000}"/>
    <cellStyle name="표준 5 2 2 2 2 4 2 7 2" xfId="28124" xr:uid="{00000000-0005-0000-0000-0000A7210000}"/>
    <cellStyle name="표준 5 2 2 2 2 4 2 7 3" xfId="36335" xr:uid="{00000000-0005-0000-0000-0000A8210000}"/>
    <cellStyle name="표준 5 2 2 2 2 4 2 7 4" xfId="44528" xr:uid="{00000000-0005-0000-0000-0000A9210000}"/>
    <cellStyle name="표준 5 2 2 2 2 4 2 8" xfId="11530" xr:uid="{00000000-0005-0000-0000-0000AA210000}"/>
    <cellStyle name="표준 5 2 2 2 2 4 2 9" xfId="15770" xr:uid="{00000000-0005-0000-0000-0000AB210000}"/>
    <cellStyle name="표준 5 2 2 2 2 4 3" xfId="691" xr:uid="{00000000-0005-0000-0000-0000AC210000}"/>
    <cellStyle name="표준 5 2 2 2 2 4 3 10" xfId="24156" xr:uid="{00000000-0005-0000-0000-0000AD210000}"/>
    <cellStyle name="표준 5 2 2 2 2 4 3 11" xfId="32367" xr:uid="{00000000-0005-0000-0000-0000AE210000}"/>
    <cellStyle name="표준 5 2 2 2 2 4 3 12" xfId="40560" xr:uid="{00000000-0005-0000-0000-0000AF210000}"/>
    <cellStyle name="표준 5 2 2 2 2 4 3 2" xfId="1203" xr:uid="{00000000-0005-0000-0000-0000B0210000}"/>
    <cellStyle name="표준 5 2 2 2 2 4 3 2 2" xfId="10106" xr:uid="{00000000-0005-0000-0000-0000B1210000}"/>
    <cellStyle name="표준 5 2 2 2 2 4 3 2 2 2" xfId="14218" xr:uid="{00000000-0005-0000-0000-0000B2210000}"/>
    <cellStyle name="표준 5 2 2 2 2 4 3 2 2 2 2" xfId="30812" xr:uid="{00000000-0005-0000-0000-0000B3210000}"/>
    <cellStyle name="표준 5 2 2 2 2 4 3 2 2 2 3" xfId="39023" xr:uid="{00000000-0005-0000-0000-0000B4210000}"/>
    <cellStyle name="표준 5 2 2 2 2 4 3 2 2 2 4" xfId="47216" xr:uid="{00000000-0005-0000-0000-0000B5210000}"/>
    <cellStyle name="표준 5 2 2 2 2 4 3 2 2 3" xfId="18458" xr:uid="{00000000-0005-0000-0000-0000B6210000}"/>
    <cellStyle name="표준 5 2 2 2 2 4 3 2 2 4" xfId="22620" xr:uid="{00000000-0005-0000-0000-0000B7210000}"/>
    <cellStyle name="표준 5 2 2 2 2 4 3 2 2 5" xfId="26716" xr:uid="{00000000-0005-0000-0000-0000B8210000}"/>
    <cellStyle name="표준 5 2 2 2 2 4 3 2 2 6" xfId="34927" xr:uid="{00000000-0005-0000-0000-0000B9210000}"/>
    <cellStyle name="표준 5 2 2 2 2 4 3 2 2 7" xfId="43120" xr:uid="{00000000-0005-0000-0000-0000BA210000}"/>
    <cellStyle name="표준 5 2 2 2 2 4 3 2 3" xfId="8058" xr:uid="{00000000-0005-0000-0000-0000BB210000}"/>
    <cellStyle name="표준 5 2 2 2 2 4 3 2 3 2" xfId="28764" xr:uid="{00000000-0005-0000-0000-0000BC210000}"/>
    <cellStyle name="표준 5 2 2 2 2 4 3 2 3 3" xfId="36975" xr:uid="{00000000-0005-0000-0000-0000BD210000}"/>
    <cellStyle name="표준 5 2 2 2 2 4 3 2 3 4" xfId="45168" xr:uid="{00000000-0005-0000-0000-0000BE210000}"/>
    <cellStyle name="표준 5 2 2 2 2 4 3 2 4" xfId="12170" xr:uid="{00000000-0005-0000-0000-0000BF210000}"/>
    <cellStyle name="표준 5 2 2 2 2 4 3 2 5" xfId="16410" xr:uid="{00000000-0005-0000-0000-0000C0210000}"/>
    <cellStyle name="표준 5 2 2 2 2 4 3 2 6" xfId="20572" xr:uid="{00000000-0005-0000-0000-0000C1210000}"/>
    <cellStyle name="표준 5 2 2 2 2 4 3 2 7" xfId="24668" xr:uid="{00000000-0005-0000-0000-0000C2210000}"/>
    <cellStyle name="표준 5 2 2 2 2 4 3 2 8" xfId="32879" xr:uid="{00000000-0005-0000-0000-0000C3210000}"/>
    <cellStyle name="표준 5 2 2 2 2 4 3 2 9" xfId="41072" xr:uid="{00000000-0005-0000-0000-0000C4210000}"/>
    <cellStyle name="표준 5 2 2 2 2 4 3 3" xfId="1715" xr:uid="{00000000-0005-0000-0000-0000C5210000}"/>
    <cellStyle name="표준 5 2 2 2 2 4 3 3 2" xfId="10618" xr:uid="{00000000-0005-0000-0000-0000C6210000}"/>
    <cellStyle name="표준 5 2 2 2 2 4 3 3 2 2" xfId="14730" xr:uid="{00000000-0005-0000-0000-0000C7210000}"/>
    <cellStyle name="표준 5 2 2 2 2 4 3 3 2 2 2" xfId="31324" xr:uid="{00000000-0005-0000-0000-0000C8210000}"/>
    <cellStyle name="표준 5 2 2 2 2 4 3 3 2 2 3" xfId="39535" xr:uid="{00000000-0005-0000-0000-0000C9210000}"/>
    <cellStyle name="표준 5 2 2 2 2 4 3 3 2 2 4" xfId="47728" xr:uid="{00000000-0005-0000-0000-0000CA210000}"/>
    <cellStyle name="표준 5 2 2 2 2 4 3 3 2 3" xfId="18970" xr:uid="{00000000-0005-0000-0000-0000CB210000}"/>
    <cellStyle name="표준 5 2 2 2 2 4 3 3 2 4" xfId="23132" xr:uid="{00000000-0005-0000-0000-0000CC210000}"/>
    <cellStyle name="표준 5 2 2 2 2 4 3 3 2 5" xfId="27228" xr:uid="{00000000-0005-0000-0000-0000CD210000}"/>
    <cellStyle name="표준 5 2 2 2 2 4 3 3 2 6" xfId="35439" xr:uid="{00000000-0005-0000-0000-0000CE210000}"/>
    <cellStyle name="표준 5 2 2 2 2 4 3 3 2 7" xfId="43632" xr:uid="{00000000-0005-0000-0000-0000CF210000}"/>
    <cellStyle name="표준 5 2 2 2 2 4 3 3 3" xfId="8570" xr:uid="{00000000-0005-0000-0000-0000D0210000}"/>
    <cellStyle name="표준 5 2 2 2 2 4 3 3 3 2" xfId="29276" xr:uid="{00000000-0005-0000-0000-0000D1210000}"/>
    <cellStyle name="표준 5 2 2 2 2 4 3 3 3 3" xfId="37487" xr:uid="{00000000-0005-0000-0000-0000D2210000}"/>
    <cellStyle name="표준 5 2 2 2 2 4 3 3 3 4" xfId="45680" xr:uid="{00000000-0005-0000-0000-0000D3210000}"/>
    <cellStyle name="표준 5 2 2 2 2 4 3 3 4" xfId="12682" xr:uid="{00000000-0005-0000-0000-0000D4210000}"/>
    <cellStyle name="표준 5 2 2 2 2 4 3 3 5" xfId="16922" xr:uid="{00000000-0005-0000-0000-0000D5210000}"/>
    <cellStyle name="표준 5 2 2 2 2 4 3 3 6" xfId="21084" xr:uid="{00000000-0005-0000-0000-0000D6210000}"/>
    <cellStyle name="표준 5 2 2 2 2 4 3 3 7" xfId="25180" xr:uid="{00000000-0005-0000-0000-0000D7210000}"/>
    <cellStyle name="표준 5 2 2 2 2 4 3 3 8" xfId="33391" xr:uid="{00000000-0005-0000-0000-0000D8210000}"/>
    <cellStyle name="표준 5 2 2 2 2 4 3 3 9" xfId="41584" xr:uid="{00000000-0005-0000-0000-0000D9210000}"/>
    <cellStyle name="표준 5 2 2 2 2 4 3 4" xfId="2227" xr:uid="{00000000-0005-0000-0000-0000DA210000}"/>
    <cellStyle name="표준 5 2 2 2 2 4 3 4 2" xfId="11130" xr:uid="{00000000-0005-0000-0000-0000DB210000}"/>
    <cellStyle name="표준 5 2 2 2 2 4 3 4 2 2" xfId="15242" xr:uid="{00000000-0005-0000-0000-0000DC210000}"/>
    <cellStyle name="표준 5 2 2 2 2 4 3 4 2 2 2" xfId="31836" xr:uid="{00000000-0005-0000-0000-0000DD210000}"/>
    <cellStyle name="표준 5 2 2 2 2 4 3 4 2 2 3" xfId="40047" xr:uid="{00000000-0005-0000-0000-0000DE210000}"/>
    <cellStyle name="표준 5 2 2 2 2 4 3 4 2 2 4" xfId="48240" xr:uid="{00000000-0005-0000-0000-0000DF210000}"/>
    <cellStyle name="표준 5 2 2 2 2 4 3 4 2 3" xfId="19482" xr:uid="{00000000-0005-0000-0000-0000E0210000}"/>
    <cellStyle name="표준 5 2 2 2 2 4 3 4 2 4" xfId="23644" xr:uid="{00000000-0005-0000-0000-0000E1210000}"/>
    <cellStyle name="표준 5 2 2 2 2 4 3 4 2 5" xfId="27740" xr:uid="{00000000-0005-0000-0000-0000E2210000}"/>
    <cellStyle name="표준 5 2 2 2 2 4 3 4 2 6" xfId="35951" xr:uid="{00000000-0005-0000-0000-0000E3210000}"/>
    <cellStyle name="표준 5 2 2 2 2 4 3 4 2 7" xfId="44144" xr:uid="{00000000-0005-0000-0000-0000E4210000}"/>
    <cellStyle name="표준 5 2 2 2 2 4 3 4 3" xfId="9082" xr:uid="{00000000-0005-0000-0000-0000E5210000}"/>
    <cellStyle name="표준 5 2 2 2 2 4 3 4 3 2" xfId="29788" xr:uid="{00000000-0005-0000-0000-0000E6210000}"/>
    <cellStyle name="표준 5 2 2 2 2 4 3 4 3 3" xfId="37999" xr:uid="{00000000-0005-0000-0000-0000E7210000}"/>
    <cellStyle name="표준 5 2 2 2 2 4 3 4 3 4" xfId="46192" xr:uid="{00000000-0005-0000-0000-0000E8210000}"/>
    <cellStyle name="표준 5 2 2 2 2 4 3 4 4" xfId="13194" xr:uid="{00000000-0005-0000-0000-0000E9210000}"/>
    <cellStyle name="표준 5 2 2 2 2 4 3 4 5" xfId="17434" xr:uid="{00000000-0005-0000-0000-0000EA210000}"/>
    <cellStyle name="표준 5 2 2 2 2 4 3 4 6" xfId="21596" xr:uid="{00000000-0005-0000-0000-0000EB210000}"/>
    <cellStyle name="표준 5 2 2 2 2 4 3 4 7" xfId="25692" xr:uid="{00000000-0005-0000-0000-0000EC210000}"/>
    <cellStyle name="표준 5 2 2 2 2 4 3 4 8" xfId="33903" xr:uid="{00000000-0005-0000-0000-0000ED210000}"/>
    <cellStyle name="표준 5 2 2 2 2 4 3 4 9" xfId="42096" xr:uid="{00000000-0005-0000-0000-0000EE210000}"/>
    <cellStyle name="표준 5 2 2 2 2 4 3 5" xfId="9594" xr:uid="{00000000-0005-0000-0000-0000EF210000}"/>
    <cellStyle name="표준 5 2 2 2 2 4 3 5 2" xfId="13706" xr:uid="{00000000-0005-0000-0000-0000F0210000}"/>
    <cellStyle name="표준 5 2 2 2 2 4 3 5 2 2" xfId="30300" xr:uid="{00000000-0005-0000-0000-0000F1210000}"/>
    <cellStyle name="표준 5 2 2 2 2 4 3 5 2 3" xfId="38511" xr:uid="{00000000-0005-0000-0000-0000F2210000}"/>
    <cellStyle name="표준 5 2 2 2 2 4 3 5 2 4" xfId="46704" xr:uid="{00000000-0005-0000-0000-0000F3210000}"/>
    <cellStyle name="표준 5 2 2 2 2 4 3 5 3" xfId="17946" xr:uid="{00000000-0005-0000-0000-0000F4210000}"/>
    <cellStyle name="표준 5 2 2 2 2 4 3 5 4" xfId="22108" xr:uid="{00000000-0005-0000-0000-0000F5210000}"/>
    <cellStyle name="표준 5 2 2 2 2 4 3 5 5" xfId="26204" xr:uid="{00000000-0005-0000-0000-0000F6210000}"/>
    <cellStyle name="표준 5 2 2 2 2 4 3 5 6" xfId="34415" xr:uid="{00000000-0005-0000-0000-0000F7210000}"/>
    <cellStyle name="표준 5 2 2 2 2 4 3 5 7" xfId="42608" xr:uid="{00000000-0005-0000-0000-0000F8210000}"/>
    <cellStyle name="표준 5 2 2 2 2 4 3 6" xfId="7546" xr:uid="{00000000-0005-0000-0000-0000F9210000}"/>
    <cellStyle name="표준 5 2 2 2 2 4 3 6 2" xfId="28252" xr:uid="{00000000-0005-0000-0000-0000FA210000}"/>
    <cellStyle name="표준 5 2 2 2 2 4 3 6 3" xfId="36463" xr:uid="{00000000-0005-0000-0000-0000FB210000}"/>
    <cellStyle name="표준 5 2 2 2 2 4 3 6 4" xfId="44656" xr:uid="{00000000-0005-0000-0000-0000FC210000}"/>
    <cellStyle name="표준 5 2 2 2 2 4 3 7" xfId="11658" xr:uid="{00000000-0005-0000-0000-0000FD210000}"/>
    <cellStyle name="표준 5 2 2 2 2 4 3 8" xfId="15898" xr:uid="{00000000-0005-0000-0000-0000FE210000}"/>
    <cellStyle name="표준 5 2 2 2 2 4 3 9" xfId="20060" xr:uid="{00000000-0005-0000-0000-0000FF210000}"/>
    <cellStyle name="표준 5 2 2 2 2 4 4" xfId="947" xr:uid="{00000000-0005-0000-0000-000000220000}"/>
    <cellStyle name="표준 5 2 2 2 2 4 4 2" xfId="9850" xr:uid="{00000000-0005-0000-0000-000001220000}"/>
    <cellStyle name="표준 5 2 2 2 2 4 4 2 2" xfId="13962" xr:uid="{00000000-0005-0000-0000-000002220000}"/>
    <cellStyle name="표준 5 2 2 2 2 4 4 2 2 2" xfId="30556" xr:uid="{00000000-0005-0000-0000-000003220000}"/>
    <cellStyle name="표준 5 2 2 2 2 4 4 2 2 3" xfId="38767" xr:uid="{00000000-0005-0000-0000-000004220000}"/>
    <cellStyle name="표준 5 2 2 2 2 4 4 2 2 4" xfId="46960" xr:uid="{00000000-0005-0000-0000-000005220000}"/>
    <cellStyle name="표준 5 2 2 2 2 4 4 2 3" xfId="18202" xr:uid="{00000000-0005-0000-0000-000006220000}"/>
    <cellStyle name="표준 5 2 2 2 2 4 4 2 4" xfId="22364" xr:uid="{00000000-0005-0000-0000-000007220000}"/>
    <cellStyle name="표준 5 2 2 2 2 4 4 2 5" xfId="26460" xr:uid="{00000000-0005-0000-0000-000008220000}"/>
    <cellStyle name="표준 5 2 2 2 2 4 4 2 6" xfId="34671" xr:uid="{00000000-0005-0000-0000-000009220000}"/>
    <cellStyle name="표준 5 2 2 2 2 4 4 2 7" xfId="42864" xr:uid="{00000000-0005-0000-0000-00000A220000}"/>
    <cellStyle name="표준 5 2 2 2 2 4 4 3" xfId="7802" xr:uid="{00000000-0005-0000-0000-00000B220000}"/>
    <cellStyle name="표준 5 2 2 2 2 4 4 3 2" xfId="28508" xr:uid="{00000000-0005-0000-0000-00000C220000}"/>
    <cellStyle name="표준 5 2 2 2 2 4 4 3 3" xfId="36719" xr:uid="{00000000-0005-0000-0000-00000D220000}"/>
    <cellStyle name="표준 5 2 2 2 2 4 4 3 4" xfId="44912" xr:uid="{00000000-0005-0000-0000-00000E220000}"/>
    <cellStyle name="표준 5 2 2 2 2 4 4 4" xfId="11914" xr:uid="{00000000-0005-0000-0000-00000F220000}"/>
    <cellStyle name="표준 5 2 2 2 2 4 4 5" xfId="16154" xr:uid="{00000000-0005-0000-0000-000010220000}"/>
    <cellStyle name="표준 5 2 2 2 2 4 4 6" xfId="20316" xr:uid="{00000000-0005-0000-0000-000011220000}"/>
    <cellStyle name="표준 5 2 2 2 2 4 4 7" xfId="24412" xr:uid="{00000000-0005-0000-0000-000012220000}"/>
    <cellStyle name="표준 5 2 2 2 2 4 4 8" xfId="32623" xr:uid="{00000000-0005-0000-0000-000013220000}"/>
    <cellStyle name="표준 5 2 2 2 2 4 4 9" xfId="40816" xr:uid="{00000000-0005-0000-0000-000014220000}"/>
    <cellStyle name="표준 5 2 2 2 2 4 5" xfId="1459" xr:uid="{00000000-0005-0000-0000-000015220000}"/>
    <cellStyle name="표준 5 2 2 2 2 4 5 2" xfId="10362" xr:uid="{00000000-0005-0000-0000-000016220000}"/>
    <cellStyle name="표준 5 2 2 2 2 4 5 2 2" xfId="14474" xr:uid="{00000000-0005-0000-0000-000017220000}"/>
    <cellStyle name="표준 5 2 2 2 2 4 5 2 2 2" xfId="31068" xr:uid="{00000000-0005-0000-0000-000018220000}"/>
    <cellStyle name="표준 5 2 2 2 2 4 5 2 2 3" xfId="39279" xr:uid="{00000000-0005-0000-0000-000019220000}"/>
    <cellStyle name="표준 5 2 2 2 2 4 5 2 2 4" xfId="47472" xr:uid="{00000000-0005-0000-0000-00001A220000}"/>
    <cellStyle name="표준 5 2 2 2 2 4 5 2 3" xfId="18714" xr:uid="{00000000-0005-0000-0000-00001B220000}"/>
    <cellStyle name="표준 5 2 2 2 2 4 5 2 4" xfId="22876" xr:uid="{00000000-0005-0000-0000-00001C220000}"/>
    <cellStyle name="표준 5 2 2 2 2 4 5 2 5" xfId="26972" xr:uid="{00000000-0005-0000-0000-00001D220000}"/>
    <cellStyle name="표준 5 2 2 2 2 4 5 2 6" xfId="35183" xr:uid="{00000000-0005-0000-0000-00001E220000}"/>
    <cellStyle name="표준 5 2 2 2 2 4 5 2 7" xfId="43376" xr:uid="{00000000-0005-0000-0000-00001F220000}"/>
    <cellStyle name="표준 5 2 2 2 2 4 5 3" xfId="8314" xr:uid="{00000000-0005-0000-0000-000020220000}"/>
    <cellStyle name="표준 5 2 2 2 2 4 5 3 2" xfId="29020" xr:uid="{00000000-0005-0000-0000-000021220000}"/>
    <cellStyle name="표준 5 2 2 2 2 4 5 3 3" xfId="37231" xr:uid="{00000000-0005-0000-0000-000022220000}"/>
    <cellStyle name="표준 5 2 2 2 2 4 5 3 4" xfId="45424" xr:uid="{00000000-0005-0000-0000-000023220000}"/>
    <cellStyle name="표준 5 2 2 2 2 4 5 4" xfId="12426" xr:uid="{00000000-0005-0000-0000-000024220000}"/>
    <cellStyle name="표준 5 2 2 2 2 4 5 5" xfId="16666" xr:uid="{00000000-0005-0000-0000-000025220000}"/>
    <cellStyle name="표준 5 2 2 2 2 4 5 6" xfId="20828" xr:uid="{00000000-0005-0000-0000-000026220000}"/>
    <cellStyle name="표준 5 2 2 2 2 4 5 7" xfId="24924" xr:uid="{00000000-0005-0000-0000-000027220000}"/>
    <cellStyle name="표준 5 2 2 2 2 4 5 8" xfId="33135" xr:uid="{00000000-0005-0000-0000-000028220000}"/>
    <cellStyle name="표준 5 2 2 2 2 4 5 9" xfId="41328" xr:uid="{00000000-0005-0000-0000-000029220000}"/>
    <cellStyle name="표준 5 2 2 2 2 4 6" xfId="1971" xr:uid="{00000000-0005-0000-0000-00002A220000}"/>
    <cellStyle name="표준 5 2 2 2 2 4 6 2" xfId="10874" xr:uid="{00000000-0005-0000-0000-00002B220000}"/>
    <cellStyle name="표준 5 2 2 2 2 4 6 2 2" xfId="14986" xr:uid="{00000000-0005-0000-0000-00002C220000}"/>
    <cellStyle name="표준 5 2 2 2 2 4 6 2 2 2" xfId="31580" xr:uid="{00000000-0005-0000-0000-00002D220000}"/>
    <cellStyle name="표준 5 2 2 2 2 4 6 2 2 3" xfId="39791" xr:uid="{00000000-0005-0000-0000-00002E220000}"/>
    <cellStyle name="표준 5 2 2 2 2 4 6 2 2 4" xfId="47984" xr:uid="{00000000-0005-0000-0000-00002F220000}"/>
    <cellStyle name="표준 5 2 2 2 2 4 6 2 3" xfId="19226" xr:uid="{00000000-0005-0000-0000-000030220000}"/>
    <cellStyle name="표준 5 2 2 2 2 4 6 2 4" xfId="23388" xr:uid="{00000000-0005-0000-0000-000031220000}"/>
    <cellStyle name="표준 5 2 2 2 2 4 6 2 5" xfId="27484" xr:uid="{00000000-0005-0000-0000-000032220000}"/>
    <cellStyle name="표준 5 2 2 2 2 4 6 2 6" xfId="35695" xr:uid="{00000000-0005-0000-0000-000033220000}"/>
    <cellStyle name="표준 5 2 2 2 2 4 6 2 7" xfId="43888" xr:uid="{00000000-0005-0000-0000-000034220000}"/>
    <cellStyle name="표준 5 2 2 2 2 4 6 3" xfId="8826" xr:uid="{00000000-0005-0000-0000-000035220000}"/>
    <cellStyle name="표준 5 2 2 2 2 4 6 3 2" xfId="29532" xr:uid="{00000000-0005-0000-0000-000036220000}"/>
    <cellStyle name="표준 5 2 2 2 2 4 6 3 3" xfId="37743" xr:uid="{00000000-0005-0000-0000-000037220000}"/>
    <cellStyle name="표준 5 2 2 2 2 4 6 3 4" xfId="45936" xr:uid="{00000000-0005-0000-0000-000038220000}"/>
    <cellStyle name="표준 5 2 2 2 2 4 6 4" xfId="12938" xr:uid="{00000000-0005-0000-0000-000039220000}"/>
    <cellStyle name="표준 5 2 2 2 2 4 6 5" xfId="17178" xr:uid="{00000000-0005-0000-0000-00003A220000}"/>
    <cellStyle name="표준 5 2 2 2 2 4 6 6" xfId="21340" xr:uid="{00000000-0005-0000-0000-00003B220000}"/>
    <cellStyle name="표준 5 2 2 2 2 4 6 7" xfId="25436" xr:uid="{00000000-0005-0000-0000-00003C220000}"/>
    <cellStyle name="표준 5 2 2 2 2 4 6 8" xfId="33647" xr:uid="{00000000-0005-0000-0000-00003D220000}"/>
    <cellStyle name="표준 5 2 2 2 2 4 6 9" xfId="41840" xr:uid="{00000000-0005-0000-0000-00003E220000}"/>
    <cellStyle name="표준 5 2 2 2 2 4 7" xfId="7031" xr:uid="{00000000-0005-0000-0000-00003F220000}"/>
    <cellStyle name="표준 5 2 2 2 2 4 7 2" xfId="9338" xr:uid="{00000000-0005-0000-0000-000040220000}"/>
    <cellStyle name="표준 5 2 2 2 2 4 7 2 2" xfId="30044" xr:uid="{00000000-0005-0000-0000-000041220000}"/>
    <cellStyle name="표준 5 2 2 2 2 4 7 2 3" xfId="38255" xr:uid="{00000000-0005-0000-0000-000042220000}"/>
    <cellStyle name="표준 5 2 2 2 2 4 7 2 4" xfId="46448" xr:uid="{00000000-0005-0000-0000-000043220000}"/>
    <cellStyle name="표준 5 2 2 2 2 4 7 3" xfId="13450" xr:uid="{00000000-0005-0000-0000-000044220000}"/>
    <cellStyle name="표준 5 2 2 2 2 4 7 4" xfId="17690" xr:uid="{00000000-0005-0000-0000-000045220000}"/>
    <cellStyle name="표준 5 2 2 2 2 4 7 5" xfId="21852" xr:uid="{00000000-0005-0000-0000-000046220000}"/>
    <cellStyle name="표준 5 2 2 2 2 4 7 6" xfId="25948" xr:uid="{00000000-0005-0000-0000-000047220000}"/>
    <cellStyle name="표준 5 2 2 2 2 4 7 7" xfId="34159" xr:uid="{00000000-0005-0000-0000-000048220000}"/>
    <cellStyle name="표준 5 2 2 2 2 4 7 8" xfId="42352" xr:uid="{00000000-0005-0000-0000-000049220000}"/>
    <cellStyle name="표준 5 2 2 2 2 4 8" xfId="7147" xr:uid="{00000000-0005-0000-0000-00004A220000}"/>
    <cellStyle name="표준 5 2 2 2 2 4 8 2" xfId="27996" xr:uid="{00000000-0005-0000-0000-00004B220000}"/>
    <cellStyle name="표준 5 2 2 2 2 4 8 3" xfId="36207" xr:uid="{00000000-0005-0000-0000-00004C220000}"/>
    <cellStyle name="표준 5 2 2 2 2 4 8 4" xfId="44400" xr:uid="{00000000-0005-0000-0000-00004D220000}"/>
    <cellStyle name="표준 5 2 2 2 2 4 9" xfId="7290" xr:uid="{00000000-0005-0000-0000-00004E220000}"/>
    <cellStyle name="표준 5 2 2 2 2 5" xfId="499" xr:uid="{00000000-0005-0000-0000-00004F220000}"/>
    <cellStyle name="표준 5 2 2 2 2 5 10" xfId="19868" xr:uid="{00000000-0005-0000-0000-000050220000}"/>
    <cellStyle name="표준 5 2 2 2 2 5 11" xfId="23964" xr:uid="{00000000-0005-0000-0000-000051220000}"/>
    <cellStyle name="표준 5 2 2 2 2 5 12" xfId="32175" xr:uid="{00000000-0005-0000-0000-000052220000}"/>
    <cellStyle name="표준 5 2 2 2 2 5 13" xfId="40368" xr:uid="{00000000-0005-0000-0000-000053220000}"/>
    <cellStyle name="표준 5 2 2 2 2 5 2" xfId="755" xr:uid="{00000000-0005-0000-0000-000054220000}"/>
    <cellStyle name="표준 5 2 2 2 2 5 2 10" xfId="24220" xr:uid="{00000000-0005-0000-0000-000055220000}"/>
    <cellStyle name="표준 5 2 2 2 2 5 2 11" xfId="32431" xr:uid="{00000000-0005-0000-0000-000056220000}"/>
    <cellStyle name="표준 5 2 2 2 2 5 2 12" xfId="40624" xr:uid="{00000000-0005-0000-0000-000057220000}"/>
    <cellStyle name="표준 5 2 2 2 2 5 2 2" xfId="1267" xr:uid="{00000000-0005-0000-0000-000058220000}"/>
    <cellStyle name="표준 5 2 2 2 2 5 2 2 2" xfId="10170" xr:uid="{00000000-0005-0000-0000-000059220000}"/>
    <cellStyle name="표준 5 2 2 2 2 5 2 2 2 2" xfId="14282" xr:uid="{00000000-0005-0000-0000-00005A220000}"/>
    <cellStyle name="표준 5 2 2 2 2 5 2 2 2 2 2" xfId="30876" xr:uid="{00000000-0005-0000-0000-00005B220000}"/>
    <cellStyle name="표준 5 2 2 2 2 5 2 2 2 2 3" xfId="39087" xr:uid="{00000000-0005-0000-0000-00005C220000}"/>
    <cellStyle name="표준 5 2 2 2 2 5 2 2 2 2 4" xfId="47280" xr:uid="{00000000-0005-0000-0000-00005D220000}"/>
    <cellStyle name="표준 5 2 2 2 2 5 2 2 2 3" xfId="18522" xr:uid="{00000000-0005-0000-0000-00005E220000}"/>
    <cellStyle name="표준 5 2 2 2 2 5 2 2 2 4" xfId="22684" xr:uid="{00000000-0005-0000-0000-00005F220000}"/>
    <cellStyle name="표준 5 2 2 2 2 5 2 2 2 5" xfId="26780" xr:uid="{00000000-0005-0000-0000-000060220000}"/>
    <cellStyle name="표준 5 2 2 2 2 5 2 2 2 6" xfId="34991" xr:uid="{00000000-0005-0000-0000-000061220000}"/>
    <cellStyle name="표준 5 2 2 2 2 5 2 2 2 7" xfId="43184" xr:uid="{00000000-0005-0000-0000-000062220000}"/>
    <cellStyle name="표준 5 2 2 2 2 5 2 2 3" xfId="8122" xr:uid="{00000000-0005-0000-0000-000063220000}"/>
    <cellStyle name="표준 5 2 2 2 2 5 2 2 3 2" xfId="28828" xr:uid="{00000000-0005-0000-0000-000064220000}"/>
    <cellStyle name="표준 5 2 2 2 2 5 2 2 3 3" xfId="37039" xr:uid="{00000000-0005-0000-0000-000065220000}"/>
    <cellStyle name="표준 5 2 2 2 2 5 2 2 3 4" xfId="45232" xr:uid="{00000000-0005-0000-0000-000066220000}"/>
    <cellStyle name="표준 5 2 2 2 2 5 2 2 4" xfId="12234" xr:uid="{00000000-0005-0000-0000-000067220000}"/>
    <cellStyle name="표준 5 2 2 2 2 5 2 2 5" xfId="16474" xr:uid="{00000000-0005-0000-0000-000068220000}"/>
    <cellStyle name="표준 5 2 2 2 2 5 2 2 6" xfId="20636" xr:uid="{00000000-0005-0000-0000-000069220000}"/>
    <cellStyle name="표준 5 2 2 2 2 5 2 2 7" xfId="24732" xr:uid="{00000000-0005-0000-0000-00006A220000}"/>
    <cellStyle name="표준 5 2 2 2 2 5 2 2 8" xfId="32943" xr:uid="{00000000-0005-0000-0000-00006B220000}"/>
    <cellStyle name="표준 5 2 2 2 2 5 2 2 9" xfId="41136" xr:uid="{00000000-0005-0000-0000-00006C220000}"/>
    <cellStyle name="표준 5 2 2 2 2 5 2 3" xfId="1779" xr:uid="{00000000-0005-0000-0000-00006D220000}"/>
    <cellStyle name="표준 5 2 2 2 2 5 2 3 2" xfId="10682" xr:uid="{00000000-0005-0000-0000-00006E220000}"/>
    <cellStyle name="표준 5 2 2 2 2 5 2 3 2 2" xfId="14794" xr:uid="{00000000-0005-0000-0000-00006F220000}"/>
    <cellStyle name="표준 5 2 2 2 2 5 2 3 2 2 2" xfId="31388" xr:uid="{00000000-0005-0000-0000-000070220000}"/>
    <cellStyle name="표준 5 2 2 2 2 5 2 3 2 2 3" xfId="39599" xr:uid="{00000000-0005-0000-0000-000071220000}"/>
    <cellStyle name="표준 5 2 2 2 2 5 2 3 2 2 4" xfId="47792" xr:uid="{00000000-0005-0000-0000-000072220000}"/>
    <cellStyle name="표준 5 2 2 2 2 5 2 3 2 3" xfId="19034" xr:uid="{00000000-0005-0000-0000-000073220000}"/>
    <cellStyle name="표준 5 2 2 2 2 5 2 3 2 4" xfId="23196" xr:uid="{00000000-0005-0000-0000-000074220000}"/>
    <cellStyle name="표준 5 2 2 2 2 5 2 3 2 5" xfId="27292" xr:uid="{00000000-0005-0000-0000-000075220000}"/>
    <cellStyle name="표준 5 2 2 2 2 5 2 3 2 6" xfId="35503" xr:uid="{00000000-0005-0000-0000-000076220000}"/>
    <cellStyle name="표준 5 2 2 2 2 5 2 3 2 7" xfId="43696" xr:uid="{00000000-0005-0000-0000-000077220000}"/>
    <cellStyle name="표준 5 2 2 2 2 5 2 3 3" xfId="8634" xr:uid="{00000000-0005-0000-0000-000078220000}"/>
    <cellStyle name="표준 5 2 2 2 2 5 2 3 3 2" xfId="29340" xr:uid="{00000000-0005-0000-0000-000079220000}"/>
    <cellStyle name="표준 5 2 2 2 2 5 2 3 3 3" xfId="37551" xr:uid="{00000000-0005-0000-0000-00007A220000}"/>
    <cellStyle name="표준 5 2 2 2 2 5 2 3 3 4" xfId="45744" xr:uid="{00000000-0005-0000-0000-00007B220000}"/>
    <cellStyle name="표준 5 2 2 2 2 5 2 3 4" xfId="12746" xr:uid="{00000000-0005-0000-0000-00007C220000}"/>
    <cellStyle name="표준 5 2 2 2 2 5 2 3 5" xfId="16986" xr:uid="{00000000-0005-0000-0000-00007D220000}"/>
    <cellStyle name="표준 5 2 2 2 2 5 2 3 6" xfId="21148" xr:uid="{00000000-0005-0000-0000-00007E220000}"/>
    <cellStyle name="표준 5 2 2 2 2 5 2 3 7" xfId="25244" xr:uid="{00000000-0005-0000-0000-00007F220000}"/>
    <cellStyle name="표준 5 2 2 2 2 5 2 3 8" xfId="33455" xr:uid="{00000000-0005-0000-0000-000080220000}"/>
    <cellStyle name="표준 5 2 2 2 2 5 2 3 9" xfId="41648" xr:uid="{00000000-0005-0000-0000-000081220000}"/>
    <cellStyle name="표준 5 2 2 2 2 5 2 4" xfId="2291" xr:uid="{00000000-0005-0000-0000-000082220000}"/>
    <cellStyle name="표준 5 2 2 2 2 5 2 4 2" xfId="11194" xr:uid="{00000000-0005-0000-0000-000083220000}"/>
    <cellStyle name="표준 5 2 2 2 2 5 2 4 2 2" xfId="15306" xr:uid="{00000000-0005-0000-0000-000084220000}"/>
    <cellStyle name="표준 5 2 2 2 2 5 2 4 2 2 2" xfId="31900" xr:uid="{00000000-0005-0000-0000-000085220000}"/>
    <cellStyle name="표준 5 2 2 2 2 5 2 4 2 2 3" xfId="40111" xr:uid="{00000000-0005-0000-0000-000086220000}"/>
    <cellStyle name="표준 5 2 2 2 2 5 2 4 2 2 4" xfId="48304" xr:uid="{00000000-0005-0000-0000-000087220000}"/>
    <cellStyle name="표준 5 2 2 2 2 5 2 4 2 3" xfId="19546" xr:uid="{00000000-0005-0000-0000-000088220000}"/>
    <cellStyle name="표준 5 2 2 2 2 5 2 4 2 4" xfId="23708" xr:uid="{00000000-0005-0000-0000-000089220000}"/>
    <cellStyle name="표준 5 2 2 2 2 5 2 4 2 5" xfId="27804" xr:uid="{00000000-0005-0000-0000-00008A220000}"/>
    <cellStyle name="표준 5 2 2 2 2 5 2 4 2 6" xfId="36015" xr:uid="{00000000-0005-0000-0000-00008B220000}"/>
    <cellStyle name="표준 5 2 2 2 2 5 2 4 2 7" xfId="44208" xr:uid="{00000000-0005-0000-0000-00008C220000}"/>
    <cellStyle name="표준 5 2 2 2 2 5 2 4 3" xfId="9146" xr:uid="{00000000-0005-0000-0000-00008D220000}"/>
    <cellStyle name="표준 5 2 2 2 2 5 2 4 3 2" xfId="29852" xr:uid="{00000000-0005-0000-0000-00008E220000}"/>
    <cellStyle name="표준 5 2 2 2 2 5 2 4 3 3" xfId="38063" xr:uid="{00000000-0005-0000-0000-00008F220000}"/>
    <cellStyle name="표준 5 2 2 2 2 5 2 4 3 4" xfId="46256" xr:uid="{00000000-0005-0000-0000-000090220000}"/>
    <cellStyle name="표준 5 2 2 2 2 5 2 4 4" xfId="13258" xr:uid="{00000000-0005-0000-0000-000091220000}"/>
    <cellStyle name="표준 5 2 2 2 2 5 2 4 5" xfId="17498" xr:uid="{00000000-0005-0000-0000-000092220000}"/>
    <cellStyle name="표준 5 2 2 2 2 5 2 4 6" xfId="21660" xr:uid="{00000000-0005-0000-0000-000093220000}"/>
    <cellStyle name="표준 5 2 2 2 2 5 2 4 7" xfId="25756" xr:uid="{00000000-0005-0000-0000-000094220000}"/>
    <cellStyle name="표준 5 2 2 2 2 5 2 4 8" xfId="33967" xr:uid="{00000000-0005-0000-0000-000095220000}"/>
    <cellStyle name="표준 5 2 2 2 2 5 2 4 9" xfId="42160" xr:uid="{00000000-0005-0000-0000-000096220000}"/>
    <cellStyle name="표준 5 2 2 2 2 5 2 5" xfId="9658" xr:uid="{00000000-0005-0000-0000-000097220000}"/>
    <cellStyle name="표준 5 2 2 2 2 5 2 5 2" xfId="13770" xr:uid="{00000000-0005-0000-0000-000098220000}"/>
    <cellStyle name="표준 5 2 2 2 2 5 2 5 2 2" xfId="30364" xr:uid="{00000000-0005-0000-0000-000099220000}"/>
    <cellStyle name="표준 5 2 2 2 2 5 2 5 2 3" xfId="38575" xr:uid="{00000000-0005-0000-0000-00009A220000}"/>
    <cellStyle name="표준 5 2 2 2 2 5 2 5 2 4" xfId="46768" xr:uid="{00000000-0005-0000-0000-00009B220000}"/>
    <cellStyle name="표준 5 2 2 2 2 5 2 5 3" xfId="18010" xr:uid="{00000000-0005-0000-0000-00009C220000}"/>
    <cellStyle name="표준 5 2 2 2 2 5 2 5 4" xfId="22172" xr:uid="{00000000-0005-0000-0000-00009D220000}"/>
    <cellStyle name="표준 5 2 2 2 2 5 2 5 5" xfId="26268" xr:uid="{00000000-0005-0000-0000-00009E220000}"/>
    <cellStyle name="표준 5 2 2 2 2 5 2 5 6" xfId="34479" xr:uid="{00000000-0005-0000-0000-00009F220000}"/>
    <cellStyle name="표준 5 2 2 2 2 5 2 5 7" xfId="42672" xr:uid="{00000000-0005-0000-0000-0000A0220000}"/>
    <cellStyle name="표준 5 2 2 2 2 5 2 6" xfId="7610" xr:uid="{00000000-0005-0000-0000-0000A1220000}"/>
    <cellStyle name="표준 5 2 2 2 2 5 2 6 2" xfId="28316" xr:uid="{00000000-0005-0000-0000-0000A2220000}"/>
    <cellStyle name="표준 5 2 2 2 2 5 2 6 3" xfId="36527" xr:uid="{00000000-0005-0000-0000-0000A3220000}"/>
    <cellStyle name="표준 5 2 2 2 2 5 2 6 4" xfId="44720" xr:uid="{00000000-0005-0000-0000-0000A4220000}"/>
    <cellStyle name="표준 5 2 2 2 2 5 2 7" xfId="11722" xr:uid="{00000000-0005-0000-0000-0000A5220000}"/>
    <cellStyle name="표준 5 2 2 2 2 5 2 8" xfId="15962" xr:uid="{00000000-0005-0000-0000-0000A6220000}"/>
    <cellStyle name="표준 5 2 2 2 2 5 2 9" xfId="20124" xr:uid="{00000000-0005-0000-0000-0000A7220000}"/>
    <cellStyle name="표준 5 2 2 2 2 5 3" xfId="1011" xr:uid="{00000000-0005-0000-0000-0000A8220000}"/>
    <cellStyle name="표준 5 2 2 2 2 5 3 2" xfId="9914" xr:uid="{00000000-0005-0000-0000-0000A9220000}"/>
    <cellStyle name="표준 5 2 2 2 2 5 3 2 2" xfId="14026" xr:uid="{00000000-0005-0000-0000-0000AA220000}"/>
    <cellStyle name="표준 5 2 2 2 2 5 3 2 2 2" xfId="30620" xr:uid="{00000000-0005-0000-0000-0000AB220000}"/>
    <cellStyle name="표준 5 2 2 2 2 5 3 2 2 3" xfId="38831" xr:uid="{00000000-0005-0000-0000-0000AC220000}"/>
    <cellStyle name="표준 5 2 2 2 2 5 3 2 2 4" xfId="47024" xr:uid="{00000000-0005-0000-0000-0000AD220000}"/>
    <cellStyle name="표준 5 2 2 2 2 5 3 2 3" xfId="18266" xr:uid="{00000000-0005-0000-0000-0000AE220000}"/>
    <cellStyle name="표준 5 2 2 2 2 5 3 2 4" xfId="22428" xr:uid="{00000000-0005-0000-0000-0000AF220000}"/>
    <cellStyle name="표준 5 2 2 2 2 5 3 2 5" xfId="26524" xr:uid="{00000000-0005-0000-0000-0000B0220000}"/>
    <cellStyle name="표준 5 2 2 2 2 5 3 2 6" xfId="34735" xr:uid="{00000000-0005-0000-0000-0000B1220000}"/>
    <cellStyle name="표준 5 2 2 2 2 5 3 2 7" xfId="42928" xr:uid="{00000000-0005-0000-0000-0000B2220000}"/>
    <cellStyle name="표준 5 2 2 2 2 5 3 3" xfId="7866" xr:uid="{00000000-0005-0000-0000-0000B3220000}"/>
    <cellStyle name="표준 5 2 2 2 2 5 3 3 2" xfId="28572" xr:uid="{00000000-0005-0000-0000-0000B4220000}"/>
    <cellStyle name="표준 5 2 2 2 2 5 3 3 3" xfId="36783" xr:uid="{00000000-0005-0000-0000-0000B5220000}"/>
    <cellStyle name="표준 5 2 2 2 2 5 3 3 4" xfId="44976" xr:uid="{00000000-0005-0000-0000-0000B6220000}"/>
    <cellStyle name="표준 5 2 2 2 2 5 3 4" xfId="11978" xr:uid="{00000000-0005-0000-0000-0000B7220000}"/>
    <cellStyle name="표준 5 2 2 2 2 5 3 5" xfId="16218" xr:uid="{00000000-0005-0000-0000-0000B8220000}"/>
    <cellStyle name="표준 5 2 2 2 2 5 3 6" xfId="20380" xr:uid="{00000000-0005-0000-0000-0000B9220000}"/>
    <cellStyle name="표준 5 2 2 2 2 5 3 7" xfId="24476" xr:uid="{00000000-0005-0000-0000-0000BA220000}"/>
    <cellStyle name="표준 5 2 2 2 2 5 3 8" xfId="32687" xr:uid="{00000000-0005-0000-0000-0000BB220000}"/>
    <cellStyle name="표준 5 2 2 2 2 5 3 9" xfId="40880" xr:uid="{00000000-0005-0000-0000-0000BC220000}"/>
    <cellStyle name="표준 5 2 2 2 2 5 4" xfId="1523" xr:uid="{00000000-0005-0000-0000-0000BD220000}"/>
    <cellStyle name="표준 5 2 2 2 2 5 4 2" xfId="10426" xr:uid="{00000000-0005-0000-0000-0000BE220000}"/>
    <cellStyle name="표준 5 2 2 2 2 5 4 2 2" xfId="14538" xr:uid="{00000000-0005-0000-0000-0000BF220000}"/>
    <cellStyle name="표준 5 2 2 2 2 5 4 2 2 2" xfId="31132" xr:uid="{00000000-0005-0000-0000-0000C0220000}"/>
    <cellStyle name="표준 5 2 2 2 2 5 4 2 2 3" xfId="39343" xr:uid="{00000000-0005-0000-0000-0000C1220000}"/>
    <cellStyle name="표준 5 2 2 2 2 5 4 2 2 4" xfId="47536" xr:uid="{00000000-0005-0000-0000-0000C2220000}"/>
    <cellStyle name="표준 5 2 2 2 2 5 4 2 3" xfId="18778" xr:uid="{00000000-0005-0000-0000-0000C3220000}"/>
    <cellStyle name="표준 5 2 2 2 2 5 4 2 4" xfId="22940" xr:uid="{00000000-0005-0000-0000-0000C4220000}"/>
    <cellStyle name="표준 5 2 2 2 2 5 4 2 5" xfId="27036" xr:uid="{00000000-0005-0000-0000-0000C5220000}"/>
    <cellStyle name="표준 5 2 2 2 2 5 4 2 6" xfId="35247" xr:uid="{00000000-0005-0000-0000-0000C6220000}"/>
    <cellStyle name="표준 5 2 2 2 2 5 4 2 7" xfId="43440" xr:uid="{00000000-0005-0000-0000-0000C7220000}"/>
    <cellStyle name="표준 5 2 2 2 2 5 4 3" xfId="8378" xr:uid="{00000000-0005-0000-0000-0000C8220000}"/>
    <cellStyle name="표준 5 2 2 2 2 5 4 3 2" xfId="29084" xr:uid="{00000000-0005-0000-0000-0000C9220000}"/>
    <cellStyle name="표준 5 2 2 2 2 5 4 3 3" xfId="37295" xr:uid="{00000000-0005-0000-0000-0000CA220000}"/>
    <cellStyle name="표준 5 2 2 2 2 5 4 3 4" xfId="45488" xr:uid="{00000000-0005-0000-0000-0000CB220000}"/>
    <cellStyle name="표준 5 2 2 2 2 5 4 4" xfId="12490" xr:uid="{00000000-0005-0000-0000-0000CC220000}"/>
    <cellStyle name="표준 5 2 2 2 2 5 4 5" xfId="16730" xr:uid="{00000000-0005-0000-0000-0000CD220000}"/>
    <cellStyle name="표준 5 2 2 2 2 5 4 6" xfId="20892" xr:uid="{00000000-0005-0000-0000-0000CE220000}"/>
    <cellStyle name="표준 5 2 2 2 2 5 4 7" xfId="24988" xr:uid="{00000000-0005-0000-0000-0000CF220000}"/>
    <cellStyle name="표준 5 2 2 2 2 5 4 8" xfId="33199" xr:uid="{00000000-0005-0000-0000-0000D0220000}"/>
    <cellStyle name="표준 5 2 2 2 2 5 4 9" xfId="41392" xr:uid="{00000000-0005-0000-0000-0000D1220000}"/>
    <cellStyle name="표준 5 2 2 2 2 5 5" xfId="2035" xr:uid="{00000000-0005-0000-0000-0000D2220000}"/>
    <cellStyle name="표준 5 2 2 2 2 5 5 2" xfId="10938" xr:uid="{00000000-0005-0000-0000-0000D3220000}"/>
    <cellStyle name="표준 5 2 2 2 2 5 5 2 2" xfId="15050" xr:uid="{00000000-0005-0000-0000-0000D4220000}"/>
    <cellStyle name="표준 5 2 2 2 2 5 5 2 2 2" xfId="31644" xr:uid="{00000000-0005-0000-0000-0000D5220000}"/>
    <cellStyle name="표준 5 2 2 2 2 5 5 2 2 3" xfId="39855" xr:uid="{00000000-0005-0000-0000-0000D6220000}"/>
    <cellStyle name="표준 5 2 2 2 2 5 5 2 2 4" xfId="48048" xr:uid="{00000000-0005-0000-0000-0000D7220000}"/>
    <cellStyle name="표준 5 2 2 2 2 5 5 2 3" xfId="19290" xr:uid="{00000000-0005-0000-0000-0000D8220000}"/>
    <cellStyle name="표준 5 2 2 2 2 5 5 2 4" xfId="23452" xr:uid="{00000000-0005-0000-0000-0000D9220000}"/>
    <cellStyle name="표준 5 2 2 2 2 5 5 2 5" xfId="27548" xr:uid="{00000000-0005-0000-0000-0000DA220000}"/>
    <cellStyle name="표준 5 2 2 2 2 5 5 2 6" xfId="35759" xr:uid="{00000000-0005-0000-0000-0000DB220000}"/>
    <cellStyle name="표준 5 2 2 2 2 5 5 2 7" xfId="43952" xr:uid="{00000000-0005-0000-0000-0000DC220000}"/>
    <cellStyle name="표준 5 2 2 2 2 5 5 3" xfId="8890" xr:uid="{00000000-0005-0000-0000-0000DD220000}"/>
    <cellStyle name="표준 5 2 2 2 2 5 5 3 2" xfId="29596" xr:uid="{00000000-0005-0000-0000-0000DE220000}"/>
    <cellStyle name="표준 5 2 2 2 2 5 5 3 3" xfId="37807" xr:uid="{00000000-0005-0000-0000-0000DF220000}"/>
    <cellStyle name="표준 5 2 2 2 2 5 5 3 4" xfId="46000" xr:uid="{00000000-0005-0000-0000-0000E0220000}"/>
    <cellStyle name="표준 5 2 2 2 2 5 5 4" xfId="13002" xr:uid="{00000000-0005-0000-0000-0000E1220000}"/>
    <cellStyle name="표준 5 2 2 2 2 5 5 5" xfId="17242" xr:uid="{00000000-0005-0000-0000-0000E2220000}"/>
    <cellStyle name="표준 5 2 2 2 2 5 5 6" xfId="21404" xr:uid="{00000000-0005-0000-0000-0000E3220000}"/>
    <cellStyle name="표준 5 2 2 2 2 5 5 7" xfId="25500" xr:uid="{00000000-0005-0000-0000-0000E4220000}"/>
    <cellStyle name="표준 5 2 2 2 2 5 5 8" xfId="33711" xr:uid="{00000000-0005-0000-0000-0000E5220000}"/>
    <cellStyle name="표준 5 2 2 2 2 5 5 9" xfId="41904" xr:uid="{00000000-0005-0000-0000-0000E6220000}"/>
    <cellStyle name="표준 5 2 2 2 2 5 6" xfId="9402" xr:uid="{00000000-0005-0000-0000-0000E7220000}"/>
    <cellStyle name="표준 5 2 2 2 2 5 6 2" xfId="13514" xr:uid="{00000000-0005-0000-0000-0000E8220000}"/>
    <cellStyle name="표준 5 2 2 2 2 5 6 2 2" xfId="30108" xr:uid="{00000000-0005-0000-0000-0000E9220000}"/>
    <cellStyle name="표준 5 2 2 2 2 5 6 2 3" xfId="38319" xr:uid="{00000000-0005-0000-0000-0000EA220000}"/>
    <cellStyle name="표준 5 2 2 2 2 5 6 2 4" xfId="46512" xr:uid="{00000000-0005-0000-0000-0000EB220000}"/>
    <cellStyle name="표준 5 2 2 2 2 5 6 3" xfId="17754" xr:uid="{00000000-0005-0000-0000-0000EC220000}"/>
    <cellStyle name="표준 5 2 2 2 2 5 6 4" xfId="21916" xr:uid="{00000000-0005-0000-0000-0000ED220000}"/>
    <cellStyle name="표준 5 2 2 2 2 5 6 5" xfId="26012" xr:uid="{00000000-0005-0000-0000-0000EE220000}"/>
    <cellStyle name="표준 5 2 2 2 2 5 6 6" xfId="34223" xr:uid="{00000000-0005-0000-0000-0000EF220000}"/>
    <cellStyle name="표준 5 2 2 2 2 5 6 7" xfId="42416" xr:uid="{00000000-0005-0000-0000-0000F0220000}"/>
    <cellStyle name="표준 5 2 2 2 2 5 7" xfId="7354" xr:uid="{00000000-0005-0000-0000-0000F1220000}"/>
    <cellStyle name="표준 5 2 2 2 2 5 7 2" xfId="28060" xr:uid="{00000000-0005-0000-0000-0000F2220000}"/>
    <cellStyle name="표준 5 2 2 2 2 5 7 3" xfId="36271" xr:uid="{00000000-0005-0000-0000-0000F3220000}"/>
    <cellStyle name="표준 5 2 2 2 2 5 7 4" xfId="44464" xr:uid="{00000000-0005-0000-0000-0000F4220000}"/>
    <cellStyle name="표준 5 2 2 2 2 5 8" xfId="11466" xr:uid="{00000000-0005-0000-0000-0000F5220000}"/>
    <cellStyle name="표준 5 2 2 2 2 5 9" xfId="15706" xr:uid="{00000000-0005-0000-0000-0000F6220000}"/>
    <cellStyle name="표준 5 2 2 2 2 6" xfId="627" xr:uid="{00000000-0005-0000-0000-0000F7220000}"/>
    <cellStyle name="표준 5 2 2 2 2 6 10" xfId="24092" xr:uid="{00000000-0005-0000-0000-0000F8220000}"/>
    <cellStyle name="표준 5 2 2 2 2 6 11" xfId="32303" xr:uid="{00000000-0005-0000-0000-0000F9220000}"/>
    <cellStyle name="표준 5 2 2 2 2 6 12" xfId="40496" xr:uid="{00000000-0005-0000-0000-0000FA220000}"/>
    <cellStyle name="표준 5 2 2 2 2 6 2" xfId="1139" xr:uid="{00000000-0005-0000-0000-0000FB220000}"/>
    <cellStyle name="표준 5 2 2 2 2 6 2 2" xfId="10042" xr:uid="{00000000-0005-0000-0000-0000FC220000}"/>
    <cellStyle name="표준 5 2 2 2 2 6 2 2 2" xfId="14154" xr:uid="{00000000-0005-0000-0000-0000FD220000}"/>
    <cellStyle name="표준 5 2 2 2 2 6 2 2 2 2" xfId="30748" xr:uid="{00000000-0005-0000-0000-0000FE220000}"/>
    <cellStyle name="표준 5 2 2 2 2 6 2 2 2 3" xfId="38959" xr:uid="{00000000-0005-0000-0000-0000FF220000}"/>
    <cellStyle name="표준 5 2 2 2 2 6 2 2 2 4" xfId="47152" xr:uid="{00000000-0005-0000-0000-000000230000}"/>
    <cellStyle name="표준 5 2 2 2 2 6 2 2 3" xfId="18394" xr:uid="{00000000-0005-0000-0000-000001230000}"/>
    <cellStyle name="표준 5 2 2 2 2 6 2 2 4" xfId="22556" xr:uid="{00000000-0005-0000-0000-000002230000}"/>
    <cellStyle name="표준 5 2 2 2 2 6 2 2 5" xfId="26652" xr:uid="{00000000-0005-0000-0000-000003230000}"/>
    <cellStyle name="표준 5 2 2 2 2 6 2 2 6" xfId="34863" xr:uid="{00000000-0005-0000-0000-000004230000}"/>
    <cellStyle name="표준 5 2 2 2 2 6 2 2 7" xfId="43056" xr:uid="{00000000-0005-0000-0000-000005230000}"/>
    <cellStyle name="표준 5 2 2 2 2 6 2 3" xfId="7994" xr:uid="{00000000-0005-0000-0000-000006230000}"/>
    <cellStyle name="표준 5 2 2 2 2 6 2 3 2" xfId="28700" xr:uid="{00000000-0005-0000-0000-000007230000}"/>
    <cellStyle name="표준 5 2 2 2 2 6 2 3 3" xfId="36911" xr:uid="{00000000-0005-0000-0000-000008230000}"/>
    <cellStyle name="표준 5 2 2 2 2 6 2 3 4" xfId="45104" xr:uid="{00000000-0005-0000-0000-000009230000}"/>
    <cellStyle name="표준 5 2 2 2 2 6 2 4" xfId="12106" xr:uid="{00000000-0005-0000-0000-00000A230000}"/>
    <cellStyle name="표준 5 2 2 2 2 6 2 5" xfId="16346" xr:uid="{00000000-0005-0000-0000-00000B230000}"/>
    <cellStyle name="표준 5 2 2 2 2 6 2 6" xfId="20508" xr:uid="{00000000-0005-0000-0000-00000C230000}"/>
    <cellStyle name="표준 5 2 2 2 2 6 2 7" xfId="24604" xr:uid="{00000000-0005-0000-0000-00000D230000}"/>
    <cellStyle name="표준 5 2 2 2 2 6 2 8" xfId="32815" xr:uid="{00000000-0005-0000-0000-00000E230000}"/>
    <cellStyle name="표준 5 2 2 2 2 6 2 9" xfId="41008" xr:uid="{00000000-0005-0000-0000-00000F230000}"/>
    <cellStyle name="표준 5 2 2 2 2 6 3" xfId="1651" xr:uid="{00000000-0005-0000-0000-000010230000}"/>
    <cellStyle name="표준 5 2 2 2 2 6 3 2" xfId="10554" xr:uid="{00000000-0005-0000-0000-000011230000}"/>
    <cellStyle name="표준 5 2 2 2 2 6 3 2 2" xfId="14666" xr:uid="{00000000-0005-0000-0000-000012230000}"/>
    <cellStyle name="표준 5 2 2 2 2 6 3 2 2 2" xfId="31260" xr:uid="{00000000-0005-0000-0000-000013230000}"/>
    <cellStyle name="표준 5 2 2 2 2 6 3 2 2 3" xfId="39471" xr:uid="{00000000-0005-0000-0000-000014230000}"/>
    <cellStyle name="표준 5 2 2 2 2 6 3 2 2 4" xfId="47664" xr:uid="{00000000-0005-0000-0000-000015230000}"/>
    <cellStyle name="표준 5 2 2 2 2 6 3 2 3" xfId="18906" xr:uid="{00000000-0005-0000-0000-000016230000}"/>
    <cellStyle name="표준 5 2 2 2 2 6 3 2 4" xfId="23068" xr:uid="{00000000-0005-0000-0000-000017230000}"/>
    <cellStyle name="표준 5 2 2 2 2 6 3 2 5" xfId="27164" xr:uid="{00000000-0005-0000-0000-000018230000}"/>
    <cellStyle name="표준 5 2 2 2 2 6 3 2 6" xfId="35375" xr:uid="{00000000-0005-0000-0000-000019230000}"/>
    <cellStyle name="표준 5 2 2 2 2 6 3 2 7" xfId="43568" xr:uid="{00000000-0005-0000-0000-00001A230000}"/>
    <cellStyle name="표준 5 2 2 2 2 6 3 3" xfId="8506" xr:uid="{00000000-0005-0000-0000-00001B230000}"/>
    <cellStyle name="표준 5 2 2 2 2 6 3 3 2" xfId="29212" xr:uid="{00000000-0005-0000-0000-00001C230000}"/>
    <cellStyle name="표준 5 2 2 2 2 6 3 3 3" xfId="37423" xr:uid="{00000000-0005-0000-0000-00001D230000}"/>
    <cellStyle name="표준 5 2 2 2 2 6 3 3 4" xfId="45616" xr:uid="{00000000-0005-0000-0000-00001E230000}"/>
    <cellStyle name="표준 5 2 2 2 2 6 3 4" xfId="12618" xr:uid="{00000000-0005-0000-0000-00001F230000}"/>
    <cellStyle name="표준 5 2 2 2 2 6 3 5" xfId="16858" xr:uid="{00000000-0005-0000-0000-000020230000}"/>
    <cellStyle name="표준 5 2 2 2 2 6 3 6" xfId="21020" xr:uid="{00000000-0005-0000-0000-000021230000}"/>
    <cellStyle name="표준 5 2 2 2 2 6 3 7" xfId="25116" xr:uid="{00000000-0005-0000-0000-000022230000}"/>
    <cellStyle name="표준 5 2 2 2 2 6 3 8" xfId="33327" xr:uid="{00000000-0005-0000-0000-000023230000}"/>
    <cellStyle name="표준 5 2 2 2 2 6 3 9" xfId="41520" xr:uid="{00000000-0005-0000-0000-000024230000}"/>
    <cellStyle name="표준 5 2 2 2 2 6 4" xfId="2163" xr:uid="{00000000-0005-0000-0000-000025230000}"/>
    <cellStyle name="표준 5 2 2 2 2 6 4 2" xfId="11066" xr:uid="{00000000-0005-0000-0000-000026230000}"/>
    <cellStyle name="표준 5 2 2 2 2 6 4 2 2" xfId="15178" xr:uid="{00000000-0005-0000-0000-000027230000}"/>
    <cellStyle name="표준 5 2 2 2 2 6 4 2 2 2" xfId="31772" xr:uid="{00000000-0005-0000-0000-000028230000}"/>
    <cellStyle name="표준 5 2 2 2 2 6 4 2 2 3" xfId="39983" xr:uid="{00000000-0005-0000-0000-000029230000}"/>
    <cellStyle name="표준 5 2 2 2 2 6 4 2 2 4" xfId="48176" xr:uid="{00000000-0005-0000-0000-00002A230000}"/>
    <cellStyle name="표준 5 2 2 2 2 6 4 2 3" xfId="19418" xr:uid="{00000000-0005-0000-0000-00002B230000}"/>
    <cellStyle name="표준 5 2 2 2 2 6 4 2 4" xfId="23580" xr:uid="{00000000-0005-0000-0000-00002C230000}"/>
    <cellStyle name="표준 5 2 2 2 2 6 4 2 5" xfId="27676" xr:uid="{00000000-0005-0000-0000-00002D230000}"/>
    <cellStyle name="표준 5 2 2 2 2 6 4 2 6" xfId="35887" xr:uid="{00000000-0005-0000-0000-00002E230000}"/>
    <cellStyle name="표준 5 2 2 2 2 6 4 2 7" xfId="44080" xr:uid="{00000000-0005-0000-0000-00002F230000}"/>
    <cellStyle name="표준 5 2 2 2 2 6 4 3" xfId="9018" xr:uid="{00000000-0005-0000-0000-000030230000}"/>
    <cellStyle name="표준 5 2 2 2 2 6 4 3 2" xfId="29724" xr:uid="{00000000-0005-0000-0000-000031230000}"/>
    <cellStyle name="표준 5 2 2 2 2 6 4 3 3" xfId="37935" xr:uid="{00000000-0005-0000-0000-000032230000}"/>
    <cellStyle name="표준 5 2 2 2 2 6 4 3 4" xfId="46128" xr:uid="{00000000-0005-0000-0000-000033230000}"/>
    <cellStyle name="표준 5 2 2 2 2 6 4 4" xfId="13130" xr:uid="{00000000-0005-0000-0000-000034230000}"/>
    <cellStyle name="표준 5 2 2 2 2 6 4 5" xfId="17370" xr:uid="{00000000-0005-0000-0000-000035230000}"/>
    <cellStyle name="표준 5 2 2 2 2 6 4 6" xfId="21532" xr:uid="{00000000-0005-0000-0000-000036230000}"/>
    <cellStyle name="표준 5 2 2 2 2 6 4 7" xfId="25628" xr:uid="{00000000-0005-0000-0000-000037230000}"/>
    <cellStyle name="표준 5 2 2 2 2 6 4 8" xfId="33839" xr:uid="{00000000-0005-0000-0000-000038230000}"/>
    <cellStyle name="표준 5 2 2 2 2 6 4 9" xfId="42032" xr:uid="{00000000-0005-0000-0000-000039230000}"/>
    <cellStyle name="표준 5 2 2 2 2 6 5" xfId="9530" xr:uid="{00000000-0005-0000-0000-00003A230000}"/>
    <cellStyle name="표준 5 2 2 2 2 6 5 2" xfId="13642" xr:uid="{00000000-0005-0000-0000-00003B230000}"/>
    <cellStyle name="표준 5 2 2 2 2 6 5 2 2" xfId="30236" xr:uid="{00000000-0005-0000-0000-00003C230000}"/>
    <cellStyle name="표준 5 2 2 2 2 6 5 2 3" xfId="38447" xr:uid="{00000000-0005-0000-0000-00003D230000}"/>
    <cellStyle name="표준 5 2 2 2 2 6 5 2 4" xfId="46640" xr:uid="{00000000-0005-0000-0000-00003E230000}"/>
    <cellStyle name="표준 5 2 2 2 2 6 5 3" xfId="17882" xr:uid="{00000000-0005-0000-0000-00003F230000}"/>
    <cellStyle name="표준 5 2 2 2 2 6 5 4" xfId="22044" xr:uid="{00000000-0005-0000-0000-000040230000}"/>
    <cellStyle name="표준 5 2 2 2 2 6 5 5" xfId="26140" xr:uid="{00000000-0005-0000-0000-000041230000}"/>
    <cellStyle name="표준 5 2 2 2 2 6 5 6" xfId="34351" xr:uid="{00000000-0005-0000-0000-000042230000}"/>
    <cellStyle name="표준 5 2 2 2 2 6 5 7" xfId="42544" xr:uid="{00000000-0005-0000-0000-000043230000}"/>
    <cellStyle name="표준 5 2 2 2 2 6 6" xfId="7482" xr:uid="{00000000-0005-0000-0000-000044230000}"/>
    <cellStyle name="표준 5 2 2 2 2 6 6 2" xfId="28188" xr:uid="{00000000-0005-0000-0000-000045230000}"/>
    <cellStyle name="표준 5 2 2 2 2 6 6 3" xfId="36399" xr:uid="{00000000-0005-0000-0000-000046230000}"/>
    <cellStyle name="표준 5 2 2 2 2 6 6 4" xfId="44592" xr:uid="{00000000-0005-0000-0000-000047230000}"/>
    <cellStyle name="표준 5 2 2 2 2 6 7" xfId="11594" xr:uid="{00000000-0005-0000-0000-000048230000}"/>
    <cellStyle name="표준 5 2 2 2 2 6 8" xfId="15834" xr:uid="{00000000-0005-0000-0000-000049230000}"/>
    <cellStyle name="표준 5 2 2 2 2 6 9" xfId="19996" xr:uid="{00000000-0005-0000-0000-00004A230000}"/>
    <cellStyle name="표준 5 2 2 2 2 7" xfId="883" xr:uid="{00000000-0005-0000-0000-00004B230000}"/>
    <cellStyle name="표준 5 2 2 2 2 7 2" xfId="9786" xr:uid="{00000000-0005-0000-0000-00004C230000}"/>
    <cellStyle name="표준 5 2 2 2 2 7 2 2" xfId="13898" xr:uid="{00000000-0005-0000-0000-00004D230000}"/>
    <cellStyle name="표준 5 2 2 2 2 7 2 2 2" xfId="30492" xr:uid="{00000000-0005-0000-0000-00004E230000}"/>
    <cellStyle name="표준 5 2 2 2 2 7 2 2 3" xfId="38703" xr:uid="{00000000-0005-0000-0000-00004F230000}"/>
    <cellStyle name="표준 5 2 2 2 2 7 2 2 4" xfId="46896" xr:uid="{00000000-0005-0000-0000-000050230000}"/>
    <cellStyle name="표준 5 2 2 2 2 7 2 3" xfId="18138" xr:uid="{00000000-0005-0000-0000-000051230000}"/>
    <cellStyle name="표준 5 2 2 2 2 7 2 4" xfId="22300" xr:uid="{00000000-0005-0000-0000-000052230000}"/>
    <cellStyle name="표준 5 2 2 2 2 7 2 5" xfId="26396" xr:uid="{00000000-0005-0000-0000-000053230000}"/>
    <cellStyle name="표준 5 2 2 2 2 7 2 6" xfId="34607" xr:uid="{00000000-0005-0000-0000-000054230000}"/>
    <cellStyle name="표준 5 2 2 2 2 7 2 7" xfId="42800" xr:uid="{00000000-0005-0000-0000-000055230000}"/>
    <cellStyle name="표준 5 2 2 2 2 7 3" xfId="7738" xr:uid="{00000000-0005-0000-0000-000056230000}"/>
    <cellStyle name="표준 5 2 2 2 2 7 3 2" xfId="28444" xr:uid="{00000000-0005-0000-0000-000057230000}"/>
    <cellStyle name="표준 5 2 2 2 2 7 3 3" xfId="36655" xr:uid="{00000000-0005-0000-0000-000058230000}"/>
    <cellStyle name="표준 5 2 2 2 2 7 3 4" xfId="44848" xr:uid="{00000000-0005-0000-0000-000059230000}"/>
    <cellStyle name="표준 5 2 2 2 2 7 4" xfId="11850" xr:uid="{00000000-0005-0000-0000-00005A230000}"/>
    <cellStyle name="표준 5 2 2 2 2 7 5" xfId="16090" xr:uid="{00000000-0005-0000-0000-00005B230000}"/>
    <cellStyle name="표준 5 2 2 2 2 7 6" xfId="20252" xr:uid="{00000000-0005-0000-0000-00005C230000}"/>
    <cellStyle name="표준 5 2 2 2 2 7 7" xfId="24348" xr:uid="{00000000-0005-0000-0000-00005D230000}"/>
    <cellStyle name="표준 5 2 2 2 2 7 8" xfId="32559" xr:uid="{00000000-0005-0000-0000-00005E230000}"/>
    <cellStyle name="표준 5 2 2 2 2 7 9" xfId="40752" xr:uid="{00000000-0005-0000-0000-00005F230000}"/>
    <cellStyle name="표준 5 2 2 2 2 8" xfId="1395" xr:uid="{00000000-0005-0000-0000-000060230000}"/>
    <cellStyle name="표준 5 2 2 2 2 8 2" xfId="10298" xr:uid="{00000000-0005-0000-0000-000061230000}"/>
    <cellStyle name="표준 5 2 2 2 2 8 2 2" xfId="14410" xr:uid="{00000000-0005-0000-0000-000062230000}"/>
    <cellStyle name="표준 5 2 2 2 2 8 2 2 2" xfId="31004" xr:uid="{00000000-0005-0000-0000-000063230000}"/>
    <cellStyle name="표준 5 2 2 2 2 8 2 2 3" xfId="39215" xr:uid="{00000000-0005-0000-0000-000064230000}"/>
    <cellStyle name="표준 5 2 2 2 2 8 2 2 4" xfId="47408" xr:uid="{00000000-0005-0000-0000-000065230000}"/>
    <cellStyle name="표준 5 2 2 2 2 8 2 3" xfId="18650" xr:uid="{00000000-0005-0000-0000-000066230000}"/>
    <cellStyle name="표준 5 2 2 2 2 8 2 4" xfId="22812" xr:uid="{00000000-0005-0000-0000-000067230000}"/>
    <cellStyle name="표준 5 2 2 2 2 8 2 5" xfId="26908" xr:uid="{00000000-0005-0000-0000-000068230000}"/>
    <cellStyle name="표준 5 2 2 2 2 8 2 6" xfId="35119" xr:uid="{00000000-0005-0000-0000-000069230000}"/>
    <cellStyle name="표준 5 2 2 2 2 8 2 7" xfId="43312" xr:uid="{00000000-0005-0000-0000-00006A230000}"/>
    <cellStyle name="표준 5 2 2 2 2 8 3" xfId="8250" xr:uid="{00000000-0005-0000-0000-00006B230000}"/>
    <cellStyle name="표준 5 2 2 2 2 8 3 2" xfId="28956" xr:uid="{00000000-0005-0000-0000-00006C230000}"/>
    <cellStyle name="표준 5 2 2 2 2 8 3 3" xfId="37167" xr:uid="{00000000-0005-0000-0000-00006D230000}"/>
    <cellStyle name="표준 5 2 2 2 2 8 3 4" xfId="45360" xr:uid="{00000000-0005-0000-0000-00006E230000}"/>
    <cellStyle name="표준 5 2 2 2 2 8 4" xfId="12362" xr:uid="{00000000-0005-0000-0000-00006F230000}"/>
    <cellStyle name="표준 5 2 2 2 2 8 5" xfId="16602" xr:uid="{00000000-0005-0000-0000-000070230000}"/>
    <cellStyle name="표준 5 2 2 2 2 8 6" xfId="20764" xr:uid="{00000000-0005-0000-0000-000071230000}"/>
    <cellStyle name="표준 5 2 2 2 2 8 7" xfId="24860" xr:uid="{00000000-0005-0000-0000-000072230000}"/>
    <cellStyle name="표준 5 2 2 2 2 8 8" xfId="33071" xr:uid="{00000000-0005-0000-0000-000073230000}"/>
    <cellStyle name="표준 5 2 2 2 2 8 9" xfId="41264" xr:uid="{00000000-0005-0000-0000-000074230000}"/>
    <cellStyle name="표준 5 2 2 2 2 9" xfId="1907" xr:uid="{00000000-0005-0000-0000-000075230000}"/>
    <cellStyle name="표준 5 2 2 2 2 9 2" xfId="10810" xr:uid="{00000000-0005-0000-0000-000076230000}"/>
    <cellStyle name="표준 5 2 2 2 2 9 2 2" xfId="14922" xr:uid="{00000000-0005-0000-0000-000077230000}"/>
    <cellStyle name="표준 5 2 2 2 2 9 2 2 2" xfId="31516" xr:uid="{00000000-0005-0000-0000-000078230000}"/>
    <cellStyle name="표준 5 2 2 2 2 9 2 2 3" xfId="39727" xr:uid="{00000000-0005-0000-0000-000079230000}"/>
    <cellStyle name="표준 5 2 2 2 2 9 2 2 4" xfId="47920" xr:uid="{00000000-0005-0000-0000-00007A230000}"/>
    <cellStyle name="표준 5 2 2 2 2 9 2 3" xfId="19162" xr:uid="{00000000-0005-0000-0000-00007B230000}"/>
    <cellStyle name="표준 5 2 2 2 2 9 2 4" xfId="23324" xr:uid="{00000000-0005-0000-0000-00007C230000}"/>
    <cellStyle name="표준 5 2 2 2 2 9 2 5" xfId="27420" xr:uid="{00000000-0005-0000-0000-00007D230000}"/>
    <cellStyle name="표준 5 2 2 2 2 9 2 6" xfId="35631" xr:uid="{00000000-0005-0000-0000-00007E230000}"/>
    <cellStyle name="표준 5 2 2 2 2 9 2 7" xfId="43824" xr:uid="{00000000-0005-0000-0000-00007F230000}"/>
    <cellStyle name="표준 5 2 2 2 2 9 3" xfId="8762" xr:uid="{00000000-0005-0000-0000-000080230000}"/>
    <cellStyle name="표준 5 2 2 2 2 9 3 2" xfId="29468" xr:uid="{00000000-0005-0000-0000-000081230000}"/>
    <cellStyle name="표준 5 2 2 2 2 9 3 3" xfId="37679" xr:uid="{00000000-0005-0000-0000-000082230000}"/>
    <cellStyle name="표준 5 2 2 2 2 9 3 4" xfId="45872" xr:uid="{00000000-0005-0000-0000-000083230000}"/>
    <cellStyle name="표준 5 2 2 2 2 9 4" xfId="12874" xr:uid="{00000000-0005-0000-0000-000084230000}"/>
    <cellStyle name="표준 5 2 2 2 2 9 5" xfId="17114" xr:uid="{00000000-0005-0000-0000-000085230000}"/>
    <cellStyle name="표준 5 2 2 2 2 9 6" xfId="21276" xr:uid="{00000000-0005-0000-0000-000086230000}"/>
    <cellStyle name="표준 5 2 2 2 2 9 7" xfId="25372" xr:uid="{00000000-0005-0000-0000-000087230000}"/>
    <cellStyle name="표준 5 2 2 2 2 9 8" xfId="33583" xr:uid="{00000000-0005-0000-0000-000088230000}"/>
    <cellStyle name="표준 5 2 2 2 2 9 9" xfId="41776" xr:uid="{00000000-0005-0000-0000-000089230000}"/>
    <cellStyle name="표준 5 2 2 2 20" xfId="15426" xr:uid="{00000000-0005-0000-0000-00008A230000}"/>
    <cellStyle name="표준 5 2 2 2 21" xfId="15442" xr:uid="{00000000-0005-0000-0000-00008B230000}"/>
    <cellStyle name="표준 5 2 2 2 22" xfId="15458" xr:uid="{00000000-0005-0000-0000-00008C230000}"/>
    <cellStyle name="표준 5 2 2 2 23" xfId="15554" xr:uid="{00000000-0005-0000-0000-00008D230000}"/>
    <cellStyle name="표준 5 2 2 2 24" xfId="15570" xr:uid="{00000000-0005-0000-0000-00008E230000}"/>
    <cellStyle name="표준 5 2 2 2 25" xfId="19666" xr:uid="{00000000-0005-0000-0000-00008F230000}"/>
    <cellStyle name="표준 5 2 2 2 26" xfId="19682" xr:uid="{00000000-0005-0000-0000-000090230000}"/>
    <cellStyle name="표준 5 2 2 2 27" xfId="19698" xr:uid="{00000000-0005-0000-0000-000091230000}"/>
    <cellStyle name="표준 5 2 2 2 28" xfId="19714" xr:uid="{00000000-0005-0000-0000-000092230000}"/>
    <cellStyle name="표준 5 2 2 2 29" xfId="19732" xr:uid="{00000000-0005-0000-0000-000093230000}"/>
    <cellStyle name="표준 5 2 2 2 3" xfId="154" xr:uid="{00000000-0005-0000-0000-000094230000}"/>
    <cellStyle name="표준 5 2 2 2 3 10" xfId="7187" xr:uid="{00000000-0005-0000-0000-000095230000}"/>
    <cellStyle name="표준 5 2 2 2 3 10 2" xfId="27940" xr:uid="{00000000-0005-0000-0000-000096230000}"/>
    <cellStyle name="표준 5 2 2 2 3 10 3" xfId="36151" xr:uid="{00000000-0005-0000-0000-000097230000}"/>
    <cellStyle name="표준 5 2 2 2 3 10 4" xfId="44344" xr:uid="{00000000-0005-0000-0000-000098230000}"/>
    <cellStyle name="표준 5 2 2 2 3 11" xfId="7234" xr:uid="{00000000-0005-0000-0000-000099230000}"/>
    <cellStyle name="표준 5 2 2 2 3 12" xfId="11346" xr:uid="{00000000-0005-0000-0000-00009A230000}"/>
    <cellStyle name="표준 5 2 2 2 3 13" xfId="15474" xr:uid="{00000000-0005-0000-0000-00009B230000}"/>
    <cellStyle name="표준 5 2 2 2 3 14" xfId="15586" xr:uid="{00000000-0005-0000-0000-00009C230000}"/>
    <cellStyle name="표준 5 2 2 2 3 15" xfId="19748" xr:uid="{00000000-0005-0000-0000-00009D230000}"/>
    <cellStyle name="표준 5 2 2 2 3 16" xfId="23844" xr:uid="{00000000-0005-0000-0000-00009E230000}"/>
    <cellStyle name="표준 5 2 2 2 3 17" xfId="32055" xr:uid="{00000000-0005-0000-0000-00009F230000}"/>
    <cellStyle name="표준 5 2 2 2 3 18" xfId="40248" xr:uid="{00000000-0005-0000-0000-0000A0230000}"/>
    <cellStyle name="표준 5 2 2 2 3 19" xfId="49645" xr:uid="{00000000-0005-0000-0000-0000A1230000}"/>
    <cellStyle name="표준 5 2 2 2 3 2" xfId="411" xr:uid="{00000000-0005-0000-0000-0000A2230000}"/>
    <cellStyle name="표준 5 2 2 2 3 2 10" xfId="7266" xr:uid="{00000000-0005-0000-0000-0000A3230000}"/>
    <cellStyle name="표준 5 2 2 2 3 2 11" xfId="11378" xr:uid="{00000000-0005-0000-0000-0000A4230000}"/>
    <cellStyle name="표준 5 2 2 2 3 2 12" xfId="15522" xr:uid="{00000000-0005-0000-0000-0000A5230000}"/>
    <cellStyle name="표준 5 2 2 2 3 2 13" xfId="15618" xr:uid="{00000000-0005-0000-0000-0000A6230000}"/>
    <cellStyle name="표준 5 2 2 2 3 2 14" xfId="19780" xr:uid="{00000000-0005-0000-0000-0000A7230000}"/>
    <cellStyle name="표준 5 2 2 2 3 2 15" xfId="23876" xr:uid="{00000000-0005-0000-0000-0000A8230000}"/>
    <cellStyle name="표준 5 2 2 2 3 2 16" xfId="32087" xr:uid="{00000000-0005-0000-0000-0000A9230000}"/>
    <cellStyle name="표준 5 2 2 2 3 2 17" xfId="40280" xr:uid="{00000000-0005-0000-0000-0000AA230000}"/>
    <cellStyle name="표준 5 2 2 2 3 2 18" xfId="49711" xr:uid="{00000000-0005-0000-0000-0000AB230000}"/>
    <cellStyle name="표준 5 2 2 2 3 2 2" xfId="475" xr:uid="{00000000-0005-0000-0000-0000AC230000}"/>
    <cellStyle name="표준 5 2 2 2 3 2 2 10" xfId="15682" xr:uid="{00000000-0005-0000-0000-0000AD230000}"/>
    <cellStyle name="표준 5 2 2 2 3 2 2 11" xfId="19844" xr:uid="{00000000-0005-0000-0000-0000AE230000}"/>
    <cellStyle name="표준 5 2 2 2 3 2 2 12" xfId="23940" xr:uid="{00000000-0005-0000-0000-0000AF230000}"/>
    <cellStyle name="표준 5 2 2 2 3 2 2 13" xfId="32151" xr:uid="{00000000-0005-0000-0000-0000B0230000}"/>
    <cellStyle name="표준 5 2 2 2 3 2 2 14" xfId="40344" xr:uid="{00000000-0005-0000-0000-0000B1230000}"/>
    <cellStyle name="표준 5 2 2 2 3 2 2 2" xfId="603" xr:uid="{00000000-0005-0000-0000-0000B2230000}"/>
    <cellStyle name="표준 5 2 2 2 3 2 2 2 10" xfId="19972" xr:uid="{00000000-0005-0000-0000-0000B3230000}"/>
    <cellStyle name="표준 5 2 2 2 3 2 2 2 11" xfId="24068" xr:uid="{00000000-0005-0000-0000-0000B4230000}"/>
    <cellStyle name="표준 5 2 2 2 3 2 2 2 12" xfId="32279" xr:uid="{00000000-0005-0000-0000-0000B5230000}"/>
    <cellStyle name="표준 5 2 2 2 3 2 2 2 13" xfId="40472" xr:uid="{00000000-0005-0000-0000-0000B6230000}"/>
    <cellStyle name="표준 5 2 2 2 3 2 2 2 2" xfId="859" xr:uid="{00000000-0005-0000-0000-0000B7230000}"/>
    <cellStyle name="표준 5 2 2 2 3 2 2 2 2 10" xfId="24324" xr:uid="{00000000-0005-0000-0000-0000B8230000}"/>
    <cellStyle name="표준 5 2 2 2 3 2 2 2 2 11" xfId="32535" xr:uid="{00000000-0005-0000-0000-0000B9230000}"/>
    <cellStyle name="표준 5 2 2 2 3 2 2 2 2 12" xfId="40728" xr:uid="{00000000-0005-0000-0000-0000BA230000}"/>
    <cellStyle name="표준 5 2 2 2 3 2 2 2 2 2" xfId="1371" xr:uid="{00000000-0005-0000-0000-0000BB230000}"/>
    <cellStyle name="표준 5 2 2 2 3 2 2 2 2 2 2" xfId="10274" xr:uid="{00000000-0005-0000-0000-0000BC230000}"/>
    <cellStyle name="표준 5 2 2 2 3 2 2 2 2 2 2 2" xfId="14386" xr:uid="{00000000-0005-0000-0000-0000BD230000}"/>
    <cellStyle name="표준 5 2 2 2 3 2 2 2 2 2 2 2 2" xfId="30980" xr:uid="{00000000-0005-0000-0000-0000BE230000}"/>
    <cellStyle name="표준 5 2 2 2 3 2 2 2 2 2 2 2 3" xfId="39191" xr:uid="{00000000-0005-0000-0000-0000BF230000}"/>
    <cellStyle name="표준 5 2 2 2 3 2 2 2 2 2 2 2 4" xfId="47384" xr:uid="{00000000-0005-0000-0000-0000C0230000}"/>
    <cellStyle name="표준 5 2 2 2 3 2 2 2 2 2 2 3" xfId="18626" xr:uid="{00000000-0005-0000-0000-0000C1230000}"/>
    <cellStyle name="표준 5 2 2 2 3 2 2 2 2 2 2 4" xfId="22788" xr:uid="{00000000-0005-0000-0000-0000C2230000}"/>
    <cellStyle name="표준 5 2 2 2 3 2 2 2 2 2 2 5" xfId="26884" xr:uid="{00000000-0005-0000-0000-0000C3230000}"/>
    <cellStyle name="표준 5 2 2 2 3 2 2 2 2 2 2 6" xfId="35095" xr:uid="{00000000-0005-0000-0000-0000C4230000}"/>
    <cellStyle name="표준 5 2 2 2 3 2 2 2 2 2 2 7" xfId="43288" xr:uid="{00000000-0005-0000-0000-0000C5230000}"/>
    <cellStyle name="표준 5 2 2 2 3 2 2 2 2 2 3" xfId="8226" xr:uid="{00000000-0005-0000-0000-0000C6230000}"/>
    <cellStyle name="표준 5 2 2 2 3 2 2 2 2 2 3 2" xfId="28932" xr:uid="{00000000-0005-0000-0000-0000C7230000}"/>
    <cellStyle name="표준 5 2 2 2 3 2 2 2 2 2 3 3" xfId="37143" xr:uid="{00000000-0005-0000-0000-0000C8230000}"/>
    <cellStyle name="표준 5 2 2 2 3 2 2 2 2 2 3 4" xfId="45336" xr:uid="{00000000-0005-0000-0000-0000C9230000}"/>
    <cellStyle name="표준 5 2 2 2 3 2 2 2 2 2 4" xfId="12338" xr:uid="{00000000-0005-0000-0000-0000CA230000}"/>
    <cellStyle name="표준 5 2 2 2 3 2 2 2 2 2 5" xfId="16578" xr:uid="{00000000-0005-0000-0000-0000CB230000}"/>
    <cellStyle name="표준 5 2 2 2 3 2 2 2 2 2 6" xfId="20740" xr:uid="{00000000-0005-0000-0000-0000CC230000}"/>
    <cellStyle name="표준 5 2 2 2 3 2 2 2 2 2 7" xfId="24836" xr:uid="{00000000-0005-0000-0000-0000CD230000}"/>
    <cellStyle name="표준 5 2 2 2 3 2 2 2 2 2 8" xfId="33047" xr:uid="{00000000-0005-0000-0000-0000CE230000}"/>
    <cellStyle name="표준 5 2 2 2 3 2 2 2 2 2 9" xfId="41240" xr:uid="{00000000-0005-0000-0000-0000CF230000}"/>
    <cellStyle name="표준 5 2 2 2 3 2 2 2 2 3" xfId="1883" xr:uid="{00000000-0005-0000-0000-0000D0230000}"/>
    <cellStyle name="표준 5 2 2 2 3 2 2 2 2 3 2" xfId="10786" xr:uid="{00000000-0005-0000-0000-0000D1230000}"/>
    <cellStyle name="표준 5 2 2 2 3 2 2 2 2 3 2 2" xfId="14898" xr:uid="{00000000-0005-0000-0000-0000D2230000}"/>
    <cellStyle name="표준 5 2 2 2 3 2 2 2 2 3 2 2 2" xfId="31492" xr:uid="{00000000-0005-0000-0000-0000D3230000}"/>
    <cellStyle name="표준 5 2 2 2 3 2 2 2 2 3 2 2 3" xfId="39703" xr:uid="{00000000-0005-0000-0000-0000D4230000}"/>
    <cellStyle name="표준 5 2 2 2 3 2 2 2 2 3 2 2 4" xfId="47896" xr:uid="{00000000-0005-0000-0000-0000D5230000}"/>
    <cellStyle name="표준 5 2 2 2 3 2 2 2 2 3 2 3" xfId="19138" xr:uid="{00000000-0005-0000-0000-0000D6230000}"/>
    <cellStyle name="표준 5 2 2 2 3 2 2 2 2 3 2 4" xfId="23300" xr:uid="{00000000-0005-0000-0000-0000D7230000}"/>
    <cellStyle name="표준 5 2 2 2 3 2 2 2 2 3 2 5" xfId="27396" xr:uid="{00000000-0005-0000-0000-0000D8230000}"/>
    <cellStyle name="표준 5 2 2 2 3 2 2 2 2 3 2 6" xfId="35607" xr:uid="{00000000-0005-0000-0000-0000D9230000}"/>
    <cellStyle name="표준 5 2 2 2 3 2 2 2 2 3 2 7" xfId="43800" xr:uid="{00000000-0005-0000-0000-0000DA230000}"/>
    <cellStyle name="표준 5 2 2 2 3 2 2 2 2 3 3" xfId="8738" xr:uid="{00000000-0005-0000-0000-0000DB230000}"/>
    <cellStyle name="표준 5 2 2 2 3 2 2 2 2 3 3 2" xfId="29444" xr:uid="{00000000-0005-0000-0000-0000DC230000}"/>
    <cellStyle name="표준 5 2 2 2 3 2 2 2 2 3 3 3" xfId="37655" xr:uid="{00000000-0005-0000-0000-0000DD230000}"/>
    <cellStyle name="표준 5 2 2 2 3 2 2 2 2 3 3 4" xfId="45848" xr:uid="{00000000-0005-0000-0000-0000DE230000}"/>
    <cellStyle name="표준 5 2 2 2 3 2 2 2 2 3 4" xfId="12850" xr:uid="{00000000-0005-0000-0000-0000DF230000}"/>
    <cellStyle name="표준 5 2 2 2 3 2 2 2 2 3 5" xfId="17090" xr:uid="{00000000-0005-0000-0000-0000E0230000}"/>
    <cellStyle name="표준 5 2 2 2 3 2 2 2 2 3 6" xfId="21252" xr:uid="{00000000-0005-0000-0000-0000E1230000}"/>
    <cellStyle name="표준 5 2 2 2 3 2 2 2 2 3 7" xfId="25348" xr:uid="{00000000-0005-0000-0000-0000E2230000}"/>
    <cellStyle name="표준 5 2 2 2 3 2 2 2 2 3 8" xfId="33559" xr:uid="{00000000-0005-0000-0000-0000E3230000}"/>
    <cellStyle name="표준 5 2 2 2 3 2 2 2 2 3 9" xfId="41752" xr:uid="{00000000-0005-0000-0000-0000E4230000}"/>
    <cellStyle name="표준 5 2 2 2 3 2 2 2 2 4" xfId="2395" xr:uid="{00000000-0005-0000-0000-0000E5230000}"/>
    <cellStyle name="표준 5 2 2 2 3 2 2 2 2 4 2" xfId="11298" xr:uid="{00000000-0005-0000-0000-0000E6230000}"/>
    <cellStyle name="표준 5 2 2 2 3 2 2 2 2 4 2 2" xfId="15410" xr:uid="{00000000-0005-0000-0000-0000E7230000}"/>
    <cellStyle name="표준 5 2 2 2 3 2 2 2 2 4 2 2 2" xfId="32004" xr:uid="{00000000-0005-0000-0000-0000E8230000}"/>
    <cellStyle name="표준 5 2 2 2 3 2 2 2 2 4 2 2 3" xfId="40215" xr:uid="{00000000-0005-0000-0000-0000E9230000}"/>
    <cellStyle name="표준 5 2 2 2 3 2 2 2 2 4 2 2 4" xfId="48408" xr:uid="{00000000-0005-0000-0000-0000EA230000}"/>
    <cellStyle name="표준 5 2 2 2 3 2 2 2 2 4 2 3" xfId="19650" xr:uid="{00000000-0005-0000-0000-0000EB230000}"/>
    <cellStyle name="표준 5 2 2 2 3 2 2 2 2 4 2 4" xfId="23812" xr:uid="{00000000-0005-0000-0000-0000EC230000}"/>
    <cellStyle name="표준 5 2 2 2 3 2 2 2 2 4 2 5" xfId="27908" xr:uid="{00000000-0005-0000-0000-0000ED230000}"/>
    <cellStyle name="표준 5 2 2 2 3 2 2 2 2 4 2 6" xfId="36119" xr:uid="{00000000-0005-0000-0000-0000EE230000}"/>
    <cellStyle name="표준 5 2 2 2 3 2 2 2 2 4 2 7" xfId="44312" xr:uid="{00000000-0005-0000-0000-0000EF230000}"/>
    <cellStyle name="표준 5 2 2 2 3 2 2 2 2 4 3" xfId="9250" xr:uid="{00000000-0005-0000-0000-0000F0230000}"/>
    <cellStyle name="표준 5 2 2 2 3 2 2 2 2 4 3 2" xfId="29956" xr:uid="{00000000-0005-0000-0000-0000F1230000}"/>
    <cellStyle name="표준 5 2 2 2 3 2 2 2 2 4 3 3" xfId="38167" xr:uid="{00000000-0005-0000-0000-0000F2230000}"/>
    <cellStyle name="표준 5 2 2 2 3 2 2 2 2 4 3 4" xfId="46360" xr:uid="{00000000-0005-0000-0000-0000F3230000}"/>
    <cellStyle name="표준 5 2 2 2 3 2 2 2 2 4 4" xfId="13362" xr:uid="{00000000-0005-0000-0000-0000F4230000}"/>
    <cellStyle name="표준 5 2 2 2 3 2 2 2 2 4 5" xfId="17602" xr:uid="{00000000-0005-0000-0000-0000F5230000}"/>
    <cellStyle name="표준 5 2 2 2 3 2 2 2 2 4 6" xfId="21764" xr:uid="{00000000-0005-0000-0000-0000F6230000}"/>
    <cellStyle name="표준 5 2 2 2 3 2 2 2 2 4 7" xfId="25860" xr:uid="{00000000-0005-0000-0000-0000F7230000}"/>
    <cellStyle name="표준 5 2 2 2 3 2 2 2 2 4 8" xfId="34071" xr:uid="{00000000-0005-0000-0000-0000F8230000}"/>
    <cellStyle name="표준 5 2 2 2 3 2 2 2 2 4 9" xfId="42264" xr:uid="{00000000-0005-0000-0000-0000F9230000}"/>
    <cellStyle name="표준 5 2 2 2 3 2 2 2 2 5" xfId="9762" xr:uid="{00000000-0005-0000-0000-0000FA230000}"/>
    <cellStyle name="표준 5 2 2 2 3 2 2 2 2 5 2" xfId="13874" xr:uid="{00000000-0005-0000-0000-0000FB230000}"/>
    <cellStyle name="표준 5 2 2 2 3 2 2 2 2 5 2 2" xfId="30468" xr:uid="{00000000-0005-0000-0000-0000FC230000}"/>
    <cellStyle name="표준 5 2 2 2 3 2 2 2 2 5 2 3" xfId="38679" xr:uid="{00000000-0005-0000-0000-0000FD230000}"/>
    <cellStyle name="표준 5 2 2 2 3 2 2 2 2 5 2 4" xfId="46872" xr:uid="{00000000-0005-0000-0000-0000FE230000}"/>
    <cellStyle name="표준 5 2 2 2 3 2 2 2 2 5 3" xfId="18114" xr:uid="{00000000-0005-0000-0000-0000FF230000}"/>
    <cellStyle name="표준 5 2 2 2 3 2 2 2 2 5 4" xfId="22276" xr:uid="{00000000-0005-0000-0000-000000240000}"/>
    <cellStyle name="표준 5 2 2 2 3 2 2 2 2 5 5" xfId="26372" xr:uid="{00000000-0005-0000-0000-000001240000}"/>
    <cellStyle name="표준 5 2 2 2 3 2 2 2 2 5 6" xfId="34583" xr:uid="{00000000-0005-0000-0000-000002240000}"/>
    <cellStyle name="표준 5 2 2 2 3 2 2 2 2 5 7" xfId="42776" xr:uid="{00000000-0005-0000-0000-000003240000}"/>
    <cellStyle name="표준 5 2 2 2 3 2 2 2 2 6" xfId="7714" xr:uid="{00000000-0005-0000-0000-000004240000}"/>
    <cellStyle name="표준 5 2 2 2 3 2 2 2 2 6 2" xfId="28420" xr:uid="{00000000-0005-0000-0000-000005240000}"/>
    <cellStyle name="표준 5 2 2 2 3 2 2 2 2 6 3" xfId="36631" xr:uid="{00000000-0005-0000-0000-000006240000}"/>
    <cellStyle name="표준 5 2 2 2 3 2 2 2 2 6 4" xfId="44824" xr:uid="{00000000-0005-0000-0000-000007240000}"/>
    <cellStyle name="표준 5 2 2 2 3 2 2 2 2 7" xfId="11826" xr:uid="{00000000-0005-0000-0000-000008240000}"/>
    <cellStyle name="표준 5 2 2 2 3 2 2 2 2 8" xfId="16066" xr:uid="{00000000-0005-0000-0000-000009240000}"/>
    <cellStyle name="표준 5 2 2 2 3 2 2 2 2 9" xfId="20228" xr:uid="{00000000-0005-0000-0000-00000A240000}"/>
    <cellStyle name="표준 5 2 2 2 3 2 2 2 3" xfId="1115" xr:uid="{00000000-0005-0000-0000-00000B240000}"/>
    <cellStyle name="표준 5 2 2 2 3 2 2 2 3 2" xfId="10018" xr:uid="{00000000-0005-0000-0000-00000C240000}"/>
    <cellStyle name="표준 5 2 2 2 3 2 2 2 3 2 2" xfId="14130" xr:uid="{00000000-0005-0000-0000-00000D240000}"/>
    <cellStyle name="표준 5 2 2 2 3 2 2 2 3 2 2 2" xfId="30724" xr:uid="{00000000-0005-0000-0000-00000E240000}"/>
    <cellStyle name="표준 5 2 2 2 3 2 2 2 3 2 2 3" xfId="38935" xr:uid="{00000000-0005-0000-0000-00000F240000}"/>
    <cellStyle name="표준 5 2 2 2 3 2 2 2 3 2 2 4" xfId="47128" xr:uid="{00000000-0005-0000-0000-000010240000}"/>
    <cellStyle name="표준 5 2 2 2 3 2 2 2 3 2 3" xfId="18370" xr:uid="{00000000-0005-0000-0000-000011240000}"/>
    <cellStyle name="표준 5 2 2 2 3 2 2 2 3 2 4" xfId="22532" xr:uid="{00000000-0005-0000-0000-000012240000}"/>
    <cellStyle name="표준 5 2 2 2 3 2 2 2 3 2 5" xfId="26628" xr:uid="{00000000-0005-0000-0000-000013240000}"/>
    <cellStyle name="표준 5 2 2 2 3 2 2 2 3 2 6" xfId="34839" xr:uid="{00000000-0005-0000-0000-000014240000}"/>
    <cellStyle name="표준 5 2 2 2 3 2 2 2 3 2 7" xfId="43032" xr:uid="{00000000-0005-0000-0000-000015240000}"/>
    <cellStyle name="표준 5 2 2 2 3 2 2 2 3 3" xfId="7970" xr:uid="{00000000-0005-0000-0000-000016240000}"/>
    <cellStyle name="표준 5 2 2 2 3 2 2 2 3 3 2" xfId="28676" xr:uid="{00000000-0005-0000-0000-000017240000}"/>
    <cellStyle name="표준 5 2 2 2 3 2 2 2 3 3 3" xfId="36887" xr:uid="{00000000-0005-0000-0000-000018240000}"/>
    <cellStyle name="표준 5 2 2 2 3 2 2 2 3 3 4" xfId="45080" xr:uid="{00000000-0005-0000-0000-000019240000}"/>
    <cellStyle name="표준 5 2 2 2 3 2 2 2 3 4" xfId="12082" xr:uid="{00000000-0005-0000-0000-00001A240000}"/>
    <cellStyle name="표준 5 2 2 2 3 2 2 2 3 5" xfId="16322" xr:uid="{00000000-0005-0000-0000-00001B240000}"/>
    <cellStyle name="표준 5 2 2 2 3 2 2 2 3 6" xfId="20484" xr:uid="{00000000-0005-0000-0000-00001C240000}"/>
    <cellStyle name="표준 5 2 2 2 3 2 2 2 3 7" xfId="24580" xr:uid="{00000000-0005-0000-0000-00001D240000}"/>
    <cellStyle name="표준 5 2 2 2 3 2 2 2 3 8" xfId="32791" xr:uid="{00000000-0005-0000-0000-00001E240000}"/>
    <cellStyle name="표준 5 2 2 2 3 2 2 2 3 9" xfId="40984" xr:uid="{00000000-0005-0000-0000-00001F240000}"/>
    <cellStyle name="표준 5 2 2 2 3 2 2 2 4" xfId="1627" xr:uid="{00000000-0005-0000-0000-000020240000}"/>
    <cellStyle name="표준 5 2 2 2 3 2 2 2 4 2" xfId="10530" xr:uid="{00000000-0005-0000-0000-000021240000}"/>
    <cellStyle name="표준 5 2 2 2 3 2 2 2 4 2 2" xfId="14642" xr:uid="{00000000-0005-0000-0000-000022240000}"/>
    <cellStyle name="표준 5 2 2 2 3 2 2 2 4 2 2 2" xfId="31236" xr:uid="{00000000-0005-0000-0000-000023240000}"/>
    <cellStyle name="표준 5 2 2 2 3 2 2 2 4 2 2 3" xfId="39447" xr:uid="{00000000-0005-0000-0000-000024240000}"/>
    <cellStyle name="표준 5 2 2 2 3 2 2 2 4 2 2 4" xfId="47640" xr:uid="{00000000-0005-0000-0000-000025240000}"/>
    <cellStyle name="표준 5 2 2 2 3 2 2 2 4 2 3" xfId="18882" xr:uid="{00000000-0005-0000-0000-000026240000}"/>
    <cellStyle name="표준 5 2 2 2 3 2 2 2 4 2 4" xfId="23044" xr:uid="{00000000-0005-0000-0000-000027240000}"/>
    <cellStyle name="표준 5 2 2 2 3 2 2 2 4 2 5" xfId="27140" xr:uid="{00000000-0005-0000-0000-000028240000}"/>
    <cellStyle name="표준 5 2 2 2 3 2 2 2 4 2 6" xfId="35351" xr:uid="{00000000-0005-0000-0000-000029240000}"/>
    <cellStyle name="표준 5 2 2 2 3 2 2 2 4 2 7" xfId="43544" xr:uid="{00000000-0005-0000-0000-00002A240000}"/>
    <cellStyle name="표준 5 2 2 2 3 2 2 2 4 3" xfId="8482" xr:uid="{00000000-0005-0000-0000-00002B240000}"/>
    <cellStyle name="표준 5 2 2 2 3 2 2 2 4 3 2" xfId="29188" xr:uid="{00000000-0005-0000-0000-00002C240000}"/>
    <cellStyle name="표준 5 2 2 2 3 2 2 2 4 3 3" xfId="37399" xr:uid="{00000000-0005-0000-0000-00002D240000}"/>
    <cellStyle name="표준 5 2 2 2 3 2 2 2 4 3 4" xfId="45592" xr:uid="{00000000-0005-0000-0000-00002E240000}"/>
    <cellStyle name="표준 5 2 2 2 3 2 2 2 4 4" xfId="12594" xr:uid="{00000000-0005-0000-0000-00002F240000}"/>
    <cellStyle name="표준 5 2 2 2 3 2 2 2 4 5" xfId="16834" xr:uid="{00000000-0005-0000-0000-000030240000}"/>
    <cellStyle name="표준 5 2 2 2 3 2 2 2 4 6" xfId="20996" xr:uid="{00000000-0005-0000-0000-000031240000}"/>
    <cellStyle name="표준 5 2 2 2 3 2 2 2 4 7" xfId="25092" xr:uid="{00000000-0005-0000-0000-000032240000}"/>
    <cellStyle name="표준 5 2 2 2 3 2 2 2 4 8" xfId="33303" xr:uid="{00000000-0005-0000-0000-000033240000}"/>
    <cellStyle name="표준 5 2 2 2 3 2 2 2 4 9" xfId="41496" xr:uid="{00000000-0005-0000-0000-000034240000}"/>
    <cellStyle name="표준 5 2 2 2 3 2 2 2 5" xfId="2139" xr:uid="{00000000-0005-0000-0000-000035240000}"/>
    <cellStyle name="표준 5 2 2 2 3 2 2 2 5 2" xfId="11042" xr:uid="{00000000-0005-0000-0000-000036240000}"/>
    <cellStyle name="표준 5 2 2 2 3 2 2 2 5 2 2" xfId="15154" xr:uid="{00000000-0005-0000-0000-000037240000}"/>
    <cellStyle name="표준 5 2 2 2 3 2 2 2 5 2 2 2" xfId="31748" xr:uid="{00000000-0005-0000-0000-000038240000}"/>
    <cellStyle name="표준 5 2 2 2 3 2 2 2 5 2 2 3" xfId="39959" xr:uid="{00000000-0005-0000-0000-000039240000}"/>
    <cellStyle name="표준 5 2 2 2 3 2 2 2 5 2 2 4" xfId="48152" xr:uid="{00000000-0005-0000-0000-00003A240000}"/>
    <cellStyle name="표준 5 2 2 2 3 2 2 2 5 2 3" xfId="19394" xr:uid="{00000000-0005-0000-0000-00003B240000}"/>
    <cellStyle name="표준 5 2 2 2 3 2 2 2 5 2 4" xfId="23556" xr:uid="{00000000-0005-0000-0000-00003C240000}"/>
    <cellStyle name="표준 5 2 2 2 3 2 2 2 5 2 5" xfId="27652" xr:uid="{00000000-0005-0000-0000-00003D240000}"/>
    <cellStyle name="표준 5 2 2 2 3 2 2 2 5 2 6" xfId="35863" xr:uid="{00000000-0005-0000-0000-00003E240000}"/>
    <cellStyle name="표준 5 2 2 2 3 2 2 2 5 2 7" xfId="44056" xr:uid="{00000000-0005-0000-0000-00003F240000}"/>
    <cellStyle name="표준 5 2 2 2 3 2 2 2 5 3" xfId="8994" xr:uid="{00000000-0005-0000-0000-000040240000}"/>
    <cellStyle name="표준 5 2 2 2 3 2 2 2 5 3 2" xfId="29700" xr:uid="{00000000-0005-0000-0000-000041240000}"/>
    <cellStyle name="표준 5 2 2 2 3 2 2 2 5 3 3" xfId="37911" xr:uid="{00000000-0005-0000-0000-000042240000}"/>
    <cellStyle name="표준 5 2 2 2 3 2 2 2 5 3 4" xfId="46104" xr:uid="{00000000-0005-0000-0000-000043240000}"/>
    <cellStyle name="표준 5 2 2 2 3 2 2 2 5 4" xfId="13106" xr:uid="{00000000-0005-0000-0000-000044240000}"/>
    <cellStyle name="표준 5 2 2 2 3 2 2 2 5 5" xfId="17346" xr:uid="{00000000-0005-0000-0000-000045240000}"/>
    <cellStyle name="표준 5 2 2 2 3 2 2 2 5 6" xfId="21508" xr:uid="{00000000-0005-0000-0000-000046240000}"/>
    <cellStyle name="표준 5 2 2 2 3 2 2 2 5 7" xfId="25604" xr:uid="{00000000-0005-0000-0000-000047240000}"/>
    <cellStyle name="표준 5 2 2 2 3 2 2 2 5 8" xfId="33815" xr:uid="{00000000-0005-0000-0000-000048240000}"/>
    <cellStyle name="표준 5 2 2 2 3 2 2 2 5 9" xfId="42008" xr:uid="{00000000-0005-0000-0000-000049240000}"/>
    <cellStyle name="표준 5 2 2 2 3 2 2 2 6" xfId="9506" xr:uid="{00000000-0005-0000-0000-00004A240000}"/>
    <cellStyle name="표준 5 2 2 2 3 2 2 2 6 2" xfId="13618" xr:uid="{00000000-0005-0000-0000-00004B240000}"/>
    <cellStyle name="표준 5 2 2 2 3 2 2 2 6 2 2" xfId="30212" xr:uid="{00000000-0005-0000-0000-00004C240000}"/>
    <cellStyle name="표준 5 2 2 2 3 2 2 2 6 2 3" xfId="38423" xr:uid="{00000000-0005-0000-0000-00004D240000}"/>
    <cellStyle name="표준 5 2 2 2 3 2 2 2 6 2 4" xfId="46616" xr:uid="{00000000-0005-0000-0000-00004E240000}"/>
    <cellStyle name="표준 5 2 2 2 3 2 2 2 6 3" xfId="17858" xr:uid="{00000000-0005-0000-0000-00004F240000}"/>
    <cellStyle name="표준 5 2 2 2 3 2 2 2 6 4" xfId="22020" xr:uid="{00000000-0005-0000-0000-000050240000}"/>
    <cellStyle name="표준 5 2 2 2 3 2 2 2 6 5" xfId="26116" xr:uid="{00000000-0005-0000-0000-000051240000}"/>
    <cellStyle name="표준 5 2 2 2 3 2 2 2 6 6" xfId="34327" xr:uid="{00000000-0005-0000-0000-000052240000}"/>
    <cellStyle name="표준 5 2 2 2 3 2 2 2 6 7" xfId="42520" xr:uid="{00000000-0005-0000-0000-000053240000}"/>
    <cellStyle name="표준 5 2 2 2 3 2 2 2 7" xfId="7458" xr:uid="{00000000-0005-0000-0000-000054240000}"/>
    <cellStyle name="표준 5 2 2 2 3 2 2 2 7 2" xfId="28164" xr:uid="{00000000-0005-0000-0000-000055240000}"/>
    <cellStyle name="표준 5 2 2 2 3 2 2 2 7 3" xfId="36375" xr:uid="{00000000-0005-0000-0000-000056240000}"/>
    <cellStyle name="표준 5 2 2 2 3 2 2 2 7 4" xfId="44568" xr:uid="{00000000-0005-0000-0000-000057240000}"/>
    <cellStyle name="표준 5 2 2 2 3 2 2 2 8" xfId="11570" xr:uid="{00000000-0005-0000-0000-000058240000}"/>
    <cellStyle name="표준 5 2 2 2 3 2 2 2 9" xfId="15810" xr:uid="{00000000-0005-0000-0000-000059240000}"/>
    <cellStyle name="표준 5 2 2 2 3 2 2 3" xfId="731" xr:uid="{00000000-0005-0000-0000-00005A240000}"/>
    <cellStyle name="표준 5 2 2 2 3 2 2 3 10" xfId="24196" xr:uid="{00000000-0005-0000-0000-00005B240000}"/>
    <cellStyle name="표준 5 2 2 2 3 2 2 3 11" xfId="32407" xr:uid="{00000000-0005-0000-0000-00005C240000}"/>
    <cellStyle name="표준 5 2 2 2 3 2 2 3 12" xfId="40600" xr:uid="{00000000-0005-0000-0000-00005D240000}"/>
    <cellStyle name="표준 5 2 2 2 3 2 2 3 2" xfId="1243" xr:uid="{00000000-0005-0000-0000-00005E240000}"/>
    <cellStyle name="표준 5 2 2 2 3 2 2 3 2 2" xfId="10146" xr:uid="{00000000-0005-0000-0000-00005F240000}"/>
    <cellStyle name="표준 5 2 2 2 3 2 2 3 2 2 2" xfId="14258" xr:uid="{00000000-0005-0000-0000-000060240000}"/>
    <cellStyle name="표준 5 2 2 2 3 2 2 3 2 2 2 2" xfId="30852" xr:uid="{00000000-0005-0000-0000-000061240000}"/>
    <cellStyle name="표준 5 2 2 2 3 2 2 3 2 2 2 3" xfId="39063" xr:uid="{00000000-0005-0000-0000-000062240000}"/>
    <cellStyle name="표준 5 2 2 2 3 2 2 3 2 2 2 4" xfId="47256" xr:uid="{00000000-0005-0000-0000-000063240000}"/>
    <cellStyle name="표준 5 2 2 2 3 2 2 3 2 2 3" xfId="18498" xr:uid="{00000000-0005-0000-0000-000064240000}"/>
    <cellStyle name="표준 5 2 2 2 3 2 2 3 2 2 4" xfId="22660" xr:uid="{00000000-0005-0000-0000-000065240000}"/>
    <cellStyle name="표준 5 2 2 2 3 2 2 3 2 2 5" xfId="26756" xr:uid="{00000000-0005-0000-0000-000066240000}"/>
    <cellStyle name="표준 5 2 2 2 3 2 2 3 2 2 6" xfId="34967" xr:uid="{00000000-0005-0000-0000-000067240000}"/>
    <cellStyle name="표준 5 2 2 2 3 2 2 3 2 2 7" xfId="43160" xr:uid="{00000000-0005-0000-0000-000068240000}"/>
    <cellStyle name="표준 5 2 2 2 3 2 2 3 2 3" xfId="8098" xr:uid="{00000000-0005-0000-0000-000069240000}"/>
    <cellStyle name="표준 5 2 2 2 3 2 2 3 2 3 2" xfId="28804" xr:uid="{00000000-0005-0000-0000-00006A240000}"/>
    <cellStyle name="표준 5 2 2 2 3 2 2 3 2 3 3" xfId="37015" xr:uid="{00000000-0005-0000-0000-00006B240000}"/>
    <cellStyle name="표준 5 2 2 2 3 2 2 3 2 3 4" xfId="45208" xr:uid="{00000000-0005-0000-0000-00006C240000}"/>
    <cellStyle name="표준 5 2 2 2 3 2 2 3 2 4" xfId="12210" xr:uid="{00000000-0005-0000-0000-00006D240000}"/>
    <cellStyle name="표준 5 2 2 2 3 2 2 3 2 5" xfId="16450" xr:uid="{00000000-0005-0000-0000-00006E240000}"/>
    <cellStyle name="표준 5 2 2 2 3 2 2 3 2 6" xfId="20612" xr:uid="{00000000-0005-0000-0000-00006F240000}"/>
    <cellStyle name="표준 5 2 2 2 3 2 2 3 2 7" xfId="24708" xr:uid="{00000000-0005-0000-0000-000070240000}"/>
    <cellStyle name="표준 5 2 2 2 3 2 2 3 2 8" xfId="32919" xr:uid="{00000000-0005-0000-0000-000071240000}"/>
    <cellStyle name="표준 5 2 2 2 3 2 2 3 2 9" xfId="41112" xr:uid="{00000000-0005-0000-0000-000072240000}"/>
    <cellStyle name="표준 5 2 2 2 3 2 2 3 3" xfId="1755" xr:uid="{00000000-0005-0000-0000-000073240000}"/>
    <cellStyle name="표준 5 2 2 2 3 2 2 3 3 2" xfId="10658" xr:uid="{00000000-0005-0000-0000-000074240000}"/>
    <cellStyle name="표준 5 2 2 2 3 2 2 3 3 2 2" xfId="14770" xr:uid="{00000000-0005-0000-0000-000075240000}"/>
    <cellStyle name="표준 5 2 2 2 3 2 2 3 3 2 2 2" xfId="31364" xr:uid="{00000000-0005-0000-0000-000076240000}"/>
    <cellStyle name="표준 5 2 2 2 3 2 2 3 3 2 2 3" xfId="39575" xr:uid="{00000000-0005-0000-0000-000077240000}"/>
    <cellStyle name="표준 5 2 2 2 3 2 2 3 3 2 2 4" xfId="47768" xr:uid="{00000000-0005-0000-0000-000078240000}"/>
    <cellStyle name="표준 5 2 2 2 3 2 2 3 3 2 3" xfId="19010" xr:uid="{00000000-0005-0000-0000-000079240000}"/>
    <cellStyle name="표준 5 2 2 2 3 2 2 3 3 2 4" xfId="23172" xr:uid="{00000000-0005-0000-0000-00007A240000}"/>
    <cellStyle name="표준 5 2 2 2 3 2 2 3 3 2 5" xfId="27268" xr:uid="{00000000-0005-0000-0000-00007B240000}"/>
    <cellStyle name="표준 5 2 2 2 3 2 2 3 3 2 6" xfId="35479" xr:uid="{00000000-0005-0000-0000-00007C240000}"/>
    <cellStyle name="표준 5 2 2 2 3 2 2 3 3 2 7" xfId="43672" xr:uid="{00000000-0005-0000-0000-00007D240000}"/>
    <cellStyle name="표준 5 2 2 2 3 2 2 3 3 3" xfId="8610" xr:uid="{00000000-0005-0000-0000-00007E240000}"/>
    <cellStyle name="표준 5 2 2 2 3 2 2 3 3 3 2" xfId="29316" xr:uid="{00000000-0005-0000-0000-00007F240000}"/>
    <cellStyle name="표준 5 2 2 2 3 2 2 3 3 3 3" xfId="37527" xr:uid="{00000000-0005-0000-0000-000080240000}"/>
    <cellStyle name="표준 5 2 2 2 3 2 2 3 3 3 4" xfId="45720" xr:uid="{00000000-0005-0000-0000-000081240000}"/>
    <cellStyle name="표준 5 2 2 2 3 2 2 3 3 4" xfId="12722" xr:uid="{00000000-0005-0000-0000-000082240000}"/>
    <cellStyle name="표준 5 2 2 2 3 2 2 3 3 5" xfId="16962" xr:uid="{00000000-0005-0000-0000-000083240000}"/>
    <cellStyle name="표준 5 2 2 2 3 2 2 3 3 6" xfId="21124" xr:uid="{00000000-0005-0000-0000-000084240000}"/>
    <cellStyle name="표준 5 2 2 2 3 2 2 3 3 7" xfId="25220" xr:uid="{00000000-0005-0000-0000-000085240000}"/>
    <cellStyle name="표준 5 2 2 2 3 2 2 3 3 8" xfId="33431" xr:uid="{00000000-0005-0000-0000-000086240000}"/>
    <cellStyle name="표준 5 2 2 2 3 2 2 3 3 9" xfId="41624" xr:uid="{00000000-0005-0000-0000-000087240000}"/>
    <cellStyle name="표준 5 2 2 2 3 2 2 3 4" xfId="2267" xr:uid="{00000000-0005-0000-0000-000088240000}"/>
    <cellStyle name="표준 5 2 2 2 3 2 2 3 4 2" xfId="11170" xr:uid="{00000000-0005-0000-0000-000089240000}"/>
    <cellStyle name="표준 5 2 2 2 3 2 2 3 4 2 2" xfId="15282" xr:uid="{00000000-0005-0000-0000-00008A240000}"/>
    <cellStyle name="표준 5 2 2 2 3 2 2 3 4 2 2 2" xfId="31876" xr:uid="{00000000-0005-0000-0000-00008B240000}"/>
    <cellStyle name="표준 5 2 2 2 3 2 2 3 4 2 2 3" xfId="40087" xr:uid="{00000000-0005-0000-0000-00008C240000}"/>
    <cellStyle name="표준 5 2 2 2 3 2 2 3 4 2 2 4" xfId="48280" xr:uid="{00000000-0005-0000-0000-00008D240000}"/>
    <cellStyle name="표준 5 2 2 2 3 2 2 3 4 2 3" xfId="19522" xr:uid="{00000000-0005-0000-0000-00008E240000}"/>
    <cellStyle name="표준 5 2 2 2 3 2 2 3 4 2 4" xfId="23684" xr:uid="{00000000-0005-0000-0000-00008F240000}"/>
    <cellStyle name="표준 5 2 2 2 3 2 2 3 4 2 5" xfId="27780" xr:uid="{00000000-0005-0000-0000-000090240000}"/>
    <cellStyle name="표준 5 2 2 2 3 2 2 3 4 2 6" xfId="35991" xr:uid="{00000000-0005-0000-0000-000091240000}"/>
    <cellStyle name="표준 5 2 2 2 3 2 2 3 4 2 7" xfId="44184" xr:uid="{00000000-0005-0000-0000-000092240000}"/>
    <cellStyle name="표준 5 2 2 2 3 2 2 3 4 3" xfId="9122" xr:uid="{00000000-0005-0000-0000-000093240000}"/>
    <cellStyle name="표준 5 2 2 2 3 2 2 3 4 3 2" xfId="29828" xr:uid="{00000000-0005-0000-0000-000094240000}"/>
    <cellStyle name="표준 5 2 2 2 3 2 2 3 4 3 3" xfId="38039" xr:uid="{00000000-0005-0000-0000-000095240000}"/>
    <cellStyle name="표준 5 2 2 2 3 2 2 3 4 3 4" xfId="46232" xr:uid="{00000000-0005-0000-0000-000096240000}"/>
    <cellStyle name="표준 5 2 2 2 3 2 2 3 4 4" xfId="13234" xr:uid="{00000000-0005-0000-0000-000097240000}"/>
    <cellStyle name="표준 5 2 2 2 3 2 2 3 4 5" xfId="17474" xr:uid="{00000000-0005-0000-0000-000098240000}"/>
    <cellStyle name="표준 5 2 2 2 3 2 2 3 4 6" xfId="21636" xr:uid="{00000000-0005-0000-0000-000099240000}"/>
    <cellStyle name="표준 5 2 2 2 3 2 2 3 4 7" xfId="25732" xr:uid="{00000000-0005-0000-0000-00009A240000}"/>
    <cellStyle name="표준 5 2 2 2 3 2 2 3 4 8" xfId="33943" xr:uid="{00000000-0005-0000-0000-00009B240000}"/>
    <cellStyle name="표준 5 2 2 2 3 2 2 3 4 9" xfId="42136" xr:uid="{00000000-0005-0000-0000-00009C240000}"/>
    <cellStyle name="표준 5 2 2 2 3 2 2 3 5" xfId="9634" xr:uid="{00000000-0005-0000-0000-00009D240000}"/>
    <cellStyle name="표준 5 2 2 2 3 2 2 3 5 2" xfId="13746" xr:uid="{00000000-0005-0000-0000-00009E240000}"/>
    <cellStyle name="표준 5 2 2 2 3 2 2 3 5 2 2" xfId="30340" xr:uid="{00000000-0005-0000-0000-00009F240000}"/>
    <cellStyle name="표준 5 2 2 2 3 2 2 3 5 2 3" xfId="38551" xr:uid="{00000000-0005-0000-0000-0000A0240000}"/>
    <cellStyle name="표준 5 2 2 2 3 2 2 3 5 2 4" xfId="46744" xr:uid="{00000000-0005-0000-0000-0000A1240000}"/>
    <cellStyle name="표준 5 2 2 2 3 2 2 3 5 3" xfId="17986" xr:uid="{00000000-0005-0000-0000-0000A2240000}"/>
    <cellStyle name="표준 5 2 2 2 3 2 2 3 5 4" xfId="22148" xr:uid="{00000000-0005-0000-0000-0000A3240000}"/>
    <cellStyle name="표준 5 2 2 2 3 2 2 3 5 5" xfId="26244" xr:uid="{00000000-0005-0000-0000-0000A4240000}"/>
    <cellStyle name="표준 5 2 2 2 3 2 2 3 5 6" xfId="34455" xr:uid="{00000000-0005-0000-0000-0000A5240000}"/>
    <cellStyle name="표준 5 2 2 2 3 2 2 3 5 7" xfId="42648" xr:uid="{00000000-0005-0000-0000-0000A6240000}"/>
    <cellStyle name="표준 5 2 2 2 3 2 2 3 6" xfId="7586" xr:uid="{00000000-0005-0000-0000-0000A7240000}"/>
    <cellStyle name="표준 5 2 2 2 3 2 2 3 6 2" xfId="28292" xr:uid="{00000000-0005-0000-0000-0000A8240000}"/>
    <cellStyle name="표준 5 2 2 2 3 2 2 3 6 3" xfId="36503" xr:uid="{00000000-0005-0000-0000-0000A9240000}"/>
    <cellStyle name="표준 5 2 2 2 3 2 2 3 6 4" xfId="44696" xr:uid="{00000000-0005-0000-0000-0000AA240000}"/>
    <cellStyle name="표준 5 2 2 2 3 2 2 3 7" xfId="11698" xr:uid="{00000000-0005-0000-0000-0000AB240000}"/>
    <cellStyle name="표준 5 2 2 2 3 2 2 3 8" xfId="15938" xr:uid="{00000000-0005-0000-0000-0000AC240000}"/>
    <cellStyle name="표준 5 2 2 2 3 2 2 3 9" xfId="20100" xr:uid="{00000000-0005-0000-0000-0000AD240000}"/>
    <cellStyle name="표준 5 2 2 2 3 2 2 4" xfId="987" xr:uid="{00000000-0005-0000-0000-0000AE240000}"/>
    <cellStyle name="표준 5 2 2 2 3 2 2 4 2" xfId="9890" xr:uid="{00000000-0005-0000-0000-0000AF240000}"/>
    <cellStyle name="표준 5 2 2 2 3 2 2 4 2 2" xfId="14002" xr:uid="{00000000-0005-0000-0000-0000B0240000}"/>
    <cellStyle name="표준 5 2 2 2 3 2 2 4 2 2 2" xfId="30596" xr:uid="{00000000-0005-0000-0000-0000B1240000}"/>
    <cellStyle name="표준 5 2 2 2 3 2 2 4 2 2 3" xfId="38807" xr:uid="{00000000-0005-0000-0000-0000B2240000}"/>
    <cellStyle name="표준 5 2 2 2 3 2 2 4 2 2 4" xfId="47000" xr:uid="{00000000-0005-0000-0000-0000B3240000}"/>
    <cellStyle name="표준 5 2 2 2 3 2 2 4 2 3" xfId="18242" xr:uid="{00000000-0005-0000-0000-0000B4240000}"/>
    <cellStyle name="표준 5 2 2 2 3 2 2 4 2 4" xfId="22404" xr:uid="{00000000-0005-0000-0000-0000B5240000}"/>
    <cellStyle name="표준 5 2 2 2 3 2 2 4 2 5" xfId="26500" xr:uid="{00000000-0005-0000-0000-0000B6240000}"/>
    <cellStyle name="표준 5 2 2 2 3 2 2 4 2 6" xfId="34711" xr:uid="{00000000-0005-0000-0000-0000B7240000}"/>
    <cellStyle name="표준 5 2 2 2 3 2 2 4 2 7" xfId="42904" xr:uid="{00000000-0005-0000-0000-0000B8240000}"/>
    <cellStyle name="표준 5 2 2 2 3 2 2 4 3" xfId="7842" xr:uid="{00000000-0005-0000-0000-0000B9240000}"/>
    <cellStyle name="표준 5 2 2 2 3 2 2 4 3 2" xfId="28548" xr:uid="{00000000-0005-0000-0000-0000BA240000}"/>
    <cellStyle name="표준 5 2 2 2 3 2 2 4 3 3" xfId="36759" xr:uid="{00000000-0005-0000-0000-0000BB240000}"/>
    <cellStyle name="표준 5 2 2 2 3 2 2 4 3 4" xfId="44952" xr:uid="{00000000-0005-0000-0000-0000BC240000}"/>
    <cellStyle name="표준 5 2 2 2 3 2 2 4 4" xfId="11954" xr:uid="{00000000-0005-0000-0000-0000BD240000}"/>
    <cellStyle name="표준 5 2 2 2 3 2 2 4 5" xfId="16194" xr:uid="{00000000-0005-0000-0000-0000BE240000}"/>
    <cellStyle name="표준 5 2 2 2 3 2 2 4 6" xfId="20356" xr:uid="{00000000-0005-0000-0000-0000BF240000}"/>
    <cellStyle name="표준 5 2 2 2 3 2 2 4 7" xfId="24452" xr:uid="{00000000-0005-0000-0000-0000C0240000}"/>
    <cellStyle name="표준 5 2 2 2 3 2 2 4 8" xfId="32663" xr:uid="{00000000-0005-0000-0000-0000C1240000}"/>
    <cellStyle name="표준 5 2 2 2 3 2 2 4 9" xfId="40856" xr:uid="{00000000-0005-0000-0000-0000C2240000}"/>
    <cellStyle name="표준 5 2 2 2 3 2 2 5" xfId="1499" xr:uid="{00000000-0005-0000-0000-0000C3240000}"/>
    <cellStyle name="표준 5 2 2 2 3 2 2 5 2" xfId="10402" xr:uid="{00000000-0005-0000-0000-0000C4240000}"/>
    <cellStyle name="표준 5 2 2 2 3 2 2 5 2 2" xfId="14514" xr:uid="{00000000-0005-0000-0000-0000C5240000}"/>
    <cellStyle name="표준 5 2 2 2 3 2 2 5 2 2 2" xfId="31108" xr:uid="{00000000-0005-0000-0000-0000C6240000}"/>
    <cellStyle name="표준 5 2 2 2 3 2 2 5 2 2 3" xfId="39319" xr:uid="{00000000-0005-0000-0000-0000C7240000}"/>
    <cellStyle name="표준 5 2 2 2 3 2 2 5 2 2 4" xfId="47512" xr:uid="{00000000-0005-0000-0000-0000C8240000}"/>
    <cellStyle name="표준 5 2 2 2 3 2 2 5 2 3" xfId="18754" xr:uid="{00000000-0005-0000-0000-0000C9240000}"/>
    <cellStyle name="표준 5 2 2 2 3 2 2 5 2 4" xfId="22916" xr:uid="{00000000-0005-0000-0000-0000CA240000}"/>
    <cellStyle name="표준 5 2 2 2 3 2 2 5 2 5" xfId="27012" xr:uid="{00000000-0005-0000-0000-0000CB240000}"/>
    <cellStyle name="표준 5 2 2 2 3 2 2 5 2 6" xfId="35223" xr:uid="{00000000-0005-0000-0000-0000CC240000}"/>
    <cellStyle name="표준 5 2 2 2 3 2 2 5 2 7" xfId="43416" xr:uid="{00000000-0005-0000-0000-0000CD240000}"/>
    <cellStyle name="표준 5 2 2 2 3 2 2 5 3" xfId="8354" xr:uid="{00000000-0005-0000-0000-0000CE240000}"/>
    <cellStyle name="표준 5 2 2 2 3 2 2 5 3 2" xfId="29060" xr:uid="{00000000-0005-0000-0000-0000CF240000}"/>
    <cellStyle name="표준 5 2 2 2 3 2 2 5 3 3" xfId="37271" xr:uid="{00000000-0005-0000-0000-0000D0240000}"/>
    <cellStyle name="표준 5 2 2 2 3 2 2 5 3 4" xfId="45464" xr:uid="{00000000-0005-0000-0000-0000D1240000}"/>
    <cellStyle name="표준 5 2 2 2 3 2 2 5 4" xfId="12466" xr:uid="{00000000-0005-0000-0000-0000D2240000}"/>
    <cellStyle name="표준 5 2 2 2 3 2 2 5 5" xfId="16706" xr:uid="{00000000-0005-0000-0000-0000D3240000}"/>
    <cellStyle name="표준 5 2 2 2 3 2 2 5 6" xfId="20868" xr:uid="{00000000-0005-0000-0000-0000D4240000}"/>
    <cellStyle name="표준 5 2 2 2 3 2 2 5 7" xfId="24964" xr:uid="{00000000-0005-0000-0000-0000D5240000}"/>
    <cellStyle name="표준 5 2 2 2 3 2 2 5 8" xfId="33175" xr:uid="{00000000-0005-0000-0000-0000D6240000}"/>
    <cellStyle name="표준 5 2 2 2 3 2 2 5 9" xfId="41368" xr:uid="{00000000-0005-0000-0000-0000D7240000}"/>
    <cellStyle name="표준 5 2 2 2 3 2 2 6" xfId="2011" xr:uid="{00000000-0005-0000-0000-0000D8240000}"/>
    <cellStyle name="표준 5 2 2 2 3 2 2 6 2" xfId="10914" xr:uid="{00000000-0005-0000-0000-0000D9240000}"/>
    <cellStyle name="표준 5 2 2 2 3 2 2 6 2 2" xfId="15026" xr:uid="{00000000-0005-0000-0000-0000DA240000}"/>
    <cellStyle name="표준 5 2 2 2 3 2 2 6 2 2 2" xfId="31620" xr:uid="{00000000-0005-0000-0000-0000DB240000}"/>
    <cellStyle name="표준 5 2 2 2 3 2 2 6 2 2 3" xfId="39831" xr:uid="{00000000-0005-0000-0000-0000DC240000}"/>
    <cellStyle name="표준 5 2 2 2 3 2 2 6 2 2 4" xfId="48024" xr:uid="{00000000-0005-0000-0000-0000DD240000}"/>
    <cellStyle name="표준 5 2 2 2 3 2 2 6 2 3" xfId="19266" xr:uid="{00000000-0005-0000-0000-0000DE240000}"/>
    <cellStyle name="표준 5 2 2 2 3 2 2 6 2 4" xfId="23428" xr:uid="{00000000-0005-0000-0000-0000DF240000}"/>
    <cellStyle name="표준 5 2 2 2 3 2 2 6 2 5" xfId="27524" xr:uid="{00000000-0005-0000-0000-0000E0240000}"/>
    <cellStyle name="표준 5 2 2 2 3 2 2 6 2 6" xfId="35735" xr:uid="{00000000-0005-0000-0000-0000E1240000}"/>
    <cellStyle name="표준 5 2 2 2 3 2 2 6 2 7" xfId="43928" xr:uid="{00000000-0005-0000-0000-0000E2240000}"/>
    <cellStyle name="표준 5 2 2 2 3 2 2 6 3" xfId="8866" xr:uid="{00000000-0005-0000-0000-0000E3240000}"/>
    <cellStyle name="표준 5 2 2 2 3 2 2 6 3 2" xfId="29572" xr:uid="{00000000-0005-0000-0000-0000E4240000}"/>
    <cellStyle name="표준 5 2 2 2 3 2 2 6 3 3" xfId="37783" xr:uid="{00000000-0005-0000-0000-0000E5240000}"/>
    <cellStyle name="표준 5 2 2 2 3 2 2 6 3 4" xfId="45976" xr:uid="{00000000-0005-0000-0000-0000E6240000}"/>
    <cellStyle name="표준 5 2 2 2 3 2 2 6 4" xfId="12978" xr:uid="{00000000-0005-0000-0000-0000E7240000}"/>
    <cellStyle name="표준 5 2 2 2 3 2 2 6 5" xfId="17218" xr:uid="{00000000-0005-0000-0000-0000E8240000}"/>
    <cellStyle name="표준 5 2 2 2 3 2 2 6 6" xfId="21380" xr:uid="{00000000-0005-0000-0000-0000E9240000}"/>
    <cellStyle name="표준 5 2 2 2 3 2 2 6 7" xfId="25476" xr:uid="{00000000-0005-0000-0000-0000EA240000}"/>
    <cellStyle name="표준 5 2 2 2 3 2 2 6 8" xfId="33687" xr:uid="{00000000-0005-0000-0000-0000EB240000}"/>
    <cellStyle name="표준 5 2 2 2 3 2 2 6 9" xfId="41880" xr:uid="{00000000-0005-0000-0000-0000EC240000}"/>
    <cellStyle name="표준 5 2 2 2 3 2 2 7" xfId="9378" xr:uid="{00000000-0005-0000-0000-0000ED240000}"/>
    <cellStyle name="표준 5 2 2 2 3 2 2 7 2" xfId="13490" xr:uid="{00000000-0005-0000-0000-0000EE240000}"/>
    <cellStyle name="표준 5 2 2 2 3 2 2 7 2 2" xfId="30084" xr:uid="{00000000-0005-0000-0000-0000EF240000}"/>
    <cellStyle name="표준 5 2 2 2 3 2 2 7 2 3" xfId="38295" xr:uid="{00000000-0005-0000-0000-0000F0240000}"/>
    <cellStyle name="표준 5 2 2 2 3 2 2 7 2 4" xfId="46488" xr:uid="{00000000-0005-0000-0000-0000F1240000}"/>
    <cellStyle name="표준 5 2 2 2 3 2 2 7 3" xfId="17730" xr:uid="{00000000-0005-0000-0000-0000F2240000}"/>
    <cellStyle name="표준 5 2 2 2 3 2 2 7 4" xfId="21892" xr:uid="{00000000-0005-0000-0000-0000F3240000}"/>
    <cellStyle name="표준 5 2 2 2 3 2 2 7 5" xfId="25988" xr:uid="{00000000-0005-0000-0000-0000F4240000}"/>
    <cellStyle name="표준 5 2 2 2 3 2 2 7 6" xfId="34199" xr:uid="{00000000-0005-0000-0000-0000F5240000}"/>
    <cellStyle name="표준 5 2 2 2 3 2 2 7 7" xfId="42392" xr:uid="{00000000-0005-0000-0000-0000F6240000}"/>
    <cellStyle name="표준 5 2 2 2 3 2 2 8" xfId="7330" xr:uid="{00000000-0005-0000-0000-0000F7240000}"/>
    <cellStyle name="표준 5 2 2 2 3 2 2 8 2" xfId="28036" xr:uid="{00000000-0005-0000-0000-0000F8240000}"/>
    <cellStyle name="표준 5 2 2 2 3 2 2 8 3" xfId="36247" xr:uid="{00000000-0005-0000-0000-0000F9240000}"/>
    <cellStyle name="표준 5 2 2 2 3 2 2 8 4" xfId="44440" xr:uid="{00000000-0005-0000-0000-0000FA240000}"/>
    <cellStyle name="표준 5 2 2 2 3 2 2 9" xfId="11442" xr:uid="{00000000-0005-0000-0000-0000FB240000}"/>
    <cellStyle name="표준 5 2 2 2 3 2 3" xfId="539" xr:uid="{00000000-0005-0000-0000-0000FC240000}"/>
    <cellStyle name="표준 5 2 2 2 3 2 3 10" xfId="19908" xr:uid="{00000000-0005-0000-0000-0000FD240000}"/>
    <cellStyle name="표준 5 2 2 2 3 2 3 11" xfId="24004" xr:uid="{00000000-0005-0000-0000-0000FE240000}"/>
    <cellStyle name="표준 5 2 2 2 3 2 3 12" xfId="32215" xr:uid="{00000000-0005-0000-0000-0000FF240000}"/>
    <cellStyle name="표준 5 2 2 2 3 2 3 13" xfId="40408" xr:uid="{00000000-0005-0000-0000-000000250000}"/>
    <cellStyle name="표준 5 2 2 2 3 2 3 2" xfId="795" xr:uid="{00000000-0005-0000-0000-000001250000}"/>
    <cellStyle name="표준 5 2 2 2 3 2 3 2 10" xfId="24260" xr:uid="{00000000-0005-0000-0000-000002250000}"/>
    <cellStyle name="표준 5 2 2 2 3 2 3 2 11" xfId="32471" xr:uid="{00000000-0005-0000-0000-000003250000}"/>
    <cellStyle name="표준 5 2 2 2 3 2 3 2 12" xfId="40664" xr:uid="{00000000-0005-0000-0000-000004250000}"/>
    <cellStyle name="표준 5 2 2 2 3 2 3 2 2" xfId="1307" xr:uid="{00000000-0005-0000-0000-000005250000}"/>
    <cellStyle name="표준 5 2 2 2 3 2 3 2 2 2" xfId="10210" xr:uid="{00000000-0005-0000-0000-000006250000}"/>
    <cellStyle name="표준 5 2 2 2 3 2 3 2 2 2 2" xfId="14322" xr:uid="{00000000-0005-0000-0000-000007250000}"/>
    <cellStyle name="표준 5 2 2 2 3 2 3 2 2 2 2 2" xfId="30916" xr:uid="{00000000-0005-0000-0000-000008250000}"/>
    <cellStyle name="표준 5 2 2 2 3 2 3 2 2 2 2 3" xfId="39127" xr:uid="{00000000-0005-0000-0000-000009250000}"/>
    <cellStyle name="표준 5 2 2 2 3 2 3 2 2 2 2 4" xfId="47320" xr:uid="{00000000-0005-0000-0000-00000A250000}"/>
    <cellStyle name="표준 5 2 2 2 3 2 3 2 2 2 3" xfId="18562" xr:uid="{00000000-0005-0000-0000-00000B250000}"/>
    <cellStyle name="표준 5 2 2 2 3 2 3 2 2 2 4" xfId="22724" xr:uid="{00000000-0005-0000-0000-00000C250000}"/>
    <cellStyle name="표준 5 2 2 2 3 2 3 2 2 2 5" xfId="26820" xr:uid="{00000000-0005-0000-0000-00000D250000}"/>
    <cellStyle name="표준 5 2 2 2 3 2 3 2 2 2 6" xfId="35031" xr:uid="{00000000-0005-0000-0000-00000E250000}"/>
    <cellStyle name="표준 5 2 2 2 3 2 3 2 2 2 7" xfId="43224" xr:uid="{00000000-0005-0000-0000-00000F250000}"/>
    <cellStyle name="표준 5 2 2 2 3 2 3 2 2 3" xfId="8162" xr:uid="{00000000-0005-0000-0000-000010250000}"/>
    <cellStyle name="표준 5 2 2 2 3 2 3 2 2 3 2" xfId="28868" xr:uid="{00000000-0005-0000-0000-000011250000}"/>
    <cellStyle name="표준 5 2 2 2 3 2 3 2 2 3 3" xfId="37079" xr:uid="{00000000-0005-0000-0000-000012250000}"/>
    <cellStyle name="표준 5 2 2 2 3 2 3 2 2 3 4" xfId="45272" xr:uid="{00000000-0005-0000-0000-000013250000}"/>
    <cellStyle name="표준 5 2 2 2 3 2 3 2 2 4" xfId="12274" xr:uid="{00000000-0005-0000-0000-000014250000}"/>
    <cellStyle name="표준 5 2 2 2 3 2 3 2 2 5" xfId="16514" xr:uid="{00000000-0005-0000-0000-000015250000}"/>
    <cellStyle name="표준 5 2 2 2 3 2 3 2 2 6" xfId="20676" xr:uid="{00000000-0005-0000-0000-000016250000}"/>
    <cellStyle name="표준 5 2 2 2 3 2 3 2 2 7" xfId="24772" xr:uid="{00000000-0005-0000-0000-000017250000}"/>
    <cellStyle name="표준 5 2 2 2 3 2 3 2 2 8" xfId="32983" xr:uid="{00000000-0005-0000-0000-000018250000}"/>
    <cellStyle name="표준 5 2 2 2 3 2 3 2 2 9" xfId="41176" xr:uid="{00000000-0005-0000-0000-000019250000}"/>
    <cellStyle name="표준 5 2 2 2 3 2 3 2 3" xfId="1819" xr:uid="{00000000-0005-0000-0000-00001A250000}"/>
    <cellStyle name="표준 5 2 2 2 3 2 3 2 3 2" xfId="10722" xr:uid="{00000000-0005-0000-0000-00001B250000}"/>
    <cellStyle name="표준 5 2 2 2 3 2 3 2 3 2 2" xfId="14834" xr:uid="{00000000-0005-0000-0000-00001C250000}"/>
    <cellStyle name="표준 5 2 2 2 3 2 3 2 3 2 2 2" xfId="31428" xr:uid="{00000000-0005-0000-0000-00001D250000}"/>
    <cellStyle name="표준 5 2 2 2 3 2 3 2 3 2 2 3" xfId="39639" xr:uid="{00000000-0005-0000-0000-00001E250000}"/>
    <cellStyle name="표준 5 2 2 2 3 2 3 2 3 2 2 4" xfId="47832" xr:uid="{00000000-0005-0000-0000-00001F250000}"/>
    <cellStyle name="표준 5 2 2 2 3 2 3 2 3 2 3" xfId="19074" xr:uid="{00000000-0005-0000-0000-000020250000}"/>
    <cellStyle name="표준 5 2 2 2 3 2 3 2 3 2 4" xfId="23236" xr:uid="{00000000-0005-0000-0000-000021250000}"/>
    <cellStyle name="표준 5 2 2 2 3 2 3 2 3 2 5" xfId="27332" xr:uid="{00000000-0005-0000-0000-000022250000}"/>
    <cellStyle name="표준 5 2 2 2 3 2 3 2 3 2 6" xfId="35543" xr:uid="{00000000-0005-0000-0000-000023250000}"/>
    <cellStyle name="표준 5 2 2 2 3 2 3 2 3 2 7" xfId="43736" xr:uid="{00000000-0005-0000-0000-000024250000}"/>
    <cellStyle name="표준 5 2 2 2 3 2 3 2 3 3" xfId="8674" xr:uid="{00000000-0005-0000-0000-000025250000}"/>
    <cellStyle name="표준 5 2 2 2 3 2 3 2 3 3 2" xfId="29380" xr:uid="{00000000-0005-0000-0000-000026250000}"/>
    <cellStyle name="표준 5 2 2 2 3 2 3 2 3 3 3" xfId="37591" xr:uid="{00000000-0005-0000-0000-000027250000}"/>
    <cellStyle name="표준 5 2 2 2 3 2 3 2 3 3 4" xfId="45784" xr:uid="{00000000-0005-0000-0000-000028250000}"/>
    <cellStyle name="표준 5 2 2 2 3 2 3 2 3 4" xfId="12786" xr:uid="{00000000-0005-0000-0000-000029250000}"/>
    <cellStyle name="표준 5 2 2 2 3 2 3 2 3 5" xfId="17026" xr:uid="{00000000-0005-0000-0000-00002A250000}"/>
    <cellStyle name="표준 5 2 2 2 3 2 3 2 3 6" xfId="21188" xr:uid="{00000000-0005-0000-0000-00002B250000}"/>
    <cellStyle name="표준 5 2 2 2 3 2 3 2 3 7" xfId="25284" xr:uid="{00000000-0005-0000-0000-00002C250000}"/>
    <cellStyle name="표준 5 2 2 2 3 2 3 2 3 8" xfId="33495" xr:uid="{00000000-0005-0000-0000-00002D250000}"/>
    <cellStyle name="표준 5 2 2 2 3 2 3 2 3 9" xfId="41688" xr:uid="{00000000-0005-0000-0000-00002E250000}"/>
    <cellStyle name="표준 5 2 2 2 3 2 3 2 4" xfId="2331" xr:uid="{00000000-0005-0000-0000-00002F250000}"/>
    <cellStyle name="표준 5 2 2 2 3 2 3 2 4 2" xfId="11234" xr:uid="{00000000-0005-0000-0000-000030250000}"/>
    <cellStyle name="표준 5 2 2 2 3 2 3 2 4 2 2" xfId="15346" xr:uid="{00000000-0005-0000-0000-000031250000}"/>
    <cellStyle name="표준 5 2 2 2 3 2 3 2 4 2 2 2" xfId="31940" xr:uid="{00000000-0005-0000-0000-000032250000}"/>
    <cellStyle name="표준 5 2 2 2 3 2 3 2 4 2 2 3" xfId="40151" xr:uid="{00000000-0005-0000-0000-000033250000}"/>
    <cellStyle name="표준 5 2 2 2 3 2 3 2 4 2 2 4" xfId="48344" xr:uid="{00000000-0005-0000-0000-000034250000}"/>
    <cellStyle name="표준 5 2 2 2 3 2 3 2 4 2 3" xfId="19586" xr:uid="{00000000-0005-0000-0000-000035250000}"/>
    <cellStyle name="표준 5 2 2 2 3 2 3 2 4 2 4" xfId="23748" xr:uid="{00000000-0005-0000-0000-000036250000}"/>
    <cellStyle name="표준 5 2 2 2 3 2 3 2 4 2 5" xfId="27844" xr:uid="{00000000-0005-0000-0000-000037250000}"/>
    <cellStyle name="표준 5 2 2 2 3 2 3 2 4 2 6" xfId="36055" xr:uid="{00000000-0005-0000-0000-000038250000}"/>
    <cellStyle name="표준 5 2 2 2 3 2 3 2 4 2 7" xfId="44248" xr:uid="{00000000-0005-0000-0000-000039250000}"/>
    <cellStyle name="표준 5 2 2 2 3 2 3 2 4 3" xfId="9186" xr:uid="{00000000-0005-0000-0000-00003A250000}"/>
    <cellStyle name="표준 5 2 2 2 3 2 3 2 4 3 2" xfId="29892" xr:uid="{00000000-0005-0000-0000-00003B250000}"/>
    <cellStyle name="표준 5 2 2 2 3 2 3 2 4 3 3" xfId="38103" xr:uid="{00000000-0005-0000-0000-00003C250000}"/>
    <cellStyle name="표준 5 2 2 2 3 2 3 2 4 3 4" xfId="46296" xr:uid="{00000000-0005-0000-0000-00003D250000}"/>
    <cellStyle name="표준 5 2 2 2 3 2 3 2 4 4" xfId="13298" xr:uid="{00000000-0005-0000-0000-00003E250000}"/>
    <cellStyle name="표준 5 2 2 2 3 2 3 2 4 5" xfId="17538" xr:uid="{00000000-0005-0000-0000-00003F250000}"/>
    <cellStyle name="표준 5 2 2 2 3 2 3 2 4 6" xfId="21700" xr:uid="{00000000-0005-0000-0000-000040250000}"/>
    <cellStyle name="표준 5 2 2 2 3 2 3 2 4 7" xfId="25796" xr:uid="{00000000-0005-0000-0000-000041250000}"/>
    <cellStyle name="표준 5 2 2 2 3 2 3 2 4 8" xfId="34007" xr:uid="{00000000-0005-0000-0000-000042250000}"/>
    <cellStyle name="표준 5 2 2 2 3 2 3 2 4 9" xfId="42200" xr:uid="{00000000-0005-0000-0000-000043250000}"/>
    <cellStyle name="표준 5 2 2 2 3 2 3 2 5" xfId="9698" xr:uid="{00000000-0005-0000-0000-000044250000}"/>
    <cellStyle name="표준 5 2 2 2 3 2 3 2 5 2" xfId="13810" xr:uid="{00000000-0005-0000-0000-000045250000}"/>
    <cellStyle name="표준 5 2 2 2 3 2 3 2 5 2 2" xfId="30404" xr:uid="{00000000-0005-0000-0000-000046250000}"/>
    <cellStyle name="표준 5 2 2 2 3 2 3 2 5 2 3" xfId="38615" xr:uid="{00000000-0005-0000-0000-000047250000}"/>
    <cellStyle name="표준 5 2 2 2 3 2 3 2 5 2 4" xfId="46808" xr:uid="{00000000-0005-0000-0000-000048250000}"/>
    <cellStyle name="표준 5 2 2 2 3 2 3 2 5 3" xfId="18050" xr:uid="{00000000-0005-0000-0000-000049250000}"/>
    <cellStyle name="표준 5 2 2 2 3 2 3 2 5 4" xfId="22212" xr:uid="{00000000-0005-0000-0000-00004A250000}"/>
    <cellStyle name="표준 5 2 2 2 3 2 3 2 5 5" xfId="26308" xr:uid="{00000000-0005-0000-0000-00004B250000}"/>
    <cellStyle name="표준 5 2 2 2 3 2 3 2 5 6" xfId="34519" xr:uid="{00000000-0005-0000-0000-00004C250000}"/>
    <cellStyle name="표준 5 2 2 2 3 2 3 2 5 7" xfId="42712" xr:uid="{00000000-0005-0000-0000-00004D250000}"/>
    <cellStyle name="표준 5 2 2 2 3 2 3 2 6" xfId="7650" xr:uid="{00000000-0005-0000-0000-00004E250000}"/>
    <cellStyle name="표준 5 2 2 2 3 2 3 2 6 2" xfId="28356" xr:uid="{00000000-0005-0000-0000-00004F250000}"/>
    <cellStyle name="표준 5 2 2 2 3 2 3 2 6 3" xfId="36567" xr:uid="{00000000-0005-0000-0000-000050250000}"/>
    <cellStyle name="표준 5 2 2 2 3 2 3 2 6 4" xfId="44760" xr:uid="{00000000-0005-0000-0000-000051250000}"/>
    <cellStyle name="표준 5 2 2 2 3 2 3 2 7" xfId="11762" xr:uid="{00000000-0005-0000-0000-000052250000}"/>
    <cellStyle name="표준 5 2 2 2 3 2 3 2 8" xfId="16002" xr:uid="{00000000-0005-0000-0000-000053250000}"/>
    <cellStyle name="표준 5 2 2 2 3 2 3 2 9" xfId="20164" xr:uid="{00000000-0005-0000-0000-000054250000}"/>
    <cellStyle name="표준 5 2 2 2 3 2 3 3" xfId="1051" xr:uid="{00000000-0005-0000-0000-000055250000}"/>
    <cellStyle name="표준 5 2 2 2 3 2 3 3 2" xfId="9954" xr:uid="{00000000-0005-0000-0000-000056250000}"/>
    <cellStyle name="표준 5 2 2 2 3 2 3 3 2 2" xfId="14066" xr:uid="{00000000-0005-0000-0000-000057250000}"/>
    <cellStyle name="표준 5 2 2 2 3 2 3 3 2 2 2" xfId="30660" xr:uid="{00000000-0005-0000-0000-000058250000}"/>
    <cellStyle name="표준 5 2 2 2 3 2 3 3 2 2 3" xfId="38871" xr:uid="{00000000-0005-0000-0000-000059250000}"/>
    <cellStyle name="표준 5 2 2 2 3 2 3 3 2 2 4" xfId="47064" xr:uid="{00000000-0005-0000-0000-00005A250000}"/>
    <cellStyle name="표준 5 2 2 2 3 2 3 3 2 3" xfId="18306" xr:uid="{00000000-0005-0000-0000-00005B250000}"/>
    <cellStyle name="표준 5 2 2 2 3 2 3 3 2 4" xfId="22468" xr:uid="{00000000-0005-0000-0000-00005C250000}"/>
    <cellStyle name="표준 5 2 2 2 3 2 3 3 2 5" xfId="26564" xr:uid="{00000000-0005-0000-0000-00005D250000}"/>
    <cellStyle name="표준 5 2 2 2 3 2 3 3 2 6" xfId="34775" xr:uid="{00000000-0005-0000-0000-00005E250000}"/>
    <cellStyle name="표준 5 2 2 2 3 2 3 3 2 7" xfId="42968" xr:uid="{00000000-0005-0000-0000-00005F250000}"/>
    <cellStyle name="표준 5 2 2 2 3 2 3 3 3" xfId="7906" xr:uid="{00000000-0005-0000-0000-000060250000}"/>
    <cellStyle name="표준 5 2 2 2 3 2 3 3 3 2" xfId="28612" xr:uid="{00000000-0005-0000-0000-000061250000}"/>
    <cellStyle name="표준 5 2 2 2 3 2 3 3 3 3" xfId="36823" xr:uid="{00000000-0005-0000-0000-000062250000}"/>
    <cellStyle name="표준 5 2 2 2 3 2 3 3 3 4" xfId="45016" xr:uid="{00000000-0005-0000-0000-000063250000}"/>
    <cellStyle name="표준 5 2 2 2 3 2 3 3 4" xfId="12018" xr:uid="{00000000-0005-0000-0000-000064250000}"/>
    <cellStyle name="표준 5 2 2 2 3 2 3 3 5" xfId="16258" xr:uid="{00000000-0005-0000-0000-000065250000}"/>
    <cellStyle name="표준 5 2 2 2 3 2 3 3 6" xfId="20420" xr:uid="{00000000-0005-0000-0000-000066250000}"/>
    <cellStyle name="표준 5 2 2 2 3 2 3 3 7" xfId="24516" xr:uid="{00000000-0005-0000-0000-000067250000}"/>
    <cellStyle name="표준 5 2 2 2 3 2 3 3 8" xfId="32727" xr:uid="{00000000-0005-0000-0000-000068250000}"/>
    <cellStyle name="표준 5 2 2 2 3 2 3 3 9" xfId="40920" xr:uid="{00000000-0005-0000-0000-000069250000}"/>
    <cellStyle name="표준 5 2 2 2 3 2 3 4" xfId="1563" xr:uid="{00000000-0005-0000-0000-00006A250000}"/>
    <cellStyle name="표준 5 2 2 2 3 2 3 4 2" xfId="10466" xr:uid="{00000000-0005-0000-0000-00006B250000}"/>
    <cellStyle name="표준 5 2 2 2 3 2 3 4 2 2" xfId="14578" xr:uid="{00000000-0005-0000-0000-00006C250000}"/>
    <cellStyle name="표준 5 2 2 2 3 2 3 4 2 2 2" xfId="31172" xr:uid="{00000000-0005-0000-0000-00006D250000}"/>
    <cellStyle name="표준 5 2 2 2 3 2 3 4 2 2 3" xfId="39383" xr:uid="{00000000-0005-0000-0000-00006E250000}"/>
    <cellStyle name="표준 5 2 2 2 3 2 3 4 2 2 4" xfId="47576" xr:uid="{00000000-0005-0000-0000-00006F250000}"/>
    <cellStyle name="표준 5 2 2 2 3 2 3 4 2 3" xfId="18818" xr:uid="{00000000-0005-0000-0000-000070250000}"/>
    <cellStyle name="표준 5 2 2 2 3 2 3 4 2 4" xfId="22980" xr:uid="{00000000-0005-0000-0000-000071250000}"/>
    <cellStyle name="표준 5 2 2 2 3 2 3 4 2 5" xfId="27076" xr:uid="{00000000-0005-0000-0000-000072250000}"/>
    <cellStyle name="표준 5 2 2 2 3 2 3 4 2 6" xfId="35287" xr:uid="{00000000-0005-0000-0000-000073250000}"/>
    <cellStyle name="표준 5 2 2 2 3 2 3 4 2 7" xfId="43480" xr:uid="{00000000-0005-0000-0000-000074250000}"/>
    <cellStyle name="표준 5 2 2 2 3 2 3 4 3" xfId="8418" xr:uid="{00000000-0005-0000-0000-000075250000}"/>
    <cellStyle name="표준 5 2 2 2 3 2 3 4 3 2" xfId="29124" xr:uid="{00000000-0005-0000-0000-000076250000}"/>
    <cellStyle name="표준 5 2 2 2 3 2 3 4 3 3" xfId="37335" xr:uid="{00000000-0005-0000-0000-000077250000}"/>
    <cellStyle name="표준 5 2 2 2 3 2 3 4 3 4" xfId="45528" xr:uid="{00000000-0005-0000-0000-000078250000}"/>
    <cellStyle name="표준 5 2 2 2 3 2 3 4 4" xfId="12530" xr:uid="{00000000-0005-0000-0000-000079250000}"/>
    <cellStyle name="표준 5 2 2 2 3 2 3 4 5" xfId="16770" xr:uid="{00000000-0005-0000-0000-00007A250000}"/>
    <cellStyle name="표준 5 2 2 2 3 2 3 4 6" xfId="20932" xr:uid="{00000000-0005-0000-0000-00007B250000}"/>
    <cellStyle name="표준 5 2 2 2 3 2 3 4 7" xfId="25028" xr:uid="{00000000-0005-0000-0000-00007C250000}"/>
    <cellStyle name="표준 5 2 2 2 3 2 3 4 8" xfId="33239" xr:uid="{00000000-0005-0000-0000-00007D250000}"/>
    <cellStyle name="표준 5 2 2 2 3 2 3 4 9" xfId="41432" xr:uid="{00000000-0005-0000-0000-00007E250000}"/>
    <cellStyle name="표준 5 2 2 2 3 2 3 5" xfId="2075" xr:uid="{00000000-0005-0000-0000-00007F250000}"/>
    <cellStyle name="표준 5 2 2 2 3 2 3 5 2" xfId="10978" xr:uid="{00000000-0005-0000-0000-000080250000}"/>
    <cellStyle name="표준 5 2 2 2 3 2 3 5 2 2" xfId="15090" xr:uid="{00000000-0005-0000-0000-000081250000}"/>
    <cellStyle name="표준 5 2 2 2 3 2 3 5 2 2 2" xfId="31684" xr:uid="{00000000-0005-0000-0000-000082250000}"/>
    <cellStyle name="표준 5 2 2 2 3 2 3 5 2 2 3" xfId="39895" xr:uid="{00000000-0005-0000-0000-000083250000}"/>
    <cellStyle name="표준 5 2 2 2 3 2 3 5 2 2 4" xfId="48088" xr:uid="{00000000-0005-0000-0000-000084250000}"/>
    <cellStyle name="표준 5 2 2 2 3 2 3 5 2 3" xfId="19330" xr:uid="{00000000-0005-0000-0000-000085250000}"/>
    <cellStyle name="표준 5 2 2 2 3 2 3 5 2 4" xfId="23492" xr:uid="{00000000-0005-0000-0000-000086250000}"/>
    <cellStyle name="표준 5 2 2 2 3 2 3 5 2 5" xfId="27588" xr:uid="{00000000-0005-0000-0000-000087250000}"/>
    <cellStyle name="표준 5 2 2 2 3 2 3 5 2 6" xfId="35799" xr:uid="{00000000-0005-0000-0000-000088250000}"/>
    <cellStyle name="표준 5 2 2 2 3 2 3 5 2 7" xfId="43992" xr:uid="{00000000-0005-0000-0000-000089250000}"/>
    <cellStyle name="표준 5 2 2 2 3 2 3 5 3" xfId="8930" xr:uid="{00000000-0005-0000-0000-00008A250000}"/>
    <cellStyle name="표준 5 2 2 2 3 2 3 5 3 2" xfId="29636" xr:uid="{00000000-0005-0000-0000-00008B250000}"/>
    <cellStyle name="표준 5 2 2 2 3 2 3 5 3 3" xfId="37847" xr:uid="{00000000-0005-0000-0000-00008C250000}"/>
    <cellStyle name="표준 5 2 2 2 3 2 3 5 3 4" xfId="46040" xr:uid="{00000000-0005-0000-0000-00008D250000}"/>
    <cellStyle name="표준 5 2 2 2 3 2 3 5 4" xfId="13042" xr:uid="{00000000-0005-0000-0000-00008E250000}"/>
    <cellStyle name="표준 5 2 2 2 3 2 3 5 5" xfId="17282" xr:uid="{00000000-0005-0000-0000-00008F250000}"/>
    <cellStyle name="표준 5 2 2 2 3 2 3 5 6" xfId="21444" xr:uid="{00000000-0005-0000-0000-000090250000}"/>
    <cellStyle name="표준 5 2 2 2 3 2 3 5 7" xfId="25540" xr:uid="{00000000-0005-0000-0000-000091250000}"/>
    <cellStyle name="표준 5 2 2 2 3 2 3 5 8" xfId="33751" xr:uid="{00000000-0005-0000-0000-000092250000}"/>
    <cellStyle name="표준 5 2 2 2 3 2 3 5 9" xfId="41944" xr:uid="{00000000-0005-0000-0000-000093250000}"/>
    <cellStyle name="표준 5 2 2 2 3 2 3 6" xfId="9442" xr:uid="{00000000-0005-0000-0000-000094250000}"/>
    <cellStyle name="표준 5 2 2 2 3 2 3 6 2" xfId="13554" xr:uid="{00000000-0005-0000-0000-000095250000}"/>
    <cellStyle name="표준 5 2 2 2 3 2 3 6 2 2" xfId="30148" xr:uid="{00000000-0005-0000-0000-000096250000}"/>
    <cellStyle name="표준 5 2 2 2 3 2 3 6 2 3" xfId="38359" xr:uid="{00000000-0005-0000-0000-000097250000}"/>
    <cellStyle name="표준 5 2 2 2 3 2 3 6 2 4" xfId="46552" xr:uid="{00000000-0005-0000-0000-000098250000}"/>
    <cellStyle name="표준 5 2 2 2 3 2 3 6 3" xfId="17794" xr:uid="{00000000-0005-0000-0000-000099250000}"/>
    <cellStyle name="표준 5 2 2 2 3 2 3 6 4" xfId="21956" xr:uid="{00000000-0005-0000-0000-00009A250000}"/>
    <cellStyle name="표준 5 2 2 2 3 2 3 6 5" xfId="26052" xr:uid="{00000000-0005-0000-0000-00009B250000}"/>
    <cellStyle name="표준 5 2 2 2 3 2 3 6 6" xfId="34263" xr:uid="{00000000-0005-0000-0000-00009C250000}"/>
    <cellStyle name="표준 5 2 2 2 3 2 3 6 7" xfId="42456" xr:uid="{00000000-0005-0000-0000-00009D250000}"/>
    <cellStyle name="표준 5 2 2 2 3 2 3 7" xfId="7394" xr:uid="{00000000-0005-0000-0000-00009E250000}"/>
    <cellStyle name="표준 5 2 2 2 3 2 3 7 2" xfId="28100" xr:uid="{00000000-0005-0000-0000-00009F250000}"/>
    <cellStyle name="표준 5 2 2 2 3 2 3 7 3" xfId="36311" xr:uid="{00000000-0005-0000-0000-0000A0250000}"/>
    <cellStyle name="표준 5 2 2 2 3 2 3 7 4" xfId="44504" xr:uid="{00000000-0005-0000-0000-0000A1250000}"/>
    <cellStyle name="표준 5 2 2 2 3 2 3 8" xfId="11506" xr:uid="{00000000-0005-0000-0000-0000A2250000}"/>
    <cellStyle name="표준 5 2 2 2 3 2 3 9" xfId="15746" xr:uid="{00000000-0005-0000-0000-0000A3250000}"/>
    <cellStyle name="표준 5 2 2 2 3 2 4" xfId="667" xr:uid="{00000000-0005-0000-0000-0000A4250000}"/>
    <cellStyle name="표준 5 2 2 2 3 2 4 10" xfId="24132" xr:uid="{00000000-0005-0000-0000-0000A5250000}"/>
    <cellStyle name="표준 5 2 2 2 3 2 4 11" xfId="32343" xr:uid="{00000000-0005-0000-0000-0000A6250000}"/>
    <cellStyle name="표준 5 2 2 2 3 2 4 12" xfId="40536" xr:uid="{00000000-0005-0000-0000-0000A7250000}"/>
    <cellStyle name="표준 5 2 2 2 3 2 4 2" xfId="1179" xr:uid="{00000000-0005-0000-0000-0000A8250000}"/>
    <cellStyle name="표준 5 2 2 2 3 2 4 2 2" xfId="10082" xr:uid="{00000000-0005-0000-0000-0000A9250000}"/>
    <cellStyle name="표준 5 2 2 2 3 2 4 2 2 2" xfId="14194" xr:uid="{00000000-0005-0000-0000-0000AA250000}"/>
    <cellStyle name="표준 5 2 2 2 3 2 4 2 2 2 2" xfId="30788" xr:uid="{00000000-0005-0000-0000-0000AB250000}"/>
    <cellStyle name="표준 5 2 2 2 3 2 4 2 2 2 3" xfId="38999" xr:uid="{00000000-0005-0000-0000-0000AC250000}"/>
    <cellStyle name="표준 5 2 2 2 3 2 4 2 2 2 4" xfId="47192" xr:uid="{00000000-0005-0000-0000-0000AD250000}"/>
    <cellStyle name="표준 5 2 2 2 3 2 4 2 2 3" xfId="18434" xr:uid="{00000000-0005-0000-0000-0000AE250000}"/>
    <cellStyle name="표준 5 2 2 2 3 2 4 2 2 4" xfId="22596" xr:uid="{00000000-0005-0000-0000-0000AF250000}"/>
    <cellStyle name="표준 5 2 2 2 3 2 4 2 2 5" xfId="26692" xr:uid="{00000000-0005-0000-0000-0000B0250000}"/>
    <cellStyle name="표준 5 2 2 2 3 2 4 2 2 6" xfId="34903" xr:uid="{00000000-0005-0000-0000-0000B1250000}"/>
    <cellStyle name="표준 5 2 2 2 3 2 4 2 2 7" xfId="43096" xr:uid="{00000000-0005-0000-0000-0000B2250000}"/>
    <cellStyle name="표준 5 2 2 2 3 2 4 2 3" xfId="8034" xr:uid="{00000000-0005-0000-0000-0000B3250000}"/>
    <cellStyle name="표준 5 2 2 2 3 2 4 2 3 2" xfId="28740" xr:uid="{00000000-0005-0000-0000-0000B4250000}"/>
    <cellStyle name="표준 5 2 2 2 3 2 4 2 3 3" xfId="36951" xr:uid="{00000000-0005-0000-0000-0000B5250000}"/>
    <cellStyle name="표준 5 2 2 2 3 2 4 2 3 4" xfId="45144" xr:uid="{00000000-0005-0000-0000-0000B6250000}"/>
    <cellStyle name="표준 5 2 2 2 3 2 4 2 4" xfId="12146" xr:uid="{00000000-0005-0000-0000-0000B7250000}"/>
    <cellStyle name="표준 5 2 2 2 3 2 4 2 5" xfId="16386" xr:uid="{00000000-0005-0000-0000-0000B8250000}"/>
    <cellStyle name="표준 5 2 2 2 3 2 4 2 6" xfId="20548" xr:uid="{00000000-0005-0000-0000-0000B9250000}"/>
    <cellStyle name="표준 5 2 2 2 3 2 4 2 7" xfId="24644" xr:uid="{00000000-0005-0000-0000-0000BA250000}"/>
    <cellStyle name="표준 5 2 2 2 3 2 4 2 8" xfId="32855" xr:uid="{00000000-0005-0000-0000-0000BB250000}"/>
    <cellStyle name="표준 5 2 2 2 3 2 4 2 9" xfId="41048" xr:uid="{00000000-0005-0000-0000-0000BC250000}"/>
    <cellStyle name="표준 5 2 2 2 3 2 4 3" xfId="1691" xr:uid="{00000000-0005-0000-0000-0000BD250000}"/>
    <cellStyle name="표준 5 2 2 2 3 2 4 3 2" xfId="10594" xr:uid="{00000000-0005-0000-0000-0000BE250000}"/>
    <cellStyle name="표준 5 2 2 2 3 2 4 3 2 2" xfId="14706" xr:uid="{00000000-0005-0000-0000-0000BF250000}"/>
    <cellStyle name="표준 5 2 2 2 3 2 4 3 2 2 2" xfId="31300" xr:uid="{00000000-0005-0000-0000-0000C0250000}"/>
    <cellStyle name="표준 5 2 2 2 3 2 4 3 2 2 3" xfId="39511" xr:uid="{00000000-0005-0000-0000-0000C1250000}"/>
    <cellStyle name="표준 5 2 2 2 3 2 4 3 2 2 4" xfId="47704" xr:uid="{00000000-0005-0000-0000-0000C2250000}"/>
    <cellStyle name="표준 5 2 2 2 3 2 4 3 2 3" xfId="18946" xr:uid="{00000000-0005-0000-0000-0000C3250000}"/>
    <cellStyle name="표준 5 2 2 2 3 2 4 3 2 4" xfId="23108" xr:uid="{00000000-0005-0000-0000-0000C4250000}"/>
    <cellStyle name="표준 5 2 2 2 3 2 4 3 2 5" xfId="27204" xr:uid="{00000000-0005-0000-0000-0000C5250000}"/>
    <cellStyle name="표준 5 2 2 2 3 2 4 3 2 6" xfId="35415" xr:uid="{00000000-0005-0000-0000-0000C6250000}"/>
    <cellStyle name="표준 5 2 2 2 3 2 4 3 2 7" xfId="43608" xr:uid="{00000000-0005-0000-0000-0000C7250000}"/>
    <cellStyle name="표준 5 2 2 2 3 2 4 3 3" xfId="8546" xr:uid="{00000000-0005-0000-0000-0000C8250000}"/>
    <cellStyle name="표준 5 2 2 2 3 2 4 3 3 2" xfId="29252" xr:uid="{00000000-0005-0000-0000-0000C9250000}"/>
    <cellStyle name="표준 5 2 2 2 3 2 4 3 3 3" xfId="37463" xr:uid="{00000000-0005-0000-0000-0000CA250000}"/>
    <cellStyle name="표준 5 2 2 2 3 2 4 3 3 4" xfId="45656" xr:uid="{00000000-0005-0000-0000-0000CB250000}"/>
    <cellStyle name="표준 5 2 2 2 3 2 4 3 4" xfId="12658" xr:uid="{00000000-0005-0000-0000-0000CC250000}"/>
    <cellStyle name="표준 5 2 2 2 3 2 4 3 5" xfId="16898" xr:uid="{00000000-0005-0000-0000-0000CD250000}"/>
    <cellStyle name="표준 5 2 2 2 3 2 4 3 6" xfId="21060" xr:uid="{00000000-0005-0000-0000-0000CE250000}"/>
    <cellStyle name="표준 5 2 2 2 3 2 4 3 7" xfId="25156" xr:uid="{00000000-0005-0000-0000-0000CF250000}"/>
    <cellStyle name="표준 5 2 2 2 3 2 4 3 8" xfId="33367" xr:uid="{00000000-0005-0000-0000-0000D0250000}"/>
    <cellStyle name="표준 5 2 2 2 3 2 4 3 9" xfId="41560" xr:uid="{00000000-0005-0000-0000-0000D1250000}"/>
    <cellStyle name="표준 5 2 2 2 3 2 4 4" xfId="2203" xr:uid="{00000000-0005-0000-0000-0000D2250000}"/>
    <cellStyle name="표준 5 2 2 2 3 2 4 4 2" xfId="11106" xr:uid="{00000000-0005-0000-0000-0000D3250000}"/>
    <cellStyle name="표준 5 2 2 2 3 2 4 4 2 2" xfId="15218" xr:uid="{00000000-0005-0000-0000-0000D4250000}"/>
    <cellStyle name="표준 5 2 2 2 3 2 4 4 2 2 2" xfId="31812" xr:uid="{00000000-0005-0000-0000-0000D5250000}"/>
    <cellStyle name="표준 5 2 2 2 3 2 4 4 2 2 3" xfId="40023" xr:uid="{00000000-0005-0000-0000-0000D6250000}"/>
    <cellStyle name="표준 5 2 2 2 3 2 4 4 2 2 4" xfId="48216" xr:uid="{00000000-0005-0000-0000-0000D7250000}"/>
    <cellStyle name="표준 5 2 2 2 3 2 4 4 2 3" xfId="19458" xr:uid="{00000000-0005-0000-0000-0000D8250000}"/>
    <cellStyle name="표준 5 2 2 2 3 2 4 4 2 4" xfId="23620" xr:uid="{00000000-0005-0000-0000-0000D9250000}"/>
    <cellStyle name="표준 5 2 2 2 3 2 4 4 2 5" xfId="27716" xr:uid="{00000000-0005-0000-0000-0000DA250000}"/>
    <cellStyle name="표준 5 2 2 2 3 2 4 4 2 6" xfId="35927" xr:uid="{00000000-0005-0000-0000-0000DB250000}"/>
    <cellStyle name="표준 5 2 2 2 3 2 4 4 2 7" xfId="44120" xr:uid="{00000000-0005-0000-0000-0000DC250000}"/>
    <cellStyle name="표준 5 2 2 2 3 2 4 4 3" xfId="9058" xr:uid="{00000000-0005-0000-0000-0000DD250000}"/>
    <cellStyle name="표준 5 2 2 2 3 2 4 4 3 2" xfId="29764" xr:uid="{00000000-0005-0000-0000-0000DE250000}"/>
    <cellStyle name="표준 5 2 2 2 3 2 4 4 3 3" xfId="37975" xr:uid="{00000000-0005-0000-0000-0000DF250000}"/>
    <cellStyle name="표준 5 2 2 2 3 2 4 4 3 4" xfId="46168" xr:uid="{00000000-0005-0000-0000-0000E0250000}"/>
    <cellStyle name="표준 5 2 2 2 3 2 4 4 4" xfId="13170" xr:uid="{00000000-0005-0000-0000-0000E1250000}"/>
    <cellStyle name="표준 5 2 2 2 3 2 4 4 5" xfId="17410" xr:uid="{00000000-0005-0000-0000-0000E2250000}"/>
    <cellStyle name="표준 5 2 2 2 3 2 4 4 6" xfId="21572" xr:uid="{00000000-0005-0000-0000-0000E3250000}"/>
    <cellStyle name="표준 5 2 2 2 3 2 4 4 7" xfId="25668" xr:uid="{00000000-0005-0000-0000-0000E4250000}"/>
    <cellStyle name="표준 5 2 2 2 3 2 4 4 8" xfId="33879" xr:uid="{00000000-0005-0000-0000-0000E5250000}"/>
    <cellStyle name="표준 5 2 2 2 3 2 4 4 9" xfId="42072" xr:uid="{00000000-0005-0000-0000-0000E6250000}"/>
    <cellStyle name="표준 5 2 2 2 3 2 4 5" xfId="9570" xr:uid="{00000000-0005-0000-0000-0000E7250000}"/>
    <cellStyle name="표준 5 2 2 2 3 2 4 5 2" xfId="13682" xr:uid="{00000000-0005-0000-0000-0000E8250000}"/>
    <cellStyle name="표준 5 2 2 2 3 2 4 5 2 2" xfId="30276" xr:uid="{00000000-0005-0000-0000-0000E9250000}"/>
    <cellStyle name="표준 5 2 2 2 3 2 4 5 2 3" xfId="38487" xr:uid="{00000000-0005-0000-0000-0000EA250000}"/>
    <cellStyle name="표준 5 2 2 2 3 2 4 5 2 4" xfId="46680" xr:uid="{00000000-0005-0000-0000-0000EB250000}"/>
    <cellStyle name="표준 5 2 2 2 3 2 4 5 3" xfId="17922" xr:uid="{00000000-0005-0000-0000-0000EC250000}"/>
    <cellStyle name="표준 5 2 2 2 3 2 4 5 4" xfId="22084" xr:uid="{00000000-0005-0000-0000-0000ED250000}"/>
    <cellStyle name="표준 5 2 2 2 3 2 4 5 5" xfId="26180" xr:uid="{00000000-0005-0000-0000-0000EE250000}"/>
    <cellStyle name="표준 5 2 2 2 3 2 4 5 6" xfId="34391" xr:uid="{00000000-0005-0000-0000-0000EF250000}"/>
    <cellStyle name="표준 5 2 2 2 3 2 4 5 7" xfId="42584" xr:uid="{00000000-0005-0000-0000-0000F0250000}"/>
    <cellStyle name="표준 5 2 2 2 3 2 4 6" xfId="7522" xr:uid="{00000000-0005-0000-0000-0000F1250000}"/>
    <cellStyle name="표준 5 2 2 2 3 2 4 6 2" xfId="28228" xr:uid="{00000000-0005-0000-0000-0000F2250000}"/>
    <cellStyle name="표준 5 2 2 2 3 2 4 6 3" xfId="36439" xr:uid="{00000000-0005-0000-0000-0000F3250000}"/>
    <cellStyle name="표준 5 2 2 2 3 2 4 6 4" xfId="44632" xr:uid="{00000000-0005-0000-0000-0000F4250000}"/>
    <cellStyle name="표준 5 2 2 2 3 2 4 7" xfId="11634" xr:uid="{00000000-0005-0000-0000-0000F5250000}"/>
    <cellStyle name="표준 5 2 2 2 3 2 4 8" xfId="15874" xr:uid="{00000000-0005-0000-0000-0000F6250000}"/>
    <cellStyle name="표준 5 2 2 2 3 2 4 9" xfId="20036" xr:uid="{00000000-0005-0000-0000-0000F7250000}"/>
    <cellStyle name="표준 5 2 2 2 3 2 5" xfId="923" xr:uid="{00000000-0005-0000-0000-0000F8250000}"/>
    <cellStyle name="표준 5 2 2 2 3 2 5 2" xfId="9826" xr:uid="{00000000-0005-0000-0000-0000F9250000}"/>
    <cellStyle name="표준 5 2 2 2 3 2 5 2 2" xfId="13938" xr:uid="{00000000-0005-0000-0000-0000FA250000}"/>
    <cellStyle name="표준 5 2 2 2 3 2 5 2 2 2" xfId="30532" xr:uid="{00000000-0005-0000-0000-0000FB250000}"/>
    <cellStyle name="표준 5 2 2 2 3 2 5 2 2 3" xfId="38743" xr:uid="{00000000-0005-0000-0000-0000FC250000}"/>
    <cellStyle name="표준 5 2 2 2 3 2 5 2 2 4" xfId="46936" xr:uid="{00000000-0005-0000-0000-0000FD250000}"/>
    <cellStyle name="표준 5 2 2 2 3 2 5 2 3" xfId="18178" xr:uid="{00000000-0005-0000-0000-0000FE250000}"/>
    <cellStyle name="표준 5 2 2 2 3 2 5 2 4" xfId="22340" xr:uid="{00000000-0005-0000-0000-0000FF250000}"/>
    <cellStyle name="표준 5 2 2 2 3 2 5 2 5" xfId="26436" xr:uid="{00000000-0005-0000-0000-000000260000}"/>
    <cellStyle name="표준 5 2 2 2 3 2 5 2 6" xfId="34647" xr:uid="{00000000-0005-0000-0000-000001260000}"/>
    <cellStyle name="표준 5 2 2 2 3 2 5 2 7" xfId="42840" xr:uid="{00000000-0005-0000-0000-000002260000}"/>
    <cellStyle name="표준 5 2 2 2 3 2 5 3" xfId="7778" xr:uid="{00000000-0005-0000-0000-000003260000}"/>
    <cellStyle name="표준 5 2 2 2 3 2 5 3 2" xfId="28484" xr:uid="{00000000-0005-0000-0000-000004260000}"/>
    <cellStyle name="표준 5 2 2 2 3 2 5 3 3" xfId="36695" xr:uid="{00000000-0005-0000-0000-000005260000}"/>
    <cellStyle name="표준 5 2 2 2 3 2 5 3 4" xfId="44888" xr:uid="{00000000-0005-0000-0000-000006260000}"/>
    <cellStyle name="표준 5 2 2 2 3 2 5 4" xfId="11890" xr:uid="{00000000-0005-0000-0000-000007260000}"/>
    <cellStyle name="표준 5 2 2 2 3 2 5 5" xfId="16130" xr:uid="{00000000-0005-0000-0000-000008260000}"/>
    <cellStyle name="표준 5 2 2 2 3 2 5 6" xfId="20292" xr:uid="{00000000-0005-0000-0000-000009260000}"/>
    <cellStyle name="표준 5 2 2 2 3 2 5 7" xfId="24388" xr:uid="{00000000-0005-0000-0000-00000A260000}"/>
    <cellStyle name="표준 5 2 2 2 3 2 5 8" xfId="32599" xr:uid="{00000000-0005-0000-0000-00000B260000}"/>
    <cellStyle name="표준 5 2 2 2 3 2 5 9" xfId="40792" xr:uid="{00000000-0005-0000-0000-00000C260000}"/>
    <cellStyle name="표준 5 2 2 2 3 2 6" xfId="1435" xr:uid="{00000000-0005-0000-0000-00000D260000}"/>
    <cellStyle name="표준 5 2 2 2 3 2 6 2" xfId="10338" xr:uid="{00000000-0005-0000-0000-00000E260000}"/>
    <cellStyle name="표준 5 2 2 2 3 2 6 2 2" xfId="14450" xr:uid="{00000000-0005-0000-0000-00000F260000}"/>
    <cellStyle name="표준 5 2 2 2 3 2 6 2 2 2" xfId="31044" xr:uid="{00000000-0005-0000-0000-000010260000}"/>
    <cellStyle name="표준 5 2 2 2 3 2 6 2 2 3" xfId="39255" xr:uid="{00000000-0005-0000-0000-000011260000}"/>
    <cellStyle name="표준 5 2 2 2 3 2 6 2 2 4" xfId="47448" xr:uid="{00000000-0005-0000-0000-000012260000}"/>
    <cellStyle name="표준 5 2 2 2 3 2 6 2 3" xfId="18690" xr:uid="{00000000-0005-0000-0000-000013260000}"/>
    <cellStyle name="표준 5 2 2 2 3 2 6 2 4" xfId="22852" xr:uid="{00000000-0005-0000-0000-000014260000}"/>
    <cellStyle name="표준 5 2 2 2 3 2 6 2 5" xfId="26948" xr:uid="{00000000-0005-0000-0000-000015260000}"/>
    <cellStyle name="표준 5 2 2 2 3 2 6 2 6" xfId="35159" xr:uid="{00000000-0005-0000-0000-000016260000}"/>
    <cellStyle name="표준 5 2 2 2 3 2 6 2 7" xfId="43352" xr:uid="{00000000-0005-0000-0000-000017260000}"/>
    <cellStyle name="표준 5 2 2 2 3 2 6 3" xfId="8290" xr:uid="{00000000-0005-0000-0000-000018260000}"/>
    <cellStyle name="표준 5 2 2 2 3 2 6 3 2" xfId="28996" xr:uid="{00000000-0005-0000-0000-000019260000}"/>
    <cellStyle name="표준 5 2 2 2 3 2 6 3 3" xfId="37207" xr:uid="{00000000-0005-0000-0000-00001A260000}"/>
    <cellStyle name="표준 5 2 2 2 3 2 6 3 4" xfId="45400" xr:uid="{00000000-0005-0000-0000-00001B260000}"/>
    <cellStyle name="표준 5 2 2 2 3 2 6 4" xfId="12402" xr:uid="{00000000-0005-0000-0000-00001C260000}"/>
    <cellStyle name="표준 5 2 2 2 3 2 6 5" xfId="16642" xr:uid="{00000000-0005-0000-0000-00001D260000}"/>
    <cellStyle name="표준 5 2 2 2 3 2 6 6" xfId="20804" xr:uid="{00000000-0005-0000-0000-00001E260000}"/>
    <cellStyle name="표준 5 2 2 2 3 2 6 7" xfId="24900" xr:uid="{00000000-0005-0000-0000-00001F260000}"/>
    <cellStyle name="표준 5 2 2 2 3 2 6 8" xfId="33111" xr:uid="{00000000-0005-0000-0000-000020260000}"/>
    <cellStyle name="표준 5 2 2 2 3 2 6 9" xfId="41304" xr:uid="{00000000-0005-0000-0000-000021260000}"/>
    <cellStyle name="표준 5 2 2 2 3 2 7" xfId="1947" xr:uid="{00000000-0005-0000-0000-000022260000}"/>
    <cellStyle name="표준 5 2 2 2 3 2 7 2" xfId="10850" xr:uid="{00000000-0005-0000-0000-000023260000}"/>
    <cellStyle name="표준 5 2 2 2 3 2 7 2 2" xfId="14962" xr:uid="{00000000-0005-0000-0000-000024260000}"/>
    <cellStyle name="표준 5 2 2 2 3 2 7 2 2 2" xfId="31556" xr:uid="{00000000-0005-0000-0000-000025260000}"/>
    <cellStyle name="표준 5 2 2 2 3 2 7 2 2 3" xfId="39767" xr:uid="{00000000-0005-0000-0000-000026260000}"/>
    <cellStyle name="표준 5 2 2 2 3 2 7 2 2 4" xfId="47960" xr:uid="{00000000-0005-0000-0000-000027260000}"/>
    <cellStyle name="표준 5 2 2 2 3 2 7 2 3" xfId="19202" xr:uid="{00000000-0005-0000-0000-000028260000}"/>
    <cellStyle name="표준 5 2 2 2 3 2 7 2 4" xfId="23364" xr:uid="{00000000-0005-0000-0000-000029260000}"/>
    <cellStyle name="표준 5 2 2 2 3 2 7 2 5" xfId="27460" xr:uid="{00000000-0005-0000-0000-00002A260000}"/>
    <cellStyle name="표준 5 2 2 2 3 2 7 2 6" xfId="35671" xr:uid="{00000000-0005-0000-0000-00002B260000}"/>
    <cellStyle name="표준 5 2 2 2 3 2 7 2 7" xfId="43864" xr:uid="{00000000-0005-0000-0000-00002C260000}"/>
    <cellStyle name="표준 5 2 2 2 3 2 7 3" xfId="8802" xr:uid="{00000000-0005-0000-0000-00002D260000}"/>
    <cellStyle name="표준 5 2 2 2 3 2 7 3 2" xfId="29508" xr:uid="{00000000-0005-0000-0000-00002E260000}"/>
    <cellStyle name="표준 5 2 2 2 3 2 7 3 3" xfId="37719" xr:uid="{00000000-0005-0000-0000-00002F260000}"/>
    <cellStyle name="표준 5 2 2 2 3 2 7 3 4" xfId="45912" xr:uid="{00000000-0005-0000-0000-000030260000}"/>
    <cellStyle name="표준 5 2 2 2 3 2 7 4" xfId="12914" xr:uid="{00000000-0005-0000-0000-000031260000}"/>
    <cellStyle name="표준 5 2 2 2 3 2 7 5" xfId="17154" xr:uid="{00000000-0005-0000-0000-000032260000}"/>
    <cellStyle name="표준 5 2 2 2 3 2 7 6" xfId="21316" xr:uid="{00000000-0005-0000-0000-000033260000}"/>
    <cellStyle name="표준 5 2 2 2 3 2 7 7" xfId="25412" xr:uid="{00000000-0005-0000-0000-000034260000}"/>
    <cellStyle name="표준 5 2 2 2 3 2 7 8" xfId="33623" xr:uid="{00000000-0005-0000-0000-000035260000}"/>
    <cellStyle name="표준 5 2 2 2 3 2 7 9" xfId="41816" xr:uid="{00000000-0005-0000-0000-000036260000}"/>
    <cellStyle name="표준 5 2 2 2 3 2 8" xfId="7039" xr:uid="{00000000-0005-0000-0000-000037260000}"/>
    <cellStyle name="표준 5 2 2 2 3 2 8 2" xfId="9314" xr:uid="{00000000-0005-0000-0000-000038260000}"/>
    <cellStyle name="표준 5 2 2 2 3 2 8 2 2" xfId="30020" xr:uid="{00000000-0005-0000-0000-000039260000}"/>
    <cellStyle name="표준 5 2 2 2 3 2 8 2 3" xfId="38231" xr:uid="{00000000-0005-0000-0000-00003A260000}"/>
    <cellStyle name="표준 5 2 2 2 3 2 8 2 4" xfId="46424" xr:uid="{00000000-0005-0000-0000-00003B260000}"/>
    <cellStyle name="표준 5 2 2 2 3 2 8 3" xfId="13426" xr:uid="{00000000-0005-0000-0000-00003C260000}"/>
    <cellStyle name="표준 5 2 2 2 3 2 8 4" xfId="17666" xr:uid="{00000000-0005-0000-0000-00003D260000}"/>
    <cellStyle name="표준 5 2 2 2 3 2 8 5" xfId="21828" xr:uid="{00000000-0005-0000-0000-00003E260000}"/>
    <cellStyle name="표준 5 2 2 2 3 2 8 6" xfId="25924" xr:uid="{00000000-0005-0000-0000-00003F260000}"/>
    <cellStyle name="표준 5 2 2 2 3 2 8 7" xfId="34135" xr:uid="{00000000-0005-0000-0000-000040260000}"/>
    <cellStyle name="표준 5 2 2 2 3 2 8 8" xfId="42328" xr:uid="{00000000-0005-0000-0000-000041260000}"/>
    <cellStyle name="표준 5 2 2 2 3 2 9" xfId="7139" xr:uid="{00000000-0005-0000-0000-000042260000}"/>
    <cellStyle name="표준 5 2 2 2 3 2 9 2" xfId="27972" xr:uid="{00000000-0005-0000-0000-000043260000}"/>
    <cellStyle name="표준 5 2 2 2 3 2 9 3" xfId="36183" xr:uid="{00000000-0005-0000-0000-000044260000}"/>
    <cellStyle name="표준 5 2 2 2 3 2 9 4" xfId="44376" xr:uid="{00000000-0005-0000-0000-000045260000}"/>
    <cellStyle name="표준 5 2 2 2 3 3" xfId="443" xr:uid="{00000000-0005-0000-0000-000046260000}"/>
    <cellStyle name="표준 5 2 2 2 3 3 10" xfId="15650" xr:uid="{00000000-0005-0000-0000-000047260000}"/>
    <cellStyle name="표준 5 2 2 2 3 3 11" xfId="19812" xr:uid="{00000000-0005-0000-0000-000048260000}"/>
    <cellStyle name="표준 5 2 2 2 3 3 12" xfId="23908" xr:uid="{00000000-0005-0000-0000-000049260000}"/>
    <cellStyle name="표준 5 2 2 2 3 3 13" xfId="32119" xr:uid="{00000000-0005-0000-0000-00004A260000}"/>
    <cellStyle name="표준 5 2 2 2 3 3 14" xfId="40312" xr:uid="{00000000-0005-0000-0000-00004B260000}"/>
    <cellStyle name="표준 5 2 2 2 3 3 2" xfId="571" xr:uid="{00000000-0005-0000-0000-00004C260000}"/>
    <cellStyle name="표준 5 2 2 2 3 3 2 10" xfId="19940" xr:uid="{00000000-0005-0000-0000-00004D260000}"/>
    <cellStyle name="표준 5 2 2 2 3 3 2 11" xfId="24036" xr:uid="{00000000-0005-0000-0000-00004E260000}"/>
    <cellStyle name="표준 5 2 2 2 3 3 2 12" xfId="32247" xr:uid="{00000000-0005-0000-0000-00004F260000}"/>
    <cellStyle name="표준 5 2 2 2 3 3 2 13" xfId="40440" xr:uid="{00000000-0005-0000-0000-000050260000}"/>
    <cellStyle name="표준 5 2 2 2 3 3 2 2" xfId="827" xr:uid="{00000000-0005-0000-0000-000051260000}"/>
    <cellStyle name="표준 5 2 2 2 3 3 2 2 10" xfId="24292" xr:uid="{00000000-0005-0000-0000-000052260000}"/>
    <cellStyle name="표준 5 2 2 2 3 3 2 2 11" xfId="32503" xr:uid="{00000000-0005-0000-0000-000053260000}"/>
    <cellStyle name="표준 5 2 2 2 3 3 2 2 12" xfId="40696" xr:uid="{00000000-0005-0000-0000-000054260000}"/>
    <cellStyle name="표준 5 2 2 2 3 3 2 2 2" xfId="1339" xr:uid="{00000000-0005-0000-0000-000055260000}"/>
    <cellStyle name="표준 5 2 2 2 3 3 2 2 2 2" xfId="10242" xr:uid="{00000000-0005-0000-0000-000056260000}"/>
    <cellStyle name="표준 5 2 2 2 3 3 2 2 2 2 2" xfId="14354" xr:uid="{00000000-0005-0000-0000-000057260000}"/>
    <cellStyle name="표준 5 2 2 2 3 3 2 2 2 2 2 2" xfId="30948" xr:uid="{00000000-0005-0000-0000-000058260000}"/>
    <cellStyle name="표준 5 2 2 2 3 3 2 2 2 2 2 3" xfId="39159" xr:uid="{00000000-0005-0000-0000-000059260000}"/>
    <cellStyle name="표준 5 2 2 2 3 3 2 2 2 2 2 4" xfId="47352" xr:uid="{00000000-0005-0000-0000-00005A260000}"/>
    <cellStyle name="표준 5 2 2 2 3 3 2 2 2 2 3" xfId="18594" xr:uid="{00000000-0005-0000-0000-00005B260000}"/>
    <cellStyle name="표준 5 2 2 2 3 3 2 2 2 2 4" xfId="22756" xr:uid="{00000000-0005-0000-0000-00005C260000}"/>
    <cellStyle name="표준 5 2 2 2 3 3 2 2 2 2 5" xfId="26852" xr:uid="{00000000-0005-0000-0000-00005D260000}"/>
    <cellStyle name="표준 5 2 2 2 3 3 2 2 2 2 6" xfId="35063" xr:uid="{00000000-0005-0000-0000-00005E260000}"/>
    <cellStyle name="표준 5 2 2 2 3 3 2 2 2 2 7" xfId="43256" xr:uid="{00000000-0005-0000-0000-00005F260000}"/>
    <cellStyle name="표준 5 2 2 2 3 3 2 2 2 3" xfId="8194" xr:uid="{00000000-0005-0000-0000-000060260000}"/>
    <cellStyle name="표준 5 2 2 2 3 3 2 2 2 3 2" xfId="28900" xr:uid="{00000000-0005-0000-0000-000061260000}"/>
    <cellStyle name="표준 5 2 2 2 3 3 2 2 2 3 3" xfId="37111" xr:uid="{00000000-0005-0000-0000-000062260000}"/>
    <cellStyle name="표준 5 2 2 2 3 3 2 2 2 3 4" xfId="45304" xr:uid="{00000000-0005-0000-0000-000063260000}"/>
    <cellStyle name="표준 5 2 2 2 3 3 2 2 2 4" xfId="12306" xr:uid="{00000000-0005-0000-0000-000064260000}"/>
    <cellStyle name="표준 5 2 2 2 3 3 2 2 2 5" xfId="16546" xr:uid="{00000000-0005-0000-0000-000065260000}"/>
    <cellStyle name="표준 5 2 2 2 3 3 2 2 2 6" xfId="20708" xr:uid="{00000000-0005-0000-0000-000066260000}"/>
    <cellStyle name="표준 5 2 2 2 3 3 2 2 2 7" xfId="24804" xr:uid="{00000000-0005-0000-0000-000067260000}"/>
    <cellStyle name="표준 5 2 2 2 3 3 2 2 2 8" xfId="33015" xr:uid="{00000000-0005-0000-0000-000068260000}"/>
    <cellStyle name="표준 5 2 2 2 3 3 2 2 2 9" xfId="41208" xr:uid="{00000000-0005-0000-0000-000069260000}"/>
    <cellStyle name="표준 5 2 2 2 3 3 2 2 3" xfId="1851" xr:uid="{00000000-0005-0000-0000-00006A260000}"/>
    <cellStyle name="표준 5 2 2 2 3 3 2 2 3 2" xfId="10754" xr:uid="{00000000-0005-0000-0000-00006B260000}"/>
    <cellStyle name="표준 5 2 2 2 3 3 2 2 3 2 2" xfId="14866" xr:uid="{00000000-0005-0000-0000-00006C260000}"/>
    <cellStyle name="표준 5 2 2 2 3 3 2 2 3 2 2 2" xfId="31460" xr:uid="{00000000-0005-0000-0000-00006D260000}"/>
    <cellStyle name="표준 5 2 2 2 3 3 2 2 3 2 2 3" xfId="39671" xr:uid="{00000000-0005-0000-0000-00006E260000}"/>
    <cellStyle name="표준 5 2 2 2 3 3 2 2 3 2 2 4" xfId="47864" xr:uid="{00000000-0005-0000-0000-00006F260000}"/>
    <cellStyle name="표준 5 2 2 2 3 3 2 2 3 2 3" xfId="19106" xr:uid="{00000000-0005-0000-0000-000070260000}"/>
    <cellStyle name="표준 5 2 2 2 3 3 2 2 3 2 4" xfId="23268" xr:uid="{00000000-0005-0000-0000-000071260000}"/>
    <cellStyle name="표준 5 2 2 2 3 3 2 2 3 2 5" xfId="27364" xr:uid="{00000000-0005-0000-0000-000072260000}"/>
    <cellStyle name="표준 5 2 2 2 3 3 2 2 3 2 6" xfId="35575" xr:uid="{00000000-0005-0000-0000-000073260000}"/>
    <cellStyle name="표준 5 2 2 2 3 3 2 2 3 2 7" xfId="43768" xr:uid="{00000000-0005-0000-0000-000074260000}"/>
    <cellStyle name="표준 5 2 2 2 3 3 2 2 3 3" xfId="8706" xr:uid="{00000000-0005-0000-0000-000075260000}"/>
    <cellStyle name="표준 5 2 2 2 3 3 2 2 3 3 2" xfId="29412" xr:uid="{00000000-0005-0000-0000-000076260000}"/>
    <cellStyle name="표준 5 2 2 2 3 3 2 2 3 3 3" xfId="37623" xr:uid="{00000000-0005-0000-0000-000077260000}"/>
    <cellStyle name="표준 5 2 2 2 3 3 2 2 3 3 4" xfId="45816" xr:uid="{00000000-0005-0000-0000-000078260000}"/>
    <cellStyle name="표준 5 2 2 2 3 3 2 2 3 4" xfId="12818" xr:uid="{00000000-0005-0000-0000-000079260000}"/>
    <cellStyle name="표준 5 2 2 2 3 3 2 2 3 5" xfId="17058" xr:uid="{00000000-0005-0000-0000-00007A260000}"/>
    <cellStyle name="표준 5 2 2 2 3 3 2 2 3 6" xfId="21220" xr:uid="{00000000-0005-0000-0000-00007B260000}"/>
    <cellStyle name="표준 5 2 2 2 3 3 2 2 3 7" xfId="25316" xr:uid="{00000000-0005-0000-0000-00007C260000}"/>
    <cellStyle name="표준 5 2 2 2 3 3 2 2 3 8" xfId="33527" xr:uid="{00000000-0005-0000-0000-00007D260000}"/>
    <cellStyle name="표준 5 2 2 2 3 3 2 2 3 9" xfId="41720" xr:uid="{00000000-0005-0000-0000-00007E260000}"/>
    <cellStyle name="표준 5 2 2 2 3 3 2 2 4" xfId="2363" xr:uid="{00000000-0005-0000-0000-00007F260000}"/>
    <cellStyle name="표준 5 2 2 2 3 3 2 2 4 2" xfId="11266" xr:uid="{00000000-0005-0000-0000-000080260000}"/>
    <cellStyle name="표준 5 2 2 2 3 3 2 2 4 2 2" xfId="15378" xr:uid="{00000000-0005-0000-0000-000081260000}"/>
    <cellStyle name="표준 5 2 2 2 3 3 2 2 4 2 2 2" xfId="31972" xr:uid="{00000000-0005-0000-0000-000082260000}"/>
    <cellStyle name="표준 5 2 2 2 3 3 2 2 4 2 2 3" xfId="40183" xr:uid="{00000000-0005-0000-0000-000083260000}"/>
    <cellStyle name="표준 5 2 2 2 3 3 2 2 4 2 2 4" xfId="48376" xr:uid="{00000000-0005-0000-0000-000084260000}"/>
    <cellStyle name="표준 5 2 2 2 3 3 2 2 4 2 3" xfId="19618" xr:uid="{00000000-0005-0000-0000-000085260000}"/>
    <cellStyle name="표준 5 2 2 2 3 3 2 2 4 2 4" xfId="23780" xr:uid="{00000000-0005-0000-0000-000086260000}"/>
    <cellStyle name="표준 5 2 2 2 3 3 2 2 4 2 5" xfId="27876" xr:uid="{00000000-0005-0000-0000-000087260000}"/>
    <cellStyle name="표준 5 2 2 2 3 3 2 2 4 2 6" xfId="36087" xr:uid="{00000000-0005-0000-0000-000088260000}"/>
    <cellStyle name="표준 5 2 2 2 3 3 2 2 4 2 7" xfId="44280" xr:uid="{00000000-0005-0000-0000-000089260000}"/>
    <cellStyle name="표준 5 2 2 2 3 3 2 2 4 3" xfId="9218" xr:uid="{00000000-0005-0000-0000-00008A260000}"/>
    <cellStyle name="표준 5 2 2 2 3 3 2 2 4 3 2" xfId="29924" xr:uid="{00000000-0005-0000-0000-00008B260000}"/>
    <cellStyle name="표준 5 2 2 2 3 3 2 2 4 3 3" xfId="38135" xr:uid="{00000000-0005-0000-0000-00008C260000}"/>
    <cellStyle name="표준 5 2 2 2 3 3 2 2 4 3 4" xfId="46328" xr:uid="{00000000-0005-0000-0000-00008D260000}"/>
    <cellStyle name="표준 5 2 2 2 3 3 2 2 4 4" xfId="13330" xr:uid="{00000000-0005-0000-0000-00008E260000}"/>
    <cellStyle name="표준 5 2 2 2 3 3 2 2 4 5" xfId="17570" xr:uid="{00000000-0005-0000-0000-00008F260000}"/>
    <cellStyle name="표준 5 2 2 2 3 3 2 2 4 6" xfId="21732" xr:uid="{00000000-0005-0000-0000-000090260000}"/>
    <cellStyle name="표준 5 2 2 2 3 3 2 2 4 7" xfId="25828" xr:uid="{00000000-0005-0000-0000-000091260000}"/>
    <cellStyle name="표준 5 2 2 2 3 3 2 2 4 8" xfId="34039" xr:uid="{00000000-0005-0000-0000-000092260000}"/>
    <cellStyle name="표준 5 2 2 2 3 3 2 2 4 9" xfId="42232" xr:uid="{00000000-0005-0000-0000-000093260000}"/>
    <cellStyle name="표준 5 2 2 2 3 3 2 2 5" xfId="9730" xr:uid="{00000000-0005-0000-0000-000094260000}"/>
    <cellStyle name="표준 5 2 2 2 3 3 2 2 5 2" xfId="13842" xr:uid="{00000000-0005-0000-0000-000095260000}"/>
    <cellStyle name="표준 5 2 2 2 3 3 2 2 5 2 2" xfId="30436" xr:uid="{00000000-0005-0000-0000-000096260000}"/>
    <cellStyle name="표준 5 2 2 2 3 3 2 2 5 2 3" xfId="38647" xr:uid="{00000000-0005-0000-0000-000097260000}"/>
    <cellStyle name="표준 5 2 2 2 3 3 2 2 5 2 4" xfId="46840" xr:uid="{00000000-0005-0000-0000-000098260000}"/>
    <cellStyle name="표준 5 2 2 2 3 3 2 2 5 3" xfId="18082" xr:uid="{00000000-0005-0000-0000-000099260000}"/>
    <cellStyle name="표준 5 2 2 2 3 3 2 2 5 4" xfId="22244" xr:uid="{00000000-0005-0000-0000-00009A260000}"/>
    <cellStyle name="표준 5 2 2 2 3 3 2 2 5 5" xfId="26340" xr:uid="{00000000-0005-0000-0000-00009B260000}"/>
    <cellStyle name="표준 5 2 2 2 3 3 2 2 5 6" xfId="34551" xr:uid="{00000000-0005-0000-0000-00009C260000}"/>
    <cellStyle name="표준 5 2 2 2 3 3 2 2 5 7" xfId="42744" xr:uid="{00000000-0005-0000-0000-00009D260000}"/>
    <cellStyle name="표준 5 2 2 2 3 3 2 2 6" xfId="7682" xr:uid="{00000000-0005-0000-0000-00009E260000}"/>
    <cellStyle name="표준 5 2 2 2 3 3 2 2 6 2" xfId="28388" xr:uid="{00000000-0005-0000-0000-00009F260000}"/>
    <cellStyle name="표준 5 2 2 2 3 3 2 2 6 3" xfId="36599" xr:uid="{00000000-0005-0000-0000-0000A0260000}"/>
    <cellStyle name="표준 5 2 2 2 3 3 2 2 6 4" xfId="44792" xr:uid="{00000000-0005-0000-0000-0000A1260000}"/>
    <cellStyle name="표준 5 2 2 2 3 3 2 2 7" xfId="11794" xr:uid="{00000000-0005-0000-0000-0000A2260000}"/>
    <cellStyle name="표준 5 2 2 2 3 3 2 2 8" xfId="16034" xr:uid="{00000000-0005-0000-0000-0000A3260000}"/>
    <cellStyle name="표준 5 2 2 2 3 3 2 2 9" xfId="20196" xr:uid="{00000000-0005-0000-0000-0000A4260000}"/>
    <cellStyle name="표준 5 2 2 2 3 3 2 3" xfId="1083" xr:uid="{00000000-0005-0000-0000-0000A5260000}"/>
    <cellStyle name="표준 5 2 2 2 3 3 2 3 2" xfId="9986" xr:uid="{00000000-0005-0000-0000-0000A6260000}"/>
    <cellStyle name="표준 5 2 2 2 3 3 2 3 2 2" xfId="14098" xr:uid="{00000000-0005-0000-0000-0000A7260000}"/>
    <cellStyle name="표준 5 2 2 2 3 3 2 3 2 2 2" xfId="30692" xr:uid="{00000000-0005-0000-0000-0000A8260000}"/>
    <cellStyle name="표준 5 2 2 2 3 3 2 3 2 2 3" xfId="38903" xr:uid="{00000000-0005-0000-0000-0000A9260000}"/>
    <cellStyle name="표준 5 2 2 2 3 3 2 3 2 2 4" xfId="47096" xr:uid="{00000000-0005-0000-0000-0000AA260000}"/>
    <cellStyle name="표준 5 2 2 2 3 3 2 3 2 3" xfId="18338" xr:uid="{00000000-0005-0000-0000-0000AB260000}"/>
    <cellStyle name="표준 5 2 2 2 3 3 2 3 2 4" xfId="22500" xr:uid="{00000000-0005-0000-0000-0000AC260000}"/>
    <cellStyle name="표준 5 2 2 2 3 3 2 3 2 5" xfId="26596" xr:uid="{00000000-0005-0000-0000-0000AD260000}"/>
    <cellStyle name="표준 5 2 2 2 3 3 2 3 2 6" xfId="34807" xr:uid="{00000000-0005-0000-0000-0000AE260000}"/>
    <cellStyle name="표준 5 2 2 2 3 3 2 3 2 7" xfId="43000" xr:uid="{00000000-0005-0000-0000-0000AF260000}"/>
    <cellStyle name="표준 5 2 2 2 3 3 2 3 3" xfId="7938" xr:uid="{00000000-0005-0000-0000-0000B0260000}"/>
    <cellStyle name="표준 5 2 2 2 3 3 2 3 3 2" xfId="28644" xr:uid="{00000000-0005-0000-0000-0000B1260000}"/>
    <cellStyle name="표준 5 2 2 2 3 3 2 3 3 3" xfId="36855" xr:uid="{00000000-0005-0000-0000-0000B2260000}"/>
    <cellStyle name="표준 5 2 2 2 3 3 2 3 3 4" xfId="45048" xr:uid="{00000000-0005-0000-0000-0000B3260000}"/>
    <cellStyle name="표준 5 2 2 2 3 3 2 3 4" xfId="12050" xr:uid="{00000000-0005-0000-0000-0000B4260000}"/>
    <cellStyle name="표준 5 2 2 2 3 3 2 3 5" xfId="16290" xr:uid="{00000000-0005-0000-0000-0000B5260000}"/>
    <cellStyle name="표준 5 2 2 2 3 3 2 3 6" xfId="20452" xr:uid="{00000000-0005-0000-0000-0000B6260000}"/>
    <cellStyle name="표준 5 2 2 2 3 3 2 3 7" xfId="24548" xr:uid="{00000000-0005-0000-0000-0000B7260000}"/>
    <cellStyle name="표준 5 2 2 2 3 3 2 3 8" xfId="32759" xr:uid="{00000000-0005-0000-0000-0000B8260000}"/>
    <cellStyle name="표준 5 2 2 2 3 3 2 3 9" xfId="40952" xr:uid="{00000000-0005-0000-0000-0000B9260000}"/>
    <cellStyle name="표준 5 2 2 2 3 3 2 4" xfId="1595" xr:uid="{00000000-0005-0000-0000-0000BA260000}"/>
    <cellStyle name="표준 5 2 2 2 3 3 2 4 2" xfId="10498" xr:uid="{00000000-0005-0000-0000-0000BB260000}"/>
    <cellStyle name="표준 5 2 2 2 3 3 2 4 2 2" xfId="14610" xr:uid="{00000000-0005-0000-0000-0000BC260000}"/>
    <cellStyle name="표준 5 2 2 2 3 3 2 4 2 2 2" xfId="31204" xr:uid="{00000000-0005-0000-0000-0000BD260000}"/>
    <cellStyle name="표준 5 2 2 2 3 3 2 4 2 2 3" xfId="39415" xr:uid="{00000000-0005-0000-0000-0000BE260000}"/>
    <cellStyle name="표준 5 2 2 2 3 3 2 4 2 2 4" xfId="47608" xr:uid="{00000000-0005-0000-0000-0000BF260000}"/>
    <cellStyle name="표준 5 2 2 2 3 3 2 4 2 3" xfId="18850" xr:uid="{00000000-0005-0000-0000-0000C0260000}"/>
    <cellStyle name="표준 5 2 2 2 3 3 2 4 2 4" xfId="23012" xr:uid="{00000000-0005-0000-0000-0000C1260000}"/>
    <cellStyle name="표준 5 2 2 2 3 3 2 4 2 5" xfId="27108" xr:uid="{00000000-0005-0000-0000-0000C2260000}"/>
    <cellStyle name="표준 5 2 2 2 3 3 2 4 2 6" xfId="35319" xr:uid="{00000000-0005-0000-0000-0000C3260000}"/>
    <cellStyle name="표준 5 2 2 2 3 3 2 4 2 7" xfId="43512" xr:uid="{00000000-0005-0000-0000-0000C4260000}"/>
    <cellStyle name="표준 5 2 2 2 3 3 2 4 3" xfId="8450" xr:uid="{00000000-0005-0000-0000-0000C5260000}"/>
    <cellStyle name="표준 5 2 2 2 3 3 2 4 3 2" xfId="29156" xr:uid="{00000000-0005-0000-0000-0000C6260000}"/>
    <cellStyle name="표준 5 2 2 2 3 3 2 4 3 3" xfId="37367" xr:uid="{00000000-0005-0000-0000-0000C7260000}"/>
    <cellStyle name="표준 5 2 2 2 3 3 2 4 3 4" xfId="45560" xr:uid="{00000000-0005-0000-0000-0000C8260000}"/>
    <cellStyle name="표준 5 2 2 2 3 3 2 4 4" xfId="12562" xr:uid="{00000000-0005-0000-0000-0000C9260000}"/>
    <cellStyle name="표준 5 2 2 2 3 3 2 4 5" xfId="16802" xr:uid="{00000000-0005-0000-0000-0000CA260000}"/>
    <cellStyle name="표준 5 2 2 2 3 3 2 4 6" xfId="20964" xr:uid="{00000000-0005-0000-0000-0000CB260000}"/>
    <cellStyle name="표준 5 2 2 2 3 3 2 4 7" xfId="25060" xr:uid="{00000000-0005-0000-0000-0000CC260000}"/>
    <cellStyle name="표준 5 2 2 2 3 3 2 4 8" xfId="33271" xr:uid="{00000000-0005-0000-0000-0000CD260000}"/>
    <cellStyle name="표준 5 2 2 2 3 3 2 4 9" xfId="41464" xr:uid="{00000000-0005-0000-0000-0000CE260000}"/>
    <cellStyle name="표준 5 2 2 2 3 3 2 5" xfId="2107" xr:uid="{00000000-0005-0000-0000-0000CF260000}"/>
    <cellStyle name="표준 5 2 2 2 3 3 2 5 2" xfId="11010" xr:uid="{00000000-0005-0000-0000-0000D0260000}"/>
    <cellStyle name="표준 5 2 2 2 3 3 2 5 2 2" xfId="15122" xr:uid="{00000000-0005-0000-0000-0000D1260000}"/>
    <cellStyle name="표준 5 2 2 2 3 3 2 5 2 2 2" xfId="31716" xr:uid="{00000000-0005-0000-0000-0000D2260000}"/>
    <cellStyle name="표준 5 2 2 2 3 3 2 5 2 2 3" xfId="39927" xr:uid="{00000000-0005-0000-0000-0000D3260000}"/>
    <cellStyle name="표준 5 2 2 2 3 3 2 5 2 2 4" xfId="48120" xr:uid="{00000000-0005-0000-0000-0000D4260000}"/>
    <cellStyle name="표준 5 2 2 2 3 3 2 5 2 3" xfId="19362" xr:uid="{00000000-0005-0000-0000-0000D5260000}"/>
    <cellStyle name="표준 5 2 2 2 3 3 2 5 2 4" xfId="23524" xr:uid="{00000000-0005-0000-0000-0000D6260000}"/>
    <cellStyle name="표준 5 2 2 2 3 3 2 5 2 5" xfId="27620" xr:uid="{00000000-0005-0000-0000-0000D7260000}"/>
    <cellStyle name="표준 5 2 2 2 3 3 2 5 2 6" xfId="35831" xr:uid="{00000000-0005-0000-0000-0000D8260000}"/>
    <cellStyle name="표준 5 2 2 2 3 3 2 5 2 7" xfId="44024" xr:uid="{00000000-0005-0000-0000-0000D9260000}"/>
    <cellStyle name="표준 5 2 2 2 3 3 2 5 3" xfId="8962" xr:uid="{00000000-0005-0000-0000-0000DA260000}"/>
    <cellStyle name="표준 5 2 2 2 3 3 2 5 3 2" xfId="29668" xr:uid="{00000000-0005-0000-0000-0000DB260000}"/>
    <cellStyle name="표준 5 2 2 2 3 3 2 5 3 3" xfId="37879" xr:uid="{00000000-0005-0000-0000-0000DC260000}"/>
    <cellStyle name="표준 5 2 2 2 3 3 2 5 3 4" xfId="46072" xr:uid="{00000000-0005-0000-0000-0000DD260000}"/>
    <cellStyle name="표준 5 2 2 2 3 3 2 5 4" xfId="13074" xr:uid="{00000000-0005-0000-0000-0000DE260000}"/>
    <cellStyle name="표준 5 2 2 2 3 3 2 5 5" xfId="17314" xr:uid="{00000000-0005-0000-0000-0000DF260000}"/>
    <cellStyle name="표준 5 2 2 2 3 3 2 5 6" xfId="21476" xr:uid="{00000000-0005-0000-0000-0000E0260000}"/>
    <cellStyle name="표준 5 2 2 2 3 3 2 5 7" xfId="25572" xr:uid="{00000000-0005-0000-0000-0000E1260000}"/>
    <cellStyle name="표준 5 2 2 2 3 3 2 5 8" xfId="33783" xr:uid="{00000000-0005-0000-0000-0000E2260000}"/>
    <cellStyle name="표준 5 2 2 2 3 3 2 5 9" xfId="41976" xr:uid="{00000000-0005-0000-0000-0000E3260000}"/>
    <cellStyle name="표준 5 2 2 2 3 3 2 6" xfId="9474" xr:uid="{00000000-0005-0000-0000-0000E4260000}"/>
    <cellStyle name="표준 5 2 2 2 3 3 2 6 2" xfId="13586" xr:uid="{00000000-0005-0000-0000-0000E5260000}"/>
    <cellStyle name="표준 5 2 2 2 3 3 2 6 2 2" xfId="30180" xr:uid="{00000000-0005-0000-0000-0000E6260000}"/>
    <cellStyle name="표준 5 2 2 2 3 3 2 6 2 3" xfId="38391" xr:uid="{00000000-0005-0000-0000-0000E7260000}"/>
    <cellStyle name="표준 5 2 2 2 3 3 2 6 2 4" xfId="46584" xr:uid="{00000000-0005-0000-0000-0000E8260000}"/>
    <cellStyle name="표준 5 2 2 2 3 3 2 6 3" xfId="17826" xr:uid="{00000000-0005-0000-0000-0000E9260000}"/>
    <cellStyle name="표준 5 2 2 2 3 3 2 6 4" xfId="21988" xr:uid="{00000000-0005-0000-0000-0000EA260000}"/>
    <cellStyle name="표준 5 2 2 2 3 3 2 6 5" xfId="26084" xr:uid="{00000000-0005-0000-0000-0000EB260000}"/>
    <cellStyle name="표준 5 2 2 2 3 3 2 6 6" xfId="34295" xr:uid="{00000000-0005-0000-0000-0000EC260000}"/>
    <cellStyle name="표준 5 2 2 2 3 3 2 6 7" xfId="42488" xr:uid="{00000000-0005-0000-0000-0000ED260000}"/>
    <cellStyle name="표준 5 2 2 2 3 3 2 7" xfId="7426" xr:uid="{00000000-0005-0000-0000-0000EE260000}"/>
    <cellStyle name="표준 5 2 2 2 3 3 2 7 2" xfId="28132" xr:uid="{00000000-0005-0000-0000-0000EF260000}"/>
    <cellStyle name="표준 5 2 2 2 3 3 2 7 3" xfId="36343" xr:uid="{00000000-0005-0000-0000-0000F0260000}"/>
    <cellStyle name="표준 5 2 2 2 3 3 2 7 4" xfId="44536" xr:uid="{00000000-0005-0000-0000-0000F1260000}"/>
    <cellStyle name="표준 5 2 2 2 3 3 2 8" xfId="11538" xr:uid="{00000000-0005-0000-0000-0000F2260000}"/>
    <cellStyle name="표준 5 2 2 2 3 3 2 9" xfId="15778" xr:uid="{00000000-0005-0000-0000-0000F3260000}"/>
    <cellStyle name="표준 5 2 2 2 3 3 3" xfId="699" xr:uid="{00000000-0005-0000-0000-0000F4260000}"/>
    <cellStyle name="표준 5 2 2 2 3 3 3 10" xfId="24164" xr:uid="{00000000-0005-0000-0000-0000F5260000}"/>
    <cellStyle name="표준 5 2 2 2 3 3 3 11" xfId="32375" xr:uid="{00000000-0005-0000-0000-0000F6260000}"/>
    <cellStyle name="표준 5 2 2 2 3 3 3 12" xfId="40568" xr:uid="{00000000-0005-0000-0000-0000F7260000}"/>
    <cellStyle name="표준 5 2 2 2 3 3 3 2" xfId="1211" xr:uid="{00000000-0005-0000-0000-0000F8260000}"/>
    <cellStyle name="표준 5 2 2 2 3 3 3 2 2" xfId="10114" xr:uid="{00000000-0005-0000-0000-0000F9260000}"/>
    <cellStyle name="표준 5 2 2 2 3 3 3 2 2 2" xfId="14226" xr:uid="{00000000-0005-0000-0000-0000FA260000}"/>
    <cellStyle name="표준 5 2 2 2 3 3 3 2 2 2 2" xfId="30820" xr:uid="{00000000-0005-0000-0000-0000FB260000}"/>
    <cellStyle name="표준 5 2 2 2 3 3 3 2 2 2 3" xfId="39031" xr:uid="{00000000-0005-0000-0000-0000FC260000}"/>
    <cellStyle name="표준 5 2 2 2 3 3 3 2 2 2 4" xfId="47224" xr:uid="{00000000-0005-0000-0000-0000FD260000}"/>
    <cellStyle name="표준 5 2 2 2 3 3 3 2 2 3" xfId="18466" xr:uid="{00000000-0005-0000-0000-0000FE260000}"/>
    <cellStyle name="표준 5 2 2 2 3 3 3 2 2 4" xfId="22628" xr:uid="{00000000-0005-0000-0000-0000FF260000}"/>
    <cellStyle name="표준 5 2 2 2 3 3 3 2 2 5" xfId="26724" xr:uid="{00000000-0005-0000-0000-000000270000}"/>
    <cellStyle name="표준 5 2 2 2 3 3 3 2 2 6" xfId="34935" xr:uid="{00000000-0005-0000-0000-000001270000}"/>
    <cellStyle name="표준 5 2 2 2 3 3 3 2 2 7" xfId="43128" xr:uid="{00000000-0005-0000-0000-000002270000}"/>
    <cellStyle name="표준 5 2 2 2 3 3 3 2 3" xfId="8066" xr:uid="{00000000-0005-0000-0000-000003270000}"/>
    <cellStyle name="표준 5 2 2 2 3 3 3 2 3 2" xfId="28772" xr:uid="{00000000-0005-0000-0000-000004270000}"/>
    <cellStyle name="표준 5 2 2 2 3 3 3 2 3 3" xfId="36983" xr:uid="{00000000-0005-0000-0000-000005270000}"/>
    <cellStyle name="표준 5 2 2 2 3 3 3 2 3 4" xfId="45176" xr:uid="{00000000-0005-0000-0000-000006270000}"/>
    <cellStyle name="표준 5 2 2 2 3 3 3 2 4" xfId="12178" xr:uid="{00000000-0005-0000-0000-000007270000}"/>
    <cellStyle name="표준 5 2 2 2 3 3 3 2 5" xfId="16418" xr:uid="{00000000-0005-0000-0000-000008270000}"/>
    <cellStyle name="표준 5 2 2 2 3 3 3 2 6" xfId="20580" xr:uid="{00000000-0005-0000-0000-000009270000}"/>
    <cellStyle name="표준 5 2 2 2 3 3 3 2 7" xfId="24676" xr:uid="{00000000-0005-0000-0000-00000A270000}"/>
    <cellStyle name="표준 5 2 2 2 3 3 3 2 8" xfId="32887" xr:uid="{00000000-0005-0000-0000-00000B270000}"/>
    <cellStyle name="표준 5 2 2 2 3 3 3 2 9" xfId="41080" xr:uid="{00000000-0005-0000-0000-00000C270000}"/>
    <cellStyle name="표준 5 2 2 2 3 3 3 3" xfId="1723" xr:uid="{00000000-0005-0000-0000-00000D270000}"/>
    <cellStyle name="표준 5 2 2 2 3 3 3 3 2" xfId="10626" xr:uid="{00000000-0005-0000-0000-00000E270000}"/>
    <cellStyle name="표준 5 2 2 2 3 3 3 3 2 2" xfId="14738" xr:uid="{00000000-0005-0000-0000-00000F270000}"/>
    <cellStyle name="표준 5 2 2 2 3 3 3 3 2 2 2" xfId="31332" xr:uid="{00000000-0005-0000-0000-000010270000}"/>
    <cellStyle name="표준 5 2 2 2 3 3 3 3 2 2 3" xfId="39543" xr:uid="{00000000-0005-0000-0000-000011270000}"/>
    <cellStyle name="표준 5 2 2 2 3 3 3 3 2 2 4" xfId="47736" xr:uid="{00000000-0005-0000-0000-000012270000}"/>
    <cellStyle name="표준 5 2 2 2 3 3 3 3 2 3" xfId="18978" xr:uid="{00000000-0005-0000-0000-000013270000}"/>
    <cellStyle name="표준 5 2 2 2 3 3 3 3 2 4" xfId="23140" xr:uid="{00000000-0005-0000-0000-000014270000}"/>
    <cellStyle name="표준 5 2 2 2 3 3 3 3 2 5" xfId="27236" xr:uid="{00000000-0005-0000-0000-000015270000}"/>
    <cellStyle name="표준 5 2 2 2 3 3 3 3 2 6" xfId="35447" xr:uid="{00000000-0005-0000-0000-000016270000}"/>
    <cellStyle name="표준 5 2 2 2 3 3 3 3 2 7" xfId="43640" xr:uid="{00000000-0005-0000-0000-000017270000}"/>
    <cellStyle name="표준 5 2 2 2 3 3 3 3 3" xfId="8578" xr:uid="{00000000-0005-0000-0000-000018270000}"/>
    <cellStyle name="표준 5 2 2 2 3 3 3 3 3 2" xfId="29284" xr:uid="{00000000-0005-0000-0000-000019270000}"/>
    <cellStyle name="표준 5 2 2 2 3 3 3 3 3 3" xfId="37495" xr:uid="{00000000-0005-0000-0000-00001A270000}"/>
    <cellStyle name="표준 5 2 2 2 3 3 3 3 3 4" xfId="45688" xr:uid="{00000000-0005-0000-0000-00001B270000}"/>
    <cellStyle name="표준 5 2 2 2 3 3 3 3 4" xfId="12690" xr:uid="{00000000-0005-0000-0000-00001C270000}"/>
    <cellStyle name="표준 5 2 2 2 3 3 3 3 5" xfId="16930" xr:uid="{00000000-0005-0000-0000-00001D270000}"/>
    <cellStyle name="표준 5 2 2 2 3 3 3 3 6" xfId="21092" xr:uid="{00000000-0005-0000-0000-00001E270000}"/>
    <cellStyle name="표준 5 2 2 2 3 3 3 3 7" xfId="25188" xr:uid="{00000000-0005-0000-0000-00001F270000}"/>
    <cellStyle name="표준 5 2 2 2 3 3 3 3 8" xfId="33399" xr:uid="{00000000-0005-0000-0000-000020270000}"/>
    <cellStyle name="표준 5 2 2 2 3 3 3 3 9" xfId="41592" xr:uid="{00000000-0005-0000-0000-000021270000}"/>
    <cellStyle name="표준 5 2 2 2 3 3 3 4" xfId="2235" xr:uid="{00000000-0005-0000-0000-000022270000}"/>
    <cellStyle name="표준 5 2 2 2 3 3 3 4 2" xfId="11138" xr:uid="{00000000-0005-0000-0000-000023270000}"/>
    <cellStyle name="표준 5 2 2 2 3 3 3 4 2 2" xfId="15250" xr:uid="{00000000-0005-0000-0000-000024270000}"/>
    <cellStyle name="표준 5 2 2 2 3 3 3 4 2 2 2" xfId="31844" xr:uid="{00000000-0005-0000-0000-000025270000}"/>
    <cellStyle name="표준 5 2 2 2 3 3 3 4 2 2 3" xfId="40055" xr:uid="{00000000-0005-0000-0000-000026270000}"/>
    <cellStyle name="표준 5 2 2 2 3 3 3 4 2 2 4" xfId="48248" xr:uid="{00000000-0005-0000-0000-000027270000}"/>
    <cellStyle name="표준 5 2 2 2 3 3 3 4 2 3" xfId="19490" xr:uid="{00000000-0005-0000-0000-000028270000}"/>
    <cellStyle name="표준 5 2 2 2 3 3 3 4 2 4" xfId="23652" xr:uid="{00000000-0005-0000-0000-000029270000}"/>
    <cellStyle name="표준 5 2 2 2 3 3 3 4 2 5" xfId="27748" xr:uid="{00000000-0005-0000-0000-00002A270000}"/>
    <cellStyle name="표준 5 2 2 2 3 3 3 4 2 6" xfId="35959" xr:uid="{00000000-0005-0000-0000-00002B270000}"/>
    <cellStyle name="표준 5 2 2 2 3 3 3 4 2 7" xfId="44152" xr:uid="{00000000-0005-0000-0000-00002C270000}"/>
    <cellStyle name="표준 5 2 2 2 3 3 3 4 3" xfId="9090" xr:uid="{00000000-0005-0000-0000-00002D270000}"/>
    <cellStyle name="표준 5 2 2 2 3 3 3 4 3 2" xfId="29796" xr:uid="{00000000-0005-0000-0000-00002E270000}"/>
    <cellStyle name="표준 5 2 2 2 3 3 3 4 3 3" xfId="38007" xr:uid="{00000000-0005-0000-0000-00002F270000}"/>
    <cellStyle name="표준 5 2 2 2 3 3 3 4 3 4" xfId="46200" xr:uid="{00000000-0005-0000-0000-000030270000}"/>
    <cellStyle name="표준 5 2 2 2 3 3 3 4 4" xfId="13202" xr:uid="{00000000-0005-0000-0000-000031270000}"/>
    <cellStyle name="표준 5 2 2 2 3 3 3 4 5" xfId="17442" xr:uid="{00000000-0005-0000-0000-000032270000}"/>
    <cellStyle name="표준 5 2 2 2 3 3 3 4 6" xfId="21604" xr:uid="{00000000-0005-0000-0000-000033270000}"/>
    <cellStyle name="표준 5 2 2 2 3 3 3 4 7" xfId="25700" xr:uid="{00000000-0005-0000-0000-000034270000}"/>
    <cellStyle name="표준 5 2 2 2 3 3 3 4 8" xfId="33911" xr:uid="{00000000-0005-0000-0000-000035270000}"/>
    <cellStyle name="표준 5 2 2 2 3 3 3 4 9" xfId="42104" xr:uid="{00000000-0005-0000-0000-000036270000}"/>
    <cellStyle name="표준 5 2 2 2 3 3 3 5" xfId="9602" xr:uid="{00000000-0005-0000-0000-000037270000}"/>
    <cellStyle name="표준 5 2 2 2 3 3 3 5 2" xfId="13714" xr:uid="{00000000-0005-0000-0000-000038270000}"/>
    <cellStyle name="표준 5 2 2 2 3 3 3 5 2 2" xfId="30308" xr:uid="{00000000-0005-0000-0000-000039270000}"/>
    <cellStyle name="표준 5 2 2 2 3 3 3 5 2 3" xfId="38519" xr:uid="{00000000-0005-0000-0000-00003A270000}"/>
    <cellStyle name="표준 5 2 2 2 3 3 3 5 2 4" xfId="46712" xr:uid="{00000000-0005-0000-0000-00003B270000}"/>
    <cellStyle name="표준 5 2 2 2 3 3 3 5 3" xfId="17954" xr:uid="{00000000-0005-0000-0000-00003C270000}"/>
    <cellStyle name="표준 5 2 2 2 3 3 3 5 4" xfId="22116" xr:uid="{00000000-0005-0000-0000-00003D270000}"/>
    <cellStyle name="표준 5 2 2 2 3 3 3 5 5" xfId="26212" xr:uid="{00000000-0005-0000-0000-00003E270000}"/>
    <cellStyle name="표준 5 2 2 2 3 3 3 5 6" xfId="34423" xr:uid="{00000000-0005-0000-0000-00003F270000}"/>
    <cellStyle name="표준 5 2 2 2 3 3 3 5 7" xfId="42616" xr:uid="{00000000-0005-0000-0000-000040270000}"/>
    <cellStyle name="표준 5 2 2 2 3 3 3 6" xfId="7554" xr:uid="{00000000-0005-0000-0000-000041270000}"/>
    <cellStyle name="표준 5 2 2 2 3 3 3 6 2" xfId="28260" xr:uid="{00000000-0005-0000-0000-000042270000}"/>
    <cellStyle name="표준 5 2 2 2 3 3 3 6 3" xfId="36471" xr:uid="{00000000-0005-0000-0000-000043270000}"/>
    <cellStyle name="표준 5 2 2 2 3 3 3 6 4" xfId="44664" xr:uid="{00000000-0005-0000-0000-000044270000}"/>
    <cellStyle name="표준 5 2 2 2 3 3 3 7" xfId="11666" xr:uid="{00000000-0005-0000-0000-000045270000}"/>
    <cellStyle name="표준 5 2 2 2 3 3 3 8" xfId="15906" xr:uid="{00000000-0005-0000-0000-000046270000}"/>
    <cellStyle name="표준 5 2 2 2 3 3 3 9" xfId="20068" xr:uid="{00000000-0005-0000-0000-000047270000}"/>
    <cellStyle name="표준 5 2 2 2 3 3 4" xfId="955" xr:uid="{00000000-0005-0000-0000-000048270000}"/>
    <cellStyle name="표준 5 2 2 2 3 3 4 2" xfId="9858" xr:uid="{00000000-0005-0000-0000-000049270000}"/>
    <cellStyle name="표준 5 2 2 2 3 3 4 2 2" xfId="13970" xr:uid="{00000000-0005-0000-0000-00004A270000}"/>
    <cellStyle name="표준 5 2 2 2 3 3 4 2 2 2" xfId="30564" xr:uid="{00000000-0005-0000-0000-00004B270000}"/>
    <cellStyle name="표준 5 2 2 2 3 3 4 2 2 3" xfId="38775" xr:uid="{00000000-0005-0000-0000-00004C270000}"/>
    <cellStyle name="표준 5 2 2 2 3 3 4 2 2 4" xfId="46968" xr:uid="{00000000-0005-0000-0000-00004D270000}"/>
    <cellStyle name="표준 5 2 2 2 3 3 4 2 3" xfId="18210" xr:uid="{00000000-0005-0000-0000-00004E270000}"/>
    <cellStyle name="표준 5 2 2 2 3 3 4 2 4" xfId="22372" xr:uid="{00000000-0005-0000-0000-00004F270000}"/>
    <cellStyle name="표준 5 2 2 2 3 3 4 2 5" xfId="26468" xr:uid="{00000000-0005-0000-0000-000050270000}"/>
    <cellStyle name="표준 5 2 2 2 3 3 4 2 6" xfId="34679" xr:uid="{00000000-0005-0000-0000-000051270000}"/>
    <cellStyle name="표준 5 2 2 2 3 3 4 2 7" xfId="42872" xr:uid="{00000000-0005-0000-0000-000052270000}"/>
    <cellStyle name="표준 5 2 2 2 3 3 4 3" xfId="7810" xr:uid="{00000000-0005-0000-0000-000053270000}"/>
    <cellStyle name="표준 5 2 2 2 3 3 4 3 2" xfId="28516" xr:uid="{00000000-0005-0000-0000-000054270000}"/>
    <cellStyle name="표준 5 2 2 2 3 3 4 3 3" xfId="36727" xr:uid="{00000000-0005-0000-0000-000055270000}"/>
    <cellStyle name="표준 5 2 2 2 3 3 4 3 4" xfId="44920" xr:uid="{00000000-0005-0000-0000-000056270000}"/>
    <cellStyle name="표준 5 2 2 2 3 3 4 4" xfId="11922" xr:uid="{00000000-0005-0000-0000-000057270000}"/>
    <cellStyle name="표준 5 2 2 2 3 3 4 5" xfId="16162" xr:uid="{00000000-0005-0000-0000-000058270000}"/>
    <cellStyle name="표준 5 2 2 2 3 3 4 6" xfId="20324" xr:uid="{00000000-0005-0000-0000-000059270000}"/>
    <cellStyle name="표준 5 2 2 2 3 3 4 7" xfId="24420" xr:uid="{00000000-0005-0000-0000-00005A270000}"/>
    <cellStyle name="표준 5 2 2 2 3 3 4 8" xfId="32631" xr:uid="{00000000-0005-0000-0000-00005B270000}"/>
    <cellStyle name="표준 5 2 2 2 3 3 4 9" xfId="40824" xr:uid="{00000000-0005-0000-0000-00005C270000}"/>
    <cellStyle name="표준 5 2 2 2 3 3 5" xfId="1467" xr:uid="{00000000-0005-0000-0000-00005D270000}"/>
    <cellStyle name="표준 5 2 2 2 3 3 5 2" xfId="10370" xr:uid="{00000000-0005-0000-0000-00005E270000}"/>
    <cellStyle name="표준 5 2 2 2 3 3 5 2 2" xfId="14482" xr:uid="{00000000-0005-0000-0000-00005F270000}"/>
    <cellStyle name="표준 5 2 2 2 3 3 5 2 2 2" xfId="31076" xr:uid="{00000000-0005-0000-0000-000060270000}"/>
    <cellStyle name="표준 5 2 2 2 3 3 5 2 2 3" xfId="39287" xr:uid="{00000000-0005-0000-0000-000061270000}"/>
    <cellStyle name="표준 5 2 2 2 3 3 5 2 2 4" xfId="47480" xr:uid="{00000000-0005-0000-0000-000062270000}"/>
    <cellStyle name="표준 5 2 2 2 3 3 5 2 3" xfId="18722" xr:uid="{00000000-0005-0000-0000-000063270000}"/>
    <cellStyle name="표준 5 2 2 2 3 3 5 2 4" xfId="22884" xr:uid="{00000000-0005-0000-0000-000064270000}"/>
    <cellStyle name="표준 5 2 2 2 3 3 5 2 5" xfId="26980" xr:uid="{00000000-0005-0000-0000-000065270000}"/>
    <cellStyle name="표준 5 2 2 2 3 3 5 2 6" xfId="35191" xr:uid="{00000000-0005-0000-0000-000066270000}"/>
    <cellStyle name="표준 5 2 2 2 3 3 5 2 7" xfId="43384" xr:uid="{00000000-0005-0000-0000-000067270000}"/>
    <cellStyle name="표준 5 2 2 2 3 3 5 3" xfId="8322" xr:uid="{00000000-0005-0000-0000-000068270000}"/>
    <cellStyle name="표준 5 2 2 2 3 3 5 3 2" xfId="29028" xr:uid="{00000000-0005-0000-0000-000069270000}"/>
    <cellStyle name="표준 5 2 2 2 3 3 5 3 3" xfId="37239" xr:uid="{00000000-0005-0000-0000-00006A270000}"/>
    <cellStyle name="표준 5 2 2 2 3 3 5 3 4" xfId="45432" xr:uid="{00000000-0005-0000-0000-00006B270000}"/>
    <cellStyle name="표준 5 2 2 2 3 3 5 4" xfId="12434" xr:uid="{00000000-0005-0000-0000-00006C270000}"/>
    <cellStyle name="표준 5 2 2 2 3 3 5 5" xfId="16674" xr:uid="{00000000-0005-0000-0000-00006D270000}"/>
    <cellStyle name="표준 5 2 2 2 3 3 5 6" xfId="20836" xr:uid="{00000000-0005-0000-0000-00006E270000}"/>
    <cellStyle name="표준 5 2 2 2 3 3 5 7" xfId="24932" xr:uid="{00000000-0005-0000-0000-00006F270000}"/>
    <cellStyle name="표준 5 2 2 2 3 3 5 8" xfId="33143" xr:uid="{00000000-0005-0000-0000-000070270000}"/>
    <cellStyle name="표준 5 2 2 2 3 3 5 9" xfId="41336" xr:uid="{00000000-0005-0000-0000-000071270000}"/>
    <cellStyle name="표준 5 2 2 2 3 3 6" xfId="1979" xr:uid="{00000000-0005-0000-0000-000072270000}"/>
    <cellStyle name="표준 5 2 2 2 3 3 6 2" xfId="10882" xr:uid="{00000000-0005-0000-0000-000073270000}"/>
    <cellStyle name="표준 5 2 2 2 3 3 6 2 2" xfId="14994" xr:uid="{00000000-0005-0000-0000-000074270000}"/>
    <cellStyle name="표준 5 2 2 2 3 3 6 2 2 2" xfId="31588" xr:uid="{00000000-0005-0000-0000-000075270000}"/>
    <cellStyle name="표준 5 2 2 2 3 3 6 2 2 3" xfId="39799" xr:uid="{00000000-0005-0000-0000-000076270000}"/>
    <cellStyle name="표준 5 2 2 2 3 3 6 2 2 4" xfId="47992" xr:uid="{00000000-0005-0000-0000-000077270000}"/>
    <cellStyle name="표준 5 2 2 2 3 3 6 2 3" xfId="19234" xr:uid="{00000000-0005-0000-0000-000078270000}"/>
    <cellStyle name="표준 5 2 2 2 3 3 6 2 4" xfId="23396" xr:uid="{00000000-0005-0000-0000-000079270000}"/>
    <cellStyle name="표준 5 2 2 2 3 3 6 2 5" xfId="27492" xr:uid="{00000000-0005-0000-0000-00007A270000}"/>
    <cellStyle name="표준 5 2 2 2 3 3 6 2 6" xfId="35703" xr:uid="{00000000-0005-0000-0000-00007B270000}"/>
    <cellStyle name="표준 5 2 2 2 3 3 6 2 7" xfId="43896" xr:uid="{00000000-0005-0000-0000-00007C270000}"/>
    <cellStyle name="표준 5 2 2 2 3 3 6 3" xfId="8834" xr:uid="{00000000-0005-0000-0000-00007D270000}"/>
    <cellStyle name="표준 5 2 2 2 3 3 6 3 2" xfId="29540" xr:uid="{00000000-0005-0000-0000-00007E270000}"/>
    <cellStyle name="표준 5 2 2 2 3 3 6 3 3" xfId="37751" xr:uid="{00000000-0005-0000-0000-00007F270000}"/>
    <cellStyle name="표준 5 2 2 2 3 3 6 3 4" xfId="45944" xr:uid="{00000000-0005-0000-0000-000080270000}"/>
    <cellStyle name="표준 5 2 2 2 3 3 6 4" xfId="12946" xr:uid="{00000000-0005-0000-0000-000081270000}"/>
    <cellStyle name="표준 5 2 2 2 3 3 6 5" xfId="17186" xr:uid="{00000000-0005-0000-0000-000082270000}"/>
    <cellStyle name="표준 5 2 2 2 3 3 6 6" xfId="21348" xr:uid="{00000000-0005-0000-0000-000083270000}"/>
    <cellStyle name="표준 5 2 2 2 3 3 6 7" xfId="25444" xr:uid="{00000000-0005-0000-0000-000084270000}"/>
    <cellStyle name="표준 5 2 2 2 3 3 6 8" xfId="33655" xr:uid="{00000000-0005-0000-0000-000085270000}"/>
    <cellStyle name="표준 5 2 2 2 3 3 6 9" xfId="41848" xr:uid="{00000000-0005-0000-0000-000086270000}"/>
    <cellStyle name="표준 5 2 2 2 3 3 7" xfId="9346" xr:uid="{00000000-0005-0000-0000-000087270000}"/>
    <cellStyle name="표준 5 2 2 2 3 3 7 2" xfId="13458" xr:uid="{00000000-0005-0000-0000-000088270000}"/>
    <cellStyle name="표준 5 2 2 2 3 3 7 2 2" xfId="30052" xr:uid="{00000000-0005-0000-0000-000089270000}"/>
    <cellStyle name="표준 5 2 2 2 3 3 7 2 3" xfId="38263" xr:uid="{00000000-0005-0000-0000-00008A270000}"/>
    <cellStyle name="표준 5 2 2 2 3 3 7 2 4" xfId="46456" xr:uid="{00000000-0005-0000-0000-00008B270000}"/>
    <cellStyle name="표준 5 2 2 2 3 3 7 3" xfId="17698" xr:uid="{00000000-0005-0000-0000-00008C270000}"/>
    <cellStyle name="표준 5 2 2 2 3 3 7 4" xfId="21860" xr:uid="{00000000-0005-0000-0000-00008D270000}"/>
    <cellStyle name="표준 5 2 2 2 3 3 7 5" xfId="25956" xr:uid="{00000000-0005-0000-0000-00008E270000}"/>
    <cellStyle name="표준 5 2 2 2 3 3 7 6" xfId="34167" xr:uid="{00000000-0005-0000-0000-00008F270000}"/>
    <cellStyle name="표준 5 2 2 2 3 3 7 7" xfId="42360" xr:uid="{00000000-0005-0000-0000-000090270000}"/>
    <cellStyle name="표준 5 2 2 2 3 3 8" xfId="7298" xr:uid="{00000000-0005-0000-0000-000091270000}"/>
    <cellStyle name="표준 5 2 2 2 3 3 8 2" xfId="28004" xr:uid="{00000000-0005-0000-0000-000092270000}"/>
    <cellStyle name="표준 5 2 2 2 3 3 8 3" xfId="36215" xr:uid="{00000000-0005-0000-0000-000093270000}"/>
    <cellStyle name="표준 5 2 2 2 3 3 8 4" xfId="44408" xr:uid="{00000000-0005-0000-0000-000094270000}"/>
    <cellStyle name="표준 5 2 2 2 3 3 9" xfId="11410" xr:uid="{00000000-0005-0000-0000-000095270000}"/>
    <cellStyle name="표준 5 2 2 2 3 4" xfId="507" xr:uid="{00000000-0005-0000-0000-000096270000}"/>
    <cellStyle name="표준 5 2 2 2 3 4 10" xfId="19876" xr:uid="{00000000-0005-0000-0000-000097270000}"/>
    <cellStyle name="표준 5 2 2 2 3 4 11" xfId="23972" xr:uid="{00000000-0005-0000-0000-000098270000}"/>
    <cellStyle name="표준 5 2 2 2 3 4 12" xfId="32183" xr:uid="{00000000-0005-0000-0000-000099270000}"/>
    <cellStyle name="표준 5 2 2 2 3 4 13" xfId="40376" xr:uid="{00000000-0005-0000-0000-00009A270000}"/>
    <cellStyle name="표준 5 2 2 2 3 4 2" xfId="763" xr:uid="{00000000-0005-0000-0000-00009B270000}"/>
    <cellStyle name="표준 5 2 2 2 3 4 2 10" xfId="24228" xr:uid="{00000000-0005-0000-0000-00009C270000}"/>
    <cellStyle name="표준 5 2 2 2 3 4 2 11" xfId="32439" xr:uid="{00000000-0005-0000-0000-00009D270000}"/>
    <cellStyle name="표준 5 2 2 2 3 4 2 12" xfId="40632" xr:uid="{00000000-0005-0000-0000-00009E270000}"/>
    <cellStyle name="표준 5 2 2 2 3 4 2 2" xfId="1275" xr:uid="{00000000-0005-0000-0000-00009F270000}"/>
    <cellStyle name="표준 5 2 2 2 3 4 2 2 2" xfId="10178" xr:uid="{00000000-0005-0000-0000-0000A0270000}"/>
    <cellStyle name="표준 5 2 2 2 3 4 2 2 2 2" xfId="14290" xr:uid="{00000000-0005-0000-0000-0000A1270000}"/>
    <cellStyle name="표준 5 2 2 2 3 4 2 2 2 2 2" xfId="30884" xr:uid="{00000000-0005-0000-0000-0000A2270000}"/>
    <cellStyle name="표준 5 2 2 2 3 4 2 2 2 2 3" xfId="39095" xr:uid="{00000000-0005-0000-0000-0000A3270000}"/>
    <cellStyle name="표준 5 2 2 2 3 4 2 2 2 2 4" xfId="47288" xr:uid="{00000000-0005-0000-0000-0000A4270000}"/>
    <cellStyle name="표준 5 2 2 2 3 4 2 2 2 3" xfId="18530" xr:uid="{00000000-0005-0000-0000-0000A5270000}"/>
    <cellStyle name="표준 5 2 2 2 3 4 2 2 2 4" xfId="22692" xr:uid="{00000000-0005-0000-0000-0000A6270000}"/>
    <cellStyle name="표준 5 2 2 2 3 4 2 2 2 5" xfId="26788" xr:uid="{00000000-0005-0000-0000-0000A7270000}"/>
    <cellStyle name="표준 5 2 2 2 3 4 2 2 2 6" xfId="34999" xr:uid="{00000000-0005-0000-0000-0000A8270000}"/>
    <cellStyle name="표준 5 2 2 2 3 4 2 2 2 7" xfId="43192" xr:uid="{00000000-0005-0000-0000-0000A9270000}"/>
    <cellStyle name="표준 5 2 2 2 3 4 2 2 3" xfId="8130" xr:uid="{00000000-0005-0000-0000-0000AA270000}"/>
    <cellStyle name="표준 5 2 2 2 3 4 2 2 3 2" xfId="28836" xr:uid="{00000000-0005-0000-0000-0000AB270000}"/>
    <cellStyle name="표준 5 2 2 2 3 4 2 2 3 3" xfId="37047" xr:uid="{00000000-0005-0000-0000-0000AC270000}"/>
    <cellStyle name="표준 5 2 2 2 3 4 2 2 3 4" xfId="45240" xr:uid="{00000000-0005-0000-0000-0000AD270000}"/>
    <cellStyle name="표준 5 2 2 2 3 4 2 2 4" xfId="12242" xr:uid="{00000000-0005-0000-0000-0000AE270000}"/>
    <cellStyle name="표준 5 2 2 2 3 4 2 2 5" xfId="16482" xr:uid="{00000000-0005-0000-0000-0000AF270000}"/>
    <cellStyle name="표준 5 2 2 2 3 4 2 2 6" xfId="20644" xr:uid="{00000000-0005-0000-0000-0000B0270000}"/>
    <cellStyle name="표준 5 2 2 2 3 4 2 2 7" xfId="24740" xr:uid="{00000000-0005-0000-0000-0000B1270000}"/>
    <cellStyle name="표준 5 2 2 2 3 4 2 2 8" xfId="32951" xr:uid="{00000000-0005-0000-0000-0000B2270000}"/>
    <cellStyle name="표준 5 2 2 2 3 4 2 2 9" xfId="41144" xr:uid="{00000000-0005-0000-0000-0000B3270000}"/>
    <cellStyle name="표준 5 2 2 2 3 4 2 3" xfId="1787" xr:uid="{00000000-0005-0000-0000-0000B4270000}"/>
    <cellStyle name="표준 5 2 2 2 3 4 2 3 2" xfId="10690" xr:uid="{00000000-0005-0000-0000-0000B5270000}"/>
    <cellStyle name="표준 5 2 2 2 3 4 2 3 2 2" xfId="14802" xr:uid="{00000000-0005-0000-0000-0000B6270000}"/>
    <cellStyle name="표준 5 2 2 2 3 4 2 3 2 2 2" xfId="31396" xr:uid="{00000000-0005-0000-0000-0000B7270000}"/>
    <cellStyle name="표준 5 2 2 2 3 4 2 3 2 2 3" xfId="39607" xr:uid="{00000000-0005-0000-0000-0000B8270000}"/>
    <cellStyle name="표준 5 2 2 2 3 4 2 3 2 2 4" xfId="47800" xr:uid="{00000000-0005-0000-0000-0000B9270000}"/>
    <cellStyle name="표준 5 2 2 2 3 4 2 3 2 3" xfId="19042" xr:uid="{00000000-0005-0000-0000-0000BA270000}"/>
    <cellStyle name="표준 5 2 2 2 3 4 2 3 2 4" xfId="23204" xr:uid="{00000000-0005-0000-0000-0000BB270000}"/>
    <cellStyle name="표준 5 2 2 2 3 4 2 3 2 5" xfId="27300" xr:uid="{00000000-0005-0000-0000-0000BC270000}"/>
    <cellStyle name="표준 5 2 2 2 3 4 2 3 2 6" xfId="35511" xr:uid="{00000000-0005-0000-0000-0000BD270000}"/>
    <cellStyle name="표준 5 2 2 2 3 4 2 3 2 7" xfId="43704" xr:uid="{00000000-0005-0000-0000-0000BE270000}"/>
    <cellStyle name="표준 5 2 2 2 3 4 2 3 3" xfId="8642" xr:uid="{00000000-0005-0000-0000-0000BF270000}"/>
    <cellStyle name="표준 5 2 2 2 3 4 2 3 3 2" xfId="29348" xr:uid="{00000000-0005-0000-0000-0000C0270000}"/>
    <cellStyle name="표준 5 2 2 2 3 4 2 3 3 3" xfId="37559" xr:uid="{00000000-0005-0000-0000-0000C1270000}"/>
    <cellStyle name="표준 5 2 2 2 3 4 2 3 3 4" xfId="45752" xr:uid="{00000000-0005-0000-0000-0000C2270000}"/>
    <cellStyle name="표준 5 2 2 2 3 4 2 3 4" xfId="12754" xr:uid="{00000000-0005-0000-0000-0000C3270000}"/>
    <cellStyle name="표준 5 2 2 2 3 4 2 3 5" xfId="16994" xr:uid="{00000000-0005-0000-0000-0000C4270000}"/>
    <cellStyle name="표준 5 2 2 2 3 4 2 3 6" xfId="21156" xr:uid="{00000000-0005-0000-0000-0000C5270000}"/>
    <cellStyle name="표준 5 2 2 2 3 4 2 3 7" xfId="25252" xr:uid="{00000000-0005-0000-0000-0000C6270000}"/>
    <cellStyle name="표준 5 2 2 2 3 4 2 3 8" xfId="33463" xr:uid="{00000000-0005-0000-0000-0000C7270000}"/>
    <cellStyle name="표준 5 2 2 2 3 4 2 3 9" xfId="41656" xr:uid="{00000000-0005-0000-0000-0000C8270000}"/>
    <cellStyle name="표준 5 2 2 2 3 4 2 4" xfId="2299" xr:uid="{00000000-0005-0000-0000-0000C9270000}"/>
    <cellStyle name="표준 5 2 2 2 3 4 2 4 2" xfId="11202" xr:uid="{00000000-0005-0000-0000-0000CA270000}"/>
    <cellStyle name="표준 5 2 2 2 3 4 2 4 2 2" xfId="15314" xr:uid="{00000000-0005-0000-0000-0000CB270000}"/>
    <cellStyle name="표준 5 2 2 2 3 4 2 4 2 2 2" xfId="31908" xr:uid="{00000000-0005-0000-0000-0000CC270000}"/>
    <cellStyle name="표준 5 2 2 2 3 4 2 4 2 2 3" xfId="40119" xr:uid="{00000000-0005-0000-0000-0000CD270000}"/>
    <cellStyle name="표준 5 2 2 2 3 4 2 4 2 2 4" xfId="48312" xr:uid="{00000000-0005-0000-0000-0000CE270000}"/>
    <cellStyle name="표준 5 2 2 2 3 4 2 4 2 3" xfId="19554" xr:uid="{00000000-0005-0000-0000-0000CF270000}"/>
    <cellStyle name="표준 5 2 2 2 3 4 2 4 2 4" xfId="23716" xr:uid="{00000000-0005-0000-0000-0000D0270000}"/>
    <cellStyle name="표준 5 2 2 2 3 4 2 4 2 5" xfId="27812" xr:uid="{00000000-0005-0000-0000-0000D1270000}"/>
    <cellStyle name="표준 5 2 2 2 3 4 2 4 2 6" xfId="36023" xr:uid="{00000000-0005-0000-0000-0000D2270000}"/>
    <cellStyle name="표준 5 2 2 2 3 4 2 4 2 7" xfId="44216" xr:uid="{00000000-0005-0000-0000-0000D3270000}"/>
    <cellStyle name="표준 5 2 2 2 3 4 2 4 3" xfId="9154" xr:uid="{00000000-0005-0000-0000-0000D4270000}"/>
    <cellStyle name="표준 5 2 2 2 3 4 2 4 3 2" xfId="29860" xr:uid="{00000000-0005-0000-0000-0000D5270000}"/>
    <cellStyle name="표준 5 2 2 2 3 4 2 4 3 3" xfId="38071" xr:uid="{00000000-0005-0000-0000-0000D6270000}"/>
    <cellStyle name="표준 5 2 2 2 3 4 2 4 3 4" xfId="46264" xr:uid="{00000000-0005-0000-0000-0000D7270000}"/>
    <cellStyle name="표준 5 2 2 2 3 4 2 4 4" xfId="13266" xr:uid="{00000000-0005-0000-0000-0000D8270000}"/>
    <cellStyle name="표준 5 2 2 2 3 4 2 4 5" xfId="17506" xr:uid="{00000000-0005-0000-0000-0000D9270000}"/>
    <cellStyle name="표준 5 2 2 2 3 4 2 4 6" xfId="21668" xr:uid="{00000000-0005-0000-0000-0000DA270000}"/>
    <cellStyle name="표준 5 2 2 2 3 4 2 4 7" xfId="25764" xr:uid="{00000000-0005-0000-0000-0000DB270000}"/>
    <cellStyle name="표준 5 2 2 2 3 4 2 4 8" xfId="33975" xr:uid="{00000000-0005-0000-0000-0000DC270000}"/>
    <cellStyle name="표준 5 2 2 2 3 4 2 4 9" xfId="42168" xr:uid="{00000000-0005-0000-0000-0000DD270000}"/>
    <cellStyle name="표준 5 2 2 2 3 4 2 5" xfId="9666" xr:uid="{00000000-0005-0000-0000-0000DE270000}"/>
    <cellStyle name="표준 5 2 2 2 3 4 2 5 2" xfId="13778" xr:uid="{00000000-0005-0000-0000-0000DF270000}"/>
    <cellStyle name="표준 5 2 2 2 3 4 2 5 2 2" xfId="30372" xr:uid="{00000000-0005-0000-0000-0000E0270000}"/>
    <cellStyle name="표준 5 2 2 2 3 4 2 5 2 3" xfId="38583" xr:uid="{00000000-0005-0000-0000-0000E1270000}"/>
    <cellStyle name="표준 5 2 2 2 3 4 2 5 2 4" xfId="46776" xr:uid="{00000000-0005-0000-0000-0000E2270000}"/>
    <cellStyle name="표준 5 2 2 2 3 4 2 5 3" xfId="18018" xr:uid="{00000000-0005-0000-0000-0000E3270000}"/>
    <cellStyle name="표준 5 2 2 2 3 4 2 5 4" xfId="22180" xr:uid="{00000000-0005-0000-0000-0000E4270000}"/>
    <cellStyle name="표준 5 2 2 2 3 4 2 5 5" xfId="26276" xr:uid="{00000000-0005-0000-0000-0000E5270000}"/>
    <cellStyle name="표준 5 2 2 2 3 4 2 5 6" xfId="34487" xr:uid="{00000000-0005-0000-0000-0000E6270000}"/>
    <cellStyle name="표준 5 2 2 2 3 4 2 5 7" xfId="42680" xr:uid="{00000000-0005-0000-0000-0000E7270000}"/>
    <cellStyle name="표준 5 2 2 2 3 4 2 6" xfId="7618" xr:uid="{00000000-0005-0000-0000-0000E8270000}"/>
    <cellStyle name="표준 5 2 2 2 3 4 2 6 2" xfId="28324" xr:uid="{00000000-0005-0000-0000-0000E9270000}"/>
    <cellStyle name="표준 5 2 2 2 3 4 2 6 3" xfId="36535" xr:uid="{00000000-0005-0000-0000-0000EA270000}"/>
    <cellStyle name="표준 5 2 2 2 3 4 2 6 4" xfId="44728" xr:uid="{00000000-0005-0000-0000-0000EB270000}"/>
    <cellStyle name="표준 5 2 2 2 3 4 2 7" xfId="11730" xr:uid="{00000000-0005-0000-0000-0000EC270000}"/>
    <cellStyle name="표준 5 2 2 2 3 4 2 8" xfId="15970" xr:uid="{00000000-0005-0000-0000-0000ED270000}"/>
    <cellStyle name="표준 5 2 2 2 3 4 2 9" xfId="20132" xr:uid="{00000000-0005-0000-0000-0000EE270000}"/>
    <cellStyle name="표준 5 2 2 2 3 4 3" xfId="1019" xr:uid="{00000000-0005-0000-0000-0000EF270000}"/>
    <cellStyle name="표준 5 2 2 2 3 4 3 2" xfId="9922" xr:uid="{00000000-0005-0000-0000-0000F0270000}"/>
    <cellStyle name="표준 5 2 2 2 3 4 3 2 2" xfId="14034" xr:uid="{00000000-0005-0000-0000-0000F1270000}"/>
    <cellStyle name="표준 5 2 2 2 3 4 3 2 2 2" xfId="30628" xr:uid="{00000000-0005-0000-0000-0000F2270000}"/>
    <cellStyle name="표준 5 2 2 2 3 4 3 2 2 3" xfId="38839" xr:uid="{00000000-0005-0000-0000-0000F3270000}"/>
    <cellStyle name="표준 5 2 2 2 3 4 3 2 2 4" xfId="47032" xr:uid="{00000000-0005-0000-0000-0000F4270000}"/>
    <cellStyle name="표준 5 2 2 2 3 4 3 2 3" xfId="18274" xr:uid="{00000000-0005-0000-0000-0000F5270000}"/>
    <cellStyle name="표준 5 2 2 2 3 4 3 2 4" xfId="22436" xr:uid="{00000000-0005-0000-0000-0000F6270000}"/>
    <cellStyle name="표준 5 2 2 2 3 4 3 2 5" xfId="26532" xr:uid="{00000000-0005-0000-0000-0000F7270000}"/>
    <cellStyle name="표준 5 2 2 2 3 4 3 2 6" xfId="34743" xr:uid="{00000000-0005-0000-0000-0000F8270000}"/>
    <cellStyle name="표준 5 2 2 2 3 4 3 2 7" xfId="42936" xr:uid="{00000000-0005-0000-0000-0000F9270000}"/>
    <cellStyle name="표준 5 2 2 2 3 4 3 3" xfId="7874" xr:uid="{00000000-0005-0000-0000-0000FA270000}"/>
    <cellStyle name="표준 5 2 2 2 3 4 3 3 2" xfId="28580" xr:uid="{00000000-0005-0000-0000-0000FB270000}"/>
    <cellStyle name="표준 5 2 2 2 3 4 3 3 3" xfId="36791" xr:uid="{00000000-0005-0000-0000-0000FC270000}"/>
    <cellStyle name="표준 5 2 2 2 3 4 3 3 4" xfId="44984" xr:uid="{00000000-0005-0000-0000-0000FD270000}"/>
    <cellStyle name="표준 5 2 2 2 3 4 3 4" xfId="11986" xr:uid="{00000000-0005-0000-0000-0000FE270000}"/>
    <cellStyle name="표준 5 2 2 2 3 4 3 5" xfId="16226" xr:uid="{00000000-0005-0000-0000-0000FF270000}"/>
    <cellStyle name="표준 5 2 2 2 3 4 3 6" xfId="20388" xr:uid="{00000000-0005-0000-0000-000000280000}"/>
    <cellStyle name="표준 5 2 2 2 3 4 3 7" xfId="24484" xr:uid="{00000000-0005-0000-0000-000001280000}"/>
    <cellStyle name="표준 5 2 2 2 3 4 3 8" xfId="32695" xr:uid="{00000000-0005-0000-0000-000002280000}"/>
    <cellStyle name="표준 5 2 2 2 3 4 3 9" xfId="40888" xr:uid="{00000000-0005-0000-0000-000003280000}"/>
    <cellStyle name="표준 5 2 2 2 3 4 4" xfId="1531" xr:uid="{00000000-0005-0000-0000-000004280000}"/>
    <cellStyle name="표준 5 2 2 2 3 4 4 2" xfId="10434" xr:uid="{00000000-0005-0000-0000-000005280000}"/>
    <cellStyle name="표준 5 2 2 2 3 4 4 2 2" xfId="14546" xr:uid="{00000000-0005-0000-0000-000006280000}"/>
    <cellStyle name="표준 5 2 2 2 3 4 4 2 2 2" xfId="31140" xr:uid="{00000000-0005-0000-0000-000007280000}"/>
    <cellStyle name="표준 5 2 2 2 3 4 4 2 2 3" xfId="39351" xr:uid="{00000000-0005-0000-0000-000008280000}"/>
    <cellStyle name="표준 5 2 2 2 3 4 4 2 2 4" xfId="47544" xr:uid="{00000000-0005-0000-0000-000009280000}"/>
    <cellStyle name="표준 5 2 2 2 3 4 4 2 3" xfId="18786" xr:uid="{00000000-0005-0000-0000-00000A280000}"/>
    <cellStyle name="표준 5 2 2 2 3 4 4 2 4" xfId="22948" xr:uid="{00000000-0005-0000-0000-00000B280000}"/>
    <cellStyle name="표준 5 2 2 2 3 4 4 2 5" xfId="27044" xr:uid="{00000000-0005-0000-0000-00000C280000}"/>
    <cellStyle name="표준 5 2 2 2 3 4 4 2 6" xfId="35255" xr:uid="{00000000-0005-0000-0000-00000D280000}"/>
    <cellStyle name="표준 5 2 2 2 3 4 4 2 7" xfId="43448" xr:uid="{00000000-0005-0000-0000-00000E280000}"/>
    <cellStyle name="표준 5 2 2 2 3 4 4 3" xfId="8386" xr:uid="{00000000-0005-0000-0000-00000F280000}"/>
    <cellStyle name="표준 5 2 2 2 3 4 4 3 2" xfId="29092" xr:uid="{00000000-0005-0000-0000-000010280000}"/>
    <cellStyle name="표준 5 2 2 2 3 4 4 3 3" xfId="37303" xr:uid="{00000000-0005-0000-0000-000011280000}"/>
    <cellStyle name="표준 5 2 2 2 3 4 4 3 4" xfId="45496" xr:uid="{00000000-0005-0000-0000-000012280000}"/>
    <cellStyle name="표준 5 2 2 2 3 4 4 4" xfId="12498" xr:uid="{00000000-0005-0000-0000-000013280000}"/>
    <cellStyle name="표준 5 2 2 2 3 4 4 5" xfId="16738" xr:uid="{00000000-0005-0000-0000-000014280000}"/>
    <cellStyle name="표준 5 2 2 2 3 4 4 6" xfId="20900" xr:uid="{00000000-0005-0000-0000-000015280000}"/>
    <cellStyle name="표준 5 2 2 2 3 4 4 7" xfId="24996" xr:uid="{00000000-0005-0000-0000-000016280000}"/>
    <cellStyle name="표준 5 2 2 2 3 4 4 8" xfId="33207" xr:uid="{00000000-0005-0000-0000-000017280000}"/>
    <cellStyle name="표준 5 2 2 2 3 4 4 9" xfId="41400" xr:uid="{00000000-0005-0000-0000-000018280000}"/>
    <cellStyle name="표준 5 2 2 2 3 4 5" xfId="2043" xr:uid="{00000000-0005-0000-0000-000019280000}"/>
    <cellStyle name="표준 5 2 2 2 3 4 5 2" xfId="10946" xr:uid="{00000000-0005-0000-0000-00001A280000}"/>
    <cellStyle name="표준 5 2 2 2 3 4 5 2 2" xfId="15058" xr:uid="{00000000-0005-0000-0000-00001B280000}"/>
    <cellStyle name="표준 5 2 2 2 3 4 5 2 2 2" xfId="31652" xr:uid="{00000000-0005-0000-0000-00001C280000}"/>
    <cellStyle name="표준 5 2 2 2 3 4 5 2 2 3" xfId="39863" xr:uid="{00000000-0005-0000-0000-00001D280000}"/>
    <cellStyle name="표준 5 2 2 2 3 4 5 2 2 4" xfId="48056" xr:uid="{00000000-0005-0000-0000-00001E280000}"/>
    <cellStyle name="표준 5 2 2 2 3 4 5 2 3" xfId="19298" xr:uid="{00000000-0005-0000-0000-00001F280000}"/>
    <cellStyle name="표준 5 2 2 2 3 4 5 2 4" xfId="23460" xr:uid="{00000000-0005-0000-0000-000020280000}"/>
    <cellStyle name="표준 5 2 2 2 3 4 5 2 5" xfId="27556" xr:uid="{00000000-0005-0000-0000-000021280000}"/>
    <cellStyle name="표준 5 2 2 2 3 4 5 2 6" xfId="35767" xr:uid="{00000000-0005-0000-0000-000022280000}"/>
    <cellStyle name="표준 5 2 2 2 3 4 5 2 7" xfId="43960" xr:uid="{00000000-0005-0000-0000-000023280000}"/>
    <cellStyle name="표준 5 2 2 2 3 4 5 3" xfId="8898" xr:uid="{00000000-0005-0000-0000-000024280000}"/>
    <cellStyle name="표준 5 2 2 2 3 4 5 3 2" xfId="29604" xr:uid="{00000000-0005-0000-0000-000025280000}"/>
    <cellStyle name="표준 5 2 2 2 3 4 5 3 3" xfId="37815" xr:uid="{00000000-0005-0000-0000-000026280000}"/>
    <cellStyle name="표준 5 2 2 2 3 4 5 3 4" xfId="46008" xr:uid="{00000000-0005-0000-0000-000027280000}"/>
    <cellStyle name="표준 5 2 2 2 3 4 5 4" xfId="13010" xr:uid="{00000000-0005-0000-0000-000028280000}"/>
    <cellStyle name="표준 5 2 2 2 3 4 5 5" xfId="17250" xr:uid="{00000000-0005-0000-0000-000029280000}"/>
    <cellStyle name="표준 5 2 2 2 3 4 5 6" xfId="21412" xr:uid="{00000000-0005-0000-0000-00002A280000}"/>
    <cellStyle name="표준 5 2 2 2 3 4 5 7" xfId="25508" xr:uid="{00000000-0005-0000-0000-00002B280000}"/>
    <cellStyle name="표준 5 2 2 2 3 4 5 8" xfId="33719" xr:uid="{00000000-0005-0000-0000-00002C280000}"/>
    <cellStyle name="표준 5 2 2 2 3 4 5 9" xfId="41912" xr:uid="{00000000-0005-0000-0000-00002D280000}"/>
    <cellStyle name="표준 5 2 2 2 3 4 6" xfId="9410" xr:uid="{00000000-0005-0000-0000-00002E280000}"/>
    <cellStyle name="표준 5 2 2 2 3 4 6 2" xfId="13522" xr:uid="{00000000-0005-0000-0000-00002F280000}"/>
    <cellStyle name="표준 5 2 2 2 3 4 6 2 2" xfId="30116" xr:uid="{00000000-0005-0000-0000-000030280000}"/>
    <cellStyle name="표준 5 2 2 2 3 4 6 2 3" xfId="38327" xr:uid="{00000000-0005-0000-0000-000031280000}"/>
    <cellStyle name="표준 5 2 2 2 3 4 6 2 4" xfId="46520" xr:uid="{00000000-0005-0000-0000-000032280000}"/>
    <cellStyle name="표준 5 2 2 2 3 4 6 3" xfId="17762" xr:uid="{00000000-0005-0000-0000-000033280000}"/>
    <cellStyle name="표준 5 2 2 2 3 4 6 4" xfId="21924" xr:uid="{00000000-0005-0000-0000-000034280000}"/>
    <cellStyle name="표준 5 2 2 2 3 4 6 5" xfId="26020" xr:uid="{00000000-0005-0000-0000-000035280000}"/>
    <cellStyle name="표준 5 2 2 2 3 4 6 6" xfId="34231" xr:uid="{00000000-0005-0000-0000-000036280000}"/>
    <cellStyle name="표준 5 2 2 2 3 4 6 7" xfId="42424" xr:uid="{00000000-0005-0000-0000-000037280000}"/>
    <cellStyle name="표준 5 2 2 2 3 4 7" xfId="7362" xr:uid="{00000000-0005-0000-0000-000038280000}"/>
    <cellStyle name="표준 5 2 2 2 3 4 7 2" xfId="28068" xr:uid="{00000000-0005-0000-0000-000039280000}"/>
    <cellStyle name="표준 5 2 2 2 3 4 7 3" xfId="36279" xr:uid="{00000000-0005-0000-0000-00003A280000}"/>
    <cellStyle name="표준 5 2 2 2 3 4 7 4" xfId="44472" xr:uid="{00000000-0005-0000-0000-00003B280000}"/>
    <cellStyle name="표준 5 2 2 2 3 4 8" xfId="11474" xr:uid="{00000000-0005-0000-0000-00003C280000}"/>
    <cellStyle name="표준 5 2 2 2 3 4 9" xfId="15714" xr:uid="{00000000-0005-0000-0000-00003D280000}"/>
    <cellStyle name="표준 5 2 2 2 3 5" xfId="635" xr:uid="{00000000-0005-0000-0000-00003E280000}"/>
    <cellStyle name="표준 5 2 2 2 3 5 10" xfId="24100" xr:uid="{00000000-0005-0000-0000-00003F280000}"/>
    <cellStyle name="표준 5 2 2 2 3 5 11" xfId="32311" xr:uid="{00000000-0005-0000-0000-000040280000}"/>
    <cellStyle name="표준 5 2 2 2 3 5 12" xfId="40504" xr:uid="{00000000-0005-0000-0000-000041280000}"/>
    <cellStyle name="표준 5 2 2 2 3 5 2" xfId="1147" xr:uid="{00000000-0005-0000-0000-000042280000}"/>
    <cellStyle name="표준 5 2 2 2 3 5 2 2" xfId="10050" xr:uid="{00000000-0005-0000-0000-000043280000}"/>
    <cellStyle name="표준 5 2 2 2 3 5 2 2 2" xfId="14162" xr:uid="{00000000-0005-0000-0000-000044280000}"/>
    <cellStyle name="표준 5 2 2 2 3 5 2 2 2 2" xfId="30756" xr:uid="{00000000-0005-0000-0000-000045280000}"/>
    <cellStyle name="표준 5 2 2 2 3 5 2 2 2 3" xfId="38967" xr:uid="{00000000-0005-0000-0000-000046280000}"/>
    <cellStyle name="표준 5 2 2 2 3 5 2 2 2 4" xfId="47160" xr:uid="{00000000-0005-0000-0000-000047280000}"/>
    <cellStyle name="표준 5 2 2 2 3 5 2 2 3" xfId="18402" xr:uid="{00000000-0005-0000-0000-000048280000}"/>
    <cellStyle name="표준 5 2 2 2 3 5 2 2 4" xfId="22564" xr:uid="{00000000-0005-0000-0000-000049280000}"/>
    <cellStyle name="표준 5 2 2 2 3 5 2 2 5" xfId="26660" xr:uid="{00000000-0005-0000-0000-00004A280000}"/>
    <cellStyle name="표준 5 2 2 2 3 5 2 2 6" xfId="34871" xr:uid="{00000000-0005-0000-0000-00004B280000}"/>
    <cellStyle name="표준 5 2 2 2 3 5 2 2 7" xfId="43064" xr:uid="{00000000-0005-0000-0000-00004C280000}"/>
    <cellStyle name="표준 5 2 2 2 3 5 2 3" xfId="8002" xr:uid="{00000000-0005-0000-0000-00004D280000}"/>
    <cellStyle name="표준 5 2 2 2 3 5 2 3 2" xfId="28708" xr:uid="{00000000-0005-0000-0000-00004E280000}"/>
    <cellStyle name="표준 5 2 2 2 3 5 2 3 3" xfId="36919" xr:uid="{00000000-0005-0000-0000-00004F280000}"/>
    <cellStyle name="표준 5 2 2 2 3 5 2 3 4" xfId="45112" xr:uid="{00000000-0005-0000-0000-000050280000}"/>
    <cellStyle name="표준 5 2 2 2 3 5 2 4" xfId="12114" xr:uid="{00000000-0005-0000-0000-000051280000}"/>
    <cellStyle name="표준 5 2 2 2 3 5 2 5" xfId="16354" xr:uid="{00000000-0005-0000-0000-000052280000}"/>
    <cellStyle name="표준 5 2 2 2 3 5 2 6" xfId="20516" xr:uid="{00000000-0005-0000-0000-000053280000}"/>
    <cellStyle name="표준 5 2 2 2 3 5 2 7" xfId="24612" xr:uid="{00000000-0005-0000-0000-000054280000}"/>
    <cellStyle name="표준 5 2 2 2 3 5 2 8" xfId="32823" xr:uid="{00000000-0005-0000-0000-000055280000}"/>
    <cellStyle name="표준 5 2 2 2 3 5 2 9" xfId="41016" xr:uid="{00000000-0005-0000-0000-000056280000}"/>
    <cellStyle name="표준 5 2 2 2 3 5 3" xfId="1659" xr:uid="{00000000-0005-0000-0000-000057280000}"/>
    <cellStyle name="표준 5 2 2 2 3 5 3 2" xfId="10562" xr:uid="{00000000-0005-0000-0000-000058280000}"/>
    <cellStyle name="표준 5 2 2 2 3 5 3 2 2" xfId="14674" xr:uid="{00000000-0005-0000-0000-000059280000}"/>
    <cellStyle name="표준 5 2 2 2 3 5 3 2 2 2" xfId="31268" xr:uid="{00000000-0005-0000-0000-00005A280000}"/>
    <cellStyle name="표준 5 2 2 2 3 5 3 2 2 3" xfId="39479" xr:uid="{00000000-0005-0000-0000-00005B280000}"/>
    <cellStyle name="표준 5 2 2 2 3 5 3 2 2 4" xfId="47672" xr:uid="{00000000-0005-0000-0000-00005C280000}"/>
    <cellStyle name="표준 5 2 2 2 3 5 3 2 3" xfId="18914" xr:uid="{00000000-0005-0000-0000-00005D280000}"/>
    <cellStyle name="표준 5 2 2 2 3 5 3 2 4" xfId="23076" xr:uid="{00000000-0005-0000-0000-00005E280000}"/>
    <cellStyle name="표준 5 2 2 2 3 5 3 2 5" xfId="27172" xr:uid="{00000000-0005-0000-0000-00005F280000}"/>
    <cellStyle name="표준 5 2 2 2 3 5 3 2 6" xfId="35383" xr:uid="{00000000-0005-0000-0000-000060280000}"/>
    <cellStyle name="표준 5 2 2 2 3 5 3 2 7" xfId="43576" xr:uid="{00000000-0005-0000-0000-000061280000}"/>
    <cellStyle name="표준 5 2 2 2 3 5 3 3" xfId="8514" xr:uid="{00000000-0005-0000-0000-000062280000}"/>
    <cellStyle name="표준 5 2 2 2 3 5 3 3 2" xfId="29220" xr:uid="{00000000-0005-0000-0000-000063280000}"/>
    <cellStyle name="표준 5 2 2 2 3 5 3 3 3" xfId="37431" xr:uid="{00000000-0005-0000-0000-000064280000}"/>
    <cellStyle name="표준 5 2 2 2 3 5 3 3 4" xfId="45624" xr:uid="{00000000-0005-0000-0000-000065280000}"/>
    <cellStyle name="표준 5 2 2 2 3 5 3 4" xfId="12626" xr:uid="{00000000-0005-0000-0000-000066280000}"/>
    <cellStyle name="표준 5 2 2 2 3 5 3 5" xfId="16866" xr:uid="{00000000-0005-0000-0000-000067280000}"/>
    <cellStyle name="표준 5 2 2 2 3 5 3 6" xfId="21028" xr:uid="{00000000-0005-0000-0000-000068280000}"/>
    <cellStyle name="표준 5 2 2 2 3 5 3 7" xfId="25124" xr:uid="{00000000-0005-0000-0000-000069280000}"/>
    <cellStyle name="표준 5 2 2 2 3 5 3 8" xfId="33335" xr:uid="{00000000-0005-0000-0000-00006A280000}"/>
    <cellStyle name="표준 5 2 2 2 3 5 3 9" xfId="41528" xr:uid="{00000000-0005-0000-0000-00006B280000}"/>
    <cellStyle name="표준 5 2 2 2 3 5 4" xfId="2171" xr:uid="{00000000-0005-0000-0000-00006C280000}"/>
    <cellStyle name="표준 5 2 2 2 3 5 4 2" xfId="11074" xr:uid="{00000000-0005-0000-0000-00006D280000}"/>
    <cellStyle name="표준 5 2 2 2 3 5 4 2 2" xfId="15186" xr:uid="{00000000-0005-0000-0000-00006E280000}"/>
    <cellStyle name="표준 5 2 2 2 3 5 4 2 2 2" xfId="31780" xr:uid="{00000000-0005-0000-0000-00006F280000}"/>
    <cellStyle name="표준 5 2 2 2 3 5 4 2 2 3" xfId="39991" xr:uid="{00000000-0005-0000-0000-000070280000}"/>
    <cellStyle name="표준 5 2 2 2 3 5 4 2 2 4" xfId="48184" xr:uid="{00000000-0005-0000-0000-000071280000}"/>
    <cellStyle name="표준 5 2 2 2 3 5 4 2 3" xfId="19426" xr:uid="{00000000-0005-0000-0000-000072280000}"/>
    <cellStyle name="표준 5 2 2 2 3 5 4 2 4" xfId="23588" xr:uid="{00000000-0005-0000-0000-000073280000}"/>
    <cellStyle name="표준 5 2 2 2 3 5 4 2 5" xfId="27684" xr:uid="{00000000-0005-0000-0000-000074280000}"/>
    <cellStyle name="표준 5 2 2 2 3 5 4 2 6" xfId="35895" xr:uid="{00000000-0005-0000-0000-000075280000}"/>
    <cellStyle name="표준 5 2 2 2 3 5 4 2 7" xfId="44088" xr:uid="{00000000-0005-0000-0000-000076280000}"/>
    <cellStyle name="표준 5 2 2 2 3 5 4 3" xfId="9026" xr:uid="{00000000-0005-0000-0000-000077280000}"/>
    <cellStyle name="표준 5 2 2 2 3 5 4 3 2" xfId="29732" xr:uid="{00000000-0005-0000-0000-000078280000}"/>
    <cellStyle name="표준 5 2 2 2 3 5 4 3 3" xfId="37943" xr:uid="{00000000-0005-0000-0000-000079280000}"/>
    <cellStyle name="표준 5 2 2 2 3 5 4 3 4" xfId="46136" xr:uid="{00000000-0005-0000-0000-00007A280000}"/>
    <cellStyle name="표준 5 2 2 2 3 5 4 4" xfId="13138" xr:uid="{00000000-0005-0000-0000-00007B280000}"/>
    <cellStyle name="표준 5 2 2 2 3 5 4 5" xfId="17378" xr:uid="{00000000-0005-0000-0000-00007C280000}"/>
    <cellStyle name="표준 5 2 2 2 3 5 4 6" xfId="21540" xr:uid="{00000000-0005-0000-0000-00007D280000}"/>
    <cellStyle name="표준 5 2 2 2 3 5 4 7" xfId="25636" xr:uid="{00000000-0005-0000-0000-00007E280000}"/>
    <cellStyle name="표준 5 2 2 2 3 5 4 8" xfId="33847" xr:uid="{00000000-0005-0000-0000-00007F280000}"/>
    <cellStyle name="표준 5 2 2 2 3 5 4 9" xfId="42040" xr:uid="{00000000-0005-0000-0000-000080280000}"/>
    <cellStyle name="표준 5 2 2 2 3 5 5" xfId="9538" xr:uid="{00000000-0005-0000-0000-000081280000}"/>
    <cellStyle name="표준 5 2 2 2 3 5 5 2" xfId="13650" xr:uid="{00000000-0005-0000-0000-000082280000}"/>
    <cellStyle name="표준 5 2 2 2 3 5 5 2 2" xfId="30244" xr:uid="{00000000-0005-0000-0000-000083280000}"/>
    <cellStyle name="표준 5 2 2 2 3 5 5 2 3" xfId="38455" xr:uid="{00000000-0005-0000-0000-000084280000}"/>
    <cellStyle name="표준 5 2 2 2 3 5 5 2 4" xfId="46648" xr:uid="{00000000-0005-0000-0000-000085280000}"/>
    <cellStyle name="표준 5 2 2 2 3 5 5 3" xfId="17890" xr:uid="{00000000-0005-0000-0000-000086280000}"/>
    <cellStyle name="표준 5 2 2 2 3 5 5 4" xfId="22052" xr:uid="{00000000-0005-0000-0000-000087280000}"/>
    <cellStyle name="표준 5 2 2 2 3 5 5 5" xfId="26148" xr:uid="{00000000-0005-0000-0000-000088280000}"/>
    <cellStyle name="표준 5 2 2 2 3 5 5 6" xfId="34359" xr:uid="{00000000-0005-0000-0000-000089280000}"/>
    <cellStyle name="표준 5 2 2 2 3 5 5 7" xfId="42552" xr:uid="{00000000-0005-0000-0000-00008A280000}"/>
    <cellStyle name="표준 5 2 2 2 3 5 6" xfId="7490" xr:uid="{00000000-0005-0000-0000-00008B280000}"/>
    <cellStyle name="표준 5 2 2 2 3 5 6 2" xfId="28196" xr:uid="{00000000-0005-0000-0000-00008C280000}"/>
    <cellStyle name="표준 5 2 2 2 3 5 6 3" xfId="36407" xr:uid="{00000000-0005-0000-0000-00008D280000}"/>
    <cellStyle name="표준 5 2 2 2 3 5 6 4" xfId="44600" xr:uid="{00000000-0005-0000-0000-00008E280000}"/>
    <cellStyle name="표준 5 2 2 2 3 5 7" xfId="11602" xr:uid="{00000000-0005-0000-0000-00008F280000}"/>
    <cellStyle name="표준 5 2 2 2 3 5 8" xfId="15842" xr:uid="{00000000-0005-0000-0000-000090280000}"/>
    <cellStyle name="표준 5 2 2 2 3 5 9" xfId="20004" xr:uid="{00000000-0005-0000-0000-000091280000}"/>
    <cellStyle name="표준 5 2 2 2 3 6" xfId="891" xr:uid="{00000000-0005-0000-0000-000092280000}"/>
    <cellStyle name="표준 5 2 2 2 3 6 2" xfId="9794" xr:uid="{00000000-0005-0000-0000-000093280000}"/>
    <cellStyle name="표준 5 2 2 2 3 6 2 2" xfId="13906" xr:uid="{00000000-0005-0000-0000-000094280000}"/>
    <cellStyle name="표준 5 2 2 2 3 6 2 2 2" xfId="30500" xr:uid="{00000000-0005-0000-0000-000095280000}"/>
    <cellStyle name="표준 5 2 2 2 3 6 2 2 3" xfId="38711" xr:uid="{00000000-0005-0000-0000-000096280000}"/>
    <cellStyle name="표준 5 2 2 2 3 6 2 2 4" xfId="46904" xr:uid="{00000000-0005-0000-0000-000097280000}"/>
    <cellStyle name="표준 5 2 2 2 3 6 2 3" xfId="18146" xr:uid="{00000000-0005-0000-0000-000098280000}"/>
    <cellStyle name="표준 5 2 2 2 3 6 2 4" xfId="22308" xr:uid="{00000000-0005-0000-0000-000099280000}"/>
    <cellStyle name="표준 5 2 2 2 3 6 2 5" xfId="26404" xr:uid="{00000000-0005-0000-0000-00009A280000}"/>
    <cellStyle name="표준 5 2 2 2 3 6 2 6" xfId="34615" xr:uid="{00000000-0005-0000-0000-00009B280000}"/>
    <cellStyle name="표준 5 2 2 2 3 6 2 7" xfId="42808" xr:uid="{00000000-0005-0000-0000-00009C280000}"/>
    <cellStyle name="표준 5 2 2 2 3 6 3" xfId="7746" xr:uid="{00000000-0005-0000-0000-00009D280000}"/>
    <cellStyle name="표준 5 2 2 2 3 6 3 2" xfId="28452" xr:uid="{00000000-0005-0000-0000-00009E280000}"/>
    <cellStyle name="표준 5 2 2 2 3 6 3 3" xfId="36663" xr:uid="{00000000-0005-0000-0000-00009F280000}"/>
    <cellStyle name="표준 5 2 2 2 3 6 3 4" xfId="44856" xr:uid="{00000000-0005-0000-0000-0000A0280000}"/>
    <cellStyle name="표준 5 2 2 2 3 6 4" xfId="11858" xr:uid="{00000000-0005-0000-0000-0000A1280000}"/>
    <cellStyle name="표준 5 2 2 2 3 6 5" xfId="16098" xr:uid="{00000000-0005-0000-0000-0000A2280000}"/>
    <cellStyle name="표준 5 2 2 2 3 6 6" xfId="20260" xr:uid="{00000000-0005-0000-0000-0000A3280000}"/>
    <cellStyle name="표준 5 2 2 2 3 6 7" xfId="24356" xr:uid="{00000000-0005-0000-0000-0000A4280000}"/>
    <cellStyle name="표준 5 2 2 2 3 6 8" xfId="32567" xr:uid="{00000000-0005-0000-0000-0000A5280000}"/>
    <cellStyle name="표준 5 2 2 2 3 6 9" xfId="40760" xr:uid="{00000000-0005-0000-0000-0000A6280000}"/>
    <cellStyle name="표준 5 2 2 2 3 7" xfId="1403" xr:uid="{00000000-0005-0000-0000-0000A7280000}"/>
    <cellStyle name="표준 5 2 2 2 3 7 2" xfId="10306" xr:uid="{00000000-0005-0000-0000-0000A8280000}"/>
    <cellStyle name="표준 5 2 2 2 3 7 2 2" xfId="14418" xr:uid="{00000000-0005-0000-0000-0000A9280000}"/>
    <cellStyle name="표준 5 2 2 2 3 7 2 2 2" xfId="31012" xr:uid="{00000000-0005-0000-0000-0000AA280000}"/>
    <cellStyle name="표준 5 2 2 2 3 7 2 2 3" xfId="39223" xr:uid="{00000000-0005-0000-0000-0000AB280000}"/>
    <cellStyle name="표준 5 2 2 2 3 7 2 2 4" xfId="47416" xr:uid="{00000000-0005-0000-0000-0000AC280000}"/>
    <cellStyle name="표준 5 2 2 2 3 7 2 3" xfId="18658" xr:uid="{00000000-0005-0000-0000-0000AD280000}"/>
    <cellStyle name="표준 5 2 2 2 3 7 2 4" xfId="22820" xr:uid="{00000000-0005-0000-0000-0000AE280000}"/>
    <cellStyle name="표준 5 2 2 2 3 7 2 5" xfId="26916" xr:uid="{00000000-0005-0000-0000-0000AF280000}"/>
    <cellStyle name="표준 5 2 2 2 3 7 2 6" xfId="35127" xr:uid="{00000000-0005-0000-0000-0000B0280000}"/>
    <cellStyle name="표준 5 2 2 2 3 7 2 7" xfId="43320" xr:uid="{00000000-0005-0000-0000-0000B1280000}"/>
    <cellStyle name="표준 5 2 2 2 3 7 3" xfId="8258" xr:uid="{00000000-0005-0000-0000-0000B2280000}"/>
    <cellStyle name="표준 5 2 2 2 3 7 3 2" xfId="28964" xr:uid="{00000000-0005-0000-0000-0000B3280000}"/>
    <cellStyle name="표준 5 2 2 2 3 7 3 3" xfId="37175" xr:uid="{00000000-0005-0000-0000-0000B4280000}"/>
    <cellStyle name="표준 5 2 2 2 3 7 3 4" xfId="45368" xr:uid="{00000000-0005-0000-0000-0000B5280000}"/>
    <cellStyle name="표준 5 2 2 2 3 7 4" xfId="12370" xr:uid="{00000000-0005-0000-0000-0000B6280000}"/>
    <cellStyle name="표준 5 2 2 2 3 7 5" xfId="16610" xr:uid="{00000000-0005-0000-0000-0000B7280000}"/>
    <cellStyle name="표준 5 2 2 2 3 7 6" xfId="20772" xr:uid="{00000000-0005-0000-0000-0000B8280000}"/>
    <cellStyle name="표준 5 2 2 2 3 7 7" xfId="24868" xr:uid="{00000000-0005-0000-0000-0000B9280000}"/>
    <cellStyle name="표준 5 2 2 2 3 7 8" xfId="33079" xr:uid="{00000000-0005-0000-0000-0000BA280000}"/>
    <cellStyle name="표준 5 2 2 2 3 7 9" xfId="41272" xr:uid="{00000000-0005-0000-0000-0000BB280000}"/>
    <cellStyle name="표준 5 2 2 2 3 8" xfId="1915" xr:uid="{00000000-0005-0000-0000-0000BC280000}"/>
    <cellStyle name="표준 5 2 2 2 3 8 2" xfId="10818" xr:uid="{00000000-0005-0000-0000-0000BD280000}"/>
    <cellStyle name="표준 5 2 2 2 3 8 2 2" xfId="14930" xr:uid="{00000000-0005-0000-0000-0000BE280000}"/>
    <cellStyle name="표준 5 2 2 2 3 8 2 2 2" xfId="31524" xr:uid="{00000000-0005-0000-0000-0000BF280000}"/>
    <cellStyle name="표준 5 2 2 2 3 8 2 2 3" xfId="39735" xr:uid="{00000000-0005-0000-0000-0000C0280000}"/>
    <cellStyle name="표준 5 2 2 2 3 8 2 2 4" xfId="47928" xr:uid="{00000000-0005-0000-0000-0000C1280000}"/>
    <cellStyle name="표준 5 2 2 2 3 8 2 3" xfId="19170" xr:uid="{00000000-0005-0000-0000-0000C2280000}"/>
    <cellStyle name="표준 5 2 2 2 3 8 2 4" xfId="23332" xr:uid="{00000000-0005-0000-0000-0000C3280000}"/>
    <cellStyle name="표준 5 2 2 2 3 8 2 5" xfId="27428" xr:uid="{00000000-0005-0000-0000-0000C4280000}"/>
    <cellStyle name="표준 5 2 2 2 3 8 2 6" xfId="35639" xr:uid="{00000000-0005-0000-0000-0000C5280000}"/>
    <cellStyle name="표준 5 2 2 2 3 8 2 7" xfId="43832" xr:uid="{00000000-0005-0000-0000-0000C6280000}"/>
    <cellStyle name="표준 5 2 2 2 3 8 3" xfId="8770" xr:uid="{00000000-0005-0000-0000-0000C7280000}"/>
    <cellStyle name="표준 5 2 2 2 3 8 3 2" xfId="29476" xr:uid="{00000000-0005-0000-0000-0000C8280000}"/>
    <cellStyle name="표준 5 2 2 2 3 8 3 3" xfId="37687" xr:uid="{00000000-0005-0000-0000-0000C9280000}"/>
    <cellStyle name="표준 5 2 2 2 3 8 3 4" xfId="45880" xr:uid="{00000000-0005-0000-0000-0000CA280000}"/>
    <cellStyle name="표준 5 2 2 2 3 8 4" xfId="12882" xr:uid="{00000000-0005-0000-0000-0000CB280000}"/>
    <cellStyle name="표준 5 2 2 2 3 8 5" xfId="17122" xr:uid="{00000000-0005-0000-0000-0000CC280000}"/>
    <cellStyle name="표준 5 2 2 2 3 8 6" xfId="21284" xr:uid="{00000000-0005-0000-0000-0000CD280000}"/>
    <cellStyle name="표준 5 2 2 2 3 8 7" xfId="25380" xr:uid="{00000000-0005-0000-0000-0000CE280000}"/>
    <cellStyle name="표준 5 2 2 2 3 8 8" xfId="33591" xr:uid="{00000000-0005-0000-0000-0000CF280000}"/>
    <cellStyle name="표준 5 2 2 2 3 8 9" xfId="41784" xr:uid="{00000000-0005-0000-0000-0000D0280000}"/>
    <cellStyle name="표준 5 2 2 2 3 9" xfId="6971" xr:uid="{00000000-0005-0000-0000-0000D1280000}"/>
    <cellStyle name="표준 5 2 2 2 3 9 2" xfId="9282" xr:uid="{00000000-0005-0000-0000-0000D2280000}"/>
    <cellStyle name="표준 5 2 2 2 3 9 2 2" xfId="29988" xr:uid="{00000000-0005-0000-0000-0000D3280000}"/>
    <cellStyle name="표준 5 2 2 2 3 9 2 3" xfId="38199" xr:uid="{00000000-0005-0000-0000-0000D4280000}"/>
    <cellStyle name="표준 5 2 2 2 3 9 2 4" xfId="46392" xr:uid="{00000000-0005-0000-0000-0000D5280000}"/>
    <cellStyle name="표준 5 2 2 2 3 9 3" xfId="13394" xr:uid="{00000000-0005-0000-0000-0000D6280000}"/>
    <cellStyle name="표준 5 2 2 2 3 9 4" xfId="17634" xr:uid="{00000000-0005-0000-0000-0000D7280000}"/>
    <cellStyle name="표준 5 2 2 2 3 9 5" xfId="21796" xr:uid="{00000000-0005-0000-0000-0000D8280000}"/>
    <cellStyle name="표준 5 2 2 2 3 9 6" xfId="25892" xr:uid="{00000000-0005-0000-0000-0000D9280000}"/>
    <cellStyle name="표준 5 2 2 2 3 9 7" xfId="34103" xr:uid="{00000000-0005-0000-0000-0000DA280000}"/>
    <cellStyle name="표준 5 2 2 2 3 9 8" xfId="42296" xr:uid="{00000000-0005-0000-0000-0000DB280000}"/>
    <cellStyle name="표준 5 2 2 2 30" xfId="23828" xr:uid="{00000000-0005-0000-0000-0000DC280000}"/>
    <cellStyle name="표준 5 2 2 2 31" xfId="32022" xr:uid="{00000000-0005-0000-0000-0000DD280000}"/>
    <cellStyle name="표준 5 2 2 2 32" xfId="32039" xr:uid="{00000000-0005-0000-0000-0000DE280000}"/>
    <cellStyle name="표준 5 2 2 2 33" xfId="40232" xr:uid="{00000000-0005-0000-0000-0000DF280000}"/>
    <cellStyle name="표준 5 2 2 2 34" xfId="48434" xr:uid="{00000000-0005-0000-0000-0000E0280000}"/>
    <cellStyle name="표준 5 2 2 2 4" xfId="292" xr:uid="{00000000-0005-0000-0000-0000E1280000}"/>
    <cellStyle name="표준 5 2 2 2 4 10" xfId="7171" xr:uid="{00000000-0005-0000-0000-0000E2280000}"/>
    <cellStyle name="표준 5 2 2 2 4 11" xfId="7250" xr:uid="{00000000-0005-0000-0000-0000E3280000}"/>
    <cellStyle name="표준 5 2 2 2 4 12" xfId="11362" xr:uid="{00000000-0005-0000-0000-0000E4280000}"/>
    <cellStyle name="표준 5 2 2 2 4 13" xfId="15490" xr:uid="{00000000-0005-0000-0000-0000E5280000}"/>
    <cellStyle name="표준 5 2 2 2 4 14" xfId="15602" xr:uid="{00000000-0005-0000-0000-0000E6280000}"/>
    <cellStyle name="표준 5 2 2 2 4 15" xfId="19764" xr:uid="{00000000-0005-0000-0000-0000E7280000}"/>
    <cellStyle name="표준 5 2 2 2 4 16" xfId="23860" xr:uid="{00000000-0005-0000-0000-0000E8280000}"/>
    <cellStyle name="표준 5 2 2 2 4 17" xfId="32071" xr:uid="{00000000-0005-0000-0000-0000E9280000}"/>
    <cellStyle name="표준 5 2 2 2 4 18" xfId="40264" xr:uid="{00000000-0005-0000-0000-0000EA280000}"/>
    <cellStyle name="표준 5 2 2 2 4 19" xfId="49694" xr:uid="{00000000-0005-0000-0000-0000EB280000}"/>
    <cellStyle name="표준 5 2 2 2 4 2" xfId="459" xr:uid="{00000000-0005-0000-0000-0000EC280000}"/>
    <cellStyle name="표준 5 2 2 2 4 2 10" xfId="11426" xr:uid="{00000000-0005-0000-0000-0000ED280000}"/>
    <cellStyle name="표준 5 2 2 2 4 2 11" xfId="15538" xr:uid="{00000000-0005-0000-0000-0000EE280000}"/>
    <cellStyle name="표준 5 2 2 2 4 2 12" xfId="15666" xr:uid="{00000000-0005-0000-0000-0000EF280000}"/>
    <cellStyle name="표준 5 2 2 2 4 2 13" xfId="19828" xr:uid="{00000000-0005-0000-0000-0000F0280000}"/>
    <cellStyle name="표준 5 2 2 2 4 2 14" xfId="23924" xr:uid="{00000000-0005-0000-0000-0000F1280000}"/>
    <cellStyle name="표준 5 2 2 2 4 2 15" xfId="32135" xr:uid="{00000000-0005-0000-0000-0000F2280000}"/>
    <cellStyle name="표준 5 2 2 2 4 2 16" xfId="40328" xr:uid="{00000000-0005-0000-0000-0000F3280000}"/>
    <cellStyle name="표준 5 2 2 2 4 2 2" xfId="587" xr:uid="{00000000-0005-0000-0000-0000F4280000}"/>
    <cellStyle name="표준 5 2 2 2 4 2 2 10" xfId="19956" xr:uid="{00000000-0005-0000-0000-0000F5280000}"/>
    <cellStyle name="표준 5 2 2 2 4 2 2 11" xfId="24052" xr:uid="{00000000-0005-0000-0000-0000F6280000}"/>
    <cellStyle name="표준 5 2 2 2 4 2 2 12" xfId="32263" xr:uid="{00000000-0005-0000-0000-0000F7280000}"/>
    <cellStyle name="표준 5 2 2 2 4 2 2 13" xfId="40456" xr:uid="{00000000-0005-0000-0000-0000F8280000}"/>
    <cellStyle name="표준 5 2 2 2 4 2 2 2" xfId="843" xr:uid="{00000000-0005-0000-0000-0000F9280000}"/>
    <cellStyle name="표준 5 2 2 2 4 2 2 2 10" xfId="24308" xr:uid="{00000000-0005-0000-0000-0000FA280000}"/>
    <cellStyle name="표준 5 2 2 2 4 2 2 2 11" xfId="32519" xr:uid="{00000000-0005-0000-0000-0000FB280000}"/>
    <cellStyle name="표준 5 2 2 2 4 2 2 2 12" xfId="40712" xr:uid="{00000000-0005-0000-0000-0000FC280000}"/>
    <cellStyle name="표준 5 2 2 2 4 2 2 2 2" xfId="1355" xr:uid="{00000000-0005-0000-0000-0000FD280000}"/>
    <cellStyle name="표준 5 2 2 2 4 2 2 2 2 2" xfId="10258" xr:uid="{00000000-0005-0000-0000-0000FE280000}"/>
    <cellStyle name="표준 5 2 2 2 4 2 2 2 2 2 2" xfId="14370" xr:uid="{00000000-0005-0000-0000-0000FF280000}"/>
    <cellStyle name="표준 5 2 2 2 4 2 2 2 2 2 2 2" xfId="30964" xr:uid="{00000000-0005-0000-0000-000000290000}"/>
    <cellStyle name="표준 5 2 2 2 4 2 2 2 2 2 2 3" xfId="39175" xr:uid="{00000000-0005-0000-0000-000001290000}"/>
    <cellStyle name="표준 5 2 2 2 4 2 2 2 2 2 2 4" xfId="47368" xr:uid="{00000000-0005-0000-0000-000002290000}"/>
    <cellStyle name="표준 5 2 2 2 4 2 2 2 2 2 3" xfId="18610" xr:uid="{00000000-0005-0000-0000-000003290000}"/>
    <cellStyle name="표준 5 2 2 2 4 2 2 2 2 2 4" xfId="22772" xr:uid="{00000000-0005-0000-0000-000004290000}"/>
    <cellStyle name="표준 5 2 2 2 4 2 2 2 2 2 5" xfId="26868" xr:uid="{00000000-0005-0000-0000-000005290000}"/>
    <cellStyle name="표준 5 2 2 2 4 2 2 2 2 2 6" xfId="35079" xr:uid="{00000000-0005-0000-0000-000006290000}"/>
    <cellStyle name="표준 5 2 2 2 4 2 2 2 2 2 7" xfId="43272" xr:uid="{00000000-0005-0000-0000-000007290000}"/>
    <cellStyle name="표준 5 2 2 2 4 2 2 2 2 3" xfId="8210" xr:uid="{00000000-0005-0000-0000-000008290000}"/>
    <cellStyle name="표준 5 2 2 2 4 2 2 2 2 3 2" xfId="28916" xr:uid="{00000000-0005-0000-0000-000009290000}"/>
    <cellStyle name="표준 5 2 2 2 4 2 2 2 2 3 3" xfId="37127" xr:uid="{00000000-0005-0000-0000-00000A290000}"/>
    <cellStyle name="표준 5 2 2 2 4 2 2 2 2 3 4" xfId="45320" xr:uid="{00000000-0005-0000-0000-00000B290000}"/>
    <cellStyle name="표준 5 2 2 2 4 2 2 2 2 4" xfId="12322" xr:uid="{00000000-0005-0000-0000-00000C290000}"/>
    <cellStyle name="표준 5 2 2 2 4 2 2 2 2 5" xfId="16562" xr:uid="{00000000-0005-0000-0000-00000D290000}"/>
    <cellStyle name="표준 5 2 2 2 4 2 2 2 2 6" xfId="20724" xr:uid="{00000000-0005-0000-0000-00000E290000}"/>
    <cellStyle name="표준 5 2 2 2 4 2 2 2 2 7" xfId="24820" xr:uid="{00000000-0005-0000-0000-00000F290000}"/>
    <cellStyle name="표준 5 2 2 2 4 2 2 2 2 8" xfId="33031" xr:uid="{00000000-0005-0000-0000-000010290000}"/>
    <cellStyle name="표준 5 2 2 2 4 2 2 2 2 9" xfId="41224" xr:uid="{00000000-0005-0000-0000-000011290000}"/>
    <cellStyle name="표준 5 2 2 2 4 2 2 2 3" xfId="1867" xr:uid="{00000000-0005-0000-0000-000012290000}"/>
    <cellStyle name="표준 5 2 2 2 4 2 2 2 3 2" xfId="10770" xr:uid="{00000000-0005-0000-0000-000013290000}"/>
    <cellStyle name="표준 5 2 2 2 4 2 2 2 3 2 2" xfId="14882" xr:uid="{00000000-0005-0000-0000-000014290000}"/>
    <cellStyle name="표준 5 2 2 2 4 2 2 2 3 2 2 2" xfId="31476" xr:uid="{00000000-0005-0000-0000-000015290000}"/>
    <cellStyle name="표준 5 2 2 2 4 2 2 2 3 2 2 3" xfId="39687" xr:uid="{00000000-0005-0000-0000-000016290000}"/>
    <cellStyle name="표준 5 2 2 2 4 2 2 2 3 2 2 4" xfId="47880" xr:uid="{00000000-0005-0000-0000-000017290000}"/>
    <cellStyle name="표준 5 2 2 2 4 2 2 2 3 2 3" xfId="19122" xr:uid="{00000000-0005-0000-0000-000018290000}"/>
    <cellStyle name="표준 5 2 2 2 4 2 2 2 3 2 4" xfId="23284" xr:uid="{00000000-0005-0000-0000-000019290000}"/>
    <cellStyle name="표준 5 2 2 2 4 2 2 2 3 2 5" xfId="27380" xr:uid="{00000000-0005-0000-0000-00001A290000}"/>
    <cellStyle name="표준 5 2 2 2 4 2 2 2 3 2 6" xfId="35591" xr:uid="{00000000-0005-0000-0000-00001B290000}"/>
    <cellStyle name="표준 5 2 2 2 4 2 2 2 3 2 7" xfId="43784" xr:uid="{00000000-0005-0000-0000-00001C290000}"/>
    <cellStyle name="표준 5 2 2 2 4 2 2 2 3 3" xfId="8722" xr:uid="{00000000-0005-0000-0000-00001D290000}"/>
    <cellStyle name="표준 5 2 2 2 4 2 2 2 3 3 2" xfId="29428" xr:uid="{00000000-0005-0000-0000-00001E290000}"/>
    <cellStyle name="표준 5 2 2 2 4 2 2 2 3 3 3" xfId="37639" xr:uid="{00000000-0005-0000-0000-00001F290000}"/>
    <cellStyle name="표준 5 2 2 2 4 2 2 2 3 3 4" xfId="45832" xr:uid="{00000000-0005-0000-0000-000020290000}"/>
    <cellStyle name="표준 5 2 2 2 4 2 2 2 3 4" xfId="12834" xr:uid="{00000000-0005-0000-0000-000021290000}"/>
    <cellStyle name="표준 5 2 2 2 4 2 2 2 3 5" xfId="17074" xr:uid="{00000000-0005-0000-0000-000022290000}"/>
    <cellStyle name="표준 5 2 2 2 4 2 2 2 3 6" xfId="21236" xr:uid="{00000000-0005-0000-0000-000023290000}"/>
    <cellStyle name="표준 5 2 2 2 4 2 2 2 3 7" xfId="25332" xr:uid="{00000000-0005-0000-0000-000024290000}"/>
    <cellStyle name="표준 5 2 2 2 4 2 2 2 3 8" xfId="33543" xr:uid="{00000000-0005-0000-0000-000025290000}"/>
    <cellStyle name="표준 5 2 2 2 4 2 2 2 3 9" xfId="41736" xr:uid="{00000000-0005-0000-0000-000026290000}"/>
    <cellStyle name="표준 5 2 2 2 4 2 2 2 4" xfId="2379" xr:uid="{00000000-0005-0000-0000-000027290000}"/>
    <cellStyle name="표준 5 2 2 2 4 2 2 2 4 2" xfId="11282" xr:uid="{00000000-0005-0000-0000-000028290000}"/>
    <cellStyle name="표준 5 2 2 2 4 2 2 2 4 2 2" xfId="15394" xr:uid="{00000000-0005-0000-0000-000029290000}"/>
    <cellStyle name="표준 5 2 2 2 4 2 2 2 4 2 2 2" xfId="31988" xr:uid="{00000000-0005-0000-0000-00002A290000}"/>
    <cellStyle name="표준 5 2 2 2 4 2 2 2 4 2 2 3" xfId="40199" xr:uid="{00000000-0005-0000-0000-00002B290000}"/>
    <cellStyle name="표준 5 2 2 2 4 2 2 2 4 2 2 4" xfId="48392" xr:uid="{00000000-0005-0000-0000-00002C290000}"/>
    <cellStyle name="표준 5 2 2 2 4 2 2 2 4 2 3" xfId="19634" xr:uid="{00000000-0005-0000-0000-00002D290000}"/>
    <cellStyle name="표준 5 2 2 2 4 2 2 2 4 2 4" xfId="23796" xr:uid="{00000000-0005-0000-0000-00002E290000}"/>
    <cellStyle name="표준 5 2 2 2 4 2 2 2 4 2 5" xfId="27892" xr:uid="{00000000-0005-0000-0000-00002F290000}"/>
    <cellStyle name="표준 5 2 2 2 4 2 2 2 4 2 6" xfId="36103" xr:uid="{00000000-0005-0000-0000-000030290000}"/>
    <cellStyle name="표준 5 2 2 2 4 2 2 2 4 2 7" xfId="44296" xr:uid="{00000000-0005-0000-0000-000031290000}"/>
    <cellStyle name="표준 5 2 2 2 4 2 2 2 4 3" xfId="9234" xr:uid="{00000000-0005-0000-0000-000032290000}"/>
    <cellStyle name="표준 5 2 2 2 4 2 2 2 4 3 2" xfId="29940" xr:uid="{00000000-0005-0000-0000-000033290000}"/>
    <cellStyle name="표준 5 2 2 2 4 2 2 2 4 3 3" xfId="38151" xr:uid="{00000000-0005-0000-0000-000034290000}"/>
    <cellStyle name="표준 5 2 2 2 4 2 2 2 4 3 4" xfId="46344" xr:uid="{00000000-0005-0000-0000-000035290000}"/>
    <cellStyle name="표준 5 2 2 2 4 2 2 2 4 4" xfId="13346" xr:uid="{00000000-0005-0000-0000-000036290000}"/>
    <cellStyle name="표준 5 2 2 2 4 2 2 2 4 5" xfId="17586" xr:uid="{00000000-0005-0000-0000-000037290000}"/>
    <cellStyle name="표준 5 2 2 2 4 2 2 2 4 6" xfId="21748" xr:uid="{00000000-0005-0000-0000-000038290000}"/>
    <cellStyle name="표준 5 2 2 2 4 2 2 2 4 7" xfId="25844" xr:uid="{00000000-0005-0000-0000-000039290000}"/>
    <cellStyle name="표준 5 2 2 2 4 2 2 2 4 8" xfId="34055" xr:uid="{00000000-0005-0000-0000-00003A290000}"/>
    <cellStyle name="표준 5 2 2 2 4 2 2 2 4 9" xfId="42248" xr:uid="{00000000-0005-0000-0000-00003B290000}"/>
    <cellStyle name="표준 5 2 2 2 4 2 2 2 5" xfId="9746" xr:uid="{00000000-0005-0000-0000-00003C290000}"/>
    <cellStyle name="표준 5 2 2 2 4 2 2 2 5 2" xfId="13858" xr:uid="{00000000-0005-0000-0000-00003D290000}"/>
    <cellStyle name="표준 5 2 2 2 4 2 2 2 5 2 2" xfId="30452" xr:uid="{00000000-0005-0000-0000-00003E290000}"/>
    <cellStyle name="표준 5 2 2 2 4 2 2 2 5 2 3" xfId="38663" xr:uid="{00000000-0005-0000-0000-00003F290000}"/>
    <cellStyle name="표준 5 2 2 2 4 2 2 2 5 2 4" xfId="46856" xr:uid="{00000000-0005-0000-0000-000040290000}"/>
    <cellStyle name="표준 5 2 2 2 4 2 2 2 5 3" xfId="18098" xr:uid="{00000000-0005-0000-0000-000041290000}"/>
    <cellStyle name="표준 5 2 2 2 4 2 2 2 5 4" xfId="22260" xr:uid="{00000000-0005-0000-0000-000042290000}"/>
    <cellStyle name="표준 5 2 2 2 4 2 2 2 5 5" xfId="26356" xr:uid="{00000000-0005-0000-0000-000043290000}"/>
    <cellStyle name="표준 5 2 2 2 4 2 2 2 5 6" xfId="34567" xr:uid="{00000000-0005-0000-0000-000044290000}"/>
    <cellStyle name="표준 5 2 2 2 4 2 2 2 5 7" xfId="42760" xr:uid="{00000000-0005-0000-0000-000045290000}"/>
    <cellStyle name="표준 5 2 2 2 4 2 2 2 6" xfId="7698" xr:uid="{00000000-0005-0000-0000-000046290000}"/>
    <cellStyle name="표준 5 2 2 2 4 2 2 2 6 2" xfId="28404" xr:uid="{00000000-0005-0000-0000-000047290000}"/>
    <cellStyle name="표준 5 2 2 2 4 2 2 2 6 3" xfId="36615" xr:uid="{00000000-0005-0000-0000-000048290000}"/>
    <cellStyle name="표준 5 2 2 2 4 2 2 2 6 4" xfId="44808" xr:uid="{00000000-0005-0000-0000-000049290000}"/>
    <cellStyle name="표준 5 2 2 2 4 2 2 2 7" xfId="11810" xr:uid="{00000000-0005-0000-0000-00004A290000}"/>
    <cellStyle name="표준 5 2 2 2 4 2 2 2 8" xfId="16050" xr:uid="{00000000-0005-0000-0000-00004B290000}"/>
    <cellStyle name="표준 5 2 2 2 4 2 2 2 9" xfId="20212" xr:uid="{00000000-0005-0000-0000-00004C290000}"/>
    <cellStyle name="표준 5 2 2 2 4 2 2 3" xfId="1099" xr:uid="{00000000-0005-0000-0000-00004D290000}"/>
    <cellStyle name="표준 5 2 2 2 4 2 2 3 2" xfId="10002" xr:uid="{00000000-0005-0000-0000-00004E290000}"/>
    <cellStyle name="표준 5 2 2 2 4 2 2 3 2 2" xfId="14114" xr:uid="{00000000-0005-0000-0000-00004F290000}"/>
    <cellStyle name="표준 5 2 2 2 4 2 2 3 2 2 2" xfId="30708" xr:uid="{00000000-0005-0000-0000-000050290000}"/>
    <cellStyle name="표준 5 2 2 2 4 2 2 3 2 2 3" xfId="38919" xr:uid="{00000000-0005-0000-0000-000051290000}"/>
    <cellStyle name="표준 5 2 2 2 4 2 2 3 2 2 4" xfId="47112" xr:uid="{00000000-0005-0000-0000-000052290000}"/>
    <cellStyle name="표준 5 2 2 2 4 2 2 3 2 3" xfId="18354" xr:uid="{00000000-0005-0000-0000-000053290000}"/>
    <cellStyle name="표준 5 2 2 2 4 2 2 3 2 4" xfId="22516" xr:uid="{00000000-0005-0000-0000-000054290000}"/>
    <cellStyle name="표준 5 2 2 2 4 2 2 3 2 5" xfId="26612" xr:uid="{00000000-0005-0000-0000-000055290000}"/>
    <cellStyle name="표준 5 2 2 2 4 2 2 3 2 6" xfId="34823" xr:uid="{00000000-0005-0000-0000-000056290000}"/>
    <cellStyle name="표준 5 2 2 2 4 2 2 3 2 7" xfId="43016" xr:uid="{00000000-0005-0000-0000-000057290000}"/>
    <cellStyle name="표준 5 2 2 2 4 2 2 3 3" xfId="7954" xr:uid="{00000000-0005-0000-0000-000058290000}"/>
    <cellStyle name="표준 5 2 2 2 4 2 2 3 3 2" xfId="28660" xr:uid="{00000000-0005-0000-0000-000059290000}"/>
    <cellStyle name="표준 5 2 2 2 4 2 2 3 3 3" xfId="36871" xr:uid="{00000000-0005-0000-0000-00005A290000}"/>
    <cellStyle name="표준 5 2 2 2 4 2 2 3 3 4" xfId="45064" xr:uid="{00000000-0005-0000-0000-00005B290000}"/>
    <cellStyle name="표준 5 2 2 2 4 2 2 3 4" xfId="12066" xr:uid="{00000000-0005-0000-0000-00005C290000}"/>
    <cellStyle name="표준 5 2 2 2 4 2 2 3 5" xfId="16306" xr:uid="{00000000-0005-0000-0000-00005D290000}"/>
    <cellStyle name="표준 5 2 2 2 4 2 2 3 6" xfId="20468" xr:uid="{00000000-0005-0000-0000-00005E290000}"/>
    <cellStyle name="표준 5 2 2 2 4 2 2 3 7" xfId="24564" xr:uid="{00000000-0005-0000-0000-00005F290000}"/>
    <cellStyle name="표준 5 2 2 2 4 2 2 3 8" xfId="32775" xr:uid="{00000000-0005-0000-0000-000060290000}"/>
    <cellStyle name="표준 5 2 2 2 4 2 2 3 9" xfId="40968" xr:uid="{00000000-0005-0000-0000-000061290000}"/>
    <cellStyle name="표준 5 2 2 2 4 2 2 4" xfId="1611" xr:uid="{00000000-0005-0000-0000-000062290000}"/>
    <cellStyle name="표준 5 2 2 2 4 2 2 4 2" xfId="10514" xr:uid="{00000000-0005-0000-0000-000063290000}"/>
    <cellStyle name="표준 5 2 2 2 4 2 2 4 2 2" xfId="14626" xr:uid="{00000000-0005-0000-0000-000064290000}"/>
    <cellStyle name="표준 5 2 2 2 4 2 2 4 2 2 2" xfId="31220" xr:uid="{00000000-0005-0000-0000-000065290000}"/>
    <cellStyle name="표준 5 2 2 2 4 2 2 4 2 2 3" xfId="39431" xr:uid="{00000000-0005-0000-0000-000066290000}"/>
    <cellStyle name="표준 5 2 2 2 4 2 2 4 2 2 4" xfId="47624" xr:uid="{00000000-0005-0000-0000-000067290000}"/>
    <cellStyle name="표준 5 2 2 2 4 2 2 4 2 3" xfId="18866" xr:uid="{00000000-0005-0000-0000-000068290000}"/>
    <cellStyle name="표준 5 2 2 2 4 2 2 4 2 4" xfId="23028" xr:uid="{00000000-0005-0000-0000-000069290000}"/>
    <cellStyle name="표준 5 2 2 2 4 2 2 4 2 5" xfId="27124" xr:uid="{00000000-0005-0000-0000-00006A290000}"/>
    <cellStyle name="표준 5 2 2 2 4 2 2 4 2 6" xfId="35335" xr:uid="{00000000-0005-0000-0000-00006B290000}"/>
    <cellStyle name="표준 5 2 2 2 4 2 2 4 2 7" xfId="43528" xr:uid="{00000000-0005-0000-0000-00006C290000}"/>
    <cellStyle name="표준 5 2 2 2 4 2 2 4 3" xfId="8466" xr:uid="{00000000-0005-0000-0000-00006D290000}"/>
    <cellStyle name="표준 5 2 2 2 4 2 2 4 3 2" xfId="29172" xr:uid="{00000000-0005-0000-0000-00006E290000}"/>
    <cellStyle name="표준 5 2 2 2 4 2 2 4 3 3" xfId="37383" xr:uid="{00000000-0005-0000-0000-00006F290000}"/>
    <cellStyle name="표준 5 2 2 2 4 2 2 4 3 4" xfId="45576" xr:uid="{00000000-0005-0000-0000-000070290000}"/>
    <cellStyle name="표준 5 2 2 2 4 2 2 4 4" xfId="12578" xr:uid="{00000000-0005-0000-0000-000071290000}"/>
    <cellStyle name="표준 5 2 2 2 4 2 2 4 5" xfId="16818" xr:uid="{00000000-0005-0000-0000-000072290000}"/>
    <cellStyle name="표준 5 2 2 2 4 2 2 4 6" xfId="20980" xr:uid="{00000000-0005-0000-0000-000073290000}"/>
    <cellStyle name="표준 5 2 2 2 4 2 2 4 7" xfId="25076" xr:uid="{00000000-0005-0000-0000-000074290000}"/>
    <cellStyle name="표준 5 2 2 2 4 2 2 4 8" xfId="33287" xr:uid="{00000000-0005-0000-0000-000075290000}"/>
    <cellStyle name="표준 5 2 2 2 4 2 2 4 9" xfId="41480" xr:uid="{00000000-0005-0000-0000-000076290000}"/>
    <cellStyle name="표준 5 2 2 2 4 2 2 5" xfId="2123" xr:uid="{00000000-0005-0000-0000-000077290000}"/>
    <cellStyle name="표준 5 2 2 2 4 2 2 5 2" xfId="11026" xr:uid="{00000000-0005-0000-0000-000078290000}"/>
    <cellStyle name="표준 5 2 2 2 4 2 2 5 2 2" xfId="15138" xr:uid="{00000000-0005-0000-0000-000079290000}"/>
    <cellStyle name="표준 5 2 2 2 4 2 2 5 2 2 2" xfId="31732" xr:uid="{00000000-0005-0000-0000-00007A290000}"/>
    <cellStyle name="표준 5 2 2 2 4 2 2 5 2 2 3" xfId="39943" xr:uid="{00000000-0005-0000-0000-00007B290000}"/>
    <cellStyle name="표준 5 2 2 2 4 2 2 5 2 2 4" xfId="48136" xr:uid="{00000000-0005-0000-0000-00007C290000}"/>
    <cellStyle name="표준 5 2 2 2 4 2 2 5 2 3" xfId="19378" xr:uid="{00000000-0005-0000-0000-00007D290000}"/>
    <cellStyle name="표준 5 2 2 2 4 2 2 5 2 4" xfId="23540" xr:uid="{00000000-0005-0000-0000-00007E290000}"/>
    <cellStyle name="표준 5 2 2 2 4 2 2 5 2 5" xfId="27636" xr:uid="{00000000-0005-0000-0000-00007F290000}"/>
    <cellStyle name="표준 5 2 2 2 4 2 2 5 2 6" xfId="35847" xr:uid="{00000000-0005-0000-0000-000080290000}"/>
    <cellStyle name="표준 5 2 2 2 4 2 2 5 2 7" xfId="44040" xr:uid="{00000000-0005-0000-0000-000081290000}"/>
    <cellStyle name="표준 5 2 2 2 4 2 2 5 3" xfId="8978" xr:uid="{00000000-0005-0000-0000-000082290000}"/>
    <cellStyle name="표준 5 2 2 2 4 2 2 5 3 2" xfId="29684" xr:uid="{00000000-0005-0000-0000-000083290000}"/>
    <cellStyle name="표준 5 2 2 2 4 2 2 5 3 3" xfId="37895" xr:uid="{00000000-0005-0000-0000-000084290000}"/>
    <cellStyle name="표준 5 2 2 2 4 2 2 5 3 4" xfId="46088" xr:uid="{00000000-0005-0000-0000-000085290000}"/>
    <cellStyle name="표준 5 2 2 2 4 2 2 5 4" xfId="13090" xr:uid="{00000000-0005-0000-0000-000086290000}"/>
    <cellStyle name="표준 5 2 2 2 4 2 2 5 5" xfId="17330" xr:uid="{00000000-0005-0000-0000-000087290000}"/>
    <cellStyle name="표준 5 2 2 2 4 2 2 5 6" xfId="21492" xr:uid="{00000000-0005-0000-0000-000088290000}"/>
    <cellStyle name="표준 5 2 2 2 4 2 2 5 7" xfId="25588" xr:uid="{00000000-0005-0000-0000-000089290000}"/>
    <cellStyle name="표준 5 2 2 2 4 2 2 5 8" xfId="33799" xr:uid="{00000000-0005-0000-0000-00008A290000}"/>
    <cellStyle name="표준 5 2 2 2 4 2 2 5 9" xfId="41992" xr:uid="{00000000-0005-0000-0000-00008B290000}"/>
    <cellStyle name="표준 5 2 2 2 4 2 2 6" xfId="9490" xr:uid="{00000000-0005-0000-0000-00008C290000}"/>
    <cellStyle name="표준 5 2 2 2 4 2 2 6 2" xfId="13602" xr:uid="{00000000-0005-0000-0000-00008D290000}"/>
    <cellStyle name="표준 5 2 2 2 4 2 2 6 2 2" xfId="30196" xr:uid="{00000000-0005-0000-0000-00008E290000}"/>
    <cellStyle name="표준 5 2 2 2 4 2 2 6 2 3" xfId="38407" xr:uid="{00000000-0005-0000-0000-00008F290000}"/>
    <cellStyle name="표준 5 2 2 2 4 2 2 6 2 4" xfId="46600" xr:uid="{00000000-0005-0000-0000-000090290000}"/>
    <cellStyle name="표준 5 2 2 2 4 2 2 6 3" xfId="17842" xr:uid="{00000000-0005-0000-0000-000091290000}"/>
    <cellStyle name="표준 5 2 2 2 4 2 2 6 4" xfId="22004" xr:uid="{00000000-0005-0000-0000-000092290000}"/>
    <cellStyle name="표준 5 2 2 2 4 2 2 6 5" xfId="26100" xr:uid="{00000000-0005-0000-0000-000093290000}"/>
    <cellStyle name="표준 5 2 2 2 4 2 2 6 6" xfId="34311" xr:uid="{00000000-0005-0000-0000-000094290000}"/>
    <cellStyle name="표준 5 2 2 2 4 2 2 6 7" xfId="42504" xr:uid="{00000000-0005-0000-0000-000095290000}"/>
    <cellStyle name="표준 5 2 2 2 4 2 2 7" xfId="7442" xr:uid="{00000000-0005-0000-0000-000096290000}"/>
    <cellStyle name="표준 5 2 2 2 4 2 2 7 2" xfId="28148" xr:uid="{00000000-0005-0000-0000-000097290000}"/>
    <cellStyle name="표준 5 2 2 2 4 2 2 7 3" xfId="36359" xr:uid="{00000000-0005-0000-0000-000098290000}"/>
    <cellStyle name="표준 5 2 2 2 4 2 2 7 4" xfId="44552" xr:uid="{00000000-0005-0000-0000-000099290000}"/>
    <cellStyle name="표준 5 2 2 2 4 2 2 8" xfId="11554" xr:uid="{00000000-0005-0000-0000-00009A290000}"/>
    <cellStyle name="표준 5 2 2 2 4 2 2 9" xfId="15794" xr:uid="{00000000-0005-0000-0000-00009B290000}"/>
    <cellStyle name="표준 5 2 2 2 4 2 3" xfId="715" xr:uid="{00000000-0005-0000-0000-00009C290000}"/>
    <cellStyle name="표준 5 2 2 2 4 2 3 10" xfId="24180" xr:uid="{00000000-0005-0000-0000-00009D290000}"/>
    <cellStyle name="표준 5 2 2 2 4 2 3 11" xfId="32391" xr:uid="{00000000-0005-0000-0000-00009E290000}"/>
    <cellStyle name="표준 5 2 2 2 4 2 3 12" xfId="40584" xr:uid="{00000000-0005-0000-0000-00009F290000}"/>
    <cellStyle name="표준 5 2 2 2 4 2 3 2" xfId="1227" xr:uid="{00000000-0005-0000-0000-0000A0290000}"/>
    <cellStyle name="표준 5 2 2 2 4 2 3 2 2" xfId="10130" xr:uid="{00000000-0005-0000-0000-0000A1290000}"/>
    <cellStyle name="표준 5 2 2 2 4 2 3 2 2 2" xfId="14242" xr:uid="{00000000-0005-0000-0000-0000A2290000}"/>
    <cellStyle name="표준 5 2 2 2 4 2 3 2 2 2 2" xfId="30836" xr:uid="{00000000-0005-0000-0000-0000A3290000}"/>
    <cellStyle name="표준 5 2 2 2 4 2 3 2 2 2 3" xfId="39047" xr:uid="{00000000-0005-0000-0000-0000A4290000}"/>
    <cellStyle name="표준 5 2 2 2 4 2 3 2 2 2 4" xfId="47240" xr:uid="{00000000-0005-0000-0000-0000A5290000}"/>
    <cellStyle name="표준 5 2 2 2 4 2 3 2 2 3" xfId="18482" xr:uid="{00000000-0005-0000-0000-0000A6290000}"/>
    <cellStyle name="표준 5 2 2 2 4 2 3 2 2 4" xfId="22644" xr:uid="{00000000-0005-0000-0000-0000A7290000}"/>
    <cellStyle name="표준 5 2 2 2 4 2 3 2 2 5" xfId="26740" xr:uid="{00000000-0005-0000-0000-0000A8290000}"/>
    <cellStyle name="표준 5 2 2 2 4 2 3 2 2 6" xfId="34951" xr:uid="{00000000-0005-0000-0000-0000A9290000}"/>
    <cellStyle name="표준 5 2 2 2 4 2 3 2 2 7" xfId="43144" xr:uid="{00000000-0005-0000-0000-0000AA290000}"/>
    <cellStyle name="표준 5 2 2 2 4 2 3 2 3" xfId="8082" xr:uid="{00000000-0005-0000-0000-0000AB290000}"/>
    <cellStyle name="표준 5 2 2 2 4 2 3 2 3 2" xfId="28788" xr:uid="{00000000-0005-0000-0000-0000AC290000}"/>
    <cellStyle name="표준 5 2 2 2 4 2 3 2 3 3" xfId="36999" xr:uid="{00000000-0005-0000-0000-0000AD290000}"/>
    <cellStyle name="표준 5 2 2 2 4 2 3 2 3 4" xfId="45192" xr:uid="{00000000-0005-0000-0000-0000AE290000}"/>
    <cellStyle name="표준 5 2 2 2 4 2 3 2 4" xfId="12194" xr:uid="{00000000-0005-0000-0000-0000AF290000}"/>
    <cellStyle name="표준 5 2 2 2 4 2 3 2 5" xfId="16434" xr:uid="{00000000-0005-0000-0000-0000B0290000}"/>
    <cellStyle name="표준 5 2 2 2 4 2 3 2 6" xfId="20596" xr:uid="{00000000-0005-0000-0000-0000B1290000}"/>
    <cellStyle name="표준 5 2 2 2 4 2 3 2 7" xfId="24692" xr:uid="{00000000-0005-0000-0000-0000B2290000}"/>
    <cellStyle name="표준 5 2 2 2 4 2 3 2 8" xfId="32903" xr:uid="{00000000-0005-0000-0000-0000B3290000}"/>
    <cellStyle name="표준 5 2 2 2 4 2 3 2 9" xfId="41096" xr:uid="{00000000-0005-0000-0000-0000B4290000}"/>
    <cellStyle name="표준 5 2 2 2 4 2 3 3" xfId="1739" xr:uid="{00000000-0005-0000-0000-0000B5290000}"/>
    <cellStyle name="표준 5 2 2 2 4 2 3 3 2" xfId="10642" xr:uid="{00000000-0005-0000-0000-0000B6290000}"/>
    <cellStyle name="표준 5 2 2 2 4 2 3 3 2 2" xfId="14754" xr:uid="{00000000-0005-0000-0000-0000B7290000}"/>
    <cellStyle name="표준 5 2 2 2 4 2 3 3 2 2 2" xfId="31348" xr:uid="{00000000-0005-0000-0000-0000B8290000}"/>
    <cellStyle name="표준 5 2 2 2 4 2 3 3 2 2 3" xfId="39559" xr:uid="{00000000-0005-0000-0000-0000B9290000}"/>
    <cellStyle name="표준 5 2 2 2 4 2 3 3 2 2 4" xfId="47752" xr:uid="{00000000-0005-0000-0000-0000BA290000}"/>
    <cellStyle name="표준 5 2 2 2 4 2 3 3 2 3" xfId="18994" xr:uid="{00000000-0005-0000-0000-0000BB290000}"/>
    <cellStyle name="표준 5 2 2 2 4 2 3 3 2 4" xfId="23156" xr:uid="{00000000-0005-0000-0000-0000BC290000}"/>
    <cellStyle name="표준 5 2 2 2 4 2 3 3 2 5" xfId="27252" xr:uid="{00000000-0005-0000-0000-0000BD290000}"/>
    <cellStyle name="표준 5 2 2 2 4 2 3 3 2 6" xfId="35463" xr:uid="{00000000-0005-0000-0000-0000BE290000}"/>
    <cellStyle name="표준 5 2 2 2 4 2 3 3 2 7" xfId="43656" xr:uid="{00000000-0005-0000-0000-0000BF290000}"/>
    <cellStyle name="표준 5 2 2 2 4 2 3 3 3" xfId="8594" xr:uid="{00000000-0005-0000-0000-0000C0290000}"/>
    <cellStyle name="표준 5 2 2 2 4 2 3 3 3 2" xfId="29300" xr:uid="{00000000-0005-0000-0000-0000C1290000}"/>
    <cellStyle name="표준 5 2 2 2 4 2 3 3 3 3" xfId="37511" xr:uid="{00000000-0005-0000-0000-0000C2290000}"/>
    <cellStyle name="표준 5 2 2 2 4 2 3 3 3 4" xfId="45704" xr:uid="{00000000-0005-0000-0000-0000C3290000}"/>
    <cellStyle name="표준 5 2 2 2 4 2 3 3 4" xfId="12706" xr:uid="{00000000-0005-0000-0000-0000C4290000}"/>
    <cellStyle name="표준 5 2 2 2 4 2 3 3 5" xfId="16946" xr:uid="{00000000-0005-0000-0000-0000C5290000}"/>
    <cellStyle name="표준 5 2 2 2 4 2 3 3 6" xfId="21108" xr:uid="{00000000-0005-0000-0000-0000C6290000}"/>
    <cellStyle name="표준 5 2 2 2 4 2 3 3 7" xfId="25204" xr:uid="{00000000-0005-0000-0000-0000C7290000}"/>
    <cellStyle name="표준 5 2 2 2 4 2 3 3 8" xfId="33415" xr:uid="{00000000-0005-0000-0000-0000C8290000}"/>
    <cellStyle name="표준 5 2 2 2 4 2 3 3 9" xfId="41608" xr:uid="{00000000-0005-0000-0000-0000C9290000}"/>
    <cellStyle name="표준 5 2 2 2 4 2 3 4" xfId="2251" xr:uid="{00000000-0005-0000-0000-0000CA290000}"/>
    <cellStyle name="표준 5 2 2 2 4 2 3 4 2" xfId="11154" xr:uid="{00000000-0005-0000-0000-0000CB290000}"/>
    <cellStyle name="표준 5 2 2 2 4 2 3 4 2 2" xfId="15266" xr:uid="{00000000-0005-0000-0000-0000CC290000}"/>
    <cellStyle name="표준 5 2 2 2 4 2 3 4 2 2 2" xfId="31860" xr:uid="{00000000-0005-0000-0000-0000CD290000}"/>
    <cellStyle name="표준 5 2 2 2 4 2 3 4 2 2 3" xfId="40071" xr:uid="{00000000-0005-0000-0000-0000CE290000}"/>
    <cellStyle name="표준 5 2 2 2 4 2 3 4 2 2 4" xfId="48264" xr:uid="{00000000-0005-0000-0000-0000CF290000}"/>
    <cellStyle name="표준 5 2 2 2 4 2 3 4 2 3" xfId="19506" xr:uid="{00000000-0005-0000-0000-0000D0290000}"/>
    <cellStyle name="표준 5 2 2 2 4 2 3 4 2 4" xfId="23668" xr:uid="{00000000-0005-0000-0000-0000D1290000}"/>
    <cellStyle name="표준 5 2 2 2 4 2 3 4 2 5" xfId="27764" xr:uid="{00000000-0005-0000-0000-0000D2290000}"/>
    <cellStyle name="표준 5 2 2 2 4 2 3 4 2 6" xfId="35975" xr:uid="{00000000-0005-0000-0000-0000D3290000}"/>
    <cellStyle name="표준 5 2 2 2 4 2 3 4 2 7" xfId="44168" xr:uid="{00000000-0005-0000-0000-0000D4290000}"/>
    <cellStyle name="표준 5 2 2 2 4 2 3 4 3" xfId="9106" xr:uid="{00000000-0005-0000-0000-0000D5290000}"/>
    <cellStyle name="표준 5 2 2 2 4 2 3 4 3 2" xfId="29812" xr:uid="{00000000-0005-0000-0000-0000D6290000}"/>
    <cellStyle name="표준 5 2 2 2 4 2 3 4 3 3" xfId="38023" xr:uid="{00000000-0005-0000-0000-0000D7290000}"/>
    <cellStyle name="표준 5 2 2 2 4 2 3 4 3 4" xfId="46216" xr:uid="{00000000-0005-0000-0000-0000D8290000}"/>
    <cellStyle name="표준 5 2 2 2 4 2 3 4 4" xfId="13218" xr:uid="{00000000-0005-0000-0000-0000D9290000}"/>
    <cellStyle name="표준 5 2 2 2 4 2 3 4 5" xfId="17458" xr:uid="{00000000-0005-0000-0000-0000DA290000}"/>
    <cellStyle name="표준 5 2 2 2 4 2 3 4 6" xfId="21620" xr:uid="{00000000-0005-0000-0000-0000DB290000}"/>
    <cellStyle name="표준 5 2 2 2 4 2 3 4 7" xfId="25716" xr:uid="{00000000-0005-0000-0000-0000DC290000}"/>
    <cellStyle name="표준 5 2 2 2 4 2 3 4 8" xfId="33927" xr:uid="{00000000-0005-0000-0000-0000DD290000}"/>
    <cellStyle name="표준 5 2 2 2 4 2 3 4 9" xfId="42120" xr:uid="{00000000-0005-0000-0000-0000DE290000}"/>
    <cellStyle name="표준 5 2 2 2 4 2 3 5" xfId="9618" xr:uid="{00000000-0005-0000-0000-0000DF290000}"/>
    <cellStyle name="표준 5 2 2 2 4 2 3 5 2" xfId="13730" xr:uid="{00000000-0005-0000-0000-0000E0290000}"/>
    <cellStyle name="표준 5 2 2 2 4 2 3 5 2 2" xfId="30324" xr:uid="{00000000-0005-0000-0000-0000E1290000}"/>
    <cellStyle name="표준 5 2 2 2 4 2 3 5 2 3" xfId="38535" xr:uid="{00000000-0005-0000-0000-0000E2290000}"/>
    <cellStyle name="표준 5 2 2 2 4 2 3 5 2 4" xfId="46728" xr:uid="{00000000-0005-0000-0000-0000E3290000}"/>
    <cellStyle name="표준 5 2 2 2 4 2 3 5 3" xfId="17970" xr:uid="{00000000-0005-0000-0000-0000E4290000}"/>
    <cellStyle name="표준 5 2 2 2 4 2 3 5 4" xfId="22132" xr:uid="{00000000-0005-0000-0000-0000E5290000}"/>
    <cellStyle name="표준 5 2 2 2 4 2 3 5 5" xfId="26228" xr:uid="{00000000-0005-0000-0000-0000E6290000}"/>
    <cellStyle name="표준 5 2 2 2 4 2 3 5 6" xfId="34439" xr:uid="{00000000-0005-0000-0000-0000E7290000}"/>
    <cellStyle name="표준 5 2 2 2 4 2 3 5 7" xfId="42632" xr:uid="{00000000-0005-0000-0000-0000E8290000}"/>
    <cellStyle name="표준 5 2 2 2 4 2 3 6" xfId="7570" xr:uid="{00000000-0005-0000-0000-0000E9290000}"/>
    <cellStyle name="표준 5 2 2 2 4 2 3 6 2" xfId="28276" xr:uid="{00000000-0005-0000-0000-0000EA290000}"/>
    <cellStyle name="표준 5 2 2 2 4 2 3 6 3" xfId="36487" xr:uid="{00000000-0005-0000-0000-0000EB290000}"/>
    <cellStyle name="표준 5 2 2 2 4 2 3 6 4" xfId="44680" xr:uid="{00000000-0005-0000-0000-0000EC290000}"/>
    <cellStyle name="표준 5 2 2 2 4 2 3 7" xfId="11682" xr:uid="{00000000-0005-0000-0000-0000ED290000}"/>
    <cellStyle name="표준 5 2 2 2 4 2 3 8" xfId="15922" xr:uid="{00000000-0005-0000-0000-0000EE290000}"/>
    <cellStyle name="표준 5 2 2 2 4 2 3 9" xfId="20084" xr:uid="{00000000-0005-0000-0000-0000EF290000}"/>
    <cellStyle name="표준 5 2 2 2 4 2 4" xfId="971" xr:uid="{00000000-0005-0000-0000-0000F0290000}"/>
    <cellStyle name="표준 5 2 2 2 4 2 4 2" xfId="9874" xr:uid="{00000000-0005-0000-0000-0000F1290000}"/>
    <cellStyle name="표준 5 2 2 2 4 2 4 2 2" xfId="13986" xr:uid="{00000000-0005-0000-0000-0000F2290000}"/>
    <cellStyle name="표준 5 2 2 2 4 2 4 2 2 2" xfId="30580" xr:uid="{00000000-0005-0000-0000-0000F3290000}"/>
    <cellStyle name="표준 5 2 2 2 4 2 4 2 2 3" xfId="38791" xr:uid="{00000000-0005-0000-0000-0000F4290000}"/>
    <cellStyle name="표준 5 2 2 2 4 2 4 2 2 4" xfId="46984" xr:uid="{00000000-0005-0000-0000-0000F5290000}"/>
    <cellStyle name="표준 5 2 2 2 4 2 4 2 3" xfId="18226" xr:uid="{00000000-0005-0000-0000-0000F6290000}"/>
    <cellStyle name="표준 5 2 2 2 4 2 4 2 4" xfId="22388" xr:uid="{00000000-0005-0000-0000-0000F7290000}"/>
    <cellStyle name="표준 5 2 2 2 4 2 4 2 5" xfId="26484" xr:uid="{00000000-0005-0000-0000-0000F8290000}"/>
    <cellStyle name="표준 5 2 2 2 4 2 4 2 6" xfId="34695" xr:uid="{00000000-0005-0000-0000-0000F9290000}"/>
    <cellStyle name="표준 5 2 2 2 4 2 4 2 7" xfId="42888" xr:uid="{00000000-0005-0000-0000-0000FA290000}"/>
    <cellStyle name="표준 5 2 2 2 4 2 4 3" xfId="7826" xr:uid="{00000000-0005-0000-0000-0000FB290000}"/>
    <cellStyle name="표준 5 2 2 2 4 2 4 3 2" xfId="28532" xr:uid="{00000000-0005-0000-0000-0000FC290000}"/>
    <cellStyle name="표준 5 2 2 2 4 2 4 3 3" xfId="36743" xr:uid="{00000000-0005-0000-0000-0000FD290000}"/>
    <cellStyle name="표준 5 2 2 2 4 2 4 3 4" xfId="44936" xr:uid="{00000000-0005-0000-0000-0000FE290000}"/>
    <cellStyle name="표준 5 2 2 2 4 2 4 4" xfId="11938" xr:uid="{00000000-0005-0000-0000-0000FF290000}"/>
    <cellStyle name="표준 5 2 2 2 4 2 4 5" xfId="16178" xr:uid="{00000000-0005-0000-0000-0000002A0000}"/>
    <cellStyle name="표준 5 2 2 2 4 2 4 6" xfId="20340" xr:uid="{00000000-0005-0000-0000-0000012A0000}"/>
    <cellStyle name="표준 5 2 2 2 4 2 4 7" xfId="24436" xr:uid="{00000000-0005-0000-0000-0000022A0000}"/>
    <cellStyle name="표준 5 2 2 2 4 2 4 8" xfId="32647" xr:uid="{00000000-0005-0000-0000-0000032A0000}"/>
    <cellStyle name="표준 5 2 2 2 4 2 4 9" xfId="40840" xr:uid="{00000000-0005-0000-0000-0000042A0000}"/>
    <cellStyle name="표준 5 2 2 2 4 2 5" xfId="1483" xr:uid="{00000000-0005-0000-0000-0000052A0000}"/>
    <cellStyle name="표준 5 2 2 2 4 2 5 2" xfId="10386" xr:uid="{00000000-0005-0000-0000-0000062A0000}"/>
    <cellStyle name="표준 5 2 2 2 4 2 5 2 2" xfId="14498" xr:uid="{00000000-0005-0000-0000-0000072A0000}"/>
    <cellStyle name="표준 5 2 2 2 4 2 5 2 2 2" xfId="31092" xr:uid="{00000000-0005-0000-0000-0000082A0000}"/>
    <cellStyle name="표준 5 2 2 2 4 2 5 2 2 3" xfId="39303" xr:uid="{00000000-0005-0000-0000-0000092A0000}"/>
    <cellStyle name="표준 5 2 2 2 4 2 5 2 2 4" xfId="47496" xr:uid="{00000000-0005-0000-0000-00000A2A0000}"/>
    <cellStyle name="표준 5 2 2 2 4 2 5 2 3" xfId="18738" xr:uid="{00000000-0005-0000-0000-00000B2A0000}"/>
    <cellStyle name="표준 5 2 2 2 4 2 5 2 4" xfId="22900" xr:uid="{00000000-0005-0000-0000-00000C2A0000}"/>
    <cellStyle name="표준 5 2 2 2 4 2 5 2 5" xfId="26996" xr:uid="{00000000-0005-0000-0000-00000D2A0000}"/>
    <cellStyle name="표준 5 2 2 2 4 2 5 2 6" xfId="35207" xr:uid="{00000000-0005-0000-0000-00000E2A0000}"/>
    <cellStyle name="표준 5 2 2 2 4 2 5 2 7" xfId="43400" xr:uid="{00000000-0005-0000-0000-00000F2A0000}"/>
    <cellStyle name="표준 5 2 2 2 4 2 5 3" xfId="8338" xr:uid="{00000000-0005-0000-0000-0000102A0000}"/>
    <cellStyle name="표준 5 2 2 2 4 2 5 3 2" xfId="29044" xr:uid="{00000000-0005-0000-0000-0000112A0000}"/>
    <cellStyle name="표준 5 2 2 2 4 2 5 3 3" xfId="37255" xr:uid="{00000000-0005-0000-0000-0000122A0000}"/>
    <cellStyle name="표준 5 2 2 2 4 2 5 3 4" xfId="45448" xr:uid="{00000000-0005-0000-0000-0000132A0000}"/>
    <cellStyle name="표준 5 2 2 2 4 2 5 4" xfId="12450" xr:uid="{00000000-0005-0000-0000-0000142A0000}"/>
    <cellStyle name="표준 5 2 2 2 4 2 5 5" xfId="16690" xr:uid="{00000000-0005-0000-0000-0000152A0000}"/>
    <cellStyle name="표준 5 2 2 2 4 2 5 6" xfId="20852" xr:uid="{00000000-0005-0000-0000-0000162A0000}"/>
    <cellStyle name="표준 5 2 2 2 4 2 5 7" xfId="24948" xr:uid="{00000000-0005-0000-0000-0000172A0000}"/>
    <cellStyle name="표준 5 2 2 2 4 2 5 8" xfId="33159" xr:uid="{00000000-0005-0000-0000-0000182A0000}"/>
    <cellStyle name="표준 5 2 2 2 4 2 5 9" xfId="41352" xr:uid="{00000000-0005-0000-0000-0000192A0000}"/>
    <cellStyle name="표준 5 2 2 2 4 2 6" xfId="1995" xr:uid="{00000000-0005-0000-0000-00001A2A0000}"/>
    <cellStyle name="표준 5 2 2 2 4 2 6 2" xfId="10898" xr:uid="{00000000-0005-0000-0000-00001B2A0000}"/>
    <cellStyle name="표준 5 2 2 2 4 2 6 2 2" xfId="15010" xr:uid="{00000000-0005-0000-0000-00001C2A0000}"/>
    <cellStyle name="표준 5 2 2 2 4 2 6 2 2 2" xfId="31604" xr:uid="{00000000-0005-0000-0000-00001D2A0000}"/>
    <cellStyle name="표준 5 2 2 2 4 2 6 2 2 3" xfId="39815" xr:uid="{00000000-0005-0000-0000-00001E2A0000}"/>
    <cellStyle name="표준 5 2 2 2 4 2 6 2 2 4" xfId="48008" xr:uid="{00000000-0005-0000-0000-00001F2A0000}"/>
    <cellStyle name="표준 5 2 2 2 4 2 6 2 3" xfId="19250" xr:uid="{00000000-0005-0000-0000-0000202A0000}"/>
    <cellStyle name="표준 5 2 2 2 4 2 6 2 4" xfId="23412" xr:uid="{00000000-0005-0000-0000-0000212A0000}"/>
    <cellStyle name="표준 5 2 2 2 4 2 6 2 5" xfId="27508" xr:uid="{00000000-0005-0000-0000-0000222A0000}"/>
    <cellStyle name="표준 5 2 2 2 4 2 6 2 6" xfId="35719" xr:uid="{00000000-0005-0000-0000-0000232A0000}"/>
    <cellStyle name="표준 5 2 2 2 4 2 6 2 7" xfId="43912" xr:uid="{00000000-0005-0000-0000-0000242A0000}"/>
    <cellStyle name="표준 5 2 2 2 4 2 6 3" xfId="8850" xr:uid="{00000000-0005-0000-0000-0000252A0000}"/>
    <cellStyle name="표준 5 2 2 2 4 2 6 3 2" xfId="29556" xr:uid="{00000000-0005-0000-0000-0000262A0000}"/>
    <cellStyle name="표준 5 2 2 2 4 2 6 3 3" xfId="37767" xr:uid="{00000000-0005-0000-0000-0000272A0000}"/>
    <cellStyle name="표준 5 2 2 2 4 2 6 3 4" xfId="45960" xr:uid="{00000000-0005-0000-0000-0000282A0000}"/>
    <cellStyle name="표준 5 2 2 2 4 2 6 4" xfId="12962" xr:uid="{00000000-0005-0000-0000-0000292A0000}"/>
    <cellStyle name="표준 5 2 2 2 4 2 6 5" xfId="17202" xr:uid="{00000000-0005-0000-0000-00002A2A0000}"/>
    <cellStyle name="표준 5 2 2 2 4 2 6 6" xfId="21364" xr:uid="{00000000-0005-0000-0000-00002B2A0000}"/>
    <cellStyle name="표준 5 2 2 2 4 2 6 7" xfId="25460" xr:uid="{00000000-0005-0000-0000-00002C2A0000}"/>
    <cellStyle name="표준 5 2 2 2 4 2 6 8" xfId="33671" xr:uid="{00000000-0005-0000-0000-00002D2A0000}"/>
    <cellStyle name="표준 5 2 2 2 4 2 6 9" xfId="41864" xr:uid="{00000000-0005-0000-0000-00002E2A0000}"/>
    <cellStyle name="표준 5 2 2 2 4 2 7" xfId="7055" xr:uid="{00000000-0005-0000-0000-00002F2A0000}"/>
    <cellStyle name="표준 5 2 2 2 4 2 7 2" xfId="9362" xr:uid="{00000000-0005-0000-0000-0000302A0000}"/>
    <cellStyle name="표준 5 2 2 2 4 2 7 2 2" xfId="30068" xr:uid="{00000000-0005-0000-0000-0000312A0000}"/>
    <cellStyle name="표준 5 2 2 2 4 2 7 2 3" xfId="38279" xr:uid="{00000000-0005-0000-0000-0000322A0000}"/>
    <cellStyle name="표준 5 2 2 2 4 2 7 2 4" xfId="46472" xr:uid="{00000000-0005-0000-0000-0000332A0000}"/>
    <cellStyle name="표준 5 2 2 2 4 2 7 3" xfId="13474" xr:uid="{00000000-0005-0000-0000-0000342A0000}"/>
    <cellStyle name="표준 5 2 2 2 4 2 7 4" xfId="17714" xr:uid="{00000000-0005-0000-0000-0000352A0000}"/>
    <cellStyle name="표준 5 2 2 2 4 2 7 5" xfId="21876" xr:uid="{00000000-0005-0000-0000-0000362A0000}"/>
    <cellStyle name="표준 5 2 2 2 4 2 7 6" xfId="25972" xr:uid="{00000000-0005-0000-0000-0000372A0000}"/>
    <cellStyle name="표준 5 2 2 2 4 2 7 7" xfId="34183" xr:uid="{00000000-0005-0000-0000-0000382A0000}"/>
    <cellStyle name="표준 5 2 2 2 4 2 7 8" xfId="42376" xr:uid="{00000000-0005-0000-0000-0000392A0000}"/>
    <cellStyle name="표준 5 2 2 2 4 2 8" xfId="7123" xr:uid="{00000000-0005-0000-0000-00003A2A0000}"/>
    <cellStyle name="표준 5 2 2 2 4 2 8 2" xfId="28020" xr:uid="{00000000-0005-0000-0000-00003B2A0000}"/>
    <cellStyle name="표준 5 2 2 2 4 2 8 3" xfId="36231" xr:uid="{00000000-0005-0000-0000-00003C2A0000}"/>
    <cellStyle name="표준 5 2 2 2 4 2 8 4" xfId="44424" xr:uid="{00000000-0005-0000-0000-00003D2A0000}"/>
    <cellStyle name="표준 5 2 2 2 4 2 9" xfId="7314" xr:uid="{00000000-0005-0000-0000-00003E2A0000}"/>
    <cellStyle name="표준 5 2 2 2 4 3" xfId="523" xr:uid="{00000000-0005-0000-0000-00003F2A0000}"/>
    <cellStyle name="표준 5 2 2 2 4 3 10" xfId="19892" xr:uid="{00000000-0005-0000-0000-0000402A0000}"/>
    <cellStyle name="표준 5 2 2 2 4 3 11" xfId="23988" xr:uid="{00000000-0005-0000-0000-0000412A0000}"/>
    <cellStyle name="표준 5 2 2 2 4 3 12" xfId="32199" xr:uid="{00000000-0005-0000-0000-0000422A0000}"/>
    <cellStyle name="표준 5 2 2 2 4 3 13" xfId="40392" xr:uid="{00000000-0005-0000-0000-0000432A0000}"/>
    <cellStyle name="표준 5 2 2 2 4 3 2" xfId="779" xr:uid="{00000000-0005-0000-0000-0000442A0000}"/>
    <cellStyle name="표준 5 2 2 2 4 3 2 10" xfId="24244" xr:uid="{00000000-0005-0000-0000-0000452A0000}"/>
    <cellStyle name="표준 5 2 2 2 4 3 2 11" xfId="32455" xr:uid="{00000000-0005-0000-0000-0000462A0000}"/>
    <cellStyle name="표준 5 2 2 2 4 3 2 12" xfId="40648" xr:uid="{00000000-0005-0000-0000-0000472A0000}"/>
    <cellStyle name="표준 5 2 2 2 4 3 2 2" xfId="1291" xr:uid="{00000000-0005-0000-0000-0000482A0000}"/>
    <cellStyle name="표준 5 2 2 2 4 3 2 2 2" xfId="10194" xr:uid="{00000000-0005-0000-0000-0000492A0000}"/>
    <cellStyle name="표준 5 2 2 2 4 3 2 2 2 2" xfId="14306" xr:uid="{00000000-0005-0000-0000-00004A2A0000}"/>
    <cellStyle name="표준 5 2 2 2 4 3 2 2 2 2 2" xfId="30900" xr:uid="{00000000-0005-0000-0000-00004B2A0000}"/>
    <cellStyle name="표준 5 2 2 2 4 3 2 2 2 2 3" xfId="39111" xr:uid="{00000000-0005-0000-0000-00004C2A0000}"/>
    <cellStyle name="표준 5 2 2 2 4 3 2 2 2 2 4" xfId="47304" xr:uid="{00000000-0005-0000-0000-00004D2A0000}"/>
    <cellStyle name="표준 5 2 2 2 4 3 2 2 2 3" xfId="18546" xr:uid="{00000000-0005-0000-0000-00004E2A0000}"/>
    <cellStyle name="표준 5 2 2 2 4 3 2 2 2 4" xfId="22708" xr:uid="{00000000-0005-0000-0000-00004F2A0000}"/>
    <cellStyle name="표준 5 2 2 2 4 3 2 2 2 5" xfId="26804" xr:uid="{00000000-0005-0000-0000-0000502A0000}"/>
    <cellStyle name="표준 5 2 2 2 4 3 2 2 2 6" xfId="35015" xr:uid="{00000000-0005-0000-0000-0000512A0000}"/>
    <cellStyle name="표준 5 2 2 2 4 3 2 2 2 7" xfId="43208" xr:uid="{00000000-0005-0000-0000-0000522A0000}"/>
    <cellStyle name="표준 5 2 2 2 4 3 2 2 3" xfId="8146" xr:uid="{00000000-0005-0000-0000-0000532A0000}"/>
    <cellStyle name="표준 5 2 2 2 4 3 2 2 3 2" xfId="28852" xr:uid="{00000000-0005-0000-0000-0000542A0000}"/>
    <cellStyle name="표준 5 2 2 2 4 3 2 2 3 3" xfId="37063" xr:uid="{00000000-0005-0000-0000-0000552A0000}"/>
    <cellStyle name="표준 5 2 2 2 4 3 2 2 3 4" xfId="45256" xr:uid="{00000000-0005-0000-0000-0000562A0000}"/>
    <cellStyle name="표준 5 2 2 2 4 3 2 2 4" xfId="12258" xr:uid="{00000000-0005-0000-0000-0000572A0000}"/>
    <cellStyle name="표준 5 2 2 2 4 3 2 2 5" xfId="16498" xr:uid="{00000000-0005-0000-0000-0000582A0000}"/>
    <cellStyle name="표준 5 2 2 2 4 3 2 2 6" xfId="20660" xr:uid="{00000000-0005-0000-0000-0000592A0000}"/>
    <cellStyle name="표준 5 2 2 2 4 3 2 2 7" xfId="24756" xr:uid="{00000000-0005-0000-0000-00005A2A0000}"/>
    <cellStyle name="표준 5 2 2 2 4 3 2 2 8" xfId="32967" xr:uid="{00000000-0005-0000-0000-00005B2A0000}"/>
    <cellStyle name="표준 5 2 2 2 4 3 2 2 9" xfId="41160" xr:uid="{00000000-0005-0000-0000-00005C2A0000}"/>
    <cellStyle name="표준 5 2 2 2 4 3 2 3" xfId="1803" xr:uid="{00000000-0005-0000-0000-00005D2A0000}"/>
    <cellStyle name="표준 5 2 2 2 4 3 2 3 2" xfId="10706" xr:uid="{00000000-0005-0000-0000-00005E2A0000}"/>
    <cellStyle name="표준 5 2 2 2 4 3 2 3 2 2" xfId="14818" xr:uid="{00000000-0005-0000-0000-00005F2A0000}"/>
    <cellStyle name="표준 5 2 2 2 4 3 2 3 2 2 2" xfId="31412" xr:uid="{00000000-0005-0000-0000-0000602A0000}"/>
    <cellStyle name="표준 5 2 2 2 4 3 2 3 2 2 3" xfId="39623" xr:uid="{00000000-0005-0000-0000-0000612A0000}"/>
    <cellStyle name="표준 5 2 2 2 4 3 2 3 2 2 4" xfId="47816" xr:uid="{00000000-0005-0000-0000-0000622A0000}"/>
    <cellStyle name="표준 5 2 2 2 4 3 2 3 2 3" xfId="19058" xr:uid="{00000000-0005-0000-0000-0000632A0000}"/>
    <cellStyle name="표준 5 2 2 2 4 3 2 3 2 4" xfId="23220" xr:uid="{00000000-0005-0000-0000-0000642A0000}"/>
    <cellStyle name="표준 5 2 2 2 4 3 2 3 2 5" xfId="27316" xr:uid="{00000000-0005-0000-0000-0000652A0000}"/>
    <cellStyle name="표준 5 2 2 2 4 3 2 3 2 6" xfId="35527" xr:uid="{00000000-0005-0000-0000-0000662A0000}"/>
    <cellStyle name="표준 5 2 2 2 4 3 2 3 2 7" xfId="43720" xr:uid="{00000000-0005-0000-0000-0000672A0000}"/>
    <cellStyle name="표준 5 2 2 2 4 3 2 3 3" xfId="8658" xr:uid="{00000000-0005-0000-0000-0000682A0000}"/>
    <cellStyle name="표준 5 2 2 2 4 3 2 3 3 2" xfId="29364" xr:uid="{00000000-0005-0000-0000-0000692A0000}"/>
    <cellStyle name="표준 5 2 2 2 4 3 2 3 3 3" xfId="37575" xr:uid="{00000000-0005-0000-0000-00006A2A0000}"/>
    <cellStyle name="표준 5 2 2 2 4 3 2 3 3 4" xfId="45768" xr:uid="{00000000-0005-0000-0000-00006B2A0000}"/>
    <cellStyle name="표준 5 2 2 2 4 3 2 3 4" xfId="12770" xr:uid="{00000000-0005-0000-0000-00006C2A0000}"/>
    <cellStyle name="표준 5 2 2 2 4 3 2 3 5" xfId="17010" xr:uid="{00000000-0005-0000-0000-00006D2A0000}"/>
    <cellStyle name="표준 5 2 2 2 4 3 2 3 6" xfId="21172" xr:uid="{00000000-0005-0000-0000-00006E2A0000}"/>
    <cellStyle name="표준 5 2 2 2 4 3 2 3 7" xfId="25268" xr:uid="{00000000-0005-0000-0000-00006F2A0000}"/>
    <cellStyle name="표준 5 2 2 2 4 3 2 3 8" xfId="33479" xr:uid="{00000000-0005-0000-0000-0000702A0000}"/>
    <cellStyle name="표준 5 2 2 2 4 3 2 3 9" xfId="41672" xr:uid="{00000000-0005-0000-0000-0000712A0000}"/>
    <cellStyle name="표준 5 2 2 2 4 3 2 4" xfId="2315" xr:uid="{00000000-0005-0000-0000-0000722A0000}"/>
    <cellStyle name="표준 5 2 2 2 4 3 2 4 2" xfId="11218" xr:uid="{00000000-0005-0000-0000-0000732A0000}"/>
    <cellStyle name="표준 5 2 2 2 4 3 2 4 2 2" xfId="15330" xr:uid="{00000000-0005-0000-0000-0000742A0000}"/>
    <cellStyle name="표준 5 2 2 2 4 3 2 4 2 2 2" xfId="31924" xr:uid="{00000000-0005-0000-0000-0000752A0000}"/>
    <cellStyle name="표준 5 2 2 2 4 3 2 4 2 2 3" xfId="40135" xr:uid="{00000000-0005-0000-0000-0000762A0000}"/>
    <cellStyle name="표준 5 2 2 2 4 3 2 4 2 2 4" xfId="48328" xr:uid="{00000000-0005-0000-0000-0000772A0000}"/>
    <cellStyle name="표준 5 2 2 2 4 3 2 4 2 3" xfId="19570" xr:uid="{00000000-0005-0000-0000-0000782A0000}"/>
    <cellStyle name="표준 5 2 2 2 4 3 2 4 2 4" xfId="23732" xr:uid="{00000000-0005-0000-0000-0000792A0000}"/>
    <cellStyle name="표준 5 2 2 2 4 3 2 4 2 5" xfId="27828" xr:uid="{00000000-0005-0000-0000-00007A2A0000}"/>
    <cellStyle name="표준 5 2 2 2 4 3 2 4 2 6" xfId="36039" xr:uid="{00000000-0005-0000-0000-00007B2A0000}"/>
    <cellStyle name="표준 5 2 2 2 4 3 2 4 2 7" xfId="44232" xr:uid="{00000000-0005-0000-0000-00007C2A0000}"/>
    <cellStyle name="표준 5 2 2 2 4 3 2 4 3" xfId="9170" xr:uid="{00000000-0005-0000-0000-00007D2A0000}"/>
    <cellStyle name="표준 5 2 2 2 4 3 2 4 3 2" xfId="29876" xr:uid="{00000000-0005-0000-0000-00007E2A0000}"/>
    <cellStyle name="표준 5 2 2 2 4 3 2 4 3 3" xfId="38087" xr:uid="{00000000-0005-0000-0000-00007F2A0000}"/>
    <cellStyle name="표준 5 2 2 2 4 3 2 4 3 4" xfId="46280" xr:uid="{00000000-0005-0000-0000-0000802A0000}"/>
    <cellStyle name="표준 5 2 2 2 4 3 2 4 4" xfId="13282" xr:uid="{00000000-0005-0000-0000-0000812A0000}"/>
    <cellStyle name="표준 5 2 2 2 4 3 2 4 5" xfId="17522" xr:uid="{00000000-0005-0000-0000-0000822A0000}"/>
    <cellStyle name="표준 5 2 2 2 4 3 2 4 6" xfId="21684" xr:uid="{00000000-0005-0000-0000-0000832A0000}"/>
    <cellStyle name="표준 5 2 2 2 4 3 2 4 7" xfId="25780" xr:uid="{00000000-0005-0000-0000-0000842A0000}"/>
    <cellStyle name="표준 5 2 2 2 4 3 2 4 8" xfId="33991" xr:uid="{00000000-0005-0000-0000-0000852A0000}"/>
    <cellStyle name="표준 5 2 2 2 4 3 2 4 9" xfId="42184" xr:uid="{00000000-0005-0000-0000-0000862A0000}"/>
    <cellStyle name="표준 5 2 2 2 4 3 2 5" xfId="9682" xr:uid="{00000000-0005-0000-0000-0000872A0000}"/>
    <cellStyle name="표준 5 2 2 2 4 3 2 5 2" xfId="13794" xr:uid="{00000000-0005-0000-0000-0000882A0000}"/>
    <cellStyle name="표준 5 2 2 2 4 3 2 5 2 2" xfId="30388" xr:uid="{00000000-0005-0000-0000-0000892A0000}"/>
    <cellStyle name="표준 5 2 2 2 4 3 2 5 2 3" xfId="38599" xr:uid="{00000000-0005-0000-0000-00008A2A0000}"/>
    <cellStyle name="표준 5 2 2 2 4 3 2 5 2 4" xfId="46792" xr:uid="{00000000-0005-0000-0000-00008B2A0000}"/>
    <cellStyle name="표준 5 2 2 2 4 3 2 5 3" xfId="18034" xr:uid="{00000000-0005-0000-0000-00008C2A0000}"/>
    <cellStyle name="표준 5 2 2 2 4 3 2 5 4" xfId="22196" xr:uid="{00000000-0005-0000-0000-00008D2A0000}"/>
    <cellStyle name="표준 5 2 2 2 4 3 2 5 5" xfId="26292" xr:uid="{00000000-0005-0000-0000-00008E2A0000}"/>
    <cellStyle name="표준 5 2 2 2 4 3 2 5 6" xfId="34503" xr:uid="{00000000-0005-0000-0000-00008F2A0000}"/>
    <cellStyle name="표준 5 2 2 2 4 3 2 5 7" xfId="42696" xr:uid="{00000000-0005-0000-0000-0000902A0000}"/>
    <cellStyle name="표준 5 2 2 2 4 3 2 6" xfId="7634" xr:uid="{00000000-0005-0000-0000-0000912A0000}"/>
    <cellStyle name="표준 5 2 2 2 4 3 2 6 2" xfId="28340" xr:uid="{00000000-0005-0000-0000-0000922A0000}"/>
    <cellStyle name="표준 5 2 2 2 4 3 2 6 3" xfId="36551" xr:uid="{00000000-0005-0000-0000-0000932A0000}"/>
    <cellStyle name="표준 5 2 2 2 4 3 2 6 4" xfId="44744" xr:uid="{00000000-0005-0000-0000-0000942A0000}"/>
    <cellStyle name="표준 5 2 2 2 4 3 2 7" xfId="11746" xr:uid="{00000000-0005-0000-0000-0000952A0000}"/>
    <cellStyle name="표준 5 2 2 2 4 3 2 8" xfId="15986" xr:uid="{00000000-0005-0000-0000-0000962A0000}"/>
    <cellStyle name="표준 5 2 2 2 4 3 2 9" xfId="20148" xr:uid="{00000000-0005-0000-0000-0000972A0000}"/>
    <cellStyle name="표준 5 2 2 2 4 3 3" xfId="1035" xr:uid="{00000000-0005-0000-0000-0000982A0000}"/>
    <cellStyle name="표준 5 2 2 2 4 3 3 2" xfId="9938" xr:uid="{00000000-0005-0000-0000-0000992A0000}"/>
    <cellStyle name="표준 5 2 2 2 4 3 3 2 2" xfId="14050" xr:uid="{00000000-0005-0000-0000-00009A2A0000}"/>
    <cellStyle name="표준 5 2 2 2 4 3 3 2 2 2" xfId="30644" xr:uid="{00000000-0005-0000-0000-00009B2A0000}"/>
    <cellStyle name="표준 5 2 2 2 4 3 3 2 2 3" xfId="38855" xr:uid="{00000000-0005-0000-0000-00009C2A0000}"/>
    <cellStyle name="표준 5 2 2 2 4 3 3 2 2 4" xfId="47048" xr:uid="{00000000-0005-0000-0000-00009D2A0000}"/>
    <cellStyle name="표준 5 2 2 2 4 3 3 2 3" xfId="18290" xr:uid="{00000000-0005-0000-0000-00009E2A0000}"/>
    <cellStyle name="표준 5 2 2 2 4 3 3 2 4" xfId="22452" xr:uid="{00000000-0005-0000-0000-00009F2A0000}"/>
    <cellStyle name="표준 5 2 2 2 4 3 3 2 5" xfId="26548" xr:uid="{00000000-0005-0000-0000-0000A02A0000}"/>
    <cellStyle name="표준 5 2 2 2 4 3 3 2 6" xfId="34759" xr:uid="{00000000-0005-0000-0000-0000A12A0000}"/>
    <cellStyle name="표준 5 2 2 2 4 3 3 2 7" xfId="42952" xr:uid="{00000000-0005-0000-0000-0000A22A0000}"/>
    <cellStyle name="표준 5 2 2 2 4 3 3 3" xfId="7890" xr:uid="{00000000-0005-0000-0000-0000A32A0000}"/>
    <cellStyle name="표준 5 2 2 2 4 3 3 3 2" xfId="28596" xr:uid="{00000000-0005-0000-0000-0000A42A0000}"/>
    <cellStyle name="표준 5 2 2 2 4 3 3 3 3" xfId="36807" xr:uid="{00000000-0005-0000-0000-0000A52A0000}"/>
    <cellStyle name="표준 5 2 2 2 4 3 3 3 4" xfId="45000" xr:uid="{00000000-0005-0000-0000-0000A62A0000}"/>
    <cellStyle name="표준 5 2 2 2 4 3 3 4" xfId="12002" xr:uid="{00000000-0005-0000-0000-0000A72A0000}"/>
    <cellStyle name="표준 5 2 2 2 4 3 3 5" xfId="16242" xr:uid="{00000000-0005-0000-0000-0000A82A0000}"/>
    <cellStyle name="표준 5 2 2 2 4 3 3 6" xfId="20404" xr:uid="{00000000-0005-0000-0000-0000A92A0000}"/>
    <cellStyle name="표준 5 2 2 2 4 3 3 7" xfId="24500" xr:uid="{00000000-0005-0000-0000-0000AA2A0000}"/>
    <cellStyle name="표준 5 2 2 2 4 3 3 8" xfId="32711" xr:uid="{00000000-0005-0000-0000-0000AB2A0000}"/>
    <cellStyle name="표준 5 2 2 2 4 3 3 9" xfId="40904" xr:uid="{00000000-0005-0000-0000-0000AC2A0000}"/>
    <cellStyle name="표준 5 2 2 2 4 3 4" xfId="1547" xr:uid="{00000000-0005-0000-0000-0000AD2A0000}"/>
    <cellStyle name="표준 5 2 2 2 4 3 4 2" xfId="10450" xr:uid="{00000000-0005-0000-0000-0000AE2A0000}"/>
    <cellStyle name="표준 5 2 2 2 4 3 4 2 2" xfId="14562" xr:uid="{00000000-0005-0000-0000-0000AF2A0000}"/>
    <cellStyle name="표준 5 2 2 2 4 3 4 2 2 2" xfId="31156" xr:uid="{00000000-0005-0000-0000-0000B02A0000}"/>
    <cellStyle name="표준 5 2 2 2 4 3 4 2 2 3" xfId="39367" xr:uid="{00000000-0005-0000-0000-0000B12A0000}"/>
    <cellStyle name="표준 5 2 2 2 4 3 4 2 2 4" xfId="47560" xr:uid="{00000000-0005-0000-0000-0000B22A0000}"/>
    <cellStyle name="표준 5 2 2 2 4 3 4 2 3" xfId="18802" xr:uid="{00000000-0005-0000-0000-0000B32A0000}"/>
    <cellStyle name="표준 5 2 2 2 4 3 4 2 4" xfId="22964" xr:uid="{00000000-0005-0000-0000-0000B42A0000}"/>
    <cellStyle name="표준 5 2 2 2 4 3 4 2 5" xfId="27060" xr:uid="{00000000-0005-0000-0000-0000B52A0000}"/>
    <cellStyle name="표준 5 2 2 2 4 3 4 2 6" xfId="35271" xr:uid="{00000000-0005-0000-0000-0000B62A0000}"/>
    <cellStyle name="표준 5 2 2 2 4 3 4 2 7" xfId="43464" xr:uid="{00000000-0005-0000-0000-0000B72A0000}"/>
    <cellStyle name="표준 5 2 2 2 4 3 4 3" xfId="8402" xr:uid="{00000000-0005-0000-0000-0000B82A0000}"/>
    <cellStyle name="표준 5 2 2 2 4 3 4 3 2" xfId="29108" xr:uid="{00000000-0005-0000-0000-0000B92A0000}"/>
    <cellStyle name="표준 5 2 2 2 4 3 4 3 3" xfId="37319" xr:uid="{00000000-0005-0000-0000-0000BA2A0000}"/>
    <cellStyle name="표준 5 2 2 2 4 3 4 3 4" xfId="45512" xr:uid="{00000000-0005-0000-0000-0000BB2A0000}"/>
    <cellStyle name="표준 5 2 2 2 4 3 4 4" xfId="12514" xr:uid="{00000000-0005-0000-0000-0000BC2A0000}"/>
    <cellStyle name="표준 5 2 2 2 4 3 4 5" xfId="16754" xr:uid="{00000000-0005-0000-0000-0000BD2A0000}"/>
    <cellStyle name="표준 5 2 2 2 4 3 4 6" xfId="20916" xr:uid="{00000000-0005-0000-0000-0000BE2A0000}"/>
    <cellStyle name="표준 5 2 2 2 4 3 4 7" xfId="25012" xr:uid="{00000000-0005-0000-0000-0000BF2A0000}"/>
    <cellStyle name="표준 5 2 2 2 4 3 4 8" xfId="33223" xr:uid="{00000000-0005-0000-0000-0000C02A0000}"/>
    <cellStyle name="표준 5 2 2 2 4 3 4 9" xfId="41416" xr:uid="{00000000-0005-0000-0000-0000C12A0000}"/>
    <cellStyle name="표준 5 2 2 2 4 3 5" xfId="2059" xr:uid="{00000000-0005-0000-0000-0000C22A0000}"/>
    <cellStyle name="표준 5 2 2 2 4 3 5 2" xfId="10962" xr:uid="{00000000-0005-0000-0000-0000C32A0000}"/>
    <cellStyle name="표준 5 2 2 2 4 3 5 2 2" xfId="15074" xr:uid="{00000000-0005-0000-0000-0000C42A0000}"/>
    <cellStyle name="표준 5 2 2 2 4 3 5 2 2 2" xfId="31668" xr:uid="{00000000-0005-0000-0000-0000C52A0000}"/>
    <cellStyle name="표준 5 2 2 2 4 3 5 2 2 3" xfId="39879" xr:uid="{00000000-0005-0000-0000-0000C62A0000}"/>
    <cellStyle name="표준 5 2 2 2 4 3 5 2 2 4" xfId="48072" xr:uid="{00000000-0005-0000-0000-0000C72A0000}"/>
    <cellStyle name="표준 5 2 2 2 4 3 5 2 3" xfId="19314" xr:uid="{00000000-0005-0000-0000-0000C82A0000}"/>
    <cellStyle name="표준 5 2 2 2 4 3 5 2 4" xfId="23476" xr:uid="{00000000-0005-0000-0000-0000C92A0000}"/>
    <cellStyle name="표준 5 2 2 2 4 3 5 2 5" xfId="27572" xr:uid="{00000000-0005-0000-0000-0000CA2A0000}"/>
    <cellStyle name="표준 5 2 2 2 4 3 5 2 6" xfId="35783" xr:uid="{00000000-0005-0000-0000-0000CB2A0000}"/>
    <cellStyle name="표준 5 2 2 2 4 3 5 2 7" xfId="43976" xr:uid="{00000000-0005-0000-0000-0000CC2A0000}"/>
    <cellStyle name="표준 5 2 2 2 4 3 5 3" xfId="8914" xr:uid="{00000000-0005-0000-0000-0000CD2A0000}"/>
    <cellStyle name="표준 5 2 2 2 4 3 5 3 2" xfId="29620" xr:uid="{00000000-0005-0000-0000-0000CE2A0000}"/>
    <cellStyle name="표준 5 2 2 2 4 3 5 3 3" xfId="37831" xr:uid="{00000000-0005-0000-0000-0000CF2A0000}"/>
    <cellStyle name="표준 5 2 2 2 4 3 5 3 4" xfId="46024" xr:uid="{00000000-0005-0000-0000-0000D02A0000}"/>
    <cellStyle name="표준 5 2 2 2 4 3 5 4" xfId="13026" xr:uid="{00000000-0005-0000-0000-0000D12A0000}"/>
    <cellStyle name="표준 5 2 2 2 4 3 5 5" xfId="17266" xr:uid="{00000000-0005-0000-0000-0000D22A0000}"/>
    <cellStyle name="표준 5 2 2 2 4 3 5 6" xfId="21428" xr:uid="{00000000-0005-0000-0000-0000D32A0000}"/>
    <cellStyle name="표준 5 2 2 2 4 3 5 7" xfId="25524" xr:uid="{00000000-0005-0000-0000-0000D42A0000}"/>
    <cellStyle name="표준 5 2 2 2 4 3 5 8" xfId="33735" xr:uid="{00000000-0005-0000-0000-0000D52A0000}"/>
    <cellStyle name="표준 5 2 2 2 4 3 5 9" xfId="41928" xr:uid="{00000000-0005-0000-0000-0000D62A0000}"/>
    <cellStyle name="표준 5 2 2 2 4 3 6" xfId="9426" xr:uid="{00000000-0005-0000-0000-0000D72A0000}"/>
    <cellStyle name="표준 5 2 2 2 4 3 6 2" xfId="13538" xr:uid="{00000000-0005-0000-0000-0000D82A0000}"/>
    <cellStyle name="표준 5 2 2 2 4 3 6 2 2" xfId="30132" xr:uid="{00000000-0005-0000-0000-0000D92A0000}"/>
    <cellStyle name="표준 5 2 2 2 4 3 6 2 3" xfId="38343" xr:uid="{00000000-0005-0000-0000-0000DA2A0000}"/>
    <cellStyle name="표준 5 2 2 2 4 3 6 2 4" xfId="46536" xr:uid="{00000000-0005-0000-0000-0000DB2A0000}"/>
    <cellStyle name="표준 5 2 2 2 4 3 6 3" xfId="17778" xr:uid="{00000000-0005-0000-0000-0000DC2A0000}"/>
    <cellStyle name="표준 5 2 2 2 4 3 6 4" xfId="21940" xr:uid="{00000000-0005-0000-0000-0000DD2A0000}"/>
    <cellStyle name="표준 5 2 2 2 4 3 6 5" xfId="26036" xr:uid="{00000000-0005-0000-0000-0000DE2A0000}"/>
    <cellStyle name="표준 5 2 2 2 4 3 6 6" xfId="34247" xr:uid="{00000000-0005-0000-0000-0000DF2A0000}"/>
    <cellStyle name="표준 5 2 2 2 4 3 6 7" xfId="42440" xr:uid="{00000000-0005-0000-0000-0000E02A0000}"/>
    <cellStyle name="표준 5 2 2 2 4 3 7" xfId="7378" xr:uid="{00000000-0005-0000-0000-0000E12A0000}"/>
    <cellStyle name="표준 5 2 2 2 4 3 7 2" xfId="28084" xr:uid="{00000000-0005-0000-0000-0000E22A0000}"/>
    <cellStyle name="표준 5 2 2 2 4 3 7 3" xfId="36295" xr:uid="{00000000-0005-0000-0000-0000E32A0000}"/>
    <cellStyle name="표준 5 2 2 2 4 3 7 4" xfId="44488" xr:uid="{00000000-0005-0000-0000-0000E42A0000}"/>
    <cellStyle name="표준 5 2 2 2 4 3 8" xfId="11490" xr:uid="{00000000-0005-0000-0000-0000E52A0000}"/>
    <cellStyle name="표준 5 2 2 2 4 3 9" xfId="15730" xr:uid="{00000000-0005-0000-0000-0000E62A0000}"/>
    <cellStyle name="표준 5 2 2 2 4 4" xfId="651" xr:uid="{00000000-0005-0000-0000-0000E72A0000}"/>
    <cellStyle name="표준 5 2 2 2 4 4 10" xfId="24116" xr:uid="{00000000-0005-0000-0000-0000E82A0000}"/>
    <cellStyle name="표준 5 2 2 2 4 4 11" xfId="32327" xr:uid="{00000000-0005-0000-0000-0000E92A0000}"/>
    <cellStyle name="표준 5 2 2 2 4 4 12" xfId="40520" xr:uid="{00000000-0005-0000-0000-0000EA2A0000}"/>
    <cellStyle name="표준 5 2 2 2 4 4 2" xfId="1163" xr:uid="{00000000-0005-0000-0000-0000EB2A0000}"/>
    <cellStyle name="표준 5 2 2 2 4 4 2 2" xfId="10066" xr:uid="{00000000-0005-0000-0000-0000EC2A0000}"/>
    <cellStyle name="표준 5 2 2 2 4 4 2 2 2" xfId="14178" xr:uid="{00000000-0005-0000-0000-0000ED2A0000}"/>
    <cellStyle name="표준 5 2 2 2 4 4 2 2 2 2" xfId="30772" xr:uid="{00000000-0005-0000-0000-0000EE2A0000}"/>
    <cellStyle name="표준 5 2 2 2 4 4 2 2 2 3" xfId="38983" xr:uid="{00000000-0005-0000-0000-0000EF2A0000}"/>
    <cellStyle name="표준 5 2 2 2 4 4 2 2 2 4" xfId="47176" xr:uid="{00000000-0005-0000-0000-0000F02A0000}"/>
    <cellStyle name="표준 5 2 2 2 4 4 2 2 3" xfId="18418" xr:uid="{00000000-0005-0000-0000-0000F12A0000}"/>
    <cellStyle name="표준 5 2 2 2 4 4 2 2 4" xfId="22580" xr:uid="{00000000-0005-0000-0000-0000F22A0000}"/>
    <cellStyle name="표준 5 2 2 2 4 4 2 2 5" xfId="26676" xr:uid="{00000000-0005-0000-0000-0000F32A0000}"/>
    <cellStyle name="표준 5 2 2 2 4 4 2 2 6" xfId="34887" xr:uid="{00000000-0005-0000-0000-0000F42A0000}"/>
    <cellStyle name="표준 5 2 2 2 4 4 2 2 7" xfId="43080" xr:uid="{00000000-0005-0000-0000-0000F52A0000}"/>
    <cellStyle name="표준 5 2 2 2 4 4 2 3" xfId="8018" xr:uid="{00000000-0005-0000-0000-0000F62A0000}"/>
    <cellStyle name="표준 5 2 2 2 4 4 2 3 2" xfId="28724" xr:uid="{00000000-0005-0000-0000-0000F72A0000}"/>
    <cellStyle name="표준 5 2 2 2 4 4 2 3 3" xfId="36935" xr:uid="{00000000-0005-0000-0000-0000F82A0000}"/>
    <cellStyle name="표준 5 2 2 2 4 4 2 3 4" xfId="45128" xr:uid="{00000000-0005-0000-0000-0000F92A0000}"/>
    <cellStyle name="표준 5 2 2 2 4 4 2 4" xfId="12130" xr:uid="{00000000-0005-0000-0000-0000FA2A0000}"/>
    <cellStyle name="표준 5 2 2 2 4 4 2 5" xfId="16370" xr:uid="{00000000-0005-0000-0000-0000FB2A0000}"/>
    <cellStyle name="표준 5 2 2 2 4 4 2 6" xfId="20532" xr:uid="{00000000-0005-0000-0000-0000FC2A0000}"/>
    <cellStyle name="표준 5 2 2 2 4 4 2 7" xfId="24628" xr:uid="{00000000-0005-0000-0000-0000FD2A0000}"/>
    <cellStyle name="표준 5 2 2 2 4 4 2 8" xfId="32839" xr:uid="{00000000-0005-0000-0000-0000FE2A0000}"/>
    <cellStyle name="표준 5 2 2 2 4 4 2 9" xfId="41032" xr:uid="{00000000-0005-0000-0000-0000FF2A0000}"/>
    <cellStyle name="표준 5 2 2 2 4 4 3" xfId="1675" xr:uid="{00000000-0005-0000-0000-0000002B0000}"/>
    <cellStyle name="표준 5 2 2 2 4 4 3 2" xfId="10578" xr:uid="{00000000-0005-0000-0000-0000012B0000}"/>
    <cellStyle name="표준 5 2 2 2 4 4 3 2 2" xfId="14690" xr:uid="{00000000-0005-0000-0000-0000022B0000}"/>
    <cellStyle name="표준 5 2 2 2 4 4 3 2 2 2" xfId="31284" xr:uid="{00000000-0005-0000-0000-0000032B0000}"/>
    <cellStyle name="표준 5 2 2 2 4 4 3 2 2 3" xfId="39495" xr:uid="{00000000-0005-0000-0000-0000042B0000}"/>
    <cellStyle name="표준 5 2 2 2 4 4 3 2 2 4" xfId="47688" xr:uid="{00000000-0005-0000-0000-0000052B0000}"/>
    <cellStyle name="표준 5 2 2 2 4 4 3 2 3" xfId="18930" xr:uid="{00000000-0005-0000-0000-0000062B0000}"/>
    <cellStyle name="표준 5 2 2 2 4 4 3 2 4" xfId="23092" xr:uid="{00000000-0005-0000-0000-0000072B0000}"/>
    <cellStyle name="표준 5 2 2 2 4 4 3 2 5" xfId="27188" xr:uid="{00000000-0005-0000-0000-0000082B0000}"/>
    <cellStyle name="표준 5 2 2 2 4 4 3 2 6" xfId="35399" xr:uid="{00000000-0005-0000-0000-0000092B0000}"/>
    <cellStyle name="표준 5 2 2 2 4 4 3 2 7" xfId="43592" xr:uid="{00000000-0005-0000-0000-00000A2B0000}"/>
    <cellStyle name="표준 5 2 2 2 4 4 3 3" xfId="8530" xr:uid="{00000000-0005-0000-0000-00000B2B0000}"/>
    <cellStyle name="표준 5 2 2 2 4 4 3 3 2" xfId="29236" xr:uid="{00000000-0005-0000-0000-00000C2B0000}"/>
    <cellStyle name="표준 5 2 2 2 4 4 3 3 3" xfId="37447" xr:uid="{00000000-0005-0000-0000-00000D2B0000}"/>
    <cellStyle name="표준 5 2 2 2 4 4 3 3 4" xfId="45640" xr:uid="{00000000-0005-0000-0000-00000E2B0000}"/>
    <cellStyle name="표준 5 2 2 2 4 4 3 4" xfId="12642" xr:uid="{00000000-0005-0000-0000-00000F2B0000}"/>
    <cellStyle name="표준 5 2 2 2 4 4 3 5" xfId="16882" xr:uid="{00000000-0005-0000-0000-0000102B0000}"/>
    <cellStyle name="표준 5 2 2 2 4 4 3 6" xfId="21044" xr:uid="{00000000-0005-0000-0000-0000112B0000}"/>
    <cellStyle name="표준 5 2 2 2 4 4 3 7" xfId="25140" xr:uid="{00000000-0005-0000-0000-0000122B0000}"/>
    <cellStyle name="표준 5 2 2 2 4 4 3 8" xfId="33351" xr:uid="{00000000-0005-0000-0000-0000132B0000}"/>
    <cellStyle name="표준 5 2 2 2 4 4 3 9" xfId="41544" xr:uid="{00000000-0005-0000-0000-0000142B0000}"/>
    <cellStyle name="표준 5 2 2 2 4 4 4" xfId="2187" xr:uid="{00000000-0005-0000-0000-0000152B0000}"/>
    <cellStyle name="표준 5 2 2 2 4 4 4 2" xfId="11090" xr:uid="{00000000-0005-0000-0000-0000162B0000}"/>
    <cellStyle name="표준 5 2 2 2 4 4 4 2 2" xfId="15202" xr:uid="{00000000-0005-0000-0000-0000172B0000}"/>
    <cellStyle name="표준 5 2 2 2 4 4 4 2 2 2" xfId="31796" xr:uid="{00000000-0005-0000-0000-0000182B0000}"/>
    <cellStyle name="표준 5 2 2 2 4 4 4 2 2 3" xfId="40007" xr:uid="{00000000-0005-0000-0000-0000192B0000}"/>
    <cellStyle name="표준 5 2 2 2 4 4 4 2 2 4" xfId="48200" xr:uid="{00000000-0005-0000-0000-00001A2B0000}"/>
    <cellStyle name="표준 5 2 2 2 4 4 4 2 3" xfId="19442" xr:uid="{00000000-0005-0000-0000-00001B2B0000}"/>
    <cellStyle name="표준 5 2 2 2 4 4 4 2 4" xfId="23604" xr:uid="{00000000-0005-0000-0000-00001C2B0000}"/>
    <cellStyle name="표준 5 2 2 2 4 4 4 2 5" xfId="27700" xr:uid="{00000000-0005-0000-0000-00001D2B0000}"/>
    <cellStyle name="표준 5 2 2 2 4 4 4 2 6" xfId="35911" xr:uid="{00000000-0005-0000-0000-00001E2B0000}"/>
    <cellStyle name="표준 5 2 2 2 4 4 4 2 7" xfId="44104" xr:uid="{00000000-0005-0000-0000-00001F2B0000}"/>
    <cellStyle name="표준 5 2 2 2 4 4 4 3" xfId="9042" xr:uid="{00000000-0005-0000-0000-0000202B0000}"/>
    <cellStyle name="표준 5 2 2 2 4 4 4 3 2" xfId="29748" xr:uid="{00000000-0005-0000-0000-0000212B0000}"/>
    <cellStyle name="표준 5 2 2 2 4 4 4 3 3" xfId="37959" xr:uid="{00000000-0005-0000-0000-0000222B0000}"/>
    <cellStyle name="표준 5 2 2 2 4 4 4 3 4" xfId="46152" xr:uid="{00000000-0005-0000-0000-0000232B0000}"/>
    <cellStyle name="표준 5 2 2 2 4 4 4 4" xfId="13154" xr:uid="{00000000-0005-0000-0000-0000242B0000}"/>
    <cellStyle name="표준 5 2 2 2 4 4 4 5" xfId="17394" xr:uid="{00000000-0005-0000-0000-0000252B0000}"/>
    <cellStyle name="표준 5 2 2 2 4 4 4 6" xfId="21556" xr:uid="{00000000-0005-0000-0000-0000262B0000}"/>
    <cellStyle name="표준 5 2 2 2 4 4 4 7" xfId="25652" xr:uid="{00000000-0005-0000-0000-0000272B0000}"/>
    <cellStyle name="표준 5 2 2 2 4 4 4 8" xfId="33863" xr:uid="{00000000-0005-0000-0000-0000282B0000}"/>
    <cellStyle name="표준 5 2 2 2 4 4 4 9" xfId="42056" xr:uid="{00000000-0005-0000-0000-0000292B0000}"/>
    <cellStyle name="표준 5 2 2 2 4 4 5" xfId="9554" xr:uid="{00000000-0005-0000-0000-00002A2B0000}"/>
    <cellStyle name="표준 5 2 2 2 4 4 5 2" xfId="13666" xr:uid="{00000000-0005-0000-0000-00002B2B0000}"/>
    <cellStyle name="표준 5 2 2 2 4 4 5 2 2" xfId="30260" xr:uid="{00000000-0005-0000-0000-00002C2B0000}"/>
    <cellStyle name="표준 5 2 2 2 4 4 5 2 3" xfId="38471" xr:uid="{00000000-0005-0000-0000-00002D2B0000}"/>
    <cellStyle name="표준 5 2 2 2 4 4 5 2 4" xfId="46664" xr:uid="{00000000-0005-0000-0000-00002E2B0000}"/>
    <cellStyle name="표준 5 2 2 2 4 4 5 3" xfId="17906" xr:uid="{00000000-0005-0000-0000-00002F2B0000}"/>
    <cellStyle name="표준 5 2 2 2 4 4 5 4" xfId="22068" xr:uid="{00000000-0005-0000-0000-0000302B0000}"/>
    <cellStyle name="표준 5 2 2 2 4 4 5 5" xfId="26164" xr:uid="{00000000-0005-0000-0000-0000312B0000}"/>
    <cellStyle name="표준 5 2 2 2 4 4 5 6" xfId="34375" xr:uid="{00000000-0005-0000-0000-0000322B0000}"/>
    <cellStyle name="표준 5 2 2 2 4 4 5 7" xfId="42568" xr:uid="{00000000-0005-0000-0000-0000332B0000}"/>
    <cellStyle name="표준 5 2 2 2 4 4 6" xfId="7506" xr:uid="{00000000-0005-0000-0000-0000342B0000}"/>
    <cellStyle name="표준 5 2 2 2 4 4 6 2" xfId="28212" xr:uid="{00000000-0005-0000-0000-0000352B0000}"/>
    <cellStyle name="표준 5 2 2 2 4 4 6 3" xfId="36423" xr:uid="{00000000-0005-0000-0000-0000362B0000}"/>
    <cellStyle name="표준 5 2 2 2 4 4 6 4" xfId="44616" xr:uid="{00000000-0005-0000-0000-0000372B0000}"/>
    <cellStyle name="표준 5 2 2 2 4 4 7" xfId="11618" xr:uid="{00000000-0005-0000-0000-0000382B0000}"/>
    <cellStyle name="표준 5 2 2 2 4 4 8" xfId="15858" xr:uid="{00000000-0005-0000-0000-0000392B0000}"/>
    <cellStyle name="표준 5 2 2 2 4 4 9" xfId="20020" xr:uid="{00000000-0005-0000-0000-00003A2B0000}"/>
    <cellStyle name="표준 5 2 2 2 4 5" xfId="907" xr:uid="{00000000-0005-0000-0000-00003B2B0000}"/>
    <cellStyle name="표준 5 2 2 2 4 5 2" xfId="9810" xr:uid="{00000000-0005-0000-0000-00003C2B0000}"/>
    <cellStyle name="표준 5 2 2 2 4 5 2 2" xfId="13922" xr:uid="{00000000-0005-0000-0000-00003D2B0000}"/>
    <cellStyle name="표준 5 2 2 2 4 5 2 2 2" xfId="30516" xr:uid="{00000000-0005-0000-0000-00003E2B0000}"/>
    <cellStyle name="표준 5 2 2 2 4 5 2 2 3" xfId="38727" xr:uid="{00000000-0005-0000-0000-00003F2B0000}"/>
    <cellStyle name="표준 5 2 2 2 4 5 2 2 4" xfId="46920" xr:uid="{00000000-0005-0000-0000-0000402B0000}"/>
    <cellStyle name="표준 5 2 2 2 4 5 2 3" xfId="18162" xr:uid="{00000000-0005-0000-0000-0000412B0000}"/>
    <cellStyle name="표준 5 2 2 2 4 5 2 4" xfId="22324" xr:uid="{00000000-0005-0000-0000-0000422B0000}"/>
    <cellStyle name="표준 5 2 2 2 4 5 2 5" xfId="26420" xr:uid="{00000000-0005-0000-0000-0000432B0000}"/>
    <cellStyle name="표준 5 2 2 2 4 5 2 6" xfId="34631" xr:uid="{00000000-0005-0000-0000-0000442B0000}"/>
    <cellStyle name="표준 5 2 2 2 4 5 2 7" xfId="42824" xr:uid="{00000000-0005-0000-0000-0000452B0000}"/>
    <cellStyle name="표준 5 2 2 2 4 5 3" xfId="7762" xr:uid="{00000000-0005-0000-0000-0000462B0000}"/>
    <cellStyle name="표준 5 2 2 2 4 5 3 2" xfId="28468" xr:uid="{00000000-0005-0000-0000-0000472B0000}"/>
    <cellStyle name="표준 5 2 2 2 4 5 3 3" xfId="36679" xr:uid="{00000000-0005-0000-0000-0000482B0000}"/>
    <cellStyle name="표준 5 2 2 2 4 5 3 4" xfId="44872" xr:uid="{00000000-0005-0000-0000-0000492B0000}"/>
    <cellStyle name="표준 5 2 2 2 4 5 4" xfId="11874" xr:uid="{00000000-0005-0000-0000-00004A2B0000}"/>
    <cellStyle name="표준 5 2 2 2 4 5 5" xfId="16114" xr:uid="{00000000-0005-0000-0000-00004B2B0000}"/>
    <cellStyle name="표준 5 2 2 2 4 5 6" xfId="20276" xr:uid="{00000000-0005-0000-0000-00004C2B0000}"/>
    <cellStyle name="표준 5 2 2 2 4 5 7" xfId="24372" xr:uid="{00000000-0005-0000-0000-00004D2B0000}"/>
    <cellStyle name="표준 5 2 2 2 4 5 8" xfId="32583" xr:uid="{00000000-0005-0000-0000-00004E2B0000}"/>
    <cellStyle name="표준 5 2 2 2 4 5 9" xfId="40776" xr:uid="{00000000-0005-0000-0000-00004F2B0000}"/>
    <cellStyle name="표준 5 2 2 2 4 6" xfId="1419" xr:uid="{00000000-0005-0000-0000-0000502B0000}"/>
    <cellStyle name="표준 5 2 2 2 4 6 2" xfId="10322" xr:uid="{00000000-0005-0000-0000-0000512B0000}"/>
    <cellStyle name="표준 5 2 2 2 4 6 2 2" xfId="14434" xr:uid="{00000000-0005-0000-0000-0000522B0000}"/>
    <cellStyle name="표준 5 2 2 2 4 6 2 2 2" xfId="31028" xr:uid="{00000000-0005-0000-0000-0000532B0000}"/>
    <cellStyle name="표준 5 2 2 2 4 6 2 2 3" xfId="39239" xr:uid="{00000000-0005-0000-0000-0000542B0000}"/>
    <cellStyle name="표준 5 2 2 2 4 6 2 2 4" xfId="47432" xr:uid="{00000000-0005-0000-0000-0000552B0000}"/>
    <cellStyle name="표준 5 2 2 2 4 6 2 3" xfId="18674" xr:uid="{00000000-0005-0000-0000-0000562B0000}"/>
    <cellStyle name="표준 5 2 2 2 4 6 2 4" xfId="22836" xr:uid="{00000000-0005-0000-0000-0000572B0000}"/>
    <cellStyle name="표준 5 2 2 2 4 6 2 5" xfId="26932" xr:uid="{00000000-0005-0000-0000-0000582B0000}"/>
    <cellStyle name="표준 5 2 2 2 4 6 2 6" xfId="35143" xr:uid="{00000000-0005-0000-0000-0000592B0000}"/>
    <cellStyle name="표준 5 2 2 2 4 6 2 7" xfId="43336" xr:uid="{00000000-0005-0000-0000-00005A2B0000}"/>
    <cellStyle name="표준 5 2 2 2 4 6 3" xfId="8274" xr:uid="{00000000-0005-0000-0000-00005B2B0000}"/>
    <cellStyle name="표준 5 2 2 2 4 6 3 2" xfId="28980" xr:uid="{00000000-0005-0000-0000-00005C2B0000}"/>
    <cellStyle name="표준 5 2 2 2 4 6 3 3" xfId="37191" xr:uid="{00000000-0005-0000-0000-00005D2B0000}"/>
    <cellStyle name="표준 5 2 2 2 4 6 3 4" xfId="45384" xr:uid="{00000000-0005-0000-0000-00005E2B0000}"/>
    <cellStyle name="표준 5 2 2 2 4 6 4" xfId="12386" xr:uid="{00000000-0005-0000-0000-00005F2B0000}"/>
    <cellStyle name="표준 5 2 2 2 4 6 5" xfId="16626" xr:uid="{00000000-0005-0000-0000-0000602B0000}"/>
    <cellStyle name="표준 5 2 2 2 4 6 6" xfId="20788" xr:uid="{00000000-0005-0000-0000-0000612B0000}"/>
    <cellStyle name="표준 5 2 2 2 4 6 7" xfId="24884" xr:uid="{00000000-0005-0000-0000-0000622B0000}"/>
    <cellStyle name="표준 5 2 2 2 4 6 8" xfId="33095" xr:uid="{00000000-0005-0000-0000-0000632B0000}"/>
    <cellStyle name="표준 5 2 2 2 4 6 9" xfId="41288" xr:uid="{00000000-0005-0000-0000-0000642B0000}"/>
    <cellStyle name="표준 5 2 2 2 4 7" xfId="1931" xr:uid="{00000000-0005-0000-0000-0000652B0000}"/>
    <cellStyle name="표준 5 2 2 2 4 7 2" xfId="10834" xr:uid="{00000000-0005-0000-0000-0000662B0000}"/>
    <cellStyle name="표준 5 2 2 2 4 7 2 2" xfId="14946" xr:uid="{00000000-0005-0000-0000-0000672B0000}"/>
    <cellStyle name="표준 5 2 2 2 4 7 2 2 2" xfId="31540" xr:uid="{00000000-0005-0000-0000-0000682B0000}"/>
    <cellStyle name="표준 5 2 2 2 4 7 2 2 3" xfId="39751" xr:uid="{00000000-0005-0000-0000-0000692B0000}"/>
    <cellStyle name="표준 5 2 2 2 4 7 2 2 4" xfId="47944" xr:uid="{00000000-0005-0000-0000-00006A2B0000}"/>
    <cellStyle name="표준 5 2 2 2 4 7 2 3" xfId="19186" xr:uid="{00000000-0005-0000-0000-00006B2B0000}"/>
    <cellStyle name="표준 5 2 2 2 4 7 2 4" xfId="23348" xr:uid="{00000000-0005-0000-0000-00006C2B0000}"/>
    <cellStyle name="표준 5 2 2 2 4 7 2 5" xfId="27444" xr:uid="{00000000-0005-0000-0000-00006D2B0000}"/>
    <cellStyle name="표준 5 2 2 2 4 7 2 6" xfId="35655" xr:uid="{00000000-0005-0000-0000-00006E2B0000}"/>
    <cellStyle name="표준 5 2 2 2 4 7 2 7" xfId="43848" xr:uid="{00000000-0005-0000-0000-00006F2B0000}"/>
    <cellStyle name="표준 5 2 2 2 4 7 3" xfId="8786" xr:uid="{00000000-0005-0000-0000-0000702B0000}"/>
    <cellStyle name="표준 5 2 2 2 4 7 3 2" xfId="29492" xr:uid="{00000000-0005-0000-0000-0000712B0000}"/>
    <cellStyle name="표준 5 2 2 2 4 7 3 3" xfId="37703" xr:uid="{00000000-0005-0000-0000-0000722B0000}"/>
    <cellStyle name="표준 5 2 2 2 4 7 3 4" xfId="45896" xr:uid="{00000000-0005-0000-0000-0000732B0000}"/>
    <cellStyle name="표준 5 2 2 2 4 7 4" xfId="12898" xr:uid="{00000000-0005-0000-0000-0000742B0000}"/>
    <cellStyle name="표준 5 2 2 2 4 7 5" xfId="17138" xr:uid="{00000000-0005-0000-0000-0000752B0000}"/>
    <cellStyle name="표준 5 2 2 2 4 7 6" xfId="21300" xr:uid="{00000000-0005-0000-0000-0000762B0000}"/>
    <cellStyle name="표준 5 2 2 2 4 7 7" xfId="25396" xr:uid="{00000000-0005-0000-0000-0000772B0000}"/>
    <cellStyle name="표준 5 2 2 2 4 7 8" xfId="33607" xr:uid="{00000000-0005-0000-0000-0000782B0000}"/>
    <cellStyle name="표준 5 2 2 2 4 7 9" xfId="41800" xr:uid="{00000000-0005-0000-0000-0000792B0000}"/>
    <cellStyle name="표준 5 2 2 2 4 8" xfId="395" xr:uid="{00000000-0005-0000-0000-00007A2B0000}"/>
    <cellStyle name="표준 5 2 2 2 4 8 2" xfId="9298" xr:uid="{00000000-0005-0000-0000-00007B2B0000}"/>
    <cellStyle name="표준 5 2 2 2 4 8 2 2" xfId="30004" xr:uid="{00000000-0005-0000-0000-00007C2B0000}"/>
    <cellStyle name="표준 5 2 2 2 4 8 2 3" xfId="38215" xr:uid="{00000000-0005-0000-0000-00007D2B0000}"/>
    <cellStyle name="표준 5 2 2 2 4 8 2 4" xfId="46408" xr:uid="{00000000-0005-0000-0000-00007E2B0000}"/>
    <cellStyle name="표준 5 2 2 2 4 8 3" xfId="13410" xr:uid="{00000000-0005-0000-0000-00007F2B0000}"/>
    <cellStyle name="표준 5 2 2 2 4 8 4" xfId="17650" xr:uid="{00000000-0005-0000-0000-0000802B0000}"/>
    <cellStyle name="표준 5 2 2 2 4 8 5" xfId="21812" xr:uid="{00000000-0005-0000-0000-0000812B0000}"/>
    <cellStyle name="표준 5 2 2 2 4 8 6" xfId="25908" xr:uid="{00000000-0005-0000-0000-0000822B0000}"/>
    <cellStyle name="표준 5 2 2 2 4 8 7" xfId="34119" xr:uid="{00000000-0005-0000-0000-0000832B0000}"/>
    <cellStyle name="표준 5 2 2 2 4 8 8" xfId="42312" xr:uid="{00000000-0005-0000-0000-0000842B0000}"/>
    <cellStyle name="표준 5 2 2 2 4 9" xfId="6997" xr:uid="{00000000-0005-0000-0000-0000852B0000}"/>
    <cellStyle name="표준 5 2 2 2 4 9 2" xfId="27956" xr:uid="{00000000-0005-0000-0000-0000862B0000}"/>
    <cellStyle name="표준 5 2 2 2 4 9 3" xfId="36167" xr:uid="{00000000-0005-0000-0000-0000872B0000}"/>
    <cellStyle name="표준 5 2 2 2 4 9 4" xfId="44360" xr:uid="{00000000-0005-0000-0000-0000882B0000}"/>
    <cellStyle name="표준 5 2 2 2 5" xfId="427" xr:uid="{00000000-0005-0000-0000-0000892B0000}"/>
    <cellStyle name="표준 5 2 2 2 5 10" xfId="11394" xr:uid="{00000000-0005-0000-0000-00008A2B0000}"/>
    <cellStyle name="표준 5 2 2 2 5 11" xfId="15506" xr:uid="{00000000-0005-0000-0000-00008B2B0000}"/>
    <cellStyle name="표준 5 2 2 2 5 12" xfId="15634" xr:uid="{00000000-0005-0000-0000-00008C2B0000}"/>
    <cellStyle name="표준 5 2 2 2 5 13" xfId="19796" xr:uid="{00000000-0005-0000-0000-00008D2B0000}"/>
    <cellStyle name="표준 5 2 2 2 5 14" xfId="23892" xr:uid="{00000000-0005-0000-0000-00008E2B0000}"/>
    <cellStyle name="표준 5 2 2 2 5 15" xfId="32103" xr:uid="{00000000-0005-0000-0000-00008F2B0000}"/>
    <cellStyle name="표준 5 2 2 2 5 16" xfId="40296" xr:uid="{00000000-0005-0000-0000-0000902B0000}"/>
    <cellStyle name="표준 5 2 2 2 5 2" xfId="555" xr:uid="{00000000-0005-0000-0000-0000912B0000}"/>
    <cellStyle name="표준 5 2 2 2 5 2 10" xfId="19924" xr:uid="{00000000-0005-0000-0000-0000922B0000}"/>
    <cellStyle name="표준 5 2 2 2 5 2 11" xfId="24020" xr:uid="{00000000-0005-0000-0000-0000932B0000}"/>
    <cellStyle name="표준 5 2 2 2 5 2 12" xfId="32231" xr:uid="{00000000-0005-0000-0000-0000942B0000}"/>
    <cellStyle name="표준 5 2 2 2 5 2 13" xfId="40424" xr:uid="{00000000-0005-0000-0000-0000952B0000}"/>
    <cellStyle name="표준 5 2 2 2 5 2 2" xfId="811" xr:uid="{00000000-0005-0000-0000-0000962B0000}"/>
    <cellStyle name="표준 5 2 2 2 5 2 2 10" xfId="24276" xr:uid="{00000000-0005-0000-0000-0000972B0000}"/>
    <cellStyle name="표준 5 2 2 2 5 2 2 11" xfId="32487" xr:uid="{00000000-0005-0000-0000-0000982B0000}"/>
    <cellStyle name="표준 5 2 2 2 5 2 2 12" xfId="40680" xr:uid="{00000000-0005-0000-0000-0000992B0000}"/>
    <cellStyle name="표준 5 2 2 2 5 2 2 2" xfId="1323" xr:uid="{00000000-0005-0000-0000-00009A2B0000}"/>
    <cellStyle name="표준 5 2 2 2 5 2 2 2 2" xfId="10226" xr:uid="{00000000-0005-0000-0000-00009B2B0000}"/>
    <cellStyle name="표준 5 2 2 2 5 2 2 2 2 2" xfId="14338" xr:uid="{00000000-0005-0000-0000-00009C2B0000}"/>
    <cellStyle name="표준 5 2 2 2 5 2 2 2 2 2 2" xfId="30932" xr:uid="{00000000-0005-0000-0000-00009D2B0000}"/>
    <cellStyle name="표준 5 2 2 2 5 2 2 2 2 2 3" xfId="39143" xr:uid="{00000000-0005-0000-0000-00009E2B0000}"/>
    <cellStyle name="표준 5 2 2 2 5 2 2 2 2 2 4" xfId="47336" xr:uid="{00000000-0005-0000-0000-00009F2B0000}"/>
    <cellStyle name="표준 5 2 2 2 5 2 2 2 2 3" xfId="18578" xr:uid="{00000000-0005-0000-0000-0000A02B0000}"/>
    <cellStyle name="표준 5 2 2 2 5 2 2 2 2 4" xfId="22740" xr:uid="{00000000-0005-0000-0000-0000A12B0000}"/>
    <cellStyle name="표준 5 2 2 2 5 2 2 2 2 5" xfId="26836" xr:uid="{00000000-0005-0000-0000-0000A22B0000}"/>
    <cellStyle name="표준 5 2 2 2 5 2 2 2 2 6" xfId="35047" xr:uid="{00000000-0005-0000-0000-0000A32B0000}"/>
    <cellStyle name="표준 5 2 2 2 5 2 2 2 2 7" xfId="43240" xr:uid="{00000000-0005-0000-0000-0000A42B0000}"/>
    <cellStyle name="표준 5 2 2 2 5 2 2 2 3" xfId="8178" xr:uid="{00000000-0005-0000-0000-0000A52B0000}"/>
    <cellStyle name="표준 5 2 2 2 5 2 2 2 3 2" xfId="28884" xr:uid="{00000000-0005-0000-0000-0000A62B0000}"/>
    <cellStyle name="표준 5 2 2 2 5 2 2 2 3 3" xfId="37095" xr:uid="{00000000-0005-0000-0000-0000A72B0000}"/>
    <cellStyle name="표준 5 2 2 2 5 2 2 2 3 4" xfId="45288" xr:uid="{00000000-0005-0000-0000-0000A82B0000}"/>
    <cellStyle name="표준 5 2 2 2 5 2 2 2 4" xfId="12290" xr:uid="{00000000-0005-0000-0000-0000A92B0000}"/>
    <cellStyle name="표준 5 2 2 2 5 2 2 2 5" xfId="16530" xr:uid="{00000000-0005-0000-0000-0000AA2B0000}"/>
    <cellStyle name="표준 5 2 2 2 5 2 2 2 6" xfId="20692" xr:uid="{00000000-0005-0000-0000-0000AB2B0000}"/>
    <cellStyle name="표준 5 2 2 2 5 2 2 2 7" xfId="24788" xr:uid="{00000000-0005-0000-0000-0000AC2B0000}"/>
    <cellStyle name="표준 5 2 2 2 5 2 2 2 8" xfId="32999" xr:uid="{00000000-0005-0000-0000-0000AD2B0000}"/>
    <cellStyle name="표준 5 2 2 2 5 2 2 2 9" xfId="41192" xr:uid="{00000000-0005-0000-0000-0000AE2B0000}"/>
    <cellStyle name="표준 5 2 2 2 5 2 2 3" xfId="1835" xr:uid="{00000000-0005-0000-0000-0000AF2B0000}"/>
    <cellStyle name="표준 5 2 2 2 5 2 2 3 2" xfId="10738" xr:uid="{00000000-0005-0000-0000-0000B02B0000}"/>
    <cellStyle name="표준 5 2 2 2 5 2 2 3 2 2" xfId="14850" xr:uid="{00000000-0005-0000-0000-0000B12B0000}"/>
    <cellStyle name="표준 5 2 2 2 5 2 2 3 2 2 2" xfId="31444" xr:uid="{00000000-0005-0000-0000-0000B22B0000}"/>
    <cellStyle name="표준 5 2 2 2 5 2 2 3 2 2 3" xfId="39655" xr:uid="{00000000-0005-0000-0000-0000B32B0000}"/>
    <cellStyle name="표준 5 2 2 2 5 2 2 3 2 2 4" xfId="47848" xr:uid="{00000000-0005-0000-0000-0000B42B0000}"/>
    <cellStyle name="표준 5 2 2 2 5 2 2 3 2 3" xfId="19090" xr:uid="{00000000-0005-0000-0000-0000B52B0000}"/>
    <cellStyle name="표준 5 2 2 2 5 2 2 3 2 4" xfId="23252" xr:uid="{00000000-0005-0000-0000-0000B62B0000}"/>
    <cellStyle name="표준 5 2 2 2 5 2 2 3 2 5" xfId="27348" xr:uid="{00000000-0005-0000-0000-0000B72B0000}"/>
    <cellStyle name="표준 5 2 2 2 5 2 2 3 2 6" xfId="35559" xr:uid="{00000000-0005-0000-0000-0000B82B0000}"/>
    <cellStyle name="표준 5 2 2 2 5 2 2 3 2 7" xfId="43752" xr:uid="{00000000-0005-0000-0000-0000B92B0000}"/>
    <cellStyle name="표준 5 2 2 2 5 2 2 3 3" xfId="8690" xr:uid="{00000000-0005-0000-0000-0000BA2B0000}"/>
    <cellStyle name="표준 5 2 2 2 5 2 2 3 3 2" xfId="29396" xr:uid="{00000000-0005-0000-0000-0000BB2B0000}"/>
    <cellStyle name="표준 5 2 2 2 5 2 2 3 3 3" xfId="37607" xr:uid="{00000000-0005-0000-0000-0000BC2B0000}"/>
    <cellStyle name="표준 5 2 2 2 5 2 2 3 3 4" xfId="45800" xr:uid="{00000000-0005-0000-0000-0000BD2B0000}"/>
    <cellStyle name="표준 5 2 2 2 5 2 2 3 4" xfId="12802" xr:uid="{00000000-0005-0000-0000-0000BE2B0000}"/>
    <cellStyle name="표준 5 2 2 2 5 2 2 3 5" xfId="17042" xr:uid="{00000000-0005-0000-0000-0000BF2B0000}"/>
    <cellStyle name="표준 5 2 2 2 5 2 2 3 6" xfId="21204" xr:uid="{00000000-0005-0000-0000-0000C02B0000}"/>
    <cellStyle name="표준 5 2 2 2 5 2 2 3 7" xfId="25300" xr:uid="{00000000-0005-0000-0000-0000C12B0000}"/>
    <cellStyle name="표준 5 2 2 2 5 2 2 3 8" xfId="33511" xr:uid="{00000000-0005-0000-0000-0000C22B0000}"/>
    <cellStyle name="표준 5 2 2 2 5 2 2 3 9" xfId="41704" xr:uid="{00000000-0005-0000-0000-0000C32B0000}"/>
    <cellStyle name="표준 5 2 2 2 5 2 2 4" xfId="2347" xr:uid="{00000000-0005-0000-0000-0000C42B0000}"/>
    <cellStyle name="표준 5 2 2 2 5 2 2 4 2" xfId="11250" xr:uid="{00000000-0005-0000-0000-0000C52B0000}"/>
    <cellStyle name="표준 5 2 2 2 5 2 2 4 2 2" xfId="15362" xr:uid="{00000000-0005-0000-0000-0000C62B0000}"/>
    <cellStyle name="표준 5 2 2 2 5 2 2 4 2 2 2" xfId="31956" xr:uid="{00000000-0005-0000-0000-0000C72B0000}"/>
    <cellStyle name="표준 5 2 2 2 5 2 2 4 2 2 3" xfId="40167" xr:uid="{00000000-0005-0000-0000-0000C82B0000}"/>
    <cellStyle name="표준 5 2 2 2 5 2 2 4 2 2 4" xfId="48360" xr:uid="{00000000-0005-0000-0000-0000C92B0000}"/>
    <cellStyle name="표준 5 2 2 2 5 2 2 4 2 3" xfId="19602" xr:uid="{00000000-0005-0000-0000-0000CA2B0000}"/>
    <cellStyle name="표준 5 2 2 2 5 2 2 4 2 4" xfId="23764" xr:uid="{00000000-0005-0000-0000-0000CB2B0000}"/>
    <cellStyle name="표준 5 2 2 2 5 2 2 4 2 5" xfId="27860" xr:uid="{00000000-0005-0000-0000-0000CC2B0000}"/>
    <cellStyle name="표준 5 2 2 2 5 2 2 4 2 6" xfId="36071" xr:uid="{00000000-0005-0000-0000-0000CD2B0000}"/>
    <cellStyle name="표준 5 2 2 2 5 2 2 4 2 7" xfId="44264" xr:uid="{00000000-0005-0000-0000-0000CE2B0000}"/>
    <cellStyle name="표준 5 2 2 2 5 2 2 4 3" xfId="9202" xr:uid="{00000000-0005-0000-0000-0000CF2B0000}"/>
    <cellStyle name="표준 5 2 2 2 5 2 2 4 3 2" xfId="29908" xr:uid="{00000000-0005-0000-0000-0000D02B0000}"/>
    <cellStyle name="표준 5 2 2 2 5 2 2 4 3 3" xfId="38119" xr:uid="{00000000-0005-0000-0000-0000D12B0000}"/>
    <cellStyle name="표준 5 2 2 2 5 2 2 4 3 4" xfId="46312" xr:uid="{00000000-0005-0000-0000-0000D22B0000}"/>
    <cellStyle name="표준 5 2 2 2 5 2 2 4 4" xfId="13314" xr:uid="{00000000-0005-0000-0000-0000D32B0000}"/>
    <cellStyle name="표준 5 2 2 2 5 2 2 4 5" xfId="17554" xr:uid="{00000000-0005-0000-0000-0000D42B0000}"/>
    <cellStyle name="표준 5 2 2 2 5 2 2 4 6" xfId="21716" xr:uid="{00000000-0005-0000-0000-0000D52B0000}"/>
    <cellStyle name="표준 5 2 2 2 5 2 2 4 7" xfId="25812" xr:uid="{00000000-0005-0000-0000-0000D62B0000}"/>
    <cellStyle name="표준 5 2 2 2 5 2 2 4 8" xfId="34023" xr:uid="{00000000-0005-0000-0000-0000D72B0000}"/>
    <cellStyle name="표준 5 2 2 2 5 2 2 4 9" xfId="42216" xr:uid="{00000000-0005-0000-0000-0000D82B0000}"/>
    <cellStyle name="표준 5 2 2 2 5 2 2 5" xfId="9714" xr:uid="{00000000-0005-0000-0000-0000D92B0000}"/>
    <cellStyle name="표준 5 2 2 2 5 2 2 5 2" xfId="13826" xr:uid="{00000000-0005-0000-0000-0000DA2B0000}"/>
    <cellStyle name="표준 5 2 2 2 5 2 2 5 2 2" xfId="30420" xr:uid="{00000000-0005-0000-0000-0000DB2B0000}"/>
    <cellStyle name="표준 5 2 2 2 5 2 2 5 2 3" xfId="38631" xr:uid="{00000000-0005-0000-0000-0000DC2B0000}"/>
    <cellStyle name="표준 5 2 2 2 5 2 2 5 2 4" xfId="46824" xr:uid="{00000000-0005-0000-0000-0000DD2B0000}"/>
    <cellStyle name="표준 5 2 2 2 5 2 2 5 3" xfId="18066" xr:uid="{00000000-0005-0000-0000-0000DE2B0000}"/>
    <cellStyle name="표준 5 2 2 2 5 2 2 5 4" xfId="22228" xr:uid="{00000000-0005-0000-0000-0000DF2B0000}"/>
    <cellStyle name="표준 5 2 2 2 5 2 2 5 5" xfId="26324" xr:uid="{00000000-0005-0000-0000-0000E02B0000}"/>
    <cellStyle name="표준 5 2 2 2 5 2 2 5 6" xfId="34535" xr:uid="{00000000-0005-0000-0000-0000E12B0000}"/>
    <cellStyle name="표준 5 2 2 2 5 2 2 5 7" xfId="42728" xr:uid="{00000000-0005-0000-0000-0000E22B0000}"/>
    <cellStyle name="표준 5 2 2 2 5 2 2 6" xfId="7666" xr:uid="{00000000-0005-0000-0000-0000E32B0000}"/>
    <cellStyle name="표준 5 2 2 2 5 2 2 6 2" xfId="28372" xr:uid="{00000000-0005-0000-0000-0000E42B0000}"/>
    <cellStyle name="표준 5 2 2 2 5 2 2 6 3" xfId="36583" xr:uid="{00000000-0005-0000-0000-0000E52B0000}"/>
    <cellStyle name="표준 5 2 2 2 5 2 2 6 4" xfId="44776" xr:uid="{00000000-0005-0000-0000-0000E62B0000}"/>
    <cellStyle name="표준 5 2 2 2 5 2 2 7" xfId="11778" xr:uid="{00000000-0005-0000-0000-0000E72B0000}"/>
    <cellStyle name="표준 5 2 2 2 5 2 2 8" xfId="16018" xr:uid="{00000000-0005-0000-0000-0000E82B0000}"/>
    <cellStyle name="표준 5 2 2 2 5 2 2 9" xfId="20180" xr:uid="{00000000-0005-0000-0000-0000E92B0000}"/>
    <cellStyle name="표준 5 2 2 2 5 2 3" xfId="1067" xr:uid="{00000000-0005-0000-0000-0000EA2B0000}"/>
    <cellStyle name="표준 5 2 2 2 5 2 3 2" xfId="9970" xr:uid="{00000000-0005-0000-0000-0000EB2B0000}"/>
    <cellStyle name="표준 5 2 2 2 5 2 3 2 2" xfId="14082" xr:uid="{00000000-0005-0000-0000-0000EC2B0000}"/>
    <cellStyle name="표준 5 2 2 2 5 2 3 2 2 2" xfId="30676" xr:uid="{00000000-0005-0000-0000-0000ED2B0000}"/>
    <cellStyle name="표준 5 2 2 2 5 2 3 2 2 3" xfId="38887" xr:uid="{00000000-0005-0000-0000-0000EE2B0000}"/>
    <cellStyle name="표준 5 2 2 2 5 2 3 2 2 4" xfId="47080" xr:uid="{00000000-0005-0000-0000-0000EF2B0000}"/>
    <cellStyle name="표준 5 2 2 2 5 2 3 2 3" xfId="18322" xr:uid="{00000000-0005-0000-0000-0000F02B0000}"/>
    <cellStyle name="표준 5 2 2 2 5 2 3 2 4" xfId="22484" xr:uid="{00000000-0005-0000-0000-0000F12B0000}"/>
    <cellStyle name="표준 5 2 2 2 5 2 3 2 5" xfId="26580" xr:uid="{00000000-0005-0000-0000-0000F22B0000}"/>
    <cellStyle name="표준 5 2 2 2 5 2 3 2 6" xfId="34791" xr:uid="{00000000-0005-0000-0000-0000F32B0000}"/>
    <cellStyle name="표준 5 2 2 2 5 2 3 2 7" xfId="42984" xr:uid="{00000000-0005-0000-0000-0000F42B0000}"/>
    <cellStyle name="표준 5 2 2 2 5 2 3 3" xfId="7922" xr:uid="{00000000-0005-0000-0000-0000F52B0000}"/>
    <cellStyle name="표준 5 2 2 2 5 2 3 3 2" xfId="28628" xr:uid="{00000000-0005-0000-0000-0000F62B0000}"/>
    <cellStyle name="표준 5 2 2 2 5 2 3 3 3" xfId="36839" xr:uid="{00000000-0005-0000-0000-0000F72B0000}"/>
    <cellStyle name="표준 5 2 2 2 5 2 3 3 4" xfId="45032" xr:uid="{00000000-0005-0000-0000-0000F82B0000}"/>
    <cellStyle name="표준 5 2 2 2 5 2 3 4" xfId="12034" xr:uid="{00000000-0005-0000-0000-0000F92B0000}"/>
    <cellStyle name="표준 5 2 2 2 5 2 3 5" xfId="16274" xr:uid="{00000000-0005-0000-0000-0000FA2B0000}"/>
    <cellStyle name="표준 5 2 2 2 5 2 3 6" xfId="20436" xr:uid="{00000000-0005-0000-0000-0000FB2B0000}"/>
    <cellStyle name="표준 5 2 2 2 5 2 3 7" xfId="24532" xr:uid="{00000000-0005-0000-0000-0000FC2B0000}"/>
    <cellStyle name="표준 5 2 2 2 5 2 3 8" xfId="32743" xr:uid="{00000000-0005-0000-0000-0000FD2B0000}"/>
    <cellStyle name="표준 5 2 2 2 5 2 3 9" xfId="40936" xr:uid="{00000000-0005-0000-0000-0000FE2B0000}"/>
    <cellStyle name="표준 5 2 2 2 5 2 4" xfId="1579" xr:uid="{00000000-0005-0000-0000-0000FF2B0000}"/>
    <cellStyle name="표준 5 2 2 2 5 2 4 2" xfId="10482" xr:uid="{00000000-0005-0000-0000-0000002C0000}"/>
    <cellStyle name="표준 5 2 2 2 5 2 4 2 2" xfId="14594" xr:uid="{00000000-0005-0000-0000-0000012C0000}"/>
    <cellStyle name="표준 5 2 2 2 5 2 4 2 2 2" xfId="31188" xr:uid="{00000000-0005-0000-0000-0000022C0000}"/>
    <cellStyle name="표준 5 2 2 2 5 2 4 2 2 3" xfId="39399" xr:uid="{00000000-0005-0000-0000-0000032C0000}"/>
    <cellStyle name="표준 5 2 2 2 5 2 4 2 2 4" xfId="47592" xr:uid="{00000000-0005-0000-0000-0000042C0000}"/>
    <cellStyle name="표준 5 2 2 2 5 2 4 2 3" xfId="18834" xr:uid="{00000000-0005-0000-0000-0000052C0000}"/>
    <cellStyle name="표준 5 2 2 2 5 2 4 2 4" xfId="22996" xr:uid="{00000000-0005-0000-0000-0000062C0000}"/>
    <cellStyle name="표준 5 2 2 2 5 2 4 2 5" xfId="27092" xr:uid="{00000000-0005-0000-0000-0000072C0000}"/>
    <cellStyle name="표준 5 2 2 2 5 2 4 2 6" xfId="35303" xr:uid="{00000000-0005-0000-0000-0000082C0000}"/>
    <cellStyle name="표준 5 2 2 2 5 2 4 2 7" xfId="43496" xr:uid="{00000000-0005-0000-0000-0000092C0000}"/>
    <cellStyle name="표준 5 2 2 2 5 2 4 3" xfId="8434" xr:uid="{00000000-0005-0000-0000-00000A2C0000}"/>
    <cellStyle name="표준 5 2 2 2 5 2 4 3 2" xfId="29140" xr:uid="{00000000-0005-0000-0000-00000B2C0000}"/>
    <cellStyle name="표준 5 2 2 2 5 2 4 3 3" xfId="37351" xr:uid="{00000000-0005-0000-0000-00000C2C0000}"/>
    <cellStyle name="표준 5 2 2 2 5 2 4 3 4" xfId="45544" xr:uid="{00000000-0005-0000-0000-00000D2C0000}"/>
    <cellStyle name="표준 5 2 2 2 5 2 4 4" xfId="12546" xr:uid="{00000000-0005-0000-0000-00000E2C0000}"/>
    <cellStyle name="표준 5 2 2 2 5 2 4 5" xfId="16786" xr:uid="{00000000-0005-0000-0000-00000F2C0000}"/>
    <cellStyle name="표준 5 2 2 2 5 2 4 6" xfId="20948" xr:uid="{00000000-0005-0000-0000-0000102C0000}"/>
    <cellStyle name="표준 5 2 2 2 5 2 4 7" xfId="25044" xr:uid="{00000000-0005-0000-0000-0000112C0000}"/>
    <cellStyle name="표준 5 2 2 2 5 2 4 8" xfId="33255" xr:uid="{00000000-0005-0000-0000-0000122C0000}"/>
    <cellStyle name="표준 5 2 2 2 5 2 4 9" xfId="41448" xr:uid="{00000000-0005-0000-0000-0000132C0000}"/>
    <cellStyle name="표준 5 2 2 2 5 2 5" xfId="2091" xr:uid="{00000000-0005-0000-0000-0000142C0000}"/>
    <cellStyle name="표준 5 2 2 2 5 2 5 2" xfId="10994" xr:uid="{00000000-0005-0000-0000-0000152C0000}"/>
    <cellStyle name="표준 5 2 2 2 5 2 5 2 2" xfId="15106" xr:uid="{00000000-0005-0000-0000-0000162C0000}"/>
    <cellStyle name="표준 5 2 2 2 5 2 5 2 2 2" xfId="31700" xr:uid="{00000000-0005-0000-0000-0000172C0000}"/>
    <cellStyle name="표준 5 2 2 2 5 2 5 2 2 3" xfId="39911" xr:uid="{00000000-0005-0000-0000-0000182C0000}"/>
    <cellStyle name="표준 5 2 2 2 5 2 5 2 2 4" xfId="48104" xr:uid="{00000000-0005-0000-0000-0000192C0000}"/>
    <cellStyle name="표준 5 2 2 2 5 2 5 2 3" xfId="19346" xr:uid="{00000000-0005-0000-0000-00001A2C0000}"/>
    <cellStyle name="표준 5 2 2 2 5 2 5 2 4" xfId="23508" xr:uid="{00000000-0005-0000-0000-00001B2C0000}"/>
    <cellStyle name="표준 5 2 2 2 5 2 5 2 5" xfId="27604" xr:uid="{00000000-0005-0000-0000-00001C2C0000}"/>
    <cellStyle name="표준 5 2 2 2 5 2 5 2 6" xfId="35815" xr:uid="{00000000-0005-0000-0000-00001D2C0000}"/>
    <cellStyle name="표준 5 2 2 2 5 2 5 2 7" xfId="44008" xr:uid="{00000000-0005-0000-0000-00001E2C0000}"/>
    <cellStyle name="표준 5 2 2 2 5 2 5 3" xfId="8946" xr:uid="{00000000-0005-0000-0000-00001F2C0000}"/>
    <cellStyle name="표준 5 2 2 2 5 2 5 3 2" xfId="29652" xr:uid="{00000000-0005-0000-0000-0000202C0000}"/>
    <cellStyle name="표준 5 2 2 2 5 2 5 3 3" xfId="37863" xr:uid="{00000000-0005-0000-0000-0000212C0000}"/>
    <cellStyle name="표준 5 2 2 2 5 2 5 3 4" xfId="46056" xr:uid="{00000000-0005-0000-0000-0000222C0000}"/>
    <cellStyle name="표준 5 2 2 2 5 2 5 4" xfId="13058" xr:uid="{00000000-0005-0000-0000-0000232C0000}"/>
    <cellStyle name="표준 5 2 2 2 5 2 5 5" xfId="17298" xr:uid="{00000000-0005-0000-0000-0000242C0000}"/>
    <cellStyle name="표준 5 2 2 2 5 2 5 6" xfId="21460" xr:uid="{00000000-0005-0000-0000-0000252C0000}"/>
    <cellStyle name="표준 5 2 2 2 5 2 5 7" xfId="25556" xr:uid="{00000000-0005-0000-0000-0000262C0000}"/>
    <cellStyle name="표준 5 2 2 2 5 2 5 8" xfId="33767" xr:uid="{00000000-0005-0000-0000-0000272C0000}"/>
    <cellStyle name="표준 5 2 2 2 5 2 5 9" xfId="41960" xr:uid="{00000000-0005-0000-0000-0000282C0000}"/>
    <cellStyle name="표준 5 2 2 2 5 2 6" xfId="9458" xr:uid="{00000000-0005-0000-0000-0000292C0000}"/>
    <cellStyle name="표준 5 2 2 2 5 2 6 2" xfId="13570" xr:uid="{00000000-0005-0000-0000-00002A2C0000}"/>
    <cellStyle name="표준 5 2 2 2 5 2 6 2 2" xfId="30164" xr:uid="{00000000-0005-0000-0000-00002B2C0000}"/>
    <cellStyle name="표준 5 2 2 2 5 2 6 2 3" xfId="38375" xr:uid="{00000000-0005-0000-0000-00002C2C0000}"/>
    <cellStyle name="표준 5 2 2 2 5 2 6 2 4" xfId="46568" xr:uid="{00000000-0005-0000-0000-00002D2C0000}"/>
    <cellStyle name="표준 5 2 2 2 5 2 6 3" xfId="17810" xr:uid="{00000000-0005-0000-0000-00002E2C0000}"/>
    <cellStyle name="표준 5 2 2 2 5 2 6 4" xfId="21972" xr:uid="{00000000-0005-0000-0000-00002F2C0000}"/>
    <cellStyle name="표준 5 2 2 2 5 2 6 5" xfId="26068" xr:uid="{00000000-0005-0000-0000-0000302C0000}"/>
    <cellStyle name="표준 5 2 2 2 5 2 6 6" xfId="34279" xr:uid="{00000000-0005-0000-0000-0000312C0000}"/>
    <cellStyle name="표준 5 2 2 2 5 2 6 7" xfId="42472" xr:uid="{00000000-0005-0000-0000-0000322C0000}"/>
    <cellStyle name="표준 5 2 2 2 5 2 7" xfId="7410" xr:uid="{00000000-0005-0000-0000-0000332C0000}"/>
    <cellStyle name="표준 5 2 2 2 5 2 7 2" xfId="28116" xr:uid="{00000000-0005-0000-0000-0000342C0000}"/>
    <cellStyle name="표준 5 2 2 2 5 2 7 3" xfId="36327" xr:uid="{00000000-0005-0000-0000-0000352C0000}"/>
    <cellStyle name="표준 5 2 2 2 5 2 7 4" xfId="44520" xr:uid="{00000000-0005-0000-0000-0000362C0000}"/>
    <cellStyle name="표준 5 2 2 2 5 2 8" xfId="11522" xr:uid="{00000000-0005-0000-0000-0000372C0000}"/>
    <cellStyle name="표준 5 2 2 2 5 2 9" xfId="15762" xr:uid="{00000000-0005-0000-0000-0000382C0000}"/>
    <cellStyle name="표준 5 2 2 2 5 3" xfId="683" xr:uid="{00000000-0005-0000-0000-0000392C0000}"/>
    <cellStyle name="표준 5 2 2 2 5 3 10" xfId="24148" xr:uid="{00000000-0005-0000-0000-00003A2C0000}"/>
    <cellStyle name="표준 5 2 2 2 5 3 11" xfId="32359" xr:uid="{00000000-0005-0000-0000-00003B2C0000}"/>
    <cellStyle name="표준 5 2 2 2 5 3 12" xfId="40552" xr:uid="{00000000-0005-0000-0000-00003C2C0000}"/>
    <cellStyle name="표준 5 2 2 2 5 3 2" xfId="1195" xr:uid="{00000000-0005-0000-0000-00003D2C0000}"/>
    <cellStyle name="표준 5 2 2 2 5 3 2 2" xfId="10098" xr:uid="{00000000-0005-0000-0000-00003E2C0000}"/>
    <cellStyle name="표준 5 2 2 2 5 3 2 2 2" xfId="14210" xr:uid="{00000000-0005-0000-0000-00003F2C0000}"/>
    <cellStyle name="표준 5 2 2 2 5 3 2 2 2 2" xfId="30804" xr:uid="{00000000-0005-0000-0000-0000402C0000}"/>
    <cellStyle name="표준 5 2 2 2 5 3 2 2 2 3" xfId="39015" xr:uid="{00000000-0005-0000-0000-0000412C0000}"/>
    <cellStyle name="표준 5 2 2 2 5 3 2 2 2 4" xfId="47208" xr:uid="{00000000-0005-0000-0000-0000422C0000}"/>
    <cellStyle name="표준 5 2 2 2 5 3 2 2 3" xfId="18450" xr:uid="{00000000-0005-0000-0000-0000432C0000}"/>
    <cellStyle name="표준 5 2 2 2 5 3 2 2 4" xfId="22612" xr:uid="{00000000-0005-0000-0000-0000442C0000}"/>
    <cellStyle name="표준 5 2 2 2 5 3 2 2 5" xfId="26708" xr:uid="{00000000-0005-0000-0000-0000452C0000}"/>
    <cellStyle name="표준 5 2 2 2 5 3 2 2 6" xfId="34919" xr:uid="{00000000-0005-0000-0000-0000462C0000}"/>
    <cellStyle name="표준 5 2 2 2 5 3 2 2 7" xfId="43112" xr:uid="{00000000-0005-0000-0000-0000472C0000}"/>
    <cellStyle name="표준 5 2 2 2 5 3 2 3" xfId="8050" xr:uid="{00000000-0005-0000-0000-0000482C0000}"/>
    <cellStyle name="표준 5 2 2 2 5 3 2 3 2" xfId="28756" xr:uid="{00000000-0005-0000-0000-0000492C0000}"/>
    <cellStyle name="표준 5 2 2 2 5 3 2 3 3" xfId="36967" xr:uid="{00000000-0005-0000-0000-00004A2C0000}"/>
    <cellStyle name="표준 5 2 2 2 5 3 2 3 4" xfId="45160" xr:uid="{00000000-0005-0000-0000-00004B2C0000}"/>
    <cellStyle name="표준 5 2 2 2 5 3 2 4" xfId="12162" xr:uid="{00000000-0005-0000-0000-00004C2C0000}"/>
    <cellStyle name="표준 5 2 2 2 5 3 2 5" xfId="16402" xr:uid="{00000000-0005-0000-0000-00004D2C0000}"/>
    <cellStyle name="표준 5 2 2 2 5 3 2 6" xfId="20564" xr:uid="{00000000-0005-0000-0000-00004E2C0000}"/>
    <cellStyle name="표준 5 2 2 2 5 3 2 7" xfId="24660" xr:uid="{00000000-0005-0000-0000-00004F2C0000}"/>
    <cellStyle name="표준 5 2 2 2 5 3 2 8" xfId="32871" xr:uid="{00000000-0005-0000-0000-0000502C0000}"/>
    <cellStyle name="표준 5 2 2 2 5 3 2 9" xfId="41064" xr:uid="{00000000-0005-0000-0000-0000512C0000}"/>
    <cellStyle name="표준 5 2 2 2 5 3 3" xfId="1707" xr:uid="{00000000-0005-0000-0000-0000522C0000}"/>
    <cellStyle name="표준 5 2 2 2 5 3 3 2" xfId="10610" xr:uid="{00000000-0005-0000-0000-0000532C0000}"/>
    <cellStyle name="표준 5 2 2 2 5 3 3 2 2" xfId="14722" xr:uid="{00000000-0005-0000-0000-0000542C0000}"/>
    <cellStyle name="표준 5 2 2 2 5 3 3 2 2 2" xfId="31316" xr:uid="{00000000-0005-0000-0000-0000552C0000}"/>
    <cellStyle name="표준 5 2 2 2 5 3 3 2 2 3" xfId="39527" xr:uid="{00000000-0005-0000-0000-0000562C0000}"/>
    <cellStyle name="표준 5 2 2 2 5 3 3 2 2 4" xfId="47720" xr:uid="{00000000-0005-0000-0000-0000572C0000}"/>
    <cellStyle name="표준 5 2 2 2 5 3 3 2 3" xfId="18962" xr:uid="{00000000-0005-0000-0000-0000582C0000}"/>
    <cellStyle name="표준 5 2 2 2 5 3 3 2 4" xfId="23124" xr:uid="{00000000-0005-0000-0000-0000592C0000}"/>
    <cellStyle name="표준 5 2 2 2 5 3 3 2 5" xfId="27220" xr:uid="{00000000-0005-0000-0000-00005A2C0000}"/>
    <cellStyle name="표준 5 2 2 2 5 3 3 2 6" xfId="35431" xr:uid="{00000000-0005-0000-0000-00005B2C0000}"/>
    <cellStyle name="표준 5 2 2 2 5 3 3 2 7" xfId="43624" xr:uid="{00000000-0005-0000-0000-00005C2C0000}"/>
    <cellStyle name="표준 5 2 2 2 5 3 3 3" xfId="8562" xr:uid="{00000000-0005-0000-0000-00005D2C0000}"/>
    <cellStyle name="표준 5 2 2 2 5 3 3 3 2" xfId="29268" xr:uid="{00000000-0005-0000-0000-00005E2C0000}"/>
    <cellStyle name="표준 5 2 2 2 5 3 3 3 3" xfId="37479" xr:uid="{00000000-0005-0000-0000-00005F2C0000}"/>
    <cellStyle name="표준 5 2 2 2 5 3 3 3 4" xfId="45672" xr:uid="{00000000-0005-0000-0000-0000602C0000}"/>
    <cellStyle name="표준 5 2 2 2 5 3 3 4" xfId="12674" xr:uid="{00000000-0005-0000-0000-0000612C0000}"/>
    <cellStyle name="표준 5 2 2 2 5 3 3 5" xfId="16914" xr:uid="{00000000-0005-0000-0000-0000622C0000}"/>
    <cellStyle name="표준 5 2 2 2 5 3 3 6" xfId="21076" xr:uid="{00000000-0005-0000-0000-0000632C0000}"/>
    <cellStyle name="표준 5 2 2 2 5 3 3 7" xfId="25172" xr:uid="{00000000-0005-0000-0000-0000642C0000}"/>
    <cellStyle name="표준 5 2 2 2 5 3 3 8" xfId="33383" xr:uid="{00000000-0005-0000-0000-0000652C0000}"/>
    <cellStyle name="표준 5 2 2 2 5 3 3 9" xfId="41576" xr:uid="{00000000-0005-0000-0000-0000662C0000}"/>
    <cellStyle name="표준 5 2 2 2 5 3 4" xfId="2219" xr:uid="{00000000-0005-0000-0000-0000672C0000}"/>
    <cellStyle name="표준 5 2 2 2 5 3 4 2" xfId="11122" xr:uid="{00000000-0005-0000-0000-0000682C0000}"/>
    <cellStyle name="표준 5 2 2 2 5 3 4 2 2" xfId="15234" xr:uid="{00000000-0005-0000-0000-0000692C0000}"/>
    <cellStyle name="표준 5 2 2 2 5 3 4 2 2 2" xfId="31828" xr:uid="{00000000-0005-0000-0000-00006A2C0000}"/>
    <cellStyle name="표준 5 2 2 2 5 3 4 2 2 3" xfId="40039" xr:uid="{00000000-0005-0000-0000-00006B2C0000}"/>
    <cellStyle name="표준 5 2 2 2 5 3 4 2 2 4" xfId="48232" xr:uid="{00000000-0005-0000-0000-00006C2C0000}"/>
    <cellStyle name="표준 5 2 2 2 5 3 4 2 3" xfId="19474" xr:uid="{00000000-0005-0000-0000-00006D2C0000}"/>
    <cellStyle name="표준 5 2 2 2 5 3 4 2 4" xfId="23636" xr:uid="{00000000-0005-0000-0000-00006E2C0000}"/>
    <cellStyle name="표준 5 2 2 2 5 3 4 2 5" xfId="27732" xr:uid="{00000000-0005-0000-0000-00006F2C0000}"/>
    <cellStyle name="표준 5 2 2 2 5 3 4 2 6" xfId="35943" xr:uid="{00000000-0005-0000-0000-0000702C0000}"/>
    <cellStyle name="표준 5 2 2 2 5 3 4 2 7" xfId="44136" xr:uid="{00000000-0005-0000-0000-0000712C0000}"/>
    <cellStyle name="표준 5 2 2 2 5 3 4 3" xfId="9074" xr:uid="{00000000-0005-0000-0000-0000722C0000}"/>
    <cellStyle name="표준 5 2 2 2 5 3 4 3 2" xfId="29780" xr:uid="{00000000-0005-0000-0000-0000732C0000}"/>
    <cellStyle name="표준 5 2 2 2 5 3 4 3 3" xfId="37991" xr:uid="{00000000-0005-0000-0000-0000742C0000}"/>
    <cellStyle name="표준 5 2 2 2 5 3 4 3 4" xfId="46184" xr:uid="{00000000-0005-0000-0000-0000752C0000}"/>
    <cellStyle name="표준 5 2 2 2 5 3 4 4" xfId="13186" xr:uid="{00000000-0005-0000-0000-0000762C0000}"/>
    <cellStyle name="표준 5 2 2 2 5 3 4 5" xfId="17426" xr:uid="{00000000-0005-0000-0000-0000772C0000}"/>
    <cellStyle name="표준 5 2 2 2 5 3 4 6" xfId="21588" xr:uid="{00000000-0005-0000-0000-0000782C0000}"/>
    <cellStyle name="표준 5 2 2 2 5 3 4 7" xfId="25684" xr:uid="{00000000-0005-0000-0000-0000792C0000}"/>
    <cellStyle name="표준 5 2 2 2 5 3 4 8" xfId="33895" xr:uid="{00000000-0005-0000-0000-00007A2C0000}"/>
    <cellStyle name="표준 5 2 2 2 5 3 4 9" xfId="42088" xr:uid="{00000000-0005-0000-0000-00007B2C0000}"/>
    <cellStyle name="표준 5 2 2 2 5 3 5" xfId="9586" xr:uid="{00000000-0005-0000-0000-00007C2C0000}"/>
    <cellStyle name="표준 5 2 2 2 5 3 5 2" xfId="13698" xr:uid="{00000000-0005-0000-0000-00007D2C0000}"/>
    <cellStyle name="표준 5 2 2 2 5 3 5 2 2" xfId="30292" xr:uid="{00000000-0005-0000-0000-00007E2C0000}"/>
    <cellStyle name="표준 5 2 2 2 5 3 5 2 3" xfId="38503" xr:uid="{00000000-0005-0000-0000-00007F2C0000}"/>
    <cellStyle name="표준 5 2 2 2 5 3 5 2 4" xfId="46696" xr:uid="{00000000-0005-0000-0000-0000802C0000}"/>
    <cellStyle name="표준 5 2 2 2 5 3 5 3" xfId="17938" xr:uid="{00000000-0005-0000-0000-0000812C0000}"/>
    <cellStyle name="표준 5 2 2 2 5 3 5 4" xfId="22100" xr:uid="{00000000-0005-0000-0000-0000822C0000}"/>
    <cellStyle name="표준 5 2 2 2 5 3 5 5" xfId="26196" xr:uid="{00000000-0005-0000-0000-0000832C0000}"/>
    <cellStyle name="표준 5 2 2 2 5 3 5 6" xfId="34407" xr:uid="{00000000-0005-0000-0000-0000842C0000}"/>
    <cellStyle name="표준 5 2 2 2 5 3 5 7" xfId="42600" xr:uid="{00000000-0005-0000-0000-0000852C0000}"/>
    <cellStyle name="표준 5 2 2 2 5 3 6" xfId="7538" xr:uid="{00000000-0005-0000-0000-0000862C0000}"/>
    <cellStyle name="표준 5 2 2 2 5 3 6 2" xfId="28244" xr:uid="{00000000-0005-0000-0000-0000872C0000}"/>
    <cellStyle name="표준 5 2 2 2 5 3 6 3" xfId="36455" xr:uid="{00000000-0005-0000-0000-0000882C0000}"/>
    <cellStyle name="표준 5 2 2 2 5 3 6 4" xfId="44648" xr:uid="{00000000-0005-0000-0000-0000892C0000}"/>
    <cellStyle name="표준 5 2 2 2 5 3 7" xfId="11650" xr:uid="{00000000-0005-0000-0000-00008A2C0000}"/>
    <cellStyle name="표준 5 2 2 2 5 3 8" xfId="15890" xr:uid="{00000000-0005-0000-0000-00008B2C0000}"/>
    <cellStyle name="표준 5 2 2 2 5 3 9" xfId="20052" xr:uid="{00000000-0005-0000-0000-00008C2C0000}"/>
    <cellStyle name="표준 5 2 2 2 5 4" xfId="939" xr:uid="{00000000-0005-0000-0000-00008D2C0000}"/>
    <cellStyle name="표준 5 2 2 2 5 4 2" xfId="9842" xr:uid="{00000000-0005-0000-0000-00008E2C0000}"/>
    <cellStyle name="표준 5 2 2 2 5 4 2 2" xfId="13954" xr:uid="{00000000-0005-0000-0000-00008F2C0000}"/>
    <cellStyle name="표준 5 2 2 2 5 4 2 2 2" xfId="30548" xr:uid="{00000000-0005-0000-0000-0000902C0000}"/>
    <cellStyle name="표준 5 2 2 2 5 4 2 2 3" xfId="38759" xr:uid="{00000000-0005-0000-0000-0000912C0000}"/>
    <cellStyle name="표준 5 2 2 2 5 4 2 2 4" xfId="46952" xr:uid="{00000000-0005-0000-0000-0000922C0000}"/>
    <cellStyle name="표준 5 2 2 2 5 4 2 3" xfId="18194" xr:uid="{00000000-0005-0000-0000-0000932C0000}"/>
    <cellStyle name="표준 5 2 2 2 5 4 2 4" xfId="22356" xr:uid="{00000000-0005-0000-0000-0000942C0000}"/>
    <cellStyle name="표준 5 2 2 2 5 4 2 5" xfId="26452" xr:uid="{00000000-0005-0000-0000-0000952C0000}"/>
    <cellStyle name="표준 5 2 2 2 5 4 2 6" xfId="34663" xr:uid="{00000000-0005-0000-0000-0000962C0000}"/>
    <cellStyle name="표준 5 2 2 2 5 4 2 7" xfId="42856" xr:uid="{00000000-0005-0000-0000-0000972C0000}"/>
    <cellStyle name="표준 5 2 2 2 5 4 3" xfId="7794" xr:uid="{00000000-0005-0000-0000-0000982C0000}"/>
    <cellStyle name="표준 5 2 2 2 5 4 3 2" xfId="28500" xr:uid="{00000000-0005-0000-0000-0000992C0000}"/>
    <cellStyle name="표준 5 2 2 2 5 4 3 3" xfId="36711" xr:uid="{00000000-0005-0000-0000-00009A2C0000}"/>
    <cellStyle name="표준 5 2 2 2 5 4 3 4" xfId="44904" xr:uid="{00000000-0005-0000-0000-00009B2C0000}"/>
    <cellStyle name="표준 5 2 2 2 5 4 4" xfId="11906" xr:uid="{00000000-0005-0000-0000-00009C2C0000}"/>
    <cellStyle name="표준 5 2 2 2 5 4 5" xfId="16146" xr:uid="{00000000-0005-0000-0000-00009D2C0000}"/>
    <cellStyle name="표준 5 2 2 2 5 4 6" xfId="20308" xr:uid="{00000000-0005-0000-0000-00009E2C0000}"/>
    <cellStyle name="표준 5 2 2 2 5 4 7" xfId="24404" xr:uid="{00000000-0005-0000-0000-00009F2C0000}"/>
    <cellStyle name="표준 5 2 2 2 5 4 8" xfId="32615" xr:uid="{00000000-0005-0000-0000-0000A02C0000}"/>
    <cellStyle name="표준 5 2 2 2 5 4 9" xfId="40808" xr:uid="{00000000-0005-0000-0000-0000A12C0000}"/>
    <cellStyle name="표준 5 2 2 2 5 5" xfId="1451" xr:uid="{00000000-0005-0000-0000-0000A22C0000}"/>
    <cellStyle name="표준 5 2 2 2 5 5 2" xfId="10354" xr:uid="{00000000-0005-0000-0000-0000A32C0000}"/>
    <cellStyle name="표준 5 2 2 2 5 5 2 2" xfId="14466" xr:uid="{00000000-0005-0000-0000-0000A42C0000}"/>
    <cellStyle name="표준 5 2 2 2 5 5 2 2 2" xfId="31060" xr:uid="{00000000-0005-0000-0000-0000A52C0000}"/>
    <cellStyle name="표준 5 2 2 2 5 5 2 2 3" xfId="39271" xr:uid="{00000000-0005-0000-0000-0000A62C0000}"/>
    <cellStyle name="표준 5 2 2 2 5 5 2 2 4" xfId="47464" xr:uid="{00000000-0005-0000-0000-0000A72C0000}"/>
    <cellStyle name="표준 5 2 2 2 5 5 2 3" xfId="18706" xr:uid="{00000000-0005-0000-0000-0000A82C0000}"/>
    <cellStyle name="표준 5 2 2 2 5 5 2 4" xfId="22868" xr:uid="{00000000-0005-0000-0000-0000A92C0000}"/>
    <cellStyle name="표준 5 2 2 2 5 5 2 5" xfId="26964" xr:uid="{00000000-0005-0000-0000-0000AA2C0000}"/>
    <cellStyle name="표준 5 2 2 2 5 5 2 6" xfId="35175" xr:uid="{00000000-0005-0000-0000-0000AB2C0000}"/>
    <cellStyle name="표준 5 2 2 2 5 5 2 7" xfId="43368" xr:uid="{00000000-0005-0000-0000-0000AC2C0000}"/>
    <cellStyle name="표준 5 2 2 2 5 5 3" xfId="8306" xr:uid="{00000000-0005-0000-0000-0000AD2C0000}"/>
    <cellStyle name="표준 5 2 2 2 5 5 3 2" xfId="29012" xr:uid="{00000000-0005-0000-0000-0000AE2C0000}"/>
    <cellStyle name="표준 5 2 2 2 5 5 3 3" xfId="37223" xr:uid="{00000000-0005-0000-0000-0000AF2C0000}"/>
    <cellStyle name="표준 5 2 2 2 5 5 3 4" xfId="45416" xr:uid="{00000000-0005-0000-0000-0000B02C0000}"/>
    <cellStyle name="표준 5 2 2 2 5 5 4" xfId="12418" xr:uid="{00000000-0005-0000-0000-0000B12C0000}"/>
    <cellStyle name="표준 5 2 2 2 5 5 5" xfId="16658" xr:uid="{00000000-0005-0000-0000-0000B22C0000}"/>
    <cellStyle name="표준 5 2 2 2 5 5 6" xfId="20820" xr:uid="{00000000-0005-0000-0000-0000B32C0000}"/>
    <cellStyle name="표준 5 2 2 2 5 5 7" xfId="24916" xr:uid="{00000000-0005-0000-0000-0000B42C0000}"/>
    <cellStyle name="표준 5 2 2 2 5 5 8" xfId="33127" xr:uid="{00000000-0005-0000-0000-0000B52C0000}"/>
    <cellStyle name="표준 5 2 2 2 5 5 9" xfId="41320" xr:uid="{00000000-0005-0000-0000-0000B62C0000}"/>
    <cellStyle name="표준 5 2 2 2 5 6" xfId="1963" xr:uid="{00000000-0005-0000-0000-0000B72C0000}"/>
    <cellStyle name="표준 5 2 2 2 5 6 2" xfId="10866" xr:uid="{00000000-0005-0000-0000-0000B82C0000}"/>
    <cellStyle name="표준 5 2 2 2 5 6 2 2" xfId="14978" xr:uid="{00000000-0005-0000-0000-0000B92C0000}"/>
    <cellStyle name="표준 5 2 2 2 5 6 2 2 2" xfId="31572" xr:uid="{00000000-0005-0000-0000-0000BA2C0000}"/>
    <cellStyle name="표준 5 2 2 2 5 6 2 2 3" xfId="39783" xr:uid="{00000000-0005-0000-0000-0000BB2C0000}"/>
    <cellStyle name="표준 5 2 2 2 5 6 2 2 4" xfId="47976" xr:uid="{00000000-0005-0000-0000-0000BC2C0000}"/>
    <cellStyle name="표준 5 2 2 2 5 6 2 3" xfId="19218" xr:uid="{00000000-0005-0000-0000-0000BD2C0000}"/>
    <cellStyle name="표준 5 2 2 2 5 6 2 4" xfId="23380" xr:uid="{00000000-0005-0000-0000-0000BE2C0000}"/>
    <cellStyle name="표준 5 2 2 2 5 6 2 5" xfId="27476" xr:uid="{00000000-0005-0000-0000-0000BF2C0000}"/>
    <cellStyle name="표준 5 2 2 2 5 6 2 6" xfId="35687" xr:uid="{00000000-0005-0000-0000-0000C02C0000}"/>
    <cellStyle name="표준 5 2 2 2 5 6 2 7" xfId="43880" xr:uid="{00000000-0005-0000-0000-0000C12C0000}"/>
    <cellStyle name="표준 5 2 2 2 5 6 3" xfId="8818" xr:uid="{00000000-0005-0000-0000-0000C22C0000}"/>
    <cellStyle name="표준 5 2 2 2 5 6 3 2" xfId="29524" xr:uid="{00000000-0005-0000-0000-0000C32C0000}"/>
    <cellStyle name="표준 5 2 2 2 5 6 3 3" xfId="37735" xr:uid="{00000000-0005-0000-0000-0000C42C0000}"/>
    <cellStyle name="표준 5 2 2 2 5 6 3 4" xfId="45928" xr:uid="{00000000-0005-0000-0000-0000C52C0000}"/>
    <cellStyle name="표준 5 2 2 2 5 6 4" xfId="12930" xr:uid="{00000000-0005-0000-0000-0000C62C0000}"/>
    <cellStyle name="표준 5 2 2 2 5 6 5" xfId="17170" xr:uid="{00000000-0005-0000-0000-0000C72C0000}"/>
    <cellStyle name="표준 5 2 2 2 5 6 6" xfId="21332" xr:uid="{00000000-0005-0000-0000-0000C82C0000}"/>
    <cellStyle name="표준 5 2 2 2 5 6 7" xfId="25428" xr:uid="{00000000-0005-0000-0000-0000C92C0000}"/>
    <cellStyle name="표준 5 2 2 2 5 6 8" xfId="33639" xr:uid="{00000000-0005-0000-0000-0000CA2C0000}"/>
    <cellStyle name="표준 5 2 2 2 5 6 9" xfId="41832" xr:uid="{00000000-0005-0000-0000-0000CB2C0000}"/>
    <cellStyle name="표준 5 2 2 2 5 7" xfId="7023" xr:uid="{00000000-0005-0000-0000-0000CC2C0000}"/>
    <cellStyle name="표준 5 2 2 2 5 7 2" xfId="9330" xr:uid="{00000000-0005-0000-0000-0000CD2C0000}"/>
    <cellStyle name="표준 5 2 2 2 5 7 2 2" xfId="30036" xr:uid="{00000000-0005-0000-0000-0000CE2C0000}"/>
    <cellStyle name="표준 5 2 2 2 5 7 2 3" xfId="38247" xr:uid="{00000000-0005-0000-0000-0000CF2C0000}"/>
    <cellStyle name="표준 5 2 2 2 5 7 2 4" xfId="46440" xr:uid="{00000000-0005-0000-0000-0000D02C0000}"/>
    <cellStyle name="표준 5 2 2 2 5 7 3" xfId="13442" xr:uid="{00000000-0005-0000-0000-0000D12C0000}"/>
    <cellStyle name="표준 5 2 2 2 5 7 4" xfId="17682" xr:uid="{00000000-0005-0000-0000-0000D22C0000}"/>
    <cellStyle name="표준 5 2 2 2 5 7 5" xfId="21844" xr:uid="{00000000-0005-0000-0000-0000D32C0000}"/>
    <cellStyle name="표준 5 2 2 2 5 7 6" xfId="25940" xr:uid="{00000000-0005-0000-0000-0000D42C0000}"/>
    <cellStyle name="표준 5 2 2 2 5 7 7" xfId="34151" xr:uid="{00000000-0005-0000-0000-0000D52C0000}"/>
    <cellStyle name="표준 5 2 2 2 5 7 8" xfId="42344" xr:uid="{00000000-0005-0000-0000-0000D62C0000}"/>
    <cellStyle name="표준 5 2 2 2 5 8" xfId="7155" xr:uid="{00000000-0005-0000-0000-0000D72C0000}"/>
    <cellStyle name="표준 5 2 2 2 5 8 2" xfId="27988" xr:uid="{00000000-0005-0000-0000-0000D82C0000}"/>
    <cellStyle name="표준 5 2 2 2 5 8 3" xfId="36199" xr:uid="{00000000-0005-0000-0000-0000D92C0000}"/>
    <cellStyle name="표준 5 2 2 2 5 8 4" xfId="44392" xr:uid="{00000000-0005-0000-0000-0000DA2C0000}"/>
    <cellStyle name="표준 5 2 2 2 5 9" xfId="7282" xr:uid="{00000000-0005-0000-0000-0000DB2C0000}"/>
    <cellStyle name="표준 5 2 2 2 6" xfId="491" xr:uid="{00000000-0005-0000-0000-0000DC2C0000}"/>
    <cellStyle name="표준 5 2 2 2 6 10" xfId="19860" xr:uid="{00000000-0005-0000-0000-0000DD2C0000}"/>
    <cellStyle name="표준 5 2 2 2 6 11" xfId="23956" xr:uid="{00000000-0005-0000-0000-0000DE2C0000}"/>
    <cellStyle name="표준 5 2 2 2 6 12" xfId="32167" xr:uid="{00000000-0005-0000-0000-0000DF2C0000}"/>
    <cellStyle name="표준 5 2 2 2 6 13" xfId="40360" xr:uid="{00000000-0005-0000-0000-0000E02C0000}"/>
    <cellStyle name="표준 5 2 2 2 6 2" xfId="747" xr:uid="{00000000-0005-0000-0000-0000E12C0000}"/>
    <cellStyle name="표준 5 2 2 2 6 2 10" xfId="24212" xr:uid="{00000000-0005-0000-0000-0000E22C0000}"/>
    <cellStyle name="표준 5 2 2 2 6 2 11" xfId="32423" xr:uid="{00000000-0005-0000-0000-0000E32C0000}"/>
    <cellStyle name="표준 5 2 2 2 6 2 12" xfId="40616" xr:uid="{00000000-0005-0000-0000-0000E42C0000}"/>
    <cellStyle name="표준 5 2 2 2 6 2 2" xfId="1259" xr:uid="{00000000-0005-0000-0000-0000E52C0000}"/>
    <cellStyle name="표준 5 2 2 2 6 2 2 2" xfId="10162" xr:uid="{00000000-0005-0000-0000-0000E62C0000}"/>
    <cellStyle name="표준 5 2 2 2 6 2 2 2 2" xfId="14274" xr:uid="{00000000-0005-0000-0000-0000E72C0000}"/>
    <cellStyle name="표준 5 2 2 2 6 2 2 2 2 2" xfId="30868" xr:uid="{00000000-0005-0000-0000-0000E82C0000}"/>
    <cellStyle name="표준 5 2 2 2 6 2 2 2 2 3" xfId="39079" xr:uid="{00000000-0005-0000-0000-0000E92C0000}"/>
    <cellStyle name="표준 5 2 2 2 6 2 2 2 2 4" xfId="47272" xr:uid="{00000000-0005-0000-0000-0000EA2C0000}"/>
    <cellStyle name="표준 5 2 2 2 6 2 2 2 3" xfId="18514" xr:uid="{00000000-0005-0000-0000-0000EB2C0000}"/>
    <cellStyle name="표준 5 2 2 2 6 2 2 2 4" xfId="22676" xr:uid="{00000000-0005-0000-0000-0000EC2C0000}"/>
    <cellStyle name="표준 5 2 2 2 6 2 2 2 5" xfId="26772" xr:uid="{00000000-0005-0000-0000-0000ED2C0000}"/>
    <cellStyle name="표준 5 2 2 2 6 2 2 2 6" xfId="34983" xr:uid="{00000000-0005-0000-0000-0000EE2C0000}"/>
    <cellStyle name="표준 5 2 2 2 6 2 2 2 7" xfId="43176" xr:uid="{00000000-0005-0000-0000-0000EF2C0000}"/>
    <cellStyle name="표준 5 2 2 2 6 2 2 3" xfId="8114" xr:uid="{00000000-0005-0000-0000-0000F02C0000}"/>
    <cellStyle name="표준 5 2 2 2 6 2 2 3 2" xfId="28820" xr:uid="{00000000-0005-0000-0000-0000F12C0000}"/>
    <cellStyle name="표준 5 2 2 2 6 2 2 3 3" xfId="37031" xr:uid="{00000000-0005-0000-0000-0000F22C0000}"/>
    <cellStyle name="표준 5 2 2 2 6 2 2 3 4" xfId="45224" xr:uid="{00000000-0005-0000-0000-0000F32C0000}"/>
    <cellStyle name="표준 5 2 2 2 6 2 2 4" xfId="12226" xr:uid="{00000000-0005-0000-0000-0000F42C0000}"/>
    <cellStyle name="표준 5 2 2 2 6 2 2 5" xfId="16466" xr:uid="{00000000-0005-0000-0000-0000F52C0000}"/>
    <cellStyle name="표준 5 2 2 2 6 2 2 6" xfId="20628" xr:uid="{00000000-0005-0000-0000-0000F62C0000}"/>
    <cellStyle name="표준 5 2 2 2 6 2 2 7" xfId="24724" xr:uid="{00000000-0005-0000-0000-0000F72C0000}"/>
    <cellStyle name="표준 5 2 2 2 6 2 2 8" xfId="32935" xr:uid="{00000000-0005-0000-0000-0000F82C0000}"/>
    <cellStyle name="표준 5 2 2 2 6 2 2 9" xfId="41128" xr:uid="{00000000-0005-0000-0000-0000F92C0000}"/>
    <cellStyle name="표준 5 2 2 2 6 2 3" xfId="1771" xr:uid="{00000000-0005-0000-0000-0000FA2C0000}"/>
    <cellStyle name="표준 5 2 2 2 6 2 3 2" xfId="10674" xr:uid="{00000000-0005-0000-0000-0000FB2C0000}"/>
    <cellStyle name="표준 5 2 2 2 6 2 3 2 2" xfId="14786" xr:uid="{00000000-0005-0000-0000-0000FC2C0000}"/>
    <cellStyle name="표준 5 2 2 2 6 2 3 2 2 2" xfId="31380" xr:uid="{00000000-0005-0000-0000-0000FD2C0000}"/>
    <cellStyle name="표준 5 2 2 2 6 2 3 2 2 3" xfId="39591" xr:uid="{00000000-0005-0000-0000-0000FE2C0000}"/>
    <cellStyle name="표준 5 2 2 2 6 2 3 2 2 4" xfId="47784" xr:uid="{00000000-0005-0000-0000-0000FF2C0000}"/>
    <cellStyle name="표준 5 2 2 2 6 2 3 2 3" xfId="19026" xr:uid="{00000000-0005-0000-0000-0000002D0000}"/>
    <cellStyle name="표준 5 2 2 2 6 2 3 2 4" xfId="23188" xr:uid="{00000000-0005-0000-0000-0000012D0000}"/>
    <cellStyle name="표준 5 2 2 2 6 2 3 2 5" xfId="27284" xr:uid="{00000000-0005-0000-0000-0000022D0000}"/>
    <cellStyle name="표준 5 2 2 2 6 2 3 2 6" xfId="35495" xr:uid="{00000000-0005-0000-0000-0000032D0000}"/>
    <cellStyle name="표준 5 2 2 2 6 2 3 2 7" xfId="43688" xr:uid="{00000000-0005-0000-0000-0000042D0000}"/>
    <cellStyle name="표준 5 2 2 2 6 2 3 3" xfId="8626" xr:uid="{00000000-0005-0000-0000-0000052D0000}"/>
    <cellStyle name="표준 5 2 2 2 6 2 3 3 2" xfId="29332" xr:uid="{00000000-0005-0000-0000-0000062D0000}"/>
    <cellStyle name="표준 5 2 2 2 6 2 3 3 3" xfId="37543" xr:uid="{00000000-0005-0000-0000-0000072D0000}"/>
    <cellStyle name="표준 5 2 2 2 6 2 3 3 4" xfId="45736" xr:uid="{00000000-0005-0000-0000-0000082D0000}"/>
    <cellStyle name="표준 5 2 2 2 6 2 3 4" xfId="12738" xr:uid="{00000000-0005-0000-0000-0000092D0000}"/>
    <cellStyle name="표준 5 2 2 2 6 2 3 5" xfId="16978" xr:uid="{00000000-0005-0000-0000-00000A2D0000}"/>
    <cellStyle name="표준 5 2 2 2 6 2 3 6" xfId="21140" xr:uid="{00000000-0005-0000-0000-00000B2D0000}"/>
    <cellStyle name="표준 5 2 2 2 6 2 3 7" xfId="25236" xr:uid="{00000000-0005-0000-0000-00000C2D0000}"/>
    <cellStyle name="표준 5 2 2 2 6 2 3 8" xfId="33447" xr:uid="{00000000-0005-0000-0000-00000D2D0000}"/>
    <cellStyle name="표준 5 2 2 2 6 2 3 9" xfId="41640" xr:uid="{00000000-0005-0000-0000-00000E2D0000}"/>
    <cellStyle name="표준 5 2 2 2 6 2 4" xfId="2283" xr:uid="{00000000-0005-0000-0000-00000F2D0000}"/>
    <cellStyle name="표준 5 2 2 2 6 2 4 2" xfId="11186" xr:uid="{00000000-0005-0000-0000-0000102D0000}"/>
    <cellStyle name="표준 5 2 2 2 6 2 4 2 2" xfId="15298" xr:uid="{00000000-0005-0000-0000-0000112D0000}"/>
    <cellStyle name="표준 5 2 2 2 6 2 4 2 2 2" xfId="31892" xr:uid="{00000000-0005-0000-0000-0000122D0000}"/>
    <cellStyle name="표준 5 2 2 2 6 2 4 2 2 3" xfId="40103" xr:uid="{00000000-0005-0000-0000-0000132D0000}"/>
    <cellStyle name="표준 5 2 2 2 6 2 4 2 2 4" xfId="48296" xr:uid="{00000000-0005-0000-0000-0000142D0000}"/>
    <cellStyle name="표준 5 2 2 2 6 2 4 2 3" xfId="19538" xr:uid="{00000000-0005-0000-0000-0000152D0000}"/>
    <cellStyle name="표준 5 2 2 2 6 2 4 2 4" xfId="23700" xr:uid="{00000000-0005-0000-0000-0000162D0000}"/>
    <cellStyle name="표준 5 2 2 2 6 2 4 2 5" xfId="27796" xr:uid="{00000000-0005-0000-0000-0000172D0000}"/>
    <cellStyle name="표준 5 2 2 2 6 2 4 2 6" xfId="36007" xr:uid="{00000000-0005-0000-0000-0000182D0000}"/>
    <cellStyle name="표준 5 2 2 2 6 2 4 2 7" xfId="44200" xr:uid="{00000000-0005-0000-0000-0000192D0000}"/>
    <cellStyle name="표준 5 2 2 2 6 2 4 3" xfId="9138" xr:uid="{00000000-0005-0000-0000-00001A2D0000}"/>
    <cellStyle name="표준 5 2 2 2 6 2 4 3 2" xfId="29844" xr:uid="{00000000-0005-0000-0000-00001B2D0000}"/>
    <cellStyle name="표준 5 2 2 2 6 2 4 3 3" xfId="38055" xr:uid="{00000000-0005-0000-0000-00001C2D0000}"/>
    <cellStyle name="표준 5 2 2 2 6 2 4 3 4" xfId="46248" xr:uid="{00000000-0005-0000-0000-00001D2D0000}"/>
    <cellStyle name="표준 5 2 2 2 6 2 4 4" xfId="13250" xr:uid="{00000000-0005-0000-0000-00001E2D0000}"/>
    <cellStyle name="표준 5 2 2 2 6 2 4 5" xfId="17490" xr:uid="{00000000-0005-0000-0000-00001F2D0000}"/>
    <cellStyle name="표준 5 2 2 2 6 2 4 6" xfId="21652" xr:uid="{00000000-0005-0000-0000-0000202D0000}"/>
    <cellStyle name="표준 5 2 2 2 6 2 4 7" xfId="25748" xr:uid="{00000000-0005-0000-0000-0000212D0000}"/>
    <cellStyle name="표준 5 2 2 2 6 2 4 8" xfId="33959" xr:uid="{00000000-0005-0000-0000-0000222D0000}"/>
    <cellStyle name="표준 5 2 2 2 6 2 4 9" xfId="42152" xr:uid="{00000000-0005-0000-0000-0000232D0000}"/>
    <cellStyle name="표준 5 2 2 2 6 2 5" xfId="9650" xr:uid="{00000000-0005-0000-0000-0000242D0000}"/>
    <cellStyle name="표준 5 2 2 2 6 2 5 2" xfId="13762" xr:uid="{00000000-0005-0000-0000-0000252D0000}"/>
    <cellStyle name="표준 5 2 2 2 6 2 5 2 2" xfId="30356" xr:uid="{00000000-0005-0000-0000-0000262D0000}"/>
    <cellStyle name="표준 5 2 2 2 6 2 5 2 3" xfId="38567" xr:uid="{00000000-0005-0000-0000-0000272D0000}"/>
    <cellStyle name="표준 5 2 2 2 6 2 5 2 4" xfId="46760" xr:uid="{00000000-0005-0000-0000-0000282D0000}"/>
    <cellStyle name="표준 5 2 2 2 6 2 5 3" xfId="18002" xr:uid="{00000000-0005-0000-0000-0000292D0000}"/>
    <cellStyle name="표준 5 2 2 2 6 2 5 4" xfId="22164" xr:uid="{00000000-0005-0000-0000-00002A2D0000}"/>
    <cellStyle name="표준 5 2 2 2 6 2 5 5" xfId="26260" xr:uid="{00000000-0005-0000-0000-00002B2D0000}"/>
    <cellStyle name="표준 5 2 2 2 6 2 5 6" xfId="34471" xr:uid="{00000000-0005-0000-0000-00002C2D0000}"/>
    <cellStyle name="표준 5 2 2 2 6 2 5 7" xfId="42664" xr:uid="{00000000-0005-0000-0000-00002D2D0000}"/>
    <cellStyle name="표준 5 2 2 2 6 2 6" xfId="7602" xr:uid="{00000000-0005-0000-0000-00002E2D0000}"/>
    <cellStyle name="표준 5 2 2 2 6 2 6 2" xfId="28308" xr:uid="{00000000-0005-0000-0000-00002F2D0000}"/>
    <cellStyle name="표준 5 2 2 2 6 2 6 3" xfId="36519" xr:uid="{00000000-0005-0000-0000-0000302D0000}"/>
    <cellStyle name="표준 5 2 2 2 6 2 6 4" xfId="44712" xr:uid="{00000000-0005-0000-0000-0000312D0000}"/>
    <cellStyle name="표준 5 2 2 2 6 2 7" xfId="11714" xr:uid="{00000000-0005-0000-0000-0000322D0000}"/>
    <cellStyle name="표준 5 2 2 2 6 2 8" xfId="15954" xr:uid="{00000000-0005-0000-0000-0000332D0000}"/>
    <cellStyle name="표준 5 2 2 2 6 2 9" xfId="20116" xr:uid="{00000000-0005-0000-0000-0000342D0000}"/>
    <cellStyle name="표준 5 2 2 2 6 3" xfId="1003" xr:uid="{00000000-0005-0000-0000-0000352D0000}"/>
    <cellStyle name="표준 5 2 2 2 6 3 2" xfId="9906" xr:uid="{00000000-0005-0000-0000-0000362D0000}"/>
    <cellStyle name="표준 5 2 2 2 6 3 2 2" xfId="14018" xr:uid="{00000000-0005-0000-0000-0000372D0000}"/>
    <cellStyle name="표준 5 2 2 2 6 3 2 2 2" xfId="30612" xr:uid="{00000000-0005-0000-0000-0000382D0000}"/>
    <cellStyle name="표준 5 2 2 2 6 3 2 2 3" xfId="38823" xr:uid="{00000000-0005-0000-0000-0000392D0000}"/>
    <cellStyle name="표준 5 2 2 2 6 3 2 2 4" xfId="47016" xr:uid="{00000000-0005-0000-0000-00003A2D0000}"/>
    <cellStyle name="표준 5 2 2 2 6 3 2 3" xfId="18258" xr:uid="{00000000-0005-0000-0000-00003B2D0000}"/>
    <cellStyle name="표준 5 2 2 2 6 3 2 4" xfId="22420" xr:uid="{00000000-0005-0000-0000-00003C2D0000}"/>
    <cellStyle name="표준 5 2 2 2 6 3 2 5" xfId="26516" xr:uid="{00000000-0005-0000-0000-00003D2D0000}"/>
    <cellStyle name="표준 5 2 2 2 6 3 2 6" xfId="34727" xr:uid="{00000000-0005-0000-0000-00003E2D0000}"/>
    <cellStyle name="표준 5 2 2 2 6 3 2 7" xfId="42920" xr:uid="{00000000-0005-0000-0000-00003F2D0000}"/>
    <cellStyle name="표준 5 2 2 2 6 3 3" xfId="7858" xr:uid="{00000000-0005-0000-0000-0000402D0000}"/>
    <cellStyle name="표준 5 2 2 2 6 3 3 2" xfId="28564" xr:uid="{00000000-0005-0000-0000-0000412D0000}"/>
    <cellStyle name="표준 5 2 2 2 6 3 3 3" xfId="36775" xr:uid="{00000000-0005-0000-0000-0000422D0000}"/>
    <cellStyle name="표준 5 2 2 2 6 3 3 4" xfId="44968" xr:uid="{00000000-0005-0000-0000-0000432D0000}"/>
    <cellStyle name="표준 5 2 2 2 6 3 4" xfId="11970" xr:uid="{00000000-0005-0000-0000-0000442D0000}"/>
    <cellStyle name="표준 5 2 2 2 6 3 5" xfId="16210" xr:uid="{00000000-0005-0000-0000-0000452D0000}"/>
    <cellStyle name="표준 5 2 2 2 6 3 6" xfId="20372" xr:uid="{00000000-0005-0000-0000-0000462D0000}"/>
    <cellStyle name="표준 5 2 2 2 6 3 7" xfId="24468" xr:uid="{00000000-0005-0000-0000-0000472D0000}"/>
    <cellStyle name="표준 5 2 2 2 6 3 8" xfId="32679" xr:uid="{00000000-0005-0000-0000-0000482D0000}"/>
    <cellStyle name="표준 5 2 2 2 6 3 9" xfId="40872" xr:uid="{00000000-0005-0000-0000-0000492D0000}"/>
    <cellStyle name="표준 5 2 2 2 6 4" xfId="1515" xr:uid="{00000000-0005-0000-0000-00004A2D0000}"/>
    <cellStyle name="표준 5 2 2 2 6 4 2" xfId="10418" xr:uid="{00000000-0005-0000-0000-00004B2D0000}"/>
    <cellStyle name="표준 5 2 2 2 6 4 2 2" xfId="14530" xr:uid="{00000000-0005-0000-0000-00004C2D0000}"/>
    <cellStyle name="표준 5 2 2 2 6 4 2 2 2" xfId="31124" xr:uid="{00000000-0005-0000-0000-00004D2D0000}"/>
    <cellStyle name="표준 5 2 2 2 6 4 2 2 3" xfId="39335" xr:uid="{00000000-0005-0000-0000-00004E2D0000}"/>
    <cellStyle name="표준 5 2 2 2 6 4 2 2 4" xfId="47528" xr:uid="{00000000-0005-0000-0000-00004F2D0000}"/>
    <cellStyle name="표준 5 2 2 2 6 4 2 3" xfId="18770" xr:uid="{00000000-0005-0000-0000-0000502D0000}"/>
    <cellStyle name="표준 5 2 2 2 6 4 2 4" xfId="22932" xr:uid="{00000000-0005-0000-0000-0000512D0000}"/>
    <cellStyle name="표준 5 2 2 2 6 4 2 5" xfId="27028" xr:uid="{00000000-0005-0000-0000-0000522D0000}"/>
    <cellStyle name="표준 5 2 2 2 6 4 2 6" xfId="35239" xr:uid="{00000000-0005-0000-0000-0000532D0000}"/>
    <cellStyle name="표준 5 2 2 2 6 4 2 7" xfId="43432" xr:uid="{00000000-0005-0000-0000-0000542D0000}"/>
    <cellStyle name="표준 5 2 2 2 6 4 3" xfId="8370" xr:uid="{00000000-0005-0000-0000-0000552D0000}"/>
    <cellStyle name="표준 5 2 2 2 6 4 3 2" xfId="29076" xr:uid="{00000000-0005-0000-0000-0000562D0000}"/>
    <cellStyle name="표준 5 2 2 2 6 4 3 3" xfId="37287" xr:uid="{00000000-0005-0000-0000-0000572D0000}"/>
    <cellStyle name="표준 5 2 2 2 6 4 3 4" xfId="45480" xr:uid="{00000000-0005-0000-0000-0000582D0000}"/>
    <cellStyle name="표준 5 2 2 2 6 4 4" xfId="12482" xr:uid="{00000000-0005-0000-0000-0000592D0000}"/>
    <cellStyle name="표준 5 2 2 2 6 4 5" xfId="16722" xr:uid="{00000000-0005-0000-0000-00005A2D0000}"/>
    <cellStyle name="표준 5 2 2 2 6 4 6" xfId="20884" xr:uid="{00000000-0005-0000-0000-00005B2D0000}"/>
    <cellStyle name="표준 5 2 2 2 6 4 7" xfId="24980" xr:uid="{00000000-0005-0000-0000-00005C2D0000}"/>
    <cellStyle name="표준 5 2 2 2 6 4 8" xfId="33191" xr:uid="{00000000-0005-0000-0000-00005D2D0000}"/>
    <cellStyle name="표준 5 2 2 2 6 4 9" xfId="41384" xr:uid="{00000000-0005-0000-0000-00005E2D0000}"/>
    <cellStyle name="표준 5 2 2 2 6 5" xfId="2027" xr:uid="{00000000-0005-0000-0000-00005F2D0000}"/>
    <cellStyle name="표준 5 2 2 2 6 5 2" xfId="10930" xr:uid="{00000000-0005-0000-0000-0000602D0000}"/>
    <cellStyle name="표준 5 2 2 2 6 5 2 2" xfId="15042" xr:uid="{00000000-0005-0000-0000-0000612D0000}"/>
    <cellStyle name="표준 5 2 2 2 6 5 2 2 2" xfId="31636" xr:uid="{00000000-0005-0000-0000-0000622D0000}"/>
    <cellStyle name="표준 5 2 2 2 6 5 2 2 3" xfId="39847" xr:uid="{00000000-0005-0000-0000-0000632D0000}"/>
    <cellStyle name="표준 5 2 2 2 6 5 2 2 4" xfId="48040" xr:uid="{00000000-0005-0000-0000-0000642D0000}"/>
    <cellStyle name="표준 5 2 2 2 6 5 2 3" xfId="19282" xr:uid="{00000000-0005-0000-0000-0000652D0000}"/>
    <cellStyle name="표준 5 2 2 2 6 5 2 4" xfId="23444" xr:uid="{00000000-0005-0000-0000-0000662D0000}"/>
    <cellStyle name="표준 5 2 2 2 6 5 2 5" xfId="27540" xr:uid="{00000000-0005-0000-0000-0000672D0000}"/>
    <cellStyle name="표준 5 2 2 2 6 5 2 6" xfId="35751" xr:uid="{00000000-0005-0000-0000-0000682D0000}"/>
    <cellStyle name="표준 5 2 2 2 6 5 2 7" xfId="43944" xr:uid="{00000000-0005-0000-0000-0000692D0000}"/>
    <cellStyle name="표준 5 2 2 2 6 5 3" xfId="8882" xr:uid="{00000000-0005-0000-0000-00006A2D0000}"/>
    <cellStyle name="표준 5 2 2 2 6 5 3 2" xfId="29588" xr:uid="{00000000-0005-0000-0000-00006B2D0000}"/>
    <cellStyle name="표준 5 2 2 2 6 5 3 3" xfId="37799" xr:uid="{00000000-0005-0000-0000-00006C2D0000}"/>
    <cellStyle name="표준 5 2 2 2 6 5 3 4" xfId="45992" xr:uid="{00000000-0005-0000-0000-00006D2D0000}"/>
    <cellStyle name="표준 5 2 2 2 6 5 4" xfId="12994" xr:uid="{00000000-0005-0000-0000-00006E2D0000}"/>
    <cellStyle name="표준 5 2 2 2 6 5 5" xfId="17234" xr:uid="{00000000-0005-0000-0000-00006F2D0000}"/>
    <cellStyle name="표준 5 2 2 2 6 5 6" xfId="21396" xr:uid="{00000000-0005-0000-0000-0000702D0000}"/>
    <cellStyle name="표준 5 2 2 2 6 5 7" xfId="25492" xr:uid="{00000000-0005-0000-0000-0000712D0000}"/>
    <cellStyle name="표준 5 2 2 2 6 5 8" xfId="33703" xr:uid="{00000000-0005-0000-0000-0000722D0000}"/>
    <cellStyle name="표준 5 2 2 2 6 5 9" xfId="41896" xr:uid="{00000000-0005-0000-0000-0000732D0000}"/>
    <cellStyle name="표준 5 2 2 2 6 6" xfId="9394" xr:uid="{00000000-0005-0000-0000-0000742D0000}"/>
    <cellStyle name="표준 5 2 2 2 6 6 2" xfId="13506" xr:uid="{00000000-0005-0000-0000-0000752D0000}"/>
    <cellStyle name="표준 5 2 2 2 6 6 2 2" xfId="30100" xr:uid="{00000000-0005-0000-0000-0000762D0000}"/>
    <cellStyle name="표준 5 2 2 2 6 6 2 3" xfId="38311" xr:uid="{00000000-0005-0000-0000-0000772D0000}"/>
    <cellStyle name="표준 5 2 2 2 6 6 2 4" xfId="46504" xr:uid="{00000000-0005-0000-0000-0000782D0000}"/>
    <cellStyle name="표준 5 2 2 2 6 6 3" xfId="17746" xr:uid="{00000000-0005-0000-0000-0000792D0000}"/>
    <cellStyle name="표준 5 2 2 2 6 6 4" xfId="21908" xr:uid="{00000000-0005-0000-0000-00007A2D0000}"/>
    <cellStyle name="표준 5 2 2 2 6 6 5" xfId="26004" xr:uid="{00000000-0005-0000-0000-00007B2D0000}"/>
    <cellStyle name="표준 5 2 2 2 6 6 6" xfId="34215" xr:uid="{00000000-0005-0000-0000-00007C2D0000}"/>
    <cellStyle name="표준 5 2 2 2 6 6 7" xfId="42408" xr:uid="{00000000-0005-0000-0000-00007D2D0000}"/>
    <cellStyle name="표준 5 2 2 2 6 7" xfId="7346" xr:uid="{00000000-0005-0000-0000-00007E2D0000}"/>
    <cellStyle name="표준 5 2 2 2 6 7 2" xfId="28052" xr:uid="{00000000-0005-0000-0000-00007F2D0000}"/>
    <cellStyle name="표준 5 2 2 2 6 7 3" xfId="36263" xr:uid="{00000000-0005-0000-0000-0000802D0000}"/>
    <cellStyle name="표준 5 2 2 2 6 7 4" xfId="44456" xr:uid="{00000000-0005-0000-0000-0000812D0000}"/>
    <cellStyle name="표준 5 2 2 2 6 8" xfId="11458" xr:uid="{00000000-0005-0000-0000-0000822D0000}"/>
    <cellStyle name="표준 5 2 2 2 6 9" xfId="15698" xr:uid="{00000000-0005-0000-0000-0000832D0000}"/>
    <cellStyle name="표준 5 2 2 2 7" xfId="619" xr:uid="{00000000-0005-0000-0000-0000842D0000}"/>
    <cellStyle name="표준 5 2 2 2 7 10" xfId="24084" xr:uid="{00000000-0005-0000-0000-0000852D0000}"/>
    <cellStyle name="표준 5 2 2 2 7 11" xfId="32295" xr:uid="{00000000-0005-0000-0000-0000862D0000}"/>
    <cellStyle name="표준 5 2 2 2 7 12" xfId="40488" xr:uid="{00000000-0005-0000-0000-0000872D0000}"/>
    <cellStyle name="표준 5 2 2 2 7 2" xfId="1131" xr:uid="{00000000-0005-0000-0000-0000882D0000}"/>
    <cellStyle name="표준 5 2 2 2 7 2 2" xfId="10034" xr:uid="{00000000-0005-0000-0000-0000892D0000}"/>
    <cellStyle name="표준 5 2 2 2 7 2 2 2" xfId="14146" xr:uid="{00000000-0005-0000-0000-00008A2D0000}"/>
    <cellStyle name="표준 5 2 2 2 7 2 2 2 2" xfId="30740" xr:uid="{00000000-0005-0000-0000-00008B2D0000}"/>
    <cellStyle name="표준 5 2 2 2 7 2 2 2 3" xfId="38951" xr:uid="{00000000-0005-0000-0000-00008C2D0000}"/>
    <cellStyle name="표준 5 2 2 2 7 2 2 2 4" xfId="47144" xr:uid="{00000000-0005-0000-0000-00008D2D0000}"/>
    <cellStyle name="표준 5 2 2 2 7 2 2 3" xfId="18386" xr:uid="{00000000-0005-0000-0000-00008E2D0000}"/>
    <cellStyle name="표준 5 2 2 2 7 2 2 4" xfId="22548" xr:uid="{00000000-0005-0000-0000-00008F2D0000}"/>
    <cellStyle name="표준 5 2 2 2 7 2 2 5" xfId="26644" xr:uid="{00000000-0005-0000-0000-0000902D0000}"/>
    <cellStyle name="표준 5 2 2 2 7 2 2 6" xfId="34855" xr:uid="{00000000-0005-0000-0000-0000912D0000}"/>
    <cellStyle name="표준 5 2 2 2 7 2 2 7" xfId="43048" xr:uid="{00000000-0005-0000-0000-0000922D0000}"/>
    <cellStyle name="표준 5 2 2 2 7 2 3" xfId="7986" xr:uid="{00000000-0005-0000-0000-0000932D0000}"/>
    <cellStyle name="표준 5 2 2 2 7 2 3 2" xfId="28692" xr:uid="{00000000-0005-0000-0000-0000942D0000}"/>
    <cellStyle name="표준 5 2 2 2 7 2 3 3" xfId="36903" xr:uid="{00000000-0005-0000-0000-0000952D0000}"/>
    <cellStyle name="표준 5 2 2 2 7 2 3 4" xfId="45096" xr:uid="{00000000-0005-0000-0000-0000962D0000}"/>
    <cellStyle name="표준 5 2 2 2 7 2 4" xfId="12098" xr:uid="{00000000-0005-0000-0000-0000972D0000}"/>
    <cellStyle name="표준 5 2 2 2 7 2 5" xfId="16338" xr:uid="{00000000-0005-0000-0000-0000982D0000}"/>
    <cellStyle name="표준 5 2 2 2 7 2 6" xfId="20500" xr:uid="{00000000-0005-0000-0000-0000992D0000}"/>
    <cellStyle name="표준 5 2 2 2 7 2 7" xfId="24596" xr:uid="{00000000-0005-0000-0000-00009A2D0000}"/>
    <cellStyle name="표준 5 2 2 2 7 2 8" xfId="32807" xr:uid="{00000000-0005-0000-0000-00009B2D0000}"/>
    <cellStyle name="표준 5 2 2 2 7 2 9" xfId="41000" xr:uid="{00000000-0005-0000-0000-00009C2D0000}"/>
    <cellStyle name="표준 5 2 2 2 7 3" xfId="1643" xr:uid="{00000000-0005-0000-0000-00009D2D0000}"/>
    <cellStyle name="표준 5 2 2 2 7 3 2" xfId="10546" xr:uid="{00000000-0005-0000-0000-00009E2D0000}"/>
    <cellStyle name="표준 5 2 2 2 7 3 2 2" xfId="14658" xr:uid="{00000000-0005-0000-0000-00009F2D0000}"/>
    <cellStyle name="표준 5 2 2 2 7 3 2 2 2" xfId="31252" xr:uid="{00000000-0005-0000-0000-0000A02D0000}"/>
    <cellStyle name="표준 5 2 2 2 7 3 2 2 3" xfId="39463" xr:uid="{00000000-0005-0000-0000-0000A12D0000}"/>
    <cellStyle name="표준 5 2 2 2 7 3 2 2 4" xfId="47656" xr:uid="{00000000-0005-0000-0000-0000A22D0000}"/>
    <cellStyle name="표준 5 2 2 2 7 3 2 3" xfId="18898" xr:uid="{00000000-0005-0000-0000-0000A32D0000}"/>
    <cellStyle name="표준 5 2 2 2 7 3 2 4" xfId="23060" xr:uid="{00000000-0005-0000-0000-0000A42D0000}"/>
    <cellStyle name="표준 5 2 2 2 7 3 2 5" xfId="27156" xr:uid="{00000000-0005-0000-0000-0000A52D0000}"/>
    <cellStyle name="표준 5 2 2 2 7 3 2 6" xfId="35367" xr:uid="{00000000-0005-0000-0000-0000A62D0000}"/>
    <cellStyle name="표준 5 2 2 2 7 3 2 7" xfId="43560" xr:uid="{00000000-0005-0000-0000-0000A72D0000}"/>
    <cellStyle name="표준 5 2 2 2 7 3 3" xfId="8498" xr:uid="{00000000-0005-0000-0000-0000A82D0000}"/>
    <cellStyle name="표준 5 2 2 2 7 3 3 2" xfId="29204" xr:uid="{00000000-0005-0000-0000-0000A92D0000}"/>
    <cellStyle name="표준 5 2 2 2 7 3 3 3" xfId="37415" xr:uid="{00000000-0005-0000-0000-0000AA2D0000}"/>
    <cellStyle name="표준 5 2 2 2 7 3 3 4" xfId="45608" xr:uid="{00000000-0005-0000-0000-0000AB2D0000}"/>
    <cellStyle name="표준 5 2 2 2 7 3 4" xfId="12610" xr:uid="{00000000-0005-0000-0000-0000AC2D0000}"/>
    <cellStyle name="표준 5 2 2 2 7 3 5" xfId="16850" xr:uid="{00000000-0005-0000-0000-0000AD2D0000}"/>
    <cellStyle name="표준 5 2 2 2 7 3 6" xfId="21012" xr:uid="{00000000-0005-0000-0000-0000AE2D0000}"/>
    <cellStyle name="표준 5 2 2 2 7 3 7" xfId="25108" xr:uid="{00000000-0005-0000-0000-0000AF2D0000}"/>
    <cellStyle name="표준 5 2 2 2 7 3 8" xfId="33319" xr:uid="{00000000-0005-0000-0000-0000B02D0000}"/>
    <cellStyle name="표준 5 2 2 2 7 3 9" xfId="41512" xr:uid="{00000000-0005-0000-0000-0000B12D0000}"/>
    <cellStyle name="표준 5 2 2 2 7 4" xfId="2155" xr:uid="{00000000-0005-0000-0000-0000B22D0000}"/>
    <cellStyle name="표준 5 2 2 2 7 4 2" xfId="11058" xr:uid="{00000000-0005-0000-0000-0000B32D0000}"/>
    <cellStyle name="표준 5 2 2 2 7 4 2 2" xfId="15170" xr:uid="{00000000-0005-0000-0000-0000B42D0000}"/>
    <cellStyle name="표준 5 2 2 2 7 4 2 2 2" xfId="31764" xr:uid="{00000000-0005-0000-0000-0000B52D0000}"/>
    <cellStyle name="표준 5 2 2 2 7 4 2 2 3" xfId="39975" xr:uid="{00000000-0005-0000-0000-0000B62D0000}"/>
    <cellStyle name="표준 5 2 2 2 7 4 2 2 4" xfId="48168" xr:uid="{00000000-0005-0000-0000-0000B72D0000}"/>
    <cellStyle name="표준 5 2 2 2 7 4 2 3" xfId="19410" xr:uid="{00000000-0005-0000-0000-0000B82D0000}"/>
    <cellStyle name="표준 5 2 2 2 7 4 2 4" xfId="23572" xr:uid="{00000000-0005-0000-0000-0000B92D0000}"/>
    <cellStyle name="표준 5 2 2 2 7 4 2 5" xfId="27668" xr:uid="{00000000-0005-0000-0000-0000BA2D0000}"/>
    <cellStyle name="표준 5 2 2 2 7 4 2 6" xfId="35879" xr:uid="{00000000-0005-0000-0000-0000BB2D0000}"/>
    <cellStyle name="표준 5 2 2 2 7 4 2 7" xfId="44072" xr:uid="{00000000-0005-0000-0000-0000BC2D0000}"/>
    <cellStyle name="표준 5 2 2 2 7 4 3" xfId="9010" xr:uid="{00000000-0005-0000-0000-0000BD2D0000}"/>
    <cellStyle name="표준 5 2 2 2 7 4 3 2" xfId="29716" xr:uid="{00000000-0005-0000-0000-0000BE2D0000}"/>
    <cellStyle name="표준 5 2 2 2 7 4 3 3" xfId="37927" xr:uid="{00000000-0005-0000-0000-0000BF2D0000}"/>
    <cellStyle name="표준 5 2 2 2 7 4 3 4" xfId="46120" xr:uid="{00000000-0005-0000-0000-0000C02D0000}"/>
    <cellStyle name="표준 5 2 2 2 7 4 4" xfId="13122" xr:uid="{00000000-0005-0000-0000-0000C12D0000}"/>
    <cellStyle name="표준 5 2 2 2 7 4 5" xfId="17362" xr:uid="{00000000-0005-0000-0000-0000C22D0000}"/>
    <cellStyle name="표준 5 2 2 2 7 4 6" xfId="21524" xr:uid="{00000000-0005-0000-0000-0000C32D0000}"/>
    <cellStyle name="표준 5 2 2 2 7 4 7" xfId="25620" xr:uid="{00000000-0005-0000-0000-0000C42D0000}"/>
    <cellStyle name="표준 5 2 2 2 7 4 8" xfId="33831" xr:uid="{00000000-0005-0000-0000-0000C52D0000}"/>
    <cellStyle name="표준 5 2 2 2 7 4 9" xfId="42024" xr:uid="{00000000-0005-0000-0000-0000C62D0000}"/>
    <cellStyle name="표준 5 2 2 2 7 5" xfId="9522" xr:uid="{00000000-0005-0000-0000-0000C72D0000}"/>
    <cellStyle name="표준 5 2 2 2 7 5 2" xfId="13634" xr:uid="{00000000-0005-0000-0000-0000C82D0000}"/>
    <cellStyle name="표준 5 2 2 2 7 5 2 2" xfId="30228" xr:uid="{00000000-0005-0000-0000-0000C92D0000}"/>
    <cellStyle name="표준 5 2 2 2 7 5 2 3" xfId="38439" xr:uid="{00000000-0005-0000-0000-0000CA2D0000}"/>
    <cellStyle name="표준 5 2 2 2 7 5 2 4" xfId="46632" xr:uid="{00000000-0005-0000-0000-0000CB2D0000}"/>
    <cellStyle name="표준 5 2 2 2 7 5 3" xfId="17874" xr:uid="{00000000-0005-0000-0000-0000CC2D0000}"/>
    <cellStyle name="표준 5 2 2 2 7 5 4" xfId="22036" xr:uid="{00000000-0005-0000-0000-0000CD2D0000}"/>
    <cellStyle name="표준 5 2 2 2 7 5 5" xfId="26132" xr:uid="{00000000-0005-0000-0000-0000CE2D0000}"/>
    <cellStyle name="표준 5 2 2 2 7 5 6" xfId="34343" xr:uid="{00000000-0005-0000-0000-0000CF2D0000}"/>
    <cellStyle name="표준 5 2 2 2 7 5 7" xfId="42536" xr:uid="{00000000-0005-0000-0000-0000D02D0000}"/>
    <cellStyle name="표준 5 2 2 2 7 6" xfId="7474" xr:uid="{00000000-0005-0000-0000-0000D12D0000}"/>
    <cellStyle name="표준 5 2 2 2 7 6 2" xfId="28180" xr:uid="{00000000-0005-0000-0000-0000D22D0000}"/>
    <cellStyle name="표준 5 2 2 2 7 6 3" xfId="36391" xr:uid="{00000000-0005-0000-0000-0000D32D0000}"/>
    <cellStyle name="표준 5 2 2 2 7 6 4" xfId="44584" xr:uid="{00000000-0005-0000-0000-0000D42D0000}"/>
    <cellStyle name="표준 5 2 2 2 7 7" xfId="11586" xr:uid="{00000000-0005-0000-0000-0000D52D0000}"/>
    <cellStyle name="표준 5 2 2 2 7 8" xfId="15826" xr:uid="{00000000-0005-0000-0000-0000D62D0000}"/>
    <cellStyle name="표준 5 2 2 2 7 9" xfId="19988" xr:uid="{00000000-0005-0000-0000-0000D72D0000}"/>
    <cellStyle name="표준 5 2 2 2 8" xfId="875" xr:uid="{00000000-0005-0000-0000-0000D82D0000}"/>
    <cellStyle name="표준 5 2 2 2 8 2" xfId="9778" xr:uid="{00000000-0005-0000-0000-0000D92D0000}"/>
    <cellStyle name="표준 5 2 2 2 8 2 2" xfId="13890" xr:uid="{00000000-0005-0000-0000-0000DA2D0000}"/>
    <cellStyle name="표준 5 2 2 2 8 2 2 2" xfId="30484" xr:uid="{00000000-0005-0000-0000-0000DB2D0000}"/>
    <cellStyle name="표준 5 2 2 2 8 2 2 3" xfId="38695" xr:uid="{00000000-0005-0000-0000-0000DC2D0000}"/>
    <cellStyle name="표준 5 2 2 2 8 2 2 4" xfId="46888" xr:uid="{00000000-0005-0000-0000-0000DD2D0000}"/>
    <cellStyle name="표준 5 2 2 2 8 2 3" xfId="18130" xr:uid="{00000000-0005-0000-0000-0000DE2D0000}"/>
    <cellStyle name="표준 5 2 2 2 8 2 4" xfId="22292" xr:uid="{00000000-0005-0000-0000-0000DF2D0000}"/>
    <cellStyle name="표준 5 2 2 2 8 2 5" xfId="26388" xr:uid="{00000000-0005-0000-0000-0000E02D0000}"/>
    <cellStyle name="표준 5 2 2 2 8 2 6" xfId="34599" xr:uid="{00000000-0005-0000-0000-0000E12D0000}"/>
    <cellStyle name="표준 5 2 2 2 8 2 7" xfId="42792" xr:uid="{00000000-0005-0000-0000-0000E22D0000}"/>
    <cellStyle name="표준 5 2 2 2 8 3" xfId="7730" xr:uid="{00000000-0005-0000-0000-0000E32D0000}"/>
    <cellStyle name="표준 5 2 2 2 8 3 2" xfId="28436" xr:uid="{00000000-0005-0000-0000-0000E42D0000}"/>
    <cellStyle name="표준 5 2 2 2 8 3 3" xfId="36647" xr:uid="{00000000-0005-0000-0000-0000E52D0000}"/>
    <cellStyle name="표준 5 2 2 2 8 3 4" xfId="44840" xr:uid="{00000000-0005-0000-0000-0000E62D0000}"/>
    <cellStyle name="표준 5 2 2 2 8 4" xfId="11842" xr:uid="{00000000-0005-0000-0000-0000E72D0000}"/>
    <cellStyle name="표준 5 2 2 2 8 5" xfId="16082" xr:uid="{00000000-0005-0000-0000-0000E82D0000}"/>
    <cellStyle name="표준 5 2 2 2 8 6" xfId="20244" xr:uid="{00000000-0005-0000-0000-0000E92D0000}"/>
    <cellStyle name="표준 5 2 2 2 8 7" xfId="24340" xr:uid="{00000000-0005-0000-0000-0000EA2D0000}"/>
    <cellStyle name="표준 5 2 2 2 8 8" xfId="32551" xr:uid="{00000000-0005-0000-0000-0000EB2D0000}"/>
    <cellStyle name="표준 5 2 2 2 8 9" xfId="40744" xr:uid="{00000000-0005-0000-0000-0000EC2D0000}"/>
    <cellStyle name="표준 5 2 2 2 9" xfId="1387" xr:uid="{00000000-0005-0000-0000-0000ED2D0000}"/>
    <cellStyle name="표준 5 2 2 2 9 2" xfId="10290" xr:uid="{00000000-0005-0000-0000-0000EE2D0000}"/>
    <cellStyle name="표준 5 2 2 2 9 2 2" xfId="14402" xr:uid="{00000000-0005-0000-0000-0000EF2D0000}"/>
    <cellStyle name="표준 5 2 2 2 9 2 2 2" xfId="30996" xr:uid="{00000000-0005-0000-0000-0000F02D0000}"/>
    <cellStyle name="표준 5 2 2 2 9 2 2 3" xfId="39207" xr:uid="{00000000-0005-0000-0000-0000F12D0000}"/>
    <cellStyle name="표준 5 2 2 2 9 2 2 4" xfId="47400" xr:uid="{00000000-0005-0000-0000-0000F22D0000}"/>
    <cellStyle name="표준 5 2 2 2 9 2 3" xfId="18642" xr:uid="{00000000-0005-0000-0000-0000F32D0000}"/>
    <cellStyle name="표준 5 2 2 2 9 2 4" xfId="22804" xr:uid="{00000000-0005-0000-0000-0000F42D0000}"/>
    <cellStyle name="표준 5 2 2 2 9 2 5" xfId="26900" xr:uid="{00000000-0005-0000-0000-0000F52D0000}"/>
    <cellStyle name="표준 5 2 2 2 9 2 6" xfId="35111" xr:uid="{00000000-0005-0000-0000-0000F62D0000}"/>
    <cellStyle name="표준 5 2 2 2 9 2 7" xfId="43304" xr:uid="{00000000-0005-0000-0000-0000F72D0000}"/>
    <cellStyle name="표준 5 2 2 2 9 3" xfId="8242" xr:uid="{00000000-0005-0000-0000-0000F82D0000}"/>
    <cellStyle name="표준 5 2 2 2 9 3 2" xfId="28948" xr:uid="{00000000-0005-0000-0000-0000F92D0000}"/>
    <cellStyle name="표준 5 2 2 2 9 3 3" xfId="37159" xr:uid="{00000000-0005-0000-0000-0000FA2D0000}"/>
    <cellStyle name="표준 5 2 2 2 9 3 4" xfId="45352" xr:uid="{00000000-0005-0000-0000-0000FB2D0000}"/>
    <cellStyle name="표준 5 2 2 2 9 4" xfId="12354" xr:uid="{00000000-0005-0000-0000-0000FC2D0000}"/>
    <cellStyle name="표준 5 2 2 2 9 5" xfId="16594" xr:uid="{00000000-0005-0000-0000-0000FD2D0000}"/>
    <cellStyle name="표준 5 2 2 2 9 6" xfId="20756" xr:uid="{00000000-0005-0000-0000-0000FE2D0000}"/>
    <cellStyle name="표준 5 2 2 2 9 7" xfId="24852" xr:uid="{00000000-0005-0000-0000-0000FF2D0000}"/>
    <cellStyle name="표준 5 2 2 2 9 8" xfId="33063" xr:uid="{00000000-0005-0000-0000-0000002E0000}"/>
    <cellStyle name="표준 5 2 2 2 9 9" xfId="41256" xr:uid="{00000000-0005-0000-0000-0000012E0000}"/>
    <cellStyle name="표준 5 2 2 20" xfId="11326" xr:uid="{00000000-0005-0000-0000-0000022E0000}"/>
    <cellStyle name="표준 5 2 2 21" xfId="15422" xr:uid="{00000000-0005-0000-0000-0000032E0000}"/>
    <cellStyle name="표준 5 2 2 22" xfId="15438" xr:uid="{00000000-0005-0000-0000-0000042E0000}"/>
    <cellStyle name="표준 5 2 2 23" xfId="15454" xr:uid="{00000000-0005-0000-0000-0000052E0000}"/>
    <cellStyle name="표준 5 2 2 24" xfId="15550" xr:uid="{00000000-0005-0000-0000-0000062E0000}"/>
    <cellStyle name="표준 5 2 2 25" xfId="15566" xr:uid="{00000000-0005-0000-0000-0000072E0000}"/>
    <cellStyle name="표준 5 2 2 26" xfId="19662" xr:uid="{00000000-0005-0000-0000-0000082E0000}"/>
    <cellStyle name="표준 5 2 2 27" xfId="19678" xr:uid="{00000000-0005-0000-0000-0000092E0000}"/>
    <cellStyle name="표준 5 2 2 28" xfId="19694" xr:uid="{00000000-0005-0000-0000-00000A2E0000}"/>
    <cellStyle name="표준 5 2 2 29" xfId="19710" xr:uid="{00000000-0005-0000-0000-00000B2E0000}"/>
    <cellStyle name="표준 5 2 2 3" xfId="74" xr:uid="{00000000-0005-0000-0000-00000C2E0000}"/>
    <cellStyle name="표준 5 2 2 3 10" xfId="4400" xr:uid="{00000000-0005-0000-0000-00000D2E0000}"/>
    <cellStyle name="표준 5 2 2 3 10 2" xfId="9270" xr:uid="{00000000-0005-0000-0000-00000E2E0000}"/>
    <cellStyle name="표준 5 2 2 3 10 2 2" xfId="29976" xr:uid="{00000000-0005-0000-0000-00000F2E0000}"/>
    <cellStyle name="표준 5 2 2 3 10 2 3" xfId="38187" xr:uid="{00000000-0005-0000-0000-0000102E0000}"/>
    <cellStyle name="표준 5 2 2 3 10 2 4" xfId="46380" xr:uid="{00000000-0005-0000-0000-0000112E0000}"/>
    <cellStyle name="표준 5 2 2 3 10 3" xfId="13382" xr:uid="{00000000-0005-0000-0000-0000122E0000}"/>
    <cellStyle name="표준 5 2 2 3 10 4" xfId="17622" xr:uid="{00000000-0005-0000-0000-0000132E0000}"/>
    <cellStyle name="표준 5 2 2 3 10 5" xfId="21784" xr:uid="{00000000-0005-0000-0000-0000142E0000}"/>
    <cellStyle name="표준 5 2 2 3 10 6" xfId="25880" xr:uid="{00000000-0005-0000-0000-0000152E0000}"/>
    <cellStyle name="표준 5 2 2 3 10 7" xfId="34091" xr:uid="{00000000-0005-0000-0000-0000162E0000}"/>
    <cellStyle name="표준 5 2 2 3 10 8" xfId="42284" xr:uid="{00000000-0005-0000-0000-0000172E0000}"/>
    <cellStyle name="표준 5 2 2 3 11" xfId="6957" xr:uid="{00000000-0005-0000-0000-0000182E0000}"/>
    <cellStyle name="표준 5 2 2 3 11 2" xfId="27928" xr:uid="{00000000-0005-0000-0000-0000192E0000}"/>
    <cellStyle name="표준 5 2 2 3 11 3" xfId="36139" xr:uid="{00000000-0005-0000-0000-00001A2E0000}"/>
    <cellStyle name="표준 5 2 2 3 11 4" xfId="44332" xr:uid="{00000000-0005-0000-0000-00001B2E0000}"/>
    <cellStyle name="표준 5 2 2 3 12" xfId="7075" xr:uid="{00000000-0005-0000-0000-00001C2E0000}"/>
    <cellStyle name="표준 5 2 2 3 13" xfId="7091" xr:uid="{00000000-0005-0000-0000-00001D2E0000}"/>
    <cellStyle name="표준 5 2 2 3 14" xfId="7107" xr:uid="{00000000-0005-0000-0000-00001E2E0000}"/>
    <cellStyle name="표준 5 2 2 3 15" xfId="7199" xr:uid="{00000000-0005-0000-0000-00001F2E0000}"/>
    <cellStyle name="표준 5 2 2 3 16" xfId="7222" xr:uid="{00000000-0005-0000-0000-0000202E0000}"/>
    <cellStyle name="표준 5 2 2 3 17" xfId="11318" xr:uid="{00000000-0005-0000-0000-0000212E0000}"/>
    <cellStyle name="표준 5 2 2 3 18" xfId="11334" xr:uid="{00000000-0005-0000-0000-0000222E0000}"/>
    <cellStyle name="표준 5 2 2 3 19" xfId="15430" xr:uid="{00000000-0005-0000-0000-0000232E0000}"/>
    <cellStyle name="표준 5 2 2 3 2" xfId="168" xr:uid="{00000000-0005-0000-0000-0000242E0000}"/>
    <cellStyle name="표준 5 2 2 3 2 10" xfId="7183" xr:uid="{00000000-0005-0000-0000-0000252E0000}"/>
    <cellStyle name="표준 5 2 2 3 2 10 2" xfId="27944" xr:uid="{00000000-0005-0000-0000-0000262E0000}"/>
    <cellStyle name="표준 5 2 2 3 2 10 3" xfId="36155" xr:uid="{00000000-0005-0000-0000-0000272E0000}"/>
    <cellStyle name="표준 5 2 2 3 2 10 4" xfId="44348" xr:uid="{00000000-0005-0000-0000-0000282E0000}"/>
    <cellStyle name="표준 5 2 2 3 2 11" xfId="7238" xr:uid="{00000000-0005-0000-0000-0000292E0000}"/>
    <cellStyle name="표준 5 2 2 3 2 12" xfId="11350" xr:uid="{00000000-0005-0000-0000-00002A2E0000}"/>
    <cellStyle name="표준 5 2 2 3 2 13" xfId="15478" xr:uid="{00000000-0005-0000-0000-00002B2E0000}"/>
    <cellStyle name="표준 5 2 2 3 2 14" xfId="15590" xr:uid="{00000000-0005-0000-0000-00002C2E0000}"/>
    <cellStyle name="표준 5 2 2 3 2 15" xfId="19752" xr:uid="{00000000-0005-0000-0000-00002D2E0000}"/>
    <cellStyle name="표준 5 2 2 3 2 16" xfId="23848" xr:uid="{00000000-0005-0000-0000-00002E2E0000}"/>
    <cellStyle name="표준 5 2 2 3 2 17" xfId="32059" xr:uid="{00000000-0005-0000-0000-00002F2E0000}"/>
    <cellStyle name="표준 5 2 2 3 2 18" xfId="40252" xr:uid="{00000000-0005-0000-0000-0000302E0000}"/>
    <cellStyle name="표준 5 2 2 3 2 19" xfId="49641" xr:uid="{00000000-0005-0000-0000-0000312E0000}"/>
    <cellStyle name="표준 5 2 2 3 2 2" xfId="415" xr:uid="{00000000-0005-0000-0000-0000322E0000}"/>
    <cellStyle name="표준 5 2 2 3 2 2 10" xfId="7270" xr:uid="{00000000-0005-0000-0000-0000332E0000}"/>
    <cellStyle name="표준 5 2 2 3 2 2 11" xfId="11382" xr:uid="{00000000-0005-0000-0000-0000342E0000}"/>
    <cellStyle name="표준 5 2 2 3 2 2 12" xfId="15526" xr:uid="{00000000-0005-0000-0000-0000352E0000}"/>
    <cellStyle name="표준 5 2 2 3 2 2 13" xfId="15622" xr:uid="{00000000-0005-0000-0000-0000362E0000}"/>
    <cellStyle name="표준 5 2 2 3 2 2 14" xfId="19784" xr:uid="{00000000-0005-0000-0000-0000372E0000}"/>
    <cellStyle name="표준 5 2 2 3 2 2 15" xfId="23880" xr:uid="{00000000-0005-0000-0000-0000382E0000}"/>
    <cellStyle name="표준 5 2 2 3 2 2 16" xfId="32091" xr:uid="{00000000-0005-0000-0000-0000392E0000}"/>
    <cellStyle name="표준 5 2 2 3 2 2 17" xfId="40284" xr:uid="{00000000-0005-0000-0000-00003A2E0000}"/>
    <cellStyle name="표준 5 2 2 3 2 2 18" xfId="49707" xr:uid="{00000000-0005-0000-0000-00003B2E0000}"/>
    <cellStyle name="표준 5 2 2 3 2 2 2" xfId="479" xr:uid="{00000000-0005-0000-0000-00003C2E0000}"/>
    <cellStyle name="표준 5 2 2 3 2 2 2 10" xfId="15686" xr:uid="{00000000-0005-0000-0000-00003D2E0000}"/>
    <cellStyle name="표준 5 2 2 3 2 2 2 11" xfId="19848" xr:uid="{00000000-0005-0000-0000-00003E2E0000}"/>
    <cellStyle name="표준 5 2 2 3 2 2 2 12" xfId="23944" xr:uid="{00000000-0005-0000-0000-00003F2E0000}"/>
    <cellStyle name="표준 5 2 2 3 2 2 2 13" xfId="32155" xr:uid="{00000000-0005-0000-0000-0000402E0000}"/>
    <cellStyle name="표준 5 2 2 3 2 2 2 14" xfId="40348" xr:uid="{00000000-0005-0000-0000-0000412E0000}"/>
    <cellStyle name="표준 5 2 2 3 2 2 2 2" xfId="607" xr:uid="{00000000-0005-0000-0000-0000422E0000}"/>
    <cellStyle name="표준 5 2 2 3 2 2 2 2 10" xfId="19976" xr:uid="{00000000-0005-0000-0000-0000432E0000}"/>
    <cellStyle name="표준 5 2 2 3 2 2 2 2 11" xfId="24072" xr:uid="{00000000-0005-0000-0000-0000442E0000}"/>
    <cellStyle name="표준 5 2 2 3 2 2 2 2 12" xfId="32283" xr:uid="{00000000-0005-0000-0000-0000452E0000}"/>
    <cellStyle name="표준 5 2 2 3 2 2 2 2 13" xfId="40476" xr:uid="{00000000-0005-0000-0000-0000462E0000}"/>
    <cellStyle name="표준 5 2 2 3 2 2 2 2 2" xfId="863" xr:uid="{00000000-0005-0000-0000-0000472E0000}"/>
    <cellStyle name="표준 5 2 2 3 2 2 2 2 2 10" xfId="24328" xr:uid="{00000000-0005-0000-0000-0000482E0000}"/>
    <cellStyle name="표준 5 2 2 3 2 2 2 2 2 11" xfId="32539" xr:uid="{00000000-0005-0000-0000-0000492E0000}"/>
    <cellStyle name="표준 5 2 2 3 2 2 2 2 2 12" xfId="40732" xr:uid="{00000000-0005-0000-0000-00004A2E0000}"/>
    <cellStyle name="표준 5 2 2 3 2 2 2 2 2 2" xfId="1375" xr:uid="{00000000-0005-0000-0000-00004B2E0000}"/>
    <cellStyle name="표준 5 2 2 3 2 2 2 2 2 2 2" xfId="10278" xr:uid="{00000000-0005-0000-0000-00004C2E0000}"/>
    <cellStyle name="표준 5 2 2 3 2 2 2 2 2 2 2 2" xfId="14390" xr:uid="{00000000-0005-0000-0000-00004D2E0000}"/>
    <cellStyle name="표준 5 2 2 3 2 2 2 2 2 2 2 2 2" xfId="30984" xr:uid="{00000000-0005-0000-0000-00004E2E0000}"/>
    <cellStyle name="표준 5 2 2 3 2 2 2 2 2 2 2 2 3" xfId="39195" xr:uid="{00000000-0005-0000-0000-00004F2E0000}"/>
    <cellStyle name="표준 5 2 2 3 2 2 2 2 2 2 2 2 4" xfId="47388" xr:uid="{00000000-0005-0000-0000-0000502E0000}"/>
    <cellStyle name="표준 5 2 2 3 2 2 2 2 2 2 2 3" xfId="18630" xr:uid="{00000000-0005-0000-0000-0000512E0000}"/>
    <cellStyle name="표준 5 2 2 3 2 2 2 2 2 2 2 4" xfId="22792" xr:uid="{00000000-0005-0000-0000-0000522E0000}"/>
    <cellStyle name="표준 5 2 2 3 2 2 2 2 2 2 2 5" xfId="26888" xr:uid="{00000000-0005-0000-0000-0000532E0000}"/>
    <cellStyle name="표준 5 2 2 3 2 2 2 2 2 2 2 6" xfId="35099" xr:uid="{00000000-0005-0000-0000-0000542E0000}"/>
    <cellStyle name="표준 5 2 2 3 2 2 2 2 2 2 2 7" xfId="43292" xr:uid="{00000000-0005-0000-0000-0000552E0000}"/>
    <cellStyle name="표준 5 2 2 3 2 2 2 2 2 2 3" xfId="8230" xr:uid="{00000000-0005-0000-0000-0000562E0000}"/>
    <cellStyle name="표준 5 2 2 3 2 2 2 2 2 2 3 2" xfId="28936" xr:uid="{00000000-0005-0000-0000-0000572E0000}"/>
    <cellStyle name="표준 5 2 2 3 2 2 2 2 2 2 3 3" xfId="37147" xr:uid="{00000000-0005-0000-0000-0000582E0000}"/>
    <cellStyle name="표준 5 2 2 3 2 2 2 2 2 2 3 4" xfId="45340" xr:uid="{00000000-0005-0000-0000-0000592E0000}"/>
    <cellStyle name="표준 5 2 2 3 2 2 2 2 2 2 4" xfId="12342" xr:uid="{00000000-0005-0000-0000-00005A2E0000}"/>
    <cellStyle name="표준 5 2 2 3 2 2 2 2 2 2 5" xfId="16582" xr:uid="{00000000-0005-0000-0000-00005B2E0000}"/>
    <cellStyle name="표준 5 2 2 3 2 2 2 2 2 2 6" xfId="20744" xr:uid="{00000000-0005-0000-0000-00005C2E0000}"/>
    <cellStyle name="표준 5 2 2 3 2 2 2 2 2 2 7" xfId="24840" xr:uid="{00000000-0005-0000-0000-00005D2E0000}"/>
    <cellStyle name="표준 5 2 2 3 2 2 2 2 2 2 8" xfId="33051" xr:uid="{00000000-0005-0000-0000-00005E2E0000}"/>
    <cellStyle name="표준 5 2 2 3 2 2 2 2 2 2 9" xfId="41244" xr:uid="{00000000-0005-0000-0000-00005F2E0000}"/>
    <cellStyle name="표준 5 2 2 3 2 2 2 2 2 3" xfId="1887" xr:uid="{00000000-0005-0000-0000-0000602E0000}"/>
    <cellStyle name="표준 5 2 2 3 2 2 2 2 2 3 2" xfId="10790" xr:uid="{00000000-0005-0000-0000-0000612E0000}"/>
    <cellStyle name="표준 5 2 2 3 2 2 2 2 2 3 2 2" xfId="14902" xr:uid="{00000000-0005-0000-0000-0000622E0000}"/>
    <cellStyle name="표준 5 2 2 3 2 2 2 2 2 3 2 2 2" xfId="31496" xr:uid="{00000000-0005-0000-0000-0000632E0000}"/>
    <cellStyle name="표준 5 2 2 3 2 2 2 2 2 3 2 2 3" xfId="39707" xr:uid="{00000000-0005-0000-0000-0000642E0000}"/>
    <cellStyle name="표준 5 2 2 3 2 2 2 2 2 3 2 2 4" xfId="47900" xr:uid="{00000000-0005-0000-0000-0000652E0000}"/>
    <cellStyle name="표준 5 2 2 3 2 2 2 2 2 3 2 3" xfId="19142" xr:uid="{00000000-0005-0000-0000-0000662E0000}"/>
    <cellStyle name="표준 5 2 2 3 2 2 2 2 2 3 2 4" xfId="23304" xr:uid="{00000000-0005-0000-0000-0000672E0000}"/>
    <cellStyle name="표준 5 2 2 3 2 2 2 2 2 3 2 5" xfId="27400" xr:uid="{00000000-0005-0000-0000-0000682E0000}"/>
    <cellStyle name="표준 5 2 2 3 2 2 2 2 2 3 2 6" xfId="35611" xr:uid="{00000000-0005-0000-0000-0000692E0000}"/>
    <cellStyle name="표준 5 2 2 3 2 2 2 2 2 3 2 7" xfId="43804" xr:uid="{00000000-0005-0000-0000-00006A2E0000}"/>
    <cellStyle name="표준 5 2 2 3 2 2 2 2 2 3 3" xfId="8742" xr:uid="{00000000-0005-0000-0000-00006B2E0000}"/>
    <cellStyle name="표준 5 2 2 3 2 2 2 2 2 3 3 2" xfId="29448" xr:uid="{00000000-0005-0000-0000-00006C2E0000}"/>
    <cellStyle name="표준 5 2 2 3 2 2 2 2 2 3 3 3" xfId="37659" xr:uid="{00000000-0005-0000-0000-00006D2E0000}"/>
    <cellStyle name="표준 5 2 2 3 2 2 2 2 2 3 3 4" xfId="45852" xr:uid="{00000000-0005-0000-0000-00006E2E0000}"/>
    <cellStyle name="표준 5 2 2 3 2 2 2 2 2 3 4" xfId="12854" xr:uid="{00000000-0005-0000-0000-00006F2E0000}"/>
    <cellStyle name="표준 5 2 2 3 2 2 2 2 2 3 5" xfId="17094" xr:uid="{00000000-0005-0000-0000-0000702E0000}"/>
    <cellStyle name="표준 5 2 2 3 2 2 2 2 2 3 6" xfId="21256" xr:uid="{00000000-0005-0000-0000-0000712E0000}"/>
    <cellStyle name="표준 5 2 2 3 2 2 2 2 2 3 7" xfId="25352" xr:uid="{00000000-0005-0000-0000-0000722E0000}"/>
    <cellStyle name="표준 5 2 2 3 2 2 2 2 2 3 8" xfId="33563" xr:uid="{00000000-0005-0000-0000-0000732E0000}"/>
    <cellStyle name="표준 5 2 2 3 2 2 2 2 2 3 9" xfId="41756" xr:uid="{00000000-0005-0000-0000-0000742E0000}"/>
    <cellStyle name="표준 5 2 2 3 2 2 2 2 2 4" xfId="2399" xr:uid="{00000000-0005-0000-0000-0000752E0000}"/>
    <cellStyle name="표준 5 2 2 3 2 2 2 2 2 4 2" xfId="11302" xr:uid="{00000000-0005-0000-0000-0000762E0000}"/>
    <cellStyle name="표준 5 2 2 3 2 2 2 2 2 4 2 2" xfId="15414" xr:uid="{00000000-0005-0000-0000-0000772E0000}"/>
    <cellStyle name="표준 5 2 2 3 2 2 2 2 2 4 2 2 2" xfId="32008" xr:uid="{00000000-0005-0000-0000-0000782E0000}"/>
    <cellStyle name="표준 5 2 2 3 2 2 2 2 2 4 2 2 3" xfId="40219" xr:uid="{00000000-0005-0000-0000-0000792E0000}"/>
    <cellStyle name="표준 5 2 2 3 2 2 2 2 2 4 2 2 4" xfId="48412" xr:uid="{00000000-0005-0000-0000-00007A2E0000}"/>
    <cellStyle name="표준 5 2 2 3 2 2 2 2 2 4 2 3" xfId="19654" xr:uid="{00000000-0005-0000-0000-00007B2E0000}"/>
    <cellStyle name="표준 5 2 2 3 2 2 2 2 2 4 2 4" xfId="23816" xr:uid="{00000000-0005-0000-0000-00007C2E0000}"/>
    <cellStyle name="표준 5 2 2 3 2 2 2 2 2 4 2 5" xfId="27912" xr:uid="{00000000-0005-0000-0000-00007D2E0000}"/>
    <cellStyle name="표준 5 2 2 3 2 2 2 2 2 4 2 6" xfId="36123" xr:uid="{00000000-0005-0000-0000-00007E2E0000}"/>
    <cellStyle name="표준 5 2 2 3 2 2 2 2 2 4 2 7" xfId="44316" xr:uid="{00000000-0005-0000-0000-00007F2E0000}"/>
    <cellStyle name="표준 5 2 2 3 2 2 2 2 2 4 3" xfId="9254" xr:uid="{00000000-0005-0000-0000-0000802E0000}"/>
    <cellStyle name="표준 5 2 2 3 2 2 2 2 2 4 3 2" xfId="29960" xr:uid="{00000000-0005-0000-0000-0000812E0000}"/>
    <cellStyle name="표준 5 2 2 3 2 2 2 2 2 4 3 3" xfId="38171" xr:uid="{00000000-0005-0000-0000-0000822E0000}"/>
    <cellStyle name="표준 5 2 2 3 2 2 2 2 2 4 3 4" xfId="46364" xr:uid="{00000000-0005-0000-0000-0000832E0000}"/>
    <cellStyle name="표준 5 2 2 3 2 2 2 2 2 4 4" xfId="13366" xr:uid="{00000000-0005-0000-0000-0000842E0000}"/>
    <cellStyle name="표준 5 2 2 3 2 2 2 2 2 4 5" xfId="17606" xr:uid="{00000000-0005-0000-0000-0000852E0000}"/>
    <cellStyle name="표준 5 2 2 3 2 2 2 2 2 4 6" xfId="21768" xr:uid="{00000000-0005-0000-0000-0000862E0000}"/>
    <cellStyle name="표준 5 2 2 3 2 2 2 2 2 4 7" xfId="25864" xr:uid="{00000000-0005-0000-0000-0000872E0000}"/>
    <cellStyle name="표준 5 2 2 3 2 2 2 2 2 4 8" xfId="34075" xr:uid="{00000000-0005-0000-0000-0000882E0000}"/>
    <cellStyle name="표준 5 2 2 3 2 2 2 2 2 4 9" xfId="42268" xr:uid="{00000000-0005-0000-0000-0000892E0000}"/>
    <cellStyle name="표준 5 2 2 3 2 2 2 2 2 5" xfId="9766" xr:uid="{00000000-0005-0000-0000-00008A2E0000}"/>
    <cellStyle name="표준 5 2 2 3 2 2 2 2 2 5 2" xfId="13878" xr:uid="{00000000-0005-0000-0000-00008B2E0000}"/>
    <cellStyle name="표준 5 2 2 3 2 2 2 2 2 5 2 2" xfId="30472" xr:uid="{00000000-0005-0000-0000-00008C2E0000}"/>
    <cellStyle name="표준 5 2 2 3 2 2 2 2 2 5 2 3" xfId="38683" xr:uid="{00000000-0005-0000-0000-00008D2E0000}"/>
    <cellStyle name="표준 5 2 2 3 2 2 2 2 2 5 2 4" xfId="46876" xr:uid="{00000000-0005-0000-0000-00008E2E0000}"/>
    <cellStyle name="표준 5 2 2 3 2 2 2 2 2 5 3" xfId="18118" xr:uid="{00000000-0005-0000-0000-00008F2E0000}"/>
    <cellStyle name="표준 5 2 2 3 2 2 2 2 2 5 4" xfId="22280" xr:uid="{00000000-0005-0000-0000-0000902E0000}"/>
    <cellStyle name="표준 5 2 2 3 2 2 2 2 2 5 5" xfId="26376" xr:uid="{00000000-0005-0000-0000-0000912E0000}"/>
    <cellStyle name="표준 5 2 2 3 2 2 2 2 2 5 6" xfId="34587" xr:uid="{00000000-0005-0000-0000-0000922E0000}"/>
    <cellStyle name="표준 5 2 2 3 2 2 2 2 2 5 7" xfId="42780" xr:uid="{00000000-0005-0000-0000-0000932E0000}"/>
    <cellStyle name="표준 5 2 2 3 2 2 2 2 2 6" xfId="7718" xr:uid="{00000000-0005-0000-0000-0000942E0000}"/>
    <cellStyle name="표준 5 2 2 3 2 2 2 2 2 6 2" xfId="28424" xr:uid="{00000000-0005-0000-0000-0000952E0000}"/>
    <cellStyle name="표준 5 2 2 3 2 2 2 2 2 6 3" xfId="36635" xr:uid="{00000000-0005-0000-0000-0000962E0000}"/>
    <cellStyle name="표준 5 2 2 3 2 2 2 2 2 6 4" xfId="44828" xr:uid="{00000000-0005-0000-0000-0000972E0000}"/>
    <cellStyle name="표준 5 2 2 3 2 2 2 2 2 7" xfId="11830" xr:uid="{00000000-0005-0000-0000-0000982E0000}"/>
    <cellStyle name="표준 5 2 2 3 2 2 2 2 2 8" xfId="16070" xr:uid="{00000000-0005-0000-0000-0000992E0000}"/>
    <cellStyle name="표준 5 2 2 3 2 2 2 2 2 9" xfId="20232" xr:uid="{00000000-0005-0000-0000-00009A2E0000}"/>
    <cellStyle name="표준 5 2 2 3 2 2 2 2 3" xfId="1119" xr:uid="{00000000-0005-0000-0000-00009B2E0000}"/>
    <cellStyle name="표준 5 2 2 3 2 2 2 2 3 2" xfId="10022" xr:uid="{00000000-0005-0000-0000-00009C2E0000}"/>
    <cellStyle name="표준 5 2 2 3 2 2 2 2 3 2 2" xfId="14134" xr:uid="{00000000-0005-0000-0000-00009D2E0000}"/>
    <cellStyle name="표준 5 2 2 3 2 2 2 2 3 2 2 2" xfId="30728" xr:uid="{00000000-0005-0000-0000-00009E2E0000}"/>
    <cellStyle name="표준 5 2 2 3 2 2 2 2 3 2 2 3" xfId="38939" xr:uid="{00000000-0005-0000-0000-00009F2E0000}"/>
    <cellStyle name="표준 5 2 2 3 2 2 2 2 3 2 2 4" xfId="47132" xr:uid="{00000000-0005-0000-0000-0000A02E0000}"/>
    <cellStyle name="표준 5 2 2 3 2 2 2 2 3 2 3" xfId="18374" xr:uid="{00000000-0005-0000-0000-0000A12E0000}"/>
    <cellStyle name="표준 5 2 2 3 2 2 2 2 3 2 4" xfId="22536" xr:uid="{00000000-0005-0000-0000-0000A22E0000}"/>
    <cellStyle name="표준 5 2 2 3 2 2 2 2 3 2 5" xfId="26632" xr:uid="{00000000-0005-0000-0000-0000A32E0000}"/>
    <cellStyle name="표준 5 2 2 3 2 2 2 2 3 2 6" xfId="34843" xr:uid="{00000000-0005-0000-0000-0000A42E0000}"/>
    <cellStyle name="표준 5 2 2 3 2 2 2 2 3 2 7" xfId="43036" xr:uid="{00000000-0005-0000-0000-0000A52E0000}"/>
    <cellStyle name="표준 5 2 2 3 2 2 2 2 3 3" xfId="7974" xr:uid="{00000000-0005-0000-0000-0000A62E0000}"/>
    <cellStyle name="표준 5 2 2 3 2 2 2 2 3 3 2" xfId="28680" xr:uid="{00000000-0005-0000-0000-0000A72E0000}"/>
    <cellStyle name="표준 5 2 2 3 2 2 2 2 3 3 3" xfId="36891" xr:uid="{00000000-0005-0000-0000-0000A82E0000}"/>
    <cellStyle name="표준 5 2 2 3 2 2 2 2 3 3 4" xfId="45084" xr:uid="{00000000-0005-0000-0000-0000A92E0000}"/>
    <cellStyle name="표준 5 2 2 3 2 2 2 2 3 4" xfId="12086" xr:uid="{00000000-0005-0000-0000-0000AA2E0000}"/>
    <cellStyle name="표준 5 2 2 3 2 2 2 2 3 5" xfId="16326" xr:uid="{00000000-0005-0000-0000-0000AB2E0000}"/>
    <cellStyle name="표준 5 2 2 3 2 2 2 2 3 6" xfId="20488" xr:uid="{00000000-0005-0000-0000-0000AC2E0000}"/>
    <cellStyle name="표준 5 2 2 3 2 2 2 2 3 7" xfId="24584" xr:uid="{00000000-0005-0000-0000-0000AD2E0000}"/>
    <cellStyle name="표준 5 2 2 3 2 2 2 2 3 8" xfId="32795" xr:uid="{00000000-0005-0000-0000-0000AE2E0000}"/>
    <cellStyle name="표준 5 2 2 3 2 2 2 2 3 9" xfId="40988" xr:uid="{00000000-0005-0000-0000-0000AF2E0000}"/>
    <cellStyle name="표준 5 2 2 3 2 2 2 2 4" xfId="1631" xr:uid="{00000000-0005-0000-0000-0000B02E0000}"/>
    <cellStyle name="표준 5 2 2 3 2 2 2 2 4 2" xfId="10534" xr:uid="{00000000-0005-0000-0000-0000B12E0000}"/>
    <cellStyle name="표준 5 2 2 3 2 2 2 2 4 2 2" xfId="14646" xr:uid="{00000000-0005-0000-0000-0000B22E0000}"/>
    <cellStyle name="표준 5 2 2 3 2 2 2 2 4 2 2 2" xfId="31240" xr:uid="{00000000-0005-0000-0000-0000B32E0000}"/>
    <cellStyle name="표준 5 2 2 3 2 2 2 2 4 2 2 3" xfId="39451" xr:uid="{00000000-0005-0000-0000-0000B42E0000}"/>
    <cellStyle name="표준 5 2 2 3 2 2 2 2 4 2 2 4" xfId="47644" xr:uid="{00000000-0005-0000-0000-0000B52E0000}"/>
    <cellStyle name="표준 5 2 2 3 2 2 2 2 4 2 3" xfId="18886" xr:uid="{00000000-0005-0000-0000-0000B62E0000}"/>
    <cellStyle name="표준 5 2 2 3 2 2 2 2 4 2 4" xfId="23048" xr:uid="{00000000-0005-0000-0000-0000B72E0000}"/>
    <cellStyle name="표준 5 2 2 3 2 2 2 2 4 2 5" xfId="27144" xr:uid="{00000000-0005-0000-0000-0000B82E0000}"/>
    <cellStyle name="표준 5 2 2 3 2 2 2 2 4 2 6" xfId="35355" xr:uid="{00000000-0005-0000-0000-0000B92E0000}"/>
    <cellStyle name="표준 5 2 2 3 2 2 2 2 4 2 7" xfId="43548" xr:uid="{00000000-0005-0000-0000-0000BA2E0000}"/>
    <cellStyle name="표준 5 2 2 3 2 2 2 2 4 3" xfId="8486" xr:uid="{00000000-0005-0000-0000-0000BB2E0000}"/>
    <cellStyle name="표준 5 2 2 3 2 2 2 2 4 3 2" xfId="29192" xr:uid="{00000000-0005-0000-0000-0000BC2E0000}"/>
    <cellStyle name="표준 5 2 2 3 2 2 2 2 4 3 3" xfId="37403" xr:uid="{00000000-0005-0000-0000-0000BD2E0000}"/>
    <cellStyle name="표준 5 2 2 3 2 2 2 2 4 3 4" xfId="45596" xr:uid="{00000000-0005-0000-0000-0000BE2E0000}"/>
    <cellStyle name="표준 5 2 2 3 2 2 2 2 4 4" xfId="12598" xr:uid="{00000000-0005-0000-0000-0000BF2E0000}"/>
    <cellStyle name="표준 5 2 2 3 2 2 2 2 4 5" xfId="16838" xr:uid="{00000000-0005-0000-0000-0000C02E0000}"/>
    <cellStyle name="표준 5 2 2 3 2 2 2 2 4 6" xfId="21000" xr:uid="{00000000-0005-0000-0000-0000C12E0000}"/>
    <cellStyle name="표준 5 2 2 3 2 2 2 2 4 7" xfId="25096" xr:uid="{00000000-0005-0000-0000-0000C22E0000}"/>
    <cellStyle name="표준 5 2 2 3 2 2 2 2 4 8" xfId="33307" xr:uid="{00000000-0005-0000-0000-0000C32E0000}"/>
    <cellStyle name="표준 5 2 2 3 2 2 2 2 4 9" xfId="41500" xr:uid="{00000000-0005-0000-0000-0000C42E0000}"/>
    <cellStyle name="표준 5 2 2 3 2 2 2 2 5" xfId="2143" xr:uid="{00000000-0005-0000-0000-0000C52E0000}"/>
    <cellStyle name="표준 5 2 2 3 2 2 2 2 5 2" xfId="11046" xr:uid="{00000000-0005-0000-0000-0000C62E0000}"/>
    <cellStyle name="표준 5 2 2 3 2 2 2 2 5 2 2" xfId="15158" xr:uid="{00000000-0005-0000-0000-0000C72E0000}"/>
    <cellStyle name="표준 5 2 2 3 2 2 2 2 5 2 2 2" xfId="31752" xr:uid="{00000000-0005-0000-0000-0000C82E0000}"/>
    <cellStyle name="표준 5 2 2 3 2 2 2 2 5 2 2 3" xfId="39963" xr:uid="{00000000-0005-0000-0000-0000C92E0000}"/>
    <cellStyle name="표준 5 2 2 3 2 2 2 2 5 2 2 4" xfId="48156" xr:uid="{00000000-0005-0000-0000-0000CA2E0000}"/>
    <cellStyle name="표준 5 2 2 3 2 2 2 2 5 2 3" xfId="19398" xr:uid="{00000000-0005-0000-0000-0000CB2E0000}"/>
    <cellStyle name="표준 5 2 2 3 2 2 2 2 5 2 4" xfId="23560" xr:uid="{00000000-0005-0000-0000-0000CC2E0000}"/>
    <cellStyle name="표준 5 2 2 3 2 2 2 2 5 2 5" xfId="27656" xr:uid="{00000000-0005-0000-0000-0000CD2E0000}"/>
    <cellStyle name="표준 5 2 2 3 2 2 2 2 5 2 6" xfId="35867" xr:uid="{00000000-0005-0000-0000-0000CE2E0000}"/>
    <cellStyle name="표준 5 2 2 3 2 2 2 2 5 2 7" xfId="44060" xr:uid="{00000000-0005-0000-0000-0000CF2E0000}"/>
    <cellStyle name="표준 5 2 2 3 2 2 2 2 5 3" xfId="8998" xr:uid="{00000000-0005-0000-0000-0000D02E0000}"/>
    <cellStyle name="표준 5 2 2 3 2 2 2 2 5 3 2" xfId="29704" xr:uid="{00000000-0005-0000-0000-0000D12E0000}"/>
    <cellStyle name="표준 5 2 2 3 2 2 2 2 5 3 3" xfId="37915" xr:uid="{00000000-0005-0000-0000-0000D22E0000}"/>
    <cellStyle name="표준 5 2 2 3 2 2 2 2 5 3 4" xfId="46108" xr:uid="{00000000-0005-0000-0000-0000D32E0000}"/>
    <cellStyle name="표준 5 2 2 3 2 2 2 2 5 4" xfId="13110" xr:uid="{00000000-0005-0000-0000-0000D42E0000}"/>
    <cellStyle name="표준 5 2 2 3 2 2 2 2 5 5" xfId="17350" xr:uid="{00000000-0005-0000-0000-0000D52E0000}"/>
    <cellStyle name="표준 5 2 2 3 2 2 2 2 5 6" xfId="21512" xr:uid="{00000000-0005-0000-0000-0000D62E0000}"/>
    <cellStyle name="표준 5 2 2 3 2 2 2 2 5 7" xfId="25608" xr:uid="{00000000-0005-0000-0000-0000D72E0000}"/>
    <cellStyle name="표준 5 2 2 3 2 2 2 2 5 8" xfId="33819" xr:uid="{00000000-0005-0000-0000-0000D82E0000}"/>
    <cellStyle name="표준 5 2 2 3 2 2 2 2 5 9" xfId="42012" xr:uid="{00000000-0005-0000-0000-0000D92E0000}"/>
    <cellStyle name="표준 5 2 2 3 2 2 2 2 6" xfId="9510" xr:uid="{00000000-0005-0000-0000-0000DA2E0000}"/>
    <cellStyle name="표준 5 2 2 3 2 2 2 2 6 2" xfId="13622" xr:uid="{00000000-0005-0000-0000-0000DB2E0000}"/>
    <cellStyle name="표준 5 2 2 3 2 2 2 2 6 2 2" xfId="30216" xr:uid="{00000000-0005-0000-0000-0000DC2E0000}"/>
    <cellStyle name="표준 5 2 2 3 2 2 2 2 6 2 3" xfId="38427" xr:uid="{00000000-0005-0000-0000-0000DD2E0000}"/>
    <cellStyle name="표준 5 2 2 3 2 2 2 2 6 2 4" xfId="46620" xr:uid="{00000000-0005-0000-0000-0000DE2E0000}"/>
    <cellStyle name="표준 5 2 2 3 2 2 2 2 6 3" xfId="17862" xr:uid="{00000000-0005-0000-0000-0000DF2E0000}"/>
    <cellStyle name="표준 5 2 2 3 2 2 2 2 6 4" xfId="22024" xr:uid="{00000000-0005-0000-0000-0000E02E0000}"/>
    <cellStyle name="표준 5 2 2 3 2 2 2 2 6 5" xfId="26120" xr:uid="{00000000-0005-0000-0000-0000E12E0000}"/>
    <cellStyle name="표준 5 2 2 3 2 2 2 2 6 6" xfId="34331" xr:uid="{00000000-0005-0000-0000-0000E22E0000}"/>
    <cellStyle name="표준 5 2 2 3 2 2 2 2 6 7" xfId="42524" xr:uid="{00000000-0005-0000-0000-0000E32E0000}"/>
    <cellStyle name="표준 5 2 2 3 2 2 2 2 7" xfId="7462" xr:uid="{00000000-0005-0000-0000-0000E42E0000}"/>
    <cellStyle name="표준 5 2 2 3 2 2 2 2 7 2" xfId="28168" xr:uid="{00000000-0005-0000-0000-0000E52E0000}"/>
    <cellStyle name="표준 5 2 2 3 2 2 2 2 7 3" xfId="36379" xr:uid="{00000000-0005-0000-0000-0000E62E0000}"/>
    <cellStyle name="표준 5 2 2 3 2 2 2 2 7 4" xfId="44572" xr:uid="{00000000-0005-0000-0000-0000E72E0000}"/>
    <cellStyle name="표준 5 2 2 3 2 2 2 2 8" xfId="11574" xr:uid="{00000000-0005-0000-0000-0000E82E0000}"/>
    <cellStyle name="표준 5 2 2 3 2 2 2 2 9" xfId="15814" xr:uid="{00000000-0005-0000-0000-0000E92E0000}"/>
    <cellStyle name="표준 5 2 2 3 2 2 2 3" xfId="735" xr:uid="{00000000-0005-0000-0000-0000EA2E0000}"/>
    <cellStyle name="표준 5 2 2 3 2 2 2 3 10" xfId="24200" xr:uid="{00000000-0005-0000-0000-0000EB2E0000}"/>
    <cellStyle name="표준 5 2 2 3 2 2 2 3 11" xfId="32411" xr:uid="{00000000-0005-0000-0000-0000EC2E0000}"/>
    <cellStyle name="표준 5 2 2 3 2 2 2 3 12" xfId="40604" xr:uid="{00000000-0005-0000-0000-0000ED2E0000}"/>
    <cellStyle name="표준 5 2 2 3 2 2 2 3 2" xfId="1247" xr:uid="{00000000-0005-0000-0000-0000EE2E0000}"/>
    <cellStyle name="표준 5 2 2 3 2 2 2 3 2 2" xfId="10150" xr:uid="{00000000-0005-0000-0000-0000EF2E0000}"/>
    <cellStyle name="표준 5 2 2 3 2 2 2 3 2 2 2" xfId="14262" xr:uid="{00000000-0005-0000-0000-0000F02E0000}"/>
    <cellStyle name="표준 5 2 2 3 2 2 2 3 2 2 2 2" xfId="30856" xr:uid="{00000000-0005-0000-0000-0000F12E0000}"/>
    <cellStyle name="표준 5 2 2 3 2 2 2 3 2 2 2 3" xfId="39067" xr:uid="{00000000-0005-0000-0000-0000F22E0000}"/>
    <cellStyle name="표준 5 2 2 3 2 2 2 3 2 2 2 4" xfId="47260" xr:uid="{00000000-0005-0000-0000-0000F32E0000}"/>
    <cellStyle name="표준 5 2 2 3 2 2 2 3 2 2 3" xfId="18502" xr:uid="{00000000-0005-0000-0000-0000F42E0000}"/>
    <cellStyle name="표준 5 2 2 3 2 2 2 3 2 2 4" xfId="22664" xr:uid="{00000000-0005-0000-0000-0000F52E0000}"/>
    <cellStyle name="표준 5 2 2 3 2 2 2 3 2 2 5" xfId="26760" xr:uid="{00000000-0005-0000-0000-0000F62E0000}"/>
    <cellStyle name="표준 5 2 2 3 2 2 2 3 2 2 6" xfId="34971" xr:uid="{00000000-0005-0000-0000-0000F72E0000}"/>
    <cellStyle name="표준 5 2 2 3 2 2 2 3 2 2 7" xfId="43164" xr:uid="{00000000-0005-0000-0000-0000F82E0000}"/>
    <cellStyle name="표준 5 2 2 3 2 2 2 3 2 3" xfId="8102" xr:uid="{00000000-0005-0000-0000-0000F92E0000}"/>
    <cellStyle name="표준 5 2 2 3 2 2 2 3 2 3 2" xfId="28808" xr:uid="{00000000-0005-0000-0000-0000FA2E0000}"/>
    <cellStyle name="표준 5 2 2 3 2 2 2 3 2 3 3" xfId="37019" xr:uid="{00000000-0005-0000-0000-0000FB2E0000}"/>
    <cellStyle name="표준 5 2 2 3 2 2 2 3 2 3 4" xfId="45212" xr:uid="{00000000-0005-0000-0000-0000FC2E0000}"/>
    <cellStyle name="표준 5 2 2 3 2 2 2 3 2 4" xfId="12214" xr:uid="{00000000-0005-0000-0000-0000FD2E0000}"/>
    <cellStyle name="표준 5 2 2 3 2 2 2 3 2 5" xfId="16454" xr:uid="{00000000-0005-0000-0000-0000FE2E0000}"/>
    <cellStyle name="표준 5 2 2 3 2 2 2 3 2 6" xfId="20616" xr:uid="{00000000-0005-0000-0000-0000FF2E0000}"/>
    <cellStyle name="표준 5 2 2 3 2 2 2 3 2 7" xfId="24712" xr:uid="{00000000-0005-0000-0000-0000002F0000}"/>
    <cellStyle name="표준 5 2 2 3 2 2 2 3 2 8" xfId="32923" xr:uid="{00000000-0005-0000-0000-0000012F0000}"/>
    <cellStyle name="표준 5 2 2 3 2 2 2 3 2 9" xfId="41116" xr:uid="{00000000-0005-0000-0000-0000022F0000}"/>
    <cellStyle name="표준 5 2 2 3 2 2 2 3 3" xfId="1759" xr:uid="{00000000-0005-0000-0000-0000032F0000}"/>
    <cellStyle name="표준 5 2 2 3 2 2 2 3 3 2" xfId="10662" xr:uid="{00000000-0005-0000-0000-0000042F0000}"/>
    <cellStyle name="표준 5 2 2 3 2 2 2 3 3 2 2" xfId="14774" xr:uid="{00000000-0005-0000-0000-0000052F0000}"/>
    <cellStyle name="표준 5 2 2 3 2 2 2 3 3 2 2 2" xfId="31368" xr:uid="{00000000-0005-0000-0000-0000062F0000}"/>
    <cellStyle name="표준 5 2 2 3 2 2 2 3 3 2 2 3" xfId="39579" xr:uid="{00000000-0005-0000-0000-0000072F0000}"/>
    <cellStyle name="표준 5 2 2 3 2 2 2 3 3 2 2 4" xfId="47772" xr:uid="{00000000-0005-0000-0000-0000082F0000}"/>
    <cellStyle name="표준 5 2 2 3 2 2 2 3 3 2 3" xfId="19014" xr:uid="{00000000-0005-0000-0000-0000092F0000}"/>
    <cellStyle name="표준 5 2 2 3 2 2 2 3 3 2 4" xfId="23176" xr:uid="{00000000-0005-0000-0000-00000A2F0000}"/>
    <cellStyle name="표준 5 2 2 3 2 2 2 3 3 2 5" xfId="27272" xr:uid="{00000000-0005-0000-0000-00000B2F0000}"/>
    <cellStyle name="표준 5 2 2 3 2 2 2 3 3 2 6" xfId="35483" xr:uid="{00000000-0005-0000-0000-00000C2F0000}"/>
    <cellStyle name="표준 5 2 2 3 2 2 2 3 3 2 7" xfId="43676" xr:uid="{00000000-0005-0000-0000-00000D2F0000}"/>
    <cellStyle name="표준 5 2 2 3 2 2 2 3 3 3" xfId="8614" xr:uid="{00000000-0005-0000-0000-00000E2F0000}"/>
    <cellStyle name="표준 5 2 2 3 2 2 2 3 3 3 2" xfId="29320" xr:uid="{00000000-0005-0000-0000-00000F2F0000}"/>
    <cellStyle name="표준 5 2 2 3 2 2 2 3 3 3 3" xfId="37531" xr:uid="{00000000-0005-0000-0000-0000102F0000}"/>
    <cellStyle name="표준 5 2 2 3 2 2 2 3 3 3 4" xfId="45724" xr:uid="{00000000-0005-0000-0000-0000112F0000}"/>
    <cellStyle name="표준 5 2 2 3 2 2 2 3 3 4" xfId="12726" xr:uid="{00000000-0005-0000-0000-0000122F0000}"/>
    <cellStyle name="표준 5 2 2 3 2 2 2 3 3 5" xfId="16966" xr:uid="{00000000-0005-0000-0000-0000132F0000}"/>
    <cellStyle name="표준 5 2 2 3 2 2 2 3 3 6" xfId="21128" xr:uid="{00000000-0005-0000-0000-0000142F0000}"/>
    <cellStyle name="표준 5 2 2 3 2 2 2 3 3 7" xfId="25224" xr:uid="{00000000-0005-0000-0000-0000152F0000}"/>
    <cellStyle name="표준 5 2 2 3 2 2 2 3 3 8" xfId="33435" xr:uid="{00000000-0005-0000-0000-0000162F0000}"/>
    <cellStyle name="표준 5 2 2 3 2 2 2 3 3 9" xfId="41628" xr:uid="{00000000-0005-0000-0000-0000172F0000}"/>
    <cellStyle name="표준 5 2 2 3 2 2 2 3 4" xfId="2271" xr:uid="{00000000-0005-0000-0000-0000182F0000}"/>
    <cellStyle name="표준 5 2 2 3 2 2 2 3 4 2" xfId="11174" xr:uid="{00000000-0005-0000-0000-0000192F0000}"/>
    <cellStyle name="표준 5 2 2 3 2 2 2 3 4 2 2" xfId="15286" xr:uid="{00000000-0005-0000-0000-00001A2F0000}"/>
    <cellStyle name="표준 5 2 2 3 2 2 2 3 4 2 2 2" xfId="31880" xr:uid="{00000000-0005-0000-0000-00001B2F0000}"/>
    <cellStyle name="표준 5 2 2 3 2 2 2 3 4 2 2 3" xfId="40091" xr:uid="{00000000-0005-0000-0000-00001C2F0000}"/>
    <cellStyle name="표준 5 2 2 3 2 2 2 3 4 2 2 4" xfId="48284" xr:uid="{00000000-0005-0000-0000-00001D2F0000}"/>
    <cellStyle name="표준 5 2 2 3 2 2 2 3 4 2 3" xfId="19526" xr:uid="{00000000-0005-0000-0000-00001E2F0000}"/>
    <cellStyle name="표준 5 2 2 3 2 2 2 3 4 2 4" xfId="23688" xr:uid="{00000000-0005-0000-0000-00001F2F0000}"/>
    <cellStyle name="표준 5 2 2 3 2 2 2 3 4 2 5" xfId="27784" xr:uid="{00000000-0005-0000-0000-0000202F0000}"/>
    <cellStyle name="표준 5 2 2 3 2 2 2 3 4 2 6" xfId="35995" xr:uid="{00000000-0005-0000-0000-0000212F0000}"/>
    <cellStyle name="표준 5 2 2 3 2 2 2 3 4 2 7" xfId="44188" xr:uid="{00000000-0005-0000-0000-0000222F0000}"/>
    <cellStyle name="표준 5 2 2 3 2 2 2 3 4 3" xfId="9126" xr:uid="{00000000-0005-0000-0000-0000232F0000}"/>
    <cellStyle name="표준 5 2 2 3 2 2 2 3 4 3 2" xfId="29832" xr:uid="{00000000-0005-0000-0000-0000242F0000}"/>
    <cellStyle name="표준 5 2 2 3 2 2 2 3 4 3 3" xfId="38043" xr:uid="{00000000-0005-0000-0000-0000252F0000}"/>
    <cellStyle name="표준 5 2 2 3 2 2 2 3 4 3 4" xfId="46236" xr:uid="{00000000-0005-0000-0000-0000262F0000}"/>
    <cellStyle name="표준 5 2 2 3 2 2 2 3 4 4" xfId="13238" xr:uid="{00000000-0005-0000-0000-0000272F0000}"/>
    <cellStyle name="표준 5 2 2 3 2 2 2 3 4 5" xfId="17478" xr:uid="{00000000-0005-0000-0000-0000282F0000}"/>
    <cellStyle name="표준 5 2 2 3 2 2 2 3 4 6" xfId="21640" xr:uid="{00000000-0005-0000-0000-0000292F0000}"/>
    <cellStyle name="표준 5 2 2 3 2 2 2 3 4 7" xfId="25736" xr:uid="{00000000-0005-0000-0000-00002A2F0000}"/>
    <cellStyle name="표준 5 2 2 3 2 2 2 3 4 8" xfId="33947" xr:uid="{00000000-0005-0000-0000-00002B2F0000}"/>
    <cellStyle name="표준 5 2 2 3 2 2 2 3 4 9" xfId="42140" xr:uid="{00000000-0005-0000-0000-00002C2F0000}"/>
    <cellStyle name="표준 5 2 2 3 2 2 2 3 5" xfId="9638" xr:uid="{00000000-0005-0000-0000-00002D2F0000}"/>
    <cellStyle name="표준 5 2 2 3 2 2 2 3 5 2" xfId="13750" xr:uid="{00000000-0005-0000-0000-00002E2F0000}"/>
    <cellStyle name="표준 5 2 2 3 2 2 2 3 5 2 2" xfId="30344" xr:uid="{00000000-0005-0000-0000-00002F2F0000}"/>
    <cellStyle name="표준 5 2 2 3 2 2 2 3 5 2 3" xfId="38555" xr:uid="{00000000-0005-0000-0000-0000302F0000}"/>
    <cellStyle name="표준 5 2 2 3 2 2 2 3 5 2 4" xfId="46748" xr:uid="{00000000-0005-0000-0000-0000312F0000}"/>
    <cellStyle name="표준 5 2 2 3 2 2 2 3 5 3" xfId="17990" xr:uid="{00000000-0005-0000-0000-0000322F0000}"/>
    <cellStyle name="표준 5 2 2 3 2 2 2 3 5 4" xfId="22152" xr:uid="{00000000-0005-0000-0000-0000332F0000}"/>
    <cellStyle name="표준 5 2 2 3 2 2 2 3 5 5" xfId="26248" xr:uid="{00000000-0005-0000-0000-0000342F0000}"/>
    <cellStyle name="표준 5 2 2 3 2 2 2 3 5 6" xfId="34459" xr:uid="{00000000-0005-0000-0000-0000352F0000}"/>
    <cellStyle name="표준 5 2 2 3 2 2 2 3 5 7" xfId="42652" xr:uid="{00000000-0005-0000-0000-0000362F0000}"/>
    <cellStyle name="표준 5 2 2 3 2 2 2 3 6" xfId="7590" xr:uid="{00000000-0005-0000-0000-0000372F0000}"/>
    <cellStyle name="표준 5 2 2 3 2 2 2 3 6 2" xfId="28296" xr:uid="{00000000-0005-0000-0000-0000382F0000}"/>
    <cellStyle name="표준 5 2 2 3 2 2 2 3 6 3" xfId="36507" xr:uid="{00000000-0005-0000-0000-0000392F0000}"/>
    <cellStyle name="표준 5 2 2 3 2 2 2 3 6 4" xfId="44700" xr:uid="{00000000-0005-0000-0000-00003A2F0000}"/>
    <cellStyle name="표준 5 2 2 3 2 2 2 3 7" xfId="11702" xr:uid="{00000000-0005-0000-0000-00003B2F0000}"/>
    <cellStyle name="표준 5 2 2 3 2 2 2 3 8" xfId="15942" xr:uid="{00000000-0005-0000-0000-00003C2F0000}"/>
    <cellStyle name="표준 5 2 2 3 2 2 2 3 9" xfId="20104" xr:uid="{00000000-0005-0000-0000-00003D2F0000}"/>
    <cellStyle name="표준 5 2 2 3 2 2 2 4" xfId="991" xr:uid="{00000000-0005-0000-0000-00003E2F0000}"/>
    <cellStyle name="표준 5 2 2 3 2 2 2 4 2" xfId="9894" xr:uid="{00000000-0005-0000-0000-00003F2F0000}"/>
    <cellStyle name="표준 5 2 2 3 2 2 2 4 2 2" xfId="14006" xr:uid="{00000000-0005-0000-0000-0000402F0000}"/>
    <cellStyle name="표준 5 2 2 3 2 2 2 4 2 2 2" xfId="30600" xr:uid="{00000000-0005-0000-0000-0000412F0000}"/>
    <cellStyle name="표준 5 2 2 3 2 2 2 4 2 2 3" xfId="38811" xr:uid="{00000000-0005-0000-0000-0000422F0000}"/>
    <cellStyle name="표준 5 2 2 3 2 2 2 4 2 2 4" xfId="47004" xr:uid="{00000000-0005-0000-0000-0000432F0000}"/>
    <cellStyle name="표준 5 2 2 3 2 2 2 4 2 3" xfId="18246" xr:uid="{00000000-0005-0000-0000-0000442F0000}"/>
    <cellStyle name="표준 5 2 2 3 2 2 2 4 2 4" xfId="22408" xr:uid="{00000000-0005-0000-0000-0000452F0000}"/>
    <cellStyle name="표준 5 2 2 3 2 2 2 4 2 5" xfId="26504" xr:uid="{00000000-0005-0000-0000-0000462F0000}"/>
    <cellStyle name="표준 5 2 2 3 2 2 2 4 2 6" xfId="34715" xr:uid="{00000000-0005-0000-0000-0000472F0000}"/>
    <cellStyle name="표준 5 2 2 3 2 2 2 4 2 7" xfId="42908" xr:uid="{00000000-0005-0000-0000-0000482F0000}"/>
    <cellStyle name="표준 5 2 2 3 2 2 2 4 3" xfId="7846" xr:uid="{00000000-0005-0000-0000-0000492F0000}"/>
    <cellStyle name="표준 5 2 2 3 2 2 2 4 3 2" xfId="28552" xr:uid="{00000000-0005-0000-0000-00004A2F0000}"/>
    <cellStyle name="표준 5 2 2 3 2 2 2 4 3 3" xfId="36763" xr:uid="{00000000-0005-0000-0000-00004B2F0000}"/>
    <cellStyle name="표준 5 2 2 3 2 2 2 4 3 4" xfId="44956" xr:uid="{00000000-0005-0000-0000-00004C2F0000}"/>
    <cellStyle name="표준 5 2 2 3 2 2 2 4 4" xfId="11958" xr:uid="{00000000-0005-0000-0000-00004D2F0000}"/>
    <cellStyle name="표준 5 2 2 3 2 2 2 4 5" xfId="16198" xr:uid="{00000000-0005-0000-0000-00004E2F0000}"/>
    <cellStyle name="표준 5 2 2 3 2 2 2 4 6" xfId="20360" xr:uid="{00000000-0005-0000-0000-00004F2F0000}"/>
    <cellStyle name="표준 5 2 2 3 2 2 2 4 7" xfId="24456" xr:uid="{00000000-0005-0000-0000-0000502F0000}"/>
    <cellStyle name="표준 5 2 2 3 2 2 2 4 8" xfId="32667" xr:uid="{00000000-0005-0000-0000-0000512F0000}"/>
    <cellStyle name="표준 5 2 2 3 2 2 2 4 9" xfId="40860" xr:uid="{00000000-0005-0000-0000-0000522F0000}"/>
    <cellStyle name="표준 5 2 2 3 2 2 2 5" xfId="1503" xr:uid="{00000000-0005-0000-0000-0000532F0000}"/>
    <cellStyle name="표준 5 2 2 3 2 2 2 5 2" xfId="10406" xr:uid="{00000000-0005-0000-0000-0000542F0000}"/>
    <cellStyle name="표준 5 2 2 3 2 2 2 5 2 2" xfId="14518" xr:uid="{00000000-0005-0000-0000-0000552F0000}"/>
    <cellStyle name="표준 5 2 2 3 2 2 2 5 2 2 2" xfId="31112" xr:uid="{00000000-0005-0000-0000-0000562F0000}"/>
    <cellStyle name="표준 5 2 2 3 2 2 2 5 2 2 3" xfId="39323" xr:uid="{00000000-0005-0000-0000-0000572F0000}"/>
    <cellStyle name="표준 5 2 2 3 2 2 2 5 2 2 4" xfId="47516" xr:uid="{00000000-0005-0000-0000-0000582F0000}"/>
    <cellStyle name="표준 5 2 2 3 2 2 2 5 2 3" xfId="18758" xr:uid="{00000000-0005-0000-0000-0000592F0000}"/>
    <cellStyle name="표준 5 2 2 3 2 2 2 5 2 4" xfId="22920" xr:uid="{00000000-0005-0000-0000-00005A2F0000}"/>
    <cellStyle name="표준 5 2 2 3 2 2 2 5 2 5" xfId="27016" xr:uid="{00000000-0005-0000-0000-00005B2F0000}"/>
    <cellStyle name="표준 5 2 2 3 2 2 2 5 2 6" xfId="35227" xr:uid="{00000000-0005-0000-0000-00005C2F0000}"/>
    <cellStyle name="표준 5 2 2 3 2 2 2 5 2 7" xfId="43420" xr:uid="{00000000-0005-0000-0000-00005D2F0000}"/>
    <cellStyle name="표준 5 2 2 3 2 2 2 5 3" xfId="8358" xr:uid="{00000000-0005-0000-0000-00005E2F0000}"/>
    <cellStyle name="표준 5 2 2 3 2 2 2 5 3 2" xfId="29064" xr:uid="{00000000-0005-0000-0000-00005F2F0000}"/>
    <cellStyle name="표준 5 2 2 3 2 2 2 5 3 3" xfId="37275" xr:uid="{00000000-0005-0000-0000-0000602F0000}"/>
    <cellStyle name="표준 5 2 2 3 2 2 2 5 3 4" xfId="45468" xr:uid="{00000000-0005-0000-0000-0000612F0000}"/>
    <cellStyle name="표준 5 2 2 3 2 2 2 5 4" xfId="12470" xr:uid="{00000000-0005-0000-0000-0000622F0000}"/>
    <cellStyle name="표준 5 2 2 3 2 2 2 5 5" xfId="16710" xr:uid="{00000000-0005-0000-0000-0000632F0000}"/>
    <cellStyle name="표준 5 2 2 3 2 2 2 5 6" xfId="20872" xr:uid="{00000000-0005-0000-0000-0000642F0000}"/>
    <cellStyle name="표준 5 2 2 3 2 2 2 5 7" xfId="24968" xr:uid="{00000000-0005-0000-0000-0000652F0000}"/>
    <cellStyle name="표준 5 2 2 3 2 2 2 5 8" xfId="33179" xr:uid="{00000000-0005-0000-0000-0000662F0000}"/>
    <cellStyle name="표준 5 2 2 3 2 2 2 5 9" xfId="41372" xr:uid="{00000000-0005-0000-0000-0000672F0000}"/>
    <cellStyle name="표준 5 2 2 3 2 2 2 6" xfId="2015" xr:uid="{00000000-0005-0000-0000-0000682F0000}"/>
    <cellStyle name="표준 5 2 2 3 2 2 2 6 2" xfId="10918" xr:uid="{00000000-0005-0000-0000-0000692F0000}"/>
    <cellStyle name="표준 5 2 2 3 2 2 2 6 2 2" xfId="15030" xr:uid="{00000000-0005-0000-0000-00006A2F0000}"/>
    <cellStyle name="표준 5 2 2 3 2 2 2 6 2 2 2" xfId="31624" xr:uid="{00000000-0005-0000-0000-00006B2F0000}"/>
    <cellStyle name="표준 5 2 2 3 2 2 2 6 2 2 3" xfId="39835" xr:uid="{00000000-0005-0000-0000-00006C2F0000}"/>
    <cellStyle name="표준 5 2 2 3 2 2 2 6 2 2 4" xfId="48028" xr:uid="{00000000-0005-0000-0000-00006D2F0000}"/>
    <cellStyle name="표준 5 2 2 3 2 2 2 6 2 3" xfId="19270" xr:uid="{00000000-0005-0000-0000-00006E2F0000}"/>
    <cellStyle name="표준 5 2 2 3 2 2 2 6 2 4" xfId="23432" xr:uid="{00000000-0005-0000-0000-00006F2F0000}"/>
    <cellStyle name="표준 5 2 2 3 2 2 2 6 2 5" xfId="27528" xr:uid="{00000000-0005-0000-0000-0000702F0000}"/>
    <cellStyle name="표준 5 2 2 3 2 2 2 6 2 6" xfId="35739" xr:uid="{00000000-0005-0000-0000-0000712F0000}"/>
    <cellStyle name="표준 5 2 2 3 2 2 2 6 2 7" xfId="43932" xr:uid="{00000000-0005-0000-0000-0000722F0000}"/>
    <cellStyle name="표준 5 2 2 3 2 2 2 6 3" xfId="8870" xr:uid="{00000000-0005-0000-0000-0000732F0000}"/>
    <cellStyle name="표준 5 2 2 3 2 2 2 6 3 2" xfId="29576" xr:uid="{00000000-0005-0000-0000-0000742F0000}"/>
    <cellStyle name="표준 5 2 2 3 2 2 2 6 3 3" xfId="37787" xr:uid="{00000000-0005-0000-0000-0000752F0000}"/>
    <cellStyle name="표준 5 2 2 3 2 2 2 6 3 4" xfId="45980" xr:uid="{00000000-0005-0000-0000-0000762F0000}"/>
    <cellStyle name="표준 5 2 2 3 2 2 2 6 4" xfId="12982" xr:uid="{00000000-0005-0000-0000-0000772F0000}"/>
    <cellStyle name="표준 5 2 2 3 2 2 2 6 5" xfId="17222" xr:uid="{00000000-0005-0000-0000-0000782F0000}"/>
    <cellStyle name="표준 5 2 2 3 2 2 2 6 6" xfId="21384" xr:uid="{00000000-0005-0000-0000-0000792F0000}"/>
    <cellStyle name="표준 5 2 2 3 2 2 2 6 7" xfId="25480" xr:uid="{00000000-0005-0000-0000-00007A2F0000}"/>
    <cellStyle name="표준 5 2 2 3 2 2 2 6 8" xfId="33691" xr:uid="{00000000-0005-0000-0000-00007B2F0000}"/>
    <cellStyle name="표준 5 2 2 3 2 2 2 6 9" xfId="41884" xr:uid="{00000000-0005-0000-0000-00007C2F0000}"/>
    <cellStyle name="표준 5 2 2 3 2 2 2 7" xfId="9382" xr:uid="{00000000-0005-0000-0000-00007D2F0000}"/>
    <cellStyle name="표준 5 2 2 3 2 2 2 7 2" xfId="13494" xr:uid="{00000000-0005-0000-0000-00007E2F0000}"/>
    <cellStyle name="표준 5 2 2 3 2 2 2 7 2 2" xfId="30088" xr:uid="{00000000-0005-0000-0000-00007F2F0000}"/>
    <cellStyle name="표준 5 2 2 3 2 2 2 7 2 3" xfId="38299" xr:uid="{00000000-0005-0000-0000-0000802F0000}"/>
    <cellStyle name="표준 5 2 2 3 2 2 2 7 2 4" xfId="46492" xr:uid="{00000000-0005-0000-0000-0000812F0000}"/>
    <cellStyle name="표준 5 2 2 3 2 2 2 7 3" xfId="17734" xr:uid="{00000000-0005-0000-0000-0000822F0000}"/>
    <cellStyle name="표준 5 2 2 3 2 2 2 7 4" xfId="21896" xr:uid="{00000000-0005-0000-0000-0000832F0000}"/>
    <cellStyle name="표준 5 2 2 3 2 2 2 7 5" xfId="25992" xr:uid="{00000000-0005-0000-0000-0000842F0000}"/>
    <cellStyle name="표준 5 2 2 3 2 2 2 7 6" xfId="34203" xr:uid="{00000000-0005-0000-0000-0000852F0000}"/>
    <cellStyle name="표준 5 2 2 3 2 2 2 7 7" xfId="42396" xr:uid="{00000000-0005-0000-0000-0000862F0000}"/>
    <cellStyle name="표준 5 2 2 3 2 2 2 8" xfId="7334" xr:uid="{00000000-0005-0000-0000-0000872F0000}"/>
    <cellStyle name="표준 5 2 2 3 2 2 2 8 2" xfId="28040" xr:uid="{00000000-0005-0000-0000-0000882F0000}"/>
    <cellStyle name="표준 5 2 2 3 2 2 2 8 3" xfId="36251" xr:uid="{00000000-0005-0000-0000-0000892F0000}"/>
    <cellStyle name="표준 5 2 2 3 2 2 2 8 4" xfId="44444" xr:uid="{00000000-0005-0000-0000-00008A2F0000}"/>
    <cellStyle name="표준 5 2 2 3 2 2 2 9" xfId="11446" xr:uid="{00000000-0005-0000-0000-00008B2F0000}"/>
    <cellStyle name="표준 5 2 2 3 2 2 3" xfId="543" xr:uid="{00000000-0005-0000-0000-00008C2F0000}"/>
    <cellStyle name="표준 5 2 2 3 2 2 3 10" xfId="19912" xr:uid="{00000000-0005-0000-0000-00008D2F0000}"/>
    <cellStyle name="표준 5 2 2 3 2 2 3 11" xfId="24008" xr:uid="{00000000-0005-0000-0000-00008E2F0000}"/>
    <cellStyle name="표준 5 2 2 3 2 2 3 12" xfId="32219" xr:uid="{00000000-0005-0000-0000-00008F2F0000}"/>
    <cellStyle name="표준 5 2 2 3 2 2 3 13" xfId="40412" xr:uid="{00000000-0005-0000-0000-0000902F0000}"/>
    <cellStyle name="표준 5 2 2 3 2 2 3 2" xfId="799" xr:uid="{00000000-0005-0000-0000-0000912F0000}"/>
    <cellStyle name="표준 5 2 2 3 2 2 3 2 10" xfId="24264" xr:uid="{00000000-0005-0000-0000-0000922F0000}"/>
    <cellStyle name="표준 5 2 2 3 2 2 3 2 11" xfId="32475" xr:uid="{00000000-0005-0000-0000-0000932F0000}"/>
    <cellStyle name="표준 5 2 2 3 2 2 3 2 12" xfId="40668" xr:uid="{00000000-0005-0000-0000-0000942F0000}"/>
    <cellStyle name="표준 5 2 2 3 2 2 3 2 2" xfId="1311" xr:uid="{00000000-0005-0000-0000-0000952F0000}"/>
    <cellStyle name="표준 5 2 2 3 2 2 3 2 2 2" xfId="10214" xr:uid="{00000000-0005-0000-0000-0000962F0000}"/>
    <cellStyle name="표준 5 2 2 3 2 2 3 2 2 2 2" xfId="14326" xr:uid="{00000000-0005-0000-0000-0000972F0000}"/>
    <cellStyle name="표준 5 2 2 3 2 2 3 2 2 2 2 2" xfId="30920" xr:uid="{00000000-0005-0000-0000-0000982F0000}"/>
    <cellStyle name="표준 5 2 2 3 2 2 3 2 2 2 2 3" xfId="39131" xr:uid="{00000000-0005-0000-0000-0000992F0000}"/>
    <cellStyle name="표준 5 2 2 3 2 2 3 2 2 2 2 4" xfId="47324" xr:uid="{00000000-0005-0000-0000-00009A2F0000}"/>
    <cellStyle name="표준 5 2 2 3 2 2 3 2 2 2 3" xfId="18566" xr:uid="{00000000-0005-0000-0000-00009B2F0000}"/>
    <cellStyle name="표준 5 2 2 3 2 2 3 2 2 2 4" xfId="22728" xr:uid="{00000000-0005-0000-0000-00009C2F0000}"/>
    <cellStyle name="표준 5 2 2 3 2 2 3 2 2 2 5" xfId="26824" xr:uid="{00000000-0005-0000-0000-00009D2F0000}"/>
    <cellStyle name="표준 5 2 2 3 2 2 3 2 2 2 6" xfId="35035" xr:uid="{00000000-0005-0000-0000-00009E2F0000}"/>
    <cellStyle name="표준 5 2 2 3 2 2 3 2 2 2 7" xfId="43228" xr:uid="{00000000-0005-0000-0000-00009F2F0000}"/>
    <cellStyle name="표준 5 2 2 3 2 2 3 2 2 3" xfId="8166" xr:uid="{00000000-0005-0000-0000-0000A02F0000}"/>
    <cellStyle name="표준 5 2 2 3 2 2 3 2 2 3 2" xfId="28872" xr:uid="{00000000-0005-0000-0000-0000A12F0000}"/>
    <cellStyle name="표준 5 2 2 3 2 2 3 2 2 3 3" xfId="37083" xr:uid="{00000000-0005-0000-0000-0000A22F0000}"/>
    <cellStyle name="표준 5 2 2 3 2 2 3 2 2 3 4" xfId="45276" xr:uid="{00000000-0005-0000-0000-0000A32F0000}"/>
    <cellStyle name="표준 5 2 2 3 2 2 3 2 2 4" xfId="12278" xr:uid="{00000000-0005-0000-0000-0000A42F0000}"/>
    <cellStyle name="표준 5 2 2 3 2 2 3 2 2 5" xfId="16518" xr:uid="{00000000-0005-0000-0000-0000A52F0000}"/>
    <cellStyle name="표준 5 2 2 3 2 2 3 2 2 6" xfId="20680" xr:uid="{00000000-0005-0000-0000-0000A62F0000}"/>
    <cellStyle name="표준 5 2 2 3 2 2 3 2 2 7" xfId="24776" xr:uid="{00000000-0005-0000-0000-0000A72F0000}"/>
    <cellStyle name="표준 5 2 2 3 2 2 3 2 2 8" xfId="32987" xr:uid="{00000000-0005-0000-0000-0000A82F0000}"/>
    <cellStyle name="표준 5 2 2 3 2 2 3 2 2 9" xfId="41180" xr:uid="{00000000-0005-0000-0000-0000A92F0000}"/>
    <cellStyle name="표준 5 2 2 3 2 2 3 2 3" xfId="1823" xr:uid="{00000000-0005-0000-0000-0000AA2F0000}"/>
    <cellStyle name="표준 5 2 2 3 2 2 3 2 3 2" xfId="10726" xr:uid="{00000000-0005-0000-0000-0000AB2F0000}"/>
    <cellStyle name="표준 5 2 2 3 2 2 3 2 3 2 2" xfId="14838" xr:uid="{00000000-0005-0000-0000-0000AC2F0000}"/>
    <cellStyle name="표준 5 2 2 3 2 2 3 2 3 2 2 2" xfId="31432" xr:uid="{00000000-0005-0000-0000-0000AD2F0000}"/>
    <cellStyle name="표준 5 2 2 3 2 2 3 2 3 2 2 3" xfId="39643" xr:uid="{00000000-0005-0000-0000-0000AE2F0000}"/>
    <cellStyle name="표준 5 2 2 3 2 2 3 2 3 2 2 4" xfId="47836" xr:uid="{00000000-0005-0000-0000-0000AF2F0000}"/>
    <cellStyle name="표준 5 2 2 3 2 2 3 2 3 2 3" xfId="19078" xr:uid="{00000000-0005-0000-0000-0000B02F0000}"/>
    <cellStyle name="표준 5 2 2 3 2 2 3 2 3 2 4" xfId="23240" xr:uid="{00000000-0005-0000-0000-0000B12F0000}"/>
    <cellStyle name="표준 5 2 2 3 2 2 3 2 3 2 5" xfId="27336" xr:uid="{00000000-0005-0000-0000-0000B22F0000}"/>
    <cellStyle name="표준 5 2 2 3 2 2 3 2 3 2 6" xfId="35547" xr:uid="{00000000-0005-0000-0000-0000B32F0000}"/>
    <cellStyle name="표준 5 2 2 3 2 2 3 2 3 2 7" xfId="43740" xr:uid="{00000000-0005-0000-0000-0000B42F0000}"/>
    <cellStyle name="표준 5 2 2 3 2 2 3 2 3 3" xfId="8678" xr:uid="{00000000-0005-0000-0000-0000B52F0000}"/>
    <cellStyle name="표준 5 2 2 3 2 2 3 2 3 3 2" xfId="29384" xr:uid="{00000000-0005-0000-0000-0000B62F0000}"/>
    <cellStyle name="표준 5 2 2 3 2 2 3 2 3 3 3" xfId="37595" xr:uid="{00000000-0005-0000-0000-0000B72F0000}"/>
    <cellStyle name="표준 5 2 2 3 2 2 3 2 3 3 4" xfId="45788" xr:uid="{00000000-0005-0000-0000-0000B82F0000}"/>
    <cellStyle name="표준 5 2 2 3 2 2 3 2 3 4" xfId="12790" xr:uid="{00000000-0005-0000-0000-0000B92F0000}"/>
    <cellStyle name="표준 5 2 2 3 2 2 3 2 3 5" xfId="17030" xr:uid="{00000000-0005-0000-0000-0000BA2F0000}"/>
    <cellStyle name="표준 5 2 2 3 2 2 3 2 3 6" xfId="21192" xr:uid="{00000000-0005-0000-0000-0000BB2F0000}"/>
    <cellStyle name="표준 5 2 2 3 2 2 3 2 3 7" xfId="25288" xr:uid="{00000000-0005-0000-0000-0000BC2F0000}"/>
    <cellStyle name="표준 5 2 2 3 2 2 3 2 3 8" xfId="33499" xr:uid="{00000000-0005-0000-0000-0000BD2F0000}"/>
    <cellStyle name="표준 5 2 2 3 2 2 3 2 3 9" xfId="41692" xr:uid="{00000000-0005-0000-0000-0000BE2F0000}"/>
    <cellStyle name="표준 5 2 2 3 2 2 3 2 4" xfId="2335" xr:uid="{00000000-0005-0000-0000-0000BF2F0000}"/>
    <cellStyle name="표준 5 2 2 3 2 2 3 2 4 2" xfId="11238" xr:uid="{00000000-0005-0000-0000-0000C02F0000}"/>
    <cellStyle name="표준 5 2 2 3 2 2 3 2 4 2 2" xfId="15350" xr:uid="{00000000-0005-0000-0000-0000C12F0000}"/>
    <cellStyle name="표준 5 2 2 3 2 2 3 2 4 2 2 2" xfId="31944" xr:uid="{00000000-0005-0000-0000-0000C22F0000}"/>
    <cellStyle name="표준 5 2 2 3 2 2 3 2 4 2 2 3" xfId="40155" xr:uid="{00000000-0005-0000-0000-0000C32F0000}"/>
    <cellStyle name="표준 5 2 2 3 2 2 3 2 4 2 2 4" xfId="48348" xr:uid="{00000000-0005-0000-0000-0000C42F0000}"/>
    <cellStyle name="표준 5 2 2 3 2 2 3 2 4 2 3" xfId="19590" xr:uid="{00000000-0005-0000-0000-0000C52F0000}"/>
    <cellStyle name="표준 5 2 2 3 2 2 3 2 4 2 4" xfId="23752" xr:uid="{00000000-0005-0000-0000-0000C62F0000}"/>
    <cellStyle name="표준 5 2 2 3 2 2 3 2 4 2 5" xfId="27848" xr:uid="{00000000-0005-0000-0000-0000C72F0000}"/>
    <cellStyle name="표준 5 2 2 3 2 2 3 2 4 2 6" xfId="36059" xr:uid="{00000000-0005-0000-0000-0000C82F0000}"/>
    <cellStyle name="표준 5 2 2 3 2 2 3 2 4 2 7" xfId="44252" xr:uid="{00000000-0005-0000-0000-0000C92F0000}"/>
    <cellStyle name="표준 5 2 2 3 2 2 3 2 4 3" xfId="9190" xr:uid="{00000000-0005-0000-0000-0000CA2F0000}"/>
    <cellStyle name="표준 5 2 2 3 2 2 3 2 4 3 2" xfId="29896" xr:uid="{00000000-0005-0000-0000-0000CB2F0000}"/>
    <cellStyle name="표준 5 2 2 3 2 2 3 2 4 3 3" xfId="38107" xr:uid="{00000000-0005-0000-0000-0000CC2F0000}"/>
    <cellStyle name="표준 5 2 2 3 2 2 3 2 4 3 4" xfId="46300" xr:uid="{00000000-0005-0000-0000-0000CD2F0000}"/>
    <cellStyle name="표준 5 2 2 3 2 2 3 2 4 4" xfId="13302" xr:uid="{00000000-0005-0000-0000-0000CE2F0000}"/>
    <cellStyle name="표준 5 2 2 3 2 2 3 2 4 5" xfId="17542" xr:uid="{00000000-0005-0000-0000-0000CF2F0000}"/>
    <cellStyle name="표준 5 2 2 3 2 2 3 2 4 6" xfId="21704" xr:uid="{00000000-0005-0000-0000-0000D02F0000}"/>
    <cellStyle name="표준 5 2 2 3 2 2 3 2 4 7" xfId="25800" xr:uid="{00000000-0005-0000-0000-0000D12F0000}"/>
    <cellStyle name="표준 5 2 2 3 2 2 3 2 4 8" xfId="34011" xr:uid="{00000000-0005-0000-0000-0000D22F0000}"/>
    <cellStyle name="표준 5 2 2 3 2 2 3 2 4 9" xfId="42204" xr:uid="{00000000-0005-0000-0000-0000D32F0000}"/>
    <cellStyle name="표준 5 2 2 3 2 2 3 2 5" xfId="9702" xr:uid="{00000000-0005-0000-0000-0000D42F0000}"/>
    <cellStyle name="표준 5 2 2 3 2 2 3 2 5 2" xfId="13814" xr:uid="{00000000-0005-0000-0000-0000D52F0000}"/>
    <cellStyle name="표준 5 2 2 3 2 2 3 2 5 2 2" xfId="30408" xr:uid="{00000000-0005-0000-0000-0000D62F0000}"/>
    <cellStyle name="표준 5 2 2 3 2 2 3 2 5 2 3" xfId="38619" xr:uid="{00000000-0005-0000-0000-0000D72F0000}"/>
    <cellStyle name="표준 5 2 2 3 2 2 3 2 5 2 4" xfId="46812" xr:uid="{00000000-0005-0000-0000-0000D82F0000}"/>
    <cellStyle name="표준 5 2 2 3 2 2 3 2 5 3" xfId="18054" xr:uid="{00000000-0005-0000-0000-0000D92F0000}"/>
    <cellStyle name="표준 5 2 2 3 2 2 3 2 5 4" xfId="22216" xr:uid="{00000000-0005-0000-0000-0000DA2F0000}"/>
    <cellStyle name="표준 5 2 2 3 2 2 3 2 5 5" xfId="26312" xr:uid="{00000000-0005-0000-0000-0000DB2F0000}"/>
    <cellStyle name="표준 5 2 2 3 2 2 3 2 5 6" xfId="34523" xr:uid="{00000000-0005-0000-0000-0000DC2F0000}"/>
    <cellStyle name="표준 5 2 2 3 2 2 3 2 5 7" xfId="42716" xr:uid="{00000000-0005-0000-0000-0000DD2F0000}"/>
    <cellStyle name="표준 5 2 2 3 2 2 3 2 6" xfId="7654" xr:uid="{00000000-0005-0000-0000-0000DE2F0000}"/>
    <cellStyle name="표준 5 2 2 3 2 2 3 2 6 2" xfId="28360" xr:uid="{00000000-0005-0000-0000-0000DF2F0000}"/>
    <cellStyle name="표준 5 2 2 3 2 2 3 2 6 3" xfId="36571" xr:uid="{00000000-0005-0000-0000-0000E02F0000}"/>
    <cellStyle name="표준 5 2 2 3 2 2 3 2 6 4" xfId="44764" xr:uid="{00000000-0005-0000-0000-0000E12F0000}"/>
    <cellStyle name="표준 5 2 2 3 2 2 3 2 7" xfId="11766" xr:uid="{00000000-0005-0000-0000-0000E22F0000}"/>
    <cellStyle name="표준 5 2 2 3 2 2 3 2 8" xfId="16006" xr:uid="{00000000-0005-0000-0000-0000E32F0000}"/>
    <cellStyle name="표준 5 2 2 3 2 2 3 2 9" xfId="20168" xr:uid="{00000000-0005-0000-0000-0000E42F0000}"/>
    <cellStyle name="표준 5 2 2 3 2 2 3 3" xfId="1055" xr:uid="{00000000-0005-0000-0000-0000E52F0000}"/>
    <cellStyle name="표준 5 2 2 3 2 2 3 3 2" xfId="9958" xr:uid="{00000000-0005-0000-0000-0000E62F0000}"/>
    <cellStyle name="표준 5 2 2 3 2 2 3 3 2 2" xfId="14070" xr:uid="{00000000-0005-0000-0000-0000E72F0000}"/>
    <cellStyle name="표준 5 2 2 3 2 2 3 3 2 2 2" xfId="30664" xr:uid="{00000000-0005-0000-0000-0000E82F0000}"/>
    <cellStyle name="표준 5 2 2 3 2 2 3 3 2 2 3" xfId="38875" xr:uid="{00000000-0005-0000-0000-0000E92F0000}"/>
    <cellStyle name="표준 5 2 2 3 2 2 3 3 2 2 4" xfId="47068" xr:uid="{00000000-0005-0000-0000-0000EA2F0000}"/>
    <cellStyle name="표준 5 2 2 3 2 2 3 3 2 3" xfId="18310" xr:uid="{00000000-0005-0000-0000-0000EB2F0000}"/>
    <cellStyle name="표준 5 2 2 3 2 2 3 3 2 4" xfId="22472" xr:uid="{00000000-0005-0000-0000-0000EC2F0000}"/>
    <cellStyle name="표준 5 2 2 3 2 2 3 3 2 5" xfId="26568" xr:uid="{00000000-0005-0000-0000-0000ED2F0000}"/>
    <cellStyle name="표준 5 2 2 3 2 2 3 3 2 6" xfId="34779" xr:uid="{00000000-0005-0000-0000-0000EE2F0000}"/>
    <cellStyle name="표준 5 2 2 3 2 2 3 3 2 7" xfId="42972" xr:uid="{00000000-0005-0000-0000-0000EF2F0000}"/>
    <cellStyle name="표준 5 2 2 3 2 2 3 3 3" xfId="7910" xr:uid="{00000000-0005-0000-0000-0000F02F0000}"/>
    <cellStyle name="표준 5 2 2 3 2 2 3 3 3 2" xfId="28616" xr:uid="{00000000-0005-0000-0000-0000F12F0000}"/>
    <cellStyle name="표준 5 2 2 3 2 2 3 3 3 3" xfId="36827" xr:uid="{00000000-0005-0000-0000-0000F22F0000}"/>
    <cellStyle name="표준 5 2 2 3 2 2 3 3 3 4" xfId="45020" xr:uid="{00000000-0005-0000-0000-0000F32F0000}"/>
    <cellStyle name="표준 5 2 2 3 2 2 3 3 4" xfId="12022" xr:uid="{00000000-0005-0000-0000-0000F42F0000}"/>
    <cellStyle name="표준 5 2 2 3 2 2 3 3 5" xfId="16262" xr:uid="{00000000-0005-0000-0000-0000F52F0000}"/>
    <cellStyle name="표준 5 2 2 3 2 2 3 3 6" xfId="20424" xr:uid="{00000000-0005-0000-0000-0000F62F0000}"/>
    <cellStyle name="표준 5 2 2 3 2 2 3 3 7" xfId="24520" xr:uid="{00000000-0005-0000-0000-0000F72F0000}"/>
    <cellStyle name="표준 5 2 2 3 2 2 3 3 8" xfId="32731" xr:uid="{00000000-0005-0000-0000-0000F82F0000}"/>
    <cellStyle name="표준 5 2 2 3 2 2 3 3 9" xfId="40924" xr:uid="{00000000-0005-0000-0000-0000F92F0000}"/>
    <cellStyle name="표준 5 2 2 3 2 2 3 4" xfId="1567" xr:uid="{00000000-0005-0000-0000-0000FA2F0000}"/>
    <cellStyle name="표준 5 2 2 3 2 2 3 4 2" xfId="10470" xr:uid="{00000000-0005-0000-0000-0000FB2F0000}"/>
    <cellStyle name="표준 5 2 2 3 2 2 3 4 2 2" xfId="14582" xr:uid="{00000000-0005-0000-0000-0000FC2F0000}"/>
    <cellStyle name="표준 5 2 2 3 2 2 3 4 2 2 2" xfId="31176" xr:uid="{00000000-0005-0000-0000-0000FD2F0000}"/>
    <cellStyle name="표준 5 2 2 3 2 2 3 4 2 2 3" xfId="39387" xr:uid="{00000000-0005-0000-0000-0000FE2F0000}"/>
    <cellStyle name="표준 5 2 2 3 2 2 3 4 2 2 4" xfId="47580" xr:uid="{00000000-0005-0000-0000-0000FF2F0000}"/>
    <cellStyle name="표준 5 2 2 3 2 2 3 4 2 3" xfId="18822" xr:uid="{00000000-0005-0000-0000-000000300000}"/>
    <cellStyle name="표준 5 2 2 3 2 2 3 4 2 4" xfId="22984" xr:uid="{00000000-0005-0000-0000-000001300000}"/>
    <cellStyle name="표준 5 2 2 3 2 2 3 4 2 5" xfId="27080" xr:uid="{00000000-0005-0000-0000-000002300000}"/>
    <cellStyle name="표준 5 2 2 3 2 2 3 4 2 6" xfId="35291" xr:uid="{00000000-0005-0000-0000-000003300000}"/>
    <cellStyle name="표준 5 2 2 3 2 2 3 4 2 7" xfId="43484" xr:uid="{00000000-0005-0000-0000-000004300000}"/>
    <cellStyle name="표준 5 2 2 3 2 2 3 4 3" xfId="8422" xr:uid="{00000000-0005-0000-0000-000005300000}"/>
    <cellStyle name="표준 5 2 2 3 2 2 3 4 3 2" xfId="29128" xr:uid="{00000000-0005-0000-0000-000006300000}"/>
    <cellStyle name="표준 5 2 2 3 2 2 3 4 3 3" xfId="37339" xr:uid="{00000000-0005-0000-0000-000007300000}"/>
    <cellStyle name="표준 5 2 2 3 2 2 3 4 3 4" xfId="45532" xr:uid="{00000000-0005-0000-0000-000008300000}"/>
    <cellStyle name="표준 5 2 2 3 2 2 3 4 4" xfId="12534" xr:uid="{00000000-0005-0000-0000-000009300000}"/>
    <cellStyle name="표준 5 2 2 3 2 2 3 4 5" xfId="16774" xr:uid="{00000000-0005-0000-0000-00000A300000}"/>
    <cellStyle name="표준 5 2 2 3 2 2 3 4 6" xfId="20936" xr:uid="{00000000-0005-0000-0000-00000B300000}"/>
    <cellStyle name="표준 5 2 2 3 2 2 3 4 7" xfId="25032" xr:uid="{00000000-0005-0000-0000-00000C300000}"/>
    <cellStyle name="표준 5 2 2 3 2 2 3 4 8" xfId="33243" xr:uid="{00000000-0005-0000-0000-00000D300000}"/>
    <cellStyle name="표준 5 2 2 3 2 2 3 4 9" xfId="41436" xr:uid="{00000000-0005-0000-0000-00000E300000}"/>
    <cellStyle name="표준 5 2 2 3 2 2 3 5" xfId="2079" xr:uid="{00000000-0005-0000-0000-00000F300000}"/>
    <cellStyle name="표준 5 2 2 3 2 2 3 5 2" xfId="10982" xr:uid="{00000000-0005-0000-0000-000010300000}"/>
    <cellStyle name="표준 5 2 2 3 2 2 3 5 2 2" xfId="15094" xr:uid="{00000000-0005-0000-0000-000011300000}"/>
    <cellStyle name="표준 5 2 2 3 2 2 3 5 2 2 2" xfId="31688" xr:uid="{00000000-0005-0000-0000-000012300000}"/>
    <cellStyle name="표준 5 2 2 3 2 2 3 5 2 2 3" xfId="39899" xr:uid="{00000000-0005-0000-0000-000013300000}"/>
    <cellStyle name="표준 5 2 2 3 2 2 3 5 2 2 4" xfId="48092" xr:uid="{00000000-0005-0000-0000-000014300000}"/>
    <cellStyle name="표준 5 2 2 3 2 2 3 5 2 3" xfId="19334" xr:uid="{00000000-0005-0000-0000-000015300000}"/>
    <cellStyle name="표준 5 2 2 3 2 2 3 5 2 4" xfId="23496" xr:uid="{00000000-0005-0000-0000-000016300000}"/>
    <cellStyle name="표준 5 2 2 3 2 2 3 5 2 5" xfId="27592" xr:uid="{00000000-0005-0000-0000-000017300000}"/>
    <cellStyle name="표준 5 2 2 3 2 2 3 5 2 6" xfId="35803" xr:uid="{00000000-0005-0000-0000-000018300000}"/>
    <cellStyle name="표준 5 2 2 3 2 2 3 5 2 7" xfId="43996" xr:uid="{00000000-0005-0000-0000-000019300000}"/>
    <cellStyle name="표준 5 2 2 3 2 2 3 5 3" xfId="8934" xr:uid="{00000000-0005-0000-0000-00001A300000}"/>
    <cellStyle name="표준 5 2 2 3 2 2 3 5 3 2" xfId="29640" xr:uid="{00000000-0005-0000-0000-00001B300000}"/>
    <cellStyle name="표준 5 2 2 3 2 2 3 5 3 3" xfId="37851" xr:uid="{00000000-0005-0000-0000-00001C300000}"/>
    <cellStyle name="표준 5 2 2 3 2 2 3 5 3 4" xfId="46044" xr:uid="{00000000-0005-0000-0000-00001D300000}"/>
    <cellStyle name="표준 5 2 2 3 2 2 3 5 4" xfId="13046" xr:uid="{00000000-0005-0000-0000-00001E300000}"/>
    <cellStyle name="표준 5 2 2 3 2 2 3 5 5" xfId="17286" xr:uid="{00000000-0005-0000-0000-00001F300000}"/>
    <cellStyle name="표준 5 2 2 3 2 2 3 5 6" xfId="21448" xr:uid="{00000000-0005-0000-0000-000020300000}"/>
    <cellStyle name="표준 5 2 2 3 2 2 3 5 7" xfId="25544" xr:uid="{00000000-0005-0000-0000-000021300000}"/>
    <cellStyle name="표준 5 2 2 3 2 2 3 5 8" xfId="33755" xr:uid="{00000000-0005-0000-0000-000022300000}"/>
    <cellStyle name="표준 5 2 2 3 2 2 3 5 9" xfId="41948" xr:uid="{00000000-0005-0000-0000-000023300000}"/>
    <cellStyle name="표준 5 2 2 3 2 2 3 6" xfId="9446" xr:uid="{00000000-0005-0000-0000-000024300000}"/>
    <cellStyle name="표준 5 2 2 3 2 2 3 6 2" xfId="13558" xr:uid="{00000000-0005-0000-0000-000025300000}"/>
    <cellStyle name="표준 5 2 2 3 2 2 3 6 2 2" xfId="30152" xr:uid="{00000000-0005-0000-0000-000026300000}"/>
    <cellStyle name="표준 5 2 2 3 2 2 3 6 2 3" xfId="38363" xr:uid="{00000000-0005-0000-0000-000027300000}"/>
    <cellStyle name="표준 5 2 2 3 2 2 3 6 2 4" xfId="46556" xr:uid="{00000000-0005-0000-0000-000028300000}"/>
    <cellStyle name="표준 5 2 2 3 2 2 3 6 3" xfId="17798" xr:uid="{00000000-0005-0000-0000-000029300000}"/>
    <cellStyle name="표준 5 2 2 3 2 2 3 6 4" xfId="21960" xr:uid="{00000000-0005-0000-0000-00002A300000}"/>
    <cellStyle name="표준 5 2 2 3 2 2 3 6 5" xfId="26056" xr:uid="{00000000-0005-0000-0000-00002B300000}"/>
    <cellStyle name="표준 5 2 2 3 2 2 3 6 6" xfId="34267" xr:uid="{00000000-0005-0000-0000-00002C300000}"/>
    <cellStyle name="표준 5 2 2 3 2 2 3 6 7" xfId="42460" xr:uid="{00000000-0005-0000-0000-00002D300000}"/>
    <cellStyle name="표준 5 2 2 3 2 2 3 7" xfId="7398" xr:uid="{00000000-0005-0000-0000-00002E300000}"/>
    <cellStyle name="표준 5 2 2 3 2 2 3 7 2" xfId="28104" xr:uid="{00000000-0005-0000-0000-00002F300000}"/>
    <cellStyle name="표준 5 2 2 3 2 2 3 7 3" xfId="36315" xr:uid="{00000000-0005-0000-0000-000030300000}"/>
    <cellStyle name="표준 5 2 2 3 2 2 3 7 4" xfId="44508" xr:uid="{00000000-0005-0000-0000-000031300000}"/>
    <cellStyle name="표준 5 2 2 3 2 2 3 8" xfId="11510" xr:uid="{00000000-0005-0000-0000-000032300000}"/>
    <cellStyle name="표준 5 2 2 3 2 2 3 9" xfId="15750" xr:uid="{00000000-0005-0000-0000-000033300000}"/>
    <cellStyle name="표준 5 2 2 3 2 2 4" xfId="671" xr:uid="{00000000-0005-0000-0000-000034300000}"/>
    <cellStyle name="표준 5 2 2 3 2 2 4 10" xfId="24136" xr:uid="{00000000-0005-0000-0000-000035300000}"/>
    <cellStyle name="표준 5 2 2 3 2 2 4 11" xfId="32347" xr:uid="{00000000-0005-0000-0000-000036300000}"/>
    <cellStyle name="표준 5 2 2 3 2 2 4 12" xfId="40540" xr:uid="{00000000-0005-0000-0000-000037300000}"/>
    <cellStyle name="표준 5 2 2 3 2 2 4 2" xfId="1183" xr:uid="{00000000-0005-0000-0000-000038300000}"/>
    <cellStyle name="표준 5 2 2 3 2 2 4 2 2" xfId="10086" xr:uid="{00000000-0005-0000-0000-000039300000}"/>
    <cellStyle name="표준 5 2 2 3 2 2 4 2 2 2" xfId="14198" xr:uid="{00000000-0005-0000-0000-00003A300000}"/>
    <cellStyle name="표준 5 2 2 3 2 2 4 2 2 2 2" xfId="30792" xr:uid="{00000000-0005-0000-0000-00003B300000}"/>
    <cellStyle name="표준 5 2 2 3 2 2 4 2 2 2 3" xfId="39003" xr:uid="{00000000-0005-0000-0000-00003C300000}"/>
    <cellStyle name="표준 5 2 2 3 2 2 4 2 2 2 4" xfId="47196" xr:uid="{00000000-0005-0000-0000-00003D300000}"/>
    <cellStyle name="표준 5 2 2 3 2 2 4 2 2 3" xfId="18438" xr:uid="{00000000-0005-0000-0000-00003E300000}"/>
    <cellStyle name="표준 5 2 2 3 2 2 4 2 2 4" xfId="22600" xr:uid="{00000000-0005-0000-0000-00003F300000}"/>
    <cellStyle name="표준 5 2 2 3 2 2 4 2 2 5" xfId="26696" xr:uid="{00000000-0005-0000-0000-000040300000}"/>
    <cellStyle name="표준 5 2 2 3 2 2 4 2 2 6" xfId="34907" xr:uid="{00000000-0005-0000-0000-000041300000}"/>
    <cellStyle name="표준 5 2 2 3 2 2 4 2 2 7" xfId="43100" xr:uid="{00000000-0005-0000-0000-000042300000}"/>
    <cellStyle name="표준 5 2 2 3 2 2 4 2 3" xfId="8038" xr:uid="{00000000-0005-0000-0000-000043300000}"/>
    <cellStyle name="표준 5 2 2 3 2 2 4 2 3 2" xfId="28744" xr:uid="{00000000-0005-0000-0000-000044300000}"/>
    <cellStyle name="표준 5 2 2 3 2 2 4 2 3 3" xfId="36955" xr:uid="{00000000-0005-0000-0000-000045300000}"/>
    <cellStyle name="표준 5 2 2 3 2 2 4 2 3 4" xfId="45148" xr:uid="{00000000-0005-0000-0000-000046300000}"/>
    <cellStyle name="표준 5 2 2 3 2 2 4 2 4" xfId="12150" xr:uid="{00000000-0005-0000-0000-000047300000}"/>
    <cellStyle name="표준 5 2 2 3 2 2 4 2 5" xfId="16390" xr:uid="{00000000-0005-0000-0000-000048300000}"/>
    <cellStyle name="표준 5 2 2 3 2 2 4 2 6" xfId="20552" xr:uid="{00000000-0005-0000-0000-000049300000}"/>
    <cellStyle name="표준 5 2 2 3 2 2 4 2 7" xfId="24648" xr:uid="{00000000-0005-0000-0000-00004A300000}"/>
    <cellStyle name="표준 5 2 2 3 2 2 4 2 8" xfId="32859" xr:uid="{00000000-0005-0000-0000-00004B300000}"/>
    <cellStyle name="표준 5 2 2 3 2 2 4 2 9" xfId="41052" xr:uid="{00000000-0005-0000-0000-00004C300000}"/>
    <cellStyle name="표준 5 2 2 3 2 2 4 3" xfId="1695" xr:uid="{00000000-0005-0000-0000-00004D300000}"/>
    <cellStyle name="표준 5 2 2 3 2 2 4 3 2" xfId="10598" xr:uid="{00000000-0005-0000-0000-00004E300000}"/>
    <cellStyle name="표준 5 2 2 3 2 2 4 3 2 2" xfId="14710" xr:uid="{00000000-0005-0000-0000-00004F300000}"/>
    <cellStyle name="표준 5 2 2 3 2 2 4 3 2 2 2" xfId="31304" xr:uid="{00000000-0005-0000-0000-000050300000}"/>
    <cellStyle name="표준 5 2 2 3 2 2 4 3 2 2 3" xfId="39515" xr:uid="{00000000-0005-0000-0000-000051300000}"/>
    <cellStyle name="표준 5 2 2 3 2 2 4 3 2 2 4" xfId="47708" xr:uid="{00000000-0005-0000-0000-000052300000}"/>
    <cellStyle name="표준 5 2 2 3 2 2 4 3 2 3" xfId="18950" xr:uid="{00000000-0005-0000-0000-000053300000}"/>
    <cellStyle name="표준 5 2 2 3 2 2 4 3 2 4" xfId="23112" xr:uid="{00000000-0005-0000-0000-000054300000}"/>
    <cellStyle name="표준 5 2 2 3 2 2 4 3 2 5" xfId="27208" xr:uid="{00000000-0005-0000-0000-000055300000}"/>
    <cellStyle name="표준 5 2 2 3 2 2 4 3 2 6" xfId="35419" xr:uid="{00000000-0005-0000-0000-000056300000}"/>
    <cellStyle name="표준 5 2 2 3 2 2 4 3 2 7" xfId="43612" xr:uid="{00000000-0005-0000-0000-000057300000}"/>
    <cellStyle name="표준 5 2 2 3 2 2 4 3 3" xfId="8550" xr:uid="{00000000-0005-0000-0000-000058300000}"/>
    <cellStyle name="표준 5 2 2 3 2 2 4 3 3 2" xfId="29256" xr:uid="{00000000-0005-0000-0000-000059300000}"/>
    <cellStyle name="표준 5 2 2 3 2 2 4 3 3 3" xfId="37467" xr:uid="{00000000-0005-0000-0000-00005A300000}"/>
    <cellStyle name="표준 5 2 2 3 2 2 4 3 3 4" xfId="45660" xr:uid="{00000000-0005-0000-0000-00005B300000}"/>
    <cellStyle name="표준 5 2 2 3 2 2 4 3 4" xfId="12662" xr:uid="{00000000-0005-0000-0000-00005C300000}"/>
    <cellStyle name="표준 5 2 2 3 2 2 4 3 5" xfId="16902" xr:uid="{00000000-0005-0000-0000-00005D300000}"/>
    <cellStyle name="표준 5 2 2 3 2 2 4 3 6" xfId="21064" xr:uid="{00000000-0005-0000-0000-00005E300000}"/>
    <cellStyle name="표준 5 2 2 3 2 2 4 3 7" xfId="25160" xr:uid="{00000000-0005-0000-0000-00005F300000}"/>
    <cellStyle name="표준 5 2 2 3 2 2 4 3 8" xfId="33371" xr:uid="{00000000-0005-0000-0000-000060300000}"/>
    <cellStyle name="표준 5 2 2 3 2 2 4 3 9" xfId="41564" xr:uid="{00000000-0005-0000-0000-000061300000}"/>
    <cellStyle name="표준 5 2 2 3 2 2 4 4" xfId="2207" xr:uid="{00000000-0005-0000-0000-000062300000}"/>
    <cellStyle name="표준 5 2 2 3 2 2 4 4 2" xfId="11110" xr:uid="{00000000-0005-0000-0000-000063300000}"/>
    <cellStyle name="표준 5 2 2 3 2 2 4 4 2 2" xfId="15222" xr:uid="{00000000-0005-0000-0000-000064300000}"/>
    <cellStyle name="표준 5 2 2 3 2 2 4 4 2 2 2" xfId="31816" xr:uid="{00000000-0005-0000-0000-000065300000}"/>
    <cellStyle name="표준 5 2 2 3 2 2 4 4 2 2 3" xfId="40027" xr:uid="{00000000-0005-0000-0000-000066300000}"/>
    <cellStyle name="표준 5 2 2 3 2 2 4 4 2 2 4" xfId="48220" xr:uid="{00000000-0005-0000-0000-000067300000}"/>
    <cellStyle name="표준 5 2 2 3 2 2 4 4 2 3" xfId="19462" xr:uid="{00000000-0005-0000-0000-000068300000}"/>
    <cellStyle name="표준 5 2 2 3 2 2 4 4 2 4" xfId="23624" xr:uid="{00000000-0005-0000-0000-000069300000}"/>
    <cellStyle name="표준 5 2 2 3 2 2 4 4 2 5" xfId="27720" xr:uid="{00000000-0005-0000-0000-00006A300000}"/>
    <cellStyle name="표준 5 2 2 3 2 2 4 4 2 6" xfId="35931" xr:uid="{00000000-0005-0000-0000-00006B300000}"/>
    <cellStyle name="표준 5 2 2 3 2 2 4 4 2 7" xfId="44124" xr:uid="{00000000-0005-0000-0000-00006C300000}"/>
    <cellStyle name="표준 5 2 2 3 2 2 4 4 3" xfId="9062" xr:uid="{00000000-0005-0000-0000-00006D300000}"/>
    <cellStyle name="표준 5 2 2 3 2 2 4 4 3 2" xfId="29768" xr:uid="{00000000-0005-0000-0000-00006E300000}"/>
    <cellStyle name="표준 5 2 2 3 2 2 4 4 3 3" xfId="37979" xr:uid="{00000000-0005-0000-0000-00006F300000}"/>
    <cellStyle name="표준 5 2 2 3 2 2 4 4 3 4" xfId="46172" xr:uid="{00000000-0005-0000-0000-000070300000}"/>
    <cellStyle name="표준 5 2 2 3 2 2 4 4 4" xfId="13174" xr:uid="{00000000-0005-0000-0000-000071300000}"/>
    <cellStyle name="표준 5 2 2 3 2 2 4 4 5" xfId="17414" xr:uid="{00000000-0005-0000-0000-000072300000}"/>
    <cellStyle name="표준 5 2 2 3 2 2 4 4 6" xfId="21576" xr:uid="{00000000-0005-0000-0000-000073300000}"/>
    <cellStyle name="표준 5 2 2 3 2 2 4 4 7" xfId="25672" xr:uid="{00000000-0005-0000-0000-000074300000}"/>
    <cellStyle name="표준 5 2 2 3 2 2 4 4 8" xfId="33883" xr:uid="{00000000-0005-0000-0000-000075300000}"/>
    <cellStyle name="표준 5 2 2 3 2 2 4 4 9" xfId="42076" xr:uid="{00000000-0005-0000-0000-000076300000}"/>
    <cellStyle name="표준 5 2 2 3 2 2 4 5" xfId="9574" xr:uid="{00000000-0005-0000-0000-000077300000}"/>
    <cellStyle name="표준 5 2 2 3 2 2 4 5 2" xfId="13686" xr:uid="{00000000-0005-0000-0000-000078300000}"/>
    <cellStyle name="표준 5 2 2 3 2 2 4 5 2 2" xfId="30280" xr:uid="{00000000-0005-0000-0000-000079300000}"/>
    <cellStyle name="표준 5 2 2 3 2 2 4 5 2 3" xfId="38491" xr:uid="{00000000-0005-0000-0000-00007A300000}"/>
    <cellStyle name="표준 5 2 2 3 2 2 4 5 2 4" xfId="46684" xr:uid="{00000000-0005-0000-0000-00007B300000}"/>
    <cellStyle name="표준 5 2 2 3 2 2 4 5 3" xfId="17926" xr:uid="{00000000-0005-0000-0000-00007C300000}"/>
    <cellStyle name="표준 5 2 2 3 2 2 4 5 4" xfId="22088" xr:uid="{00000000-0005-0000-0000-00007D300000}"/>
    <cellStyle name="표준 5 2 2 3 2 2 4 5 5" xfId="26184" xr:uid="{00000000-0005-0000-0000-00007E300000}"/>
    <cellStyle name="표준 5 2 2 3 2 2 4 5 6" xfId="34395" xr:uid="{00000000-0005-0000-0000-00007F300000}"/>
    <cellStyle name="표준 5 2 2 3 2 2 4 5 7" xfId="42588" xr:uid="{00000000-0005-0000-0000-000080300000}"/>
    <cellStyle name="표준 5 2 2 3 2 2 4 6" xfId="7526" xr:uid="{00000000-0005-0000-0000-000081300000}"/>
    <cellStyle name="표준 5 2 2 3 2 2 4 6 2" xfId="28232" xr:uid="{00000000-0005-0000-0000-000082300000}"/>
    <cellStyle name="표준 5 2 2 3 2 2 4 6 3" xfId="36443" xr:uid="{00000000-0005-0000-0000-000083300000}"/>
    <cellStyle name="표준 5 2 2 3 2 2 4 6 4" xfId="44636" xr:uid="{00000000-0005-0000-0000-000084300000}"/>
    <cellStyle name="표준 5 2 2 3 2 2 4 7" xfId="11638" xr:uid="{00000000-0005-0000-0000-000085300000}"/>
    <cellStyle name="표준 5 2 2 3 2 2 4 8" xfId="15878" xr:uid="{00000000-0005-0000-0000-000086300000}"/>
    <cellStyle name="표준 5 2 2 3 2 2 4 9" xfId="20040" xr:uid="{00000000-0005-0000-0000-000087300000}"/>
    <cellStyle name="표준 5 2 2 3 2 2 5" xfId="927" xr:uid="{00000000-0005-0000-0000-000088300000}"/>
    <cellStyle name="표준 5 2 2 3 2 2 5 2" xfId="9830" xr:uid="{00000000-0005-0000-0000-000089300000}"/>
    <cellStyle name="표준 5 2 2 3 2 2 5 2 2" xfId="13942" xr:uid="{00000000-0005-0000-0000-00008A300000}"/>
    <cellStyle name="표준 5 2 2 3 2 2 5 2 2 2" xfId="30536" xr:uid="{00000000-0005-0000-0000-00008B300000}"/>
    <cellStyle name="표준 5 2 2 3 2 2 5 2 2 3" xfId="38747" xr:uid="{00000000-0005-0000-0000-00008C300000}"/>
    <cellStyle name="표준 5 2 2 3 2 2 5 2 2 4" xfId="46940" xr:uid="{00000000-0005-0000-0000-00008D300000}"/>
    <cellStyle name="표준 5 2 2 3 2 2 5 2 3" xfId="18182" xr:uid="{00000000-0005-0000-0000-00008E300000}"/>
    <cellStyle name="표준 5 2 2 3 2 2 5 2 4" xfId="22344" xr:uid="{00000000-0005-0000-0000-00008F300000}"/>
    <cellStyle name="표준 5 2 2 3 2 2 5 2 5" xfId="26440" xr:uid="{00000000-0005-0000-0000-000090300000}"/>
    <cellStyle name="표준 5 2 2 3 2 2 5 2 6" xfId="34651" xr:uid="{00000000-0005-0000-0000-000091300000}"/>
    <cellStyle name="표준 5 2 2 3 2 2 5 2 7" xfId="42844" xr:uid="{00000000-0005-0000-0000-000092300000}"/>
    <cellStyle name="표준 5 2 2 3 2 2 5 3" xfId="7782" xr:uid="{00000000-0005-0000-0000-000093300000}"/>
    <cellStyle name="표준 5 2 2 3 2 2 5 3 2" xfId="28488" xr:uid="{00000000-0005-0000-0000-000094300000}"/>
    <cellStyle name="표준 5 2 2 3 2 2 5 3 3" xfId="36699" xr:uid="{00000000-0005-0000-0000-000095300000}"/>
    <cellStyle name="표준 5 2 2 3 2 2 5 3 4" xfId="44892" xr:uid="{00000000-0005-0000-0000-000096300000}"/>
    <cellStyle name="표준 5 2 2 3 2 2 5 4" xfId="11894" xr:uid="{00000000-0005-0000-0000-000097300000}"/>
    <cellStyle name="표준 5 2 2 3 2 2 5 5" xfId="16134" xr:uid="{00000000-0005-0000-0000-000098300000}"/>
    <cellStyle name="표준 5 2 2 3 2 2 5 6" xfId="20296" xr:uid="{00000000-0005-0000-0000-000099300000}"/>
    <cellStyle name="표준 5 2 2 3 2 2 5 7" xfId="24392" xr:uid="{00000000-0005-0000-0000-00009A300000}"/>
    <cellStyle name="표준 5 2 2 3 2 2 5 8" xfId="32603" xr:uid="{00000000-0005-0000-0000-00009B300000}"/>
    <cellStyle name="표준 5 2 2 3 2 2 5 9" xfId="40796" xr:uid="{00000000-0005-0000-0000-00009C300000}"/>
    <cellStyle name="표준 5 2 2 3 2 2 6" xfId="1439" xr:uid="{00000000-0005-0000-0000-00009D300000}"/>
    <cellStyle name="표준 5 2 2 3 2 2 6 2" xfId="10342" xr:uid="{00000000-0005-0000-0000-00009E300000}"/>
    <cellStyle name="표준 5 2 2 3 2 2 6 2 2" xfId="14454" xr:uid="{00000000-0005-0000-0000-00009F300000}"/>
    <cellStyle name="표준 5 2 2 3 2 2 6 2 2 2" xfId="31048" xr:uid="{00000000-0005-0000-0000-0000A0300000}"/>
    <cellStyle name="표준 5 2 2 3 2 2 6 2 2 3" xfId="39259" xr:uid="{00000000-0005-0000-0000-0000A1300000}"/>
    <cellStyle name="표준 5 2 2 3 2 2 6 2 2 4" xfId="47452" xr:uid="{00000000-0005-0000-0000-0000A2300000}"/>
    <cellStyle name="표준 5 2 2 3 2 2 6 2 3" xfId="18694" xr:uid="{00000000-0005-0000-0000-0000A3300000}"/>
    <cellStyle name="표준 5 2 2 3 2 2 6 2 4" xfId="22856" xr:uid="{00000000-0005-0000-0000-0000A4300000}"/>
    <cellStyle name="표준 5 2 2 3 2 2 6 2 5" xfId="26952" xr:uid="{00000000-0005-0000-0000-0000A5300000}"/>
    <cellStyle name="표준 5 2 2 3 2 2 6 2 6" xfId="35163" xr:uid="{00000000-0005-0000-0000-0000A6300000}"/>
    <cellStyle name="표준 5 2 2 3 2 2 6 2 7" xfId="43356" xr:uid="{00000000-0005-0000-0000-0000A7300000}"/>
    <cellStyle name="표준 5 2 2 3 2 2 6 3" xfId="8294" xr:uid="{00000000-0005-0000-0000-0000A8300000}"/>
    <cellStyle name="표준 5 2 2 3 2 2 6 3 2" xfId="29000" xr:uid="{00000000-0005-0000-0000-0000A9300000}"/>
    <cellStyle name="표준 5 2 2 3 2 2 6 3 3" xfId="37211" xr:uid="{00000000-0005-0000-0000-0000AA300000}"/>
    <cellStyle name="표준 5 2 2 3 2 2 6 3 4" xfId="45404" xr:uid="{00000000-0005-0000-0000-0000AB300000}"/>
    <cellStyle name="표준 5 2 2 3 2 2 6 4" xfId="12406" xr:uid="{00000000-0005-0000-0000-0000AC300000}"/>
    <cellStyle name="표준 5 2 2 3 2 2 6 5" xfId="16646" xr:uid="{00000000-0005-0000-0000-0000AD300000}"/>
    <cellStyle name="표준 5 2 2 3 2 2 6 6" xfId="20808" xr:uid="{00000000-0005-0000-0000-0000AE300000}"/>
    <cellStyle name="표준 5 2 2 3 2 2 6 7" xfId="24904" xr:uid="{00000000-0005-0000-0000-0000AF300000}"/>
    <cellStyle name="표준 5 2 2 3 2 2 6 8" xfId="33115" xr:uid="{00000000-0005-0000-0000-0000B0300000}"/>
    <cellStyle name="표준 5 2 2 3 2 2 6 9" xfId="41308" xr:uid="{00000000-0005-0000-0000-0000B1300000}"/>
    <cellStyle name="표준 5 2 2 3 2 2 7" xfId="1951" xr:uid="{00000000-0005-0000-0000-0000B2300000}"/>
    <cellStyle name="표준 5 2 2 3 2 2 7 2" xfId="10854" xr:uid="{00000000-0005-0000-0000-0000B3300000}"/>
    <cellStyle name="표준 5 2 2 3 2 2 7 2 2" xfId="14966" xr:uid="{00000000-0005-0000-0000-0000B4300000}"/>
    <cellStyle name="표준 5 2 2 3 2 2 7 2 2 2" xfId="31560" xr:uid="{00000000-0005-0000-0000-0000B5300000}"/>
    <cellStyle name="표준 5 2 2 3 2 2 7 2 2 3" xfId="39771" xr:uid="{00000000-0005-0000-0000-0000B6300000}"/>
    <cellStyle name="표준 5 2 2 3 2 2 7 2 2 4" xfId="47964" xr:uid="{00000000-0005-0000-0000-0000B7300000}"/>
    <cellStyle name="표준 5 2 2 3 2 2 7 2 3" xfId="19206" xr:uid="{00000000-0005-0000-0000-0000B8300000}"/>
    <cellStyle name="표준 5 2 2 3 2 2 7 2 4" xfId="23368" xr:uid="{00000000-0005-0000-0000-0000B9300000}"/>
    <cellStyle name="표준 5 2 2 3 2 2 7 2 5" xfId="27464" xr:uid="{00000000-0005-0000-0000-0000BA300000}"/>
    <cellStyle name="표준 5 2 2 3 2 2 7 2 6" xfId="35675" xr:uid="{00000000-0005-0000-0000-0000BB300000}"/>
    <cellStyle name="표준 5 2 2 3 2 2 7 2 7" xfId="43868" xr:uid="{00000000-0005-0000-0000-0000BC300000}"/>
    <cellStyle name="표준 5 2 2 3 2 2 7 3" xfId="8806" xr:uid="{00000000-0005-0000-0000-0000BD300000}"/>
    <cellStyle name="표준 5 2 2 3 2 2 7 3 2" xfId="29512" xr:uid="{00000000-0005-0000-0000-0000BE300000}"/>
    <cellStyle name="표준 5 2 2 3 2 2 7 3 3" xfId="37723" xr:uid="{00000000-0005-0000-0000-0000BF300000}"/>
    <cellStyle name="표준 5 2 2 3 2 2 7 3 4" xfId="45916" xr:uid="{00000000-0005-0000-0000-0000C0300000}"/>
    <cellStyle name="표준 5 2 2 3 2 2 7 4" xfId="12918" xr:uid="{00000000-0005-0000-0000-0000C1300000}"/>
    <cellStyle name="표준 5 2 2 3 2 2 7 5" xfId="17158" xr:uid="{00000000-0005-0000-0000-0000C2300000}"/>
    <cellStyle name="표준 5 2 2 3 2 2 7 6" xfId="21320" xr:uid="{00000000-0005-0000-0000-0000C3300000}"/>
    <cellStyle name="표준 5 2 2 3 2 2 7 7" xfId="25416" xr:uid="{00000000-0005-0000-0000-0000C4300000}"/>
    <cellStyle name="표준 5 2 2 3 2 2 7 8" xfId="33627" xr:uid="{00000000-0005-0000-0000-0000C5300000}"/>
    <cellStyle name="표준 5 2 2 3 2 2 7 9" xfId="41820" xr:uid="{00000000-0005-0000-0000-0000C6300000}"/>
    <cellStyle name="표준 5 2 2 3 2 2 8" xfId="7043" xr:uid="{00000000-0005-0000-0000-0000C7300000}"/>
    <cellStyle name="표준 5 2 2 3 2 2 8 2" xfId="9318" xr:uid="{00000000-0005-0000-0000-0000C8300000}"/>
    <cellStyle name="표준 5 2 2 3 2 2 8 2 2" xfId="30024" xr:uid="{00000000-0005-0000-0000-0000C9300000}"/>
    <cellStyle name="표준 5 2 2 3 2 2 8 2 3" xfId="38235" xr:uid="{00000000-0005-0000-0000-0000CA300000}"/>
    <cellStyle name="표준 5 2 2 3 2 2 8 2 4" xfId="46428" xr:uid="{00000000-0005-0000-0000-0000CB300000}"/>
    <cellStyle name="표준 5 2 2 3 2 2 8 3" xfId="13430" xr:uid="{00000000-0005-0000-0000-0000CC300000}"/>
    <cellStyle name="표준 5 2 2 3 2 2 8 4" xfId="17670" xr:uid="{00000000-0005-0000-0000-0000CD300000}"/>
    <cellStyle name="표준 5 2 2 3 2 2 8 5" xfId="21832" xr:uid="{00000000-0005-0000-0000-0000CE300000}"/>
    <cellStyle name="표준 5 2 2 3 2 2 8 6" xfId="25928" xr:uid="{00000000-0005-0000-0000-0000CF300000}"/>
    <cellStyle name="표준 5 2 2 3 2 2 8 7" xfId="34139" xr:uid="{00000000-0005-0000-0000-0000D0300000}"/>
    <cellStyle name="표준 5 2 2 3 2 2 8 8" xfId="42332" xr:uid="{00000000-0005-0000-0000-0000D1300000}"/>
    <cellStyle name="표준 5 2 2 3 2 2 9" xfId="7135" xr:uid="{00000000-0005-0000-0000-0000D2300000}"/>
    <cellStyle name="표준 5 2 2 3 2 2 9 2" xfId="27976" xr:uid="{00000000-0005-0000-0000-0000D3300000}"/>
    <cellStyle name="표준 5 2 2 3 2 2 9 3" xfId="36187" xr:uid="{00000000-0005-0000-0000-0000D4300000}"/>
    <cellStyle name="표준 5 2 2 3 2 2 9 4" xfId="44380" xr:uid="{00000000-0005-0000-0000-0000D5300000}"/>
    <cellStyle name="표준 5 2 2 3 2 3" xfId="447" xr:uid="{00000000-0005-0000-0000-0000D6300000}"/>
    <cellStyle name="표준 5 2 2 3 2 3 10" xfId="15654" xr:uid="{00000000-0005-0000-0000-0000D7300000}"/>
    <cellStyle name="표준 5 2 2 3 2 3 11" xfId="19816" xr:uid="{00000000-0005-0000-0000-0000D8300000}"/>
    <cellStyle name="표준 5 2 2 3 2 3 12" xfId="23912" xr:uid="{00000000-0005-0000-0000-0000D9300000}"/>
    <cellStyle name="표준 5 2 2 3 2 3 13" xfId="32123" xr:uid="{00000000-0005-0000-0000-0000DA300000}"/>
    <cellStyle name="표준 5 2 2 3 2 3 14" xfId="40316" xr:uid="{00000000-0005-0000-0000-0000DB300000}"/>
    <cellStyle name="표준 5 2 2 3 2 3 2" xfId="575" xr:uid="{00000000-0005-0000-0000-0000DC300000}"/>
    <cellStyle name="표준 5 2 2 3 2 3 2 10" xfId="19944" xr:uid="{00000000-0005-0000-0000-0000DD300000}"/>
    <cellStyle name="표준 5 2 2 3 2 3 2 11" xfId="24040" xr:uid="{00000000-0005-0000-0000-0000DE300000}"/>
    <cellStyle name="표준 5 2 2 3 2 3 2 12" xfId="32251" xr:uid="{00000000-0005-0000-0000-0000DF300000}"/>
    <cellStyle name="표준 5 2 2 3 2 3 2 13" xfId="40444" xr:uid="{00000000-0005-0000-0000-0000E0300000}"/>
    <cellStyle name="표준 5 2 2 3 2 3 2 2" xfId="831" xr:uid="{00000000-0005-0000-0000-0000E1300000}"/>
    <cellStyle name="표준 5 2 2 3 2 3 2 2 10" xfId="24296" xr:uid="{00000000-0005-0000-0000-0000E2300000}"/>
    <cellStyle name="표준 5 2 2 3 2 3 2 2 11" xfId="32507" xr:uid="{00000000-0005-0000-0000-0000E3300000}"/>
    <cellStyle name="표준 5 2 2 3 2 3 2 2 12" xfId="40700" xr:uid="{00000000-0005-0000-0000-0000E4300000}"/>
    <cellStyle name="표준 5 2 2 3 2 3 2 2 2" xfId="1343" xr:uid="{00000000-0005-0000-0000-0000E5300000}"/>
    <cellStyle name="표준 5 2 2 3 2 3 2 2 2 2" xfId="10246" xr:uid="{00000000-0005-0000-0000-0000E6300000}"/>
    <cellStyle name="표준 5 2 2 3 2 3 2 2 2 2 2" xfId="14358" xr:uid="{00000000-0005-0000-0000-0000E7300000}"/>
    <cellStyle name="표준 5 2 2 3 2 3 2 2 2 2 2 2" xfId="30952" xr:uid="{00000000-0005-0000-0000-0000E8300000}"/>
    <cellStyle name="표준 5 2 2 3 2 3 2 2 2 2 2 3" xfId="39163" xr:uid="{00000000-0005-0000-0000-0000E9300000}"/>
    <cellStyle name="표준 5 2 2 3 2 3 2 2 2 2 2 4" xfId="47356" xr:uid="{00000000-0005-0000-0000-0000EA300000}"/>
    <cellStyle name="표준 5 2 2 3 2 3 2 2 2 2 3" xfId="18598" xr:uid="{00000000-0005-0000-0000-0000EB300000}"/>
    <cellStyle name="표준 5 2 2 3 2 3 2 2 2 2 4" xfId="22760" xr:uid="{00000000-0005-0000-0000-0000EC300000}"/>
    <cellStyle name="표준 5 2 2 3 2 3 2 2 2 2 5" xfId="26856" xr:uid="{00000000-0005-0000-0000-0000ED300000}"/>
    <cellStyle name="표준 5 2 2 3 2 3 2 2 2 2 6" xfId="35067" xr:uid="{00000000-0005-0000-0000-0000EE300000}"/>
    <cellStyle name="표준 5 2 2 3 2 3 2 2 2 2 7" xfId="43260" xr:uid="{00000000-0005-0000-0000-0000EF300000}"/>
    <cellStyle name="표준 5 2 2 3 2 3 2 2 2 3" xfId="8198" xr:uid="{00000000-0005-0000-0000-0000F0300000}"/>
    <cellStyle name="표준 5 2 2 3 2 3 2 2 2 3 2" xfId="28904" xr:uid="{00000000-0005-0000-0000-0000F1300000}"/>
    <cellStyle name="표준 5 2 2 3 2 3 2 2 2 3 3" xfId="37115" xr:uid="{00000000-0005-0000-0000-0000F2300000}"/>
    <cellStyle name="표준 5 2 2 3 2 3 2 2 2 3 4" xfId="45308" xr:uid="{00000000-0005-0000-0000-0000F3300000}"/>
    <cellStyle name="표준 5 2 2 3 2 3 2 2 2 4" xfId="12310" xr:uid="{00000000-0005-0000-0000-0000F4300000}"/>
    <cellStyle name="표준 5 2 2 3 2 3 2 2 2 5" xfId="16550" xr:uid="{00000000-0005-0000-0000-0000F5300000}"/>
    <cellStyle name="표준 5 2 2 3 2 3 2 2 2 6" xfId="20712" xr:uid="{00000000-0005-0000-0000-0000F6300000}"/>
    <cellStyle name="표준 5 2 2 3 2 3 2 2 2 7" xfId="24808" xr:uid="{00000000-0005-0000-0000-0000F7300000}"/>
    <cellStyle name="표준 5 2 2 3 2 3 2 2 2 8" xfId="33019" xr:uid="{00000000-0005-0000-0000-0000F8300000}"/>
    <cellStyle name="표준 5 2 2 3 2 3 2 2 2 9" xfId="41212" xr:uid="{00000000-0005-0000-0000-0000F9300000}"/>
    <cellStyle name="표준 5 2 2 3 2 3 2 2 3" xfId="1855" xr:uid="{00000000-0005-0000-0000-0000FA300000}"/>
    <cellStyle name="표준 5 2 2 3 2 3 2 2 3 2" xfId="10758" xr:uid="{00000000-0005-0000-0000-0000FB300000}"/>
    <cellStyle name="표준 5 2 2 3 2 3 2 2 3 2 2" xfId="14870" xr:uid="{00000000-0005-0000-0000-0000FC300000}"/>
    <cellStyle name="표준 5 2 2 3 2 3 2 2 3 2 2 2" xfId="31464" xr:uid="{00000000-0005-0000-0000-0000FD300000}"/>
    <cellStyle name="표준 5 2 2 3 2 3 2 2 3 2 2 3" xfId="39675" xr:uid="{00000000-0005-0000-0000-0000FE300000}"/>
    <cellStyle name="표준 5 2 2 3 2 3 2 2 3 2 2 4" xfId="47868" xr:uid="{00000000-0005-0000-0000-0000FF300000}"/>
    <cellStyle name="표준 5 2 2 3 2 3 2 2 3 2 3" xfId="19110" xr:uid="{00000000-0005-0000-0000-000000310000}"/>
    <cellStyle name="표준 5 2 2 3 2 3 2 2 3 2 4" xfId="23272" xr:uid="{00000000-0005-0000-0000-000001310000}"/>
    <cellStyle name="표준 5 2 2 3 2 3 2 2 3 2 5" xfId="27368" xr:uid="{00000000-0005-0000-0000-000002310000}"/>
    <cellStyle name="표준 5 2 2 3 2 3 2 2 3 2 6" xfId="35579" xr:uid="{00000000-0005-0000-0000-000003310000}"/>
    <cellStyle name="표준 5 2 2 3 2 3 2 2 3 2 7" xfId="43772" xr:uid="{00000000-0005-0000-0000-000004310000}"/>
    <cellStyle name="표준 5 2 2 3 2 3 2 2 3 3" xfId="8710" xr:uid="{00000000-0005-0000-0000-000005310000}"/>
    <cellStyle name="표준 5 2 2 3 2 3 2 2 3 3 2" xfId="29416" xr:uid="{00000000-0005-0000-0000-000006310000}"/>
    <cellStyle name="표준 5 2 2 3 2 3 2 2 3 3 3" xfId="37627" xr:uid="{00000000-0005-0000-0000-000007310000}"/>
    <cellStyle name="표준 5 2 2 3 2 3 2 2 3 3 4" xfId="45820" xr:uid="{00000000-0005-0000-0000-000008310000}"/>
    <cellStyle name="표준 5 2 2 3 2 3 2 2 3 4" xfId="12822" xr:uid="{00000000-0005-0000-0000-000009310000}"/>
    <cellStyle name="표준 5 2 2 3 2 3 2 2 3 5" xfId="17062" xr:uid="{00000000-0005-0000-0000-00000A310000}"/>
    <cellStyle name="표준 5 2 2 3 2 3 2 2 3 6" xfId="21224" xr:uid="{00000000-0005-0000-0000-00000B310000}"/>
    <cellStyle name="표준 5 2 2 3 2 3 2 2 3 7" xfId="25320" xr:uid="{00000000-0005-0000-0000-00000C310000}"/>
    <cellStyle name="표준 5 2 2 3 2 3 2 2 3 8" xfId="33531" xr:uid="{00000000-0005-0000-0000-00000D310000}"/>
    <cellStyle name="표준 5 2 2 3 2 3 2 2 3 9" xfId="41724" xr:uid="{00000000-0005-0000-0000-00000E310000}"/>
    <cellStyle name="표준 5 2 2 3 2 3 2 2 4" xfId="2367" xr:uid="{00000000-0005-0000-0000-00000F310000}"/>
    <cellStyle name="표준 5 2 2 3 2 3 2 2 4 2" xfId="11270" xr:uid="{00000000-0005-0000-0000-000010310000}"/>
    <cellStyle name="표준 5 2 2 3 2 3 2 2 4 2 2" xfId="15382" xr:uid="{00000000-0005-0000-0000-000011310000}"/>
    <cellStyle name="표준 5 2 2 3 2 3 2 2 4 2 2 2" xfId="31976" xr:uid="{00000000-0005-0000-0000-000012310000}"/>
    <cellStyle name="표준 5 2 2 3 2 3 2 2 4 2 2 3" xfId="40187" xr:uid="{00000000-0005-0000-0000-000013310000}"/>
    <cellStyle name="표준 5 2 2 3 2 3 2 2 4 2 2 4" xfId="48380" xr:uid="{00000000-0005-0000-0000-000014310000}"/>
    <cellStyle name="표준 5 2 2 3 2 3 2 2 4 2 3" xfId="19622" xr:uid="{00000000-0005-0000-0000-000015310000}"/>
    <cellStyle name="표준 5 2 2 3 2 3 2 2 4 2 4" xfId="23784" xr:uid="{00000000-0005-0000-0000-000016310000}"/>
    <cellStyle name="표준 5 2 2 3 2 3 2 2 4 2 5" xfId="27880" xr:uid="{00000000-0005-0000-0000-000017310000}"/>
    <cellStyle name="표준 5 2 2 3 2 3 2 2 4 2 6" xfId="36091" xr:uid="{00000000-0005-0000-0000-000018310000}"/>
    <cellStyle name="표준 5 2 2 3 2 3 2 2 4 2 7" xfId="44284" xr:uid="{00000000-0005-0000-0000-000019310000}"/>
    <cellStyle name="표준 5 2 2 3 2 3 2 2 4 3" xfId="9222" xr:uid="{00000000-0005-0000-0000-00001A310000}"/>
    <cellStyle name="표준 5 2 2 3 2 3 2 2 4 3 2" xfId="29928" xr:uid="{00000000-0005-0000-0000-00001B310000}"/>
    <cellStyle name="표준 5 2 2 3 2 3 2 2 4 3 3" xfId="38139" xr:uid="{00000000-0005-0000-0000-00001C310000}"/>
    <cellStyle name="표준 5 2 2 3 2 3 2 2 4 3 4" xfId="46332" xr:uid="{00000000-0005-0000-0000-00001D310000}"/>
    <cellStyle name="표준 5 2 2 3 2 3 2 2 4 4" xfId="13334" xr:uid="{00000000-0005-0000-0000-00001E310000}"/>
    <cellStyle name="표준 5 2 2 3 2 3 2 2 4 5" xfId="17574" xr:uid="{00000000-0005-0000-0000-00001F310000}"/>
    <cellStyle name="표준 5 2 2 3 2 3 2 2 4 6" xfId="21736" xr:uid="{00000000-0005-0000-0000-000020310000}"/>
    <cellStyle name="표준 5 2 2 3 2 3 2 2 4 7" xfId="25832" xr:uid="{00000000-0005-0000-0000-000021310000}"/>
    <cellStyle name="표준 5 2 2 3 2 3 2 2 4 8" xfId="34043" xr:uid="{00000000-0005-0000-0000-000022310000}"/>
    <cellStyle name="표준 5 2 2 3 2 3 2 2 4 9" xfId="42236" xr:uid="{00000000-0005-0000-0000-000023310000}"/>
    <cellStyle name="표준 5 2 2 3 2 3 2 2 5" xfId="9734" xr:uid="{00000000-0005-0000-0000-000024310000}"/>
    <cellStyle name="표준 5 2 2 3 2 3 2 2 5 2" xfId="13846" xr:uid="{00000000-0005-0000-0000-000025310000}"/>
    <cellStyle name="표준 5 2 2 3 2 3 2 2 5 2 2" xfId="30440" xr:uid="{00000000-0005-0000-0000-000026310000}"/>
    <cellStyle name="표준 5 2 2 3 2 3 2 2 5 2 3" xfId="38651" xr:uid="{00000000-0005-0000-0000-000027310000}"/>
    <cellStyle name="표준 5 2 2 3 2 3 2 2 5 2 4" xfId="46844" xr:uid="{00000000-0005-0000-0000-000028310000}"/>
    <cellStyle name="표준 5 2 2 3 2 3 2 2 5 3" xfId="18086" xr:uid="{00000000-0005-0000-0000-000029310000}"/>
    <cellStyle name="표준 5 2 2 3 2 3 2 2 5 4" xfId="22248" xr:uid="{00000000-0005-0000-0000-00002A310000}"/>
    <cellStyle name="표준 5 2 2 3 2 3 2 2 5 5" xfId="26344" xr:uid="{00000000-0005-0000-0000-00002B310000}"/>
    <cellStyle name="표준 5 2 2 3 2 3 2 2 5 6" xfId="34555" xr:uid="{00000000-0005-0000-0000-00002C310000}"/>
    <cellStyle name="표준 5 2 2 3 2 3 2 2 5 7" xfId="42748" xr:uid="{00000000-0005-0000-0000-00002D310000}"/>
    <cellStyle name="표준 5 2 2 3 2 3 2 2 6" xfId="7686" xr:uid="{00000000-0005-0000-0000-00002E310000}"/>
    <cellStyle name="표준 5 2 2 3 2 3 2 2 6 2" xfId="28392" xr:uid="{00000000-0005-0000-0000-00002F310000}"/>
    <cellStyle name="표준 5 2 2 3 2 3 2 2 6 3" xfId="36603" xr:uid="{00000000-0005-0000-0000-000030310000}"/>
    <cellStyle name="표준 5 2 2 3 2 3 2 2 6 4" xfId="44796" xr:uid="{00000000-0005-0000-0000-000031310000}"/>
    <cellStyle name="표준 5 2 2 3 2 3 2 2 7" xfId="11798" xr:uid="{00000000-0005-0000-0000-000032310000}"/>
    <cellStyle name="표준 5 2 2 3 2 3 2 2 8" xfId="16038" xr:uid="{00000000-0005-0000-0000-000033310000}"/>
    <cellStyle name="표준 5 2 2 3 2 3 2 2 9" xfId="20200" xr:uid="{00000000-0005-0000-0000-000034310000}"/>
    <cellStyle name="표준 5 2 2 3 2 3 2 3" xfId="1087" xr:uid="{00000000-0005-0000-0000-000035310000}"/>
    <cellStyle name="표준 5 2 2 3 2 3 2 3 2" xfId="9990" xr:uid="{00000000-0005-0000-0000-000036310000}"/>
    <cellStyle name="표준 5 2 2 3 2 3 2 3 2 2" xfId="14102" xr:uid="{00000000-0005-0000-0000-000037310000}"/>
    <cellStyle name="표준 5 2 2 3 2 3 2 3 2 2 2" xfId="30696" xr:uid="{00000000-0005-0000-0000-000038310000}"/>
    <cellStyle name="표준 5 2 2 3 2 3 2 3 2 2 3" xfId="38907" xr:uid="{00000000-0005-0000-0000-000039310000}"/>
    <cellStyle name="표준 5 2 2 3 2 3 2 3 2 2 4" xfId="47100" xr:uid="{00000000-0005-0000-0000-00003A310000}"/>
    <cellStyle name="표준 5 2 2 3 2 3 2 3 2 3" xfId="18342" xr:uid="{00000000-0005-0000-0000-00003B310000}"/>
    <cellStyle name="표준 5 2 2 3 2 3 2 3 2 4" xfId="22504" xr:uid="{00000000-0005-0000-0000-00003C310000}"/>
    <cellStyle name="표준 5 2 2 3 2 3 2 3 2 5" xfId="26600" xr:uid="{00000000-0005-0000-0000-00003D310000}"/>
    <cellStyle name="표준 5 2 2 3 2 3 2 3 2 6" xfId="34811" xr:uid="{00000000-0005-0000-0000-00003E310000}"/>
    <cellStyle name="표준 5 2 2 3 2 3 2 3 2 7" xfId="43004" xr:uid="{00000000-0005-0000-0000-00003F310000}"/>
    <cellStyle name="표준 5 2 2 3 2 3 2 3 3" xfId="7942" xr:uid="{00000000-0005-0000-0000-000040310000}"/>
    <cellStyle name="표준 5 2 2 3 2 3 2 3 3 2" xfId="28648" xr:uid="{00000000-0005-0000-0000-000041310000}"/>
    <cellStyle name="표준 5 2 2 3 2 3 2 3 3 3" xfId="36859" xr:uid="{00000000-0005-0000-0000-000042310000}"/>
    <cellStyle name="표준 5 2 2 3 2 3 2 3 3 4" xfId="45052" xr:uid="{00000000-0005-0000-0000-000043310000}"/>
    <cellStyle name="표준 5 2 2 3 2 3 2 3 4" xfId="12054" xr:uid="{00000000-0005-0000-0000-000044310000}"/>
    <cellStyle name="표준 5 2 2 3 2 3 2 3 5" xfId="16294" xr:uid="{00000000-0005-0000-0000-000045310000}"/>
    <cellStyle name="표준 5 2 2 3 2 3 2 3 6" xfId="20456" xr:uid="{00000000-0005-0000-0000-000046310000}"/>
    <cellStyle name="표준 5 2 2 3 2 3 2 3 7" xfId="24552" xr:uid="{00000000-0005-0000-0000-000047310000}"/>
    <cellStyle name="표준 5 2 2 3 2 3 2 3 8" xfId="32763" xr:uid="{00000000-0005-0000-0000-000048310000}"/>
    <cellStyle name="표준 5 2 2 3 2 3 2 3 9" xfId="40956" xr:uid="{00000000-0005-0000-0000-000049310000}"/>
    <cellStyle name="표준 5 2 2 3 2 3 2 4" xfId="1599" xr:uid="{00000000-0005-0000-0000-00004A310000}"/>
    <cellStyle name="표준 5 2 2 3 2 3 2 4 2" xfId="10502" xr:uid="{00000000-0005-0000-0000-00004B310000}"/>
    <cellStyle name="표준 5 2 2 3 2 3 2 4 2 2" xfId="14614" xr:uid="{00000000-0005-0000-0000-00004C310000}"/>
    <cellStyle name="표준 5 2 2 3 2 3 2 4 2 2 2" xfId="31208" xr:uid="{00000000-0005-0000-0000-00004D310000}"/>
    <cellStyle name="표준 5 2 2 3 2 3 2 4 2 2 3" xfId="39419" xr:uid="{00000000-0005-0000-0000-00004E310000}"/>
    <cellStyle name="표준 5 2 2 3 2 3 2 4 2 2 4" xfId="47612" xr:uid="{00000000-0005-0000-0000-00004F310000}"/>
    <cellStyle name="표준 5 2 2 3 2 3 2 4 2 3" xfId="18854" xr:uid="{00000000-0005-0000-0000-000050310000}"/>
    <cellStyle name="표준 5 2 2 3 2 3 2 4 2 4" xfId="23016" xr:uid="{00000000-0005-0000-0000-000051310000}"/>
    <cellStyle name="표준 5 2 2 3 2 3 2 4 2 5" xfId="27112" xr:uid="{00000000-0005-0000-0000-000052310000}"/>
    <cellStyle name="표준 5 2 2 3 2 3 2 4 2 6" xfId="35323" xr:uid="{00000000-0005-0000-0000-000053310000}"/>
    <cellStyle name="표준 5 2 2 3 2 3 2 4 2 7" xfId="43516" xr:uid="{00000000-0005-0000-0000-000054310000}"/>
    <cellStyle name="표준 5 2 2 3 2 3 2 4 3" xfId="8454" xr:uid="{00000000-0005-0000-0000-000055310000}"/>
    <cellStyle name="표준 5 2 2 3 2 3 2 4 3 2" xfId="29160" xr:uid="{00000000-0005-0000-0000-000056310000}"/>
    <cellStyle name="표준 5 2 2 3 2 3 2 4 3 3" xfId="37371" xr:uid="{00000000-0005-0000-0000-000057310000}"/>
    <cellStyle name="표준 5 2 2 3 2 3 2 4 3 4" xfId="45564" xr:uid="{00000000-0005-0000-0000-000058310000}"/>
    <cellStyle name="표준 5 2 2 3 2 3 2 4 4" xfId="12566" xr:uid="{00000000-0005-0000-0000-000059310000}"/>
    <cellStyle name="표준 5 2 2 3 2 3 2 4 5" xfId="16806" xr:uid="{00000000-0005-0000-0000-00005A310000}"/>
    <cellStyle name="표준 5 2 2 3 2 3 2 4 6" xfId="20968" xr:uid="{00000000-0005-0000-0000-00005B310000}"/>
    <cellStyle name="표준 5 2 2 3 2 3 2 4 7" xfId="25064" xr:uid="{00000000-0005-0000-0000-00005C310000}"/>
    <cellStyle name="표준 5 2 2 3 2 3 2 4 8" xfId="33275" xr:uid="{00000000-0005-0000-0000-00005D310000}"/>
    <cellStyle name="표준 5 2 2 3 2 3 2 4 9" xfId="41468" xr:uid="{00000000-0005-0000-0000-00005E310000}"/>
    <cellStyle name="표준 5 2 2 3 2 3 2 5" xfId="2111" xr:uid="{00000000-0005-0000-0000-00005F310000}"/>
    <cellStyle name="표준 5 2 2 3 2 3 2 5 2" xfId="11014" xr:uid="{00000000-0005-0000-0000-000060310000}"/>
    <cellStyle name="표준 5 2 2 3 2 3 2 5 2 2" xfId="15126" xr:uid="{00000000-0005-0000-0000-000061310000}"/>
    <cellStyle name="표준 5 2 2 3 2 3 2 5 2 2 2" xfId="31720" xr:uid="{00000000-0005-0000-0000-000062310000}"/>
    <cellStyle name="표준 5 2 2 3 2 3 2 5 2 2 3" xfId="39931" xr:uid="{00000000-0005-0000-0000-000063310000}"/>
    <cellStyle name="표준 5 2 2 3 2 3 2 5 2 2 4" xfId="48124" xr:uid="{00000000-0005-0000-0000-000064310000}"/>
    <cellStyle name="표준 5 2 2 3 2 3 2 5 2 3" xfId="19366" xr:uid="{00000000-0005-0000-0000-000065310000}"/>
    <cellStyle name="표준 5 2 2 3 2 3 2 5 2 4" xfId="23528" xr:uid="{00000000-0005-0000-0000-000066310000}"/>
    <cellStyle name="표준 5 2 2 3 2 3 2 5 2 5" xfId="27624" xr:uid="{00000000-0005-0000-0000-000067310000}"/>
    <cellStyle name="표준 5 2 2 3 2 3 2 5 2 6" xfId="35835" xr:uid="{00000000-0005-0000-0000-000068310000}"/>
    <cellStyle name="표준 5 2 2 3 2 3 2 5 2 7" xfId="44028" xr:uid="{00000000-0005-0000-0000-000069310000}"/>
    <cellStyle name="표준 5 2 2 3 2 3 2 5 3" xfId="8966" xr:uid="{00000000-0005-0000-0000-00006A310000}"/>
    <cellStyle name="표준 5 2 2 3 2 3 2 5 3 2" xfId="29672" xr:uid="{00000000-0005-0000-0000-00006B310000}"/>
    <cellStyle name="표준 5 2 2 3 2 3 2 5 3 3" xfId="37883" xr:uid="{00000000-0005-0000-0000-00006C310000}"/>
    <cellStyle name="표준 5 2 2 3 2 3 2 5 3 4" xfId="46076" xr:uid="{00000000-0005-0000-0000-00006D310000}"/>
    <cellStyle name="표준 5 2 2 3 2 3 2 5 4" xfId="13078" xr:uid="{00000000-0005-0000-0000-00006E310000}"/>
    <cellStyle name="표준 5 2 2 3 2 3 2 5 5" xfId="17318" xr:uid="{00000000-0005-0000-0000-00006F310000}"/>
    <cellStyle name="표준 5 2 2 3 2 3 2 5 6" xfId="21480" xr:uid="{00000000-0005-0000-0000-000070310000}"/>
    <cellStyle name="표준 5 2 2 3 2 3 2 5 7" xfId="25576" xr:uid="{00000000-0005-0000-0000-000071310000}"/>
    <cellStyle name="표준 5 2 2 3 2 3 2 5 8" xfId="33787" xr:uid="{00000000-0005-0000-0000-000072310000}"/>
    <cellStyle name="표준 5 2 2 3 2 3 2 5 9" xfId="41980" xr:uid="{00000000-0005-0000-0000-000073310000}"/>
    <cellStyle name="표준 5 2 2 3 2 3 2 6" xfId="9478" xr:uid="{00000000-0005-0000-0000-000074310000}"/>
    <cellStyle name="표준 5 2 2 3 2 3 2 6 2" xfId="13590" xr:uid="{00000000-0005-0000-0000-000075310000}"/>
    <cellStyle name="표준 5 2 2 3 2 3 2 6 2 2" xfId="30184" xr:uid="{00000000-0005-0000-0000-000076310000}"/>
    <cellStyle name="표준 5 2 2 3 2 3 2 6 2 3" xfId="38395" xr:uid="{00000000-0005-0000-0000-000077310000}"/>
    <cellStyle name="표준 5 2 2 3 2 3 2 6 2 4" xfId="46588" xr:uid="{00000000-0005-0000-0000-000078310000}"/>
    <cellStyle name="표준 5 2 2 3 2 3 2 6 3" xfId="17830" xr:uid="{00000000-0005-0000-0000-000079310000}"/>
    <cellStyle name="표준 5 2 2 3 2 3 2 6 4" xfId="21992" xr:uid="{00000000-0005-0000-0000-00007A310000}"/>
    <cellStyle name="표준 5 2 2 3 2 3 2 6 5" xfId="26088" xr:uid="{00000000-0005-0000-0000-00007B310000}"/>
    <cellStyle name="표준 5 2 2 3 2 3 2 6 6" xfId="34299" xr:uid="{00000000-0005-0000-0000-00007C310000}"/>
    <cellStyle name="표준 5 2 2 3 2 3 2 6 7" xfId="42492" xr:uid="{00000000-0005-0000-0000-00007D310000}"/>
    <cellStyle name="표준 5 2 2 3 2 3 2 7" xfId="7430" xr:uid="{00000000-0005-0000-0000-00007E310000}"/>
    <cellStyle name="표준 5 2 2 3 2 3 2 7 2" xfId="28136" xr:uid="{00000000-0005-0000-0000-00007F310000}"/>
    <cellStyle name="표준 5 2 2 3 2 3 2 7 3" xfId="36347" xr:uid="{00000000-0005-0000-0000-000080310000}"/>
    <cellStyle name="표준 5 2 2 3 2 3 2 7 4" xfId="44540" xr:uid="{00000000-0005-0000-0000-000081310000}"/>
    <cellStyle name="표준 5 2 2 3 2 3 2 8" xfId="11542" xr:uid="{00000000-0005-0000-0000-000082310000}"/>
    <cellStyle name="표준 5 2 2 3 2 3 2 9" xfId="15782" xr:uid="{00000000-0005-0000-0000-000083310000}"/>
    <cellStyle name="표준 5 2 2 3 2 3 3" xfId="703" xr:uid="{00000000-0005-0000-0000-000084310000}"/>
    <cellStyle name="표준 5 2 2 3 2 3 3 10" xfId="24168" xr:uid="{00000000-0005-0000-0000-000085310000}"/>
    <cellStyle name="표준 5 2 2 3 2 3 3 11" xfId="32379" xr:uid="{00000000-0005-0000-0000-000086310000}"/>
    <cellStyle name="표준 5 2 2 3 2 3 3 12" xfId="40572" xr:uid="{00000000-0005-0000-0000-000087310000}"/>
    <cellStyle name="표준 5 2 2 3 2 3 3 2" xfId="1215" xr:uid="{00000000-0005-0000-0000-000088310000}"/>
    <cellStyle name="표준 5 2 2 3 2 3 3 2 2" xfId="10118" xr:uid="{00000000-0005-0000-0000-000089310000}"/>
    <cellStyle name="표준 5 2 2 3 2 3 3 2 2 2" xfId="14230" xr:uid="{00000000-0005-0000-0000-00008A310000}"/>
    <cellStyle name="표준 5 2 2 3 2 3 3 2 2 2 2" xfId="30824" xr:uid="{00000000-0005-0000-0000-00008B310000}"/>
    <cellStyle name="표준 5 2 2 3 2 3 3 2 2 2 3" xfId="39035" xr:uid="{00000000-0005-0000-0000-00008C310000}"/>
    <cellStyle name="표준 5 2 2 3 2 3 3 2 2 2 4" xfId="47228" xr:uid="{00000000-0005-0000-0000-00008D310000}"/>
    <cellStyle name="표준 5 2 2 3 2 3 3 2 2 3" xfId="18470" xr:uid="{00000000-0005-0000-0000-00008E310000}"/>
    <cellStyle name="표준 5 2 2 3 2 3 3 2 2 4" xfId="22632" xr:uid="{00000000-0005-0000-0000-00008F310000}"/>
    <cellStyle name="표준 5 2 2 3 2 3 3 2 2 5" xfId="26728" xr:uid="{00000000-0005-0000-0000-000090310000}"/>
    <cellStyle name="표준 5 2 2 3 2 3 3 2 2 6" xfId="34939" xr:uid="{00000000-0005-0000-0000-000091310000}"/>
    <cellStyle name="표준 5 2 2 3 2 3 3 2 2 7" xfId="43132" xr:uid="{00000000-0005-0000-0000-000092310000}"/>
    <cellStyle name="표준 5 2 2 3 2 3 3 2 3" xfId="8070" xr:uid="{00000000-0005-0000-0000-000093310000}"/>
    <cellStyle name="표준 5 2 2 3 2 3 3 2 3 2" xfId="28776" xr:uid="{00000000-0005-0000-0000-000094310000}"/>
    <cellStyle name="표준 5 2 2 3 2 3 3 2 3 3" xfId="36987" xr:uid="{00000000-0005-0000-0000-000095310000}"/>
    <cellStyle name="표준 5 2 2 3 2 3 3 2 3 4" xfId="45180" xr:uid="{00000000-0005-0000-0000-000096310000}"/>
    <cellStyle name="표준 5 2 2 3 2 3 3 2 4" xfId="12182" xr:uid="{00000000-0005-0000-0000-000097310000}"/>
    <cellStyle name="표준 5 2 2 3 2 3 3 2 5" xfId="16422" xr:uid="{00000000-0005-0000-0000-000098310000}"/>
    <cellStyle name="표준 5 2 2 3 2 3 3 2 6" xfId="20584" xr:uid="{00000000-0005-0000-0000-000099310000}"/>
    <cellStyle name="표준 5 2 2 3 2 3 3 2 7" xfId="24680" xr:uid="{00000000-0005-0000-0000-00009A310000}"/>
    <cellStyle name="표준 5 2 2 3 2 3 3 2 8" xfId="32891" xr:uid="{00000000-0005-0000-0000-00009B310000}"/>
    <cellStyle name="표준 5 2 2 3 2 3 3 2 9" xfId="41084" xr:uid="{00000000-0005-0000-0000-00009C310000}"/>
    <cellStyle name="표준 5 2 2 3 2 3 3 3" xfId="1727" xr:uid="{00000000-0005-0000-0000-00009D310000}"/>
    <cellStyle name="표준 5 2 2 3 2 3 3 3 2" xfId="10630" xr:uid="{00000000-0005-0000-0000-00009E310000}"/>
    <cellStyle name="표준 5 2 2 3 2 3 3 3 2 2" xfId="14742" xr:uid="{00000000-0005-0000-0000-00009F310000}"/>
    <cellStyle name="표준 5 2 2 3 2 3 3 3 2 2 2" xfId="31336" xr:uid="{00000000-0005-0000-0000-0000A0310000}"/>
    <cellStyle name="표준 5 2 2 3 2 3 3 3 2 2 3" xfId="39547" xr:uid="{00000000-0005-0000-0000-0000A1310000}"/>
    <cellStyle name="표준 5 2 2 3 2 3 3 3 2 2 4" xfId="47740" xr:uid="{00000000-0005-0000-0000-0000A2310000}"/>
    <cellStyle name="표준 5 2 2 3 2 3 3 3 2 3" xfId="18982" xr:uid="{00000000-0005-0000-0000-0000A3310000}"/>
    <cellStyle name="표준 5 2 2 3 2 3 3 3 2 4" xfId="23144" xr:uid="{00000000-0005-0000-0000-0000A4310000}"/>
    <cellStyle name="표준 5 2 2 3 2 3 3 3 2 5" xfId="27240" xr:uid="{00000000-0005-0000-0000-0000A5310000}"/>
    <cellStyle name="표준 5 2 2 3 2 3 3 3 2 6" xfId="35451" xr:uid="{00000000-0005-0000-0000-0000A6310000}"/>
    <cellStyle name="표준 5 2 2 3 2 3 3 3 2 7" xfId="43644" xr:uid="{00000000-0005-0000-0000-0000A7310000}"/>
    <cellStyle name="표준 5 2 2 3 2 3 3 3 3" xfId="8582" xr:uid="{00000000-0005-0000-0000-0000A8310000}"/>
    <cellStyle name="표준 5 2 2 3 2 3 3 3 3 2" xfId="29288" xr:uid="{00000000-0005-0000-0000-0000A9310000}"/>
    <cellStyle name="표준 5 2 2 3 2 3 3 3 3 3" xfId="37499" xr:uid="{00000000-0005-0000-0000-0000AA310000}"/>
    <cellStyle name="표준 5 2 2 3 2 3 3 3 3 4" xfId="45692" xr:uid="{00000000-0005-0000-0000-0000AB310000}"/>
    <cellStyle name="표준 5 2 2 3 2 3 3 3 4" xfId="12694" xr:uid="{00000000-0005-0000-0000-0000AC310000}"/>
    <cellStyle name="표준 5 2 2 3 2 3 3 3 5" xfId="16934" xr:uid="{00000000-0005-0000-0000-0000AD310000}"/>
    <cellStyle name="표준 5 2 2 3 2 3 3 3 6" xfId="21096" xr:uid="{00000000-0005-0000-0000-0000AE310000}"/>
    <cellStyle name="표준 5 2 2 3 2 3 3 3 7" xfId="25192" xr:uid="{00000000-0005-0000-0000-0000AF310000}"/>
    <cellStyle name="표준 5 2 2 3 2 3 3 3 8" xfId="33403" xr:uid="{00000000-0005-0000-0000-0000B0310000}"/>
    <cellStyle name="표준 5 2 2 3 2 3 3 3 9" xfId="41596" xr:uid="{00000000-0005-0000-0000-0000B1310000}"/>
    <cellStyle name="표준 5 2 2 3 2 3 3 4" xfId="2239" xr:uid="{00000000-0005-0000-0000-0000B2310000}"/>
    <cellStyle name="표준 5 2 2 3 2 3 3 4 2" xfId="11142" xr:uid="{00000000-0005-0000-0000-0000B3310000}"/>
    <cellStyle name="표준 5 2 2 3 2 3 3 4 2 2" xfId="15254" xr:uid="{00000000-0005-0000-0000-0000B4310000}"/>
    <cellStyle name="표준 5 2 2 3 2 3 3 4 2 2 2" xfId="31848" xr:uid="{00000000-0005-0000-0000-0000B5310000}"/>
    <cellStyle name="표준 5 2 2 3 2 3 3 4 2 2 3" xfId="40059" xr:uid="{00000000-0005-0000-0000-0000B6310000}"/>
    <cellStyle name="표준 5 2 2 3 2 3 3 4 2 2 4" xfId="48252" xr:uid="{00000000-0005-0000-0000-0000B7310000}"/>
    <cellStyle name="표준 5 2 2 3 2 3 3 4 2 3" xfId="19494" xr:uid="{00000000-0005-0000-0000-0000B8310000}"/>
    <cellStyle name="표준 5 2 2 3 2 3 3 4 2 4" xfId="23656" xr:uid="{00000000-0005-0000-0000-0000B9310000}"/>
    <cellStyle name="표준 5 2 2 3 2 3 3 4 2 5" xfId="27752" xr:uid="{00000000-0005-0000-0000-0000BA310000}"/>
    <cellStyle name="표준 5 2 2 3 2 3 3 4 2 6" xfId="35963" xr:uid="{00000000-0005-0000-0000-0000BB310000}"/>
    <cellStyle name="표준 5 2 2 3 2 3 3 4 2 7" xfId="44156" xr:uid="{00000000-0005-0000-0000-0000BC310000}"/>
    <cellStyle name="표준 5 2 2 3 2 3 3 4 3" xfId="9094" xr:uid="{00000000-0005-0000-0000-0000BD310000}"/>
    <cellStyle name="표준 5 2 2 3 2 3 3 4 3 2" xfId="29800" xr:uid="{00000000-0005-0000-0000-0000BE310000}"/>
    <cellStyle name="표준 5 2 2 3 2 3 3 4 3 3" xfId="38011" xr:uid="{00000000-0005-0000-0000-0000BF310000}"/>
    <cellStyle name="표준 5 2 2 3 2 3 3 4 3 4" xfId="46204" xr:uid="{00000000-0005-0000-0000-0000C0310000}"/>
    <cellStyle name="표준 5 2 2 3 2 3 3 4 4" xfId="13206" xr:uid="{00000000-0005-0000-0000-0000C1310000}"/>
    <cellStyle name="표준 5 2 2 3 2 3 3 4 5" xfId="17446" xr:uid="{00000000-0005-0000-0000-0000C2310000}"/>
    <cellStyle name="표준 5 2 2 3 2 3 3 4 6" xfId="21608" xr:uid="{00000000-0005-0000-0000-0000C3310000}"/>
    <cellStyle name="표준 5 2 2 3 2 3 3 4 7" xfId="25704" xr:uid="{00000000-0005-0000-0000-0000C4310000}"/>
    <cellStyle name="표준 5 2 2 3 2 3 3 4 8" xfId="33915" xr:uid="{00000000-0005-0000-0000-0000C5310000}"/>
    <cellStyle name="표준 5 2 2 3 2 3 3 4 9" xfId="42108" xr:uid="{00000000-0005-0000-0000-0000C6310000}"/>
    <cellStyle name="표준 5 2 2 3 2 3 3 5" xfId="9606" xr:uid="{00000000-0005-0000-0000-0000C7310000}"/>
    <cellStyle name="표준 5 2 2 3 2 3 3 5 2" xfId="13718" xr:uid="{00000000-0005-0000-0000-0000C8310000}"/>
    <cellStyle name="표준 5 2 2 3 2 3 3 5 2 2" xfId="30312" xr:uid="{00000000-0005-0000-0000-0000C9310000}"/>
    <cellStyle name="표준 5 2 2 3 2 3 3 5 2 3" xfId="38523" xr:uid="{00000000-0005-0000-0000-0000CA310000}"/>
    <cellStyle name="표준 5 2 2 3 2 3 3 5 2 4" xfId="46716" xr:uid="{00000000-0005-0000-0000-0000CB310000}"/>
    <cellStyle name="표준 5 2 2 3 2 3 3 5 3" xfId="17958" xr:uid="{00000000-0005-0000-0000-0000CC310000}"/>
    <cellStyle name="표준 5 2 2 3 2 3 3 5 4" xfId="22120" xr:uid="{00000000-0005-0000-0000-0000CD310000}"/>
    <cellStyle name="표준 5 2 2 3 2 3 3 5 5" xfId="26216" xr:uid="{00000000-0005-0000-0000-0000CE310000}"/>
    <cellStyle name="표준 5 2 2 3 2 3 3 5 6" xfId="34427" xr:uid="{00000000-0005-0000-0000-0000CF310000}"/>
    <cellStyle name="표준 5 2 2 3 2 3 3 5 7" xfId="42620" xr:uid="{00000000-0005-0000-0000-0000D0310000}"/>
    <cellStyle name="표준 5 2 2 3 2 3 3 6" xfId="7558" xr:uid="{00000000-0005-0000-0000-0000D1310000}"/>
    <cellStyle name="표준 5 2 2 3 2 3 3 6 2" xfId="28264" xr:uid="{00000000-0005-0000-0000-0000D2310000}"/>
    <cellStyle name="표준 5 2 2 3 2 3 3 6 3" xfId="36475" xr:uid="{00000000-0005-0000-0000-0000D3310000}"/>
    <cellStyle name="표준 5 2 2 3 2 3 3 6 4" xfId="44668" xr:uid="{00000000-0005-0000-0000-0000D4310000}"/>
    <cellStyle name="표준 5 2 2 3 2 3 3 7" xfId="11670" xr:uid="{00000000-0005-0000-0000-0000D5310000}"/>
    <cellStyle name="표준 5 2 2 3 2 3 3 8" xfId="15910" xr:uid="{00000000-0005-0000-0000-0000D6310000}"/>
    <cellStyle name="표준 5 2 2 3 2 3 3 9" xfId="20072" xr:uid="{00000000-0005-0000-0000-0000D7310000}"/>
    <cellStyle name="표준 5 2 2 3 2 3 4" xfId="959" xr:uid="{00000000-0005-0000-0000-0000D8310000}"/>
    <cellStyle name="표준 5 2 2 3 2 3 4 2" xfId="9862" xr:uid="{00000000-0005-0000-0000-0000D9310000}"/>
    <cellStyle name="표준 5 2 2 3 2 3 4 2 2" xfId="13974" xr:uid="{00000000-0005-0000-0000-0000DA310000}"/>
    <cellStyle name="표준 5 2 2 3 2 3 4 2 2 2" xfId="30568" xr:uid="{00000000-0005-0000-0000-0000DB310000}"/>
    <cellStyle name="표준 5 2 2 3 2 3 4 2 2 3" xfId="38779" xr:uid="{00000000-0005-0000-0000-0000DC310000}"/>
    <cellStyle name="표준 5 2 2 3 2 3 4 2 2 4" xfId="46972" xr:uid="{00000000-0005-0000-0000-0000DD310000}"/>
    <cellStyle name="표준 5 2 2 3 2 3 4 2 3" xfId="18214" xr:uid="{00000000-0005-0000-0000-0000DE310000}"/>
    <cellStyle name="표준 5 2 2 3 2 3 4 2 4" xfId="22376" xr:uid="{00000000-0005-0000-0000-0000DF310000}"/>
    <cellStyle name="표준 5 2 2 3 2 3 4 2 5" xfId="26472" xr:uid="{00000000-0005-0000-0000-0000E0310000}"/>
    <cellStyle name="표준 5 2 2 3 2 3 4 2 6" xfId="34683" xr:uid="{00000000-0005-0000-0000-0000E1310000}"/>
    <cellStyle name="표준 5 2 2 3 2 3 4 2 7" xfId="42876" xr:uid="{00000000-0005-0000-0000-0000E2310000}"/>
    <cellStyle name="표준 5 2 2 3 2 3 4 3" xfId="7814" xr:uid="{00000000-0005-0000-0000-0000E3310000}"/>
    <cellStyle name="표준 5 2 2 3 2 3 4 3 2" xfId="28520" xr:uid="{00000000-0005-0000-0000-0000E4310000}"/>
    <cellStyle name="표준 5 2 2 3 2 3 4 3 3" xfId="36731" xr:uid="{00000000-0005-0000-0000-0000E5310000}"/>
    <cellStyle name="표준 5 2 2 3 2 3 4 3 4" xfId="44924" xr:uid="{00000000-0005-0000-0000-0000E6310000}"/>
    <cellStyle name="표준 5 2 2 3 2 3 4 4" xfId="11926" xr:uid="{00000000-0005-0000-0000-0000E7310000}"/>
    <cellStyle name="표준 5 2 2 3 2 3 4 5" xfId="16166" xr:uid="{00000000-0005-0000-0000-0000E8310000}"/>
    <cellStyle name="표준 5 2 2 3 2 3 4 6" xfId="20328" xr:uid="{00000000-0005-0000-0000-0000E9310000}"/>
    <cellStyle name="표준 5 2 2 3 2 3 4 7" xfId="24424" xr:uid="{00000000-0005-0000-0000-0000EA310000}"/>
    <cellStyle name="표준 5 2 2 3 2 3 4 8" xfId="32635" xr:uid="{00000000-0005-0000-0000-0000EB310000}"/>
    <cellStyle name="표준 5 2 2 3 2 3 4 9" xfId="40828" xr:uid="{00000000-0005-0000-0000-0000EC310000}"/>
    <cellStyle name="표준 5 2 2 3 2 3 5" xfId="1471" xr:uid="{00000000-0005-0000-0000-0000ED310000}"/>
    <cellStyle name="표준 5 2 2 3 2 3 5 2" xfId="10374" xr:uid="{00000000-0005-0000-0000-0000EE310000}"/>
    <cellStyle name="표준 5 2 2 3 2 3 5 2 2" xfId="14486" xr:uid="{00000000-0005-0000-0000-0000EF310000}"/>
    <cellStyle name="표준 5 2 2 3 2 3 5 2 2 2" xfId="31080" xr:uid="{00000000-0005-0000-0000-0000F0310000}"/>
    <cellStyle name="표준 5 2 2 3 2 3 5 2 2 3" xfId="39291" xr:uid="{00000000-0005-0000-0000-0000F1310000}"/>
    <cellStyle name="표준 5 2 2 3 2 3 5 2 2 4" xfId="47484" xr:uid="{00000000-0005-0000-0000-0000F2310000}"/>
    <cellStyle name="표준 5 2 2 3 2 3 5 2 3" xfId="18726" xr:uid="{00000000-0005-0000-0000-0000F3310000}"/>
    <cellStyle name="표준 5 2 2 3 2 3 5 2 4" xfId="22888" xr:uid="{00000000-0005-0000-0000-0000F4310000}"/>
    <cellStyle name="표준 5 2 2 3 2 3 5 2 5" xfId="26984" xr:uid="{00000000-0005-0000-0000-0000F5310000}"/>
    <cellStyle name="표준 5 2 2 3 2 3 5 2 6" xfId="35195" xr:uid="{00000000-0005-0000-0000-0000F6310000}"/>
    <cellStyle name="표준 5 2 2 3 2 3 5 2 7" xfId="43388" xr:uid="{00000000-0005-0000-0000-0000F7310000}"/>
    <cellStyle name="표준 5 2 2 3 2 3 5 3" xfId="8326" xr:uid="{00000000-0005-0000-0000-0000F8310000}"/>
    <cellStyle name="표준 5 2 2 3 2 3 5 3 2" xfId="29032" xr:uid="{00000000-0005-0000-0000-0000F9310000}"/>
    <cellStyle name="표준 5 2 2 3 2 3 5 3 3" xfId="37243" xr:uid="{00000000-0005-0000-0000-0000FA310000}"/>
    <cellStyle name="표준 5 2 2 3 2 3 5 3 4" xfId="45436" xr:uid="{00000000-0005-0000-0000-0000FB310000}"/>
    <cellStyle name="표준 5 2 2 3 2 3 5 4" xfId="12438" xr:uid="{00000000-0005-0000-0000-0000FC310000}"/>
    <cellStyle name="표준 5 2 2 3 2 3 5 5" xfId="16678" xr:uid="{00000000-0005-0000-0000-0000FD310000}"/>
    <cellStyle name="표준 5 2 2 3 2 3 5 6" xfId="20840" xr:uid="{00000000-0005-0000-0000-0000FE310000}"/>
    <cellStyle name="표준 5 2 2 3 2 3 5 7" xfId="24936" xr:uid="{00000000-0005-0000-0000-0000FF310000}"/>
    <cellStyle name="표준 5 2 2 3 2 3 5 8" xfId="33147" xr:uid="{00000000-0005-0000-0000-000000320000}"/>
    <cellStyle name="표준 5 2 2 3 2 3 5 9" xfId="41340" xr:uid="{00000000-0005-0000-0000-000001320000}"/>
    <cellStyle name="표준 5 2 2 3 2 3 6" xfId="1983" xr:uid="{00000000-0005-0000-0000-000002320000}"/>
    <cellStyle name="표준 5 2 2 3 2 3 6 2" xfId="10886" xr:uid="{00000000-0005-0000-0000-000003320000}"/>
    <cellStyle name="표준 5 2 2 3 2 3 6 2 2" xfId="14998" xr:uid="{00000000-0005-0000-0000-000004320000}"/>
    <cellStyle name="표준 5 2 2 3 2 3 6 2 2 2" xfId="31592" xr:uid="{00000000-0005-0000-0000-000005320000}"/>
    <cellStyle name="표준 5 2 2 3 2 3 6 2 2 3" xfId="39803" xr:uid="{00000000-0005-0000-0000-000006320000}"/>
    <cellStyle name="표준 5 2 2 3 2 3 6 2 2 4" xfId="47996" xr:uid="{00000000-0005-0000-0000-000007320000}"/>
    <cellStyle name="표준 5 2 2 3 2 3 6 2 3" xfId="19238" xr:uid="{00000000-0005-0000-0000-000008320000}"/>
    <cellStyle name="표준 5 2 2 3 2 3 6 2 4" xfId="23400" xr:uid="{00000000-0005-0000-0000-000009320000}"/>
    <cellStyle name="표준 5 2 2 3 2 3 6 2 5" xfId="27496" xr:uid="{00000000-0005-0000-0000-00000A320000}"/>
    <cellStyle name="표준 5 2 2 3 2 3 6 2 6" xfId="35707" xr:uid="{00000000-0005-0000-0000-00000B320000}"/>
    <cellStyle name="표준 5 2 2 3 2 3 6 2 7" xfId="43900" xr:uid="{00000000-0005-0000-0000-00000C320000}"/>
    <cellStyle name="표준 5 2 2 3 2 3 6 3" xfId="8838" xr:uid="{00000000-0005-0000-0000-00000D320000}"/>
    <cellStyle name="표준 5 2 2 3 2 3 6 3 2" xfId="29544" xr:uid="{00000000-0005-0000-0000-00000E320000}"/>
    <cellStyle name="표준 5 2 2 3 2 3 6 3 3" xfId="37755" xr:uid="{00000000-0005-0000-0000-00000F320000}"/>
    <cellStyle name="표준 5 2 2 3 2 3 6 3 4" xfId="45948" xr:uid="{00000000-0005-0000-0000-000010320000}"/>
    <cellStyle name="표준 5 2 2 3 2 3 6 4" xfId="12950" xr:uid="{00000000-0005-0000-0000-000011320000}"/>
    <cellStyle name="표준 5 2 2 3 2 3 6 5" xfId="17190" xr:uid="{00000000-0005-0000-0000-000012320000}"/>
    <cellStyle name="표준 5 2 2 3 2 3 6 6" xfId="21352" xr:uid="{00000000-0005-0000-0000-000013320000}"/>
    <cellStyle name="표준 5 2 2 3 2 3 6 7" xfId="25448" xr:uid="{00000000-0005-0000-0000-000014320000}"/>
    <cellStyle name="표준 5 2 2 3 2 3 6 8" xfId="33659" xr:uid="{00000000-0005-0000-0000-000015320000}"/>
    <cellStyle name="표준 5 2 2 3 2 3 6 9" xfId="41852" xr:uid="{00000000-0005-0000-0000-000016320000}"/>
    <cellStyle name="표준 5 2 2 3 2 3 7" xfId="9350" xr:uid="{00000000-0005-0000-0000-000017320000}"/>
    <cellStyle name="표준 5 2 2 3 2 3 7 2" xfId="13462" xr:uid="{00000000-0005-0000-0000-000018320000}"/>
    <cellStyle name="표준 5 2 2 3 2 3 7 2 2" xfId="30056" xr:uid="{00000000-0005-0000-0000-000019320000}"/>
    <cellStyle name="표준 5 2 2 3 2 3 7 2 3" xfId="38267" xr:uid="{00000000-0005-0000-0000-00001A320000}"/>
    <cellStyle name="표준 5 2 2 3 2 3 7 2 4" xfId="46460" xr:uid="{00000000-0005-0000-0000-00001B320000}"/>
    <cellStyle name="표준 5 2 2 3 2 3 7 3" xfId="17702" xr:uid="{00000000-0005-0000-0000-00001C320000}"/>
    <cellStyle name="표준 5 2 2 3 2 3 7 4" xfId="21864" xr:uid="{00000000-0005-0000-0000-00001D320000}"/>
    <cellStyle name="표준 5 2 2 3 2 3 7 5" xfId="25960" xr:uid="{00000000-0005-0000-0000-00001E320000}"/>
    <cellStyle name="표준 5 2 2 3 2 3 7 6" xfId="34171" xr:uid="{00000000-0005-0000-0000-00001F320000}"/>
    <cellStyle name="표준 5 2 2 3 2 3 7 7" xfId="42364" xr:uid="{00000000-0005-0000-0000-000020320000}"/>
    <cellStyle name="표준 5 2 2 3 2 3 8" xfId="7302" xr:uid="{00000000-0005-0000-0000-000021320000}"/>
    <cellStyle name="표준 5 2 2 3 2 3 8 2" xfId="28008" xr:uid="{00000000-0005-0000-0000-000022320000}"/>
    <cellStyle name="표준 5 2 2 3 2 3 8 3" xfId="36219" xr:uid="{00000000-0005-0000-0000-000023320000}"/>
    <cellStyle name="표준 5 2 2 3 2 3 8 4" xfId="44412" xr:uid="{00000000-0005-0000-0000-000024320000}"/>
    <cellStyle name="표준 5 2 2 3 2 3 9" xfId="11414" xr:uid="{00000000-0005-0000-0000-000025320000}"/>
    <cellStyle name="표준 5 2 2 3 2 4" xfId="511" xr:uid="{00000000-0005-0000-0000-000026320000}"/>
    <cellStyle name="표준 5 2 2 3 2 4 10" xfId="19880" xr:uid="{00000000-0005-0000-0000-000027320000}"/>
    <cellStyle name="표준 5 2 2 3 2 4 11" xfId="23976" xr:uid="{00000000-0005-0000-0000-000028320000}"/>
    <cellStyle name="표준 5 2 2 3 2 4 12" xfId="32187" xr:uid="{00000000-0005-0000-0000-000029320000}"/>
    <cellStyle name="표준 5 2 2 3 2 4 13" xfId="40380" xr:uid="{00000000-0005-0000-0000-00002A320000}"/>
    <cellStyle name="표준 5 2 2 3 2 4 2" xfId="767" xr:uid="{00000000-0005-0000-0000-00002B320000}"/>
    <cellStyle name="표준 5 2 2 3 2 4 2 10" xfId="24232" xr:uid="{00000000-0005-0000-0000-00002C320000}"/>
    <cellStyle name="표준 5 2 2 3 2 4 2 11" xfId="32443" xr:uid="{00000000-0005-0000-0000-00002D320000}"/>
    <cellStyle name="표준 5 2 2 3 2 4 2 12" xfId="40636" xr:uid="{00000000-0005-0000-0000-00002E320000}"/>
    <cellStyle name="표준 5 2 2 3 2 4 2 2" xfId="1279" xr:uid="{00000000-0005-0000-0000-00002F320000}"/>
    <cellStyle name="표준 5 2 2 3 2 4 2 2 2" xfId="10182" xr:uid="{00000000-0005-0000-0000-000030320000}"/>
    <cellStyle name="표준 5 2 2 3 2 4 2 2 2 2" xfId="14294" xr:uid="{00000000-0005-0000-0000-000031320000}"/>
    <cellStyle name="표준 5 2 2 3 2 4 2 2 2 2 2" xfId="30888" xr:uid="{00000000-0005-0000-0000-000032320000}"/>
    <cellStyle name="표준 5 2 2 3 2 4 2 2 2 2 3" xfId="39099" xr:uid="{00000000-0005-0000-0000-000033320000}"/>
    <cellStyle name="표준 5 2 2 3 2 4 2 2 2 2 4" xfId="47292" xr:uid="{00000000-0005-0000-0000-000034320000}"/>
    <cellStyle name="표준 5 2 2 3 2 4 2 2 2 3" xfId="18534" xr:uid="{00000000-0005-0000-0000-000035320000}"/>
    <cellStyle name="표준 5 2 2 3 2 4 2 2 2 4" xfId="22696" xr:uid="{00000000-0005-0000-0000-000036320000}"/>
    <cellStyle name="표준 5 2 2 3 2 4 2 2 2 5" xfId="26792" xr:uid="{00000000-0005-0000-0000-000037320000}"/>
    <cellStyle name="표준 5 2 2 3 2 4 2 2 2 6" xfId="35003" xr:uid="{00000000-0005-0000-0000-000038320000}"/>
    <cellStyle name="표준 5 2 2 3 2 4 2 2 2 7" xfId="43196" xr:uid="{00000000-0005-0000-0000-000039320000}"/>
    <cellStyle name="표준 5 2 2 3 2 4 2 2 3" xfId="8134" xr:uid="{00000000-0005-0000-0000-00003A320000}"/>
    <cellStyle name="표준 5 2 2 3 2 4 2 2 3 2" xfId="28840" xr:uid="{00000000-0005-0000-0000-00003B320000}"/>
    <cellStyle name="표준 5 2 2 3 2 4 2 2 3 3" xfId="37051" xr:uid="{00000000-0005-0000-0000-00003C320000}"/>
    <cellStyle name="표준 5 2 2 3 2 4 2 2 3 4" xfId="45244" xr:uid="{00000000-0005-0000-0000-00003D320000}"/>
    <cellStyle name="표준 5 2 2 3 2 4 2 2 4" xfId="12246" xr:uid="{00000000-0005-0000-0000-00003E320000}"/>
    <cellStyle name="표준 5 2 2 3 2 4 2 2 5" xfId="16486" xr:uid="{00000000-0005-0000-0000-00003F320000}"/>
    <cellStyle name="표준 5 2 2 3 2 4 2 2 6" xfId="20648" xr:uid="{00000000-0005-0000-0000-000040320000}"/>
    <cellStyle name="표준 5 2 2 3 2 4 2 2 7" xfId="24744" xr:uid="{00000000-0005-0000-0000-000041320000}"/>
    <cellStyle name="표준 5 2 2 3 2 4 2 2 8" xfId="32955" xr:uid="{00000000-0005-0000-0000-000042320000}"/>
    <cellStyle name="표준 5 2 2 3 2 4 2 2 9" xfId="41148" xr:uid="{00000000-0005-0000-0000-000043320000}"/>
    <cellStyle name="표준 5 2 2 3 2 4 2 3" xfId="1791" xr:uid="{00000000-0005-0000-0000-000044320000}"/>
    <cellStyle name="표준 5 2 2 3 2 4 2 3 2" xfId="10694" xr:uid="{00000000-0005-0000-0000-000045320000}"/>
    <cellStyle name="표준 5 2 2 3 2 4 2 3 2 2" xfId="14806" xr:uid="{00000000-0005-0000-0000-000046320000}"/>
    <cellStyle name="표준 5 2 2 3 2 4 2 3 2 2 2" xfId="31400" xr:uid="{00000000-0005-0000-0000-000047320000}"/>
    <cellStyle name="표준 5 2 2 3 2 4 2 3 2 2 3" xfId="39611" xr:uid="{00000000-0005-0000-0000-000048320000}"/>
    <cellStyle name="표준 5 2 2 3 2 4 2 3 2 2 4" xfId="47804" xr:uid="{00000000-0005-0000-0000-000049320000}"/>
    <cellStyle name="표준 5 2 2 3 2 4 2 3 2 3" xfId="19046" xr:uid="{00000000-0005-0000-0000-00004A320000}"/>
    <cellStyle name="표준 5 2 2 3 2 4 2 3 2 4" xfId="23208" xr:uid="{00000000-0005-0000-0000-00004B320000}"/>
    <cellStyle name="표준 5 2 2 3 2 4 2 3 2 5" xfId="27304" xr:uid="{00000000-0005-0000-0000-00004C320000}"/>
    <cellStyle name="표준 5 2 2 3 2 4 2 3 2 6" xfId="35515" xr:uid="{00000000-0005-0000-0000-00004D320000}"/>
    <cellStyle name="표준 5 2 2 3 2 4 2 3 2 7" xfId="43708" xr:uid="{00000000-0005-0000-0000-00004E320000}"/>
    <cellStyle name="표준 5 2 2 3 2 4 2 3 3" xfId="8646" xr:uid="{00000000-0005-0000-0000-00004F320000}"/>
    <cellStyle name="표준 5 2 2 3 2 4 2 3 3 2" xfId="29352" xr:uid="{00000000-0005-0000-0000-000050320000}"/>
    <cellStyle name="표준 5 2 2 3 2 4 2 3 3 3" xfId="37563" xr:uid="{00000000-0005-0000-0000-000051320000}"/>
    <cellStyle name="표준 5 2 2 3 2 4 2 3 3 4" xfId="45756" xr:uid="{00000000-0005-0000-0000-000052320000}"/>
    <cellStyle name="표준 5 2 2 3 2 4 2 3 4" xfId="12758" xr:uid="{00000000-0005-0000-0000-000053320000}"/>
    <cellStyle name="표준 5 2 2 3 2 4 2 3 5" xfId="16998" xr:uid="{00000000-0005-0000-0000-000054320000}"/>
    <cellStyle name="표준 5 2 2 3 2 4 2 3 6" xfId="21160" xr:uid="{00000000-0005-0000-0000-000055320000}"/>
    <cellStyle name="표준 5 2 2 3 2 4 2 3 7" xfId="25256" xr:uid="{00000000-0005-0000-0000-000056320000}"/>
    <cellStyle name="표준 5 2 2 3 2 4 2 3 8" xfId="33467" xr:uid="{00000000-0005-0000-0000-000057320000}"/>
    <cellStyle name="표준 5 2 2 3 2 4 2 3 9" xfId="41660" xr:uid="{00000000-0005-0000-0000-000058320000}"/>
    <cellStyle name="표준 5 2 2 3 2 4 2 4" xfId="2303" xr:uid="{00000000-0005-0000-0000-000059320000}"/>
    <cellStyle name="표준 5 2 2 3 2 4 2 4 2" xfId="11206" xr:uid="{00000000-0005-0000-0000-00005A320000}"/>
    <cellStyle name="표준 5 2 2 3 2 4 2 4 2 2" xfId="15318" xr:uid="{00000000-0005-0000-0000-00005B320000}"/>
    <cellStyle name="표준 5 2 2 3 2 4 2 4 2 2 2" xfId="31912" xr:uid="{00000000-0005-0000-0000-00005C320000}"/>
    <cellStyle name="표준 5 2 2 3 2 4 2 4 2 2 3" xfId="40123" xr:uid="{00000000-0005-0000-0000-00005D320000}"/>
    <cellStyle name="표준 5 2 2 3 2 4 2 4 2 2 4" xfId="48316" xr:uid="{00000000-0005-0000-0000-00005E320000}"/>
    <cellStyle name="표준 5 2 2 3 2 4 2 4 2 3" xfId="19558" xr:uid="{00000000-0005-0000-0000-00005F320000}"/>
    <cellStyle name="표준 5 2 2 3 2 4 2 4 2 4" xfId="23720" xr:uid="{00000000-0005-0000-0000-000060320000}"/>
    <cellStyle name="표준 5 2 2 3 2 4 2 4 2 5" xfId="27816" xr:uid="{00000000-0005-0000-0000-000061320000}"/>
    <cellStyle name="표준 5 2 2 3 2 4 2 4 2 6" xfId="36027" xr:uid="{00000000-0005-0000-0000-000062320000}"/>
    <cellStyle name="표준 5 2 2 3 2 4 2 4 2 7" xfId="44220" xr:uid="{00000000-0005-0000-0000-000063320000}"/>
    <cellStyle name="표준 5 2 2 3 2 4 2 4 3" xfId="9158" xr:uid="{00000000-0005-0000-0000-000064320000}"/>
    <cellStyle name="표준 5 2 2 3 2 4 2 4 3 2" xfId="29864" xr:uid="{00000000-0005-0000-0000-000065320000}"/>
    <cellStyle name="표준 5 2 2 3 2 4 2 4 3 3" xfId="38075" xr:uid="{00000000-0005-0000-0000-000066320000}"/>
    <cellStyle name="표준 5 2 2 3 2 4 2 4 3 4" xfId="46268" xr:uid="{00000000-0005-0000-0000-000067320000}"/>
    <cellStyle name="표준 5 2 2 3 2 4 2 4 4" xfId="13270" xr:uid="{00000000-0005-0000-0000-000068320000}"/>
    <cellStyle name="표준 5 2 2 3 2 4 2 4 5" xfId="17510" xr:uid="{00000000-0005-0000-0000-000069320000}"/>
    <cellStyle name="표준 5 2 2 3 2 4 2 4 6" xfId="21672" xr:uid="{00000000-0005-0000-0000-00006A320000}"/>
    <cellStyle name="표준 5 2 2 3 2 4 2 4 7" xfId="25768" xr:uid="{00000000-0005-0000-0000-00006B320000}"/>
    <cellStyle name="표준 5 2 2 3 2 4 2 4 8" xfId="33979" xr:uid="{00000000-0005-0000-0000-00006C320000}"/>
    <cellStyle name="표준 5 2 2 3 2 4 2 4 9" xfId="42172" xr:uid="{00000000-0005-0000-0000-00006D320000}"/>
    <cellStyle name="표준 5 2 2 3 2 4 2 5" xfId="9670" xr:uid="{00000000-0005-0000-0000-00006E320000}"/>
    <cellStyle name="표준 5 2 2 3 2 4 2 5 2" xfId="13782" xr:uid="{00000000-0005-0000-0000-00006F320000}"/>
    <cellStyle name="표준 5 2 2 3 2 4 2 5 2 2" xfId="30376" xr:uid="{00000000-0005-0000-0000-000070320000}"/>
    <cellStyle name="표준 5 2 2 3 2 4 2 5 2 3" xfId="38587" xr:uid="{00000000-0005-0000-0000-000071320000}"/>
    <cellStyle name="표준 5 2 2 3 2 4 2 5 2 4" xfId="46780" xr:uid="{00000000-0005-0000-0000-000072320000}"/>
    <cellStyle name="표준 5 2 2 3 2 4 2 5 3" xfId="18022" xr:uid="{00000000-0005-0000-0000-000073320000}"/>
    <cellStyle name="표준 5 2 2 3 2 4 2 5 4" xfId="22184" xr:uid="{00000000-0005-0000-0000-000074320000}"/>
    <cellStyle name="표준 5 2 2 3 2 4 2 5 5" xfId="26280" xr:uid="{00000000-0005-0000-0000-000075320000}"/>
    <cellStyle name="표준 5 2 2 3 2 4 2 5 6" xfId="34491" xr:uid="{00000000-0005-0000-0000-000076320000}"/>
    <cellStyle name="표준 5 2 2 3 2 4 2 5 7" xfId="42684" xr:uid="{00000000-0005-0000-0000-000077320000}"/>
    <cellStyle name="표준 5 2 2 3 2 4 2 6" xfId="7622" xr:uid="{00000000-0005-0000-0000-000078320000}"/>
    <cellStyle name="표준 5 2 2 3 2 4 2 6 2" xfId="28328" xr:uid="{00000000-0005-0000-0000-000079320000}"/>
    <cellStyle name="표준 5 2 2 3 2 4 2 6 3" xfId="36539" xr:uid="{00000000-0005-0000-0000-00007A320000}"/>
    <cellStyle name="표준 5 2 2 3 2 4 2 6 4" xfId="44732" xr:uid="{00000000-0005-0000-0000-00007B320000}"/>
    <cellStyle name="표준 5 2 2 3 2 4 2 7" xfId="11734" xr:uid="{00000000-0005-0000-0000-00007C320000}"/>
    <cellStyle name="표준 5 2 2 3 2 4 2 8" xfId="15974" xr:uid="{00000000-0005-0000-0000-00007D320000}"/>
    <cellStyle name="표준 5 2 2 3 2 4 2 9" xfId="20136" xr:uid="{00000000-0005-0000-0000-00007E320000}"/>
    <cellStyle name="표준 5 2 2 3 2 4 3" xfId="1023" xr:uid="{00000000-0005-0000-0000-00007F320000}"/>
    <cellStyle name="표준 5 2 2 3 2 4 3 2" xfId="9926" xr:uid="{00000000-0005-0000-0000-000080320000}"/>
    <cellStyle name="표준 5 2 2 3 2 4 3 2 2" xfId="14038" xr:uid="{00000000-0005-0000-0000-000081320000}"/>
    <cellStyle name="표준 5 2 2 3 2 4 3 2 2 2" xfId="30632" xr:uid="{00000000-0005-0000-0000-000082320000}"/>
    <cellStyle name="표준 5 2 2 3 2 4 3 2 2 3" xfId="38843" xr:uid="{00000000-0005-0000-0000-000083320000}"/>
    <cellStyle name="표준 5 2 2 3 2 4 3 2 2 4" xfId="47036" xr:uid="{00000000-0005-0000-0000-000084320000}"/>
    <cellStyle name="표준 5 2 2 3 2 4 3 2 3" xfId="18278" xr:uid="{00000000-0005-0000-0000-000085320000}"/>
    <cellStyle name="표준 5 2 2 3 2 4 3 2 4" xfId="22440" xr:uid="{00000000-0005-0000-0000-000086320000}"/>
    <cellStyle name="표준 5 2 2 3 2 4 3 2 5" xfId="26536" xr:uid="{00000000-0005-0000-0000-000087320000}"/>
    <cellStyle name="표준 5 2 2 3 2 4 3 2 6" xfId="34747" xr:uid="{00000000-0005-0000-0000-000088320000}"/>
    <cellStyle name="표준 5 2 2 3 2 4 3 2 7" xfId="42940" xr:uid="{00000000-0005-0000-0000-000089320000}"/>
    <cellStyle name="표준 5 2 2 3 2 4 3 3" xfId="7878" xr:uid="{00000000-0005-0000-0000-00008A320000}"/>
    <cellStyle name="표준 5 2 2 3 2 4 3 3 2" xfId="28584" xr:uid="{00000000-0005-0000-0000-00008B320000}"/>
    <cellStyle name="표준 5 2 2 3 2 4 3 3 3" xfId="36795" xr:uid="{00000000-0005-0000-0000-00008C320000}"/>
    <cellStyle name="표준 5 2 2 3 2 4 3 3 4" xfId="44988" xr:uid="{00000000-0005-0000-0000-00008D320000}"/>
    <cellStyle name="표준 5 2 2 3 2 4 3 4" xfId="11990" xr:uid="{00000000-0005-0000-0000-00008E320000}"/>
    <cellStyle name="표준 5 2 2 3 2 4 3 5" xfId="16230" xr:uid="{00000000-0005-0000-0000-00008F320000}"/>
    <cellStyle name="표준 5 2 2 3 2 4 3 6" xfId="20392" xr:uid="{00000000-0005-0000-0000-000090320000}"/>
    <cellStyle name="표준 5 2 2 3 2 4 3 7" xfId="24488" xr:uid="{00000000-0005-0000-0000-000091320000}"/>
    <cellStyle name="표준 5 2 2 3 2 4 3 8" xfId="32699" xr:uid="{00000000-0005-0000-0000-000092320000}"/>
    <cellStyle name="표준 5 2 2 3 2 4 3 9" xfId="40892" xr:uid="{00000000-0005-0000-0000-000093320000}"/>
    <cellStyle name="표준 5 2 2 3 2 4 4" xfId="1535" xr:uid="{00000000-0005-0000-0000-000094320000}"/>
    <cellStyle name="표준 5 2 2 3 2 4 4 2" xfId="10438" xr:uid="{00000000-0005-0000-0000-000095320000}"/>
    <cellStyle name="표준 5 2 2 3 2 4 4 2 2" xfId="14550" xr:uid="{00000000-0005-0000-0000-000096320000}"/>
    <cellStyle name="표준 5 2 2 3 2 4 4 2 2 2" xfId="31144" xr:uid="{00000000-0005-0000-0000-000097320000}"/>
    <cellStyle name="표준 5 2 2 3 2 4 4 2 2 3" xfId="39355" xr:uid="{00000000-0005-0000-0000-000098320000}"/>
    <cellStyle name="표준 5 2 2 3 2 4 4 2 2 4" xfId="47548" xr:uid="{00000000-0005-0000-0000-000099320000}"/>
    <cellStyle name="표준 5 2 2 3 2 4 4 2 3" xfId="18790" xr:uid="{00000000-0005-0000-0000-00009A320000}"/>
    <cellStyle name="표준 5 2 2 3 2 4 4 2 4" xfId="22952" xr:uid="{00000000-0005-0000-0000-00009B320000}"/>
    <cellStyle name="표준 5 2 2 3 2 4 4 2 5" xfId="27048" xr:uid="{00000000-0005-0000-0000-00009C320000}"/>
    <cellStyle name="표준 5 2 2 3 2 4 4 2 6" xfId="35259" xr:uid="{00000000-0005-0000-0000-00009D320000}"/>
    <cellStyle name="표준 5 2 2 3 2 4 4 2 7" xfId="43452" xr:uid="{00000000-0005-0000-0000-00009E320000}"/>
    <cellStyle name="표준 5 2 2 3 2 4 4 3" xfId="8390" xr:uid="{00000000-0005-0000-0000-00009F320000}"/>
    <cellStyle name="표준 5 2 2 3 2 4 4 3 2" xfId="29096" xr:uid="{00000000-0005-0000-0000-0000A0320000}"/>
    <cellStyle name="표준 5 2 2 3 2 4 4 3 3" xfId="37307" xr:uid="{00000000-0005-0000-0000-0000A1320000}"/>
    <cellStyle name="표준 5 2 2 3 2 4 4 3 4" xfId="45500" xr:uid="{00000000-0005-0000-0000-0000A2320000}"/>
    <cellStyle name="표준 5 2 2 3 2 4 4 4" xfId="12502" xr:uid="{00000000-0005-0000-0000-0000A3320000}"/>
    <cellStyle name="표준 5 2 2 3 2 4 4 5" xfId="16742" xr:uid="{00000000-0005-0000-0000-0000A4320000}"/>
    <cellStyle name="표준 5 2 2 3 2 4 4 6" xfId="20904" xr:uid="{00000000-0005-0000-0000-0000A5320000}"/>
    <cellStyle name="표준 5 2 2 3 2 4 4 7" xfId="25000" xr:uid="{00000000-0005-0000-0000-0000A6320000}"/>
    <cellStyle name="표준 5 2 2 3 2 4 4 8" xfId="33211" xr:uid="{00000000-0005-0000-0000-0000A7320000}"/>
    <cellStyle name="표준 5 2 2 3 2 4 4 9" xfId="41404" xr:uid="{00000000-0005-0000-0000-0000A8320000}"/>
    <cellStyle name="표준 5 2 2 3 2 4 5" xfId="2047" xr:uid="{00000000-0005-0000-0000-0000A9320000}"/>
    <cellStyle name="표준 5 2 2 3 2 4 5 2" xfId="10950" xr:uid="{00000000-0005-0000-0000-0000AA320000}"/>
    <cellStyle name="표준 5 2 2 3 2 4 5 2 2" xfId="15062" xr:uid="{00000000-0005-0000-0000-0000AB320000}"/>
    <cellStyle name="표준 5 2 2 3 2 4 5 2 2 2" xfId="31656" xr:uid="{00000000-0005-0000-0000-0000AC320000}"/>
    <cellStyle name="표준 5 2 2 3 2 4 5 2 2 3" xfId="39867" xr:uid="{00000000-0005-0000-0000-0000AD320000}"/>
    <cellStyle name="표준 5 2 2 3 2 4 5 2 2 4" xfId="48060" xr:uid="{00000000-0005-0000-0000-0000AE320000}"/>
    <cellStyle name="표준 5 2 2 3 2 4 5 2 3" xfId="19302" xr:uid="{00000000-0005-0000-0000-0000AF320000}"/>
    <cellStyle name="표준 5 2 2 3 2 4 5 2 4" xfId="23464" xr:uid="{00000000-0005-0000-0000-0000B0320000}"/>
    <cellStyle name="표준 5 2 2 3 2 4 5 2 5" xfId="27560" xr:uid="{00000000-0005-0000-0000-0000B1320000}"/>
    <cellStyle name="표준 5 2 2 3 2 4 5 2 6" xfId="35771" xr:uid="{00000000-0005-0000-0000-0000B2320000}"/>
    <cellStyle name="표준 5 2 2 3 2 4 5 2 7" xfId="43964" xr:uid="{00000000-0005-0000-0000-0000B3320000}"/>
    <cellStyle name="표준 5 2 2 3 2 4 5 3" xfId="8902" xr:uid="{00000000-0005-0000-0000-0000B4320000}"/>
    <cellStyle name="표준 5 2 2 3 2 4 5 3 2" xfId="29608" xr:uid="{00000000-0005-0000-0000-0000B5320000}"/>
    <cellStyle name="표준 5 2 2 3 2 4 5 3 3" xfId="37819" xr:uid="{00000000-0005-0000-0000-0000B6320000}"/>
    <cellStyle name="표준 5 2 2 3 2 4 5 3 4" xfId="46012" xr:uid="{00000000-0005-0000-0000-0000B7320000}"/>
    <cellStyle name="표준 5 2 2 3 2 4 5 4" xfId="13014" xr:uid="{00000000-0005-0000-0000-0000B8320000}"/>
    <cellStyle name="표준 5 2 2 3 2 4 5 5" xfId="17254" xr:uid="{00000000-0005-0000-0000-0000B9320000}"/>
    <cellStyle name="표준 5 2 2 3 2 4 5 6" xfId="21416" xr:uid="{00000000-0005-0000-0000-0000BA320000}"/>
    <cellStyle name="표준 5 2 2 3 2 4 5 7" xfId="25512" xr:uid="{00000000-0005-0000-0000-0000BB320000}"/>
    <cellStyle name="표준 5 2 2 3 2 4 5 8" xfId="33723" xr:uid="{00000000-0005-0000-0000-0000BC320000}"/>
    <cellStyle name="표준 5 2 2 3 2 4 5 9" xfId="41916" xr:uid="{00000000-0005-0000-0000-0000BD320000}"/>
    <cellStyle name="표준 5 2 2 3 2 4 6" xfId="9414" xr:uid="{00000000-0005-0000-0000-0000BE320000}"/>
    <cellStyle name="표준 5 2 2 3 2 4 6 2" xfId="13526" xr:uid="{00000000-0005-0000-0000-0000BF320000}"/>
    <cellStyle name="표준 5 2 2 3 2 4 6 2 2" xfId="30120" xr:uid="{00000000-0005-0000-0000-0000C0320000}"/>
    <cellStyle name="표준 5 2 2 3 2 4 6 2 3" xfId="38331" xr:uid="{00000000-0005-0000-0000-0000C1320000}"/>
    <cellStyle name="표준 5 2 2 3 2 4 6 2 4" xfId="46524" xr:uid="{00000000-0005-0000-0000-0000C2320000}"/>
    <cellStyle name="표준 5 2 2 3 2 4 6 3" xfId="17766" xr:uid="{00000000-0005-0000-0000-0000C3320000}"/>
    <cellStyle name="표준 5 2 2 3 2 4 6 4" xfId="21928" xr:uid="{00000000-0005-0000-0000-0000C4320000}"/>
    <cellStyle name="표준 5 2 2 3 2 4 6 5" xfId="26024" xr:uid="{00000000-0005-0000-0000-0000C5320000}"/>
    <cellStyle name="표준 5 2 2 3 2 4 6 6" xfId="34235" xr:uid="{00000000-0005-0000-0000-0000C6320000}"/>
    <cellStyle name="표준 5 2 2 3 2 4 6 7" xfId="42428" xr:uid="{00000000-0005-0000-0000-0000C7320000}"/>
    <cellStyle name="표준 5 2 2 3 2 4 7" xfId="7366" xr:uid="{00000000-0005-0000-0000-0000C8320000}"/>
    <cellStyle name="표준 5 2 2 3 2 4 7 2" xfId="28072" xr:uid="{00000000-0005-0000-0000-0000C9320000}"/>
    <cellStyle name="표준 5 2 2 3 2 4 7 3" xfId="36283" xr:uid="{00000000-0005-0000-0000-0000CA320000}"/>
    <cellStyle name="표준 5 2 2 3 2 4 7 4" xfId="44476" xr:uid="{00000000-0005-0000-0000-0000CB320000}"/>
    <cellStyle name="표준 5 2 2 3 2 4 8" xfId="11478" xr:uid="{00000000-0005-0000-0000-0000CC320000}"/>
    <cellStyle name="표준 5 2 2 3 2 4 9" xfId="15718" xr:uid="{00000000-0005-0000-0000-0000CD320000}"/>
    <cellStyle name="표준 5 2 2 3 2 5" xfId="639" xr:uid="{00000000-0005-0000-0000-0000CE320000}"/>
    <cellStyle name="표준 5 2 2 3 2 5 10" xfId="24104" xr:uid="{00000000-0005-0000-0000-0000CF320000}"/>
    <cellStyle name="표준 5 2 2 3 2 5 11" xfId="32315" xr:uid="{00000000-0005-0000-0000-0000D0320000}"/>
    <cellStyle name="표준 5 2 2 3 2 5 12" xfId="40508" xr:uid="{00000000-0005-0000-0000-0000D1320000}"/>
    <cellStyle name="표준 5 2 2 3 2 5 2" xfId="1151" xr:uid="{00000000-0005-0000-0000-0000D2320000}"/>
    <cellStyle name="표준 5 2 2 3 2 5 2 2" xfId="10054" xr:uid="{00000000-0005-0000-0000-0000D3320000}"/>
    <cellStyle name="표준 5 2 2 3 2 5 2 2 2" xfId="14166" xr:uid="{00000000-0005-0000-0000-0000D4320000}"/>
    <cellStyle name="표준 5 2 2 3 2 5 2 2 2 2" xfId="30760" xr:uid="{00000000-0005-0000-0000-0000D5320000}"/>
    <cellStyle name="표준 5 2 2 3 2 5 2 2 2 3" xfId="38971" xr:uid="{00000000-0005-0000-0000-0000D6320000}"/>
    <cellStyle name="표준 5 2 2 3 2 5 2 2 2 4" xfId="47164" xr:uid="{00000000-0005-0000-0000-0000D7320000}"/>
    <cellStyle name="표준 5 2 2 3 2 5 2 2 3" xfId="18406" xr:uid="{00000000-0005-0000-0000-0000D8320000}"/>
    <cellStyle name="표준 5 2 2 3 2 5 2 2 4" xfId="22568" xr:uid="{00000000-0005-0000-0000-0000D9320000}"/>
    <cellStyle name="표준 5 2 2 3 2 5 2 2 5" xfId="26664" xr:uid="{00000000-0005-0000-0000-0000DA320000}"/>
    <cellStyle name="표준 5 2 2 3 2 5 2 2 6" xfId="34875" xr:uid="{00000000-0005-0000-0000-0000DB320000}"/>
    <cellStyle name="표준 5 2 2 3 2 5 2 2 7" xfId="43068" xr:uid="{00000000-0005-0000-0000-0000DC320000}"/>
    <cellStyle name="표준 5 2 2 3 2 5 2 3" xfId="8006" xr:uid="{00000000-0005-0000-0000-0000DD320000}"/>
    <cellStyle name="표준 5 2 2 3 2 5 2 3 2" xfId="28712" xr:uid="{00000000-0005-0000-0000-0000DE320000}"/>
    <cellStyle name="표준 5 2 2 3 2 5 2 3 3" xfId="36923" xr:uid="{00000000-0005-0000-0000-0000DF320000}"/>
    <cellStyle name="표준 5 2 2 3 2 5 2 3 4" xfId="45116" xr:uid="{00000000-0005-0000-0000-0000E0320000}"/>
    <cellStyle name="표준 5 2 2 3 2 5 2 4" xfId="12118" xr:uid="{00000000-0005-0000-0000-0000E1320000}"/>
    <cellStyle name="표준 5 2 2 3 2 5 2 5" xfId="16358" xr:uid="{00000000-0005-0000-0000-0000E2320000}"/>
    <cellStyle name="표준 5 2 2 3 2 5 2 6" xfId="20520" xr:uid="{00000000-0005-0000-0000-0000E3320000}"/>
    <cellStyle name="표준 5 2 2 3 2 5 2 7" xfId="24616" xr:uid="{00000000-0005-0000-0000-0000E4320000}"/>
    <cellStyle name="표준 5 2 2 3 2 5 2 8" xfId="32827" xr:uid="{00000000-0005-0000-0000-0000E5320000}"/>
    <cellStyle name="표준 5 2 2 3 2 5 2 9" xfId="41020" xr:uid="{00000000-0005-0000-0000-0000E6320000}"/>
    <cellStyle name="표준 5 2 2 3 2 5 3" xfId="1663" xr:uid="{00000000-0005-0000-0000-0000E7320000}"/>
    <cellStyle name="표준 5 2 2 3 2 5 3 2" xfId="10566" xr:uid="{00000000-0005-0000-0000-0000E8320000}"/>
    <cellStyle name="표준 5 2 2 3 2 5 3 2 2" xfId="14678" xr:uid="{00000000-0005-0000-0000-0000E9320000}"/>
    <cellStyle name="표준 5 2 2 3 2 5 3 2 2 2" xfId="31272" xr:uid="{00000000-0005-0000-0000-0000EA320000}"/>
    <cellStyle name="표준 5 2 2 3 2 5 3 2 2 3" xfId="39483" xr:uid="{00000000-0005-0000-0000-0000EB320000}"/>
    <cellStyle name="표준 5 2 2 3 2 5 3 2 2 4" xfId="47676" xr:uid="{00000000-0005-0000-0000-0000EC320000}"/>
    <cellStyle name="표준 5 2 2 3 2 5 3 2 3" xfId="18918" xr:uid="{00000000-0005-0000-0000-0000ED320000}"/>
    <cellStyle name="표준 5 2 2 3 2 5 3 2 4" xfId="23080" xr:uid="{00000000-0005-0000-0000-0000EE320000}"/>
    <cellStyle name="표준 5 2 2 3 2 5 3 2 5" xfId="27176" xr:uid="{00000000-0005-0000-0000-0000EF320000}"/>
    <cellStyle name="표준 5 2 2 3 2 5 3 2 6" xfId="35387" xr:uid="{00000000-0005-0000-0000-0000F0320000}"/>
    <cellStyle name="표준 5 2 2 3 2 5 3 2 7" xfId="43580" xr:uid="{00000000-0005-0000-0000-0000F1320000}"/>
    <cellStyle name="표준 5 2 2 3 2 5 3 3" xfId="8518" xr:uid="{00000000-0005-0000-0000-0000F2320000}"/>
    <cellStyle name="표준 5 2 2 3 2 5 3 3 2" xfId="29224" xr:uid="{00000000-0005-0000-0000-0000F3320000}"/>
    <cellStyle name="표준 5 2 2 3 2 5 3 3 3" xfId="37435" xr:uid="{00000000-0005-0000-0000-0000F4320000}"/>
    <cellStyle name="표준 5 2 2 3 2 5 3 3 4" xfId="45628" xr:uid="{00000000-0005-0000-0000-0000F5320000}"/>
    <cellStyle name="표준 5 2 2 3 2 5 3 4" xfId="12630" xr:uid="{00000000-0005-0000-0000-0000F6320000}"/>
    <cellStyle name="표준 5 2 2 3 2 5 3 5" xfId="16870" xr:uid="{00000000-0005-0000-0000-0000F7320000}"/>
    <cellStyle name="표준 5 2 2 3 2 5 3 6" xfId="21032" xr:uid="{00000000-0005-0000-0000-0000F8320000}"/>
    <cellStyle name="표준 5 2 2 3 2 5 3 7" xfId="25128" xr:uid="{00000000-0005-0000-0000-0000F9320000}"/>
    <cellStyle name="표준 5 2 2 3 2 5 3 8" xfId="33339" xr:uid="{00000000-0005-0000-0000-0000FA320000}"/>
    <cellStyle name="표준 5 2 2 3 2 5 3 9" xfId="41532" xr:uid="{00000000-0005-0000-0000-0000FB320000}"/>
    <cellStyle name="표준 5 2 2 3 2 5 4" xfId="2175" xr:uid="{00000000-0005-0000-0000-0000FC320000}"/>
    <cellStyle name="표준 5 2 2 3 2 5 4 2" xfId="11078" xr:uid="{00000000-0005-0000-0000-0000FD320000}"/>
    <cellStyle name="표준 5 2 2 3 2 5 4 2 2" xfId="15190" xr:uid="{00000000-0005-0000-0000-0000FE320000}"/>
    <cellStyle name="표준 5 2 2 3 2 5 4 2 2 2" xfId="31784" xr:uid="{00000000-0005-0000-0000-0000FF320000}"/>
    <cellStyle name="표준 5 2 2 3 2 5 4 2 2 3" xfId="39995" xr:uid="{00000000-0005-0000-0000-000000330000}"/>
    <cellStyle name="표준 5 2 2 3 2 5 4 2 2 4" xfId="48188" xr:uid="{00000000-0005-0000-0000-000001330000}"/>
    <cellStyle name="표준 5 2 2 3 2 5 4 2 3" xfId="19430" xr:uid="{00000000-0005-0000-0000-000002330000}"/>
    <cellStyle name="표준 5 2 2 3 2 5 4 2 4" xfId="23592" xr:uid="{00000000-0005-0000-0000-000003330000}"/>
    <cellStyle name="표준 5 2 2 3 2 5 4 2 5" xfId="27688" xr:uid="{00000000-0005-0000-0000-000004330000}"/>
    <cellStyle name="표준 5 2 2 3 2 5 4 2 6" xfId="35899" xr:uid="{00000000-0005-0000-0000-000005330000}"/>
    <cellStyle name="표준 5 2 2 3 2 5 4 2 7" xfId="44092" xr:uid="{00000000-0005-0000-0000-000006330000}"/>
    <cellStyle name="표준 5 2 2 3 2 5 4 3" xfId="9030" xr:uid="{00000000-0005-0000-0000-000007330000}"/>
    <cellStyle name="표준 5 2 2 3 2 5 4 3 2" xfId="29736" xr:uid="{00000000-0005-0000-0000-000008330000}"/>
    <cellStyle name="표준 5 2 2 3 2 5 4 3 3" xfId="37947" xr:uid="{00000000-0005-0000-0000-000009330000}"/>
    <cellStyle name="표준 5 2 2 3 2 5 4 3 4" xfId="46140" xr:uid="{00000000-0005-0000-0000-00000A330000}"/>
    <cellStyle name="표준 5 2 2 3 2 5 4 4" xfId="13142" xr:uid="{00000000-0005-0000-0000-00000B330000}"/>
    <cellStyle name="표준 5 2 2 3 2 5 4 5" xfId="17382" xr:uid="{00000000-0005-0000-0000-00000C330000}"/>
    <cellStyle name="표준 5 2 2 3 2 5 4 6" xfId="21544" xr:uid="{00000000-0005-0000-0000-00000D330000}"/>
    <cellStyle name="표준 5 2 2 3 2 5 4 7" xfId="25640" xr:uid="{00000000-0005-0000-0000-00000E330000}"/>
    <cellStyle name="표준 5 2 2 3 2 5 4 8" xfId="33851" xr:uid="{00000000-0005-0000-0000-00000F330000}"/>
    <cellStyle name="표준 5 2 2 3 2 5 4 9" xfId="42044" xr:uid="{00000000-0005-0000-0000-000010330000}"/>
    <cellStyle name="표준 5 2 2 3 2 5 5" xfId="9542" xr:uid="{00000000-0005-0000-0000-000011330000}"/>
    <cellStyle name="표준 5 2 2 3 2 5 5 2" xfId="13654" xr:uid="{00000000-0005-0000-0000-000012330000}"/>
    <cellStyle name="표준 5 2 2 3 2 5 5 2 2" xfId="30248" xr:uid="{00000000-0005-0000-0000-000013330000}"/>
    <cellStyle name="표준 5 2 2 3 2 5 5 2 3" xfId="38459" xr:uid="{00000000-0005-0000-0000-000014330000}"/>
    <cellStyle name="표준 5 2 2 3 2 5 5 2 4" xfId="46652" xr:uid="{00000000-0005-0000-0000-000015330000}"/>
    <cellStyle name="표준 5 2 2 3 2 5 5 3" xfId="17894" xr:uid="{00000000-0005-0000-0000-000016330000}"/>
    <cellStyle name="표준 5 2 2 3 2 5 5 4" xfId="22056" xr:uid="{00000000-0005-0000-0000-000017330000}"/>
    <cellStyle name="표준 5 2 2 3 2 5 5 5" xfId="26152" xr:uid="{00000000-0005-0000-0000-000018330000}"/>
    <cellStyle name="표준 5 2 2 3 2 5 5 6" xfId="34363" xr:uid="{00000000-0005-0000-0000-000019330000}"/>
    <cellStyle name="표준 5 2 2 3 2 5 5 7" xfId="42556" xr:uid="{00000000-0005-0000-0000-00001A330000}"/>
    <cellStyle name="표준 5 2 2 3 2 5 6" xfId="7494" xr:uid="{00000000-0005-0000-0000-00001B330000}"/>
    <cellStyle name="표준 5 2 2 3 2 5 6 2" xfId="28200" xr:uid="{00000000-0005-0000-0000-00001C330000}"/>
    <cellStyle name="표준 5 2 2 3 2 5 6 3" xfId="36411" xr:uid="{00000000-0005-0000-0000-00001D330000}"/>
    <cellStyle name="표준 5 2 2 3 2 5 6 4" xfId="44604" xr:uid="{00000000-0005-0000-0000-00001E330000}"/>
    <cellStyle name="표준 5 2 2 3 2 5 7" xfId="11606" xr:uid="{00000000-0005-0000-0000-00001F330000}"/>
    <cellStyle name="표준 5 2 2 3 2 5 8" xfId="15846" xr:uid="{00000000-0005-0000-0000-000020330000}"/>
    <cellStyle name="표준 5 2 2 3 2 5 9" xfId="20008" xr:uid="{00000000-0005-0000-0000-000021330000}"/>
    <cellStyle name="표준 5 2 2 3 2 6" xfId="895" xr:uid="{00000000-0005-0000-0000-000022330000}"/>
    <cellStyle name="표준 5 2 2 3 2 6 2" xfId="9798" xr:uid="{00000000-0005-0000-0000-000023330000}"/>
    <cellStyle name="표준 5 2 2 3 2 6 2 2" xfId="13910" xr:uid="{00000000-0005-0000-0000-000024330000}"/>
    <cellStyle name="표준 5 2 2 3 2 6 2 2 2" xfId="30504" xr:uid="{00000000-0005-0000-0000-000025330000}"/>
    <cellStyle name="표준 5 2 2 3 2 6 2 2 3" xfId="38715" xr:uid="{00000000-0005-0000-0000-000026330000}"/>
    <cellStyle name="표준 5 2 2 3 2 6 2 2 4" xfId="46908" xr:uid="{00000000-0005-0000-0000-000027330000}"/>
    <cellStyle name="표준 5 2 2 3 2 6 2 3" xfId="18150" xr:uid="{00000000-0005-0000-0000-000028330000}"/>
    <cellStyle name="표준 5 2 2 3 2 6 2 4" xfId="22312" xr:uid="{00000000-0005-0000-0000-000029330000}"/>
    <cellStyle name="표준 5 2 2 3 2 6 2 5" xfId="26408" xr:uid="{00000000-0005-0000-0000-00002A330000}"/>
    <cellStyle name="표준 5 2 2 3 2 6 2 6" xfId="34619" xr:uid="{00000000-0005-0000-0000-00002B330000}"/>
    <cellStyle name="표준 5 2 2 3 2 6 2 7" xfId="42812" xr:uid="{00000000-0005-0000-0000-00002C330000}"/>
    <cellStyle name="표준 5 2 2 3 2 6 3" xfId="7750" xr:uid="{00000000-0005-0000-0000-00002D330000}"/>
    <cellStyle name="표준 5 2 2 3 2 6 3 2" xfId="28456" xr:uid="{00000000-0005-0000-0000-00002E330000}"/>
    <cellStyle name="표준 5 2 2 3 2 6 3 3" xfId="36667" xr:uid="{00000000-0005-0000-0000-00002F330000}"/>
    <cellStyle name="표준 5 2 2 3 2 6 3 4" xfId="44860" xr:uid="{00000000-0005-0000-0000-000030330000}"/>
    <cellStyle name="표준 5 2 2 3 2 6 4" xfId="11862" xr:uid="{00000000-0005-0000-0000-000031330000}"/>
    <cellStyle name="표준 5 2 2 3 2 6 5" xfId="16102" xr:uid="{00000000-0005-0000-0000-000032330000}"/>
    <cellStyle name="표준 5 2 2 3 2 6 6" xfId="20264" xr:uid="{00000000-0005-0000-0000-000033330000}"/>
    <cellStyle name="표준 5 2 2 3 2 6 7" xfId="24360" xr:uid="{00000000-0005-0000-0000-000034330000}"/>
    <cellStyle name="표준 5 2 2 3 2 6 8" xfId="32571" xr:uid="{00000000-0005-0000-0000-000035330000}"/>
    <cellStyle name="표준 5 2 2 3 2 6 9" xfId="40764" xr:uid="{00000000-0005-0000-0000-000036330000}"/>
    <cellStyle name="표준 5 2 2 3 2 7" xfId="1407" xr:uid="{00000000-0005-0000-0000-000037330000}"/>
    <cellStyle name="표준 5 2 2 3 2 7 2" xfId="10310" xr:uid="{00000000-0005-0000-0000-000038330000}"/>
    <cellStyle name="표준 5 2 2 3 2 7 2 2" xfId="14422" xr:uid="{00000000-0005-0000-0000-000039330000}"/>
    <cellStyle name="표준 5 2 2 3 2 7 2 2 2" xfId="31016" xr:uid="{00000000-0005-0000-0000-00003A330000}"/>
    <cellStyle name="표준 5 2 2 3 2 7 2 2 3" xfId="39227" xr:uid="{00000000-0005-0000-0000-00003B330000}"/>
    <cellStyle name="표준 5 2 2 3 2 7 2 2 4" xfId="47420" xr:uid="{00000000-0005-0000-0000-00003C330000}"/>
    <cellStyle name="표준 5 2 2 3 2 7 2 3" xfId="18662" xr:uid="{00000000-0005-0000-0000-00003D330000}"/>
    <cellStyle name="표준 5 2 2 3 2 7 2 4" xfId="22824" xr:uid="{00000000-0005-0000-0000-00003E330000}"/>
    <cellStyle name="표준 5 2 2 3 2 7 2 5" xfId="26920" xr:uid="{00000000-0005-0000-0000-00003F330000}"/>
    <cellStyle name="표준 5 2 2 3 2 7 2 6" xfId="35131" xr:uid="{00000000-0005-0000-0000-000040330000}"/>
    <cellStyle name="표준 5 2 2 3 2 7 2 7" xfId="43324" xr:uid="{00000000-0005-0000-0000-000041330000}"/>
    <cellStyle name="표준 5 2 2 3 2 7 3" xfId="8262" xr:uid="{00000000-0005-0000-0000-000042330000}"/>
    <cellStyle name="표준 5 2 2 3 2 7 3 2" xfId="28968" xr:uid="{00000000-0005-0000-0000-000043330000}"/>
    <cellStyle name="표준 5 2 2 3 2 7 3 3" xfId="37179" xr:uid="{00000000-0005-0000-0000-000044330000}"/>
    <cellStyle name="표준 5 2 2 3 2 7 3 4" xfId="45372" xr:uid="{00000000-0005-0000-0000-000045330000}"/>
    <cellStyle name="표준 5 2 2 3 2 7 4" xfId="12374" xr:uid="{00000000-0005-0000-0000-000046330000}"/>
    <cellStyle name="표준 5 2 2 3 2 7 5" xfId="16614" xr:uid="{00000000-0005-0000-0000-000047330000}"/>
    <cellStyle name="표준 5 2 2 3 2 7 6" xfId="20776" xr:uid="{00000000-0005-0000-0000-000048330000}"/>
    <cellStyle name="표준 5 2 2 3 2 7 7" xfId="24872" xr:uid="{00000000-0005-0000-0000-000049330000}"/>
    <cellStyle name="표준 5 2 2 3 2 7 8" xfId="33083" xr:uid="{00000000-0005-0000-0000-00004A330000}"/>
    <cellStyle name="표준 5 2 2 3 2 7 9" xfId="41276" xr:uid="{00000000-0005-0000-0000-00004B330000}"/>
    <cellStyle name="표준 5 2 2 3 2 8" xfId="1919" xr:uid="{00000000-0005-0000-0000-00004C330000}"/>
    <cellStyle name="표준 5 2 2 3 2 8 2" xfId="10822" xr:uid="{00000000-0005-0000-0000-00004D330000}"/>
    <cellStyle name="표준 5 2 2 3 2 8 2 2" xfId="14934" xr:uid="{00000000-0005-0000-0000-00004E330000}"/>
    <cellStyle name="표준 5 2 2 3 2 8 2 2 2" xfId="31528" xr:uid="{00000000-0005-0000-0000-00004F330000}"/>
    <cellStyle name="표준 5 2 2 3 2 8 2 2 3" xfId="39739" xr:uid="{00000000-0005-0000-0000-000050330000}"/>
    <cellStyle name="표준 5 2 2 3 2 8 2 2 4" xfId="47932" xr:uid="{00000000-0005-0000-0000-000051330000}"/>
    <cellStyle name="표준 5 2 2 3 2 8 2 3" xfId="19174" xr:uid="{00000000-0005-0000-0000-000052330000}"/>
    <cellStyle name="표준 5 2 2 3 2 8 2 4" xfId="23336" xr:uid="{00000000-0005-0000-0000-000053330000}"/>
    <cellStyle name="표준 5 2 2 3 2 8 2 5" xfId="27432" xr:uid="{00000000-0005-0000-0000-000054330000}"/>
    <cellStyle name="표준 5 2 2 3 2 8 2 6" xfId="35643" xr:uid="{00000000-0005-0000-0000-000055330000}"/>
    <cellStyle name="표준 5 2 2 3 2 8 2 7" xfId="43836" xr:uid="{00000000-0005-0000-0000-000056330000}"/>
    <cellStyle name="표준 5 2 2 3 2 8 3" xfId="8774" xr:uid="{00000000-0005-0000-0000-000057330000}"/>
    <cellStyle name="표준 5 2 2 3 2 8 3 2" xfId="29480" xr:uid="{00000000-0005-0000-0000-000058330000}"/>
    <cellStyle name="표준 5 2 2 3 2 8 3 3" xfId="37691" xr:uid="{00000000-0005-0000-0000-000059330000}"/>
    <cellStyle name="표준 5 2 2 3 2 8 3 4" xfId="45884" xr:uid="{00000000-0005-0000-0000-00005A330000}"/>
    <cellStyle name="표준 5 2 2 3 2 8 4" xfId="12886" xr:uid="{00000000-0005-0000-0000-00005B330000}"/>
    <cellStyle name="표준 5 2 2 3 2 8 5" xfId="17126" xr:uid="{00000000-0005-0000-0000-00005C330000}"/>
    <cellStyle name="표준 5 2 2 3 2 8 6" xfId="21288" xr:uid="{00000000-0005-0000-0000-00005D330000}"/>
    <cellStyle name="표준 5 2 2 3 2 8 7" xfId="25384" xr:uid="{00000000-0005-0000-0000-00005E330000}"/>
    <cellStyle name="표준 5 2 2 3 2 8 8" xfId="33595" xr:uid="{00000000-0005-0000-0000-00005F330000}"/>
    <cellStyle name="표준 5 2 2 3 2 8 9" xfId="41788" xr:uid="{00000000-0005-0000-0000-000060330000}"/>
    <cellStyle name="표준 5 2 2 3 2 9" xfId="6975" xr:uid="{00000000-0005-0000-0000-000061330000}"/>
    <cellStyle name="표준 5 2 2 3 2 9 2" xfId="9286" xr:uid="{00000000-0005-0000-0000-000062330000}"/>
    <cellStyle name="표준 5 2 2 3 2 9 2 2" xfId="29992" xr:uid="{00000000-0005-0000-0000-000063330000}"/>
    <cellStyle name="표준 5 2 2 3 2 9 2 3" xfId="38203" xr:uid="{00000000-0005-0000-0000-000064330000}"/>
    <cellStyle name="표준 5 2 2 3 2 9 2 4" xfId="46396" xr:uid="{00000000-0005-0000-0000-000065330000}"/>
    <cellStyle name="표준 5 2 2 3 2 9 3" xfId="13398" xr:uid="{00000000-0005-0000-0000-000066330000}"/>
    <cellStyle name="표준 5 2 2 3 2 9 4" xfId="17638" xr:uid="{00000000-0005-0000-0000-000067330000}"/>
    <cellStyle name="표준 5 2 2 3 2 9 5" xfId="21800" xr:uid="{00000000-0005-0000-0000-000068330000}"/>
    <cellStyle name="표준 5 2 2 3 2 9 6" xfId="25896" xr:uid="{00000000-0005-0000-0000-000069330000}"/>
    <cellStyle name="표준 5 2 2 3 2 9 7" xfId="34107" xr:uid="{00000000-0005-0000-0000-00006A330000}"/>
    <cellStyle name="표준 5 2 2 3 2 9 8" xfId="42300" xr:uid="{00000000-0005-0000-0000-00006B330000}"/>
    <cellStyle name="표준 5 2 2 3 20" xfId="15446" xr:uid="{00000000-0005-0000-0000-00006C330000}"/>
    <cellStyle name="표준 5 2 2 3 21" xfId="15462" xr:uid="{00000000-0005-0000-0000-00006D330000}"/>
    <cellStyle name="표준 5 2 2 3 22" xfId="15558" xr:uid="{00000000-0005-0000-0000-00006E330000}"/>
    <cellStyle name="표준 5 2 2 3 23" xfId="15574" xr:uid="{00000000-0005-0000-0000-00006F330000}"/>
    <cellStyle name="표준 5 2 2 3 24" xfId="19670" xr:uid="{00000000-0005-0000-0000-000070330000}"/>
    <cellStyle name="표준 5 2 2 3 25" xfId="19686" xr:uid="{00000000-0005-0000-0000-000071330000}"/>
    <cellStyle name="표준 5 2 2 3 26" xfId="19702" xr:uid="{00000000-0005-0000-0000-000072330000}"/>
    <cellStyle name="표준 5 2 2 3 27" xfId="19718" xr:uid="{00000000-0005-0000-0000-000073330000}"/>
    <cellStyle name="표준 5 2 2 3 28" xfId="19729" xr:uid="{00000000-0005-0000-0000-000074330000}"/>
    <cellStyle name="표준 5 2 2 3 29" xfId="23832" xr:uid="{00000000-0005-0000-0000-000075330000}"/>
    <cellStyle name="표준 5 2 2 3 3" xfId="294" xr:uid="{00000000-0005-0000-0000-000076330000}"/>
    <cellStyle name="표준 5 2 2 3 3 10" xfId="7167" xr:uid="{00000000-0005-0000-0000-000077330000}"/>
    <cellStyle name="표준 5 2 2 3 3 11" xfId="7254" xr:uid="{00000000-0005-0000-0000-000078330000}"/>
    <cellStyle name="표준 5 2 2 3 3 12" xfId="11366" xr:uid="{00000000-0005-0000-0000-000079330000}"/>
    <cellStyle name="표준 5 2 2 3 3 13" xfId="15494" xr:uid="{00000000-0005-0000-0000-00007A330000}"/>
    <cellStyle name="표준 5 2 2 3 3 14" xfId="15606" xr:uid="{00000000-0005-0000-0000-00007B330000}"/>
    <cellStyle name="표준 5 2 2 3 3 15" xfId="19768" xr:uid="{00000000-0005-0000-0000-00007C330000}"/>
    <cellStyle name="표준 5 2 2 3 3 16" xfId="23864" xr:uid="{00000000-0005-0000-0000-00007D330000}"/>
    <cellStyle name="표준 5 2 2 3 3 17" xfId="32075" xr:uid="{00000000-0005-0000-0000-00007E330000}"/>
    <cellStyle name="표준 5 2 2 3 3 18" xfId="40268" xr:uid="{00000000-0005-0000-0000-00007F330000}"/>
    <cellStyle name="표준 5 2 2 3 3 19" xfId="49698" xr:uid="{00000000-0005-0000-0000-000080330000}"/>
    <cellStyle name="표준 5 2 2 3 3 2" xfId="463" xr:uid="{00000000-0005-0000-0000-000081330000}"/>
    <cellStyle name="표준 5 2 2 3 3 2 10" xfId="11430" xr:uid="{00000000-0005-0000-0000-000082330000}"/>
    <cellStyle name="표준 5 2 2 3 3 2 11" xfId="15542" xr:uid="{00000000-0005-0000-0000-000083330000}"/>
    <cellStyle name="표준 5 2 2 3 3 2 12" xfId="15670" xr:uid="{00000000-0005-0000-0000-000084330000}"/>
    <cellStyle name="표준 5 2 2 3 3 2 13" xfId="19832" xr:uid="{00000000-0005-0000-0000-000085330000}"/>
    <cellStyle name="표준 5 2 2 3 3 2 14" xfId="23928" xr:uid="{00000000-0005-0000-0000-000086330000}"/>
    <cellStyle name="표준 5 2 2 3 3 2 15" xfId="32139" xr:uid="{00000000-0005-0000-0000-000087330000}"/>
    <cellStyle name="표준 5 2 2 3 3 2 16" xfId="40332" xr:uid="{00000000-0005-0000-0000-000088330000}"/>
    <cellStyle name="표준 5 2 2 3 3 2 2" xfId="591" xr:uid="{00000000-0005-0000-0000-000089330000}"/>
    <cellStyle name="표준 5 2 2 3 3 2 2 10" xfId="19960" xr:uid="{00000000-0005-0000-0000-00008A330000}"/>
    <cellStyle name="표준 5 2 2 3 3 2 2 11" xfId="24056" xr:uid="{00000000-0005-0000-0000-00008B330000}"/>
    <cellStyle name="표준 5 2 2 3 3 2 2 12" xfId="32267" xr:uid="{00000000-0005-0000-0000-00008C330000}"/>
    <cellStyle name="표준 5 2 2 3 3 2 2 13" xfId="40460" xr:uid="{00000000-0005-0000-0000-00008D330000}"/>
    <cellStyle name="표준 5 2 2 3 3 2 2 2" xfId="847" xr:uid="{00000000-0005-0000-0000-00008E330000}"/>
    <cellStyle name="표준 5 2 2 3 3 2 2 2 10" xfId="24312" xr:uid="{00000000-0005-0000-0000-00008F330000}"/>
    <cellStyle name="표준 5 2 2 3 3 2 2 2 11" xfId="32523" xr:uid="{00000000-0005-0000-0000-000090330000}"/>
    <cellStyle name="표준 5 2 2 3 3 2 2 2 12" xfId="40716" xr:uid="{00000000-0005-0000-0000-000091330000}"/>
    <cellStyle name="표준 5 2 2 3 3 2 2 2 2" xfId="1359" xr:uid="{00000000-0005-0000-0000-000092330000}"/>
    <cellStyle name="표준 5 2 2 3 3 2 2 2 2 2" xfId="10262" xr:uid="{00000000-0005-0000-0000-000093330000}"/>
    <cellStyle name="표준 5 2 2 3 3 2 2 2 2 2 2" xfId="14374" xr:uid="{00000000-0005-0000-0000-000094330000}"/>
    <cellStyle name="표준 5 2 2 3 3 2 2 2 2 2 2 2" xfId="30968" xr:uid="{00000000-0005-0000-0000-000095330000}"/>
    <cellStyle name="표준 5 2 2 3 3 2 2 2 2 2 2 3" xfId="39179" xr:uid="{00000000-0005-0000-0000-000096330000}"/>
    <cellStyle name="표준 5 2 2 3 3 2 2 2 2 2 2 4" xfId="47372" xr:uid="{00000000-0005-0000-0000-000097330000}"/>
    <cellStyle name="표준 5 2 2 3 3 2 2 2 2 2 3" xfId="18614" xr:uid="{00000000-0005-0000-0000-000098330000}"/>
    <cellStyle name="표준 5 2 2 3 3 2 2 2 2 2 4" xfId="22776" xr:uid="{00000000-0005-0000-0000-000099330000}"/>
    <cellStyle name="표준 5 2 2 3 3 2 2 2 2 2 5" xfId="26872" xr:uid="{00000000-0005-0000-0000-00009A330000}"/>
    <cellStyle name="표준 5 2 2 3 3 2 2 2 2 2 6" xfId="35083" xr:uid="{00000000-0005-0000-0000-00009B330000}"/>
    <cellStyle name="표준 5 2 2 3 3 2 2 2 2 2 7" xfId="43276" xr:uid="{00000000-0005-0000-0000-00009C330000}"/>
    <cellStyle name="표준 5 2 2 3 3 2 2 2 2 3" xfId="8214" xr:uid="{00000000-0005-0000-0000-00009D330000}"/>
    <cellStyle name="표준 5 2 2 3 3 2 2 2 2 3 2" xfId="28920" xr:uid="{00000000-0005-0000-0000-00009E330000}"/>
    <cellStyle name="표준 5 2 2 3 3 2 2 2 2 3 3" xfId="37131" xr:uid="{00000000-0005-0000-0000-00009F330000}"/>
    <cellStyle name="표준 5 2 2 3 3 2 2 2 2 3 4" xfId="45324" xr:uid="{00000000-0005-0000-0000-0000A0330000}"/>
    <cellStyle name="표준 5 2 2 3 3 2 2 2 2 4" xfId="12326" xr:uid="{00000000-0005-0000-0000-0000A1330000}"/>
    <cellStyle name="표준 5 2 2 3 3 2 2 2 2 5" xfId="16566" xr:uid="{00000000-0005-0000-0000-0000A2330000}"/>
    <cellStyle name="표준 5 2 2 3 3 2 2 2 2 6" xfId="20728" xr:uid="{00000000-0005-0000-0000-0000A3330000}"/>
    <cellStyle name="표준 5 2 2 3 3 2 2 2 2 7" xfId="24824" xr:uid="{00000000-0005-0000-0000-0000A4330000}"/>
    <cellStyle name="표준 5 2 2 3 3 2 2 2 2 8" xfId="33035" xr:uid="{00000000-0005-0000-0000-0000A5330000}"/>
    <cellStyle name="표준 5 2 2 3 3 2 2 2 2 9" xfId="41228" xr:uid="{00000000-0005-0000-0000-0000A6330000}"/>
    <cellStyle name="표준 5 2 2 3 3 2 2 2 3" xfId="1871" xr:uid="{00000000-0005-0000-0000-0000A7330000}"/>
    <cellStyle name="표준 5 2 2 3 3 2 2 2 3 2" xfId="10774" xr:uid="{00000000-0005-0000-0000-0000A8330000}"/>
    <cellStyle name="표준 5 2 2 3 3 2 2 2 3 2 2" xfId="14886" xr:uid="{00000000-0005-0000-0000-0000A9330000}"/>
    <cellStyle name="표준 5 2 2 3 3 2 2 2 3 2 2 2" xfId="31480" xr:uid="{00000000-0005-0000-0000-0000AA330000}"/>
    <cellStyle name="표준 5 2 2 3 3 2 2 2 3 2 2 3" xfId="39691" xr:uid="{00000000-0005-0000-0000-0000AB330000}"/>
    <cellStyle name="표준 5 2 2 3 3 2 2 2 3 2 2 4" xfId="47884" xr:uid="{00000000-0005-0000-0000-0000AC330000}"/>
    <cellStyle name="표준 5 2 2 3 3 2 2 2 3 2 3" xfId="19126" xr:uid="{00000000-0005-0000-0000-0000AD330000}"/>
    <cellStyle name="표준 5 2 2 3 3 2 2 2 3 2 4" xfId="23288" xr:uid="{00000000-0005-0000-0000-0000AE330000}"/>
    <cellStyle name="표준 5 2 2 3 3 2 2 2 3 2 5" xfId="27384" xr:uid="{00000000-0005-0000-0000-0000AF330000}"/>
    <cellStyle name="표준 5 2 2 3 3 2 2 2 3 2 6" xfId="35595" xr:uid="{00000000-0005-0000-0000-0000B0330000}"/>
    <cellStyle name="표준 5 2 2 3 3 2 2 2 3 2 7" xfId="43788" xr:uid="{00000000-0005-0000-0000-0000B1330000}"/>
    <cellStyle name="표준 5 2 2 3 3 2 2 2 3 3" xfId="8726" xr:uid="{00000000-0005-0000-0000-0000B2330000}"/>
    <cellStyle name="표준 5 2 2 3 3 2 2 2 3 3 2" xfId="29432" xr:uid="{00000000-0005-0000-0000-0000B3330000}"/>
    <cellStyle name="표준 5 2 2 3 3 2 2 2 3 3 3" xfId="37643" xr:uid="{00000000-0005-0000-0000-0000B4330000}"/>
    <cellStyle name="표준 5 2 2 3 3 2 2 2 3 3 4" xfId="45836" xr:uid="{00000000-0005-0000-0000-0000B5330000}"/>
    <cellStyle name="표준 5 2 2 3 3 2 2 2 3 4" xfId="12838" xr:uid="{00000000-0005-0000-0000-0000B6330000}"/>
    <cellStyle name="표준 5 2 2 3 3 2 2 2 3 5" xfId="17078" xr:uid="{00000000-0005-0000-0000-0000B7330000}"/>
    <cellStyle name="표준 5 2 2 3 3 2 2 2 3 6" xfId="21240" xr:uid="{00000000-0005-0000-0000-0000B8330000}"/>
    <cellStyle name="표준 5 2 2 3 3 2 2 2 3 7" xfId="25336" xr:uid="{00000000-0005-0000-0000-0000B9330000}"/>
    <cellStyle name="표준 5 2 2 3 3 2 2 2 3 8" xfId="33547" xr:uid="{00000000-0005-0000-0000-0000BA330000}"/>
    <cellStyle name="표준 5 2 2 3 3 2 2 2 3 9" xfId="41740" xr:uid="{00000000-0005-0000-0000-0000BB330000}"/>
    <cellStyle name="표준 5 2 2 3 3 2 2 2 4" xfId="2383" xr:uid="{00000000-0005-0000-0000-0000BC330000}"/>
    <cellStyle name="표준 5 2 2 3 3 2 2 2 4 2" xfId="11286" xr:uid="{00000000-0005-0000-0000-0000BD330000}"/>
    <cellStyle name="표준 5 2 2 3 3 2 2 2 4 2 2" xfId="15398" xr:uid="{00000000-0005-0000-0000-0000BE330000}"/>
    <cellStyle name="표준 5 2 2 3 3 2 2 2 4 2 2 2" xfId="31992" xr:uid="{00000000-0005-0000-0000-0000BF330000}"/>
    <cellStyle name="표준 5 2 2 3 3 2 2 2 4 2 2 3" xfId="40203" xr:uid="{00000000-0005-0000-0000-0000C0330000}"/>
    <cellStyle name="표준 5 2 2 3 3 2 2 2 4 2 2 4" xfId="48396" xr:uid="{00000000-0005-0000-0000-0000C1330000}"/>
    <cellStyle name="표준 5 2 2 3 3 2 2 2 4 2 3" xfId="19638" xr:uid="{00000000-0005-0000-0000-0000C2330000}"/>
    <cellStyle name="표준 5 2 2 3 3 2 2 2 4 2 4" xfId="23800" xr:uid="{00000000-0005-0000-0000-0000C3330000}"/>
    <cellStyle name="표준 5 2 2 3 3 2 2 2 4 2 5" xfId="27896" xr:uid="{00000000-0005-0000-0000-0000C4330000}"/>
    <cellStyle name="표준 5 2 2 3 3 2 2 2 4 2 6" xfId="36107" xr:uid="{00000000-0005-0000-0000-0000C5330000}"/>
    <cellStyle name="표준 5 2 2 3 3 2 2 2 4 2 7" xfId="44300" xr:uid="{00000000-0005-0000-0000-0000C6330000}"/>
    <cellStyle name="표준 5 2 2 3 3 2 2 2 4 3" xfId="9238" xr:uid="{00000000-0005-0000-0000-0000C7330000}"/>
    <cellStyle name="표준 5 2 2 3 3 2 2 2 4 3 2" xfId="29944" xr:uid="{00000000-0005-0000-0000-0000C8330000}"/>
    <cellStyle name="표준 5 2 2 3 3 2 2 2 4 3 3" xfId="38155" xr:uid="{00000000-0005-0000-0000-0000C9330000}"/>
    <cellStyle name="표준 5 2 2 3 3 2 2 2 4 3 4" xfId="46348" xr:uid="{00000000-0005-0000-0000-0000CA330000}"/>
    <cellStyle name="표준 5 2 2 3 3 2 2 2 4 4" xfId="13350" xr:uid="{00000000-0005-0000-0000-0000CB330000}"/>
    <cellStyle name="표준 5 2 2 3 3 2 2 2 4 5" xfId="17590" xr:uid="{00000000-0005-0000-0000-0000CC330000}"/>
    <cellStyle name="표준 5 2 2 3 3 2 2 2 4 6" xfId="21752" xr:uid="{00000000-0005-0000-0000-0000CD330000}"/>
    <cellStyle name="표준 5 2 2 3 3 2 2 2 4 7" xfId="25848" xr:uid="{00000000-0005-0000-0000-0000CE330000}"/>
    <cellStyle name="표준 5 2 2 3 3 2 2 2 4 8" xfId="34059" xr:uid="{00000000-0005-0000-0000-0000CF330000}"/>
    <cellStyle name="표준 5 2 2 3 3 2 2 2 4 9" xfId="42252" xr:uid="{00000000-0005-0000-0000-0000D0330000}"/>
    <cellStyle name="표준 5 2 2 3 3 2 2 2 5" xfId="9750" xr:uid="{00000000-0005-0000-0000-0000D1330000}"/>
    <cellStyle name="표준 5 2 2 3 3 2 2 2 5 2" xfId="13862" xr:uid="{00000000-0005-0000-0000-0000D2330000}"/>
    <cellStyle name="표준 5 2 2 3 3 2 2 2 5 2 2" xfId="30456" xr:uid="{00000000-0005-0000-0000-0000D3330000}"/>
    <cellStyle name="표준 5 2 2 3 3 2 2 2 5 2 3" xfId="38667" xr:uid="{00000000-0005-0000-0000-0000D4330000}"/>
    <cellStyle name="표준 5 2 2 3 3 2 2 2 5 2 4" xfId="46860" xr:uid="{00000000-0005-0000-0000-0000D5330000}"/>
    <cellStyle name="표준 5 2 2 3 3 2 2 2 5 3" xfId="18102" xr:uid="{00000000-0005-0000-0000-0000D6330000}"/>
    <cellStyle name="표준 5 2 2 3 3 2 2 2 5 4" xfId="22264" xr:uid="{00000000-0005-0000-0000-0000D7330000}"/>
    <cellStyle name="표준 5 2 2 3 3 2 2 2 5 5" xfId="26360" xr:uid="{00000000-0005-0000-0000-0000D8330000}"/>
    <cellStyle name="표준 5 2 2 3 3 2 2 2 5 6" xfId="34571" xr:uid="{00000000-0005-0000-0000-0000D9330000}"/>
    <cellStyle name="표준 5 2 2 3 3 2 2 2 5 7" xfId="42764" xr:uid="{00000000-0005-0000-0000-0000DA330000}"/>
    <cellStyle name="표준 5 2 2 3 3 2 2 2 6" xfId="7702" xr:uid="{00000000-0005-0000-0000-0000DB330000}"/>
    <cellStyle name="표준 5 2 2 3 3 2 2 2 6 2" xfId="28408" xr:uid="{00000000-0005-0000-0000-0000DC330000}"/>
    <cellStyle name="표준 5 2 2 3 3 2 2 2 6 3" xfId="36619" xr:uid="{00000000-0005-0000-0000-0000DD330000}"/>
    <cellStyle name="표준 5 2 2 3 3 2 2 2 6 4" xfId="44812" xr:uid="{00000000-0005-0000-0000-0000DE330000}"/>
    <cellStyle name="표준 5 2 2 3 3 2 2 2 7" xfId="11814" xr:uid="{00000000-0005-0000-0000-0000DF330000}"/>
    <cellStyle name="표준 5 2 2 3 3 2 2 2 8" xfId="16054" xr:uid="{00000000-0005-0000-0000-0000E0330000}"/>
    <cellStyle name="표준 5 2 2 3 3 2 2 2 9" xfId="20216" xr:uid="{00000000-0005-0000-0000-0000E1330000}"/>
    <cellStyle name="표준 5 2 2 3 3 2 2 3" xfId="1103" xr:uid="{00000000-0005-0000-0000-0000E2330000}"/>
    <cellStyle name="표준 5 2 2 3 3 2 2 3 2" xfId="10006" xr:uid="{00000000-0005-0000-0000-0000E3330000}"/>
    <cellStyle name="표준 5 2 2 3 3 2 2 3 2 2" xfId="14118" xr:uid="{00000000-0005-0000-0000-0000E4330000}"/>
    <cellStyle name="표준 5 2 2 3 3 2 2 3 2 2 2" xfId="30712" xr:uid="{00000000-0005-0000-0000-0000E5330000}"/>
    <cellStyle name="표준 5 2 2 3 3 2 2 3 2 2 3" xfId="38923" xr:uid="{00000000-0005-0000-0000-0000E6330000}"/>
    <cellStyle name="표준 5 2 2 3 3 2 2 3 2 2 4" xfId="47116" xr:uid="{00000000-0005-0000-0000-0000E7330000}"/>
    <cellStyle name="표준 5 2 2 3 3 2 2 3 2 3" xfId="18358" xr:uid="{00000000-0005-0000-0000-0000E8330000}"/>
    <cellStyle name="표준 5 2 2 3 3 2 2 3 2 4" xfId="22520" xr:uid="{00000000-0005-0000-0000-0000E9330000}"/>
    <cellStyle name="표준 5 2 2 3 3 2 2 3 2 5" xfId="26616" xr:uid="{00000000-0005-0000-0000-0000EA330000}"/>
    <cellStyle name="표준 5 2 2 3 3 2 2 3 2 6" xfId="34827" xr:uid="{00000000-0005-0000-0000-0000EB330000}"/>
    <cellStyle name="표준 5 2 2 3 3 2 2 3 2 7" xfId="43020" xr:uid="{00000000-0005-0000-0000-0000EC330000}"/>
    <cellStyle name="표준 5 2 2 3 3 2 2 3 3" xfId="7958" xr:uid="{00000000-0005-0000-0000-0000ED330000}"/>
    <cellStyle name="표준 5 2 2 3 3 2 2 3 3 2" xfId="28664" xr:uid="{00000000-0005-0000-0000-0000EE330000}"/>
    <cellStyle name="표준 5 2 2 3 3 2 2 3 3 3" xfId="36875" xr:uid="{00000000-0005-0000-0000-0000EF330000}"/>
    <cellStyle name="표준 5 2 2 3 3 2 2 3 3 4" xfId="45068" xr:uid="{00000000-0005-0000-0000-0000F0330000}"/>
    <cellStyle name="표준 5 2 2 3 3 2 2 3 4" xfId="12070" xr:uid="{00000000-0005-0000-0000-0000F1330000}"/>
    <cellStyle name="표준 5 2 2 3 3 2 2 3 5" xfId="16310" xr:uid="{00000000-0005-0000-0000-0000F2330000}"/>
    <cellStyle name="표준 5 2 2 3 3 2 2 3 6" xfId="20472" xr:uid="{00000000-0005-0000-0000-0000F3330000}"/>
    <cellStyle name="표준 5 2 2 3 3 2 2 3 7" xfId="24568" xr:uid="{00000000-0005-0000-0000-0000F4330000}"/>
    <cellStyle name="표준 5 2 2 3 3 2 2 3 8" xfId="32779" xr:uid="{00000000-0005-0000-0000-0000F5330000}"/>
    <cellStyle name="표준 5 2 2 3 3 2 2 3 9" xfId="40972" xr:uid="{00000000-0005-0000-0000-0000F6330000}"/>
    <cellStyle name="표준 5 2 2 3 3 2 2 4" xfId="1615" xr:uid="{00000000-0005-0000-0000-0000F7330000}"/>
    <cellStyle name="표준 5 2 2 3 3 2 2 4 2" xfId="10518" xr:uid="{00000000-0005-0000-0000-0000F8330000}"/>
    <cellStyle name="표준 5 2 2 3 3 2 2 4 2 2" xfId="14630" xr:uid="{00000000-0005-0000-0000-0000F9330000}"/>
    <cellStyle name="표준 5 2 2 3 3 2 2 4 2 2 2" xfId="31224" xr:uid="{00000000-0005-0000-0000-0000FA330000}"/>
    <cellStyle name="표준 5 2 2 3 3 2 2 4 2 2 3" xfId="39435" xr:uid="{00000000-0005-0000-0000-0000FB330000}"/>
    <cellStyle name="표준 5 2 2 3 3 2 2 4 2 2 4" xfId="47628" xr:uid="{00000000-0005-0000-0000-0000FC330000}"/>
    <cellStyle name="표준 5 2 2 3 3 2 2 4 2 3" xfId="18870" xr:uid="{00000000-0005-0000-0000-0000FD330000}"/>
    <cellStyle name="표준 5 2 2 3 3 2 2 4 2 4" xfId="23032" xr:uid="{00000000-0005-0000-0000-0000FE330000}"/>
    <cellStyle name="표준 5 2 2 3 3 2 2 4 2 5" xfId="27128" xr:uid="{00000000-0005-0000-0000-0000FF330000}"/>
    <cellStyle name="표준 5 2 2 3 3 2 2 4 2 6" xfId="35339" xr:uid="{00000000-0005-0000-0000-000000340000}"/>
    <cellStyle name="표준 5 2 2 3 3 2 2 4 2 7" xfId="43532" xr:uid="{00000000-0005-0000-0000-000001340000}"/>
    <cellStyle name="표준 5 2 2 3 3 2 2 4 3" xfId="8470" xr:uid="{00000000-0005-0000-0000-000002340000}"/>
    <cellStyle name="표준 5 2 2 3 3 2 2 4 3 2" xfId="29176" xr:uid="{00000000-0005-0000-0000-000003340000}"/>
    <cellStyle name="표준 5 2 2 3 3 2 2 4 3 3" xfId="37387" xr:uid="{00000000-0005-0000-0000-000004340000}"/>
    <cellStyle name="표준 5 2 2 3 3 2 2 4 3 4" xfId="45580" xr:uid="{00000000-0005-0000-0000-000005340000}"/>
    <cellStyle name="표준 5 2 2 3 3 2 2 4 4" xfId="12582" xr:uid="{00000000-0005-0000-0000-000006340000}"/>
    <cellStyle name="표준 5 2 2 3 3 2 2 4 5" xfId="16822" xr:uid="{00000000-0005-0000-0000-000007340000}"/>
    <cellStyle name="표준 5 2 2 3 3 2 2 4 6" xfId="20984" xr:uid="{00000000-0005-0000-0000-000008340000}"/>
    <cellStyle name="표준 5 2 2 3 3 2 2 4 7" xfId="25080" xr:uid="{00000000-0005-0000-0000-000009340000}"/>
    <cellStyle name="표준 5 2 2 3 3 2 2 4 8" xfId="33291" xr:uid="{00000000-0005-0000-0000-00000A340000}"/>
    <cellStyle name="표준 5 2 2 3 3 2 2 4 9" xfId="41484" xr:uid="{00000000-0005-0000-0000-00000B340000}"/>
    <cellStyle name="표준 5 2 2 3 3 2 2 5" xfId="2127" xr:uid="{00000000-0005-0000-0000-00000C340000}"/>
    <cellStyle name="표준 5 2 2 3 3 2 2 5 2" xfId="11030" xr:uid="{00000000-0005-0000-0000-00000D340000}"/>
    <cellStyle name="표준 5 2 2 3 3 2 2 5 2 2" xfId="15142" xr:uid="{00000000-0005-0000-0000-00000E340000}"/>
    <cellStyle name="표준 5 2 2 3 3 2 2 5 2 2 2" xfId="31736" xr:uid="{00000000-0005-0000-0000-00000F340000}"/>
    <cellStyle name="표준 5 2 2 3 3 2 2 5 2 2 3" xfId="39947" xr:uid="{00000000-0005-0000-0000-000010340000}"/>
    <cellStyle name="표준 5 2 2 3 3 2 2 5 2 2 4" xfId="48140" xr:uid="{00000000-0005-0000-0000-000011340000}"/>
    <cellStyle name="표준 5 2 2 3 3 2 2 5 2 3" xfId="19382" xr:uid="{00000000-0005-0000-0000-000012340000}"/>
    <cellStyle name="표준 5 2 2 3 3 2 2 5 2 4" xfId="23544" xr:uid="{00000000-0005-0000-0000-000013340000}"/>
    <cellStyle name="표준 5 2 2 3 3 2 2 5 2 5" xfId="27640" xr:uid="{00000000-0005-0000-0000-000014340000}"/>
    <cellStyle name="표준 5 2 2 3 3 2 2 5 2 6" xfId="35851" xr:uid="{00000000-0005-0000-0000-000015340000}"/>
    <cellStyle name="표준 5 2 2 3 3 2 2 5 2 7" xfId="44044" xr:uid="{00000000-0005-0000-0000-000016340000}"/>
    <cellStyle name="표준 5 2 2 3 3 2 2 5 3" xfId="8982" xr:uid="{00000000-0005-0000-0000-000017340000}"/>
    <cellStyle name="표준 5 2 2 3 3 2 2 5 3 2" xfId="29688" xr:uid="{00000000-0005-0000-0000-000018340000}"/>
    <cellStyle name="표준 5 2 2 3 3 2 2 5 3 3" xfId="37899" xr:uid="{00000000-0005-0000-0000-000019340000}"/>
    <cellStyle name="표준 5 2 2 3 3 2 2 5 3 4" xfId="46092" xr:uid="{00000000-0005-0000-0000-00001A340000}"/>
    <cellStyle name="표준 5 2 2 3 3 2 2 5 4" xfId="13094" xr:uid="{00000000-0005-0000-0000-00001B340000}"/>
    <cellStyle name="표준 5 2 2 3 3 2 2 5 5" xfId="17334" xr:uid="{00000000-0005-0000-0000-00001C340000}"/>
    <cellStyle name="표준 5 2 2 3 3 2 2 5 6" xfId="21496" xr:uid="{00000000-0005-0000-0000-00001D340000}"/>
    <cellStyle name="표준 5 2 2 3 3 2 2 5 7" xfId="25592" xr:uid="{00000000-0005-0000-0000-00001E340000}"/>
    <cellStyle name="표준 5 2 2 3 3 2 2 5 8" xfId="33803" xr:uid="{00000000-0005-0000-0000-00001F340000}"/>
    <cellStyle name="표준 5 2 2 3 3 2 2 5 9" xfId="41996" xr:uid="{00000000-0005-0000-0000-000020340000}"/>
    <cellStyle name="표준 5 2 2 3 3 2 2 6" xfId="9494" xr:uid="{00000000-0005-0000-0000-000021340000}"/>
    <cellStyle name="표준 5 2 2 3 3 2 2 6 2" xfId="13606" xr:uid="{00000000-0005-0000-0000-000022340000}"/>
    <cellStyle name="표준 5 2 2 3 3 2 2 6 2 2" xfId="30200" xr:uid="{00000000-0005-0000-0000-000023340000}"/>
    <cellStyle name="표준 5 2 2 3 3 2 2 6 2 3" xfId="38411" xr:uid="{00000000-0005-0000-0000-000024340000}"/>
    <cellStyle name="표준 5 2 2 3 3 2 2 6 2 4" xfId="46604" xr:uid="{00000000-0005-0000-0000-000025340000}"/>
    <cellStyle name="표준 5 2 2 3 3 2 2 6 3" xfId="17846" xr:uid="{00000000-0005-0000-0000-000026340000}"/>
    <cellStyle name="표준 5 2 2 3 3 2 2 6 4" xfId="22008" xr:uid="{00000000-0005-0000-0000-000027340000}"/>
    <cellStyle name="표준 5 2 2 3 3 2 2 6 5" xfId="26104" xr:uid="{00000000-0005-0000-0000-000028340000}"/>
    <cellStyle name="표준 5 2 2 3 3 2 2 6 6" xfId="34315" xr:uid="{00000000-0005-0000-0000-000029340000}"/>
    <cellStyle name="표준 5 2 2 3 3 2 2 6 7" xfId="42508" xr:uid="{00000000-0005-0000-0000-00002A340000}"/>
    <cellStyle name="표준 5 2 2 3 3 2 2 7" xfId="7446" xr:uid="{00000000-0005-0000-0000-00002B340000}"/>
    <cellStyle name="표준 5 2 2 3 3 2 2 7 2" xfId="28152" xr:uid="{00000000-0005-0000-0000-00002C340000}"/>
    <cellStyle name="표준 5 2 2 3 3 2 2 7 3" xfId="36363" xr:uid="{00000000-0005-0000-0000-00002D340000}"/>
    <cellStyle name="표준 5 2 2 3 3 2 2 7 4" xfId="44556" xr:uid="{00000000-0005-0000-0000-00002E340000}"/>
    <cellStyle name="표준 5 2 2 3 3 2 2 8" xfId="11558" xr:uid="{00000000-0005-0000-0000-00002F340000}"/>
    <cellStyle name="표준 5 2 2 3 3 2 2 9" xfId="15798" xr:uid="{00000000-0005-0000-0000-000030340000}"/>
    <cellStyle name="표준 5 2 2 3 3 2 3" xfId="719" xr:uid="{00000000-0005-0000-0000-000031340000}"/>
    <cellStyle name="표준 5 2 2 3 3 2 3 10" xfId="24184" xr:uid="{00000000-0005-0000-0000-000032340000}"/>
    <cellStyle name="표준 5 2 2 3 3 2 3 11" xfId="32395" xr:uid="{00000000-0005-0000-0000-000033340000}"/>
    <cellStyle name="표준 5 2 2 3 3 2 3 12" xfId="40588" xr:uid="{00000000-0005-0000-0000-000034340000}"/>
    <cellStyle name="표준 5 2 2 3 3 2 3 2" xfId="1231" xr:uid="{00000000-0005-0000-0000-000035340000}"/>
    <cellStyle name="표준 5 2 2 3 3 2 3 2 2" xfId="10134" xr:uid="{00000000-0005-0000-0000-000036340000}"/>
    <cellStyle name="표준 5 2 2 3 3 2 3 2 2 2" xfId="14246" xr:uid="{00000000-0005-0000-0000-000037340000}"/>
    <cellStyle name="표준 5 2 2 3 3 2 3 2 2 2 2" xfId="30840" xr:uid="{00000000-0005-0000-0000-000038340000}"/>
    <cellStyle name="표준 5 2 2 3 3 2 3 2 2 2 3" xfId="39051" xr:uid="{00000000-0005-0000-0000-000039340000}"/>
    <cellStyle name="표준 5 2 2 3 3 2 3 2 2 2 4" xfId="47244" xr:uid="{00000000-0005-0000-0000-00003A340000}"/>
    <cellStyle name="표준 5 2 2 3 3 2 3 2 2 3" xfId="18486" xr:uid="{00000000-0005-0000-0000-00003B340000}"/>
    <cellStyle name="표준 5 2 2 3 3 2 3 2 2 4" xfId="22648" xr:uid="{00000000-0005-0000-0000-00003C340000}"/>
    <cellStyle name="표준 5 2 2 3 3 2 3 2 2 5" xfId="26744" xr:uid="{00000000-0005-0000-0000-00003D340000}"/>
    <cellStyle name="표준 5 2 2 3 3 2 3 2 2 6" xfId="34955" xr:uid="{00000000-0005-0000-0000-00003E340000}"/>
    <cellStyle name="표준 5 2 2 3 3 2 3 2 2 7" xfId="43148" xr:uid="{00000000-0005-0000-0000-00003F340000}"/>
    <cellStyle name="표준 5 2 2 3 3 2 3 2 3" xfId="8086" xr:uid="{00000000-0005-0000-0000-000040340000}"/>
    <cellStyle name="표준 5 2 2 3 3 2 3 2 3 2" xfId="28792" xr:uid="{00000000-0005-0000-0000-000041340000}"/>
    <cellStyle name="표준 5 2 2 3 3 2 3 2 3 3" xfId="37003" xr:uid="{00000000-0005-0000-0000-000042340000}"/>
    <cellStyle name="표준 5 2 2 3 3 2 3 2 3 4" xfId="45196" xr:uid="{00000000-0005-0000-0000-000043340000}"/>
    <cellStyle name="표준 5 2 2 3 3 2 3 2 4" xfId="12198" xr:uid="{00000000-0005-0000-0000-000044340000}"/>
    <cellStyle name="표준 5 2 2 3 3 2 3 2 5" xfId="16438" xr:uid="{00000000-0005-0000-0000-000045340000}"/>
    <cellStyle name="표준 5 2 2 3 3 2 3 2 6" xfId="20600" xr:uid="{00000000-0005-0000-0000-000046340000}"/>
    <cellStyle name="표준 5 2 2 3 3 2 3 2 7" xfId="24696" xr:uid="{00000000-0005-0000-0000-000047340000}"/>
    <cellStyle name="표준 5 2 2 3 3 2 3 2 8" xfId="32907" xr:uid="{00000000-0005-0000-0000-000048340000}"/>
    <cellStyle name="표준 5 2 2 3 3 2 3 2 9" xfId="41100" xr:uid="{00000000-0005-0000-0000-000049340000}"/>
    <cellStyle name="표준 5 2 2 3 3 2 3 3" xfId="1743" xr:uid="{00000000-0005-0000-0000-00004A340000}"/>
    <cellStyle name="표준 5 2 2 3 3 2 3 3 2" xfId="10646" xr:uid="{00000000-0005-0000-0000-00004B340000}"/>
    <cellStyle name="표준 5 2 2 3 3 2 3 3 2 2" xfId="14758" xr:uid="{00000000-0005-0000-0000-00004C340000}"/>
    <cellStyle name="표준 5 2 2 3 3 2 3 3 2 2 2" xfId="31352" xr:uid="{00000000-0005-0000-0000-00004D340000}"/>
    <cellStyle name="표준 5 2 2 3 3 2 3 3 2 2 3" xfId="39563" xr:uid="{00000000-0005-0000-0000-00004E340000}"/>
    <cellStyle name="표준 5 2 2 3 3 2 3 3 2 2 4" xfId="47756" xr:uid="{00000000-0005-0000-0000-00004F340000}"/>
    <cellStyle name="표준 5 2 2 3 3 2 3 3 2 3" xfId="18998" xr:uid="{00000000-0005-0000-0000-000050340000}"/>
    <cellStyle name="표준 5 2 2 3 3 2 3 3 2 4" xfId="23160" xr:uid="{00000000-0005-0000-0000-000051340000}"/>
    <cellStyle name="표준 5 2 2 3 3 2 3 3 2 5" xfId="27256" xr:uid="{00000000-0005-0000-0000-000052340000}"/>
    <cellStyle name="표준 5 2 2 3 3 2 3 3 2 6" xfId="35467" xr:uid="{00000000-0005-0000-0000-000053340000}"/>
    <cellStyle name="표준 5 2 2 3 3 2 3 3 2 7" xfId="43660" xr:uid="{00000000-0005-0000-0000-000054340000}"/>
    <cellStyle name="표준 5 2 2 3 3 2 3 3 3" xfId="8598" xr:uid="{00000000-0005-0000-0000-000055340000}"/>
    <cellStyle name="표준 5 2 2 3 3 2 3 3 3 2" xfId="29304" xr:uid="{00000000-0005-0000-0000-000056340000}"/>
    <cellStyle name="표준 5 2 2 3 3 2 3 3 3 3" xfId="37515" xr:uid="{00000000-0005-0000-0000-000057340000}"/>
    <cellStyle name="표준 5 2 2 3 3 2 3 3 3 4" xfId="45708" xr:uid="{00000000-0005-0000-0000-000058340000}"/>
    <cellStyle name="표준 5 2 2 3 3 2 3 3 4" xfId="12710" xr:uid="{00000000-0005-0000-0000-000059340000}"/>
    <cellStyle name="표준 5 2 2 3 3 2 3 3 5" xfId="16950" xr:uid="{00000000-0005-0000-0000-00005A340000}"/>
    <cellStyle name="표준 5 2 2 3 3 2 3 3 6" xfId="21112" xr:uid="{00000000-0005-0000-0000-00005B340000}"/>
    <cellStyle name="표준 5 2 2 3 3 2 3 3 7" xfId="25208" xr:uid="{00000000-0005-0000-0000-00005C340000}"/>
    <cellStyle name="표준 5 2 2 3 3 2 3 3 8" xfId="33419" xr:uid="{00000000-0005-0000-0000-00005D340000}"/>
    <cellStyle name="표준 5 2 2 3 3 2 3 3 9" xfId="41612" xr:uid="{00000000-0005-0000-0000-00005E340000}"/>
    <cellStyle name="표준 5 2 2 3 3 2 3 4" xfId="2255" xr:uid="{00000000-0005-0000-0000-00005F340000}"/>
    <cellStyle name="표준 5 2 2 3 3 2 3 4 2" xfId="11158" xr:uid="{00000000-0005-0000-0000-000060340000}"/>
    <cellStyle name="표준 5 2 2 3 3 2 3 4 2 2" xfId="15270" xr:uid="{00000000-0005-0000-0000-000061340000}"/>
    <cellStyle name="표준 5 2 2 3 3 2 3 4 2 2 2" xfId="31864" xr:uid="{00000000-0005-0000-0000-000062340000}"/>
    <cellStyle name="표준 5 2 2 3 3 2 3 4 2 2 3" xfId="40075" xr:uid="{00000000-0005-0000-0000-000063340000}"/>
    <cellStyle name="표준 5 2 2 3 3 2 3 4 2 2 4" xfId="48268" xr:uid="{00000000-0005-0000-0000-000064340000}"/>
    <cellStyle name="표준 5 2 2 3 3 2 3 4 2 3" xfId="19510" xr:uid="{00000000-0005-0000-0000-000065340000}"/>
    <cellStyle name="표준 5 2 2 3 3 2 3 4 2 4" xfId="23672" xr:uid="{00000000-0005-0000-0000-000066340000}"/>
    <cellStyle name="표준 5 2 2 3 3 2 3 4 2 5" xfId="27768" xr:uid="{00000000-0005-0000-0000-000067340000}"/>
    <cellStyle name="표준 5 2 2 3 3 2 3 4 2 6" xfId="35979" xr:uid="{00000000-0005-0000-0000-000068340000}"/>
    <cellStyle name="표준 5 2 2 3 3 2 3 4 2 7" xfId="44172" xr:uid="{00000000-0005-0000-0000-000069340000}"/>
    <cellStyle name="표준 5 2 2 3 3 2 3 4 3" xfId="9110" xr:uid="{00000000-0005-0000-0000-00006A340000}"/>
    <cellStyle name="표준 5 2 2 3 3 2 3 4 3 2" xfId="29816" xr:uid="{00000000-0005-0000-0000-00006B340000}"/>
    <cellStyle name="표준 5 2 2 3 3 2 3 4 3 3" xfId="38027" xr:uid="{00000000-0005-0000-0000-00006C340000}"/>
    <cellStyle name="표준 5 2 2 3 3 2 3 4 3 4" xfId="46220" xr:uid="{00000000-0005-0000-0000-00006D340000}"/>
    <cellStyle name="표준 5 2 2 3 3 2 3 4 4" xfId="13222" xr:uid="{00000000-0005-0000-0000-00006E340000}"/>
    <cellStyle name="표준 5 2 2 3 3 2 3 4 5" xfId="17462" xr:uid="{00000000-0005-0000-0000-00006F340000}"/>
    <cellStyle name="표준 5 2 2 3 3 2 3 4 6" xfId="21624" xr:uid="{00000000-0005-0000-0000-000070340000}"/>
    <cellStyle name="표준 5 2 2 3 3 2 3 4 7" xfId="25720" xr:uid="{00000000-0005-0000-0000-000071340000}"/>
    <cellStyle name="표준 5 2 2 3 3 2 3 4 8" xfId="33931" xr:uid="{00000000-0005-0000-0000-000072340000}"/>
    <cellStyle name="표준 5 2 2 3 3 2 3 4 9" xfId="42124" xr:uid="{00000000-0005-0000-0000-000073340000}"/>
    <cellStyle name="표준 5 2 2 3 3 2 3 5" xfId="9622" xr:uid="{00000000-0005-0000-0000-000074340000}"/>
    <cellStyle name="표준 5 2 2 3 3 2 3 5 2" xfId="13734" xr:uid="{00000000-0005-0000-0000-000075340000}"/>
    <cellStyle name="표준 5 2 2 3 3 2 3 5 2 2" xfId="30328" xr:uid="{00000000-0005-0000-0000-000076340000}"/>
    <cellStyle name="표준 5 2 2 3 3 2 3 5 2 3" xfId="38539" xr:uid="{00000000-0005-0000-0000-000077340000}"/>
    <cellStyle name="표준 5 2 2 3 3 2 3 5 2 4" xfId="46732" xr:uid="{00000000-0005-0000-0000-000078340000}"/>
    <cellStyle name="표준 5 2 2 3 3 2 3 5 3" xfId="17974" xr:uid="{00000000-0005-0000-0000-000079340000}"/>
    <cellStyle name="표준 5 2 2 3 3 2 3 5 4" xfId="22136" xr:uid="{00000000-0005-0000-0000-00007A340000}"/>
    <cellStyle name="표준 5 2 2 3 3 2 3 5 5" xfId="26232" xr:uid="{00000000-0005-0000-0000-00007B340000}"/>
    <cellStyle name="표준 5 2 2 3 3 2 3 5 6" xfId="34443" xr:uid="{00000000-0005-0000-0000-00007C340000}"/>
    <cellStyle name="표준 5 2 2 3 3 2 3 5 7" xfId="42636" xr:uid="{00000000-0005-0000-0000-00007D340000}"/>
    <cellStyle name="표준 5 2 2 3 3 2 3 6" xfId="7574" xr:uid="{00000000-0005-0000-0000-00007E340000}"/>
    <cellStyle name="표준 5 2 2 3 3 2 3 6 2" xfId="28280" xr:uid="{00000000-0005-0000-0000-00007F340000}"/>
    <cellStyle name="표준 5 2 2 3 3 2 3 6 3" xfId="36491" xr:uid="{00000000-0005-0000-0000-000080340000}"/>
    <cellStyle name="표준 5 2 2 3 3 2 3 6 4" xfId="44684" xr:uid="{00000000-0005-0000-0000-000081340000}"/>
    <cellStyle name="표준 5 2 2 3 3 2 3 7" xfId="11686" xr:uid="{00000000-0005-0000-0000-000082340000}"/>
    <cellStyle name="표준 5 2 2 3 3 2 3 8" xfId="15926" xr:uid="{00000000-0005-0000-0000-000083340000}"/>
    <cellStyle name="표준 5 2 2 3 3 2 3 9" xfId="20088" xr:uid="{00000000-0005-0000-0000-000084340000}"/>
    <cellStyle name="표준 5 2 2 3 3 2 4" xfId="975" xr:uid="{00000000-0005-0000-0000-000085340000}"/>
    <cellStyle name="표준 5 2 2 3 3 2 4 2" xfId="9878" xr:uid="{00000000-0005-0000-0000-000086340000}"/>
    <cellStyle name="표준 5 2 2 3 3 2 4 2 2" xfId="13990" xr:uid="{00000000-0005-0000-0000-000087340000}"/>
    <cellStyle name="표준 5 2 2 3 3 2 4 2 2 2" xfId="30584" xr:uid="{00000000-0005-0000-0000-000088340000}"/>
    <cellStyle name="표준 5 2 2 3 3 2 4 2 2 3" xfId="38795" xr:uid="{00000000-0005-0000-0000-000089340000}"/>
    <cellStyle name="표준 5 2 2 3 3 2 4 2 2 4" xfId="46988" xr:uid="{00000000-0005-0000-0000-00008A340000}"/>
    <cellStyle name="표준 5 2 2 3 3 2 4 2 3" xfId="18230" xr:uid="{00000000-0005-0000-0000-00008B340000}"/>
    <cellStyle name="표준 5 2 2 3 3 2 4 2 4" xfId="22392" xr:uid="{00000000-0005-0000-0000-00008C340000}"/>
    <cellStyle name="표준 5 2 2 3 3 2 4 2 5" xfId="26488" xr:uid="{00000000-0005-0000-0000-00008D340000}"/>
    <cellStyle name="표준 5 2 2 3 3 2 4 2 6" xfId="34699" xr:uid="{00000000-0005-0000-0000-00008E340000}"/>
    <cellStyle name="표준 5 2 2 3 3 2 4 2 7" xfId="42892" xr:uid="{00000000-0005-0000-0000-00008F340000}"/>
    <cellStyle name="표준 5 2 2 3 3 2 4 3" xfId="7830" xr:uid="{00000000-0005-0000-0000-000090340000}"/>
    <cellStyle name="표준 5 2 2 3 3 2 4 3 2" xfId="28536" xr:uid="{00000000-0005-0000-0000-000091340000}"/>
    <cellStyle name="표준 5 2 2 3 3 2 4 3 3" xfId="36747" xr:uid="{00000000-0005-0000-0000-000092340000}"/>
    <cellStyle name="표준 5 2 2 3 3 2 4 3 4" xfId="44940" xr:uid="{00000000-0005-0000-0000-000093340000}"/>
    <cellStyle name="표준 5 2 2 3 3 2 4 4" xfId="11942" xr:uid="{00000000-0005-0000-0000-000094340000}"/>
    <cellStyle name="표준 5 2 2 3 3 2 4 5" xfId="16182" xr:uid="{00000000-0005-0000-0000-000095340000}"/>
    <cellStyle name="표준 5 2 2 3 3 2 4 6" xfId="20344" xr:uid="{00000000-0005-0000-0000-000096340000}"/>
    <cellStyle name="표준 5 2 2 3 3 2 4 7" xfId="24440" xr:uid="{00000000-0005-0000-0000-000097340000}"/>
    <cellStyle name="표준 5 2 2 3 3 2 4 8" xfId="32651" xr:uid="{00000000-0005-0000-0000-000098340000}"/>
    <cellStyle name="표준 5 2 2 3 3 2 4 9" xfId="40844" xr:uid="{00000000-0005-0000-0000-000099340000}"/>
    <cellStyle name="표준 5 2 2 3 3 2 5" xfId="1487" xr:uid="{00000000-0005-0000-0000-00009A340000}"/>
    <cellStyle name="표준 5 2 2 3 3 2 5 2" xfId="10390" xr:uid="{00000000-0005-0000-0000-00009B340000}"/>
    <cellStyle name="표준 5 2 2 3 3 2 5 2 2" xfId="14502" xr:uid="{00000000-0005-0000-0000-00009C340000}"/>
    <cellStyle name="표준 5 2 2 3 3 2 5 2 2 2" xfId="31096" xr:uid="{00000000-0005-0000-0000-00009D340000}"/>
    <cellStyle name="표준 5 2 2 3 3 2 5 2 2 3" xfId="39307" xr:uid="{00000000-0005-0000-0000-00009E340000}"/>
    <cellStyle name="표준 5 2 2 3 3 2 5 2 2 4" xfId="47500" xr:uid="{00000000-0005-0000-0000-00009F340000}"/>
    <cellStyle name="표준 5 2 2 3 3 2 5 2 3" xfId="18742" xr:uid="{00000000-0005-0000-0000-0000A0340000}"/>
    <cellStyle name="표준 5 2 2 3 3 2 5 2 4" xfId="22904" xr:uid="{00000000-0005-0000-0000-0000A1340000}"/>
    <cellStyle name="표준 5 2 2 3 3 2 5 2 5" xfId="27000" xr:uid="{00000000-0005-0000-0000-0000A2340000}"/>
    <cellStyle name="표준 5 2 2 3 3 2 5 2 6" xfId="35211" xr:uid="{00000000-0005-0000-0000-0000A3340000}"/>
    <cellStyle name="표준 5 2 2 3 3 2 5 2 7" xfId="43404" xr:uid="{00000000-0005-0000-0000-0000A4340000}"/>
    <cellStyle name="표준 5 2 2 3 3 2 5 3" xfId="8342" xr:uid="{00000000-0005-0000-0000-0000A5340000}"/>
    <cellStyle name="표준 5 2 2 3 3 2 5 3 2" xfId="29048" xr:uid="{00000000-0005-0000-0000-0000A6340000}"/>
    <cellStyle name="표준 5 2 2 3 3 2 5 3 3" xfId="37259" xr:uid="{00000000-0005-0000-0000-0000A7340000}"/>
    <cellStyle name="표준 5 2 2 3 3 2 5 3 4" xfId="45452" xr:uid="{00000000-0005-0000-0000-0000A8340000}"/>
    <cellStyle name="표준 5 2 2 3 3 2 5 4" xfId="12454" xr:uid="{00000000-0005-0000-0000-0000A9340000}"/>
    <cellStyle name="표준 5 2 2 3 3 2 5 5" xfId="16694" xr:uid="{00000000-0005-0000-0000-0000AA340000}"/>
    <cellStyle name="표준 5 2 2 3 3 2 5 6" xfId="20856" xr:uid="{00000000-0005-0000-0000-0000AB340000}"/>
    <cellStyle name="표준 5 2 2 3 3 2 5 7" xfId="24952" xr:uid="{00000000-0005-0000-0000-0000AC340000}"/>
    <cellStyle name="표준 5 2 2 3 3 2 5 8" xfId="33163" xr:uid="{00000000-0005-0000-0000-0000AD340000}"/>
    <cellStyle name="표준 5 2 2 3 3 2 5 9" xfId="41356" xr:uid="{00000000-0005-0000-0000-0000AE340000}"/>
    <cellStyle name="표준 5 2 2 3 3 2 6" xfId="1999" xr:uid="{00000000-0005-0000-0000-0000AF340000}"/>
    <cellStyle name="표준 5 2 2 3 3 2 6 2" xfId="10902" xr:uid="{00000000-0005-0000-0000-0000B0340000}"/>
    <cellStyle name="표준 5 2 2 3 3 2 6 2 2" xfId="15014" xr:uid="{00000000-0005-0000-0000-0000B1340000}"/>
    <cellStyle name="표준 5 2 2 3 3 2 6 2 2 2" xfId="31608" xr:uid="{00000000-0005-0000-0000-0000B2340000}"/>
    <cellStyle name="표준 5 2 2 3 3 2 6 2 2 3" xfId="39819" xr:uid="{00000000-0005-0000-0000-0000B3340000}"/>
    <cellStyle name="표준 5 2 2 3 3 2 6 2 2 4" xfId="48012" xr:uid="{00000000-0005-0000-0000-0000B4340000}"/>
    <cellStyle name="표준 5 2 2 3 3 2 6 2 3" xfId="19254" xr:uid="{00000000-0005-0000-0000-0000B5340000}"/>
    <cellStyle name="표준 5 2 2 3 3 2 6 2 4" xfId="23416" xr:uid="{00000000-0005-0000-0000-0000B6340000}"/>
    <cellStyle name="표준 5 2 2 3 3 2 6 2 5" xfId="27512" xr:uid="{00000000-0005-0000-0000-0000B7340000}"/>
    <cellStyle name="표준 5 2 2 3 3 2 6 2 6" xfId="35723" xr:uid="{00000000-0005-0000-0000-0000B8340000}"/>
    <cellStyle name="표준 5 2 2 3 3 2 6 2 7" xfId="43916" xr:uid="{00000000-0005-0000-0000-0000B9340000}"/>
    <cellStyle name="표준 5 2 2 3 3 2 6 3" xfId="8854" xr:uid="{00000000-0005-0000-0000-0000BA340000}"/>
    <cellStyle name="표준 5 2 2 3 3 2 6 3 2" xfId="29560" xr:uid="{00000000-0005-0000-0000-0000BB340000}"/>
    <cellStyle name="표준 5 2 2 3 3 2 6 3 3" xfId="37771" xr:uid="{00000000-0005-0000-0000-0000BC340000}"/>
    <cellStyle name="표준 5 2 2 3 3 2 6 3 4" xfId="45964" xr:uid="{00000000-0005-0000-0000-0000BD340000}"/>
    <cellStyle name="표준 5 2 2 3 3 2 6 4" xfId="12966" xr:uid="{00000000-0005-0000-0000-0000BE340000}"/>
    <cellStyle name="표준 5 2 2 3 3 2 6 5" xfId="17206" xr:uid="{00000000-0005-0000-0000-0000BF340000}"/>
    <cellStyle name="표준 5 2 2 3 3 2 6 6" xfId="21368" xr:uid="{00000000-0005-0000-0000-0000C0340000}"/>
    <cellStyle name="표준 5 2 2 3 3 2 6 7" xfId="25464" xr:uid="{00000000-0005-0000-0000-0000C1340000}"/>
    <cellStyle name="표준 5 2 2 3 3 2 6 8" xfId="33675" xr:uid="{00000000-0005-0000-0000-0000C2340000}"/>
    <cellStyle name="표준 5 2 2 3 3 2 6 9" xfId="41868" xr:uid="{00000000-0005-0000-0000-0000C3340000}"/>
    <cellStyle name="표준 5 2 2 3 3 2 7" xfId="7059" xr:uid="{00000000-0005-0000-0000-0000C4340000}"/>
    <cellStyle name="표준 5 2 2 3 3 2 7 2" xfId="9366" xr:uid="{00000000-0005-0000-0000-0000C5340000}"/>
    <cellStyle name="표준 5 2 2 3 3 2 7 2 2" xfId="30072" xr:uid="{00000000-0005-0000-0000-0000C6340000}"/>
    <cellStyle name="표준 5 2 2 3 3 2 7 2 3" xfId="38283" xr:uid="{00000000-0005-0000-0000-0000C7340000}"/>
    <cellStyle name="표준 5 2 2 3 3 2 7 2 4" xfId="46476" xr:uid="{00000000-0005-0000-0000-0000C8340000}"/>
    <cellStyle name="표준 5 2 2 3 3 2 7 3" xfId="13478" xr:uid="{00000000-0005-0000-0000-0000C9340000}"/>
    <cellStyle name="표준 5 2 2 3 3 2 7 4" xfId="17718" xr:uid="{00000000-0005-0000-0000-0000CA340000}"/>
    <cellStyle name="표준 5 2 2 3 3 2 7 5" xfId="21880" xr:uid="{00000000-0005-0000-0000-0000CB340000}"/>
    <cellStyle name="표준 5 2 2 3 3 2 7 6" xfId="25976" xr:uid="{00000000-0005-0000-0000-0000CC340000}"/>
    <cellStyle name="표준 5 2 2 3 3 2 7 7" xfId="34187" xr:uid="{00000000-0005-0000-0000-0000CD340000}"/>
    <cellStyle name="표준 5 2 2 3 3 2 7 8" xfId="42380" xr:uid="{00000000-0005-0000-0000-0000CE340000}"/>
    <cellStyle name="표준 5 2 2 3 3 2 8" xfId="7119" xr:uid="{00000000-0005-0000-0000-0000CF340000}"/>
    <cellStyle name="표준 5 2 2 3 3 2 8 2" xfId="28024" xr:uid="{00000000-0005-0000-0000-0000D0340000}"/>
    <cellStyle name="표준 5 2 2 3 3 2 8 3" xfId="36235" xr:uid="{00000000-0005-0000-0000-0000D1340000}"/>
    <cellStyle name="표준 5 2 2 3 3 2 8 4" xfId="44428" xr:uid="{00000000-0005-0000-0000-0000D2340000}"/>
    <cellStyle name="표준 5 2 2 3 3 2 9" xfId="7318" xr:uid="{00000000-0005-0000-0000-0000D3340000}"/>
    <cellStyle name="표준 5 2 2 3 3 3" xfId="527" xr:uid="{00000000-0005-0000-0000-0000D4340000}"/>
    <cellStyle name="표준 5 2 2 3 3 3 10" xfId="19896" xr:uid="{00000000-0005-0000-0000-0000D5340000}"/>
    <cellStyle name="표준 5 2 2 3 3 3 11" xfId="23992" xr:uid="{00000000-0005-0000-0000-0000D6340000}"/>
    <cellStyle name="표준 5 2 2 3 3 3 12" xfId="32203" xr:uid="{00000000-0005-0000-0000-0000D7340000}"/>
    <cellStyle name="표준 5 2 2 3 3 3 13" xfId="40396" xr:uid="{00000000-0005-0000-0000-0000D8340000}"/>
    <cellStyle name="표준 5 2 2 3 3 3 2" xfId="783" xr:uid="{00000000-0005-0000-0000-0000D9340000}"/>
    <cellStyle name="표준 5 2 2 3 3 3 2 10" xfId="24248" xr:uid="{00000000-0005-0000-0000-0000DA340000}"/>
    <cellStyle name="표준 5 2 2 3 3 3 2 11" xfId="32459" xr:uid="{00000000-0005-0000-0000-0000DB340000}"/>
    <cellStyle name="표준 5 2 2 3 3 3 2 12" xfId="40652" xr:uid="{00000000-0005-0000-0000-0000DC340000}"/>
    <cellStyle name="표준 5 2 2 3 3 3 2 2" xfId="1295" xr:uid="{00000000-0005-0000-0000-0000DD340000}"/>
    <cellStyle name="표준 5 2 2 3 3 3 2 2 2" xfId="10198" xr:uid="{00000000-0005-0000-0000-0000DE340000}"/>
    <cellStyle name="표준 5 2 2 3 3 3 2 2 2 2" xfId="14310" xr:uid="{00000000-0005-0000-0000-0000DF340000}"/>
    <cellStyle name="표준 5 2 2 3 3 3 2 2 2 2 2" xfId="30904" xr:uid="{00000000-0005-0000-0000-0000E0340000}"/>
    <cellStyle name="표준 5 2 2 3 3 3 2 2 2 2 3" xfId="39115" xr:uid="{00000000-0005-0000-0000-0000E1340000}"/>
    <cellStyle name="표준 5 2 2 3 3 3 2 2 2 2 4" xfId="47308" xr:uid="{00000000-0005-0000-0000-0000E2340000}"/>
    <cellStyle name="표준 5 2 2 3 3 3 2 2 2 3" xfId="18550" xr:uid="{00000000-0005-0000-0000-0000E3340000}"/>
    <cellStyle name="표준 5 2 2 3 3 3 2 2 2 4" xfId="22712" xr:uid="{00000000-0005-0000-0000-0000E4340000}"/>
    <cellStyle name="표준 5 2 2 3 3 3 2 2 2 5" xfId="26808" xr:uid="{00000000-0005-0000-0000-0000E5340000}"/>
    <cellStyle name="표준 5 2 2 3 3 3 2 2 2 6" xfId="35019" xr:uid="{00000000-0005-0000-0000-0000E6340000}"/>
    <cellStyle name="표준 5 2 2 3 3 3 2 2 2 7" xfId="43212" xr:uid="{00000000-0005-0000-0000-0000E7340000}"/>
    <cellStyle name="표준 5 2 2 3 3 3 2 2 3" xfId="8150" xr:uid="{00000000-0005-0000-0000-0000E8340000}"/>
    <cellStyle name="표준 5 2 2 3 3 3 2 2 3 2" xfId="28856" xr:uid="{00000000-0005-0000-0000-0000E9340000}"/>
    <cellStyle name="표준 5 2 2 3 3 3 2 2 3 3" xfId="37067" xr:uid="{00000000-0005-0000-0000-0000EA340000}"/>
    <cellStyle name="표준 5 2 2 3 3 3 2 2 3 4" xfId="45260" xr:uid="{00000000-0005-0000-0000-0000EB340000}"/>
    <cellStyle name="표준 5 2 2 3 3 3 2 2 4" xfId="12262" xr:uid="{00000000-0005-0000-0000-0000EC340000}"/>
    <cellStyle name="표준 5 2 2 3 3 3 2 2 5" xfId="16502" xr:uid="{00000000-0005-0000-0000-0000ED340000}"/>
    <cellStyle name="표준 5 2 2 3 3 3 2 2 6" xfId="20664" xr:uid="{00000000-0005-0000-0000-0000EE340000}"/>
    <cellStyle name="표준 5 2 2 3 3 3 2 2 7" xfId="24760" xr:uid="{00000000-0005-0000-0000-0000EF340000}"/>
    <cellStyle name="표준 5 2 2 3 3 3 2 2 8" xfId="32971" xr:uid="{00000000-0005-0000-0000-0000F0340000}"/>
    <cellStyle name="표준 5 2 2 3 3 3 2 2 9" xfId="41164" xr:uid="{00000000-0005-0000-0000-0000F1340000}"/>
    <cellStyle name="표준 5 2 2 3 3 3 2 3" xfId="1807" xr:uid="{00000000-0005-0000-0000-0000F2340000}"/>
    <cellStyle name="표준 5 2 2 3 3 3 2 3 2" xfId="10710" xr:uid="{00000000-0005-0000-0000-0000F3340000}"/>
    <cellStyle name="표준 5 2 2 3 3 3 2 3 2 2" xfId="14822" xr:uid="{00000000-0005-0000-0000-0000F4340000}"/>
    <cellStyle name="표준 5 2 2 3 3 3 2 3 2 2 2" xfId="31416" xr:uid="{00000000-0005-0000-0000-0000F5340000}"/>
    <cellStyle name="표준 5 2 2 3 3 3 2 3 2 2 3" xfId="39627" xr:uid="{00000000-0005-0000-0000-0000F6340000}"/>
    <cellStyle name="표준 5 2 2 3 3 3 2 3 2 2 4" xfId="47820" xr:uid="{00000000-0005-0000-0000-0000F7340000}"/>
    <cellStyle name="표준 5 2 2 3 3 3 2 3 2 3" xfId="19062" xr:uid="{00000000-0005-0000-0000-0000F8340000}"/>
    <cellStyle name="표준 5 2 2 3 3 3 2 3 2 4" xfId="23224" xr:uid="{00000000-0005-0000-0000-0000F9340000}"/>
    <cellStyle name="표준 5 2 2 3 3 3 2 3 2 5" xfId="27320" xr:uid="{00000000-0005-0000-0000-0000FA340000}"/>
    <cellStyle name="표준 5 2 2 3 3 3 2 3 2 6" xfId="35531" xr:uid="{00000000-0005-0000-0000-0000FB340000}"/>
    <cellStyle name="표준 5 2 2 3 3 3 2 3 2 7" xfId="43724" xr:uid="{00000000-0005-0000-0000-0000FC340000}"/>
    <cellStyle name="표준 5 2 2 3 3 3 2 3 3" xfId="8662" xr:uid="{00000000-0005-0000-0000-0000FD340000}"/>
    <cellStyle name="표준 5 2 2 3 3 3 2 3 3 2" xfId="29368" xr:uid="{00000000-0005-0000-0000-0000FE340000}"/>
    <cellStyle name="표준 5 2 2 3 3 3 2 3 3 3" xfId="37579" xr:uid="{00000000-0005-0000-0000-0000FF340000}"/>
    <cellStyle name="표준 5 2 2 3 3 3 2 3 3 4" xfId="45772" xr:uid="{00000000-0005-0000-0000-000000350000}"/>
    <cellStyle name="표준 5 2 2 3 3 3 2 3 4" xfId="12774" xr:uid="{00000000-0005-0000-0000-000001350000}"/>
    <cellStyle name="표준 5 2 2 3 3 3 2 3 5" xfId="17014" xr:uid="{00000000-0005-0000-0000-000002350000}"/>
    <cellStyle name="표준 5 2 2 3 3 3 2 3 6" xfId="21176" xr:uid="{00000000-0005-0000-0000-000003350000}"/>
    <cellStyle name="표준 5 2 2 3 3 3 2 3 7" xfId="25272" xr:uid="{00000000-0005-0000-0000-000004350000}"/>
    <cellStyle name="표준 5 2 2 3 3 3 2 3 8" xfId="33483" xr:uid="{00000000-0005-0000-0000-000005350000}"/>
    <cellStyle name="표준 5 2 2 3 3 3 2 3 9" xfId="41676" xr:uid="{00000000-0005-0000-0000-000006350000}"/>
    <cellStyle name="표준 5 2 2 3 3 3 2 4" xfId="2319" xr:uid="{00000000-0005-0000-0000-000007350000}"/>
    <cellStyle name="표준 5 2 2 3 3 3 2 4 2" xfId="11222" xr:uid="{00000000-0005-0000-0000-000008350000}"/>
    <cellStyle name="표준 5 2 2 3 3 3 2 4 2 2" xfId="15334" xr:uid="{00000000-0005-0000-0000-000009350000}"/>
    <cellStyle name="표준 5 2 2 3 3 3 2 4 2 2 2" xfId="31928" xr:uid="{00000000-0005-0000-0000-00000A350000}"/>
    <cellStyle name="표준 5 2 2 3 3 3 2 4 2 2 3" xfId="40139" xr:uid="{00000000-0005-0000-0000-00000B350000}"/>
    <cellStyle name="표준 5 2 2 3 3 3 2 4 2 2 4" xfId="48332" xr:uid="{00000000-0005-0000-0000-00000C350000}"/>
    <cellStyle name="표준 5 2 2 3 3 3 2 4 2 3" xfId="19574" xr:uid="{00000000-0005-0000-0000-00000D350000}"/>
    <cellStyle name="표준 5 2 2 3 3 3 2 4 2 4" xfId="23736" xr:uid="{00000000-0005-0000-0000-00000E350000}"/>
    <cellStyle name="표준 5 2 2 3 3 3 2 4 2 5" xfId="27832" xr:uid="{00000000-0005-0000-0000-00000F350000}"/>
    <cellStyle name="표준 5 2 2 3 3 3 2 4 2 6" xfId="36043" xr:uid="{00000000-0005-0000-0000-000010350000}"/>
    <cellStyle name="표준 5 2 2 3 3 3 2 4 2 7" xfId="44236" xr:uid="{00000000-0005-0000-0000-000011350000}"/>
    <cellStyle name="표준 5 2 2 3 3 3 2 4 3" xfId="9174" xr:uid="{00000000-0005-0000-0000-000012350000}"/>
    <cellStyle name="표준 5 2 2 3 3 3 2 4 3 2" xfId="29880" xr:uid="{00000000-0005-0000-0000-000013350000}"/>
    <cellStyle name="표준 5 2 2 3 3 3 2 4 3 3" xfId="38091" xr:uid="{00000000-0005-0000-0000-000014350000}"/>
    <cellStyle name="표준 5 2 2 3 3 3 2 4 3 4" xfId="46284" xr:uid="{00000000-0005-0000-0000-000015350000}"/>
    <cellStyle name="표준 5 2 2 3 3 3 2 4 4" xfId="13286" xr:uid="{00000000-0005-0000-0000-000016350000}"/>
    <cellStyle name="표준 5 2 2 3 3 3 2 4 5" xfId="17526" xr:uid="{00000000-0005-0000-0000-000017350000}"/>
    <cellStyle name="표준 5 2 2 3 3 3 2 4 6" xfId="21688" xr:uid="{00000000-0005-0000-0000-000018350000}"/>
    <cellStyle name="표준 5 2 2 3 3 3 2 4 7" xfId="25784" xr:uid="{00000000-0005-0000-0000-000019350000}"/>
    <cellStyle name="표준 5 2 2 3 3 3 2 4 8" xfId="33995" xr:uid="{00000000-0005-0000-0000-00001A350000}"/>
    <cellStyle name="표준 5 2 2 3 3 3 2 4 9" xfId="42188" xr:uid="{00000000-0005-0000-0000-00001B350000}"/>
    <cellStyle name="표준 5 2 2 3 3 3 2 5" xfId="9686" xr:uid="{00000000-0005-0000-0000-00001C350000}"/>
    <cellStyle name="표준 5 2 2 3 3 3 2 5 2" xfId="13798" xr:uid="{00000000-0005-0000-0000-00001D350000}"/>
    <cellStyle name="표준 5 2 2 3 3 3 2 5 2 2" xfId="30392" xr:uid="{00000000-0005-0000-0000-00001E350000}"/>
    <cellStyle name="표준 5 2 2 3 3 3 2 5 2 3" xfId="38603" xr:uid="{00000000-0005-0000-0000-00001F350000}"/>
    <cellStyle name="표준 5 2 2 3 3 3 2 5 2 4" xfId="46796" xr:uid="{00000000-0005-0000-0000-000020350000}"/>
    <cellStyle name="표준 5 2 2 3 3 3 2 5 3" xfId="18038" xr:uid="{00000000-0005-0000-0000-000021350000}"/>
    <cellStyle name="표준 5 2 2 3 3 3 2 5 4" xfId="22200" xr:uid="{00000000-0005-0000-0000-000022350000}"/>
    <cellStyle name="표준 5 2 2 3 3 3 2 5 5" xfId="26296" xr:uid="{00000000-0005-0000-0000-000023350000}"/>
    <cellStyle name="표준 5 2 2 3 3 3 2 5 6" xfId="34507" xr:uid="{00000000-0005-0000-0000-000024350000}"/>
    <cellStyle name="표준 5 2 2 3 3 3 2 5 7" xfId="42700" xr:uid="{00000000-0005-0000-0000-000025350000}"/>
    <cellStyle name="표준 5 2 2 3 3 3 2 6" xfId="7638" xr:uid="{00000000-0005-0000-0000-000026350000}"/>
    <cellStyle name="표준 5 2 2 3 3 3 2 6 2" xfId="28344" xr:uid="{00000000-0005-0000-0000-000027350000}"/>
    <cellStyle name="표준 5 2 2 3 3 3 2 6 3" xfId="36555" xr:uid="{00000000-0005-0000-0000-000028350000}"/>
    <cellStyle name="표준 5 2 2 3 3 3 2 6 4" xfId="44748" xr:uid="{00000000-0005-0000-0000-000029350000}"/>
    <cellStyle name="표준 5 2 2 3 3 3 2 7" xfId="11750" xr:uid="{00000000-0005-0000-0000-00002A350000}"/>
    <cellStyle name="표준 5 2 2 3 3 3 2 8" xfId="15990" xr:uid="{00000000-0005-0000-0000-00002B350000}"/>
    <cellStyle name="표준 5 2 2 3 3 3 2 9" xfId="20152" xr:uid="{00000000-0005-0000-0000-00002C350000}"/>
    <cellStyle name="표준 5 2 2 3 3 3 3" xfId="1039" xr:uid="{00000000-0005-0000-0000-00002D350000}"/>
    <cellStyle name="표준 5 2 2 3 3 3 3 2" xfId="9942" xr:uid="{00000000-0005-0000-0000-00002E350000}"/>
    <cellStyle name="표준 5 2 2 3 3 3 3 2 2" xfId="14054" xr:uid="{00000000-0005-0000-0000-00002F350000}"/>
    <cellStyle name="표준 5 2 2 3 3 3 3 2 2 2" xfId="30648" xr:uid="{00000000-0005-0000-0000-000030350000}"/>
    <cellStyle name="표준 5 2 2 3 3 3 3 2 2 3" xfId="38859" xr:uid="{00000000-0005-0000-0000-000031350000}"/>
    <cellStyle name="표준 5 2 2 3 3 3 3 2 2 4" xfId="47052" xr:uid="{00000000-0005-0000-0000-000032350000}"/>
    <cellStyle name="표준 5 2 2 3 3 3 3 2 3" xfId="18294" xr:uid="{00000000-0005-0000-0000-000033350000}"/>
    <cellStyle name="표준 5 2 2 3 3 3 3 2 4" xfId="22456" xr:uid="{00000000-0005-0000-0000-000034350000}"/>
    <cellStyle name="표준 5 2 2 3 3 3 3 2 5" xfId="26552" xr:uid="{00000000-0005-0000-0000-000035350000}"/>
    <cellStyle name="표준 5 2 2 3 3 3 3 2 6" xfId="34763" xr:uid="{00000000-0005-0000-0000-000036350000}"/>
    <cellStyle name="표준 5 2 2 3 3 3 3 2 7" xfId="42956" xr:uid="{00000000-0005-0000-0000-000037350000}"/>
    <cellStyle name="표준 5 2 2 3 3 3 3 3" xfId="7894" xr:uid="{00000000-0005-0000-0000-000038350000}"/>
    <cellStyle name="표준 5 2 2 3 3 3 3 3 2" xfId="28600" xr:uid="{00000000-0005-0000-0000-000039350000}"/>
    <cellStyle name="표준 5 2 2 3 3 3 3 3 3" xfId="36811" xr:uid="{00000000-0005-0000-0000-00003A350000}"/>
    <cellStyle name="표준 5 2 2 3 3 3 3 3 4" xfId="45004" xr:uid="{00000000-0005-0000-0000-00003B350000}"/>
    <cellStyle name="표준 5 2 2 3 3 3 3 4" xfId="12006" xr:uid="{00000000-0005-0000-0000-00003C350000}"/>
    <cellStyle name="표준 5 2 2 3 3 3 3 5" xfId="16246" xr:uid="{00000000-0005-0000-0000-00003D350000}"/>
    <cellStyle name="표준 5 2 2 3 3 3 3 6" xfId="20408" xr:uid="{00000000-0005-0000-0000-00003E350000}"/>
    <cellStyle name="표준 5 2 2 3 3 3 3 7" xfId="24504" xr:uid="{00000000-0005-0000-0000-00003F350000}"/>
    <cellStyle name="표준 5 2 2 3 3 3 3 8" xfId="32715" xr:uid="{00000000-0005-0000-0000-000040350000}"/>
    <cellStyle name="표준 5 2 2 3 3 3 3 9" xfId="40908" xr:uid="{00000000-0005-0000-0000-000041350000}"/>
    <cellStyle name="표준 5 2 2 3 3 3 4" xfId="1551" xr:uid="{00000000-0005-0000-0000-000042350000}"/>
    <cellStyle name="표준 5 2 2 3 3 3 4 2" xfId="10454" xr:uid="{00000000-0005-0000-0000-000043350000}"/>
    <cellStyle name="표준 5 2 2 3 3 3 4 2 2" xfId="14566" xr:uid="{00000000-0005-0000-0000-000044350000}"/>
    <cellStyle name="표준 5 2 2 3 3 3 4 2 2 2" xfId="31160" xr:uid="{00000000-0005-0000-0000-000045350000}"/>
    <cellStyle name="표준 5 2 2 3 3 3 4 2 2 3" xfId="39371" xr:uid="{00000000-0005-0000-0000-000046350000}"/>
    <cellStyle name="표준 5 2 2 3 3 3 4 2 2 4" xfId="47564" xr:uid="{00000000-0005-0000-0000-000047350000}"/>
    <cellStyle name="표준 5 2 2 3 3 3 4 2 3" xfId="18806" xr:uid="{00000000-0005-0000-0000-000048350000}"/>
    <cellStyle name="표준 5 2 2 3 3 3 4 2 4" xfId="22968" xr:uid="{00000000-0005-0000-0000-000049350000}"/>
    <cellStyle name="표준 5 2 2 3 3 3 4 2 5" xfId="27064" xr:uid="{00000000-0005-0000-0000-00004A350000}"/>
    <cellStyle name="표준 5 2 2 3 3 3 4 2 6" xfId="35275" xr:uid="{00000000-0005-0000-0000-00004B350000}"/>
    <cellStyle name="표준 5 2 2 3 3 3 4 2 7" xfId="43468" xr:uid="{00000000-0005-0000-0000-00004C350000}"/>
    <cellStyle name="표준 5 2 2 3 3 3 4 3" xfId="8406" xr:uid="{00000000-0005-0000-0000-00004D350000}"/>
    <cellStyle name="표준 5 2 2 3 3 3 4 3 2" xfId="29112" xr:uid="{00000000-0005-0000-0000-00004E350000}"/>
    <cellStyle name="표준 5 2 2 3 3 3 4 3 3" xfId="37323" xr:uid="{00000000-0005-0000-0000-00004F350000}"/>
    <cellStyle name="표준 5 2 2 3 3 3 4 3 4" xfId="45516" xr:uid="{00000000-0005-0000-0000-000050350000}"/>
    <cellStyle name="표준 5 2 2 3 3 3 4 4" xfId="12518" xr:uid="{00000000-0005-0000-0000-000051350000}"/>
    <cellStyle name="표준 5 2 2 3 3 3 4 5" xfId="16758" xr:uid="{00000000-0005-0000-0000-000052350000}"/>
    <cellStyle name="표준 5 2 2 3 3 3 4 6" xfId="20920" xr:uid="{00000000-0005-0000-0000-000053350000}"/>
    <cellStyle name="표준 5 2 2 3 3 3 4 7" xfId="25016" xr:uid="{00000000-0005-0000-0000-000054350000}"/>
    <cellStyle name="표준 5 2 2 3 3 3 4 8" xfId="33227" xr:uid="{00000000-0005-0000-0000-000055350000}"/>
    <cellStyle name="표준 5 2 2 3 3 3 4 9" xfId="41420" xr:uid="{00000000-0005-0000-0000-000056350000}"/>
    <cellStyle name="표준 5 2 2 3 3 3 5" xfId="2063" xr:uid="{00000000-0005-0000-0000-000057350000}"/>
    <cellStyle name="표준 5 2 2 3 3 3 5 2" xfId="10966" xr:uid="{00000000-0005-0000-0000-000058350000}"/>
    <cellStyle name="표준 5 2 2 3 3 3 5 2 2" xfId="15078" xr:uid="{00000000-0005-0000-0000-000059350000}"/>
    <cellStyle name="표준 5 2 2 3 3 3 5 2 2 2" xfId="31672" xr:uid="{00000000-0005-0000-0000-00005A350000}"/>
    <cellStyle name="표준 5 2 2 3 3 3 5 2 2 3" xfId="39883" xr:uid="{00000000-0005-0000-0000-00005B350000}"/>
    <cellStyle name="표준 5 2 2 3 3 3 5 2 2 4" xfId="48076" xr:uid="{00000000-0005-0000-0000-00005C350000}"/>
    <cellStyle name="표준 5 2 2 3 3 3 5 2 3" xfId="19318" xr:uid="{00000000-0005-0000-0000-00005D350000}"/>
    <cellStyle name="표준 5 2 2 3 3 3 5 2 4" xfId="23480" xr:uid="{00000000-0005-0000-0000-00005E350000}"/>
    <cellStyle name="표준 5 2 2 3 3 3 5 2 5" xfId="27576" xr:uid="{00000000-0005-0000-0000-00005F350000}"/>
    <cellStyle name="표준 5 2 2 3 3 3 5 2 6" xfId="35787" xr:uid="{00000000-0005-0000-0000-000060350000}"/>
    <cellStyle name="표준 5 2 2 3 3 3 5 2 7" xfId="43980" xr:uid="{00000000-0005-0000-0000-000061350000}"/>
    <cellStyle name="표준 5 2 2 3 3 3 5 3" xfId="8918" xr:uid="{00000000-0005-0000-0000-000062350000}"/>
    <cellStyle name="표준 5 2 2 3 3 3 5 3 2" xfId="29624" xr:uid="{00000000-0005-0000-0000-000063350000}"/>
    <cellStyle name="표준 5 2 2 3 3 3 5 3 3" xfId="37835" xr:uid="{00000000-0005-0000-0000-000064350000}"/>
    <cellStyle name="표준 5 2 2 3 3 3 5 3 4" xfId="46028" xr:uid="{00000000-0005-0000-0000-000065350000}"/>
    <cellStyle name="표준 5 2 2 3 3 3 5 4" xfId="13030" xr:uid="{00000000-0005-0000-0000-000066350000}"/>
    <cellStyle name="표준 5 2 2 3 3 3 5 5" xfId="17270" xr:uid="{00000000-0005-0000-0000-000067350000}"/>
    <cellStyle name="표준 5 2 2 3 3 3 5 6" xfId="21432" xr:uid="{00000000-0005-0000-0000-000068350000}"/>
    <cellStyle name="표준 5 2 2 3 3 3 5 7" xfId="25528" xr:uid="{00000000-0005-0000-0000-000069350000}"/>
    <cellStyle name="표준 5 2 2 3 3 3 5 8" xfId="33739" xr:uid="{00000000-0005-0000-0000-00006A350000}"/>
    <cellStyle name="표준 5 2 2 3 3 3 5 9" xfId="41932" xr:uid="{00000000-0005-0000-0000-00006B350000}"/>
    <cellStyle name="표준 5 2 2 3 3 3 6" xfId="9430" xr:uid="{00000000-0005-0000-0000-00006C350000}"/>
    <cellStyle name="표준 5 2 2 3 3 3 6 2" xfId="13542" xr:uid="{00000000-0005-0000-0000-00006D350000}"/>
    <cellStyle name="표준 5 2 2 3 3 3 6 2 2" xfId="30136" xr:uid="{00000000-0005-0000-0000-00006E350000}"/>
    <cellStyle name="표준 5 2 2 3 3 3 6 2 3" xfId="38347" xr:uid="{00000000-0005-0000-0000-00006F350000}"/>
    <cellStyle name="표준 5 2 2 3 3 3 6 2 4" xfId="46540" xr:uid="{00000000-0005-0000-0000-000070350000}"/>
    <cellStyle name="표준 5 2 2 3 3 3 6 3" xfId="17782" xr:uid="{00000000-0005-0000-0000-000071350000}"/>
    <cellStyle name="표준 5 2 2 3 3 3 6 4" xfId="21944" xr:uid="{00000000-0005-0000-0000-000072350000}"/>
    <cellStyle name="표준 5 2 2 3 3 3 6 5" xfId="26040" xr:uid="{00000000-0005-0000-0000-000073350000}"/>
    <cellStyle name="표준 5 2 2 3 3 3 6 6" xfId="34251" xr:uid="{00000000-0005-0000-0000-000074350000}"/>
    <cellStyle name="표준 5 2 2 3 3 3 6 7" xfId="42444" xr:uid="{00000000-0005-0000-0000-000075350000}"/>
    <cellStyle name="표준 5 2 2 3 3 3 7" xfId="7382" xr:uid="{00000000-0005-0000-0000-000076350000}"/>
    <cellStyle name="표준 5 2 2 3 3 3 7 2" xfId="28088" xr:uid="{00000000-0005-0000-0000-000077350000}"/>
    <cellStyle name="표준 5 2 2 3 3 3 7 3" xfId="36299" xr:uid="{00000000-0005-0000-0000-000078350000}"/>
    <cellStyle name="표준 5 2 2 3 3 3 7 4" xfId="44492" xr:uid="{00000000-0005-0000-0000-000079350000}"/>
    <cellStyle name="표준 5 2 2 3 3 3 8" xfId="11494" xr:uid="{00000000-0005-0000-0000-00007A350000}"/>
    <cellStyle name="표준 5 2 2 3 3 3 9" xfId="15734" xr:uid="{00000000-0005-0000-0000-00007B350000}"/>
    <cellStyle name="표준 5 2 2 3 3 4" xfId="655" xr:uid="{00000000-0005-0000-0000-00007C350000}"/>
    <cellStyle name="표준 5 2 2 3 3 4 10" xfId="24120" xr:uid="{00000000-0005-0000-0000-00007D350000}"/>
    <cellStyle name="표준 5 2 2 3 3 4 11" xfId="32331" xr:uid="{00000000-0005-0000-0000-00007E350000}"/>
    <cellStyle name="표준 5 2 2 3 3 4 12" xfId="40524" xr:uid="{00000000-0005-0000-0000-00007F350000}"/>
    <cellStyle name="표준 5 2 2 3 3 4 2" xfId="1167" xr:uid="{00000000-0005-0000-0000-000080350000}"/>
    <cellStyle name="표준 5 2 2 3 3 4 2 2" xfId="10070" xr:uid="{00000000-0005-0000-0000-000081350000}"/>
    <cellStyle name="표준 5 2 2 3 3 4 2 2 2" xfId="14182" xr:uid="{00000000-0005-0000-0000-000082350000}"/>
    <cellStyle name="표준 5 2 2 3 3 4 2 2 2 2" xfId="30776" xr:uid="{00000000-0005-0000-0000-000083350000}"/>
    <cellStyle name="표준 5 2 2 3 3 4 2 2 2 3" xfId="38987" xr:uid="{00000000-0005-0000-0000-000084350000}"/>
    <cellStyle name="표준 5 2 2 3 3 4 2 2 2 4" xfId="47180" xr:uid="{00000000-0005-0000-0000-000085350000}"/>
    <cellStyle name="표준 5 2 2 3 3 4 2 2 3" xfId="18422" xr:uid="{00000000-0005-0000-0000-000086350000}"/>
    <cellStyle name="표준 5 2 2 3 3 4 2 2 4" xfId="22584" xr:uid="{00000000-0005-0000-0000-000087350000}"/>
    <cellStyle name="표준 5 2 2 3 3 4 2 2 5" xfId="26680" xr:uid="{00000000-0005-0000-0000-000088350000}"/>
    <cellStyle name="표준 5 2 2 3 3 4 2 2 6" xfId="34891" xr:uid="{00000000-0005-0000-0000-000089350000}"/>
    <cellStyle name="표준 5 2 2 3 3 4 2 2 7" xfId="43084" xr:uid="{00000000-0005-0000-0000-00008A350000}"/>
    <cellStyle name="표준 5 2 2 3 3 4 2 3" xfId="8022" xr:uid="{00000000-0005-0000-0000-00008B350000}"/>
    <cellStyle name="표준 5 2 2 3 3 4 2 3 2" xfId="28728" xr:uid="{00000000-0005-0000-0000-00008C350000}"/>
    <cellStyle name="표준 5 2 2 3 3 4 2 3 3" xfId="36939" xr:uid="{00000000-0005-0000-0000-00008D350000}"/>
    <cellStyle name="표준 5 2 2 3 3 4 2 3 4" xfId="45132" xr:uid="{00000000-0005-0000-0000-00008E350000}"/>
    <cellStyle name="표준 5 2 2 3 3 4 2 4" xfId="12134" xr:uid="{00000000-0005-0000-0000-00008F350000}"/>
    <cellStyle name="표준 5 2 2 3 3 4 2 5" xfId="16374" xr:uid="{00000000-0005-0000-0000-000090350000}"/>
    <cellStyle name="표준 5 2 2 3 3 4 2 6" xfId="20536" xr:uid="{00000000-0005-0000-0000-000091350000}"/>
    <cellStyle name="표준 5 2 2 3 3 4 2 7" xfId="24632" xr:uid="{00000000-0005-0000-0000-000092350000}"/>
    <cellStyle name="표준 5 2 2 3 3 4 2 8" xfId="32843" xr:uid="{00000000-0005-0000-0000-000093350000}"/>
    <cellStyle name="표준 5 2 2 3 3 4 2 9" xfId="41036" xr:uid="{00000000-0005-0000-0000-000094350000}"/>
    <cellStyle name="표준 5 2 2 3 3 4 3" xfId="1679" xr:uid="{00000000-0005-0000-0000-000095350000}"/>
    <cellStyle name="표준 5 2 2 3 3 4 3 2" xfId="10582" xr:uid="{00000000-0005-0000-0000-000096350000}"/>
    <cellStyle name="표준 5 2 2 3 3 4 3 2 2" xfId="14694" xr:uid="{00000000-0005-0000-0000-000097350000}"/>
    <cellStyle name="표준 5 2 2 3 3 4 3 2 2 2" xfId="31288" xr:uid="{00000000-0005-0000-0000-000098350000}"/>
    <cellStyle name="표준 5 2 2 3 3 4 3 2 2 3" xfId="39499" xr:uid="{00000000-0005-0000-0000-000099350000}"/>
    <cellStyle name="표준 5 2 2 3 3 4 3 2 2 4" xfId="47692" xr:uid="{00000000-0005-0000-0000-00009A350000}"/>
    <cellStyle name="표준 5 2 2 3 3 4 3 2 3" xfId="18934" xr:uid="{00000000-0005-0000-0000-00009B350000}"/>
    <cellStyle name="표준 5 2 2 3 3 4 3 2 4" xfId="23096" xr:uid="{00000000-0005-0000-0000-00009C350000}"/>
    <cellStyle name="표준 5 2 2 3 3 4 3 2 5" xfId="27192" xr:uid="{00000000-0005-0000-0000-00009D350000}"/>
    <cellStyle name="표준 5 2 2 3 3 4 3 2 6" xfId="35403" xr:uid="{00000000-0005-0000-0000-00009E350000}"/>
    <cellStyle name="표준 5 2 2 3 3 4 3 2 7" xfId="43596" xr:uid="{00000000-0005-0000-0000-00009F350000}"/>
    <cellStyle name="표준 5 2 2 3 3 4 3 3" xfId="8534" xr:uid="{00000000-0005-0000-0000-0000A0350000}"/>
    <cellStyle name="표준 5 2 2 3 3 4 3 3 2" xfId="29240" xr:uid="{00000000-0005-0000-0000-0000A1350000}"/>
    <cellStyle name="표준 5 2 2 3 3 4 3 3 3" xfId="37451" xr:uid="{00000000-0005-0000-0000-0000A2350000}"/>
    <cellStyle name="표준 5 2 2 3 3 4 3 3 4" xfId="45644" xr:uid="{00000000-0005-0000-0000-0000A3350000}"/>
    <cellStyle name="표준 5 2 2 3 3 4 3 4" xfId="12646" xr:uid="{00000000-0005-0000-0000-0000A4350000}"/>
    <cellStyle name="표준 5 2 2 3 3 4 3 5" xfId="16886" xr:uid="{00000000-0005-0000-0000-0000A5350000}"/>
    <cellStyle name="표준 5 2 2 3 3 4 3 6" xfId="21048" xr:uid="{00000000-0005-0000-0000-0000A6350000}"/>
    <cellStyle name="표준 5 2 2 3 3 4 3 7" xfId="25144" xr:uid="{00000000-0005-0000-0000-0000A7350000}"/>
    <cellStyle name="표준 5 2 2 3 3 4 3 8" xfId="33355" xr:uid="{00000000-0005-0000-0000-0000A8350000}"/>
    <cellStyle name="표준 5 2 2 3 3 4 3 9" xfId="41548" xr:uid="{00000000-0005-0000-0000-0000A9350000}"/>
    <cellStyle name="표준 5 2 2 3 3 4 4" xfId="2191" xr:uid="{00000000-0005-0000-0000-0000AA350000}"/>
    <cellStyle name="표준 5 2 2 3 3 4 4 2" xfId="11094" xr:uid="{00000000-0005-0000-0000-0000AB350000}"/>
    <cellStyle name="표준 5 2 2 3 3 4 4 2 2" xfId="15206" xr:uid="{00000000-0005-0000-0000-0000AC350000}"/>
    <cellStyle name="표준 5 2 2 3 3 4 4 2 2 2" xfId="31800" xr:uid="{00000000-0005-0000-0000-0000AD350000}"/>
    <cellStyle name="표준 5 2 2 3 3 4 4 2 2 3" xfId="40011" xr:uid="{00000000-0005-0000-0000-0000AE350000}"/>
    <cellStyle name="표준 5 2 2 3 3 4 4 2 2 4" xfId="48204" xr:uid="{00000000-0005-0000-0000-0000AF350000}"/>
    <cellStyle name="표준 5 2 2 3 3 4 4 2 3" xfId="19446" xr:uid="{00000000-0005-0000-0000-0000B0350000}"/>
    <cellStyle name="표준 5 2 2 3 3 4 4 2 4" xfId="23608" xr:uid="{00000000-0005-0000-0000-0000B1350000}"/>
    <cellStyle name="표준 5 2 2 3 3 4 4 2 5" xfId="27704" xr:uid="{00000000-0005-0000-0000-0000B2350000}"/>
    <cellStyle name="표준 5 2 2 3 3 4 4 2 6" xfId="35915" xr:uid="{00000000-0005-0000-0000-0000B3350000}"/>
    <cellStyle name="표준 5 2 2 3 3 4 4 2 7" xfId="44108" xr:uid="{00000000-0005-0000-0000-0000B4350000}"/>
    <cellStyle name="표준 5 2 2 3 3 4 4 3" xfId="9046" xr:uid="{00000000-0005-0000-0000-0000B5350000}"/>
    <cellStyle name="표준 5 2 2 3 3 4 4 3 2" xfId="29752" xr:uid="{00000000-0005-0000-0000-0000B6350000}"/>
    <cellStyle name="표준 5 2 2 3 3 4 4 3 3" xfId="37963" xr:uid="{00000000-0005-0000-0000-0000B7350000}"/>
    <cellStyle name="표준 5 2 2 3 3 4 4 3 4" xfId="46156" xr:uid="{00000000-0005-0000-0000-0000B8350000}"/>
    <cellStyle name="표준 5 2 2 3 3 4 4 4" xfId="13158" xr:uid="{00000000-0005-0000-0000-0000B9350000}"/>
    <cellStyle name="표준 5 2 2 3 3 4 4 5" xfId="17398" xr:uid="{00000000-0005-0000-0000-0000BA350000}"/>
    <cellStyle name="표준 5 2 2 3 3 4 4 6" xfId="21560" xr:uid="{00000000-0005-0000-0000-0000BB350000}"/>
    <cellStyle name="표준 5 2 2 3 3 4 4 7" xfId="25656" xr:uid="{00000000-0005-0000-0000-0000BC350000}"/>
    <cellStyle name="표준 5 2 2 3 3 4 4 8" xfId="33867" xr:uid="{00000000-0005-0000-0000-0000BD350000}"/>
    <cellStyle name="표준 5 2 2 3 3 4 4 9" xfId="42060" xr:uid="{00000000-0005-0000-0000-0000BE350000}"/>
    <cellStyle name="표준 5 2 2 3 3 4 5" xfId="9558" xr:uid="{00000000-0005-0000-0000-0000BF350000}"/>
    <cellStyle name="표준 5 2 2 3 3 4 5 2" xfId="13670" xr:uid="{00000000-0005-0000-0000-0000C0350000}"/>
    <cellStyle name="표준 5 2 2 3 3 4 5 2 2" xfId="30264" xr:uid="{00000000-0005-0000-0000-0000C1350000}"/>
    <cellStyle name="표준 5 2 2 3 3 4 5 2 3" xfId="38475" xr:uid="{00000000-0005-0000-0000-0000C2350000}"/>
    <cellStyle name="표준 5 2 2 3 3 4 5 2 4" xfId="46668" xr:uid="{00000000-0005-0000-0000-0000C3350000}"/>
    <cellStyle name="표준 5 2 2 3 3 4 5 3" xfId="17910" xr:uid="{00000000-0005-0000-0000-0000C4350000}"/>
    <cellStyle name="표준 5 2 2 3 3 4 5 4" xfId="22072" xr:uid="{00000000-0005-0000-0000-0000C5350000}"/>
    <cellStyle name="표준 5 2 2 3 3 4 5 5" xfId="26168" xr:uid="{00000000-0005-0000-0000-0000C6350000}"/>
    <cellStyle name="표준 5 2 2 3 3 4 5 6" xfId="34379" xr:uid="{00000000-0005-0000-0000-0000C7350000}"/>
    <cellStyle name="표준 5 2 2 3 3 4 5 7" xfId="42572" xr:uid="{00000000-0005-0000-0000-0000C8350000}"/>
    <cellStyle name="표준 5 2 2 3 3 4 6" xfId="7510" xr:uid="{00000000-0005-0000-0000-0000C9350000}"/>
    <cellStyle name="표준 5 2 2 3 3 4 6 2" xfId="28216" xr:uid="{00000000-0005-0000-0000-0000CA350000}"/>
    <cellStyle name="표준 5 2 2 3 3 4 6 3" xfId="36427" xr:uid="{00000000-0005-0000-0000-0000CB350000}"/>
    <cellStyle name="표준 5 2 2 3 3 4 6 4" xfId="44620" xr:uid="{00000000-0005-0000-0000-0000CC350000}"/>
    <cellStyle name="표준 5 2 2 3 3 4 7" xfId="11622" xr:uid="{00000000-0005-0000-0000-0000CD350000}"/>
    <cellStyle name="표준 5 2 2 3 3 4 8" xfId="15862" xr:uid="{00000000-0005-0000-0000-0000CE350000}"/>
    <cellStyle name="표준 5 2 2 3 3 4 9" xfId="20024" xr:uid="{00000000-0005-0000-0000-0000CF350000}"/>
    <cellStyle name="표준 5 2 2 3 3 5" xfId="911" xr:uid="{00000000-0005-0000-0000-0000D0350000}"/>
    <cellStyle name="표준 5 2 2 3 3 5 2" xfId="9814" xr:uid="{00000000-0005-0000-0000-0000D1350000}"/>
    <cellStyle name="표준 5 2 2 3 3 5 2 2" xfId="13926" xr:uid="{00000000-0005-0000-0000-0000D2350000}"/>
    <cellStyle name="표준 5 2 2 3 3 5 2 2 2" xfId="30520" xr:uid="{00000000-0005-0000-0000-0000D3350000}"/>
    <cellStyle name="표준 5 2 2 3 3 5 2 2 3" xfId="38731" xr:uid="{00000000-0005-0000-0000-0000D4350000}"/>
    <cellStyle name="표준 5 2 2 3 3 5 2 2 4" xfId="46924" xr:uid="{00000000-0005-0000-0000-0000D5350000}"/>
    <cellStyle name="표준 5 2 2 3 3 5 2 3" xfId="18166" xr:uid="{00000000-0005-0000-0000-0000D6350000}"/>
    <cellStyle name="표준 5 2 2 3 3 5 2 4" xfId="22328" xr:uid="{00000000-0005-0000-0000-0000D7350000}"/>
    <cellStyle name="표준 5 2 2 3 3 5 2 5" xfId="26424" xr:uid="{00000000-0005-0000-0000-0000D8350000}"/>
    <cellStyle name="표준 5 2 2 3 3 5 2 6" xfId="34635" xr:uid="{00000000-0005-0000-0000-0000D9350000}"/>
    <cellStyle name="표준 5 2 2 3 3 5 2 7" xfId="42828" xr:uid="{00000000-0005-0000-0000-0000DA350000}"/>
    <cellStyle name="표준 5 2 2 3 3 5 3" xfId="7766" xr:uid="{00000000-0005-0000-0000-0000DB350000}"/>
    <cellStyle name="표준 5 2 2 3 3 5 3 2" xfId="28472" xr:uid="{00000000-0005-0000-0000-0000DC350000}"/>
    <cellStyle name="표준 5 2 2 3 3 5 3 3" xfId="36683" xr:uid="{00000000-0005-0000-0000-0000DD350000}"/>
    <cellStyle name="표준 5 2 2 3 3 5 3 4" xfId="44876" xr:uid="{00000000-0005-0000-0000-0000DE350000}"/>
    <cellStyle name="표준 5 2 2 3 3 5 4" xfId="11878" xr:uid="{00000000-0005-0000-0000-0000DF350000}"/>
    <cellStyle name="표준 5 2 2 3 3 5 5" xfId="16118" xr:uid="{00000000-0005-0000-0000-0000E0350000}"/>
    <cellStyle name="표준 5 2 2 3 3 5 6" xfId="20280" xr:uid="{00000000-0005-0000-0000-0000E1350000}"/>
    <cellStyle name="표준 5 2 2 3 3 5 7" xfId="24376" xr:uid="{00000000-0005-0000-0000-0000E2350000}"/>
    <cellStyle name="표준 5 2 2 3 3 5 8" xfId="32587" xr:uid="{00000000-0005-0000-0000-0000E3350000}"/>
    <cellStyle name="표준 5 2 2 3 3 5 9" xfId="40780" xr:uid="{00000000-0005-0000-0000-0000E4350000}"/>
    <cellStyle name="표준 5 2 2 3 3 6" xfId="1423" xr:uid="{00000000-0005-0000-0000-0000E5350000}"/>
    <cellStyle name="표준 5 2 2 3 3 6 2" xfId="10326" xr:uid="{00000000-0005-0000-0000-0000E6350000}"/>
    <cellStyle name="표준 5 2 2 3 3 6 2 2" xfId="14438" xr:uid="{00000000-0005-0000-0000-0000E7350000}"/>
    <cellStyle name="표준 5 2 2 3 3 6 2 2 2" xfId="31032" xr:uid="{00000000-0005-0000-0000-0000E8350000}"/>
    <cellStyle name="표준 5 2 2 3 3 6 2 2 3" xfId="39243" xr:uid="{00000000-0005-0000-0000-0000E9350000}"/>
    <cellStyle name="표준 5 2 2 3 3 6 2 2 4" xfId="47436" xr:uid="{00000000-0005-0000-0000-0000EA350000}"/>
    <cellStyle name="표준 5 2 2 3 3 6 2 3" xfId="18678" xr:uid="{00000000-0005-0000-0000-0000EB350000}"/>
    <cellStyle name="표준 5 2 2 3 3 6 2 4" xfId="22840" xr:uid="{00000000-0005-0000-0000-0000EC350000}"/>
    <cellStyle name="표준 5 2 2 3 3 6 2 5" xfId="26936" xr:uid="{00000000-0005-0000-0000-0000ED350000}"/>
    <cellStyle name="표준 5 2 2 3 3 6 2 6" xfId="35147" xr:uid="{00000000-0005-0000-0000-0000EE350000}"/>
    <cellStyle name="표준 5 2 2 3 3 6 2 7" xfId="43340" xr:uid="{00000000-0005-0000-0000-0000EF350000}"/>
    <cellStyle name="표준 5 2 2 3 3 6 3" xfId="8278" xr:uid="{00000000-0005-0000-0000-0000F0350000}"/>
    <cellStyle name="표준 5 2 2 3 3 6 3 2" xfId="28984" xr:uid="{00000000-0005-0000-0000-0000F1350000}"/>
    <cellStyle name="표준 5 2 2 3 3 6 3 3" xfId="37195" xr:uid="{00000000-0005-0000-0000-0000F2350000}"/>
    <cellStyle name="표준 5 2 2 3 3 6 3 4" xfId="45388" xr:uid="{00000000-0005-0000-0000-0000F3350000}"/>
    <cellStyle name="표준 5 2 2 3 3 6 4" xfId="12390" xr:uid="{00000000-0005-0000-0000-0000F4350000}"/>
    <cellStyle name="표준 5 2 2 3 3 6 5" xfId="16630" xr:uid="{00000000-0005-0000-0000-0000F5350000}"/>
    <cellStyle name="표준 5 2 2 3 3 6 6" xfId="20792" xr:uid="{00000000-0005-0000-0000-0000F6350000}"/>
    <cellStyle name="표준 5 2 2 3 3 6 7" xfId="24888" xr:uid="{00000000-0005-0000-0000-0000F7350000}"/>
    <cellStyle name="표준 5 2 2 3 3 6 8" xfId="33099" xr:uid="{00000000-0005-0000-0000-0000F8350000}"/>
    <cellStyle name="표준 5 2 2 3 3 6 9" xfId="41292" xr:uid="{00000000-0005-0000-0000-0000F9350000}"/>
    <cellStyle name="표준 5 2 2 3 3 7" xfId="1935" xr:uid="{00000000-0005-0000-0000-0000FA350000}"/>
    <cellStyle name="표준 5 2 2 3 3 7 2" xfId="10838" xr:uid="{00000000-0005-0000-0000-0000FB350000}"/>
    <cellStyle name="표준 5 2 2 3 3 7 2 2" xfId="14950" xr:uid="{00000000-0005-0000-0000-0000FC350000}"/>
    <cellStyle name="표준 5 2 2 3 3 7 2 2 2" xfId="31544" xr:uid="{00000000-0005-0000-0000-0000FD350000}"/>
    <cellStyle name="표준 5 2 2 3 3 7 2 2 3" xfId="39755" xr:uid="{00000000-0005-0000-0000-0000FE350000}"/>
    <cellStyle name="표준 5 2 2 3 3 7 2 2 4" xfId="47948" xr:uid="{00000000-0005-0000-0000-0000FF350000}"/>
    <cellStyle name="표준 5 2 2 3 3 7 2 3" xfId="19190" xr:uid="{00000000-0005-0000-0000-000000360000}"/>
    <cellStyle name="표준 5 2 2 3 3 7 2 4" xfId="23352" xr:uid="{00000000-0005-0000-0000-000001360000}"/>
    <cellStyle name="표준 5 2 2 3 3 7 2 5" xfId="27448" xr:uid="{00000000-0005-0000-0000-000002360000}"/>
    <cellStyle name="표준 5 2 2 3 3 7 2 6" xfId="35659" xr:uid="{00000000-0005-0000-0000-000003360000}"/>
    <cellStyle name="표준 5 2 2 3 3 7 2 7" xfId="43852" xr:uid="{00000000-0005-0000-0000-000004360000}"/>
    <cellStyle name="표준 5 2 2 3 3 7 3" xfId="8790" xr:uid="{00000000-0005-0000-0000-000005360000}"/>
    <cellStyle name="표준 5 2 2 3 3 7 3 2" xfId="29496" xr:uid="{00000000-0005-0000-0000-000006360000}"/>
    <cellStyle name="표준 5 2 2 3 3 7 3 3" xfId="37707" xr:uid="{00000000-0005-0000-0000-000007360000}"/>
    <cellStyle name="표준 5 2 2 3 3 7 3 4" xfId="45900" xr:uid="{00000000-0005-0000-0000-000008360000}"/>
    <cellStyle name="표준 5 2 2 3 3 7 4" xfId="12902" xr:uid="{00000000-0005-0000-0000-000009360000}"/>
    <cellStyle name="표준 5 2 2 3 3 7 5" xfId="17142" xr:uid="{00000000-0005-0000-0000-00000A360000}"/>
    <cellStyle name="표준 5 2 2 3 3 7 6" xfId="21304" xr:uid="{00000000-0005-0000-0000-00000B360000}"/>
    <cellStyle name="표준 5 2 2 3 3 7 7" xfId="25400" xr:uid="{00000000-0005-0000-0000-00000C360000}"/>
    <cellStyle name="표준 5 2 2 3 3 7 8" xfId="33611" xr:uid="{00000000-0005-0000-0000-00000D360000}"/>
    <cellStyle name="표준 5 2 2 3 3 7 9" xfId="41804" xr:uid="{00000000-0005-0000-0000-00000E360000}"/>
    <cellStyle name="표준 5 2 2 3 3 8" xfId="399" xr:uid="{00000000-0005-0000-0000-00000F360000}"/>
    <cellStyle name="표준 5 2 2 3 3 8 2" xfId="9302" xr:uid="{00000000-0005-0000-0000-000010360000}"/>
    <cellStyle name="표준 5 2 2 3 3 8 2 2" xfId="30008" xr:uid="{00000000-0005-0000-0000-000011360000}"/>
    <cellStyle name="표준 5 2 2 3 3 8 2 3" xfId="38219" xr:uid="{00000000-0005-0000-0000-000012360000}"/>
    <cellStyle name="표준 5 2 2 3 3 8 2 4" xfId="46412" xr:uid="{00000000-0005-0000-0000-000013360000}"/>
    <cellStyle name="표준 5 2 2 3 3 8 3" xfId="13414" xr:uid="{00000000-0005-0000-0000-000014360000}"/>
    <cellStyle name="표준 5 2 2 3 3 8 4" xfId="17654" xr:uid="{00000000-0005-0000-0000-000015360000}"/>
    <cellStyle name="표준 5 2 2 3 3 8 5" xfId="21816" xr:uid="{00000000-0005-0000-0000-000016360000}"/>
    <cellStyle name="표준 5 2 2 3 3 8 6" xfId="25912" xr:uid="{00000000-0005-0000-0000-000017360000}"/>
    <cellStyle name="표준 5 2 2 3 3 8 7" xfId="34123" xr:uid="{00000000-0005-0000-0000-000018360000}"/>
    <cellStyle name="표준 5 2 2 3 3 8 8" xfId="42316" xr:uid="{00000000-0005-0000-0000-000019360000}"/>
    <cellStyle name="표준 5 2 2 3 3 9" xfId="7001" xr:uid="{00000000-0005-0000-0000-00001A360000}"/>
    <cellStyle name="표준 5 2 2 3 3 9 2" xfId="27960" xr:uid="{00000000-0005-0000-0000-00001B360000}"/>
    <cellStyle name="표준 5 2 2 3 3 9 3" xfId="36171" xr:uid="{00000000-0005-0000-0000-00001C360000}"/>
    <cellStyle name="표준 5 2 2 3 3 9 4" xfId="44364" xr:uid="{00000000-0005-0000-0000-00001D360000}"/>
    <cellStyle name="표준 5 2 2 3 30" xfId="32026" xr:uid="{00000000-0005-0000-0000-00001E360000}"/>
    <cellStyle name="표준 5 2 2 3 31" xfId="32043" xr:uid="{00000000-0005-0000-0000-00001F360000}"/>
    <cellStyle name="표준 5 2 2 3 32" xfId="40236" xr:uid="{00000000-0005-0000-0000-000020360000}"/>
    <cellStyle name="표준 5 2 2 3 33" xfId="48438" xr:uid="{00000000-0005-0000-0000-000021360000}"/>
    <cellStyle name="표준 5 2 2 3 4" xfId="431" xr:uid="{00000000-0005-0000-0000-000022360000}"/>
    <cellStyle name="표준 5 2 2 3 4 10" xfId="11398" xr:uid="{00000000-0005-0000-0000-000023360000}"/>
    <cellStyle name="표준 5 2 2 3 4 11" xfId="15510" xr:uid="{00000000-0005-0000-0000-000024360000}"/>
    <cellStyle name="표준 5 2 2 3 4 12" xfId="15638" xr:uid="{00000000-0005-0000-0000-000025360000}"/>
    <cellStyle name="표준 5 2 2 3 4 13" xfId="19800" xr:uid="{00000000-0005-0000-0000-000026360000}"/>
    <cellStyle name="표준 5 2 2 3 4 14" xfId="23896" xr:uid="{00000000-0005-0000-0000-000027360000}"/>
    <cellStyle name="표준 5 2 2 3 4 15" xfId="32107" xr:uid="{00000000-0005-0000-0000-000028360000}"/>
    <cellStyle name="표준 5 2 2 3 4 16" xfId="40300" xr:uid="{00000000-0005-0000-0000-000029360000}"/>
    <cellStyle name="표준 5 2 2 3 4 2" xfId="559" xr:uid="{00000000-0005-0000-0000-00002A360000}"/>
    <cellStyle name="표준 5 2 2 3 4 2 10" xfId="19928" xr:uid="{00000000-0005-0000-0000-00002B360000}"/>
    <cellStyle name="표준 5 2 2 3 4 2 11" xfId="24024" xr:uid="{00000000-0005-0000-0000-00002C360000}"/>
    <cellStyle name="표준 5 2 2 3 4 2 12" xfId="32235" xr:uid="{00000000-0005-0000-0000-00002D360000}"/>
    <cellStyle name="표준 5 2 2 3 4 2 13" xfId="40428" xr:uid="{00000000-0005-0000-0000-00002E360000}"/>
    <cellStyle name="표준 5 2 2 3 4 2 2" xfId="815" xr:uid="{00000000-0005-0000-0000-00002F360000}"/>
    <cellStyle name="표준 5 2 2 3 4 2 2 10" xfId="24280" xr:uid="{00000000-0005-0000-0000-000030360000}"/>
    <cellStyle name="표준 5 2 2 3 4 2 2 11" xfId="32491" xr:uid="{00000000-0005-0000-0000-000031360000}"/>
    <cellStyle name="표준 5 2 2 3 4 2 2 12" xfId="40684" xr:uid="{00000000-0005-0000-0000-000032360000}"/>
    <cellStyle name="표준 5 2 2 3 4 2 2 2" xfId="1327" xr:uid="{00000000-0005-0000-0000-000033360000}"/>
    <cellStyle name="표준 5 2 2 3 4 2 2 2 2" xfId="10230" xr:uid="{00000000-0005-0000-0000-000034360000}"/>
    <cellStyle name="표준 5 2 2 3 4 2 2 2 2 2" xfId="14342" xr:uid="{00000000-0005-0000-0000-000035360000}"/>
    <cellStyle name="표준 5 2 2 3 4 2 2 2 2 2 2" xfId="30936" xr:uid="{00000000-0005-0000-0000-000036360000}"/>
    <cellStyle name="표준 5 2 2 3 4 2 2 2 2 2 3" xfId="39147" xr:uid="{00000000-0005-0000-0000-000037360000}"/>
    <cellStyle name="표준 5 2 2 3 4 2 2 2 2 2 4" xfId="47340" xr:uid="{00000000-0005-0000-0000-000038360000}"/>
    <cellStyle name="표준 5 2 2 3 4 2 2 2 2 3" xfId="18582" xr:uid="{00000000-0005-0000-0000-000039360000}"/>
    <cellStyle name="표준 5 2 2 3 4 2 2 2 2 4" xfId="22744" xr:uid="{00000000-0005-0000-0000-00003A360000}"/>
    <cellStyle name="표준 5 2 2 3 4 2 2 2 2 5" xfId="26840" xr:uid="{00000000-0005-0000-0000-00003B360000}"/>
    <cellStyle name="표준 5 2 2 3 4 2 2 2 2 6" xfId="35051" xr:uid="{00000000-0005-0000-0000-00003C360000}"/>
    <cellStyle name="표준 5 2 2 3 4 2 2 2 2 7" xfId="43244" xr:uid="{00000000-0005-0000-0000-00003D360000}"/>
    <cellStyle name="표준 5 2 2 3 4 2 2 2 3" xfId="8182" xr:uid="{00000000-0005-0000-0000-00003E360000}"/>
    <cellStyle name="표준 5 2 2 3 4 2 2 2 3 2" xfId="28888" xr:uid="{00000000-0005-0000-0000-00003F360000}"/>
    <cellStyle name="표준 5 2 2 3 4 2 2 2 3 3" xfId="37099" xr:uid="{00000000-0005-0000-0000-000040360000}"/>
    <cellStyle name="표준 5 2 2 3 4 2 2 2 3 4" xfId="45292" xr:uid="{00000000-0005-0000-0000-000041360000}"/>
    <cellStyle name="표준 5 2 2 3 4 2 2 2 4" xfId="12294" xr:uid="{00000000-0005-0000-0000-000042360000}"/>
    <cellStyle name="표준 5 2 2 3 4 2 2 2 5" xfId="16534" xr:uid="{00000000-0005-0000-0000-000043360000}"/>
    <cellStyle name="표준 5 2 2 3 4 2 2 2 6" xfId="20696" xr:uid="{00000000-0005-0000-0000-000044360000}"/>
    <cellStyle name="표준 5 2 2 3 4 2 2 2 7" xfId="24792" xr:uid="{00000000-0005-0000-0000-000045360000}"/>
    <cellStyle name="표준 5 2 2 3 4 2 2 2 8" xfId="33003" xr:uid="{00000000-0005-0000-0000-000046360000}"/>
    <cellStyle name="표준 5 2 2 3 4 2 2 2 9" xfId="41196" xr:uid="{00000000-0005-0000-0000-000047360000}"/>
    <cellStyle name="표준 5 2 2 3 4 2 2 3" xfId="1839" xr:uid="{00000000-0005-0000-0000-000048360000}"/>
    <cellStyle name="표준 5 2 2 3 4 2 2 3 2" xfId="10742" xr:uid="{00000000-0005-0000-0000-000049360000}"/>
    <cellStyle name="표준 5 2 2 3 4 2 2 3 2 2" xfId="14854" xr:uid="{00000000-0005-0000-0000-00004A360000}"/>
    <cellStyle name="표준 5 2 2 3 4 2 2 3 2 2 2" xfId="31448" xr:uid="{00000000-0005-0000-0000-00004B360000}"/>
    <cellStyle name="표준 5 2 2 3 4 2 2 3 2 2 3" xfId="39659" xr:uid="{00000000-0005-0000-0000-00004C360000}"/>
    <cellStyle name="표준 5 2 2 3 4 2 2 3 2 2 4" xfId="47852" xr:uid="{00000000-0005-0000-0000-00004D360000}"/>
    <cellStyle name="표준 5 2 2 3 4 2 2 3 2 3" xfId="19094" xr:uid="{00000000-0005-0000-0000-00004E360000}"/>
    <cellStyle name="표준 5 2 2 3 4 2 2 3 2 4" xfId="23256" xr:uid="{00000000-0005-0000-0000-00004F360000}"/>
    <cellStyle name="표준 5 2 2 3 4 2 2 3 2 5" xfId="27352" xr:uid="{00000000-0005-0000-0000-000050360000}"/>
    <cellStyle name="표준 5 2 2 3 4 2 2 3 2 6" xfId="35563" xr:uid="{00000000-0005-0000-0000-000051360000}"/>
    <cellStyle name="표준 5 2 2 3 4 2 2 3 2 7" xfId="43756" xr:uid="{00000000-0005-0000-0000-000052360000}"/>
    <cellStyle name="표준 5 2 2 3 4 2 2 3 3" xfId="8694" xr:uid="{00000000-0005-0000-0000-000053360000}"/>
    <cellStyle name="표준 5 2 2 3 4 2 2 3 3 2" xfId="29400" xr:uid="{00000000-0005-0000-0000-000054360000}"/>
    <cellStyle name="표준 5 2 2 3 4 2 2 3 3 3" xfId="37611" xr:uid="{00000000-0005-0000-0000-000055360000}"/>
    <cellStyle name="표준 5 2 2 3 4 2 2 3 3 4" xfId="45804" xr:uid="{00000000-0005-0000-0000-000056360000}"/>
    <cellStyle name="표준 5 2 2 3 4 2 2 3 4" xfId="12806" xr:uid="{00000000-0005-0000-0000-000057360000}"/>
    <cellStyle name="표준 5 2 2 3 4 2 2 3 5" xfId="17046" xr:uid="{00000000-0005-0000-0000-000058360000}"/>
    <cellStyle name="표준 5 2 2 3 4 2 2 3 6" xfId="21208" xr:uid="{00000000-0005-0000-0000-000059360000}"/>
    <cellStyle name="표준 5 2 2 3 4 2 2 3 7" xfId="25304" xr:uid="{00000000-0005-0000-0000-00005A360000}"/>
    <cellStyle name="표준 5 2 2 3 4 2 2 3 8" xfId="33515" xr:uid="{00000000-0005-0000-0000-00005B360000}"/>
    <cellStyle name="표준 5 2 2 3 4 2 2 3 9" xfId="41708" xr:uid="{00000000-0005-0000-0000-00005C360000}"/>
    <cellStyle name="표준 5 2 2 3 4 2 2 4" xfId="2351" xr:uid="{00000000-0005-0000-0000-00005D360000}"/>
    <cellStyle name="표준 5 2 2 3 4 2 2 4 2" xfId="11254" xr:uid="{00000000-0005-0000-0000-00005E360000}"/>
    <cellStyle name="표준 5 2 2 3 4 2 2 4 2 2" xfId="15366" xr:uid="{00000000-0005-0000-0000-00005F360000}"/>
    <cellStyle name="표준 5 2 2 3 4 2 2 4 2 2 2" xfId="31960" xr:uid="{00000000-0005-0000-0000-000060360000}"/>
    <cellStyle name="표준 5 2 2 3 4 2 2 4 2 2 3" xfId="40171" xr:uid="{00000000-0005-0000-0000-000061360000}"/>
    <cellStyle name="표준 5 2 2 3 4 2 2 4 2 2 4" xfId="48364" xr:uid="{00000000-0005-0000-0000-000062360000}"/>
    <cellStyle name="표준 5 2 2 3 4 2 2 4 2 3" xfId="19606" xr:uid="{00000000-0005-0000-0000-000063360000}"/>
    <cellStyle name="표준 5 2 2 3 4 2 2 4 2 4" xfId="23768" xr:uid="{00000000-0005-0000-0000-000064360000}"/>
    <cellStyle name="표준 5 2 2 3 4 2 2 4 2 5" xfId="27864" xr:uid="{00000000-0005-0000-0000-000065360000}"/>
    <cellStyle name="표준 5 2 2 3 4 2 2 4 2 6" xfId="36075" xr:uid="{00000000-0005-0000-0000-000066360000}"/>
    <cellStyle name="표준 5 2 2 3 4 2 2 4 2 7" xfId="44268" xr:uid="{00000000-0005-0000-0000-000067360000}"/>
    <cellStyle name="표준 5 2 2 3 4 2 2 4 3" xfId="9206" xr:uid="{00000000-0005-0000-0000-000068360000}"/>
    <cellStyle name="표준 5 2 2 3 4 2 2 4 3 2" xfId="29912" xr:uid="{00000000-0005-0000-0000-000069360000}"/>
    <cellStyle name="표준 5 2 2 3 4 2 2 4 3 3" xfId="38123" xr:uid="{00000000-0005-0000-0000-00006A360000}"/>
    <cellStyle name="표준 5 2 2 3 4 2 2 4 3 4" xfId="46316" xr:uid="{00000000-0005-0000-0000-00006B360000}"/>
    <cellStyle name="표준 5 2 2 3 4 2 2 4 4" xfId="13318" xr:uid="{00000000-0005-0000-0000-00006C360000}"/>
    <cellStyle name="표준 5 2 2 3 4 2 2 4 5" xfId="17558" xr:uid="{00000000-0005-0000-0000-00006D360000}"/>
    <cellStyle name="표준 5 2 2 3 4 2 2 4 6" xfId="21720" xr:uid="{00000000-0005-0000-0000-00006E360000}"/>
    <cellStyle name="표준 5 2 2 3 4 2 2 4 7" xfId="25816" xr:uid="{00000000-0005-0000-0000-00006F360000}"/>
    <cellStyle name="표준 5 2 2 3 4 2 2 4 8" xfId="34027" xr:uid="{00000000-0005-0000-0000-000070360000}"/>
    <cellStyle name="표준 5 2 2 3 4 2 2 4 9" xfId="42220" xr:uid="{00000000-0005-0000-0000-000071360000}"/>
    <cellStyle name="표준 5 2 2 3 4 2 2 5" xfId="9718" xr:uid="{00000000-0005-0000-0000-000072360000}"/>
    <cellStyle name="표준 5 2 2 3 4 2 2 5 2" xfId="13830" xr:uid="{00000000-0005-0000-0000-000073360000}"/>
    <cellStyle name="표준 5 2 2 3 4 2 2 5 2 2" xfId="30424" xr:uid="{00000000-0005-0000-0000-000074360000}"/>
    <cellStyle name="표준 5 2 2 3 4 2 2 5 2 3" xfId="38635" xr:uid="{00000000-0005-0000-0000-000075360000}"/>
    <cellStyle name="표준 5 2 2 3 4 2 2 5 2 4" xfId="46828" xr:uid="{00000000-0005-0000-0000-000076360000}"/>
    <cellStyle name="표준 5 2 2 3 4 2 2 5 3" xfId="18070" xr:uid="{00000000-0005-0000-0000-000077360000}"/>
    <cellStyle name="표준 5 2 2 3 4 2 2 5 4" xfId="22232" xr:uid="{00000000-0005-0000-0000-000078360000}"/>
    <cellStyle name="표준 5 2 2 3 4 2 2 5 5" xfId="26328" xr:uid="{00000000-0005-0000-0000-000079360000}"/>
    <cellStyle name="표준 5 2 2 3 4 2 2 5 6" xfId="34539" xr:uid="{00000000-0005-0000-0000-00007A360000}"/>
    <cellStyle name="표준 5 2 2 3 4 2 2 5 7" xfId="42732" xr:uid="{00000000-0005-0000-0000-00007B360000}"/>
    <cellStyle name="표준 5 2 2 3 4 2 2 6" xfId="7670" xr:uid="{00000000-0005-0000-0000-00007C360000}"/>
    <cellStyle name="표준 5 2 2 3 4 2 2 6 2" xfId="28376" xr:uid="{00000000-0005-0000-0000-00007D360000}"/>
    <cellStyle name="표준 5 2 2 3 4 2 2 6 3" xfId="36587" xr:uid="{00000000-0005-0000-0000-00007E360000}"/>
    <cellStyle name="표준 5 2 2 3 4 2 2 6 4" xfId="44780" xr:uid="{00000000-0005-0000-0000-00007F360000}"/>
    <cellStyle name="표준 5 2 2 3 4 2 2 7" xfId="11782" xr:uid="{00000000-0005-0000-0000-000080360000}"/>
    <cellStyle name="표준 5 2 2 3 4 2 2 8" xfId="16022" xr:uid="{00000000-0005-0000-0000-000081360000}"/>
    <cellStyle name="표준 5 2 2 3 4 2 2 9" xfId="20184" xr:uid="{00000000-0005-0000-0000-000082360000}"/>
    <cellStyle name="표준 5 2 2 3 4 2 3" xfId="1071" xr:uid="{00000000-0005-0000-0000-000083360000}"/>
    <cellStyle name="표준 5 2 2 3 4 2 3 2" xfId="9974" xr:uid="{00000000-0005-0000-0000-000084360000}"/>
    <cellStyle name="표준 5 2 2 3 4 2 3 2 2" xfId="14086" xr:uid="{00000000-0005-0000-0000-000085360000}"/>
    <cellStyle name="표준 5 2 2 3 4 2 3 2 2 2" xfId="30680" xr:uid="{00000000-0005-0000-0000-000086360000}"/>
    <cellStyle name="표준 5 2 2 3 4 2 3 2 2 3" xfId="38891" xr:uid="{00000000-0005-0000-0000-000087360000}"/>
    <cellStyle name="표준 5 2 2 3 4 2 3 2 2 4" xfId="47084" xr:uid="{00000000-0005-0000-0000-000088360000}"/>
    <cellStyle name="표준 5 2 2 3 4 2 3 2 3" xfId="18326" xr:uid="{00000000-0005-0000-0000-000089360000}"/>
    <cellStyle name="표준 5 2 2 3 4 2 3 2 4" xfId="22488" xr:uid="{00000000-0005-0000-0000-00008A360000}"/>
    <cellStyle name="표준 5 2 2 3 4 2 3 2 5" xfId="26584" xr:uid="{00000000-0005-0000-0000-00008B360000}"/>
    <cellStyle name="표준 5 2 2 3 4 2 3 2 6" xfId="34795" xr:uid="{00000000-0005-0000-0000-00008C360000}"/>
    <cellStyle name="표준 5 2 2 3 4 2 3 2 7" xfId="42988" xr:uid="{00000000-0005-0000-0000-00008D360000}"/>
    <cellStyle name="표준 5 2 2 3 4 2 3 3" xfId="7926" xr:uid="{00000000-0005-0000-0000-00008E360000}"/>
    <cellStyle name="표준 5 2 2 3 4 2 3 3 2" xfId="28632" xr:uid="{00000000-0005-0000-0000-00008F360000}"/>
    <cellStyle name="표준 5 2 2 3 4 2 3 3 3" xfId="36843" xr:uid="{00000000-0005-0000-0000-000090360000}"/>
    <cellStyle name="표준 5 2 2 3 4 2 3 3 4" xfId="45036" xr:uid="{00000000-0005-0000-0000-000091360000}"/>
    <cellStyle name="표준 5 2 2 3 4 2 3 4" xfId="12038" xr:uid="{00000000-0005-0000-0000-000092360000}"/>
    <cellStyle name="표준 5 2 2 3 4 2 3 5" xfId="16278" xr:uid="{00000000-0005-0000-0000-000093360000}"/>
    <cellStyle name="표준 5 2 2 3 4 2 3 6" xfId="20440" xr:uid="{00000000-0005-0000-0000-000094360000}"/>
    <cellStyle name="표준 5 2 2 3 4 2 3 7" xfId="24536" xr:uid="{00000000-0005-0000-0000-000095360000}"/>
    <cellStyle name="표준 5 2 2 3 4 2 3 8" xfId="32747" xr:uid="{00000000-0005-0000-0000-000096360000}"/>
    <cellStyle name="표준 5 2 2 3 4 2 3 9" xfId="40940" xr:uid="{00000000-0005-0000-0000-000097360000}"/>
    <cellStyle name="표준 5 2 2 3 4 2 4" xfId="1583" xr:uid="{00000000-0005-0000-0000-000098360000}"/>
    <cellStyle name="표준 5 2 2 3 4 2 4 2" xfId="10486" xr:uid="{00000000-0005-0000-0000-000099360000}"/>
    <cellStyle name="표준 5 2 2 3 4 2 4 2 2" xfId="14598" xr:uid="{00000000-0005-0000-0000-00009A360000}"/>
    <cellStyle name="표준 5 2 2 3 4 2 4 2 2 2" xfId="31192" xr:uid="{00000000-0005-0000-0000-00009B360000}"/>
    <cellStyle name="표준 5 2 2 3 4 2 4 2 2 3" xfId="39403" xr:uid="{00000000-0005-0000-0000-00009C360000}"/>
    <cellStyle name="표준 5 2 2 3 4 2 4 2 2 4" xfId="47596" xr:uid="{00000000-0005-0000-0000-00009D360000}"/>
    <cellStyle name="표준 5 2 2 3 4 2 4 2 3" xfId="18838" xr:uid="{00000000-0005-0000-0000-00009E360000}"/>
    <cellStyle name="표준 5 2 2 3 4 2 4 2 4" xfId="23000" xr:uid="{00000000-0005-0000-0000-00009F360000}"/>
    <cellStyle name="표준 5 2 2 3 4 2 4 2 5" xfId="27096" xr:uid="{00000000-0005-0000-0000-0000A0360000}"/>
    <cellStyle name="표준 5 2 2 3 4 2 4 2 6" xfId="35307" xr:uid="{00000000-0005-0000-0000-0000A1360000}"/>
    <cellStyle name="표준 5 2 2 3 4 2 4 2 7" xfId="43500" xr:uid="{00000000-0005-0000-0000-0000A2360000}"/>
    <cellStyle name="표준 5 2 2 3 4 2 4 3" xfId="8438" xr:uid="{00000000-0005-0000-0000-0000A3360000}"/>
    <cellStyle name="표준 5 2 2 3 4 2 4 3 2" xfId="29144" xr:uid="{00000000-0005-0000-0000-0000A4360000}"/>
    <cellStyle name="표준 5 2 2 3 4 2 4 3 3" xfId="37355" xr:uid="{00000000-0005-0000-0000-0000A5360000}"/>
    <cellStyle name="표준 5 2 2 3 4 2 4 3 4" xfId="45548" xr:uid="{00000000-0005-0000-0000-0000A6360000}"/>
    <cellStyle name="표준 5 2 2 3 4 2 4 4" xfId="12550" xr:uid="{00000000-0005-0000-0000-0000A7360000}"/>
    <cellStyle name="표준 5 2 2 3 4 2 4 5" xfId="16790" xr:uid="{00000000-0005-0000-0000-0000A8360000}"/>
    <cellStyle name="표준 5 2 2 3 4 2 4 6" xfId="20952" xr:uid="{00000000-0005-0000-0000-0000A9360000}"/>
    <cellStyle name="표준 5 2 2 3 4 2 4 7" xfId="25048" xr:uid="{00000000-0005-0000-0000-0000AA360000}"/>
    <cellStyle name="표준 5 2 2 3 4 2 4 8" xfId="33259" xr:uid="{00000000-0005-0000-0000-0000AB360000}"/>
    <cellStyle name="표준 5 2 2 3 4 2 4 9" xfId="41452" xr:uid="{00000000-0005-0000-0000-0000AC360000}"/>
    <cellStyle name="표준 5 2 2 3 4 2 5" xfId="2095" xr:uid="{00000000-0005-0000-0000-0000AD360000}"/>
    <cellStyle name="표준 5 2 2 3 4 2 5 2" xfId="10998" xr:uid="{00000000-0005-0000-0000-0000AE360000}"/>
    <cellStyle name="표준 5 2 2 3 4 2 5 2 2" xfId="15110" xr:uid="{00000000-0005-0000-0000-0000AF360000}"/>
    <cellStyle name="표준 5 2 2 3 4 2 5 2 2 2" xfId="31704" xr:uid="{00000000-0005-0000-0000-0000B0360000}"/>
    <cellStyle name="표준 5 2 2 3 4 2 5 2 2 3" xfId="39915" xr:uid="{00000000-0005-0000-0000-0000B1360000}"/>
    <cellStyle name="표준 5 2 2 3 4 2 5 2 2 4" xfId="48108" xr:uid="{00000000-0005-0000-0000-0000B2360000}"/>
    <cellStyle name="표준 5 2 2 3 4 2 5 2 3" xfId="19350" xr:uid="{00000000-0005-0000-0000-0000B3360000}"/>
    <cellStyle name="표준 5 2 2 3 4 2 5 2 4" xfId="23512" xr:uid="{00000000-0005-0000-0000-0000B4360000}"/>
    <cellStyle name="표준 5 2 2 3 4 2 5 2 5" xfId="27608" xr:uid="{00000000-0005-0000-0000-0000B5360000}"/>
    <cellStyle name="표준 5 2 2 3 4 2 5 2 6" xfId="35819" xr:uid="{00000000-0005-0000-0000-0000B6360000}"/>
    <cellStyle name="표준 5 2 2 3 4 2 5 2 7" xfId="44012" xr:uid="{00000000-0005-0000-0000-0000B7360000}"/>
    <cellStyle name="표준 5 2 2 3 4 2 5 3" xfId="8950" xr:uid="{00000000-0005-0000-0000-0000B8360000}"/>
    <cellStyle name="표준 5 2 2 3 4 2 5 3 2" xfId="29656" xr:uid="{00000000-0005-0000-0000-0000B9360000}"/>
    <cellStyle name="표준 5 2 2 3 4 2 5 3 3" xfId="37867" xr:uid="{00000000-0005-0000-0000-0000BA360000}"/>
    <cellStyle name="표준 5 2 2 3 4 2 5 3 4" xfId="46060" xr:uid="{00000000-0005-0000-0000-0000BB360000}"/>
    <cellStyle name="표준 5 2 2 3 4 2 5 4" xfId="13062" xr:uid="{00000000-0005-0000-0000-0000BC360000}"/>
    <cellStyle name="표준 5 2 2 3 4 2 5 5" xfId="17302" xr:uid="{00000000-0005-0000-0000-0000BD360000}"/>
    <cellStyle name="표준 5 2 2 3 4 2 5 6" xfId="21464" xr:uid="{00000000-0005-0000-0000-0000BE360000}"/>
    <cellStyle name="표준 5 2 2 3 4 2 5 7" xfId="25560" xr:uid="{00000000-0005-0000-0000-0000BF360000}"/>
    <cellStyle name="표준 5 2 2 3 4 2 5 8" xfId="33771" xr:uid="{00000000-0005-0000-0000-0000C0360000}"/>
    <cellStyle name="표준 5 2 2 3 4 2 5 9" xfId="41964" xr:uid="{00000000-0005-0000-0000-0000C1360000}"/>
    <cellStyle name="표준 5 2 2 3 4 2 6" xfId="9462" xr:uid="{00000000-0005-0000-0000-0000C2360000}"/>
    <cellStyle name="표준 5 2 2 3 4 2 6 2" xfId="13574" xr:uid="{00000000-0005-0000-0000-0000C3360000}"/>
    <cellStyle name="표준 5 2 2 3 4 2 6 2 2" xfId="30168" xr:uid="{00000000-0005-0000-0000-0000C4360000}"/>
    <cellStyle name="표준 5 2 2 3 4 2 6 2 3" xfId="38379" xr:uid="{00000000-0005-0000-0000-0000C5360000}"/>
    <cellStyle name="표준 5 2 2 3 4 2 6 2 4" xfId="46572" xr:uid="{00000000-0005-0000-0000-0000C6360000}"/>
    <cellStyle name="표준 5 2 2 3 4 2 6 3" xfId="17814" xr:uid="{00000000-0005-0000-0000-0000C7360000}"/>
    <cellStyle name="표준 5 2 2 3 4 2 6 4" xfId="21976" xr:uid="{00000000-0005-0000-0000-0000C8360000}"/>
    <cellStyle name="표준 5 2 2 3 4 2 6 5" xfId="26072" xr:uid="{00000000-0005-0000-0000-0000C9360000}"/>
    <cellStyle name="표준 5 2 2 3 4 2 6 6" xfId="34283" xr:uid="{00000000-0005-0000-0000-0000CA360000}"/>
    <cellStyle name="표준 5 2 2 3 4 2 6 7" xfId="42476" xr:uid="{00000000-0005-0000-0000-0000CB360000}"/>
    <cellStyle name="표준 5 2 2 3 4 2 7" xfId="7414" xr:uid="{00000000-0005-0000-0000-0000CC360000}"/>
    <cellStyle name="표준 5 2 2 3 4 2 7 2" xfId="28120" xr:uid="{00000000-0005-0000-0000-0000CD360000}"/>
    <cellStyle name="표준 5 2 2 3 4 2 7 3" xfId="36331" xr:uid="{00000000-0005-0000-0000-0000CE360000}"/>
    <cellStyle name="표준 5 2 2 3 4 2 7 4" xfId="44524" xr:uid="{00000000-0005-0000-0000-0000CF360000}"/>
    <cellStyle name="표준 5 2 2 3 4 2 8" xfId="11526" xr:uid="{00000000-0005-0000-0000-0000D0360000}"/>
    <cellStyle name="표준 5 2 2 3 4 2 9" xfId="15766" xr:uid="{00000000-0005-0000-0000-0000D1360000}"/>
    <cellStyle name="표준 5 2 2 3 4 3" xfId="687" xr:uid="{00000000-0005-0000-0000-0000D2360000}"/>
    <cellStyle name="표준 5 2 2 3 4 3 10" xfId="24152" xr:uid="{00000000-0005-0000-0000-0000D3360000}"/>
    <cellStyle name="표준 5 2 2 3 4 3 11" xfId="32363" xr:uid="{00000000-0005-0000-0000-0000D4360000}"/>
    <cellStyle name="표준 5 2 2 3 4 3 12" xfId="40556" xr:uid="{00000000-0005-0000-0000-0000D5360000}"/>
    <cellStyle name="표준 5 2 2 3 4 3 2" xfId="1199" xr:uid="{00000000-0005-0000-0000-0000D6360000}"/>
    <cellStyle name="표준 5 2 2 3 4 3 2 2" xfId="10102" xr:uid="{00000000-0005-0000-0000-0000D7360000}"/>
    <cellStyle name="표준 5 2 2 3 4 3 2 2 2" xfId="14214" xr:uid="{00000000-0005-0000-0000-0000D8360000}"/>
    <cellStyle name="표준 5 2 2 3 4 3 2 2 2 2" xfId="30808" xr:uid="{00000000-0005-0000-0000-0000D9360000}"/>
    <cellStyle name="표준 5 2 2 3 4 3 2 2 2 3" xfId="39019" xr:uid="{00000000-0005-0000-0000-0000DA360000}"/>
    <cellStyle name="표준 5 2 2 3 4 3 2 2 2 4" xfId="47212" xr:uid="{00000000-0005-0000-0000-0000DB360000}"/>
    <cellStyle name="표준 5 2 2 3 4 3 2 2 3" xfId="18454" xr:uid="{00000000-0005-0000-0000-0000DC360000}"/>
    <cellStyle name="표준 5 2 2 3 4 3 2 2 4" xfId="22616" xr:uid="{00000000-0005-0000-0000-0000DD360000}"/>
    <cellStyle name="표준 5 2 2 3 4 3 2 2 5" xfId="26712" xr:uid="{00000000-0005-0000-0000-0000DE360000}"/>
    <cellStyle name="표준 5 2 2 3 4 3 2 2 6" xfId="34923" xr:uid="{00000000-0005-0000-0000-0000DF360000}"/>
    <cellStyle name="표준 5 2 2 3 4 3 2 2 7" xfId="43116" xr:uid="{00000000-0005-0000-0000-0000E0360000}"/>
    <cellStyle name="표준 5 2 2 3 4 3 2 3" xfId="8054" xr:uid="{00000000-0005-0000-0000-0000E1360000}"/>
    <cellStyle name="표준 5 2 2 3 4 3 2 3 2" xfId="28760" xr:uid="{00000000-0005-0000-0000-0000E2360000}"/>
    <cellStyle name="표준 5 2 2 3 4 3 2 3 3" xfId="36971" xr:uid="{00000000-0005-0000-0000-0000E3360000}"/>
    <cellStyle name="표준 5 2 2 3 4 3 2 3 4" xfId="45164" xr:uid="{00000000-0005-0000-0000-0000E4360000}"/>
    <cellStyle name="표준 5 2 2 3 4 3 2 4" xfId="12166" xr:uid="{00000000-0005-0000-0000-0000E5360000}"/>
    <cellStyle name="표준 5 2 2 3 4 3 2 5" xfId="16406" xr:uid="{00000000-0005-0000-0000-0000E6360000}"/>
    <cellStyle name="표준 5 2 2 3 4 3 2 6" xfId="20568" xr:uid="{00000000-0005-0000-0000-0000E7360000}"/>
    <cellStyle name="표준 5 2 2 3 4 3 2 7" xfId="24664" xr:uid="{00000000-0005-0000-0000-0000E8360000}"/>
    <cellStyle name="표준 5 2 2 3 4 3 2 8" xfId="32875" xr:uid="{00000000-0005-0000-0000-0000E9360000}"/>
    <cellStyle name="표준 5 2 2 3 4 3 2 9" xfId="41068" xr:uid="{00000000-0005-0000-0000-0000EA360000}"/>
    <cellStyle name="표준 5 2 2 3 4 3 3" xfId="1711" xr:uid="{00000000-0005-0000-0000-0000EB360000}"/>
    <cellStyle name="표준 5 2 2 3 4 3 3 2" xfId="10614" xr:uid="{00000000-0005-0000-0000-0000EC360000}"/>
    <cellStyle name="표준 5 2 2 3 4 3 3 2 2" xfId="14726" xr:uid="{00000000-0005-0000-0000-0000ED360000}"/>
    <cellStyle name="표준 5 2 2 3 4 3 3 2 2 2" xfId="31320" xr:uid="{00000000-0005-0000-0000-0000EE360000}"/>
    <cellStyle name="표준 5 2 2 3 4 3 3 2 2 3" xfId="39531" xr:uid="{00000000-0005-0000-0000-0000EF360000}"/>
    <cellStyle name="표준 5 2 2 3 4 3 3 2 2 4" xfId="47724" xr:uid="{00000000-0005-0000-0000-0000F0360000}"/>
    <cellStyle name="표준 5 2 2 3 4 3 3 2 3" xfId="18966" xr:uid="{00000000-0005-0000-0000-0000F1360000}"/>
    <cellStyle name="표준 5 2 2 3 4 3 3 2 4" xfId="23128" xr:uid="{00000000-0005-0000-0000-0000F2360000}"/>
    <cellStyle name="표준 5 2 2 3 4 3 3 2 5" xfId="27224" xr:uid="{00000000-0005-0000-0000-0000F3360000}"/>
    <cellStyle name="표준 5 2 2 3 4 3 3 2 6" xfId="35435" xr:uid="{00000000-0005-0000-0000-0000F4360000}"/>
    <cellStyle name="표준 5 2 2 3 4 3 3 2 7" xfId="43628" xr:uid="{00000000-0005-0000-0000-0000F5360000}"/>
    <cellStyle name="표준 5 2 2 3 4 3 3 3" xfId="8566" xr:uid="{00000000-0005-0000-0000-0000F6360000}"/>
    <cellStyle name="표준 5 2 2 3 4 3 3 3 2" xfId="29272" xr:uid="{00000000-0005-0000-0000-0000F7360000}"/>
    <cellStyle name="표준 5 2 2 3 4 3 3 3 3" xfId="37483" xr:uid="{00000000-0005-0000-0000-0000F8360000}"/>
    <cellStyle name="표준 5 2 2 3 4 3 3 3 4" xfId="45676" xr:uid="{00000000-0005-0000-0000-0000F9360000}"/>
    <cellStyle name="표준 5 2 2 3 4 3 3 4" xfId="12678" xr:uid="{00000000-0005-0000-0000-0000FA360000}"/>
    <cellStyle name="표준 5 2 2 3 4 3 3 5" xfId="16918" xr:uid="{00000000-0005-0000-0000-0000FB360000}"/>
    <cellStyle name="표준 5 2 2 3 4 3 3 6" xfId="21080" xr:uid="{00000000-0005-0000-0000-0000FC360000}"/>
    <cellStyle name="표준 5 2 2 3 4 3 3 7" xfId="25176" xr:uid="{00000000-0005-0000-0000-0000FD360000}"/>
    <cellStyle name="표준 5 2 2 3 4 3 3 8" xfId="33387" xr:uid="{00000000-0005-0000-0000-0000FE360000}"/>
    <cellStyle name="표준 5 2 2 3 4 3 3 9" xfId="41580" xr:uid="{00000000-0005-0000-0000-0000FF360000}"/>
    <cellStyle name="표준 5 2 2 3 4 3 4" xfId="2223" xr:uid="{00000000-0005-0000-0000-000000370000}"/>
    <cellStyle name="표준 5 2 2 3 4 3 4 2" xfId="11126" xr:uid="{00000000-0005-0000-0000-000001370000}"/>
    <cellStyle name="표준 5 2 2 3 4 3 4 2 2" xfId="15238" xr:uid="{00000000-0005-0000-0000-000002370000}"/>
    <cellStyle name="표준 5 2 2 3 4 3 4 2 2 2" xfId="31832" xr:uid="{00000000-0005-0000-0000-000003370000}"/>
    <cellStyle name="표준 5 2 2 3 4 3 4 2 2 3" xfId="40043" xr:uid="{00000000-0005-0000-0000-000004370000}"/>
    <cellStyle name="표준 5 2 2 3 4 3 4 2 2 4" xfId="48236" xr:uid="{00000000-0005-0000-0000-000005370000}"/>
    <cellStyle name="표준 5 2 2 3 4 3 4 2 3" xfId="19478" xr:uid="{00000000-0005-0000-0000-000006370000}"/>
    <cellStyle name="표준 5 2 2 3 4 3 4 2 4" xfId="23640" xr:uid="{00000000-0005-0000-0000-000007370000}"/>
    <cellStyle name="표준 5 2 2 3 4 3 4 2 5" xfId="27736" xr:uid="{00000000-0005-0000-0000-000008370000}"/>
    <cellStyle name="표준 5 2 2 3 4 3 4 2 6" xfId="35947" xr:uid="{00000000-0005-0000-0000-000009370000}"/>
    <cellStyle name="표준 5 2 2 3 4 3 4 2 7" xfId="44140" xr:uid="{00000000-0005-0000-0000-00000A370000}"/>
    <cellStyle name="표준 5 2 2 3 4 3 4 3" xfId="9078" xr:uid="{00000000-0005-0000-0000-00000B370000}"/>
    <cellStyle name="표준 5 2 2 3 4 3 4 3 2" xfId="29784" xr:uid="{00000000-0005-0000-0000-00000C370000}"/>
    <cellStyle name="표준 5 2 2 3 4 3 4 3 3" xfId="37995" xr:uid="{00000000-0005-0000-0000-00000D370000}"/>
    <cellStyle name="표준 5 2 2 3 4 3 4 3 4" xfId="46188" xr:uid="{00000000-0005-0000-0000-00000E370000}"/>
    <cellStyle name="표준 5 2 2 3 4 3 4 4" xfId="13190" xr:uid="{00000000-0005-0000-0000-00000F370000}"/>
    <cellStyle name="표준 5 2 2 3 4 3 4 5" xfId="17430" xr:uid="{00000000-0005-0000-0000-000010370000}"/>
    <cellStyle name="표준 5 2 2 3 4 3 4 6" xfId="21592" xr:uid="{00000000-0005-0000-0000-000011370000}"/>
    <cellStyle name="표준 5 2 2 3 4 3 4 7" xfId="25688" xr:uid="{00000000-0005-0000-0000-000012370000}"/>
    <cellStyle name="표준 5 2 2 3 4 3 4 8" xfId="33899" xr:uid="{00000000-0005-0000-0000-000013370000}"/>
    <cellStyle name="표준 5 2 2 3 4 3 4 9" xfId="42092" xr:uid="{00000000-0005-0000-0000-000014370000}"/>
    <cellStyle name="표준 5 2 2 3 4 3 5" xfId="9590" xr:uid="{00000000-0005-0000-0000-000015370000}"/>
    <cellStyle name="표준 5 2 2 3 4 3 5 2" xfId="13702" xr:uid="{00000000-0005-0000-0000-000016370000}"/>
    <cellStyle name="표준 5 2 2 3 4 3 5 2 2" xfId="30296" xr:uid="{00000000-0005-0000-0000-000017370000}"/>
    <cellStyle name="표준 5 2 2 3 4 3 5 2 3" xfId="38507" xr:uid="{00000000-0005-0000-0000-000018370000}"/>
    <cellStyle name="표준 5 2 2 3 4 3 5 2 4" xfId="46700" xr:uid="{00000000-0005-0000-0000-000019370000}"/>
    <cellStyle name="표준 5 2 2 3 4 3 5 3" xfId="17942" xr:uid="{00000000-0005-0000-0000-00001A370000}"/>
    <cellStyle name="표준 5 2 2 3 4 3 5 4" xfId="22104" xr:uid="{00000000-0005-0000-0000-00001B370000}"/>
    <cellStyle name="표준 5 2 2 3 4 3 5 5" xfId="26200" xr:uid="{00000000-0005-0000-0000-00001C370000}"/>
    <cellStyle name="표준 5 2 2 3 4 3 5 6" xfId="34411" xr:uid="{00000000-0005-0000-0000-00001D370000}"/>
    <cellStyle name="표준 5 2 2 3 4 3 5 7" xfId="42604" xr:uid="{00000000-0005-0000-0000-00001E370000}"/>
    <cellStyle name="표준 5 2 2 3 4 3 6" xfId="7542" xr:uid="{00000000-0005-0000-0000-00001F370000}"/>
    <cellStyle name="표준 5 2 2 3 4 3 6 2" xfId="28248" xr:uid="{00000000-0005-0000-0000-000020370000}"/>
    <cellStyle name="표준 5 2 2 3 4 3 6 3" xfId="36459" xr:uid="{00000000-0005-0000-0000-000021370000}"/>
    <cellStyle name="표준 5 2 2 3 4 3 6 4" xfId="44652" xr:uid="{00000000-0005-0000-0000-000022370000}"/>
    <cellStyle name="표준 5 2 2 3 4 3 7" xfId="11654" xr:uid="{00000000-0005-0000-0000-000023370000}"/>
    <cellStyle name="표준 5 2 2 3 4 3 8" xfId="15894" xr:uid="{00000000-0005-0000-0000-000024370000}"/>
    <cellStyle name="표준 5 2 2 3 4 3 9" xfId="20056" xr:uid="{00000000-0005-0000-0000-000025370000}"/>
    <cellStyle name="표준 5 2 2 3 4 4" xfId="943" xr:uid="{00000000-0005-0000-0000-000026370000}"/>
    <cellStyle name="표준 5 2 2 3 4 4 2" xfId="9846" xr:uid="{00000000-0005-0000-0000-000027370000}"/>
    <cellStyle name="표준 5 2 2 3 4 4 2 2" xfId="13958" xr:uid="{00000000-0005-0000-0000-000028370000}"/>
    <cellStyle name="표준 5 2 2 3 4 4 2 2 2" xfId="30552" xr:uid="{00000000-0005-0000-0000-000029370000}"/>
    <cellStyle name="표준 5 2 2 3 4 4 2 2 3" xfId="38763" xr:uid="{00000000-0005-0000-0000-00002A370000}"/>
    <cellStyle name="표준 5 2 2 3 4 4 2 2 4" xfId="46956" xr:uid="{00000000-0005-0000-0000-00002B370000}"/>
    <cellStyle name="표준 5 2 2 3 4 4 2 3" xfId="18198" xr:uid="{00000000-0005-0000-0000-00002C370000}"/>
    <cellStyle name="표준 5 2 2 3 4 4 2 4" xfId="22360" xr:uid="{00000000-0005-0000-0000-00002D370000}"/>
    <cellStyle name="표준 5 2 2 3 4 4 2 5" xfId="26456" xr:uid="{00000000-0005-0000-0000-00002E370000}"/>
    <cellStyle name="표준 5 2 2 3 4 4 2 6" xfId="34667" xr:uid="{00000000-0005-0000-0000-00002F370000}"/>
    <cellStyle name="표준 5 2 2 3 4 4 2 7" xfId="42860" xr:uid="{00000000-0005-0000-0000-000030370000}"/>
    <cellStyle name="표준 5 2 2 3 4 4 3" xfId="7798" xr:uid="{00000000-0005-0000-0000-000031370000}"/>
    <cellStyle name="표준 5 2 2 3 4 4 3 2" xfId="28504" xr:uid="{00000000-0005-0000-0000-000032370000}"/>
    <cellStyle name="표준 5 2 2 3 4 4 3 3" xfId="36715" xr:uid="{00000000-0005-0000-0000-000033370000}"/>
    <cellStyle name="표준 5 2 2 3 4 4 3 4" xfId="44908" xr:uid="{00000000-0005-0000-0000-000034370000}"/>
    <cellStyle name="표준 5 2 2 3 4 4 4" xfId="11910" xr:uid="{00000000-0005-0000-0000-000035370000}"/>
    <cellStyle name="표준 5 2 2 3 4 4 5" xfId="16150" xr:uid="{00000000-0005-0000-0000-000036370000}"/>
    <cellStyle name="표준 5 2 2 3 4 4 6" xfId="20312" xr:uid="{00000000-0005-0000-0000-000037370000}"/>
    <cellStyle name="표준 5 2 2 3 4 4 7" xfId="24408" xr:uid="{00000000-0005-0000-0000-000038370000}"/>
    <cellStyle name="표준 5 2 2 3 4 4 8" xfId="32619" xr:uid="{00000000-0005-0000-0000-000039370000}"/>
    <cellStyle name="표준 5 2 2 3 4 4 9" xfId="40812" xr:uid="{00000000-0005-0000-0000-00003A370000}"/>
    <cellStyle name="표준 5 2 2 3 4 5" xfId="1455" xr:uid="{00000000-0005-0000-0000-00003B370000}"/>
    <cellStyle name="표준 5 2 2 3 4 5 2" xfId="10358" xr:uid="{00000000-0005-0000-0000-00003C370000}"/>
    <cellStyle name="표준 5 2 2 3 4 5 2 2" xfId="14470" xr:uid="{00000000-0005-0000-0000-00003D370000}"/>
    <cellStyle name="표준 5 2 2 3 4 5 2 2 2" xfId="31064" xr:uid="{00000000-0005-0000-0000-00003E370000}"/>
    <cellStyle name="표준 5 2 2 3 4 5 2 2 3" xfId="39275" xr:uid="{00000000-0005-0000-0000-00003F370000}"/>
    <cellStyle name="표준 5 2 2 3 4 5 2 2 4" xfId="47468" xr:uid="{00000000-0005-0000-0000-000040370000}"/>
    <cellStyle name="표준 5 2 2 3 4 5 2 3" xfId="18710" xr:uid="{00000000-0005-0000-0000-000041370000}"/>
    <cellStyle name="표준 5 2 2 3 4 5 2 4" xfId="22872" xr:uid="{00000000-0005-0000-0000-000042370000}"/>
    <cellStyle name="표준 5 2 2 3 4 5 2 5" xfId="26968" xr:uid="{00000000-0005-0000-0000-000043370000}"/>
    <cellStyle name="표준 5 2 2 3 4 5 2 6" xfId="35179" xr:uid="{00000000-0005-0000-0000-000044370000}"/>
    <cellStyle name="표준 5 2 2 3 4 5 2 7" xfId="43372" xr:uid="{00000000-0005-0000-0000-000045370000}"/>
    <cellStyle name="표준 5 2 2 3 4 5 3" xfId="8310" xr:uid="{00000000-0005-0000-0000-000046370000}"/>
    <cellStyle name="표준 5 2 2 3 4 5 3 2" xfId="29016" xr:uid="{00000000-0005-0000-0000-000047370000}"/>
    <cellStyle name="표준 5 2 2 3 4 5 3 3" xfId="37227" xr:uid="{00000000-0005-0000-0000-000048370000}"/>
    <cellStyle name="표준 5 2 2 3 4 5 3 4" xfId="45420" xr:uid="{00000000-0005-0000-0000-000049370000}"/>
    <cellStyle name="표준 5 2 2 3 4 5 4" xfId="12422" xr:uid="{00000000-0005-0000-0000-00004A370000}"/>
    <cellStyle name="표준 5 2 2 3 4 5 5" xfId="16662" xr:uid="{00000000-0005-0000-0000-00004B370000}"/>
    <cellStyle name="표준 5 2 2 3 4 5 6" xfId="20824" xr:uid="{00000000-0005-0000-0000-00004C370000}"/>
    <cellStyle name="표준 5 2 2 3 4 5 7" xfId="24920" xr:uid="{00000000-0005-0000-0000-00004D370000}"/>
    <cellStyle name="표준 5 2 2 3 4 5 8" xfId="33131" xr:uid="{00000000-0005-0000-0000-00004E370000}"/>
    <cellStyle name="표준 5 2 2 3 4 5 9" xfId="41324" xr:uid="{00000000-0005-0000-0000-00004F370000}"/>
    <cellStyle name="표준 5 2 2 3 4 6" xfId="1967" xr:uid="{00000000-0005-0000-0000-000050370000}"/>
    <cellStyle name="표준 5 2 2 3 4 6 2" xfId="10870" xr:uid="{00000000-0005-0000-0000-000051370000}"/>
    <cellStyle name="표준 5 2 2 3 4 6 2 2" xfId="14982" xr:uid="{00000000-0005-0000-0000-000052370000}"/>
    <cellStyle name="표준 5 2 2 3 4 6 2 2 2" xfId="31576" xr:uid="{00000000-0005-0000-0000-000053370000}"/>
    <cellStyle name="표준 5 2 2 3 4 6 2 2 3" xfId="39787" xr:uid="{00000000-0005-0000-0000-000054370000}"/>
    <cellStyle name="표준 5 2 2 3 4 6 2 2 4" xfId="47980" xr:uid="{00000000-0005-0000-0000-000055370000}"/>
    <cellStyle name="표준 5 2 2 3 4 6 2 3" xfId="19222" xr:uid="{00000000-0005-0000-0000-000056370000}"/>
    <cellStyle name="표준 5 2 2 3 4 6 2 4" xfId="23384" xr:uid="{00000000-0005-0000-0000-000057370000}"/>
    <cellStyle name="표준 5 2 2 3 4 6 2 5" xfId="27480" xr:uid="{00000000-0005-0000-0000-000058370000}"/>
    <cellStyle name="표준 5 2 2 3 4 6 2 6" xfId="35691" xr:uid="{00000000-0005-0000-0000-000059370000}"/>
    <cellStyle name="표준 5 2 2 3 4 6 2 7" xfId="43884" xr:uid="{00000000-0005-0000-0000-00005A370000}"/>
    <cellStyle name="표준 5 2 2 3 4 6 3" xfId="8822" xr:uid="{00000000-0005-0000-0000-00005B370000}"/>
    <cellStyle name="표준 5 2 2 3 4 6 3 2" xfId="29528" xr:uid="{00000000-0005-0000-0000-00005C370000}"/>
    <cellStyle name="표준 5 2 2 3 4 6 3 3" xfId="37739" xr:uid="{00000000-0005-0000-0000-00005D370000}"/>
    <cellStyle name="표준 5 2 2 3 4 6 3 4" xfId="45932" xr:uid="{00000000-0005-0000-0000-00005E370000}"/>
    <cellStyle name="표준 5 2 2 3 4 6 4" xfId="12934" xr:uid="{00000000-0005-0000-0000-00005F370000}"/>
    <cellStyle name="표준 5 2 2 3 4 6 5" xfId="17174" xr:uid="{00000000-0005-0000-0000-000060370000}"/>
    <cellStyle name="표준 5 2 2 3 4 6 6" xfId="21336" xr:uid="{00000000-0005-0000-0000-000061370000}"/>
    <cellStyle name="표준 5 2 2 3 4 6 7" xfId="25432" xr:uid="{00000000-0005-0000-0000-000062370000}"/>
    <cellStyle name="표준 5 2 2 3 4 6 8" xfId="33643" xr:uid="{00000000-0005-0000-0000-000063370000}"/>
    <cellStyle name="표준 5 2 2 3 4 6 9" xfId="41836" xr:uid="{00000000-0005-0000-0000-000064370000}"/>
    <cellStyle name="표준 5 2 2 3 4 7" xfId="7027" xr:uid="{00000000-0005-0000-0000-000065370000}"/>
    <cellStyle name="표준 5 2 2 3 4 7 2" xfId="9334" xr:uid="{00000000-0005-0000-0000-000066370000}"/>
    <cellStyle name="표준 5 2 2 3 4 7 2 2" xfId="30040" xr:uid="{00000000-0005-0000-0000-000067370000}"/>
    <cellStyle name="표준 5 2 2 3 4 7 2 3" xfId="38251" xr:uid="{00000000-0005-0000-0000-000068370000}"/>
    <cellStyle name="표준 5 2 2 3 4 7 2 4" xfId="46444" xr:uid="{00000000-0005-0000-0000-000069370000}"/>
    <cellStyle name="표준 5 2 2 3 4 7 3" xfId="13446" xr:uid="{00000000-0005-0000-0000-00006A370000}"/>
    <cellStyle name="표준 5 2 2 3 4 7 4" xfId="17686" xr:uid="{00000000-0005-0000-0000-00006B370000}"/>
    <cellStyle name="표준 5 2 2 3 4 7 5" xfId="21848" xr:uid="{00000000-0005-0000-0000-00006C370000}"/>
    <cellStyle name="표준 5 2 2 3 4 7 6" xfId="25944" xr:uid="{00000000-0005-0000-0000-00006D370000}"/>
    <cellStyle name="표준 5 2 2 3 4 7 7" xfId="34155" xr:uid="{00000000-0005-0000-0000-00006E370000}"/>
    <cellStyle name="표준 5 2 2 3 4 7 8" xfId="42348" xr:uid="{00000000-0005-0000-0000-00006F370000}"/>
    <cellStyle name="표준 5 2 2 3 4 8" xfId="7151" xr:uid="{00000000-0005-0000-0000-000070370000}"/>
    <cellStyle name="표준 5 2 2 3 4 8 2" xfId="27992" xr:uid="{00000000-0005-0000-0000-000071370000}"/>
    <cellStyle name="표준 5 2 2 3 4 8 3" xfId="36203" xr:uid="{00000000-0005-0000-0000-000072370000}"/>
    <cellStyle name="표준 5 2 2 3 4 8 4" xfId="44396" xr:uid="{00000000-0005-0000-0000-000073370000}"/>
    <cellStyle name="표준 5 2 2 3 4 9" xfId="7286" xr:uid="{00000000-0005-0000-0000-000074370000}"/>
    <cellStyle name="표준 5 2 2 3 5" xfId="495" xr:uid="{00000000-0005-0000-0000-000075370000}"/>
    <cellStyle name="표준 5 2 2 3 5 10" xfId="19864" xr:uid="{00000000-0005-0000-0000-000076370000}"/>
    <cellStyle name="표준 5 2 2 3 5 11" xfId="23960" xr:uid="{00000000-0005-0000-0000-000077370000}"/>
    <cellStyle name="표준 5 2 2 3 5 12" xfId="32171" xr:uid="{00000000-0005-0000-0000-000078370000}"/>
    <cellStyle name="표준 5 2 2 3 5 13" xfId="40364" xr:uid="{00000000-0005-0000-0000-000079370000}"/>
    <cellStyle name="표준 5 2 2 3 5 2" xfId="751" xr:uid="{00000000-0005-0000-0000-00007A370000}"/>
    <cellStyle name="표준 5 2 2 3 5 2 10" xfId="24216" xr:uid="{00000000-0005-0000-0000-00007B370000}"/>
    <cellStyle name="표준 5 2 2 3 5 2 11" xfId="32427" xr:uid="{00000000-0005-0000-0000-00007C370000}"/>
    <cellStyle name="표준 5 2 2 3 5 2 12" xfId="40620" xr:uid="{00000000-0005-0000-0000-00007D370000}"/>
    <cellStyle name="표준 5 2 2 3 5 2 2" xfId="1263" xr:uid="{00000000-0005-0000-0000-00007E370000}"/>
    <cellStyle name="표준 5 2 2 3 5 2 2 2" xfId="10166" xr:uid="{00000000-0005-0000-0000-00007F370000}"/>
    <cellStyle name="표준 5 2 2 3 5 2 2 2 2" xfId="14278" xr:uid="{00000000-0005-0000-0000-000080370000}"/>
    <cellStyle name="표준 5 2 2 3 5 2 2 2 2 2" xfId="30872" xr:uid="{00000000-0005-0000-0000-000081370000}"/>
    <cellStyle name="표준 5 2 2 3 5 2 2 2 2 3" xfId="39083" xr:uid="{00000000-0005-0000-0000-000082370000}"/>
    <cellStyle name="표준 5 2 2 3 5 2 2 2 2 4" xfId="47276" xr:uid="{00000000-0005-0000-0000-000083370000}"/>
    <cellStyle name="표준 5 2 2 3 5 2 2 2 3" xfId="18518" xr:uid="{00000000-0005-0000-0000-000084370000}"/>
    <cellStyle name="표준 5 2 2 3 5 2 2 2 4" xfId="22680" xr:uid="{00000000-0005-0000-0000-000085370000}"/>
    <cellStyle name="표준 5 2 2 3 5 2 2 2 5" xfId="26776" xr:uid="{00000000-0005-0000-0000-000086370000}"/>
    <cellStyle name="표준 5 2 2 3 5 2 2 2 6" xfId="34987" xr:uid="{00000000-0005-0000-0000-000087370000}"/>
    <cellStyle name="표준 5 2 2 3 5 2 2 2 7" xfId="43180" xr:uid="{00000000-0005-0000-0000-000088370000}"/>
    <cellStyle name="표준 5 2 2 3 5 2 2 3" xfId="8118" xr:uid="{00000000-0005-0000-0000-000089370000}"/>
    <cellStyle name="표준 5 2 2 3 5 2 2 3 2" xfId="28824" xr:uid="{00000000-0005-0000-0000-00008A370000}"/>
    <cellStyle name="표준 5 2 2 3 5 2 2 3 3" xfId="37035" xr:uid="{00000000-0005-0000-0000-00008B370000}"/>
    <cellStyle name="표준 5 2 2 3 5 2 2 3 4" xfId="45228" xr:uid="{00000000-0005-0000-0000-00008C370000}"/>
    <cellStyle name="표준 5 2 2 3 5 2 2 4" xfId="12230" xr:uid="{00000000-0005-0000-0000-00008D370000}"/>
    <cellStyle name="표준 5 2 2 3 5 2 2 5" xfId="16470" xr:uid="{00000000-0005-0000-0000-00008E370000}"/>
    <cellStyle name="표준 5 2 2 3 5 2 2 6" xfId="20632" xr:uid="{00000000-0005-0000-0000-00008F370000}"/>
    <cellStyle name="표준 5 2 2 3 5 2 2 7" xfId="24728" xr:uid="{00000000-0005-0000-0000-000090370000}"/>
    <cellStyle name="표준 5 2 2 3 5 2 2 8" xfId="32939" xr:uid="{00000000-0005-0000-0000-000091370000}"/>
    <cellStyle name="표준 5 2 2 3 5 2 2 9" xfId="41132" xr:uid="{00000000-0005-0000-0000-000092370000}"/>
    <cellStyle name="표준 5 2 2 3 5 2 3" xfId="1775" xr:uid="{00000000-0005-0000-0000-000093370000}"/>
    <cellStyle name="표준 5 2 2 3 5 2 3 2" xfId="10678" xr:uid="{00000000-0005-0000-0000-000094370000}"/>
    <cellStyle name="표준 5 2 2 3 5 2 3 2 2" xfId="14790" xr:uid="{00000000-0005-0000-0000-000095370000}"/>
    <cellStyle name="표준 5 2 2 3 5 2 3 2 2 2" xfId="31384" xr:uid="{00000000-0005-0000-0000-000096370000}"/>
    <cellStyle name="표준 5 2 2 3 5 2 3 2 2 3" xfId="39595" xr:uid="{00000000-0005-0000-0000-000097370000}"/>
    <cellStyle name="표준 5 2 2 3 5 2 3 2 2 4" xfId="47788" xr:uid="{00000000-0005-0000-0000-000098370000}"/>
    <cellStyle name="표준 5 2 2 3 5 2 3 2 3" xfId="19030" xr:uid="{00000000-0005-0000-0000-000099370000}"/>
    <cellStyle name="표준 5 2 2 3 5 2 3 2 4" xfId="23192" xr:uid="{00000000-0005-0000-0000-00009A370000}"/>
    <cellStyle name="표준 5 2 2 3 5 2 3 2 5" xfId="27288" xr:uid="{00000000-0005-0000-0000-00009B370000}"/>
    <cellStyle name="표준 5 2 2 3 5 2 3 2 6" xfId="35499" xr:uid="{00000000-0005-0000-0000-00009C370000}"/>
    <cellStyle name="표준 5 2 2 3 5 2 3 2 7" xfId="43692" xr:uid="{00000000-0005-0000-0000-00009D370000}"/>
    <cellStyle name="표준 5 2 2 3 5 2 3 3" xfId="8630" xr:uid="{00000000-0005-0000-0000-00009E370000}"/>
    <cellStyle name="표준 5 2 2 3 5 2 3 3 2" xfId="29336" xr:uid="{00000000-0005-0000-0000-00009F370000}"/>
    <cellStyle name="표준 5 2 2 3 5 2 3 3 3" xfId="37547" xr:uid="{00000000-0005-0000-0000-0000A0370000}"/>
    <cellStyle name="표준 5 2 2 3 5 2 3 3 4" xfId="45740" xr:uid="{00000000-0005-0000-0000-0000A1370000}"/>
    <cellStyle name="표준 5 2 2 3 5 2 3 4" xfId="12742" xr:uid="{00000000-0005-0000-0000-0000A2370000}"/>
    <cellStyle name="표준 5 2 2 3 5 2 3 5" xfId="16982" xr:uid="{00000000-0005-0000-0000-0000A3370000}"/>
    <cellStyle name="표준 5 2 2 3 5 2 3 6" xfId="21144" xr:uid="{00000000-0005-0000-0000-0000A4370000}"/>
    <cellStyle name="표준 5 2 2 3 5 2 3 7" xfId="25240" xr:uid="{00000000-0005-0000-0000-0000A5370000}"/>
    <cellStyle name="표준 5 2 2 3 5 2 3 8" xfId="33451" xr:uid="{00000000-0005-0000-0000-0000A6370000}"/>
    <cellStyle name="표준 5 2 2 3 5 2 3 9" xfId="41644" xr:uid="{00000000-0005-0000-0000-0000A7370000}"/>
    <cellStyle name="표준 5 2 2 3 5 2 4" xfId="2287" xr:uid="{00000000-0005-0000-0000-0000A8370000}"/>
    <cellStyle name="표준 5 2 2 3 5 2 4 2" xfId="11190" xr:uid="{00000000-0005-0000-0000-0000A9370000}"/>
    <cellStyle name="표준 5 2 2 3 5 2 4 2 2" xfId="15302" xr:uid="{00000000-0005-0000-0000-0000AA370000}"/>
    <cellStyle name="표준 5 2 2 3 5 2 4 2 2 2" xfId="31896" xr:uid="{00000000-0005-0000-0000-0000AB370000}"/>
    <cellStyle name="표준 5 2 2 3 5 2 4 2 2 3" xfId="40107" xr:uid="{00000000-0005-0000-0000-0000AC370000}"/>
    <cellStyle name="표준 5 2 2 3 5 2 4 2 2 4" xfId="48300" xr:uid="{00000000-0005-0000-0000-0000AD370000}"/>
    <cellStyle name="표준 5 2 2 3 5 2 4 2 3" xfId="19542" xr:uid="{00000000-0005-0000-0000-0000AE370000}"/>
    <cellStyle name="표준 5 2 2 3 5 2 4 2 4" xfId="23704" xr:uid="{00000000-0005-0000-0000-0000AF370000}"/>
    <cellStyle name="표준 5 2 2 3 5 2 4 2 5" xfId="27800" xr:uid="{00000000-0005-0000-0000-0000B0370000}"/>
    <cellStyle name="표준 5 2 2 3 5 2 4 2 6" xfId="36011" xr:uid="{00000000-0005-0000-0000-0000B1370000}"/>
    <cellStyle name="표준 5 2 2 3 5 2 4 2 7" xfId="44204" xr:uid="{00000000-0005-0000-0000-0000B2370000}"/>
    <cellStyle name="표준 5 2 2 3 5 2 4 3" xfId="9142" xr:uid="{00000000-0005-0000-0000-0000B3370000}"/>
    <cellStyle name="표준 5 2 2 3 5 2 4 3 2" xfId="29848" xr:uid="{00000000-0005-0000-0000-0000B4370000}"/>
    <cellStyle name="표준 5 2 2 3 5 2 4 3 3" xfId="38059" xr:uid="{00000000-0005-0000-0000-0000B5370000}"/>
    <cellStyle name="표준 5 2 2 3 5 2 4 3 4" xfId="46252" xr:uid="{00000000-0005-0000-0000-0000B6370000}"/>
    <cellStyle name="표준 5 2 2 3 5 2 4 4" xfId="13254" xr:uid="{00000000-0005-0000-0000-0000B7370000}"/>
    <cellStyle name="표준 5 2 2 3 5 2 4 5" xfId="17494" xr:uid="{00000000-0005-0000-0000-0000B8370000}"/>
    <cellStyle name="표준 5 2 2 3 5 2 4 6" xfId="21656" xr:uid="{00000000-0005-0000-0000-0000B9370000}"/>
    <cellStyle name="표준 5 2 2 3 5 2 4 7" xfId="25752" xr:uid="{00000000-0005-0000-0000-0000BA370000}"/>
    <cellStyle name="표준 5 2 2 3 5 2 4 8" xfId="33963" xr:uid="{00000000-0005-0000-0000-0000BB370000}"/>
    <cellStyle name="표준 5 2 2 3 5 2 4 9" xfId="42156" xr:uid="{00000000-0005-0000-0000-0000BC370000}"/>
    <cellStyle name="표준 5 2 2 3 5 2 5" xfId="9654" xr:uid="{00000000-0005-0000-0000-0000BD370000}"/>
    <cellStyle name="표준 5 2 2 3 5 2 5 2" xfId="13766" xr:uid="{00000000-0005-0000-0000-0000BE370000}"/>
    <cellStyle name="표준 5 2 2 3 5 2 5 2 2" xfId="30360" xr:uid="{00000000-0005-0000-0000-0000BF370000}"/>
    <cellStyle name="표준 5 2 2 3 5 2 5 2 3" xfId="38571" xr:uid="{00000000-0005-0000-0000-0000C0370000}"/>
    <cellStyle name="표준 5 2 2 3 5 2 5 2 4" xfId="46764" xr:uid="{00000000-0005-0000-0000-0000C1370000}"/>
    <cellStyle name="표준 5 2 2 3 5 2 5 3" xfId="18006" xr:uid="{00000000-0005-0000-0000-0000C2370000}"/>
    <cellStyle name="표준 5 2 2 3 5 2 5 4" xfId="22168" xr:uid="{00000000-0005-0000-0000-0000C3370000}"/>
    <cellStyle name="표준 5 2 2 3 5 2 5 5" xfId="26264" xr:uid="{00000000-0005-0000-0000-0000C4370000}"/>
    <cellStyle name="표준 5 2 2 3 5 2 5 6" xfId="34475" xr:uid="{00000000-0005-0000-0000-0000C5370000}"/>
    <cellStyle name="표준 5 2 2 3 5 2 5 7" xfId="42668" xr:uid="{00000000-0005-0000-0000-0000C6370000}"/>
    <cellStyle name="표준 5 2 2 3 5 2 6" xfId="7606" xr:uid="{00000000-0005-0000-0000-0000C7370000}"/>
    <cellStyle name="표준 5 2 2 3 5 2 6 2" xfId="28312" xr:uid="{00000000-0005-0000-0000-0000C8370000}"/>
    <cellStyle name="표준 5 2 2 3 5 2 6 3" xfId="36523" xr:uid="{00000000-0005-0000-0000-0000C9370000}"/>
    <cellStyle name="표준 5 2 2 3 5 2 6 4" xfId="44716" xr:uid="{00000000-0005-0000-0000-0000CA370000}"/>
    <cellStyle name="표준 5 2 2 3 5 2 7" xfId="11718" xr:uid="{00000000-0005-0000-0000-0000CB370000}"/>
    <cellStyle name="표준 5 2 2 3 5 2 8" xfId="15958" xr:uid="{00000000-0005-0000-0000-0000CC370000}"/>
    <cellStyle name="표준 5 2 2 3 5 2 9" xfId="20120" xr:uid="{00000000-0005-0000-0000-0000CD370000}"/>
    <cellStyle name="표준 5 2 2 3 5 3" xfId="1007" xr:uid="{00000000-0005-0000-0000-0000CE370000}"/>
    <cellStyle name="표준 5 2 2 3 5 3 2" xfId="9910" xr:uid="{00000000-0005-0000-0000-0000CF370000}"/>
    <cellStyle name="표준 5 2 2 3 5 3 2 2" xfId="14022" xr:uid="{00000000-0005-0000-0000-0000D0370000}"/>
    <cellStyle name="표준 5 2 2 3 5 3 2 2 2" xfId="30616" xr:uid="{00000000-0005-0000-0000-0000D1370000}"/>
    <cellStyle name="표준 5 2 2 3 5 3 2 2 3" xfId="38827" xr:uid="{00000000-0005-0000-0000-0000D2370000}"/>
    <cellStyle name="표준 5 2 2 3 5 3 2 2 4" xfId="47020" xr:uid="{00000000-0005-0000-0000-0000D3370000}"/>
    <cellStyle name="표준 5 2 2 3 5 3 2 3" xfId="18262" xr:uid="{00000000-0005-0000-0000-0000D4370000}"/>
    <cellStyle name="표준 5 2 2 3 5 3 2 4" xfId="22424" xr:uid="{00000000-0005-0000-0000-0000D5370000}"/>
    <cellStyle name="표준 5 2 2 3 5 3 2 5" xfId="26520" xr:uid="{00000000-0005-0000-0000-0000D6370000}"/>
    <cellStyle name="표준 5 2 2 3 5 3 2 6" xfId="34731" xr:uid="{00000000-0005-0000-0000-0000D7370000}"/>
    <cellStyle name="표준 5 2 2 3 5 3 2 7" xfId="42924" xr:uid="{00000000-0005-0000-0000-0000D8370000}"/>
    <cellStyle name="표준 5 2 2 3 5 3 3" xfId="7862" xr:uid="{00000000-0005-0000-0000-0000D9370000}"/>
    <cellStyle name="표준 5 2 2 3 5 3 3 2" xfId="28568" xr:uid="{00000000-0005-0000-0000-0000DA370000}"/>
    <cellStyle name="표준 5 2 2 3 5 3 3 3" xfId="36779" xr:uid="{00000000-0005-0000-0000-0000DB370000}"/>
    <cellStyle name="표준 5 2 2 3 5 3 3 4" xfId="44972" xr:uid="{00000000-0005-0000-0000-0000DC370000}"/>
    <cellStyle name="표준 5 2 2 3 5 3 4" xfId="11974" xr:uid="{00000000-0005-0000-0000-0000DD370000}"/>
    <cellStyle name="표준 5 2 2 3 5 3 5" xfId="16214" xr:uid="{00000000-0005-0000-0000-0000DE370000}"/>
    <cellStyle name="표준 5 2 2 3 5 3 6" xfId="20376" xr:uid="{00000000-0005-0000-0000-0000DF370000}"/>
    <cellStyle name="표준 5 2 2 3 5 3 7" xfId="24472" xr:uid="{00000000-0005-0000-0000-0000E0370000}"/>
    <cellStyle name="표준 5 2 2 3 5 3 8" xfId="32683" xr:uid="{00000000-0005-0000-0000-0000E1370000}"/>
    <cellStyle name="표준 5 2 2 3 5 3 9" xfId="40876" xr:uid="{00000000-0005-0000-0000-0000E2370000}"/>
    <cellStyle name="표준 5 2 2 3 5 4" xfId="1519" xr:uid="{00000000-0005-0000-0000-0000E3370000}"/>
    <cellStyle name="표준 5 2 2 3 5 4 2" xfId="10422" xr:uid="{00000000-0005-0000-0000-0000E4370000}"/>
    <cellStyle name="표준 5 2 2 3 5 4 2 2" xfId="14534" xr:uid="{00000000-0005-0000-0000-0000E5370000}"/>
    <cellStyle name="표준 5 2 2 3 5 4 2 2 2" xfId="31128" xr:uid="{00000000-0005-0000-0000-0000E6370000}"/>
    <cellStyle name="표준 5 2 2 3 5 4 2 2 3" xfId="39339" xr:uid="{00000000-0005-0000-0000-0000E7370000}"/>
    <cellStyle name="표준 5 2 2 3 5 4 2 2 4" xfId="47532" xr:uid="{00000000-0005-0000-0000-0000E8370000}"/>
    <cellStyle name="표준 5 2 2 3 5 4 2 3" xfId="18774" xr:uid="{00000000-0005-0000-0000-0000E9370000}"/>
    <cellStyle name="표준 5 2 2 3 5 4 2 4" xfId="22936" xr:uid="{00000000-0005-0000-0000-0000EA370000}"/>
    <cellStyle name="표준 5 2 2 3 5 4 2 5" xfId="27032" xr:uid="{00000000-0005-0000-0000-0000EB370000}"/>
    <cellStyle name="표준 5 2 2 3 5 4 2 6" xfId="35243" xr:uid="{00000000-0005-0000-0000-0000EC370000}"/>
    <cellStyle name="표준 5 2 2 3 5 4 2 7" xfId="43436" xr:uid="{00000000-0005-0000-0000-0000ED370000}"/>
    <cellStyle name="표준 5 2 2 3 5 4 3" xfId="8374" xr:uid="{00000000-0005-0000-0000-0000EE370000}"/>
    <cellStyle name="표준 5 2 2 3 5 4 3 2" xfId="29080" xr:uid="{00000000-0005-0000-0000-0000EF370000}"/>
    <cellStyle name="표준 5 2 2 3 5 4 3 3" xfId="37291" xr:uid="{00000000-0005-0000-0000-0000F0370000}"/>
    <cellStyle name="표준 5 2 2 3 5 4 3 4" xfId="45484" xr:uid="{00000000-0005-0000-0000-0000F1370000}"/>
    <cellStyle name="표준 5 2 2 3 5 4 4" xfId="12486" xr:uid="{00000000-0005-0000-0000-0000F2370000}"/>
    <cellStyle name="표준 5 2 2 3 5 4 5" xfId="16726" xr:uid="{00000000-0005-0000-0000-0000F3370000}"/>
    <cellStyle name="표준 5 2 2 3 5 4 6" xfId="20888" xr:uid="{00000000-0005-0000-0000-0000F4370000}"/>
    <cellStyle name="표준 5 2 2 3 5 4 7" xfId="24984" xr:uid="{00000000-0005-0000-0000-0000F5370000}"/>
    <cellStyle name="표준 5 2 2 3 5 4 8" xfId="33195" xr:uid="{00000000-0005-0000-0000-0000F6370000}"/>
    <cellStyle name="표준 5 2 2 3 5 4 9" xfId="41388" xr:uid="{00000000-0005-0000-0000-0000F7370000}"/>
    <cellStyle name="표준 5 2 2 3 5 5" xfId="2031" xr:uid="{00000000-0005-0000-0000-0000F8370000}"/>
    <cellStyle name="표준 5 2 2 3 5 5 2" xfId="10934" xr:uid="{00000000-0005-0000-0000-0000F9370000}"/>
    <cellStyle name="표준 5 2 2 3 5 5 2 2" xfId="15046" xr:uid="{00000000-0005-0000-0000-0000FA370000}"/>
    <cellStyle name="표준 5 2 2 3 5 5 2 2 2" xfId="31640" xr:uid="{00000000-0005-0000-0000-0000FB370000}"/>
    <cellStyle name="표준 5 2 2 3 5 5 2 2 3" xfId="39851" xr:uid="{00000000-0005-0000-0000-0000FC370000}"/>
    <cellStyle name="표준 5 2 2 3 5 5 2 2 4" xfId="48044" xr:uid="{00000000-0005-0000-0000-0000FD370000}"/>
    <cellStyle name="표준 5 2 2 3 5 5 2 3" xfId="19286" xr:uid="{00000000-0005-0000-0000-0000FE370000}"/>
    <cellStyle name="표준 5 2 2 3 5 5 2 4" xfId="23448" xr:uid="{00000000-0005-0000-0000-0000FF370000}"/>
    <cellStyle name="표준 5 2 2 3 5 5 2 5" xfId="27544" xr:uid="{00000000-0005-0000-0000-000000380000}"/>
    <cellStyle name="표준 5 2 2 3 5 5 2 6" xfId="35755" xr:uid="{00000000-0005-0000-0000-000001380000}"/>
    <cellStyle name="표준 5 2 2 3 5 5 2 7" xfId="43948" xr:uid="{00000000-0005-0000-0000-000002380000}"/>
    <cellStyle name="표준 5 2 2 3 5 5 3" xfId="8886" xr:uid="{00000000-0005-0000-0000-000003380000}"/>
    <cellStyle name="표준 5 2 2 3 5 5 3 2" xfId="29592" xr:uid="{00000000-0005-0000-0000-000004380000}"/>
    <cellStyle name="표준 5 2 2 3 5 5 3 3" xfId="37803" xr:uid="{00000000-0005-0000-0000-000005380000}"/>
    <cellStyle name="표준 5 2 2 3 5 5 3 4" xfId="45996" xr:uid="{00000000-0005-0000-0000-000006380000}"/>
    <cellStyle name="표준 5 2 2 3 5 5 4" xfId="12998" xr:uid="{00000000-0005-0000-0000-000007380000}"/>
    <cellStyle name="표준 5 2 2 3 5 5 5" xfId="17238" xr:uid="{00000000-0005-0000-0000-000008380000}"/>
    <cellStyle name="표준 5 2 2 3 5 5 6" xfId="21400" xr:uid="{00000000-0005-0000-0000-000009380000}"/>
    <cellStyle name="표준 5 2 2 3 5 5 7" xfId="25496" xr:uid="{00000000-0005-0000-0000-00000A380000}"/>
    <cellStyle name="표준 5 2 2 3 5 5 8" xfId="33707" xr:uid="{00000000-0005-0000-0000-00000B380000}"/>
    <cellStyle name="표준 5 2 2 3 5 5 9" xfId="41900" xr:uid="{00000000-0005-0000-0000-00000C380000}"/>
    <cellStyle name="표준 5 2 2 3 5 6" xfId="9398" xr:uid="{00000000-0005-0000-0000-00000D380000}"/>
    <cellStyle name="표준 5 2 2 3 5 6 2" xfId="13510" xr:uid="{00000000-0005-0000-0000-00000E380000}"/>
    <cellStyle name="표준 5 2 2 3 5 6 2 2" xfId="30104" xr:uid="{00000000-0005-0000-0000-00000F380000}"/>
    <cellStyle name="표준 5 2 2 3 5 6 2 3" xfId="38315" xr:uid="{00000000-0005-0000-0000-000010380000}"/>
    <cellStyle name="표준 5 2 2 3 5 6 2 4" xfId="46508" xr:uid="{00000000-0005-0000-0000-000011380000}"/>
    <cellStyle name="표준 5 2 2 3 5 6 3" xfId="17750" xr:uid="{00000000-0005-0000-0000-000012380000}"/>
    <cellStyle name="표준 5 2 2 3 5 6 4" xfId="21912" xr:uid="{00000000-0005-0000-0000-000013380000}"/>
    <cellStyle name="표준 5 2 2 3 5 6 5" xfId="26008" xr:uid="{00000000-0005-0000-0000-000014380000}"/>
    <cellStyle name="표준 5 2 2 3 5 6 6" xfId="34219" xr:uid="{00000000-0005-0000-0000-000015380000}"/>
    <cellStyle name="표준 5 2 2 3 5 6 7" xfId="42412" xr:uid="{00000000-0005-0000-0000-000016380000}"/>
    <cellStyle name="표준 5 2 2 3 5 7" xfId="7350" xr:uid="{00000000-0005-0000-0000-000017380000}"/>
    <cellStyle name="표준 5 2 2 3 5 7 2" xfId="28056" xr:uid="{00000000-0005-0000-0000-000018380000}"/>
    <cellStyle name="표준 5 2 2 3 5 7 3" xfId="36267" xr:uid="{00000000-0005-0000-0000-000019380000}"/>
    <cellStyle name="표준 5 2 2 3 5 7 4" xfId="44460" xr:uid="{00000000-0005-0000-0000-00001A380000}"/>
    <cellStyle name="표준 5 2 2 3 5 8" xfId="11462" xr:uid="{00000000-0005-0000-0000-00001B380000}"/>
    <cellStyle name="표준 5 2 2 3 5 9" xfId="15702" xr:uid="{00000000-0005-0000-0000-00001C380000}"/>
    <cellStyle name="표준 5 2 2 3 6" xfId="623" xr:uid="{00000000-0005-0000-0000-00001D380000}"/>
    <cellStyle name="표준 5 2 2 3 6 10" xfId="24088" xr:uid="{00000000-0005-0000-0000-00001E380000}"/>
    <cellStyle name="표준 5 2 2 3 6 11" xfId="32299" xr:uid="{00000000-0005-0000-0000-00001F380000}"/>
    <cellStyle name="표준 5 2 2 3 6 12" xfId="40492" xr:uid="{00000000-0005-0000-0000-000020380000}"/>
    <cellStyle name="표준 5 2 2 3 6 2" xfId="1135" xr:uid="{00000000-0005-0000-0000-000021380000}"/>
    <cellStyle name="표준 5 2 2 3 6 2 2" xfId="10038" xr:uid="{00000000-0005-0000-0000-000022380000}"/>
    <cellStyle name="표준 5 2 2 3 6 2 2 2" xfId="14150" xr:uid="{00000000-0005-0000-0000-000023380000}"/>
    <cellStyle name="표준 5 2 2 3 6 2 2 2 2" xfId="30744" xr:uid="{00000000-0005-0000-0000-000024380000}"/>
    <cellStyle name="표준 5 2 2 3 6 2 2 2 3" xfId="38955" xr:uid="{00000000-0005-0000-0000-000025380000}"/>
    <cellStyle name="표준 5 2 2 3 6 2 2 2 4" xfId="47148" xr:uid="{00000000-0005-0000-0000-000026380000}"/>
    <cellStyle name="표준 5 2 2 3 6 2 2 3" xfId="18390" xr:uid="{00000000-0005-0000-0000-000027380000}"/>
    <cellStyle name="표준 5 2 2 3 6 2 2 4" xfId="22552" xr:uid="{00000000-0005-0000-0000-000028380000}"/>
    <cellStyle name="표준 5 2 2 3 6 2 2 5" xfId="26648" xr:uid="{00000000-0005-0000-0000-000029380000}"/>
    <cellStyle name="표준 5 2 2 3 6 2 2 6" xfId="34859" xr:uid="{00000000-0005-0000-0000-00002A380000}"/>
    <cellStyle name="표준 5 2 2 3 6 2 2 7" xfId="43052" xr:uid="{00000000-0005-0000-0000-00002B380000}"/>
    <cellStyle name="표준 5 2 2 3 6 2 3" xfId="7990" xr:uid="{00000000-0005-0000-0000-00002C380000}"/>
    <cellStyle name="표준 5 2 2 3 6 2 3 2" xfId="28696" xr:uid="{00000000-0005-0000-0000-00002D380000}"/>
    <cellStyle name="표준 5 2 2 3 6 2 3 3" xfId="36907" xr:uid="{00000000-0005-0000-0000-00002E380000}"/>
    <cellStyle name="표준 5 2 2 3 6 2 3 4" xfId="45100" xr:uid="{00000000-0005-0000-0000-00002F380000}"/>
    <cellStyle name="표준 5 2 2 3 6 2 4" xfId="12102" xr:uid="{00000000-0005-0000-0000-000030380000}"/>
    <cellStyle name="표준 5 2 2 3 6 2 5" xfId="16342" xr:uid="{00000000-0005-0000-0000-000031380000}"/>
    <cellStyle name="표준 5 2 2 3 6 2 6" xfId="20504" xr:uid="{00000000-0005-0000-0000-000032380000}"/>
    <cellStyle name="표준 5 2 2 3 6 2 7" xfId="24600" xr:uid="{00000000-0005-0000-0000-000033380000}"/>
    <cellStyle name="표준 5 2 2 3 6 2 8" xfId="32811" xr:uid="{00000000-0005-0000-0000-000034380000}"/>
    <cellStyle name="표준 5 2 2 3 6 2 9" xfId="41004" xr:uid="{00000000-0005-0000-0000-000035380000}"/>
    <cellStyle name="표준 5 2 2 3 6 3" xfId="1647" xr:uid="{00000000-0005-0000-0000-000036380000}"/>
    <cellStyle name="표준 5 2 2 3 6 3 2" xfId="10550" xr:uid="{00000000-0005-0000-0000-000037380000}"/>
    <cellStyle name="표준 5 2 2 3 6 3 2 2" xfId="14662" xr:uid="{00000000-0005-0000-0000-000038380000}"/>
    <cellStyle name="표준 5 2 2 3 6 3 2 2 2" xfId="31256" xr:uid="{00000000-0005-0000-0000-000039380000}"/>
    <cellStyle name="표준 5 2 2 3 6 3 2 2 3" xfId="39467" xr:uid="{00000000-0005-0000-0000-00003A380000}"/>
    <cellStyle name="표준 5 2 2 3 6 3 2 2 4" xfId="47660" xr:uid="{00000000-0005-0000-0000-00003B380000}"/>
    <cellStyle name="표준 5 2 2 3 6 3 2 3" xfId="18902" xr:uid="{00000000-0005-0000-0000-00003C380000}"/>
    <cellStyle name="표준 5 2 2 3 6 3 2 4" xfId="23064" xr:uid="{00000000-0005-0000-0000-00003D380000}"/>
    <cellStyle name="표준 5 2 2 3 6 3 2 5" xfId="27160" xr:uid="{00000000-0005-0000-0000-00003E380000}"/>
    <cellStyle name="표준 5 2 2 3 6 3 2 6" xfId="35371" xr:uid="{00000000-0005-0000-0000-00003F380000}"/>
    <cellStyle name="표준 5 2 2 3 6 3 2 7" xfId="43564" xr:uid="{00000000-0005-0000-0000-000040380000}"/>
    <cellStyle name="표준 5 2 2 3 6 3 3" xfId="8502" xr:uid="{00000000-0005-0000-0000-000041380000}"/>
    <cellStyle name="표준 5 2 2 3 6 3 3 2" xfId="29208" xr:uid="{00000000-0005-0000-0000-000042380000}"/>
    <cellStyle name="표준 5 2 2 3 6 3 3 3" xfId="37419" xr:uid="{00000000-0005-0000-0000-000043380000}"/>
    <cellStyle name="표준 5 2 2 3 6 3 3 4" xfId="45612" xr:uid="{00000000-0005-0000-0000-000044380000}"/>
    <cellStyle name="표준 5 2 2 3 6 3 4" xfId="12614" xr:uid="{00000000-0005-0000-0000-000045380000}"/>
    <cellStyle name="표준 5 2 2 3 6 3 5" xfId="16854" xr:uid="{00000000-0005-0000-0000-000046380000}"/>
    <cellStyle name="표준 5 2 2 3 6 3 6" xfId="21016" xr:uid="{00000000-0005-0000-0000-000047380000}"/>
    <cellStyle name="표준 5 2 2 3 6 3 7" xfId="25112" xr:uid="{00000000-0005-0000-0000-000048380000}"/>
    <cellStyle name="표준 5 2 2 3 6 3 8" xfId="33323" xr:uid="{00000000-0005-0000-0000-000049380000}"/>
    <cellStyle name="표준 5 2 2 3 6 3 9" xfId="41516" xr:uid="{00000000-0005-0000-0000-00004A380000}"/>
    <cellStyle name="표준 5 2 2 3 6 4" xfId="2159" xr:uid="{00000000-0005-0000-0000-00004B380000}"/>
    <cellStyle name="표준 5 2 2 3 6 4 2" xfId="11062" xr:uid="{00000000-0005-0000-0000-00004C380000}"/>
    <cellStyle name="표준 5 2 2 3 6 4 2 2" xfId="15174" xr:uid="{00000000-0005-0000-0000-00004D380000}"/>
    <cellStyle name="표준 5 2 2 3 6 4 2 2 2" xfId="31768" xr:uid="{00000000-0005-0000-0000-00004E380000}"/>
    <cellStyle name="표준 5 2 2 3 6 4 2 2 3" xfId="39979" xr:uid="{00000000-0005-0000-0000-00004F380000}"/>
    <cellStyle name="표준 5 2 2 3 6 4 2 2 4" xfId="48172" xr:uid="{00000000-0005-0000-0000-000050380000}"/>
    <cellStyle name="표준 5 2 2 3 6 4 2 3" xfId="19414" xr:uid="{00000000-0005-0000-0000-000051380000}"/>
    <cellStyle name="표준 5 2 2 3 6 4 2 4" xfId="23576" xr:uid="{00000000-0005-0000-0000-000052380000}"/>
    <cellStyle name="표준 5 2 2 3 6 4 2 5" xfId="27672" xr:uid="{00000000-0005-0000-0000-000053380000}"/>
    <cellStyle name="표준 5 2 2 3 6 4 2 6" xfId="35883" xr:uid="{00000000-0005-0000-0000-000054380000}"/>
    <cellStyle name="표준 5 2 2 3 6 4 2 7" xfId="44076" xr:uid="{00000000-0005-0000-0000-000055380000}"/>
    <cellStyle name="표준 5 2 2 3 6 4 3" xfId="9014" xr:uid="{00000000-0005-0000-0000-000056380000}"/>
    <cellStyle name="표준 5 2 2 3 6 4 3 2" xfId="29720" xr:uid="{00000000-0005-0000-0000-000057380000}"/>
    <cellStyle name="표준 5 2 2 3 6 4 3 3" xfId="37931" xr:uid="{00000000-0005-0000-0000-000058380000}"/>
    <cellStyle name="표준 5 2 2 3 6 4 3 4" xfId="46124" xr:uid="{00000000-0005-0000-0000-000059380000}"/>
    <cellStyle name="표준 5 2 2 3 6 4 4" xfId="13126" xr:uid="{00000000-0005-0000-0000-00005A380000}"/>
    <cellStyle name="표준 5 2 2 3 6 4 5" xfId="17366" xr:uid="{00000000-0005-0000-0000-00005B380000}"/>
    <cellStyle name="표준 5 2 2 3 6 4 6" xfId="21528" xr:uid="{00000000-0005-0000-0000-00005C380000}"/>
    <cellStyle name="표준 5 2 2 3 6 4 7" xfId="25624" xr:uid="{00000000-0005-0000-0000-00005D380000}"/>
    <cellStyle name="표준 5 2 2 3 6 4 8" xfId="33835" xr:uid="{00000000-0005-0000-0000-00005E380000}"/>
    <cellStyle name="표준 5 2 2 3 6 4 9" xfId="42028" xr:uid="{00000000-0005-0000-0000-00005F380000}"/>
    <cellStyle name="표준 5 2 2 3 6 5" xfId="9526" xr:uid="{00000000-0005-0000-0000-000060380000}"/>
    <cellStyle name="표준 5 2 2 3 6 5 2" xfId="13638" xr:uid="{00000000-0005-0000-0000-000061380000}"/>
    <cellStyle name="표준 5 2 2 3 6 5 2 2" xfId="30232" xr:uid="{00000000-0005-0000-0000-000062380000}"/>
    <cellStyle name="표준 5 2 2 3 6 5 2 3" xfId="38443" xr:uid="{00000000-0005-0000-0000-000063380000}"/>
    <cellStyle name="표준 5 2 2 3 6 5 2 4" xfId="46636" xr:uid="{00000000-0005-0000-0000-000064380000}"/>
    <cellStyle name="표준 5 2 2 3 6 5 3" xfId="17878" xr:uid="{00000000-0005-0000-0000-000065380000}"/>
    <cellStyle name="표준 5 2 2 3 6 5 4" xfId="22040" xr:uid="{00000000-0005-0000-0000-000066380000}"/>
    <cellStyle name="표준 5 2 2 3 6 5 5" xfId="26136" xr:uid="{00000000-0005-0000-0000-000067380000}"/>
    <cellStyle name="표준 5 2 2 3 6 5 6" xfId="34347" xr:uid="{00000000-0005-0000-0000-000068380000}"/>
    <cellStyle name="표준 5 2 2 3 6 5 7" xfId="42540" xr:uid="{00000000-0005-0000-0000-000069380000}"/>
    <cellStyle name="표준 5 2 2 3 6 6" xfId="7478" xr:uid="{00000000-0005-0000-0000-00006A380000}"/>
    <cellStyle name="표준 5 2 2 3 6 6 2" xfId="28184" xr:uid="{00000000-0005-0000-0000-00006B380000}"/>
    <cellStyle name="표준 5 2 2 3 6 6 3" xfId="36395" xr:uid="{00000000-0005-0000-0000-00006C380000}"/>
    <cellStyle name="표준 5 2 2 3 6 6 4" xfId="44588" xr:uid="{00000000-0005-0000-0000-00006D380000}"/>
    <cellStyle name="표준 5 2 2 3 6 7" xfId="11590" xr:uid="{00000000-0005-0000-0000-00006E380000}"/>
    <cellStyle name="표준 5 2 2 3 6 8" xfId="15830" xr:uid="{00000000-0005-0000-0000-00006F380000}"/>
    <cellStyle name="표준 5 2 2 3 6 9" xfId="19992" xr:uid="{00000000-0005-0000-0000-000070380000}"/>
    <cellStyle name="표준 5 2 2 3 7" xfId="879" xr:uid="{00000000-0005-0000-0000-000071380000}"/>
    <cellStyle name="표준 5 2 2 3 7 2" xfId="9782" xr:uid="{00000000-0005-0000-0000-000072380000}"/>
    <cellStyle name="표준 5 2 2 3 7 2 2" xfId="13894" xr:uid="{00000000-0005-0000-0000-000073380000}"/>
    <cellStyle name="표준 5 2 2 3 7 2 2 2" xfId="30488" xr:uid="{00000000-0005-0000-0000-000074380000}"/>
    <cellStyle name="표준 5 2 2 3 7 2 2 3" xfId="38699" xr:uid="{00000000-0005-0000-0000-000075380000}"/>
    <cellStyle name="표준 5 2 2 3 7 2 2 4" xfId="46892" xr:uid="{00000000-0005-0000-0000-000076380000}"/>
    <cellStyle name="표준 5 2 2 3 7 2 3" xfId="18134" xr:uid="{00000000-0005-0000-0000-000077380000}"/>
    <cellStyle name="표준 5 2 2 3 7 2 4" xfId="22296" xr:uid="{00000000-0005-0000-0000-000078380000}"/>
    <cellStyle name="표준 5 2 2 3 7 2 5" xfId="26392" xr:uid="{00000000-0005-0000-0000-000079380000}"/>
    <cellStyle name="표준 5 2 2 3 7 2 6" xfId="34603" xr:uid="{00000000-0005-0000-0000-00007A380000}"/>
    <cellStyle name="표준 5 2 2 3 7 2 7" xfId="42796" xr:uid="{00000000-0005-0000-0000-00007B380000}"/>
    <cellStyle name="표준 5 2 2 3 7 3" xfId="7734" xr:uid="{00000000-0005-0000-0000-00007C380000}"/>
    <cellStyle name="표준 5 2 2 3 7 3 2" xfId="28440" xr:uid="{00000000-0005-0000-0000-00007D380000}"/>
    <cellStyle name="표준 5 2 2 3 7 3 3" xfId="36651" xr:uid="{00000000-0005-0000-0000-00007E380000}"/>
    <cellStyle name="표준 5 2 2 3 7 3 4" xfId="44844" xr:uid="{00000000-0005-0000-0000-00007F380000}"/>
    <cellStyle name="표준 5 2 2 3 7 4" xfId="11846" xr:uid="{00000000-0005-0000-0000-000080380000}"/>
    <cellStyle name="표준 5 2 2 3 7 5" xfId="16086" xr:uid="{00000000-0005-0000-0000-000081380000}"/>
    <cellStyle name="표준 5 2 2 3 7 6" xfId="20248" xr:uid="{00000000-0005-0000-0000-000082380000}"/>
    <cellStyle name="표준 5 2 2 3 7 7" xfId="24344" xr:uid="{00000000-0005-0000-0000-000083380000}"/>
    <cellStyle name="표준 5 2 2 3 7 8" xfId="32555" xr:uid="{00000000-0005-0000-0000-000084380000}"/>
    <cellStyle name="표준 5 2 2 3 7 9" xfId="40748" xr:uid="{00000000-0005-0000-0000-000085380000}"/>
    <cellStyle name="표준 5 2 2 3 8" xfId="1391" xr:uid="{00000000-0005-0000-0000-000086380000}"/>
    <cellStyle name="표준 5 2 2 3 8 2" xfId="10294" xr:uid="{00000000-0005-0000-0000-000087380000}"/>
    <cellStyle name="표준 5 2 2 3 8 2 2" xfId="14406" xr:uid="{00000000-0005-0000-0000-000088380000}"/>
    <cellStyle name="표준 5 2 2 3 8 2 2 2" xfId="31000" xr:uid="{00000000-0005-0000-0000-000089380000}"/>
    <cellStyle name="표준 5 2 2 3 8 2 2 3" xfId="39211" xr:uid="{00000000-0005-0000-0000-00008A380000}"/>
    <cellStyle name="표준 5 2 2 3 8 2 2 4" xfId="47404" xr:uid="{00000000-0005-0000-0000-00008B380000}"/>
    <cellStyle name="표준 5 2 2 3 8 2 3" xfId="18646" xr:uid="{00000000-0005-0000-0000-00008C380000}"/>
    <cellStyle name="표준 5 2 2 3 8 2 4" xfId="22808" xr:uid="{00000000-0005-0000-0000-00008D380000}"/>
    <cellStyle name="표준 5 2 2 3 8 2 5" xfId="26904" xr:uid="{00000000-0005-0000-0000-00008E380000}"/>
    <cellStyle name="표준 5 2 2 3 8 2 6" xfId="35115" xr:uid="{00000000-0005-0000-0000-00008F380000}"/>
    <cellStyle name="표준 5 2 2 3 8 2 7" xfId="43308" xr:uid="{00000000-0005-0000-0000-000090380000}"/>
    <cellStyle name="표준 5 2 2 3 8 3" xfId="8246" xr:uid="{00000000-0005-0000-0000-000091380000}"/>
    <cellStyle name="표준 5 2 2 3 8 3 2" xfId="28952" xr:uid="{00000000-0005-0000-0000-000092380000}"/>
    <cellStyle name="표준 5 2 2 3 8 3 3" xfId="37163" xr:uid="{00000000-0005-0000-0000-000093380000}"/>
    <cellStyle name="표준 5 2 2 3 8 3 4" xfId="45356" xr:uid="{00000000-0005-0000-0000-000094380000}"/>
    <cellStyle name="표준 5 2 2 3 8 4" xfId="12358" xr:uid="{00000000-0005-0000-0000-000095380000}"/>
    <cellStyle name="표준 5 2 2 3 8 5" xfId="16598" xr:uid="{00000000-0005-0000-0000-000096380000}"/>
    <cellStyle name="표준 5 2 2 3 8 6" xfId="20760" xr:uid="{00000000-0005-0000-0000-000097380000}"/>
    <cellStyle name="표준 5 2 2 3 8 7" xfId="24856" xr:uid="{00000000-0005-0000-0000-000098380000}"/>
    <cellStyle name="표준 5 2 2 3 8 8" xfId="33067" xr:uid="{00000000-0005-0000-0000-000099380000}"/>
    <cellStyle name="표준 5 2 2 3 8 9" xfId="41260" xr:uid="{00000000-0005-0000-0000-00009A380000}"/>
    <cellStyle name="표준 5 2 2 3 9" xfId="1903" xr:uid="{00000000-0005-0000-0000-00009B380000}"/>
    <cellStyle name="표준 5 2 2 3 9 2" xfId="10806" xr:uid="{00000000-0005-0000-0000-00009C380000}"/>
    <cellStyle name="표준 5 2 2 3 9 2 2" xfId="14918" xr:uid="{00000000-0005-0000-0000-00009D380000}"/>
    <cellStyle name="표준 5 2 2 3 9 2 2 2" xfId="31512" xr:uid="{00000000-0005-0000-0000-00009E380000}"/>
    <cellStyle name="표준 5 2 2 3 9 2 2 3" xfId="39723" xr:uid="{00000000-0005-0000-0000-00009F380000}"/>
    <cellStyle name="표준 5 2 2 3 9 2 2 4" xfId="47916" xr:uid="{00000000-0005-0000-0000-0000A0380000}"/>
    <cellStyle name="표준 5 2 2 3 9 2 3" xfId="19158" xr:uid="{00000000-0005-0000-0000-0000A1380000}"/>
    <cellStyle name="표준 5 2 2 3 9 2 4" xfId="23320" xr:uid="{00000000-0005-0000-0000-0000A2380000}"/>
    <cellStyle name="표준 5 2 2 3 9 2 5" xfId="27416" xr:uid="{00000000-0005-0000-0000-0000A3380000}"/>
    <cellStyle name="표준 5 2 2 3 9 2 6" xfId="35627" xr:uid="{00000000-0005-0000-0000-0000A4380000}"/>
    <cellStyle name="표준 5 2 2 3 9 2 7" xfId="43820" xr:uid="{00000000-0005-0000-0000-0000A5380000}"/>
    <cellStyle name="표준 5 2 2 3 9 3" xfId="8758" xr:uid="{00000000-0005-0000-0000-0000A6380000}"/>
    <cellStyle name="표준 5 2 2 3 9 3 2" xfId="29464" xr:uid="{00000000-0005-0000-0000-0000A7380000}"/>
    <cellStyle name="표준 5 2 2 3 9 3 3" xfId="37675" xr:uid="{00000000-0005-0000-0000-0000A8380000}"/>
    <cellStyle name="표준 5 2 2 3 9 3 4" xfId="45868" xr:uid="{00000000-0005-0000-0000-0000A9380000}"/>
    <cellStyle name="표준 5 2 2 3 9 4" xfId="12870" xr:uid="{00000000-0005-0000-0000-0000AA380000}"/>
    <cellStyle name="표준 5 2 2 3 9 5" xfId="17110" xr:uid="{00000000-0005-0000-0000-0000AB380000}"/>
    <cellStyle name="표준 5 2 2 3 9 6" xfId="21272" xr:uid="{00000000-0005-0000-0000-0000AC380000}"/>
    <cellStyle name="표준 5 2 2 3 9 7" xfId="25368" xr:uid="{00000000-0005-0000-0000-0000AD380000}"/>
    <cellStyle name="표준 5 2 2 3 9 8" xfId="33579" xr:uid="{00000000-0005-0000-0000-0000AE380000}"/>
    <cellStyle name="표준 5 2 2 3 9 9" xfId="41772" xr:uid="{00000000-0005-0000-0000-0000AF380000}"/>
    <cellStyle name="표준 5 2 2 30" xfId="19735" xr:uid="{00000000-0005-0000-0000-0000B0380000}"/>
    <cellStyle name="표준 5 2 2 31" xfId="23824" xr:uid="{00000000-0005-0000-0000-0000B1380000}"/>
    <cellStyle name="표준 5 2 2 32" xfId="32018" xr:uid="{00000000-0005-0000-0000-0000B2380000}"/>
    <cellStyle name="표준 5 2 2 33" xfId="32035" xr:uid="{00000000-0005-0000-0000-0000B3380000}"/>
    <cellStyle name="표준 5 2 2 34" xfId="40228" xr:uid="{00000000-0005-0000-0000-0000B4380000}"/>
    <cellStyle name="표준 5 2 2 35" xfId="48430" xr:uid="{00000000-0005-0000-0000-0000B5380000}"/>
    <cellStyle name="표준 5 2 2 4" xfId="138" xr:uid="{00000000-0005-0000-0000-0000B6380000}"/>
    <cellStyle name="표준 5 2 2 4 10" xfId="7191" xr:uid="{00000000-0005-0000-0000-0000B7380000}"/>
    <cellStyle name="표준 5 2 2 4 10 2" xfId="27936" xr:uid="{00000000-0005-0000-0000-0000B8380000}"/>
    <cellStyle name="표준 5 2 2 4 10 3" xfId="36147" xr:uid="{00000000-0005-0000-0000-0000B9380000}"/>
    <cellStyle name="표준 5 2 2 4 10 4" xfId="44340" xr:uid="{00000000-0005-0000-0000-0000BA380000}"/>
    <cellStyle name="표준 5 2 2 4 11" xfId="7230" xr:uid="{00000000-0005-0000-0000-0000BB380000}"/>
    <cellStyle name="표준 5 2 2 4 12" xfId="11342" xr:uid="{00000000-0005-0000-0000-0000BC380000}"/>
    <cellStyle name="표준 5 2 2 4 13" xfId="15470" xr:uid="{00000000-0005-0000-0000-0000BD380000}"/>
    <cellStyle name="표준 5 2 2 4 14" xfId="15582" xr:uid="{00000000-0005-0000-0000-0000BE380000}"/>
    <cellStyle name="표준 5 2 2 4 15" xfId="19744" xr:uid="{00000000-0005-0000-0000-0000BF380000}"/>
    <cellStyle name="표준 5 2 2 4 16" xfId="23840" xr:uid="{00000000-0005-0000-0000-0000C0380000}"/>
    <cellStyle name="표준 5 2 2 4 17" xfId="32051" xr:uid="{00000000-0005-0000-0000-0000C1380000}"/>
    <cellStyle name="표준 5 2 2 4 18" xfId="40244" xr:uid="{00000000-0005-0000-0000-0000C2380000}"/>
    <cellStyle name="표준 5 2 2 4 19" xfId="49649" xr:uid="{00000000-0005-0000-0000-0000C3380000}"/>
    <cellStyle name="표준 5 2 2 4 2" xfId="407" xr:uid="{00000000-0005-0000-0000-0000C4380000}"/>
    <cellStyle name="표준 5 2 2 4 2 10" xfId="7262" xr:uid="{00000000-0005-0000-0000-0000C5380000}"/>
    <cellStyle name="표준 5 2 2 4 2 11" xfId="11374" xr:uid="{00000000-0005-0000-0000-0000C6380000}"/>
    <cellStyle name="표준 5 2 2 4 2 12" xfId="15518" xr:uid="{00000000-0005-0000-0000-0000C7380000}"/>
    <cellStyle name="표준 5 2 2 4 2 13" xfId="15614" xr:uid="{00000000-0005-0000-0000-0000C8380000}"/>
    <cellStyle name="표준 5 2 2 4 2 14" xfId="19776" xr:uid="{00000000-0005-0000-0000-0000C9380000}"/>
    <cellStyle name="표준 5 2 2 4 2 15" xfId="23872" xr:uid="{00000000-0005-0000-0000-0000CA380000}"/>
    <cellStyle name="표준 5 2 2 4 2 16" xfId="32083" xr:uid="{00000000-0005-0000-0000-0000CB380000}"/>
    <cellStyle name="표준 5 2 2 4 2 17" xfId="40276" xr:uid="{00000000-0005-0000-0000-0000CC380000}"/>
    <cellStyle name="표준 5 2 2 4 2 18" xfId="49715" xr:uid="{00000000-0005-0000-0000-0000CD380000}"/>
    <cellStyle name="표준 5 2 2 4 2 2" xfId="471" xr:uid="{00000000-0005-0000-0000-0000CE380000}"/>
    <cellStyle name="표준 5 2 2 4 2 2 10" xfId="15678" xr:uid="{00000000-0005-0000-0000-0000CF380000}"/>
    <cellStyle name="표준 5 2 2 4 2 2 11" xfId="19840" xr:uid="{00000000-0005-0000-0000-0000D0380000}"/>
    <cellStyle name="표준 5 2 2 4 2 2 12" xfId="23936" xr:uid="{00000000-0005-0000-0000-0000D1380000}"/>
    <cellStyle name="표준 5 2 2 4 2 2 13" xfId="32147" xr:uid="{00000000-0005-0000-0000-0000D2380000}"/>
    <cellStyle name="표준 5 2 2 4 2 2 14" xfId="40340" xr:uid="{00000000-0005-0000-0000-0000D3380000}"/>
    <cellStyle name="표준 5 2 2 4 2 2 2" xfId="599" xr:uid="{00000000-0005-0000-0000-0000D4380000}"/>
    <cellStyle name="표준 5 2 2 4 2 2 2 10" xfId="19968" xr:uid="{00000000-0005-0000-0000-0000D5380000}"/>
    <cellStyle name="표준 5 2 2 4 2 2 2 11" xfId="24064" xr:uid="{00000000-0005-0000-0000-0000D6380000}"/>
    <cellStyle name="표준 5 2 2 4 2 2 2 12" xfId="32275" xr:uid="{00000000-0005-0000-0000-0000D7380000}"/>
    <cellStyle name="표준 5 2 2 4 2 2 2 13" xfId="40468" xr:uid="{00000000-0005-0000-0000-0000D8380000}"/>
    <cellStyle name="표준 5 2 2 4 2 2 2 2" xfId="855" xr:uid="{00000000-0005-0000-0000-0000D9380000}"/>
    <cellStyle name="표준 5 2 2 4 2 2 2 2 10" xfId="24320" xr:uid="{00000000-0005-0000-0000-0000DA380000}"/>
    <cellStyle name="표준 5 2 2 4 2 2 2 2 11" xfId="32531" xr:uid="{00000000-0005-0000-0000-0000DB380000}"/>
    <cellStyle name="표준 5 2 2 4 2 2 2 2 12" xfId="40724" xr:uid="{00000000-0005-0000-0000-0000DC380000}"/>
    <cellStyle name="표준 5 2 2 4 2 2 2 2 2" xfId="1367" xr:uid="{00000000-0005-0000-0000-0000DD380000}"/>
    <cellStyle name="표준 5 2 2 4 2 2 2 2 2 2" xfId="10270" xr:uid="{00000000-0005-0000-0000-0000DE380000}"/>
    <cellStyle name="표준 5 2 2 4 2 2 2 2 2 2 2" xfId="14382" xr:uid="{00000000-0005-0000-0000-0000DF380000}"/>
    <cellStyle name="표준 5 2 2 4 2 2 2 2 2 2 2 2" xfId="30976" xr:uid="{00000000-0005-0000-0000-0000E0380000}"/>
    <cellStyle name="표준 5 2 2 4 2 2 2 2 2 2 2 3" xfId="39187" xr:uid="{00000000-0005-0000-0000-0000E1380000}"/>
    <cellStyle name="표준 5 2 2 4 2 2 2 2 2 2 2 4" xfId="47380" xr:uid="{00000000-0005-0000-0000-0000E2380000}"/>
    <cellStyle name="표준 5 2 2 4 2 2 2 2 2 2 3" xfId="18622" xr:uid="{00000000-0005-0000-0000-0000E3380000}"/>
    <cellStyle name="표준 5 2 2 4 2 2 2 2 2 2 4" xfId="22784" xr:uid="{00000000-0005-0000-0000-0000E4380000}"/>
    <cellStyle name="표준 5 2 2 4 2 2 2 2 2 2 5" xfId="26880" xr:uid="{00000000-0005-0000-0000-0000E5380000}"/>
    <cellStyle name="표준 5 2 2 4 2 2 2 2 2 2 6" xfId="35091" xr:uid="{00000000-0005-0000-0000-0000E6380000}"/>
    <cellStyle name="표준 5 2 2 4 2 2 2 2 2 2 7" xfId="43284" xr:uid="{00000000-0005-0000-0000-0000E7380000}"/>
    <cellStyle name="표준 5 2 2 4 2 2 2 2 2 3" xfId="8222" xr:uid="{00000000-0005-0000-0000-0000E8380000}"/>
    <cellStyle name="표준 5 2 2 4 2 2 2 2 2 3 2" xfId="28928" xr:uid="{00000000-0005-0000-0000-0000E9380000}"/>
    <cellStyle name="표준 5 2 2 4 2 2 2 2 2 3 3" xfId="37139" xr:uid="{00000000-0005-0000-0000-0000EA380000}"/>
    <cellStyle name="표준 5 2 2 4 2 2 2 2 2 3 4" xfId="45332" xr:uid="{00000000-0005-0000-0000-0000EB380000}"/>
    <cellStyle name="표준 5 2 2 4 2 2 2 2 2 4" xfId="12334" xr:uid="{00000000-0005-0000-0000-0000EC380000}"/>
    <cellStyle name="표준 5 2 2 4 2 2 2 2 2 5" xfId="16574" xr:uid="{00000000-0005-0000-0000-0000ED380000}"/>
    <cellStyle name="표준 5 2 2 4 2 2 2 2 2 6" xfId="20736" xr:uid="{00000000-0005-0000-0000-0000EE380000}"/>
    <cellStyle name="표준 5 2 2 4 2 2 2 2 2 7" xfId="24832" xr:uid="{00000000-0005-0000-0000-0000EF380000}"/>
    <cellStyle name="표준 5 2 2 4 2 2 2 2 2 8" xfId="33043" xr:uid="{00000000-0005-0000-0000-0000F0380000}"/>
    <cellStyle name="표준 5 2 2 4 2 2 2 2 2 9" xfId="41236" xr:uid="{00000000-0005-0000-0000-0000F1380000}"/>
    <cellStyle name="표준 5 2 2 4 2 2 2 2 3" xfId="1879" xr:uid="{00000000-0005-0000-0000-0000F2380000}"/>
    <cellStyle name="표준 5 2 2 4 2 2 2 2 3 2" xfId="10782" xr:uid="{00000000-0005-0000-0000-0000F3380000}"/>
    <cellStyle name="표준 5 2 2 4 2 2 2 2 3 2 2" xfId="14894" xr:uid="{00000000-0005-0000-0000-0000F4380000}"/>
    <cellStyle name="표준 5 2 2 4 2 2 2 2 3 2 2 2" xfId="31488" xr:uid="{00000000-0005-0000-0000-0000F5380000}"/>
    <cellStyle name="표준 5 2 2 4 2 2 2 2 3 2 2 3" xfId="39699" xr:uid="{00000000-0005-0000-0000-0000F6380000}"/>
    <cellStyle name="표준 5 2 2 4 2 2 2 2 3 2 2 4" xfId="47892" xr:uid="{00000000-0005-0000-0000-0000F7380000}"/>
    <cellStyle name="표준 5 2 2 4 2 2 2 2 3 2 3" xfId="19134" xr:uid="{00000000-0005-0000-0000-0000F8380000}"/>
    <cellStyle name="표준 5 2 2 4 2 2 2 2 3 2 4" xfId="23296" xr:uid="{00000000-0005-0000-0000-0000F9380000}"/>
    <cellStyle name="표준 5 2 2 4 2 2 2 2 3 2 5" xfId="27392" xr:uid="{00000000-0005-0000-0000-0000FA380000}"/>
    <cellStyle name="표준 5 2 2 4 2 2 2 2 3 2 6" xfId="35603" xr:uid="{00000000-0005-0000-0000-0000FB380000}"/>
    <cellStyle name="표준 5 2 2 4 2 2 2 2 3 2 7" xfId="43796" xr:uid="{00000000-0005-0000-0000-0000FC380000}"/>
    <cellStyle name="표준 5 2 2 4 2 2 2 2 3 3" xfId="8734" xr:uid="{00000000-0005-0000-0000-0000FD380000}"/>
    <cellStyle name="표준 5 2 2 4 2 2 2 2 3 3 2" xfId="29440" xr:uid="{00000000-0005-0000-0000-0000FE380000}"/>
    <cellStyle name="표준 5 2 2 4 2 2 2 2 3 3 3" xfId="37651" xr:uid="{00000000-0005-0000-0000-0000FF380000}"/>
    <cellStyle name="표준 5 2 2 4 2 2 2 2 3 3 4" xfId="45844" xr:uid="{00000000-0005-0000-0000-000000390000}"/>
    <cellStyle name="표준 5 2 2 4 2 2 2 2 3 4" xfId="12846" xr:uid="{00000000-0005-0000-0000-000001390000}"/>
    <cellStyle name="표준 5 2 2 4 2 2 2 2 3 5" xfId="17086" xr:uid="{00000000-0005-0000-0000-000002390000}"/>
    <cellStyle name="표준 5 2 2 4 2 2 2 2 3 6" xfId="21248" xr:uid="{00000000-0005-0000-0000-000003390000}"/>
    <cellStyle name="표준 5 2 2 4 2 2 2 2 3 7" xfId="25344" xr:uid="{00000000-0005-0000-0000-000004390000}"/>
    <cellStyle name="표준 5 2 2 4 2 2 2 2 3 8" xfId="33555" xr:uid="{00000000-0005-0000-0000-000005390000}"/>
    <cellStyle name="표준 5 2 2 4 2 2 2 2 3 9" xfId="41748" xr:uid="{00000000-0005-0000-0000-000006390000}"/>
    <cellStyle name="표준 5 2 2 4 2 2 2 2 4" xfId="2391" xr:uid="{00000000-0005-0000-0000-000007390000}"/>
    <cellStyle name="표준 5 2 2 4 2 2 2 2 4 2" xfId="11294" xr:uid="{00000000-0005-0000-0000-000008390000}"/>
    <cellStyle name="표준 5 2 2 4 2 2 2 2 4 2 2" xfId="15406" xr:uid="{00000000-0005-0000-0000-000009390000}"/>
    <cellStyle name="표준 5 2 2 4 2 2 2 2 4 2 2 2" xfId="32000" xr:uid="{00000000-0005-0000-0000-00000A390000}"/>
    <cellStyle name="표준 5 2 2 4 2 2 2 2 4 2 2 3" xfId="40211" xr:uid="{00000000-0005-0000-0000-00000B390000}"/>
    <cellStyle name="표준 5 2 2 4 2 2 2 2 4 2 2 4" xfId="48404" xr:uid="{00000000-0005-0000-0000-00000C390000}"/>
    <cellStyle name="표준 5 2 2 4 2 2 2 2 4 2 3" xfId="19646" xr:uid="{00000000-0005-0000-0000-00000D390000}"/>
    <cellStyle name="표준 5 2 2 4 2 2 2 2 4 2 4" xfId="23808" xr:uid="{00000000-0005-0000-0000-00000E390000}"/>
    <cellStyle name="표준 5 2 2 4 2 2 2 2 4 2 5" xfId="27904" xr:uid="{00000000-0005-0000-0000-00000F390000}"/>
    <cellStyle name="표준 5 2 2 4 2 2 2 2 4 2 6" xfId="36115" xr:uid="{00000000-0005-0000-0000-000010390000}"/>
    <cellStyle name="표준 5 2 2 4 2 2 2 2 4 2 7" xfId="44308" xr:uid="{00000000-0005-0000-0000-000011390000}"/>
    <cellStyle name="표준 5 2 2 4 2 2 2 2 4 3" xfId="9246" xr:uid="{00000000-0005-0000-0000-000012390000}"/>
    <cellStyle name="표준 5 2 2 4 2 2 2 2 4 3 2" xfId="29952" xr:uid="{00000000-0005-0000-0000-000013390000}"/>
    <cellStyle name="표준 5 2 2 4 2 2 2 2 4 3 3" xfId="38163" xr:uid="{00000000-0005-0000-0000-000014390000}"/>
    <cellStyle name="표준 5 2 2 4 2 2 2 2 4 3 4" xfId="46356" xr:uid="{00000000-0005-0000-0000-000015390000}"/>
    <cellStyle name="표준 5 2 2 4 2 2 2 2 4 4" xfId="13358" xr:uid="{00000000-0005-0000-0000-000016390000}"/>
    <cellStyle name="표준 5 2 2 4 2 2 2 2 4 5" xfId="17598" xr:uid="{00000000-0005-0000-0000-000017390000}"/>
    <cellStyle name="표준 5 2 2 4 2 2 2 2 4 6" xfId="21760" xr:uid="{00000000-0005-0000-0000-000018390000}"/>
    <cellStyle name="표준 5 2 2 4 2 2 2 2 4 7" xfId="25856" xr:uid="{00000000-0005-0000-0000-000019390000}"/>
    <cellStyle name="표준 5 2 2 4 2 2 2 2 4 8" xfId="34067" xr:uid="{00000000-0005-0000-0000-00001A390000}"/>
    <cellStyle name="표준 5 2 2 4 2 2 2 2 4 9" xfId="42260" xr:uid="{00000000-0005-0000-0000-00001B390000}"/>
    <cellStyle name="표준 5 2 2 4 2 2 2 2 5" xfId="9758" xr:uid="{00000000-0005-0000-0000-00001C390000}"/>
    <cellStyle name="표준 5 2 2 4 2 2 2 2 5 2" xfId="13870" xr:uid="{00000000-0005-0000-0000-00001D390000}"/>
    <cellStyle name="표준 5 2 2 4 2 2 2 2 5 2 2" xfId="30464" xr:uid="{00000000-0005-0000-0000-00001E390000}"/>
    <cellStyle name="표준 5 2 2 4 2 2 2 2 5 2 3" xfId="38675" xr:uid="{00000000-0005-0000-0000-00001F390000}"/>
    <cellStyle name="표준 5 2 2 4 2 2 2 2 5 2 4" xfId="46868" xr:uid="{00000000-0005-0000-0000-000020390000}"/>
    <cellStyle name="표준 5 2 2 4 2 2 2 2 5 3" xfId="18110" xr:uid="{00000000-0005-0000-0000-000021390000}"/>
    <cellStyle name="표준 5 2 2 4 2 2 2 2 5 4" xfId="22272" xr:uid="{00000000-0005-0000-0000-000022390000}"/>
    <cellStyle name="표준 5 2 2 4 2 2 2 2 5 5" xfId="26368" xr:uid="{00000000-0005-0000-0000-000023390000}"/>
    <cellStyle name="표준 5 2 2 4 2 2 2 2 5 6" xfId="34579" xr:uid="{00000000-0005-0000-0000-000024390000}"/>
    <cellStyle name="표준 5 2 2 4 2 2 2 2 5 7" xfId="42772" xr:uid="{00000000-0005-0000-0000-000025390000}"/>
    <cellStyle name="표준 5 2 2 4 2 2 2 2 6" xfId="7710" xr:uid="{00000000-0005-0000-0000-000026390000}"/>
    <cellStyle name="표준 5 2 2 4 2 2 2 2 6 2" xfId="28416" xr:uid="{00000000-0005-0000-0000-000027390000}"/>
    <cellStyle name="표준 5 2 2 4 2 2 2 2 6 3" xfId="36627" xr:uid="{00000000-0005-0000-0000-000028390000}"/>
    <cellStyle name="표준 5 2 2 4 2 2 2 2 6 4" xfId="44820" xr:uid="{00000000-0005-0000-0000-000029390000}"/>
    <cellStyle name="표준 5 2 2 4 2 2 2 2 7" xfId="11822" xr:uid="{00000000-0005-0000-0000-00002A390000}"/>
    <cellStyle name="표준 5 2 2 4 2 2 2 2 8" xfId="16062" xr:uid="{00000000-0005-0000-0000-00002B390000}"/>
    <cellStyle name="표준 5 2 2 4 2 2 2 2 9" xfId="20224" xr:uid="{00000000-0005-0000-0000-00002C390000}"/>
    <cellStyle name="표준 5 2 2 4 2 2 2 3" xfId="1111" xr:uid="{00000000-0005-0000-0000-00002D390000}"/>
    <cellStyle name="표준 5 2 2 4 2 2 2 3 2" xfId="10014" xr:uid="{00000000-0005-0000-0000-00002E390000}"/>
    <cellStyle name="표준 5 2 2 4 2 2 2 3 2 2" xfId="14126" xr:uid="{00000000-0005-0000-0000-00002F390000}"/>
    <cellStyle name="표준 5 2 2 4 2 2 2 3 2 2 2" xfId="30720" xr:uid="{00000000-0005-0000-0000-000030390000}"/>
    <cellStyle name="표준 5 2 2 4 2 2 2 3 2 2 3" xfId="38931" xr:uid="{00000000-0005-0000-0000-000031390000}"/>
    <cellStyle name="표준 5 2 2 4 2 2 2 3 2 2 4" xfId="47124" xr:uid="{00000000-0005-0000-0000-000032390000}"/>
    <cellStyle name="표준 5 2 2 4 2 2 2 3 2 3" xfId="18366" xr:uid="{00000000-0005-0000-0000-000033390000}"/>
    <cellStyle name="표준 5 2 2 4 2 2 2 3 2 4" xfId="22528" xr:uid="{00000000-0005-0000-0000-000034390000}"/>
    <cellStyle name="표준 5 2 2 4 2 2 2 3 2 5" xfId="26624" xr:uid="{00000000-0005-0000-0000-000035390000}"/>
    <cellStyle name="표준 5 2 2 4 2 2 2 3 2 6" xfId="34835" xr:uid="{00000000-0005-0000-0000-000036390000}"/>
    <cellStyle name="표준 5 2 2 4 2 2 2 3 2 7" xfId="43028" xr:uid="{00000000-0005-0000-0000-000037390000}"/>
    <cellStyle name="표준 5 2 2 4 2 2 2 3 3" xfId="7966" xr:uid="{00000000-0005-0000-0000-000038390000}"/>
    <cellStyle name="표준 5 2 2 4 2 2 2 3 3 2" xfId="28672" xr:uid="{00000000-0005-0000-0000-000039390000}"/>
    <cellStyle name="표준 5 2 2 4 2 2 2 3 3 3" xfId="36883" xr:uid="{00000000-0005-0000-0000-00003A390000}"/>
    <cellStyle name="표준 5 2 2 4 2 2 2 3 3 4" xfId="45076" xr:uid="{00000000-0005-0000-0000-00003B390000}"/>
    <cellStyle name="표준 5 2 2 4 2 2 2 3 4" xfId="12078" xr:uid="{00000000-0005-0000-0000-00003C390000}"/>
    <cellStyle name="표준 5 2 2 4 2 2 2 3 5" xfId="16318" xr:uid="{00000000-0005-0000-0000-00003D390000}"/>
    <cellStyle name="표준 5 2 2 4 2 2 2 3 6" xfId="20480" xr:uid="{00000000-0005-0000-0000-00003E390000}"/>
    <cellStyle name="표준 5 2 2 4 2 2 2 3 7" xfId="24576" xr:uid="{00000000-0005-0000-0000-00003F390000}"/>
    <cellStyle name="표준 5 2 2 4 2 2 2 3 8" xfId="32787" xr:uid="{00000000-0005-0000-0000-000040390000}"/>
    <cellStyle name="표준 5 2 2 4 2 2 2 3 9" xfId="40980" xr:uid="{00000000-0005-0000-0000-000041390000}"/>
    <cellStyle name="표준 5 2 2 4 2 2 2 4" xfId="1623" xr:uid="{00000000-0005-0000-0000-000042390000}"/>
    <cellStyle name="표준 5 2 2 4 2 2 2 4 2" xfId="10526" xr:uid="{00000000-0005-0000-0000-000043390000}"/>
    <cellStyle name="표준 5 2 2 4 2 2 2 4 2 2" xfId="14638" xr:uid="{00000000-0005-0000-0000-000044390000}"/>
    <cellStyle name="표준 5 2 2 4 2 2 2 4 2 2 2" xfId="31232" xr:uid="{00000000-0005-0000-0000-000045390000}"/>
    <cellStyle name="표준 5 2 2 4 2 2 2 4 2 2 3" xfId="39443" xr:uid="{00000000-0005-0000-0000-000046390000}"/>
    <cellStyle name="표준 5 2 2 4 2 2 2 4 2 2 4" xfId="47636" xr:uid="{00000000-0005-0000-0000-000047390000}"/>
    <cellStyle name="표준 5 2 2 4 2 2 2 4 2 3" xfId="18878" xr:uid="{00000000-0005-0000-0000-000048390000}"/>
    <cellStyle name="표준 5 2 2 4 2 2 2 4 2 4" xfId="23040" xr:uid="{00000000-0005-0000-0000-000049390000}"/>
    <cellStyle name="표준 5 2 2 4 2 2 2 4 2 5" xfId="27136" xr:uid="{00000000-0005-0000-0000-00004A390000}"/>
    <cellStyle name="표준 5 2 2 4 2 2 2 4 2 6" xfId="35347" xr:uid="{00000000-0005-0000-0000-00004B390000}"/>
    <cellStyle name="표준 5 2 2 4 2 2 2 4 2 7" xfId="43540" xr:uid="{00000000-0005-0000-0000-00004C390000}"/>
    <cellStyle name="표준 5 2 2 4 2 2 2 4 3" xfId="8478" xr:uid="{00000000-0005-0000-0000-00004D390000}"/>
    <cellStyle name="표준 5 2 2 4 2 2 2 4 3 2" xfId="29184" xr:uid="{00000000-0005-0000-0000-00004E390000}"/>
    <cellStyle name="표준 5 2 2 4 2 2 2 4 3 3" xfId="37395" xr:uid="{00000000-0005-0000-0000-00004F390000}"/>
    <cellStyle name="표준 5 2 2 4 2 2 2 4 3 4" xfId="45588" xr:uid="{00000000-0005-0000-0000-000050390000}"/>
    <cellStyle name="표준 5 2 2 4 2 2 2 4 4" xfId="12590" xr:uid="{00000000-0005-0000-0000-000051390000}"/>
    <cellStyle name="표준 5 2 2 4 2 2 2 4 5" xfId="16830" xr:uid="{00000000-0005-0000-0000-000052390000}"/>
    <cellStyle name="표준 5 2 2 4 2 2 2 4 6" xfId="20992" xr:uid="{00000000-0005-0000-0000-000053390000}"/>
    <cellStyle name="표준 5 2 2 4 2 2 2 4 7" xfId="25088" xr:uid="{00000000-0005-0000-0000-000054390000}"/>
    <cellStyle name="표준 5 2 2 4 2 2 2 4 8" xfId="33299" xr:uid="{00000000-0005-0000-0000-000055390000}"/>
    <cellStyle name="표준 5 2 2 4 2 2 2 4 9" xfId="41492" xr:uid="{00000000-0005-0000-0000-000056390000}"/>
    <cellStyle name="표준 5 2 2 4 2 2 2 5" xfId="2135" xr:uid="{00000000-0005-0000-0000-000057390000}"/>
    <cellStyle name="표준 5 2 2 4 2 2 2 5 2" xfId="11038" xr:uid="{00000000-0005-0000-0000-000058390000}"/>
    <cellStyle name="표준 5 2 2 4 2 2 2 5 2 2" xfId="15150" xr:uid="{00000000-0005-0000-0000-000059390000}"/>
    <cellStyle name="표준 5 2 2 4 2 2 2 5 2 2 2" xfId="31744" xr:uid="{00000000-0005-0000-0000-00005A390000}"/>
    <cellStyle name="표준 5 2 2 4 2 2 2 5 2 2 3" xfId="39955" xr:uid="{00000000-0005-0000-0000-00005B390000}"/>
    <cellStyle name="표준 5 2 2 4 2 2 2 5 2 2 4" xfId="48148" xr:uid="{00000000-0005-0000-0000-00005C390000}"/>
    <cellStyle name="표준 5 2 2 4 2 2 2 5 2 3" xfId="19390" xr:uid="{00000000-0005-0000-0000-00005D390000}"/>
    <cellStyle name="표준 5 2 2 4 2 2 2 5 2 4" xfId="23552" xr:uid="{00000000-0005-0000-0000-00005E390000}"/>
    <cellStyle name="표준 5 2 2 4 2 2 2 5 2 5" xfId="27648" xr:uid="{00000000-0005-0000-0000-00005F390000}"/>
    <cellStyle name="표준 5 2 2 4 2 2 2 5 2 6" xfId="35859" xr:uid="{00000000-0005-0000-0000-000060390000}"/>
    <cellStyle name="표준 5 2 2 4 2 2 2 5 2 7" xfId="44052" xr:uid="{00000000-0005-0000-0000-000061390000}"/>
    <cellStyle name="표준 5 2 2 4 2 2 2 5 3" xfId="8990" xr:uid="{00000000-0005-0000-0000-000062390000}"/>
    <cellStyle name="표준 5 2 2 4 2 2 2 5 3 2" xfId="29696" xr:uid="{00000000-0005-0000-0000-000063390000}"/>
    <cellStyle name="표준 5 2 2 4 2 2 2 5 3 3" xfId="37907" xr:uid="{00000000-0005-0000-0000-000064390000}"/>
    <cellStyle name="표준 5 2 2 4 2 2 2 5 3 4" xfId="46100" xr:uid="{00000000-0005-0000-0000-000065390000}"/>
    <cellStyle name="표준 5 2 2 4 2 2 2 5 4" xfId="13102" xr:uid="{00000000-0005-0000-0000-000066390000}"/>
    <cellStyle name="표준 5 2 2 4 2 2 2 5 5" xfId="17342" xr:uid="{00000000-0005-0000-0000-000067390000}"/>
    <cellStyle name="표준 5 2 2 4 2 2 2 5 6" xfId="21504" xr:uid="{00000000-0005-0000-0000-000068390000}"/>
    <cellStyle name="표준 5 2 2 4 2 2 2 5 7" xfId="25600" xr:uid="{00000000-0005-0000-0000-000069390000}"/>
    <cellStyle name="표준 5 2 2 4 2 2 2 5 8" xfId="33811" xr:uid="{00000000-0005-0000-0000-00006A390000}"/>
    <cellStyle name="표준 5 2 2 4 2 2 2 5 9" xfId="42004" xr:uid="{00000000-0005-0000-0000-00006B390000}"/>
    <cellStyle name="표준 5 2 2 4 2 2 2 6" xfId="9502" xr:uid="{00000000-0005-0000-0000-00006C390000}"/>
    <cellStyle name="표준 5 2 2 4 2 2 2 6 2" xfId="13614" xr:uid="{00000000-0005-0000-0000-00006D390000}"/>
    <cellStyle name="표준 5 2 2 4 2 2 2 6 2 2" xfId="30208" xr:uid="{00000000-0005-0000-0000-00006E390000}"/>
    <cellStyle name="표준 5 2 2 4 2 2 2 6 2 3" xfId="38419" xr:uid="{00000000-0005-0000-0000-00006F390000}"/>
    <cellStyle name="표준 5 2 2 4 2 2 2 6 2 4" xfId="46612" xr:uid="{00000000-0005-0000-0000-000070390000}"/>
    <cellStyle name="표준 5 2 2 4 2 2 2 6 3" xfId="17854" xr:uid="{00000000-0005-0000-0000-000071390000}"/>
    <cellStyle name="표준 5 2 2 4 2 2 2 6 4" xfId="22016" xr:uid="{00000000-0005-0000-0000-000072390000}"/>
    <cellStyle name="표준 5 2 2 4 2 2 2 6 5" xfId="26112" xr:uid="{00000000-0005-0000-0000-000073390000}"/>
    <cellStyle name="표준 5 2 2 4 2 2 2 6 6" xfId="34323" xr:uid="{00000000-0005-0000-0000-000074390000}"/>
    <cellStyle name="표준 5 2 2 4 2 2 2 6 7" xfId="42516" xr:uid="{00000000-0005-0000-0000-000075390000}"/>
    <cellStyle name="표준 5 2 2 4 2 2 2 7" xfId="7454" xr:uid="{00000000-0005-0000-0000-000076390000}"/>
    <cellStyle name="표준 5 2 2 4 2 2 2 7 2" xfId="28160" xr:uid="{00000000-0005-0000-0000-000077390000}"/>
    <cellStyle name="표준 5 2 2 4 2 2 2 7 3" xfId="36371" xr:uid="{00000000-0005-0000-0000-000078390000}"/>
    <cellStyle name="표준 5 2 2 4 2 2 2 7 4" xfId="44564" xr:uid="{00000000-0005-0000-0000-000079390000}"/>
    <cellStyle name="표준 5 2 2 4 2 2 2 8" xfId="11566" xr:uid="{00000000-0005-0000-0000-00007A390000}"/>
    <cellStyle name="표준 5 2 2 4 2 2 2 9" xfId="15806" xr:uid="{00000000-0005-0000-0000-00007B390000}"/>
    <cellStyle name="표준 5 2 2 4 2 2 3" xfId="727" xr:uid="{00000000-0005-0000-0000-00007C390000}"/>
    <cellStyle name="표준 5 2 2 4 2 2 3 10" xfId="24192" xr:uid="{00000000-0005-0000-0000-00007D390000}"/>
    <cellStyle name="표준 5 2 2 4 2 2 3 11" xfId="32403" xr:uid="{00000000-0005-0000-0000-00007E390000}"/>
    <cellStyle name="표준 5 2 2 4 2 2 3 12" xfId="40596" xr:uid="{00000000-0005-0000-0000-00007F390000}"/>
    <cellStyle name="표준 5 2 2 4 2 2 3 2" xfId="1239" xr:uid="{00000000-0005-0000-0000-000080390000}"/>
    <cellStyle name="표준 5 2 2 4 2 2 3 2 2" xfId="10142" xr:uid="{00000000-0005-0000-0000-000081390000}"/>
    <cellStyle name="표준 5 2 2 4 2 2 3 2 2 2" xfId="14254" xr:uid="{00000000-0005-0000-0000-000082390000}"/>
    <cellStyle name="표준 5 2 2 4 2 2 3 2 2 2 2" xfId="30848" xr:uid="{00000000-0005-0000-0000-000083390000}"/>
    <cellStyle name="표준 5 2 2 4 2 2 3 2 2 2 3" xfId="39059" xr:uid="{00000000-0005-0000-0000-000084390000}"/>
    <cellStyle name="표준 5 2 2 4 2 2 3 2 2 2 4" xfId="47252" xr:uid="{00000000-0005-0000-0000-000085390000}"/>
    <cellStyle name="표준 5 2 2 4 2 2 3 2 2 3" xfId="18494" xr:uid="{00000000-0005-0000-0000-000086390000}"/>
    <cellStyle name="표준 5 2 2 4 2 2 3 2 2 4" xfId="22656" xr:uid="{00000000-0005-0000-0000-000087390000}"/>
    <cellStyle name="표준 5 2 2 4 2 2 3 2 2 5" xfId="26752" xr:uid="{00000000-0005-0000-0000-000088390000}"/>
    <cellStyle name="표준 5 2 2 4 2 2 3 2 2 6" xfId="34963" xr:uid="{00000000-0005-0000-0000-000089390000}"/>
    <cellStyle name="표준 5 2 2 4 2 2 3 2 2 7" xfId="43156" xr:uid="{00000000-0005-0000-0000-00008A390000}"/>
    <cellStyle name="표준 5 2 2 4 2 2 3 2 3" xfId="8094" xr:uid="{00000000-0005-0000-0000-00008B390000}"/>
    <cellStyle name="표준 5 2 2 4 2 2 3 2 3 2" xfId="28800" xr:uid="{00000000-0005-0000-0000-00008C390000}"/>
    <cellStyle name="표준 5 2 2 4 2 2 3 2 3 3" xfId="37011" xr:uid="{00000000-0005-0000-0000-00008D390000}"/>
    <cellStyle name="표준 5 2 2 4 2 2 3 2 3 4" xfId="45204" xr:uid="{00000000-0005-0000-0000-00008E390000}"/>
    <cellStyle name="표준 5 2 2 4 2 2 3 2 4" xfId="12206" xr:uid="{00000000-0005-0000-0000-00008F390000}"/>
    <cellStyle name="표준 5 2 2 4 2 2 3 2 5" xfId="16446" xr:uid="{00000000-0005-0000-0000-000090390000}"/>
    <cellStyle name="표준 5 2 2 4 2 2 3 2 6" xfId="20608" xr:uid="{00000000-0005-0000-0000-000091390000}"/>
    <cellStyle name="표준 5 2 2 4 2 2 3 2 7" xfId="24704" xr:uid="{00000000-0005-0000-0000-000092390000}"/>
    <cellStyle name="표준 5 2 2 4 2 2 3 2 8" xfId="32915" xr:uid="{00000000-0005-0000-0000-000093390000}"/>
    <cellStyle name="표준 5 2 2 4 2 2 3 2 9" xfId="41108" xr:uid="{00000000-0005-0000-0000-000094390000}"/>
    <cellStyle name="표준 5 2 2 4 2 2 3 3" xfId="1751" xr:uid="{00000000-0005-0000-0000-000095390000}"/>
    <cellStyle name="표준 5 2 2 4 2 2 3 3 2" xfId="10654" xr:uid="{00000000-0005-0000-0000-000096390000}"/>
    <cellStyle name="표준 5 2 2 4 2 2 3 3 2 2" xfId="14766" xr:uid="{00000000-0005-0000-0000-000097390000}"/>
    <cellStyle name="표준 5 2 2 4 2 2 3 3 2 2 2" xfId="31360" xr:uid="{00000000-0005-0000-0000-000098390000}"/>
    <cellStyle name="표준 5 2 2 4 2 2 3 3 2 2 3" xfId="39571" xr:uid="{00000000-0005-0000-0000-000099390000}"/>
    <cellStyle name="표준 5 2 2 4 2 2 3 3 2 2 4" xfId="47764" xr:uid="{00000000-0005-0000-0000-00009A390000}"/>
    <cellStyle name="표준 5 2 2 4 2 2 3 3 2 3" xfId="19006" xr:uid="{00000000-0005-0000-0000-00009B390000}"/>
    <cellStyle name="표준 5 2 2 4 2 2 3 3 2 4" xfId="23168" xr:uid="{00000000-0005-0000-0000-00009C390000}"/>
    <cellStyle name="표준 5 2 2 4 2 2 3 3 2 5" xfId="27264" xr:uid="{00000000-0005-0000-0000-00009D390000}"/>
    <cellStyle name="표준 5 2 2 4 2 2 3 3 2 6" xfId="35475" xr:uid="{00000000-0005-0000-0000-00009E390000}"/>
    <cellStyle name="표준 5 2 2 4 2 2 3 3 2 7" xfId="43668" xr:uid="{00000000-0005-0000-0000-00009F390000}"/>
    <cellStyle name="표준 5 2 2 4 2 2 3 3 3" xfId="8606" xr:uid="{00000000-0005-0000-0000-0000A0390000}"/>
    <cellStyle name="표준 5 2 2 4 2 2 3 3 3 2" xfId="29312" xr:uid="{00000000-0005-0000-0000-0000A1390000}"/>
    <cellStyle name="표준 5 2 2 4 2 2 3 3 3 3" xfId="37523" xr:uid="{00000000-0005-0000-0000-0000A2390000}"/>
    <cellStyle name="표준 5 2 2 4 2 2 3 3 3 4" xfId="45716" xr:uid="{00000000-0005-0000-0000-0000A3390000}"/>
    <cellStyle name="표준 5 2 2 4 2 2 3 3 4" xfId="12718" xr:uid="{00000000-0005-0000-0000-0000A4390000}"/>
    <cellStyle name="표준 5 2 2 4 2 2 3 3 5" xfId="16958" xr:uid="{00000000-0005-0000-0000-0000A5390000}"/>
    <cellStyle name="표준 5 2 2 4 2 2 3 3 6" xfId="21120" xr:uid="{00000000-0005-0000-0000-0000A6390000}"/>
    <cellStyle name="표준 5 2 2 4 2 2 3 3 7" xfId="25216" xr:uid="{00000000-0005-0000-0000-0000A7390000}"/>
    <cellStyle name="표준 5 2 2 4 2 2 3 3 8" xfId="33427" xr:uid="{00000000-0005-0000-0000-0000A8390000}"/>
    <cellStyle name="표준 5 2 2 4 2 2 3 3 9" xfId="41620" xr:uid="{00000000-0005-0000-0000-0000A9390000}"/>
    <cellStyle name="표준 5 2 2 4 2 2 3 4" xfId="2263" xr:uid="{00000000-0005-0000-0000-0000AA390000}"/>
    <cellStyle name="표준 5 2 2 4 2 2 3 4 2" xfId="11166" xr:uid="{00000000-0005-0000-0000-0000AB390000}"/>
    <cellStyle name="표준 5 2 2 4 2 2 3 4 2 2" xfId="15278" xr:uid="{00000000-0005-0000-0000-0000AC390000}"/>
    <cellStyle name="표준 5 2 2 4 2 2 3 4 2 2 2" xfId="31872" xr:uid="{00000000-0005-0000-0000-0000AD390000}"/>
    <cellStyle name="표준 5 2 2 4 2 2 3 4 2 2 3" xfId="40083" xr:uid="{00000000-0005-0000-0000-0000AE390000}"/>
    <cellStyle name="표준 5 2 2 4 2 2 3 4 2 2 4" xfId="48276" xr:uid="{00000000-0005-0000-0000-0000AF390000}"/>
    <cellStyle name="표준 5 2 2 4 2 2 3 4 2 3" xfId="19518" xr:uid="{00000000-0005-0000-0000-0000B0390000}"/>
    <cellStyle name="표준 5 2 2 4 2 2 3 4 2 4" xfId="23680" xr:uid="{00000000-0005-0000-0000-0000B1390000}"/>
    <cellStyle name="표준 5 2 2 4 2 2 3 4 2 5" xfId="27776" xr:uid="{00000000-0005-0000-0000-0000B2390000}"/>
    <cellStyle name="표준 5 2 2 4 2 2 3 4 2 6" xfId="35987" xr:uid="{00000000-0005-0000-0000-0000B3390000}"/>
    <cellStyle name="표준 5 2 2 4 2 2 3 4 2 7" xfId="44180" xr:uid="{00000000-0005-0000-0000-0000B4390000}"/>
    <cellStyle name="표준 5 2 2 4 2 2 3 4 3" xfId="9118" xr:uid="{00000000-0005-0000-0000-0000B5390000}"/>
    <cellStyle name="표준 5 2 2 4 2 2 3 4 3 2" xfId="29824" xr:uid="{00000000-0005-0000-0000-0000B6390000}"/>
    <cellStyle name="표준 5 2 2 4 2 2 3 4 3 3" xfId="38035" xr:uid="{00000000-0005-0000-0000-0000B7390000}"/>
    <cellStyle name="표준 5 2 2 4 2 2 3 4 3 4" xfId="46228" xr:uid="{00000000-0005-0000-0000-0000B8390000}"/>
    <cellStyle name="표준 5 2 2 4 2 2 3 4 4" xfId="13230" xr:uid="{00000000-0005-0000-0000-0000B9390000}"/>
    <cellStyle name="표준 5 2 2 4 2 2 3 4 5" xfId="17470" xr:uid="{00000000-0005-0000-0000-0000BA390000}"/>
    <cellStyle name="표준 5 2 2 4 2 2 3 4 6" xfId="21632" xr:uid="{00000000-0005-0000-0000-0000BB390000}"/>
    <cellStyle name="표준 5 2 2 4 2 2 3 4 7" xfId="25728" xr:uid="{00000000-0005-0000-0000-0000BC390000}"/>
    <cellStyle name="표준 5 2 2 4 2 2 3 4 8" xfId="33939" xr:uid="{00000000-0005-0000-0000-0000BD390000}"/>
    <cellStyle name="표준 5 2 2 4 2 2 3 4 9" xfId="42132" xr:uid="{00000000-0005-0000-0000-0000BE390000}"/>
    <cellStyle name="표준 5 2 2 4 2 2 3 5" xfId="9630" xr:uid="{00000000-0005-0000-0000-0000BF390000}"/>
    <cellStyle name="표준 5 2 2 4 2 2 3 5 2" xfId="13742" xr:uid="{00000000-0005-0000-0000-0000C0390000}"/>
    <cellStyle name="표준 5 2 2 4 2 2 3 5 2 2" xfId="30336" xr:uid="{00000000-0005-0000-0000-0000C1390000}"/>
    <cellStyle name="표준 5 2 2 4 2 2 3 5 2 3" xfId="38547" xr:uid="{00000000-0005-0000-0000-0000C2390000}"/>
    <cellStyle name="표준 5 2 2 4 2 2 3 5 2 4" xfId="46740" xr:uid="{00000000-0005-0000-0000-0000C3390000}"/>
    <cellStyle name="표준 5 2 2 4 2 2 3 5 3" xfId="17982" xr:uid="{00000000-0005-0000-0000-0000C4390000}"/>
    <cellStyle name="표준 5 2 2 4 2 2 3 5 4" xfId="22144" xr:uid="{00000000-0005-0000-0000-0000C5390000}"/>
    <cellStyle name="표준 5 2 2 4 2 2 3 5 5" xfId="26240" xr:uid="{00000000-0005-0000-0000-0000C6390000}"/>
    <cellStyle name="표준 5 2 2 4 2 2 3 5 6" xfId="34451" xr:uid="{00000000-0005-0000-0000-0000C7390000}"/>
    <cellStyle name="표준 5 2 2 4 2 2 3 5 7" xfId="42644" xr:uid="{00000000-0005-0000-0000-0000C8390000}"/>
    <cellStyle name="표준 5 2 2 4 2 2 3 6" xfId="7582" xr:uid="{00000000-0005-0000-0000-0000C9390000}"/>
    <cellStyle name="표준 5 2 2 4 2 2 3 6 2" xfId="28288" xr:uid="{00000000-0005-0000-0000-0000CA390000}"/>
    <cellStyle name="표준 5 2 2 4 2 2 3 6 3" xfId="36499" xr:uid="{00000000-0005-0000-0000-0000CB390000}"/>
    <cellStyle name="표준 5 2 2 4 2 2 3 6 4" xfId="44692" xr:uid="{00000000-0005-0000-0000-0000CC390000}"/>
    <cellStyle name="표준 5 2 2 4 2 2 3 7" xfId="11694" xr:uid="{00000000-0005-0000-0000-0000CD390000}"/>
    <cellStyle name="표준 5 2 2 4 2 2 3 8" xfId="15934" xr:uid="{00000000-0005-0000-0000-0000CE390000}"/>
    <cellStyle name="표준 5 2 2 4 2 2 3 9" xfId="20096" xr:uid="{00000000-0005-0000-0000-0000CF390000}"/>
    <cellStyle name="표준 5 2 2 4 2 2 4" xfId="983" xr:uid="{00000000-0005-0000-0000-0000D0390000}"/>
    <cellStyle name="표준 5 2 2 4 2 2 4 2" xfId="9886" xr:uid="{00000000-0005-0000-0000-0000D1390000}"/>
    <cellStyle name="표준 5 2 2 4 2 2 4 2 2" xfId="13998" xr:uid="{00000000-0005-0000-0000-0000D2390000}"/>
    <cellStyle name="표준 5 2 2 4 2 2 4 2 2 2" xfId="30592" xr:uid="{00000000-0005-0000-0000-0000D3390000}"/>
    <cellStyle name="표준 5 2 2 4 2 2 4 2 2 3" xfId="38803" xr:uid="{00000000-0005-0000-0000-0000D4390000}"/>
    <cellStyle name="표준 5 2 2 4 2 2 4 2 2 4" xfId="46996" xr:uid="{00000000-0005-0000-0000-0000D5390000}"/>
    <cellStyle name="표준 5 2 2 4 2 2 4 2 3" xfId="18238" xr:uid="{00000000-0005-0000-0000-0000D6390000}"/>
    <cellStyle name="표준 5 2 2 4 2 2 4 2 4" xfId="22400" xr:uid="{00000000-0005-0000-0000-0000D7390000}"/>
    <cellStyle name="표준 5 2 2 4 2 2 4 2 5" xfId="26496" xr:uid="{00000000-0005-0000-0000-0000D8390000}"/>
    <cellStyle name="표준 5 2 2 4 2 2 4 2 6" xfId="34707" xr:uid="{00000000-0005-0000-0000-0000D9390000}"/>
    <cellStyle name="표준 5 2 2 4 2 2 4 2 7" xfId="42900" xr:uid="{00000000-0005-0000-0000-0000DA390000}"/>
    <cellStyle name="표준 5 2 2 4 2 2 4 3" xfId="7838" xr:uid="{00000000-0005-0000-0000-0000DB390000}"/>
    <cellStyle name="표준 5 2 2 4 2 2 4 3 2" xfId="28544" xr:uid="{00000000-0005-0000-0000-0000DC390000}"/>
    <cellStyle name="표준 5 2 2 4 2 2 4 3 3" xfId="36755" xr:uid="{00000000-0005-0000-0000-0000DD390000}"/>
    <cellStyle name="표준 5 2 2 4 2 2 4 3 4" xfId="44948" xr:uid="{00000000-0005-0000-0000-0000DE390000}"/>
    <cellStyle name="표준 5 2 2 4 2 2 4 4" xfId="11950" xr:uid="{00000000-0005-0000-0000-0000DF390000}"/>
    <cellStyle name="표준 5 2 2 4 2 2 4 5" xfId="16190" xr:uid="{00000000-0005-0000-0000-0000E0390000}"/>
    <cellStyle name="표준 5 2 2 4 2 2 4 6" xfId="20352" xr:uid="{00000000-0005-0000-0000-0000E1390000}"/>
    <cellStyle name="표준 5 2 2 4 2 2 4 7" xfId="24448" xr:uid="{00000000-0005-0000-0000-0000E2390000}"/>
    <cellStyle name="표준 5 2 2 4 2 2 4 8" xfId="32659" xr:uid="{00000000-0005-0000-0000-0000E3390000}"/>
    <cellStyle name="표준 5 2 2 4 2 2 4 9" xfId="40852" xr:uid="{00000000-0005-0000-0000-0000E4390000}"/>
    <cellStyle name="표준 5 2 2 4 2 2 5" xfId="1495" xr:uid="{00000000-0005-0000-0000-0000E5390000}"/>
    <cellStyle name="표준 5 2 2 4 2 2 5 2" xfId="10398" xr:uid="{00000000-0005-0000-0000-0000E6390000}"/>
    <cellStyle name="표준 5 2 2 4 2 2 5 2 2" xfId="14510" xr:uid="{00000000-0005-0000-0000-0000E7390000}"/>
    <cellStyle name="표준 5 2 2 4 2 2 5 2 2 2" xfId="31104" xr:uid="{00000000-0005-0000-0000-0000E8390000}"/>
    <cellStyle name="표준 5 2 2 4 2 2 5 2 2 3" xfId="39315" xr:uid="{00000000-0005-0000-0000-0000E9390000}"/>
    <cellStyle name="표준 5 2 2 4 2 2 5 2 2 4" xfId="47508" xr:uid="{00000000-0005-0000-0000-0000EA390000}"/>
    <cellStyle name="표준 5 2 2 4 2 2 5 2 3" xfId="18750" xr:uid="{00000000-0005-0000-0000-0000EB390000}"/>
    <cellStyle name="표준 5 2 2 4 2 2 5 2 4" xfId="22912" xr:uid="{00000000-0005-0000-0000-0000EC390000}"/>
    <cellStyle name="표준 5 2 2 4 2 2 5 2 5" xfId="27008" xr:uid="{00000000-0005-0000-0000-0000ED390000}"/>
    <cellStyle name="표준 5 2 2 4 2 2 5 2 6" xfId="35219" xr:uid="{00000000-0005-0000-0000-0000EE390000}"/>
    <cellStyle name="표준 5 2 2 4 2 2 5 2 7" xfId="43412" xr:uid="{00000000-0005-0000-0000-0000EF390000}"/>
    <cellStyle name="표준 5 2 2 4 2 2 5 3" xfId="8350" xr:uid="{00000000-0005-0000-0000-0000F0390000}"/>
    <cellStyle name="표준 5 2 2 4 2 2 5 3 2" xfId="29056" xr:uid="{00000000-0005-0000-0000-0000F1390000}"/>
    <cellStyle name="표준 5 2 2 4 2 2 5 3 3" xfId="37267" xr:uid="{00000000-0005-0000-0000-0000F2390000}"/>
    <cellStyle name="표준 5 2 2 4 2 2 5 3 4" xfId="45460" xr:uid="{00000000-0005-0000-0000-0000F3390000}"/>
    <cellStyle name="표준 5 2 2 4 2 2 5 4" xfId="12462" xr:uid="{00000000-0005-0000-0000-0000F4390000}"/>
    <cellStyle name="표준 5 2 2 4 2 2 5 5" xfId="16702" xr:uid="{00000000-0005-0000-0000-0000F5390000}"/>
    <cellStyle name="표준 5 2 2 4 2 2 5 6" xfId="20864" xr:uid="{00000000-0005-0000-0000-0000F6390000}"/>
    <cellStyle name="표준 5 2 2 4 2 2 5 7" xfId="24960" xr:uid="{00000000-0005-0000-0000-0000F7390000}"/>
    <cellStyle name="표준 5 2 2 4 2 2 5 8" xfId="33171" xr:uid="{00000000-0005-0000-0000-0000F8390000}"/>
    <cellStyle name="표준 5 2 2 4 2 2 5 9" xfId="41364" xr:uid="{00000000-0005-0000-0000-0000F9390000}"/>
    <cellStyle name="표준 5 2 2 4 2 2 6" xfId="2007" xr:uid="{00000000-0005-0000-0000-0000FA390000}"/>
    <cellStyle name="표준 5 2 2 4 2 2 6 2" xfId="10910" xr:uid="{00000000-0005-0000-0000-0000FB390000}"/>
    <cellStyle name="표준 5 2 2 4 2 2 6 2 2" xfId="15022" xr:uid="{00000000-0005-0000-0000-0000FC390000}"/>
    <cellStyle name="표준 5 2 2 4 2 2 6 2 2 2" xfId="31616" xr:uid="{00000000-0005-0000-0000-0000FD390000}"/>
    <cellStyle name="표준 5 2 2 4 2 2 6 2 2 3" xfId="39827" xr:uid="{00000000-0005-0000-0000-0000FE390000}"/>
    <cellStyle name="표준 5 2 2 4 2 2 6 2 2 4" xfId="48020" xr:uid="{00000000-0005-0000-0000-0000FF390000}"/>
    <cellStyle name="표준 5 2 2 4 2 2 6 2 3" xfId="19262" xr:uid="{00000000-0005-0000-0000-0000003A0000}"/>
    <cellStyle name="표준 5 2 2 4 2 2 6 2 4" xfId="23424" xr:uid="{00000000-0005-0000-0000-0000013A0000}"/>
    <cellStyle name="표준 5 2 2 4 2 2 6 2 5" xfId="27520" xr:uid="{00000000-0005-0000-0000-0000023A0000}"/>
    <cellStyle name="표준 5 2 2 4 2 2 6 2 6" xfId="35731" xr:uid="{00000000-0005-0000-0000-0000033A0000}"/>
    <cellStyle name="표준 5 2 2 4 2 2 6 2 7" xfId="43924" xr:uid="{00000000-0005-0000-0000-0000043A0000}"/>
    <cellStyle name="표준 5 2 2 4 2 2 6 3" xfId="8862" xr:uid="{00000000-0005-0000-0000-0000053A0000}"/>
    <cellStyle name="표준 5 2 2 4 2 2 6 3 2" xfId="29568" xr:uid="{00000000-0005-0000-0000-0000063A0000}"/>
    <cellStyle name="표준 5 2 2 4 2 2 6 3 3" xfId="37779" xr:uid="{00000000-0005-0000-0000-0000073A0000}"/>
    <cellStyle name="표준 5 2 2 4 2 2 6 3 4" xfId="45972" xr:uid="{00000000-0005-0000-0000-0000083A0000}"/>
    <cellStyle name="표준 5 2 2 4 2 2 6 4" xfId="12974" xr:uid="{00000000-0005-0000-0000-0000093A0000}"/>
    <cellStyle name="표준 5 2 2 4 2 2 6 5" xfId="17214" xr:uid="{00000000-0005-0000-0000-00000A3A0000}"/>
    <cellStyle name="표준 5 2 2 4 2 2 6 6" xfId="21376" xr:uid="{00000000-0005-0000-0000-00000B3A0000}"/>
    <cellStyle name="표준 5 2 2 4 2 2 6 7" xfId="25472" xr:uid="{00000000-0005-0000-0000-00000C3A0000}"/>
    <cellStyle name="표준 5 2 2 4 2 2 6 8" xfId="33683" xr:uid="{00000000-0005-0000-0000-00000D3A0000}"/>
    <cellStyle name="표준 5 2 2 4 2 2 6 9" xfId="41876" xr:uid="{00000000-0005-0000-0000-00000E3A0000}"/>
    <cellStyle name="표준 5 2 2 4 2 2 7" xfId="9374" xr:uid="{00000000-0005-0000-0000-00000F3A0000}"/>
    <cellStyle name="표준 5 2 2 4 2 2 7 2" xfId="13486" xr:uid="{00000000-0005-0000-0000-0000103A0000}"/>
    <cellStyle name="표준 5 2 2 4 2 2 7 2 2" xfId="30080" xr:uid="{00000000-0005-0000-0000-0000113A0000}"/>
    <cellStyle name="표준 5 2 2 4 2 2 7 2 3" xfId="38291" xr:uid="{00000000-0005-0000-0000-0000123A0000}"/>
    <cellStyle name="표준 5 2 2 4 2 2 7 2 4" xfId="46484" xr:uid="{00000000-0005-0000-0000-0000133A0000}"/>
    <cellStyle name="표준 5 2 2 4 2 2 7 3" xfId="17726" xr:uid="{00000000-0005-0000-0000-0000143A0000}"/>
    <cellStyle name="표준 5 2 2 4 2 2 7 4" xfId="21888" xr:uid="{00000000-0005-0000-0000-0000153A0000}"/>
    <cellStyle name="표준 5 2 2 4 2 2 7 5" xfId="25984" xr:uid="{00000000-0005-0000-0000-0000163A0000}"/>
    <cellStyle name="표준 5 2 2 4 2 2 7 6" xfId="34195" xr:uid="{00000000-0005-0000-0000-0000173A0000}"/>
    <cellStyle name="표준 5 2 2 4 2 2 7 7" xfId="42388" xr:uid="{00000000-0005-0000-0000-0000183A0000}"/>
    <cellStyle name="표준 5 2 2 4 2 2 8" xfId="7326" xr:uid="{00000000-0005-0000-0000-0000193A0000}"/>
    <cellStyle name="표준 5 2 2 4 2 2 8 2" xfId="28032" xr:uid="{00000000-0005-0000-0000-00001A3A0000}"/>
    <cellStyle name="표준 5 2 2 4 2 2 8 3" xfId="36243" xr:uid="{00000000-0005-0000-0000-00001B3A0000}"/>
    <cellStyle name="표준 5 2 2 4 2 2 8 4" xfId="44436" xr:uid="{00000000-0005-0000-0000-00001C3A0000}"/>
    <cellStyle name="표준 5 2 2 4 2 2 9" xfId="11438" xr:uid="{00000000-0005-0000-0000-00001D3A0000}"/>
    <cellStyle name="표준 5 2 2 4 2 3" xfId="535" xr:uid="{00000000-0005-0000-0000-00001E3A0000}"/>
    <cellStyle name="표준 5 2 2 4 2 3 10" xfId="19904" xr:uid="{00000000-0005-0000-0000-00001F3A0000}"/>
    <cellStyle name="표준 5 2 2 4 2 3 11" xfId="24000" xr:uid="{00000000-0005-0000-0000-0000203A0000}"/>
    <cellStyle name="표준 5 2 2 4 2 3 12" xfId="32211" xr:uid="{00000000-0005-0000-0000-0000213A0000}"/>
    <cellStyle name="표준 5 2 2 4 2 3 13" xfId="40404" xr:uid="{00000000-0005-0000-0000-0000223A0000}"/>
    <cellStyle name="표준 5 2 2 4 2 3 2" xfId="791" xr:uid="{00000000-0005-0000-0000-0000233A0000}"/>
    <cellStyle name="표준 5 2 2 4 2 3 2 10" xfId="24256" xr:uid="{00000000-0005-0000-0000-0000243A0000}"/>
    <cellStyle name="표준 5 2 2 4 2 3 2 11" xfId="32467" xr:uid="{00000000-0005-0000-0000-0000253A0000}"/>
    <cellStyle name="표준 5 2 2 4 2 3 2 12" xfId="40660" xr:uid="{00000000-0005-0000-0000-0000263A0000}"/>
    <cellStyle name="표준 5 2 2 4 2 3 2 2" xfId="1303" xr:uid="{00000000-0005-0000-0000-0000273A0000}"/>
    <cellStyle name="표준 5 2 2 4 2 3 2 2 2" xfId="10206" xr:uid="{00000000-0005-0000-0000-0000283A0000}"/>
    <cellStyle name="표준 5 2 2 4 2 3 2 2 2 2" xfId="14318" xr:uid="{00000000-0005-0000-0000-0000293A0000}"/>
    <cellStyle name="표준 5 2 2 4 2 3 2 2 2 2 2" xfId="30912" xr:uid="{00000000-0005-0000-0000-00002A3A0000}"/>
    <cellStyle name="표준 5 2 2 4 2 3 2 2 2 2 3" xfId="39123" xr:uid="{00000000-0005-0000-0000-00002B3A0000}"/>
    <cellStyle name="표준 5 2 2 4 2 3 2 2 2 2 4" xfId="47316" xr:uid="{00000000-0005-0000-0000-00002C3A0000}"/>
    <cellStyle name="표준 5 2 2 4 2 3 2 2 2 3" xfId="18558" xr:uid="{00000000-0005-0000-0000-00002D3A0000}"/>
    <cellStyle name="표준 5 2 2 4 2 3 2 2 2 4" xfId="22720" xr:uid="{00000000-0005-0000-0000-00002E3A0000}"/>
    <cellStyle name="표준 5 2 2 4 2 3 2 2 2 5" xfId="26816" xr:uid="{00000000-0005-0000-0000-00002F3A0000}"/>
    <cellStyle name="표준 5 2 2 4 2 3 2 2 2 6" xfId="35027" xr:uid="{00000000-0005-0000-0000-0000303A0000}"/>
    <cellStyle name="표준 5 2 2 4 2 3 2 2 2 7" xfId="43220" xr:uid="{00000000-0005-0000-0000-0000313A0000}"/>
    <cellStyle name="표준 5 2 2 4 2 3 2 2 3" xfId="8158" xr:uid="{00000000-0005-0000-0000-0000323A0000}"/>
    <cellStyle name="표준 5 2 2 4 2 3 2 2 3 2" xfId="28864" xr:uid="{00000000-0005-0000-0000-0000333A0000}"/>
    <cellStyle name="표준 5 2 2 4 2 3 2 2 3 3" xfId="37075" xr:uid="{00000000-0005-0000-0000-0000343A0000}"/>
    <cellStyle name="표준 5 2 2 4 2 3 2 2 3 4" xfId="45268" xr:uid="{00000000-0005-0000-0000-0000353A0000}"/>
    <cellStyle name="표준 5 2 2 4 2 3 2 2 4" xfId="12270" xr:uid="{00000000-0005-0000-0000-0000363A0000}"/>
    <cellStyle name="표준 5 2 2 4 2 3 2 2 5" xfId="16510" xr:uid="{00000000-0005-0000-0000-0000373A0000}"/>
    <cellStyle name="표준 5 2 2 4 2 3 2 2 6" xfId="20672" xr:uid="{00000000-0005-0000-0000-0000383A0000}"/>
    <cellStyle name="표준 5 2 2 4 2 3 2 2 7" xfId="24768" xr:uid="{00000000-0005-0000-0000-0000393A0000}"/>
    <cellStyle name="표준 5 2 2 4 2 3 2 2 8" xfId="32979" xr:uid="{00000000-0005-0000-0000-00003A3A0000}"/>
    <cellStyle name="표준 5 2 2 4 2 3 2 2 9" xfId="41172" xr:uid="{00000000-0005-0000-0000-00003B3A0000}"/>
    <cellStyle name="표준 5 2 2 4 2 3 2 3" xfId="1815" xr:uid="{00000000-0005-0000-0000-00003C3A0000}"/>
    <cellStyle name="표준 5 2 2 4 2 3 2 3 2" xfId="10718" xr:uid="{00000000-0005-0000-0000-00003D3A0000}"/>
    <cellStyle name="표준 5 2 2 4 2 3 2 3 2 2" xfId="14830" xr:uid="{00000000-0005-0000-0000-00003E3A0000}"/>
    <cellStyle name="표준 5 2 2 4 2 3 2 3 2 2 2" xfId="31424" xr:uid="{00000000-0005-0000-0000-00003F3A0000}"/>
    <cellStyle name="표준 5 2 2 4 2 3 2 3 2 2 3" xfId="39635" xr:uid="{00000000-0005-0000-0000-0000403A0000}"/>
    <cellStyle name="표준 5 2 2 4 2 3 2 3 2 2 4" xfId="47828" xr:uid="{00000000-0005-0000-0000-0000413A0000}"/>
    <cellStyle name="표준 5 2 2 4 2 3 2 3 2 3" xfId="19070" xr:uid="{00000000-0005-0000-0000-0000423A0000}"/>
    <cellStyle name="표준 5 2 2 4 2 3 2 3 2 4" xfId="23232" xr:uid="{00000000-0005-0000-0000-0000433A0000}"/>
    <cellStyle name="표준 5 2 2 4 2 3 2 3 2 5" xfId="27328" xr:uid="{00000000-0005-0000-0000-0000443A0000}"/>
    <cellStyle name="표준 5 2 2 4 2 3 2 3 2 6" xfId="35539" xr:uid="{00000000-0005-0000-0000-0000453A0000}"/>
    <cellStyle name="표준 5 2 2 4 2 3 2 3 2 7" xfId="43732" xr:uid="{00000000-0005-0000-0000-0000463A0000}"/>
    <cellStyle name="표준 5 2 2 4 2 3 2 3 3" xfId="8670" xr:uid="{00000000-0005-0000-0000-0000473A0000}"/>
    <cellStyle name="표준 5 2 2 4 2 3 2 3 3 2" xfId="29376" xr:uid="{00000000-0005-0000-0000-0000483A0000}"/>
    <cellStyle name="표준 5 2 2 4 2 3 2 3 3 3" xfId="37587" xr:uid="{00000000-0005-0000-0000-0000493A0000}"/>
    <cellStyle name="표준 5 2 2 4 2 3 2 3 3 4" xfId="45780" xr:uid="{00000000-0005-0000-0000-00004A3A0000}"/>
    <cellStyle name="표준 5 2 2 4 2 3 2 3 4" xfId="12782" xr:uid="{00000000-0005-0000-0000-00004B3A0000}"/>
    <cellStyle name="표준 5 2 2 4 2 3 2 3 5" xfId="17022" xr:uid="{00000000-0005-0000-0000-00004C3A0000}"/>
    <cellStyle name="표준 5 2 2 4 2 3 2 3 6" xfId="21184" xr:uid="{00000000-0005-0000-0000-00004D3A0000}"/>
    <cellStyle name="표준 5 2 2 4 2 3 2 3 7" xfId="25280" xr:uid="{00000000-0005-0000-0000-00004E3A0000}"/>
    <cellStyle name="표준 5 2 2 4 2 3 2 3 8" xfId="33491" xr:uid="{00000000-0005-0000-0000-00004F3A0000}"/>
    <cellStyle name="표준 5 2 2 4 2 3 2 3 9" xfId="41684" xr:uid="{00000000-0005-0000-0000-0000503A0000}"/>
    <cellStyle name="표준 5 2 2 4 2 3 2 4" xfId="2327" xr:uid="{00000000-0005-0000-0000-0000513A0000}"/>
    <cellStyle name="표준 5 2 2 4 2 3 2 4 2" xfId="11230" xr:uid="{00000000-0005-0000-0000-0000523A0000}"/>
    <cellStyle name="표준 5 2 2 4 2 3 2 4 2 2" xfId="15342" xr:uid="{00000000-0005-0000-0000-0000533A0000}"/>
    <cellStyle name="표준 5 2 2 4 2 3 2 4 2 2 2" xfId="31936" xr:uid="{00000000-0005-0000-0000-0000543A0000}"/>
    <cellStyle name="표준 5 2 2 4 2 3 2 4 2 2 3" xfId="40147" xr:uid="{00000000-0005-0000-0000-0000553A0000}"/>
    <cellStyle name="표준 5 2 2 4 2 3 2 4 2 2 4" xfId="48340" xr:uid="{00000000-0005-0000-0000-0000563A0000}"/>
    <cellStyle name="표준 5 2 2 4 2 3 2 4 2 3" xfId="19582" xr:uid="{00000000-0005-0000-0000-0000573A0000}"/>
    <cellStyle name="표준 5 2 2 4 2 3 2 4 2 4" xfId="23744" xr:uid="{00000000-0005-0000-0000-0000583A0000}"/>
    <cellStyle name="표준 5 2 2 4 2 3 2 4 2 5" xfId="27840" xr:uid="{00000000-0005-0000-0000-0000593A0000}"/>
    <cellStyle name="표준 5 2 2 4 2 3 2 4 2 6" xfId="36051" xr:uid="{00000000-0005-0000-0000-00005A3A0000}"/>
    <cellStyle name="표준 5 2 2 4 2 3 2 4 2 7" xfId="44244" xr:uid="{00000000-0005-0000-0000-00005B3A0000}"/>
    <cellStyle name="표준 5 2 2 4 2 3 2 4 3" xfId="9182" xr:uid="{00000000-0005-0000-0000-00005C3A0000}"/>
    <cellStyle name="표준 5 2 2 4 2 3 2 4 3 2" xfId="29888" xr:uid="{00000000-0005-0000-0000-00005D3A0000}"/>
    <cellStyle name="표준 5 2 2 4 2 3 2 4 3 3" xfId="38099" xr:uid="{00000000-0005-0000-0000-00005E3A0000}"/>
    <cellStyle name="표준 5 2 2 4 2 3 2 4 3 4" xfId="46292" xr:uid="{00000000-0005-0000-0000-00005F3A0000}"/>
    <cellStyle name="표준 5 2 2 4 2 3 2 4 4" xfId="13294" xr:uid="{00000000-0005-0000-0000-0000603A0000}"/>
    <cellStyle name="표준 5 2 2 4 2 3 2 4 5" xfId="17534" xr:uid="{00000000-0005-0000-0000-0000613A0000}"/>
    <cellStyle name="표준 5 2 2 4 2 3 2 4 6" xfId="21696" xr:uid="{00000000-0005-0000-0000-0000623A0000}"/>
    <cellStyle name="표준 5 2 2 4 2 3 2 4 7" xfId="25792" xr:uid="{00000000-0005-0000-0000-0000633A0000}"/>
    <cellStyle name="표준 5 2 2 4 2 3 2 4 8" xfId="34003" xr:uid="{00000000-0005-0000-0000-0000643A0000}"/>
    <cellStyle name="표준 5 2 2 4 2 3 2 4 9" xfId="42196" xr:uid="{00000000-0005-0000-0000-0000653A0000}"/>
    <cellStyle name="표준 5 2 2 4 2 3 2 5" xfId="9694" xr:uid="{00000000-0005-0000-0000-0000663A0000}"/>
    <cellStyle name="표준 5 2 2 4 2 3 2 5 2" xfId="13806" xr:uid="{00000000-0005-0000-0000-0000673A0000}"/>
    <cellStyle name="표준 5 2 2 4 2 3 2 5 2 2" xfId="30400" xr:uid="{00000000-0005-0000-0000-0000683A0000}"/>
    <cellStyle name="표준 5 2 2 4 2 3 2 5 2 3" xfId="38611" xr:uid="{00000000-0005-0000-0000-0000693A0000}"/>
    <cellStyle name="표준 5 2 2 4 2 3 2 5 2 4" xfId="46804" xr:uid="{00000000-0005-0000-0000-00006A3A0000}"/>
    <cellStyle name="표준 5 2 2 4 2 3 2 5 3" xfId="18046" xr:uid="{00000000-0005-0000-0000-00006B3A0000}"/>
    <cellStyle name="표준 5 2 2 4 2 3 2 5 4" xfId="22208" xr:uid="{00000000-0005-0000-0000-00006C3A0000}"/>
    <cellStyle name="표준 5 2 2 4 2 3 2 5 5" xfId="26304" xr:uid="{00000000-0005-0000-0000-00006D3A0000}"/>
    <cellStyle name="표준 5 2 2 4 2 3 2 5 6" xfId="34515" xr:uid="{00000000-0005-0000-0000-00006E3A0000}"/>
    <cellStyle name="표준 5 2 2 4 2 3 2 5 7" xfId="42708" xr:uid="{00000000-0005-0000-0000-00006F3A0000}"/>
    <cellStyle name="표준 5 2 2 4 2 3 2 6" xfId="7646" xr:uid="{00000000-0005-0000-0000-0000703A0000}"/>
    <cellStyle name="표준 5 2 2 4 2 3 2 6 2" xfId="28352" xr:uid="{00000000-0005-0000-0000-0000713A0000}"/>
    <cellStyle name="표준 5 2 2 4 2 3 2 6 3" xfId="36563" xr:uid="{00000000-0005-0000-0000-0000723A0000}"/>
    <cellStyle name="표준 5 2 2 4 2 3 2 6 4" xfId="44756" xr:uid="{00000000-0005-0000-0000-0000733A0000}"/>
    <cellStyle name="표준 5 2 2 4 2 3 2 7" xfId="11758" xr:uid="{00000000-0005-0000-0000-0000743A0000}"/>
    <cellStyle name="표준 5 2 2 4 2 3 2 8" xfId="15998" xr:uid="{00000000-0005-0000-0000-0000753A0000}"/>
    <cellStyle name="표준 5 2 2 4 2 3 2 9" xfId="20160" xr:uid="{00000000-0005-0000-0000-0000763A0000}"/>
    <cellStyle name="표준 5 2 2 4 2 3 3" xfId="1047" xr:uid="{00000000-0005-0000-0000-0000773A0000}"/>
    <cellStyle name="표준 5 2 2 4 2 3 3 2" xfId="9950" xr:uid="{00000000-0005-0000-0000-0000783A0000}"/>
    <cellStyle name="표준 5 2 2 4 2 3 3 2 2" xfId="14062" xr:uid="{00000000-0005-0000-0000-0000793A0000}"/>
    <cellStyle name="표준 5 2 2 4 2 3 3 2 2 2" xfId="30656" xr:uid="{00000000-0005-0000-0000-00007A3A0000}"/>
    <cellStyle name="표준 5 2 2 4 2 3 3 2 2 3" xfId="38867" xr:uid="{00000000-0005-0000-0000-00007B3A0000}"/>
    <cellStyle name="표준 5 2 2 4 2 3 3 2 2 4" xfId="47060" xr:uid="{00000000-0005-0000-0000-00007C3A0000}"/>
    <cellStyle name="표준 5 2 2 4 2 3 3 2 3" xfId="18302" xr:uid="{00000000-0005-0000-0000-00007D3A0000}"/>
    <cellStyle name="표준 5 2 2 4 2 3 3 2 4" xfId="22464" xr:uid="{00000000-0005-0000-0000-00007E3A0000}"/>
    <cellStyle name="표준 5 2 2 4 2 3 3 2 5" xfId="26560" xr:uid="{00000000-0005-0000-0000-00007F3A0000}"/>
    <cellStyle name="표준 5 2 2 4 2 3 3 2 6" xfId="34771" xr:uid="{00000000-0005-0000-0000-0000803A0000}"/>
    <cellStyle name="표준 5 2 2 4 2 3 3 2 7" xfId="42964" xr:uid="{00000000-0005-0000-0000-0000813A0000}"/>
    <cellStyle name="표준 5 2 2 4 2 3 3 3" xfId="7902" xr:uid="{00000000-0005-0000-0000-0000823A0000}"/>
    <cellStyle name="표준 5 2 2 4 2 3 3 3 2" xfId="28608" xr:uid="{00000000-0005-0000-0000-0000833A0000}"/>
    <cellStyle name="표준 5 2 2 4 2 3 3 3 3" xfId="36819" xr:uid="{00000000-0005-0000-0000-0000843A0000}"/>
    <cellStyle name="표준 5 2 2 4 2 3 3 3 4" xfId="45012" xr:uid="{00000000-0005-0000-0000-0000853A0000}"/>
    <cellStyle name="표준 5 2 2 4 2 3 3 4" xfId="12014" xr:uid="{00000000-0005-0000-0000-0000863A0000}"/>
    <cellStyle name="표준 5 2 2 4 2 3 3 5" xfId="16254" xr:uid="{00000000-0005-0000-0000-0000873A0000}"/>
    <cellStyle name="표준 5 2 2 4 2 3 3 6" xfId="20416" xr:uid="{00000000-0005-0000-0000-0000883A0000}"/>
    <cellStyle name="표준 5 2 2 4 2 3 3 7" xfId="24512" xr:uid="{00000000-0005-0000-0000-0000893A0000}"/>
    <cellStyle name="표준 5 2 2 4 2 3 3 8" xfId="32723" xr:uid="{00000000-0005-0000-0000-00008A3A0000}"/>
    <cellStyle name="표준 5 2 2 4 2 3 3 9" xfId="40916" xr:uid="{00000000-0005-0000-0000-00008B3A0000}"/>
    <cellStyle name="표준 5 2 2 4 2 3 4" xfId="1559" xr:uid="{00000000-0005-0000-0000-00008C3A0000}"/>
    <cellStyle name="표준 5 2 2 4 2 3 4 2" xfId="10462" xr:uid="{00000000-0005-0000-0000-00008D3A0000}"/>
    <cellStyle name="표준 5 2 2 4 2 3 4 2 2" xfId="14574" xr:uid="{00000000-0005-0000-0000-00008E3A0000}"/>
    <cellStyle name="표준 5 2 2 4 2 3 4 2 2 2" xfId="31168" xr:uid="{00000000-0005-0000-0000-00008F3A0000}"/>
    <cellStyle name="표준 5 2 2 4 2 3 4 2 2 3" xfId="39379" xr:uid="{00000000-0005-0000-0000-0000903A0000}"/>
    <cellStyle name="표준 5 2 2 4 2 3 4 2 2 4" xfId="47572" xr:uid="{00000000-0005-0000-0000-0000913A0000}"/>
    <cellStyle name="표준 5 2 2 4 2 3 4 2 3" xfId="18814" xr:uid="{00000000-0005-0000-0000-0000923A0000}"/>
    <cellStyle name="표준 5 2 2 4 2 3 4 2 4" xfId="22976" xr:uid="{00000000-0005-0000-0000-0000933A0000}"/>
    <cellStyle name="표준 5 2 2 4 2 3 4 2 5" xfId="27072" xr:uid="{00000000-0005-0000-0000-0000943A0000}"/>
    <cellStyle name="표준 5 2 2 4 2 3 4 2 6" xfId="35283" xr:uid="{00000000-0005-0000-0000-0000953A0000}"/>
    <cellStyle name="표준 5 2 2 4 2 3 4 2 7" xfId="43476" xr:uid="{00000000-0005-0000-0000-0000963A0000}"/>
    <cellStyle name="표준 5 2 2 4 2 3 4 3" xfId="8414" xr:uid="{00000000-0005-0000-0000-0000973A0000}"/>
    <cellStyle name="표준 5 2 2 4 2 3 4 3 2" xfId="29120" xr:uid="{00000000-0005-0000-0000-0000983A0000}"/>
    <cellStyle name="표준 5 2 2 4 2 3 4 3 3" xfId="37331" xr:uid="{00000000-0005-0000-0000-0000993A0000}"/>
    <cellStyle name="표준 5 2 2 4 2 3 4 3 4" xfId="45524" xr:uid="{00000000-0005-0000-0000-00009A3A0000}"/>
    <cellStyle name="표준 5 2 2 4 2 3 4 4" xfId="12526" xr:uid="{00000000-0005-0000-0000-00009B3A0000}"/>
    <cellStyle name="표준 5 2 2 4 2 3 4 5" xfId="16766" xr:uid="{00000000-0005-0000-0000-00009C3A0000}"/>
    <cellStyle name="표준 5 2 2 4 2 3 4 6" xfId="20928" xr:uid="{00000000-0005-0000-0000-00009D3A0000}"/>
    <cellStyle name="표준 5 2 2 4 2 3 4 7" xfId="25024" xr:uid="{00000000-0005-0000-0000-00009E3A0000}"/>
    <cellStyle name="표준 5 2 2 4 2 3 4 8" xfId="33235" xr:uid="{00000000-0005-0000-0000-00009F3A0000}"/>
    <cellStyle name="표준 5 2 2 4 2 3 4 9" xfId="41428" xr:uid="{00000000-0005-0000-0000-0000A03A0000}"/>
    <cellStyle name="표준 5 2 2 4 2 3 5" xfId="2071" xr:uid="{00000000-0005-0000-0000-0000A13A0000}"/>
    <cellStyle name="표준 5 2 2 4 2 3 5 2" xfId="10974" xr:uid="{00000000-0005-0000-0000-0000A23A0000}"/>
    <cellStyle name="표준 5 2 2 4 2 3 5 2 2" xfId="15086" xr:uid="{00000000-0005-0000-0000-0000A33A0000}"/>
    <cellStyle name="표준 5 2 2 4 2 3 5 2 2 2" xfId="31680" xr:uid="{00000000-0005-0000-0000-0000A43A0000}"/>
    <cellStyle name="표준 5 2 2 4 2 3 5 2 2 3" xfId="39891" xr:uid="{00000000-0005-0000-0000-0000A53A0000}"/>
    <cellStyle name="표준 5 2 2 4 2 3 5 2 2 4" xfId="48084" xr:uid="{00000000-0005-0000-0000-0000A63A0000}"/>
    <cellStyle name="표준 5 2 2 4 2 3 5 2 3" xfId="19326" xr:uid="{00000000-0005-0000-0000-0000A73A0000}"/>
    <cellStyle name="표준 5 2 2 4 2 3 5 2 4" xfId="23488" xr:uid="{00000000-0005-0000-0000-0000A83A0000}"/>
    <cellStyle name="표준 5 2 2 4 2 3 5 2 5" xfId="27584" xr:uid="{00000000-0005-0000-0000-0000A93A0000}"/>
    <cellStyle name="표준 5 2 2 4 2 3 5 2 6" xfId="35795" xr:uid="{00000000-0005-0000-0000-0000AA3A0000}"/>
    <cellStyle name="표준 5 2 2 4 2 3 5 2 7" xfId="43988" xr:uid="{00000000-0005-0000-0000-0000AB3A0000}"/>
    <cellStyle name="표준 5 2 2 4 2 3 5 3" xfId="8926" xr:uid="{00000000-0005-0000-0000-0000AC3A0000}"/>
    <cellStyle name="표준 5 2 2 4 2 3 5 3 2" xfId="29632" xr:uid="{00000000-0005-0000-0000-0000AD3A0000}"/>
    <cellStyle name="표준 5 2 2 4 2 3 5 3 3" xfId="37843" xr:uid="{00000000-0005-0000-0000-0000AE3A0000}"/>
    <cellStyle name="표준 5 2 2 4 2 3 5 3 4" xfId="46036" xr:uid="{00000000-0005-0000-0000-0000AF3A0000}"/>
    <cellStyle name="표준 5 2 2 4 2 3 5 4" xfId="13038" xr:uid="{00000000-0005-0000-0000-0000B03A0000}"/>
    <cellStyle name="표준 5 2 2 4 2 3 5 5" xfId="17278" xr:uid="{00000000-0005-0000-0000-0000B13A0000}"/>
    <cellStyle name="표준 5 2 2 4 2 3 5 6" xfId="21440" xr:uid="{00000000-0005-0000-0000-0000B23A0000}"/>
    <cellStyle name="표준 5 2 2 4 2 3 5 7" xfId="25536" xr:uid="{00000000-0005-0000-0000-0000B33A0000}"/>
    <cellStyle name="표준 5 2 2 4 2 3 5 8" xfId="33747" xr:uid="{00000000-0005-0000-0000-0000B43A0000}"/>
    <cellStyle name="표준 5 2 2 4 2 3 5 9" xfId="41940" xr:uid="{00000000-0005-0000-0000-0000B53A0000}"/>
    <cellStyle name="표준 5 2 2 4 2 3 6" xfId="9438" xr:uid="{00000000-0005-0000-0000-0000B63A0000}"/>
    <cellStyle name="표준 5 2 2 4 2 3 6 2" xfId="13550" xr:uid="{00000000-0005-0000-0000-0000B73A0000}"/>
    <cellStyle name="표준 5 2 2 4 2 3 6 2 2" xfId="30144" xr:uid="{00000000-0005-0000-0000-0000B83A0000}"/>
    <cellStyle name="표준 5 2 2 4 2 3 6 2 3" xfId="38355" xr:uid="{00000000-0005-0000-0000-0000B93A0000}"/>
    <cellStyle name="표준 5 2 2 4 2 3 6 2 4" xfId="46548" xr:uid="{00000000-0005-0000-0000-0000BA3A0000}"/>
    <cellStyle name="표준 5 2 2 4 2 3 6 3" xfId="17790" xr:uid="{00000000-0005-0000-0000-0000BB3A0000}"/>
    <cellStyle name="표준 5 2 2 4 2 3 6 4" xfId="21952" xr:uid="{00000000-0005-0000-0000-0000BC3A0000}"/>
    <cellStyle name="표준 5 2 2 4 2 3 6 5" xfId="26048" xr:uid="{00000000-0005-0000-0000-0000BD3A0000}"/>
    <cellStyle name="표준 5 2 2 4 2 3 6 6" xfId="34259" xr:uid="{00000000-0005-0000-0000-0000BE3A0000}"/>
    <cellStyle name="표준 5 2 2 4 2 3 6 7" xfId="42452" xr:uid="{00000000-0005-0000-0000-0000BF3A0000}"/>
    <cellStyle name="표준 5 2 2 4 2 3 7" xfId="7390" xr:uid="{00000000-0005-0000-0000-0000C03A0000}"/>
    <cellStyle name="표준 5 2 2 4 2 3 7 2" xfId="28096" xr:uid="{00000000-0005-0000-0000-0000C13A0000}"/>
    <cellStyle name="표준 5 2 2 4 2 3 7 3" xfId="36307" xr:uid="{00000000-0005-0000-0000-0000C23A0000}"/>
    <cellStyle name="표준 5 2 2 4 2 3 7 4" xfId="44500" xr:uid="{00000000-0005-0000-0000-0000C33A0000}"/>
    <cellStyle name="표준 5 2 2 4 2 3 8" xfId="11502" xr:uid="{00000000-0005-0000-0000-0000C43A0000}"/>
    <cellStyle name="표준 5 2 2 4 2 3 9" xfId="15742" xr:uid="{00000000-0005-0000-0000-0000C53A0000}"/>
    <cellStyle name="표준 5 2 2 4 2 4" xfId="663" xr:uid="{00000000-0005-0000-0000-0000C63A0000}"/>
    <cellStyle name="표준 5 2 2 4 2 4 10" xfId="24128" xr:uid="{00000000-0005-0000-0000-0000C73A0000}"/>
    <cellStyle name="표준 5 2 2 4 2 4 11" xfId="32339" xr:uid="{00000000-0005-0000-0000-0000C83A0000}"/>
    <cellStyle name="표준 5 2 2 4 2 4 12" xfId="40532" xr:uid="{00000000-0005-0000-0000-0000C93A0000}"/>
    <cellStyle name="표준 5 2 2 4 2 4 2" xfId="1175" xr:uid="{00000000-0005-0000-0000-0000CA3A0000}"/>
    <cellStyle name="표준 5 2 2 4 2 4 2 2" xfId="10078" xr:uid="{00000000-0005-0000-0000-0000CB3A0000}"/>
    <cellStyle name="표준 5 2 2 4 2 4 2 2 2" xfId="14190" xr:uid="{00000000-0005-0000-0000-0000CC3A0000}"/>
    <cellStyle name="표준 5 2 2 4 2 4 2 2 2 2" xfId="30784" xr:uid="{00000000-0005-0000-0000-0000CD3A0000}"/>
    <cellStyle name="표준 5 2 2 4 2 4 2 2 2 3" xfId="38995" xr:uid="{00000000-0005-0000-0000-0000CE3A0000}"/>
    <cellStyle name="표준 5 2 2 4 2 4 2 2 2 4" xfId="47188" xr:uid="{00000000-0005-0000-0000-0000CF3A0000}"/>
    <cellStyle name="표준 5 2 2 4 2 4 2 2 3" xfId="18430" xr:uid="{00000000-0005-0000-0000-0000D03A0000}"/>
    <cellStyle name="표준 5 2 2 4 2 4 2 2 4" xfId="22592" xr:uid="{00000000-0005-0000-0000-0000D13A0000}"/>
    <cellStyle name="표준 5 2 2 4 2 4 2 2 5" xfId="26688" xr:uid="{00000000-0005-0000-0000-0000D23A0000}"/>
    <cellStyle name="표준 5 2 2 4 2 4 2 2 6" xfId="34899" xr:uid="{00000000-0005-0000-0000-0000D33A0000}"/>
    <cellStyle name="표준 5 2 2 4 2 4 2 2 7" xfId="43092" xr:uid="{00000000-0005-0000-0000-0000D43A0000}"/>
    <cellStyle name="표준 5 2 2 4 2 4 2 3" xfId="8030" xr:uid="{00000000-0005-0000-0000-0000D53A0000}"/>
    <cellStyle name="표준 5 2 2 4 2 4 2 3 2" xfId="28736" xr:uid="{00000000-0005-0000-0000-0000D63A0000}"/>
    <cellStyle name="표준 5 2 2 4 2 4 2 3 3" xfId="36947" xr:uid="{00000000-0005-0000-0000-0000D73A0000}"/>
    <cellStyle name="표준 5 2 2 4 2 4 2 3 4" xfId="45140" xr:uid="{00000000-0005-0000-0000-0000D83A0000}"/>
    <cellStyle name="표준 5 2 2 4 2 4 2 4" xfId="12142" xr:uid="{00000000-0005-0000-0000-0000D93A0000}"/>
    <cellStyle name="표준 5 2 2 4 2 4 2 5" xfId="16382" xr:uid="{00000000-0005-0000-0000-0000DA3A0000}"/>
    <cellStyle name="표준 5 2 2 4 2 4 2 6" xfId="20544" xr:uid="{00000000-0005-0000-0000-0000DB3A0000}"/>
    <cellStyle name="표준 5 2 2 4 2 4 2 7" xfId="24640" xr:uid="{00000000-0005-0000-0000-0000DC3A0000}"/>
    <cellStyle name="표준 5 2 2 4 2 4 2 8" xfId="32851" xr:uid="{00000000-0005-0000-0000-0000DD3A0000}"/>
    <cellStyle name="표준 5 2 2 4 2 4 2 9" xfId="41044" xr:uid="{00000000-0005-0000-0000-0000DE3A0000}"/>
    <cellStyle name="표준 5 2 2 4 2 4 3" xfId="1687" xr:uid="{00000000-0005-0000-0000-0000DF3A0000}"/>
    <cellStyle name="표준 5 2 2 4 2 4 3 2" xfId="10590" xr:uid="{00000000-0005-0000-0000-0000E03A0000}"/>
    <cellStyle name="표준 5 2 2 4 2 4 3 2 2" xfId="14702" xr:uid="{00000000-0005-0000-0000-0000E13A0000}"/>
    <cellStyle name="표준 5 2 2 4 2 4 3 2 2 2" xfId="31296" xr:uid="{00000000-0005-0000-0000-0000E23A0000}"/>
    <cellStyle name="표준 5 2 2 4 2 4 3 2 2 3" xfId="39507" xr:uid="{00000000-0005-0000-0000-0000E33A0000}"/>
    <cellStyle name="표준 5 2 2 4 2 4 3 2 2 4" xfId="47700" xr:uid="{00000000-0005-0000-0000-0000E43A0000}"/>
    <cellStyle name="표준 5 2 2 4 2 4 3 2 3" xfId="18942" xr:uid="{00000000-0005-0000-0000-0000E53A0000}"/>
    <cellStyle name="표준 5 2 2 4 2 4 3 2 4" xfId="23104" xr:uid="{00000000-0005-0000-0000-0000E63A0000}"/>
    <cellStyle name="표준 5 2 2 4 2 4 3 2 5" xfId="27200" xr:uid="{00000000-0005-0000-0000-0000E73A0000}"/>
    <cellStyle name="표준 5 2 2 4 2 4 3 2 6" xfId="35411" xr:uid="{00000000-0005-0000-0000-0000E83A0000}"/>
    <cellStyle name="표준 5 2 2 4 2 4 3 2 7" xfId="43604" xr:uid="{00000000-0005-0000-0000-0000E93A0000}"/>
    <cellStyle name="표준 5 2 2 4 2 4 3 3" xfId="8542" xr:uid="{00000000-0005-0000-0000-0000EA3A0000}"/>
    <cellStyle name="표준 5 2 2 4 2 4 3 3 2" xfId="29248" xr:uid="{00000000-0005-0000-0000-0000EB3A0000}"/>
    <cellStyle name="표준 5 2 2 4 2 4 3 3 3" xfId="37459" xr:uid="{00000000-0005-0000-0000-0000EC3A0000}"/>
    <cellStyle name="표준 5 2 2 4 2 4 3 3 4" xfId="45652" xr:uid="{00000000-0005-0000-0000-0000ED3A0000}"/>
    <cellStyle name="표준 5 2 2 4 2 4 3 4" xfId="12654" xr:uid="{00000000-0005-0000-0000-0000EE3A0000}"/>
    <cellStyle name="표준 5 2 2 4 2 4 3 5" xfId="16894" xr:uid="{00000000-0005-0000-0000-0000EF3A0000}"/>
    <cellStyle name="표준 5 2 2 4 2 4 3 6" xfId="21056" xr:uid="{00000000-0005-0000-0000-0000F03A0000}"/>
    <cellStyle name="표준 5 2 2 4 2 4 3 7" xfId="25152" xr:uid="{00000000-0005-0000-0000-0000F13A0000}"/>
    <cellStyle name="표준 5 2 2 4 2 4 3 8" xfId="33363" xr:uid="{00000000-0005-0000-0000-0000F23A0000}"/>
    <cellStyle name="표준 5 2 2 4 2 4 3 9" xfId="41556" xr:uid="{00000000-0005-0000-0000-0000F33A0000}"/>
    <cellStyle name="표준 5 2 2 4 2 4 4" xfId="2199" xr:uid="{00000000-0005-0000-0000-0000F43A0000}"/>
    <cellStyle name="표준 5 2 2 4 2 4 4 2" xfId="11102" xr:uid="{00000000-0005-0000-0000-0000F53A0000}"/>
    <cellStyle name="표준 5 2 2 4 2 4 4 2 2" xfId="15214" xr:uid="{00000000-0005-0000-0000-0000F63A0000}"/>
    <cellStyle name="표준 5 2 2 4 2 4 4 2 2 2" xfId="31808" xr:uid="{00000000-0005-0000-0000-0000F73A0000}"/>
    <cellStyle name="표준 5 2 2 4 2 4 4 2 2 3" xfId="40019" xr:uid="{00000000-0005-0000-0000-0000F83A0000}"/>
    <cellStyle name="표준 5 2 2 4 2 4 4 2 2 4" xfId="48212" xr:uid="{00000000-0005-0000-0000-0000F93A0000}"/>
    <cellStyle name="표준 5 2 2 4 2 4 4 2 3" xfId="19454" xr:uid="{00000000-0005-0000-0000-0000FA3A0000}"/>
    <cellStyle name="표준 5 2 2 4 2 4 4 2 4" xfId="23616" xr:uid="{00000000-0005-0000-0000-0000FB3A0000}"/>
    <cellStyle name="표준 5 2 2 4 2 4 4 2 5" xfId="27712" xr:uid="{00000000-0005-0000-0000-0000FC3A0000}"/>
    <cellStyle name="표준 5 2 2 4 2 4 4 2 6" xfId="35923" xr:uid="{00000000-0005-0000-0000-0000FD3A0000}"/>
    <cellStyle name="표준 5 2 2 4 2 4 4 2 7" xfId="44116" xr:uid="{00000000-0005-0000-0000-0000FE3A0000}"/>
    <cellStyle name="표준 5 2 2 4 2 4 4 3" xfId="9054" xr:uid="{00000000-0005-0000-0000-0000FF3A0000}"/>
    <cellStyle name="표준 5 2 2 4 2 4 4 3 2" xfId="29760" xr:uid="{00000000-0005-0000-0000-0000003B0000}"/>
    <cellStyle name="표준 5 2 2 4 2 4 4 3 3" xfId="37971" xr:uid="{00000000-0005-0000-0000-0000013B0000}"/>
    <cellStyle name="표준 5 2 2 4 2 4 4 3 4" xfId="46164" xr:uid="{00000000-0005-0000-0000-0000023B0000}"/>
    <cellStyle name="표준 5 2 2 4 2 4 4 4" xfId="13166" xr:uid="{00000000-0005-0000-0000-0000033B0000}"/>
    <cellStyle name="표준 5 2 2 4 2 4 4 5" xfId="17406" xr:uid="{00000000-0005-0000-0000-0000043B0000}"/>
    <cellStyle name="표준 5 2 2 4 2 4 4 6" xfId="21568" xr:uid="{00000000-0005-0000-0000-0000053B0000}"/>
    <cellStyle name="표준 5 2 2 4 2 4 4 7" xfId="25664" xr:uid="{00000000-0005-0000-0000-0000063B0000}"/>
    <cellStyle name="표준 5 2 2 4 2 4 4 8" xfId="33875" xr:uid="{00000000-0005-0000-0000-0000073B0000}"/>
    <cellStyle name="표준 5 2 2 4 2 4 4 9" xfId="42068" xr:uid="{00000000-0005-0000-0000-0000083B0000}"/>
    <cellStyle name="표준 5 2 2 4 2 4 5" xfId="9566" xr:uid="{00000000-0005-0000-0000-0000093B0000}"/>
    <cellStyle name="표준 5 2 2 4 2 4 5 2" xfId="13678" xr:uid="{00000000-0005-0000-0000-00000A3B0000}"/>
    <cellStyle name="표준 5 2 2 4 2 4 5 2 2" xfId="30272" xr:uid="{00000000-0005-0000-0000-00000B3B0000}"/>
    <cellStyle name="표준 5 2 2 4 2 4 5 2 3" xfId="38483" xr:uid="{00000000-0005-0000-0000-00000C3B0000}"/>
    <cellStyle name="표준 5 2 2 4 2 4 5 2 4" xfId="46676" xr:uid="{00000000-0005-0000-0000-00000D3B0000}"/>
    <cellStyle name="표준 5 2 2 4 2 4 5 3" xfId="17918" xr:uid="{00000000-0005-0000-0000-00000E3B0000}"/>
    <cellStyle name="표준 5 2 2 4 2 4 5 4" xfId="22080" xr:uid="{00000000-0005-0000-0000-00000F3B0000}"/>
    <cellStyle name="표준 5 2 2 4 2 4 5 5" xfId="26176" xr:uid="{00000000-0005-0000-0000-0000103B0000}"/>
    <cellStyle name="표준 5 2 2 4 2 4 5 6" xfId="34387" xr:uid="{00000000-0005-0000-0000-0000113B0000}"/>
    <cellStyle name="표준 5 2 2 4 2 4 5 7" xfId="42580" xr:uid="{00000000-0005-0000-0000-0000123B0000}"/>
    <cellStyle name="표준 5 2 2 4 2 4 6" xfId="7518" xr:uid="{00000000-0005-0000-0000-0000133B0000}"/>
    <cellStyle name="표준 5 2 2 4 2 4 6 2" xfId="28224" xr:uid="{00000000-0005-0000-0000-0000143B0000}"/>
    <cellStyle name="표준 5 2 2 4 2 4 6 3" xfId="36435" xr:uid="{00000000-0005-0000-0000-0000153B0000}"/>
    <cellStyle name="표준 5 2 2 4 2 4 6 4" xfId="44628" xr:uid="{00000000-0005-0000-0000-0000163B0000}"/>
    <cellStyle name="표준 5 2 2 4 2 4 7" xfId="11630" xr:uid="{00000000-0005-0000-0000-0000173B0000}"/>
    <cellStyle name="표준 5 2 2 4 2 4 8" xfId="15870" xr:uid="{00000000-0005-0000-0000-0000183B0000}"/>
    <cellStyle name="표준 5 2 2 4 2 4 9" xfId="20032" xr:uid="{00000000-0005-0000-0000-0000193B0000}"/>
    <cellStyle name="표준 5 2 2 4 2 5" xfId="919" xr:uid="{00000000-0005-0000-0000-00001A3B0000}"/>
    <cellStyle name="표준 5 2 2 4 2 5 2" xfId="9822" xr:uid="{00000000-0005-0000-0000-00001B3B0000}"/>
    <cellStyle name="표준 5 2 2 4 2 5 2 2" xfId="13934" xr:uid="{00000000-0005-0000-0000-00001C3B0000}"/>
    <cellStyle name="표준 5 2 2 4 2 5 2 2 2" xfId="30528" xr:uid="{00000000-0005-0000-0000-00001D3B0000}"/>
    <cellStyle name="표준 5 2 2 4 2 5 2 2 3" xfId="38739" xr:uid="{00000000-0005-0000-0000-00001E3B0000}"/>
    <cellStyle name="표준 5 2 2 4 2 5 2 2 4" xfId="46932" xr:uid="{00000000-0005-0000-0000-00001F3B0000}"/>
    <cellStyle name="표준 5 2 2 4 2 5 2 3" xfId="18174" xr:uid="{00000000-0005-0000-0000-0000203B0000}"/>
    <cellStyle name="표준 5 2 2 4 2 5 2 4" xfId="22336" xr:uid="{00000000-0005-0000-0000-0000213B0000}"/>
    <cellStyle name="표준 5 2 2 4 2 5 2 5" xfId="26432" xr:uid="{00000000-0005-0000-0000-0000223B0000}"/>
    <cellStyle name="표준 5 2 2 4 2 5 2 6" xfId="34643" xr:uid="{00000000-0005-0000-0000-0000233B0000}"/>
    <cellStyle name="표준 5 2 2 4 2 5 2 7" xfId="42836" xr:uid="{00000000-0005-0000-0000-0000243B0000}"/>
    <cellStyle name="표준 5 2 2 4 2 5 3" xfId="7774" xr:uid="{00000000-0005-0000-0000-0000253B0000}"/>
    <cellStyle name="표준 5 2 2 4 2 5 3 2" xfId="28480" xr:uid="{00000000-0005-0000-0000-0000263B0000}"/>
    <cellStyle name="표준 5 2 2 4 2 5 3 3" xfId="36691" xr:uid="{00000000-0005-0000-0000-0000273B0000}"/>
    <cellStyle name="표준 5 2 2 4 2 5 3 4" xfId="44884" xr:uid="{00000000-0005-0000-0000-0000283B0000}"/>
    <cellStyle name="표준 5 2 2 4 2 5 4" xfId="11886" xr:uid="{00000000-0005-0000-0000-0000293B0000}"/>
    <cellStyle name="표준 5 2 2 4 2 5 5" xfId="16126" xr:uid="{00000000-0005-0000-0000-00002A3B0000}"/>
    <cellStyle name="표준 5 2 2 4 2 5 6" xfId="20288" xr:uid="{00000000-0005-0000-0000-00002B3B0000}"/>
    <cellStyle name="표준 5 2 2 4 2 5 7" xfId="24384" xr:uid="{00000000-0005-0000-0000-00002C3B0000}"/>
    <cellStyle name="표준 5 2 2 4 2 5 8" xfId="32595" xr:uid="{00000000-0005-0000-0000-00002D3B0000}"/>
    <cellStyle name="표준 5 2 2 4 2 5 9" xfId="40788" xr:uid="{00000000-0005-0000-0000-00002E3B0000}"/>
    <cellStyle name="표준 5 2 2 4 2 6" xfId="1431" xr:uid="{00000000-0005-0000-0000-00002F3B0000}"/>
    <cellStyle name="표준 5 2 2 4 2 6 2" xfId="10334" xr:uid="{00000000-0005-0000-0000-0000303B0000}"/>
    <cellStyle name="표준 5 2 2 4 2 6 2 2" xfId="14446" xr:uid="{00000000-0005-0000-0000-0000313B0000}"/>
    <cellStyle name="표준 5 2 2 4 2 6 2 2 2" xfId="31040" xr:uid="{00000000-0005-0000-0000-0000323B0000}"/>
    <cellStyle name="표준 5 2 2 4 2 6 2 2 3" xfId="39251" xr:uid="{00000000-0005-0000-0000-0000333B0000}"/>
    <cellStyle name="표준 5 2 2 4 2 6 2 2 4" xfId="47444" xr:uid="{00000000-0005-0000-0000-0000343B0000}"/>
    <cellStyle name="표준 5 2 2 4 2 6 2 3" xfId="18686" xr:uid="{00000000-0005-0000-0000-0000353B0000}"/>
    <cellStyle name="표준 5 2 2 4 2 6 2 4" xfId="22848" xr:uid="{00000000-0005-0000-0000-0000363B0000}"/>
    <cellStyle name="표준 5 2 2 4 2 6 2 5" xfId="26944" xr:uid="{00000000-0005-0000-0000-0000373B0000}"/>
    <cellStyle name="표준 5 2 2 4 2 6 2 6" xfId="35155" xr:uid="{00000000-0005-0000-0000-0000383B0000}"/>
    <cellStyle name="표준 5 2 2 4 2 6 2 7" xfId="43348" xr:uid="{00000000-0005-0000-0000-0000393B0000}"/>
    <cellStyle name="표준 5 2 2 4 2 6 3" xfId="8286" xr:uid="{00000000-0005-0000-0000-00003A3B0000}"/>
    <cellStyle name="표준 5 2 2 4 2 6 3 2" xfId="28992" xr:uid="{00000000-0005-0000-0000-00003B3B0000}"/>
    <cellStyle name="표준 5 2 2 4 2 6 3 3" xfId="37203" xr:uid="{00000000-0005-0000-0000-00003C3B0000}"/>
    <cellStyle name="표준 5 2 2 4 2 6 3 4" xfId="45396" xr:uid="{00000000-0005-0000-0000-00003D3B0000}"/>
    <cellStyle name="표준 5 2 2 4 2 6 4" xfId="12398" xr:uid="{00000000-0005-0000-0000-00003E3B0000}"/>
    <cellStyle name="표준 5 2 2 4 2 6 5" xfId="16638" xr:uid="{00000000-0005-0000-0000-00003F3B0000}"/>
    <cellStyle name="표준 5 2 2 4 2 6 6" xfId="20800" xr:uid="{00000000-0005-0000-0000-0000403B0000}"/>
    <cellStyle name="표준 5 2 2 4 2 6 7" xfId="24896" xr:uid="{00000000-0005-0000-0000-0000413B0000}"/>
    <cellStyle name="표준 5 2 2 4 2 6 8" xfId="33107" xr:uid="{00000000-0005-0000-0000-0000423B0000}"/>
    <cellStyle name="표준 5 2 2 4 2 6 9" xfId="41300" xr:uid="{00000000-0005-0000-0000-0000433B0000}"/>
    <cellStyle name="표준 5 2 2 4 2 7" xfId="1943" xr:uid="{00000000-0005-0000-0000-0000443B0000}"/>
    <cellStyle name="표준 5 2 2 4 2 7 2" xfId="10846" xr:uid="{00000000-0005-0000-0000-0000453B0000}"/>
    <cellStyle name="표준 5 2 2 4 2 7 2 2" xfId="14958" xr:uid="{00000000-0005-0000-0000-0000463B0000}"/>
    <cellStyle name="표준 5 2 2 4 2 7 2 2 2" xfId="31552" xr:uid="{00000000-0005-0000-0000-0000473B0000}"/>
    <cellStyle name="표준 5 2 2 4 2 7 2 2 3" xfId="39763" xr:uid="{00000000-0005-0000-0000-0000483B0000}"/>
    <cellStyle name="표준 5 2 2 4 2 7 2 2 4" xfId="47956" xr:uid="{00000000-0005-0000-0000-0000493B0000}"/>
    <cellStyle name="표준 5 2 2 4 2 7 2 3" xfId="19198" xr:uid="{00000000-0005-0000-0000-00004A3B0000}"/>
    <cellStyle name="표준 5 2 2 4 2 7 2 4" xfId="23360" xr:uid="{00000000-0005-0000-0000-00004B3B0000}"/>
    <cellStyle name="표준 5 2 2 4 2 7 2 5" xfId="27456" xr:uid="{00000000-0005-0000-0000-00004C3B0000}"/>
    <cellStyle name="표준 5 2 2 4 2 7 2 6" xfId="35667" xr:uid="{00000000-0005-0000-0000-00004D3B0000}"/>
    <cellStyle name="표준 5 2 2 4 2 7 2 7" xfId="43860" xr:uid="{00000000-0005-0000-0000-00004E3B0000}"/>
    <cellStyle name="표준 5 2 2 4 2 7 3" xfId="8798" xr:uid="{00000000-0005-0000-0000-00004F3B0000}"/>
    <cellStyle name="표준 5 2 2 4 2 7 3 2" xfId="29504" xr:uid="{00000000-0005-0000-0000-0000503B0000}"/>
    <cellStyle name="표준 5 2 2 4 2 7 3 3" xfId="37715" xr:uid="{00000000-0005-0000-0000-0000513B0000}"/>
    <cellStyle name="표준 5 2 2 4 2 7 3 4" xfId="45908" xr:uid="{00000000-0005-0000-0000-0000523B0000}"/>
    <cellStyle name="표준 5 2 2 4 2 7 4" xfId="12910" xr:uid="{00000000-0005-0000-0000-0000533B0000}"/>
    <cellStyle name="표준 5 2 2 4 2 7 5" xfId="17150" xr:uid="{00000000-0005-0000-0000-0000543B0000}"/>
    <cellStyle name="표준 5 2 2 4 2 7 6" xfId="21312" xr:uid="{00000000-0005-0000-0000-0000553B0000}"/>
    <cellStyle name="표준 5 2 2 4 2 7 7" xfId="25408" xr:uid="{00000000-0005-0000-0000-0000563B0000}"/>
    <cellStyle name="표준 5 2 2 4 2 7 8" xfId="33619" xr:uid="{00000000-0005-0000-0000-0000573B0000}"/>
    <cellStyle name="표준 5 2 2 4 2 7 9" xfId="41812" xr:uid="{00000000-0005-0000-0000-0000583B0000}"/>
    <cellStyle name="표준 5 2 2 4 2 8" xfId="7035" xr:uid="{00000000-0005-0000-0000-0000593B0000}"/>
    <cellStyle name="표준 5 2 2 4 2 8 2" xfId="9310" xr:uid="{00000000-0005-0000-0000-00005A3B0000}"/>
    <cellStyle name="표준 5 2 2 4 2 8 2 2" xfId="30016" xr:uid="{00000000-0005-0000-0000-00005B3B0000}"/>
    <cellStyle name="표준 5 2 2 4 2 8 2 3" xfId="38227" xr:uid="{00000000-0005-0000-0000-00005C3B0000}"/>
    <cellStyle name="표준 5 2 2 4 2 8 2 4" xfId="46420" xr:uid="{00000000-0005-0000-0000-00005D3B0000}"/>
    <cellStyle name="표준 5 2 2 4 2 8 3" xfId="13422" xr:uid="{00000000-0005-0000-0000-00005E3B0000}"/>
    <cellStyle name="표준 5 2 2 4 2 8 4" xfId="17662" xr:uid="{00000000-0005-0000-0000-00005F3B0000}"/>
    <cellStyle name="표준 5 2 2 4 2 8 5" xfId="21824" xr:uid="{00000000-0005-0000-0000-0000603B0000}"/>
    <cellStyle name="표준 5 2 2 4 2 8 6" xfId="25920" xr:uid="{00000000-0005-0000-0000-0000613B0000}"/>
    <cellStyle name="표준 5 2 2 4 2 8 7" xfId="34131" xr:uid="{00000000-0005-0000-0000-0000623B0000}"/>
    <cellStyle name="표준 5 2 2 4 2 8 8" xfId="42324" xr:uid="{00000000-0005-0000-0000-0000633B0000}"/>
    <cellStyle name="표준 5 2 2 4 2 9" xfId="7143" xr:uid="{00000000-0005-0000-0000-0000643B0000}"/>
    <cellStyle name="표준 5 2 2 4 2 9 2" xfId="27968" xr:uid="{00000000-0005-0000-0000-0000653B0000}"/>
    <cellStyle name="표준 5 2 2 4 2 9 3" xfId="36179" xr:uid="{00000000-0005-0000-0000-0000663B0000}"/>
    <cellStyle name="표준 5 2 2 4 2 9 4" xfId="44372" xr:uid="{00000000-0005-0000-0000-0000673B0000}"/>
    <cellStyle name="표준 5 2 2 4 3" xfId="439" xr:uid="{00000000-0005-0000-0000-0000683B0000}"/>
    <cellStyle name="표준 5 2 2 4 3 10" xfId="15646" xr:uid="{00000000-0005-0000-0000-0000693B0000}"/>
    <cellStyle name="표준 5 2 2 4 3 11" xfId="19808" xr:uid="{00000000-0005-0000-0000-00006A3B0000}"/>
    <cellStyle name="표준 5 2 2 4 3 12" xfId="23904" xr:uid="{00000000-0005-0000-0000-00006B3B0000}"/>
    <cellStyle name="표준 5 2 2 4 3 13" xfId="32115" xr:uid="{00000000-0005-0000-0000-00006C3B0000}"/>
    <cellStyle name="표준 5 2 2 4 3 14" xfId="40308" xr:uid="{00000000-0005-0000-0000-00006D3B0000}"/>
    <cellStyle name="표준 5 2 2 4 3 2" xfId="567" xr:uid="{00000000-0005-0000-0000-00006E3B0000}"/>
    <cellStyle name="표준 5 2 2 4 3 2 10" xfId="19936" xr:uid="{00000000-0005-0000-0000-00006F3B0000}"/>
    <cellStyle name="표준 5 2 2 4 3 2 11" xfId="24032" xr:uid="{00000000-0005-0000-0000-0000703B0000}"/>
    <cellStyle name="표준 5 2 2 4 3 2 12" xfId="32243" xr:uid="{00000000-0005-0000-0000-0000713B0000}"/>
    <cellStyle name="표준 5 2 2 4 3 2 13" xfId="40436" xr:uid="{00000000-0005-0000-0000-0000723B0000}"/>
    <cellStyle name="표준 5 2 2 4 3 2 2" xfId="823" xr:uid="{00000000-0005-0000-0000-0000733B0000}"/>
    <cellStyle name="표준 5 2 2 4 3 2 2 10" xfId="24288" xr:uid="{00000000-0005-0000-0000-0000743B0000}"/>
    <cellStyle name="표준 5 2 2 4 3 2 2 11" xfId="32499" xr:uid="{00000000-0005-0000-0000-0000753B0000}"/>
    <cellStyle name="표준 5 2 2 4 3 2 2 12" xfId="40692" xr:uid="{00000000-0005-0000-0000-0000763B0000}"/>
    <cellStyle name="표준 5 2 2 4 3 2 2 2" xfId="1335" xr:uid="{00000000-0005-0000-0000-0000773B0000}"/>
    <cellStyle name="표준 5 2 2 4 3 2 2 2 2" xfId="10238" xr:uid="{00000000-0005-0000-0000-0000783B0000}"/>
    <cellStyle name="표준 5 2 2 4 3 2 2 2 2 2" xfId="14350" xr:uid="{00000000-0005-0000-0000-0000793B0000}"/>
    <cellStyle name="표준 5 2 2 4 3 2 2 2 2 2 2" xfId="30944" xr:uid="{00000000-0005-0000-0000-00007A3B0000}"/>
    <cellStyle name="표준 5 2 2 4 3 2 2 2 2 2 3" xfId="39155" xr:uid="{00000000-0005-0000-0000-00007B3B0000}"/>
    <cellStyle name="표준 5 2 2 4 3 2 2 2 2 2 4" xfId="47348" xr:uid="{00000000-0005-0000-0000-00007C3B0000}"/>
    <cellStyle name="표준 5 2 2 4 3 2 2 2 2 3" xfId="18590" xr:uid="{00000000-0005-0000-0000-00007D3B0000}"/>
    <cellStyle name="표준 5 2 2 4 3 2 2 2 2 4" xfId="22752" xr:uid="{00000000-0005-0000-0000-00007E3B0000}"/>
    <cellStyle name="표준 5 2 2 4 3 2 2 2 2 5" xfId="26848" xr:uid="{00000000-0005-0000-0000-00007F3B0000}"/>
    <cellStyle name="표준 5 2 2 4 3 2 2 2 2 6" xfId="35059" xr:uid="{00000000-0005-0000-0000-0000803B0000}"/>
    <cellStyle name="표준 5 2 2 4 3 2 2 2 2 7" xfId="43252" xr:uid="{00000000-0005-0000-0000-0000813B0000}"/>
    <cellStyle name="표준 5 2 2 4 3 2 2 2 3" xfId="8190" xr:uid="{00000000-0005-0000-0000-0000823B0000}"/>
    <cellStyle name="표준 5 2 2 4 3 2 2 2 3 2" xfId="28896" xr:uid="{00000000-0005-0000-0000-0000833B0000}"/>
    <cellStyle name="표준 5 2 2 4 3 2 2 2 3 3" xfId="37107" xr:uid="{00000000-0005-0000-0000-0000843B0000}"/>
    <cellStyle name="표준 5 2 2 4 3 2 2 2 3 4" xfId="45300" xr:uid="{00000000-0005-0000-0000-0000853B0000}"/>
    <cellStyle name="표준 5 2 2 4 3 2 2 2 4" xfId="12302" xr:uid="{00000000-0005-0000-0000-0000863B0000}"/>
    <cellStyle name="표준 5 2 2 4 3 2 2 2 5" xfId="16542" xr:uid="{00000000-0005-0000-0000-0000873B0000}"/>
    <cellStyle name="표준 5 2 2 4 3 2 2 2 6" xfId="20704" xr:uid="{00000000-0005-0000-0000-0000883B0000}"/>
    <cellStyle name="표준 5 2 2 4 3 2 2 2 7" xfId="24800" xr:uid="{00000000-0005-0000-0000-0000893B0000}"/>
    <cellStyle name="표준 5 2 2 4 3 2 2 2 8" xfId="33011" xr:uid="{00000000-0005-0000-0000-00008A3B0000}"/>
    <cellStyle name="표준 5 2 2 4 3 2 2 2 9" xfId="41204" xr:uid="{00000000-0005-0000-0000-00008B3B0000}"/>
    <cellStyle name="표준 5 2 2 4 3 2 2 3" xfId="1847" xr:uid="{00000000-0005-0000-0000-00008C3B0000}"/>
    <cellStyle name="표준 5 2 2 4 3 2 2 3 2" xfId="10750" xr:uid="{00000000-0005-0000-0000-00008D3B0000}"/>
    <cellStyle name="표준 5 2 2 4 3 2 2 3 2 2" xfId="14862" xr:uid="{00000000-0005-0000-0000-00008E3B0000}"/>
    <cellStyle name="표준 5 2 2 4 3 2 2 3 2 2 2" xfId="31456" xr:uid="{00000000-0005-0000-0000-00008F3B0000}"/>
    <cellStyle name="표준 5 2 2 4 3 2 2 3 2 2 3" xfId="39667" xr:uid="{00000000-0005-0000-0000-0000903B0000}"/>
    <cellStyle name="표준 5 2 2 4 3 2 2 3 2 2 4" xfId="47860" xr:uid="{00000000-0005-0000-0000-0000913B0000}"/>
    <cellStyle name="표준 5 2 2 4 3 2 2 3 2 3" xfId="19102" xr:uid="{00000000-0005-0000-0000-0000923B0000}"/>
    <cellStyle name="표준 5 2 2 4 3 2 2 3 2 4" xfId="23264" xr:uid="{00000000-0005-0000-0000-0000933B0000}"/>
    <cellStyle name="표준 5 2 2 4 3 2 2 3 2 5" xfId="27360" xr:uid="{00000000-0005-0000-0000-0000943B0000}"/>
    <cellStyle name="표준 5 2 2 4 3 2 2 3 2 6" xfId="35571" xr:uid="{00000000-0005-0000-0000-0000953B0000}"/>
    <cellStyle name="표준 5 2 2 4 3 2 2 3 2 7" xfId="43764" xr:uid="{00000000-0005-0000-0000-0000963B0000}"/>
    <cellStyle name="표준 5 2 2 4 3 2 2 3 3" xfId="8702" xr:uid="{00000000-0005-0000-0000-0000973B0000}"/>
    <cellStyle name="표준 5 2 2 4 3 2 2 3 3 2" xfId="29408" xr:uid="{00000000-0005-0000-0000-0000983B0000}"/>
    <cellStyle name="표준 5 2 2 4 3 2 2 3 3 3" xfId="37619" xr:uid="{00000000-0005-0000-0000-0000993B0000}"/>
    <cellStyle name="표준 5 2 2 4 3 2 2 3 3 4" xfId="45812" xr:uid="{00000000-0005-0000-0000-00009A3B0000}"/>
    <cellStyle name="표준 5 2 2 4 3 2 2 3 4" xfId="12814" xr:uid="{00000000-0005-0000-0000-00009B3B0000}"/>
    <cellStyle name="표준 5 2 2 4 3 2 2 3 5" xfId="17054" xr:uid="{00000000-0005-0000-0000-00009C3B0000}"/>
    <cellStyle name="표준 5 2 2 4 3 2 2 3 6" xfId="21216" xr:uid="{00000000-0005-0000-0000-00009D3B0000}"/>
    <cellStyle name="표준 5 2 2 4 3 2 2 3 7" xfId="25312" xr:uid="{00000000-0005-0000-0000-00009E3B0000}"/>
    <cellStyle name="표준 5 2 2 4 3 2 2 3 8" xfId="33523" xr:uid="{00000000-0005-0000-0000-00009F3B0000}"/>
    <cellStyle name="표준 5 2 2 4 3 2 2 3 9" xfId="41716" xr:uid="{00000000-0005-0000-0000-0000A03B0000}"/>
    <cellStyle name="표준 5 2 2 4 3 2 2 4" xfId="2359" xr:uid="{00000000-0005-0000-0000-0000A13B0000}"/>
    <cellStyle name="표준 5 2 2 4 3 2 2 4 2" xfId="11262" xr:uid="{00000000-0005-0000-0000-0000A23B0000}"/>
    <cellStyle name="표준 5 2 2 4 3 2 2 4 2 2" xfId="15374" xr:uid="{00000000-0005-0000-0000-0000A33B0000}"/>
    <cellStyle name="표준 5 2 2 4 3 2 2 4 2 2 2" xfId="31968" xr:uid="{00000000-0005-0000-0000-0000A43B0000}"/>
    <cellStyle name="표준 5 2 2 4 3 2 2 4 2 2 3" xfId="40179" xr:uid="{00000000-0005-0000-0000-0000A53B0000}"/>
    <cellStyle name="표준 5 2 2 4 3 2 2 4 2 2 4" xfId="48372" xr:uid="{00000000-0005-0000-0000-0000A63B0000}"/>
    <cellStyle name="표준 5 2 2 4 3 2 2 4 2 3" xfId="19614" xr:uid="{00000000-0005-0000-0000-0000A73B0000}"/>
    <cellStyle name="표준 5 2 2 4 3 2 2 4 2 4" xfId="23776" xr:uid="{00000000-0005-0000-0000-0000A83B0000}"/>
    <cellStyle name="표준 5 2 2 4 3 2 2 4 2 5" xfId="27872" xr:uid="{00000000-0005-0000-0000-0000A93B0000}"/>
    <cellStyle name="표준 5 2 2 4 3 2 2 4 2 6" xfId="36083" xr:uid="{00000000-0005-0000-0000-0000AA3B0000}"/>
    <cellStyle name="표준 5 2 2 4 3 2 2 4 2 7" xfId="44276" xr:uid="{00000000-0005-0000-0000-0000AB3B0000}"/>
    <cellStyle name="표준 5 2 2 4 3 2 2 4 3" xfId="9214" xr:uid="{00000000-0005-0000-0000-0000AC3B0000}"/>
    <cellStyle name="표준 5 2 2 4 3 2 2 4 3 2" xfId="29920" xr:uid="{00000000-0005-0000-0000-0000AD3B0000}"/>
    <cellStyle name="표준 5 2 2 4 3 2 2 4 3 3" xfId="38131" xr:uid="{00000000-0005-0000-0000-0000AE3B0000}"/>
    <cellStyle name="표준 5 2 2 4 3 2 2 4 3 4" xfId="46324" xr:uid="{00000000-0005-0000-0000-0000AF3B0000}"/>
    <cellStyle name="표준 5 2 2 4 3 2 2 4 4" xfId="13326" xr:uid="{00000000-0005-0000-0000-0000B03B0000}"/>
    <cellStyle name="표준 5 2 2 4 3 2 2 4 5" xfId="17566" xr:uid="{00000000-0005-0000-0000-0000B13B0000}"/>
    <cellStyle name="표준 5 2 2 4 3 2 2 4 6" xfId="21728" xr:uid="{00000000-0005-0000-0000-0000B23B0000}"/>
    <cellStyle name="표준 5 2 2 4 3 2 2 4 7" xfId="25824" xr:uid="{00000000-0005-0000-0000-0000B33B0000}"/>
    <cellStyle name="표준 5 2 2 4 3 2 2 4 8" xfId="34035" xr:uid="{00000000-0005-0000-0000-0000B43B0000}"/>
    <cellStyle name="표준 5 2 2 4 3 2 2 4 9" xfId="42228" xr:uid="{00000000-0005-0000-0000-0000B53B0000}"/>
    <cellStyle name="표준 5 2 2 4 3 2 2 5" xfId="9726" xr:uid="{00000000-0005-0000-0000-0000B63B0000}"/>
    <cellStyle name="표준 5 2 2 4 3 2 2 5 2" xfId="13838" xr:uid="{00000000-0005-0000-0000-0000B73B0000}"/>
    <cellStyle name="표준 5 2 2 4 3 2 2 5 2 2" xfId="30432" xr:uid="{00000000-0005-0000-0000-0000B83B0000}"/>
    <cellStyle name="표준 5 2 2 4 3 2 2 5 2 3" xfId="38643" xr:uid="{00000000-0005-0000-0000-0000B93B0000}"/>
    <cellStyle name="표준 5 2 2 4 3 2 2 5 2 4" xfId="46836" xr:uid="{00000000-0005-0000-0000-0000BA3B0000}"/>
    <cellStyle name="표준 5 2 2 4 3 2 2 5 3" xfId="18078" xr:uid="{00000000-0005-0000-0000-0000BB3B0000}"/>
    <cellStyle name="표준 5 2 2 4 3 2 2 5 4" xfId="22240" xr:uid="{00000000-0005-0000-0000-0000BC3B0000}"/>
    <cellStyle name="표준 5 2 2 4 3 2 2 5 5" xfId="26336" xr:uid="{00000000-0005-0000-0000-0000BD3B0000}"/>
    <cellStyle name="표준 5 2 2 4 3 2 2 5 6" xfId="34547" xr:uid="{00000000-0005-0000-0000-0000BE3B0000}"/>
    <cellStyle name="표준 5 2 2 4 3 2 2 5 7" xfId="42740" xr:uid="{00000000-0005-0000-0000-0000BF3B0000}"/>
    <cellStyle name="표준 5 2 2 4 3 2 2 6" xfId="7678" xr:uid="{00000000-0005-0000-0000-0000C03B0000}"/>
    <cellStyle name="표준 5 2 2 4 3 2 2 6 2" xfId="28384" xr:uid="{00000000-0005-0000-0000-0000C13B0000}"/>
    <cellStyle name="표준 5 2 2 4 3 2 2 6 3" xfId="36595" xr:uid="{00000000-0005-0000-0000-0000C23B0000}"/>
    <cellStyle name="표준 5 2 2 4 3 2 2 6 4" xfId="44788" xr:uid="{00000000-0005-0000-0000-0000C33B0000}"/>
    <cellStyle name="표준 5 2 2 4 3 2 2 7" xfId="11790" xr:uid="{00000000-0005-0000-0000-0000C43B0000}"/>
    <cellStyle name="표준 5 2 2 4 3 2 2 8" xfId="16030" xr:uid="{00000000-0005-0000-0000-0000C53B0000}"/>
    <cellStyle name="표준 5 2 2 4 3 2 2 9" xfId="20192" xr:uid="{00000000-0005-0000-0000-0000C63B0000}"/>
    <cellStyle name="표준 5 2 2 4 3 2 3" xfId="1079" xr:uid="{00000000-0005-0000-0000-0000C73B0000}"/>
    <cellStyle name="표준 5 2 2 4 3 2 3 2" xfId="9982" xr:uid="{00000000-0005-0000-0000-0000C83B0000}"/>
    <cellStyle name="표준 5 2 2 4 3 2 3 2 2" xfId="14094" xr:uid="{00000000-0005-0000-0000-0000C93B0000}"/>
    <cellStyle name="표준 5 2 2 4 3 2 3 2 2 2" xfId="30688" xr:uid="{00000000-0005-0000-0000-0000CA3B0000}"/>
    <cellStyle name="표준 5 2 2 4 3 2 3 2 2 3" xfId="38899" xr:uid="{00000000-0005-0000-0000-0000CB3B0000}"/>
    <cellStyle name="표준 5 2 2 4 3 2 3 2 2 4" xfId="47092" xr:uid="{00000000-0005-0000-0000-0000CC3B0000}"/>
    <cellStyle name="표준 5 2 2 4 3 2 3 2 3" xfId="18334" xr:uid="{00000000-0005-0000-0000-0000CD3B0000}"/>
    <cellStyle name="표준 5 2 2 4 3 2 3 2 4" xfId="22496" xr:uid="{00000000-0005-0000-0000-0000CE3B0000}"/>
    <cellStyle name="표준 5 2 2 4 3 2 3 2 5" xfId="26592" xr:uid="{00000000-0005-0000-0000-0000CF3B0000}"/>
    <cellStyle name="표준 5 2 2 4 3 2 3 2 6" xfId="34803" xr:uid="{00000000-0005-0000-0000-0000D03B0000}"/>
    <cellStyle name="표준 5 2 2 4 3 2 3 2 7" xfId="42996" xr:uid="{00000000-0005-0000-0000-0000D13B0000}"/>
    <cellStyle name="표준 5 2 2 4 3 2 3 3" xfId="7934" xr:uid="{00000000-0005-0000-0000-0000D23B0000}"/>
    <cellStyle name="표준 5 2 2 4 3 2 3 3 2" xfId="28640" xr:uid="{00000000-0005-0000-0000-0000D33B0000}"/>
    <cellStyle name="표준 5 2 2 4 3 2 3 3 3" xfId="36851" xr:uid="{00000000-0005-0000-0000-0000D43B0000}"/>
    <cellStyle name="표준 5 2 2 4 3 2 3 3 4" xfId="45044" xr:uid="{00000000-0005-0000-0000-0000D53B0000}"/>
    <cellStyle name="표준 5 2 2 4 3 2 3 4" xfId="12046" xr:uid="{00000000-0005-0000-0000-0000D63B0000}"/>
    <cellStyle name="표준 5 2 2 4 3 2 3 5" xfId="16286" xr:uid="{00000000-0005-0000-0000-0000D73B0000}"/>
    <cellStyle name="표준 5 2 2 4 3 2 3 6" xfId="20448" xr:uid="{00000000-0005-0000-0000-0000D83B0000}"/>
    <cellStyle name="표준 5 2 2 4 3 2 3 7" xfId="24544" xr:uid="{00000000-0005-0000-0000-0000D93B0000}"/>
    <cellStyle name="표준 5 2 2 4 3 2 3 8" xfId="32755" xr:uid="{00000000-0005-0000-0000-0000DA3B0000}"/>
    <cellStyle name="표준 5 2 2 4 3 2 3 9" xfId="40948" xr:uid="{00000000-0005-0000-0000-0000DB3B0000}"/>
    <cellStyle name="표준 5 2 2 4 3 2 4" xfId="1591" xr:uid="{00000000-0005-0000-0000-0000DC3B0000}"/>
    <cellStyle name="표준 5 2 2 4 3 2 4 2" xfId="10494" xr:uid="{00000000-0005-0000-0000-0000DD3B0000}"/>
    <cellStyle name="표준 5 2 2 4 3 2 4 2 2" xfId="14606" xr:uid="{00000000-0005-0000-0000-0000DE3B0000}"/>
    <cellStyle name="표준 5 2 2 4 3 2 4 2 2 2" xfId="31200" xr:uid="{00000000-0005-0000-0000-0000DF3B0000}"/>
    <cellStyle name="표준 5 2 2 4 3 2 4 2 2 3" xfId="39411" xr:uid="{00000000-0005-0000-0000-0000E03B0000}"/>
    <cellStyle name="표준 5 2 2 4 3 2 4 2 2 4" xfId="47604" xr:uid="{00000000-0005-0000-0000-0000E13B0000}"/>
    <cellStyle name="표준 5 2 2 4 3 2 4 2 3" xfId="18846" xr:uid="{00000000-0005-0000-0000-0000E23B0000}"/>
    <cellStyle name="표준 5 2 2 4 3 2 4 2 4" xfId="23008" xr:uid="{00000000-0005-0000-0000-0000E33B0000}"/>
    <cellStyle name="표준 5 2 2 4 3 2 4 2 5" xfId="27104" xr:uid="{00000000-0005-0000-0000-0000E43B0000}"/>
    <cellStyle name="표준 5 2 2 4 3 2 4 2 6" xfId="35315" xr:uid="{00000000-0005-0000-0000-0000E53B0000}"/>
    <cellStyle name="표준 5 2 2 4 3 2 4 2 7" xfId="43508" xr:uid="{00000000-0005-0000-0000-0000E63B0000}"/>
    <cellStyle name="표준 5 2 2 4 3 2 4 3" xfId="8446" xr:uid="{00000000-0005-0000-0000-0000E73B0000}"/>
    <cellStyle name="표준 5 2 2 4 3 2 4 3 2" xfId="29152" xr:uid="{00000000-0005-0000-0000-0000E83B0000}"/>
    <cellStyle name="표준 5 2 2 4 3 2 4 3 3" xfId="37363" xr:uid="{00000000-0005-0000-0000-0000E93B0000}"/>
    <cellStyle name="표준 5 2 2 4 3 2 4 3 4" xfId="45556" xr:uid="{00000000-0005-0000-0000-0000EA3B0000}"/>
    <cellStyle name="표준 5 2 2 4 3 2 4 4" xfId="12558" xr:uid="{00000000-0005-0000-0000-0000EB3B0000}"/>
    <cellStyle name="표준 5 2 2 4 3 2 4 5" xfId="16798" xr:uid="{00000000-0005-0000-0000-0000EC3B0000}"/>
    <cellStyle name="표준 5 2 2 4 3 2 4 6" xfId="20960" xr:uid="{00000000-0005-0000-0000-0000ED3B0000}"/>
    <cellStyle name="표준 5 2 2 4 3 2 4 7" xfId="25056" xr:uid="{00000000-0005-0000-0000-0000EE3B0000}"/>
    <cellStyle name="표준 5 2 2 4 3 2 4 8" xfId="33267" xr:uid="{00000000-0005-0000-0000-0000EF3B0000}"/>
    <cellStyle name="표준 5 2 2 4 3 2 4 9" xfId="41460" xr:uid="{00000000-0005-0000-0000-0000F03B0000}"/>
    <cellStyle name="표준 5 2 2 4 3 2 5" xfId="2103" xr:uid="{00000000-0005-0000-0000-0000F13B0000}"/>
    <cellStyle name="표준 5 2 2 4 3 2 5 2" xfId="11006" xr:uid="{00000000-0005-0000-0000-0000F23B0000}"/>
    <cellStyle name="표준 5 2 2 4 3 2 5 2 2" xfId="15118" xr:uid="{00000000-0005-0000-0000-0000F33B0000}"/>
    <cellStyle name="표준 5 2 2 4 3 2 5 2 2 2" xfId="31712" xr:uid="{00000000-0005-0000-0000-0000F43B0000}"/>
    <cellStyle name="표준 5 2 2 4 3 2 5 2 2 3" xfId="39923" xr:uid="{00000000-0005-0000-0000-0000F53B0000}"/>
    <cellStyle name="표준 5 2 2 4 3 2 5 2 2 4" xfId="48116" xr:uid="{00000000-0005-0000-0000-0000F63B0000}"/>
    <cellStyle name="표준 5 2 2 4 3 2 5 2 3" xfId="19358" xr:uid="{00000000-0005-0000-0000-0000F73B0000}"/>
    <cellStyle name="표준 5 2 2 4 3 2 5 2 4" xfId="23520" xr:uid="{00000000-0005-0000-0000-0000F83B0000}"/>
    <cellStyle name="표준 5 2 2 4 3 2 5 2 5" xfId="27616" xr:uid="{00000000-0005-0000-0000-0000F93B0000}"/>
    <cellStyle name="표준 5 2 2 4 3 2 5 2 6" xfId="35827" xr:uid="{00000000-0005-0000-0000-0000FA3B0000}"/>
    <cellStyle name="표준 5 2 2 4 3 2 5 2 7" xfId="44020" xr:uid="{00000000-0005-0000-0000-0000FB3B0000}"/>
    <cellStyle name="표준 5 2 2 4 3 2 5 3" xfId="8958" xr:uid="{00000000-0005-0000-0000-0000FC3B0000}"/>
    <cellStyle name="표준 5 2 2 4 3 2 5 3 2" xfId="29664" xr:uid="{00000000-0005-0000-0000-0000FD3B0000}"/>
    <cellStyle name="표준 5 2 2 4 3 2 5 3 3" xfId="37875" xr:uid="{00000000-0005-0000-0000-0000FE3B0000}"/>
    <cellStyle name="표준 5 2 2 4 3 2 5 3 4" xfId="46068" xr:uid="{00000000-0005-0000-0000-0000FF3B0000}"/>
    <cellStyle name="표준 5 2 2 4 3 2 5 4" xfId="13070" xr:uid="{00000000-0005-0000-0000-0000003C0000}"/>
    <cellStyle name="표준 5 2 2 4 3 2 5 5" xfId="17310" xr:uid="{00000000-0005-0000-0000-0000013C0000}"/>
    <cellStyle name="표준 5 2 2 4 3 2 5 6" xfId="21472" xr:uid="{00000000-0005-0000-0000-0000023C0000}"/>
    <cellStyle name="표준 5 2 2 4 3 2 5 7" xfId="25568" xr:uid="{00000000-0005-0000-0000-0000033C0000}"/>
    <cellStyle name="표준 5 2 2 4 3 2 5 8" xfId="33779" xr:uid="{00000000-0005-0000-0000-0000043C0000}"/>
    <cellStyle name="표준 5 2 2 4 3 2 5 9" xfId="41972" xr:uid="{00000000-0005-0000-0000-0000053C0000}"/>
    <cellStyle name="표준 5 2 2 4 3 2 6" xfId="9470" xr:uid="{00000000-0005-0000-0000-0000063C0000}"/>
    <cellStyle name="표준 5 2 2 4 3 2 6 2" xfId="13582" xr:uid="{00000000-0005-0000-0000-0000073C0000}"/>
    <cellStyle name="표준 5 2 2 4 3 2 6 2 2" xfId="30176" xr:uid="{00000000-0005-0000-0000-0000083C0000}"/>
    <cellStyle name="표준 5 2 2 4 3 2 6 2 3" xfId="38387" xr:uid="{00000000-0005-0000-0000-0000093C0000}"/>
    <cellStyle name="표준 5 2 2 4 3 2 6 2 4" xfId="46580" xr:uid="{00000000-0005-0000-0000-00000A3C0000}"/>
    <cellStyle name="표준 5 2 2 4 3 2 6 3" xfId="17822" xr:uid="{00000000-0005-0000-0000-00000B3C0000}"/>
    <cellStyle name="표준 5 2 2 4 3 2 6 4" xfId="21984" xr:uid="{00000000-0005-0000-0000-00000C3C0000}"/>
    <cellStyle name="표준 5 2 2 4 3 2 6 5" xfId="26080" xr:uid="{00000000-0005-0000-0000-00000D3C0000}"/>
    <cellStyle name="표준 5 2 2 4 3 2 6 6" xfId="34291" xr:uid="{00000000-0005-0000-0000-00000E3C0000}"/>
    <cellStyle name="표준 5 2 2 4 3 2 6 7" xfId="42484" xr:uid="{00000000-0005-0000-0000-00000F3C0000}"/>
    <cellStyle name="표준 5 2 2 4 3 2 7" xfId="7422" xr:uid="{00000000-0005-0000-0000-0000103C0000}"/>
    <cellStyle name="표준 5 2 2 4 3 2 7 2" xfId="28128" xr:uid="{00000000-0005-0000-0000-0000113C0000}"/>
    <cellStyle name="표준 5 2 2 4 3 2 7 3" xfId="36339" xr:uid="{00000000-0005-0000-0000-0000123C0000}"/>
    <cellStyle name="표준 5 2 2 4 3 2 7 4" xfId="44532" xr:uid="{00000000-0005-0000-0000-0000133C0000}"/>
    <cellStyle name="표준 5 2 2 4 3 2 8" xfId="11534" xr:uid="{00000000-0005-0000-0000-0000143C0000}"/>
    <cellStyle name="표준 5 2 2 4 3 2 9" xfId="15774" xr:uid="{00000000-0005-0000-0000-0000153C0000}"/>
    <cellStyle name="표준 5 2 2 4 3 3" xfId="695" xr:uid="{00000000-0005-0000-0000-0000163C0000}"/>
    <cellStyle name="표준 5 2 2 4 3 3 10" xfId="24160" xr:uid="{00000000-0005-0000-0000-0000173C0000}"/>
    <cellStyle name="표준 5 2 2 4 3 3 11" xfId="32371" xr:uid="{00000000-0005-0000-0000-0000183C0000}"/>
    <cellStyle name="표준 5 2 2 4 3 3 12" xfId="40564" xr:uid="{00000000-0005-0000-0000-0000193C0000}"/>
    <cellStyle name="표준 5 2 2 4 3 3 2" xfId="1207" xr:uid="{00000000-0005-0000-0000-00001A3C0000}"/>
    <cellStyle name="표준 5 2 2 4 3 3 2 2" xfId="10110" xr:uid="{00000000-0005-0000-0000-00001B3C0000}"/>
    <cellStyle name="표준 5 2 2 4 3 3 2 2 2" xfId="14222" xr:uid="{00000000-0005-0000-0000-00001C3C0000}"/>
    <cellStyle name="표준 5 2 2 4 3 3 2 2 2 2" xfId="30816" xr:uid="{00000000-0005-0000-0000-00001D3C0000}"/>
    <cellStyle name="표준 5 2 2 4 3 3 2 2 2 3" xfId="39027" xr:uid="{00000000-0005-0000-0000-00001E3C0000}"/>
    <cellStyle name="표준 5 2 2 4 3 3 2 2 2 4" xfId="47220" xr:uid="{00000000-0005-0000-0000-00001F3C0000}"/>
    <cellStyle name="표준 5 2 2 4 3 3 2 2 3" xfId="18462" xr:uid="{00000000-0005-0000-0000-0000203C0000}"/>
    <cellStyle name="표준 5 2 2 4 3 3 2 2 4" xfId="22624" xr:uid="{00000000-0005-0000-0000-0000213C0000}"/>
    <cellStyle name="표준 5 2 2 4 3 3 2 2 5" xfId="26720" xr:uid="{00000000-0005-0000-0000-0000223C0000}"/>
    <cellStyle name="표준 5 2 2 4 3 3 2 2 6" xfId="34931" xr:uid="{00000000-0005-0000-0000-0000233C0000}"/>
    <cellStyle name="표준 5 2 2 4 3 3 2 2 7" xfId="43124" xr:uid="{00000000-0005-0000-0000-0000243C0000}"/>
    <cellStyle name="표준 5 2 2 4 3 3 2 3" xfId="8062" xr:uid="{00000000-0005-0000-0000-0000253C0000}"/>
    <cellStyle name="표준 5 2 2 4 3 3 2 3 2" xfId="28768" xr:uid="{00000000-0005-0000-0000-0000263C0000}"/>
    <cellStyle name="표준 5 2 2 4 3 3 2 3 3" xfId="36979" xr:uid="{00000000-0005-0000-0000-0000273C0000}"/>
    <cellStyle name="표준 5 2 2 4 3 3 2 3 4" xfId="45172" xr:uid="{00000000-0005-0000-0000-0000283C0000}"/>
    <cellStyle name="표준 5 2 2 4 3 3 2 4" xfId="12174" xr:uid="{00000000-0005-0000-0000-0000293C0000}"/>
    <cellStyle name="표준 5 2 2 4 3 3 2 5" xfId="16414" xr:uid="{00000000-0005-0000-0000-00002A3C0000}"/>
    <cellStyle name="표준 5 2 2 4 3 3 2 6" xfId="20576" xr:uid="{00000000-0005-0000-0000-00002B3C0000}"/>
    <cellStyle name="표준 5 2 2 4 3 3 2 7" xfId="24672" xr:uid="{00000000-0005-0000-0000-00002C3C0000}"/>
    <cellStyle name="표준 5 2 2 4 3 3 2 8" xfId="32883" xr:uid="{00000000-0005-0000-0000-00002D3C0000}"/>
    <cellStyle name="표준 5 2 2 4 3 3 2 9" xfId="41076" xr:uid="{00000000-0005-0000-0000-00002E3C0000}"/>
    <cellStyle name="표준 5 2 2 4 3 3 3" xfId="1719" xr:uid="{00000000-0005-0000-0000-00002F3C0000}"/>
    <cellStyle name="표준 5 2 2 4 3 3 3 2" xfId="10622" xr:uid="{00000000-0005-0000-0000-0000303C0000}"/>
    <cellStyle name="표준 5 2 2 4 3 3 3 2 2" xfId="14734" xr:uid="{00000000-0005-0000-0000-0000313C0000}"/>
    <cellStyle name="표준 5 2 2 4 3 3 3 2 2 2" xfId="31328" xr:uid="{00000000-0005-0000-0000-0000323C0000}"/>
    <cellStyle name="표준 5 2 2 4 3 3 3 2 2 3" xfId="39539" xr:uid="{00000000-0005-0000-0000-0000333C0000}"/>
    <cellStyle name="표준 5 2 2 4 3 3 3 2 2 4" xfId="47732" xr:uid="{00000000-0005-0000-0000-0000343C0000}"/>
    <cellStyle name="표준 5 2 2 4 3 3 3 2 3" xfId="18974" xr:uid="{00000000-0005-0000-0000-0000353C0000}"/>
    <cellStyle name="표준 5 2 2 4 3 3 3 2 4" xfId="23136" xr:uid="{00000000-0005-0000-0000-0000363C0000}"/>
    <cellStyle name="표준 5 2 2 4 3 3 3 2 5" xfId="27232" xr:uid="{00000000-0005-0000-0000-0000373C0000}"/>
    <cellStyle name="표준 5 2 2 4 3 3 3 2 6" xfId="35443" xr:uid="{00000000-0005-0000-0000-0000383C0000}"/>
    <cellStyle name="표준 5 2 2 4 3 3 3 2 7" xfId="43636" xr:uid="{00000000-0005-0000-0000-0000393C0000}"/>
    <cellStyle name="표준 5 2 2 4 3 3 3 3" xfId="8574" xr:uid="{00000000-0005-0000-0000-00003A3C0000}"/>
    <cellStyle name="표준 5 2 2 4 3 3 3 3 2" xfId="29280" xr:uid="{00000000-0005-0000-0000-00003B3C0000}"/>
    <cellStyle name="표준 5 2 2 4 3 3 3 3 3" xfId="37491" xr:uid="{00000000-0005-0000-0000-00003C3C0000}"/>
    <cellStyle name="표준 5 2 2 4 3 3 3 3 4" xfId="45684" xr:uid="{00000000-0005-0000-0000-00003D3C0000}"/>
    <cellStyle name="표준 5 2 2 4 3 3 3 4" xfId="12686" xr:uid="{00000000-0005-0000-0000-00003E3C0000}"/>
    <cellStyle name="표준 5 2 2 4 3 3 3 5" xfId="16926" xr:uid="{00000000-0005-0000-0000-00003F3C0000}"/>
    <cellStyle name="표준 5 2 2 4 3 3 3 6" xfId="21088" xr:uid="{00000000-0005-0000-0000-0000403C0000}"/>
    <cellStyle name="표준 5 2 2 4 3 3 3 7" xfId="25184" xr:uid="{00000000-0005-0000-0000-0000413C0000}"/>
    <cellStyle name="표준 5 2 2 4 3 3 3 8" xfId="33395" xr:uid="{00000000-0005-0000-0000-0000423C0000}"/>
    <cellStyle name="표준 5 2 2 4 3 3 3 9" xfId="41588" xr:uid="{00000000-0005-0000-0000-0000433C0000}"/>
    <cellStyle name="표준 5 2 2 4 3 3 4" xfId="2231" xr:uid="{00000000-0005-0000-0000-0000443C0000}"/>
    <cellStyle name="표준 5 2 2 4 3 3 4 2" xfId="11134" xr:uid="{00000000-0005-0000-0000-0000453C0000}"/>
    <cellStyle name="표준 5 2 2 4 3 3 4 2 2" xfId="15246" xr:uid="{00000000-0005-0000-0000-0000463C0000}"/>
    <cellStyle name="표준 5 2 2 4 3 3 4 2 2 2" xfId="31840" xr:uid="{00000000-0005-0000-0000-0000473C0000}"/>
    <cellStyle name="표준 5 2 2 4 3 3 4 2 2 3" xfId="40051" xr:uid="{00000000-0005-0000-0000-0000483C0000}"/>
    <cellStyle name="표준 5 2 2 4 3 3 4 2 2 4" xfId="48244" xr:uid="{00000000-0005-0000-0000-0000493C0000}"/>
    <cellStyle name="표준 5 2 2 4 3 3 4 2 3" xfId="19486" xr:uid="{00000000-0005-0000-0000-00004A3C0000}"/>
    <cellStyle name="표준 5 2 2 4 3 3 4 2 4" xfId="23648" xr:uid="{00000000-0005-0000-0000-00004B3C0000}"/>
    <cellStyle name="표준 5 2 2 4 3 3 4 2 5" xfId="27744" xr:uid="{00000000-0005-0000-0000-00004C3C0000}"/>
    <cellStyle name="표준 5 2 2 4 3 3 4 2 6" xfId="35955" xr:uid="{00000000-0005-0000-0000-00004D3C0000}"/>
    <cellStyle name="표준 5 2 2 4 3 3 4 2 7" xfId="44148" xr:uid="{00000000-0005-0000-0000-00004E3C0000}"/>
    <cellStyle name="표준 5 2 2 4 3 3 4 3" xfId="9086" xr:uid="{00000000-0005-0000-0000-00004F3C0000}"/>
    <cellStyle name="표준 5 2 2 4 3 3 4 3 2" xfId="29792" xr:uid="{00000000-0005-0000-0000-0000503C0000}"/>
    <cellStyle name="표준 5 2 2 4 3 3 4 3 3" xfId="38003" xr:uid="{00000000-0005-0000-0000-0000513C0000}"/>
    <cellStyle name="표준 5 2 2 4 3 3 4 3 4" xfId="46196" xr:uid="{00000000-0005-0000-0000-0000523C0000}"/>
    <cellStyle name="표준 5 2 2 4 3 3 4 4" xfId="13198" xr:uid="{00000000-0005-0000-0000-0000533C0000}"/>
    <cellStyle name="표준 5 2 2 4 3 3 4 5" xfId="17438" xr:uid="{00000000-0005-0000-0000-0000543C0000}"/>
    <cellStyle name="표준 5 2 2 4 3 3 4 6" xfId="21600" xr:uid="{00000000-0005-0000-0000-0000553C0000}"/>
    <cellStyle name="표준 5 2 2 4 3 3 4 7" xfId="25696" xr:uid="{00000000-0005-0000-0000-0000563C0000}"/>
    <cellStyle name="표준 5 2 2 4 3 3 4 8" xfId="33907" xr:uid="{00000000-0005-0000-0000-0000573C0000}"/>
    <cellStyle name="표준 5 2 2 4 3 3 4 9" xfId="42100" xr:uid="{00000000-0005-0000-0000-0000583C0000}"/>
    <cellStyle name="표준 5 2 2 4 3 3 5" xfId="9598" xr:uid="{00000000-0005-0000-0000-0000593C0000}"/>
    <cellStyle name="표준 5 2 2 4 3 3 5 2" xfId="13710" xr:uid="{00000000-0005-0000-0000-00005A3C0000}"/>
    <cellStyle name="표준 5 2 2 4 3 3 5 2 2" xfId="30304" xr:uid="{00000000-0005-0000-0000-00005B3C0000}"/>
    <cellStyle name="표준 5 2 2 4 3 3 5 2 3" xfId="38515" xr:uid="{00000000-0005-0000-0000-00005C3C0000}"/>
    <cellStyle name="표준 5 2 2 4 3 3 5 2 4" xfId="46708" xr:uid="{00000000-0005-0000-0000-00005D3C0000}"/>
    <cellStyle name="표준 5 2 2 4 3 3 5 3" xfId="17950" xr:uid="{00000000-0005-0000-0000-00005E3C0000}"/>
    <cellStyle name="표준 5 2 2 4 3 3 5 4" xfId="22112" xr:uid="{00000000-0005-0000-0000-00005F3C0000}"/>
    <cellStyle name="표준 5 2 2 4 3 3 5 5" xfId="26208" xr:uid="{00000000-0005-0000-0000-0000603C0000}"/>
    <cellStyle name="표준 5 2 2 4 3 3 5 6" xfId="34419" xr:uid="{00000000-0005-0000-0000-0000613C0000}"/>
    <cellStyle name="표준 5 2 2 4 3 3 5 7" xfId="42612" xr:uid="{00000000-0005-0000-0000-0000623C0000}"/>
    <cellStyle name="표준 5 2 2 4 3 3 6" xfId="7550" xr:uid="{00000000-0005-0000-0000-0000633C0000}"/>
    <cellStyle name="표준 5 2 2 4 3 3 6 2" xfId="28256" xr:uid="{00000000-0005-0000-0000-0000643C0000}"/>
    <cellStyle name="표준 5 2 2 4 3 3 6 3" xfId="36467" xr:uid="{00000000-0005-0000-0000-0000653C0000}"/>
    <cellStyle name="표준 5 2 2 4 3 3 6 4" xfId="44660" xr:uid="{00000000-0005-0000-0000-0000663C0000}"/>
    <cellStyle name="표준 5 2 2 4 3 3 7" xfId="11662" xr:uid="{00000000-0005-0000-0000-0000673C0000}"/>
    <cellStyle name="표준 5 2 2 4 3 3 8" xfId="15902" xr:uid="{00000000-0005-0000-0000-0000683C0000}"/>
    <cellStyle name="표준 5 2 2 4 3 3 9" xfId="20064" xr:uid="{00000000-0005-0000-0000-0000693C0000}"/>
    <cellStyle name="표준 5 2 2 4 3 4" xfId="951" xr:uid="{00000000-0005-0000-0000-00006A3C0000}"/>
    <cellStyle name="표준 5 2 2 4 3 4 2" xfId="9854" xr:uid="{00000000-0005-0000-0000-00006B3C0000}"/>
    <cellStyle name="표준 5 2 2 4 3 4 2 2" xfId="13966" xr:uid="{00000000-0005-0000-0000-00006C3C0000}"/>
    <cellStyle name="표준 5 2 2 4 3 4 2 2 2" xfId="30560" xr:uid="{00000000-0005-0000-0000-00006D3C0000}"/>
    <cellStyle name="표준 5 2 2 4 3 4 2 2 3" xfId="38771" xr:uid="{00000000-0005-0000-0000-00006E3C0000}"/>
    <cellStyle name="표준 5 2 2 4 3 4 2 2 4" xfId="46964" xr:uid="{00000000-0005-0000-0000-00006F3C0000}"/>
    <cellStyle name="표준 5 2 2 4 3 4 2 3" xfId="18206" xr:uid="{00000000-0005-0000-0000-0000703C0000}"/>
    <cellStyle name="표준 5 2 2 4 3 4 2 4" xfId="22368" xr:uid="{00000000-0005-0000-0000-0000713C0000}"/>
    <cellStyle name="표준 5 2 2 4 3 4 2 5" xfId="26464" xr:uid="{00000000-0005-0000-0000-0000723C0000}"/>
    <cellStyle name="표준 5 2 2 4 3 4 2 6" xfId="34675" xr:uid="{00000000-0005-0000-0000-0000733C0000}"/>
    <cellStyle name="표준 5 2 2 4 3 4 2 7" xfId="42868" xr:uid="{00000000-0005-0000-0000-0000743C0000}"/>
    <cellStyle name="표준 5 2 2 4 3 4 3" xfId="7806" xr:uid="{00000000-0005-0000-0000-0000753C0000}"/>
    <cellStyle name="표준 5 2 2 4 3 4 3 2" xfId="28512" xr:uid="{00000000-0005-0000-0000-0000763C0000}"/>
    <cellStyle name="표준 5 2 2 4 3 4 3 3" xfId="36723" xr:uid="{00000000-0005-0000-0000-0000773C0000}"/>
    <cellStyle name="표준 5 2 2 4 3 4 3 4" xfId="44916" xr:uid="{00000000-0005-0000-0000-0000783C0000}"/>
    <cellStyle name="표준 5 2 2 4 3 4 4" xfId="11918" xr:uid="{00000000-0005-0000-0000-0000793C0000}"/>
    <cellStyle name="표준 5 2 2 4 3 4 5" xfId="16158" xr:uid="{00000000-0005-0000-0000-00007A3C0000}"/>
    <cellStyle name="표준 5 2 2 4 3 4 6" xfId="20320" xr:uid="{00000000-0005-0000-0000-00007B3C0000}"/>
    <cellStyle name="표준 5 2 2 4 3 4 7" xfId="24416" xr:uid="{00000000-0005-0000-0000-00007C3C0000}"/>
    <cellStyle name="표준 5 2 2 4 3 4 8" xfId="32627" xr:uid="{00000000-0005-0000-0000-00007D3C0000}"/>
    <cellStyle name="표준 5 2 2 4 3 4 9" xfId="40820" xr:uid="{00000000-0005-0000-0000-00007E3C0000}"/>
    <cellStyle name="표준 5 2 2 4 3 5" xfId="1463" xr:uid="{00000000-0005-0000-0000-00007F3C0000}"/>
    <cellStyle name="표준 5 2 2 4 3 5 2" xfId="10366" xr:uid="{00000000-0005-0000-0000-0000803C0000}"/>
    <cellStyle name="표준 5 2 2 4 3 5 2 2" xfId="14478" xr:uid="{00000000-0005-0000-0000-0000813C0000}"/>
    <cellStyle name="표준 5 2 2 4 3 5 2 2 2" xfId="31072" xr:uid="{00000000-0005-0000-0000-0000823C0000}"/>
    <cellStyle name="표준 5 2 2 4 3 5 2 2 3" xfId="39283" xr:uid="{00000000-0005-0000-0000-0000833C0000}"/>
    <cellStyle name="표준 5 2 2 4 3 5 2 2 4" xfId="47476" xr:uid="{00000000-0005-0000-0000-0000843C0000}"/>
    <cellStyle name="표준 5 2 2 4 3 5 2 3" xfId="18718" xr:uid="{00000000-0005-0000-0000-0000853C0000}"/>
    <cellStyle name="표준 5 2 2 4 3 5 2 4" xfId="22880" xr:uid="{00000000-0005-0000-0000-0000863C0000}"/>
    <cellStyle name="표준 5 2 2 4 3 5 2 5" xfId="26976" xr:uid="{00000000-0005-0000-0000-0000873C0000}"/>
    <cellStyle name="표준 5 2 2 4 3 5 2 6" xfId="35187" xr:uid="{00000000-0005-0000-0000-0000883C0000}"/>
    <cellStyle name="표준 5 2 2 4 3 5 2 7" xfId="43380" xr:uid="{00000000-0005-0000-0000-0000893C0000}"/>
    <cellStyle name="표준 5 2 2 4 3 5 3" xfId="8318" xr:uid="{00000000-0005-0000-0000-00008A3C0000}"/>
    <cellStyle name="표준 5 2 2 4 3 5 3 2" xfId="29024" xr:uid="{00000000-0005-0000-0000-00008B3C0000}"/>
    <cellStyle name="표준 5 2 2 4 3 5 3 3" xfId="37235" xr:uid="{00000000-0005-0000-0000-00008C3C0000}"/>
    <cellStyle name="표준 5 2 2 4 3 5 3 4" xfId="45428" xr:uid="{00000000-0005-0000-0000-00008D3C0000}"/>
    <cellStyle name="표준 5 2 2 4 3 5 4" xfId="12430" xr:uid="{00000000-0005-0000-0000-00008E3C0000}"/>
    <cellStyle name="표준 5 2 2 4 3 5 5" xfId="16670" xr:uid="{00000000-0005-0000-0000-00008F3C0000}"/>
    <cellStyle name="표준 5 2 2 4 3 5 6" xfId="20832" xr:uid="{00000000-0005-0000-0000-0000903C0000}"/>
    <cellStyle name="표준 5 2 2 4 3 5 7" xfId="24928" xr:uid="{00000000-0005-0000-0000-0000913C0000}"/>
    <cellStyle name="표준 5 2 2 4 3 5 8" xfId="33139" xr:uid="{00000000-0005-0000-0000-0000923C0000}"/>
    <cellStyle name="표준 5 2 2 4 3 5 9" xfId="41332" xr:uid="{00000000-0005-0000-0000-0000933C0000}"/>
    <cellStyle name="표준 5 2 2 4 3 6" xfId="1975" xr:uid="{00000000-0005-0000-0000-0000943C0000}"/>
    <cellStyle name="표준 5 2 2 4 3 6 2" xfId="10878" xr:uid="{00000000-0005-0000-0000-0000953C0000}"/>
    <cellStyle name="표준 5 2 2 4 3 6 2 2" xfId="14990" xr:uid="{00000000-0005-0000-0000-0000963C0000}"/>
    <cellStyle name="표준 5 2 2 4 3 6 2 2 2" xfId="31584" xr:uid="{00000000-0005-0000-0000-0000973C0000}"/>
    <cellStyle name="표준 5 2 2 4 3 6 2 2 3" xfId="39795" xr:uid="{00000000-0005-0000-0000-0000983C0000}"/>
    <cellStyle name="표준 5 2 2 4 3 6 2 2 4" xfId="47988" xr:uid="{00000000-0005-0000-0000-0000993C0000}"/>
    <cellStyle name="표준 5 2 2 4 3 6 2 3" xfId="19230" xr:uid="{00000000-0005-0000-0000-00009A3C0000}"/>
    <cellStyle name="표준 5 2 2 4 3 6 2 4" xfId="23392" xr:uid="{00000000-0005-0000-0000-00009B3C0000}"/>
    <cellStyle name="표준 5 2 2 4 3 6 2 5" xfId="27488" xr:uid="{00000000-0005-0000-0000-00009C3C0000}"/>
    <cellStyle name="표준 5 2 2 4 3 6 2 6" xfId="35699" xr:uid="{00000000-0005-0000-0000-00009D3C0000}"/>
    <cellStyle name="표준 5 2 2 4 3 6 2 7" xfId="43892" xr:uid="{00000000-0005-0000-0000-00009E3C0000}"/>
    <cellStyle name="표준 5 2 2 4 3 6 3" xfId="8830" xr:uid="{00000000-0005-0000-0000-00009F3C0000}"/>
    <cellStyle name="표준 5 2 2 4 3 6 3 2" xfId="29536" xr:uid="{00000000-0005-0000-0000-0000A03C0000}"/>
    <cellStyle name="표준 5 2 2 4 3 6 3 3" xfId="37747" xr:uid="{00000000-0005-0000-0000-0000A13C0000}"/>
    <cellStyle name="표준 5 2 2 4 3 6 3 4" xfId="45940" xr:uid="{00000000-0005-0000-0000-0000A23C0000}"/>
    <cellStyle name="표준 5 2 2 4 3 6 4" xfId="12942" xr:uid="{00000000-0005-0000-0000-0000A33C0000}"/>
    <cellStyle name="표준 5 2 2 4 3 6 5" xfId="17182" xr:uid="{00000000-0005-0000-0000-0000A43C0000}"/>
    <cellStyle name="표준 5 2 2 4 3 6 6" xfId="21344" xr:uid="{00000000-0005-0000-0000-0000A53C0000}"/>
    <cellStyle name="표준 5 2 2 4 3 6 7" xfId="25440" xr:uid="{00000000-0005-0000-0000-0000A63C0000}"/>
    <cellStyle name="표준 5 2 2 4 3 6 8" xfId="33651" xr:uid="{00000000-0005-0000-0000-0000A73C0000}"/>
    <cellStyle name="표준 5 2 2 4 3 6 9" xfId="41844" xr:uid="{00000000-0005-0000-0000-0000A83C0000}"/>
    <cellStyle name="표준 5 2 2 4 3 7" xfId="9342" xr:uid="{00000000-0005-0000-0000-0000A93C0000}"/>
    <cellStyle name="표준 5 2 2 4 3 7 2" xfId="13454" xr:uid="{00000000-0005-0000-0000-0000AA3C0000}"/>
    <cellStyle name="표준 5 2 2 4 3 7 2 2" xfId="30048" xr:uid="{00000000-0005-0000-0000-0000AB3C0000}"/>
    <cellStyle name="표준 5 2 2 4 3 7 2 3" xfId="38259" xr:uid="{00000000-0005-0000-0000-0000AC3C0000}"/>
    <cellStyle name="표준 5 2 2 4 3 7 2 4" xfId="46452" xr:uid="{00000000-0005-0000-0000-0000AD3C0000}"/>
    <cellStyle name="표준 5 2 2 4 3 7 3" xfId="17694" xr:uid="{00000000-0005-0000-0000-0000AE3C0000}"/>
    <cellStyle name="표준 5 2 2 4 3 7 4" xfId="21856" xr:uid="{00000000-0005-0000-0000-0000AF3C0000}"/>
    <cellStyle name="표준 5 2 2 4 3 7 5" xfId="25952" xr:uid="{00000000-0005-0000-0000-0000B03C0000}"/>
    <cellStyle name="표준 5 2 2 4 3 7 6" xfId="34163" xr:uid="{00000000-0005-0000-0000-0000B13C0000}"/>
    <cellStyle name="표준 5 2 2 4 3 7 7" xfId="42356" xr:uid="{00000000-0005-0000-0000-0000B23C0000}"/>
    <cellStyle name="표준 5 2 2 4 3 8" xfId="7294" xr:uid="{00000000-0005-0000-0000-0000B33C0000}"/>
    <cellStyle name="표준 5 2 2 4 3 8 2" xfId="28000" xr:uid="{00000000-0005-0000-0000-0000B43C0000}"/>
    <cellStyle name="표준 5 2 2 4 3 8 3" xfId="36211" xr:uid="{00000000-0005-0000-0000-0000B53C0000}"/>
    <cellStyle name="표준 5 2 2 4 3 8 4" xfId="44404" xr:uid="{00000000-0005-0000-0000-0000B63C0000}"/>
    <cellStyle name="표준 5 2 2 4 3 9" xfId="11406" xr:uid="{00000000-0005-0000-0000-0000B73C0000}"/>
    <cellStyle name="표준 5 2 2 4 4" xfId="503" xr:uid="{00000000-0005-0000-0000-0000B83C0000}"/>
    <cellStyle name="표준 5 2 2 4 4 10" xfId="19872" xr:uid="{00000000-0005-0000-0000-0000B93C0000}"/>
    <cellStyle name="표준 5 2 2 4 4 11" xfId="23968" xr:uid="{00000000-0005-0000-0000-0000BA3C0000}"/>
    <cellStyle name="표준 5 2 2 4 4 12" xfId="32179" xr:uid="{00000000-0005-0000-0000-0000BB3C0000}"/>
    <cellStyle name="표준 5 2 2 4 4 13" xfId="40372" xr:uid="{00000000-0005-0000-0000-0000BC3C0000}"/>
    <cellStyle name="표준 5 2 2 4 4 2" xfId="759" xr:uid="{00000000-0005-0000-0000-0000BD3C0000}"/>
    <cellStyle name="표준 5 2 2 4 4 2 10" xfId="24224" xr:uid="{00000000-0005-0000-0000-0000BE3C0000}"/>
    <cellStyle name="표준 5 2 2 4 4 2 11" xfId="32435" xr:uid="{00000000-0005-0000-0000-0000BF3C0000}"/>
    <cellStyle name="표준 5 2 2 4 4 2 12" xfId="40628" xr:uid="{00000000-0005-0000-0000-0000C03C0000}"/>
    <cellStyle name="표준 5 2 2 4 4 2 2" xfId="1271" xr:uid="{00000000-0005-0000-0000-0000C13C0000}"/>
    <cellStyle name="표준 5 2 2 4 4 2 2 2" xfId="10174" xr:uid="{00000000-0005-0000-0000-0000C23C0000}"/>
    <cellStyle name="표준 5 2 2 4 4 2 2 2 2" xfId="14286" xr:uid="{00000000-0005-0000-0000-0000C33C0000}"/>
    <cellStyle name="표준 5 2 2 4 4 2 2 2 2 2" xfId="30880" xr:uid="{00000000-0005-0000-0000-0000C43C0000}"/>
    <cellStyle name="표준 5 2 2 4 4 2 2 2 2 3" xfId="39091" xr:uid="{00000000-0005-0000-0000-0000C53C0000}"/>
    <cellStyle name="표준 5 2 2 4 4 2 2 2 2 4" xfId="47284" xr:uid="{00000000-0005-0000-0000-0000C63C0000}"/>
    <cellStyle name="표준 5 2 2 4 4 2 2 2 3" xfId="18526" xr:uid="{00000000-0005-0000-0000-0000C73C0000}"/>
    <cellStyle name="표준 5 2 2 4 4 2 2 2 4" xfId="22688" xr:uid="{00000000-0005-0000-0000-0000C83C0000}"/>
    <cellStyle name="표준 5 2 2 4 4 2 2 2 5" xfId="26784" xr:uid="{00000000-0005-0000-0000-0000C93C0000}"/>
    <cellStyle name="표준 5 2 2 4 4 2 2 2 6" xfId="34995" xr:uid="{00000000-0005-0000-0000-0000CA3C0000}"/>
    <cellStyle name="표준 5 2 2 4 4 2 2 2 7" xfId="43188" xr:uid="{00000000-0005-0000-0000-0000CB3C0000}"/>
    <cellStyle name="표준 5 2 2 4 4 2 2 3" xfId="8126" xr:uid="{00000000-0005-0000-0000-0000CC3C0000}"/>
    <cellStyle name="표준 5 2 2 4 4 2 2 3 2" xfId="28832" xr:uid="{00000000-0005-0000-0000-0000CD3C0000}"/>
    <cellStyle name="표준 5 2 2 4 4 2 2 3 3" xfId="37043" xr:uid="{00000000-0005-0000-0000-0000CE3C0000}"/>
    <cellStyle name="표준 5 2 2 4 4 2 2 3 4" xfId="45236" xr:uid="{00000000-0005-0000-0000-0000CF3C0000}"/>
    <cellStyle name="표준 5 2 2 4 4 2 2 4" xfId="12238" xr:uid="{00000000-0005-0000-0000-0000D03C0000}"/>
    <cellStyle name="표준 5 2 2 4 4 2 2 5" xfId="16478" xr:uid="{00000000-0005-0000-0000-0000D13C0000}"/>
    <cellStyle name="표준 5 2 2 4 4 2 2 6" xfId="20640" xr:uid="{00000000-0005-0000-0000-0000D23C0000}"/>
    <cellStyle name="표준 5 2 2 4 4 2 2 7" xfId="24736" xr:uid="{00000000-0005-0000-0000-0000D33C0000}"/>
    <cellStyle name="표준 5 2 2 4 4 2 2 8" xfId="32947" xr:uid="{00000000-0005-0000-0000-0000D43C0000}"/>
    <cellStyle name="표준 5 2 2 4 4 2 2 9" xfId="41140" xr:uid="{00000000-0005-0000-0000-0000D53C0000}"/>
    <cellStyle name="표준 5 2 2 4 4 2 3" xfId="1783" xr:uid="{00000000-0005-0000-0000-0000D63C0000}"/>
    <cellStyle name="표준 5 2 2 4 4 2 3 2" xfId="10686" xr:uid="{00000000-0005-0000-0000-0000D73C0000}"/>
    <cellStyle name="표준 5 2 2 4 4 2 3 2 2" xfId="14798" xr:uid="{00000000-0005-0000-0000-0000D83C0000}"/>
    <cellStyle name="표준 5 2 2 4 4 2 3 2 2 2" xfId="31392" xr:uid="{00000000-0005-0000-0000-0000D93C0000}"/>
    <cellStyle name="표준 5 2 2 4 4 2 3 2 2 3" xfId="39603" xr:uid="{00000000-0005-0000-0000-0000DA3C0000}"/>
    <cellStyle name="표준 5 2 2 4 4 2 3 2 2 4" xfId="47796" xr:uid="{00000000-0005-0000-0000-0000DB3C0000}"/>
    <cellStyle name="표준 5 2 2 4 4 2 3 2 3" xfId="19038" xr:uid="{00000000-0005-0000-0000-0000DC3C0000}"/>
    <cellStyle name="표준 5 2 2 4 4 2 3 2 4" xfId="23200" xr:uid="{00000000-0005-0000-0000-0000DD3C0000}"/>
    <cellStyle name="표준 5 2 2 4 4 2 3 2 5" xfId="27296" xr:uid="{00000000-0005-0000-0000-0000DE3C0000}"/>
    <cellStyle name="표준 5 2 2 4 4 2 3 2 6" xfId="35507" xr:uid="{00000000-0005-0000-0000-0000DF3C0000}"/>
    <cellStyle name="표준 5 2 2 4 4 2 3 2 7" xfId="43700" xr:uid="{00000000-0005-0000-0000-0000E03C0000}"/>
    <cellStyle name="표준 5 2 2 4 4 2 3 3" xfId="8638" xr:uid="{00000000-0005-0000-0000-0000E13C0000}"/>
    <cellStyle name="표준 5 2 2 4 4 2 3 3 2" xfId="29344" xr:uid="{00000000-0005-0000-0000-0000E23C0000}"/>
    <cellStyle name="표준 5 2 2 4 4 2 3 3 3" xfId="37555" xr:uid="{00000000-0005-0000-0000-0000E33C0000}"/>
    <cellStyle name="표준 5 2 2 4 4 2 3 3 4" xfId="45748" xr:uid="{00000000-0005-0000-0000-0000E43C0000}"/>
    <cellStyle name="표준 5 2 2 4 4 2 3 4" xfId="12750" xr:uid="{00000000-0005-0000-0000-0000E53C0000}"/>
    <cellStyle name="표준 5 2 2 4 4 2 3 5" xfId="16990" xr:uid="{00000000-0005-0000-0000-0000E63C0000}"/>
    <cellStyle name="표준 5 2 2 4 4 2 3 6" xfId="21152" xr:uid="{00000000-0005-0000-0000-0000E73C0000}"/>
    <cellStyle name="표준 5 2 2 4 4 2 3 7" xfId="25248" xr:uid="{00000000-0005-0000-0000-0000E83C0000}"/>
    <cellStyle name="표준 5 2 2 4 4 2 3 8" xfId="33459" xr:uid="{00000000-0005-0000-0000-0000E93C0000}"/>
    <cellStyle name="표준 5 2 2 4 4 2 3 9" xfId="41652" xr:uid="{00000000-0005-0000-0000-0000EA3C0000}"/>
    <cellStyle name="표준 5 2 2 4 4 2 4" xfId="2295" xr:uid="{00000000-0005-0000-0000-0000EB3C0000}"/>
    <cellStyle name="표준 5 2 2 4 4 2 4 2" xfId="11198" xr:uid="{00000000-0005-0000-0000-0000EC3C0000}"/>
    <cellStyle name="표준 5 2 2 4 4 2 4 2 2" xfId="15310" xr:uid="{00000000-0005-0000-0000-0000ED3C0000}"/>
    <cellStyle name="표준 5 2 2 4 4 2 4 2 2 2" xfId="31904" xr:uid="{00000000-0005-0000-0000-0000EE3C0000}"/>
    <cellStyle name="표준 5 2 2 4 4 2 4 2 2 3" xfId="40115" xr:uid="{00000000-0005-0000-0000-0000EF3C0000}"/>
    <cellStyle name="표준 5 2 2 4 4 2 4 2 2 4" xfId="48308" xr:uid="{00000000-0005-0000-0000-0000F03C0000}"/>
    <cellStyle name="표준 5 2 2 4 4 2 4 2 3" xfId="19550" xr:uid="{00000000-0005-0000-0000-0000F13C0000}"/>
    <cellStyle name="표준 5 2 2 4 4 2 4 2 4" xfId="23712" xr:uid="{00000000-0005-0000-0000-0000F23C0000}"/>
    <cellStyle name="표준 5 2 2 4 4 2 4 2 5" xfId="27808" xr:uid="{00000000-0005-0000-0000-0000F33C0000}"/>
    <cellStyle name="표준 5 2 2 4 4 2 4 2 6" xfId="36019" xr:uid="{00000000-0005-0000-0000-0000F43C0000}"/>
    <cellStyle name="표준 5 2 2 4 4 2 4 2 7" xfId="44212" xr:uid="{00000000-0005-0000-0000-0000F53C0000}"/>
    <cellStyle name="표준 5 2 2 4 4 2 4 3" xfId="9150" xr:uid="{00000000-0005-0000-0000-0000F63C0000}"/>
    <cellStyle name="표준 5 2 2 4 4 2 4 3 2" xfId="29856" xr:uid="{00000000-0005-0000-0000-0000F73C0000}"/>
    <cellStyle name="표준 5 2 2 4 4 2 4 3 3" xfId="38067" xr:uid="{00000000-0005-0000-0000-0000F83C0000}"/>
    <cellStyle name="표준 5 2 2 4 4 2 4 3 4" xfId="46260" xr:uid="{00000000-0005-0000-0000-0000F93C0000}"/>
    <cellStyle name="표준 5 2 2 4 4 2 4 4" xfId="13262" xr:uid="{00000000-0005-0000-0000-0000FA3C0000}"/>
    <cellStyle name="표준 5 2 2 4 4 2 4 5" xfId="17502" xr:uid="{00000000-0005-0000-0000-0000FB3C0000}"/>
    <cellStyle name="표준 5 2 2 4 4 2 4 6" xfId="21664" xr:uid="{00000000-0005-0000-0000-0000FC3C0000}"/>
    <cellStyle name="표준 5 2 2 4 4 2 4 7" xfId="25760" xr:uid="{00000000-0005-0000-0000-0000FD3C0000}"/>
    <cellStyle name="표준 5 2 2 4 4 2 4 8" xfId="33971" xr:uid="{00000000-0005-0000-0000-0000FE3C0000}"/>
    <cellStyle name="표준 5 2 2 4 4 2 4 9" xfId="42164" xr:uid="{00000000-0005-0000-0000-0000FF3C0000}"/>
    <cellStyle name="표준 5 2 2 4 4 2 5" xfId="9662" xr:uid="{00000000-0005-0000-0000-0000003D0000}"/>
    <cellStyle name="표준 5 2 2 4 4 2 5 2" xfId="13774" xr:uid="{00000000-0005-0000-0000-0000013D0000}"/>
    <cellStyle name="표준 5 2 2 4 4 2 5 2 2" xfId="30368" xr:uid="{00000000-0005-0000-0000-0000023D0000}"/>
    <cellStyle name="표준 5 2 2 4 4 2 5 2 3" xfId="38579" xr:uid="{00000000-0005-0000-0000-0000033D0000}"/>
    <cellStyle name="표준 5 2 2 4 4 2 5 2 4" xfId="46772" xr:uid="{00000000-0005-0000-0000-0000043D0000}"/>
    <cellStyle name="표준 5 2 2 4 4 2 5 3" xfId="18014" xr:uid="{00000000-0005-0000-0000-0000053D0000}"/>
    <cellStyle name="표준 5 2 2 4 4 2 5 4" xfId="22176" xr:uid="{00000000-0005-0000-0000-0000063D0000}"/>
    <cellStyle name="표준 5 2 2 4 4 2 5 5" xfId="26272" xr:uid="{00000000-0005-0000-0000-0000073D0000}"/>
    <cellStyle name="표준 5 2 2 4 4 2 5 6" xfId="34483" xr:uid="{00000000-0005-0000-0000-0000083D0000}"/>
    <cellStyle name="표준 5 2 2 4 4 2 5 7" xfId="42676" xr:uid="{00000000-0005-0000-0000-0000093D0000}"/>
    <cellStyle name="표준 5 2 2 4 4 2 6" xfId="7614" xr:uid="{00000000-0005-0000-0000-00000A3D0000}"/>
    <cellStyle name="표준 5 2 2 4 4 2 6 2" xfId="28320" xr:uid="{00000000-0005-0000-0000-00000B3D0000}"/>
    <cellStyle name="표준 5 2 2 4 4 2 6 3" xfId="36531" xr:uid="{00000000-0005-0000-0000-00000C3D0000}"/>
    <cellStyle name="표준 5 2 2 4 4 2 6 4" xfId="44724" xr:uid="{00000000-0005-0000-0000-00000D3D0000}"/>
    <cellStyle name="표준 5 2 2 4 4 2 7" xfId="11726" xr:uid="{00000000-0005-0000-0000-00000E3D0000}"/>
    <cellStyle name="표준 5 2 2 4 4 2 8" xfId="15966" xr:uid="{00000000-0005-0000-0000-00000F3D0000}"/>
    <cellStyle name="표준 5 2 2 4 4 2 9" xfId="20128" xr:uid="{00000000-0005-0000-0000-0000103D0000}"/>
    <cellStyle name="표준 5 2 2 4 4 3" xfId="1015" xr:uid="{00000000-0005-0000-0000-0000113D0000}"/>
    <cellStyle name="표준 5 2 2 4 4 3 2" xfId="9918" xr:uid="{00000000-0005-0000-0000-0000123D0000}"/>
    <cellStyle name="표준 5 2 2 4 4 3 2 2" xfId="14030" xr:uid="{00000000-0005-0000-0000-0000133D0000}"/>
    <cellStyle name="표준 5 2 2 4 4 3 2 2 2" xfId="30624" xr:uid="{00000000-0005-0000-0000-0000143D0000}"/>
    <cellStyle name="표준 5 2 2 4 4 3 2 2 3" xfId="38835" xr:uid="{00000000-0005-0000-0000-0000153D0000}"/>
    <cellStyle name="표준 5 2 2 4 4 3 2 2 4" xfId="47028" xr:uid="{00000000-0005-0000-0000-0000163D0000}"/>
    <cellStyle name="표준 5 2 2 4 4 3 2 3" xfId="18270" xr:uid="{00000000-0005-0000-0000-0000173D0000}"/>
    <cellStyle name="표준 5 2 2 4 4 3 2 4" xfId="22432" xr:uid="{00000000-0005-0000-0000-0000183D0000}"/>
    <cellStyle name="표준 5 2 2 4 4 3 2 5" xfId="26528" xr:uid="{00000000-0005-0000-0000-0000193D0000}"/>
    <cellStyle name="표준 5 2 2 4 4 3 2 6" xfId="34739" xr:uid="{00000000-0005-0000-0000-00001A3D0000}"/>
    <cellStyle name="표준 5 2 2 4 4 3 2 7" xfId="42932" xr:uid="{00000000-0005-0000-0000-00001B3D0000}"/>
    <cellStyle name="표준 5 2 2 4 4 3 3" xfId="7870" xr:uid="{00000000-0005-0000-0000-00001C3D0000}"/>
    <cellStyle name="표준 5 2 2 4 4 3 3 2" xfId="28576" xr:uid="{00000000-0005-0000-0000-00001D3D0000}"/>
    <cellStyle name="표준 5 2 2 4 4 3 3 3" xfId="36787" xr:uid="{00000000-0005-0000-0000-00001E3D0000}"/>
    <cellStyle name="표준 5 2 2 4 4 3 3 4" xfId="44980" xr:uid="{00000000-0005-0000-0000-00001F3D0000}"/>
    <cellStyle name="표준 5 2 2 4 4 3 4" xfId="11982" xr:uid="{00000000-0005-0000-0000-0000203D0000}"/>
    <cellStyle name="표준 5 2 2 4 4 3 5" xfId="16222" xr:uid="{00000000-0005-0000-0000-0000213D0000}"/>
    <cellStyle name="표준 5 2 2 4 4 3 6" xfId="20384" xr:uid="{00000000-0005-0000-0000-0000223D0000}"/>
    <cellStyle name="표준 5 2 2 4 4 3 7" xfId="24480" xr:uid="{00000000-0005-0000-0000-0000233D0000}"/>
    <cellStyle name="표준 5 2 2 4 4 3 8" xfId="32691" xr:uid="{00000000-0005-0000-0000-0000243D0000}"/>
    <cellStyle name="표준 5 2 2 4 4 3 9" xfId="40884" xr:uid="{00000000-0005-0000-0000-0000253D0000}"/>
    <cellStyle name="표준 5 2 2 4 4 4" xfId="1527" xr:uid="{00000000-0005-0000-0000-0000263D0000}"/>
    <cellStyle name="표준 5 2 2 4 4 4 2" xfId="10430" xr:uid="{00000000-0005-0000-0000-0000273D0000}"/>
    <cellStyle name="표준 5 2 2 4 4 4 2 2" xfId="14542" xr:uid="{00000000-0005-0000-0000-0000283D0000}"/>
    <cellStyle name="표준 5 2 2 4 4 4 2 2 2" xfId="31136" xr:uid="{00000000-0005-0000-0000-0000293D0000}"/>
    <cellStyle name="표준 5 2 2 4 4 4 2 2 3" xfId="39347" xr:uid="{00000000-0005-0000-0000-00002A3D0000}"/>
    <cellStyle name="표준 5 2 2 4 4 4 2 2 4" xfId="47540" xr:uid="{00000000-0005-0000-0000-00002B3D0000}"/>
    <cellStyle name="표준 5 2 2 4 4 4 2 3" xfId="18782" xr:uid="{00000000-0005-0000-0000-00002C3D0000}"/>
    <cellStyle name="표준 5 2 2 4 4 4 2 4" xfId="22944" xr:uid="{00000000-0005-0000-0000-00002D3D0000}"/>
    <cellStyle name="표준 5 2 2 4 4 4 2 5" xfId="27040" xr:uid="{00000000-0005-0000-0000-00002E3D0000}"/>
    <cellStyle name="표준 5 2 2 4 4 4 2 6" xfId="35251" xr:uid="{00000000-0005-0000-0000-00002F3D0000}"/>
    <cellStyle name="표준 5 2 2 4 4 4 2 7" xfId="43444" xr:uid="{00000000-0005-0000-0000-0000303D0000}"/>
    <cellStyle name="표준 5 2 2 4 4 4 3" xfId="8382" xr:uid="{00000000-0005-0000-0000-0000313D0000}"/>
    <cellStyle name="표준 5 2 2 4 4 4 3 2" xfId="29088" xr:uid="{00000000-0005-0000-0000-0000323D0000}"/>
    <cellStyle name="표준 5 2 2 4 4 4 3 3" xfId="37299" xr:uid="{00000000-0005-0000-0000-0000333D0000}"/>
    <cellStyle name="표준 5 2 2 4 4 4 3 4" xfId="45492" xr:uid="{00000000-0005-0000-0000-0000343D0000}"/>
    <cellStyle name="표준 5 2 2 4 4 4 4" xfId="12494" xr:uid="{00000000-0005-0000-0000-0000353D0000}"/>
    <cellStyle name="표준 5 2 2 4 4 4 5" xfId="16734" xr:uid="{00000000-0005-0000-0000-0000363D0000}"/>
    <cellStyle name="표준 5 2 2 4 4 4 6" xfId="20896" xr:uid="{00000000-0005-0000-0000-0000373D0000}"/>
    <cellStyle name="표준 5 2 2 4 4 4 7" xfId="24992" xr:uid="{00000000-0005-0000-0000-0000383D0000}"/>
    <cellStyle name="표준 5 2 2 4 4 4 8" xfId="33203" xr:uid="{00000000-0005-0000-0000-0000393D0000}"/>
    <cellStyle name="표준 5 2 2 4 4 4 9" xfId="41396" xr:uid="{00000000-0005-0000-0000-00003A3D0000}"/>
    <cellStyle name="표준 5 2 2 4 4 5" xfId="2039" xr:uid="{00000000-0005-0000-0000-00003B3D0000}"/>
    <cellStyle name="표준 5 2 2 4 4 5 2" xfId="10942" xr:uid="{00000000-0005-0000-0000-00003C3D0000}"/>
    <cellStyle name="표준 5 2 2 4 4 5 2 2" xfId="15054" xr:uid="{00000000-0005-0000-0000-00003D3D0000}"/>
    <cellStyle name="표준 5 2 2 4 4 5 2 2 2" xfId="31648" xr:uid="{00000000-0005-0000-0000-00003E3D0000}"/>
    <cellStyle name="표준 5 2 2 4 4 5 2 2 3" xfId="39859" xr:uid="{00000000-0005-0000-0000-00003F3D0000}"/>
    <cellStyle name="표준 5 2 2 4 4 5 2 2 4" xfId="48052" xr:uid="{00000000-0005-0000-0000-0000403D0000}"/>
    <cellStyle name="표준 5 2 2 4 4 5 2 3" xfId="19294" xr:uid="{00000000-0005-0000-0000-0000413D0000}"/>
    <cellStyle name="표준 5 2 2 4 4 5 2 4" xfId="23456" xr:uid="{00000000-0005-0000-0000-0000423D0000}"/>
    <cellStyle name="표준 5 2 2 4 4 5 2 5" xfId="27552" xr:uid="{00000000-0005-0000-0000-0000433D0000}"/>
    <cellStyle name="표준 5 2 2 4 4 5 2 6" xfId="35763" xr:uid="{00000000-0005-0000-0000-0000443D0000}"/>
    <cellStyle name="표준 5 2 2 4 4 5 2 7" xfId="43956" xr:uid="{00000000-0005-0000-0000-0000453D0000}"/>
    <cellStyle name="표준 5 2 2 4 4 5 3" xfId="8894" xr:uid="{00000000-0005-0000-0000-0000463D0000}"/>
    <cellStyle name="표준 5 2 2 4 4 5 3 2" xfId="29600" xr:uid="{00000000-0005-0000-0000-0000473D0000}"/>
    <cellStyle name="표준 5 2 2 4 4 5 3 3" xfId="37811" xr:uid="{00000000-0005-0000-0000-0000483D0000}"/>
    <cellStyle name="표준 5 2 2 4 4 5 3 4" xfId="46004" xr:uid="{00000000-0005-0000-0000-0000493D0000}"/>
    <cellStyle name="표준 5 2 2 4 4 5 4" xfId="13006" xr:uid="{00000000-0005-0000-0000-00004A3D0000}"/>
    <cellStyle name="표준 5 2 2 4 4 5 5" xfId="17246" xr:uid="{00000000-0005-0000-0000-00004B3D0000}"/>
    <cellStyle name="표준 5 2 2 4 4 5 6" xfId="21408" xr:uid="{00000000-0005-0000-0000-00004C3D0000}"/>
    <cellStyle name="표준 5 2 2 4 4 5 7" xfId="25504" xr:uid="{00000000-0005-0000-0000-00004D3D0000}"/>
    <cellStyle name="표준 5 2 2 4 4 5 8" xfId="33715" xr:uid="{00000000-0005-0000-0000-00004E3D0000}"/>
    <cellStyle name="표준 5 2 2 4 4 5 9" xfId="41908" xr:uid="{00000000-0005-0000-0000-00004F3D0000}"/>
    <cellStyle name="표준 5 2 2 4 4 6" xfId="9406" xr:uid="{00000000-0005-0000-0000-0000503D0000}"/>
    <cellStyle name="표준 5 2 2 4 4 6 2" xfId="13518" xr:uid="{00000000-0005-0000-0000-0000513D0000}"/>
    <cellStyle name="표준 5 2 2 4 4 6 2 2" xfId="30112" xr:uid="{00000000-0005-0000-0000-0000523D0000}"/>
    <cellStyle name="표준 5 2 2 4 4 6 2 3" xfId="38323" xr:uid="{00000000-0005-0000-0000-0000533D0000}"/>
    <cellStyle name="표준 5 2 2 4 4 6 2 4" xfId="46516" xr:uid="{00000000-0005-0000-0000-0000543D0000}"/>
    <cellStyle name="표준 5 2 2 4 4 6 3" xfId="17758" xr:uid="{00000000-0005-0000-0000-0000553D0000}"/>
    <cellStyle name="표준 5 2 2 4 4 6 4" xfId="21920" xr:uid="{00000000-0005-0000-0000-0000563D0000}"/>
    <cellStyle name="표준 5 2 2 4 4 6 5" xfId="26016" xr:uid="{00000000-0005-0000-0000-0000573D0000}"/>
    <cellStyle name="표준 5 2 2 4 4 6 6" xfId="34227" xr:uid="{00000000-0005-0000-0000-0000583D0000}"/>
    <cellStyle name="표준 5 2 2 4 4 6 7" xfId="42420" xr:uid="{00000000-0005-0000-0000-0000593D0000}"/>
    <cellStyle name="표준 5 2 2 4 4 7" xfId="7358" xr:uid="{00000000-0005-0000-0000-00005A3D0000}"/>
    <cellStyle name="표준 5 2 2 4 4 7 2" xfId="28064" xr:uid="{00000000-0005-0000-0000-00005B3D0000}"/>
    <cellStyle name="표준 5 2 2 4 4 7 3" xfId="36275" xr:uid="{00000000-0005-0000-0000-00005C3D0000}"/>
    <cellStyle name="표준 5 2 2 4 4 7 4" xfId="44468" xr:uid="{00000000-0005-0000-0000-00005D3D0000}"/>
    <cellStyle name="표준 5 2 2 4 4 8" xfId="11470" xr:uid="{00000000-0005-0000-0000-00005E3D0000}"/>
    <cellStyle name="표준 5 2 2 4 4 9" xfId="15710" xr:uid="{00000000-0005-0000-0000-00005F3D0000}"/>
    <cellStyle name="표준 5 2 2 4 5" xfId="631" xr:uid="{00000000-0005-0000-0000-0000603D0000}"/>
    <cellStyle name="표준 5 2 2 4 5 10" xfId="24096" xr:uid="{00000000-0005-0000-0000-0000613D0000}"/>
    <cellStyle name="표준 5 2 2 4 5 11" xfId="32307" xr:uid="{00000000-0005-0000-0000-0000623D0000}"/>
    <cellStyle name="표준 5 2 2 4 5 12" xfId="40500" xr:uid="{00000000-0005-0000-0000-0000633D0000}"/>
    <cellStyle name="표준 5 2 2 4 5 2" xfId="1143" xr:uid="{00000000-0005-0000-0000-0000643D0000}"/>
    <cellStyle name="표준 5 2 2 4 5 2 2" xfId="10046" xr:uid="{00000000-0005-0000-0000-0000653D0000}"/>
    <cellStyle name="표준 5 2 2 4 5 2 2 2" xfId="14158" xr:uid="{00000000-0005-0000-0000-0000663D0000}"/>
    <cellStyle name="표준 5 2 2 4 5 2 2 2 2" xfId="30752" xr:uid="{00000000-0005-0000-0000-0000673D0000}"/>
    <cellStyle name="표준 5 2 2 4 5 2 2 2 3" xfId="38963" xr:uid="{00000000-0005-0000-0000-0000683D0000}"/>
    <cellStyle name="표준 5 2 2 4 5 2 2 2 4" xfId="47156" xr:uid="{00000000-0005-0000-0000-0000693D0000}"/>
    <cellStyle name="표준 5 2 2 4 5 2 2 3" xfId="18398" xr:uid="{00000000-0005-0000-0000-00006A3D0000}"/>
    <cellStyle name="표준 5 2 2 4 5 2 2 4" xfId="22560" xr:uid="{00000000-0005-0000-0000-00006B3D0000}"/>
    <cellStyle name="표준 5 2 2 4 5 2 2 5" xfId="26656" xr:uid="{00000000-0005-0000-0000-00006C3D0000}"/>
    <cellStyle name="표준 5 2 2 4 5 2 2 6" xfId="34867" xr:uid="{00000000-0005-0000-0000-00006D3D0000}"/>
    <cellStyle name="표준 5 2 2 4 5 2 2 7" xfId="43060" xr:uid="{00000000-0005-0000-0000-00006E3D0000}"/>
    <cellStyle name="표준 5 2 2 4 5 2 3" xfId="7998" xr:uid="{00000000-0005-0000-0000-00006F3D0000}"/>
    <cellStyle name="표준 5 2 2 4 5 2 3 2" xfId="28704" xr:uid="{00000000-0005-0000-0000-0000703D0000}"/>
    <cellStyle name="표준 5 2 2 4 5 2 3 3" xfId="36915" xr:uid="{00000000-0005-0000-0000-0000713D0000}"/>
    <cellStyle name="표준 5 2 2 4 5 2 3 4" xfId="45108" xr:uid="{00000000-0005-0000-0000-0000723D0000}"/>
    <cellStyle name="표준 5 2 2 4 5 2 4" xfId="12110" xr:uid="{00000000-0005-0000-0000-0000733D0000}"/>
    <cellStyle name="표준 5 2 2 4 5 2 5" xfId="16350" xr:uid="{00000000-0005-0000-0000-0000743D0000}"/>
    <cellStyle name="표준 5 2 2 4 5 2 6" xfId="20512" xr:uid="{00000000-0005-0000-0000-0000753D0000}"/>
    <cellStyle name="표준 5 2 2 4 5 2 7" xfId="24608" xr:uid="{00000000-0005-0000-0000-0000763D0000}"/>
    <cellStyle name="표준 5 2 2 4 5 2 8" xfId="32819" xr:uid="{00000000-0005-0000-0000-0000773D0000}"/>
    <cellStyle name="표준 5 2 2 4 5 2 9" xfId="41012" xr:uid="{00000000-0005-0000-0000-0000783D0000}"/>
    <cellStyle name="표준 5 2 2 4 5 3" xfId="1655" xr:uid="{00000000-0005-0000-0000-0000793D0000}"/>
    <cellStyle name="표준 5 2 2 4 5 3 2" xfId="10558" xr:uid="{00000000-0005-0000-0000-00007A3D0000}"/>
    <cellStyle name="표준 5 2 2 4 5 3 2 2" xfId="14670" xr:uid="{00000000-0005-0000-0000-00007B3D0000}"/>
    <cellStyle name="표준 5 2 2 4 5 3 2 2 2" xfId="31264" xr:uid="{00000000-0005-0000-0000-00007C3D0000}"/>
    <cellStyle name="표준 5 2 2 4 5 3 2 2 3" xfId="39475" xr:uid="{00000000-0005-0000-0000-00007D3D0000}"/>
    <cellStyle name="표준 5 2 2 4 5 3 2 2 4" xfId="47668" xr:uid="{00000000-0005-0000-0000-00007E3D0000}"/>
    <cellStyle name="표준 5 2 2 4 5 3 2 3" xfId="18910" xr:uid="{00000000-0005-0000-0000-00007F3D0000}"/>
    <cellStyle name="표준 5 2 2 4 5 3 2 4" xfId="23072" xr:uid="{00000000-0005-0000-0000-0000803D0000}"/>
    <cellStyle name="표준 5 2 2 4 5 3 2 5" xfId="27168" xr:uid="{00000000-0005-0000-0000-0000813D0000}"/>
    <cellStyle name="표준 5 2 2 4 5 3 2 6" xfId="35379" xr:uid="{00000000-0005-0000-0000-0000823D0000}"/>
    <cellStyle name="표준 5 2 2 4 5 3 2 7" xfId="43572" xr:uid="{00000000-0005-0000-0000-0000833D0000}"/>
    <cellStyle name="표준 5 2 2 4 5 3 3" xfId="8510" xr:uid="{00000000-0005-0000-0000-0000843D0000}"/>
    <cellStyle name="표준 5 2 2 4 5 3 3 2" xfId="29216" xr:uid="{00000000-0005-0000-0000-0000853D0000}"/>
    <cellStyle name="표준 5 2 2 4 5 3 3 3" xfId="37427" xr:uid="{00000000-0005-0000-0000-0000863D0000}"/>
    <cellStyle name="표준 5 2 2 4 5 3 3 4" xfId="45620" xr:uid="{00000000-0005-0000-0000-0000873D0000}"/>
    <cellStyle name="표준 5 2 2 4 5 3 4" xfId="12622" xr:uid="{00000000-0005-0000-0000-0000883D0000}"/>
    <cellStyle name="표준 5 2 2 4 5 3 5" xfId="16862" xr:uid="{00000000-0005-0000-0000-0000893D0000}"/>
    <cellStyle name="표준 5 2 2 4 5 3 6" xfId="21024" xr:uid="{00000000-0005-0000-0000-00008A3D0000}"/>
    <cellStyle name="표준 5 2 2 4 5 3 7" xfId="25120" xr:uid="{00000000-0005-0000-0000-00008B3D0000}"/>
    <cellStyle name="표준 5 2 2 4 5 3 8" xfId="33331" xr:uid="{00000000-0005-0000-0000-00008C3D0000}"/>
    <cellStyle name="표준 5 2 2 4 5 3 9" xfId="41524" xr:uid="{00000000-0005-0000-0000-00008D3D0000}"/>
    <cellStyle name="표준 5 2 2 4 5 4" xfId="2167" xr:uid="{00000000-0005-0000-0000-00008E3D0000}"/>
    <cellStyle name="표준 5 2 2 4 5 4 2" xfId="11070" xr:uid="{00000000-0005-0000-0000-00008F3D0000}"/>
    <cellStyle name="표준 5 2 2 4 5 4 2 2" xfId="15182" xr:uid="{00000000-0005-0000-0000-0000903D0000}"/>
    <cellStyle name="표준 5 2 2 4 5 4 2 2 2" xfId="31776" xr:uid="{00000000-0005-0000-0000-0000913D0000}"/>
    <cellStyle name="표준 5 2 2 4 5 4 2 2 3" xfId="39987" xr:uid="{00000000-0005-0000-0000-0000923D0000}"/>
    <cellStyle name="표준 5 2 2 4 5 4 2 2 4" xfId="48180" xr:uid="{00000000-0005-0000-0000-0000933D0000}"/>
    <cellStyle name="표준 5 2 2 4 5 4 2 3" xfId="19422" xr:uid="{00000000-0005-0000-0000-0000943D0000}"/>
    <cellStyle name="표준 5 2 2 4 5 4 2 4" xfId="23584" xr:uid="{00000000-0005-0000-0000-0000953D0000}"/>
    <cellStyle name="표준 5 2 2 4 5 4 2 5" xfId="27680" xr:uid="{00000000-0005-0000-0000-0000963D0000}"/>
    <cellStyle name="표준 5 2 2 4 5 4 2 6" xfId="35891" xr:uid="{00000000-0005-0000-0000-0000973D0000}"/>
    <cellStyle name="표준 5 2 2 4 5 4 2 7" xfId="44084" xr:uid="{00000000-0005-0000-0000-0000983D0000}"/>
    <cellStyle name="표준 5 2 2 4 5 4 3" xfId="9022" xr:uid="{00000000-0005-0000-0000-0000993D0000}"/>
    <cellStyle name="표준 5 2 2 4 5 4 3 2" xfId="29728" xr:uid="{00000000-0005-0000-0000-00009A3D0000}"/>
    <cellStyle name="표준 5 2 2 4 5 4 3 3" xfId="37939" xr:uid="{00000000-0005-0000-0000-00009B3D0000}"/>
    <cellStyle name="표준 5 2 2 4 5 4 3 4" xfId="46132" xr:uid="{00000000-0005-0000-0000-00009C3D0000}"/>
    <cellStyle name="표준 5 2 2 4 5 4 4" xfId="13134" xr:uid="{00000000-0005-0000-0000-00009D3D0000}"/>
    <cellStyle name="표준 5 2 2 4 5 4 5" xfId="17374" xr:uid="{00000000-0005-0000-0000-00009E3D0000}"/>
    <cellStyle name="표준 5 2 2 4 5 4 6" xfId="21536" xr:uid="{00000000-0005-0000-0000-00009F3D0000}"/>
    <cellStyle name="표준 5 2 2 4 5 4 7" xfId="25632" xr:uid="{00000000-0005-0000-0000-0000A03D0000}"/>
    <cellStyle name="표준 5 2 2 4 5 4 8" xfId="33843" xr:uid="{00000000-0005-0000-0000-0000A13D0000}"/>
    <cellStyle name="표준 5 2 2 4 5 4 9" xfId="42036" xr:uid="{00000000-0005-0000-0000-0000A23D0000}"/>
    <cellStyle name="표준 5 2 2 4 5 5" xfId="9534" xr:uid="{00000000-0005-0000-0000-0000A33D0000}"/>
    <cellStyle name="표준 5 2 2 4 5 5 2" xfId="13646" xr:uid="{00000000-0005-0000-0000-0000A43D0000}"/>
    <cellStyle name="표준 5 2 2 4 5 5 2 2" xfId="30240" xr:uid="{00000000-0005-0000-0000-0000A53D0000}"/>
    <cellStyle name="표준 5 2 2 4 5 5 2 3" xfId="38451" xr:uid="{00000000-0005-0000-0000-0000A63D0000}"/>
    <cellStyle name="표준 5 2 2 4 5 5 2 4" xfId="46644" xr:uid="{00000000-0005-0000-0000-0000A73D0000}"/>
    <cellStyle name="표준 5 2 2 4 5 5 3" xfId="17886" xr:uid="{00000000-0005-0000-0000-0000A83D0000}"/>
    <cellStyle name="표준 5 2 2 4 5 5 4" xfId="22048" xr:uid="{00000000-0005-0000-0000-0000A93D0000}"/>
    <cellStyle name="표준 5 2 2 4 5 5 5" xfId="26144" xr:uid="{00000000-0005-0000-0000-0000AA3D0000}"/>
    <cellStyle name="표준 5 2 2 4 5 5 6" xfId="34355" xr:uid="{00000000-0005-0000-0000-0000AB3D0000}"/>
    <cellStyle name="표준 5 2 2 4 5 5 7" xfId="42548" xr:uid="{00000000-0005-0000-0000-0000AC3D0000}"/>
    <cellStyle name="표준 5 2 2 4 5 6" xfId="7486" xr:uid="{00000000-0005-0000-0000-0000AD3D0000}"/>
    <cellStyle name="표준 5 2 2 4 5 6 2" xfId="28192" xr:uid="{00000000-0005-0000-0000-0000AE3D0000}"/>
    <cellStyle name="표준 5 2 2 4 5 6 3" xfId="36403" xr:uid="{00000000-0005-0000-0000-0000AF3D0000}"/>
    <cellStyle name="표준 5 2 2 4 5 6 4" xfId="44596" xr:uid="{00000000-0005-0000-0000-0000B03D0000}"/>
    <cellStyle name="표준 5 2 2 4 5 7" xfId="11598" xr:uid="{00000000-0005-0000-0000-0000B13D0000}"/>
    <cellStyle name="표준 5 2 2 4 5 8" xfId="15838" xr:uid="{00000000-0005-0000-0000-0000B23D0000}"/>
    <cellStyle name="표준 5 2 2 4 5 9" xfId="20000" xr:uid="{00000000-0005-0000-0000-0000B33D0000}"/>
    <cellStyle name="표준 5 2 2 4 6" xfId="887" xr:uid="{00000000-0005-0000-0000-0000B43D0000}"/>
    <cellStyle name="표준 5 2 2 4 6 2" xfId="9790" xr:uid="{00000000-0005-0000-0000-0000B53D0000}"/>
    <cellStyle name="표준 5 2 2 4 6 2 2" xfId="13902" xr:uid="{00000000-0005-0000-0000-0000B63D0000}"/>
    <cellStyle name="표준 5 2 2 4 6 2 2 2" xfId="30496" xr:uid="{00000000-0005-0000-0000-0000B73D0000}"/>
    <cellStyle name="표준 5 2 2 4 6 2 2 3" xfId="38707" xr:uid="{00000000-0005-0000-0000-0000B83D0000}"/>
    <cellStyle name="표준 5 2 2 4 6 2 2 4" xfId="46900" xr:uid="{00000000-0005-0000-0000-0000B93D0000}"/>
    <cellStyle name="표준 5 2 2 4 6 2 3" xfId="18142" xr:uid="{00000000-0005-0000-0000-0000BA3D0000}"/>
    <cellStyle name="표준 5 2 2 4 6 2 4" xfId="22304" xr:uid="{00000000-0005-0000-0000-0000BB3D0000}"/>
    <cellStyle name="표준 5 2 2 4 6 2 5" xfId="26400" xr:uid="{00000000-0005-0000-0000-0000BC3D0000}"/>
    <cellStyle name="표준 5 2 2 4 6 2 6" xfId="34611" xr:uid="{00000000-0005-0000-0000-0000BD3D0000}"/>
    <cellStyle name="표준 5 2 2 4 6 2 7" xfId="42804" xr:uid="{00000000-0005-0000-0000-0000BE3D0000}"/>
    <cellStyle name="표준 5 2 2 4 6 3" xfId="7742" xr:uid="{00000000-0005-0000-0000-0000BF3D0000}"/>
    <cellStyle name="표준 5 2 2 4 6 3 2" xfId="28448" xr:uid="{00000000-0005-0000-0000-0000C03D0000}"/>
    <cellStyle name="표준 5 2 2 4 6 3 3" xfId="36659" xr:uid="{00000000-0005-0000-0000-0000C13D0000}"/>
    <cellStyle name="표준 5 2 2 4 6 3 4" xfId="44852" xr:uid="{00000000-0005-0000-0000-0000C23D0000}"/>
    <cellStyle name="표준 5 2 2 4 6 4" xfId="11854" xr:uid="{00000000-0005-0000-0000-0000C33D0000}"/>
    <cellStyle name="표준 5 2 2 4 6 5" xfId="16094" xr:uid="{00000000-0005-0000-0000-0000C43D0000}"/>
    <cellStyle name="표준 5 2 2 4 6 6" xfId="20256" xr:uid="{00000000-0005-0000-0000-0000C53D0000}"/>
    <cellStyle name="표준 5 2 2 4 6 7" xfId="24352" xr:uid="{00000000-0005-0000-0000-0000C63D0000}"/>
    <cellStyle name="표준 5 2 2 4 6 8" xfId="32563" xr:uid="{00000000-0005-0000-0000-0000C73D0000}"/>
    <cellStyle name="표준 5 2 2 4 6 9" xfId="40756" xr:uid="{00000000-0005-0000-0000-0000C83D0000}"/>
    <cellStyle name="표준 5 2 2 4 7" xfId="1399" xr:uid="{00000000-0005-0000-0000-0000C93D0000}"/>
    <cellStyle name="표준 5 2 2 4 7 2" xfId="10302" xr:uid="{00000000-0005-0000-0000-0000CA3D0000}"/>
    <cellStyle name="표준 5 2 2 4 7 2 2" xfId="14414" xr:uid="{00000000-0005-0000-0000-0000CB3D0000}"/>
    <cellStyle name="표준 5 2 2 4 7 2 2 2" xfId="31008" xr:uid="{00000000-0005-0000-0000-0000CC3D0000}"/>
    <cellStyle name="표준 5 2 2 4 7 2 2 3" xfId="39219" xr:uid="{00000000-0005-0000-0000-0000CD3D0000}"/>
    <cellStyle name="표준 5 2 2 4 7 2 2 4" xfId="47412" xr:uid="{00000000-0005-0000-0000-0000CE3D0000}"/>
    <cellStyle name="표준 5 2 2 4 7 2 3" xfId="18654" xr:uid="{00000000-0005-0000-0000-0000CF3D0000}"/>
    <cellStyle name="표준 5 2 2 4 7 2 4" xfId="22816" xr:uid="{00000000-0005-0000-0000-0000D03D0000}"/>
    <cellStyle name="표준 5 2 2 4 7 2 5" xfId="26912" xr:uid="{00000000-0005-0000-0000-0000D13D0000}"/>
    <cellStyle name="표준 5 2 2 4 7 2 6" xfId="35123" xr:uid="{00000000-0005-0000-0000-0000D23D0000}"/>
    <cellStyle name="표준 5 2 2 4 7 2 7" xfId="43316" xr:uid="{00000000-0005-0000-0000-0000D33D0000}"/>
    <cellStyle name="표준 5 2 2 4 7 3" xfId="8254" xr:uid="{00000000-0005-0000-0000-0000D43D0000}"/>
    <cellStyle name="표준 5 2 2 4 7 3 2" xfId="28960" xr:uid="{00000000-0005-0000-0000-0000D53D0000}"/>
    <cellStyle name="표준 5 2 2 4 7 3 3" xfId="37171" xr:uid="{00000000-0005-0000-0000-0000D63D0000}"/>
    <cellStyle name="표준 5 2 2 4 7 3 4" xfId="45364" xr:uid="{00000000-0005-0000-0000-0000D73D0000}"/>
    <cellStyle name="표준 5 2 2 4 7 4" xfId="12366" xr:uid="{00000000-0005-0000-0000-0000D83D0000}"/>
    <cellStyle name="표준 5 2 2 4 7 5" xfId="16606" xr:uid="{00000000-0005-0000-0000-0000D93D0000}"/>
    <cellStyle name="표준 5 2 2 4 7 6" xfId="20768" xr:uid="{00000000-0005-0000-0000-0000DA3D0000}"/>
    <cellStyle name="표준 5 2 2 4 7 7" xfId="24864" xr:uid="{00000000-0005-0000-0000-0000DB3D0000}"/>
    <cellStyle name="표준 5 2 2 4 7 8" xfId="33075" xr:uid="{00000000-0005-0000-0000-0000DC3D0000}"/>
    <cellStyle name="표준 5 2 2 4 7 9" xfId="41268" xr:uid="{00000000-0005-0000-0000-0000DD3D0000}"/>
    <cellStyle name="표준 5 2 2 4 8" xfId="1911" xr:uid="{00000000-0005-0000-0000-0000DE3D0000}"/>
    <cellStyle name="표준 5 2 2 4 8 2" xfId="10814" xr:uid="{00000000-0005-0000-0000-0000DF3D0000}"/>
    <cellStyle name="표준 5 2 2 4 8 2 2" xfId="14926" xr:uid="{00000000-0005-0000-0000-0000E03D0000}"/>
    <cellStyle name="표준 5 2 2 4 8 2 2 2" xfId="31520" xr:uid="{00000000-0005-0000-0000-0000E13D0000}"/>
    <cellStyle name="표준 5 2 2 4 8 2 2 3" xfId="39731" xr:uid="{00000000-0005-0000-0000-0000E23D0000}"/>
    <cellStyle name="표준 5 2 2 4 8 2 2 4" xfId="47924" xr:uid="{00000000-0005-0000-0000-0000E33D0000}"/>
    <cellStyle name="표준 5 2 2 4 8 2 3" xfId="19166" xr:uid="{00000000-0005-0000-0000-0000E43D0000}"/>
    <cellStyle name="표준 5 2 2 4 8 2 4" xfId="23328" xr:uid="{00000000-0005-0000-0000-0000E53D0000}"/>
    <cellStyle name="표준 5 2 2 4 8 2 5" xfId="27424" xr:uid="{00000000-0005-0000-0000-0000E63D0000}"/>
    <cellStyle name="표준 5 2 2 4 8 2 6" xfId="35635" xr:uid="{00000000-0005-0000-0000-0000E73D0000}"/>
    <cellStyle name="표준 5 2 2 4 8 2 7" xfId="43828" xr:uid="{00000000-0005-0000-0000-0000E83D0000}"/>
    <cellStyle name="표준 5 2 2 4 8 3" xfId="8766" xr:uid="{00000000-0005-0000-0000-0000E93D0000}"/>
    <cellStyle name="표준 5 2 2 4 8 3 2" xfId="29472" xr:uid="{00000000-0005-0000-0000-0000EA3D0000}"/>
    <cellStyle name="표준 5 2 2 4 8 3 3" xfId="37683" xr:uid="{00000000-0005-0000-0000-0000EB3D0000}"/>
    <cellStyle name="표준 5 2 2 4 8 3 4" xfId="45876" xr:uid="{00000000-0005-0000-0000-0000EC3D0000}"/>
    <cellStyle name="표준 5 2 2 4 8 4" xfId="12878" xr:uid="{00000000-0005-0000-0000-0000ED3D0000}"/>
    <cellStyle name="표준 5 2 2 4 8 5" xfId="17118" xr:uid="{00000000-0005-0000-0000-0000EE3D0000}"/>
    <cellStyle name="표준 5 2 2 4 8 6" xfId="21280" xr:uid="{00000000-0005-0000-0000-0000EF3D0000}"/>
    <cellStyle name="표준 5 2 2 4 8 7" xfId="25376" xr:uid="{00000000-0005-0000-0000-0000F03D0000}"/>
    <cellStyle name="표준 5 2 2 4 8 8" xfId="33587" xr:uid="{00000000-0005-0000-0000-0000F13D0000}"/>
    <cellStyle name="표준 5 2 2 4 8 9" xfId="41780" xr:uid="{00000000-0005-0000-0000-0000F23D0000}"/>
    <cellStyle name="표준 5 2 2 4 9" xfId="6967" xr:uid="{00000000-0005-0000-0000-0000F33D0000}"/>
    <cellStyle name="표준 5 2 2 4 9 2" xfId="9278" xr:uid="{00000000-0005-0000-0000-0000F43D0000}"/>
    <cellStyle name="표준 5 2 2 4 9 2 2" xfId="29984" xr:uid="{00000000-0005-0000-0000-0000F53D0000}"/>
    <cellStyle name="표준 5 2 2 4 9 2 3" xfId="38195" xr:uid="{00000000-0005-0000-0000-0000F63D0000}"/>
    <cellStyle name="표준 5 2 2 4 9 2 4" xfId="46388" xr:uid="{00000000-0005-0000-0000-0000F73D0000}"/>
    <cellStyle name="표준 5 2 2 4 9 3" xfId="13390" xr:uid="{00000000-0005-0000-0000-0000F83D0000}"/>
    <cellStyle name="표준 5 2 2 4 9 4" xfId="17630" xr:uid="{00000000-0005-0000-0000-0000F93D0000}"/>
    <cellStyle name="표준 5 2 2 4 9 5" xfId="21792" xr:uid="{00000000-0005-0000-0000-0000FA3D0000}"/>
    <cellStyle name="표준 5 2 2 4 9 6" xfId="25888" xr:uid="{00000000-0005-0000-0000-0000FB3D0000}"/>
    <cellStyle name="표준 5 2 2 4 9 7" xfId="34099" xr:uid="{00000000-0005-0000-0000-0000FC3D0000}"/>
    <cellStyle name="표준 5 2 2 4 9 8" xfId="42292" xr:uid="{00000000-0005-0000-0000-0000FD3D0000}"/>
    <cellStyle name="표준 5 2 2 5" xfId="291" xr:uid="{00000000-0005-0000-0000-0000FE3D0000}"/>
    <cellStyle name="표준 5 2 2 5 10" xfId="7175" xr:uid="{00000000-0005-0000-0000-0000FF3D0000}"/>
    <cellStyle name="표준 5 2 2 5 11" xfId="7246" xr:uid="{00000000-0005-0000-0000-0000003E0000}"/>
    <cellStyle name="표준 5 2 2 5 12" xfId="11358" xr:uid="{00000000-0005-0000-0000-0000013E0000}"/>
    <cellStyle name="표준 5 2 2 5 13" xfId="15486" xr:uid="{00000000-0005-0000-0000-0000023E0000}"/>
    <cellStyle name="표준 5 2 2 5 14" xfId="15598" xr:uid="{00000000-0005-0000-0000-0000033E0000}"/>
    <cellStyle name="표준 5 2 2 5 15" xfId="19760" xr:uid="{00000000-0005-0000-0000-0000043E0000}"/>
    <cellStyle name="표준 5 2 2 5 16" xfId="23856" xr:uid="{00000000-0005-0000-0000-0000053E0000}"/>
    <cellStyle name="표준 5 2 2 5 17" xfId="32067" xr:uid="{00000000-0005-0000-0000-0000063E0000}"/>
    <cellStyle name="표준 5 2 2 5 18" xfId="40260" xr:uid="{00000000-0005-0000-0000-0000073E0000}"/>
    <cellStyle name="표준 5 2 2 5 19" xfId="49690" xr:uid="{00000000-0005-0000-0000-0000083E0000}"/>
    <cellStyle name="표준 5 2 2 5 2" xfId="455" xr:uid="{00000000-0005-0000-0000-0000093E0000}"/>
    <cellStyle name="표준 5 2 2 5 2 10" xfId="11422" xr:uid="{00000000-0005-0000-0000-00000A3E0000}"/>
    <cellStyle name="표준 5 2 2 5 2 11" xfId="15534" xr:uid="{00000000-0005-0000-0000-00000B3E0000}"/>
    <cellStyle name="표준 5 2 2 5 2 12" xfId="15662" xr:uid="{00000000-0005-0000-0000-00000C3E0000}"/>
    <cellStyle name="표준 5 2 2 5 2 13" xfId="19824" xr:uid="{00000000-0005-0000-0000-00000D3E0000}"/>
    <cellStyle name="표준 5 2 2 5 2 14" xfId="23920" xr:uid="{00000000-0005-0000-0000-00000E3E0000}"/>
    <cellStyle name="표준 5 2 2 5 2 15" xfId="32131" xr:uid="{00000000-0005-0000-0000-00000F3E0000}"/>
    <cellStyle name="표준 5 2 2 5 2 16" xfId="40324" xr:uid="{00000000-0005-0000-0000-0000103E0000}"/>
    <cellStyle name="표준 5 2 2 5 2 2" xfId="583" xr:uid="{00000000-0005-0000-0000-0000113E0000}"/>
    <cellStyle name="표준 5 2 2 5 2 2 10" xfId="19952" xr:uid="{00000000-0005-0000-0000-0000123E0000}"/>
    <cellStyle name="표준 5 2 2 5 2 2 11" xfId="24048" xr:uid="{00000000-0005-0000-0000-0000133E0000}"/>
    <cellStyle name="표준 5 2 2 5 2 2 12" xfId="32259" xr:uid="{00000000-0005-0000-0000-0000143E0000}"/>
    <cellStyle name="표준 5 2 2 5 2 2 13" xfId="40452" xr:uid="{00000000-0005-0000-0000-0000153E0000}"/>
    <cellStyle name="표준 5 2 2 5 2 2 2" xfId="839" xr:uid="{00000000-0005-0000-0000-0000163E0000}"/>
    <cellStyle name="표준 5 2 2 5 2 2 2 10" xfId="24304" xr:uid="{00000000-0005-0000-0000-0000173E0000}"/>
    <cellStyle name="표준 5 2 2 5 2 2 2 11" xfId="32515" xr:uid="{00000000-0005-0000-0000-0000183E0000}"/>
    <cellStyle name="표준 5 2 2 5 2 2 2 12" xfId="40708" xr:uid="{00000000-0005-0000-0000-0000193E0000}"/>
    <cellStyle name="표준 5 2 2 5 2 2 2 2" xfId="1351" xr:uid="{00000000-0005-0000-0000-00001A3E0000}"/>
    <cellStyle name="표준 5 2 2 5 2 2 2 2 2" xfId="10254" xr:uid="{00000000-0005-0000-0000-00001B3E0000}"/>
    <cellStyle name="표준 5 2 2 5 2 2 2 2 2 2" xfId="14366" xr:uid="{00000000-0005-0000-0000-00001C3E0000}"/>
    <cellStyle name="표준 5 2 2 5 2 2 2 2 2 2 2" xfId="30960" xr:uid="{00000000-0005-0000-0000-00001D3E0000}"/>
    <cellStyle name="표준 5 2 2 5 2 2 2 2 2 2 3" xfId="39171" xr:uid="{00000000-0005-0000-0000-00001E3E0000}"/>
    <cellStyle name="표준 5 2 2 5 2 2 2 2 2 2 4" xfId="47364" xr:uid="{00000000-0005-0000-0000-00001F3E0000}"/>
    <cellStyle name="표준 5 2 2 5 2 2 2 2 2 3" xfId="18606" xr:uid="{00000000-0005-0000-0000-0000203E0000}"/>
    <cellStyle name="표준 5 2 2 5 2 2 2 2 2 4" xfId="22768" xr:uid="{00000000-0005-0000-0000-0000213E0000}"/>
    <cellStyle name="표준 5 2 2 5 2 2 2 2 2 5" xfId="26864" xr:uid="{00000000-0005-0000-0000-0000223E0000}"/>
    <cellStyle name="표준 5 2 2 5 2 2 2 2 2 6" xfId="35075" xr:uid="{00000000-0005-0000-0000-0000233E0000}"/>
    <cellStyle name="표준 5 2 2 5 2 2 2 2 2 7" xfId="43268" xr:uid="{00000000-0005-0000-0000-0000243E0000}"/>
    <cellStyle name="표준 5 2 2 5 2 2 2 2 3" xfId="8206" xr:uid="{00000000-0005-0000-0000-0000253E0000}"/>
    <cellStyle name="표준 5 2 2 5 2 2 2 2 3 2" xfId="28912" xr:uid="{00000000-0005-0000-0000-0000263E0000}"/>
    <cellStyle name="표준 5 2 2 5 2 2 2 2 3 3" xfId="37123" xr:uid="{00000000-0005-0000-0000-0000273E0000}"/>
    <cellStyle name="표준 5 2 2 5 2 2 2 2 3 4" xfId="45316" xr:uid="{00000000-0005-0000-0000-0000283E0000}"/>
    <cellStyle name="표준 5 2 2 5 2 2 2 2 4" xfId="12318" xr:uid="{00000000-0005-0000-0000-0000293E0000}"/>
    <cellStyle name="표준 5 2 2 5 2 2 2 2 5" xfId="16558" xr:uid="{00000000-0005-0000-0000-00002A3E0000}"/>
    <cellStyle name="표준 5 2 2 5 2 2 2 2 6" xfId="20720" xr:uid="{00000000-0005-0000-0000-00002B3E0000}"/>
    <cellStyle name="표준 5 2 2 5 2 2 2 2 7" xfId="24816" xr:uid="{00000000-0005-0000-0000-00002C3E0000}"/>
    <cellStyle name="표준 5 2 2 5 2 2 2 2 8" xfId="33027" xr:uid="{00000000-0005-0000-0000-00002D3E0000}"/>
    <cellStyle name="표준 5 2 2 5 2 2 2 2 9" xfId="41220" xr:uid="{00000000-0005-0000-0000-00002E3E0000}"/>
    <cellStyle name="표준 5 2 2 5 2 2 2 3" xfId="1863" xr:uid="{00000000-0005-0000-0000-00002F3E0000}"/>
    <cellStyle name="표준 5 2 2 5 2 2 2 3 2" xfId="10766" xr:uid="{00000000-0005-0000-0000-0000303E0000}"/>
    <cellStyle name="표준 5 2 2 5 2 2 2 3 2 2" xfId="14878" xr:uid="{00000000-0005-0000-0000-0000313E0000}"/>
    <cellStyle name="표준 5 2 2 5 2 2 2 3 2 2 2" xfId="31472" xr:uid="{00000000-0005-0000-0000-0000323E0000}"/>
    <cellStyle name="표준 5 2 2 5 2 2 2 3 2 2 3" xfId="39683" xr:uid="{00000000-0005-0000-0000-0000333E0000}"/>
    <cellStyle name="표준 5 2 2 5 2 2 2 3 2 2 4" xfId="47876" xr:uid="{00000000-0005-0000-0000-0000343E0000}"/>
    <cellStyle name="표준 5 2 2 5 2 2 2 3 2 3" xfId="19118" xr:uid="{00000000-0005-0000-0000-0000353E0000}"/>
    <cellStyle name="표준 5 2 2 5 2 2 2 3 2 4" xfId="23280" xr:uid="{00000000-0005-0000-0000-0000363E0000}"/>
    <cellStyle name="표준 5 2 2 5 2 2 2 3 2 5" xfId="27376" xr:uid="{00000000-0005-0000-0000-0000373E0000}"/>
    <cellStyle name="표준 5 2 2 5 2 2 2 3 2 6" xfId="35587" xr:uid="{00000000-0005-0000-0000-0000383E0000}"/>
    <cellStyle name="표준 5 2 2 5 2 2 2 3 2 7" xfId="43780" xr:uid="{00000000-0005-0000-0000-0000393E0000}"/>
    <cellStyle name="표준 5 2 2 5 2 2 2 3 3" xfId="8718" xr:uid="{00000000-0005-0000-0000-00003A3E0000}"/>
    <cellStyle name="표준 5 2 2 5 2 2 2 3 3 2" xfId="29424" xr:uid="{00000000-0005-0000-0000-00003B3E0000}"/>
    <cellStyle name="표준 5 2 2 5 2 2 2 3 3 3" xfId="37635" xr:uid="{00000000-0005-0000-0000-00003C3E0000}"/>
    <cellStyle name="표준 5 2 2 5 2 2 2 3 3 4" xfId="45828" xr:uid="{00000000-0005-0000-0000-00003D3E0000}"/>
    <cellStyle name="표준 5 2 2 5 2 2 2 3 4" xfId="12830" xr:uid="{00000000-0005-0000-0000-00003E3E0000}"/>
    <cellStyle name="표준 5 2 2 5 2 2 2 3 5" xfId="17070" xr:uid="{00000000-0005-0000-0000-00003F3E0000}"/>
    <cellStyle name="표준 5 2 2 5 2 2 2 3 6" xfId="21232" xr:uid="{00000000-0005-0000-0000-0000403E0000}"/>
    <cellStyle name="표준 5 2 2 5 2 2 2 3 7" xfId="25328" xr:uid="{00000000-0005-0000-0000-0000413E0000}"/>
    <cellStyle name="표준 5 2 2 5 2 2 2 3 8" xfId="33539" xr:uid="{00000000-0005-0000-0000-0000423E0000}"/>
    <cellStyle name="표준 5 2 2 5 2 2 2 3 9" xfId="41732" xr:uid="{00000000-0005-0000-0000-0000433E0000}"/>
    <cellStyle name="표준 5 2 2 5 2 2 2 4" xfId="2375" xr:uid="{00000000-0005-0000-0000-0000443E0000}"/>
    <cellStyle name="표준 5 2 2 5 2 2 2 4 2" xfId="11278" xr:uid="{00000000-0005-0000-0000-0000453E0000}"/>
    <cellStyle name="표준 5 2 2 5 2 2 2 4 2 2" xfId="15390" xr:uid="{00000000-0005-0000-0000-0000463E0000}"/>
    <cellStyle name="표준 5 2 2 5 2 2 2 4 2 2 2" xfId="31984" xr:uid="{00000000-0005-0000-0000-0000473E0000}"/>
    <cellStyle name="표준 5 2 2 5 2 2 2 4 2 2 3" xfId="40195" xr:uid="{00000000-0005-0000-0000-0000483E0000}"/>
    <cellStyle name="표준 5 2 2 5 2 2 2 4 2 2 4" xfId="48388" xr:uid="{00000000-0005-0000-0000-0000493E0000}"/>
    <cellStyle name="표준 5 2 2 5 2 2 2 4 2 3" xfId="19630" xr:uid="{00000000-0005-0000-0000-00004A3E0000}"/>
    <cellStyle name="표준 5 2 2 5 2 2 2 4 2 4" xfId="23792" xr:uid="{00000000-0005-0000-0000-00004B3E0000}"/>
    <cellStyle name="표준 5 2 2 5 2 2 2 4 2 5" xfId="27888" xr:uid="{00000000-0005-0000-0000-00004C3E0000}"/>
    <cellStyle name="표준 5 2 2 5 2 2 2 4 2 6" xfId="36099" xr:uid="{00000000-0005-0000-0000-00004D3E0000}"/>
    <cellStyle name="표준 5 2 2 5 2 2 2 4 2 7" xfId="44292" xr:uid="{00000000-0005-0000-0000-00004E3E0000}"/>
    <cellStyle name="표준 5 2 2 5 2 2 2 4 3" xfId="9230" xr:uid="{00000000-0005-0000-0000-00004F3E0000}"/>
    <cellStyle name="표준 5 2 2 5 2 2 2 4 3 2" xfId="29936" xr:uid="{00000000-0005-0000-0000-0000503E0000}"/>
    <cellStyle name="표준 5 2 2 5 2 2 2 4 3 3" xfId="38147" xr:uid="{00000000-0005-0000-0000-0000513E0000}"/>
    <cellStyle name="표준 5 2 2 5 2 2 2 4 3 4" xfId="46340" xr:uid="{00000000-0005-0000-0000-0000523E0000}"/>
    <cellStyle name="표준 5 2 2 5 2 2 2 4 4" xfId="13342" xr:uid="{00000000-0005-0000-0000-0000533E0000}"/>
    <cellStyle name="표준 5 2 2 5 2 2 2 4 5" xfId="17582" xr:uid="{00000000-0005-0000-0000-0000543E0000}"/>
    <cellStyle name="표준 5 2 2 5 2 2 2 4 6" xfId="21744" xr:uid="{00000000-0005-0000-0000-0000553E0000}"/>
    <cellStyle name="표준 5 2 2 5 2 2 2 4 7" xfId="25840" xr:uid="{00000000-0005-0000-0000-0000563E0000}"/>
    <cellStyle name="표준 5 2 2 5 2 2 2 4 8" xfId="34051" xr:uid="{00000000-0005-0000-0000-0000573E0000}"/>
    <cellStyle name="표준 5 2 2 5 2 2 2 4 9" xfId="42244" xr:uid="{00000000-0005-0000-0000-0000583E0000}"/>
    <cellStyle name="표준 5 2 2 5 2 2 2 5" xfId="9742" xr:uid="{00000000-0005-0000-0000-0000593E0000}"/>
    <cellStyle name="표준 5 2 2 5 2 2 2 5 2" xfId="13854" xr:uid="{00000000-0005-0000-0000-00005A3E0000}"/>
    <cellStyle name="표준 5 2 2 5 2 2 2 5 2 2" xfId="30448" xr:uid="{00000000-0005-0000-0000-00005B3E0000}"/>
    <cellStyle name="표준 5 2 2 5 2 2 2 5 2 3" xfId="38659" xr:uid="{00000000-0005-0000-0000-00005C3E0000}"/>
    <cellStyle name="표준 5 2 2 5 2 2 2 5 2 4" xfId="46852" xr:uid="{00000000-0005-0000-0000-00005D3E0000}"/>
    <cellStyle name="표준 5 2 2 5 2 2 2 5 3" xfId="18094" xr:uid="{00000000-0005-0000-0000-00005E3E0000}"/>
    <cellStyle name="표준 5 2 2 5 2 2 2 5 4" xfId="22256" xr:uid="{00000000-0005-0000-0000-00005F3E0000}"/>
    <cellStyle name="표준 5 2 2 5 2 2 2 5 5" xfId="26352" xr:uid="{00000000-0005-0000-0000-0000603E0000}"/>
    <cellStyle name="표준 5 2 2 5 2 2 2 5 6" xfId="34563" xr:uid="{00000000-0005-0000-0000-0000613E0000}"/>
    <cellStyle name="표준 5 2 2 5 2 2 2 5 7" xfId="42756" xr:uid="{00000000-0005-0000-0000-0000623E0000}"/>
    <cellStyle name="표준 5 2 2 5 2 2 2 6" xfId="7694" xr:uid="{00000000-0005-0000-0000-0000633E0000}"/>
    <cellStyle name="표준 5 2 2 5 2 2 2 6 2" xfId="28400" xr:uid="{00000000-0005-0000-0000-0000643E0000}"/>
    <cellStyle name="표준 5 2 2 5 2 2 2 6 3" xfId="36611" xr:uid="{00000000-0005-0000-0000-0000653E0000}"/>
    <cellStyle name="표준 5 2 2 5 2 2 2 6 4" xfId="44804" xr:uid="{00000000-0005-0000-0000-0000663E0000}"/>
    <cellStyle name="표준 5 2 2 5 2 2 2 7" xfId="11806" xr:uid="{00000000-0005-0000-0000-0000673E0000}"/>
    <cellStyle name="표준 5 2 2 5 2 2 2 8" xfId="16046" xr:uid="{00000000-0005-0000-0000-0000683E0000}"/>
    <cellStyle name="표준 5 2 2 5 2 2 2 9" xfId="20208" xr:uid="{00000000-0005-0000-0000-0000693E0000}"/>
    <cellStyle name="표준 5 2 2 5 2 2 3" xfId="1095" xr:uid="{00000000-0005-0000-0000-00006A3E0000}"/>
    <cellStyle name="표준 5 2 2 5 2 2 3 2" xfId="9998" xr:uid="{00000000-0005-0000-0000-00006B3E0000}"/>
    <cellStyle name="표준 5 2 2 5 2 2 3 2 2" xfId="14110" xr:uid="{00000000-0005-0000-0000-00006C3E0000}"/>
    <cellStyle name="표준 5 2 2 5 2 2 3 2 2 2" xfId="30704" xr:uid="{00000000-0005-0000-0000-00006D3E0000}"/>
    <cellStyle name="표준 5 2 2 5 2 2 3 2 2 3" xfId="38915" xr:uid="{00000000-0005-0000-0000-00006E3E0000}"/>
    <cellStyle name="표준 5 2 2 5 2 2 3 2 2 4" xfId="47108" xr:uid="{00000000-0005-0000-0000-00006F3E0000}"/>
    <cellStyle name="표준 5 2 2 5 2 2 3 2 3" xfId="18350" xr:uid="{00000000-0005-0000-0000-0000703E0000}"/>
    <cellStyle name="표준 5 2 2 5 2 2 3 2 4" xfId="22512" xr:uid="{00000000-0005-0000-0000-0000713E0000}"/>
    <cellStyle name="표준 5 2 2 5 2 2 3 2 5" xfId="26608" xr:uid="{00000000-0005-0000-0000-0000723E0000}"/>
    <cellStyle name="표준 5 2 2 5 2 2 3 2 6" xfId="34819" xr:uid="{00000000-0005-0000-0000-0000733E0000}"/>
    <cellStyle name="표준 5 2 2 5 2 2 3 2 7" xfId="43012" xr:uid="{00000000-0005-0000-0000-0000743E0000}"/>
    <cellStyle name="표준 5 2 2 5 2 2 3 3" xfId="7950" xr:uid="{00000000-0005-0000-0000-0000753E0000}"/>
    <cellStyle name="표준 5 2 2 5 2 2 3 3 2" xfId="28656" xr:uid="{00000000-0005-0000-0000-0000763E0000}"/>
    <cellStyle name="표준 5 2 2 5 2 2 3 3 3" xfId="36867" xr:uid="{00000000-0005-0000-0000-0000773E0000}"/>
    <cellStyle name="표준 5 2 2 5 2 2 3 3 4" xfId="45060" xr:uid="{00000000-0005-0000-0000-0000783E0000}"/>
    <cellStyle name="표준 5 2 2 5 2 2 3 4" xfId="12062" xr:uid="{00000000-0005-0000-0000-0000793E0000}"/>
    <cellStyle name="표준 5 2 2 5 2 2 3 5" xfId="16302" xr:uid="{00000000-0005-0000-0000-00007A3E0000}"/>
    <cellStyle name="표준 5 2 2 5 2 2 3 6" xfId="20464" xr:uid="{00000000-0005-0000-0000-00007B3E0000}"/>
    <cellStyle name="표준 5 2 2 5 2 2 3 7" xfId="24560" xr:uid="{00000000-0005-0000-0000-00007C3E0000}"/>
    <cellStyle name="표준 5 2 2 5 2 2 3 8" xfId="32771" xr:uid="{00000000-0005-0000-0000-00007D3E0000}"/>
    <cellStyle name="표준 5 2 2 5 2 2 3 9" xfId="40964" xr:uid="{00000000-0005-0000-0000-00007E3E0000}"/>
    <cellStyle name="표준 5 2 2 5 2 2 4" xfId="1607" xr:uid="{00000000-0005-0000-0000-00007F3E0000}"/>
    <cellStyle name="표준 5 2 2 5 2 2 4 2" xfId="10510" xr:uid="{00000000-0005-0000-0000-0000803E0000}"/>
    <cellStyle name="표준 5 2 2 5 2 2 4 2 2" xfId="14622" xr:uid="{00000000-0005-0000-0000-0000813E0000}"/>
    <cellStyle name="표준 5 2 2 5 2 2 4 2 2 2" xfId="31216" xr:uid="{00000000-0005-0000-0000-0000823E0000}"/>
    <cellStyle name="표준 5 2 2 5 2 2 4 2 2 3" xfId="39427" xr:uid="{00000000-0005-0000-0000-0000833E0000}"/>
    <cellStyle name="표준 5 2 2 5 2 2 4 2 2 4" xfId="47620" xr:uid="{00000000-0005-0000-0000-0000843E0000}"/>
    <cellStyle name="표준 5 2 2 5 2 2 4 2 3" xfId="18862" xr:uid="{00000000-0005-0000-0000-0000853E0000}"/>
    <cellStyle name="표준 5 2 2 5 2 2 4 2 4" xfId="23024" xr:uid="{00000000-0005-0000-0000-0000863E0000}"/>
    <cellStyle name="표준 5 2 2 5 2 2 4 2 5" xfId="27120" xr:uid="{00000000-0005-0000-0000-0000873E0000}"/>
    <cellStyle name="표준 5 2 2 5 2 2 4 2 6" xfId="35331" xr:uid="{00000000-0005-0000-0000-0000883E0000}"/>
    <cellStyle name="표준 5 2 2 5 2 2 4 2 7" xfId="43524" xr:uid="{00000000-0005-0000-0000-0000893E0000}"/>
    <cellStyle name="표준 5 2 2 5 2 2 4 3" xfId="8462" xr:uid="{00000000-0005-0000-0000-00008A3E0000}"/>
    <cellStyle name="표준 5 2 2 5 2 2 4 3 2" xfId="29168" xr:uid="{00000000-0005-0000-0000-00008B3E0000}"/>
    <cellStyle name="표준 5 2 2 5 2 2 4 3 3" xfId="37379" xr:uid="{00000000-0005-0000-0000-00008C3E0000}"/>
    <cellStyle name="표준 5 2 2 5 2 2 4 3 4" xfId="45572" xr:uid="{00000000-0005-0000-0000-00008D3E0000}"/>
    <cellStyle name="표준 5 2 2 5 2 2 4 4" xfId="12574" xr:uid="{00000000-0005-0000-0000-00008E3E0000}"/>
    <cellStyle name="표준 5 2 2 5 2 2 4 5" xfId="16814" xr:uid="{00000000-0005-0000-0000-00008F3E0000}"/>
    <cellStyle name="표준 5 2 2 5 2 2 4 6" xfId="20976" xr:uid="{00000000-0005-0000-0000-0000903E0000}"/>
    <cellStyle name="표준 5 2 2 5 2 2 4 7" xfId="25072" xr:uid="{00000000-0005-0000-0000-0000913E0000}"/>
    <cellStyle name="표준 5 2 2 5 2 2 4 8" xfId="33283" xr:uid="{00000000-0005-0000-0000-0000923E0000}"/>
    <cellStyle name="표준 5 2 2 5 2 2 4 9" xfId="41476" xr:uid="{00000000-0005-0000-0000-0000933E0000}"/>
    <cellStyle name="표준 5 2 2 5 2 2 5" xfId="2119" xr:uid="{00000000-0005-0000-0000-0000943E0000}"/>
    <cellStyle name="표준 5 2 2 5 2 2 5 2" xfId="11022" xr:uid="{00000000-0005-0000-0000-0000953E0000}"/>
    <cellStyle name="표준 5 2 2 5 2 2 5 2 2" xfId="15134" xr:uid="{00000000-0005-0000-0000-0000963E0000}"/>
    <cellStyle name="표준 5 2 2 5 2 2 5 2 2 2" xfId="31728" xr:uid="{00000000-0005-0000-0000-0000973E0000}"/>
    <cellStyle name="표준 5 2 2 5 2 2 5 2 2 3" xfId="39939" xr:uid="{00000000-0005-0000-0000-0000983E0000}"/>
    <cellStyle name="표준 5 2 2 5 2 2 5 2 2 4" xfId="48132" xr:uid="{00000000-0005-0000-0000-0000993E0000}"/>
    <cellStyle name="표준 5 2 2 5 2 2 5 2 3" xfId="19374" xr:uid="{00000000-0005-0000-0000-00009A3E0000}"/>
    <cellStyle name="표준 5 2 2 5 2 2 5 2 4" xfId="23536" xr:uid="{00000000-0005-0000-0000-00009B3E0000}"/>
    <cellStyle name="표준 5 2 2 5 2 2 5 2 5" xfId="27632" xr:uid="{00000000-0005-0000-0000-00009C3E0000}"/>
    <cellStyle name="표준 5 2 2 5 2 2 5 2 6" xfId="35843" xr:uid="{00000000-0005-0000-0000-00009D3E0000}"/>
    <cellStyle name="표준 5 2 2 5 2 2 5 2 7" xfId="44036" xr:uid="{00000000-0005-0000-0000-00009E3E0000}"/>
    <cellStyle name="표준 5 2 2 5 2 2 5 3" xfId="8974" xr:uid="{00000000-0005-0000-0000-00009F3E0000}"/>
    <cellStyle name="표준 5 2 2 5 2 2 5 3 2" xfId="29680" xr:uid="{00000000-0005-0000-0000-0000A03E0000}"/>
    <cellStyle name="표준 5 2 2 5 2 2 5 3 3" xfId="37891" xr:uid="{00000000-0005-0000-0000-0000A13E0000}"/>
    <cellStyle name="표준 5 2 2 5 2 2 5 3 4" xfId="46084" xr:uid="{00000000-0005-0000-0000-0000A23E0000}"/>
    <cellStyle name="표준 5 2 2 5 2 2 5 4" xfId="13086" xr:uid="{00000000-0005-0000-0000-0000A33E0000}"/>
    <cellStyle name="표준 5 2 2 5 2 2 5 5" xfId="17326" xr:uid="{00000000-0005-0000-0000-0000A43E0000}"/>
    <cellStyle name="표준 5 2 2 5 2 2 5 6" xfId="21488" xr:uid="{00000000-0005-0000-0000-0000A53E0000}"/>
    <cellStyle name="표준 5 2 2 5 2 2 5 7" xfId="25584" xr:uid="{00000000-0005-0000-0000-0000A63E0000}"/>
    <cellStyle name="표준 5 2 2 5 2 2 5 8" xfId="33795" xr:uid="{00000000-0005-0000-0000-0000A73E0000}"/>
    <cellStyle name="표준 5 2 2 5 2 2 5 9" xfId="41988" xr:uid="{00000000-0005-0000-0000-0000A83E0000}"/>
    <cellStyle name="표준 5 2 2 5 2 2 6" xfId="9486" xr:uid="{00000000-0005-0000-0000-0000A93E0000}"/>
    <cellStyle name="표준 5 2 2 5 2 2 6 2" xfId="13598" xr:uid="{00000000-0005-0000-0000-0000AA3E0000}"/>
    <cellStyle name="표준 5 2 2 5 2 2 6 2 2" xfId="30192" xr:uid="{00000000-0005-0000-0000-0000AB3E0000}"/>
    <cellStyle name="표준 5 2 2 5 2 2 6 2 3" xfId="38403" xr:uid="{00000000-0005-0000-0000-0000AC3E0000}"/>
    <cellStyle name="표준 5 2 2 5 2 2 6 2 4" xfId="46596" xr:uid="{00000000-0005-0000-0000-0000AD3E0000}"/>
    <cellStyle name="표준 5 2 2 5 2 2 6 3" xfId="17838" xr:uid="{00000000-0005-0000-0000-0000AE3E0000}"/>
    <cellStyle name="표준 5 2 2 5 2 2 6 4" xfId="22000" xr:uid="{00000000-0005-0000-0000-0000AF3E0000}"/>
    <cellStyle name="표준 5 2 2 5 2 2 6 5" xfId="26096" xr:uid="{00000000-0005-0000-0000-0000B03E0000}"/>
    <cellStyle name="표준 5 2 2 5 2 2 6 6" xfId="34307" xr:uid="{00000000-0005-0000-0000-0000B13E0000}"/>
    <cellStyle name="표준 5 2 2 5 2 2 6 7" xfId="42500" xr:uid="{00000000-0005-0000-0000-0000B23E0000}"/>
    <cellStyle name="표준 5 2 2 5 2 2 7" xfId="7438" xr:uid="{00000000-0005-0000-0000-0000B33E0000}"/>
    <cellStyle name="표준 5 2 2 5 2 2 7 2" xfId="28144" xr:uid="{00000000-0005-0000-0000-0000B43E0000}"/>
    <cellStyle name="표준 5 2 2 5 2 2 7 3" xfId="36355" xr:uid="{00000000-0005-0000-0000-0000B53E0000}"/>
    <cellStyle name="표준 5 2 2 5 2 2 7 4" xfId="44548" xr:uid="{00000000-0005-0000-0000-0000B63E0000}"/>
    <cellStyle name="표준 5 2 2 5 2 2 8" xfId="11550" xr:uid="{00000000-0005-0000-0000-0000B73E0000}"/>
    <cellStyle name="표준 5 2 2 5 2 2 9" xfId="15790" xr:uid="{00000000-0005-0000-0000-0000B83E0000}"/>
    <cellStyle name="표준 5 2 2 5 2 3" xfId="711" xr:uid="{00000000-0005-0000-0000-0000B93E0000}"/>
    <cellStyle name="표준 5 2 2 5 2 3 10" xfId="24176" xr:uid="{00000000-0005-0000-0000-0000BA3E0000}"/>
    <cellStyle name="표준 5 2 2 5 2 3 11" xfId="32387" xr:uid="{00000000-0005-0000-0000-0000BB3E0000}"/>
    <cellStyle name="표준 5 2 2 5 2 3 12" xfId="40580" xr:uid="{00000000-0005-0000-0000-0000BC3E0000}"/>
    <cellStyle name="표준 5 2 2 5 2 3 2" xfId="1223" xr:uid="{00000000-0005-0000-0000-0000BD3E0000}"/>
    <cellStyle name="표준 5 2 2 5 2 3 2 2" xfId="10126" xr:uid="{00000000-0005-0000-0000-0000BE3E0000}"/>
    <cellStyle name="표준 5 2 2 5 2 3 2 2 2" xfId="14238" xr:uid="{00000000-0005-0000-0000-0000BF3E0000}"/>
    <cellStyle name="표준 5 2 2 5 2 3 2 2 2 2" xfId="30832" xr:uid="{00000000-0005-0000-0000-0000C03E0000}"/>
    <cellStyle name="표준 5 2 2 5 2 3 2 2 2 3" xfId="39043" xr:uid="{00000000-0005-0000-0000-0000C13E0000}"/>
    <cellStyle name="표준 5 2 2 5 2 3 2 2 2 4" xfId="47236" xr:uid="{00000000-0005-0000-0000-0000C23E0000}"/>
    <cellStyle name="표준 5 2 2 5 2 3 2 2 3" xfId="18478" xr:uid="{00000000-0005-0000-0000-0000C33E0000}"/>
    <cellStyle name="표준 5 2 2 5 2 3 2 2 4" xfId="22640" xr:uid="{00000000-0005-0000-0000-0000C43E0000}"/>
    <cellStyle name="표준 5 2 2 5 2 3 2 2 5" xfId="26736" xr:uid="{00000000-0005-0000-0000-0000C53E0000}"/>
    <cellStyle name="표준 5 2 2 5 2 3 2 2 6" xfId="34947" xr:uid="{00000000-0005-0000-0000-0000C63E0000}"/>
    <cellStyle name="표준 5 2 2 5 2 3 2 2 7" xfId="43140" xr:uid="{00000000-0005-0000-0000-0000C73E0000}"/>
    <cellStyle name="표준 5 2 2 5 2 3 2 3" xfId="8078" xr:uid="{00000000-0005-0000-0000-0000C83E0000}"/>
    <cellStyle name="표준 5 2 2 5 2 3 2 3 2" xfId="28784" xr:uid="{00000000-0005-0000-0000-0000C93E0000}"/>
    <cellStyle name="표준 5 2 2 5 2 3 2 3 3" xfId="36995" xr:uid="{00000000-0005-0000-0000-0000CA3E0000}"/>
    <cellStyle name="표준 5 2 2 5 2 3 2 3 4" xfId="45188" xr:uid="{00000000-0005-0000-0000-0000CB3E0000}"/>
    <cellStyle name="표준 5 2 2 5 2 3 2 4" xfId="12190" xr:uid="{00000000-0005-0000-0000-0000CC3E0000}"/>
    <cellStyle name="표준 5 2 2 5 2 3 2 5" xfId="16430" xr:uid="{00000000-0005-0000-0000-0000CD3E0000}"/>
    <cellStyle name="표준 5 2 2 5 2 3 2 6" xfId="20592" xr:uid="{00000000-0005-0000-0000-0000CE3E0000}"/>
    <cellStyle name="표준 5 2 2 5 2 3 2 7" xfId="24688" xr:uid="{00000000-0005-0000-0000-0000CF3E0000}"/>
    <cellStyle name="표준 5 2 2 5 2 3 2 8" xfId="32899" xr:uid="{00000000-0005-0000-0000-0000D03E0000}"/>
    <cellStyle name="표준 5 2 2 5 2 3 2 9" xfId="41092" xr:uid="{00000000-0005-0000-0000-0000D13E0000}"/>
    <cellStyle name="표준 5 2 2 5 2 3 3" xfId="1735" xr:uid="{00000000-0005-0000-0000-0000D23E0000}"/>
    <cellStyle name="표준 5 2 2 5 2 3 3 2" xfId="10638" xr:uid="{00000000-0005-0000-0000-0000D33E0000}"/>
    <cellStyle name="표준 5 2 2 5 2 3 3 2 2" xfId="14750" xr:uid="{00000000-0005-0000-0000-0000D43E0000}"/>
    <cellStyle name="표준 5 2 2 5 2 3 3 2 2 2" xfId="31344" xr:uid="{00000000-0005-0000-0000-0000D53E0000}"/>
    <cellStyle name="표준 5 2 2 5 2 3 3 2 2 3" xfId="39555" xr:uid="{00000000-0005-0000-0000-0000D63E0000}"/>
    <cellStyle name="표준 5 2 2 5 2 3 3 2 2 4" xfId="47748" xr:uid="{00000000-0005-0000-0000-0000D73E0000}"/>
    <cellStyle name="표준 5 2 2 5 2 3 3 2 3" xfId="18990" xr:uid="{00000000-0005-0000-0000-0000D83E0000}"/>
    <cellStyle name="표준 5 2 2 5 2 3 3 2 4" xfId="23152" xr:uid="{00000000-0005-0000-0000-0000D93E0000}"/>
    <cellStyle name="표준 5 2 2 5 2 3 3 2 5" xfId="27248" xr:uid="{00000000-0005-0000-0000-0000DA3E0000}"/>
    <cellStyle name="표준 5 2 2 5 2 3 3 2 6" xfId="35459" xr:uid="{00000000-0005-0000-0000-0000DB3E0000}"/>
    <cellStyle name="표준 5 2 2 5 2 3 3 2 7" xfId="43652" xr:uid="{00000000-0005-0000-0000-0000DC3E0000}"/>
    <cellStyle name="표준 5 2 2 5 2 3 3 3" xfId="8590" xr:uid="{00000000-0005-0000-0000-0000DD3E0000}"/>
    <cellStyle name="표준 5 2 2 5 2 3 3 3 2" xfId="29296" xr:uid="{00000000-0005-0000-0000-0000DE3E0000}"/>
    <cellStyle name="표준 5 2 2 5 2 3 3 3 3" xfId="37507" xr:uid="{00000000-0005-0000-0000-0000DF3E0000}"/>
    <cellStyle name="표준 5 2 2 5 2 3 3 3 4" xfId="45700" xr:uid="{00000000-0005-0000-0000-0000E03E0000}"/>
    <cellStyle name="표준 5 2 2 5 2 3 3 4" xfId="12702" xr:uid="{00000000-0005-0000-0000-0000E13E0000}"/>
    <cellStyle name="표준 5 2 2 5 2 3 3 5" xfId="16942" xr:uid="{00000000-0005-0000-0000-0000E23E0000}"/>
    <cellStyle name="표준 5 2 2 5 2 3 3 6" xfId="21104" xr:uid="{00000000-0005-0000-0000-0000E33E0000}"/>
    <cellStyle name="표준 5 2 2 5 2 3 3 7" xfId="25200" xr:uid="{00000000-0005-0000-0000-0000E43E0000}"/>
    <cellStyle name="표준 5 2 2 5 2 3 3 8" xfId="33411" xr:uid="{00000000-0005-0000-0000-0000E53E0000}"/>
    <cellStyle name="표준 5 2 2 5 2 3 3 9" xfId="41604" xr:uid="{00000000-0005-0000-0000-0000E63E0000}"/>
    <cellStyle name="표준 5 2 2 5 2 3 4" xfId="2247" xr:uid="{00000000-0005-0000-0000-0000E73E0000}"/>
    <cellStyle name="표준 5 2 2 5 2 3 4 2" xfId="11150" xr:uid="{00000000-0005-0000-0000-0000E83E0000}"/>
    <cellStyle name="표준 5 2 2 5 2 3 4 2 2" xfId="15262" xr:uid="{00000000-0005-0000-0000-0000E93E0000}"/>
    <cellStyle name="표준 5 2 2 5 2 3 4 2 2 2" xfId="31856" xr:uid="{00000000-0005-0000-0000-0000EA3E0000}"/>
    <cellStyle name="표준 5 2 2 5 2 3 4 2 2 3" xfId="40067" xr:uid="{00000000-0005-0000-0000-0000EB3E0000}"/>
    <cellStyle name="표준 5 2 2 5 2 3 4 2 2 4" xfId="48260" xr:uid="{00000000-0005-0000-0000-0000EC3E0000}"/>
    <cellStyle name="표준 5 2 2 5 2 3 4 2 3" xfId="19502" xr:uid="{00000000-0005-0000-0000-0000ED3E0000}"/>
    <cellStyle name="표준 5 2 2 5 2 3 4 2 4" xfId="23664" xr:uid="{00000000-0005-0000-0000-0000EE3E0000}"/>
    <cellStyle name="표준 5 2 2 5 2 3 4 2 5" xfId="27760" xr:uid="{00000000-0005-0000-0000-0000EF3E0000}"/>
    <cellStyle name="표준 5 2 2 5 2 3 4 2 6" xfId="35971" xr:uid="{00000000-0005-0000-0000-0000F03E0000}"/>
    <cellStyle name="표준 5 2 2 5 2 3 4 2 7" xfId="44164" xr:uid="{00000000-0005-0000-0000-0000F13E0000}"/>
    <cellStyle name="표준 5 2 2 5 2 3 4 3" xfId="9102" xr:uid="{00000000-0005-0000-0000-0000F23E0000}"/>
    <cellStyle name="표준 5 2 2 5 2 3 4 3 2" xfId="29808" xr:uid="{00000000-0005-0000-0000-0000F33E0000}"/>
    <cellStyle name="표준 5 2 2 5 2 3 4 3 3" xfId="38019" xr:uid="{00000000-0005-0000-0000-0000F43E0000}"/>
    <cellStyle name="표준 5 2 2 5 2 3 4 3 4" xfId="46212" xr:uid="{00000000-0005-0000-0000-0000F53E0000}"/>
    <cellStyle name="표준 5 2 2 5 2 3 4 4" xfId="13214" xr:uid="{00000000-0005-0000-0000-0000F63E0000}"/>
    <cellStyle name="표준 5 2 2 5 2 3 4 5" xfId="17454" xr:uid="{00000000-0005-0000-0000-0000F73E0000}"/>
    <cellStyle name="표준 5 2 2 5 2 3 4 6" xfId="21616" xr:uid="{00000000-0005-0000-0000-0000F83E0000}"/>
    <cellStyle name="표준 5 2 2 5 2 3 4 7" xfId="25712" xr:uid="{00000000-0005-0000-0000-0000F93E0000}"/>
    <cellStyle name="표준 5 2 2 5 2 3 4 8" xfId="33923" xr:uid="{00000000-0005-0000-0000-0000FA3E0000}"/>
    <cellStyle name="표준 5 2 2 5 2 3 4 9" xfId="42116" xr:uid="{00000000-0005-0000-0000-0000FB3E0000}"/>
    <cellStyle name="표준 5 2 2 5 2 3 5" xfId="9614" xr:uid="{00000000-0005-0000-0000-0000FC3E0000}"/>
    <cellStyle name="표준 5 2 2 5 2 3 5 2" xfId="13726" xr:uid="{00000000-0005-0000-0000-0000FD3E0000}"/>
    <cellStyle name="표준 5 2 2 5 2 3 5 2 2" xfId="30320" xr:uid="{00000000-0005-0000-0000-0000FE3E0000}"/>
    <cellStyle name="표준 5 2 2 5 2 3 5 2 3" xfId="38531" xr:uid="{00000000-0005-0000-0000-0000FF3E0000}"/>
    <cellStyle name="표준 5 2 2 5 2 3 5 2 4" xfId="46724" xr:uid="{00000000-0005-0000-0000-0000003F0000}"/>
    <cellStyle name="표준 5 2 2 5 2 3 5 3" xfId="17966" xr:uid="{00000000-0005-0000-0000-0000013F0000}"/>
    <cellStyle name="표준 5 2 2 5 2 3 5 4" xfId="22128" xr:uid="{00000000-0005-0000-0000-0000023F0000}"/>
    <cellStyle name="표준 5 2 2 5 2 3 5 5" xfId="26224" xr:uid="{00000000-0005-0000-0000-0000033F0000}"/>
    <cellStyle name="표준 5 2 2 5 2 3 5 6" xfId="34435" xr:uid="{00000000-0005-0000-0000-0000043F0000}"/>
    <cellStyle name="표준 5 2 2 5 2 3 5 7" xfId="42628" xr:uid="{00000000-0005-0000-0000-0000053F0000}"/>
    <cellStyle name="표준 5 2 2 5 2 3 6" xfId="7566" xr:uid="{00000000-0005-0000-0000-0000063F0000}"/>
    <cellStyle name="표준 5 2 2 5 2 3 6 2" xfId="28272" xr:uid="{00000000-0005-0000-0000-0000073F0000}"/>
    <cellStyle name="표준 5 2 2 5 2 3 6 3" xfId="36483" xr:uid="{00000000-0005-0000-0000-0000083F0000}"/>
    <cellStyle name="표준 5 2 2 5 2 3 6 4" xfId="44676" xr:uid="{00000000-0005-0000-0000-0000093F0000}"/>
    <cellStyle name="표준 5 2 2 5 2 3 7" xfId="11678" xr:uid="{00000000-0005-0000-0000-00000A3F0000}"/>
    <cellStyle name="표준 5 2 2 5 2 3 8" xfId="15918" xr:uid="{00000000-0005-0000-0000-00000B3F0000}"/>
    <cellStyle name="표준 5 2 2 5 2 3 9" xfId="20080" xr:uid="{00000000-0005-0000-0000-00000C3F0000}"/>
    <cellStyle name="표준 5 2 2 5 2 4" xfId="967" xr:uid="{00000000-0005-0000-0000-00000D3F0000}"/>
    <cellStyle name="표준 5 2 2 5 2 4 2" xfId="9870" xr:uid="{00000000-0005-0000-0000-00000E3F0000}"/>
    <cellStyle name="표준 5 2 2 5 2 4 2 2" xfId="13982" xr:uid="{00000000-0005-0000-0000-00000F3F0000}"/>
    <cellStyle name="표준 5 2 2 5 2 4 2 2 2" xfId="30576" xr:uid="{00000000-0005-0000-0000-0000103F0000}"/>
    <cellStyle name="표준 5 2 2 5 2 4 2 2 3" xfId="38787" xr:uid="{00000000-0005-0000-0000-0000113F0000}"/>
    <cellStyle name="표준 5 2 2 5 2 4 2 2 4" xfId="46980" xr:uid="{00000000-0005-0000-0000-0000123F0000}"/>
    <cellStyle name="표준 5 2 2 5 2 4 2 3" xfId="18222" xr:uid="{00000000-0005-0000-0000-0000133F0000}"/>
    <cellStyle name="표준 5 2 2 5 2 4 2 4" xfId="22384" xr:uid="{00000000-0005-0000-0000-0000143F0000}"/>
    <cellStyle name="표준 5 2 2 5 2 4 2 5" xfId="26480" xr:uid="{00000000-0005-0000-0000-0000153F0000}"/>
    <cellStyle name="표준 5 2 2 5 2 4 2 6" xfId="34691" xr:uid="{00000000-0005-0000-0000-0000163F0000}"/>
    <cellStyle name="표준 5 2 2 5 2 4 2 7" xfId="42884" xr:uid="{00000000-0005-0000-0000-0000173F0000}"/>
    <cellStyle name="표준 5 2 2 5 2 4 3" xfId="7822" xr:uid="{00000000-0005-0000-0000-0000183F0000}"/>
    <cellStyle name="표준 5 2 2 5 2 4 3 2" xfId="28528" xr:uid="{00000000-0005-0000-0000-0000193F0000}"/>
    <cellStyle name="표준 5 2 2 5 2 4 3 3" xfId="36739" xr:uid="{00000000-0005-0000-0000-00001A3F0000}"/>
    <cellStyle name="표준 5 2 2 5 2 4 3 4" xfId="44932" xr:uid="{00000000-0005-0000-0000-00001B3F0000}"/>
    <cellStyle name="표준 5 2 2 5 2 4 4" xfId="11934" xr:uid="{00000000-0005-0000-0000-00001C3F0000}"/>
    <cellStyle name="표준 5 2 2 5 2 4 5" xfId="16174" xr:uid="{00000000-0005-0000-0000-00001D3F0000}"/>
    <cellStyle name="표준 5 2 2 5 2 4 6" xfId="20336" xr:uid="{00000000-0005-0000-0000-00001E3F0000}"/>
    <cellStyle name="표준 5 2 2 5 2 4 7" xfId="24432" xr:uid="{00000000-0005-0000-0000-00001F3F0000}"/>
    <cellStyle name="표준 5 2 2 5 2 4 8" xfId="32643" xr:uid="{00000000-0005-0000-0000-0000203F0000}"/>
    <cellStyle name="표준 5 2 2 5 2 4 9" xfId="40836" xr:uid="{00000000-0005-0000-0000-0000213F0000}"/>
    <cellStyle name="표준 5 2 2 5 2 5" xfId="1479" xr:uid="{00000000-0005-0000-0000-0000223F0000}"/>
    <cellStyle name="표준 5 2 2 5 2 5 2" xfId="10382" xr:uid="{00000000-0005-0000-0000-0000233F0000}"/>
    <cellStyle name="표준 5 2 2 5 2 5 2 2" xfId="14494" xr:uid="{00000000-0005-0000-0000-0000243F0000}"/>
    <cellStyle name="표준 5 2 2 5 2 5 2 2 2" xfId="31088" xr:uid="{00000000-0005-0000-0000-0000253F0000}"/>
    <cellStyle name="표준 5 2 2 5 2 5 2 2 3" xfId="39299" xr:uid="{00000000-0005-0000-0000-0000263F0000}"/>
    <cellStyle name="표준 5 2 2 5 2 5 2 2 4" xfId="47492" xr:uid="{00000000-0005-0000-0000-0000273F0000}"/>
    <cellStyle name="표준 5 2 2 5 2 5 2 3" xfId="18734" xr:uid="{00000000-0005-0000-0000-0000283F0000}"/>
    <cellStyle name="표준 5 2 2 5 2 5 2 4" xfId="22896" xr:uid="{00000000-0005-0000-0000-0000293F0000}"/>
    <cellStyle name="표준 5 2 2 5 2 5 2 5" xfId="26992" xr:uid="{00000000-0005-0000-0000-00002A3F0000}"/>
    <cellStyle name="표준 5 2 2 5 2 5 2 6" xfId="35203" xr:uid="{00000000-0005-0000-0000-00002B3F0000}"/>
    <cellStyle name="표준 5 2 2 5 2 5 2 7" xfId="43396" xr:uid="{00000000-0005-0000-0000-00002C3F0000}"/>
    <cellStyle name="표준 5 2 2 5 2 5 3" xfId="8334" xr:uid="{00000000-0005-0000-0000-00002D3F0000}"/>
    <cellStyle name="표준 5 2 2 5 2 5 3 2" xfId="29040" xr:uid="{00000000-0005-0000-0000-00002E3F0000}"/>
    <cellStyle name="표준 5 2 2 5 2 5 3 3" xfId="37251" xr:uid="{00000000-0005-0000-0000-00002F3F0000}"/>
    <cellStyle name="표준 5 2 2 5 2 5 3 4" xfId="45444" xr:uid="{00000000-0005-0000-0000-0000303F0000}"/>
    <cellStyle name="표준 5 2 2 5 2 5 4" xfId="12446" xr:uid="{00000000-0005-0000-0000-0000313F0000}"/>
    <cellStyle name="표준 5 2 2 5 2 5 5" xfId="16686" xr:uid="{00000000-0005-0000-0000-0000323F0000}"/>
    <cellStyle name="표준 5 2 2 5 2 5 6" xfId="20848" xr:uid="{00000000-0005-0000-0000-0000333F0000}"/>
    <cellStyle name="표준 5 2 2 5 2 5 7" xfId="24944" xr:uid="{00000000-0005-0000-0000-0000343F0000}"/>
    <cellStyle name="표준 5 2 2 5 2 5 8" xfId="33155" xr:uid="{00000000-0005-0000-0000-0000353F0000}"/>
    <cellStyle name="표준 5 2 2 5 2 5 9" xfId="41348" xr:uid="{00000000-0005-0000-0000-0000363F0000}"/>
    <cellStyle name="표준 5 2 2 5 2 6" xfId="1991" xr:uid="{00000000-0005-0000-0000-0000373F0000}"/>
    <cellStyle name="표준 5 2 2 5 2 6 2" xfId="10894" xr:uid="{00000000-0005-0000-0000-0000383F0000}"/>
    <cellStyle name="표준 5 2 2 5 2 6 2 2" xfId="15006" xr:uid="{00000000-0005-0000-0000-0000393F0000}"/>
    <cellStyle name="표준 5 2 2 5 2 6 2 2 2" xfId="31600" xr:uid="{00000000-0005-0000-0000-00003A3F0000}"/>
    <cellStyle name="표준 5 2 2 5 2 6 2 2 3" xfId="39811" xr:uid="{00000000-0005-0000-0000-00003B3F0000}"/>
    <cellStyle name="표준 5 2 2 5 2 6 2 2 4" xfId="48004" xr:uid="{00000000-0005-0000-0000-00003C3F0000}"/>
    <cellStyle name="표준 5 2 2 5 2 6 2 3" xfId="19246" xr:uid="{00000000-0005-0000-0000-00003D3F0000}"/>
    <cellStyle name="표준 5 2 2 5 2 6 2 4" xfId="23408" xr:uid="{00000000-0005-0000-0000-00003E3F0000}"/>
    <cellStyle name="표준 5 2 2 5 2 6 2 5" xfId="27504" xr:uid="{00000000-0005-0000-0000-00003F3F0000}"/>
    <cellStyle name="표준 5 2 2 5 2 6 2 6" xfId="35715" xr:uid="{00000000-0005-0000-0000-0000403F0000}"/>
    <cellStyle name="표준 5 2 2 5 2 6 2 7" xfId="43908" xr:uid="{00000000-0005-0000-0000-0000413F0000}"/>
    <cellStyle name="표준 5 2 2 5 2 6 3" xfId="8846" xr:uid="{00000000-0005-0000-0000-0000423F0000}"/>
    <cellStyle name="표준 5 2 2 5 2 6 3 2" xfId="29552" xr:uid="{00000000-0005-0000-0000-0000433F0000}"/>
    <cellStyle name="표준 5 2 2 5 2 6 3 3" xfId="37763" xr:uid="{00000000-0005-0000-0000-0000443F0000}"/>
    <cellStyle name="표준 5 2 2 5 2 6 3 4" xfId="45956" xr:uid="{00000000-0005-0000-0000-0000453F0000}"/>
    <cellStyle name="표준 5 2 2 5 2 6 4" xfId="12958" xr:uid="{00000000-0005-0000-0000-0000463F0000}"/>
    <cellStyle name="표준 5 2 2 5 2 6 5" xfId="17198" xr:uid="{00000000-0005-0000-0000-0000473F0000}"/>
    <cellStyle name="표준 5 2 2 5 2 6 6" xfId="21360" xr:uid="{00000000-0005-0000-0000-0000483F0000}"/>
    <cellStyle name="표준 5 2 2 5 2 6 7" xfId="25456" xr:uid="{00000000-0005-0000-0000-0000493F0000}"/>
    <cellStyle name="표준 5 2 2 5 2 6 8" xfId="33667" xr:uid="{00000000-0005-0000-0000-00004A3F0000}"/>
    <cellStyle name="표준 5 2 2 5 2 6 9" xfId="41860" xr:uid="{00000000-0005-0000-0000-00004B3F0000}"/>
    <cellStyle name="표준 5 2 2 5 2 7" xfId="7051" xr:uid="{00000000-0005-0000-0000-00004C3F0000}"/>
    <cellStyle name="표준 5 2 2 5 2 7 2" xfId="9358" xr:uid="{00000000-0005-0000-0000-00004D3F0000}"/>
    <cellStyle name="표준 5 2 2 5 2 7 2 2" xfId="30064" xr:uid="{00000000-0005-0000-0000-00004E3F0000}"/>
    <cellStyle name="표준 5 2 2 5 2 7 2 3" xfId="38275" xr:uid="{00000000-0005-0000-0000-00004F3F0000}"/>
    <cellStyle name="표준 5 2 2 5 2 7 2 4" xfId="46468" xr:uid="{00000000-0005-0000-0000-0000503F0000}"/>
    <cellStyle name="표준 5 2 2 5 2 7 3" xfId="13470" xr:uid="{00000000-0005-0000-0000-0000513F0000}"/>
    <cellStyle name="표준 5 2 2 5 2 7 4" xfId="17710" xr:uid="{00000000-0005-0000-0000-0000523F0000}"/>
    <cellStyle name="표준 5 2 2 5 2 7 5" xfId="21872" xr:uid="{00000000-0005-0000-0000-0000533F0000}"/>
    <cellStyle name="표준 5 2 2 5 2 7 6" xfId="25968" xr:uid="{00000000-0005-0000-0000-0000543F0000}"/>
    <cellStyle name="표준 5 2 2 5 2 7 7" xfId="34179" xr:uid="{00000000-0005-0000-0000-0000553F0000}"/>
    <cellStyle name="표준 5 2 2 5 2 7 8" xfId="42372" xr:uid="{00000000-0005-0000-0000-0000563F0000}"/>
    <cellStyle name="표준 5 2 2 5 2 8" xfId="7127" xr:uid="{00000000-0005-0000-0000-0000573F0000}"/>
    <cellStyle name="표준 5 2 2 5 2 8 2" xfId="28016" xr:uid="{00000000-0005-0000-0000-0000583F0000}"/>
    <cellStyle name="표준 5 2 2 5 2 8 3" xfId="36227" xr:uid="{00000000-0005-0000-0000-0000593F0000}"/>
    <cellStyle name="표준 5 2 2 5 2 8 4" xfId="44420" xr:uid="{00000000-0005-0000-0000-00005A3F0000}"/>
    <cellStyle name="표준 5 2 2 5 2 9" xfId="7310" xr:uid="{00000000-0005-0000-0000-00005B3F0000}"/>
    <cellStyle name="표준 5 2 2 5 3" xfId="519" xr:uid="{00000000-0005-0000-0000-00005C3F0000}"/>
    <cellStyle name="표준 5 2 2 5 3 10" xfId="19888" xr:uid="{00000000-0005-0000-0000-00005D3F0000}"/>
    <cellStyle name="표준 5 2 2 5 3 11" xfId="23984" xr:uid="{00000000-0005-0000-0000-00005E3F0000}"/>
    <cellStyle name="표준 5 2 2 5 3 12" xfId="32195" xr:uid="{00000000-0005-0000-0000-00005F3F0000}"/>
    <cellStyle name="표준 5 2 2 5 3 13" xfId="40388" xr:uid="{00000000-0005-0000-0000-0000603F0000}"/>
    <cellStyle name="표준 5 2 2 5 3 2" xfId="775" xr:uid="{00000000-0005-0000-0000-0000613F0000}"/>
    <cellStyle name="표준 5 2 2 5 3 2 10" xfId="24240" xr:uid="{00000000-0005-0000-0000-0000623F0000}"/>
    <cellStyle name="표준 5 2 2 5 3 2 11" xfId="32451" xr:uid="{00000000-0005-0000-0000-0000633F0000}"/>
    <cellStyle name="표준 5 2 2 5 3 2 12" xfId="40644" xr:uid="{00000000-0005-0000-0000-0000643F0000}"/>
    <cellStyle name="표준 5 2 2 5 3 2 2" xfId="1287" xr:uid="{00000000-0005-0000-0000-0000653F0000}"/>
    <cellStyle name="표준 5 2 2 5 3 2 2 2" xfId="10190" xr:uid="{00000000-0005-0000-0000-0000663F0000}"/>
    <cellStyle name="표준 5 2 2 5 3 2 2 2 2" xfId="14302" xr:uid="{00000000-0005-0000-0000-0000673F0000}"/>
    <cellStyle name="표준 5 2 2 5 3 2 2 2 2 2" xfId="30896" xr:uid="{00000000-0005-0000-0000-0000683F0000}"/>
    <cellStyle name="표준 5 2 2 5 3 2 2 2 2 3" xfId="39107" xr:uid="{00000000-0005-0000-0000-0000693F0000}"/>
    <cellStyle name="표준 5 2 2 5 3 2 2 2 2 4" xfId="47300" xr:uid="{00000000-0005-0000-0000-00006A3F0000}"/>
    <cellStyle name="표준 5 2 2 5 3 2 2 2 3" xfId="18542" xr:uid="{00000000-0005-0000-0000-00006B3F0000}"/>
    <cellStyle name="표준 5 2 2 5 3 2 2 2 4" xfId="22704" xr:uid="{00000000-0005-0000-0000-00006C3F0000}"/>
    <cellStyle name="표준 5 2 2 5 3 2 2 2 5" xfId="26800" xr:uid="{00000000-0005-0000-0000-00006D3F0000}"/>
    <cellStyle name="표준 5 2 2 5 3 2 2 2 6" xfId="35011" xr:uid="{00000000-0005-0000-0000-00006E3F0000}"/>
    <cellStyle name="표준 5 2 2 5 3 2 2 2 7" xfId="43204" xr:uid="{00000000-0005-0000-0000-00006F3F0000}"/>
    <cellStyle name="표준 5 2 2 5 3 2 2 3" xfId="8142" xr:uid="{00000000-0005-0000-0000-0000703F0000}"/>
    <cellStyle name="표준 5 2 2 5 3 2 2 3 2" xfId="28848" xr:uid="{00000000-0005-0000-0000-0000713F0000}"/>
    <cellStyle name="표준 5 2 2 5 3 2 2 3 3" xfId="37059" xr:uid="{00000000-0005-0000-0000-0000723F0000}"/>
    <cellStyle name="표준 5 2 2 5 3 2 2 3 4" xfId="45252" xr:uid="{00000000-0005-0000-0000-0000733F0000}"/>
    <cellStyle name="표준 5 2 2 5 3 2 2 4" xfId="12254" xr:uid="{00000000-0005-0000-0000-0000743F0000}"/>
    <cellStyle name="표준 5 2 2 5 3 2 2 5" xfId="16494" xr:uid="{00000000-0005-0000-0000-0000753F0000}"/>
    <cellStyle name="표준 5 2 2 5 3 2 2 6" xfId="20656" xr:uid="{00000000-0005-0000-0000-0000763F0000}"/>
    <cellStyle name="표준 5 2 2 5 3 2 2 7" xfId="24752" xr:uid="{00000000-0005-0000-0000-0000773F0000}"/>
    <cellStyle name="표준 5 2 2 5 3 2 2 8" xfId="32963" xr:uid="{00000000-0005-0000-0000-0000783F0000}"/>
    <cellStyle name="표준 5 2 2 5 3 2 2 9" xfId="41156" xr:uid="{00000000-0005-0000-0000-0000793F0000}"/>
    <cellStyle name="표준 5 2 2 5 3 2 3" xfId="1799" xr:uid="{00000000-0005-0000-0000-00007A3F0000}"/>
    <cellStyle name="표준 5 2 2 5 3 2 3 2" xfId="10702" xr:uid="{00000000-0005-0000-0000-00007B3F0000}"/>
    <cellStyle name="표준 5 2 2 5 3 2 3 2 2" xfId="14814" xr:uid="{00000000-0005-0000-0000-00007C3F0000}"/>
    <cellStyle name="표준 5 2 2 5 3 2 3 2 2 2" xfId="31408" xr:uid="{00000000-0005-0000-0000-00007D3F0000}"/>
    <cellStyle name="표준 5 2 2 5 3 2 3 2 2 3" xfId="39619" xr:uid="{00000000-0005-0000-0000-00007E3F0000}"/>
    <cellStyle name="표준 5 2 2 5 3 2 3 2 2 4" xfId="47812" xr:uid="{00000000-0005-0000-0000-00007F3F0000}"/>
    <cellStyle name="표준 5 2 2 5 3 2 3 2 3" xfId="19054" xr:uid="{00000000-0005-0000-0000-0000803F0000}"/>
    <cellStyle name="표준 5 2 2 5 3 2 3 2 4" xfId="23216" xr:uid="{00000000-0005-0000-0000-0000813F0000}"/>
    <cellStyle name="표준 5 2 2 5 3 2 3 2 5" xfId="27312" xr:uid="{00000000-0005-0000-0000-0000823F0000}"/>
    <cellStyle name="표준 5 2 2 5 3 2 3 2 6" xfId="35523" xr:uid="{00000000-0005-0000-0000-0000833F0000}"/>
    <cellStyle name="표준 5 2 2 5 3 2 3 2 7" xfId="43716" xr:uid="{00000000-0005-0000-0000-0000843F0000}"/>
    <cellStyle name="표준 5 2 2 5 3 2 3 3" xfId="8654" xr:uid="{00000000-0005-0000-0000-0000853F0000}"/>
    <cellStyle name="표준 5 2 2 5 3 2 3 3 2" xfId="29360" xr:uid="{00000000-0005-0000-0000-0000863F0000}"/>
    <cellStyle name="표준 5 2 2 5 3 2 3 3 3" xfId="37571" xr:uid="{00000000-0005-0000-0000-0000873F0000}"/>
    <cellStyle name="표준 5 2 2 5 3 2 3 3 4" xfId="45764" xr:uid="{00000000-0005-0000-0000-0000883F0000}"/>
    <cellStyle name="표준 5 2 2 5 3 2 3 4" xfId="12766" xr:uid="{00000000-0005-0000-0000-0000893F0000}"/>
    <cellStyle name="표준 5 2 2 5 3 2 3 5" xfId="17006" xr:uid="{00000000-0005-0000-0000-00008A3F0000}"/>
    <cellStyle name="표준 5 2 2 5 3 2 3 6" xfId="21168" xr:uid="{00000000-0005-0000-0000-00008B3F0000}"/>
    <cellStyle name="표준 5 2 2 5 3 2 3 7" xfId="25264" xr:uid="{00000000-0005-0000-0000-00008C3F0000}"/>
    <cellStyle name="표준 5 2 2 5 3 2 3 8" xfId="33475" xr:uid="{00000000-0005-0000-0000-00008D3F0000}"/>
    <cellStyle name="표준 5 2 2 5 3 2 3 9" xfId="41668" xr:uid="{00000000-0005-0000-0000-00008E3F0000}"/>
    <cellStyle name="표준 5 2 2 5 3 2 4" xfId="2311" xr:uid="{00000000-0005-0000-0000-00008F3F0000}"/>
    <cellStyle name="표준 5 2 2 5 3 2 4 2" xfId="11214" xr:uid="{00000000-0005-0000-0000-0000903F0000}"/>
    <cellStyle name="표준 5 2 2 5 3 2 4 2 2" xfId="15326" xr:uid="{00000000-0005-0000-0000-0000913F0000}"/>
    <cellStyle name="표준 5 2 2 5 3 2 4 2 2 2" xfId="31920" xr:uid="{00000000-0005-0000-0000-0000923F0000}"/>
    <cellStyle name="표준 5 2 2 5 3 2 4 2 2 3" xfId="40131" xr:uid="{00000000-0005-0000-0000-0000933F0000}"/>
    <cellStyle name="표준 5 2 2 5 3 2 4 2 2 4" xfId="48324" xr:uid="{00000000-0005-0000-0000-0000943F0000}"/>
    <cellStyle name="표준 5 2 2 5 3 2 4 2 3" xfId="19566" xr:uid="{00000000-0005-0000-0000-0000953F0000}"/>
    <cellStyle name="표준 5 2 2 5 3 2 4 2 4" xfId="23728" xr:uid="{00000000-0005-0000-0000-0000963F0000}"/>
    <cellStyle name="표준 5 2 2 5 3 2 4 2 5" xfId="27824" xr:uid="{00000000-0005-0000-0000-0000973F0000}"/>
    <cellStyle name="표준 5 2 2 5 3 2 4 2 6" xfId="36035" xr:uid="{00000000-0005-0000-0000-0000983F0000}"/>
    <cellStyle name="표준 5 2 2 5 3 2 4 2 7" xfId="44228" xr:uid="{00000000-0005-0000-0000-0000993F0000}"/>
    <cellStyle name="표준 5 2 2 5 3 2 4 3" xfId="9166" xr:uid="{00000000-0005-0000-0000-00009A3F0000}"/>
    <cellStyle name="표준 5 2 2 5 3 2 4 3 2" xfId="29872" xr:uid="{00000000-0005-0000-0000-00009B3F0000}"/>
    <cellStyle name="표준 5 2 2 5 3 2 4 3 3" xfId="38083" xr:uid="{00000000-0005-0000-0000-00009C3F0000}"/>
    <cellStyle name="표준 5 2 2 5 3 2 4 3 4" xfId="46276" xr:uid="{00000000-0005-0000-0000-00009D3F0000}"/>
    <cellStyle name="표준 5 2 2 5 3 2 4 4" xfId="13278" xr:uid="{00000000-0005-0000-0000-00009E3F0000}"/>
    <cellStyle name="표준 5 2 2 5 3 2 4 5" xfId="17518" xr:uid="{00000000-0005-0000-0000-00009F3F0000}"/>
    <cellStyle name="표준 5 2 2 5 3 2 4 6" xfId="21680" xr:uid="{00000000-0005-0000-0000-0000A03F0000}"/>
    <cellStyle name="표준 5 2 2 5 3 2 4 7" xfId="25776" xr:uid="{00000000-0005-0000-0000-0000A13F0000}"/>
    <cellStyle name="표준 5 2 2 5 3 2 4 8" xfId="33987" xr:uid="{00000000-0005-0000-0000-0000A23F0000}"/>
    <cellStyle name="표준 5 2 2 5 3 2 4 9" xfId="42180" xr:uid="{00000000-0005-0000-0000-0000A33F0000}"/>
    <cellStyle name="표준 5 2 2 5 3 2 5" xfId="9678" xr:uid="{00000000-0005-0000-0000-0000A43F0000}"/>
    <cellStyle name="표준 5 2 2 5 3 2 5 2" xfId="13790" xr:uid="{00000000-0005-0000-0000-0000A53F0000}"/>
    <cellStyle name="표준 5 2 2 5 3 2 5 2 2" xfId="30384" xr:uid="{00000000-0005-0000-0000-0000A63F0000}"/>
    <cellStyle name="표준 5 2 2 5 3 2 5 2 3" xfId="38595" xr:uid="{00000000-0005-0000-0000-0000A73F0000}"/>
    <cellStyle name="표준 5 2 2 5 3 2 5 2 4" xfId="46788" xr:uid="{00000000-0005-0000-0000-0000A83F0000}"/>
    <cellStyle name="표준 5 2 2 5 3 2 5 3" xfId="18030" xr:uid="{00000000-0005-0000-0000-0000A93F0000}"/>
    <cellStyle name="표준 5 2 2 5 3 2 5 4" xfId="22192" xr:uid="{00000000-0005-0000-0000-0000AA3F0000}"/>
    <cellStyle name="표준 5 2 2 5 3 2 5 5" xfId="26288" xr:uid="{00000000-0005-0000-0000-0000AB3F0000}"/>
    <cellStyle name="표준 5 2 2 5 3 2 5 6" xfId="34499" xr:uid="{00000000-0005-0000-0000-0000AC3F0000}"/>
    <cellStyle name="표준 5 2 2 5 3 2 5 7" xfId="42692" xr:uid="{00000000-0005-0000-0000-0000AD3F0000}"/>
    <cellStyle name="표준 5 2 2 5 3 2 6" xfId="7630" xr:uid="{00000000-0005-0000-0000-0000AE3F0000}"/>
    <cellStyle name="표준 5 2 2 5 3 2 6 2" xfId="28336" xr:uid="{00000000-0005-0000-0000-0000AF3F0000}"/>
    <cellStyle name="표준 5 2 2 5 3 2 6 3" xfId="36547" xr:uid="{00000000-0005-0000-0000-0000B03F0000}"/>
    <cellStyle name="표준 5 2 2 5 3 2 6 4" xfId="44740" xr:uid="{00000000-0005-0000-0000-0000B13F0000}"/>
    <cellStyle name="표준 5 2 2 5 3 2 7" xfId="11742" xr:uid="{00000000-0005-0000-0000-0000B23F0000}"/>
    <cellStyle name="표준 5 2 2 5 3 2 8" xfId="15982" xr:uid="{00000000-0005-0000-0000-0000B33F0000}"/>
    <cellStyle name="표준 5 2 2 5 3 2 9" xfId="20144" xr:uid="{00000000-0005-0000-0000-0000B43F0000}"/>
    <cellStyle name="표준 5 2 2 5 3 3" xfId="1031" xr:uid="{00000000-0005-0000-0000-0000B53F0000}"/>
    <cellStyle name="표준 5 2 2 5 3 3 2" xfId="9934" xr:uid="{00000000-0005-0000-0000-0000B63F0000}"/>
    <cellStyle name="표준 5 2 2 5 3 3 2 2" xfId="14046" xr:uid="{00000000-0005-0000-0000-0000B73F0000}"/>
    <cellStyle name="표준 5 2 2 5 3 3 2 2 2" xfId="30640" xr:uid="{00000000-0005-0000-0000-0000B83F0000}"/>
    <cellStyle name="표준 5 2 2 5 3 3 2 2 3" xfId="38851" xr:uid="{00000000-0005-0000-0000-0000B93F0000}"/>
    <cellStyle name="표준 5 2 2 5 3 3 2 2 4" xfId="47044" xr:uid="{00000000-0005-0000-0000-0000BA3F0000}"/>
    <cellStyle name="표준 5 2 2 5 3 3 2 3" xfId="18286" xr:uid="{00000000-0005-0000-0000-0000BB3F0000}"/>
    <cellStyle name="표준 5 2 2 5 3 3 2 4" xfId="22448" xr:uid="{00000000-0005-0000-0000-0000BC3F0000}"/>
    <cellStyle name="표준 5 2 2 5 3 3 2 5" xfId="26544" xr:uid="{00000000-0005-0000-0000-0000BD3F0000}"/>
    <cellStyle name="표준 5 2 2 5 3 3 2 6" xfId="34755" xr:uid="{00000000-0005-0000-0000-0000BE3F0000}"/>
    <cellStyle name="표준 5 2 2 5 3 3 2 7" xfId="42948" xr:uid="{00000000-0005-0000-0000-0000BF3F0000}"/>
    <cellStyle name="표준 5 2 2 5 3 3 3" xfId="7886" xr:uid="{00000000-0005-0000-0000-0000C03F0000}"/>
    <cellStyle name="표준 5 2 2 5 3 3 3 2" xfId="28592" xr:uid="{00000000-0005-0000-0000-0000C13F0000}"/>
    <cellStyle name="표준 5 2 2 5 3 3 3 3" xfId="36803" xr:uid="{00000000-0005-0000-0000-0000C23F0000}"/>
    <cellStyle name="표준 5 2 2 5 3 3 3 4" xfId="44996" xr:uid="{00000000-0005-0000-0000-0000C33F0000}"/>
    <cellStyle name="표준 5 2 2 5 3 3 4" xfId="11998" xr:uid="{00000000-0005-0000-0000-0000C43F0000}"/>
    <cellStyle name="표준 5 2 2 5 3 3 5" xfId="16238" xr:uid="{00000000-0005-0000-0000-0000C53F0000}"/>
    <cellStyle name="표준 5 2 2 5 3 3 6" xfId="20400" xr:uid="{00000000-0005-0000-0000-0000C63F0000}"/>
    <cellStyle name="표준 5 2 2 5 3 3 7" xfId="24496" xr:uid="{00000000-0005-0000-0000-0000C73F0000}"/>
    <cellStyle name="표준 5 2 2 5 3 3 8" xfId="32707" xr:uid="{00000000-0005-0000-0000-0000C83F0000}"/>
    <cellStyle name="표준 5 2 2 5 3 3 9" xfId="40900" xr:uid="{00000000-0005-0000-0000-0000C93F0000}"/>
    <cellStyle name="표준 5 2 2 5 3 4" xfId="1543" xr:uid="{00000000-0005-0000-0000-0000CA3F0000}"/>
    <cellStyle name="표준 5 2 2 5 3 4 2" xfId="10446" xr:uid="{00000000-0005-0000-0000-0000CB3F0000}"/>
    <cellStyle name="표준 5 2 2 5 3 4 2 2" xfId="14558" xr:uid="{00000000-0005-0000-0000-0000CC3F0000}"/>
    <cellStyle name="표준 5 2 2 5 3 4 2 2 2" xfId="31152" xr:uid="{00000000-0005-0000-0000-0000CD3F0000}"/>
    <cellStyle name="표준 5 2 2 5 3 4 2 2 3" xfId="39363" xr:uid="{00000000-0005-0000-0000-0000CE3F0000}"/>
    <cellStyle name="표준 5 2 2 5 3 4 2 2 4" xfId="47556" xr:uid="{00000000-0005-0000-0000-0000CF3F0000}"/>
    <cellStyle name="표준 5 2 2 5 3 4 2 3" xfId="18798" xr:uid="{00000000-0005-0000-0000-0000D03F0000}"/>
    <cellStyle name="표준 5 2 2 5 3 4 2 4" xfId="22960" xr:uid="{00000000-0005-0000-0000-0000D13F0000}"/>
    <cellStyle name="표준 5 2 2 5 3 4 2 5" xfId="27056" xr:uid="{00000000-0005-0000-0000-0000D23F0000}"/>
    <cellStyle name="표준 5 2 2 5 3 4 2 6" xfId="35267" xr:uid="{00000000-0005-0000-0000-0000D33F0000}"/>
    <cellStyle name="표준 5 2 2 5 3 4 2 7" xfId="43460" xr:uid="{00000000-0005-0000-0000-0000D43F0000}"/>
    <cellStyle name="표준 5 2 2 5 3 4 3" xfId="8398" xr:uid="{00000000-0005-0000-0000-0000D53F0000}"/>
    <cellStyle name="표준 5 2 2 5 3 4 3 2" xfId="29104" xr:uid="{00000000-0005-0000-0000-0000D63F0000}"/>
    <cellStyle name="표준 5 2 2 5 3 4 3 3" xfId="37315" xr:uid="{00000000-0005-0000-0000-0000D73F0000}"/>
    <cellStyle name="표준 5 2 2 5 3 4 3 4" xfId="45508" xr:uid="{00000000-0005-0000-0000-0000D83F0000}"/>
    <cellStyle name="표준 5 2 2 5 3 4 4" xfId="12510" xr:uid="{00000000-0005-0000-0000-0000D93F0000}"/>
    <cellStyle name="표준 5 2 2 5 3 4 5" xfId="16750" xr:uid="{00000000-0005-0000-0000-0000DA3F0000}"/>
    <cellStyle name="표준 5 2 2 5 3 4 6" xfId="20912" xr:uid="{00000000-0005-0000-0000-0000DB3F0000}"/>
    <cellStyle name="표준 5 2 2 5 3 4 7" xfId="25008" xr:uid="{00000000-0005-0000-0000-0000DC3F0000}"/>
    <cellStyle name="표준 5 2 2 5 3 4 8" xfId="33219" xr:uid="{00000000-0005-0000-0000-0000DD3F0000}"/>
    <cellStyle name="표준 5 2 2 5 3 4 9" xfId="41412" xr:uid="{00000000-0005-0000-0000-0000DE3F0000}"/>
    <cellStyle name="표준 5 2 2 5 3 5" xfId="2055" xr:uid="{00000000-0005-0000-0000-0000DF3F0000}"/>
    <cellStyle name="표준 5 2 2 5 3 5 2" xfId="10958" xr:uid="{00000000-0005-0000-0000-0000E03F0000}"/>
    <cellStyle name="표준 5 2 2 5 3 5 2 2" xfId="15070" xr:uid="{00000000-0005-0000-0000-0000E13F0000}"/>
    <cellStyle name="표준 5 2 2 5 3 5 2 2 2" xfId="31664" xr:uid="{00000000-0005-0000-0000-0000E23F0000}"/>
    <cellStyle name="표준 5 2 2 5 3 5 2 2 3" xfId="39875" xr:uid="{00000000-0005-0000-0000-0000E33F0000}"/>
    <cellStyle name="표준 5 2 2 5 3 5 2 2 4" xfId="48068" xr:uid="{00000000-0005-0000-0000-0000E43F0000}"/>
    <cellStyle name="표준 5 2 2 5 3 5 2 3" xfId="19310" xr:uid="{00000000-0005-0000-0000-0000E53F0000}"/>
    <cellStyle name="표준 5 2 2 5 3 5 2 4" xfId="23472" xr:uid="{00000000-0005-0000-0000-0000E63F0000}"/>
    <cellStyle name="표준 5 2 2 5 3 5 2 5" xfId="27568" xr:uid="{00000000-0005-0000-0000-0000E73F0000}"/>
    <cellStyle name="표준 5 2 2 5 3 5 2 6" xfId="35779" xr:uid="{00000000-0005-0000-0000-0000E83F0000}"/>
    <cellStyle name="표준 5 2 2 5 3 5 2 7" xfId="43972" xr:uid="{00000000-0005-0000-0000-0000E93F0000}"/>
    <cellStyle name="표준 5 2 2 5 3 5 3" xfId="8910" xr:uid="{00000000-0005-0000-0000-0000EA3F0000}"/>
    <cellStyle name="표준 5 2 2 5 3 5 3 2" xfId="29616" xr:uid="{00000000-0005-0000-0000-0000EB3F0000}"/>
    <cellStyle name="표준 5 2 2 5 3 5 3 3" xfId="37827" xr:uid="{00000000-0005-0000-0000-0000EC3F0000}"/>
    <cellStyle name="표준 5 2 2 5 3 5 3 4" xfId="46020" xr:uid="{00000000-0005-0000-0000-0000ED3F0000}"/>
    <cellStyle name="표준 5 2 2 5 3 5 4" xfId="13022" xr:uid="{00000000-0005-0000-0000-0000EE3F0000}"/>
    <cellStyle name="표준 5 2 2 5 3 5 5" xfId="17262" xr:uid="{00000000-0005-0000-0000-0000EF3F0000}"/>
    <cellStyle name="표준 5 2 2 5 3 5 6" xfId="21424" xr:uid="{00000000-0005-0000-0000-0000F03F0000}"/>
    <cellStyle name="표준 5 2 2 5 3 5 7" xfId="25520" xr:uid="{00000000-0005-0000-0000-0000F13F0000}"/>
    <cellStyle name="표준 5 2 2 5 3 5 8" xfId="33731" xr:uid="{00000000-0005-0000-0000-0000F23F0000}"/>
    <cellStyle name="표준 5 2 2 5 3 5 9" xfId="41924" xr:uid="{00000000-0005-0000-0000-0000F33F0000}"/>
    <cellStyle name="표준 5 2 2 5 3 6" xfId="9422" xr:uid="{00000000-0005-0000-0000-0000F43F0000}"/>
    <cellStyle name="표준 5 2 2 5 3 6 2" xfId="13534" xr:uid="{00000000-0005-0000-0000-0000F53F0000}"/>
    <cellStyle name="표준 5 2 2 5 3 6 2 2" xfId="30128" xr:uid="{00000000-0005-0000-0000-0000F63F0000}"/>
    <cellStyle name="표준 5 2 2 5 3 6 2 3" xfId="38339" xr:uid="{00000000-0005-0000-0000-0000F73F0000}"/>
    <cellStyle name="표준 5 2 2 5 3 6 2 4" xfId="46532" xr:uid="{00000000-0005-0000-0000-0000F83F0000}"/>
    <cellStyle name="표준 5 2 2 5 3 6 3" xfId="17774" xr:uid="{00000000-0005-0000-0000-0000F93F0000}"/>
    <cellStyle name="표준 5 2 2 5 3 6 4" xfId="21936" xr:uid="{00000000-0005-0000-0000-0000FA3F0000}"/>
    <cellStyle name="표준 5 2 2 5 3 6 5" xfId="26032" xr:uid="{00000000-0005-0000-0000-0000FB3F0000}"/>
    <cellStyle name="표준 5 2 2 5 3 6 6" xfId="34243" xr:uid="{00000000-0005-0000-0000-0000FC3F0000}"/>
    <cellStyle name="표준 5 2 2 5 3 6 7" xfId="42436" xr:uid="{00000000-0005-0000-0000-0000FD3F0000}"/>
    <cellStyle name="표준 5 2 2 5 3 7" xfId="7374" xr:uid="{00000000-0005-0000-0000-0000FE3F0000}"/>
    <cellStyle name="표준 5 2 2 5 3 7 2" xfId="28080" xr:uid="{00000000-0005-0000-0000-0000FF3F0000}"/>
    <cellStyle name="표준 5 2 2 5 3 7 3" xfId="36291" xr:uid="{00000000-0005-0000-0000-000000400000}"/>
    <cellStyle name="표준 5 2 2 5 3 7 4" xfId="44484" xr:uid="{00000000-0005-0000-0000-000001400000}"/>
    <cellStyle name="표준 5 2 2 5 3 8" xfId="11486" xr:uid="{00000000-0005-0000-0000-000002400000}"/>
    <cellStyle name="표준 5 2 2 5 3 9" xfId="15726" xr:uid="{00000000-0005-0000-0000-000003400000}"/>
    <cellStyle name="표준 5 2 2 5 4" xfId="647" xr:uid="{00000000-0005-0000-0000-000004400000}"/>
    <cellStyle name="표준 5 2 2 5 4 10" xfId="24112" xr:uid="{00000000-0005-0000-0000-000005400000}"/>
    <cellStyle name="표준 5 2 2 5 4 11" xfId="32323" xr:uid="{00000000-0005-0000-0000-000006400000}"/>
    <cellStyle name="표준 5 2 2 5 4 12" xfId="40516" xr:uid="{00000000-0005-0000-0000-000007400000}"/>
    <cellStyle name="표준 5 2 2 5 4 2" xfId="1159" xr:uid="{00000000-0005-0000-0000-000008400000}"/>
    <cellStyle name="표준 5 2 2 5 4 2 2" xfId="10062" xr:uid="{00000000-0005-0000-0000-000009400000}"/>
    <cellStyle name="표준 5 2 2 5 4 2 2 2" xfId="14174" xr:uid="{00000000-0005-0000-0000-00000A400000}"/>
    <cellStyle name="표준 5 2 2 5 4 2 2 2 2" xfId="30768" xr:uid="{00000000-0005-0000-0000-00000B400000}"/>
    <cellStyle name="표준 5 2 2 5 4 2 2 2 3" xfId="38979" xr:uid="{00000000-0005-0000-0000-00000C400000}"/>
    <cellStyle name="표준 5 2 2 5 4 2 2 2 4" xfId="47172" xr:uid="{00000000-0005-0000-0000-00000D400000}"/>
    <cellStyle name="표준 5 2 2 5 4 2 2 3" xfId="18414" xr:uid="{00000000-0005-0000-0000-00000E400000}"/>
    <cellStyle name="표준 5 2 2 5 4 2 2 4" xfId="22576" xr:uid="{00000000-0005-0000-0000-00000F400000}"/>
    <cellStyle name="표준 5 2 2 5 4 2 2 5" xfId="26672" xr:uid="{00000000-0005-0000-0000-000010400000}"/>
    <cellStyle name="표준 5 2 2 5 4 2 2 6" xfId="34883" xr:uid="{00000000-0005-0000-0000-000011400000}"/>
    <cellStyle name="표준 5 2 2 5 4 2 2 7" xfId="43076" xr:uid="{00000000-0005-0000-0000-000012400000}"/>
    <cellStyle name="표준 5 2 2 5 4 2 3" xfId="8014" xr:uid="{00000000-0005-0000-0000-000013400000}"/>
    <cellStyle name="표준 5 2 2 5 4 2 3 2" xfId="28720" xr:uid="{00000000-0005-0000-0000-000014400000}"/>
    <cellStyle name="표준 5 2 2 5 4 2 3 3" xfId="36931" xr:uid="{00000000-0005-0000-0000-000015400000}"/>
    <cellStyle name="표준 5 2 2 5 4 2 3 4" xfId="45124" xr:uid="{00000000-0005-0000-0000-000016400000}"/>
    <cellStyle name="표준 5 2 2 5 4 2 4" xfId="12126" xr:uid="{00000000-0005-0000-0000-000017400000}"/>
    <cellStyle name="표준 5 2 2 5 4 2 5" xfId="16366" xr:uid="{00000000-0005-0000-0000-000018400000}"/>
    <cellStyle name="표준 5 2 2 5 4 2 6" xfId="20528" xr:uid="{00000000-0005-0000-0000-000019400000}"/>
    <cellStyle name="표준 5 2 2 5 4 2 7" xfId="24624" xr:uid="{00000000-0005-0000-0000-00001A400000}"/>
    <cellStyle name="표준 5 2 2 5 4 2 8" xfId="32835" xr:uid="{00000000-0005-0000-0000-00001B400000}"/>
    <cellStyle name="표준 5 2 2 5 4 2 9" xfId="41028" xr:uid="{00000000-0005-0000-0000-00001C400000}"/>
    <cellStyle name="표준 5 2 2 5 4 3" xfId="1671" xr:uid="{00000000-0005-0000-0000-00001D400000}"/>
    <cellStyle name="표준 5 2 2 5 4 3 2" xfId="10574" xr:uid="{00000000-0005-0000-0000-00001E400000}"/>
    <cellStyle name="표준 5 2 2 5 4 3 2 2" xfId="14686" xr:uid="{00000000-0005-0000-0000-00001F400000}"/>
    <cellStyle name="표준 5 2 2 5 4 3 2 2 2" xfId="31280" xr:uid="{00000000-0005-0000-0000-000020400000}"/>
    <cellStyle name="표준 5 2 2 5 4 3 2 2 3" xfId="39491" xr:uid="{00000000-0005-0000-0000-000021400000}"/>
    <cellStyle name="표준 5 2 2 5 4 3 2 2 4" xfId="47684" xr:uid="{00000000-0005-0000-0000-000022400000}"/>
    <cellStyle name="표준 5 2 2 5 4 3 2 3" xfId="18926" xr:uid="{00000000-0005-0000-0000-000023400000}"/>
    <cellStyle name="표준 5 2 2 5 4 3 2 4" xfId="23088" xr:uid="{00000000-0005-0000-0000-000024400000}"/>
    <cellStyle name="표준 5 2 2 5 4 3 2 5" xfId="27184" xr:uid="{00000000-0005-0000-0000-000025400000}"/>
    <cellStyle name="표준 5 2 2 5 4 3 2 6" xfId="35395" xr:uid="{00000000-0005-0000-0000-000026400000}"/>
    <cellStyle name="표준 5 2 2 5 4 3 2 7" xfId="43588" xr:uid="{00000000-0005-0000-0000-000027400000}"/>
    <cellStyle name="표준 5 2 2 5 4 3 3" xfId="8526" xr:uid="{00000000-0005-0000-0000-000028400000}"/>
    <cellStyle name="표준 5 2 2 5 4 3 3 2" xfId="29232" xr:uid="{00000000-0005-0000-0000-000029400000}"/>
    <cellStyle name="표준 5 2 2 5 4 3 3 3" xfId="37443" xr:uid="{00000000-0005-0000-0000-00002A400000}"/>
    <cellStyle name="표준 5 2 2 5 4 3 3 4" xfId="45636" xr:uid="{00000000-0005-0000-0000-00002B400000}"/>
    <cellStyle name="표준 5 2 2 5 4 3 4" xfId="12638" xr:uid="{00000000-0005-0000-0000-00002C400000}"/>
    <cellStyle name="표준 5 2 2 5 4 3 5" xfId="16878" xr:uid="{00000000-0005-0000-0000-00002D400000}"/>
    <cellStyle name="표준 5 2 2 5 4 3 6" xfId="21040" xr:uid="{00000000-0005-0000-0000-00002E400000}"/>
    <cellStyle name="표준 5 2 2 5 4 3 7" xfId="25136" xr:uid="{00000000-0005-0000-0000-00002F400000}"/>
    <cellStyle name="표준 5 2 2 5 4 3 8" xfId="33347" xr:uid="{00000000-0005-0000-0000-000030400000}"/>
    <cellStyle name="표준 5 2 2 5 4 3 9" xfId="41540" xr:uid="{00000000-0005-0000-0000-000031400000}"/>
    <cellStyle name="표준 5 2 2 5 4 4" xfId="2183" xr:uid="{00000000-0005-0000-0000-000032400000}"/>
    <cellStyle name="표준 5 2 2 5 4 4 2" xfId="11086" xr:uid="{00000000-0005-0000-0000-000033400000}"/>
    <cellStyle name="표준 5 2 2 5 4 4 2 2" xfId="15198" xr:uid="{00000000-0005-0000-0000-000034400000}"/>
    <cellStyle name="표준 5 2 2 5 4 4 2 2 2" xfId="31792" xr:uid="{00000000-0005-0000-0000-000035400000}"/>
    <cellStyle name="표준 5 2 2 5 4 4 2 2 3" xfId="40003" xr:uid="{00000000-0005-0000-0000-000036400000}"/>
    <cellStyle name="표준 5 2 2 5 4 4 2 2 4" xfId="48196" xr:uid="{00000000-0005-0000-0000-000037400000}"/>
    <cellStyle name="표준 5 2 2 5 4 4 2 3" xfId="19438" xr:uid="{00000000-0005-0000-0000-000038400000}"/>
    <cellStyle name="표준 5 2 2 5 4 4 2 4" xfId="23600" xr:uid="{00000000-0005-0000-0000-000039400000}"/>
    <cellStyle name="표준 5 2 2 5 4 4 2 5" xfId="27696" xr:uid="{00000000-0005-0000-0000-00003A400000}"/>
    <cellStyle name="표준 5 2 2 5 4 4 2 6" xfId="35907" xr:uid="{00000000-0005-0000-0000-00003B400000}"/>
    <cellStyle name="표준 5 2 2 5 4 4 2 7" xfId="44100" xr:uid="{00000000-0005-0000-0000-00003C400000}"/>
    <cellStyle name="표준 5 2 2 5 4 4 3" xfId="9038" xr:uid="{00000000-0005-0000-0000-00003D400000}"/>
    <cellStyle name="표준 5 2 2 5 4 4 3 2" xfId="29744" xr:uid="{00000000-0005-0000-0000-00003E400000}"/>
    <cellStyle name="표준 5 2 2 5 4 4 3 3" xfId="37955" xr:uid="{00000000-0005-0000-0000-00003F400000}"/>
    <cellStyle name="표준 5 2 2 5 4 4 3 4" xfId="46148" xr:uid="{00000000-0005-0000-0000-000040400000}"/>
    <cellStyle name="표준 5 2 2 5 4 4 4" xfId="13150" xr:uid="{00000000-0005-0000-0000-000041400000}"/>
    <cellStyle name="표준 5 2 2 5 4 4 5" xfId="17390" xr:uid="{00000000-0005-0000-0000-000042400000}"/>
    <cellStyle name="표준 5 2 2 5 4 4 6" xfId="21552" xr:uid="{00000000-0005-0000-0000-000043400000}"/>
    <cellStyle name="표준 5 2 2 5 4 4 7" xfId="25648" xr:uid="{00000000-0005-0000-0000-000044400000}"/>
    <cellStyle name="표준 5 2 2 5 4 4 8" xfId="33859" xr:uid="{00000000-0005-0000-0000-000045400000}"/>
    <cellStyle name="표준 5 2 2 5 4 4 9" xfId="42052" xr:uid="{00000000-0005-0000-0000-000046400000}"/>
    <cellStyle name="표준 5 2 2 5 4 5" xfId="9550" xr:uid="{00000000-0005-0000-0000-000047400000}"/>
    <cellStyle name="표준 5 2 2 5 4 5 2" xfId="13662" xr:uid="{00000000-0005-0000-0000-000048400000}"/>
    <cellStyle name="표준 5 2 2 5 4 5 2 2" xfId="30256" xr:uid="{00000000-0005-0000-0000-000049400000}"/>
    <cellStyle name="표준 5 2 2 5 4 5 2 3" xfId="38467" xr:uid="{00000000-0005-0000-0000-00004A400000}"/>
    <cellStyle name="표준 5 2 2 5 4 5 2 4" xfId="46660" xr:uid="{00000000-0005-0000-0000-00004B400000}"/>
    <cellStyle name="표준 5 2 2 5 4 5 3" xfId="17902" xr:uid="{00000000-0005-0000-0000-00004C400000}"/>
    <cellStyle name="표준 5 2 2 5 4 5 4" xfId="22064" xr:uid="{00000000-0005-0000-0000-00004D400000}"/>
    <cellStyle name="표준 5 2 2 5 4 5 5" xfId="26160" xr:uid="{00000000-0005-0000-0000-00004E400000}"/>
    <cellStyle name="표준 5 2 2 5 4 5 6" xfId="34371" xr:uid="{00000000-0005-0000-0000-00004F400000}"/>
    <cellStyle name="표준 5 2 2 5 4 5 7" xfId="42564" xr:uid="{00000000-0005-0000-0000-000050400000}"/>
    <cellStyle name="표준 5 2 2 5 4 6" xfId="7502" xr:uid="{00000000-0005-0000-0000-000051400000}"/>
    <cellStyle name="표준 5 2 2 5 4 6 2" xfId="28208" xr:uid="{00000000-0005-0000-0000-000052400000}"/>
    <cellStyle name="표준 5 2 2 5 4 6 3" xfId="36419" xr:uid="{00000000-0005-0000-0000-000053400000}"/>
    <cellStyle name="표준 5 2 2 5 4 6 4" xfId="44612" xr:uid="{00000000-0005-0000-0000-000054400000}"/>
    <cellStyle name="표준 5 2 2 5 4 7" xfId="11614" xr:uid="{00000000-0005-0000-0000-000055400000}"/>
    <cellStyle name="표준 5 2 2 5 4 8" xfId="15854" xr:uid="{00000000-0005-0000-0000-000056400000}"/>
    <cellStyle name="표준 5 2 2 5 4 9" xfId="20016" xr:uid="{00000000-0005-0000-0000-000057400000}"/>
    <cellStyle name="표준 5 2 2 5 5" xfId="903" xr:uid="{00000000-0005-0000-0000-000058400000}"/>
    <cellStyle name="표준 5 2 2 5 5 2" xfId="9806" xr:uid="{00000000-0005-0000-0000-000059400000}"/>
    <cellStyle name="표준 5 2 2 5 5 2 2" xfId="13918" xr:uid="{00000000-0005-0000-0000-00005A400000}"/>
    <cellStyle name="표준 5 2 2 5 5 2 2 2" xfId="30512" xr:uid="{00000000-0005-0000-0000-00005B400000}"/>
    <cellStyle name="표준 5 2 2 5 5 2 2 3" xfId="38723" xr:uid="{00000000-0005-0000-0000-00005C400000}"/>
    <cellStyle name="표준 5 2 2 5 5 2 2 4" xfId="46916" xr:uid="{00000000-0005-0000-0000-00005D400000}"/>
    <cellStyle name="표준 5 2 2 5 5 2 3" xfId="18158" xr:uid="{00000000-0005-0000-0000-00005E400000}"/>
    <cellStyle name="표준 5 2 2 5 5 2 4" xfId="22320" xr:uid="{00000000-0005-0000-0000-00005F400000}"/>
    <cellStyle name="표준 5 2 2 5 5 2 5" xfId="26416" xr:uid="{00000000-0005-0000-0000-000060400000}"/>
    <cellStyle name="표준 5 2 2 5 5 2 6" xfId="34627" xr:uid="{00000000-0005-0000-0000-000061400000}"/>
    <cellStyle name="표준 5 2 2 5 5 2 7" xfId="42820" xr:uid="{00000000-0005-0000-0000-000062400000}"/>
    <cellStyle name="표준 5 2 2 5 5 3" xfId="7758" xr:uid="{00000000-0005-0000-0000-000063400000}"/>
    <cellStyle name="표준 5 2 2 5 5 3 2" xfId="28464" xr:uid="{00000000-0005-0000-0000-000064400000}"/>
    <cellStyle name="표준 5 2 2 5 5 3 3" xfId="36675" xr:uid="{00000000-0005-0000-0000-000065400000}"/>
    <cellStyle name="표준 5 2 2 5 5 3 4" xfId="44868" xr:uid="{00000000-0005-0000-0000-000066400000}"/>
    <cellStyle name="표준 5 2 2 5 5 4" xfId="11870" xr:uid="{00000000-0005-0000-0000-000067400000}"/>
    <cellStyle name="표준 5 2 2 5 5 5" xfId="16110" xr:uid="{00000000-0005-0000-0000-000068400000}"/>
    <cellStyle name="표준 5 2 2 5 5 6" xfId="20272" xr:uid="{00000000-0005-0000-0000-000069400000}"/>
    <cellStyle name="표준 5 2 2 5 5 7" xfId="24368" xr:uid="{00000000-0005-0000-0000-00006A400000}"/>
    <cellStyle name="표준 5 2 2 5 5 8" xfId="32579" xr:uid="{00000000-0005-0000-0000-00006B400000}"/>
    <cellStyle name="표준 5 2 2 5 5 9" xfId="40772" xr:uid="{00000000-0005-0000-0000-00006C400000}"/>
    <cellStyle name="표준 5 2 2 5 6" xfId="1415" xr:uid="{00000000-0005-0000-0000-00006D400000}"/>
    <cellStyle name="표준 5 2 2 5 6 2" xfId="10318" xr:uid="{00000000-0005-0000-0000-00006E400000}"/>
    <cellStyle name="표준 5 2 2 5 6 2 2" xfId="14430" xr:uid="{00000000-0005-0000-0000-00006F400000}"/>
    <cellStyle name="표준 5 2 2 5 6 2 2 2" xfId="31024" xr:uid="{00000000-0005-0000-0000-000070400000}"/>
    <cellStyle name="표준 5 2 2 5 6 2 2 3" xfId="39235" xr:uid="{00000000-0005-0000-0000-000071400000}"/>
    <cellStyle name="표준 5 2 2 5 6 2 2 4" xfId="47428" xr:uid="{00000000-0005-0000-0000-000072400000}"/>
    <cellStyle name="표준 5 2 2 5 6 2 3" xfId="18670" xr:uid="{00000000-0005-0000-0000-000073400000}"/>
    <cellStyle name="표준 5 2 2 5 6 2 4" xfId="22832" xr:uid="{00000000-0005-0000-0000-000074400000}"/>
    <cellStyle name="표준 5 2 2 5 6 2 5" xfId="26928" xr:uid="{00000000-0005-0000-0000-000075400000}"/>
    <cellStyle name="표준 5 2 2 5 6 2 6" xfId="35139" xr:uid="{00000000-0005-0000-0000-000076400000}"/>
    <cellStyle name="표준 5 2 2 5 6 2 7" xfId="43332" xr:uid="{00000000-0005-0000-0000-000077400000}"/>
    <cellStyle name="표준 5 2 2 5 6 3" xfId="8270" xr:uid="{00000000-0005-0000-0000-000078400000}"/>
    <cellStyle name="표준 5 2 2 5 6 3 2" xfId="28976" xr:uid="{00000000-0005-0000-0000-000079400000}"/>
    <cellStyle name="표준 5 2 2 5 6 3 3" xfId="37187" xr:uid="{00000000-0005-0000-0000-00007A400000}"/>
    <cellStyle name="표준 5 2 2 5 6 3 4" xfId="45380" xr:uid="{00000000-0005-0000-0000-00007B400000}"/>
    <cellStyle name="표준 5 2 2 5 6 4" xfId="12382" xr:uid="{00000000-0005-0000-0000-00007C400000}"/>
    <cellStyle name="표준 5 2 2 5 6 5" xfId="16622" xr:uid="{00000000-0005-0000-0000-00007D400000}"/>
    <cellStyle name="표준 5 2 2 5 6 6" xfId="20784" xr:uid="{00000000-0005-0000-0000-00007E400000}"/>
    <cellStyle name="표준 5 2 2 5 6 7" xfId="24880" xr:uid="{00000000-0005-0000-0000-00007F400000}"/>
    <cellStyle name="표준 5 2 2 5 6 8" xfId="33091" xr:uid="{00000000-0005-0000-0000-000080400000}"/>
    <cellStyle name="표준 5 2 2 5 6 9" xfId="41284" xr:uid="{00000000-0005-0000-0000-000081400000}"/>
    <cellStyle name="표준 5 2 2 5 7" xfId="1927" xr:uid="{00000000-0005-0000-0000-000082400000}"/>
    <cellStyle name="표준 5 2 2 5 7 2" xfId="10830" xr:uid="{00000000-0005-0000-0000-000083400000}"/>
    <cellStyle name="표준 5 2 2 5 7 2 2" xfId="14942" xr:uid="{00000000-0005-0000-0000-000084400000}"/>
    <cellStyle name="표준 5 2 2 5 7 2 2 2" xfId="31536" xr:uid="{00000000-0005-0000-0000-000085400000}"/>
    <cellStyle name="표준 5 2 2 5 7 2 2 3" xfId="39747" xr:uid="{00000000-0005-0000-0000-000086400000}"/>
    <cellStyle name="표준 5 2 2 5 7 2 2 4" xfId="47940" xr:uid="{00000000-0005-0000-0000-000087400000}"/>
    <cellStyle name="표준 5 2 2 5 7 2 3" xfId="19182" xr:uid="{00000000-0005-0000-0000-000088400000}"/>
    <cellStyle name="표준 5 2 2 5 7 2 4" xfId="23344" xr:uid="{00000000-0005-0000-0000-000089400000}"/>
    <cellStyle name="표준 5 2 2 5 7 2 5" xfId="27440" xr:uid="{00000000-0005-0000-0000-00008A400000}"/>
    <cellStyle name="표준 5 2 2 5 7 2 6" xfId="35651" xr:uid="{00000000-0005-0000-0000-00008B400000}"/>
    <cellStyle name="표준 5 2 2 5 7 2 7" xfId="43844" xr:uid="{00000000-0005-0000-0000-00008C400000}"/>
    <cellStyle name="표준 5 2 2 5 7 3" xfId="8782" xr:uid="{00000000-0005-0000-0000-00008D400000}"/>
    <cellStyle name="표준 5 2 2 5 7 3 2" xfId="29488" xr:uid="{00000000-0005-0000-0000-00008E400000}"/>
    <cellStyle name="표준 5 2 2 5 7 3 3" xfId="37699" xr:uid="{00000000-0005-0000-0000-00008F400000}"/>
    <cellStyle name="표준 5 2 2 5 7 3 4" xfId="45892" xr:uid="{00000000-0005-0000-0000-000090400000}"/>
    <cellStyle name="표준 5 2 2 5 7 4" xfId="12894" xr:uid="{00000000-0005-0000-0000-000091400000}"/>
    <cellStyle name="표준 5 2 2 5 7 5" xfId="17134" xr:uid="{00000000-0005-0000-0000-000092400000}"/>
    <cellStyle name="표준 5 2 2 5 7 6" xfId="21296" xr:uid="{00000000-0005-0000-0000-000093400000}"/>
    <cellStyle name="표준 5 2 2 5 7 7" xfId="25392" xr:uid="{00000000-0005-0000-0000-000094400000}"/>
    <cellStyle name="표준 5 2 2 5 7 8" xfId="33603" xr:uid="{00000000-0005-0000-0000-000095400000}"/>
    <cellStyle name="표준 5 2 2 5 7 9" xfId="41796" xr:uid="{00000000-0005-0000-0000-000096400000}"/>
    <cellStyle name="표준 5 2 2 5 8" xfId="391" xr:uid="{00000000-0005-0000-0000-000097400000}"/>
    <cellStyle name="표준 5 2 2 5 8 2" xfId="9294" xr:uid="{00000000-0005-0000-0000-000098400000}"/>
    <cellStyle name="표준 5 2 2 5 8 2 2" xfId="30000" xr:uid="{00000000-0005-0000-0000-000099400000}"/>
    <cellStyle name="표준 5 2 2 5 8 2 3" xfId="38211" xr:uid="{00000000-0005-0000-0000-00009A400000}"/>
    <cellStyle name="표준 5 2 2 5 8 2 4" xfId="46404" xr:uid="{00000000-0005-0000-0000-00009B400000}"/>
    <cellStyle name="표준 5 2 2 5 8 3" xfId="13406" xr:uid="{00000000-0005-0000-0000-00009C400000}"/>
    <cellStyle name="표준 5 2 2 5 8 4" xfId="17646" xr:uid="{00000000-0005-0000-0000-00009D400000}"/>
    <cellStyle name="표준 5 2 2 5 8 5" xfId="21808" xr:uid="{00000000-0005-0000-0000-00009E400000}"/>
    <cellStyle name="표준 5 2 2 5 8 6" xfId="25904" xr:uid="{00000000-0005-0000-0000-00009F400000}"/>
    <cellStyle name="표준 5 2 2 5 8 7" xfId="34115" xr:uid="{00000000-0005-0000-0000-0000A0400000}"/>
    <cellStyle name="표준 5 2 2 5 8 8" xfId="42308" xr:uid="{00000000-0005-0000-0000-0000A1400000}"/>
    <cellStyle name="표준 5 2 2 5 9" xfId="6993" xr:uid="{00000000-0005-0000-0000-0000A2400000}"/>
    <cellStyle name="표준 5 2 2 5 9 2" xfId="27952" xr:uid="{00000000-0005-0000-0000-0000A3400000}"/>
    <cellStyle name="표준 5 2 2 5 9 3" xfId="36163" xr:uid="{00000000-0005-0000-0000-0000A4400000}"/>
    <cellStyle name="표준 5 2 2 5 9 4" xfId="44356" xr:uid="{00000000-0005-0000-0000-0000A5400000}"/>
    <cellStyle name="표준 5 2 2 6" xfId="423" xr:uid="{00000000-0005-0000-0000-0000A6400000}"/>
    <cellStyle name="표준 5 2 2 6 10" xfId="11390" xr:uid="{00000000-0005-0000-0000-0000A7400000}"/>
    <cellStyle name="표준 5 2 2 6 11" xfId="15502" xr:uid="{00000000-0005-0000-0000-0000A8400000}"/>
    <cellStyle name="표준 5 2 2 6 12" xfId="15630" xr:uid="{00000000-0005-0000-0000-0000A9400000}"/>
    <cellStyle name="표준 5 2 2 6 13" xfId="19792" xr:uid="{00000000-0005-0000-0000-0000AA400000}"/>
    <cellStyle name="표준 5 2 2 6 14" xfId="23888" xr:uid="{00000000-0005-0000-0000-0000AB400000}"/>
    <cellStyle name="표준 5 2 2 6 15" xfId="32099" xr:uid="{00000000-0005-0000-0000-0000AC400000}"/>
    <cellStyle name="표준 5 2 2 6 16" xfId="40292" xr:uid="{00000000-0005-0000-0000-0000AD400000}"/>
    <cellStyle name="표준 5 2 2 6 2" xfId="551" xr:uid="{00000000-0005-0000-0000-0000AE400000}"/>
    <cellStyle name="표준 5 2 2 6 2 10" xfId="19920" xr:uid="{00000000-0005-0000-0000-0000AF400000}"/>
    <cellStyle name="표준 5 2 2 6 2 11" xfId="24016" xr:uid="{00000000-0005-0000-0000-0000B0400000}"/>
    <cellStyle name="표준 5 2 2 6 2 12" xfId="32227" xr:uid="{00000000-0005-0000-0000-0000B1400000}"/>
    <cellStyle name="표준 5 2 2 6 2 13" xfId="40420" xr:uid="{00000000-0005-0000-0000-0000B2400000}"/>
    <cellStyle name="표준 5 2 2 6 2 2" xfId="807" xr:uid="{00000000-0005-0000-0000-0000B3400000}"/>
    <cellStyle name="표준 5 2 2 6 2 2 10" xfId="24272" xr:uid="{00000000-0005-0000-0000-0000B4400000}"/>
    <cellStyle name="표준 5 2 2 6 2 2 11" xfId="32483" xr:uid="{00000000-0005-0000-0000-0000B5400000}"/>
    <cellStyle name="표준 5 2 2 6 2 2 12" xfId="40676" xr:uid="{00000000-0005-0000-0000-0000B6400000}"/>
    <cellStyle name="표준 5 2 2 6 2 2 2" xfId="1319" xr:uid="{00000000-0005-0000-0000-0000B7400000}"/>
    <cellStyle name="표준 5 2 2 6 2 2 2 2" xfId="10222" xr:uid="{00000000-0005-0000-0000-0000B8400000}"/>
    <cellStyle name="표준 5 2 2 6 2 2 2 2 2" xfId="14334" xr:uid="{00000000-0005-0000-0000-0000B9400000}"/>
    <cellStyle name="표준 5 2 2 6 2 2 2 2 2 2" xfId="30928" xr:uid="{00000000-0005-0000-0000-0000BA400000}"/>
    <cellStyle name="표준 5 2 2 6 2 2 2 2 2 3" xfId="39139" xr:uid="{00000000-0005-0000-0000-0000BB400000}"/>
    <cellStyle name="표준 5 2 2 6 2 2 2 2 2 4" xfId="47332" xr:uid="{00000000-0005-0000-0000-0000BC400000}"/>
    <cellStyle name="표준 5 2 2 6 2 2 2 2 3" xfId="18574" xr:uid="{00000000-0005-0000-0000-0000BD400000}"/>
    <cellStyle name="표준 5 2 2 6 2 2 2 2 4" xfId="22736" xr:uid="{00000000-0005-0000-0000-0000BE400000}"/>
    <cellStyle name="표준 5 2 2 6 2 2 2 2 5" xfId="26832" xr:uid="{00000000-0005-0000-0000-0000BF400000}"/>
    <cellStyle name="표준 5 2 2 6 2 2 2 2 6" xfId="35043" xr:uid="{00000000-0005-0000-0000-0000C0400000}"/>
    <cellStyle name="표준 5 2 2 6 2 2 2 2 7" xfId="43236" xr:uid="{00000000-0005-0000-0000-0000C1400000}"/>
    <cellStyle name="표준 5 2 2 6 2 2 2 3" xfId="8174" xr:uid="{00000000-0005-0000-0000-0000C2400000}"/>
    <cellStyle name="표준 5 2 2 6 2 2 2 3 2" xfId="28880" xr:uid="{00000000-0005-0000-0000-0000C3400000}"/>
    <cellStyle name="표준 5 2 2 6 2 2 2 3 3" xfId="37091" xr:uid="{00000000-0005-0000-0000-0000C4400000}"/>
    <cellStyle name="표준 5 2 2 6 2 2 2 3 4" xfId="45284" xr:uid="{00000000-0005-0000-0000-0000C5400000}"/>
    <cellStyle name="표준 5 2 2 6 2 2 2 4" xfId="12286" xr:uid="{00000000-0005-0000-0000-0000C6400000}"/>
    <cellStyle name="표준 5 2 2 6 2 2 2 5" xfId="16526" xr:uid="{00000000-0005-0000-0000-0000C7400000}"/>
    <cellStyle name="표준 5 2 2 6 2 2 2 6" xfId="20688" xr:uid="{00000000-0005-0000-0000-0000C8400000}"/>
    <cellStyle name="표준 5 2 2 6 2 2 2 7" xfId="24784" xr:uid="{00000000-0005-0000-0000-0000C9400000}"/>
    <cellStyle name="표준 5 2 2 6 2 2 2 8" xfId="32995" xr:uid="{00000000-0005-0000-0000-0000CA400000}"/>
    <cellStyle name="표준 5 2 2 6 2 2 2 9" xfId="41188" xr:uid="{00000000-0005-0000-0000-0000CB400000}"/>
    <cellStyle name="표준 5 2 2 6 2 2 3" xfId="1831" xr:uid="{00000000-0005-0000-0000-0000CC400000}"/>
    <cellStyle name="표준 5 2 2 6 2 2 3 2" xfId="10734" xr:uid="{00000000-0005-0000-0000-0000CD400000}"/>
    <cellStyle name="표준 5 2 2 6 2 2 3 2 2" xfId="14846" xr:uid="{00000000-0005-0000-0000-0000CE400000}"/>
    <cellStyle name="표준 5 2 2 6 2 2 3 2 2 2" xfId="31440" xr:uid="{00000000-0005-0000-0000-0000CF400000}"/>
    <cellStyle name="표준 5 2 2 6 2 2 3 2 2 3" xfId="39651" xr:uid="{00000000-0005-0000-0000-0000D0400000}"/>
    <cellStyle name="표준 5 2 2 6 2 2 3 2 2 4" xfId="47844" xr:uid="{00000000-0005-0000-0000-0000D1400000}"/>
    <cellStyle name="표준 5 2 2 6 2 2 3 2 3" xfId="19086" xr:uid="{00000000-0005-0000-0000-0000D2400000}"/>
    <cellStyle name="표준 5 2 2 6 2 2 3 2 4" xfId="23248" xr:uid="{00000000-0005-0000-0000-0000D3400000}"/>
    <cellStyle name="표준 5 2 2 6 2 2 3 2 5" xfId="27344" xr:uid="{00000000-0005-0000-0000-0000D4400000}"/>
    <cellStyle name="표준 5 2 2 6 2 2 3 2 6" xfId="35555" xr:uid="{00000000-0005-0000-0000-0000D5400000}"/>
    <cellStyle name="표준 5 2 2 6 2 2 3 2 7" xfId="43748" xr:uid="{00000000-0005-0000-0000-0000D6400000}"/>
    <cellStyle name="표준 5 2 2 6 2 2 3 3" xfId="8686" xr:uid="{00000000-0005-0000-0000-0000D7400000}"/>
    <cellStyle name="표준 5 2 2 6 2 2 3 3 2" xfId="29392" xr:uid="{00000000-0005-0000-0000-0000D8400000}"/>
    <cellStyle name="표준 5 2 2 6 2 2 3 3 3" xfId="37603" xr:uid="{00000000-0005-0000-0000-0000D9400000}"/>
    <cellStyle name="표준 5 2 2 6 2 2 3 3 4" xfId="45796" xr:uid="{00000000-0005-0000-0000-0000DA400000}"/>
    <cellStyle name="표준 5 2 2 6 2 2 3 4" xfId="12798" xr:uid="{00000000-0005-0000-0000-0000DB400000}"/>
    <cellStyle name="표준 5 2 2 6 2 2 3 5" xfId="17038" xr:uid="{00000000-0005-0000-0000-0000DC400000}"/>
    <cellStyle name="표준 5 2 2 6 2 2 3 6" xfId="21200" xr:uid="{00000000-0005-0000-0000-0000DD400000}"/>
    <cellStyle name="표준 5 2 2 6 2 2 3 7" xfId="25296" xr:uid="{00000000-0005-0000-0000-0000DE400000}"/>
    <cellStyle name="표준 5 2 2 6 2 2 3 8" xfId="33507" xr:uid="{00000000-0005-0000-0000-0000DF400000}"/>
    <cellStyle name="표준 5 2 2 6 2 2 3 9" xfId="41700" xr:uid="{00000000-0005-0000-0000-0000E0400000}"/>
    <cellStyle name="표준 5 2 2 6 2 2 4" xfId="2343" xr:uid="{00000000-0005-0000-0000-0000E1400000}"/>
    <cellStyle name="표준 5 2 2 6 2 2 4 2" xfId="11246" xr:uid="{00000000-0005-0000-0000-0000E2400000}"/>
    <cellStyle name="표준 5 2 2 6 2 2 4 2 2" xfId="15358" xr:uid="{00000000-0005-0000-0000-0000E3400000}"/>
    <cellStyle name="표준 5 2 2 6 2 2 4 2 2 2" xfId="31952" xr:uid="{00000000-0005-0000-0000-0000E4400000}"/>
    <cellStyle name="표준 5 2 2 6 2 2 4 2 2 3" xfId="40163" xr:uid="{00000000-0005-0000-0000-0000E5400000}"/>
    <cellStyle name="표준 5 2 2 6 2 2 4 2 2 4" xfId="48356" xr:uid="{00000000-0005-0000-0000-0000E6400000}"/>
    <cellStyle name="표준 5 2 2 6 2 2 4 2 3" xfId="19598" xr:uid="{00000000-0005-0000-0000-0000E7400000}"/>
    <cellStyle name="표준 5 2 2 6 2 2 4 2 4" xfId="23760" xr:uid="{00000000-0005-0000-0000-0000E8400000}"/>
    <cellStyle name="표준 5 2 2 6 2 2 4 2 5" xfId="27856" xr:uid="{00000000-0005-0000-0000-0000E9400000}"/>
    <cellStyle name="표준 5 2 2 6 2 2 4 2 6" xfId="36067" xr:uid="{00000000-0005-0000-0000-0000EA400000}"/>
    <cellStyle name="표준 5 2 2 6 2 2 4 2 7" xfId="44260" xr:uid="{00000000-0005-0000-0000-0000EB400000}"/>
    <cellStyle name="표준 5 2 2 6 2 2 4 3" xfId="9198" xr:uid="{00000000-0005-0000-0000-0000EC400000}"/>
    <cellStyle name="표준 5 2 2 6 2 2 4 3 2" xfId="29904" xr:uid="{00000000-0005-0000-0000-0000ED400000}"/>
    <cellStyle name="표준 5 2 2 6 2 2 4 3 3" xfId="38115" xr:uid="{00000000-0005-0000-0000-0000EE400000}"/>
    <cellStyle name="표준 5 2 2 6 2 2 4 3 4" xfId="46308" xr:uid="{00000000-0005-0000-0000-0000EF400000}"/>
    <cellStyle name="표준 5 2 2 6 2 2 4 4" xfId="13310" xr:uid="{00000000-0005-0000-0000-0000F0400000}"/>
    <cellStyle name="표준 5 2 2 6 2 2 4 5" xfId="17550" xr:uid="{00000000-0005-0000-0000-0000F1400000}"/>
    <cellStyle name="표준 5 2 2 6 2 2 4 6" xfId="21712" xr:uid="{00000000-0005-0000-0000-0000F2400000}"/>
    <cellStyle name="표준 5 2 2 6 2 2 4 7" xfId="25808" xr:uid="{00000000-0005-0000-0000-0000F3400000}"/>
    <cellStyle name="표준 5 2 2 6 2 2 4 8" xfId="34019" xr:uid="{00000000-0005-0000-0000-0000F4400000}"/>
    <cellStyle name="표준 5 2 2 6 2 2 4 9" xfId="42212" xr:uid="{00000000-0005-0000-0000-0000F5400000}"/>
    <cellStyle name="표준 5 2 2 6 2 2 5" xfId="9710" xr:uid="{00000000-0005-0000-0000-0000F6400000}"/>
    <cellStyle name="표준 5 2 2 6 2 2 5 2" xfId="13822" xr:uid="{00000000-0005-0000-0000-0000F7400000}"/>
    <cellStyle name="표준 5 2 2 6 2 2 5 2 2" xfId="30416" xr:uid="{00000000-0005-0000-0000-0000F8400000}"/>
    <cellStyle name="표준 5 2 2 6 2 2 5 2 3" xfId="38627" xr:uid="{00000000-0005-0000-0000-0000F9400000}"/>
    <cellStyle name="표준 5 2 2 6 2 2 5 2 4" xfId="46820" xr:uid="{00000000-0005-0000-0000-0000FA400000}"/>
    <cellStyle name="표준 5 2 2 6 2 2 5 3" xfId="18062" xr:uid="{00000000-0005-0000-0000-0000FB400000}"/>
    <cellStyle name="표준 5 2 2 6 2 2 5 4" xfId="22224" xr:uid="{00000000-0005-0000-0000-0000FC400000}"/>
    <cellStyle name="표준 5 2 2 6 2 2 5 5" xfId="26320" xr:uid="{00000000-0005-0000-0000-0000FD400000}"/>
    <cellStyle name="표준 5 2 2 6 2 2 5 6" xfId="34531" xr:uid="{00000000-0005-0000-0000-0000FE400000}"/>
    <cellStyle name="표준 5 2 2 6 2 2 5 7" xfId="42724" xr:uid="{00000000-0005-0000-0000-0000FF400000}"/>
    <cellStyle name="표준 5 2 2 6 2 2 6" xfId="7662" xr:uid="{00000000-0005-0000-0000-000000410000}"/>
    <cellStyle name="표준 5 2 2 6 2 2 6 2" xfId="28368" xr:uid="{00000000-0005-0000-0000-000001410000}"/>
    <cellStyle name="표준 5 2 2 6 2 2 6 3" xfId="36579" xr:uid="{00000000-0005-0000-0000-000002410000}"/>
    <cellStyle name="표준 5 2 2 6 2 2 6 4" xfId="44772" xr:uid="{00000000-0005-0000-0000-000003410000}"/>
    <cellStyle name="표준 5 2 2 6 2 2 7" xfId="11774" xr:uid="{00000000-0005-0000-0000-000004410000}"/>
    <cellStyle name="표준 5 2 2 6 2 2 8" xfId="16014" xr:uid="{00000000-0005-0000-0000-000005410000}"/>
    <cellStyle name="표준 5 2 2 6 2 2 9" xfId="20176" xr:uid="{00000000-0005-0000-0000-000006410000}"/>
    <cellStyle name="표준 5 2 2 6 2 3" xfId="1063" xr:uid="{00000000-0005-0000-0000-000007410000}"/>
    <cellStyle name="표준 5 2 2 6 2 3 2" xfId="9966" xr:uid="{00000000-0005-0000-0000-000008410000}"/>
    <cellStyle name="표준 5 2 2 6 2 3 2 2" xfId="14078" xr:uid="{00000000-0005-0000-0000-000009410000}"/>
    <cellStyle name="표준 5 2 2 6 2 3 2 2 2" xfId="30672" xr:uid="{00000000-0005-0000-0000-00000A410000}"/>
    <cellStyle name="표준 5 2 2 6 2 3 2 2 3" xfId="38883" xr:uid="{00000000-0005-0000-0000-00000B410000}"/>
    <cellStyle name="표준 5 2 2 6 2 3 2 2 4" xfId="47076" xr:uid="{00000000-0005-0000-0000-00000C410000}"/>
    <cellStyle name="표준 5 2 2 6 2 3 2 3" xfId="18318" xr:uid="{00000000-0005-0000-0000-00000D410000}"/>
    <cellStyle name="표준 5 2 2 6 2 3 2 4" xfId="22480" xr:uid="{00000000-0005-0000-0000-00000E410000}"/>
    <cellStyle name="표준 5 2 2 6 2 3 2 5" xfId="26576" xr:uid="{00000000-0005-0000-0000-00000F410000}"/>
    <cellStyle name="표준 5 2 2 6 2 3 2 6" xfId="34787" xr:uid="{00000000-0005-0000-0000-000010410000}"/>
    <cellStyle name="표준 5 2 2 6 2 3 2 7" xfId="42980" xr:uid="{00000000-0005-0000-0000-000011410000}"/>
    <cellStyle name="표준 5 2 2 6 2 3 3" xfId="7918" xr:uid="{00000000-0005-0000-0000-000012410000}"/>
    <cellStyle name="표준 5 2 2 6 2 3 3 2" xfId="28624" xr:uid="{00000000-0005-0000-0000-000013410000}"/>
    <cellStyle name="표준 5 2 2 6 2 3 3 3" xfId="36835" xr:uid="{00000000-0005-0000-0000-000014410000}"/>
    <cellStyle name="표준 5 2 2 6 2 3 3 4" xfId="45028" xr:uid="{00000000-0005-0000-0000-000015410000}"/>
    <cellStyle name="표준 5 2 2 6 2 3 4" xfId="12030" xr:uid="{00000000-0005-0000-0000-000016410000}"/>
    <cellStyle name="표준 5 2 2 6 2 3 5" xfId="16270" xr:uid="{00000000-0005-0000-0000-000017410000}"/>
    <cellStyle name="표준 5 2 2 6 2 3 6" xfId="20432" xr:uid="{00000000-0005-0000-0000-000018410000}"/>
    <cellStyle name="표준 5 2 2 6 2 3 7" xfId="24528" xr:uid="{00000000-0005-0000-0000-000019410000}"/>
    <cellStyle name="표준 5 2 2 6 2 3 8" xfId="32739" xr:uid="{00000000-0005-0000-0000-00001A410000}"/>
    <cellStyle name="표준 5 2 2 6 2 3 9" xfId="40932" xr:uid="{00000000-0005-0000-0000-00001B410000}"/>
    <cellStyle name="표준 5 2 2 6 2 4" xfId="1575" xr:uid="{00000000-0005-0000-0000-00001C410000}"/>
    <cellStyle name="표준 5 2 2 6 2 4 2" xfId="10478" xr:uid="{00000000-0005-0000-0000-00001D410000}"/>
    <cellStyle name="표준 5 2 2 6 2 4 2 2" xfId="14590" xr:uid="{00000000-0005-0000-0000-00001E410000}"/>
    <cellStyle name="표준 5 2 2 6 2 4 2 2 2" xfId="31184" xr:uid="{00000000-0005-0000-0000-00001F410000}"/>
    <cellStyle name="표준 5 2 2 6 2 4 2 2 3" xfId="39395" xr:uid="{00000000-0005-0000-0000-000020410000}"/>
    <cellStyle name="표준 5 2 2 6 2 4 2 2 4" xfId="47588" xr:uid="{00000000-0005-0000-0000-000021410000}"/>
    <cellStyle name="표준 5 2 2 6 2 4 2 3" xfId="18830" xr:uid="{00000000-0005-0000-0000-000022410000}"/>
    <cellStyle name="표준 5 2 2 6 2 4 2 4" xfId="22992" xr:uid="{00000000-0005-0000-0000-000023410000}"/>
    <cellStyle name="표준 5 2 2 6 2 4 2 5" xfId="27088" xr:uid="{00000000-0005-0000-0000-000024410000}"/>
    <cellStyle name="표준 5 2 2 6 2 4 2 6" xfId="35299" xr:uid="{00000000-0005-0000-0000-000025410000}"/>
    <cellStyle name="표준 5 2 2 6 2 4 2 7" xfId="43492" xr:uid="{00000000-0005-0000-0000-000026410000}"/>
    <cellStyle name="표준 5 2 2 6 2 4 3" xfId="8430" xr:uid="{00000000-0005-0000-0000-000027410000}"/>
    <cellStyle name="표준 5 2 2 6 2 4 3 2" xfId="29136" xr:uid="{00000000-0005-0000-0000-000028410000}"/>
    <cellStyle name="표준 5 2 2 6 2 4 3 3" xfId="37347" xr:uid="{00000000-0005-0000-0000-000029410000}"/>
    <cellStyle name="표준 5 2 2 6 2 4 3 4" xfId="45540" xr:uid="{00000000-0005-0000-0000-00002A410000}"/>
    <cellStyle name="표준 5 2 2 6 2 4 4" xfId="12542" xr:uid="{00000000-0005-0000-0000-00002B410000}"/>
    <cellStyle name="표준 5 2 2 6 2 4 5" xfId="16782" xr:uid="{00000000-0005-0000-0000-00002C410000}"/>
    <cellStyle name="표준 5 2 2 6 2 4 6" xfId="20944" xr:uid="{00000000-0005-0000-0000-00002D410000}"/>
    <cellStyle name="표준 5 2 2 6 2 4 7" xfId="25040" xr:uid="{00000000-0005-0000-0000-00002E410000}"/>
    <cellStyle name="표준 5 2 2 6 2 4 8" xfId="33251" xr:uid="{00000000-0005-0000-0000-00002F410000}"/>
    <cellStyle name="표준 5 2 2 6 2 4 9" xfId="41444" xr:uid="{00000000-0005-0000-0000-000030410000}"/>
    <cellStyle name="표준 5 2 2 6 2 5" xfId="2087" xr:uid="{00000000-0005-0000-0000-000031410000}"/>
    <cellStyle name="표준 5 2 2 6 2 5 2" xfId="10990" xr:uid="{00000000-0005-0000-0000-000032410000}"/>
    <cellStyle name="표준 5 2 2 6 2 5 2 2" xfId="15102" xr:uid="{00000000-0005-0000-0000-000033410000}"/>
    <cellStyle name="표준 5 2 2 6 2 5 2 2 2" xfId="31696" xr:uid="{00000000-0005-0000-0000-000034410000}"/>
    <cellStyle name="표준 5 2 2 6 2 5 2 2 3" xfId="39907" xr:uid="{00000000-0005-0000-0000-000035410000}"/>
    <cellStyle name="표준 5 2 2 6 2 5 2 2 4" xfId="48100" xr:uid="{00000000-0005-0000-0000-000036410000}"/>
    <cellStyle name="표준 5 2 2 6 2 5 2 3" xfId="19342" xr:uid="{00000000-0005-0000-0000-000037410000}"/>
    <cellStyle name="표준 5 2 2 6 2 5 2 4" xfId="23504" xr:uid="{00000000-0005-0000-0000-000038410000}"/>
    <cellStyle name="표준 5 2 2 6 2 5 2 5" xfId="27600" xr:uid="{00000000-0005-0000-0000-000039410000}"/>
    <cellStyle name="표준 5 2 2 6 2 5 2 6" xfId="35811" xr:uid="{00000000-0005-0000-0000-00003A410000}"/>
    <cellStyle name="표준 5 2 2 6 2 5 2 7" xfId="44004" xr:uid="{00000000-0005-0000-0000-00003B410000}"/>
    <cellStyle name="표준 5 2 2 6 2 5 3" xfId="8942" xr:uid="{00000000-0005-0000-0000-00003C410000}"/>
    <cellStyle name="표준 5 2 2 6 2 5 3 2" xfId="29648" xr:uid="{00000000-0005-0000-0000-00003D410000}"/>
    <cellStyle name="표준 5 2 2 6 2 5 3 3" xfId="37859" xr:uid="{00000000-0005-0000-0000-00003E410000}"/>
    <cellStyle name="표준 5 2 2 6 2 5 3 4" xfId="46052" xr:uid="{00000000-0005-0000-0000-00003F410000}"/>
    <cellStyle name="표준 5 2 2 6 2 5 4" xfId="13054" xr:uid="{00000000-0005-0000-0000-000040410000}"/>
    <cellStyle name="표준 5 2 2 6 2 5 5" xfId="17294" xr:uid="{00000000-0005-0000-0000-000041410000}"/>
    <cellStyle name="표준 5 2 2 6 2 5 6" xfId="21456" xr:uid="{00000000-0005-0000-0000-000042410000}"/>
    <cellStyle name="표준 5 2 2 6 2 5 7" xfId="25552" xr:uid="{00000000-0005-0000-0000-000043410000}"/>
    <cellStyle name="표준 5 2 2 6 2 5 8" xfId="33763" xr:uid="{00000000-0005-0000-0000-000044410000}"/>
    <cellStyle name="표준 5 2 2 6 2 5 9" xfId="41956" xr:uid="{00000000-0005-0000-0000-000045410000}"/>
    <cellStyle name="표준 5 2 2 6 2 6" xfId="9454" xr:uid="{00000000-0005-0000-0000-000046410000}"/>
    <cellStyle name="표준 5 2 2 6 2 6 2" xfId="13566" xr:uid="{00000000-0005-0000-0000-000047410000}"/>
    <cellStyle name="표준 5 2 2 6 2 6 2 2" xfId="30160" xr:uid="{00000000-0005-0000-0000-000048410000}"/>
    <cellStyle name="표준 5 2 2 6 2 6 2 3" xfId="38371" xr:uid="{00000000-0005-0000-0000-000049410000}"/>
    <cellStyle name="표준 5 2 2 6 2 6 2 4" xfId="46564" xr:uid="{00000000-0005-0000-0000-00004A410000}"/>
    <cellStyle name="표준 5 2 2 6 2 6 3" xfId="17806" xr:uid="{00000000-0005-0000-0000-00004B410000}"/>
    <cellStyle name="표준 5 2 2 6 2 6 4" xfId="21968" xr:uid="{00000000-0005-0000-0000-00004C410000}"/>
    <cellStyle name="표준 5 2 2 6 2 6 5" xfId="26064" xr:uid="{00000000-0005-0000-0000-00004D410000}"/>
    <cellStyle name="표준 5 2 2 6 2 6 6" xfId="34275" xr:uid="{00000000-0005-0000-0000-00004E410000}"/>
    <cellStyle name="표준 5 2 2 6 2 6 7" xfId="42468" xr:uid="{00000000-0005-0000-0000-00004F410000}"/>
    <cellStyle name="표준 5 2 2 6 2 7" xfId="7406" xr:uid="{00000000-0005-0000-0000-000050410000}"/>
    <cellStyle name="표준 5 2 2 6 2 7 2" xfId="28112" xr:uid="{00000000-0005-0000-0000-000051410000}"/>
    <cellStyle name="표준 5 2 2 6 2 7 3" xfId="36323" xr:uid="{00000000-0005-0000-0000-000052410000}"/>
    <cellStyle name="표준 5 2 2 6 2 7 4" xfId="44516" xr:uid="{00000000-0005-0000-0000-000053410000}"/>
    <cellStyle name="표준 5 2 2 6 2 8" xfId="11518" xr:uid="{00000000-0005-0000-0000-000054410000}"/>
    <cellStyle name="표준 5 2 2 6 2 9" xfId="15758" xr:uid="{00000000-0005-0000-0000-000055410000}"/>
    <cellStyle name="표준 5 2 2 6 3" xfId="679" xr:uid="{00000000-0005-0000-0000-000056410000}"/>
    <cellStyle name="표준 5 2 2 6 3 10" xfId="24144" xr:uid="{00000000-0005-0000-0000-000057410000}"/>
    <cellStyle name="표준 5 2 2 6 3 11" xfId="32355" xr:uid="{00000000-0005-0000-0000-000058410000}"/>
    <cellStyle name="표준 5 2 2 6 3 12" xfId="40548" xr:uid="{00000000-0005-0000-0000-000059410000}"/>
    <cellStyle name="표준 5 2 2 6 3 2" xfId="1191" xr:uid="{00000000-0005-0000-0000-00005A410000}"/>
    <cellStyle name="표준 5 2 2 6 3 2 2" xfId="10094" xr:uid="{00000000-0005-0000-0000-00005B410000}"/>
    <cellStyle name="표준 5 2 2 6 3 2 2 2" xfId="14206" xr:uid="{00000000-0005-0000-0000-00005C410000}"/>
    <cellStyle name="표준 5 2 2 6 3 2 2 2 2" xfId="30800" xr:uid="{00000000-0005-0000-0000-00005D410000}"/>
    <cellStyle name="표준 5 2 2 6 3 2 2 2 3" xfId="39011" xr:uid="{00000000-0005-0000-0000-00005E410000}"/>
    <cellStyle name="표준 5 2 2 6 3 2 2 2 4" xfId="47204" xr:uid="{00000000-0005-0000-0000-00005F410000}"/>
    <cellStyle name="표준 5 2 2 6 3 2 2 3" xfId="18446" xr:uid="{00000000-0005-0000-0000-000060410000}"/>
    <cellStyle name="표준 5 2 2 6 3 2 2 4" xfId="22608" xr:uid="{00000000-0005-0000-0000-000061410000}"/>
    <cellStyle name="표준 5 2 2 6 3 2 2 5" xfId="26704" xr:uid="{00000000-0005-0000-0000-000062410000}"/>
    <cellStyle name="표준 5 2 2 6 3 2 2 6" xfId="34915" xr:uid="{00000000-0005-0000-0000-000063410000}"/>
    <cellStyle name="표준 5 2 2 6 3 2 2 7" xfId="43108" xr:uid="{00000000-0005-0000-0000-000064410000}"/>
    <cellStyle name="표준 5 2 2 6 3 2 3" xfId="8046" xr:uid="{00000000-0005-0000-0000-000065410000}"/>
    <cellStyle name="표준 5 2 2 6 3 2 3 2" xfId="28752" xr:uid="{00000000-0005-0000-0000-000066410000}"/>
    <cellStyle name="표준 5 2 2 6 3 2 3 3" xfId="36963" xr:uid="{00000000-0005-0000-0000-000067410000}"/>
    <cellStyle name="표준 5 2 2 6 3 2 3 4" xfId="45156" xr:uid="{00000000-0005-0000-0000-000068410000}"/>
    <cellStyle name="표준 5 2 2 6 3 2 4" xfId="12158" xr:uid="{00000000-0005-0000-0000-000069410000}"/>
    <cellStyle name="표준 5 2 2 6 3 2 5" xfId="16398" xr:uid="{00000000-0005-0000-0000-00006A410000}"/>
    <cellStyle name="표준 5 2 2 6 3 2 6" xfId="20560" xr:uid="{00000000-0005-0000-0000-00006B410000}"/>
    <cellStyle name="표준 5 2 2 6 3 2 7" xfId="24656" xr:uid="{00000000-0005-0000-0000-00006C410000}"/>
    <cellStyle name="표준 5 2 2 6 3 2 8" xfId="32867" xr:uid="{00000000-0005-0000-0000-00006D410000}"/>
    <cellStyle name="표준 5 2 2 6 3 2 9" xfId="41060" xr:uid="{00000000-0005-0000-0000-00006E410000}"/>
    <cellStyle name="표준 5 2 2 6 3 3" xfId="1703" xr:uid="{00000000-0005-0000-0000-00006F410000}"/>
    <cellStyle name="표준 5 2 2 6 3 3 2" xfId="10606" xr:uid="{00000000-0005-0000-0000-000070410000}"/>
    <cellStyle name="표준 5 2 2 6 3 3 2 2" xfId="14718" xr:uid="{00000000-0005-0000-0000-000071410000}"/>
    <cellStyle name="표준 5 2 2 6 3 3 2 2 2" xfId="31312" xr:uid="{00000000-0005-0000-0000-000072410000}"/>
    <cellStyle name="표준 5 2 2 6 3 3 2 2 3" xfId="39523" xr:uid="{00000000-0005-0000-0000-000073410000}"/>
    <cellStyle name="표준 5 2 2 6 3 3 2 2 4" xfId="47716" xr:uid="{00000000-0005-0000-0000-000074410000}"/>
    <cellStyle name="표준 5 2 2 6 3 3 2 3" xfId="18958" xr:uid="{00000000-0005-0000-0000-000075410000}"/>
    <cellStyle name="표준 5 2 2 6 3 3 2 4" xfId="23120" xr:uid="{00000000-0005-0000-0000-000076410000}"/>
    <cellStyle name="표준 5 2 2 6 3 3 2 5" xfId="27216" xr:uid="{00000000-0005-0000-0000-000077410000}"/>
    <cellStyle name="표준 5 2 2 6 3 3 2 6" xfId="35427" xr:uid="{00000000-0005-0000-0000-000078410000}"/>
    <cellStyle name="표준 5 2 2 6 3 3 2 7" xfId="43620" xr:uid="{00000000-0005-0000-0000-000079410000}"/>
    <cellStyle name="표준 5 2 2 6 3 3 3" xfId="8558" xr:uid="{00000000-0005-0000-0000-00007A410000}"/>
    <cellStyle name="표준 5 2 2 6 3 3 3 2" xfId="29264" xr:uid="{00000000-0005-0000-0000-00007B410000}"/>
    <cellStyle name="표준 5 2 2 6 3 3 3 3" xfId="37475" xr:uid="{00000000-0005-0000-0000-00007C410000}"/>
    <cellStyle name="표준 5 2 2 6 3 3 3 4" xfId="45668" xr:uid="{00000000-0005-0000-0000-00007D410000}"/>
    <cellStyle name="표준 5 2 2 6 3 3 4" xfId="12670" xr:uid="{00000000-0005-0000-0000-00007E410000}"/>
    <cellStyle name="표준 5 2 2 6 3 3 5" xfId="16910" xr:uid="{00000000-0005-0000-0000-00007F410000}"/>
    <cellStyle name="표준 5 2 2 6 3 3 6" xfId="21072" xr:uid="{00000000-0005-0000-0000-000080410000}"/>
    <cellStyle name="표준 5 2 2 6 3 3 7" xfId="25168" xr:uid="{00000000-0005-0000-0000-000081410000}"/>
    <cellStyle name="표준 5 2 2 6 3 3 8" xfId="33379" xr:uid="{00000000-0005-0000-0000-000082410000}"/>
    <cellStyle name="표준 5 2 2 6 3 3 9" xfId="41572" xr:uid="{00000000-0005-0000-0000-000083410000}"/>
    <cellStyle name="표준 5 2 2 6 3 4" xfId="2215" xr:uid="{00000000-0005-0000-0000-000084410000}"/>
    <cellStyle name="표준 5 2 2 6 3 4 2" xfId="11118" xr:uid="{00000000-0005-0000-0000-000085410000}"/>
    <cellStyle name="표준 5 2 2 6 3 4 2 2" xfId="15230" xr:uid="{00000000-0005-0000-0000-000086410000}"/>
    <cellStyle name="표준 5 2 2 6 3 4 2 2 2" xfId="31824" xr:uid="{00000000-0005-0000-0000-000087410000}"/>
    <cellStyle name="표준 5 2 2 6 3 4 2 2 3" xfId="40035" xr:uid="{00000000-0005-0000-0000-000088410000}"/>
    <cellStyle name="표준 5 2 2 6 3 4 2 2 4" xfId="48228" xr:uid="{00000000-0005-0000-0000-000089410000}"/>
    <cellStyle name="표준 5 2 2 6 3 4 2 3" xfId="19470" xr:uid="{00000000-0005-0000-0000-00008A410000}"/>
    <cellStyle name="표준 5 2 2 6 3 4 2 4" xfId="23632" xr:uid="{00000000-0005-0000-0000-00008B410000}"/>
    <cellStyle name="표준 5 2 2 6 3 4 2 5" xfId="27728" xr:uid="{00000000-0005-0000-0000-00008C410000}"/>
    <cellStyle name="표준 5 2 2 6 3 4 2 6" xfId="35939" xr:uid="{00000000-0005-0000-0000-00008D410000}"/>
    <cellStyle name="표준 5 2 2 6 3 4 2 7" xfId="44132" xr:uid="{00000000-0005-0000-0000-00008E410000}"/>
    <cellStyle name="표준 5 2 2 6 3 4 3" xfId="9070" xr:uid="{00000000-0005-0000-0000-00008F410000}"/>
    <cellStyle name="표준 5 2 2 6 3 4 3 2" xfId="29776" xr:uid="{00000000-0005-0000-0000-000090410000}"/>
    <cellStyle name="표준 5 2 2 6 3 4 3 3" xfId="37987" xr:uid="{00000000-0005-0000-0000-000091410000}"/>
    <cellStyle name="표준 5 2 2 6 3 4 3 4" xfId="46180" xr:uid="{00000000-0005-0000-0000-000092410000}"/>
    <cellStyle name="표준 5 2 2 6 3 4 4" xfId="13182" xr:uid="{00000000-0005-0000-0000-000093410000}"/>
    <cellStyle name="표준 5 2 2 6 3 4 5" xfId="17422" xr:uid="{00000000-0005-0000-0000-000094410000}"/>
    <cellStyle name="표준 5 2 2 6 3 4 6" xfId="21584" xr:uid="{00000000-0005-0000-0000-000095410000}"/>
    <cellStyle name="표준 5 2 2 6 3 4 7" xfId="25680" xr:uid="{00000000-0005-0000-0000-000096410000}"/>
    <cellStyle name="표준 5 2 2 6 3 4 8" xfId="33891" xr:uid="{00000000-0005-0000-0000-000097410000}"/>
    <cellStyle name="표준 5 2 2 6 3 4 9" xfId="42084" xr:uid="{00000000-0005-0000-0000-000098410000}"/>
    <cellStyle name="표준 5 2 2 6 3 5" xfId="9582" xr:uid="{00000000-0005-0000-0000-000099410000}"/>
    <cellStyle name="표준 5 2 2 6 3 5 2" xfId="13694" xr:uid="{00000000-0005-0000-0000-00009A410000}"/>
    <cellStyle name="표준 5 2 2 6 3 5 2 2" xfId="30288" xr:uid="{00000000-0005-0000-0000-00009B410000}"/>
    <cellStyle name="표준 5 2 2 6 3 5 2 3" xfId="38499" xr:uid="{00000000-0005-0000-0000-00009C410000}"/>
    <cellStyle name="표준 5 2 2 6 3 5 2 4" xfId="46692" xr:uid="{00000000-0005-0000-0000-00009D410000}"/>
    <cellStyle name="표준 5 2 2 6 3 5 3" xfId="17934" xr:uid="{00000000-0005-0000-0000-00009E410000}"/>
    <cellStyle name="표준 5 2 2 6 3 5 4" xfId="22096" xr:uid="{00000000-0005-0000-0000-00009F410000}"/>
    <cellStyle name="표준 5 2 2 6 3 5 5" xfId="26192" xr:uid="{00000000-0005-0000-0000-0000A0410000}"/>
    <cellStyle name="표준 5 2 2 6 3 5 6" xfId="34403" xr:uid="{00000000-0005-0000-0000-0000A1410000}"/>
    <cellStyle name="표준 5 2 2 6 3 5 7" xfId="42596" xr:uid="{00000000-0005-0000-0000-0000A2410000}"/>
    <cellStyle name="표준 5 2 2 6 3 6" xfId="7534" xr:uid="{00000000-0005-0000-0000-0000A3410000}"/>
    <cellStyle name="표준 5 2 2 6 3 6 2" xfId="28240" xr:uid="{00000000-0005-0000-0000-0000A4410000}"/>
    <cellStyle name="표준 5 2 2 6 3 6 3" xfId="36451" xr:uid="{00000000-0005-0000-0000-0000A5410000}"/>
    <cellStyle name="표준 5 2 2 6 3 6 4" xfId="44644" xr:uid="{00000000-0005-0000-0000-0000A6410000}"/>
    <cellStyle name="표준 5 2 2 6 3 7" xfId="11646" xr:uid="{00000000-0005-0000-0000-0000A7410000}"/>
    <cellStyle name="표준 5 2 2 6 3 8" xfId="15886" xr:uid="{00000000-0005-0000-0000-0000A8410000}"/>
    <cellStyle name="표준 5 2 2 6 3 9" xfId="20048" xr:uid="{00000000-0005-0000-0000-0000A9410000}"/>
    <cellStyle name="표준 5 2 2 6 4" xfId="935" xr:uid="{00000000-0005-0000-0000-0000AA410000}"/>
    <cellStyle name="표준 5 2 2 6 4 2" xfId="9838" xr:uid="{00000000-0005-0000-0000-0000AB410000}"/>
    <cellStyle name="표준 5 2 2 6 4 2 2" xfId="13950" xr:uid="{00000000-0005-0000-0000-0000AC410000}"/>
    <cellStyle name="표준 5 2 2 6 4 2 2 2" xfId="30544" xr:uid="{00000000-0005-0000-0000-0000AD410000}"/>
    <cellStyle name="표준 5 2 2 6 4 2 2 3" xfId="38755" xr:uid="{00000000-0005-0000-0000-0000AE410000}"/>
    <cellStyle name="표준 5 2 2 6 4 2 2 4" xfId="46948" xr:uid="{00000000-0005-0000-0000-0000AF410000}"/>
    <cellStyle name="표준 5 2 2 6 4 2 3" xfId="18190" xr:uid="{00000000-0005-0000-0000-0000B0410000}"/>
    <cellStyle name="표준 5 2 2 6 4 2 4" xfId="22352" xr:uid="{00000000-0005-0000-0000-0000B1410000}"/>
    <cellStyle name="표준 5 2 2 6 4 2 5" xfId="26448" xr:uid="{00000000-0005-0000-0000-0000B2410000}"/>
    <cellStyle name="표준 5 2 2 6 4 2 6" xfId="34659" xr:uid="{00000000-0005-0000-0000-0000B3410000}"/>
    <cellStyle name="표준 5 2 2 6 4 2 7" xfId="42852" xr:uid="{00000000-0005-0000-0000-0000B4410000}"/>
    <cellStyle name="표준 5 2 2 6 4 3" xfId="7790" xr:uid="{00000000-0005-0000-0000-0000B5410000}"/>
    <cellStyle name="표준 5 2 2 6 4 3 2" xfId="28496" xr:uid="{00000000-0005-0000-0000-0000B6410000}"/>
    <cellStyle name="표준 5 2 2 6 4 3 3" xfId="36707" xr:uid="{00000000-0005-0000-0000-0000B7410000}"/>
    <cellStyle name="표준 5 2 2 6 4 3 4" xfId="44900" xr:uid="{00000000-0005-0000-0000-0000B8410000}"/>
    <cellStyle name="표준 5 2 2 6 4 4" xfId="11902" xr:uid="{00000000-0005-0000-0000-0000B9410000}"/>
    <cellStyle name="표준 5 2 2 6 4 5" xfId="16142" xr:uid="{00000000-0005-0000-0000-0000BA410000}"/>
    <cellStyle name="표준 5 2 2 6 4 6" xfId="20304" xr:uid="{00000000-0005-0000-0000-0000BB410000}"/>
    <cellStyle name="표준 5 2 2 6 4 7" xfId="24400" xr:uid="{00000000-0005-0000-0000-0000BC410000}"/>
    <cellStyle name="표준 5 2 2 6 4 8" xfId="32611" xr:uid="{00000000-0005-0000-0000-0000BD410000}"/>
    <cellStyle name="표준 5 2 2 6 4 9" xfId="40804" xr:uid="{00000000-0005-0000-0000-0000BE410000}"/>
    <cellStyle name="표준 5 2 2 6 5" xfId="1447" xr:uid="{00000000-0005-0000-0000-0000BF410000}"/>
    <cellStyle name="표준 5 2 2 6 5 2" xfId="10350" xr:uid="{00000000-0005-0000-0000-0000C0410000}"/>
    <cellStyle name="표준 5 2 2 6 5 2 2" xfId="14462" xr:uid="{00000000-0005-0000-0000-0000C1410000}"/>
    <cellStyle name="표준 5 2 2 6 5 2 2 2" xfId="31056" xr:uid="{00000000-0005-0000-0000-0000C2410000}"/>
    <cellStyle name="표준 5 2 2 6 5 2 2 3" xfId="39267" xr:uid="{00000000-0005-0000-0000-0000C3410000}"/>
    <cellStyle name="표준 5 2 2 6 5 2 2 4" xfId="47460" xr:uid="{00000000-0005-0000-0000-0000C4410000}"/>
    <cellStyle name="표준 5 2 2 6 5 2 3" xfId="18702" xr:uid="{00000000-0005-0000-0000-0000C5410000}"/>
    <cellStyle name="표준 5 2 2 6 5 2 4" xfId="22864" xr:uid="{00000000-0005-0000-0000-0000C6410000}"/>
    <cellStyle name="표준 5 2 2 6 5 2 5" xfId="26960" xr:uid="{00000000-0005-0000-0000-0000C7410000}"/>
    <cellStyle name="표준 5 2 2 6 5 2 6" xfId="35171" xr:uid="{00000000-0005-0000-0000-0000C8410000}"/>
    <cellStyle name="표준 5 2 2 6 5 2 7" xfId="43364" xr:uid="{00000000-0005-0000-0000-0000C9410000}"/>
    <cellStyle name="표준 5 2 2 6 5 3" xfId="8302" xr:uid="{00000000-0005-0000-0000-0000CA410000}"/>
    <cellStyle name="표준 5 2 2 6 5 3 2" xfId="29008" xr:uid="{00000000-0005-0000-0000-0000CB410000}"/>
    <cellStyle name="표준 5 2 2 6 5 3 3" xfId="37219" xr:uid="{00000000-0005-0000-0000-0000CC410000}"/>
    <cellStyle name="표준 5 2 2 6 5 3 4" xfId="45412" xr:uid="{00000000-0005-0000-0000-0000CD410000}"/>
    <cellStyle name="표준 5 2 2 6 5 4" xfId="12414" xr:uid="{00000000-0005-0000-0000-0000CE410000}"/>
    <cellStyle name="표준 5 2 2 6 5 5" xfId="16654" xr:uid="{00000000-0005-0000-0000-0000CF410000}"/>
    <cellStyle name="표준 5 2 2 6 5 6" xfId="20816" xr:uid="{00000000-0005-0000-0000-0000D0410000}"/>
    <cellStyle name="표준 5 2 2 6 5 7" xfId="24912" xr:uid="{00000000-0005-0000-0000-0000D1410000}"/>
    <cellStyle name="표준 5 2 2 6 5 8" xfId="33123" xr:uid="{00000000-0005-0000-0000-0000D2410000}"/>
    <cellStyle name="표준 5 2 2 6 5 9" xfId="41316" xr:uid="{00000000-0005-0000-0000-0000D3410000}"/>
    <cellStyle name="표준 5 2 2 6 6" xfId="1959" xr:uid="{00000000-0005-0000-0000-0000D4410000}"/>
    <cellStyle name="표준 5 2 2 6 6 2" xfId="10862" xr:uid="{00000000-0005-0000-0000-0000D5410000}"/>
    <cellStyle name="표준 5 2 2 6 6 2 2" xfId="14974" xr:uid="{00000000-0005-0000-0000-0000D6410000}"/>
    <cellStyle name="표준 5 2 2 6 6 2 2 2" xfId="31568" xr:uid="{00000000-0005-0000-0000-0000D7410000}"/>
    <cellStyle name="표준 5 2 2 6 6 2 2 3" xfId="39779" xr:uid="{00000000-0005-0000-0000-0000D8410000}"/>
    <cellStyle name="표준 5 2 2 6 6 2 2 4" xfId="47972" xr:uid="{00000000-0005-0000-0000-0000D9410000}"/>
    <cellStyle name="표준 5 2 2 6 6 2 3" xfId="19214" xr:uid="{00000000-0005-0000-0000-0000DA410000}"/>
    <cellStyle name="표준 5 2 2 6 6 2 4" xfId="23376" xr:uid="{00000000-0005-0000-0000-0000DB410000}"/>
    <cellStyle name="표준 5 2 2 6 6 2 5" xfId="27472" xr:uid="{00000000-0005-0000-0000-0000DC410000}"/>
    <cellStyle name="표준 5 2 2 6 6 2 6" xfId="35683" xr:uid="{00000000-0005-0000-0000-0000DD410000}"/>
    <cellStyle name="표준 5 2 2 6 6 2 7" xfId="43876" xr:uid="{00000000-0005-0000-0000-0000DE410000}"/>
    <cellStyle name="표준 5 2 2 6 6 3" xfId="8814" xr:uid="{00000000-0005-0000-0000-0000DF410000}"/>
    <cellStyle name="표준 5 2 2 6 6 3 2" xfId="29520" xr:uid="{00000000-0005-0000-0000-0000E0410000}"/>
    <cellStyle name="표준 5 2 2 6 6 3 3" xfId="37731" xr:uid="{00000000-0005-0000-0000-0000E1410000}"/>
    <cellStyle name="표준 5 2 2 6 6 3 4" xfId="45924" xr:uid="{00000000-0005-0000-0000-0000E2410000}"/>
    <cellStyle name="표준 5 2 2 6 6 4" xfId="12926" xr:uid="{00000000-0005-0000-0000-0000E3410000}"/>
    <cellStyle name="표준 5 2 2 6 6 5" xfId="17166" xr:uid="{00000000-0005-0000-0000-0000E4410000}"/>
    <cellStyle name="표준 5 2 2 6 6 6" xfId="21328" xr:uid="{00000000-0005-0000-0000-0000E5410000}"/>
    <cellStyle name="표준 5 2 2 6 6 7" xfId="25424" xr:uid="{00000000-0005-0000-0000-0000E6410000}"/>
    <cellStyle name="표준 5 2 2 6 6 8" xfId="33635" xr:uid="{00000000-0005-0000-0000-0000E7410000}"/>
    <cellStyle name="표준 5 2 2 6 6 9" xfId="41828" xr:uid="{00000000-0005-0000-0000-0000E8410000}"/>
    <cellStyle name="표준 5 2 2 6 7" xfId="7019" xr:uid="{00000000-0005-0000-0000-0000E9410000}"/>
    <cellStyle name="표준 5 2 2 6 7 2" xfId="9326" xr:uid="{00000000-0005-0000-0000-0000EA410000}"/>
    <cellStyle name="표준 5 2 2 6 7 2 2" xfId="30032" xr:uid="{00000000-0005-0000-0000-0000EB410000}"/>
    <cellStyle name="표준 5 2 2 6 7 2 3" xfId="38243" xr:uid="{00000000-0005-0000-0000-0000EC410000}"/>
    <cellStyle name="표준 5 2 2 6 7 2 4" xfId="46436" xr:uid="{00000000-0005-0000-0000-0000ED410000}"/>
    <cellStyle name="표준 5 2 2 6 7 3" xfId="13438" xr:uid="{00000000-0005-0000-0000-0000EE410000}"/>
    <cellStyle name="표준 5 2 2 6 7 4" xfId="17678" xr:uid="{00000000-0005-0000-0000-0000EF410000}"/>
    <cellStyle name="표준 5 2 2 6 7 5" xfId="21840" xr:uid="{00000000-0005-0000-0000-0000F0410000}"/>
    <cellStyle name="표준 5 2 2 6 7 6" xfId="25936" xr:uid="{00000000-0005-0000-0000-0000F1410000}"/>
    <cellStyle name="표준 5 2 2 6 7 7" xfId="34147" xr:uid="{00000000-0005-0000-0000-0000F2410000}"/>
    <cellStyle name="표준 5 2 2 6 7 8" xfId="42340" xr:uid="{00000000-0005-0000-0000-0000F3410000}"/>
    <cellStyle name="표준 5 2 2 6 8" xfId="7159" xr:uid="{00000000-0005-0000-0000-0000F4410000}"/>
    <cellStyle name="표준 5 2 2 6 8 2" xfId="27984" xr:uid="{00000000-0005-0000-0000-0000F5410000}"/>
    <cellStyle name="표준 5 2 2 6 8 3" xfId="36195" xr:uid="{00000000-0005-0000-0000-0000F6410000}"/>
    <cellStyle name="표준 5 2 2 6 8 4" xfId="44388" xr:uid="{00000000-0005-0000-0000-0000F7410000}"/>
    <cellStyle name="표준 5 2 2 6 9" xfId="7278" xr:uid="{00000000-0005-0000-0000-0000F8410000}"/>
    <cellStyle name="표준 5 2 2 7" xfId="487" xr:uid="{00000000-0005-0000-0000-0000F9410000}"/>
    <cellStyle name="표준 5 2 2 7 10" xfId="19856" xr:uid="{00000000-0005-0000-0000-0000FA410000}"/>
    <cellStyle name="표준 5 2 2 7 11" xfId="23952" xr:uid="{00000000-0005-0000-0000-0000FB410000}"/>
    <cellStyle name="표준 5 2 2 7 12" xfId="32163" xr:uid="{00000000-0005-0000-0000-0000FC410000}"/>
    <cellStyle name="표준 5 2 2 7 13" xfId="40356" xr:uid="{00000000-0005-0000-0000-0000FD410000}"/>
    <cellStyle name="표준 5 2 2 7 2" xfId="743" xr:uid="{00000000-0005-0000-0000-0000FE410000}"/>
    <cellStyle name="표준 5 2 2 7 2 10" xfId="24208" xr:uid="{00000000-0005-0000-0000-0000FF410000}"/>
    <cellStyle name="표준 5 2 2 7 2 11" xfId="32419" xr:uid="{00000000-0005-0000-0000-000000420000}"/>
    <cellStyle name="표준 5 2 2 7 2 12" xfId="40612" xr:uid="{00000000-0005-0000-0000-000001420000}"/>
    <cellStyle name="표준 5 2 2 7 2 2" xfId="1255" xr:uid="{00000000-0005-0000-0000-000002420000}"/>
    <cellStyle name="표준 5 2 2 7 2 2 2" xfId="10158" xr:uid="{00000000-0005-0000-0000-000003420000}"/>
    <cellStyle name="표준 5 2 2 7 2 2 2 2" xfId="14270" xr:uid="{00000000-0005-0000-0000-000004420000}"/>
    <cellStyle name="표준 5 2 2 7 2 2 2 2 2" xfId="30864" xr:uid="{00000000-0005-0000-0000-000005420000}"/>
    <cellStyle name="표준 5 2 2 7 2 2 2 2 3" xfId="39075" xr:uid="{00000000-0005-0000-0000-000006420000}"/>
    <cellStyle name="표준 5 2 2 7 2 2 2 2 4" xfId="47268" xr:uid="{00000000-0005-0000-0000-000007420000}"/>
    <cellStyle name="표준 5 2 2 7 2 2 2 3" xfId="18510" xr:uid="{00000000-0005-0000-0000-000008420000}"/>
    <cellStyle name="표준 5 2 2 7 2 2 2 4" xfId="22672" xr:uid="{00000000-0005-0000-0000-000009420000}"/>
    <cellStyle name="표준 5 2 2 7 2 2 2 5" xfId="26768" xr:uid="{00000000-0005-0000-0000-00000A420000}"/>
    <cellStyle name="표준 5 2 2 7 2 2 2 6" xfId="34979" xr:uid="{00000000-0005-0000-0000-00000B420000}"/>
    <cellStyle name="표준 5 2 2 7 2 2 2 7" xfId="43172" xr:uid="{00000000-0005-0000-0000-00000C420000}"/>
    <cellStyle name="표준 5 2 2 7 2 2 3" xfId="8110" xr:uid="{00000000-0005-0000-0000-00000D420000}"/>
    <cellStyle name="표준 5 2 2 7 2 2 3 2" xfId="28816" xr:uid="{00000000-0005-0000-0000-00000E420000}"/>
    <cellStyle name="표준 5 2 2 7 2 2 3 3" xfId="37027" xr:uid="{00000000-0005-0000-0000-00000F420000}"/>
    <cellStyle name="표준 5 2 2 7 2 2 3 4" xfId="45220" xr:uid="{00000000-0005-0000-0000-000010420000}"/>
    <cellStyle name="표준 5 2 2 7 2 2 4" xfId="12222" xr:uid="{00000000-0005-0000-0000-000011420000}"/>
    <cellStyle name="표준 5 2 2 7 2 2 5" xfId="16462" xr:uid="{00000000-0005-0000-0000-000012420000}"/>
    <cellStyle name="표준 5 2 2 7 2 2 6" xfId="20624" xr:uid="{00000000-0005-0000-0000-000013420000}"/>
    <cellStyle name="표준 5 2 2 7 2 2 7" xfId="24720" xr:uid="{00000000-0005-0000-0000-000014420000}"/>
    <cellStyle name="표준 5 2 2 7 2 2 8" xfId="32931" xr:uid="{00000000-0005-0000-0000-000015420000}"/>
    <cellStyle name="표준 5 2 2 7 2 2 9" xfId="41124" xr:uid="{00000000-0005-0000-0000-000016420000}"/>
    <cellStyle name="표준 5 2 2 7 2 3" xfId="1767" xr:uid="{00000000-0005-0000-0000-000017420000}"/>
    <cellStyle name="표준 5 2 2 7 2 3 2" xfId="10670" xr:uid="{00000000-0005-0000-0000-000018420000}"/>
    <cellStyle name="표준 5 2 2 7 2 3 2 2" xfId="14782" xr:uid="{00000000-0005-0000-0000-000019420000}"/>
    <cellStyle name="표준 5 2 2 7 2 3 2 2 2" xfId="31376" xr:uid="{00000000-0005-0000-0000-00001A420000}"/>
    <cellStyle name="표준 5 2 2 7 2 3 2 2 3" xfId="39587" xr:uid="{00000000-0005-0000-0000-00001B420000}"/>
    <cellStyle name="표준 5 2 2 7 2 3 2 2 4" xfId="47780" xr:uid="{00000000-0005-0000-0000-00001C420000}"/>
    <cellStyle name="표준 5 2 2 7 2 3 2 3" xfId="19022" xr:uid="{00000000-0005-0000-0000-00001D420000}"/>
    <cellStyle name="표준 5 2 2 7 2 3 2 4" xfId="23184" xr:uid="{00000000-0005-0000-0000-00001E420000}"/>
    <cellStyle name="표준 5 2 2 7 2 3 2 5" xfId="27280" xr:uid="{00000000-0005-0000-0000-00001F420000}"/>
    <cellStyle name="표준 5 2 2 7 2 3 2 6" xfId="35491" xr:uid="{00000000-0005-0000-0000-000020420000}"/>
    <cellStyle name="표준 5 2 2 7 2 3 2 7" xfId="43684" xr:uid="{00000000-0005-0000-0000-000021420000}"/>
    <cellStyle name="표준 5 2 2 7 2 3 3" xfId="8622" xr:uid="{00000000-0005-0000-0000-000022420000}"/>
    <cellStyle name="표준 5 2 2 7 2 3 3 2" xfId="29328" xr:uid="{00000000-0005-0000-0000-000023420000}"/>
    <cellStyle name="표준 5 2 2 7 2 3 3 3" xfId="37539" xr:uid="{00000000-0005-0000-0000-000024420000}"/>
    <cellStyle name="표준 5 2 2 7 2 3 3 4" xfId="45732" xr:uid="{00000000-0005-0000-0000-000025420000}"/>
    <cellStyle name="표준 5 2 2 7 2 3 4" xfId="12734" xr:uid="{00000000-0005-0000-0000-000026420000}"/>
    <cellStyle name="표준 5 2 2 7 2 3 5" xfId="16974" xr:uid="{00000000-0005-0000-0000-000027420000}"/>
    <cellStyle name="표준 5 2 2 7 2 3 6" xfId="21136" xr:uid="{00000000-0005-0000-0000-000028420000}"/>
    <cellStyle name="표준 5 2 2 7 2 3 7" xfId="25232" xr:uid="{00000000-0005-0000-0000-000029420000}"/>
    <cellStyle name="표준 5 2 2 7 2 3 8" xfId="33443" xr:uid="{00000000-0005-0000-0000-00002A420000}"/>
    <cellStyle name="표준 5 2 2 7 2 3 9" xfId="41636" xr:uid="{00000000-0005-0000-0000-00002B420000}"/>
    <cellStyle name="표준 5 2 2 7 2 4" xfId="2279" xr:uid="{00000000-0005-0000-0000-00002C420000}"/>
    <cellStyle name="표준 5 2 2 7 2 4 2" xfId="11182" xr:uid="{00000000-0005-0000-0000-00002D420000}"/>
    <cellStyle name="표준 5 2 2 7 2 4 2 2" xfId="15294" xr:uid="{00000000-0005-0000-0000-00002E420000}"/>
    <cellStyle name="표준 5 2 2 7 2 4 2 2 2" xfId="31888" xr:uid="{00000000-0005-0000-0000-00002F420000}"/>
    <cellStyle name="표준 5 2 2 7 2 4 2 2 3" xfId="40099" xr:uid="{00000000-0005-0000-0000-000030420000}"/>
    <cellStyle name="표준 5 2 2 7 2 4 2 2 4" xfId="48292" xr:uid="{00000000-0005-0000-0000-000031420000}"/>
    <cellStyle name="표준 5 2 2 7 2 4 2 3" xfId="19534" xr:uid="{00000000-0005-0000-0000-000032420000}"/>
    <cellStyle name="표준 5 2 2 7 2 4 2 4" xfId="23696" xr:uid="{00000000-0005-0000-0000-000033420000}"/>
    <cellStyle name="표준 5 2 2 7 2 4 2 5" xfId="27792" xr:uid="{00000000-0005-0000-0000-000034420000}"/>
    <cellStyle name="표준 5 2 2 7 2 4 2 6" xfId="36003" xr:uid="{00000000-0005-0000-0000-000035420000}"/>
    <cellStyle name="표준 5 2 2 7 2 4 2 7" xfId="44196" xr:uid="{00000000-0005-0000-0000-000036420000}"/>
    <cellStyle name="표준 5 2 2 7 2 4 3" xfId="9134" xr:uid="{00000000-0005-0000-0000-000037420000}"/>
    <cellStyle name="표준 5 2 2 7 2 4 3 2" xfId="29840" xr:uid="{00000000-0005-0000-0000-000038420000}"/>
    <cellStyle name="표준 5 2 2 7 2 4 3 3" xfId="38051" xr:uid="{00000000-0005-0000-0000-000039420000}"/>
    <cellStyle name="표준 5 2 2 7 2 4 3 4" xfId="46244" xr:uid="{00000000-0005-0000-0000-00003A420000}"/>
    <cellStyle name="표준 5 2 2 7 2 4 4" xfId="13246" xr:uid="{00000000-0005-0000-0000-00003B420000}"/>
    <cellStyle name="표준 5 2 2 7 2 4 5" xfId="17486" xr:uid="{00000000-0005-0000-0000-00003C420000}"/>
    <cellStyle name="표준 5 2 2 7 2 4 6" xfId="21648" xr:uid="{00000000-0005-0000-0000-00003D420000}"/>
    <cellStyle name="표준 5 2 2 7 2 4 7" xfId="25744" xr:uid="{00000000-0005-0000-0000-00003E420000}"/>
    <cellStyle name="표준 5 2 2 7 2 4 8" xfId="33955" xr:uid="{00000000-0005-0000-0000-00003F420000}"/>
    <cellStyle name="표준 5 2 2 7 2 4 9" xfId="42148" xr:uid="{00000000-0005-0000-0000-000040420000}"/>
    <cellStyle name="표준 5 2 2 7 2 5" xfId="9646" xr:uid="{00000000-0005-0000-0000-000041420000}"/>
    <cellStyle name="표준 5 2 2 7 2 5 2" xfId="13758" xr:uid="{00000000-0005-0000-0000-000042420000}"/>
    <cellStyle name="표준 5 2 2 7 2 5 2 2" xfId="30352" xr:uid="{00000000-0005-0000-0000-000043420000}"/>
    <cellStyle name="표준 5 2 2 7 2 5 2 3" xfId="38563" xr:uid="{00000000-0005-0000-0000-000044420000}"/>
    <cellStyle name="표준 5 2 2 7 2 5 2 4" xfId="46756" xr:uid="{00000000-0005-0000-0000-000045420000}"/>
    <cellStyle name="표준 5 2 2 7 2 5 3" xfId="17998" xr:uid="{00000000-0005-0000-0000-000046420000}"/>
    <cellStyle name="표준 5 2 2 7 2 5 4" xfId="22160" xr:uid="{00000000-0005-0000-0000-000047420000}"/>
    <cellStyle name="표준 5 2 2 7 2 5 5" xfId="26256" xr:uid="{00000000-0005-0000-0000-000048420000}"/>
    <cellStyle name="표준 5 2 2 7 2 5 6" xfId="34467" xr:uid="{00000000-0005-0000-0000-000049420000}"/>
    <cellStyle name="표준 5 2 2 7 2 5 7" xfId="42660" xr:uid="{00000000-0005-0000-0000-00004A420000}"/>
    <cellStyle name="표준 5 2 2 7 2 6" xfId="7598" xr:uid="{00000000-0005-0000-0000-00004B420000}"/>
    <cellStyle name="표준 5 2 2 7 2 6 2" xfId="28304" xr:uid="{00000000-0005-0000-0000-00004C420000}"/>
    <cellStyle name="표준 5 2 2 7 2 6 3" xfId="36515" xr:uid="{00000000-0005-0000-0000-00004D420000}"/>
    <cellStyle name="표준 5 2 2 7 2 6 4" xfId="44708" xr:uid="{00000000-0005-0000-0000-00004E420000}"/>
    <cellStyle name="표준 5 2 2 7 2 7" xfId="11710" xr:uid="{00000000-0005-0000-0000-00004F420000}"/>
    <cellStyle name="표준 5 2 2 7 2 8" xfId="15950" xr:uid="{00000000-0005-0000-0000-000050420000}"/>
    <cellStyle name="표준 5 2 2 7 2 9" xfId="20112" xr:uid="{00000000-0005-0000-0000-000051420000}"/>
    <cellStyle name="표준 5 2 2 7 3" xfId="999" xr:uid="{00000000-0005-0000-0000-000052420000}"/>
    <cellStyle name="표준 5 2 2 7 3 2" xfId="9902" xr:uid="{00000000-0005-0000-0000-000053420000}"/>
    <cellStyle name="표준 5 2 2 7 3 2 2" xfId="14014" xr:uid="{00000000-0005-0000-0000-000054420000}"/>
    <cellStyle name="표준 5 2 2 7 3 2 2 2" xfId="30608" xr:uid="{00000000-0005-0000-0000-000055420000}"/>
    <cellStyle name="표준 5 2 2 7 3 2 2 3" xfId="38819" xr:uid="{00000000-0005-0000-0000-000056420000}"/>
    <cellStyle name="표준 5 2 2 7 3 2 2 4" xfId="47012" xr:uid="{00000000-0005-0000-0000-000057420000}"/>
    <cellStyle name="표준 5 2 2 7 3 2 3" xfId="18254" xr:uid="{00000000-0005-0000-0000-000058420000}"/>
    <cellStyle name="표준 5 2 2 7 3 2 4" xfId="22416" xr:uid="{00000000-0005-0000-0000-000059420000}"/>
    <cellStyle name="표준 5 2 2 7 3 2 5" xfId="26512" xr:uid="{00000000-0005-0000-0000-00005A420000}"/>
    <cellStyle name="표준 5 2 2 7 3 2 6" xfId="34723" xr:uid="{00000000-0005-0000-0000-00005B420000}"/>
    <cellStyle name="표준 5 2 2 7 3 2 7" xfId="42916" xr:uid="{00000000-0005-0000-0000-00005C420000}"/>
    <cellStyle name="표준 5 2 2 7 3 3" xfId="7854" xr:uid="{00000000-0005-0000-0000-00005D420000}"/>
    <cellStyle name="표준 5 2 2 7 3 3 2" xfId="28560" xr:uid="{00000000-0005-0000-0000-00005E420000}"/>
    <cellStyle name="표준 5 2 2 7 3 3 3" xfId="36771" xr:uid="{00000000-0005-0000-0000-00005F420000}"/>
    <cellStyle name="표준 5 2 2 7 3 3 4" xfId="44964" xr:uid="{00000000-0005-0000-0000-000060420000}"/>
    <cellStyle name="표준 5 2 2 7 3 4" xfId="11966" xr:uid="{00000000-0005-0000-0000-000061420000}"/>
    <cellStyle name="표준 5 2 2 7 3 5" xfId="16206" xr:uid="{00000000-0005-0000-0000-000062420000}"/>
    <cellStyle name="표준 5 2 2 7 3 6" xfId="20368" xr:uid="{00000000-0005-0000-0000-000063420000}"/>
    <cellStyle name="표준 5 2 2 7 3 7" xfId="24464" xr:uid="{00000000-0005-0000-0000-000064420000}"/>
    <cellStyle name="표준 5 2 2 7 3 8" xfId="32675" xr:uid="{00000000-0005-0000-0000-000065420000}"/>
    <cellStyle name="표준 5 2 2 7 3 9" xfId="40868" xr:uid="{00000000-0005-0000-0000-000066420000}"/>
    <cellStyle name="표준 5 2 2 7 4" xfId="1511" xr:uid="{00000000-0005-0000-0000-000067420000}"/>
    <cellStyle name="표준 5 2 2 7 4 2" xfId="10414" xr:uid="{00000000-0005-0000-0000-000068420000}"/>
    <cellStyle name="표준 5 2 2 7 4 2 2" xfId="14526" xr:uid="{00000000-0005-0000-0000-000069420000}"/>
    <cellStyle name="표준 5 2 2 7 4 2 2 2" xfId="31120" xr:uid="{00000000-0005-0000-0000-00006A420000}"/>
    <cellStyle name="표준 5 2 2 7 4 2 2 3" xfId="39331" xr:uid="{00000000-0005-0000-0000-00006B420000}"/>
    <cellStyle name="표준 5 2 2 7 4 2 2 4" xfId="47524" xr:uid="{00000000-0005-0000-0000-00006C420000}"/>
    <cellStyle name="표준 5 2 2 7 4 2 3" xfId="18766" xr:uid="{00000000-0005-0000-0000-00006D420000}"/>
    <cellStyle name="표준 5 2 2 7 4 2 4" xfId="22928" xr:uid="{00000000-0005-0000-0000-00006E420000}"/>
    <cellStyle name="표준 5 2 2 7 4 2 5" xfId="27024" xr:uid="{00000000-0005-0000-0000-00006F420000}"/>
    <cellStyle name="표준 5 2 2 7 4 2 6" xfId="35235" xr:uid="{00000000-0005-0000-0000-000070420000}"/>
    <cellStyle name="표준 5 2 2 7 4 2 7" xfId="43428" xr:uid="{00000000-0005-0000-0000-000071420000}"/>
    <cellStyle name="표준 5 2 2 7 4 3" xfId="8366" xr:uid="{00000000-0005-0000-0000-000072420000}"/>
    <cellStyle name="표준 5 2 2 7 4 3 2" xfId="29072" xr:uid="{00000000-0005-0000-0000-000073420000}"/>
    <cellStyle name="표준 5 2 2 7 4 3 3" xfId="37283" xr:uid="{00000000-0005-0000-0000-000074420000}"/>
    <cellStyle name="표준 5 2 2 7 4 3 4" xfId="45476" xr:uid="{00000000-0005-0000-0000-000075420000}"/>
    <cellStyle name="표준 5 2 2 7 4 4" xfId="12478" xr:uid="{00000000-0005-0000-0000-000076420000}"/>
    <cellStyle name="표준 5 2 2 7 4 5" xfId="16718" xr:uid="{00000000-0005-0000-0000-000077420000}"/>
    <cellStyle name="표준 5 2 2 7 4 6" xfId="20880" xr:uid="{00000000-0005-0000-0000-000078420000}"/>
    <cellStyle name="표준 5 2 2 7 4 7" xfId="24976" xr:uid="{00000000-0005-0000-0000-000079420000}"/>
    <cellStyle name="표준 5 2 2 7 4 8" xfId="33187" xr:uid="{00000000-0005-0000-0000-00007A420000}"/>
    <cellStyle name="표준 5 2 2 7 4 9" xfId="41380" xr:uid="{00000000-0005-0000-0000-00007B420000}"/>
    <cellStyle name="표준 5 2 2 7 5" xfId="2023" xr:uid="{00000000-0005-0000-0000-00007C420000}"/>
    <cellStyle name="표준 5 2 2 7 5 2" xfId="10926" xr:uid="{00000000-0005-0000-0000-00007D420000}"/>
    <cellStyle name="표준 5 2 2 7 5 2 2" xfId="15038" xr:uid="{00000000-0005-0000-0000-00007E420000}"/>
    <cellStyle name="표준 5 2 2 7 5 2 2 2" xfId="31632" xr:uid="{00000000-0005-0000-0000-00007F420000}"/>
    <cellStyle name="표준 5 2 2 7 5 2 2 3" xfId="39843" xr:uid="{00000000-0005-0000-0000-000080420000}"/>
    <cellStyle name="표준 5 2 2 7 5 2 2 4" xfId="48036" xr:uid="{00000000-0005-0000-0000-000081420000}"/>
    <cellStyle name="표준 5 2 2 7 5 2 3" xfId="19278" xr:uid="{00000000-0005-0000-0000-000082420000}"/>
    <cellStyle name="표준 5 2 2 7 5 2 4" xfId="23440" xr:uid="{00000000-0005-0000-0000-000083420000}"/>
    <cellStyle name="표준 5 2 2 7 5 2 5" xfId="27536" xr:uid="{00000000-0005-0000-0000-000084420000}"/>
    <cellStyle name="표준 5 2 2 7 5 2 6" xfId="35747" xr:uid="{00000000-0005-0000-0000-000085420000}"/>
    <cellStyle name="표준 5 2 2 7 5 2 7" xfId="43940" xr:uid="{00000000-0005-0000-0000-000086420000}"/>
    <cellStyle name="표준 5 2 2 7 5 3" xfId="8878" xr:uid="{00000000-0005-0000-0000-000087420000}"/>
    <cellStyle name="표준 5 2 2 7 5 3 2" xfId="29584" xr:uid="{00000000-0005-0000-0000-000088420000}"/>
    <cellStyle name="표준 5 2 2 7 5 3 3" xfId="37795" xr:uid="{00000000-0005-0000-0000-000089420000}"/>
    <cellStyle name="표준 5 2 2 7 5 3 4" xfId="45988" xr:uid="{00000000-0005-0000-0000-00008A420000}"/>
    <cellStyle name="표준 5 2 2 7 5 4" xfId="12990" xr:uid="{00000000-0005-0000-0000-00008B420000}"/>
    <cellStyle name="표준 5 2 2 7 5 5" xfId="17230" xr:uid="{00000000-0005-0000-0000-00008C420000}"/>
    <cellStyle name="표준 5 2 2 7 5 6" xfId="21392" xr:uid="{00000000-0005-0000-0000-00008D420000}"/>
    <cellStyle name="표준 5 2 2 7 5 7" xfId="25488" xr:uid="{00000000-0005-0000-0000-00008E420000}"/>
    <cellStyle name="표준 5 2 2 7 5 8" xfId="33699" xr:uid="{00000000-0005-0000-0000-00008F420000}"/>
    <cellStyle name="표준 5 2 2 7 5 9" xfId="41892" xr:uid="{00000000-0005-0000-0000-000090420000}"/>
    <cellStyle name="표준 5 2 2 7 6" xfId="9390" xr:uid="{00000000-0005-0000-0000-000091420000}"/>
    <cellStyle name="표준 5 2 2 7 6 2" xfId="13502" xr:uid="{00000000-0005-0000-0000-000092420000}"/>
    <cellStyle name="표준 5 2 2 7 6 2 2" xfId="30096" xr:uid="{00000000-0005-0000-0000-000093420000}"/>
    <cellStyle name="표준 5 2 2 7 6 2 3" xfId="38307" xr:uid="{00000000-0005-0000-0000-000094420000}"/>
    <cellStyle name="표준 5 2 2 7 6 2 4" xfId="46500" xr:uid="{00000000-0005-0000-0000-000095420000}"/>
    <cellStyle name="표준 5 2 2 7 6 3" xfId="17742" xr:uid="{00000000-0005-0000-0000-000096420000}"/>
    <cellStyle name="표준 5 2 2 7 6 4" xfId="21904" xr:uid="{00000000-0005-0000-0000-000097420000}"/>
    <cellStyle name="표준 5 2 2 7 6 5" xfId="26000" xr:uid="{00000000-0005-0000-0000-000098420000}"/>
    <cellStyle name="표준 5 2 2 7 6 6" xfId="34211" xr:uid="{00000000-0005-0000-0000-000099420000}"/>
    <cellStyle name="표준 5 2 2 7 6 7" xfId="42404" xr:uid="{00000000-0005-0000-0000-00009A420000}"/>
    <cellStyle name="표준 5 2 2 7 7" xfId="7342" xr:uid="{00000000-0005-0000-0000-00009B420000}"/>
    <cellStyle name="표준 5 2 2 7 7 2" xfId="28048" xr:uid="{00000000-0005-0000-0000-00009C420000}"/>
    <cellStyle name="표준 5 2 2 7 7 3" xfId="36259" xr:uid="{00000000-0005-0000-0000-00009D420000}"/>
    <cellStyle name="표준 5 2 2 7 7 4" xfId="44452" xr:uid="{00000000-0005-0000-0000-00009E420000}"/>
    <cellStyle name="표준 5 2 2 7 8" xfId="11454" xr:uid="{00000000-0005-0000-0000-00009F420000}"/>
    <cellStyle name="표준 5 2 2 7 9" xfId="15694" xr:uid="{00000000-0005-0000-0000-0000A0420000}"/>
    <cellStyle name="표준 5 2 2 8" xfId="615" xr:uid="{00000000-0005-0000-0000-0000A1420000}"/>
    <cellStyle name="표준 5 2 2 8 10" xfId="24080" xr:uid="{00000000-0005-0000-0000-0000A2420000}"/>
    <cellStyle name="표준 5 2 2 8 11" xfId="32291" xr:uid="{00000000-0005-0000-0000-0000A3420000}"/>
    <cellStyle name="표준 5 2 2 8 12" xfId="40484" xr:uid="{00000000-0005-0000-0000-0000A4420000}"/>
    <cellStyle name="표준 5 2 2 8 2" xfId="1127" xr:uid="{00000000-0005-0000-0000-0000A5420000}"/>
    <cellStyle name="표준 5 2 2 8 2 2" xfId="10030" xr:uid="{00000000-0005-0000-0000-0000A6420000}"/>
    <cellStyle name="표준 5 2 2 8 2 2 2" xfId="14142" xr:uid="{00000000-0005-0000-0000-0000A7420000}"/>
    <cellStyle name="표준 5 2 2 8 2 2 2 2" xfId="30736" xr:uid="{00000000-0005-0000-0000-0000A8420000}"/>
    <cellStyle name="표준 5 2 2 8 2 2 2 3" xfId="38947" xr:uid="{00000000-0005-0000-0000-0000A9420000}"/>
    <cellStyle name="표준 5 2 2 8 2 2 2 4" xfId="47140" xr:uid="{00000000-0005-0000-0000-0000AA420000}"/>
    <cellStyle name="표준 5 2 2 8 2 2 3" xfId="18382" xr:uid="{00000000-0005-0000-0000-0000AB420000}"/>
    <cellStyle name="표준 5 2 2 8 2 2 4" xfId="22544" xr:uid="{00000000-0005-0000-0000-0000AC420000}"/>
    <cellStyle name="표준 5 2 2 8 2 2 5" xfId="26640" xr:uid="{00000000-0005-0000-0000-0000AD420000}"/>
    <cellStyle name="표준 5 2 2 8 2 2 6" xfId="34851" xr:uid="{00000000-0005-0000-0000-0000AE420000}"/>
    <cellStyle name="표준 5 2 2 8 2 2 7" xfId="43044" xr:uid="{00000000-0005-0000-0000-0000AF420000}"/>
    <cellStyle name="표준 5 2 2 8 2 3" xfId="7982" xr:uid="{00000000-0005-0000-0000-0000B0420000}"/>
    <cellStyle name="표준 5 2 2 8 2 3 2" xfId="28688" xr:uid="{00000000-0005-0000-0000-0000B1420000}"/>
    <cellStyle name="표준 5 2 2 8 2 3 3" xfId="36899" xr:uid="{00000000-0005-0000-0000-0000B2420000}"/>
    <cellStyle name="표준 5 2 2 8 2 3 4" xfId="45092" xr:uid="{00000000-0005-0000-0000-0000B3420000}"/>
    <cellStyle name="표준 5 2 2 8 2 4" xfId="12094" xr:uid="{00000000-0005-0000-0000-0000B4420000}"/>
    <cellStyle name="표준 5 2 2 8 2 5" xfId="16334" xr:uid="{00000000-0005-0000-0000-0000B5420000}"/>
    <cellStyle name="표준 5 2 2 8 2 6" xfId="20496" xr:uid="{00000000-0005-0000-0000-0000B6420000}"/>
    <cellStyle name="표준 5 2 2 8 2 7" xfId="24592" xr:uid="{00000000-0005-0000-0000-0000B7420000}"/>
    <cellStyle name="표준 5 2 2 8 2 8" xfId="32803" xr:uid="{00000000-0005-0000-0000-0000B8420000}"/>
    <cellStyle name="표준 5 2 2 8 2 9" xfId="40996" xr:uid="{00000000-0005-0000-0000-0000B9420000}"/>
    <cellStyle name="표준 5 2 2 8 3" xfId="1639" xr:uid="{00000000-0005-0000-0000-0000BA420000}"/>
    <cellStyle name="표준 5 2 2 8 3 2" xfId="10542" xr:uid="{00000000-0005-0000-0000-0000BB420000}"/>
    <cellStyle name="표준 5 2 2 8 3 2 2" xfId="14654" xr:uid="{00000000-0005-0000-0000-0000BC420000}"/>
    <cellStyle name="표준 5 2 2 8 3 2 2 2" xfId="31248" xr:uid="{00000000-0005-0000-0000-0000BD420000}"/>
    <cellStyle name="표준 5 2 2 8 3 2 2 3" xfId="39459" xr:uid="{00000000-0005-0000-0000-0000BE420000}"/>
    <cellStyle name="표준 5 2 2 8 3 2 2 4" xfId="47652" xr:uid="{00000000-0005-0000-0000-0000BF420000}"/>
    <cellStyle name="표준 5 2 2 8 3 2 3" xfId="18894" xr:uid="{00000000-0005-0000-0000-0000C0420000}"/>
    <cellStyle name="표준 5 2 2 8 3 2 4" xfId="23056" xr:uid="{00000000-0005-0000-0000-0000C1420000}"/>
    <cellStyle name="표준 5 2 2 8 3 2 5" xfId="27152" xr:uid="{00000000-0005-0000-0000-0000C2420000}"/>
    <cellStyle name="표준 5 2 2 8 3 2 6" xfId="35363" xr:uid="{00000000-0005-0000-0000-0000C3420000}"/>
    <cellStyle name="표준 5 2 2 8 3 2 7" xfId="43556" xr:uid="{00000000-0005-0000-0000-0000C4420000}"/>
    <cellStyle name="표준 5 2 2 8 3 3" xfId="8494" xr:uid="{00000000-0005-0000-0000-0000C5420000}"/>
    <cellStyle name="표준 5 2 2 8 3 3 2" xfId="29200" xr:uid="{00000000-0005-0000-0000-0000C6420000}"/>
    <cellStyle name="표준 5 2 2 8 3 3 3" xfId="37411" xr:uid="{00000000-0005-0000-0000-0000C7420000}"/>
    <cellStyle name="표준 5 2 2 8 3 3 4" xfId="45604" xr:uid="{00000000-0005-0000-0000-0000C8420000}"/>
    <cellStyle name="표준 5 2 2 8 3 4" xfId="12606" xr:uid="{00000000-0005-0000-0000-0000C9420000}"/>
    <cellStyle name="표준 5 2 2 8 3 5" xfId="16846" xr:uid="{00000000-0005-0000-0000-0000CA420000}"/>
    <cellStyle name="표준 5 2 2 8 3 6" xfId="21008" xr:uid="{00000000-0005-0000-0000-0000CB420000}"/>
    <cellStyle name="표준 5 2 2 8 3 7" xfId="25104" xr:uid="{00000000-0005-0000-0000-0000CC420000}"/>
    <cellStyle name="표준 5 2 2 8 3 8" xfId="33315" xr:uid="{00000000-0005-0000-0000-0000CD420000}"/>
    <cellStyle name="표준 5 2 2 8 3 9" xfId="41508" xr:uid="{00000000-0005-0000-0000-0000CE420000}"/>
    <cellStyle name="표준 5 2 2 8 4" xfId="2151" xr:uid="{00000000-0005-0000-0000-0000CF420000}"/>
    <cellStyle name="표준 5 2 2 8 4 2" xfId="11054" xr:uid="{00000000-0005-0000-0000-0000D0420000}"/>
    <cellStyle name="표준 5 2 2 8 4 2 2" xfId="15166" xr:uid="{00000000-0005-0000-0000-0000D1420000}"/>
    <cellStyle name="표준 5 2 2 8 4 2 2 2" xfId="31760" xr:uid="{00000000-0005-0000-0000-0000D2420000}"/>
    <cellStyle name="표준 5 2 2 8 4 2 2 3" xfId="39971" xr:uid="{00000000-0005-0000-0000-0000D3420000}"/>
    <cellStyle name="표준 5 2 2 8 4 2 2 4" xfId="48164" xr:uid="{00000000-0005-0000-0000-0000D4420000}"/>
    <cellStyle name="표준 5 2 2 8 4 2 3" xfId="19406" xr:uid="{00000000-0005-0000-0000-0000D5420000}"/>
    <cellStyle name="표준 5 2 2 8 4 2 4" xfId="23568" xr:uid="{00000000-0005-0000-0000-0000D6420000}"/>
    <cellStyle name="표준 5 2 2 8 4 2 5" xfId="27664" xr:uid="{00000000-0005-0000-0000-0000D7420000}"/>
    <cellStyle name="표준 5 2 2 8 4 2 6" xfId="35875" xr:uid="{00000000-0005-0000-0000-0000D8420000}"/>
    <cellStyle name="표준 5 2 2 8 4 2 7" xfId="44068" xr:uid="{00000000-0005-0000-0000-0000D9420000}"/>
    <cellStyle name="표준 5 2 2 8 4 3" xfId="9006" xr:uid="{00000000-0005-0000-0000-0000DA420000}"/>
    <cellStyle name="표준 5 2 2 8 4 3 2" xfId="29712" xr:uid="{00000000-0005-0000-0000-0000DB420000}"/>
    <cellStyle name="표준 5 2 2 8 4 3 3" xfId="37923" xr:uid="{00000000-0005-0000-0000-0000DC420000}"/>
    <cellStyle name="표준 5 2 2 8 4 3 4" xfId="46116" xr:uid="{00000000-0005-0000-0000-0000DD420000}"/>
    <cellStyle name="표준 5 2 2 8 4 4" xfId="13118" xr:uid="{00000000-0005-0000-0000-0000DE420000}"/>
    <cellStyle name="표준 5 2 2 8 4 5" xfId="17358" xr:uid="{00000000-0005-0000-0000-0000DF420000}"/>
    <cellStyle name="표준 5 2 2 8 4 6" xfId="21520" xr:uid="{00000000-0005-0000-0000-0000E0420000}"/>
    <cellStyle name="표준 5 2 2 8 4 7" xfId="25616" xr:uid="{00000000-0005-0000-0000-0000E1420000}"/>
    <cellStyle name="표준 5 2 2 8 4 8" xfId="33827" xr:uid="{00000000-0005-0000-0000-0000E2420000}"/>
    <cellStyle name="표준 5 2 2 8 4 9" xfId="42020" xr:uid="{00000000-0005-0000-0000-0000E3420000}"/>
    <cellStyle name="표준 5 2 2 8 5" xfId="9518" xr:uid="{00000000-0005-0000-0000-0000E4420000}"/>
    <cellStyle name="표준 5 2 2 8 5 2" xfId="13630" xr:uid="{00000000-0005-0000-0000-0000E5420000}"/>
    <cellStyle name="표준 5 2 2 8 5 2 2" xfId="30224" xr:uid="{00000000-0005-0000-0000-0000E6420000}"/>
    <cellStyle name="표준 5 2 2 8 5 2 3" xfId="38435" xr:uid="{00000000-0005-0000-0000-0000E7420000}"/>
    <cellStyle name="표준 5 2 2 8 5 2 4" xfId="46628" xr:uid="{00000000-0005-0000-0000-0000E8420000}"/>
    <cellStyle name="표준 5 2 2 8 5 3" xfId="17870" xr:uid="{00000000-0005-0000-0000-0000E9420000}"/>
    <cellStyle name="표준 5 2 2 8 5 4" xfId="22032" xr:uid="{00000000-0005-0000-0000-0000EA420000}"/>
    <cellStyle name="표준 5 2 2 8 5 5" xfId="26128" xr:uid="{00000000-0005-0000-0000-0000EB420000}"/>
    <cellStyle name="표준 5 2 2 8 5 6" xfId="34339" xr:uid="{00000000-0005-0000-0000-0000EC420000}"/>
    <cellStyle name="표준 5 2 2 8 5 7" xfId="42532" xr:uid="{00000000-0005-0000-0000-0000ED420000}"/>
    <cellStyle name="표준 5 2 2 8 6" xfId="7470" xr:uid="{00000000-0005-0000-0000-0000EE420000}"/>
    <cellStyle name="표준 5 2 2 8 6 2" xfId="28176" xr:uid="{00000000-0005-0000-0000-0000EF420000}"/>
    <cellStyle name="표준 5 2 2 8 6 3" xfId="36387" xr:uid="{00000000-0005-0000-0000-0000F0420000}"/>
    <cellStyle name="표준 5 2 2 8 6 4" xfId="44580" xr:uid="{00000000-0005-0000-0000-0000F1420000}"/>
    <cellStyle name="표준 5 2 2 8 7" xfId="11582" xr:uid="{00000000-0005-0000-0000-0000F2420000}"/>
    <cellStyle name="표준 5 2 2 8 8" xfId="15822" xr:uid="{00000000-0005-0000-0000-0000F3420000}"/>
    <cellStyle name="표준 5 2 2 8 9" xfId="19984" xr:uid="{00000000-0005-0000-0000-0000F4420000}"/>
    <cellStyle name="표준 5 2 2 9" xfId="871" xr:uid="{00000000-0005-0000-0000-0000F5420000}"/>
    <cellStyle name="표준 5 2 2 9 2" xfId="9774" xr:uid="{00000000-0005-0000-0000-0000F6420000}"/>
    <cellStyle name="표준 5 2 2 9 2 2" xfId="13886" xr:uid="{00000000-0005-0000-0000-0000F7420000}"/>
    <cellStyle name="표준 5 2 2 9 2 2 2" xfId="30480" xr:uid="{00000000-0005-0000-0000-0000F8420000}"/>
    <cellStyle name="표준 5 2 2 9 2 2 3" xfId="38691" xr:uid="{00000000-0005-0000-0000-0000F9420000}"/>
    <cellStyle name="표준 5 2 2 9 2 2 4" xfId="46884" xr:uid="{00000000-0005-0000-0000-0000FA420000}"/>
    <cellStyle name="표준 5 2 2 9 2 3" xfId="18126" xr:uid="{00000000-0005-0000-0000-0000FB420000}"/>
    <cellStyle name="표준 5 2 2 9 2 4" xfId="22288" xr:uid="{00000000-0005-0000-0000-0000FC420000}"/>
    <cellStyle name="표준 5 2 2 9 2 5" xfId="26384" xr:uid="{00000000-0005-0000-0000-0000FD420000}"/>
    <cellStyle name="표준 5 2 2 9 2 6" xfId="34595" xr:uid="{00000000-0005-0000-0000-0000FE420000}"/>
    <cellStyle name="표준 5 2 2 9 2 7" xfId="42788" xr:uid="{00000000-0005-0000-0000-0000FF420000}"/>
    <cellStyle name="표준 5 2 2 9 3" xfId="7726" xr:uid="{00000000-0005-0000-0000-000000430000}"/>
    <cellStyle name="표준 5 2 2 9 3 2" xfId="28432" xr:uid="{00000000-0005-0000-0000-000001430000}"/>
    <cellStyle name="표준 5 2 2 9 3 3" xfId="36643" xr:uid="{00000000-0005-0000-0000-000002430000}"/>
    <cellStyle name="표준 5 2 2 9 3 4" xfId="44836" xr:uid="{00000000-0005-0000-0000-000003430000}"/>
    <cellStyle name="표준 5 2 2 9 4" xfId="11838" xr:uid="{00000000-0005-0000-0000-000004430000}"/>
    <cellStyle name="표준 5 2 2 9 5" xfId="16078" xr:uid="{00000000-0005-0000-0000-000005430000}"/>
    <cellStyle name="표준 5 2 2 9 6" xfId="20240" xr:uid="{00000000-0005-0000-0000-000006430000}"/>
    <cellStyle name="표준 5 2 2 9 7" xfId="24336" xr:uid="{00000000-0005-0000-0000-000007430000}"/>
    <cellStyle name="표준 5 2 2 9 8" xfId="32547" xr:uid="{00000000-0005-0000-0000-000008430000}"/>
    <cellStyle name="표준 5 2 2 9 9" xfId="40740" xr:uid="{00000000-0005-0000-0000-000009430000}"/>
    <cellStyle name="표준 5 2 20" xfId="7209" xr:uid="{00000000-0005-0000-0000-00000A430000}"/>
    <cellStyle name="표준 5 2 21" xfId="7212" xr:uid="{00000000-0005-0000-0000-00000B430000}"/>
    <cellStyle name="표준 5 2 22" xfId="11308" xr:uid="{00000000-0005-0000-0000-00000C430000}"/>
    <cellStyle name="표준 5 2 23" xfId="11324" xr:uid="{00000000-0005-0000-0000-00000D430000}"/>
    <cellStyle name="표준 5 2 24" xfId="15420" xr:uid="{00000000-0005-0000-0000-00000E430000}"/>
    <cellStyle name="표준 5 2 25" xfId="15436" xr:uid="{00000000-0005-0000-0000-00000F430000}"/>
    <cellStyle name="표준 5 2 26" xfId="15452" xr:uid="{00000000-0005-0000-0000-000010430000}"/>
    <cellStyle name="표준 5 2 27" xfId="15548" xr:uid="{00000000-0005-0000-0000-000011430000}"/>
    <cellStyle name="표준 5 2 28" xfId="15564" xr:uid="{00000000-0005-0000-0000-000012430000}"/>
    <cellStyle name="표준 5 2 29" xfId="19660" xr:uid="{00000000-0005-0000-0000-000013430000}"/>
    <cellStyle name="표준 5 2 3" xfId="58" xr:uid="{00000000-0005-0000-0000-000014430000}"/>
    <cellStyle name="표준 5 2 3 10" xfId="1897" xr:uid="{00000000-0005-0000-0000-000015430000}"/>
    <cellStyle name="표준 5 2 3 10 2" xfId="10800" xr:uid="{00000000-0005-0000-0000-000016430000}"/>
    <cellStyle name="표준 5 2 3 10 2 2" xfId="14912" xr:uid="{00000000-0005-0000-0000-000017430000}"/>
    <cellStyle name="표준 5 2 3 10 2 2 2" xfId="31506" xr:uid="{00000000-0005-0000-0000-000018430000}"/>
    <cellStyle name="표준 5 2 3 10 2 2 3" xfId="39717" xr:uid="{00000000-0005-0000-0000-000019430000}"/>
    <cellStyle name="표준 5 2 3 10 2 2 4" xfId="47910" xr:uid="{00000000-0005-0000-0000-00001A430000}"/>
    <cellStyle name="표준 5 2 3 10 2 3" xfId="19152" xr:uid="{00000000-0005-0000-0000-00001B430000}"/>
    <cellStyle name="표준 5 2 3 10 2 4" xfId="23314" xr:uid="{00000000-0005-0000-0000-00001C430000}"/>
    <cellStyle name="표준 5 2 3 10 2 5" xfId="27410" xr:uid="{00000000-0005-0000-0000-00001D430000}"/>
    <cellStyle name="표준 5 2 3 10 2 6" xfId="35621" xr:uid="{00000000-0005-0000-0000-00001E430000}"/>
    <cellStyle name="표준 5 2 3 10 2 7" xfId="43814" xr:uid="{00000000-0005-0000-0000-00001F430000}"/>
    <cellStyle name="표준 5 2 3 10 3" xfId="8752" xr:uid="{00000000-0005-0000-0000-000020430000}"/>
    <cellStyle name="표준 5 2 3 10 3 2" xfId="29458" xr:uid="{00000000-0005-0000-0000-000021430000}"/>
    <cellStyle name="표준 5 2 3 10 3 3" xfId="37669" xr:uid="{00000000-0005-0000-0000-000022430000}"/>
    <cellStyle name="표준 5 2 3 10 3 4" xfId="45862" xr:uid="{00000000-0005-0000-0000-000023430000}"/>
    <cellStyle name="표준 5 2 3 10 4" xfId="12864" xr:uid="{00000000-0005-0000-0000-000024430000}"/>
    <cellStyle name="표준 5 2 3 10 5" xfId="17104" xr:uid="{00000000-0005-0000-0000-000025430000}"/>
    <cellStyle name="표준 5 2 3 10 6" xfId="21266" xr:uid="{00000000-0005-0000-0000-000026430000}"/>
    <cellStyle name="표준 5 2 3 10 7" xfId="25362" xr:uid="{00000000-0005-0000-0000-000027430000}"/>
    <cellStyle name="표준 5 2 3 10 8" xfId="33573" xr:uid="{00000000-0005-0000-0000-000028430000}"/>
    <cellStyle name="표준 5 2 3 10 9" xfId="41766" xr:uid="{00000000-0005-0000-0000-000029430000}"/>
    <cellStyle name="표준 5 2 3 11" xfId="4394" xr:uid="{00000000-0005-0000-0000-00002A430000}"/>
    <cellStyle name="표준 5 2 3 11 2" xfId="9264" xr:uid="{00000000-0005-0000-0000-00002B430000}"/>
    <cellStyle name="표준 5 2 3 11 2 2" xfId="29970" xr:uid="{00000000-0005-0000-0000-00002C430000}"/>
    <cellStyle name="표준 5 2 3 11 2 3" xfId="38181" xr:uid="{00000000-0005-0000-0000-00002D430000}"/>
    <cellStyle name="표준 5 2 3 11 2 4" xfId="46374" xr:uid="{00000000-0005-0000-0000-00002E430000}"/>
    <cellStyle name="표준 5 2 3 11 3" xfId="13376" xr:uid="{00000000-0005-0000-0000-00002F430000}"/>
    <cellStyle name="표준 5 2 3 11 4" xfId="17616" xr:uid="{00000000-0005-0000-0000-000030430000}"/>
    <cellStyle name="표준 5 2 3 11 5" xfId="21778" xr:uid="{00000000-0005-0000-0000-000031430000}"/>
    <cellStyle name="표준 5 2 3 11 6" xfId="25874" xr:uid="{00000000-0005-0000-0000-000032430000}"/>
    <cellStyle name="표준 5 2 3 11 7" xfId="34085" xr:uid="{00000000-0005-0000-0000-000033430000}"/>
    <cellStyle name="표준 5 2 3 11 8" xfId="42278" xr:uid="{00000000-0005-0000-0000-000034430000}"/>
    <cellStyle name="표준 5 2 3 12" xfId="6951" xr:uid="{00000000-0005-0000-0000-000035430000}"/>
    <cellStyle name="표준 5 2 3 12 2" xfId="27922" xr:uid="{00000000-0005-0000-0000-000036430000}"/>
    <cellStyle name="표준 5 2 3 12 3" xfId="36133" xr:uid="{00000000-0005-0000-0000-000037430000}"/>
    <cellStyle name="표준 5 2 3 12 4" xfId="44326" xr:uid="{00000000-0005-0000-0000-000038430000}"/>
    <cellStyle name="표준 5 2 3 13" xfId="7069" xr:uid="{00000000-0005-0000-0000-000039430000}"/>
    <cellStyle name="표준 5 2 3 14" xfId="7085" xr:uid="{00000000-0005-0000-0000-00003A430000}"/>
    <cellStyle name="표준 5 2 3 15" xfId="7101" xr:uid="{00000000-0005-0000-0000-00003B430000}"/>
    <cellStyle name="표준 5 2 3 16" xfId="7205" xr:uid="{00000000-0005-0000-0000-00003C430000}"/>
    <cellStyle name="표준 5 2 3 17" xfId="7216" xr:uid="{00000000-0005-0000-0000-00003D430000}"/>
    <cellStyle name="표준 5 2 3 18" xfId="11312" xr:uid="{00000000-0005-0000-0000-00003E430000}"/>
    <cellStyle name="표준 5 2 3 19" xfId="11328" xr:uid="{00000000-0005-0000-0000-00003F430000}"/>
    <cellStyle name="표준 5 2 3 2" xfId="76" xr:uid="{00000000-0005-0000-0000-000040430000}"/>
    <cellStyle name="표준 5 2 3 2 10" xfId="4402" xr:uid="{00000000-0005-0000-0000-000041430000}"/>
    <cellStyle name="표준 5 2 3 2 10 2" xfId="9272" xr:uid="{00000000-0005-0000-0000-000042430000}"/>
    <cellStyle name="표준 5 2 3 2 10 2 2" xfId="29978" xr:uid="{00000000-0005-0000-0000-000043430000}"/>
    <cellStyle name="표준 5 2 3 2 10 2 3" xfId="38189" xr:uid="{00000000-0005-0000-0000-000044430000}"/>
    <cellStyle name="표준 5 2 3 2 10 2 4" xfId="46382" xr:uid="{00000000-0005-0000-0000-000045430000}"/>
    <cellStyle name="표준 5 2 3 2 10 3" xfId="13384" xr:uid="{00000000-0005-0000-0000-000046430000}"/>
    <cellStyle name="표준 5 2 3 2 10 4" xfId="17624" xr:uid="{00000000-0005-0000-0000-000047430000}"/>
    <cellStyle name="표준 5 2 3 2 10 5" xfId="21786" xr:uid="{00000000-0005-0000-0000-000048430000}"/>
    <cellStyle name="표준 5 2 3 2 10 6" xfId="25882" xr:uid="{00000000-0005-0000-0000-000049430000}"/>
    <cellStyle name="표준 5 2 3 2 10 7" xfId="34093" xr:uid="{00000000-0005-0000-0000-00004A430000}"/>
    <cellStyle name="표준 5 2 3 2 10 8" xfId="42286" xr:uid="{00000000-0005-0000-0000-00004B430000}"/>
    <cellStyle name="표준 5 2 3 2 11" xfId="6959" xr:uid="{00000000-0005-0000-0000-00004C430000}"/>
    <cellStyle name="표준 5 2 3 2 11 2" xfId="27930" xr:uid="{00000000-0005-0000-0000-00004D430000}"/>
    <cellStyle name="표준 5 2 3 2 11 3" xfId="36141" xr:uid="{00000000-0005-0000-0000-00004E430000}"/>
    <cellStyle name="표준 5 2 3 2 11 4" xfId="44334" xr:uid="{00000000-0005-0000-0000-00004F430000}"/>
    <cellStyle name="표준 5 2 3 2 12" xfId="7077" xr:uid="{00000000-0005-0000-0000-000050430000}"/>
    <cellStyle name="표준 5 2 3 2 13" xfId="7093" xr:uid="{00000000-0005-0000-0000-000051430000}"/>
    <cellStyle name="표준 5 2 3 2 14" xfId="7109" xr:uid="{00000000-0005-0000-0000-000052430000}"/>
    <cellStyle name="표준 5 2 3 2 15" xfId="7197" xr:uid="{00000000-0005-0000-0000-000053430000}"/>
    <cellStyle name="표준 5 2 3 2 16" xfId="7224" xr:uid="{00000000-0005-0000-0000-000054430000}"/>
    <cellStyle name="표준 5 2 3 2 17" xfId="11320" xr:uid="{00000000-0005-0000-0000-000055430000}"/>
    <cellStyle name="표준 5 2 3 2 18" xfId="11336" xr:uid="{00000000-0005-0000-0000-000056430000}"/>
    <cellStyle name="표준 5 2 3 2 19" xfId="15432" xr:uid="{00000000-0005-0000-0000-000057430000}"/>
    <cellStyle name="표준 5 2 3 2 2" xfId="170" xr:uid="{00000000-0005-0000-0000-000058430000}"/>
    <cellStyle name="표준 5 2 3 2 2 10" xfId="7181" xr:uid="{00000000-0005-0000-0000-000059430000}"/>
    <cellStyle name="표준 5 2 3 2 2 10 2" xfId="27946" xr:uid="{00000000-0005-0000-0000-00005A430000}"/>
    <cellStyle name="표준 5 2 3 2 2 10 3" xfId="36157" xr:uid="{00000000-0005-0000-0000-00005B430000}"/>
    <cellStyle name="표준 5 2 3 2 2 10 4" xfId="44350" xr:uid="{00000000-0005-0000-0000-00005C430000}"/>
    <cellStyle name="표준 5 2 3 2 2 11" xfId="7240" xr:uid="{00000000-0005-0000-0000-00005D430000}"/>
    <cellStyle name="표준 5 2 3 2 2 12" xfId="11352" xr:uid="{00000000-0005-0000-0000-00005E430000}"/>
    <cellStyle name="표준 5 2 3 2 2 13" xfId="15480" xr:uid="{00000000-0005-0000-0000-00005F430000}"/>
    <cellStyle name="표준 5 2 3 2 2 14" xfId="15592" xr:uid="{00000000-0005-0000-0000-000060430000}"/>
    <cellStyle name="표준 5 2 3 2 2 15" xfId="19754" xr:uid="{00000000-0005-0000-0000-000061430000}"/>
    <cellStyle name="표준 5 2 3 2 2 16" xfId="23850" xr:uid="{00000000-0005-0000-0000-000062430000}"/>
    <cellStyle name="표준 5 2 3 2 2 17" xfId="32061" xr:uid="{00000000-0005-0000-0000-000063430000}"/>
    <cellStyle name="표준 5 2 3 2 2 18" xfId="40254" xr:uid="{00000000-0005-0000-0000-000064430000}"/>
    <cellStyle name="표준 5 2 3 2 2 19" xfId="49639" xr:uid="{00000000-0005-0000-0000-000065430000}"/>
    <cellStyle name="표준 5 2 3 2 2 2" xfId="417" xr:uid="{00000000-0005-0000-0000-000066430000}"/>
    <cellStyle name="표준 5 2 3 2 2 2 10" xfId="7272" xr:uid="{00000000-0005-0000-0000-000067430000}"/>
    <cellStyle name="표준 5 2 3 2 2 2 11" xfId="11384" xr:uid="{00000000-0005-0000-0000-000068430000}"/>
    <cellStyle name="표준 5 2 3 2 2 2 12" xfId="15528" xr:uid="{00000000-0005-0000-0000-000069430000}"/>
    <cellStyle name="표준 5 2 3 2 2 2 13" xfId="15624" xr:uid="{00000000-0005-0000-0000-00006A430000}"/>
    <cellStyle name="표준 5 2 3 2 2 2 14" xfId="19786" xr:uid="{00000000-0005-0000-0000-00006B430000}"/>
    <cellStyle name="표준 5 2 3 2 2 2 15" xfId="23882" xr:uid="{00000000-0005-0000-0000-00006C430000}"/>
    <cellStyle name="표준 5 2 3 2 2 2 16" xfId="32093" xr:uid="{00000000-0005-0000-0000-00006D430000}"/>
    <cellStyle name="표준 5 2 3 2 2 2 17" xfId="40286" xr:uid="{00000000-0005-0000-0000-00006E430000}"/>
    <cellStyle name="표준 5 2 3 2 2 2 18" xfId="49705" xr:uid="{00000000-0005-0000-0000-00006F430000}"/>
    <cellStyle name="표준 5 2 3 2 2 2 2" xfId="481" xr:uid="{00000000-0005-0000-0000-000070430000}"/>
    <cellStyle name="표준 5 2 3 2 2 2 2 10" xfId="15688" xr:uid="{00000000-0005-0000-0000-000071430000}"/>
    <cellStyle name="표준 5 2 3 2 2 2 2 11" xfId="19850" xr:uid="{00000000-0005-0000-0000-000072430000}"/>
    <cellStyle name="표준 5 2 3 2 2 2 2 12" xfId="23946" xr:uid="{00000000-0005-0000-0000-000073430000}"/>
    <cellStyle name="표준 5 2 3 2 2 2 2 13" xfId="32157" xr:uid="{00000000-0005-0000-0000-000074430000}"/>
    <cellStyle name="표준 5 2 3 2 2 2 2 14" xfId="40350" xr:uid="{00000000-0005-0000-0000-000075430000}"/>
    <cellStyle name="표준 5 2 3 2 2 2 2 2" xfId="609" xr:uid="{00000000-0005-0000-0000-000076430000}"/>
    <cellStyle name="표준 5 2 3 2 2 2 2 2 10" xfId="19978" xr:uid="{00000000-0005-0000-0000-000077430000}"/>
    <cellStyle name="표준 5 2 3 2 2 2 2 2 11" xfId="24074" xr:uid="{00000000-0005-0000-0000-000078430000}"/>
    <cellStyle name="표준 5 2 3 2 2 2 2 2 12" xfId="32285" xr:uid="{00000000-0005-0000-0000-000079430000}"/>
    <cellStyle name="표준 5 2 3 2 2 2 2 2 13" xfId="40478" xr:uid="{00000000-0005-0000-0000-00007A430000}"/>
    <cellStyle name="표준 5 2 3 2 2 2 2 2 2" xfId="865" xr:uid="{00000000-0005-0000-0000-00007B430000}"/>
    <cellStyle name="표준 5 2 3 2 2 2 2 2 2 10" xfId="24330" xr:uid="{00000000-0005-0000-0000-00007C430000}"/>
    <cellStyle name="표준 5 2 3 2 2 2 2 2 2 11" xfId="32541" xr:uid="{00000000-0005-0000-0000-00007D430000}"/>
    <cellStyle name="표준 5 2 3 2 2 2 2 2 2 12" xfId="40734" xr:uid="{00000000-0005-0000-0000-00007E430000}"/>
    <cellStyle name="표준 5 2 3 2 2 2 2 2 2 2" xfId="1377" xr:uid="{00000000-0005-0000-0000-00007F430000}"/>
    <cellStyle name="표준 5 2 3 2 2 2 2 2 2 2 2" xfId="10280" xr:uid="{00000000-0005-0000-0000-000080430000}"/>
    <cellStyle name="표준 5 2 3 2 2 2 2 2 2 2 2 2" xfId="14392" xr:uid="{00000000-0005-0000-0000-000081430000}"/>
    <cellStyle name="표준 5 2 3 2 2 2 2 2 2 2 2 2 2" xfId="30986" xr:uid="{00000000-0005-0000-0000-000082430000}"/>
    <cellStyle name="표준 5 2 3 2 2 2 2 2 2 2 2 2 3" xfId="39197" xr:uid="{00000000-0005-0000-0000-000083430000}"/>
    <cellStyle name="표준 5 2 3 2 2 2 2 2 2 2 2 2 4" xfId="47390" xr:uid="{00000000-0005-0000-0000-000084430000}"/>
    <cellStyle name="표준 5 2 3 2 2 2 2 2 2 2 2 3" xfId="18632" xr:uid="{00000000-0005-0000-0000-000085430000}"/>
    <cellStyle name="표준 5 2 3 2 2 2 2 2 2 2 2 4" xfId="22794" xr:uid="{00000000-0005-0000-0000-000086430000}"/>
    <cellStyle name="표준 5 2 3 2 2 2 2 2 2 2 2 5" xfId="26890" xr:uid="{00000000-0005-0000-0000-000087430000}"/>
    <cellStyle name="표준 5 2 3 2 2 2 2 2 2 2 2 6" xfId="35101" xr:uid="{00000000-0005-0000-0000-000088430000}"/>
    <cellStyle name="표준 5 2 3 2 2 2 2 2 2 2 2 7" xfId="43294" xr:uid="{00000000-0005-0000-0000-000089430000}"/>
    <cellStyle name="표준 5 2 3 2 2 2 2 2 2 2 3" xfId="8232" xr:uid="{00000000-0005-0000-0000-00008A430000}"/>
    <cellStyle name="표준 5 2 3 2 2 2 2 2 2 2 3 2" xfId="28938" xr:uid="{00000000-0005-0000-0000-00008B430000}"/>
    <cellStyle name="표준 5 2 3 2 2 2 2 2 2 2 3 3" xfId="37149" xr:uid="{00000000-0005-0000-0000-00008C430000}"/>
    <cellStyle name="표준 5 2 3 2 2 2 2 2 2 2 3 4" xfId="45342" xr:uid="{00000000-0005-0000-0000-00008D430000}"/>
    <cellStyle name="표준 5 2 3 2 2 2 2 2 2 2 4" xfId="12344" xr:uid="{00000000-0005-0000-0000-00008E430000}"/>
    <cellStyle name="표준 5 2 3 2 2 2 2 2 2 2 5" xfId="16584" xr:uid="{00000000-0005-0000-0000-00008F430000}"/>
    <cellStyle name="표준 5 2 3 2 2 2 2 2 2 2 6" xfId="20746" xr:uid="{00000000-0005-0000-0000-000090430000}"/>
    <cellStyle name="표준 5 2 3 2 2 2 2 2 2 2 7" xfId="24842" xr:uid="{00000000-0005-0000-0000-000091430000}"/>
    <cellStyle name="표준 5 2 3 2 2 2 2 2 2 2 8" xfId="33053" xr:uid="{00000000-0005-0000-0000-000092430000}"/>
    <cellStyle name="표준 5 2 3 2 2 2 2 2 2 2 9" xfId="41246" xr:uid="{00000000-0005-0000-0000-000093430000}"/>
    <cellStyle name="표준 5 2 3 2 2 2 2 2 2 3" xfId="1889" xr:uid="{00000000-0005-0000-0000-000094430000}"/>
    <cellStyle name="표준 5 2 3 2 2 2 2 2 2 3 2" xfId="10792" xr:uid="{00000000-0005-0000-0000-000095430000}"/>
    <cellStyle name="표준 5 2 3 2 2 2 2 2 2 3 2 2" xfId="14904" xr:uid="{00000000-0005-0000-0000-000096430000}"/>
    <cellStyle name="표준 5 2 3 2 2 2 2 2 2 3 2 2 2" xfId="31498" xr:uid="{00000000-0005-0000-0000-000097430000}"/>
    <cellStyle name="표준 5 2 3 2 2 2 2 2 2 3 2 2 3" xfId="39709" xr:uid="{00000000-0005-0000-0000-000098430000}"/>
    <cellStyle name="표준 5 2 3 2 2 2 2 2 2 3 2 2 4" xfId="47902" xr:uid="{00000000-0005-0000-0000-000099430000}"/>
    <cellStyle name="표준 5 2 3 2 2 2 2 2 2 3 2 3" xfId="19144" xr:uid="{00000000-0005-0000-0000-00009A430000}"/>
    <cellStyle name="표준 5 2 3 2 2 2 2 2 2 3 2 4" xfId="23306" xr:uid="{00000000-0005-0000-0000-00009B430000}"/>
    <cellStyle name="표준 5 2 3 2 2 2 2 2 2 3 2 5" xfId="27402" xr:uid="{00000000-0005-0000-0000-00009C430000}"/>
    <cellStyle name="표준 5 2 3 2 2 2 2 2 2 3 2 6" xfId="35613" xr:uid="{00000000-0005-0000-0000-00009D430000}"/>
    <cellStyle name="표준 5 2 3 2 2 2 2 2 2 3 2 7" xfId="43806" xr:uid="{00000000-0005-0000-0000-00009E430000}"/>
    <cellStyle name="표준 5 2 3 2 2 2 2 2 2 3 3" xfId="8744" xr:uid="{00000000-0005-0000-0000-00009F430000}"/>
    <cellStyle name="표준 5 2 3 2 2 2 2 2 2 3 3 2" xfId="29450" xr:uid="{00000000-0005-0000-0000-0000A0430000}"/>
    <cellStyle name="표준 5 2 3 2 2 2 2 2 2 3 3 3" xfId="37661" xr:uid="{00000000-0005-0000-0000-0000A1430000}"/>
    <cellStyle name="표준 5 2 3 2 2 2 2 2 2 3 3 4" xfId="45854" xr:uid="{00000000-0005-0000-0000-0000A2430000}"/>
    <cellStyle name="표준 5 2 3 2 2 2 2 2 2 3 4" xfId="12856" xr:uid="{00000000-0005-0000-0000-0000A3430000}"/>
    <cellStyle name="표준 5 2 3 2 2 2 2 2 2 3 5" xfId="17096" xr:uid="{00000000-0005-0000-0000-0000A4430000}"/>
    <cellStyle name="표준 5 2 3 2 2 2 2 2 2 3 6" xfId="21258" xr:uid="{00000000-0005-0000-0000-0000A5430000}"/>
    <cellStyle name="표준 5 2 3 2 2 2 2 2 2 3 7" xfId="25354" xr:uid="{00000000-0005-0000-0000-0000A6430000}"/>
    <cellStyle name="표준 5 2 3 2 2 2 2 2 2 3 8" xfId="33565" xr:uid="{00000000-0005-0000-0000-0000A7430000}"/>
    <cellStyle name="표준 5 2 3 2 2 2 2 2 2 3 9" xfId="41758" xr:uid="{00000000-0005-0000-0000-0000A8430000}"/>
    <cellStyle name="표준 5 2 3 2 2 2 2 2 2 4" xfId="2401" xr:uid="{00000000-0005-0000-0000-0000A9430000}"/>
    <cellStyle name="표준 5 2 3 2 2 2 2 2 2 4 2" xfId="11304" xr:uid="{00000000-0005-0000-0000-0000AA430000}"/>
    <cellStyle name="표준 5 2 3 2 2 2 2 2 2 4 2 2" xfId="15416" xr:uid="{00000000-0005-0000-0000-0000AB430000}"/>
    <cellStyle name="표준 5 2 3 2 2 2 2 2 2 4 2 2 2" xfId="32010" xr:uid="{00000000-0005-0000-0000-0000AC430000}"/>
    <cellStyle name="표준 5 2 3 2 2 2 2 2 2 4 2 2 3" xfId="40221" xr:uid="{00000000-0005-0000-0000-0000AD430000}"/>
    <cellStyle name="표준 5 2 3 2 2 2 2 2 2 4 2 2 4" xfId="48414" xr:uid="{00000000-0005-0000-0000-0000AE430000}"/>
    <cellStyle name="표준 5 2 3 2 2 2 2 2 2 4 2 3" xfId="19656" xr:uid="{00000000-0005-0000-0000-0000AF430000}"/>
    <cellStyle name="표준 5 2 3 2 2 2 2 2 2 4 2 4" xfId="23818" xr:uid="{00000000-0005-0000-0000-0000B0430000}"/>
    <cellStyle name="표준 5 2 3 2 2 2 2 2 2 4 2 5" xfId="27914" xr:uid="{00000000-0005-0000-0000-0000B1430000}"/>
    <cellStyle name="표준 5 2 3 2 2 2 2 2 2 4 2 6" xfId="36125" xr:uid="{00000000-0005-0000-0000-0000B2430000}"/>
    <cellStyle name="표준 5 2 3 2 2 2 2 2 2 4 2 7" xfId="44318" xr:uid="{00000000-0005-0000-0000-0000B3430000}"/>
    <cellStyle name="표준 5 2 3 2 2 2 2 2 2 4 3" xfId="9256" xr:uid="{00000000-0005-0000-0000-0000B4430000}"/>
    <cellStyle name="표준 5 2 3 2 2 2 2 2 2 4 3 2" xfId="29962" xr:uid="{00000000-0005-0000-0000-0000B5430000}"/>
    <cellStyle name="표준 5 2 3 2 2 2 2 2 2 4 3 3" xfId="38173" xr:uid="{00000000-0005-0000-0000-0000B6430000}"/>
    <cellStyle name="표준 5 2 3 2 2 2 2 2 2 4 3 4" xfId="46366" xr:uid="{00000000-0005-0000-0000-0000B7430000}"/>
    <cellStyle name="표준 5 2 3 2 2 2 2 2 2 4 4" xfId="13368" xr:uid="{00000000-0005-0000-0000-0000B8430000}"/>
    <cellStyle name="표준 5 2 3 2 2 2 2 2 2 4 5" xfId="17608" xr:uid="{00000000-0005-0000-0000-0000B9430000}"/>
    <cellStyle name="표준 5 2 3 2 2 2 2 2 2 4 6" xfId="21770" xr:uid="{00000000-0005-0000-0000-0000BA430000}"/>
    <cellStyle name="표준 5 2 3 2 2 2 2 2 2 4 7" xfId="25866" xr:uid="{00000000-0005-0000-0000-0000BB430000}"/>
    <cellStyle name="표준 5 2 3 2 2 2 2 2 2 4 8" xfId="34077" xr:uid="{00000000-0005-0000-0000-0000BC430000}"/>
    <cellStyle name="표준 5 2 3 2 2 2 2 2 2 4 9" xfId="42270" xr:uid="{00000000-0005-0000-0000-0000BD430000}"/>
    <cellStyle name="표준 5 2 3 2 2 2 2 2 2 5" xfId="9768" xr:uid="{00000000-0005-0000-0000-0000BE430000}"/>
    <cellStyle name="표준 5 2 3 2 2 2 2 2 2 5 2" xfId="13880" xr:uid="{00000000-0005-0000-0000-0000BF430000}"/>
    <cellStyle name="표준 5 2 3 2 2 2 2 2 2 5 2 2" xfId="30474" xr:uid="{00000000-0005-0000-0000-0000C0430000}"/>
    <cellStyle name="표준 5 2 3 2 2 2 2 2 2 5 2 3" xfId="38685" xr:uid="{00000000-0005-0000-0000-0000C1430000}"/>
    <cellStyle name="표준 5 2 3 2 2 2 2 2 2 5 2 4" xfId="46878" xr:uid="{00000000-0005-0000-0000-0000C2430000}"/>
    <cellStyle name="표준 5 2 3 2 2 2 2 2 2 5 3" xfId="18120" xr:uid="{00000000-0005-0000-0000-0000C3430000}"/>
    <cellStyle name="표준 5 2 3 2 2 2 2 2 2 5 4" xfId="22282" xr:uid="{00000000-0005-0000-0000-0000C4430000}"/>
    <cellStyle name="표준 5 2 3 2 2 2 2 2 2 5 5" xfId="26378" xr:uid="{00000000-0005-0000-0000-0000C5430000}"/>
    <cellStyle name="표준 5 2 3 2 2 2 2 2 2 5 6" xfId="34589" xr:uid="{00000000-0005-0000-0000-0000C6430000}"/>
    <cellStyle name="표준 5 2 3 2 2 2 2 2 2 5 7" xfId="42782" xr:uid="{00000000-0005-0000-0000-0000C7430000}"/>
    <cellStyle name="표준 5 2 3 2 2 2 2 2 2 6" xfId="7720" xr:uid="{00000000-0005-0000-0000-0000C8430000}"/>
    <cellStyle name="표준 5 2 3 2 2 2 2 2 2 6 2" xfId="28426" xr:uid="{00000000-0005-0000-0000-0000C9430000}"/>
    <cellStyle name="표준 5 2 3 2 2 2 2 2 2 6 3" xfId="36637" xr:uid="{00000000-0005-0000-0000-0000CA430000}"/>
    <cellStyle name="표준 5 2 3 2 2 2 2 2 2 6 4" xfId="44830" xr:uid="{00000000-0005-0000-0000-0000CB430000}"/>
    <cellStyle name="표준 5 2 3 2 2 2 2 2 2 7" xfId="11832" xr:uid="{00000000-0005-0000-0000-0000CC430000}"/>
    <cellStyle name="표준 5 2 3 2 2 2 2 2 2 8" xfId="16072" xr:uid="{00000000-0005-0000-0000-0000CD430000}"/>
    <cellStyle name="표준 5 2 3 2 2 2 2 2 2 9" xfId="20234" xr:uid="{00000000-0005-0000-0000-0000CE430000}"/>
    <cellStyle name="표준 5 2 3 2 2 2 2 2 3" xfId="1121" xr:uid="{00000000-0005-0000-0000-0000CF430000}"/>
    <cellStyle name="표준 5 2 3 2 2 2 2 2 3 2" xfId="10024" xr:uid="{00000000-0005-0000-0000-0000D0430000}"/>
    <cellStyle name="표준 5 2 3 2 2 2 2 2 3 2 2" xfId="14136" xr:uid="{00000000-0005-0000-0000-0000D1430000}"/>
    <cellStyle name="표준 5 2 3 2 2 2 2 2 3 2 2 2" xfId="30730" xr:uid="{00000000-0005-0000-0000-0000D2430000}"/>
    <cellStyle name="표준 5 2 3 2 2 2 2 2 3 2 2 3" xfId="38941" xr:uid="{00000000-0005-0000-0000-0000D3430000}"/>
    <cellStyle name="표준 5 2 3 2 2 2 2 2 3 2 2 4" xfId="47134" xr:uid="{00000000-0005-0000-0000-0000D4430000}"/>
    <cellStyle name="표준 5 2 3 2 2 2 2 2 3 2 3" xfId="18376" xr:uid="{00000000-0005-0000-0000-0000D5430000}"/>
    <cellStyle name="표준 5 2 3 2 2 2 2 2 3 2 4" xfId="22538" xr:uid="{00000000-0005-0000-0000-0000D6430000}"/>
    <cellStyle name="표준 5 2 3 2 2 2 2 2 3 2 5" xfId="26634" xr:uid="{00000000-0005-0000-0000-0000D7430000}"/>
    <cellStyle name="표준 5 2 3 2 2 2 2 2 3 2 6" xfId="34845" xr:uid="{00000000-0005-0000-0000-0000D8430000}"/>
    <cellStyle name="표준 5 2 3 2 2 2 2 2 3 2 7" xfId="43038" xr:uid="{00000000-0005-0000-0000-0000D9430000}"/>
    <cellStyle name="표준 5 2 3 2 2 2 2 2 3 3" xfId="7976" xr:uid="{00000000-0005-0000-0000-0000DA430000}"/>
    <cellStyle name="표준 5 2 3 2 2 2 2 2 3 3 2" xfId="28682" xr:uid="{00000000-0005-0000-0000-0000DB430000}"/>
    <cellStyle name="표준 5 2 3 2 2 2 2 2 3 3 3" xfId="36893" xr:uid="{00000000-0005-0000-0000-0000DC430000}"/>
    <cellStyle name="표준 5 2 3 2 2 2 2 2 3 3 4" xfId="45086" xr:uid="{00000000-0005-0000-0000-0000DD430000}"/>
    <cellStyle name="표준 5 2 3 2 2 2 2 2 3 4" xfId="12088" xr:uid="{00000000-0005-0000-0000-0000DE430000}"/>
    <cellStyle name="표준 5 2 3 2 2 2 2 2 3 5" xfId="16328" xr:uid="{00000000-0005-0000-0000-0000DF430000}"/>
    <cellStyle name="표준 5 2 3 2 2 2 2 2 3 6" xfId="20490" xr:uid="{00000000-0005-0000-0000-0000E0430000}"/>
    <cellStyle name="표준 5 2 3 2 2 2 2 2 3 7" xfId="24586" xr:uid="{00000000-0005-0000-0000-0000E1430000}"/>
    <cellStyle name="표준 5 2 3 2 2 2 2 2 3 8" xfId="32797" xr:uid="{00000000-0005-0000-0000-0000E2430000}"/>
    <cellStyle name="표준 5 2 3 2 2 2 2 2 3 9" xfId="40990" xr:uid="{00000000-0005-0000-0000-0000E3430000}"/>
    <cellStyle name="표준 5 2 3 2 2 2 2 2 4" xfId="1633" xr:uid="{00000000-0005-0000-0000-0000E4430000}"/>
    <cellStyle name="표준 5 2 3 2 2 2 2 2 4 2" xfId="10536" xr:uid="{00000000-0005-0000-0000-0000E5430000}"/>
    <cellStyle name="표준 5 2 3 2 2 2 2 2 4 2 2" xfId="14648" xr:uid="{00000000-0005-0000-0000-0000E6430000}"/>
    <cellStyle name="표준 5 2 3 2 2 2 2 2 4 2 2 2" xfId="31242" xr:uid="{00000000-0005-0000-0000-0000E7430000}"/>
    <cellStyle name="표준 5 2 3 2 2 2 2 2 4 2 2 3" xfId="39453" xr:uid="{00000000-0005-0000-0000-0000E8430000}"/>
    <cellStyle name="표준 5 2 3 2 2 2 2 2 4 2 2 4" xfId="47646" xr:uid="{00000000-0005-0000-0000-0000E9430000}"/>
    <cellStyle name="표준 5 2 3 2 2 2 2 2 4 2 3" xfId="18888" xr:uid="{00000000-0005-0000-0000-0000EA430000}"/>
    <cellStyle name="표준 5 2 3 2 2 2 2 2 4 2 4" xfId="23050" xr:uid="{00000000-0005-0000-0000-0000EB430000}"/>
    <cellStyle name="표준 5 2 3 2 2 2 2 2 4 2 5" xfId="27146" xr:uid="{00000000-0005-0000-0000-0000EC430000}"/>
    <cellStyle name="표준 5 2 3 2 2 2 2 2 4 2 6" xfId="35357" xr:uid="{00000000-0005-0000-0000-0000ED430000}"/>
    <cellStyle name="표준 5 2 3 2 2 2 2 2 4 2 7" xfId="43550" xr:uid="{00000000-0005-0000-0000-0000EE430000}"/>
    <cellStyle name="표준 5 2 3 2 2 2 2 2 4 3" xfId="8488" xr:uid="{00000000-0005-0000-0000-0000EF430000}"/>
    <cellStyle name="표준 5 2 3 2 2 2 2 2 4 3 2" xfId="29194" xr:uid="{00000000-0005-0000-0000-0000F0430000}"/>
    <cellStyle name="표준 5 2 3 2 2 2 2 2 4 3 3" xfId="37405" xr:uid="{00000000-0005-0000-0000-0000F1430000}"/>
    <cellStyle name="표준 5 2 3 2 2 2 2 2 4 3 4" xfId="45598" xr:uid="{00000000-0005-0000-0000-0000F2430000}"/>
    <cellStyle name="표준 5 2 3 2 2 2 2 2 4 4" xfId="12600" xr:uid="{00000000-0005-0000-0000-0000F3430000}"/>
    <cellStyle name="표준 5 2 3 2 2 2 2 2 4 5" xfId="16840" xr:uid="{00000000-0005-0000-0000-0000F4430000}"/>
    <cellStyle name="표준 5 2 3 2 2 2 2 2 4 6" xfId="21002" xr:uid="{00000000-0005-0000-0000-0000F5430000}"/>
    <cellStyle name="표준 5 2 3 2 2 2 2 2 4 7" xfId="25098" xr:uid="{00000000-0005-0000-0000-0000F6430000}"/>
    <cellStyle name="표준 5 2 3 2 2 2 2 2 4 8" xfId="33309" xr:uid="{00000000-0005-0000-0000-0000F7430000}"/>
    <cellStyle name="표준 5 2 3 2 2 2 2 2 4 9" xfId="41502" xr:uid="{00000000-0005-0000-0000-0000F8430000}"/>
    <cellStyle name="표준 5 2 3 2 2 2 2 2 5" xfId="2145" xr:uid="{00000000-0005-0000-0000-0000F9430000}"/>
    <cellStyle name="표준 5 2 3 2 2 2 2 2 5 2" xfId="11048" xr:uid="{00000000-0005-0000-0000-0000FA430000}"/>
    <cellStyle name="표준 5 2 3 2 2 2 2 2 5 2 2" xfId="15160" xr:uid="{00000000-0005-0000-0000-0000FB430000}"/>
    <cellStyle name="표준 5 2 3 2 2 2 2 2 5 2 2 2" xfId="31754" xr:uid="{00000000-0005-0000-0000-0000FC430000}"/>
    <cellStyle name="표준 5 2 3 2 2 2 2 2 5 2 2 3" xfId="39965" xr:uid="{00000000-0005-0000-0000-0000FD430000}"/>
    <cellStyle name="표준 5 2 3 2 2 2 2 2 5 2 2 4" xfId="48158" xr:uid="{00000000-0005-0000-0000-0000FE430000}"/>
    <cellStyle name="표준 5 2 3 2 2 2 2 2 5 2 3" xfId="19400" xr:uid="{00000000-0005-0000-0000-0000FF430000}"/>
    <cellStyle name="표준 5 2 3 2 2 2 2 2 5 2 4" xfId="23562" xr:uid="{00000000-0005-0000-0000-000000440000}"/>
    <cellStyle name="표준 5 2 3 2 2 2 2 2 5 2 5" xfId="27658" xr:uid="{00000000-0005-0000-0000-000001440000}"/>
    <cellStyle name="표준 5 2 3 2 2 2 2 2 5 2 6" xfId="35869" xr:uid="{00000000-0005-0000-0000-000002440000}"/>
    <cellStyle name="표준 5 2 3 2 2 2 2 2 5 2 7" xfId="44062" xr:uid="{00000000-0005-0000-0000-000003440000}"/>
    <cellStyle name="표준 5 2 3 2 2 2 2 2 5 3" xfId="9000" xr:uid="{00000000-0005-0000-0000-000004440000}"/>
    <cellStyle name="표준 5 2 3 2 2 2 2 2 5 3 2" xfId="29706" xr:uid="{00000000-0005-0000-0000-000005440000}"/>
    <cellStyle name="표준 5 2 3 2 2 2 2 2 5 3 3" xfId="37917" xr:uid="{00000000-0005-0000-0000-000006440000}"/>
    <cellStyle name="표준 5 2 3 2 2 2 2 2 5 3 4" xfId="46110" xr:uid="{00000000-0005-0000-0000-000007440000}"/>
    <cellStyle name="표준 5 2 3 2 2 2 2 2 5 4" xfId="13112" xr:uid="{00000000-0005-0000-0000-000008440000}"/>
    <cellStyle name="표준 5 2 3 2 2 2 2 2 5 5" xfId="17352" xr:uid="{00000000-0005-0000-0000-000009440000}"/>
    <cellStyle name="표준 5 2 3 2 2 2 2 2 5 6" xfId="21514" xr:uid="{00000000-0005-0000-0000-00000A440000}"/>
    <cellStyle name="표준 5 2 3 2 2 2 2 2 5 7" xfId="25610" xr:uid="{00000000-0005-0000-0000-00000B440000}"/>
    <cellStyle name="표준 5 2 3 2 2 2 2 2 5 8" xfId="33821" xr:uid="{00000000-0005-0000-0000-00000C440000}"/>
    <cellStyle name="표준 5 2 3 2 2 2 2 2 5 9" xfId="42014" xr:uid="{00000000-0005-0000-0000-00000D440000}"/>
    <cellStyle name="표준 5 2 3 2 2 2 2 2 6" xfId="9512" xr:uid="{00000000-0005-0000-0000-00000E440000}"/>
    <cellStyle name="표준 5 2 3 2 2 2 2 2 6 2" xfId="13624" xr:uid="{00000000-0005-0000-0000-00000F440000}"/>
    <cellStyle name="표준 5 2 3 2 2 2 2 2 6 2 2" xfId="30218" xr:uid="{00000000-0005-0000-0000-000010440000}"/>
    <cellStyle name="표준 5 2 3 2 2 2 2 2 6 2 3" xfId="38429" xr:uid="{00000000-0005-0000-0000-000011440000}"/>
    <cellStyle name="표준 5 2 3 2 2 2 2 2 6 2 4" xfId="46622" xr:uid="{00000000-0005-0000-0000-000012440000}"/>
    <cellStyle name="표준 5 2 3 2 2 2 2 2 6 3" xfId="17864" xr:uid="{00000000-0005-0000-0000-000013440000}"/>
    <cellStyle name="표준 5 2 3 2 2 2 2 2 6 4" xfId="22026" xr:uid="{00000000-0005-0000-0000-000014440000}"/>
    <cellStyle name="표준 5 2 3 2 2 2 2 2 6 5" xfId="26122" xr:uid="{00000000-0005-0000-0000-000015440000}"/>
    <cellStyle name="표준 5 2 3 2 2 2 2 2 6 6" xfId="34333" xr:uid="{00000000-0005-0000-0000-000016440000}"/>
    <cellStyle name="표준 5 2 3 2 2 2 2 2 6 7" xfId="42526" xr:uid="{00000000-0005-0000-0000-000017440000}"/>
    <cellStyle name="표준 5 2 3 2 2 2 2 2 7" xfId="7464" xr:uid="{00000000-0005-0000-0000-000018440000}"/>
    <cellStyle name="표준 5 2 3 2 2 2 2 2 7 2" xfId="28170" xr:uid="{00000000-0005-0000-0000-000019440000}"/>
    <cellStyle name="표준 5 2 3 2 2 2 2 2 7 3" xfId="36381" xr:uid="{00000000-0005-0000-0000-00001A440000}"/>
    <cellStyle name="표준 5 2 3 2 2 2 2 2 7 4" xfId="44574" xr:uid="{00000000-0005-0000-0000-00001B440000}"/>
    <cellStyle name="표준 5 2 3 2 2 2 2 2 8" xfId="11576" xr:uid="{00000000-0005-0000-0000-00001C440000}"/>
    <cellStyle name="표준 5 2 3 2 2 2 2 2 9" xfId="15816" xr:uid="{00000000-0005-0000-0000-00001D440000}"/>
    <cellStyle name="표준 5 2 3 2 2 2 2 3" xfId="737" xr:uid="{00000000-0005-0000-0000-00001E440000}"/>
    <cellStyle name="표준 5 2 3 2 2 2 2 3 10" xfId="24202" xr:uid="{00000000-0005-0000-0000-00001F440000}"/>
    <cellStyle name="표준 5 2 3 2 2 2 2 3 11" xfId="32413" xr:uid="{00000000-0005-0000-0000-000020440000}"/>
    <cellStyle name="표준 5 2 3 2 2 2 2 3 12" xfId="40606" xr:uid="{00000000-0005-0000-0000-000021440000}"/>
    <cellStyle name="표준 5 2 3 2 2 2 2 3 2" xfId="1249" xr:uid="{00000000-0005-0000-0000-000022440000}"/>
    <cellStyle name="표준 5 2 3 2 2 2 2 3 2 2" xfId="10152" xr:uid="{00000000-0005-0000-0000-000023440000}"/>
    <cellStyle name="표준 5 2 3 2 2 2 2 3 2 2 2" xfId="14264" xr:uid="{00000000-0005-0000-0000-000024440000}"/>
    <cellStyle name="표준 5 2 3 2 2 2 2 3 2 2 2 2" xfId="30858" xr:uid="{00000000-0005-0000-0000-000025440000}"/>
    <cellStyle name="표준 5 2 3 2 2 2 2 3 2 2 2 3" xfId="39069" xr:uid="{00000000-0005-0000-0000-000026440000}"/>
    <cellStyle name="표준 5 2 3 2 2 2 2 3 2 2 2 4" xfId="47262" xr:uid="{00000000-0005-0000-0000-000027440000}"/>
    <cellStyle name="표준 5 2 3 2 2 2 2 3 2 2 3" xfId="18504" xr:uid="{00000000-0005-0000-0000-000028440000}"/>
    <cellStyle name="표준 5 2 3 2 2 2 2 3 2 2 4" xfId="22666" xr:uid="{00000000-0005-0000-0000-000029440000}"/>
    <cellStyle name="표준 5 2 3 2 2 2 2 3 2 2 5" xfId="26762" xr:uid="{00000000-0005-0000-0000-00002A440000}"/>
    <cellStyle name="표준 5 2 3 2 2 2 2 3 2 2 6" xfId="34973" xr:uid="{00000000-0005-0000-0000-00002B440000}"/>
    <cellStyle name="표준 5 2 3 2 2 2 2 3 2 2 7" xfId="43166" xr:uid="{00000000-0005-0000-0000-00002C440000}"/>
    <cellStyle name="표준 5 2 3 2 2 2 2 3 2 3" xfId="8104" xr:uid="{00000000-0005-0000-0000-00002D440000}"/>
    <cellStyle name="표준 5 2 3 2 2 2 2 3 2 3 2" xfId="28810" xr:uid="{00000000-0005-0000-0000-00002E440000}"/>
    <cellStyle name="표준 5 2 3 2 2 2 2 3 2 3 3" xfId="37021" xr:uid="{00000000-0005-0000-0000-00002F440000}"/>
    <cellStyle name="표준 5 2 3 2 2 2 2 3 2 3 4" xfId="45214" xr:uid="{00000000-0005-0000-0000-000030440000}"/>
    <cellStyle name="표준 5 2 3 2 2 2 2 3 2 4" xfId="12216" xr:uid="{00000000-0005-0000-0000-000031440000}"/>
    <cellStyle name="표준 5 2 3 2 2 2 2 3 2 5" xfId="16456" xr:uid="{00000000-0005-0000-0000-000032440000}"/>
    <cellStyle name="표준 5 2 3 2 2 2 2 3 2 6" xfId="20618" xr:uid="{00000000-0005-0000-0000-000033440000}"/>
    <cellStyle name="표준 5 2 3 2 2 2 2 3 2 7" xfId="24714" xr:uid="{00000000-0005-0000-0000-000034440000}"/>
    <cellStyle name="표준 5 2 3 2 2 2 2 3 2 8" xfId="32925" xr:uid="{00000000-0005-0000-0000-000035440000}"/>
    <cellStyle name="표준 5 2 3 2 2 2 2 3 2 9" xfId="41118" xr:uid="{00000000-0005-0000-0000-000036440000}"/>
    <cellStyle name="표준 5 2 3 2 2 2 2 3 3" xfId="1761" xr:uid="{00000000-0005-0000-0000-000037440000}"/>
    <cellStyle name="표준 5 2 3 2 2 2 2 3 3 2" xfId="10664" xr:uid="{00000000-0005-0000-0000-000038440000}"/>
    <cellStyle name="표준 5 2 3 2 2 2 2 3 3 2 2" xfId="14776" xr:uid="{00000000-0005-0000-0000-000039440000}"/>
    <cellStyle name="표준 5 2 3 2 2 2 2 3 3 2 2 2" xfId="31370" xr:uid="{00000000-0005-0000-0000-00003A440000}"/>
    <cellStyle name="표준 5 2 3 2 2 2 2 3 3 2 2 3" xfId="39581" xr:uid="{00000000-0005-0000-0000-00003B440000}"/>
    <cellStyle name="표준 5 2 3 2 2 2 2 3 3 2 2 4" xfId="47774" xr:uid="{00000000-0005-0000-0000-00003C440000}"/>
    <cellStyle name="표준 5 2 3 2 2 2 2 3 3 2 3" xfId="19016" xr:uid="{00000000-0005-0000-0000-00003D440000}"/>
    <cellStyle name="표준 5 2 3 2 2 2 2 3 3 2 4" xfId="23178" xr:uid="{00000000-0005-0000-0000-00003E440000}"/>
    <cellStyle name="표준 5 2 3 2 2 2 2 3 3 2 5" xfId="27274" xr:uid="{00000000-0005-0000-0000-00003F440000}"/>
    <cellStyle name="표준 5 2 3 2 2 2 2 3 3 2 6" xfId="35485" xr:uid="{00000000-0005-0000-0000-000040440000}"/>
    <cellStyle name="표준 5 2 3 2 2 2 2 3 3 2 7" xfId="43678" xr:uid="{00000000-0005-0000-0000-000041440000}"/>
    <cellStyle name="표준 5 2 3 2 2 2 2 3 3 3" xfId="8616" xr:uid="{00000000-0005-0000-0000-000042440000}"/>
    <cellStyle name="표준 5 2 3 2 2 2 2 3 3 3 2" xfId="29322" xr:uid="{00000000-0005-0000-0000-000043440000}"/>
    <cellStyle name="표준 5 2 3 2 2 2 2 3 3 3 3" xfId="37533" xr:uid="{00000000-0005-0000-0000-000044440000}"/>
    <cellStyle name="표준 5 2 3 2 2 2 2 3 3 3 4" xfId="45726" xr:uid="{00000000-0005-0000-0000-000045440000}"/>
    <cellStyle name="표준 5 2 3 2 2 2 2 3 3 4" xfId="12728" xr:uid="{00000000-0005-0000-0000-000046440000}"/>
    <cellStyle name="표준 5 2 3 2 2 2 2 3 3 5" xfId="16968" xr:uid="{00000000-0005-0000-0000-000047440000}"/>
    <cellStyle name="표준 5 2 3 2 2 2 2 3 3 6" xfId="21130" xr:uid="{00000000-0005-0000-0000-000048440000}"/>
    <cellStyle name="표준 5 2 3 2 2 2 2 3 3 7" xfId="25226" xr:uid="{00000000-0005-0000-0000-000049440000}"/>
    <cellStyle name="표준 5 2 3 2 2 2 2 3 3 8" xfId="33437" xr:uid="{00000000-0005-0000-0000-00004A440000}"/>
    <cellStyle name="표준 5 2 3 2 2 2 2 3 3 9" xfId="41630" xr:uid="{00000000-0005-0000-0000-00004B440000}"/>
    <cellStyle name="표준 5 2 3 2 2 2 2 3 4" xfId="2273" xr:uid="{00000000-0005-0000-0000-00004C440000}"/>
    <cellStyle name="표준 5 2 3 2 2 2 2 3 4 2" xfId="11176" xr:uid="{00000000-0005-0000-0000-00004D440000}"/>
    <cellStyle name="표준 5 2 3 2 2 2 2 3 4 2 2" xfId="15288" xr:uid="{00000000-0005-0000-0000-00004E440000}"/>
    <cellStyle name="표준 5 2 3 2 2 2 2 3 4 2 2 2" xfId="31882" xr:uid="{00000000-0005-0000-0000-00004F440000}"/>
    <cellStyle name="표준 5 2 3 2 2 2 2 3 4 2 2 3" xfId="40093" xr:uid="{00000000-0005-0000-0000-000050440000}"/>
    <cellStyle name="표준 5 2 3 2 2 2 2 3 4 2 2 4" xfId="48286" xr:uid="{00000000-0005-0000-0000-000051440000}"/>
    <cellStyle name="표준 5 2 3 2 2 2 2 3 4 2 3" xfId="19528" xr:uid="{00000000-0005-0000-0000-000052440000}"/>
    <cellStyle name="표준 5 2 3 2 2 2 2 3 4 2 4" xfId="23690" xr:uid="{00000000-0005-0000-0000-000053440000}"/>
    <cellStyle name="표준 5 2 3 2 2 2 2 3 4 2 5" xfId="27786" xr:uid="{00000000-0005-0000-0000-000054440000}"/>
    <cellStyle name="표준 5 2 3 2 2 2 2 3 4 2 6" xfId="35997" xr:uid="{00000000-0005-0000-0000-000055440000}"/>
    <cellStyle name="표준 5 2 3 2 2 2 2 3 4 2 7" xfId="44190" xr:uid="{00000000-0005-0000-0000-000056440000}"/>
    <cellStyle name="표준 5 2 3 2 2 2 2 3 4 3" xfId="9128" xr:uid="{00000000-0005-0000-0000-000057440000}"/>
    <cellStyle name="표준 5 2 3 2 2 2 2 3 4 3 2" xfId="29834" xr:uid="{00000000-0005-0000-0000-000058440000}"/>
    <cellStyle name="표준 5 2 3 2 2 2 2 3 4 3 3" xfId="38045" xr:uid="{00000000-0005-0000-0000-000059440000}"/>
    <cellStyle name="표준 5 2 3 2 2 2 2 3 4 3 4" xfId="46238" xr:uid="{00000000-0005-0000-0000-00005A440000}"/>
    <cellStyle name="표준 5 2 3 2 2 2 2 3 4 4" xfId="13240" xr:uid="{00000000-0005-0000-0000-00005B440000}"/>
    <cellStyle name="표준 5 2 3 2 2 2 2 3 4 5" xfId="17480" xr:uid="{00000000-0005-0000-0000-00005C440000}"/>
    <cellStyle name="표준 5 2 3 2 2 2 2 3 4 6" xfId="21642" xr:uid="{00000000-0005-0000-0000-00005D440000}"/>
    <cellStyle name="표준 5 2 3 2 2 2 2 3 4 7" xfId="25738" xr:uid="{00000000-0005-0000-0000-00005E440000}"/>
    <cellStyle name="표준 5 2 3 2 2 2 2 3 4 8" xfId="33949" xr:uid="{00000000-0005-0000-0000-00005F440000}"/>
    <cellStyle name="표준 5 2 3 2 2 2 2 3 4 9" xfId="42142" xr:uid="{00000000-0005-0000-0000-000060440000}"/>
    <cellStyle name="표준 5 2 3 2 2 2 2 3 5" xfId="9640" xr:uid="{00000000-0005-0000-0000-000061440000}"/>
    <cellStyle name="표준 5 2 3 2 2 2 2 3 5 2" xfId="13752" xr:uid="{00000000-0005-0000-0000-000062440000}"/>
    <cellStyle name="표준 5 2 3 2 2 2 2 3 5 2 2" xfId="30346" xr:uid="{00000000-0005-0000-0000-000063440000}"/>
    <cellStyle name="표준 5 2 3 2 2 2 2 3 5 2 3" xfId="38557" xr:uid="{00000000-0005-0000-0000-000064440000}"/>
    <cellStyle name="표준 5 2 3 2 2 2 2 3 5 2 4" xfId="46750" xr:uid="{00000000-0005-0000-0000-000065440000}"/>
    <cellStyle name="표준 5 2 3 2 2 2 2 3 5 3" xfId="17992" xr:uid="{00000000-0005-0000-0000-000066440000}"/>
    <cellStyle name="표준 5 2 3 2 2 2 2 3 5 4" xfId="22154" xr:uid="{00000000-0005-0000-0000-000067440000}"/>
    <cellStyle name="표준 5 2 3 2 2 2 2 3 5 5" xfId="26250" xr:uid="{00000000-0005-0000-0000-000068440000}"/>
    <cellStyle name="표준 5 2 3 2 2 2 2 3 5 6" xfId="34461" xr:uid="{00000000-0005-0000-0000-000069440000}"/>
    <cellStyle name="표준 5 2 3 2 2 2 2 3 5 7" xfId="42654" xr:uid="{00000000-0005-0000-0000-00006A440000}"/>
    <cellStyle name="표준 5 2 3 2 2 2 2 3 6" xfId="7592" xr:uid="{00000000-0005-0000-0000-00006B440000}"/>
    <cellStyle name="표준 5 2 3 2 2 2 2 3 6 2" xfId="28298" xr:uid="{00000000-0005-0000-0000-00006C440000}"/>
    <cellStyle name="표준 5 2 3 2 2 2 2 3 6 3" xfId="36509" xr:uid="{00000000-0005-0000-0000-00006D440000}"/>
    <cellStyle name="표준 5 2 3 2 2 2 2 3 6 4" xfId="44702" xr:uid="{00000000-0005-0000-0000-00006E440000}"/>
    <cellStyle name="표준 5 2 3 2 2 2 2 3 7" xfId="11704" xr:uid="{00000000-0005-0000-0000-00006F440000}"/>
    <cellStyle name="표준 5 2 3 2 2 2 2 3 8" xfId="15944" xr:uid="{00000000-0005-0000-0000-000070440000}"/>
    <cellStyle name="표준 5 2 3 2 2 2 2 3 9" xfId="20106" xr:uid="{00000000-0005-0000-0000-000071440000}"/>
    <cellStyle name="표준 5 2 3 2 2 2 2 4" xfId="993" xr:uid="{00000000-0005-0000-0000-000072440000}"/>
    <cellStyle name="표준 5 2 3 2 2 2 2 4 2" xfId="9896" xr:uid="{00000000-0005-0000-0000-000073440000}"/>
    <cellStyle name="표준 5 2 3 2 2 2 2 4 2 2" xfId="14008" xr:uid="{00000000-0005-0000-0000-000074440000}"/>
    <cellStyle name="표준 5 2 3 2 2 2 2 4 2 2 2" xfId="30602" xr:uid="{00000000-0005-0000-0000-000075440000}"/>
    <cellStyle name="표준 5 2 3 2 2 2 2 4 2 2 3" xfId="38813" xr:uid="{00000000-0005-0000-0000-000076440000}"/>
    <cellStyle name="표준 5 2 3 2 2 2 2 4 2 2 4" xfId="47006" xr:uid="{00000000-0005-0000-0000-000077440000}"/>
    <cellStyle name="표준 5 2 3 2 2 2 2 4 2 3" xfId="18248" xr:uid="{00000000-0005-0000-0000-000078440000}"/>
    <cellStyle name="표준 5 2 3 2 2 2 2 4 2 4" xfId="22410" xr:uid="{00000000-0005-0000-0000-000079440000}"/>
    <cellStyle name="표준 5 2 3 2 2 2 2 4 2 5" xfId="26506" xr:uid="{00000000-0005-0000-0000-00007A440000}"/>
    <cellStyle name="표준 5 2 3 2 2 2 2 4 2 6" xfId="34717" xr:uid="{00000000-0005-0000-0000-00007B440000}"/>
    <cellStyle name="표준 5 2 3 2 2 2 2 4 2 7" xfId="42910" xr:uid="{00000000-0005-0000-0000-00007C440000}"/>
    <cellStyle name="표준 5 2 3 2 2 2 2 4 3" xfId="7848" xr:uid="{00000000-0005-0000-0000-00007D440000}"/>
    <cellStyle name="표준 5 2 3 2 2 2 2 4 3 2" xfId="28554" xr:uid="{00000000-0005-0000-0000-00007E440000}"/>
    <cellStyle name="표준 5 2 3 2 2 2 2 4 3 3" xfId="36765" xr:uid="{00000000-0005-0000-0000-00007F440000}"/>
    <cellStyle name="표준 5 2 3 2 2 2 2 4 3 4" xfId="44958" xr:uid="{00000000-0005-0000-0000-000080440000}"/>
    <cellStyle name="표준 5 2 3 2 2 2 2 4 4" xfId="11960" xr:uid="{00000000-0005-0000-0000-000081440000}"/>
    <cellStyle name="표준 5 2 3 2 2 2 2 4 5" xfId="16200" xr:uid="{00000000-0005-0000-0000-000082440000}"/>
    <cellStyle name="표준 5 2 3 2 2 2 2 4 6" xfId="20362" xr:uid="{00000000-0005-0000-0000-000083440000}"/>
    <cellStyle name="표준 5 2 3 2 2 2 2 4 7" xfId="24458" xr:uid="{00000000-0005-0000-0000-000084440000}"/>
    <cellStyle name="표준 5 2 3 2 2 2 2 4 8" xfId="32669" xr:uid="{00000000-0005-0000-0000-000085440000}"/>
    <cellStyle name="표준 5 2 3 2 2 2 2 4 9" xfId="40862" xr:uid="{00000000-0005-0000-0000-000086440000}"/>
    <cellStyle name="표준 5 2 3 2 2 2 2 5" xfId="1505" xr:uid="{00000000-0005-0000-0000-000087440000}"/>
    <cellStyle name="표준 5 2 3 2 2 2 2 5 2" xfId="10408" xr:uid="{00000000-0005-0000-0000-000088440000}"/>
    <cellStyle name="표준 5 2 3 2 2 2 2 5 2 2" xfId="14520" xr:uid="{00000000-0005-0000-0000-000089440000}"/>
    <cellStyle name="표준 5 2 3 2 2 2 2 5 2 2 2" xfId="31114" xr:uid="{00000000-0005-0000-0000-00008A440000}"/>
    <cellStyle name="표준 5 2 3 2 2 2 2 5 2 2 3" xfId="39325" xr:uid="{00000000-0005-0000-0000-00008B440000}"/>
    <cellStyle name="표준 5 2 3 2 2 2 2 5 2 2 4" xfId="47518" xr:uid="{00000000-0005-0000-0000-00008C440000}"/>
    <cellStyle name="표준 5 2 3 2 2 2 2 5 2 3" xfId="18760" xr:uid="{00000000-0005-0000-0000-00008D440000}"/>
    <cellStyle name="표준 5 2 3 2 2 2 2 5 2 4" xfId="22922" xr:uid="{00000000-0005-0000-0000-00008E440000}"/>
    <cellStyle name="표준 5 2 3 2 2 2 2 5 2 5" xfId="27018" xr:uid="{00000000-0005-0000-0000-00008F440000}"/>
    <cellStyle name="표준 5 2 3 2 2 2 2 5 2 6" xfId="35229" xr:uid="{00000000-0005-0000-0000-000090440000}"/>
    <cellStyle name="표준 5 2 3 2 2 2 2 5 2 7" xfId="43422" xr:uid="{00000000-0005-0000-0000-000091440000}"/>
    <cellStyle name="표준 5 2 3 2 2 2 2 5 3" xfId="8360" xr:uid="{00000000-0005-0000-0000-000092440000}"/>
    <cellStyle name="표준 5 2 3 2 2 2 2 5 3 2" xfId="29066" xr:uid="{00000000-0005-0000-0000-000093440000}"/>
    <cellStyle name="표준 5 2 3 2 2 2 2 5 3 3" xfId="37277" xr:uid="{00000000-0005-0000-0000-000094440000}"/>
    <cellStyle name="표준 5 2 3 2 2 2 2 5 3 4" xfId="45470" xr:uid="{00000000-0005-0000-0000-000095440000}"/>
    <cellStyle name="표준 5 2 3 2 2 2 2 5 4" xfId="12472" xr:uid="{00000000-0005-0000-0000-000096440000}"/>
    <cellStyle name="표준 5 2 3 2 2 2 2 5 5" xfId="16712" xr:uid="{00000000-0005-0000-0000-000097440000}"/>
    <cellStyle name="표준 5 2 3 2 2 2 2 5 6" xfId="20874" xr:uid="{00000000-0005-0000-0000-000098440000}"/>
    <cellStyle name="표준 5 2 3 2 2 2 2 5 7" xfId="24970" xr:uid="{00000000-0005-0000-0000-000099440000}"/>
    <cellStyle name="표준 5 2 3 2 2 2 2 5 8" xfId="33181" xr:uid="{00000000-0005-0000-0000-00009A440000}"/>
    <cellStyle name="표준 5 2 3 2 2 2 2 5 9" xfId="41374" xr:uid="{00000000-0005-0000-0000-00009B440000}"/>
    <cellStyle name="표준 5 2 3 2 2 2 2 6" xfId="2017" xr:uid="{00000000-0005-0000-0000-00009C440000}"/>
    <cellStyle name="표준 5 2 3 2 2 2 2 6 2" xfId="10920" xr:uid="{00000000-0005-0000-0000-00009D440000}"/>
    <cellStyle name="표준 5 2 3 2 2 2 2 6 2 2" xfId="15032" xr:uid="{00000000-0005-0000-0000-00009E440000}"/>
    <cellStyle name="표준 5 2 3 2 2 2 2 6 2 2 2" xfId="31626" xr:uid="{00000000-0005-0000-0000-00009F440000}"/>
    <cellStyle name="표준 5 2 3 2 2 2 2 6 2 2 3" xfId="39837" xr:uid="{00000000-0005-0000-0000-0000A0440000}"/>
    <cellStyle name="표준 5 2 3 2 2 2 2 6 2 2 4" xfId="48030" xr:uid="{00000000-0005-0000-0000-0000A1440000}"/>
    <cellStyle name="표준 5 2 3 2 2 2 2 6 2 3" xfId="19272" xr:uid="{00000000-0005-0000-0000-0000A2440000}"/>
    <cellStyle name="표준 5 2 3 2 2 2 2 6 2 4" xfId="23434" xr:uid="{00000000-0005-0000-0000-0000A3440000}"/>
    <cellStyle name="표준 5 2 3 2 2 2 2 6 2 5" xfId="27530" xr:uid="{00000000-0005-0000-0000-0000A4440000}"/>
    <cellStyle name="표준 5 2 3 2 2 2 2 6 2 6" xfId="35741" xr:uid="{00000000-0005-0000-0000-0000A5440000}"/>
    <cellStyle name="표준 5 2 3 2 2 2 2 6 2 7" xfId="43934" xr:uid="{00000000-0005-0000-0000-0000A6440000}"/>
    <cellStyle name="표준 5 2 3 2 2 2 2 6 3" xfId="8872" xr:uid="{00000000-0005-0000-0000-0000A7440000}"/>
    <cellStyle name="표준 5 2 3 2 2 2 2 6 3 2" xfId="29578" xr:uid="{00000000-0005-0000-0000-0000A8440000}"/>
    <cellStyle name="표준 5 2 3 2 2 2 2 6 3 3" xfId="37789" xr:uid="{00000000-0005-0000-0000-0000A9440000}"/>
    <cellStyle name="표준 5 2 3 2 2 2 2 6 3 4" xfId="45982" xr:uid="{00000000-0005-0000-0000-0000AA440000}"/>
    <cellStyle name="표준 5 2 3 2 2 2 2 6 4" xfId="12984" xr:uid="{00000000-0005-0000-0000-0000AB440000}"/>
    <cellStyle name="표준 5 2 3 2 2 2 2 6 5" xfId="17224" xr:uid="{00000000-0005-0000-0000-0000AC440000}"/>
    <cellStyle name="표준 5 2 3 2 2 2 2 6 6" xfId="21386" xr:uid="{00000000-0005-0000-0000-0000AD440000}"/>
    <cellStyle name="표준 5 2 3 2 2 2 2 6 7" xfId="25482" xr:uid="{00000000-0005-0000-0000-0000AE440000}"/>
    <cellStyle name="표준 5 2 3 2 2 2 2 6 8" xfId="33693" xr:uid="{00000000-0005-0000-0000-0000AF440000}"/>
    <cellStyle name="표준 5 2 3 2 2 2 2 6 9" xfId="41886" xr:uid="{00000000-0005-0000-0000-0000B0440000}"/>
    <cellStyle name="표준 5 2 3 2 2 2 2 7" xfId="9384" xr:uid="{00000000-0005-0000-0000-0000B1440000}"/>
    <cellStyle name="표준 5 2 3 2 2 2 2 7 2" xfId="13496" xr:uid="{00000000-0005-0000-0000-0000B2440000}"/>
    <cellStyle name="표준 5 2 3 2 2 2 2 7 2 2" xfId="30090" xr:uid="{00000000-0005-0000-0000-0000B3440000}"/>
    <cellStyle name="표준 5 2 3 2 2 2 2 7 2 3" xfId="38301" xr:uid="{00000000-0005-0000-0000-0000B4440000}"/>
    <cellStyle name="표준 5 2 3 2 2 2 2 7 2 4" xfId="46494" xr:uid="{00000000-0005-0000-0000-0000B5440000}"/>
    <cellStyle name="표준 5 2 3 2 2 2 2 7 3" xfId="17736" xr:uid="{00000000-0005-0000-0000-0000B6440000}"/>
    <cellStyle name="표준 5 2 3 2 2 2 2 7 4" xfId="21898" xr:uid="{00000000-0005-0000-0000-0000B7440000}"/>
    <cellStyle name="표준 5 2 3 2 2 2 2 7 5" xfId="25994" xr:uid="{00000000-0005-0000-0000-0000B8440000}"/>
    <cellStyle name="표준 5 2 3 2 2 2 2 7 6" xfId="34205" xr:uid="{00000000-0005-0000-0000-0000B9440000}"/>
    <cellStyle name="표준 5 2 3 2 2 2 2 7 7" xfId="42398" xr:uid="{00000000-0005-0000-0000-0000BA440000}"/>
    <cellStyle name="표준 5 2 3 2 2 2 2 8" xfId="7336" xr:uid="{00000000-0005-0000-0000-0000BB440000}"/>
    <cellStyle name="표준 5 2 3 2 2 2 2 8 2" xfId="28042" xr:uid="{00000000-0005-0000-0000-0000BC440000}"/>
    <cellStyle name="표준 5 2 3 2 2 2 2 8 3" xfId="36253" xr:uid="{00000000-0005-0000-0000-0000BD440000}"/>
    <cellStyle name="표준 5 2 3 2 2 2 2 8 4" xfId="44446" xr:uid="{00000000-0005-0000-0000-0000BE440000}"/>
    <cellStyle name="표준 5 2 3 2 2 2 2 9" xfId="11448" xr:uid="{00000000-0005-0000-0000-0000BF440000}"/>
    <cellStyle name="표준 5 2 3 2 2 2 3" xfId="545" xr:uid="{00000000-0005-0000-0000-0000C0440000}"/>
    <cellStyle name="표준 5 2 3 2 2 2 3 10" xfId="19914" xr:uid="{00000000-0005-0000-0000-0000C1440000}"/>
    <cellStyle name="표준 5 2 3 2 2 2 3 11" xfId="24010" xr:uid="{00000000-0005-0000-0000-0000C2440000}"/>
    <cellStyle name="표준 5 2 3 2 2 2 3 12" xfId="32221" xr:uid="{00000000-0005-0000-0000-0000C3440000}"/>
    <cellStyle name="표준 5 2 3 2 2 2 3 13" xfId="40414" xr:uid="{00000000-0005-0000-0000-0000C4440000}"/>
    <cellStyle name="표준 5 2 3 2 2 2 3 2" xfId="801" xr:uid="{00000000-0005-0000-0000-0000C5440000}"/>
    <cellStyle name="표준 5 2 3 2 2 2 3 2 10" xfId="24266" xr:uid="{00000000-0005-0000-0000-0000C6440000}"/>
    <cellStyle name="표준 5 2 3 2 2 2 3 2 11" xfId="32477" xr:uid="{00000000-0005-0000-0000-0000C7440000}"/>
    <cellStyle name="표준 5 2 3 2 2 2 3 2 12" xfId="40670" xr:uid="{00000000-0005-0000-0000-0000C8440000}"/>
    <cellStyle name="표준 5 2 3 2 2 2 3 2 2" xfId="1313" xr:uid="{00000000-0005-0000-0000-0000C9440000}"/>
    <cellStyle name="표준 5 2 3 2 2 2 3 2 2 2" xfId="10216" xr:uid="{00000000-0005-0000-0000-0000CA440000}"/>
    <cellStyle name="표준 5 2 3 2 2 2 3 2 2 2 2" xfId="14328" xr:uid="{00000000-0005-0000-0000-0000CB440000}"/>
    <cellStyle name="표준 5 2 3 2 2 2 3 2 2 2 2 2" xfId="30922" xr:uid="{00000000-0005-0000-0000-0000CC440000}"/>
    <cellStyle name="표준 5 2 3 2 2 2 3 2 2 2 2 3" xfId="39133" xr:uid="{00000000-0005-0000-0000-0000CD440000}"/>
    <cellStyle name="표준 5 2 3 2 2 2 3 2 2 2 2 4" xfId="47326" xr:uid="{00000000-0005-0000-0000-0000CE440000}"/>
    <cellStyle name="표준 5 2 3 2 2 2 3 2 2 2 3" xfId="18568" xr:uid="{00000000-0005-0000-0000-0000CF440000}"/>
    <cellStyle name="표준 5 2 3 2 2 2 3 2 2 2 4" xfId="22730" xr:uid="{00000000-0005-0000-0000-0000D0440000}"/>
    <cellStyle name="표준 5 2 3 2 2 2 3 2 2 2 5" xfId="26826" xr:uid="{00000000-0005-0000-0000-0000D1440000}"/>
    <cellStyle name="표준 5 2 3 2 2 2 3 2 2 2 6" xfId="35037" xr:uid="{00000000-0005-0000-0000-0000D2440000}"/>
    <cellStyle name="표준 5 2 3 2 2 2 3 2 2 2 7" xfId="43230" xr:uid="{00000000-0005-0000-0000-0000D3440000}"/>
    <cellStyle name="표준 5 2 3 2 2 2 3 2 2 3" xfId="8168" xr:uid="{00000000-0005-0000-0000-0000D4440000}"/>
    <cellStyle name="표준 5 2 3 2 2 2 3 2 2 3 2" xfId="28874" xr:uid="{00000000-0005-0000-0000-0000D5440000}"/>
    <cellStyle name="표준 5 2 3 2 2 2 3 2 2 3 3" xfId="37085" xr:uid="{00000000-0005-0000-0000-0000D6440000}"/>
    <cellStyle name="표준 5 2 3 2 2 2 3 2 2 3 4" xfId="45278" xr:uid="{00000000-0005-0000-0000-0000D7440000}"/>
    <cellStyle name="표준 5 2 3 2 2 2 3 2 2 4" xfId="12280" xr:uid="{00000000-0005-0000-0000-0000D8440000}"/>
    <cellStyle name="표준 5 2 3 2 2 2 3 2 2 5" xfId="16520" xr:uid="{00000000-0005-0000-0000-0000D9440000}"/>
    <cellStyle name="표준 5 2 3 2 2 2 3 2 2 6" xfId="20682" xr:uid="{00000000-0005-0000-0000-0000DA440000}"/>
    <cellStyle name="표준 5 2 3 2 2 2 3 2 2 7" xfId="24778" xr:uid="{00000000-0005-0000-0000-0000DB440000}"/>
    <cellStyle name="표준 5 2 3 2 2 2 3 2 2 8" xfId="32989" xr:uid="{00000000-0005-0000-0000-0000DC440000}"/>
    <cellStyle name="표준 5 2 3 2 2 2 3 2 2 9" xfId="41182" xr:uid="{00000000-0005-0000-0000-0000DD440000}"/>
    <cellStyle name="표준 5 2 3 2 2 2 3 2 3" xfId="1825" xr:uid="{00000000-0005-0000-0000-0000DE440000}"/>
    <cellStyle name="표준 5 2 3 2 2 2 3 2 3 2" xfId="10728" xr:uid="{00000000-0005-0000-0000-0000DF440000}"/>
    <cellStyle name="표준 5 2 3 2 2 2 3 2 3 2 2" xfId="14840" xr:uid="{00000000-0005-0000-0000-0000E0440000}"/>
    <cellStyle name="표준 5 2 3 2 2 2 3 2 3 2 2 2" xfId="31434" xr:uid="{00000000-0005-0000-0000-0000E1440000}"/>
    <cellStyle name="표준 5 2 3 2 2 2 3 2 3 2 2 3" xfId="39645" xr:uid="{00000000-0005-0000-0000-0000E2440000}"/>
    <cellStyle name="표준 5 2 3 2 2 2 3 2 3 2 2 4" xfId="47838" xr:uid="{00000000-0005-0000-0000-0000E3440000}"/>
    <cellStyle name="표준 5 2 3 2 2 2 3 2 3 2 3" xfId="19080" xr:uid="{00000000-0005-0000-0000-0000E4440000}"/>
    <cellStyle name="표준 5 2 3 2 2 2 3 2 3 2 4" xfId="23242" xr:uid="{00000000-0005-0000-0000-0000E5440000}"/>
    <cellStyle name="표준 5 2 3 2 2 2 3 2 3 2 5" xfId="27338" xr:uid="{00000000-0005-0000-0000-0000E6440000}"/>
    <cellStyle name="표준 5 2 3 2 2 2 3 2 3 2 6" xfId="35549" xr:uid="{00000000-0005-0000-0000-0000E7440000}"/>
    <cellStyle name="표준 5 2 3 2 2 2 3 2 3 2 7" xfId="43742" xr:uid="{00000000-0005-0000-0000-0000E8440000}"/>
    <cellStyle name="표준 5 2 3 2 2 2 3 2 3 3" xfId="8680" xr:uid="{00000000-0005-0000-0000-0000E9440000}"/>
    <cellStyle name="표준 5 2 3 2 2 2 3 2 3 3 2" xfId="29386" xr:uid="{00000000-0005-0000-0000-0000EA440000}"/>
    <cellStyle name="표준 5 2 3 2 2 2 3 2 3 3 3" xfId="37597" xr:uid="{00000000-0005-0000-0000-0000EB440000}"/>
    <cellStyle name="표준 5 2 3 2 2 2 3 2 3 3 4" xfId="45790" xr:uid="{00000000-0005-0000-0000-0000EC440000}"/>
    <cellStyle name="표준 5 2 3 2 2 2 3 2 3 4" xfId="12792" xr:uid="{00000000-0005-0000-0000-0000ED440000}"/>
    <cellStyle name="표준 5 2 3 2 2 2 3 2 3 5" xfId="17032" xr:uid="{00000000-0005-0000-0000-0000EE440000}"/>
    <cellStyle name="표준 5 2 3 2 2 2 3 2 3 6" xfId="21194" xr:uid="{00000000-0005-0000-0000-0000EF440000}"/>
    <cellStyle name="표준 5 2 3 2 2 2 3 2 3 7" xfId="25290" xr:uid="{00000000-0005-0000-0000-0000F0440000}"/>
    <cellStyle name="표준 5 2 3 2 2 2 3 2 3 8" xfId="33501" xr:uid="{00000000-0005-0000-0000-0000F1440000}"/>
    <cellStyle name="표준 5 2 3 2 2 2 3 2 3 9" xfId="41694" xr:uid="{00000000-0005-0000-0000-0000F2440000}"/>
    <cellStyle name="표준 5 2 3 2 2 2 3 2 4" xfId="2337" xr:uid="{00000000-0005-0000-0000-0000F3440000}"/>
    <cellStyle name="표준 5 2 3 2 2 2 3 2 4 2" xfId="11240" xr:uid="{00000000-0005-0000-0000-0000F4440000}"/>
    <cellStyle name="표준 5 2 3 2 2 2 3 2 4 2 2" xfId="15352" xr:uid="{00000000-0005-0000-0000-0000F5440000}"/>
    <cellStyle name="표준 5 2 3 2 2 2 3 2 4 2 2 2" xfId="31946" xr:uid="{00000000-0005-0000-0000-0000F6440000}"/>
    <cellStyle name="표준 5 2 3 2 2 2 3 2 4 2 2 3" xfId="40157" xr:uid="{00000000-0005-0000-0000-0000F7440000}"/>
    <cellStyle name="표준 5 2 3 2 2 2 3 2 4 2 2 4" xfId="48350" xr:uid="{00000000-0005-0000-0000-0000F8440000}"/>
    <cellStyle name="표준 5 2 3 2 2 2 3 2 4 2 3" xfId="19592" xr:uid="{00000000-0005-0000-0000-0000F9440000}"/>
    <cellStyle name="표준 5 2 3 2 2 2 3 2 4 2 4" xfId="23754" xr:uid="{00000000-0005-0000-0000-0000FA440000}"/>
    <cellStyle name="표준 5 2 3 2 2 2 3 2 4 2 5" xfId="27850" xr:uid="{00000000-0005-0000-0000-0000FB440000}"/>
    <cellStyle name="표준 5 2 3 2 2 2 3 2 4 2 6" xfId="36061" xr:uid="{00000000-0005-0000-0000-0000FC440000}"/>
    <cellStyle name="표준 5 2 3 2 2 2 3 2 4 2 7" xfId="44254" xr:uid="{00000000-0005-0000-0000-0000FD440000}"/>
    <cellStyle name="표준 5 2 3 2 2 2 3 2 4 3" xfId="9192" xr:uid="{00000000-0005-0000-0000-0000FE440000}"/>
    <cellStyle name="표준 5 2 3 2 2 2 3 2 4 3 2" xfId="29898" xr:uid="{00000000-0005-0000-0000-0000FF440000}"/>
    <cellStyle name="표준 5 2 3 2 2 2 3 2 4 3 3" xfId="38109" xr:uid="{00000000-0005-0000-0000-000000450000}"/>
    <cellStyle name="표준 5 2 3 2 2 2 3 2 4 3 4" xfId="46302" xr:uid="{00000000-0005-0000-0000-000001450000}"/>
    <cellStyle name="표준 5 2 3 2 2 2 3 2 4 4" xfId="13304" xr:uid="{00000000-0005-0000-0000-000002450000}"/>
    <cellStyle name="표준 5 2 3 2 2 2 3 2 4 5" xfId="17544" xr:uid="{00000000-0005-0000-0000-000003450000}"/>
    <cellStyle name="표준 5 2 3 2 2 2 3 2 4 6" xfId="21706" xr:uid="{00000000-0005-0000-0000-000004450000}"/>
    <cellStyle name="표준 5 2 3 2 2 2 3 2 4 7" xfId="25802" xr:uid="{00000000-0005-0000-0000-000005450000}"/>
    <cellStyle name="표준 5 2 3 2 2 2 3 2 4 8" xfId="34013" xr:uid="{00000000-0005-0000-0000-000006450000}"/>
    <cellStyle name="표준 5 2 3 2 2 2 3 2 4 9" xfId="42206" xr:uid="{00000000-0005-0000-0000-000007450000}"/>
    <cellStyle name="표준 5 2 3 2 2 2 3 2 5" xfId="9704" xr:uid="{00000000-0005-0000-0000-000008450000}"/>
    <cellStyle name="표준 5 2 3 2 2 2 3 2 5 2" xfId="13816" xr:uid="{00000000-0005-0000-0000-000009450000}"/>
    <cellStyle name="표준 5 2 3 2 2 2 3 2 5 2 2" xfId="30410" xr:uid="{00000000-0005-0000-0000-00000A450000}"/>
    <cellStyle name="표준 5 2 3 2 2 2 3 2 5 2 3" xfId="38621" xr:uid="{00000000-0005-0000-0000-00000B450000}"/>
    <cellStyle name="표준 5 2 3 2 2 2 3 2 5 2 4" xfId="46814" xr:uid="{00000000-0005-0000-0000-00000C450000}"/>
    <cellStyle name="표준 5 2 3 2 2 2 3 2 5 3" xfId="18056" xr:uid="{00000000-0005-0000-0000-00000D450000}"/>
    <cellStyle name="표준 5 2 3 2 2 2 3 2 5 4" xfId="22218" xr:uid="{00000000-0005-0000-0000-00000E450000}"/>
    <cellStyle name="표준 5 2 3 2 2 2 3 2 5 5" xfId="26314" xr:uid="{00000000-0005-0000-0000-00000F450000}"/>
    <cellStyle name="표준 5 2 3 2 2 2 3 2 5 6" xfId="34525" xr:uid="{00000000-0005-0000-0000-000010450000}"/>
    <cellStyle name="표준 5 2 3 2 2 2 3 2 5 7" xfId="42718" xr:uid="{00000000-0005-0000-0000-000011450000}"/>
    <cellStyle name="표준 5 2 3 2 2 2 3 2 6" xfId="7656" xr:uid="{00000000-0005-0000-0000-000012450000}"/>
    <cellStyle name="표준 5 2 3 2 2 2 3 2 6 2" xfId="28362" xr:uid="{00000000-0005-0000-0000-000013450000}"/>
    <cellStyle name="표준 5 2 3 2 2 2 3 2 6 3" xfId="36573" xr:uid="{00000000-0005-0000-0000-000014450000}"/>
    <cellStyle name="표준 5 2 3 2 2 2 3 2 6 4" xfId="44766" xr:uid="{00000000-0005-0000-0000-000015450000}"/>
    <cellStyle name="표준 5 2 3 2 2 2 3 2 7" xfId="11768" xr:uid="{00000000-0005-0000-0000-000016450000}"/>
    <cellStyle name="표준 5 2 3 2 2 2 3 2 8" xfId="16008" xr:uid="{00000000-0005-0000-0000-000017450000}"/>
    <cellStyle name="표준 5 2 3 2 2 2 3 2 9" xfId="20170" xr:uid="{00000000-0005-0000-0000-000018450000}"/>
    <cellStyle name="표준 5 2 3 2 2 2 3 3" xfId="1057" xr:uid="{00000000-0005-0000-0000-000019450000}"/>
    <cellStyle name="표준 5 2 3 2 2 2 3 3 2" xfId="9960" xr:uid="{00000000-0005-0000-0000-00001A450000}"/>
    <cellStyle name="표준 5 2 3 2 2 2 3 3 2 2" xfId="14072" xr:uid="{00000000-0005-0000-0000-00001B450000}"/>
    <cellStyle name="표준 5 2 3 2 2 2 3 3 2 2 2" xfId="30666" xr:uid="{00000000-0005-0000-0000-00001C450000}"/>
    <cellStyle name="표준 5 2 3 2 2 2 3 3 2 2 3" xfId="38877" xr:uid="{00000000-0005-0000-0000-00001D450000}"/>
    <cellStyle name="표준 5 2 3 2 2 2 3 3 2 2 4" xfId="47070" xr:uid="{00000000-0005-0000-0000-00001E450000}"/>
    <cellStyle name="표준 5 2 3 2 2 2 3 3 2 3" xfId="18312" xr:uid="{00000000-0005-0000-0000-00001F450000}"/>
    <cellStyle name="표준 5 2 3 2 2 2 3 3 2 4" xfId="22474" xr:uid="{00000000-0005-0000-0000-000020450000}"/>
    <cellStyle name="표준 5 2 3 2 2 2 3 3 2 5" xfId="26570" xr:uid="{00000000-0005-0000-0000-000021450000}"/>
    <cellStyle name="표준 5 2 3 2 2 2 3 3 2 6" xfId="34781" xr:uid="{00000000-0005-0000-0000-000022450000}"/>
    <cellStyle name="표준 5 2 3 2 2 2 3 3 2 7" xfId="42974" xr:uid="{00000000-0005-0000-0000-000023450000}"/>
    <cellStyle name="표준 5 2 3 2 2 2 3 3 3" xfId="7912" xr:uid="{00000000-0005-0000-0000-000024450000}"/>
    <cellStyle name="표준 5 2 3 2 2 2 3 3 3 2" xfId="28618" xr:uid="{00000000-0005-0000-0000-000025450000}"/>
    <cellStyle name="표준 5 2 3 2 2 2 3 3 3 3" xfId="36829" xr:uid="{00000000-0005-0000-0000-000026450000}"/>
    <cellStyle name="표준 5 2 3 2 2 2 3 3 3 4" xfId="45022" xr:uid="{00000000-0005-0000-0000-000027450000}"/>
    <cellStyle name="표준 5 2 3 2 2 2 3 3 4" xfId="12024" xr:uid="{00000000-0005-0000-0000-000028450000}"/>
    <cellStyle name="표준 5 2 3 2 2 2 3 3 5" xfId="16264" xr:uid="{00000000-0005-0000-0000-000029450000}"/>
    <cellStyle name="표준 5 2 3 2 2 2 3 3 6" xfId="20426" xr:uid="{00000000-0005-0000-0000-00002A450000}"/>
    <cellStyle name="표준 5 2 3 2 2 2 3 3 7" xfId="24522" xr:uid="{00000000-0005-0000-0000-00002B450000}"/>
    <cellStyle name="표준 5 2 3 2 2 2 3 3 8" xfId="32733" xr:uid="{00000000-0005-0000-0000-00002C450000}"/>
    <cellStyle name="표준 5 2 3 2 2 2 3 3 9" xfId="40926" xr:uid="{00000000-0005-0000-0000-00002D450000}"/>
    <cellStyle name="표준 5 2 3 2 2 2 3 4" xfId="1569" xr:uid="{00000000-0005-0000-0000-00002E450000}"/>
    <cellStyle name="표준 5 2 3 2 2 2 3 4 2" xfId="10472" xr:uid="{00000000-0005-0000-0000-00002F450000}"/>
    <cellStyle name="표준 5 2 3 2 2 2 3 4 2 2" xfId="14584" xr:uid="{00000000-0005-0000-0000-000030450000}"/>
    <cellStyle name="표준 5 2 3 2 2 2 3 4 2 2 2" xfId="31178" xr:uid="{00000000-0005-0000-0000-000031450000}"/>
    <cellStyle name="표준 5 2 3 2 2 2 3 4 2 2 3" xfId="39389" xr:uid="{00000000-0005-0000-0000-000032450000}"/>
    <cellStyle name="표준 5 2 3 2 2 2 3 4 2 2 4" xfId="47582" xr:uid="{00000000-0005-0000-0000-000033450000}"/>
    <cellStyle name="표준 5 2 3 2 2 2 3 4 2 3" xfId="18824" xr:uid="{00000000-0005-0000-0000-000034450000}"/>
    <cellStyle name="표준 5 2 3 2 2 2 3 4 2 4" xfId="22986" xr:uid="{00000000-0005-0000-0000-000035450000}"/>
    <cellStyle name="표준 5 2 3 2 2 2 3 4 2 5" xfId="27082" xr:uid="{00000000-0005-0000-0000-000036450000}"/>
    <cellStyle name="표준 5 2 3 2 2 2 3 4 2 6" xfId="35293" xr:uid="{00000000-0005-0000-0000-000037450000}"/>
    <cellStyle name="표준 5 2 3 2 2 2 3 4 2 7" xfId="43486" xr:uid="{00000000-0005-0000-0000-000038450000}"/>
    <cellStyle name="표준 5 2 3 2 2 2 3 4 3" xfId="8424" xr:uid="{00000000-0005-0000-0000-000039450000}"/>
    <cellStyle name="표준 5 2 3 2 2 2 3 4 3 2" xfId="29130" xr:uid="{00000000-0005-0000-0000-00003A450000}"/>
    <cellStyle name="표준 5 2 3 2 2 2 3 4 3 3" xfId="37341" xr:uid="{00000000-0005-0000-0000-00003B450000}"/>
    <cellStyle name="표준 5 2 3 2 2 2 3 4 3 4" xfId="45534" xr:uid="{00000000-0005-0000-0000-00003C450000}"/>
    <cellStyle name="표준 5 2 3 2 2 2 3 4 4" xfId="12536" xr:uid="{00000000-0005-0000-0000-00003D450000}"/>
    <cellStyle name="표준 5 2 3 2 2 2 3 4 5" xfId="16776" xr:uid="{00000000-0005-0000-0000-00003E450000}"/>
    <cellStyle name="표준 5 2 3 2 2 2 3 4 6" xfId="20938" xr:uid="{00000000-0005-0000-0000-00003F450000}"/>
    <cellStyle name="표준 5 2 3 2 2 2 3 4 7" xfId="25034" xr:uid="{00000000-0005-0000-0000-000040450000}"/>
    <cellStyle name="표준 5 2 3 2 2 2 3 4 8" xfId="33245" xr:uid="{00000000-0005-0000-0000-000041450000}"/>
    <cellStyle name="표준 5 2 3 2 2 2 3 4 9" xfId="41438" xr:uid="{00000000-0005-0000-0000-000042450000}"/>
    <cellStyle name="표준 5 2 3 2 2 2 3 5" xfId="2081" xr:uid="{00000000-0005-0000-0000-000043450000}"/>
    <cellStyle name="표준 5 2 3 2 2 2 3 5 2" xfId="10984" xr:uid="{00000000-0005-0000-0000-000044450000}"/>
    <cellStyle name="표준 5 2 3 2 2 2 3 5 2 2" xfId="15096" xr:uid="{00000000-0005-0000-0000-000045450000}"/>
    <cellStyle name="표준 5 2 3 2 2 2 3 5 2 2 2" xfId="31690" xr:uid="{00000000-0005-0000-0000-000046450000}"/>
    <cellStyle name="표준 5 2 3 2 2 2 3 5 2 2 3" xfId="39901" xr:uid="{00000000-0005-0000-0000-000047450000}"/>
    <cellStyle name="표준 5 2 3 2 2 2 3 5 2 2 4" xfId="48094" xr:uid="{00000000-0005-0000-0000-000048450000}"/>
    <cellStyle name="표준 5 2 3 2 2 2 3 5 2 3" xfId="19336" xr:uid="{00000000-0005-0000-0000-000049450000}"/>
    <cellStyle name="표준 5 2 3 2 2 2 3 5 2 4" xfId="23498" xr:uid="{00000000-0005-0000-0000-00004A450000}"/>
    <cellStyle name="표준 5 2 3 2 2 2 3 5 2 5" xfId="27594" xr:uid="{00000000-0005-0000-0000-00004B450000}"/>
    <cellStyle name="표준 5 2 3 2 2 2 3 5 2 6" xfId="35805" xr:uid="{00000000-0005-0000-0000-00004C450000}"/>
    <cellStyle name="표준 5 2 3 2 2 2 3 5 2 7" xfId="43998" xr:uid="{00000000-0005-0000-0000-00004D450000}"/>
    <cellStyle name="표준 5 2 3 2 2 2 3 5 3" xfId="8936" xr:uid="{00000000-0005-0000-0000-00004E450000}"/>
    <cellStyle name="표준 5 2 3 2 2 2 3 5 3 2" xfId="29642" xr:uid="{00000000-0005-0000-0000-00004F450000}"/>
    <cellStyle name="표준 5 2 3 2 2 2 3 5 3 3" xfId="37853" xr:uid="{00000000-0005-0000-0000-000050450000}"/>
    <cellStyle name="표준 5 2 3 2 2 2 3 5 3 4" xfId="46046" xr:uid="{00000000-0005-0000-0000-000051450000}"/>
    <cellStyle name="표준 5 2 3 2 2 2 3 5 4" xfId="13048" xr:uid="{00000000-0005-0000-0000-000052450000}"/>
    <cellStyle name="표준 5 2 3 2 2 2 3 5 5" xfId="17288" xr:uid="{00000000-0005-0000-0000-000053450000}"/>
    <cellStyle name="표준 5 2 3 2 2 2 3 5 6" xfId="21450" xr:uid="{00000000-0005-0000-0000-000054450000}"/>
    <cellStyle name="표준 5 2 3 2 2 2 3 5 7" xfId="25546" xr:uid="{00000000-0005-0000-0000-000055450000}"/>
    <cellStyle name="표준 5 2 3 2 2 2 3 5 8" xfId="33757" xr:uid="{00000000-0005-0000-0000-000056450000}"/>
    <cellStyle name="표준 5 2 3 2 2 2 3 5 9" xfId="41950" xr:uid="{00000000-0005-0000-0000-000057450000}"/>
    <cellStyle name="표준 5 2 3 2 2 2 3 6" xfId="9448" xr:uid="{00000000-0005-0000-0000-000058450000}"/>
    <cellStyle name="표준 5 2 3 2 2 2 3 6 2" xfId="13560" xr:uid="{00000000-0005-0000-0000-000059450000}"/>
    <cellStyle name="표준 5 2 3 2 2 2 3 6 2 2" xfId="30154" xr:uid="{00000000-0005-0000-0000-00005A450000}"/>
    <cellStyle name="표준 5 2 3 2 2 2 3 6 2 3" xfId="38365" xr:uid="{00000000-0005-0000-0000-00005B450000}"/>
    <cellStyle name="표준 5 2 3 2 2 2 3 6 2 4" xfId="46558" xr:uid="{00000000-0005-0000-0000-00005C450000}"/>
    <cellStyle name="표준 5 2 3 2 2 2 3 6 3" xfId="17800" xr:uid="{00000000-0005-0000-0000-00005D450000}"/>
    <cellStyle name="표준 5 2 3 2 2 2 3 6 4" xfId="21962" xr:uid="{00000000-0005-0000-0000-00005E450000}"/>
    <cellStyle name="표준 5 2 3 2 2 2 3 6 5" xfId="26058" xr:uid="{00000000-0005-0000-0000-00005F450000}"/>
    <cellStyle name="표준 5 2 3 2 2 2 3 6 6" xfId="34269" xr:uid="{00000000-0005-0000-0000-000060450000}"/>
    <cellStyle name="표준 5 2 3 2 2 2 3 6 7" xfId="42462" xr:uid="{00000000-0005-0000-0000-000061450000}"/>
    <cellStyle name="표준 5 2 3 2 2 2 3 7" xfId="7400" xr:uid="{00000000-0005-0000-0000-000062450000}"/>
    <cellStyle name="표준 5 2 3 2 2 2 3 7 2" xfId="28106" xr:uid="{00000000-0005-0000-0000-000063450000}"/>
    <cellStyle name="표준 5 2 3 2 2 2 3 7 3" xfId="36317" xr:uid="{00000000-0005-0000-0000-000064450000}"/>
    <cellStyle name="표준 5 2 3 2 2 2 3 7 4" xfId="44510" xr:uid="{00000000-0005-0000-0000-000065450000}"/>
    <cellStyle name="표준 5 2 3 2 2 2 3 8" xfId="11512" xr:uid="{00000000-0005-0000-0000-000066450000}"/>
    <cellStyle name="표준 5 2 3 2 2 2 3 9" xfId="15752" xr:uid="{00000000-0005-0000-0000-000067450000}"/>
    <cellStyle name="표준 5 2 3 2 2 2 4" xfId="673" xr:uid="{00000000-0005-0000-0000-000068450000}"/>
    <cellStyle name="표준 5 2 3 2 2 2 4 10" xfId="24138" xr:uid="{00000000-0005-0000-0000-000069450000}"/>
    <cellStyle name="표준 5 2 3 2 2 2 4 11" xfId="32349" xr:uid="{00000000-0005-0000-0000-00006A450000}"/>
    <cellStyle name="표준 5 2 3 2 2 2 4 12" xfId="40542" xr:uid="{00000000-0005-0000-0000-00006B450000}"/>
    <cellStyle name="표준 5 2 3 2 2 2 4 2" xfId="1185" xr:uid="{00000000-0005-0000-0000-00006C450000}"/>
    <cellStyle name="표준 5 2 3 2 2 2 4 2 2" xfId="10088" xr:uid="{00000000-0005-0000-0000-00006D450000}"/>
    <cellStyle name="표준 5 2 3 2 2 2 4 2 2 2" xfId="14200" xr:uid="{00000000-0005-0000-0000-00006E450000}"/>
    <cellStyle name="표준 5 2 3 2 2 2 4 2 2 2 2" xfId="30794" xr:uid="{00000000-0005-0000-0000-00006F450000}"/>
    <cellStyle name="표준 5 2 3 2 2 2 4 2 2 2 3" xfId="39005" xr:uid="{00000000-0005-0000-0000-000070450000}"/>
    <cellStyle name="표준 5 2 3 2 2 2 4 2 2 2 4" xfId="47198" xr:uid="{00000000-0005-0000-0000-000071450000}"/>
    <cellStyle name="표준 5 2 3 2 2 2 4 2 2 3" xfId="18440" xr:uid="{00000000-0005-0000-0000-000072450000}"/>
    <cellStyle name="표준 5 2 3 2 2 2 4 2 2 4" xfId="22602" xr:uid="{00000000-0005-0000-0000-000073450000}"/>
    <cellStyle name="표준 5 2 3 2 2 2 4 2 2 5" xfId="26698" xr:uid="{00000000-0005-0000-0000-000074450000}"/>
    <cellStyle name="표준 5 2 3 2 2 2 4 2 2 6" xfId="34909" xr:uid="{00000000-0005-0000-0000-000075450000}"/>
    <cellStyle name="표준 5 2 3 2 2 2 4 2 2 7" xfId="43102" xr:uid="{00000000-0005-0000-0000-000076450000}"/>
    <cellStyle name="표준 5 2 3 2 2 2 4 2 3" xfId="8040" xr:uid="{00000000-0005-0000-0000-000077450000}"/>
    <cellStyle name="표준 5 2 3 2 2 2 4 2 3 2" xfId="28746" xr:uid="{00000000-0005-0000-0000-000078450000}"/>
    <cellStyle name="표준 5 2 3 2 2 2 4 2 3 3" xfId="36957" xr:uid="{00000000-0005-0000-0000-000079450000}"/>
    <cellStyle name="표준 5 2 3 2 2 2 4 2 3 4" xfId="45150" xr:uid="{00000000-0005-0000-0000-00007A450000}"/>
    <cellStyle name="표준 5 2 3 2 2 2 4 2 4" xfId="12152" xr:uid="{00000000-0005-0000-0000-00007B450000}"/>
    <cellStyle name="표준 5 2 3 2 2 2 4 2 5" xfId="16392" xr:uid="{00000000-0005-0000-0000-00007C450000}"/>
    <cellStyle name="표준 5 2 3 2 2 2 4 2 6" xfId="20554" xr:uid="{00000000-0005-0000-0000-00007D450000}"/>
    <cellStyle name="표준 5 2 3 2 2 2 4 2 7" xfId="24650" xr:uid="{00000000-0005-0000-0000-00007E450000}"/>
    <cellStyle name="표준 5 2 3 2 2 2 4 2 8" xfId="32861" xr:uid="{00000000-0005-0000-0000-00007F450000}"/>
    <cellStyle name="표준 5 2 3 2 2 2 4 2 9" xfId="41054" xr:uid="{00000000-0005-0000-0000-000080450000}"/>
    <cellStyle name="표준 5 2 3 2 2 2 4 3" xfId="1697" xr:uid="{00000000-0005-0000-0000-000081450000}"/>
    <cellStyle name="표준 5 2 3 2 2 2 4 3 2" xfId="10600" xr:uid="{00000000-0005-0000-0000-000082450000}"/>
    <cellStyle name="표준 5 2 3 2 2 2 4 3 2 2" xfId="14712" xr:uid="{00000000-0005-0000-0000-000083450000}"/>
    <cellStyle name="표준 5 2 3 2 2 2 4 3 2 2 2" xfId="31306" xr:uid="{00000000-0005-0000-0000-000084450000}"/>
    <cellStyle name="표준 5 2 3 2 2 2 4 3 2 2 3" xfId="39517" xr:uid="{00000000-0005-0000-0000-000085450000}"/>
    <cellStyle name="표준 5 2 3 2 2 2 4 3 2 2 4" xfId="47710" xr:uid="{00000000-0005-0000-0000-000086450000}"/>
    <cellStyle name="표준 5 2 3 2 2 2 4 3 2 3" xfId="18952" xr:uid="{00000000-0005-0000-0000-000087450000}"/>
    <cellStyle name="표준 5 2 3 2 2 2 4 3 2 4" xfId="23114" xr:uid="{00000000-0005-0000-0000-000088450000}"/>
    <cellStyle name="표준 5 2 3 2 2 2 4 3 2 5" xfId="27210" xr:uid="{00000000-0005-0000-0000-000089450000}"/>
    <cellStyle name="표준 5 2 3 2 2 2 4 3 2 6" xfId="35421" xr:uid="{00000000-0005-0000-0000-00008A450000}"/>
    <cellStyle name="표준 5 2 3 2 2 2 4 3 2 7" xfId="43614" xr:uid="{00000000-0005-0000-0000-00008B450000}"/>
    <cellStyle name="표준 5 2 3 2 2 2 4 3 3" xfId="8552" xr:uid="{00000000-0005-0000-0000-00008C450000}"/>
    <cellStyle name="표준 5 2 3 2 2 2 4 3 3 2" xfId="29258" xr:uid="{00000000-0005-0000-0000-00008D450000}"/>
    <cellStyle name="표준 5 2 3 2 2 2 4 3 3 3" xfId="37469" xr:uid="{00000000-0005-0000-0000-00008E450000}"/>
    <cellStyle name="표준 5 2 3 2 2 2 4 3 3 4" xfId="45662" xr:uid="{00000000-0005-0000-0000-00008F450000}"/>
    <cellStyle name="표준 5 2 3 2 2 2 4 3 4" xfId="12664" xr:uid="{00000000-0005-0000-0000-000090450000}"/>
    <cellStyle name="표준 5 2 3 2 2 2 4 3 5" xfId="16904" xr:uid="{00000000-0005-0000-0000-000091450000}"/>
    <cellStyle name="표준 5 2 3 2 2 2 4 3 6" xfId="21066" xr:uid="{00000000-0005-0000-0000-000092450000}"/>
    <cellStyle name="표준 5 2 3 2 2 2 4 3 7" xfId="25162" xr:uid="{00000000-0005-0000-0000-000093450000}"/>
    <cellStyle name="표준 5 2 3 2 2 2 4 3 8" xfId="33373" xr:uid="{00000000-0005-0000-0000-000094450000}"/>
    <cellStyle name="표준 5 2 3 2 2 2 4 3 9" xfId="41566" xr:uid="{00000000-0005-0000-0000-000095450000}"/>
    <cellStyle name="표준 5 2 3 2 2 2 4 4" xfId="2209" xr:uid="{00000000-0005-0000-0000-000096450000}"/>
    <cellStyle name="표준 5 2 3 2 2 2 4 4 2" xfId="11112" xr:uid="{00000000-0005-0000-0000-000097450000}"/>
    <cellStyle name="표준 5 2 3 2 2 2 4 4 2 2" xfId="15224" xr:uid="{00000000-0005-0000-0000-000098450000}"/>
    <cellStyle name="표준 5 2 3 2 2 2 4 4 2 2 2" xfId="31818" xr:uid="{00000000-0005-0000-0000-000099450000}"/>
    <cellStyle name="표준 5 2 3 2 2 2 4 4 2 2 3" xfId="40029" xr:uid="{00000000-0005-0000-0000-00009A450000}"/>
    <cellStyle name="표준 5 2 3 2 2 2 4 4 2 2 4" xfId="48222" xr:uid="{00000000-0005-0000-0000-00009B450000}"/>
    <cellStyle name="표준 5 2 3 2 2 2 4 4 2 3" xfId="19464" xr:uid="{00000000-0005-0000-0000-00009C450000}"/>
    <cellStyle name="표준 5 2 3 2 2 2 4 4 2 4" xfId="23626" xr:uid="{00000000-0005-0000-0000-00009D450000}"/>
    <cellStyle name="표준 5 2 3 2 2 2 4 4 2 5" xfId="27722" xr:uid="{00000000-0005-0000-0000-00009E450000}"/>
    <cellStyle name="표준 5 2 3 2 2 2 4 4 2 6" xfId="35933" xr:uid="{00000000-0005-0000-0000-00009F450000}"/>
    <cellStyle name="표준 5 2 3 2 2 2 4 4 2 7" xfId="44126" xr:uid="{00000000-0005-0000-0000-0000A0450000}"/>
    <cellStyle name="표준 5 2 3 2 2 2 4 4 3" xfId="9064" xr:uid="{00000000-0005-0000-0000-0000A1450000}"/>
    <cellStyle name="표준 5 2 3 2 2 2 4 4 3 2" xfId="29770" xr:uid="{00000000-0005-0000-0000-0000A2450000}"/>
    <cellStyle name="표준 5 2 3 2 2 2 4 4 3 3" xfId="37981" xr:uid="{00000000-0005-0000-0000-0000A3450000}"/>
    <cellStyle name="표준 5 2 3 2 2 2 4 4 3 4" xfId="46174" xr:uid="{00000000-0005-0000-0000-0000A4450000}"/>
    <cellStyle name="표준 5 2 3 2 2 2 4 4 4" xfId="13176" xr:uid="{00000000-0005-0000-0000-0000A5450000}"/>
    <cellStyle name="표준 5 2 3 2 2 2 4 4 5" xfId="17416" xr:uid="{00000000-0005-0000-0000-0000A6450000}"/>
    <cellStyle name="표준 5 2 3 2 2 2 4 4 6" xfId="21578" xr:uid="{00000000-0005-0000-0000-0000A7450000}"/>
    <cellStyle name="표준 5 2 3 2 2 2 4 4 7" xfId="25674" xr:uid="{00000000-0005-0000-0000-0000A8450000}"/>
    <cellStyle name="표준 5 2 3 2 2 2 4 4 8" xfId="33885" xr:uid="{00000000-0005-0000-0000-0000A9450000}"/>
    <cellStyle name="표준 5 2 3 2 2 2 4 4 9" xfId="42078" xr:uid="{00000000-0005-0000-0000-0000AA450000}"/>
    <cellStyle name="표준 5 2 3 2 2 2 4 5" xfId="9576" xr:uid="{00000000-0005-0000-0000-0000AB450000}"/>
    <cellStyle name="표준 5 2 3 2 2 2 4 5 2" xfId="13688" xr:uid="{00000000-0005-0000-0000-0000AC450000}"/>
    <cellStyle name="표준 5 2 3 2 2 2 4 5 2 2" xfId="30282" xr:uid="{00000000-0005-0000-0000-0000AD450000}"/>
    <cellStyle name="표준 5 2 3 2 2 2 4 5 2 3" xfId="38493" xr:uid="{00000000-0005-0000-0000-0000AE450000}"/>
    <cellStyle name="표준 5 2 3 2 2 2 4 5 2 4" xfId="46686" xr:uid="{00000000-0005-0000-0000-0000AF450000}"/>
    <cellStyle name="표준 5 2 3 2 2 2 4 5 3" xfId="17928" xr:uid="{00000000-0005-0000-0000-0000B0450000}"/>
    <cellStyle name="표준 5 2 3 2 2 2 4 5 4" xfId="22090" xr:uid="{00000000-0005-0000-0000-0000B1450000}"/>
    <cellStyle name="표준 5 2 3 2 2 2 4 5 5" xfId="26186" xr:uid="{00000000-0005-0000-0000-0000B2450000}"/>
    <cellStyle name="표준 5 2 3 2 2 2 4 5 6" xfId="34397" xr:uid="{00000000-0005-0000-0000-0000B3450000}"/>
    <cellStyle name="표준 5 2 3 2 2 2 4 5 7" xfId="42590" xr:uid="{00000000-0005-0000-0000-0000B4450000}"/>
    <cellStyle name="표준 5 2 3 2 2 2 4 6" xfId="7528" xr:uid="{00000000-0005-0000-0000-0000B5450000}"/>
    <cellStyle name="표준 5 2 3 2 2 2 4 6 2" xfId="28234" xr:uid="{00000000-0005-0000-0000-0000B6450000}"/>
    <cellStyle name="표준 5 2 3 2 2 2 4 6 3" xfId="36445" xr:uid="{00000000-0005-0000-0000-0000B7450000}"/>
    <cellStyle name="표준 5 2 3 2 2 2 4 6 4" xfId="44638" xr:uid="{00000000-0005-0000-0000-0000B8450000}"/>
    <cellStyle name="표준 5 2 3 2 2 2 4 7" xfId="11640" xr:uid="{00000000-0005-0000-0000-0000B9450000}"/>
    <cellStyle name="표준 5 2 3 2 2 2 4 8" xfId="15880" xr:uid="{00000000-0005-0000-0000-0000BA450000}"/>
    <cellStyle name="표준 5 2 3 2 2 2 4 9" xfId="20042" xr:uid="{00000000-0005-0000-0000-0000BB450000}"/>
    <cellStyle name="표준 5 2 3 2 2 2 5" xfId="929" xr:uid="{00000000-0005-0000-0000-0000BC450000}"/>
    <cellStyle name="표준 5 2 3 2 2 2 5 2" xfId="9832" xr:uid="{00000000-0005-0000-0000-0000BD450000}"/>
    <cellStyle name="표준 5 2 3 2 2 2 5 2 2" xfId="13944" xr:uid="{00000000-0005-0000-0000-0000BE450000}"/>
    <cellStyle name="표준 5 2 3 2 2 2 5 2 2 2" xfId="30538" xr:uid="{00000000-0005-0000-0000-0000BF450000}"/>
    <cellStyle name="표준 5 2 3 2 2 2 5 2 2 3" xfId="38749" xr:uid="{00000000-0005-0000-0000-0000C0450000}"/>
    <cellStyle name="표준 5 2 3 2 2 2 5 2 2 4" xfId="46942" xr:uid="{00000000-0005-0000-0000-0000C1450000}"/>
    <cellStyle name="표준 5 2 3 2 2 2 5 2 3" xfId="18184" xr:uid="{00000000-0005-0000-0000-0000C2450000}"/>
    <cellStyle name="표준 5 2 3 2 2 2 5 2 4" xfId="22346" xr:uid="{00000000-0005-0000-0000-0000C3450000}"/>
    <cellStyle name="표준 5 2 3 2 2 2 5 2 5" xfId="26442" xr:uid="{00000000-0005-0000-0000-0000C4450000}"/>
    <cellStyle name="표준 5 2 3 2 2 2 5 2 6" xfId="34653" xr:uid="{00000000-0005-0000-0000-0000C5450000}"/>
    <cellStyle name="표준 5 2 3 2 2 2 5 2 7" xfId="42846" xr:uid="{00000000-0005-0000-0000-0000C6450000}"/>
    <cellStyle name="표준 5 2 3 2 2 2 5 3" xfId="7784" xr:uid="{00000000-0005-0000-0000-0000C7450000}"/>
    <cellStyle name="표준 5 2 3 2 2 2 5 3 2" xfId="28490" xr:uid="{00000000-0005-0000-0000-0000C8450000}"/>
    <cellStyle name="표준 5 2 3 2 2 2 5 3 3" xfId="36701" xr:uid="{00000000-0005-0000-0000-0000C9450000}"/>
    <cellStyle name="표준 5 2 3 2 2 2 5 3 4" xfId="44894" xr:uid="{00000000-0005-0000-0000-0000CA450000}"/>
    <cellStyle name="표준 5 2 3 2 2 2 5 4" xfId="11896" xr:uid="{00000000-0005-0000-0000-0000CB450000}"/>
    <cellStyle name="표준 5 2 3 2 2 2 5 5" xfId="16136" xr:uid="{00000000-0005-0000-0000-0000CC450000}"/>
    <cellStyle name="표준 5 2 3 2 2 2 5 6" xfId="20298" xr:uid="{00000000-0005-0000-0000-0000CD450000}"/>
    <cellStyle name="표준 5 2 3 2 2 2 5 7" xfId="24394" xr:uid="{00000000-0005-0000-0000-0000CE450000}"/>
    <cellStyle name="표준 5 2 3 2 2 2 5 8" xfId="32605" xr:uid="{00000000-0005-0000-0000-0000CF450000}"/>
    <cellStyle name="표준 5 2 3 2 2 2 5 9" xfId="40798" xr:uid="{00000000-0005-0000-0000-0000D0450000}"/>
    <cellStyle name="표준 5 2 3 2 2 2 6" xfId="1441" xr:uid="{00000000-0005-0000-0000-0000D1450000}"/>
    <cellStyle name="표준 5 2 3 2 2 2 6 2" xfId="10344" xr:uid="{00000000-0005-0000-0000-0000D2450000}"/>
    <cellStyle name="표준 5 2 3 2 2 2 6 2 2" xfId="14456" xr:uid="{00000000-0005-0000-0000-0000D3450000}"/>
    <cellStyle name="표준 5 2 3 2 2 2 6 2 2 2" xfId="31050" xr:uid="{00000000-0005-0000-0000-0000D4450000}"/>
    <cellStyle name="표준 5 2 3 2 2 2 6 2 2 3" xfId="39261" xr:uid="{00000000-0005-0000-0000-0000D5450000}"/>
    <cellStyle name="표준 5 2 3 2 2 2 6 2 2 4" xfId="47454" xr:uid="{00000000-0005-0000-0000-0000D6450000}"/>
    <cellStyle name="표준 5 2 3 2 2 2 6 2 3" xfId="18696" xr:uid="{00000000-0005-0000-0000-0000D7450000}"/>
    <cellStyle name="표준 5 2 3 2 2 2 6 2 4" xfId="22858" xr:uid="{00000000-0005-0000-0000-0000D8450000}"/>
    <cellStyle name="표준 5 2 3 2 2 2 6 2 5" xfId="26954" xr:uid="{00000000-0005-0000-0000-0000D9450000}"/>
    <cellStyle name="표준 5 2 3 2 2 2 6 2 6" xfId="35165" xr:uid="{00000000-0005-0000-0000-0000DA450000}"/>
    <cellStyle name="표준 5 2 3 2 2 2 6 2 7" xfId="43358" xr:uid="{00000000-0005-0000-0000-0000DB450000}"/>
    <cellStyle name="표준 5 2 3 2 2 2 6 3" xfId="8296" xr:uid="{00000000-0005-0000-0000-0000DC450000}"/>
    <cellStyle name="표준 5 2 3 2 2 2 6 3 2" xfId="29002" xr:uid="{00000000-0005-0000-0000-0000DD450000}"/>
    <cellStyle name="표준 5 2 3 2 2 2 6 3 3" xfId="37213" xr:uid="{00000000-0005-0000-0000-0000DE450000}"/>
    <cellStyle name="표준 5 2 3 2 2 2 6 3 4" xfId="45406" xr:uid="{00000000-0005-0000-0000-0000DF450000}"/>
    <cellStyle name="표준 5 2 3 2 2 2 6 4" xfId="12408" xr:uid="{00000000-0005-0000-0000-0000E0450000}"/>
    <cellStyle name="표준 5 2 3 2 2 2 6 5" xfId="16648" xr:uid="{00000000-0005-0000-0000-0000E1450000}"/>
    <cellStyle name="표준 5 2 3 2 2 2 6 6" xfId="20810" xr:uid="{00000000-0005-0000-0000-0000E2450000}"/>
    <cellStyle name="표준 5 2 3 2 2 2 6 7" xfId="24906" xr:uid="{00000000-0005-0000-0000-0000E3450000}"/>
    <cellStyle name="표준 5 2 3 2 2 2 6 8" xfId="33117" xr:uid="{00000000-0005-0000-0000-0000E4450000}"/>
    <cellStyle name="표준 5 2 3 2 2 2 6 9" xfId="41310" xr:uid="{00000000-0005-0000-0000-0000E5450000}"/>
    <cellStyle name="표준 5 2 3 2 2 2 7" xfId="1953" xr:uid="{00000000-0005-0000-0000-0000E6450000}"/>
    <cellStyle name="표준 5 2 3 2 2 2 7 2" xfId="10856" xr:uid="{00000000-0005-0000-0000-0000E7450000}"/>
    <cellStyle name="표준 5 2 3 2 2 2 7 2 2" xfId="14968" xr:uid="{00000000-0005-0000-0000-0000E8450000}"/>
    <cellStyle name="표준 5 2 3 2 2 2 7 2 2 2" xfId="31562" xr:uid="{00000000-0005-0000-0000-0000E9450000}"/>
    <cellStyle name="표준 5 2 3 2 2 2 7 2 2 3" xfId="39773" xr:uid="{00000000-0005-0000-0000-0000EA450000}"/>
    <cellStyle name="표준 5 2 3 2 2 2 7 2 2 4" xfId="47966" xr:uid="{00000000-0005-0000-0000-0000EB450000}"/>
    <cellStyle name="표준 5 2 3 2 2 2 7 2 3" xfId="19208" xr:uid="{00000000-0005-0000-0000-0000EC450000}"/>
    <cellStyle name="표준 5 2 3 2 2 2 7 2 4" xfId="23370" xr:uid="{00000000-0005-0000-0000-0000ED450000}"/>
    <cellStyle name="표준 5 2 3 2 2 2 7 2 5" xfId="27466" xr:uid="{00000000-0005-0000-0000-0000EE450000}"/>
    <cellStyle name="표준 5 2 3 2 2 2 7 2 6" xfId="35677" xr:uid="{00000000-0005-0000-0000-0000EF450000}"/>
    <cellStyle name="표준 5 2 3 2 2 2 7 2 7" xfId="43870" xr:uid="{00000000-0005-0000-0000-0000F0450000}"/>
    <cellStyle name="표준 5 2 3 2 2 2 7 3" xfId="8808" xr:uid="{00000000-0005-0000-0000-0000F1450000}"/>
    <cellStyle name="표준 5 2 3 2 2 2 7 3 2" xfId="29514" xr:uid="{00000000-0005-0000-0000-0000F2450000}"/>
    <cellStyle name="표준 5 2 3 2 2 2 7 3 3" xfId="37725" xr:uid="{00000000-0005-0000-0000-0000F3450000}"/>
    <cellStyle name="표준 5 2 3 2 2 2 7 3 4" xfId="45918" xr:uid="{00000000-0005-0000-0000-0000F4450000}"/>
    <cellStyle name="표준 5 2 3 2 2 2 7 4" xfId="12920" xr:uid="{00000000-0005-0000-0000-0000F5450000}"/>
    <cellStyle name="표준 5 2 3 2 2 2 7 5" xfId="17160" xr:uid="{00000000-0005-0000-0000-0000F6450000}"/>
    <cellStyle name="표준 5 2 3 2 2 2 7 6" xfId="21322" xr:uid="{00000000-0005-0000-0000-0000F7450000}"/>
    <cellStyle name="표준 5 2 3 2 2 2 7 7" xfId="25418" xr:uid="{00000000-0005-0000-0000-0000F8450000}"/>
    <cellStyle name="표준 5 2 3 2 2 2 7 8" xfId="33629" xr:uid="{00000000-0005-0000-0000-0000F9450000}"/>
    <cellStyle name="표준 5 2 3 2 2 2 7 9" xfId="41822" xr:uid="{00000000-0005-0000-0000-0000FA450000}"/>
    <cellStyle name="표준 5 2 3 2 2 2 8" xfId="7045" xr:uid="{00000000-0005-0000-0000-0000FB450000}"/>
    <cellStyle name="표준 5 2 3 2 2 2 8 2" xfId="9320" xr:uid="{00000000-0005-0000-0000-0000FC450000}"/>
    <cellStyle name="표준 5 2 3 2 2 2 8 2 2" xfId="30026" xr:uid="{00000000-0005-0000-0000-0000FD450000}"/>
    <cellStyle name="표준 5 2 3 2 2 2 8 2 3" xfId="38237" xr:uid="{00000000-0005-0000-0000-0000FE450000}"/>
    <cellStyle name="표준 5 2 3 2 2 2 8 2 4" xfId="46430" xr:uid="{00000000-0005-0000-0000-0000FF450000}"/>
    <cellStyle name="표준 5 2 3 2 2 2 8 3" xfId="13432" xr:uid="{00000000-0005-0000-0000-000000460000}"/>
    <cellStyle name="표준 5 2 3 2 2 2 8 4" xfId="17672" xr:uid="{00000000-0005-0000-0000-000001460000}"/>
    <cellStyle name="표준 5 2 3 2 2 2 8 5" xfId="21834" xr:uid="{00000000-0005-0000-0000-000002460000}"/>
    <cellStyle name="표준 5 2 3 2 2 2 8 6" xfId="25930" xr:uid="{00000000-0005-0000-0000-000003460000}"/>
    <cellStyle name="표준 5 2 3 2 2 2 8 7" xfId="34141" xr:uid="{00000000-0005-0000-0000-000004460000}"/>
    <cellStyle name="표준 5 2 3 2 2 2 8 8" xfId="42334" xr:uid="{00000000-0005-0000-0000-000005460000}"/>
    <cellStyle name="표준 5 2 3 2 2 2 9" xfId="7133" xr:uid="{00000000-0005-0000-0000-000006460000}"/>
    <cellStyle name="표준 5 2 3 2 2 2 9 2" xfId="27978" xr:uid="{00000000-0005-0000-0000-000007460000}"/>
    <cellStyle name="표준 5 2 3 2 2 2 9 3" xfId="36189" xr:uid="{00000000-0005-0000-0000-000008460000}"/>
    <cellStyle name="표준 5 2 3 2 2 2 9 4" xfId="44382" xr:uid="{00000000-0005-0000-0000-000009460000}"/>
    <cellStyle name="표준 5 2 3 2 2 3" xfId="449" xr:uid="{00000000-0005-0000-0000-00000A460000}"/>
    <cellStyle name="표준 5 2 3 2 2 3 10" xfId="15656" xr:uid="{00000000-0005-0000-0000-00000B460000}"/>
    <cellStyle name="표준 5 2 3 2 2 3 11" xfId="19818" xr:uid="{00000000-0005-0000-0000-00000C460000}"/>
    <cellStyle name="표준 5 2 3 2 2 3 12" xfId="23914" xr:uid="{00000000-0005-0000-0000-00000D460000}"/>
    <cellStyle name="표준 5 2 3 2 2 3 13" xfId="32125" xr:uid="{00000000-0005-0000-0000-00000E460000}"/>
    <cellStyle name="표준 5 2 3 2 2 3 14" xfId="40318" xr:uid="{00000000-0005-0000-0000-00000F460000}"/>
    <cellStyle name="표준 5 2 3 2 2 3 2" xfId="577" xr:uid="{00000000-0005-0000-0000-000010460000}"/>
    <cellStyle name="표준 5 2 3 2 2 3 2 10" xfId="19946" xr:uid="{00000000-0005-0000-0000-000011460000}"/>
    <cellStyle name="표준 5 2 3 2 2 3 2 11" xfId="24042" xr:uid="{00000000-0005-0000-0000-000012460000}"/>
    <cellStyle name="표준 5 2 3 2 2 3 2 12" xfId="32253" xr:uid="{00000000-0005-0000-0000-000013460000}"/>
    <cellStyle name="표준 5 2 3 2 2 3 2 13" xfId="40446" xr:uid="{00000000-0005-0000-0000-000014460000}"/>
    <cellStyle name="표준 5 2 3 2 2 3 2 2" xfId="833" xr:uid="{00000000-0005-0000-0000-000015460000}"/>
    <cellStyle name="표준 5 2 3 2 2 3 2 2 10" xfId="24298" xr:uid="{00000000-0005-0000-0000-000016460000}"/>
    <cellStyle name="표준 5 2 3 2 2 3 2 2 11" xfId="32509" xr:uid="{00000000-0005-0000-0000-000017460000}"/>
    <cellStyle name="표준 5 2 3 2 2 3 2 2 12" xfId="40702" xr:uid="{00000000-0005-0000-0000-000018460000}"/>
    <cellStyle name="표준 5 2 3 2 2 3 2 2 2" xfId="1345" xr:uid="{00000000-0005-0000-0000-000019460000}"/>
    <cellStyle name="표준 5 2 3 2 2 3 2 2 2 2" xfId="10248" xr:uid="{00000000-0005-0000-0000-00001A460000}"/>
    <cellStyle name="표준 5 2 3 2 2 3 2 2 2 2 2" xfId="14360" xr:uid="{00000000-0005-0000-0000-00001B460000}"/>
    <cellStyle name="표준 5 2 3 2 2 3 2 2 2 2 2 2" xfId="30954" xr:uid="{00000000-0005-0000-0000-00001C460000}"/>
    <cellStyle name="표준 5 2 3 2 2 3 2 2 2 2 2 3" xfId="39165" xr:uid="{00000000-0005-0000-0000-00001D460000}"/>
    <cellStyle name="표준 5 2 3 2 2 3 2 2 2 2 2 4" xfId="47358" xr:uid="{00000000-0005-0000-0000-00001E460000}"/>
    <cellStyle name="표준 5 2 3 2 2 3 2 2 2 2 3" xfId="18600" xr:uid="{00000000-0005-0000-0000-00001F460000}"/>
    <cellStyle name="표준 5 2 3 2 2 3 2 2 2 2 4" xfId="22762" xr:uid="{00000000-0005-0000-0000-000020460000}"/>
    <cellStyle name="표준 5 2 3 2 2 3 2 2 2 2 5" xfId="26858" xr:uid="{00000000-0005-0000-0000-000021460000}"/>
    <cellStyle name="표준 5 2 3 2 2 3 2 2 2 2 6" xfId="35069" xr:uid="{00000000-0005-0000-0000-000022460000}"/>
    <cellStyle name="표준 5 2 3 2 2 3 2 2 2 2 7" xfId="43262" xr:uid="{00000000-0005-0000-0000-000023460000}"/>
    <cellStyle name="표준 5 2 3 2 2 3 2 2 2 3" xfId="8200" xr:uid="{00000000-0005-0000-0000-000024460000}"/>
    <cellStyle name="표준 5 2 3 2 2 3 2 2 2 3 2" xfId="28906" xr:uid="{00000000-0005-0000-0000-000025460000}"/>
    <cellStyle name="표준 5 2 3 2 2 3 2 2 2 3 3" xfId="37117" xr:uid="{00000000-0005-0000-0000-000026460000}"/>
    <cellStyle name="표준 5 2 3 2 2 3 2 2 2 3 4" xfId="45310" xr:uid="{00000000-0005-0000-0000-000027460000}"/>
    <cellStyle name="표준 5 2 3 2 2 3 2 2 2 4" xfId="12312" xr:uid="{00000000-0005-0000-0000-000028460000}"/>
    <cellStyle name="표준 5 2 3 2 2 3 2 2 2 5" xfId="16552" xr:uid="{00000000-0005-0000-0000-000029460000}"/>
    <cellStyle name="표준 5 2 3 2 2 3 2 2 2 6" xfId="20714" xr:uid="{00000000-0005-0000-0000-00002A460000}"/>
    <cellStyle name="표준 5 2 3 2 2 3 2 2 2 7" xfId="24810" xr:uid="{00000000-0005-0000-0000-00002B460000}"/>
    <cellStyle name="표준 5 2 3 2 2 3 2 2 2 8" xfId="33021" xr:uid="{00000000-0005-0000-0000-00002C460000}"/>
    <cellStyle name="표준 5 2 3 2 2 3 2 2 2 9" xfId="41214" xr:uid="{00000000-0005-0000-0000-00002D460000}"/>
    <cellStyle name="표준 5 2 3 2 2 3 2 2 3" xfId="1857" xr:uid="{00000000-0005-0000-0000-00002E460000}"/>
    <cellStyle name="표준 5 2 3 2 2 3 2 2 3 2" xfId="10760" xr:uid="{00000000-0005-0000-0000-00002F460000}"/>
    <cellStyle name="표준 5 2 3 2 2 3 2 2 3 2 2" xfId="14872" xr:uid="{00000000-0005-0000-0000-000030460000}"/>
    <cellStyle name="표준 5 2 3 2 2 3 2 2 3 2 2 2" xfId="31466" xr:uid="{00000000-0005-0000-0000-000031460000}"/>
    <cellStyle name="표준 5 2 3 2 2 3 2 2 3 2 2 3" xfId="39677" xr:uid="{00000000-0005-0000-0000-000032460000}"/>
    <cellStyle name="표준 5 2 3 2 2 3 2 2 3 2 2 4" xfId="47870" xr:uid="{00000000-0005-0000-0000-000033460000}"/>
    <cellStyle name="표준 5 2 3 2 2 3 2 2 3 2 3" xfId="19112" xr:uid="{00000000-0005-0000-0000-000034460000}"/>
    <cellStyle name="표준 5 2 3 2 2 3 2 2 3 2 4" xfId="23274" xr:uid="{00000000-0005-0000-0000-000035460000}"/>
    <cellStyle name="표준 5 2 3 2 2 3 2 2 3 2 5" xfId="27370" xr:uid="{00000000-0005-0000-0000-000036460000}"/>
    <cellStyle name="표준 5 2 3 2 2 3 2 2 3 2 6" xfId="35581" xr:uid="{00000000-0005-0000-0000-000037460000}"/>
    <cellStyle name="표준 5 2 3 2 2 3 2 2 3 2 7" xfId="43774" xr:uid="{00000000-0005-0000-0000-000038460000}"/>
    <cellStyle name="표준 5 2 3 2 2 3 2 2 3 3" xfId="8712" xr:uid="{00000000-0005-0000-0000-000039460000}"/>
    <cellStyle name="표준 5 2 3 2 2 3 2 2 3 3 2" xfId="29418" xr:uid="{00000000-0005-0000-0000-00003A460000}"/>
    <cellStyle name="표준 5 2 3 2 2 3 2 2 3 3 3" xfId="37629" xr:uid="{00000000-0005-0000-0000-00003B460000}"/>
    <cellStyle name="표준 5 2 3 2 2 3 2 2 3 3 4" xfId="45822" xr:uid="{00000000-0005-0000-0000-00003C460000}"/>
    <cellStyle name="표준 5 2 3 2 2 3 2 2 3 4" xfId="12824" xr:uid="{00000000-0005-0000-0000-00003D460000}"/>
    <cellStyle name="표준 5 2 3 2 2 3 2 2 3 5" xfId="17064" xr:uid="{00000000-0005-0000-0000-00003E460000}"/>
    <cellStyle name="표준 5 2 3 2 2 3 2 2 3 6" xfId="21226" xr:uid="{00000000-0005-0000-0000-00003F460000}"/>
    <cellStyle name="표준 5 2 3 2 2 3 2 2 3 7" xfId="25322" xr:uid="{00000000-0005-0000-0000-000040460000}"/>
    <cellStyle name="표준 5 2 3 2 2 3 2 2 3 8" xfId="33533" xr:uid="{00000000-0005-0000-0000-000041460000}"/>
    <cellStyle name="표준 5 2 3 2 2 3 2 2 3 9" xfId="41726" xr:uid="{00000000-0005-0000-0000-000042460000}"/>
    <cellStyle name="표준 5 2 3 2 2 3 2 2 4" xfId="2369" xr:uid="{00000000-0005-0000-0000-000043460000}"/>
    <cellStyle name="표준 5 2 3 2 2 3 2 2 4 2" xfId="11272" xr:uid="{00000000-0005-0000-0000-000044460000}"/>
    <cellStyle name="표준 5 2 3 2 2 3 2 2 4 2 2" xfId="15384" xr:uid="{00000000-0005-0000-0000-000045460000}"/>
    <cellStyle name="표준 5 2 3 2 2 3 2 2 4 2 2 2" xfId="31978" xr:uid="{00000000-0005-0000-0000-000046460000}"/>
    <cellStyle name="표준 5 2 3 2 2 3 2 2 4 2 2 3" xfId="40189" xr:uid="{00000000-0005-0000-0000-000047460000}"/>
    <cellStyle name="표준 5 2 3 2 2 3 2 2 4 2 2 4" xfId="48382" xr:uid="{00000000-0005-0000-0000-000048460000}"/>
    <cellStyle name="표준 5 2 3 2 2 3 2 2 4 2 3" xfId="19624" xr:uid="{00000000-0005-0000-0000-000049460000}"/>
    <cellStyle name="표준 5 2 3 2 2 3 2 2 4 2 4" xfId="23786" xr:uid="{00000000-0005-0000-0000-00004A460000}"/>
    <cellStyle name="표준 5 2 3 2 2 3 2 2 4 2 5" xfId="27882" xr:uid="{00000000-0005-0000-0000-00004B460000}"/>
    <cellStyle name="표준 5 2 3 2 2 3 2 2 4 2 6" xfId="36093" xr:uid="{00000000-0005-0000-0000-00004C460000}"/>
    <cellStyle name="표준 5 2 3 2 2 3 2 2 4 2 7" xfId="44286" xr:uid="{00000000-0005-0000-0000-00004D460000}"/>
    <cellStyle name="표준 5 2 3 2 2 3 2 2 4 3" xfId="9224" xr:uid="{00000000-0005-0000-0000-00004E460000}"/>
    <cellStyle name="표준 5 2 3 2 2 3 2 2 4 3 2" xfId="29930" xr:uid="{00000000-0005-0000-0000-00004F460000}"/>
    <cellStyle name="표준 5 2 3 2 2 3 2 2 4 3 3" xfId="38141" xr:uid="{00000000-0005-0000-0000-000050460000}"/>
    <cellStyle name="표준 5 2 3 2 2 3 2 2 4 3 4" xfId="46334" xr:uid="{00000000-0005-0000-0000-000051460000}"/>
    <cellStyle name="표준 5 2 3 2 2 3 2 2 4 4" xfId="13336" xr:uid="{00000000-0005-0000-0000-000052460000}"/>
    <cellStyle name="표준 5 2 3 2 2 3 2 2 4 5" xfId="17576" xr:uid="{00000000-0005-0000-0000-000053460000}"/>
    <cellStyle name="표준 5 2 3 2 2 3 2 2 4 6" xfId="21738" xr:uid="{00000000-0005-0000-0000-000054460000}"/>
    <cellStyle name="표준 5 2 3 2 2 3 2 2 4 7" xfId="25834" xr:uid="{00000000-0005-0000-0000-000055460000}"/>
    <cellStyle name="표준 5 2 3 2 2 3 2 2 4 8" xfId="34045" xr:uid="{00000000-0005-0000-0000-000056460000}"/>
    <cellStyle name="표준 5 2 3 2 2 3 2 2 4 9" xfId="42238" xr:uid="{00000000-0005-0000-0000-000057460000}"/>
    <cellStyle name="표준 5 2 3 2 2 3 2 2 5" xfId="9736" xr:uid="{00000000-0005-0000-0000-000058460000}"/>
    <cellStyle name="표준 5 2 3 2 2 3 2 2 5 2" xfId="13848" xr:uid="{00000000-0005-0000-0000-000059460000}"/>
    <cellStyle name="표준 5 2 3 2 2 3 2 2 5 2 2" xfId="30442" xr:uid="{00000000-0005-0000-0000-00005A460000}"/>
    <cellStyle name="표준 5 2 3 2 2 3 2 2 5 2 3" xfId="38653" xr:uid="{00000000-0005-0000-0000-00005B460000}"/>
    <cellStyle name="표준 5 2 3 2 2 3 2 2 5 2 4" xfId="46846" xr:uid="{00000000-0005-0000-0000-00005C460000}"/>
    <cellStyle name="표준 5 2 3 2 2 3 2 2 5 3" xfId="18088" xr:uid="{00000000-0005-0000-0000-00005D460000}"/>
    <cellStyle name="표준 5 2 3 2 2 3 2 2 5 4" xfId="22250" xr:uid="{00000000-0005-0000-0000-00005E460000}"/>
    <cellStyle name="표준 5 2 3 2 2 3 2 2 5 5" xfId="26346" xr:uid="{00000000-0005-0000-0000-00005F460000}"/>
    <cellStyle name="표준 5 2 3 2 2 3 2 2 5 6" xfId="34557" xr:uid="{00000000-0005-0000-0000-000060460000}"/>
    <cellStyle name="표준 5 2 3 2 2 3 2 2 5 7" xfId="42750" xr:uid="{00000000-0005-0000-0000-000061460000}"/>
    <cellStyle name="표준 5 2 3 2 2 3 2 2 6" xfId="7688" xr:uid="{00000000-0005-0000-0000-000062460000}"/>
    <cellStyle name="표준 5 2 3 2 2 3 2 2 6 2" xfId="28394" xr:uid="{00000000-0005-0000-0000-000063460000}"/>
    <cellStyle name="표준 5 2 3 2 2 3 2 2 6 3" xfId="36605" xr:uid="{00000000-0005-0000-0000-000064460000}"/>
    <cellStyle name="표준 5 2 3 2 2 3 2 2 6 4" xfId="44798" xr:uid="{00000000-0005-0000-0000-000065460000}"/>
    <cellStyle name="표준 5 2 3 2 2 3 2 2 7" xfId="11800" xr:uid="{00000000-0005-0000-0000-000066460000}"/>
    <cellStyle name="표준 5 2 3 2 2 3 2 2 8" xfId="16040" xr:uid="{00000000-0005-0000-0000-000067460000}"/>
    <cellStyle name="표준 5 2 3 2 2 3 2 2 9" xfId="20202" xr:uid="{00000000-0005-0000-0000-000068460000}"/>
    <cellStyle name="표준 5 2 3 2 2 3 2 3" xfId="1089" xr:uid="{00000000-0005-0000-0000-000069460000}"/>
    <cellStyle name="표준 5 2 3 2 2 3 2 3 2" xfId="9992" xr:uid="{00000000-0005-0000-0000-00006A460000}"/>
    <cellStyle name="표준 5 2 3 2 2 3 2 3 2 2" xfId="14104" xr:uid="{00000000-0005-0000-0000-00006B460000}"/>
    <cellStyle name="표준 5 2 3 2 2 3 2 3 2 2 2" xfId="30698" xr:uid="{00000000-0005-0000-0000-00006C460000}"/>
    <cellStyle name="표준 5 2 3 2 2 3 2 3 2 2 3" xfId="38909" xr:uid="{00000000-0005-0000-0000-00006D460000}"/>
    <cellStyle name="표준 5 2 3 2 2 3 2 3 2 2 4" xfId="47102" xr:uid="{00000000-0005-0000-0000-00006E460000}"/>
    <cellStyle name="표준 5 2 3 2 2 3 2 3 2 3" xfId="18344" xr:uid="{00000000-0005-0000-0000-00006F460000}"/>
    <cellStyle name="표준 5 2 3 2 2 3 2 3 2 4" xfId="22506" xr:uid="{00000000-0005-0000-0000-000070460000}"/>
    <cellStyle name="표준 5 2 3 2 2 3 2 3 2 5" xfId="26602" xr:uid="{00000000-0005-0000-0000-000071460000}"/>
    <cellStyle name="표준 5 2 3 2 2 3 2 3 2 6" xfId="34813" xr:uid="{00000000-0005-0000-0000-000072460000}"/>
    <cellStyle name="표준 5 2 3 2 2 3 2 3 2 7" xfId="43006" xr:uid="{00000000-0005-0000-0000-000073460000}"/>
    <cellStyle name="표준 5 2 3 2 2 3 2 3 3" xfId="7944" xr:uid="{00000000-0005-0000-0000-000074460000}"/>
    <cellStyle name="표준 5 2 3 2 2 3 2 3 3 2" xfId="28650" xr:uid="{00000000-0005-0000-0000-000075460000}"/>
    <cellStyle name="표준 5 2 3 2 2 3 2 3 3 3" xfId="36861" xr:uid="{00000000-0005-0000-0000-000076460000}"/>
    <cellStyle name="표준 5 2 3 2 2 3 2 3 3 4" xfId="45054" xr:uid="{00000000-0005-0000-0000-000077460000}"/>
    <cellStyle name="표준 5 2 3 2 2 3 2 3 4" xfId="12056" xr:uid="{00000000-0005-0000-0000-000078460000}"/>
    <cellStyle name="표준 5 2 3 2 2 3 2 3 5" xfId="16296" xr:uid="{00000000-0005-0000-0000-000079460000}"/>
    <cellStyle name="표준 5 2 3 2 2 3 2 3 6" xfId="20458" xr:uid="{00000000-0005-0000-0000-00007A460000}"/>
    <cellStyle name="표준 5 2 3 2 2 3 2 3 7" xfId="24554" xr:uid="{00000000-0005-0000-0000-00007B460000}"/>
    <cellStyle name="표준 5 2 3 2 2 3 2 3 8" xfId="32765" xr:uid="{00000000-0005-0000-0000-00007C460000}"/>
    <cellStyle name="표준 5 2 3 2 2 3 2 3 9" xfId="40958" xr:uid="{00000000-0005-0000-0000-00007D460000}"/>
    <cellStyle name="표준 5 2 3 2 2 3 2 4" xfId="1601" xr:uid="{00000000-0005-0000-0000-00007E460000}"/>
    <cellStyle name="표준 5 2 3 2 2 3 2 4 2" xfId="10504" xr:uid="{00000000-0005-0000-0000-00007F460000}"/>
    <cellStyle name="표준 5 2 3 2 2 3 2 4 2 2" xfId="14616" xr:uid="{00000000-0005-0000-0000-000080460000}"/>
    <cellStyle name="표준 5 2 3 2 2 3 2 4 2 2 2" xfId="31210" xr:uid="{00000000-0005-0000-0000-000081460000}"/>
    <cellStyle name="표준 5 2 3 2 2 3 2 4 2 2 3" xfId="39421" xr:uid="{00000000-0005-0000-0000-000082460000}"/>
    <cellStyle name="표준 5 2 3 2 2 3 2 4 2 2 4" xfId="47614" xr:uid="{00000000-0005-0000-0000-000083460000}"/>
    <cellStyle name="표준 5 2 3 2 2 3 2 4 2 3" xfId="18856" xr:uid="{00000000-0005-0000-0000-000084460000}"/>
    <cellStyle name="표준 5 2 3 2 2 3 2 4 2 4" xfId="23018" xr:uid="{00000000-0005-0000-0000-000085460000}"/>
    <cellStyle name="표준 5 2 3 2 2 3 2 4 2 5" xfId="27114" xr:uid="{00000000-0005-0000-0000-000086460000}"/>
    <cellStyle name="표준 5 2 3 2 2 3 2 4 2 6" xfId="35325" xr:uid="{00000000-0005-0000-0000-000087460000}"/>
    <cellStyle name="표준 5 2 3 2 2 3 2 4 2 7" xfId="43518" xr:uid="{00000000-0005-0000-0000-000088460000}"/>
    <cellStyle name="표준 5 2 3 2 2 3 2 4 3" xfId="8456" xr:uid="{00000000-0005-0000-0000-000089460000}"/>
    <cellStyle name="표준 5 2 3 2 2 3 2 4 3 2" xfId="29162" xr:uid="{00000000-0005-0000-0000-00008A460000}"/>
    <cellStyle name="표준 5 2 3 2 2 3 2 4 3 3" xfId="37373" xr:uid="{00000000-0005-0000-0000-00008B460000}"/>
    <cellStyle name="표준 5 2 3 2 2 3 2 4 3 4" xfId="45566" xr:uid="{00000000-0005-0000-0000-00008C460000}"/>
    <cellStyle name="표준 5 2 3 2 2 3 2 4 4" xfId="12568" xr:uid="{00000000-0005-0000-0000-00008D460000}"/>
    <cellStyle name="표준 5 2 3 2 2 3 2 4 5" xfId="16808" xr:uid="{00000000-0005-0000-0000-00008E460000}"/>
    <cellStyle name="표준 5 2 3 2 2 3 2 4 6" xfId="20970" xr:uid="{00000000-0005-0000-0000-00008F460000}"/>
    <cellStyle name="표준 5 2 3 2 2 3 2 4 7" xfId="25066" xr:uid="{00000000-0005-0000-0000-000090460000}"/>
    <cellStyle name="표준 5 2 3 2 2 3 2 4 8" xfId="33277" xr:uid="{00000000-0005-0000-0000-000091460000}"/>
    <cellStyle name="표준 5 2 3 2 2 3 2 4 9" xfId="41470" xr:uid="{00000000-0005-0000-0000-000092460000}"/>
    <cellStyle name="표준 5 2 3 2 2 3 2 5" xfId="2113" xr:uid="{00000000-0005-0000-0000-000093460000}"/>
    <cellStyle name="표준 5 2 3 2 2 3 2 5 2" xfId="11016" xr:uid="{00000000-0005-0000-0000-000094460000}"/>
    <cellStyle name="표준 5 2 3 2 2 3 2 5 2 2" xfId="15128" xr:uid="{00000000-0005-0000-0000-000095460000}"/>
    <cellStyle name="표준 5 2 3 2 2 3 2 5 2 2 2" xfId="31722" xr:uid="{00000000-0005-0000-0000-000096460000}"/>
    <cellStyle name="표준 5 2 3 2 2 3 2 5 2 2 3" xfId="39933" xr:uid="{00000000-0005-0000-0000-000097460000}"/>
    <cellStyle name="표준 5 2 3 2 2 3 2 5 2 2 4" xfId="48126" xr:uid="{00000000-0005-0000-0000-000098460000}"/>
    <cellStyle name="표준 5 2 3 2 2 3 2 5 2 3" xfId="19368" xr:uid="{00000000-0005-0000-0000-000099460000}"/>
    <cellStyle name="표준 5 2 3 2 2 3 2 5 2 4" xfId="23530" xr:uid="{00000000-0005-0000-0000-00009A460000}"/>
    <cellStyle name="표준 5 2 3 2 2 3 2 5 2 5" xfId="27626" xr:uid="{00000000-0005-0000-0000-00009B460000}"/>
    <cellStyle name="표준 5 2 3 2 2 3 2 5 2 6" xfId="35837" xr:uid="{00000000-0005-0000-0000-00009C460000}"/>
    <cellStyle name="표준 5 2 3 2 2 3 2 5 2 7" xfId="44030" xr:uid="{00000000-0005-0000-0000-00009D460000}"/>
    <cellStyle name="표준 5 2 3 2 2 3 2 5 3" xfId="8968" xr:uid="{00000000-0005-0000-0000-00009E460000}"/>
    <cellStyle name="표준 5 2 3 2 2 3 2 5 3 2" xfId="29674" xr:uid="{00000000-0005-0000-0000-00009F460000}"/>
    <cellStyle name="표준 5 2 3 2 2 3 2 5 3 3" xfId="37885" xr:uid="{00000000-0005-0000-0000-0000A0460000}"/>
    <cellStyle name="표준 5 2 3 2 2 3 2 5 3 4" xfId="46078" xr:uid="{00000000-0005-0000-0000-0000A1460000}"/>
    <cellStyle name="표준 5 2 3 2 2 3 2 5 4" xfId="13080" xr:uid="{00000000-0005-0000-0000-0000A2460000}"/>
    <cellStyle name="표준 5 2 3 2 2 3 2 5 5" xfId="17320" xr:uid="{00000000-0005-0000-0000-0000A3460000}"/>
    <cellStyle name="표준 5 2 3 2 2 3 2 5 6" xfId="21482" xr:uid="{00000000-0005-0000-0000-0000A4460000}"/>
    <cellStyle name="표준 5 2 3 2 2 3 2 5 7" xfId="25578" xr:uid="{00000000-0005-0000-0000-0000A5460000}"/>
    <cellStyle name="표준 5 2 3 2 2 3 2 5 8" xfId="33789" xr:uid="{00000000-0005-0000-0000-0000A6460000}"/>
    <cellStyle name="표준 5 2 3 2 2 3 2 5 9" xfId="41982" xr:uid="{00000000-0005-0000-0000-0000A7460000}"/>
    <cellStyle name="표준 5 2 3 2 2 3 2 6" xfId="9480" xr:uid="{00000000-0005-0000-0000-0000A8460000}"/>
    <cellStyle name="표준 5 2 3 2 2 3 2 6 2" xfId="13592" xr:uid="{00000000-0005-0000-0000-0000A9460000}"/>
    <cellStyle name="표준 5 2 3 2 2 3 2 6 2 2" xfId="30186" xr:uid="{00000000-0005-0000-0000-0000AA460000}"/>
    <cellStyle name="표준 5 2 3 2 2 3 2 6 2 3" xfId="38397" xr:uid="{00000000-0005-0000-0000-0000AB460000}"/>
    <cellStyle name="표준 5 2 3 2 2 3 2 6 2 4" xfId="46590" xr:uid="{00000000-0005-0000-0000-0000AC460000}"/>
    <cellStyle name="표준 5 2 3 2 2 3 2 6 3" xfId="17832" xr:uid="{00000000-0005-0000-0000-0000AD460000}"/>
    <cellStyle name="표준 5 2 3 2 2 3 2 6 4" xfId="21994" xr:uid="{00000000-0005-0000-0000-0000AE460000}"/>
    <cellStyle name="표준 5 2 3 2 2 3 2 6 5" xfId="26090" xr:uid="{00000000-0005-0000-0000-0000AF460000}"/>
    <cellStyle name="표준 5 2 3 2 2 3 2 6 6" xfId="34301" xr:uid="{00000000-0005-0000-0000-0000B0460000}"/>
    <cellStyle name="표준 5 2 3 2 2 3 2 6 7" xfId="42494" xr:uid="{00000000-0005-0000-0000-0000B1460000}"/>
    <cellStyle name="표준 5 2 3 2 2 3 2 7" xfId="7432" xr:uid="{00000000-0005-0000-0000-0000B2460000}"/>
    <cellStyle name="표준 5 2 3 2 2 3 2 7 2" xfId="28138" xr:uid="{00000000-0005-0000-0000-0000B3460000}"/>
    <cellStyle name="표준 5 2 3 2 2 3 2 7 3" xfId="36349" xr:uid="{00000000-0005-0000-0000-0000B4460000}"/>
    <cellStyle name="표준 5 2 3 2 2 3 2 7 4" xfId="44542" xr:uid="{00000000-0005-0000-0000-0000B5460000}"/>
    <cellStyle name="표준 5 2 3 2 2 3 2 8" xfId="11544" xr:uid="{00000000-0005-0000-0000-0000B6460000}"/>
    <cellStyle name="표준 5 2 3 2 2 3 2 9" xfId="15784" xr:uid="{00000000-0005-0000-0000-0000B7460000}"/>
    <cellStyle name="표준 5 2 3 2 2 3 3" xfId="705" xr:uid="{00000000-0005-0000-0000-0000B8460000}"/>
    <cellStyle name="표준 5 2 3 2 2 3 3 10" xfId="24170" xr:uid="{00000000-0005-0000-0000-0000B9460000}"/>
    <cellStyle name="표준 5 2 3 2 2 3 3 11" xfId="32381" xr:uid="{00000000-0005-0000-0000-0000BA460000}"/>
    <cellStyle name="표준 5 2 3 2 2 3 3 12" xfId="40574" xr:uid="{00000000-0005-0000-0000-0000BB460000}"/>
    <cellStyle name="표준 5 2 3 2 2 3 3 2" xfId="1217" xr:uid="{00000000-0005-0000-0000-0000BC460000}"/>
    <cellStyle name="표준 5 2 3 2 2 3 3 2 2" xfId="10120" xr:uid="{00000000-0005-0000-0000-0000BD460000}"/>
    <cellStyle name="표준 5 2 3 2 2 3 3 2 2 2" xfId="14232" xr:uid="{00000000-0005-0000-0000-0000BE460000}"/>
    <cellStyle name="표준 5 2 3 2 2 3 3 2 2 2 2" xfId="30826" xr:uid="{00000000-0005-0000-0000-0000BF460000}"/>
    <cellStyle name="표준 5 2 3 2 2 3 3 2 2 2 3" xfId="39037" xr:uid="{00000000-0005-0000-0000-0000C0460000}"/>
    <cellStyle name="표준 5 2 3 2 2 3 3 2 2 2 4" xfId="47230" xr:uid="{00000000-0005-0000-0000-0000C1460000}"/>
    <cellStyle name="표준 5 2 3 2 2 3 3 2 2 3" xfId="18472" xr:uid="{00000000-0005-0000-0000-0000C2460000}"/>
    <cellStyle name="표준 5 2 3 2 2 3 3 2 2 4" xfId="22634" xr:uid="{00000000-0005-0000-0000-0000C3460000}"/>
    <cellStyle name="표준 5 2 3 2 2 3 3 2 2 5" xfId="26730" xr:uid="{00000000-0005-0000-0000-0000C4460000}"/>
    <cellStyle name="표준 5 2 3 2 2 3 3 2 2 6" xfId="34941" xr:uid="{00000000-0005-0000-0000-0000C5460000}"/>
    <cellStyle name="표준 5 2 3 2 2 3 3 2 2 7" xfId="43134" xr:uid="{00000000-0005-0000-0000-0000C6460000}"/>
    <cellStyle name="표준 5 2 3 2 2 3 3 2 3" xfId="8072" xr:uid="{00000000-0005-0000-0000-0000C7460000}"/>
    <cellStyle name="표준 5 2 3 2 2 3 3 2 3 2" xfId="28778" xr:uid="{00000000-0005-0000-0000-0000C8460000}"/>
    <cellStyle name="표준 5 2 3 2 2 3 3 2 3 3" xfId="36989" xr:uid="{00000000-0005-0000-0000-0000C9460000}"/>
    <cellStyle name="표준 5 2 3 2 2 3 3 2 3 4" xfId="45182" xr:uid="{00000000-0005-0000-0000-0000CA460000}"/>
    <cellStyle name="표준 5 2 3 2 2 3 3 2 4" xfId="12184" xr:uid="{00000000-0005-0000-0000-0000CB460000}"/>
    <cellStyle name="표준 5 2 3 2 2 3 3 2 5" xfId="16424" xr:uid="{00000000-0005-0000-0000-0000CC460000}"/>
    <cellStyle name="표준 5 2 3 2 2 3 3 2 6" xfId="20586" xr:uid="{00000000-0005-0000-0000-0000CD460000}"/>
    <cellStyle name="표준 5 2 3 2 2 3 3 2 7" xfId="24682" xr:uid="{00000000-0005-0000-0000-0000CE460000}"/>
    <cellStyle name="표준 5 2 3 2 2 3 3 2 8" xfId="32893" xr:uid="{00000000-0005-0000-0000-0000CF460000}"/>
    <cellStyle name="표준 5 2 3 2 2 3 3 2 9" xfId="41086" xr:uid="{00000000-0005-0000-0000-0000D0460000}"/>
    <cellStyle name="표준 5 2 3 2 2 3 3 3" xfId="1729" xr:uid="{00000000-0005-0000-0000-0000D1460000}"/>
    <cellStyle name="표준 5 2 3 2 2 3 3 3 2" xfId="10632" xr:uid="{00000000-0005-0000-0000-0000D2460000}"/>
    <cellStyle name="표준 5 2 3 2 2 3 3 3 2 2" xfId="14744" xr:uid="{00000000-0005-0000-0000-0000D3460000}"/>
    <cellStyle name="표준 5 2 3 2 2 3 3 3 2 2 2" xfId="31338" xr:uid="{00000000-0005-0000-0000-0000D4460000}"/>
    <cellStyle name="표준 5 2 3 2 2 3 3 3 2 2 3" xfId="39549" xr:uid="{00000000-0005-0000-0000-0000D5460000}"/>
    <cellStyle name="표준 5 2 3 2 2 3 3 3 2 2 4" xfId="47742" xr:uid="{00000000-0005-0000-0000-0000D6460000}"/>
    <cellStyle name="표준 5 2 3 2 2 3 3 3 2 3" xfId="18984" xr:uid="{00000000-0005-0000-0000-0000D7460000}"/>
    <cellStyle name="표준 5 2 3 2 2 3 3 3 2 4" xfId="23146" xr:uid="{00000000-0005-0000-0000-0000D8460000}"/>
    <cellStyle name="표준 5 2 3 2 2 3 3 3 2 5" xfId="27242" xr:uid="{00000000-0005-0000-0000-0000D9460000}"/>
    <cellStyle name="표준 5 2 3 2 2 3 3 3 2 6" xfId="35453" xr:uid="{00000000-0005-0000-0000-0000DA460000}"/>
    <cellStyle name="표준 5 2 3 2 2 3 3 3 2 7" xfId="43646" xr:uid="{00000000-0005-0000-0000-0000DB460000}"/>
    <cellStyle name="표준 5 2 3 2 2 3 3 3 3" xfId="8584" xr:uid="{00000000-0005-0000-0000-0000DC460000}"/>
    <cellStyle name="표준 5 2 3 2 2 3 3 3 3 2" xfId="29290" xr:uid="{00000000-0005-0000-0000-0000DD460000}"/>
    <cellStyle name="표준 5 2 3 2 2 3 3 3 3 3" xfId="37501" xr:uid="{00000000-0005-0000-0000-0000DE460000}"/>
    <cellStyle name="표준 5 2 3 2 2 3 3 3 3 4" xfId="45694" xr:uid="{00000000-0005-0000-0000-0000DF460000}"/>
    <cellStyle name="표준 5 2 3 2 2 3 3 3 4" xfId="12696" xr:uid="{00000000-0005-0000-0000-0000E0460000}"/>
    <cellStyle name="표준 5 2 3 2 2 3 3 3 5" xfId="16936" xr:uid="{00000000-0005-0000-0000-0000E1460000}"/>
    <cellStyle name="표준 5 2 3 2 2 3 3 3 6" xfId="21098" xr:uid="{00000000-0005-0000-0000-0000E2460000}"/>
    <cellStyle name="표준 5 2 3 2 2 3 3 3 7" xfId="25194" xr:uid="{00000000-0005-0000-0000-0000E3460000}"/>
    <cellStyle name="표준 5 2 3 2 2 3 3 3 8" xfId="33405" xr:uid="{00000000-0005-0000-0000-0000E4460000}"/>
    <cellStyle name="표준 5 2 3 2 2 3 3 3 9" xfId="41598" xr:uid="{00000000-0005-0000-0000-0000E5460000}"/>
    <cellStyle name="표준 5 2 3 2 2 3 3 4" xfId="2241" xr:uid="{00000000-0005-0000-0000-0000E6460000}"/>
    <cellStyle name="표준 5 2 3 2 2 3 3 4 2" xfId="11144" xr:uid="{00000000-0005-0000-0000-0000E7460000}"/>
    <cellStyle name="표준 5 2 3 2 2 3 3 4 2 2" xfId="15256" xr:uid="{00000000-0005-0000-0000-0000E8460000}"/>
    <cellStyle name="표준 5 2 3 2 2 3 3 4 2 2 2" xfId="31850" xr:uid="{00000000-0005-0000-0000-0000E9460000}"/>
    <cellStyle name="표준 5 2 3 2 2 3 3 4 2 2 3" xfId="40061" xr:uid="{00000000-0005-0000-0000-0000EA460000}"/>
    <cellStyle name="표준 5 2 3 2 2 3 3 4 2 2 4" xfId="48254" xr:uid="{00000000-0005-0000-0000-0000EB460000}"/>
    <cellStyle name="표준 5 2 3 2 2 3 3 4 2 3" xfId="19496" xr:uid="{00000000-0005-0000-0000-0000EC460000}"/>
    <cellStyle name="표준 5 2 3 2 2 3 3 4 2 4" xfId="23658" xr:uid="{00000000-0005-0000-0000-0000ED460000}"/>
    <cellStyle name="표준 5 2 3 2 2 3 3 4 2 5" xfId="27754" xr:uid="{00000000-0005-0000-0000-0000EE460000}"/>
    <cellStyle name="표준 5 2 3 2 2 3 3 4 2 6" xfId="35965" xr:uid="{00000000-0005-0000-0000-0000EF460000}"/>
    <cellStyle name="표준 5 2 3 2 2 3 3 4 2 7" xfId="44158" xr:uid="{00000000-0005-0000-0000-0000F0460000}"/>
    <cellStyle name="표준 5 2 3 2 2 3 3 4 3" xfId="9096" xr:uid="{00000000-0005-0000-0000-0000F1460000}"/>
    <cellStyle name="표준 5 2 3 2 2 3 3 4 3 2" xfId="29802" xr:uid="{00000000-0005-0000-0000-0000F2460000}"/>
    <cellStyle name="표준 5 2 3 2 2 3 3 4 3 3" xfId="38013" xr:uid="{00000000-0005-0000-0000-0000F3460000}"/>
    <cellStyle name="표준 5 2 3 2 2 3 3 4 3 4" xfId="46206" xr:uid="{00000000-0005-0000-0000-0000F4460000}"/>
    <cellStyle name="표준 5 2 3 2 2 3 3 4 4" xfId="13208" xr:uid="{00000000-0005-0000-0000-0000F5460000}"/>
    <cellStyle name="표준 5 2 3 2 2 3 3 4 5" xfId="17448" xr:uid="{00000000-0005-0000-0000-0000F6460000}"/>
    <cellStyle name="표준 5 2 3 2 2 3 3 4 6" xfId="21610" xr:uid="{00000000-0005-0000-0000-0000F7460000}"/>
    <cellStyle name="표준 5 2 3 2 2 3 3 4 7" xfId="25706" xr:uid="{00000000-0005-0000-0000-0000F8460000}"/>
    <cellStyle name="표준 5 2 3 2 2 3 3 4 8" xfId="33917" xr:uid="{00000000-0005-0000-0000-0000F9460000}"/>
    <cellStyle name="표준 5 2 3 2 2 3 3 4 9" xfId="42110" xr:uid="{00000000-0005-0000-0000-0000FA460000}"/>
    <cellStyle name="표준 5 2 3 2 2 3 3 5" xfId="9608" xr:uid="{00000000-0005-0000-0000-0000FB460000}"/>
    <cellStyle name="표준 5 2 3 2 2 3 3 5 2" xfId="13720" xr:uid="{00000000-0005-0000-0000-0000FC460000}"/>
    <cellStyle name="표준 5 2 3 2 2 3 3 5 2 2" xfId="30314" xr:uid="{00000000-0005-0000-0000-0000FD460000}"/>
    <cellStyle name="표준 5 2 3 2 2 3 3 5 2 3" xfId="38525" xr:uid="{00000000-0005-0000-0000-0000FE460000}"/>
    <cellStyle name="표준 5 2 3 2 2 3 3 5 2 4" xfId="46718" xr:uid="{00000000-0005-0000-0000-0000FF460000}"/>
    <cellStyle name="표준 5 2 3 2 2 3 3 5 3" xfId="17960" xr:uid="{00000000-0005-0000-0000-000000470000}"/>
    <cellStyle name="표준 5 2 3 2 2 3 3 5 4" xfId="22122" xr:uid="{00000000-0005-0000-0000-000001470000}"/>
    <cellStyle name="표준 5 2 3 2 2 3 3 5 5" xfId="26218" xr:uid="{00000000-0005-0000-0000-000002470000}"/>
    <cellStyle name="표준 5 2 3 2 2 3 3 5 6" xfId="34429" xr:uid="{00000000-0005-0000-0000-000003470000}"/>
    <cellStyle name="표준 5 2 3 2 2 3 3 5 7" xfId="42622" xr:uid="{00000000-0005-0000-0000-000004470000}"/>
    <cellStyle name="표준 5 2 3 2 2 3 3 6" xfId="7560" xr:uid="{00000000-0005-0000-0000-000005470000}"/>
    <cellStyle name="표준 5 2 3 2 2 3 3 6 2" xfId="28266" xr:uid="{00000000-0005-0000-0000-000006470000}"/>
    <cellStyle name="표준 5 2 3 2 2 3 3 6 3" xfId="36477" xr:uid="{00000000-0005-0000-0000-000007470000}"/>
    <cellStyle name="표준 5 2 3 2 2 3 3 6 4" xfId="44670" xr:uid="{00000000-0005-0000-0000-000008470000}"/>
    <cellStyle name="표준 5 2 3 2 2 3 3 7" xfId="11672" xr:uid="{00000000-0005-0000-0000-000009470000}"/>
    <cellStyle name="표준 5 2 3 2 2 3 3 8" xfId="15912" xr:uid="{00000000-0005-0000-0000-00000A470000}"/>
    <cellStyle name="표준 5 2 3 2 2 3 3 9" xfId="20074" xr:uid="{00000000-0005-0000-0000-00000B470000}"/>
    <cellStyle name="표준 5 2 3 2 2 3 4" xfId="961" xr:uid="{00000000-0005-0000-0000-00000C470000}"/>
    <cellStyle name="표준 5 2 3 2 2 3 4 2" xfId="9864" xr:uid="{00000000-0005-0000-0000-00000D470000}"/>
    <cellStyle name="표준 5 2 3 2 2 3 4 2 2" xfId="13976" xr:uid="{00000000-0005-0000-0000-00000E470000}"/>
    <cellStyle name="표준 5 2 3 2 2 3 4 2 2 2" xfId="30570" xr:uid="{00000000-0005-0000-0000-00000F470000}"/>
    <cellStyle name="표준 5 2 3 2 2 3 4 2 2 3" xfId="38781" xr:uid="{00000000-0005-0000-0000-000010470000}"/>
    <cellStyle name="표준 5 2 3 2 2 3 4 2 2 4" xfId="46974" xr:uid="{00000000-0005-0000-0000-000011470000}"/>
    <cellStyle name="표준 5 2 3 2 2 3 4 2 3" xfId="18216" xr:uid="{00000000-0005-0000-0000-000012470000}"/>
    <cellStyle name="표준 5 2 3 2 2 3 4 2 4" xfId="22378" xr:uid="{00000000-0005-0000-0000-000013470000}"/>
    <cellStyle name="표준 5 2 3 2 2 3 4 2 5" xfId="26474" xr:uid="{00000000-0005-0000-0000-000014470000}"/>
    <cellStyle name="표준 5 2 3 2 2 3 4 2 6" xfId="34685" xr:uid="{00000000-0005-0000-0000-000015470000}"/>
    <cellStyle name="표준 5 2 3 2 2 3 4 2 7" xfId="42878" xr:uid="{00000000-0005-0000-0000-000016470000}"/>
    <cellStyle name="표준 5 2 3 2 2 3 4 3" xfId="7816" xr:uid="{00000000-0005-0000-0000-000017470000}"/>
    <cellStyle name="표준 5 2 3 2 2 3 4 3 2" xfId="28522" xr:uid="{00000000-0005-0000-0000-000018470000}"/>
    <cellStyle name="표준 5 2 3 2 2 3 4 3 3" xfId="36733" xr:uid="{00000000-0005-0000-0000-000019470000}"/>
    <cellStyle name="표준 5 2 3 2 2 3 4 3 4" xfId="44926" xr:uid="{00000000-0005-0000-0000-00001A470000}"/>
    <cellStyle name="표준 5 2 3 2 2 3 4 4" xfId="11928" xr:uid="{00000000-0005-0000-0000-00001B470000}"/>
    <cellStyle name="표준 5 2 3 2 2 3 4 5" xfId="16168" xr:uid="{00000000-0005-0000-0000-00001C470000}"/>
    <cellStyle name="표준 5 2 3 2 2 3 4 6" xfId="20330" xr:uid="{00000000-0005-0000-0000-00001D470000}"/>
    <cellStyle name="표준 5 2 3 2 2 3 4 7" xfId="24426" xr:uid="{00000000-0005-0000-0000-00001E470000}"/>
    <cellStyle name="표준 5 2 3 2 2 3 4 8" xfId="32637" xr:uid="{00000000-0005-0000-0000-00001F470000}"/>
    <cellStyle name="표준 5 2 3 2 2 3 4 9" xfId="40830" xr:uid="{00000000-0005-0000-0000-000020470000}"/>
    <cellStyle name="표준 5 2 3 2 2 3 5" xfId="1473" xr:uid="{00000000-0005-0000-0000-000021470000}"/>
    <cellStyle name="표준 5 2 3 2 2 3 5 2" xfId="10376" xr:uid="{00000000-0005-0000-0000-000022470000}"/>
    <cellStyle name="표준 5 2 3 2 2 3 5 2 2" xfId="14488" xr:uid="{00000000-0005-0000-0000-000023470000}"/>
    <cellStyle name="표준 5 2 3 2 2 3 5 2 2 2" xfId="31082" xr:uid="{00000000-0005-0000-0000-000024470000}"/>
    <cellStyle name="표준 5 2 3 2 2 3 5 2 2 3" xfId="39293" xr:uid="{00000000-0005-0000-0000-000025470000}"/>
    <cellStyle name="표준 5 2 3 2 2 3 5 2 2 4" xfId="47486" xr:uid="{00000000-0005-0000-0000-000026470000}"/>
    <cellStyle name="표준 5 2 3 2 2 3 5 2 3" xfId="18728" xr:uid="{00000000-0005-0000-0000-000027470000}"/>
    <cellStyle name="표준 5 2 3 2 2 3 5 2 4" xfId="22890" xr:uid="{00000000-0005-0000-0000-000028470000}"/>
    <cellStyle name="표준 5 2 3 2 2 3 5 2 5" xfId="26986" xr:uid="{00000000-0005-0000-0000-000029470000}"/>
    <cellStyle name="표준 5 2 3 2 2 3 5 2 6" xfId="35197" xr:uid="{00000000-0005-0000-0000-00002A470000}"/>
    <cellStyle name="표준 5 2 3 2 2 3 5 2 7" xfId="43390" xr:uid="{00000000-0005-0000-0000-00002B470000}"/>
    <cellStyle name="표준 5 2 3 2 2 3 5 3" xfId="8328" xr:uid="{00000000-0005-0000-0000-00002C470000}"/>
    <cellStyle name="표준 5 2 3 2 2 3 5 3 2" xfId="29034" xr:uid="{00000000-0005-0000-0000-00002D470000}"/>
    <cellStyle name="표준 5 2 3 2 2 3 5 3 3" xfId="37245" xr:uid="{00000000-0005-0000-0000-00002E470000}"/>
    <cellStyle name="표준 5 2 3 2 2 3 5 3 4" xfId="45438" xr:uid="{00000000-0005-0000-0000-00002F470000}"/>
    <cellStyle name="표준 5 2 3 2 2 3 5 4" xfId="12440" xr:uid="{00000000-0005-0000-0000-000030470000}"/>
    <cellStyle name="표준 5 2 3 2 2 3 5 5" xfId="16680" xr:uid="{00000000-0005-0000-0000-000031470000}"/>
    <cellStyle name="표준 5 2 3 2 2 3 5 6" xfId="20842" xr:uid="{00000000-0005-0000-0000-000032470000}"/>
    <cellStyle name="표준 5 2 3 2 2 3 5 7" xfId="24938" xr:uid="{00000000-0005-0000-0000-000033470000}"/>
    <cellStyle name="표준 5 2 3 2 2 3 5 8" xfId="33149" xr:uid="{00000000-0005-0000-0000-000034470000}"/>
    <cellStyle name="표준 5 2 3 2 2 3 5 9" xfId="41342" xr:uid="{00000000-0005-0000-0000-000035470000}"/>
    <cellStyle name="표준 5 2 3 2 2 3 6" xfId="1985" xr:uid="{00000000-0005-0000-0000-000036470000}"/>
    <cellStyle name="표준 5 2 3 2 2 3 6 2" xfId="10888" xr:uid="{00000000-0005-0000-0000-000037470000}"/>
    <cellStyle name="표준 5 2 3 2 2 3 6 2 2" xfId="15000" xr:uid="{00000000-0005-0000-0000-000038470000}"/>
    <cellStyle name="표준 5 2 3 2 2 3 6 2 2 2" xfId="31594" xr:uid="{00000000-0005-0000-0000-000039470000}"/>
    <cellStyle name="표준 5 2 3 2 2 3 6 2 2 3" xfId="39805" xr:uid="{00000000-0005-0000-0000-00003A470000}"/>
    <cellStyle name="표준 5 2 3 2 2 3 6 2 2 4" xfId="47998" xr:uid="{00000000-0005-0000-0000-00003B470000}"/>
    <cellStyle name="표준 5 2 3 2 2 3 6 2 3" xfId="19240" xr:uid="{00000000-0005-0000-0000-00003C470000}"/>
    <cellStyle name="표준 5 2 3 2 2 3 6 2 4" xfId="23402" xr:uid="{00000000-0005-0000-0000-00003D470000}"/>
    <cellStyle name="표준 5 2 3 2 2 3 6 2 5" xfId="27498" xr:uid="{00000000-0005-0000-0000-00003E470000}"/>
    <cellStyle name="표준 5 2 3 2 2 3 6 2 6" xfId="35709" xr:uid="{00000000-0005-0000-0000-00003F470000}"/>
    <cellStyle name="표준 5 2 3 2 2 3 6 2 7" xfId="43902" xr:uid="{00000000-0005-0000-0000-000040470000}"/>
    <cellStyle name="표준 5 2 3 2 2 3 6 3" xfId="8840" xr:uid="{00000000-0005-0000-0000-000041470000}"/>
    <cellStyle name="표준 5 2 3 2 2 3 6 3 2" xfId="29546" xr:uid="{00000000-0005-0000-0000-000042470000}"/>
    <cellStyle name="표준 5 2 3 2 2 3 6 3 3" xfId="37757" xr:uid="{00000000-0005-0000-0000-000043470000}"/>
    <cellStyle name="표준 5 2 3 2 2 3 6 3 4" xfId="45950" xr:uid="{00000000-0005-0000-0000-000044470000}"/>
    <cellStyle name="표준 5 2 3 2 2 3 6 4" xfId="12952" xr:uid="{00000000-0005-0000-0000-000045470000}"/>
    <cellStyle name="표준 5 2 3 2 2 3 6 5" xfId="17192" xr:uid="{00000000-0005-0000-0000-000046470000}"/>
    <cellStyle name="표준 5 2 3 2 2 3 6 6" xfId="21354" xr:uid="{00000000-0005-0000-0000-000047470000}"/>
    <cellStyle name="표준 5 2 3 2 2 3 6 7" xfId="25450" xr:uid="{00000000-0005-0000-0000-000048470000}"/>
    <cellStyle name="표준 5 2 3 2 2 3 6 8" xfId="33661" xr:uid="{00000000-0005-0000-0000-000049470000}"/>
    <cellStyle name="표준 5 2 3 2 2 3 6 9" xfId="41854" xr:uid="{00000000-0005-0000-0000-00004A470000}"/>
    <cellStyle name="표준 5 2 3 2 2 3 7" xfId="9352" xr:uid="{00000000-0005-0000-0000-00004B470000}"/>
    <cellStyle name="표준 5 2 3 2 2 3 7 2" xfId="13464" xr:uid="{00000000-0005-0000-0000-00004C470000}"/>
    <cellStyle name="표준 5 2 3 2 2 3 7 2 2" xfId="30058" xr:uid="{00000000-0005-0000-0000-00004D470000}"/>
    <cellStyle name="표준 5 2 3 2 2 3 7 2 3" xfId="38269" xr:uid="{00000000-0005-0000-0000-00004E470000}"/>
    <cellStyle name="표준 5 2 3 2 2 3 7 2 4" xfId="46462" xr:uid="{00000000-0005-0000-0000-00004F470000}"/>
    <cellStyle name="표준 5 2 3 2 2 3 7 3" xfId="17704" xr:uid="{00000000-0005-0000-0000-000050470000}"/>
    <cellStyle name="표준 5 2 3 2 2 3 7 4" xfId="21866" xr:uid="{00000000-0005-0000-0000-000051470000}"/>
    <cellStyle name="표준 5 2 3 2 2 3 7 5" xfId="25962" xr:uid="{00000000-0005-0000-0000-000052470000}"/>
    <cellStyle name="표준 5 2 3 2 2 3 7 6" xfId="34173" xr:uid="{00000000-0005-0000-0000-000053470000}"/>
    <cellStyle name="표준 5 2 3 2 2 3 7 7" xfId="42366" xr:uid="{00000000-0005-0000-0000-000054470000}"/>
    <cellStyle name="표준 5 2 3 2 2 3 8" xfId="7304" xr:uid="{00000000-0005-0000-0000-000055470000}"/>
    <cellStyle name="표준 5 2 3 2 2 3 8 2" xfId="28010" xr:uid="{00000000-0005-0000-0000-000056470000}"/>
    <cellStyle name="표준 5 2 3 2 2 3 8 3" xfId="36221" xr:uid="{00000000-0005-0000-0000-000057470000}"/>
    <cellStyle name="표준 5 2 3 2 2 3 8 4" xfId="44414" xr:uid="{00000000-0005-0000-0000-000058470000}"/>
    <cellStyle name="표준 5 2 3 2 2 3 9" xfId="11416" xr:uid="{00000000-0005-0000-0000-000059470000}"/>
    <cellStyle name="표준 5 2 3 2 2 4" xfId="513" xr:uid="{00000000-0005-0000-0000-00005A470000}"/>
    <cellStyle name="표준 5 2 3 2 2 4 10" xfId="19882" xr:uid="{00000000-0005-0000-0000-00005B470000}"/>
    <cellStyle name="표준 5 2 3 2 2 4 11" xfId="23978" xr:uid="{00000000-0005-0000-0000-00005C470000}"/>
    <cellStyle name="표준 5 2 3 2 2 4 12" xfId="32189" xr:uid="{00000000-0005-0000-0000-00005D470000}"/>
    <cellStyle name="표준 5 2 3 2 2 4 13" xfId="40382" xr:uid="{00000000-0005-0000-0000-00005E470000}"/>
    <cellStyle name="표준 5 2 3 2 2 4 2" xfId="769" xr:uid="{00000000-0005-0000-0000-00005F470000}"/>
    <cellStyle name="표준 5 2 3 2 2 4 2 10" xfId="24234" xr:uid="{00000000-0005-0000-0000-000060470000}"/>
    <cellStyle name="표준 5 2 3 2 2 4 2 11" xfId="32445" xr:uid="{00000000-0005-0000-0000-000061470000}"/>
    <cellStyle name="표준 5 2 3 2 2 4 2 12" xfId="40638" xr:uid="{00000000-0005-0000-0000-000062470000}"/>
    <cellStyle name="표준 5 2 3 2 2 4 2 2" xfId="1281" xr:uid="{00000000-0005-0000-0000-000063470000}"/>
    <cellStyle name="표준 5 2 3 2 2 4 2 2 2" xfId="10184" xr:uid="{00000000-0005-0000-0000-000064470000}"/>
    <cellStyle name="표준 5 2 3 2 2 4 2 2 2 2" xfId="14296" xr:uid="{00000000-0005-0000-0000-000065470000}"/>
    <cellStyle name="표준 5 2 3 2 2 4 2 2 2 2 2" xfId="30890" xr:uid="{00000000-0005-0000-0000-000066470000}"/>
    <cellStyle name="표준 5 2 3 2 2 4 2 2 2 2 3" xfId="39101" xr:uid="{00000000-0005-0000-0000-000067470000}"/>
    <cellStyle name="표준 5 2 3 2 2 4 2 2 2 2 4" xfId="47294" xr:uid="{00000000-0005-0000-0000-000068470000}"/>
    <cellStyle name="표준 5 2 3 2 2 4 2 2 2 3" xfId="18536" xr:uid="{00000000-0005-0000-0000-000069470000}"/>
    <cellStyle name="표준 5 2 3 2 2 4 2 2 2 4" xfId="22698" xr:uid="{00000000-0005-0000-0000-00006A470000}"/>
    <cellStyle name="표준 5 2 3 2 2 4 2 2 2 5" xfId="26794" xr:uid="{00000000-0005-0000-0000-00006B470000}"/>
    <cellStyle name="표준 5 2 3 2 2 4 2 2 2 6" xfId="35005" xr:uid="{00000000-0005-0000-0000-00006C470000}"/>
    <cellStyle name="표준 5 2 3 2 2 4 2 2 2 7" xfId="43198" xr:uid="{00000000-0005-0000-0000-00006D470000}"/>
    <cellStyle name="표준 5 2 3 2 2 4 2 2 3" xfId="8136" xr:uid="{00000000-0005-0000-0000-00006E470000}"/>
    <cellStyle name="표준 5 2 3 2 2 4 2 2 3 2" xfId="28842" xr:uid="{00000000-0005-0000-0000-00006F470000}"/>
    <cellStyle name="표준 5 2 3 2 2 4 2 2 3 3" xfId="37053" xr:uid="{00000000-0005-0000-0000-000070470000}"/>
    <cellStyle name="표준 5 2 3 2 2 4 2 2 3 4" xfId="45246" xr:uid="{00000000-0005-0000-0000-000071470000}"/>
    <cellStyle name="표준 5 2 3 2 2 4 2 2 4" xfId="12248" xr:uid="{00000000-0005-0000-0000-000072470000}"/>
    <cellStyle name="표준 5 2 3 2 2 4 2 2 5" xfId="16488" xr:uid="{00000000-0005-0000-0000-000073470000}"/>
    <cellStyle name="표준 5 2 3 2 2 4 2 2 6" xfId="20650" xr:uid="{00000000-0005-0000-0000-000074470000}"/>
    <cellStyle name="표준 5 2 3 2 2 4 2 2 7" xfId="24746" xr:uid="{00000000-0005-0000-0000-000075470000}"/>
    <cellStyle name="표준 5 2 3 2 2 4 2 2 8" xfId="32957" xr:uid="{00000000-0005-0000-0000-000076470000}"/>
    <cellStyle name="표준 5 2 3 2 2 4 2 2 9" xfId="41150" xr:uid="{00000000-0005-0000-0000-000077470000}"/>
    <cellStyle name="표준 5 2 3 2 2 4 2 3" xfId="1793" xr:uid="{00000000-0005-0000-0000-000078470000}"/>
    <cellStyle name="표준 5 2 3 2 2 4 2 3 2" xfId="10696" xr:uid="{00000000-0005-0000-0000-000079470000}"/>
    <cellStyle name="표준 5 2 3 2 2 4 2 3 2 2" xfId="14808" xr:uid="{00000000-0005-0000-0000-00007A470000}"/>
    <cellStyle name="표준 5 2 3 2 2 4 2 3 2 2 2" xfId="31402" xr:uid="{00000000-0005-0000-0000-00007B470000}"/>
    <cellStyle name="표준 5 2 3 2 2 4 2 3 2 2 3" xfId="39613" xr:uid="{00000000-0005-0000-0000-00007C470000}"/>
    <cellStyle name="표준 5 2 3 2 2 4 2 3 2 2 4" xfId="47806" xr:uid="{00000000-0005-0000-0000-00007D470000}"/>
    <cellStyle name="표준 5 2 3 2 2 4 2 3 2 3" xfId="19048" xr:uid="{00000000-0005-0000-0000-00007E470000}"/>
    <cellStyle name="표준 5 2 3 2 2 4 2 3 2 4" xfId="23210" xr:uid="{00000000-0005-0000-0000-00007F470000}"/>
    <cellStyle name="표준 5 2 3 2 2 4 2 3 2 5" xfId="27306" xr:uid="{00000000-0005-0000-0000-000080470000}"/>
    <cellStyle name="표준 5 2 3 2 2 4 2 3 2 6" xfId="35517" xr:uid="{00000000-0005-0000-0000-000081470000}"/>
    <cellStyle name="표준 5 2 3 2 2 4 2 3 2 7" xfId="43710" xr:uid="{00000000-0005-0000-0000-000082470000}"/>
    <cellStyle name="표준 5 2 3 2 2 4 2 3 3" xfId="8648" xr:uid="{00000000-0005-0000-0000-000083470000}"/>
    <cellStyle name="표준 5 2 3 2 2 4 2 3 3 2" xfId="29354" xr:uid="{00000000-0005-0000-0000-000084470000}"/>
    <cellStyle name="표준 5 2 3 2 2 4 2 3 3 3" xfId="37565" xr:uid="{00000000-0005-0000-0000-000085470000}"/>
    <cellStyle name="표준 5 2 3 2 2 4 2 3 3 4" xfId="45758" xr:uid="{00000000-0005-0000-0000-000086470000}"/>
    <cellStyle name="표준 5 2 3 2 2 4 2 3 4" xfId="12760" xr:uid="{00000000-0005-0000-0000-000087470000}"/>
    <cellStyle name="표준 5 2 3 2 2 4 2 3 5" xfId="17000" xr:uid="{00000000-0005-0000-0000-000088470000}"/>
    <cellStyle name="표준 5 2 3 2 2 4 2 3 6" xfId="21162" xr:uid="{00000000-0005-0000-0000-000089470000}"/>
    <cellStyle name="표준 5 2 3 2 2 4 2 3 7" xfId="25258" xr:uid="{00000000-0005-0000-0000-00008A470000}"/>
    <cellStyle name="표준 5 2 3 2 2 4 2 3 8" xfId="33469" xr:uid="{00000000-0005-0000-0000-00008B470000}"/>
    <cellStyle name="표준 5 2 3 2 2 4 2 3 9" xfId="41662" xr:uid="{00000000-0005-0000-0000-00008C470000}"/>
    <cellStyle name="표준 5 2 3 2 2 4 2 4" xfId="2305" xr:uid="{00000000-0005-0000-0000-00008D470000}"/>
    <cellStyle name="표준 5 2 3 2 2 4 2 4 2" xfId="11208" xr:uid="{00000000-0005-0000-0000-00008E470000}"/>
    <cellStyle name="표준 5 2 3 2 2 4 2 4 2 2" xfId="15320" xr:uid="{00000000-0005-0000-0000-00008F470000}"/>
    <cellStyle name="표준 5 2 3 2 2 4 2 4 2 2 2" xfId="31914" xr:uid="{00000000-0005-0000-0000-000090470000}"/>
    <cellStyle name="표준 5 2 3 2 2 4 2 4 2 2 3" xfId="40125" xr:uid="{00000000-0005-0000-0000-000091470000}"/>
    <cellStyle name="표준 5 2 3 2 2 4 2 4 2 2 4" xfId="48318" xr:uid="{00000000-0005-0000-0000-000092470000}"/>
    <cellStyle name="표준 5 2 3 2 2 4 2 4 2 3" xfId="19560" xr:uid="{00000000-0005-0000-0000-000093470000}"/>
    <cellStyle name="표준 5 2 3 2 2 4 2 4 2 4" xfId="23722" xr:uid="{00000000-0005-0000-0000-000094470000}"/>
    <cellStyle name="표준 5 2 3 2 2 4 2 4 2 5" xfId="27818" xr:uid="{00000000-0005-0000-0000-000095470000}"/>
    <cellStyle name="표준 5 2 3 2 2 4 2 4 2 6" xfId="36029" xr:uid="{00000000-0005-0000-0000-000096470000}"/>
    <cellStyle name="표준 5 2 3 2 2 4 2 4 2 7" xfId="44222" xr:uid="{00000000-0005-0000-0000-000097470000}"/>
    <cellStyle name="표준 5 2 3 2 2 4 2 4 3" xfId="9160" xr:uid="{00000000-0005-0000-0000-000098470000}"/>
    <cellStyle name="표준 5 2 3 2 2 4 2 4 3 2" xfId="29866" xr:uid="{00000000-0005-0000-0000-000099470000}"/>
    <cellStyle name="표준 5 2 3 2 2 4 2 4 3 3" xfId="38077" xr:uid="{00000000-0005-0000-0000-00009A470000}"/>
    <cellStyle name="표준 5 2 3 2 2 4 2 4 3 4" xfId="46270" xr:uid="{00000000-0005-0000-0000-00009B470000}"/>
    <cellStyle name="표준 5 2 3 2 2 4 2 4 4" xfId="13272" xr:uid="{00000000-0005-0000-0000-00009C470000}"/>
    <cellStyle name="표준 5 2 3 2 2 4 2 4 5" xfId="17512" xr:uid="{00000000-0005-0000-0000-00009D470000}"/>
    <cellStyle name="표준 5 2 3 2 2 4 2 4 6" xfId="21674" xr:uid="{00000000-0005-0000-0000-00009E470000}"/>
    <cellStyle name="표준 5 2 3 2 2 4 2 4 7" xfId="25770" xr:uid="{00000000-0005-0000-0000-00009F470000}"/>
    <cellStyle name="표준 5 2 3 2 2 4 2 4 8" xfId="33981" xr:uid="{00000000-0005-0000-0000-0000A0470000}"/>
    <cellStyle name="표준 5 2 3 2 2 4 2 4 9" xfId="42174" xr:uid="{00000000-0005-0000-0000-0000A1470000}"/>
    <cellStyle name="표준 5 2 3 2 2 4 2 5" xfId="9672" xr:uid="{00000000-0005-0000-0000-0000A2470000}"/>
    <cellStyle name="표준 5 2 3 2 2 4 2 5 2" xfId="13784" xr:uid="{00000000-0005-0000-0000-0000A3470000}"/>
    <cellStyle name="표준 5 2 3 2 2 4 2 5 2 2" xfId="30378" xr:uid="{00000000-0005-0000-0000-0000A4470000}"/>
    <cellStyle name="표준 5 2 3 2 2 4 2 5 2 3" xfId="38589" xr:uid="{00000000-0005-0000-0000-0000A5470000}"/>
    <cellStyle name="표준 5 2 3 2 2 4 2 5 2 4" xfId="46782" xr:uid="{00000000-0005-0000-0000-0000A6470000}"/>
    <cellStyle name="표준 5 2 3 2 2 4 2 5 3" xfId="18024" xr:uid="{00000000-0005-0000-0000-0000A7470000}"/>
    <cellStyle name="표준 5 2 3 2 2 4 2 5 4" xfId="22186" xr:uid="{00000000-0005-0000-0000-0000A8470000}"/>
    <cellStyle name="표준 5 2 3 2 2 4 2 5 5" xfId="26282" xr:uid="{00000000-0005-0000-0000-0000A9470000}"/>
    <cellStyle name="표준 5 2 3 2 2 4 2 5 6" xfId="34493" xr:uid="{00000000-0005-0000-0000-0000AA470000}"/>
    <cellStyle name="표준 5 2 3 2 2 4 2 5 7" xfId="42686" xr:uid="{00000000-0005-0000-0000-0000AB470000}"/>
    <cellStyle name="표준 5 2 3 2 2 4 2 6" xfId="7624" xr:uid="{00000000-0005-0000-0000-0000AC470000}"/>
    <cellStyle name="표준 5 2 3 2 2 4 2 6 2" xfId="28330" xr:uid="{00000000-0005-0000-0000-0000AD470000}"/>
    <cellStyle name="표준 5 2 3 2 2 4 2 6 3" xfId="36541" xr:uid="{00000000-0005-0000-0000-0000AE470000}"/>
    <cellStyle name="표준 5 2 3 2 2 4 2 6 4" xfId="44734" xr:uid="{00000000-0005-0000-0000-0000AF470000}"/>
    <cellStyle name="표준 5 2 3 2 2 4 2 7" xfId="11736" xr:uid="{00000000-0005-0000-0000-0000B0470000}"/>
    <cellStyle name="표준 5 2 3 2 2 4 2 8" xfId="15976" xr:uid="{00000000-0005-0000-0000-0000B1470000}"/>
    <cellStyle name="표준 5 2 3 2 2 4 2 9" xfId="20138" xr:uid="{00000000-0005-0000-0000-0000B2470000}"/>
    <cellStyle name="표준 5 2 3 2 2 4 3" xfId="1025" xr:uid="{00000000-0005-0000-0000-0000B3470000}"/>
    <cellStyle name="표준 5 2 3 2 2 4 3 2" xfId="9928" xr:uid="{00000000-0005-0000-0000-0000B4470000}"/>
    <cellStyle name="표준 5 2 3 2 2 4 3 2 2" xfId="14040" xr:uid="{00000000-0005-0000-0000-0000B5470000}"/>
    <cellStyle name="표준 5 2 3 2 2 4 3 2 2 2" xfId="30634" xr:uid="{00000000-0005-0000-0000-0000B6470000}"/>
    <cellStyle name="표준 5 2 3 2 2 4 3 2 2 3" xfId="38845" xr:uid="{00000000-0005-0000-0000-0000B7470000}"/>
    <cellStyle name="표준 5 2 3 2 2 4 3 2 2 4" xfId="47038" xr:uid="{00000000-0005-0000-0000-0000B8470000}"/>
    <cellStyle name="표준 5 2 3 2 2 4 3 2 3" xfId="18280" xr:uid="{00000000-0005-0000-0000-0000B9470000}"/>
    <cellStyle name="표준 5 2 3 2 2 4 3 2 4" xfId="22442" xr:uid="{00000000-0005-0000-0000-0000BA470000}"/>
    <cellStyle name="표준 5 2 3 2 2 4 3 2 5" xfId="26538" xr:uid="{00000000-0005-0000-0000-0000BB470000}"/>
    <cellStyle name="표준 5 2 3 2 2 4 3 2 6" xfId="34749" xr:uid="{00000000-0005-0000-0000-0000BC470000}"/>
    <cellStyle name="표준 5 2 3 2 2 4 3 2 7" xfId="42942" xr:uid="{00000000-0005-0000-0000-0000BD470000}"/>
    <cellStyle name="표준 5 2 3 2 2 4 3 3" xfId="7880" xr:uid="{00000000-0005-0000-0000-0000BE470000}"/>
    <cellStyle name="표준 5 2 3 2 2 4 3 3 2" xfId="28586" xr:uid="{00000000-0005-0000-0000-0000BF470000}"/>
    <cellStyle name="표준 5 2 3 2 2 4 3 3 3" xfId="36797" xr:uid="{00000000-0005-0000-0000-0000C0470000}"/>
    <cellStyle name="표준 5 2 3 2 2 4 3 3 4" xfId="44990" xr:uid="{00000000-0005-0000-0000-0000C1470000}"/>
    <cellStyle name="표준 5 2 3 2 2 4 3 4" xfId="11992" xr:uid="{00000000-0005-0000-0000-0000C2470000}"/>
    <cellStyle name="표준 5 2 3 2 2 4 3 5" xfId="16232" xr:uid="{00000000-0005-0000-0000-0000C3470000}"/>
    <cellStyle name="표준 5 2 3 2 2 4 3 6" xfId="20394" xr:uid="{00000000-0005-0000-0000-0000C4470000}"/>
    <cellStyle name="표준 5 2 3 2 2 4 3 7" xfId="24490" xr:uid="{00000000-0005-0000-0000-0000C5470000}"/>
    <cellStyle name="표준 5 2 3 2 2 4 3 8" xfId="32701" xr:uid="{00000000-0005-0000-0000-0000C6470000}"/>
    <cellStyle name="표준 5 2 3 2 2 4 3 9" xfId="40894" xr:uid="{00000000-0005-0000-0000-0000C7470000}"/>
    <cellStyle name="표준 5 2 3 2 2 4 4" xfId="1537" xr:uid="{00000000-0005-0000-0000-0000C8470000}"/>
    <cellStyle name="표준 5 2 3 2 2 4 4 2" xfId="10440" xr:uid="{00000000-0005-0000-0000-0000C9470000}"/>
    <cellStyle name="표준 5 2 3 2 2 4 4 2 2" xfId="14552" xr:uid="{00000000-0005-0000-0000-0000CA470000}"/>
    <cellStyle name="표준 5 2 3 2 2 4 4 2 2 2" xfId="31146" xr:uid="{00000000-0005-0000-0000-0000CB470000}"/>
    <cellStyle name="표준 5 2 3 2 2 4 4 2 2 3" xfId="39357" xr:uid="{00000000-0005-0000-0000-0000CC470000}"/>
    <cellStyle name="표준 5 2 3 2 2 4 4 2 2 4" xfId="47550" xr:uid="{00000000-0005-0000-0000-0000CD470000}"/>
    <cellStyle name="표준 5 2 3 2 2 4 4 2 3" xfId="18792" xr:uid="{00000000-0005-0000-0000-0000CE470000}"/>
    <cellStyle name="표준 5 2 3 2 2 4 4 2 4" xfId="22954" xr:uid="{00000000-0005-0000-0000-0000CF470000}"/>
    <cellStyle name="표준 5 2 3 2 2 4 4 2 5" xfId="27050" xr:uid="{00000000-0005-0000-0000-0000D0470000}"/>
    <cellStyle name="표준 5 2 3 2 2 4 4 2 6" xfId="35261" xr:uid="{00000000-0005-0000-0000-0000D1470000}"/>
    <cellStyle name="표준 5 2 3 2 2 4 4 2 7" xfId="43454" xr:uid="{00000000-0005-0000-0000-0000D2470000}"/>
    <cellStyle name="표준 5 2 3 2 2 4 4 3" xfId="8392" xr:uid="{00000000-0005-0000-0000-0000D3470000}"/>
    <cellStyle name="표준 5 2 3 2 2 4 4 3 2" xfId="29098" xr:uid="{00000000-0005-0000-0000-0000D4470000}"/>
    <cellStyle name="표준 5 2 3 2 2 4 4 3 3" xfId="37309" xr:uid="{00000000-0005-0000-0000-0000D5470000}"/>
    <cellStyle name="표준 5 2 3 2 2 4 4 3 4" xfId="45502" xr:uid="{00000000-0005-0000-0000-0000D6470000}"/>
    <cellStyle name="표준 5 2 3 2 2 4 4 4" xfId="12504" xr:uid="{00000000-0005-0000-0000-0000D7470000}"/>
    <cellStyle name="표준 5 2 3 2 2 4 4 5" xfId="16744" xr:uid="{00000000-0005-0000-0000-0000D8470000}"/>
    <cellStyle name="표준 5 2 3 2 2 4 4 6" xfId="20906" xr:uid="{00000000-0005-0000-0000-0000D9470000}"/>
    <cellStyle name="표준 5 2 3 2 2 4 4 7" xfId="25002" xr:uid="{00000000-0005-0000-0000-0000DA470000}"/>
    <cellStyle name="표준 5 2 3 2 2 4 4 8" xfId="33213" xr:uid="{00000000-0005-0000-0000-0000DB470000}"/>
    <cellStyle name="표준 5 2 3 2 2 4 4 9" xfId="41406" xr:uid="{00000000-0005-0000-0000-0000DC470000}"/>
    <cellStyle name="표준 5 2 3 2 2 4 5" xfId="2049" xr:uid="{00000000-0005-0000-0000-0000DD470000}"/>
    <cellStyle name="표준 5 2 3 2 2 4 5 2" xfId="10952" xr:uid="{00000000-0005-0000-0000-0000DE470000}"/>
    <cellStyle name="표준 5 2 3 2 2 4 5 2 2" xfId="15064" xr:uid="{00000000-0005-0000-0000-0000DF470000}"/>
    <cellStyle name="표준 5 2 3 2 2 4 5 2 2 2" xfId="31658" xr:uid="{00000000-0005-0000-0000-0000E0470000}"/>
    <cellStyle name="표준 5 2 3 2 2 4 5 2 2 3" xfId="39869" xr:uid="{00000000-0005-0000-0000-0000E1470000}"/>
    <cellStyle name="표준 5 2 3 2 2 4 5 2 2 4" xfId="48062" xr:uid="{00000000-0005-0000-0000-0000E2470000}"/>
    <cellStyle name="표준 5 2 3 2 2 4 5 2 3" xfId="19304" xr:uid="{00000000-0005-0000-0000-0000E3470000}"/>
    <cellStyle name="표준 5 2 3 2 2 4 5 2 4" xfId="23466" xr:uid="{00000000-0005-0000-0000-0000E4470000}"/>
    <cellStyle name="표준 5 2 3 2 2 4 5 2 5" xfId="27562" xr:uid="{00000000-0005-0000-0000-0000E5470000}"/>
    <cellStyle name="표준 5 2 3 2 2 4 5 2 6" xfId="35773" xr:uid="{00000000-0005-0000-0000-0000E6470000}"/>
    <cellStyle name="표준 5 2 3 2 2 4 5 2 7" xfId="43966" xr:uid="{00000000-0005-0000-0000-0000E7470000}"/>
    <cellStyle name="표준 5 2 3 2 2 4 5 3" xfId="8904" xr:uid="{00000000-0005-0000-0000-0000E8470000}"/>
    <cellStyle name="표준 5 2 3 2 2 4 5 3 2" xfId="29610" xr:uid="{00000000-0005-0000-0000-0000E9470000}"/>
    <cellStyle name="표준 5 2 3 2 2 4 5 3 3" xfId="37821" xr:uid="{00000000-0005-0000-0000-0000EA470000}"/>
    <cellStyle name="표준 5 2 3 2 2 4 5 3 4" xfId="46014" xr:uid="{00000000-0005-0000-0000-0000EB470000}"/>
    <cellStyle name="표준 5 2 3 2 2 4 5 4" xfId="13016" xr:uid="{00000000-0005-0000-0000-0000EC470000}"/>
    <cellStyle name="표준 5 2 3 2 2 4 5 5" xfId="17256" xr:uid="{00000000-0005-0000-0000-0000ED470000}"/>
    <cellStyle name="표준 5 2 3 2 2 4 5 6" xfId="21418" xr:uid="{00000000-0005-0000-0000-0000EE470000}"/>
    <cellStyle name="표준 5 2 3 2 2 4 5 7" xfId="25514" xr:uid="{00000000-0005-0000-0000-0000EF470000}"/>
    <cellStyle name="표준 5 2 3 2 2 4 5 8" xfId="33725" xr:uid="{00000000-0005-0000-0000-0000F0470000}"/>
    <cellStyle name="표준 5 2 3 2 2 4 5 9" xfId="41918" xr:uid="{00000000-0005-0000-0000-0000F1470000}"/>
    <cellStyle name="표준 5 2 3 2 2 4 6" xfId="9416" xr:uid="{00000000-0005-0000-0000-0000F2470000}"/>
    <cellStyle name="표준 5 2 3 2 2 4 6 2" xfId="13528" xr:uid="{00000000-0005-0000-0000-0000F3470000}"/>
    <cellStyle name="표준 5 2 3 2 2 4 6 2 2" xfId="30122" xr:uid="{00000000-0005-0000-0000-0000F4470000}"/>
    <cellStyle name="표준 5 2 3 2 2 4 6 2 3" xfId="38333" xr:uid="{00000000-0005-0000-0000-0000F5470000}"/>
    <cellStyle name="표준 5 2 3 2 2 4 6 2 4" xfId="46526" xr:uid="{00000000-0005-0000-0000-0000F6470000}"/>
    <cellStyle name="표준 5 2 3 2 2 4 6 3" xfId="17768" xr:uid="{00000000-0005-0000-0000-0000F7470000}"/>
    <cellStyle name="표준 5 2 3 2 2 4 6 4" xfId="21930" xr:uid="{00000000-0005-0000-0000-0000F8470000}"/>
    <cellStyle name="표준 5 2 3 2 2 4 6 5" xfId="26026" xr:uid="{00000000-0005-0000-0000-0000F9470000}"/>
    <cellStyle name="표준 5 2 3 2 2 4 6 6" xfId="34237" xr:uid="{00000000-0005-0000-0000-0000FA470000}"/>
    <cellStyle name="표준 5 2 3 2 2 4 6 7" xfId="42430" xr:uid="{00000000-0005-0000-0000-0000FB470000}"/>
    <cellStyle name="표준 5 2 3 2 2 4 7" xfId="7368" xr:uid="{00000000-0005-0000-0000-0000FC470000}"/>
    <cellStyle name="표준 5 2 3 2 2 4 7 2" xfId="28074" xr:uid="{00000000-0005-0000-0000-0000FD470000}"/>
    <cellStyle name="표준 5 2 3 2 2 4 7 3" xfId="36285" xr:uid="{00000000-0005-0000-0000-0000FE470000}"/>
    <cellStyle name="표준 5 2 3 2 2 4 7 4" xfId="44478" xr:uid="{00000000-0005-0000-0000-0000FF470000}"/>
    <cellStyle name="표준 5 2 3 2 2 4 8" xfId="11480" xr:uid="{00000000-0005-0000-0000-000000480000}"/>
    <cellStyle name="표준 5 2 3 2 2 4 9" xfId="15720" xr:uid="{00000000-0005-0000-0000-000001480000}"/>
    <cellStyle name="표준 5 2 3 2 2 5" xfId="641" xr:uid="{00000000-0005-0000-0000-000002480000}"/>
    <cellStyle name="표준 5 2 3 2 2 5 10" xfId="24106" xr:uid="{00000000-0005-0000-0000-000003480000}"/>
    <cellStyle name="표준 5 2 3 2 2 5 11" xfId="32317" xr:uid="{00000000-0005-0000-0000-000004480000}"/>
    <cellStyle name="표준 5 2 3 2 2 5 12" xfId="40510" xr:uid="{00000000-0005-0000-0000-000005480000}"/>
    <cellStyle name="표준 5 2 3 2 2 5 2" xfId="1153" xr:uid="{00000000-0005-0000-0000-000006480000}"/>
    <cellStyle name="표준 5 2 3 2 2 5 2 2" xfId="10056" xr:uid="{00000000-0005-0000-0000-000007480000}"/>
    <cellStyle name="표준 5 2 3 2 2 5 2 2 2" xfId="14168" xr:uid="{00000000-0005-0000-0000-000008480000}"/>
    <cellStyle name="표준 5 2 3 2 2 5 2 2 2 2" xfId="30762" xr:uid="{00000000-0005-0000-0000-000009480000}"/>
    <cellStyle name="표준 5 2 3 2 2 5 2 2 2 3" xfId="38973" xr:uid="{00000000-0005-0000-0000-00000A480000}"/>
    <cellStyle name="표준 5 2 3 2 2 5 2 2 2 4" xfId="47166" xr:uid="{00000000-0005-0000-0000-00000B480000}"/>
    <cellStyle name="표준 5 2 3 2 2 5 2 2 3" xfId="18408" xr:uid="{00000000-0005-0000-0000-00000C480000}"/>
    <cellStyle name="표준 5 2 3 2 2 5 2 2 4" xfId="22570" xr:uid="{00000000-0005-0000-0000-00000D480000}"/>
    <cellStyle name="표준 5 2 3 2 2 5 2 2 5" xfId="26666" xr:uid="{00000000-0005-0000-0000-00000E480000}"/>
    <cellStyle name="표준 5 2 3 2 2 5 2 2 6" xfId="34877" xr:uid="{00000000-0005-0000-0000-00000F480000}"/>
    <cellStyle name="표준 5 2 3 2 2 5 2 2 7" xfId="43070" xr:uid="{00000000-0005-0000-0000-000010480000}"/>
    <cellStyle name="표준 5 2 3 2 2 5 2 3" xfId="8008" xr:uid="{00000000-0005-0000-0000-000011480000}"/>
    <cellStyle name="표준 5 2 3 2 2 5 2 3 2" xfId="28714" xr:uid="{00000000-0005-0000-0000-000012480000}"/>
    <cellStyle name="표준 5 2 3 2 2 5 2 3 3" xfId="36925" xr:uid="{00000000-0005-0000-0000-000013480000}"/>
    <cellStyle name="표준 5 2 3 2 2 5 2 3 4" xfId="45118" xr:uid="{00000000-0005-0000-0000-000014480000}"/>
    <cellStyle name="표준 5 2 3 2 2 5 2 4" xfId="12120" xr:uid="{00000000-0005-0000-0000-000015480000}"/>
    <cellStyle name="표준 5 2 3 2 2 5 2 5" xfId="16360" xr:uid="{00000000-0005-0000-0000-000016480000}"/>
    <cellStyle name="표준 5 2 3 2 2 5 2 6" xfId="20522" xr:uid="{00000000-0005-0000-0000-000017480000}"/>
    <cellStyle name="표준 5 2 3 2 2 5 2 7" xfId="24618" xr:uid="{00000000-0005-0000-0000-000018480000}"/>
    <cellStyle name="표준 5 2 3 2 2 5 2 8" xfId="32829" xr:uid="{00000000-0005-0000-0000-000019480000}"/>
    <cellStyle name="표준 5 2 3 2 2 5 2 9" xfId="41022" xr:uid="{00000000-0005-0000-0000-00001A480000}"/>
    <cellStyle name="표준 5 2 3 2 2 5 3" xfId="1665" xr:uid="{00000000-0005-0000-0000-00001B480000}"/>
    <cellStyle name="표준 5 2 3 2 2 5 3 2" xfId="10568" xr:uid="{00000000-0005-0000-0000-00001C480000}"/>
    <cellStyle name="표준 5 2 3 2 2 5 3 2 2" xfId="14680" xr:uid="{00000000-0005-0000-0000-00001D480000}"/>
    <cellStyle name="표준 5 2 3 2 2 5 3 2 2 2" xfId="31274" xr:uid="{00000000-0005-0000-0000-00001E480000}"/>
    <cellStyle name="표준 5 2 3 2 2 5 3 2 2 3" xfId="39485" xr:uid="{00000000-0005-0000-0000-00001F480000}"/>
    <cellStyle name="표준 5 2 3 2 2 5 3 2 2 4" xfId="47678" xr:uid="{00000000-0005-0000-0000-000020480000}"/>
    <cellStyle name="표준 5 2 3 2 2 5 3 2 3" xfId="18920" xr:uid="{00000000-0005-0000-0000-000021480000}"/>
    <cellStyle name="표준 5 2 3 2 2 5 3 2 4" xfId="23082" xr:uid="{00000000-0005-0000-0000-000022480000}"/>
    <cellStyle name="표준 5 2 3 2 2 5 3 2 5" xfId="27178" xr:uid="{00000000-0005-0000-0000-000023480000}"/>
    <cellStyle name="표준 5 2 3 2 2 5 3 2 6" xfId="35389" xr:uid="{00000000-0005-0000-0000-000024480000}"/>
    <cellStyle name="표준 5 2 3 2 2 5 3 2 7" xfId="43582" xr:uid="{00000000-0005-0000-0000-000025480000}"/>
    <cellStyle name="표준 5 2 3 2 2 5 3 3" xfId="8520" xr:uid="{00000000-0005-0000-0000-000026480000}"/>
    <cellStyle name="표준 5 2 3 2 2 5 3 3 2" xfId="29226" xr:uid="{00000000-0005-0000-0000-000027480000}"/>
    <cellStyle name="표준 5 2 3 2 2 5 3 3 3" xfId="37437" xr:uid="{00000000-0005-0000-0000-000028480000}"/>
    <cellStyle name="표준 5 2 3 2 2 5 3 3 4" xfId="45630" xr:uid="{00000000-0005-0000-0000-000029480000}"/>
    <cellStyle name="표준 5 2 3 2 2 5 3 4" xfId="12632" xr:uid="{00000000-0005-0000-0000-00002A480000}"/>
    <cellStyle name="표준 5 2 3 2 2 5 3 5" xfId="16872" xr:uid="{00000000-0005-0000-0000-00002B480000}"/>
    <cellStyle name="표준 5 2 3 2 2 5 3 6" xfId="21034" xr:uid="{00000000-0005-0000-0000-00002C480000}"/>
    <cellStyle name="표준 5 2 3 2 2 5 3 7" xfId="25130" xr:uid="{00000000-0005-0000-0000-00002D480000}"/>
    <cellStyle name="표준 5 2 3 2 2 5 3 8" xfId="33341" xr:uid="{00000000-0005-0000-0000-00002E480000}"/>
    <cellStyle name="표준 5 2 3 2 2 5 3 9" xfId="41534" xr:uid="{00000000-0005-0000-0000-00002F480000}"/>
    <cellStyle name="표준 5 2 3 2 2 5 4" xfId="2177" xr:uid="{00000000-0005-0000-0000-000030480000}"/>
    <cellStyle name="표준 5 2 3 2 2 5 4 2" xfId="11080" xr:uid="{00000000-0005-0000-0000-000031480000}"/>
    <cellStyle name="표준 5 2 3 2 2 5 4 2 2" xfId="15192" xr:uid="{00000000-0005-0000-0000-000032480000}"/>
    <cellStyle name="표준 5 2 3 2 2 5 4 2 2 2" xfId="31786" xr:uid="{00000000-0005-0000-0000-000033480000}"/>
    <cellStyle name="표준 5 2 3 2 2 5 4 2 2 3" xfId="39997" xr:uid="{00000000-0005-0000-0000-000034480000}"/>
    <cellStyle name="표준 5 2 3 2 2 5 4 2 2 4" xfId="48190" xr:uid="{00000000-0005-0000-0000-000035480000}"/>
    <cellStyle name="표준 5 2 3 2 2 5 4 2 3" xfId="19432" xr:uid="{00000000-0005-0000-0000-000036480000}"/>
    <cellStyle name="표준 5 2 3 2 2 5 4 2 4" xfId="23594" xr:uid="{00000000-0005-0000-0000-000037480000}"/>
    <cellStyle name="표준 5 2 3 2 2 5 4 2 5" xfId="27690" xr:uid="{00000000-0005-0000-0000-000038480000}"/>
    <cellStyle name="표준 5 2 3 2 2 5 4 2 6" xfId="35901" xr:uid="{00000000-0005-0000-0000-000039480000}"/>
    <cellStyle name="표준 5 2 3 2 2 5 4 2 7" xfId="44094" xr:uid="{00000000-0005-0000-0000-00003A480000}"/>
    <cellStyle name="표준 5 2 3 2 2 5 4 3" xfId="9032" xr:uid="{00000000-0005-0000-0000-00003B480000}"/>
    <cellStyle name="표준 5 2 3 2 2 5 4 3 2" xfId="29738" xr:uid="{00000000-0005-0000-0000-00003C480000}"/>
    <cellStyle name="표준 5 2 3 2 2 5 4 3 3" xfId="37949" xr:uid="{00000000-0005-0000-0000-00003D480000}"/>
    <cellStyle name="표준 5 2 3 2 2 5 4 3 4" xfId="46142" xr:uid="{00000000-0005-0000-0000-00003E480000}"/>
    <cellStyle name="표준 5 2 3 2 2 5 4 4" xfId="13144" xr:uid="{00000000-0005-0000-0000-00003F480000}"/>
    <cellStyle name="표준 5 2 3 2 2 5 4 5" xfId="17384" xr:uid="{00000000-0005-0000-0000-000040480000}"/>
    <cellStyle name="표준 5 2 3 2 2 5 4 6" xfId="21546" xr:uid="{00000000-0005-0000-0000-000041480000}"/>
    <cellStyle name="표준 5 2 3 2 2 5 4 7" xfId="25642" xr:uid="{00000000-0005-0000-0000-000042480000}"/>
    <cellStyle name="표준 5 2 3 2 2 5 4 8" xfId="33853" xr:uid="{00000000-0005-0000-0000-000043480000}"/>
    <cellStyle name="표준 5 2 3 2 2 5 4 9" xfId="42046" xr:uid="{00000000-0005-0000-0000-000044480000}"/>
    <cellStyle name="표준 5 2 3 2 2 5 5" xfId="9544" xr:uid="{00000000-0005-0000-0000-000045480000}"/>
    <cellStyle name="표준 5 2 3 2 2 5 5 2" xfId="13656" xr:uid="{00000000-0005-0000-0000-000046480000}"/>
    <cellStyle name="표준 5 2 3 2 2 5 5 2 2" xfId="30250" xr:uid="{00000000-0005-0000-0000-000047480000}"/>
    <cellStyle name="표준 5 2 3 2 2 5 5 2 3" xfId="38461" xr:uid="{00000000-0005-0000-0000-000048480000}"/>
    <cellStyle name="표준 5 2 3 2 2 5 5 2 4" xfId="46654" xr:uid="{00000000-0005-0000-0000-000049480000}"/>
    <cellStyle name="표준 5 2 3 2 2 5 5 3" xfId="17896" xr:uid="{00000000-0005-0000-0000-00004A480000}"/>
    <cellStyle name="표준 5 2 3 2 2 5 5 4" xfId="22058" xr:uid="{00000000-0005-0000-0000-00004B480000}"/>
    <cellStyle name="표준 5 2 3 2 2 5 5 5" xfId="26154" xr:uid="{00000000-0005-0000-0000-00004C480000}"/>
    <cellStyle name="표준 5 2 3 2 2 5 5 6" xfId="34365" xr:uid="{00000000-0005-0000-0000-00004D480000}"/>
    <cellStyle name="표준 5 2 3 2 2 5 5 7" xfId="42558" xr:uid="{00000000-0005-0000-0000-00004E480000}"/>
    <cellStyle name="표준 5 2 3 2 2 5 6" xfId="7496" xr:uid="{00000000-0005-0000-0000-00004F480000}"/>
    <cellStyle name="표준 5 2 3 2 2 5 6 2" xfId="28202" xr:uid="{00000000-0005-0000-0000-000050480000}"/>
    <cellStyle name="표준 5 2 3 2 2 5 6 3" xfId="36413" xr:uid="{00000000-0005-0000-0000-000051480000}"/>
    <cellStyle name="표준 5 2 3 2 2 5 6 4" xfId="44606" xr:uid="{00000000-0005-0000-0000-000052480000}"/>
    <cellStyle name="표준 5 2 3 2 2 5 7" xfId="11608" xr:uid="{00000000-0005-0000-0000-000053480000}"/>
    <cellStyle name="표준 5 2 3 2 2 5 8" xfId="15848" xr:uid="{00000000-0005-0000-0000-000054480000}"/>
    <cellStyle name="표준 5 2 3 2 2 5 9" xfId="20010" xr:uid="{00000000-0005-0000-0000-000055480000}"/>
    <cellStyle name="표준 5 2 3 2 2 6" xfId="897" xr:uid="{00000000-0005-0000-0000-000056480000}"/>
    <cellStyle name="표준 5 2 3 2 2 6 2" xfId="9800" xr:uid="{00000000-0005-0000-0000-000057480000}"/>
    <cellStyle name="표준 5 2 3 2 2 6 2 2" xfId="13912" xr:uid="{00000000-0005-0000-0000-000058480000}"/>
    <cellStyle name="표준 5 2 3 2 2 6 2 2 2" xfId="30506" xr:uid="{00000000-0005-0000-0000-000059480000}"/>
    <cellStyle name="표준 5 2 3 2 2 6 2 2 3" xfId="38717" xr:uid="{00000000-0005-0000-0000-00005A480000}"/>
    <cellStyle name="표준 5 2 3 2 2 6 2 2 4" xfId="46910" xr:uid="{00000000-0005-0000-0000-00005B480000}"/>
    <cellStyle name="표준 5 2 3 2 2 6 2 3" xfId="18152" xr:uid="{00000000-0005-0000-0000-00005C480000}"/>
    <cellStyle name="표준 5 2 3 2 2 6 2 4" xfId="22314" xr:uid="{00000000-0005-0000-0000-00005D480000}"/>
    <cellStyle name="표준 5 2 3 2 2 6 2 5" xfId="26410" xr:uid="{00000000-0005-0000-0000-00005E480000}"/>
    <cellStyle name="표준 5 2 3 2 2 6 2 6" xfId="34621" xr:uid="{00000000-0005-0000-0000-00005F480000}"/>
    <cellStyle name="표준 5 2 3 2 2 6 2 7" xfId="42814" xr:uid="{00000000-0005-0000-0000-000060480000}"/>
    <cellStyle name="표준 5 2 3 2 2 6 3" xfId="7752" xr:uid="{00000000-0005-0000-0000-000061480000}"/>
    <cellStyle name="표준 5 2 3 2 2 6 3 2" xfId="28458" xr:uid="{00000000-0005-0000-0000-000062480000}"/>
    <cellStyle name="표준 5 2 3 2 2 6 3 3" xfId="36669" xr:uid="{00000000-0005-0000-0000-000063480000}"/>
    <cellStyle name="표준 5 2 3 2 2 6 3 4" xfId="44862" xr:uid="{00000000-0005-0000-0000-000064480000}"/>
    <cellStyle name="표준 5 2 3 2 2 6 4" xfId="11864" xr:uid="{00000000-0005-0000-0000-000065480000}"/>
    <cellStyle name="표준 5 2 3 2 2 6 5" xfId="16104" xr:uid="{00000000-0005-0000-0000-000066480000}"/>
    <cellStyle name="표준 5 2 3 2 2 6 6" xfId="20266" xr:uid="{00000000-0005-0000-0000-000067480000}"/>
    <cellStyle name="표준 5 2 3 2 2 6 7" xfId="24362" xr:uid="{00000000-0005-0000-0000-000068480000}"/>
    <cellStyle name="표준 5 2 3 2 2 6 8" xfId="32573" xr:uid="{00000000-0005-0000-0000-000069480000}"/>
    <cellStyle name="표준 5 2 3 2 2 6 9" xfId="40766" xr:uid="{00000000-0005-0000-0000-00006A480000}"/>
    <cellStyle name="표준 5 2 3 2 2 7" xfId="1409" xr:uid="{00000000-0005-0000-0000-00006B480000}"/>
    <cellStyle name="표준 5 2 3 2 2 7 2" xfId="10312" xr:uid="{00000000-0005-0000-0000-00006C480000}"/>
    <cellStyle name="표준 5 2 3 2 2 7 2 2" xfId="14424" xr:uid="{00000000-0005-0000-0000-00006D480000}"/>
    <cellStyle name="표준 5 2 3 2 2 7 2 2 2" xfId="31018" xr:uid="{00000000-0005-0000-0000-00006E480000}"/>
    <cellStyle name="표준 5 2 3 2 2 7 2 2 3" xfId="39229" xr:uid="{00000000-0005-0000-0000-00006F480000}"/>
    <cellStyle name="표준 5 2 3 2 2 7 2 2 4" xfId="47422" xr:uid="{00000000-0005-0000-0000-000070480000}"/>
    <cellStyle name="표준 5 2 3 2 2 7 2 3" xfId="18664" xr:uid="{00000000-0005-0000-0000-000071480000}"/>
    <cellStyle name="표준 5 2 3 2 2 7 2 4" xfId="22826" xr:uid="{00000000-0005-0000-0000-000072480000}"/>
    <cellStyle name="표준 5 2 3 2 2 7 2 5" xfId="26922" xr:uid="{00000000-0005-0000-0000-000073480000}"/>
    <cellStyle name="표준 5 2 3 2 2 7 2 6" xfId="35133" xr:uid="{00000000-0005-0000-0000-000074480000}"/>
    <cellStyle name="표준 5 2 3 2 2 7 2 7" xfId="43326" xr:uid="{00000000-0005-0000-0000-000075480000}"/>
    <cellStyle name="표준 5 2 3 2 2 7 3" xfId="8264" xr:uid="{00000000-0005-0000-0000-000076480000}"/>
    <cellStyle name="표준 5 2 3 2 2 7 3 2" xfId="28970" xr:uid="{00000000-0005-0000-0000-000077480000}"/>
    <cellStyle name="표준 5 2 3 2 2 7 3 3" xfId="37181" xr:uid="{00000000-0005-0000-0000-000078480000}"/>
    <cellStyle name="표준 5 2 3 2 2 7 3 4" xfId="45374" xr:uid="{00000000-0005-0000-0000-000079480000}"/>
    <cellStyle name="표준 5 2 3 2 2 7 4" xfId="12376" xr:uid="{00000000-0005-0000-0000-00007A480000}"/>
    <cellStyle name="표준 5 2 3 2 2 7 5" xfId="16616" xr:uid="{00000000-0005-0000-0000-00007B480000}"/>
    <cellStyle name="표준 5 2 3 2 2 7 6" xfId="20778" xr:uid="{00000000-0005-0000-0000-00007C480000}"/>
    <cellStyle name="표준 5 2 3 2 2 7 7" xfId="24874" xr:uid="{00000000-0005-0000-0000-00007D480000}"/>
    <cellStyle name="표준 5 2 3 2 2 7 8" xfId="33085" xr:uid="{00000000-0005-0000-0000-00007E480000}"/>
    <cellStyle name="표준 5 2 3 2 2 7 9" xfId="41278" xr:uid="{00000000-0005-0000-0000-00007F480000}"/>
    <cellStyle name="표준 5 2 3 2 2 8" xfId="1921" xr:uid="{00000000-0005-0000-0000-000080480000}"/>
    <cellStyle name="표준 5 2 3 2 2 8 2" xfId="10824" xr:uid="{00000000-0005-0000-0000-000081480000}"/>
    <cellStyle name="표준 5 2 3 2 2 8 2 2" xfId="14936" xr:uid="{00000000-0005-0000-0000-000082480000}"/>
    <cellStyle name="표준 5 2 3 2 2 8 2 2 2" xfId="31530" xr:uid="{00000000-0005-0000-0000-000083480000}"/>
    <cellStyle name="표준 5 2 3 2 2 8 2 2 3" xfId="39741" xr:uid="{00000000-0005-0000-0000-000084480000}"/>
    <cellStyle name="표준 5 2 3 2 2 8 2 2 4" xfId="47934" xr:uid="{00000000-0005-0000-0000-000085480000}"/>
    <cellStyle name="표준 5 2 3 2 2 8 2 3" xfId="19176" xr:uid="{00000000-0005-0000-0000-000086480000}"/>
    <cellStyle name="표준 5 2 3 2 2 8 2 4" xfId="23338" xr:uid="{00000000-0005-0000-0000-000087480000}"/>
    <cellStyle name="표준 5 2 3 2 2 8 2 5" xfId="27434" xr:uid="{00000000-0005-0000-0000-000088480000}"/>
    <cellStyle name="표준 5 2 3 2 2 8 2 6" xfId="35645" xr:uid="{00000000-0005-0000-0000-000089480000}"/>
    <cellStyle name="표준 5 2 3 2 2 8 2 7" xfId="43838" xr:uid="{00000000-0005-0000-0000-00008A480000}"/>
    <cellStyle name="표준 5 2 3 2 2 8 3" xfId="8776" xr:uid="{00000000-0005-0000-0000-00008B480000}"/>
    <cellStyle name="표준 5 2 3 2 2 8 3 2" xfId="29482" xr:uid="{00000000-0005-0000-0000-00008C480000}"/>
    <cellStyle name="표준 5 2 3 2 2 8 3 3" xfId="37693" xr:uid="{00000000-0005-0000-0000-00008D480000}"/>
    <cellStyle name="표준 5 2 3 2 2 8 3 4" xfId="45886" xr:uid="{00000000-0005-0000-0000-00008E480000}"/>
    <cellStyle name="표준 5 2 3 2 2 8 4" xfId="12888" xr:uid="{00000000-0005-0000-0000-00008F480000}"/>
    <cellStyle name="표준 5 2 3 2 2 8 5" xfId="17128" xr:uid="{00000000-0005-0000-0000-000090480000}"/>
    <cellStyle name="표준 5 2 3 2 2 8 6" xfId="21290" xr:uid="{00000000-0005-0000-0000-000091480000}"/>
    <cellStyle name="표준 5 2 3 2 2 8 7" xfId="25386" xr:uid="{00000000-0005-0000-0000-000092480000}"/>
    <cellStyle name="표준 5 2 3 2 2 8 8" xfId="33597" xr:uid="{00000000-0005-0000-0000-000093480000}"/>
    <cellStyle name="표준 5 2 3 2 2 8 9" xfId="41790" xr:uid="{00000000-0005-0000-0000-000094480000}"/>
    <cellStyle name="표준 5 2 3 2 2 9" xfId="6977" xr:uid="{00000000-0005-0000-0000-000095480000}"/>
    <cellStyle name="표준 5 2 3 2 2 9 2" xfId="9288" xr:uid="{00000000-0005-0000-0000-000096480000}"/>
    <cellStyle name="표준 5 2 3 2 2 9 2 2" xfId="29994" xr:uid="{00000000-0005-0000-0000-000097480000}"/>
    <cellStyle name="표준 5 2 3 2 2 9 2 3" xfId="38205" xr:uid="{00000000-0005-0000-0000-000098480000}"/>
    <cellStyle name="표준 5 2 3 2 2 9 2 4" xfId="46398" xr:uid="{00000000-0005-0000-0000-000099480000}"/>
    <cellStyle name="표준 5 2 3 2 2 9 3" xfId="13400" xr:uid="{00000000-0005-0000-0000-00009A480000}"/>
    <cellStyle name="표준 5 2 3 2 2 9 4" xfId="17640" xr:uid="{00000000-0005-0000-0000-00009B480000}"/>
    <cellStyle name="표준 5 2 3 2 2 9 5" xfId="21802" xr:uid="{00000000-0005-0000-0000-00009C480000}"/>
    <cellStyle name="표준 5 2 3 2 2 9 6" xfId="25898" xr:uid="{00000000-0005-0000-0000-00009D480000}"/>
    <cellStyle name="표준 5 2 3 2 2 9 7" xfId="34109" xr:uid="{00000000-0005-0000-0000-00009E480000}"/>
    <cellStyle name="표준 5 2 3 2 2 9 8" xfId="42302" xr:uid="{00000000-0005-0000-0000-00009F480000}"/>
    <cellStyle name="표준 5 2 3 2 20" xfId="15448" xr:uid="{00000000-0005-0000-0000-0000A0480000}"/>
    <cellStyle name="표준 5 2 3 2 21" xfId="15464" xr:uid="{00000000-0005-0000-0000-0000A1480000}"/>
    <cellStyle name="표준 5 2 3 2 22" xfId="15560" xr:uid="{00000000-0005-0000-0000-0000A2480000}"/>
    <cellStyle name="표준 5 2 3 2 23" xfId="15576" xr:uid="{00000000-0005-0000-0000-0000A3480000}"/>
    <cellStyle name="표준 5 2 3 2 24" xfId="19672" xr:uid="{00000000-0005-0000-0000-0000A4480000}"/>
    <cellStyle name="표준 5 2 3 2 25" xfId="19688" xr:uid="{00000000-0005-0000-0000-0000A5480000}"/>
    <cellStyle name="표준 5 2 3 2 26" xfId="19704" xr:uid="{00000000-0005-0000-0000-0000A6480000}"/>
    <cellStyle name="표준 5 2 3 2 27" xfId="19720" xr:uid="{00000000-0005-0000-0000-0000A7480000}"/>
    <cellStyle name="표준 5 2 3 2 28" xfId="19727" xr:uid="{00000000-0005-0000-0000-0000A8480000}"/>
    <cellStyle name="표준 5 2 3 2 29" xfId="23834" xr:uid="{00000000-0005-0000-0000-0000A9480000}"/>
    <cellStyle name="표준 5 2 3 2 3" xfId="296" xr:uid="{00000000-0005-0000-0000-0000AA480000}"/>
    <cellStyle name="표준 5 2 3 2 3 10" xfId="7165" xr:uid="{00000000-0005-0000-0000-0000AB480000}"/>
    <cellStyle name="표준 5 2 3 2 3 11" xfId="7256" xr:uid="{00000000-0005-0000-0000-0000AC480000}"/>
    <cellStyle name="표준 5 2 3 2 3 12" xfId="11368" xr:uid="{00000000-0005-0000-0000-0000AD480000}"/>
    <cellStyle name="표준 5 2 3 2 3 13" xfId="15496" xr:uid="{00000000-0005-0000-0000-0000AE480000}"/>
    <cellStyle name="표준 5 2 3 2 3 14" xfId="15608" xr:uid="{00000000-0005-0000-0000-0000AF480000}"/>
    <cellStyle name="표준 5 2 3 2 3 15" xfId="19770" xr:uid="{00000000-0005-0000-0000-0000B0480000}"/>
    <cellStyle name="표준 5 2 3 2 3 16" xfId="23866" xr:uid="{00000000-0005-0000-0000-0000B1480000}"/>
    <cellStyle name="표준 5 2 3 2 3 17" xfId="32077" xr:uid="{00000000-0005-0000-0000-0000B2480000}"/>
    <cellStyle name="표준 5 2 3 2 3 18" xfId="40270" xr:uid="{00000000-0005-0000-0000-0000B3480000}"/>
    <cellStyle name="표준 5 2 3 2 3 19" xfId="49700" xr:uid="{00000000-0005-0000-0000-0000B4480000}"/>
    <cellStyle name="표준 5 2 3 2 3 2" xfId="465" xr:uid="{00000000-0005-0000-0000-0000B5480000}"/>
    <cellStyle name="표준 5 2 3 2 3 2 10" xfId="11432" xr:uid="{00000000-0005-0000-0000-0000B6480000}"/>
    <cellStyle name="표준 5 2 3 2 3 2 11" xfId="15544" xr:uid="{00000000-0005-0000-0000-0000B7480000}"/>
    <cellStyle name="표준 5 2 3 2 3 2 12" xfId="15672" xr:uid="{00000000-0005-0000-0000-0000B8480000}"/>
    <cellStyle name="표준 5 2 3 2 3 2 13" xfId="19834" xr:uid="{00000000-0005-0000-0000-0000B9480000}"/>
    <cellStyle name="표준 5 2 3 2 3 2 14" xfId="23930" xr:uid="{00000000-0005-0000-0000-0000BA480000}"/>
    <cellStyle name="표준 5 2 3 2 3 2 15" xfId="32141" xr:uid="{00000000-0005-0000-0000-0000BB480000}"/>
    <cellStyle name="표준 5 2 3 2 3 2 16" xfId="40334" xr:uid="{00000000-0005-0000-0000-0000BC480000}"/>
    <cellStyle name="표준 5 2 3 2 3 2 2" xfId="593" xr:uid="{00000000-0005-0000-0000-0000BD480000}"/>
    <cellStyle name="표준 5 2 3 2 3 2 2 10" xfId="19962" xr:uid="{00000000-0005-0000-0000-0000BE480000}"/>
    <cellStyle name="표준 5 2 3 2 3 2 2 11" xfId="24058" xr:uid="{00000000-0005-0000-0000-0000BF480000}"/>
    <cellStyle name="표준 5 2 3 2 3 2 2 12" xfId="32269" xr:uid="{00000000-0005-0000-0000-0000C0480000}"/>
    <cellStyle name="표준 5 2 3 2 3 2 2 13" xfId="40462" xr:uid="{00000000-0005-0000-0000-0000C1480000}"/>
    <cellStyle name="표준 5 2 3 2 3 2 2 2" xfId="849" xr:uid="{00000000-0005-0000-0000-0000C2480000}"/>
    <cellStyle name="표준 5 2 3 2 3 2 2 2 10" xfId="24314" xr:uid="{00000000-0005-0000-0000-0000C3480000}"/>
    <cellStyle name="표준 5 2 3 2 3 2 2 2 11" xfId="32525" xr:uid="{00000000-0005-0000-0000-0000C4480000}"/>
    <cellStyle name="표준 5 2 3 2 3 2 2 2 12" xfId="40718" xr:uid="{00000000-0005-0000-0000-0000C5480000}"/>
    <cellStyle name="표준 5 2 3 2 3 2 2 2 2" xfId="1361" xr:uid="{00000000-0005-0000-0000-0000C6480000}"/>
    <cellStyle name="표준 5 2 3 2 3 2 2 2 2 2" xfId="10264" xr:uid="{00000000-0005-0000-0000-0000C7480000}"/>
    <cellStyle name="표준 5 2 3 2 3 2 2 2 2 2 2" xfId="14376" xr:uid="{00000000-0005-0000-0000-0000C8480000}"/>
    <cellStyle name="표준 5 2 3 2 3 2 2 2 2 2 2 2" xfId="30970" xr:uid="{00000000-0005-0000-0000-0000C9480000}"/>
    <cellStyle name="표준 5 2 3 2 3 2 2 2 2 2 2 3" xfId="39181" xr:uid="{00000000-0005-0000-0000-0000CA480000}"/>
    <cellStyle name="표준 5 2 3 2 3 2 2 2 2 2 2 4" xfId="47374" xr:uid="{00000000-0005-0000-0000-0000CB480000}"/>
    <cellStyle name="표준 5 2 3 2 3 2 2 2 2 2 3" xfId="18616" xr:uid="{00000000-0005-0000-0000-0000CC480000}"/>
    <cellStyle name="표준 5 2 3 2 3 2 2 2 2 2 4" xfId="22778" xr:uid="{00000000-0005-0000-0000-0000CD480000}"/>
    <cellStyle name="표준 5 2 3 2 3 2 2 2 2 2 5" xfId="26874" xr:uid="{00000000-0005-0000-0000-0000CE480000}"/>
    <cellStyle name="표준 5 2 3 2 3 2 2 2 2 2 6" xfId="35085" xr:uid="{00000000-0005-0000-0000-0000CF480000}"/>
    <cellStyle name="표준 5 2 3 2 3 2 2 2 2 2 7" xfId="43278" xr:uid="{00000000-0005-0000-0000-0000D0480000}"/>
    <cellStyle name="표준 5 2 3 2 3 2 2 2 2 3" xfId="8216" xr:uid="{00000000-0005-0000-0000-0000D1480000}"/>
    <cellStyle name="표준 5 2 3 2 3 2 2 2 2 3 2" xfId="28922" xr:uid="{00000000-0005-0000-0000-0000D2480000}"/>
    <cellStyle name="표준 5 2 3 2 3 2 2 2 2 3 3" xfId="37133" xr:uid="{00000000-0005-0000-0000-0000D3480000}"/>
    <cellStyle name="표준 5 2 3 2 3 2 2 2 2 3 4" xfId="45326" xr:uid="{00000000-0005-0000-0000-0000D4480000}"/>
    <cellStyle name="표준 5 2 3 2 3 2 2 2 2 4" xfId="12328" xr:uid="{00000000-0005-0000-0000-0000D5480000}"/>
    <cellStyle name="표준 5 2 3 2 3 2 2 2 2 5" xfId="16568" xr:uid="{00000000-0005-0000-0000-0000D6480000}"/>
    <cellStyle name="표준 5 2 3 2 3 2 2 2 2 6" xfId="20730" xr:uid="{00000000-0005-0000-0000-0000D7480000}"/>
    <cellStyle name="표준 5 2 3 2 3 2 2 2 2 7" xfId="24826" xr:uid="{00000000-0005-0000-0000-0000D8480000}"/>
    <cellStyle name="표준 5 2 3 2 3 2 2 2 2 8" xfId="33037" xr:uid="{00000000-0005-0000-0000-0000D9480000}"/>
    <cellStyle name="표준 5 2 3 2 3 2 2 2 2 9" xfId="41230" xr:uid="{00000000-0005-0000-0000-0000DA480000}"/>
    <cellStyle name="표준 5 2 3 2 3 2 2 2 3" xfId="1873" xr:uid="{00000000-0005-0000-0000-0000DB480000}"/>
    <cellStyle name="표준 5 2 3 2 3 2 2 2 3 2" xfId="10776" xr:uid="{00000000-0005-0000-0000-0000DC480000}"/>
    <cellStyle name="표준 5 2 3 2 3 2 2 2 3 2 2" xfId="14888" xr:uid="{00000000-0005-0000-0000-0000DD480000}"/>
    <cellStyle name="표준 5 2 3 2 3 2 2 2 3 2 2 2" xfId="31482" xr:uid="{00000000-0005-0000-0000-0000DE480000}"/>
    <cellStyle name="표준 5 2 3 2 3 2 2 2 3 2 2 3" xfId="39693" xr:uid="{00000000-0005-0000-0000-0000DF480000}"/>
    <cellStyle name="표준 5 2 3 2 3 2 2 2 3 2 2 4" xfId="47886" xr:uid="{00000000-0005-0000-0000-0000E0480000}"/>
    <cellStyle name="표준 5 2 3 2 3 2 2 2 3 2 3" xfId="19128" xr:uid="{00000000-0005-0000-0000-0000E1480000}"/>
    <cellStyle name="표준 5 2 3 2 3 2 2 2 3 2 4" xfId="23290" xr:uid="{00000000-0005-0000-0000-0000E2480000}"/>
    <cellStyle name="표준 5 2 3 2 3 2 2 2 3 2 5" xfId="27386" xr:uid="{00000000-0005-0000-0000-0000E3480000}"/>
    <cellStyle name="표준 5 2 3 2 3 2 2 2 3 2 6" xfId="35597" xr:uid="{00000000-0005-0000-0000-0000E4480000}"/>
    <cellStyle name="표준 5 2 3 2 3 2 2 2 3 2 7" xfId="43790" xr:uid="{00000000-0005-0000-0000-0000E5480000}"/>
    <cellStyle name="표준 5 2 3 2 3 2 2 2 3 3" xfId="8728" xr:uid="{00000000-0005-0000-0000-0000E6480000}"/>
    <cellStyle name="표준 5 2 3 2 3 2 2 2 3 3 2" xfId="29434" xr:uid="{00000000-0005-0000-0000-0000E7480000}"/>
    <cellStyle name="표준 5 2 3 2 3 2 2 2 3 3 3" xfId="37645" xr:uid="{00000000-0005-0000-0000-0000E8480000}"/>
    <cellStyle name="표준 5 2 3 2 3 2 2 2 3 3 4" xfId="45838" xr:uid="{00000000-0005-0000-0000-0000E9480000}"/>
    <cellStyle name="표준 5 2 3 2 3 2 2 2 3 4" xfId="12840" xr:uid="{00000000-0005-0000-0000-0000EA480000}"/>
    <cellStyle name="표준 5 2 3 2 3 2 2 2 3 5" xfId="17080" xr:uid="{00000000-0005-0000-0000-0000EB480000}"/>
    <cellStyle name="표준 5 2 3 2 3 2 2 2 3 6" xfId="21242" xr:uid="{00000000-0005-0000-0000-0000EC480000}"/>
    <cellStyle name="표준 5 2 3 2 3 2 2 2 3 7" xfId="25338" xr:uid="{00000000-0005-0000-0000-0000ED480000}"/>
    <cellStyle name="표준 5 2 3 2 3 2 2 2 3 8" xfId="33549" xr:uid="{00000000-0005-0000-0000-0000EE480000}"/>
    <cellStyle name="표준 5 2 3 2 3 2 2 2 3 9" xfId="41742" xr:uid="{00000000-0005-0000-0000-0000EF480000}"/>
    <cellStyle name="표준 5 2 3 2 3 2 2 2 4" xfId="2385" xr:uid="{00000000-0005-0000-0000-0000F0480000}"/>
    <cellStyle name="표준 5 2 3 2 3 2 2 2 4 2" xfId="11288" xr:uid="{00000000-0005-0000-0000-0000F1480000}"/>
    <cellStyle name="표준 5 2 3 2 3 2 2 2 4 2 2" xfId="15400" xr:uid="{00000000-0005-0000-0000-0000F2480000}"/>
    <cellStyle name="표준 5 2 3 2 3 2 2 2 4 2 2 2" xfId="31994" xr:uid="{00000000-0005-0000-0000-0000F3480000}"/>
    <cellStyle name="표준 5 2 3 2 3 2 2 2 4 2 2 3" xfId="40205" xr:uid="{00000000-0005-0000-0000-0000F4480000}"/>
    <cellStyle name="표준 5 2 3 2 3 2 2 2 4 2 2 4" xfId="48398" xr:uid="{00000000-0005-0000-0000-0000F5480000}"/>
    <cellStyle name="표준 5 2 3 2 3 2 2 2 4 2 3" xfId="19640" xr:uid="{00000000-0005-0000-0000-0000F6480000}"/>
    <cellStyle name="표준 5 2 3 2 3 2 2 2 4 2 4" xfId="23802" xr:uid="{00000000-0005-0000-0000-0000F7480000}"/>
    <cellStyle name="표준 5 2 3 2 3 2 2 2 4 2 5" xfId="27898" xr:uid="{00000000-0005-0000-0000-0000F8480000}"/>
    <cellStyle name="표준 5 2 3 2 3 2 2 2 4 2 6" xfId="36109" xr:uid="{00000000-0005-0000-0000-0000F9480000}"/>
    <cellStyle name="표준 5 2 3 2 3 2 2 2 4 2 7" xfId="44302" xr:uid="{00000000-0005-0000-0000-0000FA480000}"/>
    <cellStyle name="표준 5 2 3 2 3 2 2 2 4 3" xfId="9240" xr:uid="{00000000-0005-0000-0000-0000FB480000}"/>
    <cellStyle name="표준 5 2 3 2 3 2 2 2 4 3 2" xfId="29946" xr:uid="{00000000-0005-0000-0000-0000FC480000}"/>
    <cellStyle name="표준 5 2 3 2 3 2 2 2 4 3 3" xfId="38157" xr:uid="{00000000-0005-0000-0000-0000FD480000}"/>
    <cellStyle name="표준 5 2 3 2 3 2 2 2 4 3 4" xfId="46350" xr:uid="{00000000-0005-0000-0000-0000FE480000}"/>
    <cellStyle name="표준 5 2 3 2 3 2 2 2 4 4" xfId="13352" xr:uid="{00000000-0005-0000-0000-0000FF480000}"/>
    <cellStyle name="표준 5 2 3 2 3 2 2 2 4 5" xfId="17592" xr:uid="{00000000-0005-0000-0000-000000490000}"/>
    <cellStyle name="표준 5 2 3 2 3 2 2 2 4 6" xfId="21754" xr:uid="{00000000-0005-0000-0000-000001490000}"/>
    <cellStyle name="표준 5 2 3 2 3 2 2 2 4 7" xfId="25850" xr:uid="{00000000-0005-0000-0000-000002490000}"/>
    <cellStyle name="표준 5 2 3 2 3 2 2 2 4 8" xfId="34061" xr:uid="{00000000-0005-0000-0000-000003490000}"/>
    <cellStyle name="표준 5 2 3 2 3 2 2 2 4 9" xfId="42254" xr:uid="{00000000-0005-0000-0000-000004490000}"/>
    <cellStyle name="표준 5 2 3 2 3 2 2 2 5" xfId="9752" xr:uid="{00000000-0005-0000-0000-000005490000}"/>
    <cellStyle name="표준 5 2 3 2 3 2 2 2 5 2" xfId="13864" xr:uid="{00000000-0005-0000-0000-000006490000}"/>
    <cellStyle name="표준 5 2 3 2 3 2 2 2 5 2 2" xfId="30458" xr:uid="{00000000-0005-0000-0000-000007490000}"/>
    <cellStyle name="표준 5 2 3 2 3 2 2 2 5 2 3" xfId="38669" xr:uid="{00000000-0005-0000-0000-000008490000}"/>
    <cellStyle name="표준 5 2 3 2 3 2 2 2 5 2 4" xfId="46862" xr:uid="{00000000-0005-0000-0000-000009490000}"/>
    <cellStyle name="표준 5 2 3 2 3 2 2 2 5 3" xfId="18104" xr:uid="{00000000-0005-0000-0000-00000A490000}"/>
    <cellStyle name="표준 5 2 3 2 3 2 2 2 5 4" xfId="22266" xr:uid="{00000000-0005-0000-0000-00000B490000}"/>
    <cellStyle name="표준 5 2 3 2 3 2 2 2 5 5" xfId="26362" xr:uid="{00000000-0005-0000-0000-00000C490000}"/>
    <cellStyle name="표준 5 2 3 2 3 2 2 2 5 6" xfId="34573" xr:uid="{00000000-0005-0000-0000-00000D490000}"/>
    <cellStyle name="표준 5 2 3 2 3 2 2 2 5 7" xfId="42766" xr:uid="{00000000-0005-0000-0000-00000E490000}"/>
    <cellStyle name="표준 5 2 3 2 3 2 2 2 6" xfId="7704" xr:uid="{00000000-0005-0000-0000-00000F490000}"/>
    <cellStyle name="표준 5 2 3 2 3 2 2 2 6 2" xfId="28410" xr:uid="{00000000-0005-0000-0000-000010490000}"/>
    <cellStyle name="표준 5 2 3 2 3 2 2 2 6 3" xfId="36621" xr:uid="{00000000-0005-0000-0000-000011490000}"/>
    <cellStyle name="표준 5 2 3 2 3 2 2 2 6 4" xfId="44814" xr:uid="{00000000-0005-0000-0000-000012490000}"/>
    <cellStyle name="표준 5 2 3 2 3 2 2 2 7" xfId="11816" xr:uid="{00000000-0005-0000-0000-000013490000}"/>
    <cellStyle name="표준 5 2 3 2 3 2 2 2 8" xfId="16056" xr:uid="{00000000-0005-0000-0000-000014490000}"/>
    <cellStyle name="표준 5 2 3 2 3 2 2 2 9" xfId="20218" xr:uid="{00000000-0005-0000-0000-000015490000}"/>
    <cellStyle name="표준 5 2 3 2 3 2 2 3" xfId="1105" xr:uid="{00000000-0005-0000-0000-000016490000}"/>
    <cellStyle name="표준 5 2 3 2 3 2 2 3 2" xfId="10008" xr:uid="{00000000-0005-0000-0000-000017490000}"/>
    <cellStyle name="표준 5 2 3 2 3 2 2 3 2 2" xfId="14120" xr:uid="{00000000-0005-0000-0000-000018490000}"/>
    <cellStyle name="표준 5 2 3 2 3 2 2 3 2 2 2" xfId="30714" xr:uid="{00000000-0005-0000-0000-000019490000}"/>
    <cellStyle name="표준 5 2 3 2 3 2 2 3 2 2 3" xfId="38925" xr:uid="{00000000-0005-0000-0000-00001A490000}"/>
    <cellStyle name="표준 5 2 3 2 3 2 2 3 2 2 4" xfId="47118" xr:uid="{00000000-0005-0000-0000-00001B490000}"/>
    <cellStyle name="표준 5 2 3 2 3 2 2 3 2 3" xfId="18360" xr:uid="{00000000-0005-0000-0000-00001C490000}"/>
    <cellStyle name="표준 5 2 3 2 3 2 2 3 2 4" xfId="22522" xr:uid="{00000000-0005-0000-0000-00001D490000}"/>
    <cellStyle name="표준 5 2 3 2 3 2 2 3 2 5" xfId="26618" xr:uid="{00000000-0005-0000-0000-00001E490000}"/>
    <cellStyle name="표준 5 2 3 2 3 2 2 3 2 6" xfId="34829" xr:uid="{00000000-0005-0000-0000-00001F490000}"/>
    <cellStyle name="표준 5 2 3 2 3 2 2 3 2 7" xfId="43022" xr:uid="{00000000-0005-0000-0000-000020490000}"/>
    <cellStyle name="표준 5 2 3 2 3 2 2 3 3" xfId="7960" xr:uid="{00000000-0005-0000-0000-000021490000}"/>
    <cellStyle name="표준 5 2 3 2 3 2 2 3 3 2" xfId="28666" xr:uid="{00000000-0005-0000-0000-000022490000}"/>
    <cellStyle name="표준 5 2 3 2 3 2 2 3 3 3" xfId="36877" xr:uid="{00000000-0005-0000-0000-000023490000}"/>
    <cellStyle name="표준 5 2 3 2 3 2 2 3 3 4" xfId="45070" xr:uid="{00000000-0005-0000-0000-000024490000}"/>
    <cellStyle name="표준 5 2 3 2 3 2 2 3 4" xfId="12072" xr:uid="{00000000-0005-0000-0000-000025490000}"/>
    <cellStyle name="표준 5 2 3 2 3 2 2 3 5" xfId="16312" xr:uid="{00000000-0005-0000-0000-000026490000}"/>
    <cellStyle name="표준 5 2 3 2 3 2 2 3 6" xfId="20474" xr:uid="{00000000-0005-0000-0000-000027490000}"/>
    <cellStyle name="표준 5 2 3 2 3 2 2 3 7" xfId="24570" xr:uid="{00000000-0005-0000-0000-000028490000}"/>
    <cellStyle name="표준 5 2 3 2 3 2 2 3 8" xfId="32781" xr:uid="{00000000-0005-0000-0000-000029490000}"/>
    <cellStyle name="표준 5 2 3 2 3 2 2 3 9" xfId="40974" xr:uid="{00000000-0005-0000-0000-00002A490000}"/>
    <cellStyle name="표준 5 2 3 2 3 2 2 4" xfId="1617" xr:uid="{00000000-0005-0000-0000-00002B490000}"/>
    <cellStyle name="표준 5 2 3 2 3 2 2 4 2" xfId="10520" xr:uid="{00000000-0005-0000-0000-00002C490000}"/>
    <cellStyle name="표준 5 2 3 2 3 2 2 4 2 2" xfId="14632" xr:uid="{00000000-0005-0000-0000-00002D490000}"/>
    <cellStyle name="표준 5 2 3 2 3 2 2 4 2 2 2" xfId="31226" xr:uid="{00000000-0005-0000-0000-00002E490000}"/>
    <cellStyle name="표준 5 2 3 2 3 2 2 4 2 2 3" xfId="39437" xr:uid="{00000000-0005-0000-0000-00002F490000}"/>
    <cellStyle name="표준 5 2 3 2 3 2 2 4 2 2 4" xfId="47630" xr:uid="{00000000-0005-0000-0000-000030490000}"/>
    <cellStyle name="표준 5 2 3 2 3 2 2 4 2 3" xfId="18872" xr:uid="{00000000-0005-0000-0000-000031490000}"/>
    <cellStyle name="표준 5 2 3 2 3 2 2 4 2 4" xfId="23034" xr:uid="{00000000-0005-0000-0000-000032490000}"/>
    <cellStyle name="표준 5 2 3 2 3 2 2 4 2 5" xfId="27130" xr:uid="{00000000-0005-0000-0000-000033490000}"/>
    <cellStyle name="표준 5 2 3 2 3 2 2 4 2 6" xfId="35341" xr:uid="{00000000-0005-0000-0000-000034490000}"/>
    <cellStyle name="표준 5 2 3 2 3 2 2 4 2 7" xfId="43534" xr:uid="{00000000-0005-0000-0000-000035490000}"/>
    <cellStyle name="표준 5 2 3 2 3 2 2 4 3" xfId="8472" xr:uid="{00000000-0005-0000-0000-000036490000}"/>
    <cellStyle name="표준 5 2 3 2 3 2 2 4 3 2" xfId="29178" xr:uid="{00000000-0005-0000-0000-000037490000}"/>
    <cellStyle name="표준 5 2 3 2 3 2 2 4 3 3" xfId="37389" xr:uid="{00000000-0005-0000-0000-000038490000}"/>
    <cellStyle name="표준 5 2 3 2 3 2 2 4 3 4" xfId="45582" xr:uid="{00000000-0005-0000-0000-000039490000}"/>
    <cellStyle name="표준 5 2 3 2 3 2 2 4 4" xfId="12584" xr:uid="{00000000-0005-0000-0000-00003A490000}"/>
    <cellStyle name="표준 5 2 3 2 3 2 2 4 5" xfId="16824" xr:uid="{00000000-0005-0000-0000-00003B490000}"/>
    <cellStyle name="표준 5 2 3 2 3 2 2 4 6" xfId="20986" xr:uid="{00000000-0005-0000-0000-00003C490000}"/>
    <cellStyle name="표준 5 2 3 2 3 2 2 4 7" xfId="25082" xr:uid="{00000000-0005-0000-0000-00003D490000}"/>
    <cellStyle name="표준 5 2 3 2 3 2 2 4 8" xfId="33293" xr:uid="{00000000-0005-0000-0000-00003E490000}"/>
    <cellStyle name="표준 5 2 3 2 3 2 2 4 9" xfId="41486" xr:uid="{00000000-0005-0000-0000-00003F490000}"/>
    <cellStyle name="표준 5 2 3 2 3 2 2 5" xfId="2129" xr:uid="{00000000-0005-0000-0000-000040490000}"/>
    <cellStyle name="표준 5 2 3 2 3 2 2 5 2" xfId="11032" xr:uid="{00000000-0005-0000-0000-000041490000}"/>
    <cellStyle name="표준 5 2 3 2 3 2 2 5 2 2" xfId="15144" xr:uid="{00000000-0005-0000-0000-000042490000}"/>
    <cellStyle name="표준 5 2 3 2 3 2 2 5 2 2 2" xfId="31738" xr:uid="{00000000-0005-0000-0000-000043490000}"/>
    <cellStyle name="표준 5 2 3 2 3 2 2 5 2 2 3" xfId="39949" xr:uid="{00000000-0005-0000-0000-000044490000}"/>
    <cellStyle name="표준 5 2 3 2 3 2 2 5 2 2 4" xfId="48142" xr:uid="{00000000-0005-0000-0000-000045490000}"/>
    <cellStyle name="표준 5 2 3 2 3 2 2 5 2 3" xfId="19384" xr:uid="{00000000-0005-0000-0000-000046490000}"/>
    <cellStyle name="표준 5 2 3 2 3 2 2 5 2 4" xfId="23546" xr:uid="{00000000-0005-0000-0000-000047490000}"/>
    <cellStyle name="표준 5 2 3 2 3 2 2 5 2 5" xfId="27642" xr:uid="{00000000-0005-0000-0000-000048490000}"/>
    <cellStyle name="표준 5 2 3 2 3 2 2 5 2 6" xfId="35853" xr:uid="{00000000-0005-0000-0000-000049490000}"/>
    <cellStyle name="표준 5 2 3 2 3 2 2 5 2 7" xfId="44046" xr:uid="{00000000-0005-0000-0000-00004A490000}"/>
    <cellStyle name="표준 5 2 3 2 3 2 2 5 3" xfId="8984" xr:uid="{00000000-0005-0000-0000-00004B490000}"/>
    <cellStyle name="표준 5 2 3 2 3 2 2 5 3 2" xfId="29690" xr:uid="{00000000-0005-0000-0000-00004C490000}"/>
    <cellStyle name="표준 5 2 3 2 3 2 2 5 3 3" xfId="37901" xr:uid="{00000000-0005-0000-0000-00004D490000}"/>
    <cellStyle name="표준 5 2 3 2 3 2 2 5 3 4" xfId="46094" xr:uid="{00000000-0005-0000-0000-00004E490000}"/>
    <cellStyle name="표준 5 2 3 2 3 2 2 5 4" xfId="13096" xr:uid="{00000000-0005-0000-0000-00004F490000}"/>
    <cellStyle name="표준 5 2 3 2 3 2 2 5 5" xfId="17336" xr:uid="{00000000-0005-0000-0000-000050490000}"/>
    <cellStyle name="표준 5 2 3 2 3 2 2 5 6" xfId="21498" xr:uid="{00000000-0005-0000-0000-000051490000}"/>
    <cellStyle name="표준 5 2 3 2 3 2 2 5 7" xfId="25594" xr:uid="{00000000-0005-0000-0000-000052490000}"/>
    <cellStyle name="표준 5 2 3 2 3 2 2 5 8" xfId="33805" xr:uid="{00000000-0005-0000-0000-000053490000}"/>
    <cellStyle name="표준 5 2 3 2 3 2 2 5 9" xfId="41998" xr:uid="{00000000-0005-0000-0000-000054490000}"/>
    <cellStyle name="표준 5 2 3 2 3 2 2 6" xfId="9496" xr:uid="{00000000-0005-0000-0000-000055490000}"/>
    <cellStyle name="표준 5 2 3 2 3 2 2 6 2" xfId="13608" xr:uid="{00000000-0005-0000-0000-000056490000}"/>
    <cellStyle name="표준 5 2 3 2 3 2 2 6 2 2" xfId="30202" xr:uid="{00000000-0005-0000-0000-000057490000}"/>
    <cellStyle name="표준 5 2 3 2 3 2 2 6 2 3" xfId="38413" xr:uid="{00000000-0005-0000-0000-000058490000}"/>
    <cellStyle name="표준 5 2 3 2 3 2 2 6 2 4" xfId="46606" xr:uid="{00000000-0005-0000-0000-000059490000}"/>
    <cellStyle name="표준 5 2 3 2 3 2 2 6 3" xfId="17848" xr:uid="{00000000-0005-0000-0000-00005A490000}"/>
    <cellStyle name="표준 5 2 3 2 3 2 2 6 4" xfId="22010" xr:uid="{00000000-0005-0000-0000-00005B490000}"/>
    <cellStyle name="표준 5 2 3 2 3 2 2 6 5" xfId="26106" xr:uid="{00000000-0005-0000-0000-00005C490000}"/>
    <cellStyle name="표준 5 2 3 2 3 2 2 6 6" xfId="34317" xr:uid="{00000000-0005-0000-0000-00005D490000}"/>
    <cellStyle name="표준 5 2 3 2 3 2 2 6 7" xfId="42510" xr:uid="{00000000-0005-0000-0000-00005E490000}"/>
    <cellStyle name="표준 5 2 3 2 3 2 2 7" xfId="7448" xr:uid="{00000000-0005-0000-0000-00005F490000}"/>
    <cellStyle name="표준 5 2 3 2 3 2 2 7 2" xfId="28154" xr:uid="{00000000-0005-0000-0000-000060490000}"/>
    <cellStyle name="표준 5 2 3 2 3 2 2 7 3" xfId="36365" xr:uid="{00000000-0005-0000-0000-000061490000}"/>
    <cellStyle name="표준 5 2 3 2 3 2 2 7 4" xfId="44558" xr:uid="{00000000-0005-0000-0000-000062490000}"/>
    <cellStyle name="표준 5 2 3 2 3 2 2 8" xfId="11560" xr:uid="{00000000-0005-0000-0000-000063490000}"/>
    <cellStyle name="표준 5 2 3 2 3 2 2 9" xfId="15800" xr:uid="{00000000-0005-0000-0000-000064490000}"/>
    <cellStyle name="표준 5 2 3 2 3 2 3" xfId="721" xr:uid="{00000000-0005-0000-0000-000065490000}"/>
    <cellStyle name="표준 5 2 3 2 3 2 3 10" xfId="24186" xr:uid="{00000000-0005-0000-0000-000066490000}"/>
    <cellStyle name="표준 5 2 3 2 3 2 3 11" xfId="32397" xr:uid="{00000000-0005-0000-0000-000067490000}"/>
    <cellStyle name="표준 5 2 3 2 3 2 3 12" xfId="40590" xr:uid="{00000000-0005-0000-0000-000068490000}"/>
    <cellStyle name="표준 5 2 3 2 3 2 3 2" xfId="1233" xr:uid="{00000000-0005-0000-0000-000069490000}"/>
    <cellStyle name="표준 5 2 3 2 3 2 3 2 2" xfId="10136" xr:uid="{00000000-0005-0000-0000-00006A490000}"/>
    <cellStyle name="표준 5 2 3 2 3 2 3 2 2 2" xfId="14248" xr:uid="{00000000-0005-0000-0000-00006B490000}"/>
    <cellStyle name="표준 5 2 3 2 3 2 3 2 2 2 2" xfId="30842" xr:uid="{00000000-0005-0000-0000-00006C490000}"/>
    <cellStyle name="표준 5 2 3 2 3 2 3 2 2 2 3" xfId="39053" xr:uid="{00000000-0005-0000-0000-00006D490000}"/>
    <cellStyle name="표준 5 2 3 2 3 2 3 2 2 2 4" xfId="47246" xr:uid="{00000000-0005-0000-0000-00006E490000}"/>
    <cellStyle name="표준 5 2 3 2 3 2 3 2 2 3" xfId="18488" xr:uid="{00000000-0005-0000-0000-00006F490000}"/>
    <cellStyle name="표준 5 2 3 2 3 2 3 2 2 4" xfId="22650" xr:uid="{00000000-0005-0000-0000-000070490000}"/>
    <cellStyle name="표준 5 2 3 2 3 2 3 2 2 5" xfId="26746" xr:uid="{00000000-0005-0000-0000-000071490000}"/>
    <cellStyle name="표준 5 2 3 2 3 2 3 2 2 6" xfId="34957" xr:uid="{00000000-0005-0000-0000-000072490000}"/>
    <cellStyle name="표준 5 2 3 2 3 2 3 2 2 7" xfId="43150" xr:uid="{00000000-0005-0000-0000-000073490000}"/>
    <cellStyle name="표준 5 2 3 2 3 2 3 2 3" xfId="8088" xr:uid="{00000000-0005-0000-0000-000074490000}"/>
    <cellStyle name="표준 5 2 3 2 3 2 3 2 3 2" xfId="28794" xr:uid="{00000000-0005-0000-0000-000075490000}"/>
    <cellStyle name="표준 5 2 3 2 3 2 3 2 3 3" xfId="37005" xr:uid="{00000000-0005-0000-0000-000076490000}"/>
    <cellStyle name="표준 5 2 3 2 3 2 3 2 3 4" xfId="45198" xr:uid="{00000000-0005-0000-0000-000077490000}"/>
    <cellStyle name="표준 5 2 3 2 3 2 3 2 4" xfId="12200" xr:uid="{00000000-0005-0000-0000-000078490000}"/>
    <cellStyle name="표준 5 2 3 2 3 2 3 2 5" xfId="16440" xr:uid="{00000000-0005-0000-0000-000079490000}"/>
    <cellStyle name="표준 5 2 3 2 3 2 3 2 6" xfId="20602" xr:uid="{00000000-0005-0000-0000-00007A490000}"/>
    <cellStyle name="표준 5 2 3 2 3 2 3 2 7" xfId="24698" xr:uid="{00000000-0005-0000-0000-00007B490000}"/>
    <cellStyle name="표준 5 2 3 2 3 2 3 2 8" xfId="32909" xr:uid="{00000000-0005-0000-0000-00007C490000}"/>
    <cellStyle name="표준 5 2 3 2 3 2 3 2 9" xfId="41102" xr:uid="{00000000-0005-0000-0000-00007D490000}"/>
    <cellStyle name="표준 5 2 3 2 3 2 3 3" xfId="1745" xr:uid="{00000000-0005-0000-0000-00007E490000}"/>
    <cellStyle name="표준 5 2 3 2 3 2 3 3 2" xfId="10648" xr:uid="{00000000-0005-0000-0000-00007F490000}"/>
    <cellStyle name="표준 5 2 3 2 3 2 3 3 2 2" xfId="14760" xr:uid="{00000000-0005-0000-0000-000080490000}"/>
    <cellStyle name="표준 5 2 3 2 3 2 3 3 2 2 2" xfId="31354" xr:uid="{00000000-0005-0000-0000-000081490000}"/>
    <cellStyle name="표준 5 2 3 2 3 2 3 3 2 2 3" xfId="39565" xr:uid="{00000000-0005-0000-0000-000082490000}"/>
    <cellStyle name="표준 5 2 3 2 3 2 3 3 2 2 4" xfId="47758" xr:uid="{00000000-0005-0000-0000-000083490000}"/>
    <cellStyle name="표준 5 2 3 2 3 2 3 3 2 3" xfId="19000" xr:uid="{00000000-0005-0000-0000-000084490000}"/>
    <cellStyle name="표준 5 2 3 2 3 2 3 3 2 4" xfId="23162" xr:uid="{00000000-0005-0000-0000-000085490000}"/>
    <cellStyle name="표준 5 2 3 2 3 2 3 3 2 5" xfId="27258" xr:uid="{00000000-0005-0000-0000-000086490000}"/>
    <cellStyle name="표준 5 2 3 2 3 2 3 3 2 6" xfId="35469" xr:uid="{00000000-0005-0000-0000-000087490000}"/>
    <cellStyle name="표준 5 2 3 2 3 2 3 3 2 7" xfId="43662" xr:uid="{00000000-0005-0000-0000-000088490000}"/>
    <cellStyle name="표준 5 2 3 2 3 2 3 3 3" xfId="8600" xr:uid="{00000000-0005-0000-0000-000089490000}"/>
    <cellStyle name="표준 5 2 3 2 3 2 3 3 3 2" xfId="29306" xr:uid="{00000000-0005-0000-0000-00008A490000}"/>
    <cellStyle name="표준 5 2 3 2 3 2 3 3 3 3" xfId="37517" xr:uid="{00000000-0005-0000-0000-00008B490000}"/>
    <cellStyle name="표준 5 2 3 2 3 2 3 3 3 4" xfId="45710" xr:uid="{00000000-0005-0000-0000-00008C490000}"/>
    <cellStyle name="표준 5 2 3 2 3 2 3 3 4" xfId="12712" xr:uid="{00000000-0005-0000-0000-00008D490000}"/>
    <cellStyle name="표준 5 2 3 2 3 2 3 3 5" xfId="16952" xr:uid="{00000000-0005-0000-0000-00008E490000}"/>
    <cellStyle name="표준 5 2 3 2 3 2 3 3 6" xfId="21114" xr:uid="{00000000-0005-0000-0000-00008F490000}"/>
    <cellStyle name="표준 5 2 3 2 3 2 3 3 7" xfId="25210" xr:uid="{00000000-0005-0000-0000-000090490000}"/>
    <cellStyle name="표준 5 2 3 2 3 2 3 3 8" xfId="33421" xr:uid="{00000000-0005-0000-0000-000091490000}"/>
    <cellStyle name="표준 5 2 3 2 3 2 3 3 9" xfId="41614" xr:uid="{00000000-0005-0000-0000-000092490000}"/>
    <cellStyle name="표준 5 2 3 2 3 2 3 4" xfId="2257" xr:uid="{00000000-0005-0000-0000-000093490000}"/>
    <cellStyle name="표준 5 2 3 2 3 2 3 4 2" xfId="11160" xr:uid="{00000000-0005-0000-0000-000094490000}"/>
    <cellStyle name="표준 5 2 3 2 3 2 3 4 2 2" xfId="15272" xr:uid="{00000000-0005-0000-0000-000095490000}"/>
    <cellStyle name="표준 5 2 3 2 3 2 3 4 2 2 2" xfId="31866" xr:uid="{00000000-0005-0000-0000-000096490000}"/>
    <cellStyle name="표준 5 2 3 2 3 2 3 4 2 2 3" xfId="40077" xr:uid="{00000000-0005-0000-0000-000097490000}"/>
    <cellStyle name="표준 5 2 3 2 3 2 3 4 2 2 4" xfId="48270" xr:uid="{00000000-0005-0000-0000-000098490000}"/>
    <cellStyle name="표준 5 2 3 2 3 2 3 4 2 3" xfId="19512" xr:uid="{00000000-0005-0000-0000-000099490000}"/>
    <cellStyle name="표준 5 2 3 2 3 2 3 4 2 4" xfId="23674" xr:uid="{00000000-0005-0000-0000-00009A490000}"/>
    <cellStyle name="표준 5 2 3 2 3 2 3 4 2 5" xfId="27770" xr:uid="{00000000-0005-0000-0000-00009B490000}"/>
    <cellStyle name="표준 5 2 3 2 3 2 3 4 2 6" xfId="35981" xr:uid="{00000000-0005-0000-0000-00009C490000}"/>
    <cellStyle name="표준 5 2 3 2 3 2 3 4 2 7" xfId="44174" xr:uid="{00000000-0005-0000-0000-00009D490000}"/>
    <cellStyle name="표준 5 2 3 2 3 2 3 4 3" xfId="9112" xr:uid="{00000000-0005-0000-0000-00009E490000}"/>
    <cellStyle name="표준 5 2 3 2 3 2 3 4 3 2" xfId="29818" xr:uid="{00000000-0005-0000-0000-00009F490000}"/>
    <cellStyle name="표준 5 2 3 2 3 2 3 4 3 3" xfId="38029" xr:uid="{00000000-0005-0000-0000-0000A0490000}"/>
    <cellStyle name="표준 5 2 3 2 3 2 3 4 3 4" xfId="46222" xr:uid="{00000000-0005-0000-0000-0000A1490000}"/>
    <cellStyle name="표준 5 2 3 2 3 2 3 4 4" xfId="13224" xr:uid="{00000000-0005-0000-0000-0000A2490000}"/>
    <cellStyle name="표준 5 2 3 2 3 2 3 4 5" xfId="17464" xr:uid="{00000000-0005-0000-0000-0000A3490000}"/>
    <cellStyle name="표준 5 2 3 2 3 2 3 4 6" xfId="21626" xr:uid="{00000000-0005-0000-0000-0000A4490000}"/>
    <cellStyle name="표준 5 2 3 2 3 2 3 4 7" xfId="25722" xr:uid="{00000000-0005-0000-0000-0000A5490000}"/>
    <cellStyle name="표준 5 2 3 2 3 2 3 4 8" xfId="33933" xr:uid="{00000000-0005-0000-0000-0000A6490000}"/>
    <cellStyle name="표준 5 2 3 2 3 2 3 4 9" xfId="42126" xr:uid="{00000000-0005-0000-0000-0000A7490000}"/>
    <cellStyle name="표준 5 2 3 2 3 2 3 5" xfId="9624" xr:uid="{00000000-0005-0000-0000-0000A8490000}"/>
    <cellStyle name="표준 5 2 3 2 3 2 3 5 2" xfId="13736" xr:uid="{00000000-0005-0000-0000-0000A9490000}"/>
    <cellStyle name="표준 5 2 3 2 3 2 3 5 2 2" xfId="30330" xr:uid="{00000000-0005-0000-0000-0000AA490000}"/>
    <cellStyle name="표준 5 2 3 2 3 2 3 5 2 3" xfId="38541" xr:uid="{00000000-0005-0000-0000-0000AB490000}"/>
    <cellStyle name="표준 5 2 3 2 3 2 3 5 2 4" xfId="46734" xr:uid="{00000000-0005-0000-0000-0000AC490000}"/>
    <cellStyle name="표준 5 2 3 2 3 2 3 5 3" xfId="17976" xr:uid="{00000000-0005-0000-0000-0000AD490000}"/>
    <cellStyle name="표준 5 2 3 2 3 2 3 5 4" xfId="22138" xr:uid="{00000000-0005-0000-0000-0000AE490000}"/>
    <cellStyle name="표준 5 2 3 2 3 2 3 5 5" xfId="26234" xr:uid="{00000000-0005-0000-0000-0000AF490000}"/>
    <cellStyle name="표준 5 2 3 2 3 2 3 5 6" xfId="34445" xr:uid="{00000000-0005-0000-0000-0000B0490000}"/>
    <cellStyle name="표준 5 2 3 2 3 2 3 5 7" xfId="42638" xr:uid="{00000000-0005-0000-0000-0000B1490000}"/>
    <cellStyle name="표준 5 2 3 2 3 2 3 6" xfId="7576" xr:uid="{00000000-0005-0000-0000-0000B2490000}"/>
    <cellStyle name="표준 5 2 3 2 3 2 3 6 2" xfId="28282" xr:uid="{00000000-0005-0000-0000-0000B3490000}"/>
    <cellStyle name="표준 5 2 3 2 3 2 3 6 3" xfId="36493" xr:uid="{00000000-0005-0000-0000-0000B4490000}"/>
    <cellStyle name="표준 5 2 3 2 3 2 3 6 4" xfId="44686" xr:uid="{00000000-0005-0000-0000-0000B5490000}"/>
    <cellStyle name="표준 5 2 3 2 3 2 3 7" xfId="11688" xr:uid="{00000000-0005-0000-0000-0000B6490000}"/>
    <cellStyle name="표준 5 2 3 2 3 2 3 8" xfId="15928" xr:uid="{00000000-0005-0000-0000-0000B7490000}"/>
    <cellStyle name="표준 5 2 3 2 3 2 3 9" xfId="20090" xr:uid="{00000000-0005-0000-0000-0000B8490000}"/>
    <cellStyle name="표준 5 2 3 2 3 2 4" xfId="977" xr:uid="{00000000-0005-0000-0000-0000B9490000}"/>
    <cellStyle name="표준 5 2 3 2 3 2 4 2" xfId="9880" xr:uid="{00000000-0005-0000-0000-0000BA490000}"/>
    <cellStyle name="표준 5 2 3 2 3 2 4 2 2" xfId="13992" xr:uid="{00000000-0005-0000-0000-0000BB490000}"/>
    <cellStyle name="표준 5 2 3 2 3 2 4 2 2 2" xfId="30586" xr:uid="{00000000-0005-0000-0000-0000BC490000}"/>
    <cellStyle name="표준 5 2 3 2 3 2 4 2 2 3" xfId="38797" xr:uid="{00000000-0005-0000-0000-0000BD490000}"/>
    <cellStyle name="표준 5 2 3 2 3 2 4 2 2 4" xfId="46990" xr:uid="{00000000-0005-0000-0000-0000BE490000}"/>
    <cellStyle name="표준 5 2 3 2 3 2 4 2 3" xfId="18232" xr:uid="{00000000-0005-0000-0000-0000BF490000}"/>
    <cellStyle name="표준 5 2 3 2 3 2 4 2 4" xfId="22394" xr:uid="{00000000-0005-0000-0000-0000C0490000}"/>
    <cellStyle name="표준 5 2 3 2 3 2 4 2 5" xfId="26490" xr:uid="{00000000-0005-0000-0000-0000C1490000}"/>
    <cellStyle name="표준 5 2 3 2 3 2 4 2 6" xfId="34701" xr:uid="{00000000-0005-0000-0000-0000C2490000}"/>
    <cellStyle name="표준 5 2 3 2 3 2 4 2 7" xfId="42894" xr:uid="{00000000-0005-0000-0000-0000C3490000}"/>
    <cellStyle name="표준 5 2 3 2 3 2 4 3" xfId="7832" xr:uid="{00000000-0005-0000-0000-0000C4490000}"/>
    <cellStyle name="표준 5 2 3 2 3 2 4 3 2" xfId="28538" xr:uid="{00000000-0005-0000-0000-0000C5490000}"/>
    <cellStyle name="표준 5 2 3 2 3 2 4 3 3" xfId="36749" xr:uid="{00000000-0005-0000-0000-0000C6490000}"/>
    <cellStyle name="표준 5 2 3 2 3 2 4 3 4" xfId="44942" xr:uid="{00000000-0005-0000-0000-0000C7490000}"/>
    <cellStyle name="표준 5 2 3 2 3 2 4 4" xfId="11944" xr:uid="{00000000-0005-0000-0000-0000C8490000}"/>
    <cellStyle name="표준 5 2 3 2 3 2 4 5" xfId="16184" xr:uid="{00000000-0005-0000-0000-0000C9490000}"/>
    <cellStyle name="표준 5 2 3 2 3 2 4 6" xfId="20346" xr:uid="{00000000-0005-0000-0000-0000CA490000}"/>
    <cellStyle name="표준 5 2 3 2 3 2 4 7" xfId="24442" xr:uid="{00000000-0005-0000-0000-0000CB490000}"/>
    <cellStyle name="표준 5 2 3 2 3 2 4 8" xfId="32653" xr:uid="{00000000-0005-0000-0000-0000CC490000}"/>
    <cellStyle name="표준 5 2 3 2 3 2 4 9" xfId="40846" xr:uid="{00000000-0005-0000-0000-0000CD490000}"/>
    <cellStyle name="표준 5 2 3 2 3 2 5" xfId="1489" xr:uid="{00000000-0005-0000-0000-0000CE490000}"/>
    <cellStyle name="표준 5 2 3 2 3 2 5 2" xfId="10392" xr:uid="{00000000-0005-0000-0000-0000CF490000}"/>
    <cellStyle name="표준 5 2 3 2 3 2 5 2 2" xfId="14504" xr:uid="{00000000-0005-0000-0000-0000D0490000}"/>
    <cellStyle name="표준 5 2 3 2 3 2 5 2 2 2" xfId="31098" xr:uid="{00000000-0005-0000-0000-0000D1490000}"/>
    <cellStyle name="표준 5 2 3 2 3 2 5 2 2 3" xfId="39309" xr:uid="{00000000-0005-0000-0000-0000D2490000}"/>
    <cellStyle name="표준 5 2 3 2 3 2 5 2 2 4" xfId="47502" xr:uid="{00000000-0005-0000-0000-0000D3490000}"/>
    <cellStyle name="표준 5 2 3 2 3 2 5 2 3" xfId="18744" xr:uid="{00000000-0005-0000-0000-0000D4490000}"/>
    <cellStyle name="표준 5 2 3 2 3 2 5 2 4" xfId="22906" xr:uid="{00000000-0005-0000-0000-0000D5490000}"/>
    <cellStyle name="표준 5 2 3 2 3 2 5 2 5" xfId="27002" xr:uid="{00000000-0005-0000-0000-0000D6490000}"/>
    <cellStyle name="표준 5 2 3 2 3 2 5 2 6" xfId="35213" xr:uid="{00000000-0005-0000-0000-0000D7490000}"/>
    <cellStyle name="표준 5 2 3 2 3 2 5 2 7" xfId="43406" xr:uid="{00000000-0005-0000-0000-0000D8490000}"/>
    <cellStyle name="표준 5 2 3 2 3 2 5 3" xfId="8344" xr:uid="{00000000-0005-0000-0000-0000D9490000}"/>
    <cellStyle name="표준 5 2 3 2 3 2 5 3 2" xfId="29050" xr:uid="{00000000-0005-0000-0000-0000DA490000}"/>
    <cellStyle name="표준 5 2 3 2 3 2 5 3 3" xfId="37261" xr:uid="{00000000-0005-0000-0000-0000DB490000}"/>
    <cellStyle name="표준 5 2 3 2 3 2 5 3 4" xfId="45454" xr:uid="{00000000-0005-0000-0000-0000DC490000}"/>
    <cellStyle name="표준 5 2 3 2 3 2 5 4" xfId="12456" xr:uid="{00000000-0005-0000-0000-0000DD490000}"/>
    <cellStyle name="표준 5 2 3 2 3 2 5 5" xfId="16696" xr:uid="{00000000-0005-0000-0000-0000DE490000}"/>
    <cellStyle name="표준 5 2 3 2 3 2 5 6" xfId="20858" xr:uid="{00000000-0005-0000-0000-0000DF490000}"/>
    <cellStyle name="표준 5 2 3 2 3 2 5 7" xfId="24954" xr:uid="{00000000-0005-0000-0000-0000E0490000}"/>
    <cellStyle name="표준 5 2 3 2 3 2 5 8" xfId="33165" xr:uid="{00000000-0005-0000-0000-0000E1490000}"/>
    <cellStyle name="표준 5 2 3 2 3 2 5 9" xfId="41358" xr:uid="{00000000-0005-0000-0000-0000E2490000}"/>
    <cellStyle name="표준 5 2 3 2 3 2 6" xfId="2001" xr:uid="{00000000-0005-0000-0000-0000E3490000}"/>
    <cellStyle name="표준 5 2 3 2 3 2 6 2" xfId="10904" xr:uid="{00000000-0005-0000-0000-0000E4490000}"/>
    <cellStyle name="표준 5 2 3 2 3 2 6 2 2" xfId="15016" xr:uid="{00000000-0005-0000-0000-0000E5490000}"/>
    <cellStyle name="표준 5 2 3 2 3 2 6 2 2 2" xfId="31610" xr:uid="{00000000-0005-0000-0000-0000E6490000}"/>
    <cellStyle name="표준 5 2 3 2 3 2 6 2 2 3" xfId="39821" xr:uid="{00000000-0005-0000-0000-0000E7490000}"/>
    <cellStyle name="표준 5 2 3 2 3 2 6 2 2 4" xfId="48014" xr:uid="{00000000-0005-0000-0000-0000E8490000}"/>
    <cellStyle name="표준 5 2 3 2 3 2 6 2 3" xfId="19256" xr:uid="{00000000-0005-0000-0000-0000E9490000}"/>
    <cellStyle name="표준 5 2 3 2 3 2 6 2 4" xfId="23418" xr:uid="{00000000-0005-0000-0000-0000EA490000}"/>
    <cellStyle name="표준 5 2 3 2 3 2 6 2 5" xfId="27514" xr:uid="{00000000-0005-0000-0000-0000EB490000}"/>
    <cellStyle name="표준 5 2 3 2 3 2 6 2 6" xfId="35725" xr:uid="{00000000-0005-0000-0000-0000EC490000}"/>
    <cellStyle name="표준 5 2 3 2 3 2 6 2 7" xfId="43918" xr:uid="{00000000-0005-0000-0000-0000ED490000}"/>
    <cellStyle name="표준 5 2 3 2 3 2 6 3" xfId="8856" xr:uid="{00000000-0005-0000-0000-0000EE490000}"/>
    <cellStyle name="표준 5 2 3 2 3 2 6 3 2" xfId="29562" xr:uid="{00000000-0005-0000-0000-0000EF490000}"/>
    <cellStyle name="표준 5 2 3 2 3 2 6 3 3" xfId="37773" xr:uid="{00000000-0005-0000-0000-0000F0490000}"/>
    <cellStyle name="표준 5 2 3 2 3 2 6 3 4" xfId="45966" xr:uid="{00000000-0005-0000-0000-0000F1490000}"/>
    <cellStyle name="표준 5 2 3 2 3 2 6 4" xfId="12968" xr:uid="{00000000-0005-0000-0000-0000F2490000}"/>
    <cellStyle name="표준 5 2 3 2 3 2 6 5" xfId="17208" xr:uid="{00000000-0005-0000-0000-0000F3490000}"/>
    <cellStyle name="표준 5 2 3 2 3 2 6 6" xfId="21370" xr:uid="{00000000-0005-0000-0000-0000F4490000}"/>
    <cellStyle name="표준 5 2 3 2 3 2 6 7" xfId="25466" xr:uid="{00000000-0005-0000-0000-0000F5490000}"/>
    <cellStyle name="표준 5 2 3 2 3 2 6 8" xfId="33677" xr:uid="{00000000-0005-0000-0000-0000F6490000}"/>
    <cellStyle name="표준 5 2 3 2 3 2 6 9" xfId="41870" xr:uid="{00000000-0005-0000-0000-0000F7490000}"/>
    <cellStyle name="표준 5 2 3 2 3 2 7" xfId="7061" xr:uid="{00000000-0005-0000-0000-0000F8490000}"/>
    <cellStyle name="표준 5 2 3 2 3 2 7 2" xfId="9368" xr:uid="{00000000-0005-0000-0000-0000F9490000}"/>
    <cellStyle name="표준 5 2 3 2 3 2 7 2 2" xfId="30074" xr:uid="{00000000-0005-0000-0000-0000FA490000}"/>
    <cellStyle name="표준 5 2 3 2 3 2 7 2 3" xfId="38285" xr:uid="{00000000-0005-0000-0000-0000FB490000}"/>
    <cellStyle name="표준 5 2 3 2 3 2 7 2 4" xfId="46478" xr:uid="{00000000-0005-0000-0000-0000FC490000}"/>
    <cellStyle name="표준 5 2 3 2 3 2 7 3" xfId="13480" xr:uid="{00000000-0005-0000-0000-0000FD490000}"/>
    <cellStyle name="표준 5 2 3 2 3 2 7 4" xfId="17720" xr:uid="{00000000-0005-0000-0000-0000FE490000}"/>
    <cellStyle name="표준 5 2 3 2 3 2 7 5" xfId="21882" xr:uid="{00000000-0005-0000-0000-0000FF490000}"/>
    <cellStyle name="표준 5 2 3 2 3 2 7 6" xfId="25978" xr:uid="{00000000-0005-0000-0000-0000004A0000}"/>
    <cellStyle name="표준 5 2 3 2 3 2 7 7" xfId="34189" xr:uid="{00000000-0005-0000-0000-0000014A0000}"/>
    <cellStyle name="표준 5 2 3 2 3 2 7 8" xfId="42382" xr:uid="{00000000-0005-0000-0000-0000024A0000}"/>
    <cellStyle name="표준 5 2 3 2 3 2 8" xfId="7117" xr:uid="{00000000-0005-0000-0000-0000034A0000}"/>
    <cellStyle name="표준 5 2 3 2 3 2 8 2" xfId="28026" xr:uid="{00000000-0005-0000-0000-0000044A0000}"/>
    <cellStyle name="표준 5 2 3 2 3 2 8 3" xfId="36237" xr:uid="{00000000-0005-0000-0000-0000054A0000}"/>
    <cellStyle name="표준 5 2 3 2 3 2 8 4" xfId="44430" xr:uid="{00000000-0005-0000-0000-0000064A0000}"/>
    <cellStyle name="표준 5 2 3 2 3 2 9" xfId="7320" xr:uid="{00000000-0005-0000-0000-0000074A0000}"/>
    <cellStyle name="표준 5 2 3 2 3 3" xfId="529" xr:uid="{00000000-0005-0000-0000-0000084A0000}"/>
    <cellStyle name="표준 5 2 3 2 3 3 10" xfId="19898" xr:uid="{00000000-0005-0000-0000-0000094A0000}"/>
    <cellStyle name="표준 5 2 3 2 3 3 11" xfId="23994" xr:uid="{00000000-0005-0000-0000-00000A4A0000}"/>
    <cellStyle name="표준 5 2 3 2 3 3 12" xfId="32205" xr:uid="{00000000-0005-0000-0000-00000B4A0000}"/>
    <cellStyle name="표준 5 2 3 2 3 3 13" xfId="40398" xr:uid="{00000000-0005-0000-0000-00000C4A0000}"/>
    <cellStyle name="표준 5 2 3 2 3 3 2" xfId="785" xr:uid="{00000000-0005-0000-0000-00000D4A0000}"/>
    <cellStyle name="표준 5 2 3 2 3 3 2 10" xfId="24250" xr:uid="{00000000-0005-0000-0000-00000E4A0000}"/>
    <cellStyle name="표준 5 2 3 2 3 3 2 11" xfId="32461" xr:uid="{00000000-0005-0000-0000-00000F4A0000}"/>
    <cellStyle name="표준 5 2 3 2 3 3 2 12" xfId="40654" xr:uid="{00000000-0005-0000-0000-0000104A0000}"/>
    <cellStyle name="표준 5 2 3 2 3 3 2 2" xfId="1297" xr:uid="{00000000-0005-0000-0000-0000114A0000}"/>
    <cellStyle name="표준 5 2 3 2 3 3 2 2 2" xfId="10200" xr:uid="{00000000-0005-0000-0000-0000124A0000}"/>
    <cellStyle name="표준 5 2 3 2 3 3 2 2 2 2" xfId="14312" xr:uid="{00000000-0005-0000-0000-0000134A0000}"/>
    <cellStyle name="표준 5 2 3 2 3 3 2 2 2 2 2" xfId="30906" xr:uid="{00000000-0005-0000-0000-0000144A0000}"/>
    <cellStyle name="표준 5 2 3 2 3 3 2 2 2 2 3" xfId="39117" xr:uid="{00000000-0005-0000-0000-0000154A0000}"/>
    <cellStyle name="표준 5 2 3 2 3 3 2 2 2 2 4" xfId="47310" xr:uid="{00000000-0005-0000-0000-0000164A0000}"/>
    <cellStyle name="표준 5 2 3 2 3 3 2 2 2 3" xfId="18552" xr:uid="{00000000-0005-0000-0000-0000174A0000}"/>
    <cellStyle name="표준 5 2 3 2 3 3 2 2 2 4" xfId="22714" xr:uid="{00000000-0005-0000-0000-0000184A0000}"/>
    <cellStyle name="표준 5 2 3 2 3 3 2 2 2 5" xfId="26810" xr:uid="{00000000-0005-0000-0000-0000194A0000}"/>
    <cellStyle name="표준 5 2 3 2 3 3 2 2 2 6" xfId="35021" xr:uid="{00000000-0005-0000-0000-00001A4A0000}"/>
    <cellStyle name="표준 5 2 3 2 3 3 2 2 2 7" xfId="43214" xr:uid="{00000000-0005-0000-0000-00001B4A0000}"/>
    <cellStyle name="표준 5 2 3 2 3 3 2 2 3" xfId="8152" xr:uid="{00000000-0005-0000-0000-00001C4A0000}"/>
    <cellStyle name="표준 5 2 3 2 3 3 2 2 3 2" xfId="28858" xr:uid="{00000000-0005-0000-0000-00001D4A0000}"/>
    <cellStyle name="표준 5 2 3 2 3 3 2 2 3 3" xfId="37069" xr:uid="{00000000-0005-0000-0000-00001E4A0000}"/>
    <cellStyle name="표준 5 2 3 2 3 3 2 2 3 4" xfId="45262" xr:uid="{00000000-0005-0000-0000-00001F4A0000}"/>
    <cellStyle name="표준 5 2 3 2 3 3 2 2 4" xfId="12264" xr:uid="{00000000-0005-0000-0000-0000204A0000}"/>
    <cellStyle name="표준 5 2 3 2 3 3 2 2 5" xfId="16504" xr:uid="{00000000-0005-0000-0000-0000214A0000}"/>
    <cellStyle name="표준 5 2 3 2 3 3 2 2 6" xfId="20666" xr:uid="{00000000-0005-0000-0000-0000224A0000}"/>
    <cellStyle name="표준 5 2 3 2 3 3 2 2 7" xfId="24762" xr:uid="{00000000-0005-0000-0000-0000234A0000}"/>
    <cellStyle name="표준 5 2 3 2 3 3 2 2 8" xfId="32973" xr:uid="{00000000-0005-0000-0000-0000244A0000}"/>
    <cellStyle name="표준 5 2 3 2 3 3 2 2 9" xfId="41166" xr:uid="{00000000-0005-0000-0000-0000254A0000}"/>
    <cellStyle name="표준 5 2 3 2 3 3 2 3" xfId="1809" xr:uid="{00000000-0005-0000-0000-0000264A0000}"/>
    <cellStyle name="표준 5 2 3 2 3 3 2 3 2" xfId="10712" xr:uid="{00000000-0005-0000-0000-0000274A0000}"/>
    <cellStyle name="표준 5 2 3 2 3 3 2 3 2 2" xfId="14824" xr:uid="{00000000-0005-0000-0000-0000284A0000}"/>
    <cellStyle name="표준 5 2 3 2 3 3 2 3 2 2 2" xfId="31418" xr:uid="{00000000-0005-0000-0000-0000294A0000}"/>
    <cellStyle name="표준 5 2 3 2 3 3 2 3 2 2 3" xfId="39629" xr:uid="{00000000-0005-0000-0000-00002A4A0000}"/>
    <cellStyle name="표준 5 2 3 2 3 3 2 3 2 2 4" xfId="47822" xr:uid="{00000000-0005-0000-0000-00002B4A0000}"/>
    <cellStyle name="표준 5 2 3 2 3 3 2 3 2 3" xfId="19064" xr:uid="{00000000-0005-0000-0000-00002C4A0000}"/>
    <cellStyle name="표준 5 2 3 2 3 3 2 3 2 4" xfId="23226" xr:uid="{00000000-0005-0000-0000-00002D4A0000}"/>
    <cellStyle name="표준 5 2 3 2 3 3 2 3 2 5" xfId="27322" xr:uid="{00000000-0005-0000-0000-00002E4A0000}"/>
    <cellStyle name="표준 5 2 3 2 3 3 2 3 2 6" xfId="35533" xr:uid="{00000000-0005-0000-0000-00002F4A0000}"/>
    <cellStyle name="표준 5 2 3 2 3 3 2 3 2 7" xfId="43726" xr:uid="{00000000-0005-0000-0000-0000304A0000}"/>
    <cellStyle name="표준 5 2 3 2 3 3 2 3 3" xfId="8664" xr:uid="{00000000-0005-0000-0000-0000314A0000}"/>
    <cellStyle name="표준 5 2 3 2 3 3 2 3 3 2" xfId="29370" xr:uid="{00000000-0005-0000-0000-0000324A0000}"/>
    <cellStyle name="표준 5 2 3 2 3 3 2 3 3 3" xfId="37581" xr:uid="{00000000-0005-0000-0000-0000334A0000}"/>
    <cellStyle name="표준 5 2 3 2 3 3 2 3 3 4" xfId="45774" xr:uid="{00000000-0005-0000-0000-0000344A0000}"/>
    <cellStyle name="표준 5 2 3 2 3 3 2 3 4" xfId="12776" xr:uid="{00000000-0005-0000-0000-0000354A0000}"/>
    <cellStyle name="표준 5 2 3 2 3 3 2 3 5" xfId="17016" xr:uid="{00000000-0005-0000-0000-0000364A0000}"/>
    <cellStyle name="표준 5 2 3 2 3 3 2 3 6" xfId="21178" xr:uid="{00000000-0005-0000-0000-0000374A0000}"/>
    <cellStyle name="표준 5 2 3 2 3 3 2 3 7" xfId="25274" xr:uid="{00000000-0005-0000-0000-0000384A0000}"/>
    <cellStyle name="표준 5 2 3 2 3 3 2 3 8" xfId="33485" xr:uid="{00000000-0005-0000-0000-0000394A0000}"/>
    <cellStyle name="표준 5 2 3 2 3 3 2 3 9" xfId="41678" xr:uid="{00000000-0005-0000-0000-00003A4A0000}"/>
    <cellStyle name="표준 5 2 3 2 3 3 2 4" xfId="2321" xr:uid="{00000000-0005-0000-0000-00003B4A0000}"/>
    <cellStyle name="표준 5 2 3 2 3 3 2 4 2" xfId="11224" xr:uid="{00000000-0005-0000-0000-00003C4A0000}"/>
    <cellStyle name="표준 5 2 3 2 3 3 2 4 2 2" xfId="15336" xr:uid="{00000000-0005-0000-0000-00003D4A0000}"/>
    <cellStyle name="표준 5 2 3 2 3 3 2 4 2 2 2" xfId="31930" xr:uid="{00000000-0005-0000-0000-00003E4A0000}"/>
    <cellStyle name="표준 5 2 3 2 3 3 2 4 2 2 3" xfId="40141" xr:uid="{00000000-0005-0000-0000-00003F4A0000}"/>
    <cellStyle name="표준 5 2 3 2 3 3 2 4 2 2 4" xfId="48334" xr:uid="{00000000-0005-0000-0000-0000404A0000}"/>
    <cellStyle name="표준 5 2 3 2 3 3 2 4 2 3" xfId="19576" xr:uid="{00000000-0005-0000-0000-0000414A0000}"/>
    <cellStyle name="표준 5 2 3 2 3 3 2 4 2 4" xfId="23738" xr:uid="{00000000-0005-0000-0000-0000424A0000}"/>
    <cellStyle name="표준 5 2 3 2 3 3 2 4 2 5" xfId="27834" xr:uid="{00000000-0005-0000-0000-0000434A0000}"/>
    <cellStyle name="표준 5 2 3 2 3 3 2 4 2 6" xfId="36045" xr:uid="{00000000-0005-0000-0000-0000444A0000}"/>
    <cellStyle name="표준 5 2 3 2 3 3 2 4 2 7" xfId="44238" xr:uid="{00000000-0005-0000-0000-0000454A0000}"/>
    <cellStyle name="표준 5 2 3 2 3 3 2 4 3" xfId="9176" xr:uid="{00000000-0005-0000-0000-0000464A0000}"/>
    <cellStyle name="표준 5 2 3 2 3 3 2 4 3 2" xfId="29882" xr:uid="{00000000-0005-0000-0000-0000474A0000}"/>
    <cellStyle name="표준 5 2 3 2 3 3 2 4 3 3" xfId="38093" xr:uid="{00000000-0005-0000-0000-0000484A0000}"/>
    <cellStyle name="표준 5 2 3 2 3 3 2 4 3 4" xfId="46286" xr:uid="{00000000-0005-0000-0000-0000494A0000}"/>
    <cellStyle name="표준 5 2 3 2 3 3 2 4 4" xfId="13288" xr:uid="{00000000-0005-0000-0000-00004A4A0000}"/>
    <cellStyle name="표준 5 2 3 2 3 3 2 4 5" xfId="17528" xr:uid="{00000000-0005-0000-0000-00004B4A0000}"/>
    <cellStyle name="표준 5 2 3 2 3 3 2 4 6" xfId="21690" xr:uid="{00000000-0005-0000-0000-00004C4A0000}"/>
    <cellStyle name="표준 5 2 3 2 3 3 2 4 7" xfId="25786" xr:uid="{00000000-0005-0000-0000-00004D4A0000}"/>
    <cellStyle name="표준 5 2 3 2 3 3 2 4 8" xfId="33997" xr:uid="{00000000-0005-0000-0000-00004E4A0000}"/>
    <cellStyle name="표준 5 2 3 2 3 3 2 4 9" xfId="42190" xr:uid="{00000000-0005-0000-0000-00004F4A0000}"/>
    <cellStyle name="표준 5 2 3 2 3 3 2 5" xfId="9688" xr:uid="{00000000-0005-0000-0000-0000504A0000}"/>
    <cellStyle name="표준 5 2 3 2 3 3 2 5 2" xfId="13800" xr:uid="{00000000-0005-0000-0000-0000514A0000}"/>
    <cellStyle name="표준 5 2 3 2 3 3 2 5 2 2" xfId="30394" xr:uid="{00000000-0005-0000-0000-0000524A0000}"/>
    <cellStyle name="표준 5 2 3 2 3 3 2 5 2 3" xfId="38605" xr:uid="{00000000-0005-0000-0000-0000534A0000}"/>
    <cellStyle name="표준 5 2 3 2 3 3 2 5 2 4" xfId="46798" xr:uid="{00000000-0005-0000-0000-0000544A0000}"/>
    <cellStyle name="표준 5 2 3 2 3 3 2 5 3" xfId="18040" xr:uid="{00000000-0005-0000-0000-0000554A0000}"/>
    <cellStyle name="표준 5 2 3 2 3 3 2 5 4" xfId="22202" xr:uid="{00000000-0005-0000-0000-0000564A0000}"/>
    <cellStyle name="표준 5 2 3 2 3 3 2 5 5" xfId="26298" xr:uid="{00000000-0005-0000-0000-0000574A0000}"/>
    <cellStyle name="표준 5 2 3 2 3 3 2 5 6" xfId="34509" xr:uid="{00000000-0005-0000-0000-0000584A0000}"/>
    <cellStyle name="표준 5 2 3 2 3 3 2 5 7" xfId="42702" xr:uid="{00000000-0005-0000-0000-0000594A0000}"/>
    <cellStyle name="표준 5 2 3 2 3 3 2 6" xfId="7640" xr:uid="{00000000-0005-0000-0000-00005A4A0000}"/>
    <cellStyle name="표준 5 2 3 2 3 3 2 6 2" xfId="28346" xr:uid="{00000000-0005-0000-0000-00005B4A0000}"/>
    <cellStyle name="표준 5 2 3 2 3 3 2 6 3" xfId="36557" xr:uid="{00000000-0005-0000-0000-00005C4A0000}"/>
    <cellStyle name="표준 5 2 3 2 3 3 2 6 4" xfId="44750" xr:uid="{00000000-0005-0000-0000-00005D4A0000}"/>
    <cellStyle name="표준 5 2 3 2 3 3 2 7" xfId="11752" xr:uid="{00000000-0005-0000-0000-00005E4A0000}"/>
    <cellStyle name="표준 5 2 3 2 3 3 2 8" xfId="15992" xr:uid="{00000000-0005-0000-0000-00005F4A0000}"/>
    <cellStyle name="표준 5 2 3 2 3 3 2 9" xfId="20154" xr:uid="{00000000-0005-0000-0000-0000604A0000}"/>
    <cellStyle name="표준 5 2 3 2 3 3 3" xfId="1041" xr:uid="{00000000-0005-0000-0000-0000614A0000}"/>
    <cellStyle name="표준 5 2 3 2 3 3 3 2" xfId="9944" xr:uid="{00000000-0005-0000-0000-0000624A0000}"/>
    <cellStyle name="표준 5 2 3 2 3 3 3 2 2" xfId="14056" xr:uid="{00000000-0005-0000-0000-0000634A0000}"/>
    <cellStyle name="표준 5 2 3 2 3 3 3 2 2 2" xfId="30650" xr:uid="{00000000-0005-0000-0000-0000644A0000}"/>
    <cellStyle name="표준 5 2 3 2 3 3 3 2 2 3" xfId="38861" xr:uid="{00000000-0005-0000-0000-0000654A0000}"/>
    <cellStyle name="표준 5 2 3 2 3 3 3 2 2 4" xfId="47054" xr:uid="{00000000-0005-0000-0000-0000664A0000}"/>
    <cellStyle name="표준 5 2 3 2 3 3 3 2 3" xfId="18296" xr:uid="{00000000-0005-0000-0000-0000674A0000}"/>
    <cellStyle name="표준 5 2 3 2 3 3 3 2 4" xfId="22458" xr:uid="{00000000-0005-0000-0000-0000684A0000}"/>
    <cellStyle name="표준 5 2 3 2 3 3 3 2 5" xfId="26554" xr:uid="{00000000-0005-0000-0000-0000694A0000}"/>
    <cellStyle name="표준 5 2 3 2 3 3 3 2 6" xfId="34765" xr:uid="{00000000-0005-0000-0000-00006A4A0000}"/>
    <cellStyle name="표준 5 2 3 2 3 3 3 2 7" xfId="42958" xr:uid="{00000000-0005-0000-0000-00006B4A0000}"/>
    <cellStyle name="표준 5 2 3 2 3 3 3 3" xfId="7896" xr:uid="{00000000-0005-0000-0000-00006C4A0000}"/>
    <cellStyle name="표준 5 2 3 2 3 3 3 3 2" xfId="28602" xr:uid="{00000000-0005-0000-0000-00006D4A0000}"/>
    <cellStyle name="표준 5 2 3 2 3 3 3 3 3" xfId="36813" xr:uid="{00000000-0005-0000-0000-00006E4A0000}"/>
    <cellStyle name="표준 5 2 3 2 3 3 3 3 4" xfId="45006" xr:uid="{00000000-0005-0000-0000-00006F4A0000}"/>
    <cellStyle name="표준 5 2 3 2 3 3 3 4" xfId="12008" xr:uid="{00000000-0005-0000-0000-0000704A0000}"/>
    <cellStyle name="표준 5 2 3 2 3 3 3 5" xfId="16248" xr:uid="{00000000-0005-0000-0000-0000714A0000}"/>
    <cellStyle name="표준 5 2 3 2 3 3 3 6" xfId="20410" xr:uid="{00000000-0005-0000-0000-0000724A0000}"/>
    <cellStyle name="표준 5 2 3 2 3 3 3 7" xfId="24506" xr:uid="{00000000-0005-0000-0000-0000734A0000}"/>
    <cellStyle name="표준 5 2 3 2 3 3 3 8" xfId="32717" xr:uid="{00000000-0005-0000-0000-0000744A0000}"/>
    <cellStyle name="표준 5 2 3 2 3 3 3 9" xfId="40910" xr:uid="{00000000-0005-0000-0000-0000754A0000}"/>
    <cellStyle name="표준 5 2 3 2 3 3 4" xfId="1553" xr:uid="{00000000-0005-0000-0000-0000764A0000}"/>
    <cellStyle name="표준 5 2 3 2 3 3 4 2" xfId="10456" xr:uid="{00000000-0005-0000-0000-0000774A0000}"/>
    <cellStyle name="표준 5 2 3 2 3 3 4 2 2" xfId="14568" xr:uid="{00000000-0005-0000-0000-0000784A0000}"/>
    <cellStyle name="표준 5 2 3 2 3 3 4 2 2 2" xfId="31162" xr:uid="{00000000-0005-0000-0000-0000794A0000}"/>
    <cellStyle name="표준 5 2 3 2 3 3 4 2 2 3" xfId="39373" xr:uid="{00000000-0005-0000-0000-00007A4A0000}"/>
    <cellStyle name="표준 5 2 3 2 3 3 4 2 2 4" xfId="47566" xr:uid="{00000000-0005-0000-0000-00007B4A0000}"/>
    <cellStyle name="표준 5 2 3 2 3 3 4 2 3" xfId="18808" xr:uid="{00000000-0005-0000-0000-00007C4A0000}"/>
    <cellStyle name="표준 5 2 3 2 3 3 4 2 4" xfId="22970" xr:uid="{00000000-0005-0000-0000-00007D4A0000}"/>
    <cellStyle name="표준 5 2 3 2 3 3 4 2 5" xfId="27066" xr:uid="{00000000-0005-0000-0000-00007E4A0000}"/>
    <cellStyle name="표준 5 2 3 2 3 3 4 2 6" xfId="35277" xr:uid="{00000000-0005-0000-0000-00007F4A0000}"/>
    <cellStyle name="표준 5 2 3 2 3 3 4 2 7" xfId="43470" xr:uid="{00000000-0005-0000-0000-0000804A0000}"/>
    <cellStyle name="표준 5 2 3 2 3 3 4 3" xfId="8408" xr:uid="{00000000-0005-0000-0000-0000814A0000}"/>
    <cellStyle name="표준 5 2 3 2 3 3 4 3 2" xfId="29114" xr:uid="{00000000-0005-0000-0000-0000824A0000}"/>
    <cellStyle name="표준 5 2 3 2 3 3 4 3 3" xfId="37325" xr:uid="{00000000-0005-0000-0000-0000834A0000}"/>
    <cellStyle name="표준 5 2 3 2 3 3 4 3 4" xfId="45518" xr:uid="{00000000-0005-0000-0000-0000844A0000}"/>
    <cellStyle name="표준 5 2 3 2 3 3 4 4" xfId="12520" xr:uid="{00000000-0005-0000-0000-0000854A0000}"/>
    <cellStyle name="표준 5 2 3 2 3 3 4 5" xfId="16760" xr:uid="{00000000-0005-0000-0000-0000864A0000}"/>
    <cellStyle name="표준 5 2 3 2 3 3 4 6" xfId="20922" xr:uid="{00000000-0005-0000-0000-0000874A0000}"/>
    <cellStyle name="표준 5 2 3 2 3 3 4 7" xfId="25018" xr:uid="{00000000-0005-0000-0000-0000884A0000}"/>
    <cellStyle name="표준 5 2 3 2 3 3 4 8" xfId="33229" xr:uid="{00000000-0005-0000-0000-0000894A0000}"/>
    <cellStyle name="표준 5 2 3 2 3 3 4 9" xfId="41422" xr:uid="{00000000-0005-0000-0000-00008A4A0000}"/>
    <cellStyle name="표준 5 2 3 2 3 3 5" xfId="2065" xr:uid="{00000000-0005-0000-0000-00008B4A0000}"/>
    <cellStyle name="표준 5 2 3 2 3 3 5 2" xfId="10968" xr:uid="{00000000-0005-0000-0000-00008C4A0000}"/>
    <cellStyle name="표준 5 2 3 2 3 3 5 2 2" xfId="15080" xr:uid="{00000000-0005-0000-0000-00008D4A0000}"/>
    <cellStyle name="표준 5 2 3 2 3 3 5 2 2 2" xfId="31674" xr:uid="{00000000-0005-0000-0000-00008E4A0000}"/>
    <cellStyle name="표준 5 2 3 2 3 3 5 2 2 3" xfId="39885" xr:uid="{00000000-0005-0000-0000-00008F4A0000}"/>
    <cellStyle name="표준 5 2 3 2 3 3 5 2 2 4" xfId="48078" xr:uid="{00000000-0005-0000-0000-0000904A0000}"/>
    <cellStyle name="표준 5 2 3 2 3 3 5 2 3" xfId="19320" xr:uid="{00000000-0005-0000-0000-0000914A0000}"/>
    <cellStyle name="표준 5 2 3 2 3 3 5 2 4" xfId="23482" xr:uid="{00000000-0005-0000-0000-0000924A0000}"/>
    <cellStyle name="표준 5 2 3 2 3 3 5 2 5" xfId="27578" xr:uid="{00000000-0005-0000-0000-0000934A0000}"/>
    <cellStyle name="표준 5 2 3 2 3 3 5 2 6" xfId="35789" xr:uid="{00000000-0005-0000-0000-0000944A0000}"/>
    <cellStyle name="표준 5 2 3 2 3 3 5 2 7" xfId="43982" xr:uid="{00000000-0005-0000-0000-0000954A0000}"/>
    <cellStyle name="표준 5 2 3 2 3 3 5 3" xfId="8920" xr:uid="{00000000-0005-0000-0000-0000964A0000}"/>
    <cellStyle name="표준 5 2 3 2 3 3 5 3 2" xfId="29626" xr:uid="{00000000-0005-0000-0000-0000974A0000}"/>
    <cellStyle name="표준 5 2 3 2 3 3 5 3 3" xfId="37837" xr:uid="{00000000-0005-0000-0000-0000984A0000}"/>
    <cellStyle name="표준 5 2 3 2 3 3 5 3 4" xfId="46030" xr:uid="{00000000-0005-0000-0000-0000994A0000}"/>
    <cellStyle name="표준 5 2 3 2 3 3 5 4" xfId="13032" xr:uid="{00000000-0005-0000-0000-00009A4A0000}"/>
    <cellStyle name="표준 5 2 3 2 3 3 5 5" xfId="17272" xr:uid="{00000000-0005-0000-0000-00009B4A0000}"/>
    <cellStyle name="표준 5 2 3 2 3 3 5 6" xfId="21434" xr:uid="{00000000-0005-0000-0000-00009C4A0000}"/>
    <cellStyle name="표준 5 2 3 2 3 3 5 7" xfId="25530" xr:uid="{00000000-0005-0000-0000-00009D4A0000}"/>
    <cellStyle name="표준 5 2 3 2 3 3 5 8" xfId="33741" xr:uid="{00000000-0005-0000-0000-00009E4A0000}"/>
    <cellStyle name="표준 5 2 3 2 3 3 5 9" xfId="41934" xr:uid="{00000000-0005-0000-0000-00009F4A0000}"/>
    <cellStyle name="표준 5 2 3 2 3 3 6" xfId="9432" xr:uid="{00000000-0005-0000-0000-0000A04A0000}"/>
    <cellStyle name="표준 5 2 3 2 3 3 6 2" xfId="13544" xr:uid="{00000000-0005-0000-0000-0000A14A0000}"/>
    <cellStyle name="표준 5 2 3 2 3 3 6 2 2" xfId="30138" xr:uid="{00000000-0005-0000-0000-0000A24A0000}"/>
    <cellStyle name="표준 5 2 3 2 3 3 6 2 3" xfId="38349" xr:uid="{00000000-0005-0000-0000-0000A34A0000}"/>
    <cellStyle name="표준 5 2 3 2 3 3 6 2 4" xfId="46542" xr:uid="{00000000-0005-0000-0000-0000A44A0000}"/>
    <cellStyle name="표준 5 2 3 2 3 3 6 3" xfId="17784" xr:uid="{00000000-0005-0000-0000-0000A54A0000}"/>
    <cellStyle name="표준 5 2 3 2 3 3 6 4" xfId="21946" xr:uid="{00000000-0005-0000-0000-0000A64A0000}"/>
    <cellStyle name="표준 5 2 3 2 3 3 6 5" xfId="26042" xr:uid="{00000000-0005-0000-0000-0000A74A0000}"/>
    <cellStyle name="표준 5 2 3 2 3 3 6 6" xfId="34253" xr:uid="{00000000-0005-0000-0000-0000A84A0000}"/>
    <cellStyle name="표준 5 2 3 2 3 3 6 7" xfId="42446" xr:uid="{00000000-0005-0000-0000-0000A94A0000}"/>
    <cellStyle name="표준 5 2 3 2 3 3 7" xfId="7384" xr:uid="{00000000-0005-0000-0000-0000AA4A0000}"/>
    <cellStyle name="표준 5 2 3 2 3 3 7 2" xfId="28090" xr:uid="{00000000-0005-0000-0000-0000AB4A0000}"/>
    <cellStyle name="표준 5 2 3 2 3 3 7 3" xfId="36301" xr:uid="{00000000-0005-0000-0000-0000AC4A0000}"/>
    <cellStyle name="표준 5 2 3 2 3 3 7 4" xfId="44494" xr:uid="{00000000-0005-0000-0000-0000AD4A0000}"/>
    <cellStyle name="표준 5 2 3 2 3 3 8" xfId="11496" xr:uid="{00000000-0005-0000-0000-0000AE4A0000}"/>
    <cellStyle name="표준 5 2 3 2 3 3 9" xfId="15736" xr:uid="{00000000-0005-0000-0000-0000AF4A0000}"/>
    <cellStyle name="표준 5 2 3 2 3 4" xfId="657" xr:uid="{00000000-0005-0000-0000-0000B04A0000}"/>
    <cellStyle name="표준 5 2 3 2 3 4 10" xfId="24122" xr:uid="{00000000-0005-0000-0000-0000B14A0000}"/>
    <cellStyle name="표준 5 2 3 2 3 4 11" xfId="32333" xr:uid="{00000000-0005-0000-0000-0000B24A0000}"/>
    <cellStyle name="표준 5 2 3 2 3 4 12" xfId="40526" xr:uid="{00000000-0005-0000-0000-0000B34A0000}"/>
    <cellStyle name="표준 5 2 3 2 3 4 2" xfId="1169" xr:uid="{00000000-0005-0000-0000-0000B44A0000}"/>
    <cellStyle name="표준 5 2 3 2 3 4 2 2" xfId="10072" xr:uid="{00000000-0005-0000-0000-0000B54A0000}"/>
    <cellStyle name="표준 5 2 3 2 3 4 2 2 2" xfId="14184" xr:uid="{00000000-0005-0000-0000-0000B64A0000}"/>
    <cellStyle name="표준 5 2 3 2 3 4 2 2 2 2" xfId="30778" xr:uid="{00000000-0005-0000-0000-0000B74A0000}"/>
    <cellStyle name="표준 5 2 3 2 3 4 2 2 2 3" xfId="38989" xr:uid="{00000000-0005-0000-0000-0000B84A0000}"/>
    <cellStyle name="표준 5 2 3 2 3 4 2 2 2 4" xfId="47182" xr:uid="{00000000-0005-0000-0000-0000B94A0000}"/>
    <cellStyle name="표준 5 2 3 2 3 4 2 2 3" xfId="18424" xr:uid="{00000000-0005-0000-0000-0000BA4A0000}"/>
    <cellStyle name="표준 5 2 3 2 3 4 2 2 4" xfId="22586" xr:uid="{00000000-0005-0000-0000-0000BB4A0000}"/>
    <cellStyle name="표준 5 2 3 2 3 4 2 2 5" xfId="26682" xr:uid="{00000000-0005-0000-0000-0000BC4A0000}"/>
    <cellStyle name="표준 5 2 3 2 3 4 2 2 6" xfId="34893" xr:uid="{00000000-0005-0000-0000-0000BD4A0000}"/>
    <cellStyle name="표준 5 2 3 2 3 4 2 2 7" xfId="43086" xr:uid="{00000000-0005-0000-0000-0000BE4A0000}"/>
    <cellStyle name="표준 5 2 3 2 3 4 2 3" xfId="8024" xr:uid="{00000000-0005-0000-0000-0000BF4A0000}"/>
    <cellStyle name="표준 5 2 3 2 3 4 2 3 2" xfId="28730" xr:uid="{00000000-0005-0000-0000-0000C04A0000}"/>
    <cellStyle name="표준 5 2 3 2 3 4 2 3 3" xfId="36941" xr:uid="{00000000-0005-0000-0000-0000C14A0000}"/>
    <cellStyle name="표준 5 2 3 2 3 4 2 3 4" xfId="45134" xr:uid="{00000000-0005-0000-0000-0000C24A0000}"/>
    <cellStyle name="표준 5 2 3 2 3 4 2 4" xfId="12136" xr:uid="{00000000-0005-0000-0000-0000C34A0000}"/>
    <cellStyle name="표준 5 2 3 2 3 4 2 5" xfId="16376" xr:uid="{00000000-0005-0000-0000-0000C44A0000}"/>
    <cellStyle name="표준 5 2 3 2 3 4 2 6" xfId="20538" xr:uid="{00000000-0005-0000-0000-0000C54A0000}"/>
    <cellStyle name="표준 5 2 3 2 3 4 2 7" xfId="24634" xr:uid="{00000000-0005-0000-0000-0000C64A0000}"/>
    <cellStyle name="표준 5 2 3 2 3 4 2 8" xfId="32845" xr:uid="{00000000-0005-0000-0000-0000C74A0000}"/>
    <cellStyle name="표준 5 2 3 2 3 4 2 9" xfId="41038" xr:uid="{00000000-0005-0000-0000-0000C84A0000}"/>
    <cellStyle name="표준 5 2 3 2 3 4 3" xfId="1681" xr:uid="{00000000-0005-0000-0000-0000C94A0000}"/>
    <cellStyle name="표준 5 2 3 2 3 4 3 2" xfId="10584" xr:uid="{00000000-0005-0000-0000-0000CA4A0000}"/>
    <cellStyle name="표준 5 2 3 2 3 4 3 2 2" xfId="14696" xr:uid="{00000000-0005-0000-0000-0000CB4A0000}"/>
    <cellStyle name="표준 5 2 3 2 3 4 3 2 2 2" xfId="31290" xr:uid="{00000000-0005-0000-0000-0000CC4A0000}"/>
    <cellStyle name="표준 5 2 3 2 3 4 3 2 2 3" xfId="39501" xr:uid="{00000000-0005-0000-0000-0000CD4A0000}"/>
    <cellStyle name="표준 5 2 3 2 3 4 3 2 2 4" xfId="47694" xr:uid="{00000000-0005-0000-0000-0000CE4A0000}"/>
    <cellStyle name="표준 5 2 3 2 3 4 3 2 3" xfId="18936" xr:uid="{00000000-0005-0000-0000-0000CF4A0000}"/>
    <cellStyle name="표준 5 2 3 2 3 4 3 2 4" xfId="23098" xr:uid="{00000000-0005-0000-0000-0000D04A0000}"/>
    <cellStyle name="표준 5 2 3 2 3 4 3 2 5" xfId="27194" xr:uid="{00000000-0005-0000-0000-0000D14A0000}"/>
    <cellStyle name="표준 5 2 3 2 3 4 3 2 6" xfId="35405" xr:uid="{00000000-0005-0000-0000-0000D24A0000}"/>
    <cellStyle name="표준 5 2 3 2 3 4 3 2 7" xfId="43598" xr:uid="{00000000-0005-0000-0000-0000D34A0000}"/>
    <cellStyle name="표준 5 2 3 2 3 4 3 3" xfId="8536" xr:uid="{00000000-0005-0000-0000-0000D44A0000}"/>
    <cellStyle name="표준 5 2 3 2 3 4 3 3 2" xfId="29242" xr:uid="{00000000-0005-0000-0000-0000D54A0000}"/>
    <cellStyle name="표준 5 2 3 2 3 4 3 3 3" xfId="37453" xr:uid="{00000000-0005-0000-0000-0000D64A0000}"/>
    <cellStyle name="표준 5 2 3 2 3 4 3 3 4" xfId="45646" xr:uid="{00000000-0005-0000-0000-0000D74A0000}"/>
    <cellStyle name="표준 5 2 3 2 3 4 3 4" xfId="12648" xr:uid="{00000000-0005-0000-0000-0000D84A0000}"/>
    <cellStyle name="표준 5 2 3 2 3 4 3 5" xfId="16888" xr:uid="{00000000-0005-0000-0000-0000D94A0000}"/>
    <cellStyle name="표준 5 2 3 2 3 4 3 6" xfId="21050" xr:uid="{00000000-0005-0000-0000-0000DA4A0000}"/>
    <cellStyle name="표준 5 2 3 2 3 4 3 7" xfId="25146" xr:uid="{00000000-0005-0000-0000-0000DB4A0000}"/>
    <cellStyle name="표준 5 2 3 2 3 4 3 8" xfId="33357" xr:uid="{00000000-0005-0000-0000-0000DC4A0000}"/>
    <cellStyle name="표준 5 2 3 2 3 4 3 9" xfId="41550" xr:uid="{00000000-0005-0000-0000-0000DD4A0000}"/>
    <cellStyle name="표준 5 2 3 2 3 4 4" xfId="2193" xr:uid="{00000000-0005-0000-0000-0000DE4A0000}"/>
    <cellStyle name="표준 5 2 3 2 3 4 4 2" xfId="11096" xr:uid="{00000000-0005-0000-0000-0000DF4A0000}"/>
    <cellStyle name="표준 5 2 3 2 3 4 4 2 2" xfId="15208" xr:uid="{00000000-0005-0000-0000-0000E04A0000}"/>
    <cellStyle name="표준 5 2 3 2 3 4 4 2 2 2" xfId="31802" xr:uid="{00000000-0005-0000-0000-0000E14A0000}"/>
    <cellStyle name="표준 5 2 3 2 3 4 4 2 2 3" xfId="40013" xr:uid="{00000000-0005-0000-0000-0000E24A0000}"/>
    <cellStyle name="표준 5 2 3 2 3 4 4 2 2 4" xfId="48206" xr:uid="{00000000-0005-0000-0000-0000E34A0000}"/>
    <cellStyle name="표준 5 2 3 2 3 4 4 2 3" xfId="19448" xr:uid="{00000000-0005-0000-0000-0000E44A0000}"/>
    <cellStyle name="표준 5 2 3 2 3 4 4 2 4" xfId="23610" xr:uid="{00000000-0005-0000-0000-0000E54A0000}"/>
    <cellStyle name="표준 5 2 3 2 3 4 4 2 5" xfId="27706" xr:uid="{00000000-0005-0000-0000-0000E64A0000}"/>
    <cellStyle name="표준 5 2 3 2 3 4 4 2 6" xfId="35917" xr:uid="{00000000-0005-0000-0000-0000E74A0000}"/>
    <cellStyle name="표준 5 2 3 2 3 4 4 2 7" xfId="44110" xr:uid="{00000000-0005-0000-0000-0000E84A0000}"/>
    <cellStyle name="표준 5 2 3 2 3 4 4 3" xfId="9048" xr:uid="{00000000-0005-0000-0000-0000E94A0000}"/>
    <cellStyle name="표준 5 2 3 2 3 4 4 3 2" xfId="29754" xr:uid="{00000000-0005-0000-0000-0000EA4A0000}"/>
    <cellStyle name="표준 5 2 3 2 3 4 4 3 3" xfId="37965" xr:uid="{00000000-0005-0000-0000-0000EB4A0000}"/>
    <cellStyle name="표준 5 2 3 2 3 4 4 3 4" xfId="46158" xr:uid="{00000000-0005-0000-0000-0000EC4A0000}"/>
    <cellStyle name="표준 5 2 3 2 3 4 4 4" xfId="13160" xr:uid="{00000000-0005-0000-0000-0000ED4A0000}"/>
    <cellStyle name="표준 5 2 3 2 3 4 4 5" xfId="17400" xr:uid="{00000000-0005-0000-0000-0000EE4A0000}"/>
    <cellStyle name="표준 5 2 3 2 3 4 4 6" xfId="21562" xr:uid="{00000000-0005-0000-0000-0000EF4A0000}"/>
    <cellStyle name="표준 5 2 3 2 3 4 4 7" xfId="25658" xr:uid="{00000000-0005-0000-0000-0000F04A0000}"/>
    <cellStyle name="표준 5 2 3 2 3 4 4 8" xfId="33869" xr:uid="{00000000-0005-0000-0000-0000F14A0000}"/>
    <cellStyle name="표준 5 2 3 2 3 4 4 9" xfId="42062" xr:uid="{00000000-0005-0000-0000-0000F24A0000}"/>
    <cellStyle name="표준 5 2 3 2 3 4 5" xfId="9560" xr:uid="{00000000-0005-0000-0000-0000F34A0000}"/>
    <cellStyle name="표준 5 2 3 2 3 4 5 2" xfId="13672" xr:uid="{00000000-0005-0000-0000-0000F44A0000}"/>
    <cellStyle name="표준 5 2 3 2 3 4 5 2 2" xfId="30266" xr:uid="{00000000-0005-0000-0000-0000F54A0000}"/>
    <cellStyle name="표준 5 2 3 2 3 4 5 2 3" xfId="38477" xr:uid="{00000000-0005-0000-0000-0000F64A0000}"/>
    <cellStyle name="표준 5 2 3 2 3 4 5 2 4" xfId="46670" xr:uid="{00000000-0005-0000-0000-0000F74A0000}"/>
    <cellStyle name="표준 5 2 3 2 3 4 5 3" xfId="17912" xr:uid="{00000000-0005-0000-0000-0000F84A0000}"/>
    <cellStyle name="표준 5 2 3 2 3 4 5 4" xfId="22074" xr:uid="{00000000-0005-0000-0000-0000F94A0000}"/>
    <cellStyle name="표준 5 2 3 2 3 4 5 5" xfId="26170" xr:uid="{00000000-0005-0000-0000-0000FA4A0000}"/>
    <cellStyle name="표준 5 2 3 2 3 4 5 6" xfId="34381" xr:uid="{00000000-0005-0000-0000-0000FB4A0000}"/>
    <cellStyle name="표준 5 2 3 2 3 4 5 7" xfId="42574" xr:uid="{00000000-0005-0000-0000-0000FC4A0000}"/>
    <cellStyle name="표준 5 2 3 2 3 4 6" xfId="7512" xr:uid="{00000000-0005-0000-0000-0000FD4A0000}"/>
    <cellStyle name="표준 5 2 3 2 3 4 6 2" xfId="28218" xr:uid="{00000000-0005-0000-0000-0000FE4A0000}"/>
    <cellStyle name="표준 5 2 3 2 3 4 6 3" xfId="36429" xr:uid="{00000000-0005-0000-0000-0000FF4A0000}"/>
    <cellStyle name="표준 5 2 3 2 3 4 6 4" xfId="44622" xr:uid="{00000000-0005-0000-0000-0000004B0000}"/>
    <cellStyle name="표준 5 2 3 2 3 4 7" xfId="11624" xr:uid="{00000000-0005-0000-0000-0000014B0000}"/>
    <cellStyle name="표준 5 2 3 2 3 4 8" xfId="15864" xr:uid="{00000000-0005-0000-0000-0000024B0000}"/>
    <cellStyle name="표준 5 2 3 2 3 4 9" xfId="20026" xr:uid="{00000000-0005-0000-0000-0000034B0000}"/>
    <cellStyle name="표준 5 2 3 2 3 5" xfId="913" xr:uid="{00000000-0005-0000-0000-0000044B0000}"/>
    <cellStyle name="표준 5 2 3 2 3 5 2" xfId="9816" xr:uid="{00000000-0005-0000-0000-0000054B0000}"/>
    <cellStyle name="표준 5 2 3 2 3 5 2 2" xfId="13928" xr:uid="{00000000-0005-0000-0000-0000064B0000}"/>
    <cellStyle name="표준 5 2 3 2 3 5 2 2 2" xfId="30522" xr:uid="{00000000-0005-0000-0000-0000074B0000}"/>
    <cellStyle name="표준 5 2 3 2 3 5 2 2 3" xfId="38733" xr:uid="{00000000-0005-0000-0000-0000084B0000}"/>
    <cellStyle name="표준 5 2 3 2 3 5 2 2 4" xfId="46926" xr:uid="{00000000-0005-0000-0000-0000094B0000}"/>
    <cellStyle name="표준 5 2 3 2 3 5 2 3" xfId="18168" xr:uid="{00000000-0005-0000-0000-00000A4B0000}"/>
    <cellStyle name="표준 5 2 3 2 3 5 2 4" xfId="22330" xr:uid="{00000000-0005-0000-0000-00000B4B0000}"/>
    <cellStyle name="표준 5 2 3 2 3 5 2 5" xfId="26426" xr:uid="{00000000-0005-0000-0000-00000C4B0000}"/>
    <cellStyle name="표준 5 2 3 2 3 5 2 6" xfId="34637" xr:uid="{00000000-0005-0000-0000-00000D4B0000}"/>
    <cellStyle name="표준 5 2 3 2 3 5 2 7" xfId="42830" xr:uid="{00000000-0005-0000-0000-00000E4B0000}"/>
    <cellStyle name="표준 5 2 3 2 3 5 3" xfId="7768" xr:uid="{00000000-0005-0000-0000-00000F4B0000}"/>
    <cellStyle name="표준 5 2 3 2 3 5 3 2" xfId="28474" xr:uid="{00000000-0005-0000-0000-0000104B0000}"/>
    <cellStyle name="표준 5 2 3 2 3 5 3 3" xfId="36685" xr:uid="{00000000-0005-0000-0000-0000114B0000}"/>
    <cellStyle name="표준 5 2 3 2 3 5 3 4" xfId="44878" xr:uid="{00000000-0005-0000-0000-0000124B0000}"/>
    <cellStyle name="표준 5 2 3 2 3 5 4" xfId="11880" xr:uid="{00000000-0005-0000-0000-0000134B0000}"/>
    <cellStyle name="표준 5 2 3 2 3 5 5" xfId="16120" xr:uid="{00000000-0005-0000-0000-0000144B0000}"/>
    <cellStyle name="표준 5 2 3 2 3 5 6" xfId="20282" xr:uid="{00000000-0005-0000-0000-0000154B0000}"/>
    <cellStyle name="표준 5 2 3 2 3 5 7" xfId="24378" xr:uid="{00000000-0005-0000-0000-0000164B0000}"/>
    <cellStyle name="표준 5 2 3 2 3 5 8" xfId="32589" xr:uid="{00000000-0005-0000-0000-0000174B0000}"/>
    <cellStyle name="표준 5 2 3 2 3 5 9" xfId="40782" xr:uid="{00000000-0005-0000-0000-0000184B0000}"/>
    <cellStyle name="표준 5 2 3 2 3 6" xfId="1425" xr:uid="{00000000-0005-0000-0000-0000194B0000}"/>
    <cellStyle name="표준 5 2 3 2 3 6 2" xfId="10328" xr:uid="{00000000-0005-0000-0000-00001A4B0000}"/>
    <cellStyle name="표준 5 2 3 2 3 6 2 2" xfId="14440" xr:uid="{00000000-0005-0000-0000-00001B4B0000}"/>
    <cellStyle name="표준 5 2 3 2 3 6 2 2 2" xfId="31034" xr:uid="{00000000-0005-0000-0000-00001C4B0000}"/>
    <cellStyle name="표준 5 2 3 2 3 6 2 2 3" xfId="39245" xr:uid="{00000000-0005-0000-0000-00001D4B0000}"/>
    <cellStyle name="표준 5 2 3 2 3 6 2 2 4" xfId="47438" xr:uid="{00000000-0005-0000-0000-00001E4B0000}"/>
    <cellStyle name="표준 5 2 3 2 3 6 2 3" xfId="18680" xr:uid="{00000000-0005-0000-0000-00001F4B0000}"/>
    <cellStyle name="표준 5 2 3 2 3 6 2 4" xfId="22842" xr:uid="{00000000-0005-0000-0000-0000204B0000}"/>
    <cellStyle name="표준 5 2 3 2 3 6 2 5" xfId="26938" xr:uid="{00000000-0005-0000-0000-0000214B0000}"/>
    <cellStyle name="표준 5 2 3 2 3 6 2 6" xfId="35149" xr:uid="{00000000-0005-0000-0000-0000224B0000}"/>
    <cellStyle name="표준 5 2 3 2 3 6 2 7" xfId="43342" xr:uid="{00000000-0005-0000-0000-0000234B0000}"/>
    <cellStyle name="표준 5 2 3 2 3 6 3" xfId="8280" xr:uid="{00000000-0005-0000-0000-0000244B0000}"/>
    <cellStyle name="표준 5 2 3 2 3 6 3 2" xfId="28986" xr:uid="{00000000-0005-0000-0000-0000254B0000}"/>
    <cellStyle name="표준 5 2 3 2 3 6 3 3" xfId="37197" xr:uid="{00000000-0005-0000-0000-0000264B0000}"/>
    <cellStyle name="표준 5 2 3 2 3 6 3 4" xfId="45390" xr:uid="{00000000-0005-0000-0000-0000274B0000}"/>
    <cellStyle name="표준 5 2 3 2 3 6 4" xfId="12392" xr:uid="{00000000-0005-0000-0000-0000284B0000}"/>
    <cellStyle name="표준 5 2 3 2 3 6 5" xfId="16632" xr:uid="{00000000-0005-0000-0000-0000294B0000}"/>
    <cellStyle name="표준 5 2 3 2 3 6 6" xfId="20794" xr:uid="{00000000-0005-0000-0000-00002A4B0000}"/>
    <cellStyle name="표준 5 2 3 2 3 6 7" xfId="24890" xr:uid="{00000000-0005-0000-0000-00002B4B0000}"/>
    <cellStyle name="표준 5 2 3 2 3 6 8" xfId="33101" xr:uid="{00000000-0005-0000-0000-00002C4B0000}"/>
    <cellStyle name="표준 5 2 3 2 3 6 9" xfId="41294" xr:uid="{00000000-0005-0000-0000-00002D4B0000}"/>
    <cellStyle name="표준 5 2 3 2 3 7" xfId="1937" xr:uid="{00000000-0005-0000-0000-00002E4B0000}"/>
    <cellStyle name="표준 5 2 3 2 3 7 2" xfId="10840" xr:uid="{00000000-0005-0000-0000-00002F4B0000}"/>
    <cellStyle name="표준 5 2 3 2 3 7 2 2" xfId="14952" xr:uid="{00000000-0005-0000-0000-0000304B0000}"/>
    <cellStyle name="표준 5 2 3 2 3 7 2 2 2" xfId="31546" xr:uid="{00000000-0005-0000-0000-0000314B0000}"/>
    <cellStyle name="표준 5 2 3 2 3 7 2 2 3" xfId="39757" xr:uid="{00000000-0005-0000-0000-0000324B0000}"/>
    <cellStyle name="표준 5 2 3 2 3 7 2 2 4" xfId="47950" xr:uid="{00000000-0005-0000-0000-0000334B0000}"/>
    <cellStyle name="표준 5 2 3 2 3 7 2 3" xfId="19192" xr:uid="{00000000-0005-0000-0000-0000344B0000}"/>
    <cellStyle name="표준 5 2 3 2 3 7 2 4" xfId="23354" xr:uid="{00000000-0005-0000-0000-0000354B0000}"/>
    <cellStyle name="표준 5 2 3 2 3 7 2 5" xfId="27450" xr:uid="{00000000-0005-0000-0000-0000364B0000}"/>
    <cellStyle name="표준 5 2 3 2 3 7 2 6" xfId="35661" xr:uid="{00000000-0005-0000-0000-0000374B0000}"/>
    <cellStyle name="표준 5 2 3 2 3 7 2 7" xfId="43854" xr:uid="{00000000-0005-0000-0000-0000384B0000}"/>
    <cellStyle name="표준 5 2 3 2 3 7 3" xfId="8792" xr:uid="{00000000-0005-0000-0000-0000394B0000}"/>
    <cellStyle name="표준 5 2 3 2 3 7 3 2" xfId="29498" xr:uid="{00000000-0005-0000-0000-00003A4B0000}"/>
    <cellStyle name="표준 5 2 3 2 3 7 3 3" xfId="37709" xr:uid="{00000000-0005-0000-0000-00003B4B0000}"/>
    <cellStyle name="표준 5 2 3 2 3 7 3 4" xfId="45902" xr:uid="{00000000-0005-0000-0000-00003C4B0000}"/>
    <cellStyle name="표준 5 2 3 2 3 7 4" xfId="12904" xr:uid="{00000000-0005-0000-0000-00003D4B0000}"/>
    <cellStyle name="표준 5 2 3 2 3 7 5" xfId="17144" xr:uid="{00000000-0005-0000-0000-00003E4B0000}"/>
    <cellStyle name="표준 5 2 3 2 3 7 6" xfId="21306" xr:uid="{00000000-0005-0000-0000-00003F4B0000}"/>
    <cellStyle name="표준 5 2 3 2 3 7 7" xfId="25402" xr:uid="{00000000-0005-0000-0000-0000404B0000}"/>
    <cellStyle name="표준 5 2 3 2 3 7 8" xfId="33613" xr:uid="{00000000-0005-0000-0000-0000414B0000}"/>
    <cellStyle name="표준 5 2 3 2 3 7 9" xfId="41806" xr:uid="{00000000-0005-0000-0000-0000424B0000}"/>
    <cellStyle name="표준 5 2 3 2 3 8" xfId="401" xr:uid="{00000000-0005-0000-0000-0000434B0000}"/>
    <cellStyle name="표준 5 2 3 2 3 8 2" xfId="9304" xr:uid="{00000000-0005-0000-0000-0000444B0000}"/>
    <cellStyle name="표준 5 2 3 2 3 8 2 2" xfId="30010" xr:uid="{00000000-0005-0000-0000-0000454B0000}"/>
    <cellStyle name="표준 5 2 3 2 3 8 2 3" xfId="38221" xr:uid="{00000000-0005-0000-0000-0000464B0000}"/>
    <cellStyle name="표준 5 2 3 2 3 8 2 4" xfId="46414" xr:uid="{00000000-0005-0000-0000-0000474B0000}"/>
    <cellStyle name="표준 5 2 3 2 3 8 3" xfId="13416" xr:uid="{00000000-0005-0000-0000-0000484B0000}"/>
    <cellStyle name="표준 5 2 3 2 3 8 4" xfId="17656" xr:uid="{00000000-0005-0000-0000-0000494B0000}"/>
    <cellStyle name="표준 5 2 3 2 3 8 5" xfId="21818" xr:uid="{00000000-0005-0000-0000-00004A4B0000}"/>
    <cellStyle name="표준 5 2 3 2 3 8 6" xfId="25914" xr:uid="{00000000-0005-0000-0000-00004B4B0000}"/>
    <cellStyle name="표준 5 2 3 2 3 8 7" xfId="34125" xr:uid="{00000000-0005-0000-0000-00004C4B0000}"/>
    <cellStyle name="표준 5 2 3 2 3 8 8" xfId="42318" xr:uid="{00000000-0005-0000-0000-00004D4B0000}"/>
    <cellStyle name="표준 5 2 3 2 3 9" xfId="7003" xr:uid="{00000000-0005-0000-0000-00004E4B0000}"/>
    <cellStyle name="표준 5 2 3 2 3 9 2" xfId="27962" xr:uid="{00000000-0005-0000-0000-00004F4B0000}"/>
    <cellStyle name="표준 5 2 3 2 3 9 3" xfId="36173" xr:uid="{00000000-0005-0000-0000-0000504B0000}"/>
    <cellStyle name="표준 5 2 3 2 3 9 4" xfId="44366" xr:uid="{00000000-0005-0000-0000-0000514B0000}"/>
    <cellStyle name="표준 5 2 3 2 30" xfId="32028" xr:uid="{00000000-0005-0000-0000-0000524B0000}"/>
    <cellStyle name="표준 5 2 3 2 31" xfId="32045" xr:uid="{00000000-0005-0000-0000-0000534B0000}"/>
    <cellStyle name="표준 5 2 3 2 32" xfId="40238" xr:uid="{00000000-0005-0000-0000-0000544B0000}"/>
    <cellStyle name="표준 5 2 3 2 33" xfId="48440" xr:uid="{00000000-0005-0000-0000-0000554B0000}"/>
    <cellStyle name="표준 5 2 3 2 4" xfId="433" xr:uid="{00000000-0005-0000-0000-0000564B0000}"/>
    <cellStyle name="표준 5 2 3 2 4 10" xfId="11400" xr:uid="{00000000-0005-0000-0000-0000574B0000}"/>
    <cellStyle name="표준 5 2 3 2 4 11" xfId="15512" xr:uid="{00000000-0005-0000-0000-0000584B0000}"/>
    <cellStyle name="표준 5 2 3 2 4 12" xfId="15640" xr:uid="{00000000-0005-0000-0000-0000594B0000}"/>
    <cellStyle name="표준 5 2 3 2 4 13" xfId="19802" xr:uid="{00000000-0005-0000-0000-00005A4B0000}"/>
    <cellStyle name="표준 5 2 3 2 4 14" xfId="23898" xr:uid="{00000000-0005-0000-0000-00005B4B0000}"/>
    <cellStyle name="표준 5 2 3 2 4 15" xfId="32109" xr:uid="{00000000-0005-0000-0000-00005C4B0000}"/>
    <cellStyle name="표준 5 2 3 2 4 16" xfId="40302" xr:uid="{00000000-0005-0000-0000-00005D4B0000}"/>
    <cellStyle name="표준 5 2 3 2 4 2" xfId="561" xr:uid="{00000000-0005-0000-0000-00005E4B0000}"/>
    <cellStyle name="표준 5 2 3 2 4 2 10" xfId="19930" xr:uid="{00000000-0005-0000-0000-00005F4B0000}"/>
    <cellStyle name="표준 5 2 3 2 4 2 11" xfId="24026" xr:uid="{00000000-0005-0000-0000-0000604B0000}"/>
    <cellStyle name="표준 5 2 3 2 4 2 12" xfId="32237" xr:uid="{00000000-0005-0000-0000-0000614B0000}"/>
    <cellStyle name="표준 5 2 3 2 4 2 13" xfId="40430" xr:uid="{00000000-0005-0000-0000-0000624B0000}"/>
    <cellStyle name="표준 5 2 3 2 4 2 2" xfId="817" xr:uid="{00000000-0005-0000-0000-0000634B0000}"/>
    <cellStyle name="표준 5 2 3 2 4 2 2 10" xfId="24282" xr:uid="{00000000-0005-0000-0000-0000644B0000}"/>
    <cellStyle name="표준 5 2 3 2 4 2 2 11" xfId="32493" xr:uid="{00000000-0005-0000-0000-0000654B0000}"/>
    <cellStyle name="표준 5 2 3 2 4 2 2 12" xfId="40686" xr:uid="{00000000-0005-0000-0000-0000664B0000}"/>
    <cellStyle name="표준 5 2 3 2 4 2 2 2" xfId="1329" xr:uid="{00000000-0005-0000-0000-0000674B0000}"/>
    <cellStyle name="표준 5 2 3 2 4 2 2 2 2" xfId="10232" xr:uid="{00000000-0005-0000-0000-0000684B0000}"/>
    <cellStyle name="표준 5 2 3 2 4 2 2 2 2 2" xfId="14344" xr:uid="{00000000-0005-0000-0000-0000694B0000}"/>
    <cellStyle name="표준 5 2 3 2 4 2 2 2 2 2 2" xfId="30938" xr:uid="{00000000-0005-0000-0000-00006A4B0000}"/>
    <cellStyle name="표준 5 2 3 2 4 2 2 2 2 2 3" xfId="39149" xr:uid="{00000000-0005-0000-0000-00006B4B0000}"/>
    <cellStyle name="표준 5 2 3 2 4 2 2 2 2 2 4" xfId="47342" xr:uid="{00000000-0005-0000-0000-00006C4B0000}"/>
    <cellStyle name="표준 5 2 3 2 4 2 2 2 2 3" xfId="18584" xr:uid="{00000000-0005-0000-0000-00006D4B0000}"/>
    <cellStyle name="표준 5 2 3 2 4 2 2 2 2 4" xfId="22746" xr:uid="{00000000-0005-0000-0000-00006E4B0000}"/>
    <cellStyle name="표준 5 2 3 2 4 2 2 2 2 5" xfId="26842" xr:uid="{00000000-0005-0000-0000-00006F4B0000}"/>
    <cellStyle name="표준 5 2 3 2 4 2 2 2 2 6" xfId="35053" xr:uid="{00000000-0005-0000-0000-0000704B0000}"/>
    <cellStyle name="표준 5 2 3 2 4 2 2 2 2 7" xfId="43246" xr:uid="{00000000-0005-0000-0000-0000714B0000}"/>
    <cellStyle name="표준 5 2 3 2 4 2 2 2 3" xfId="8184" xr:uid="{00000000-0005-0000-0000-0000724B0000}"/>
    <cellStyle name="표준 5 2 3 2 4 2 2 2 3 2" xfId="28890" xr:uid="{00000000-0005-0000-0000-0000734B0000}"/>
    <cellStyle name="표준 5 2 3 2 4 2 2 2 3 3" xfId="37101" xr:uid="{00000000-0005-0000-0000-0000744B0000}"/>
    <cellStyle name="표준 5 2 3 2 4 2 2 2 3 4" xfId="45294" xr:uid="{00000000-0005-0000-0000-0000754B0000}"/>
    <cellStyle name="표준 5 2 3 2 4 2 2 2 4" xfId="12296" xr:uid="{00000000-0005-0000-0000-0000764B0000}"/>
    <cellStyle name="표준 5 2 3 2 4 2 2 2 5" xfId="16536" xr:uid="{00000000-0005-0000-0000-0000774B0000}"/>
    <cellStyle name="표준 5 2 3 2 4 2 2 2 6" xfId="20698" xr:uid="{00000000-0005-0000-0000-0000784B0000}"/>
    <cellStyle name="표준 5 2 3 2 4 2 2 2 7" xfId="24794" xr:uid="{00000000-0005-0000-0000-0000794B0000}"/>
    <cellStyle name="표준 5 2 3 2 4 2 2 2 8" xfId="33005" xr:uid="{00000000-0005-0000-0000-00007A4B0000}"/>
    <cellStyle name="표준 5 2 3 2 4 2 2 2 9" xfId="41198" xr:uid="{00000000-0005-0000-0000-00007B4B0000}"/>
    <cellStyle name="표준 5 2 3 2 4 2 2 3" xfId="1841" xr:uid="{00000000-0005-0000-0000-00007C4B0000}"/>
    <cellStyle name="표준 5 2 3 2 4 2 2 3 2" xfId="10744" xr:uid="{00000000-0005-0000-0000-00007D4B0000}"/>
    <cellStyle name="표준 5 2 3 2 4 2 2 3 2 2" xfId="14856" xr:uid="{00000000-0005-0000-0000-00007E4B0000}"/>
    <cellStyle name="표준 5 2 3 2 4 2 2 3 2 2 2" xfId="31450" xr:uid="{00000000-0005-0000-0000-00007F4B0000}"/>
    <cellStyle name="표준 5 2 3 2 4 2 2 3 2 2 3" xfId="39661" xr:uid="{00000000-0005-0000-0000-0000804B0000}"/>
    <cellStyle name="표준 5 2 3 2 4 2 2 3 2 2 4" xfId="47854" xr:uid="{00000000-0005-0000-0000-0000814B0000}"/>
    <cellStyle name="표준 5 2 3 2 4 2 2 3 2 3" xfId="19096" xr:uid="{00000000-0005-0000-0000-0000824B0000}"/>
    <cellStyle name="표준 5 2 3 2 4 2 2 3 2 4" xfId="23258" xr:uid="{00000000-0005-0000-0000-0000834B0000}"/>
    <cellStyle name="표준 5 2 3 2 4 2 2 3 2 5" xfId="27354" xr:uid="{00000000-0005-0000-0000-0000844B0000}"/>
    <cellStyle name="표준 5 2 3 2 4 2 2 3 2 6" xfId="35565" xr:uid="{00000000-0005-0000-0000-0000854B0000}"/>
    <cellStyle name="표준 5 2 3 2 4 2 2 3 2 7" xfId="43758" xr:uid="{00000000-0005-0000-0000-0000864B0000}"/>
    <cellStyle name="표준 5 2 3 2 4 2 2 3 3" xfId="8696" xr:uid="{00000000-0005-0000-0000-0000874B0000}"/>
    <cellStyle name="표준 5 2 3 2 4 2 2 3 3 2" xfId="29402" xr:uid="{00000000-0005-0000-0000-0000884B0000}"/>
    <cellStyle name="표준 5 2 3 2 4 2 2 3 3 3" xfId="37613" xr:uid="{00000000-0005-0000-0000-0000894B0000}"/>
    <cellStyle name="표준 5 2 3 2 4 2 2 3 3 4" xfId="45806" xr:uid="{00000000-0005-0000-0000-00008A4B0000}"/>
    <cellStyle name="표준 5 2 3 2 4 2 2 3 4" xfId="12808" xr:uid="{00000000-0005-0000-0000-00008B4B0000}"/>
    <cellStyle name="표준 5 2 3 2 4 2 2 3 5" xfId="17048" xr:uid="{00000000-0005-0000-0000-00008C4B0000}"/>
    <cellStyle name="표준 5 2 3 2 4 2 2 3 6" xfId="21210" xr:uid="{00000000-0005-0000-0000-00008D4B0000}"/>
    <cellStyle name="표준 5 2 3 2 4 2 2 3 7" xfId="25306" xr:uid="{00000000-0005-0000-0000-00008E4B0000}"/>
    <cellStyle name="표준 5 2 3 2 4 2 2 3 8" xfId="33517" xr:uid="{00000000-0005-0000-0000-00008F4B0000}"/>
    <cellStyle name="표준 5 2 3 2 4 2 2 3 9" xfId="41710" xr:uid="{00000000-0005-0000-0000-0000904B0000}"/>
    <cellStyle name="표준 5 2 3 2 4 2 2 4" xfId="2353" xr:uid="{00000000-0005-0000-0000-0000914B0000}"/>
    <cellStyle name="표준 5 2 3 2 4 2 2 4 2" xfId="11256" xr:uid="{00000000-0005-0000-0000-0000924B0000}"/>
    <cellStyle name="표준 5 2 3 2 4 2 2 4 2 2" xfId="15368" xr:uid="{00000000-0005-0000-0000-0000934B0000}"/>
    <cellStyle name="표준 5 2 3 2 4 2 2 4 2 2 2" xfId="31962" xr:uid="{00000000-0005-0000-0000-0000944B0000}"/>
    <cellStyle name="표준 5 2 3 2 4 2 2 4 2 2 3" xfId="40173" xr:uid="{00000000-0005-0000-0000-0000954B0000}"/>
    <cellStyle name="표준 5 2 3 2 4 2 2 4 2 2 4" xfId="48366" xr:uid="{00000000-0005-0000-0000-0000964B0000}"/>
    <cellStyle name="표준 5 2 3 2 4 2 2 4 2 3" xfId="19608" xr:uid="{00000000-0005-0000-0000-0000974B0000}"/>
    <cellStyle name="표준 5 2 3 2 4 2 2 4 2 4" xfId="23770" xr:uid="{00000000-0005-0000-0000-0000984B0000}"/>
    <cellStyle name="표준 5 2 3 2 4 2 2 4 2 5" xfId="27866" xr:uid="{00000000-0005-0000-0000-0000994B0000}"/>
    <cellStyle name="표준 5 2 3 2 4 2 2 4 2 6" xfId="36077" xr:uid="{00000000-0005-0000-0000-00009A4B0000}"/>
    <cellStyle name="표준 5 2 3 2 4 2 2 4 2 7" xfId="44270" xr:uid="{00000000-0005-0000-0000-00009B4B0000}"/>
    <cellStyle name="표준 5 2 3 2 4 2 2 4 3" xfId="9208" xr:uid="{00000000-0005-0000-0000-00009C4B0000}"/>
    <cellStyle name="표준 5 2 3 2 4 2 2 4 3 2" xfId="29914" xr:uid="{00000000-0005-0000-0000-00009D4B0000}"/>
    <cellStyle name="표준 5 2 3 2 4 2 2 4 3 3" xfId="38125" xr:uid="{00000000-0005-0000-0000-00009E4B0000}"/>
    <cellStyle name="표준 5 2 3 2 4 2 2 4 3 4" xfId="46318" xr:uid="{00000000-0005-0000-0000-00009F4B0000}"/>
    <cellStyle name="표준 5 2 3 2 4 2 2 4 4" xfId="13320" xr:uid="{00000000-0005-0000-0000-0000A04B0000}"/>
    <cellStyle name="표준 5 2 3 2 4 2 2 4 5" xfId="17560" xr:uid="{00000000-0005-0000-0000-0000A14B0000}"/>
    <cellStyle name="표준 5 2 3 2 4 2 2 4 6" xfId="21722" xr:uid="{00000000-0005-0000-0000-0000A24B0000}"/>
    <cellStyle name="표준 5 2 3 2 4 2 2 4 7" xfId="25818" xr:uid="{00000000-0005-0000-0000-0000A34B0000}"/>
    <cellStyle name="표준 5 2 3 2 4 2 2 4 8" xfId="34029" xr:uid="{00000000-0005-0000-0000-0000A44B0000}"/>
    <cellStyle name="표준 5 2 3 2 4 2 2 4 9" xfId="42222" xr:uid="{00000000-0005-0000-0000-0000A54B0000}"/>
    <cellStyle name="표준 5 2 3 2 4 2 2 5" xfId="9720" xr:uid="{00000000-0005-0000-0000-0000A64B0000}"/>
    <cellStyle name="표준 5 2 3 2 4 2 2 5 2" xfId="13832" xr:uid="{00000000-0005-0000-0000-0000A74B0000}"/>
    <cellStyle name="표준 5 2 3 2 4 2 2 5 2 2" xfId="30426" xr:uid="{00000000-0005-0000-0000-0000A84B0000}"/>
    <cellStyle name="표준 5 2 3 2 4 2 2 5 2 3" xfId="38637" xr:uid="{00000000-0005-0000-0000-0000A94B0000}"/>
    <cellStyle name="표준 5 2 3 2 4 2 2 5 2 4" xfId="46830" xr:uid="{00000000-0005-0000-0000-0000AA4B0000}"/>
    <cellStyle name="표준 5 2 3 2 4 2 2 5 3" xfId="18072" xr:uid="{00000000-0005-0000-0000-0000AB4B0000}"/>
    <cellStyle name="표준 5 2 3 2 4 2 2 5 4" xfId="22234" xr:uid="{00000000-0005-0000-0000-0000AC4B0000}"/>
    <cellStyle name="표준 5 2 3 2 4 2 2 5 5" xfId="26330" xr:uid="{00000000-0005-0000-0000-0000AD4B0000}"/>
    <cellStyle name="표준 5 2 3 2 4 2 2 5 6" xfId="34541" xr:uid="{00000000-0005-0000-0000-0000AE4B0000}"/>
    <cellStyle name="표준 5 2 3 2 4 2 2 5 7" xfId="42734" xr:uid="{00000000-0005-0000-0000-0000AF4B0000}"/>
    <cellStyle name="표준 5 2 3 2 4 2 2 6" xfId="7672" xr:uid="{00000000-0005-0000-0000-0000B04B0000}"/>
    <cellStyle name="표준 5 2 3 2 4 2 2 6 2" xfId="28378" xr:uid="{00000000-0005-0000-0000-0000B14B0000}"/>
    <cellStyle name="표준 5 2 3 2 4 2 2 6 3" xfId="36589" xr:uid="{00000000-0005-0000-0000-0000B24B0000}"/>
    <cellStyle name="표준 5 2 3 2 4 2 2 6 4" xfId="44782" xr:uid="{00000000-0005-0000-0000-0000B34B0000}"/>
    <cellStyle name="표준 5 2 3 2 4 2 2 7" xfId="11784" xr:uid="{00000000-0005-0000-0000-0000B44B0000}"/>
    <cellStyle name="표준 5 2 3 2 4 2 2 8" xfId="16024" xr:uid="{00000000-0005-0000-0000-0000B54B0000}"/>
    <cellStyle name="표준 5 2 3 2 4 2 2 9" xfId="20186" xr:uid="{00000000-0005-0000-0000-0000B64B0000}"/>
    <cellStyle name="표준 5 2 3 2 4 2 3" xfId="1073" xr:uid="{00000000-0005-0000-0000-0000B74B0000}"/>
    <cellStyle name="표준 5 2 3 2 4 2 3 2" xfId="9976" xr:uid="{00000000-0005-0000-0000-0000B84B0000}"/>
    <cellStyle name="표준 5 2 3 2 4 2 3 2 2" xfId="14088" xr:uid="{00000000-0005-0000-0000-0000B94B0000}"/>
    <cellStyle name="표준 5 2 3 2 4 2 3 2 2 2" xfId="30682" xr:uid="{00000000-0005-0000-0000-0000BA4B0000}"/>
    <cellStyle name="표준 5 2 3 2 4 2 3 2 2 3" xfId="38893" xr:uid="{00000000-0005-0000-0000-0000BB4B0000}"/>
    <cellStyle name="표준 5 2 3 2 4 2 3 2 2 4" xfId="47086" xr:uid="{00000000-0005-0000-0000-0000BC4B0000}"/>
    <cellStyle name="표준 5 2 3 2 4 2 3 2 3" xfId="18328" xr:uid="{00000000-0005-0000-0000-0000BD4B0000}"/>
    <cellStyle name="표준 5 2 3 2 4 2 3 2 4" xfId="22490" xr:uid="{00000000-0005-0000-0000-0000BE4B0000}"/>
    <cellStyle name="표준 5 2 3 2 4 2 3 2 5" xfId="26586" xr:uid="{00000000-0005-0000-0000-0000BF4B0000}"/>
    <cellStyle name="표준 5 2 3 2 4 2 3 2 6" xfId="34797" xr:uid="{00000000-0005-0000-0000-0000C04B0000}"/>
    <cellStyle name="표준 5 2 3 2 4 2 3 2 7" xfId="42990" xr:uid="{00000000-0005-0000-0000-0000C14B0000}"/>
    <cellStyle name="표준 5 2 3 2 4 2 3 3" xfId="7928" xr:uid="{00000000-0005-0000-0000-0000C24B0000}"/>
    <cellStyle name="표준 5 2 3 2 4 2 3 3 2" xfId="28634" xr:uid="{00000000-0005-0000-0000-0000C34B0000}"/>
    <cellStyle name="표준 5 2 3 2 4 2 3 3 3" xfId="36845" xr:uid="{00000000-0005-0000-0000-0000C44B0000}"/>
    <cellStyle name="표준 5 2 3 2 4 2 3 3 4" xfId="45038" xr:uid="{00000000-0005-0000-0000-0000C54B0000}"/>
    <cellStyle name="표준 5 2 3 2 4 2 3 4" xfId="12040" xr:uid="{00000000-0005-0000-0000-0000C64B0000}"/>
    <cellStyle name="표준 5 2 3 2 4 2 3 5" xfId="16280" xr:uid="{00000000-0005-0000-0000-0000C74B0000}"/>
    <cellStyle name="표준 5 2 3 2 4 2 3 6" xfId="20442" xr:uid="{00000000-0005-0000-0000-0000C84B0000}"/>
    <cellStyle name="표준 5 2 3 2 4 2 3 7" xfId="24538" xr:uid="{00000000-0005-0000-0000-0000C94B0000}"/>
    <cellStyle name="표준 5 2 3 2 4 2 3 8" xfId="32749" xr:uid="{00000000-0005-0000-0000-0000CA4B0000}"/>
    <cellStyle name="표준 5 2 3 2 4 2 3 9" xfId="40942" xr:uid="{00000000-0005-0000-0000-0000CB4B0000}"/>
    <cellStyle name="표준 5 2 3 2 4 2 4" xfId="1585" xr:uid="{00000000-0005-0000-0000-0000CC4B0000}"/>
    <cellStyle name="표준 5 2 3 2 4 2 4 2" xfId="10488" xr:uid="{00000000-0005-0000-0000-0000CD4B0000}"/>
    <cellStyle name="표준 5 2 3 2 4 2 4 2 2" xfId="14600" xr:uid="{00000000-0005-0000-0000-0000CE4B0000}"/>
    <cellStyle name="표준 5 2 3 2 4 2 4 2 2 2" xfId="31194" xr:uid="{00000000-0005-0000-0000-0000CF4B0000}"/>
    <cellStyle name="표준 5 2 3 2 4 2 4 2 2 3" xfId="39405" xr:uid="{00000000-0005-0000-0000-0000D04B0000}"/>
    <cellStyle name="표준 5 2 3 2 4 2 4 2 2 4" xfId="47598" xr:uid="{00000000-0005-0000-0000-0000D14B0000}"/>
    <cellStyle name="표준 5 2 3 2 4 2 4 2 3" xfId="18840" xr:uid="{00000000-0005-0000-0000-0000D24B0000}"/>
    <cellStyle name="표준 5 2 3 2 4 2 4 2 4" xfId="23002" xr:uid="{00000000-0005-0000-0000-0000D34B0000}"/>
    <cellStyle name="표준 5 2 3 2 4 2 4 2 5" xfId="27098" xr:uid="{00000000-0005-0000-0000-0000D44B0000}"/>
    <cellStyle name="표준 5 2 3 2 4 2 4 2 6" xfId="35309" xr:uid="{00000000-0005-0000-0000-0000D54B0000}"/>
    <cellStyle name="표준 5 2 3 2 4 2 4 2 7" xfId="43502" xr:uid="{00000000-0005-0000-0000-0000D64B0000}"/>
    <cellStyle name="표준 5 2 3 2 4 2 4 3" xfId="8440" xr:uid="{00000000-0005-0000-0000-0000D74B0000}"/>
    <cellStyle name="표준 5 2 3 2 4 2 4 3 2" xfId="29146" xr:uid="{00000000-0005-0000-0000-0000D84B0000}"/>
    <cellStyle name="표준 5 2 3 2 4 2 4 3 3" xfId="37357" xr:uid="{00000000-0005-0000-0000-0000D94B0000}"/>
    <cellStyle name="표준 5 2 3 2 4 2 4 3 4" xfId="45550" xr:uid="{00000000-0005-0000-0000-0000DA4B0000}"/>
    <cellStyle name="표준 5 2 3 2 4 2 4 4" xfId="12552" xr:uid="{00000000-0005-0000-0000-0000DB4B0000}"/>
    <cellStyle name="표준 5 2 3 2 4 2 4 5" xfId="16792" xr:uid="{00000000-0005-0000-0000-0000DC4B0000}"/>
    <cellStyle name="표준 5 2 3 2 4 2 4 6" xfId="20954" xr:uid="{00000000-0005-0000-0000-0000DD4B0000}"/>
    <cellStyle name="표준 5 2 3 2 4 2 4 7" xfId="25050" xr:uid="{00000000-0005-0000-0000-0000DE4B0000}"/>
    <cellStyle name="표준 5 2 3 2 4 2 4 8" xfId="33261" xr:uid="{00000000-0005-0000-0000-0000DF4B0000}"/>
    <cellStyle name="표준 5 2 3 2 4 2 4 9" xfId="41454" xr:uid="{00000000-0005-0000-0000-0000E04B0000}"/>
    <cellStyle name="표준 5 2 3 2 4 2 5" xfId="2097" xr:uid="{00000000-0005-0000-0000-0000E14B0000}"/>
    <cellStyle name="표준 5 2 3 2 4 2 5 2" xfId="11000" xr:uid="{00000000-0005-0000-0000-0000E24B0000}"/>
    <cellStyle name="표준 5 2 3 2 4 2 5 2 2" xfId="15112" xr:uid="{00000000-0005-0000-0000-0000E34B0000}"/>
    <cellStyle name="표준 5 2 3 2 4 2 5 2 2 2" xfId="31706" xr:uid="{00000000-0005-0000-0000-0000E44B0000}"/>
    <cellStyle name="표준 5 2 3 2 4 2 5 2 2 3" xfId="39917" xr:uid="{00000000-0005-0000-0000-0000E54B0000}"/>
    <cellStyle name="표준 5 2 3 2 4 2 5 2 2 4" xfId="48110" xr:uid="{00000000-0005-0000-0000-0000E64B0000}"/>
    <cellStyle name="표준 5 2 3 2 4 2 5 2 3" xfId="19352" xr:uid="{00000000-0005-0000-0000-0000E74B0000}"/>
    <cellStyle name="표준 5 2 3 2 4 2 5 2 4" xfId="23514" xr:uid="{00000000-0005-0000-0000-0000E84B0000}"/>
    <cellStyle name="표준 5 2 3 2 4 2 5 2 5" xfId="27610" xr:uid="{00000000-0005-0000-0000-0000E94B0000}"/>
    <cellStyle name="표준 5 2 3 2 4 2 5 2 6" xfId="35821" xr:uid="{00000000-0005-0000-0000-0000EA4B0000}"/>
    <cellStyle name="표준 5 2 3 2 4 2 5 2 7" xfId="44014" xr:uid="{00000000-0005-0000-0000-0000EB4B0000}"/>
    <cellStyle name="표준 5 2 3 2 4 2 5 3" xfId="8952" xr:uid="{00000000-0005-0000-0000-0000EC4B0000}"/>
    <cellStyle name="표준 5 2 3 2 4 2 5 3 2" xfId="29658" xr:uid="{00000000-0005-0000-0000-0000ED4B0000}"/>
    <cellStyle name="표준 5 2 3 2 4 2 5 3 3" xfId="37869" xr:uid="{00000000-0005-0000-0000-0000EE4B0000}"/>
    <cellStyle name="표준 5 2 3 2 4 2 5 3 4" xfId="46062" xr:uid="{00000000-0005-0000-0000-0000EF4B0000}"/>
    <cellStyle name="표준 5 2 3 2 4 2 5 4" xfId="13064" xr:uid="{00000000-0005-0000-0000-0000F04B0000}"/>
    <cellStyle name="표준 5 2 3 2 4 2 5 5" xfId="17304" xr:uid="{00000000-0005-0000-0000-0000F14B0000}"/>
    <cellStyle name="표준 5 2 3 2 4 2 5 6" xfId="21466" xr:uid="{00000000-0005-0000-0000-0000F24B0000}"/>
    <cellStyle name="표준 5 2 3 2 4 2 5 7" xfId="25562" xr:uid="{00000000-0005-0000-0000-0000F34B0000}"/>
    <cellStyle name="표준 5 2 3 2 4 2 5 8" xfId="33773" xr:uid="{00000000-0005-0000-0000-0000F44B0000}"/>
    <cellStyle name="표준 5 2 3 2 4 2 5 9" xfId="41966" xr:uid="{00000000-0005-0000-0000-0000F54B0000}"/>
    <cellStyle name="표준 5 2 3 2 4 2 6" xfId="9464" xr:uid="{00000000-0005-0000-0000-0000F64B0000}"/>
    <cellStyle name="표준 5 2 3 2 4 2 6 2" xfId="13576" xr:uid="{00000000-0005-0000-0000-0000F74B0000}"/>
    <cellStyle name="표준 5 2 3 2 4 2 6 2 2" xfId="30170" xr:uid="{00000000-0005-0000-0000-0000F84B0000}"/>
    <cellStyle name="표준 5 2 3 2 4 2 6 2 3" xfId="38381" xr:uid="{00000000-0005-0000-0000-0000F94B0000}"/>
    <cellStyle name="표준 5 2 3 2 4 2 6 2 4" xfId="46574" xr:uid="{00000000-0005-0000-0000-0000FA4B0000}"/>
    <cellStyle name="표준 5 2 3 2 4 2 6 3" xfId="17816" xr:uid="{00000000-0005-0000-0000-0000FB4B0000}"/>
    <cellStyle name="표준 5 2 3 2 4 2 6 4" xfId="21978" xr:uid="{00000000-0005-0000-0000-0000FC4B0000}"/>
    <cellStyle name="표준 5 2 3 2 4 2 6 5" xfId="26074" xr:uid="{00000000-0005-0000-0000-0000FD4B0000}"/>
    <cellStyle name="표준 5 2 3 2 4 2 6 6" xfId="34285" xr:uid="{00000000-0005-0000-0000-0000FE4B0000}"/>
    <cellStyle name="표준 5 2 3 2 4 2 6 7" xfId="42478" xr:uid="{00000000-0005-0000-0000-0000FF4B0000}"/>
    <cellStyle name="표준 5 2 3 2 4 2 7" xfId="7416" xr:uid="{00000000-0005-0000-0000-0000004C0000}"/>
    <cellStyle name="표준 5 2 3 2 4 2 7 2" xfId="28122" xr:uid="{00000000-0005-0000-0000-0000014C0000}"/>
    <cellStyle name="표준 5 2 3 2 4 2 7 3" xfId="36333" xr:uid="{00000000-0005-0000-0000-0000024C0000}"/>
    <cellStyle name="표준 5 2 3 2 4 2 7 4" xfId="44526" xr:uid="{00000000-0005-0000-0000-0000034C0000}"/>
    <cellStyle name="표준 5 2 3 2 4 2 8" xfId="11528" xr:uid="{00000000-0005-0000-0000-0000044C0000}"/>
    <cellStyle name="표준 5 2 3 2 4 2 9" xfId="15768" xr:uid="{00000000-0005-0000-0000-0000054C0000}"/>
    <cellStyle name="표준 5 2 3 2 4 3" xfId="689" xr:uid="{00000000-0005-0000-0000-0000064C0000}"/>
    <cellStyle name="표준 5 2 3 2 4 3 10" xfId="24154" xr:uid="{00000000-0005-0000-0000-0000074C0000}"/>
    <cellStyle name="표준 5 2 3 2 4 3 11" xfId="32365" xr:uid="{00000000-0005-0000-0000-0000084C0000}"/>
    <cellStyle name="표준 5 2 3 2 4 3 12" xfId="40558" xr:uid="{00000000-0005-0000-0000-0000094C0000}"/>
    <cellStyle name="표준 5 2 3 2 4 3 2" xfId="1201" xr:uid="{00000000-0005-0000-0000-00000A4C0000}"/>
    <cellStyle name="표준 5 2 3 2 4 3 2 2" xfId="10104" xr:uid="{00000000-0005-0000-0000-00000B4C0000}"/>
    <cellStyle name="표준 5 2 3 2 4 3 2 2 2" xfId="14216" xr:uid="{00000000-0005-0000-0000-00000C4C0000}"/>
    <cellStyle name="표준 5 2 3 2 4 3 2 2 2 2" xfId="30810" xr:uid="{00000000-0005-0000-0000-00000D4C0000}"/>
    <cellStyle name="표준 5 2 3 2 4 3 2 2 2 3" xfId="39021" xr:uid="{00000000-0005-0000-0000-00000E4C0000}"/>
    <cellStyle name="표준 5 2 3 2 4 3 2 2 2 4" xfId="47214" xr:uid="{00000000-0005-0000-0000-00000F4C0000}"/>
    <cellStyle name="표준 5 2 3 2 4 3 2 2 3" xfId="18456" xr:uid="{00000000-0005-0000-0000-0000104C0000}"/>
    <cellStyle name="표준 5 2 3 2 4 3 2 2 4" xfId="22618" xr:uid="{00000000-0005-0000-0000-0000114C0000}"/>
    <cellStyle name="표준 5 2 3 2 4 3 2 2 5" xfId="26714" xr:uid="{00000000-0005-0000-0000-0000124C0000}"/>
    <cellStyle name="표준 5 2 3 2 4 3 2 2 6" xfId="34925" xr:uid="{00000000-0005-0000-0000-0000134C0000}"/>
    <cellStyle name="표준 5 2 3 2 4 3 2 2 7" xfId="43118" xr:uid="{00000000-0005-0000-0000-0000144C0000}"/>
    <cellStyle name="표준 5 2 3 2 4 3 2 3" xfId="8056" xr:uid="{00000000-0005-0000-0000-0000154C0000}"/>
    <cellStyle name="표준 5 2 3 2 4 3 2 3 2" xfId="28762" xr:uid="{00000000-0005-0000-0000-0000164C0000}"/>
    <cellStyle name="표준 5 2 3 2 4 3 2 3 3" xfId="36973" xr:uid="{00000000-0005-0000-0000-0000174C0000}"/>
    <cellStyle name="표준 5 2 3 2 4 3 2 3 4" xfId="45166" xr:uid="{00000000-0005-0000-0000-0000184C0000}"/>
    <cellStyle name="표준 5 2 3 2 4 3 2 4" xfId="12168" xr:uid="{00000000-0005-0000-0000-0000194C0000}"/>
    <cellStyle name="표준 5 2 3 2 4 3 2 5" xfId="16408" xr:uid="{00000000-0005-0000-0000-00001A4C0000}"/>
    <cellStyle name="표준 5 2 3 2 4 3 2 6" xfId="20570" xr:uid="{00000000-0005-0000-0000-00001B4C0000}"/>
    <cellStyle name="표준 5 2 3 2 4 3 2 7" xfId="24666" xr:uid="{00000000-0005-0000-0000-00001C4C0000}"/>
    <cellStyle name="표준 5 2 3 2 4 3 2 8" xfId="32877" xr:uid="{00000000-0005-0000-0000-00001D4C0000}"/>
    <cellStyle name="표준 5 2 3 2 4 3 2 9" xfId="41070" xr:uid="{00000000-0005-0000-0000-00001E4C0000}"/>
    <cellStyle name="표준 5 2 3 2 4 3 3" xfId="1713" xr:uid="{00000000-0005-0000-0000-00001F4C0000}"/>
    <cellStyle name="표준 5 2 3 2 4 3 3 2" xfId="10616" xr:uid="{00000000-0005-0000-0000-0000204C0000}"/>
    <cellStyle name="표준 5 2 3 2 4 3 3 2 2" xfId="14728" xr:uid="{00000000-0005-0000-0000-0000214C0000}"/>
    <cellStyle name="표준 5 2 3 2 4 3 3 2 2 2" xfId="31322" xr:uid="{00000000-0005-0000-0000-0000224C0000}"/>
    <cellStyle name="표준 5 2 3 2 4 3 3 2 2 3" xfId="39533" xr:uid="{00000000-0005-0000-0000-0000234C0000}"/>
    <cellStyle name="표준 5 2 3 2 4 3 3 2 2 4" xfId="47726" xr:uid="{00000000-0005-0000-0000-0000244C0000}"/>
    <cellStyle name="표준 5 2 3 2 4 3 3 2 3" xfId="18968" xr:uid="{00000000-0005-0000-0000-0000254C0000}"/>
    <cellStyle name="표준 5 2 3 2 4 3 3 2 4" xfId="23130" xr:uid="{00000000-0005-0000-0000-0000264C0000}"/>
    <cellStyle name="표준 5 2 3 2 4 3 3 2 5" xfId="27226" xr:uid="{00000000-0005-0000-0000-0000274C0000}"/>
    <cellStyle name="표준 5 2 3 2 4 3 3 2 6" xfId="35437" xr:uid="{00000000-0005-0000-0000-0000284C0000}"/>
    <cellStyle name="표준 5 2 3 2 4 3 3 2 7" xfId="43630" xr:uid="{00000000-0005-0000-0000-0000294C0000}"/>
    <cellStyle name="표준 5 2 3 2 4 3 3 3" xfId="8568" xr:uid="{00000000-0005-0000-0000-00002A4C0000}"/>
    <cellStyle name="표준 5 2 3 2 4 3 3 3 2" xfId="29274" xr:uid="{00000000-0005-0000-0000-00002B4C0000}"/>
    <cellStyle name="표준 5 2 3 2 4 3 3 3 3" xfId="37485" xr:uid="{00000000-0005-0000-0000-00002C4C0000}"/>
    <cellStyle name="표준 5 2 3 2 4 3 3 3 4" xfId="45678" xr:uid="{00000000-0005-0000-0000-00002D4C0000}"/>
    <cellStyle name="표준 5 2 3 2 4 3 3 4" xfId="12680" xr:uid="{00000000-0005-0000-0000-00002E4C0000}"/>
    <cellStyle name="표준 5 2 3 2 4 3 3 5" xfId="16920" xr:uid="{00000000-0005-0000-0000-00002F4C0000}"/>
    <cellStyle name="표준 5 2 3 2 4 3 3 6" xfId="21082" xr:uid="{00000000-0005-0000-0000-0000304C0000}"/>
    <cellStyle name="표준 5 2 3 2 4 3 3 7" xfId="25178" xr:uid="{00000000-0005-0000-0000-0000314C0000}"/>
    <cellStyle name="표준 5 2 3 2 4 3 3 8" xfId="33389" xr:uid="{00000000-0005-0000-0000-0000324C0000}"/>
    <cellStyle name="표준 5 2 3 2 4 3 3 9" xfId="41582" xr:uid="{00000000-0005-0000-0000-0000334C0000}"/>
    <cellStyle name="표준 5 2 3 2 4 3 4" xfId="2225" xr:uid="{00000000-0005-0000-0000-0000344C0000}"/>
    <cellStyle name="표준 5 2 3 2 4 3 4 2" xfId="11128" xr:uid="{00000000-0005-0000-0000-0000354C0000}"/>
    <cellStyle name="표준 5 2 3 2 4 3 4 2 2" xfId="15240" xr:uid="{00000000-0005-0000-0000-0000364C0000}"/>
    <cellStyle name="표준 5 2 3 2 4 3 4 2 2 2" xfId="31834" xr:uid="{00000000-0005-0000-0000-0000374C0000}"/>
    <cellStyle name="표준 5 2 3 2 4 3 4 2 2 3" xfId="40045" xr:uid="{00000000-0005-0000-0000-0000384C0000}"/>
    <cellStyle name="표준 5 2 3 2 4 3 4 2 2 4" xfId="48238" xr:uid="{00000000-0005-0000-0000-0000394C0000}"/>
    <cellStyle name="표준 5 2 3 2 4 3 4 2 3" xfId="19480" xr:uid="{00000000-0005-0000-0000-00003A4C0000}"/>
    <cellStyle name="표준 5 2 3 2 4 3 4 2 4" xfId="23642" xr:uid="{00000000-0005-0000-0000-00003B4C0000}"/>
    <cellStyle name="표준 5 2 3 2 4 3 4 2 5" xfId="27738" xr:uid="{00000000-0005-0000-0000-00003C4C0000}"/>
    <cellStyle name="표준 5 2 3 2 4 3 4 2 6" xfId="35949" xr:uid="{00000000-0005-0000-0000-00003D4C0000}"/>
    <cellStyle name="표준 5 2 3 2 4 3 4 2 7" xfId="44142" xr:uid="{00000000-0005-0000-0000-00003E4C0000}"/>
    <cellStyle name="표준 5 2 3 2 4 3 4 3" xfId="9080" xr:uid="{00000000-0005-0000-0000-00003F4C0000}"/>
    <cellStyle name="표준 5 2 3 2 4 3 4 3 2" xfId="29786" xr:uid="{00000000-0005-0000-0000-0000404C0000}"/>
    <cellStyle name="표준 5 2 3 2 4 3 4 3 3" xfId="37997" xr:uid="{00000000-0005-0000-0000-0000414C0000}"/>
    <cellStyle name="표준 5 2 3 2 4 3 4 3 4" xfId="46190" xr:uid="{00000000-0005-0000-0000-0000424C0000}"/>
    <cellStyle name="표준 5 2 3 2 4 3 4 4" xfId="13192" xr:uid="{00000000-0005-0000-0000-0000434C0000}"/>
    <cellStyle name="표준 5 2 3 2 4 3 4 5" xfId="17432" xr:uid="{00000000-0005-0000-0000-0000444C0000}"/>
    <cellStyle name="표준 5 2 3 2 4 3 4 6" xfId="21594" xr:uid="{00000000-0005-0000-0000-0000454C0000}"/>
    <cellStyle name="표준 5 2 3 2 4 3 4 7" xfId="25690" xr:uid="{00000000-0005-0000-0000-0000464C0000}"/>
    <cellStyle name="표준 5 2 3 2 4 3 4 8" xfId="33901" xr:uid="{00000000-0005-0000-0000-0000474C0000}"/>
    <cellStyle name="표준 5 2 3 2 4 3 4 9" xfId="42094" xr:uid="{00000000-0005-0000-0000-0000484C0000}"/>
    <cellStyle name="표준 5 2 3 2 4 3 5" xfId="9592" xr:uid="{00000000-0005-0000-0000-0000494C0000}"/>
    <cellStyle name="표준 5 2 3 2 4 3 5 2" xfId="13704" xr:uid="{00000000-0005-0000-0000-00004A4C0000}"/>
    <cellStyle name="표준 5 2 3 2 4 3 5 2 2" xfId="30298" xr:uid="{00000000-0005-0000-0000-00004B4C0000}"/>
    <cellStyle name="표준 5 2 3 2 4 3 5 2 3" xfId="38509" xr:uid="{00000000-0005-0000-0000-00004C4C0000}"/>
    <cellStyle name="표준 5 2 3 2 4 3 5 2 4" xfId="46702" xr:uid="{00000000-0005-0000-0000-00004D4C0000}"/>
    <cellStyle name="표준 5 2 3 2 4 3 5 3" xfId="17944" xr:uid="{00000000-0005-0000-0000-00004E4C0000}"/>
    <cellStyle name="표준 5 2 3 2 4 3 5 4" xfId="22106" xr:uid="{00000000-0005-0000-0000-00004F4C0000}"/>
    <cellStyle name="표준 5 2 3 2 4 3 5 5" xfId="26202" xr:uid="{00000000-0005-0000-0000-0000504C0000}"/>
    <cellStyle name="표준 5 2 3 2 4 3 5 6" xfId="34413" xr:uid="{00000000-0005-0000-0000-0000514C0000}"/>
    <cellStyle name="표준 5 2 3 2 4 3 5 7" xfId="42606" xr:uid="{00000000-0005-0000-0000-0000524C0000}"/>
    <cellStyle name="표준 5 2 3 2 4 3 6" xfId="7544" xr:uid="{00000000-0005-0000-0000-0000534C0000}"/>
    <cellStyle name="표준 5 2 3 2 4 3 6 2" xfId="28250" xr:uid="{00000000-0005-0000-0000-0000544C0000}"/>
    <cellStyle name="표준 5 2 3 2 4 3 6 3" xfId="36461" xr:uid="{00000000-0005-0000-0000-0000554C0000}"/>
    <cellStyle name="표준 5 2 3 2 4 3 6 4" xfId="44654" xr:uid="{00000000-0005-0000-0000-0000564C0000}"/>
    <cellStyle name="표준 5 2 3 2 4 3 7" xfId="11656" xr:uid="{00000000-0005-0000-0000-0000574C0000}"/>
    <cellStyle name="표준 5 2 3 2 4 3 8" xfId="15896" xr:uid="{00000000-0005-0000-0000-0000584C0000}"/>
    <cellStyle name="표준 5 2 3 2 4 3 9" xfId="20058" xr:uid="{00000000-0005-0000-0000-0000594C0000}"/>
    <cellStyle name="표준 5 2 3 2 4 4" xfId="945" xr:uid="{00000000-0005-0000-0000-00005A4C0000}"/>
    <cellStyle name="표준 5 2 3 2 4 4 2" xfId="9848" xr:uid="{00000000-0005-0000-0000-00005B4C0000}"/>
    <cellStyle name="표준 5 2 3 2 4 4 2 2" xfId="13960" xr:uid="{00000000-0005-0000-0000-00005C4C0000}"/>
    <cellStyle name="표준 5 2 3 2 4 4 2 2 2" xfId="30554" xr:uid="{00000000-0005-0000-0000-00005D4C0000}"/>
    <cellStyle name="표준 5 2 3 2 4 4 2 2 3" xfId="38765" xr:uid="{00000000-0005-0000-0000-00005E4C0000}"/>
    <cellStyle name="표준 5 2 3 2 4 4 2 2 4" xfId="46958" xr:uid="{00000000-0005-0000-0000-00005F4C0000}"/>
    <cellStyle name="표준 5 2 3 2 4 4 2 3" xfId="18200" xr:uid="{00000000-0005-0000-0000-0000604C0000}"/>
    <cellStyle name="표준 5 2 3 2 4 4 2 4" xfId="22362" xr:uid="{00000000-0005-0000-0000-0000614C0000}"/>
    <cellStyle name="표준 5 2 3 2 4 4 2 5" xfId="26458" xr:uid="{00000000-0005-0000-0000-0000624C0000}"/>
    <cellStyle name="표준 5 2 3 2 4 4 2 6" xfId="34669" xr:uid="{00000000-0005-0000-0000-0000634C0000}"/>
    <cellStyle name="표준 5 2 3 2 4 4 2 7" xfId="42862" xr:uid="{00000000-0005-0000-0000-0000644C0000}"/>
    <cellStyle name="표준 5 2 3 2 4 4 3" xfId="7800" xr:uid="{00000000-0005-0000-0000-0000654C0000}"/>
    <cellStyle name="표준 5 2 3 2 4 4 3 2" xfId="28506" xr:uid="{00000000-0005-0000-0000-0000664C0000}"/>
    <cellStyle name="표준 5 2 3 2 4 4 3 3" xfId="36717" xr:uid="{00000000-0005-0000-0000-0000674C0000}"/>
    <cellStyle name="표준 5 2 3 2 4 4 3 4" xfId="44910" xr:uid="{00000000-0005-0000-0000-0000684C0000}"/>
    <cellStyle name="표준 5 2 3 2 4 4 4" xfId="11912" xr:uid="{00000000-0005-0000-0000-0000694C0000}"/>
    <cellStyle name="표준 5 2 3 2 4 4 5" xfId="16152" xr:uid="{00000000-0005-0000-0000-00006A4C0000}"/>
    <cellStyle name="표준 5 2 3 2 4 4 6" xfId="20314" xr:uid="{00000000-0005-0000-0000-00006B4C0000}"/>
    <cellStyle name="표준 5 2 3 2 4 4 7" xfId="24410" xr:uid="{00000000-0005-0000-0000-00006C4C0000}"/>
    <cellStyle name="표준 5 2 3 2 4 4 8" xfId="32621" xr:uid="{00000000-0005-0000-0000-00006D4C0000}"/>
    <cellStyle name="표준 5 2 3 2 4 4 9" xfId="40814" xr:uid="{00000000-0005-0000-0000-00006E4C0000}"/>
    <cellStyle name="표준 5 2 3 2 4 5" xfId="1457" xr:uid="{00000000-0005-0000-0000-00006F4C0000}"/>
    <cellStyle name="표준 5 2 3 2 4 5 2" xfId="10360" xr:uid="{00000000-0005-0000-0000-0000704C0000}"/>
    <cellStyle name="표준 5 2 3 2 4 5 2 2" xfId="14472" xr:uid="{00000000-0005-0000-0000-0000714C0000}"/>
    <cellStyle name="표준 5 2 3 2 4 5 2 2 2" xfId="31066" xr:uid="{00000000-0005-0000-0000-0000724C0000}"/>
    <cellStyle name="표준 5 2 3 2 4 5 2 2 3" xfId="39277" xr:uid="{00000000-0005-0000-0000-0000734C0000}"/>
    <cellStyle name="표준 5 2 3 2 4 5 2 2 4" xfId="47470" xr:uid="{00000000-0005-0000-0000-0000744C0000}"/>
    <cellStyle name="표준 5 2 3 2 4 5 2 3" xfId="18712" xr:uid="{00000000-0005-0000-0000-0000754C0000}"/>
    <cellStyle name="표준 5 2 3 2 4 5 2 4" xfId="22874" xr:uid="{00000000-0005-0000-0000-0000764C0000}"/>
    <cellStyle name="표준 5 2 3 2 4 5 2 5" xfId="26970" xr:uid="{00000000-0005-0000-0000-0000774C0000}"/>
    <cellStyle name="표준 5 2 3 2 4 5 2 6" xfId="35181" xr:uid="{00000000-0005-0000-0000-0000784C0000}"/>
    <cellStyle name="표준 5 2 3 2 4 5 2 7" xfId="43374" xr:uid="{00000000-0005-0000-0000-0000794C0000}"/>
    <cellStyle name="표준 5 2 3 2 4 5 3" xfId="8312" xr:uid="{00000000-0005-0000-0000-00007A4C0000}"/>
    <cellStyle name="표준 5 2 3 2 4 5 3 2" xfId="29018" xr:uid="{00000000-0005-0000-0000-00007B4C0000}"/>
    <cellStyle name="표준 5 2 3 2 4 5 3 3" xfId="37229" xr:uid="{00000000-0005-0000-0000-00007C4C0000}"/>
    <cellStyle name="표준 5 2 3 2 4 5 3 4" xfId="45422" xr:uid="{00000000-0005-0000-0000-00007D4C0000}"/>
    <cellStyle name="표준 5 2 3 2 4 5 4" xfId="12424" xr:uid="{00000000-0005-0000-0000-00007E4C0000}"/>
    <cellStyle name="표준 5 2 3 2 4 5 5" xfId="16664" xr:uid="{00000000-0005-0000-0000-00007F4C0000}"/>
    <cellStyle name="표준 5 2 3 2 4 5 6" xfId="20826" xr:uid="{00000000-0005-0000-0000-0000804C0000}"/>
    <cellStyle name="표준 5 2 3 2 4 5 7" xfId="24922" xr:uid="{00000000-0005-0000-0000-0000814C0000}"/>
    <cellStyle name="표준 5 2 3 2 4 5 8" xfId="33133" xr:uid="{00000000-0005-0000-0000-0000824C0000}"/>
    <cellStyle name="표준 5 2 3 2 4 5 9" xfId="41326" xr:uid="{00000000-0005-0000-0000-0000834C0000}"/>
    <cellStyle name="표준 5 2 3 2 4 6" xfId="1969" xr:uid="{00000000-0005-0000-0000-0000844C0000}"/>
    <cellStyle name="표준 5 2 3 2 4 6 2" xfId="10872" xr:uid="{00000000-0005-0000-0000-0000854C0000}"/>
    <cellStyle name="표준 5 2 3 2 4 6 2 2" xfId="14984" xr:uid="{00000000-0005-0000-0000-0000864C0000}"/>
    <cellStyle name="표준 5 2 3 2 4 6 2 2 2" xfId="31578" xr:uid="{00000000-0005-0000-0000-0000874C0000}"/>
    <cellStyle name="표준 5 2 3 2 4 6 2 2 3" xfId="39789" xr:uid="{00000000-0005-0000-0000-0000884C0000}"/>
    <cellStyle name="표준 5 2 3 2 4 6 2 2 4" xfId="47982" xr:uid="{00000000-0005-0000-0000-0000894C0000}"/>
    <cellStyle name="표준 5 2 3 2 4 6 2 3" xfId="19224" xr:uid="{00000000-0005-0000-0000-00008A4C0000}"/>
    <cellStyle name="표준 5 2 3 2 4 6 2 4" xfId="23386" xr:uid="{00000000-0005-0000-0000-00008B4C0000}"/>
    <cellStyle name="표준 5 2 3 2 4 6 2 5" xfId="27482" xr:uid="{00000000-0005-0000-0000-00008C4C0000}"/>
    <cellStyle name="표준 5 2 3 2 4 6 2 6" xfId="35693" xr:uid="{00000000-0005-0000-0000-00008D4C0000}"/>
    <cellStyle name="표준 5 2 3 2 4 6 2 7" xfId="43886" xr:uid="{00000000-0005-0000-0000-00008E4C0000}"/>
    <cellStyle name="표준 5 2 3 2 4 6 3" xfId="8824" xr:uid="{00000000-0005-0000-0000-00008F4C0000}"/>
    <cellStyle name="표준 5 2 3 2 4 6 3 2" xfId="29530" xr:uid="{00000000-0005-0000-0000-0000904C0000}"/>
    <cellStyle name="표준 5 2 3 2 4 6 3 3" xfId="37741" xr:uid="{00000000-0005-0000-0000-0000914C0000}"/>
    <cellStyle name="표준 5 2 3 2 4 6 3 4" xfId="45934" xr:uid="{00000000-0005-0000-0000-0000924C0000}"/>
    <cellStyle name="표준 5 2 3 2 4 6 4" xfId="12936" xr:uid="{00000000-0005-0000-0000-0000934C0000}"/>
    <cellStyle name="표준 5 2 3 2 4 6 5" xfId="17176" xr:uid="{00000000-0005-0000-0000-0000944C0000}"/>
    <cellStyle name="표준 5 2 3 2 4 6 6" xfId="21338" xr:uid="{00000000-0005-0000-0000-0000954C0000}"/>
    <cellStyle name="표준 5 2 3 2 4 6 7" xfId="25434" xr:uid="{00000000-0005-0000-0000-0000964C0000}"/>
    <cellStyle name="표준 5 2 3 2 4 6 8" xfId="33645" xr:uid="{00000000-0005-0000-0000-0000974C0000}"/>
    <cellStyle name="표준 5 2 3 2 4 6 9" xfId="41838" xr:uid="{00000000-0005-0000-0000-0000984C0000}"/>
    <cellStyle name="표준 5 2 3 2 4 7" xfId="7029" xr:uid="{00000000-0005-0000-0000-0000994C0000}"/>
    <cellStyle name="표준 5 2 3 2 4 7 2" xfId="9336" xr:uid="{00000000-0005-0000-0000-00009A4C0000}"/>
    <cellStyle name="표준 5 2 3 2 4 7 2 2" xfId="30042" xr:uid="{00000000-0005-0000-0000-00009B4C0000}"/>
    <cellStyle name="표준 5 2 3 2 4 7 2 3" xfId="38253" xr:uid="{00000000-0005-0000-0000-00009C4C0000}"/>
    <cellStyle name="표준 5 2 3 2 4 7 2 4" xfId="46446" xr:uid="{00000000-0005-0000-0000-00009D4C0000}"/>
    <cellStyle name="표준 5 2 3 2 4 7 3" xfId="13448" xr:uid="{00000000-0005-0000-0000-00009E4C0000}"/>
    <cellStyle name="표준 5 2 3 2 4 7 4" xfId="17688" xr:uid="{00000000-0005-0000-0000-00009F4C0000}"/>
    <cellStyle name="표준 5 2 3 2 4 7 5" xfId="21850" xr:uid="{00000000-0005-0000-0000-0000A04C0000}"/>
    <cellStyle name="표준 5 2 3 2 4 7 6" xfId="25946" xr:uid="{00000000-0005-0000-0000-0000A14C0000}"/>
    <cellStyle name="표준 5 2 3 2 4 7 7" xfId="34157" xr:uid="{00000000-0005-0000-0000-0000A24C0000}"/>
    <cellStyle name="표준 5 2 3 2 4 7 8" xfId="42350" xr:uid="{00000000-0005-0000-0000-0000A34C0000}"/>
    <cellStyle name="표준 5 2 3 2 4 8" xfId="7149" xr:uid="{00000000-0005-0000-0000-0000A44C0000}"/>
    <cellStyle name="표준 5 2 3 2 4 8 2" xfId="27994" xr:uid="{00000000-0005-0000-0000-0000A54C0000}"/>
    <cellStyle name="표준 5 2 3 2 4 8 3" xfId="36205" xr:uid="{00000000-0005-0000-0000-0000A64C0000}"/>
    <cellStyle name="표준 5 2 3 2 4 8 4" xfId="44398" xr:uid="{00000000-0005-0000-0000-0000A74C0000}"/>
    <cellStyle name="표준 5 2 3 2 4 9" xfId="7288" xr:uid="{00000000-0005-0000-0000-0000A84C0000}"/>
    <cellStyle name="표준 5 2 3 2 5" xfId="497" xr:uid="{00000000-0005-0000-0000-0000A94C0000}"/>
    <cellStyle name="표준 5 2 3 2 5 10" xfId="19866" xr:uid="{00000000-0005-0000-0000-0000AA4C0000}"/>
    <cellStyle name="표준 5 2 3 2 5 11" xfId="23962" xr:uid="{00000000-0005-0000-0000-0000AB4C0000}"/>
    <cellStyle name="표준 5 2 3 2 5 12" xfId="32173" xr:uid="{00000000-0005-0000-0000-0000AC4C0000}"/>
    <cellStyle name="표준 5 2 3 2 5 13" xfId="40366" xr:uid="{00000000-0005-0000-0000-0000AD4C0000}"/>
    <cellStyle name="표준 5 2 3 2 5 2" xfId="753" xr:uid="{00000000-0005-0000-0000-0000AE4C0000}"/>
    <cellStyle name="표준 5 2 3 2 5 2 10" xfId="24218" xr:uid="{00000000-0005-0000-0000-0000AF4C0000}"/>
    <cellStyle name="표준 5 2 3 2 5 2 11" xfId="32429" xr:uid="{00000000-0005-0000-0000-0000B04C0000}"/>
    <cellStyle name="표준 5 2 3 2 5 2 12" xfId="40622" xr:uid="{00000000-0005-0000-0000-0000B14C0000}"/>
    <cellStyle name="표준 5 2 3 2 5 2 2" xfId="1265" xr:uid="{00000000-0005-0000-0000-0000B24C0000}"/>
    <cellStyle name="표준 5 2 3 2 5 2 2 2" xfId="10168" xr:uid="{00000000-0005-0000-0000-0000B34C0000}"/>
    <cellStyle name="표준 5 2 3 2 5 2 2 2 2" xfId="14280" xr:uid="{00000000-0005-0000-0000-0000B44C0000}"/>
    <cellStyle name="표준 5 2 3 2 5 2 2 2 2 2" xfId="30874" xr:uid="{00000000-0005-0000-0000-0000B54C0000}"/>
    <cellStyle name="표준 5 2 3 2 5 2 2 2 2 3" xfId="39085" xr:uid="{00000000-0005-0000-0000-0000B64C0000}"/>
    <cellStyle name="표준 5 2 3 2 5 2 2 2 2 4" xfId="47278" xr:uid="{00000000-0005-0000-0000-0000B74C0000}"/>
    <cellStyle name="표준 5 2 3 2 5 2 2 2 3" xfId="18520" xr:uid="{00000000-0005-0000-0000-0000B84C0000}"/>
    <cellStyle name="표준 5 2 3 2 5 2 2 2 4" xfId="22682" xr:uid="{00000000-0005-0000-0000-0000B94C0000}"/>
    <cellStyle name="표준 5 2 3 2 5 2 2 2 5" xfId="26778" xr:uid="{00000000-0005-0000-0000-0000BA4C0000}"/>
    <cellStyle name="표준 5 2 3 2 5 2 2 2 6" xfId="34989" xr:uid="{00000000-0005-0000-0000-0000BB4C0000}"/>
    <cellStyle name="표준 5 2 3 2 5 2 2 2 7" xfId="43182" xr:uid="{00000000-0005-0000-0000-0000BC4C0000}"/>
    <cellStyle name="표준 5 2 3 2 5 2 2 3" xfId="8120" xr:uid="{00000000-0005-0000-0000-0000BD4C0000}"/>
    <cellStyle name="표준 5 2 3 2 5 2 2 3 2" xfId="28826" xr:uid="{00000000-0005-0000-0000-0000BE4C0000}"/>
    <cellStyle name="표준 5 2 3 2 5 2 2 3 3" xfId="37037" xr:uid="{00000000-0005-0000-0000-0000BF4C0000}"/>
    <cellStyle name="표준 5 2 3 2 5 2 2 3 4" xfId="45230" xr:uid="{00000000-0005-0000-0000-0000C04C0000}"/>
    <cellStyle name="표준 5 2 3 2 5 2 2 4" xfId="12232" xr:uid="{00000000-0005-0000-0000-0000C14C0000}"/>
    <cellStyle name="표준 5 2 3 2 5 2 2 5" xfId="16472" xr:uid="{00000000-0005-0000-0000-0000C24C0000}"/>
    <cellStyle name="표준 5 2 3 2 5 2 2 6" xfId="20634" xr:uid="{00000000-0005-0000-0000-0000C34C0000}"/>
    <cellStyle name="표준 5 2 3 2 5 2 2 7" xfId="24730" xr:uid="{00000000-0005-0000-0000-0000C44C0000}"/>
    <cellStyle name="표준 5 2 3 2 5 2 2 8" xfId="32941" xr:uid="{00000000-0005-0000-0000-0000C54C0000}"/>
    <cellStyle name="표준 5 2 3 2 5 2 2 9" xfId="41134" xr:uid="{00000000-0005-0000-0000-0000C64C0000}"/>
    <cellStyle name="표준 5 2 3 2 5 2 3" xfId="1777" xr:uid="{00000000-0005-0000-0000-0000C74C0000}"/>
    <cellStyle name="표준 5 2 3 2 5 2 3 2" xfId="10680" xr:uid="{00000000-0005-0000-0000-0000C84C0000}"/>
    <cellStyle name="표준 5 2 3 2 5 2 3 2 2" xfId="14792" xr:uid="{00000000-0005-0000-0000-0000C94C0000}"/>
    <cellStyle name="표준 5 2 3 2 5 2 3 2 2 2" xfId="31386" xr:uid="{00000000-0005-0000-0000-0000CA4C0000}"/>
    <cellStyle name="표준 5 2 3 2 5 2 3 2 2 3" xfId="39597" xr:uid="{00000000-0005-0000-0000-0000CB4C0000}"/>
    <cellStyle name="표준 5 2 3 2 5 2 3 2 2 4" xfId="47790" xr:uid="{00000000-0005-0000-0000-0000CC4C0000}"/>
    <cellStyle name="표준 5 2 3 2 5 2 3 2 3" xfId="19032" xr:uid="{00000000-0005-0000-0000-0000CD4C0000}"/>
    <cellStyle name="표준 5 2 3 2 5 2 3 2 4" xfId="23194" xr:uid="{00000000-0005-0000-0000-0000CE4C0000}"/>
    <cellStyle name="표준 5 2 3 2 5 2 3 2 5" xfId="27290" xr:uid="{00000000-0005-0000-0000-0000CF4C0000}"/>
    <cellStyle name="표준 5 2 3 2 5 2 3 2 6" xfId="35501" xr:uid="{00000000-0005-0000-0000-0000D04C0000}"/>
    <cellStyle name="표준 5 2 3 2 5 2 3 2 7" xfId="43694" xr:uid="{00000000-0005-0000-0000-0000D14C0000}"/>
    <cellStyle name="표준 5 2 3 2 5 2 3 3" xfId="8632" xr:uid="{00000000-0005-0000-0000-0000D24C0000}"/>
    <cellStyle name="표준 5 2 3 2 5 2 3 3 2" xfId="29338" xr:uid="{00000000-0005-0000-0000-0000D34C0000}"/>
    <cellStyle name="표준 5 2 3 2 5 2 3 3 3" xfId="37549" xr:uid="{00000000-0005-0000-0000-0000D44C0000}"/>
    <cellStyle name="표준 5 2 3 2 5 2 3 3 4" xfId="45742" xr:uid="{00000000-0005-0000-0000-0000D54C0000}"/>
    <cellStyle name="표준 5 2 3 2 5 2 3 4" xfId="12744" xr:uid="{00000000-0005-0000-0000-0000D64C0000}"/>
    <cellStyle name="표준 5 2 3 2 5 2 3 5" xfId="16984" xr:uid="{00000000-0005-0000-0000-0000D74C0000}"/>
    <cellStyle name="표준 5 2 3 2 5 2 3 6" xfId="21146" xr:uid="{00000000-0005-0000-0000-0000D84C0000}"/>
    <cellStyle name="표준 5 2 3 2 5 2 3 7" xfId="25242" xr:uid="{00000000-0005-0000-0000-0000D94C0000}"/>
    <cellStyle name="표준 5 2 3 2 5 2 3 8" xfId="33453" xr:uid="{00000000-0005-0000-0000-0000DA4C0000}"/>
    <cellStyle name="표준 5 2 3 2 5 2 3 9" xfId="41646" xr:uid="{00000000-0005-0000-0000-0000DB4C0000}"/>
    <cellStyle name="표준 5 2 3 2 5 2 4" xfId="2289" xr:uid="{00000000-0005-0000-0000-0000DC4C0000}"/>
    <cellStyle name="표준 5 2 3 2 5 2 4 2" xfId="11192" xr:uid="{00000000-0005-0000-0000-0000DD4C0000}"/>
    <cellStyle name="표준 5 2 3 2 5 2 4 2 2" xfId="15304" xr:uid="{00000000-0005-0000-0000-0000DE4C0000}"/>
    <cellStyle name="표준 5 2 3 2 5 2 4 2 2 2" xfId="31898" xr:uid="{00000000-0005-0000-0000-0000DF4C0000}"/>
    <cellStyle name="표준 5 2 3 2 5 2 4 2 2 3" xfId="40109" xr:uid="{00000000-0005-0000-0000-0000E04C0000}"/>
    <cellStyle name="표준 5 2 3 2 5 2 4 2 2 4" xfId="48302" xr:uid="{00000000-0005-0000-0000-0000E14C0000}"/>
    <cellStyle name="표준 5 2 3 2 5 2 4 2 3" xfId="19544" xr:uid="{00000000-0005-0000-0000-0000E24C0000}"/>
    <cellStyle name="표준 5 2 3 2 5 2 4 2 4" xfId="23706" xr:uid="{00000000-0005-0000-0000-0000E34C0000}"/>
    <cellStyle name="표준 5 2 3 2 5 2 4 2 5" xfId="27802" xr:uid="{00000000-0005-0000-0000-0000E44C0000}"/>
    <cellStyle name="표준 5 2 3 2 5 2 4 2 6" xfId="36013" xr:uid="{00000000-0005-0000-0000-0000E54C0000}"/>
    <cellStyle name="표준 5 2 3 2 5 2 4 2 7" xfId="44206" xr:uid="{00000000-0005-0000-0000-0000E64C0000}"/>
    <cellStyle name="표준 5 2 3 2 5 2 4 3" xfId="9144" xr:uid="{00000000-0005-0000-0000-0000E74C0000}"/>
    <cellStyle name="표준 5 2 3 2 5 2 4 3 2" xfId="29850" xr:uid="{00000000-0005-0000-0000-0000E84C0000}"/>
    <cellStyle name="표준 5 2 3 2 5 2 4 3 3" xfId="38061" xr:uid="{00000000-0005-0000-0000-0000E94C0000}"/>
    <cellStyle name="표준 5 2 3 2 5 2 4 3 4" xfId="46254" xr:uid="{00000000-0005-0000-0000-0000EA4C0000}"/>
    <cellStyle name="표준 5 2 3 2 5 2 4 4" xfId="13256" xr:uid="{00000000-0005-0000-0000-0000EB4C0000}"/>
    <cellStyle name="표준 5 2 3 2 5 2 4 5" xfId="17496" xr:uid="{00000000-0005-0000-0000-0000EC4C0000}"/>
    <cellStyle name="표준 5 2 3 2 5 2 4 6" xfId="21658" xr:uid="{00000000-0005-0000-0000-0000ED4C0000}"/>
    <cellStyle name="표준 5 2 3 2 5 2 4 7" xfId="25754" xr:uid="{00000000-0005-0000-0000-0000EE4C0000}"/>
    <cellStyle name="표준 5 2 3 2 5 2 4 8" xfId="33965" xr:uid="{00000000-0005-0000-0000-0000EF4C0000}"/>
    <cellStyle name="표준 5 2 3 2 5 2 4 9" xfId="42158" xr:uid="{00000000-0005-0000-0000-0000F04C0000}"/>
    <cellStyle name="표준 5 2 3 2 5 2 5" xfId="9656" xr:uid="{00000000-0005-0000-0000-0000F14C0000}"/>
    <cellStyle name="표준 5 2 3 2 5 2 5 2" xfId="13768" xr:uid="{00000000-0005-0000-0000-0000F24C0000}"/>
    <cellStyle name="표준 5 2 3 2 5 2 5 2 2" xfId="30362" xr:uid="{00000000-0005-0000-0000-0000F34C0000}"/>
    <cellStyle name="표준 5 2 3 2 5 2 5 2 3" xfId="38573" xr:uid="{00000000-0005-0000-0000-0000F44C0000}"/>
    <cellStyle name="표준 5 2 3 2 5 2 5 2 4" xfId="46766" xr:uid="{00000000-0005-0000-0000-0000F54C0000}"/>
    <cellStyle name="표준 5 2 3 2 5 2 5 3" xfId="18008" xr:uid="{00000000-0005-0000-0000-0000F64C0000}"/>
    <cellStyle name="표준 5 2 3 2 5 2 5 4" xfId="22170" xr:uid="{00000000-0005-0000-0000-0000F74C0000}"/>
    <cellStyle name="표준 5 2 3 2 5 2 5 5" xfId="26266" xr:uid="{00000000-0005-0000-0000-0000F84C0000}"/>
    <cellStyle name="표준 5 2 3 2 5 2 5 6" xfId="34477" xr:uid="{00000000-0005-0000-0000-0000F94C0000}"/>
    <cellStyle name="표준 5 2 3 2 5 2 5 7" xfId="42670" xr:uid="{00000000-0005-0000-0000-0000FA4C0000}"/>
    <cellStyle name="표준 5 2 3 2 5 2 6" xfId="7608" xr:uid="{00000000-0005-0000-0000-0000FB4C0000}"/>
    <cellStyle name="표준 5 2 3 2 5 2 6 2" xfId="28314" xr:uid="{00000000-0005-0000-0000-0000FC4C0000}"/>
    <cellStyle name="표준 5 2 3 2 5 2 6 3" xfId="36525" xr:uid="{00000000-0005-0000-0000-0000FD4C0000}"/>
    <cellStyle name="표준 5 2 3 2 5 2 6 4" xfId="44718" xr:uid="{00000000-0005-0000-0000-0000FE4C0000}"/>
    <cellStyle name="표준 5 2 3 2 5 2 7" xfId="11720" xr:uid="{00000000-0005-0000-0000-0000FF4C0000}"/>
    <cellStyle name="표준 5 2 3 2 5 2 8" xfId="15960" xr:uid="{00000000-0005-0000-0000-0000004D0000}"/>
    <cellStyle name="표준 5 2 3 2 5 2 9" xfId="20122" xr:uid="{00000000-0005-0000-0000-0000014D0000}"/>
    <cellStyle name="표준 5 2 3 2 5 3" xfId="1009" xr:uid="{00000000-0005-0000-0000-0000024D0000}"/>
    <cellStyle name="표준 5 2 3 2 5 3 2" xfId="9912" xr:uid="{00000000-0005-0000-0000-0000034D0000}"/>
    <cellStyle name="표준 5 2 3 2 5 3 2 2" xfId="14024" xr:uid="{00000000-0005-0000-0000-0000044D0000}"/>
    <cellStyle name="표준 5 2 3 2 5 3 2 2 2" xfId="30618" xr:uid="{00000000-0005-0000-0000-0000054D0000}"/>
    <cellStyle name="표준 5 2 3 2 5 3 2 2 3" xfId="38829" xr:uid="{00000000-0005-0000-0000-0000064D0000}"/>
    <cellStyle name="표준 5 2 3 2 5 3 2 2 4" xfId="47022" xr:uid="{00000000-0005-0000-0000-0000074D0000}"/>
    <cellStyle name="표준 5 2 3 2 5 3 2 3" xfId="18264" xr:uid="{00000000-0005-0000-0000-0000084D0000}"/>
    <cellStyle name="표준 5 2 3 2 5 3 2 4" xfId="22426" xr:uid="{00000000-0005-0000-0000-0000094D0000}"/>
    <cellStyle name="표준 5 2 3 2 5 3 2 5" xfId="26522" xr:uid="{00000000-0005-0000-0000-00000A4D0000}"/>
    <cellStyle name="표준 5 2 3 2 5 3 2 6" xfId="34733" xr:uid="{00000000-0005-0000-0000-00000B4D0000}"/>
    <cellStyle name="표준 5 2 3 2 5 3 2 7" xfId="42926" xr:uid="{00000000-0005-0000-0000-00000C4D0000}"/>
    <cellStyle name="표준 5 2 3 2 5 3 3" xfId="7864" xr:uid="{00000000-0005-0000-0000-00000D4D0000}"/>
    <cellStyle name="표준 5 2 3 2 5 3 3 2" xfId="28570" xr:uid="{00000000-0005-0000-0000-00000E4D0000}"/>
    <cellStyle name="표준 5 2 3 2 5 3 3 3" xfId="36781" xr:uid="{00000000-0005-0000-0000-00000F4D0000}"/>
    <cellStyle name="표준 5 2 3 2 5 3 3 4" xfId="44974" xr:uid="{00000000-0005-0000-0000-0000104D0000}"/>
    <cellStyle name="표준 5 2 3 2 5 3 4" xfId="11976" xr:uid="{00000000-0005-0000-0000-0000114D0000}"/>
    <cellStyle name="표준 5 2 3 2 5 3 5" xfId="16216" xr:uid="{00000000-0005-0000-0000-0000124D0000}"/>
    <cellStyle name="표준 5 2 3 2 5 3 6" xfId="20378" xr:uid="{00000000-0005-0000-0000-0000134D0000}"/>
    <cellStyle name="표준 5 2 3 2 5 3 7" xfId="24474" xr:uid="{00000000-0005-0000-0000-0000144D0000}"/>
    <cellStyle name="표준 5 2 3 2 5 3 8" xfId="32685" xr:uid="{00000000-0005-0000-0000-0000154D0000}"/>
    <cellStyle name="표준 5 2 3 2 5 3 9" xfId="40878" xr:uid="{00000000-0005-0000-0000-0000164D0000}"/>
    <cellStyle name="표준 5 2 3 2 5 4" xfId="1521" xr:uid="{00000000-0005-0000-0000-0000174D0000}"/>
    <cellStyle name="표준 5 2 3 2 5 4 2" xfId="10424" xr:uid="{00000000-0005-0000-0000-0000184D0000}"/>
    <cellStyle name="표준 5 2 3 2 5 4 2 2" xfId="14536" xr:uid="{00000000-0005-0000-0000-0000194D0000}"/>
    <cellStyle name="표준 5 2 3 2 5 4 2 2 2" xfId="31130" xr:uid="{00000000-0005-0000-0000-00001A4D0000}"/>
    <cellStyle name="표준 5 2 3 2 5 4 2 2 3" xfId="39341" xr:uid="{00000000-0005-0000-0000-00001B4D0000}"/>
    <cellStyle name="표준 5 2 3 2 5 4 2 2 4" xfId="47534" xr:uid="{00000000-0005-0000-0000-00001C4D0000}"/>
    <cellStyle name="표준 5 2 3 2 5 4 2 3" xfId="18776" xr:uid="{00000000-0005-0000-0000-00001D4D0000}"/>
    <cellStyle name="표준 5 2 3 2 5 4 2 4" xfId="22938" xr:uid="{00000000-0005-0000-0000-00001E4D0000}"/>
    <cellStyle name="표준 5 2 3 2 5 4 2 5" xfId="27034" xr:uid="{00000000-0005-0000-0000-00001F4D0000}"/>
    <cellStyle name="표준 5 2 3 2 5 4 2 6" xfId="35245" xr:uid="{00000000-0005-0000-0000-0000204D0000}"/>
    <cellStyle name="표준 5 2 3 2 5 4 2 7" xfId="43438" xr:uid="{00000000-0005-0000-0000-0000214D0000}"/>
    <cellStyle name="표준 5 2 3 2 5 4 3" xfId="8376" xr:uid="{00000000-0005-0000-0000-0000224D0000}"/>
    <cellStyle name="표준 5 2 3 2 5 4 3 2" xfId="29082" xr:uid="{00000000-0005-0000-0000-0000234D0000}"/>
    <cellStyle name="표준 5 2 3 2 5 4 3 3" xfId="37293" xr:uid="{00000000-0005-0000-0000-0000244D0000}"/>
    <cellStyle name="표준 5 2 3 2 5 4 3 4" xfId="45486" xr:uid="{00000000-0005-0000-0000-0000254D0000}"/>
    <cellStyle name="표준 5 2 3 2 5 4 4" xfId="12488" xr:uid="{00000000-0005-0000-0000-0000264D0000}"/>
    <cellStyle name="표준 5 2 3 2 5 4 5" xfId="16728" xr:uid="{00000000-0005-0000-0000-0000274D0000}"/>
    <cellStyle name="표준 5 2 3 2 5 4 6" xfId="20890" xr:uid="{00000000-0005-0000-0000-0000284D0000}"/>
    <cellStyle name="표준 5 2 3 2 5 4 7" xfId="24986" xr:uid="{00000000-0005-0000-0000-0000294D0000}"/>
    <cellStyle name="표준 5 2 3 2 5 4 8" xfId="33197" xr:uid="{00000000-0005-0000-0000-00002A4D0000}"/>
    <cellStyle name="표준 5 2 3 2 5 4 9" xfId="41390" xr:uid="{00000000-0005-0000-0000-00002B4D0000}"/>
    <cellStyle name="표준 5 2 3 2 5 5" xfId="2033" xr:uid="{00000000-0005-0000-0000-00002C4D0000}"/>
    <cellStyle name="표준 5 2 3 2 5 5 2" xfId="10936" xr:uid="{00000000-0005-0000-0000-00002D4D0000}"/>
    <cellStyle name="표준 5 2 3 2 5 5 2 2" xfId="15048" xr:uid="{00000000-0005-0000-0000-00002E4D0000}"/>
    <cellStyle name="표준 5 2 3 2 5 5 2 2 2" xfId="31642" xr:uid="{00000000-0005-0000-0000-00002F4D0000}"/>
    <cellStyle name="표준 5 2 3 2 5 5 2 2 3" xfId="39853" xr:uid="{00000000-0005-0000-0000-0000304D0000}"/>
    <cellStyle name="표준 5 2 3 2 5 5 2 2 4" xfId="48046" xr:uid="{00000000-0005-0000-0000-0000314D0000}"/>
    <cellStyle name="표준 5 2 3 2 5 5 2 3" xfId="19288" xr:uid="{00000000-0005-0000-0000-0000324D0000}"/>
    <cellStyle name="표준 5 2 3 2 5 5 2 4" xfId="23450" xr:uid="{00000000-0005-0000-0000-0000334D0000}"/>
    <cellStyle name="표준 5 2 3 2 5 5 2 5" xfId="27546" xr:uid="{00000000-0005-0000-0000-0000344D0000}"/>
    <cellStyle name="표준 5 2 3 2 5 5 2 6" xfId="35757" xr:uid="{00000000-0005-0000-0000-0000354D0000}"/>
    <cellStyle name="표준 5 2 3 2 5 5 2 7" xfId="43950" xr:uid="{00000000-0005-0000-0000-0000364D0000}"/>
    <cellStyle name="표준 5 2 3 2 5 5 3" xfId="8888" xr:uid="{00000000-0005-0000-0000-0000374D0000}"/>
    <cellStyle name="표준 5 2 3 2 5 5 3 2" xfId="29594" xr:uid="{00000000-0005-0000-0000-0000384D0000}"/>
    <cellStyle name="표준 5 2 3 2 5 5 3 3" xfId="37805" xr:uid="{00000000-0005-0000-0000-0000394D0000}"/>
    <cellStyle name="표준 5 2 3 2 5 5 3 4" xfId="45998" xr:uid="{00000000-0005-0000-0000-00003A4D0000}"/>
    <cellStyle name="표준 5 2 3 2 5 5 4" xfId="13000" xr:uid="{00000000-0005-0000-0000-00003B4D0000}"/>
    <cellStyle name="표준 5 2 3 2 5 5 5" xfId="17240" xr:uid="{00000000-0005-0000-0000-00003C4D0000}"/>
    <cellStyle name="표준 5 2 3 2 5 5 6" xfId="21402" xr:uid="{00000000-0005-0000-0000-00003D4D0000}"/>
    <cellStyle name="표준 5 2 3 2 5 5 7" xfId="25498" xr:uid="{00000000-0005-0000-0000-00003E4D0000}"/>
    <cellStyle name="표준 5 2 3 2 5 5 8" xfId="33709" xr:uid="{00000000-0005-0000-0000-00003F4D0000}"/>
    <cellStyle name="표준 5 2 3 2 5 5 9" xfId="41902" xr:uid="{00000000-0005-0000-0000-0000404D0000}"/>
    <cellStyle name="표준 5 2 3 2 5 6" xfId="9400" xr:uid="{00000000-0005-0000-0000-0000414D0000}"/>
    <cellStyle name="표준 5 2 3 2 5 6 2" xfId="13512" xr:uid="{00000000-0005-0000-0000-0000424D0000}"/>
    <cellStyle name="표준 5 2 3 2 5 6 2 2" xfId="30106" xr:uid="{00000000-0005-0000-0000-0000434D0000}"/>
    <cellStyle name="표준 5 2 3 2 5 6 2 3" xfId="38317" xr:uid="{00000000-0005-0000-0000-0000444D0000}"/>
    <cellStyle name="표준 5 2 3 2 5 6 2 4" xfId="46510" xr:uid="{00000000-0005-0000-0000-0000454D0000}"/>
    <cellStyle name="표준 5 2 3 2 5 6 3" xfId="17752" xr:uid="{00000000-0005-0000-0000-0000464D0000}"/>
    <cellStyle name="표준 5 2 3 2 5 6 4" xfId="21914" xr:uid="{00000000-0005-0000-0000-0000474D0000}"/>
    <cellStyle name="표준 5 2 3 2 5 6 5" xfId="26010" xr:uid="{00000000-0005-0000-0000-0000484D0000}"/>
    <cellStyle name="표준 5 2 3 2 5 6 6" xfId="34221" xr:uid="{00000000-0005-0000-0000-0000494D0000}"/>
    <cellStyle name="표준 5 2 3 2 5 6 7" xfId="42414" xr:uid="{00000000-0005-0000-0000-00004A4D0000}"/>
    <cellStyle name="표준 5 2 3 2 5 7" xfId="7352" xr:uid="{00000000-0005-0000-0000-00004B4D0000}"/>
    <cellStyle name="표준 5 2 3 2 5 7 2" xfId="28058" xr:uid="{00000000-0005-0000-0000-00004C4D0000}"/>
    <cellStyle name="표준 5 2 3 2 5 7 3" xfId="36269" xr:uid="{00000000-0005-0000-0000-00004D4D0000}"/>
    <cellStyle name="표준 5 2 3 2 5 7 4" xfId="44462" xr:uid="{00000000-0005-0000-0000-00004E4D0000}"/>
    <cellStyle name="표준 5 2 3 2 5 8" xfId="11464" xr:uid="{00000000-0005-0000-0000-00004F4D0000}"/>
    <cellStyle name="표준 5 2 3 2 5 9" xfId="15704" xr:uid="{00000000-0005-0000-0000-0000504D0000}"/>
    <cellStyle name="표준 5 2 3 2 6" xfId="625" xr:uid="{00000000-0005-0000-0000-0000514D0000}"/>
    <cellStyle name="표준 5 2 3 2 6 10" xfId="24090" xr:uid="{00000000-0005-0000-0000-0000524D0000}"/>
    <cellStyle name="표준 5 2 3 2 6 11" xfId="32301" xr:uid="{00000000-0005-0000-0000-0000534D0000}"/>
    <cellStyle name="표준 5 2 3 2 6 12" xfId="40494" xr:uid="{00000000-0005-0000-0000-0000544D0000}"/>
    <cellStyle name="표준 5 2 3 2 6 2" xfId="1137" xr:uid="{00000000-0005-0000-0000-0000554D0000}"/>
    <cellStyle name="표준 5 2 3 2 6 2 2" xfId="10040" xr:uid="{00000000-0005-0000-0000-0000564D0000}"/>
    <cellStyle name="표준 5 2 3 2 6 2 2 2" xfId="14152" xr:uid="{00000000-0005-0000-0000-0000574D0000}"/>
    <cellStyle name="표준 5 2 3 2 6 2 2 2 2" xfId="30746" xr:uid="{00000000-0005-0000-0000-0000584D0000}"/>
    <cellStyle name="표준 5 2 3 2 6 2 2 2 3" xfId="38957" xr:uid="{00000000-0005-0000-0000-0000594D0000}"/>
    <cellStyle name="표준 5 2 3 2 6 2 2 2 4" xfId="47150" xr:uid="{00000000-0005-0000-0000-00005A4D0000}"/>
    <cellStyle name="표준 5 2 3 2 6 2 2 3" xfId="18392" xr:uid="{00000000-0005-0000-0000-00005B4D0000}"/>
    <cellStyle name="표준 5 2 3 2 6 2 2 4" xfId="22554" xr:uid="{00000000-0005-0000-0000-00005C4D0000}"/>
    <cellStyle name="표준 5 2 3 2 6 2 2 5" xfId="26650" xr:uid="{00000000-0005-0000-0000-00005D4D0000}"/>
    <cellStyle name="표준 5 2 3 2 6 2 2 6" xfId="34861" xr:uid="{00000000-0005-0000-0000-00005E4D0000}"/>
    <cellStyle name="표준 5 2 3 2 6 2 2 7" xfId="43054" xr:uid="{00000000-0005-0000-0000-00005F4D0000}"/>
    <cellStyle name="표준 5 2 3 2 6 2 3" xfId="7992" xr:uid="{00000000-0005-0000-0000-0000604D0000}"/>
    <cellStyle name="표준 5 2 3 2 6 2 3 2" xfId="28698" xr:uid="{00000000-0005-0000-0000-0000614D0000}"/>
    <cellStyle name="표준 5 2 3 2 6 2 3 3" xfId="36909" xr:uid="{00000000-0005-0000-0000-0000624D0000}"/>
    <cellStyle name="표준 5 2 3 2 6 2 3 4" xfId="45102" xr:uid="{00000000-0005-0000-0000-0000634D0000}"/>
    <cellStyle name="표준 5 2 3 2 6 2 4" xfId="12104" xr:uid="{00000000-0005-0000-0000-0000644D0000}"/>
    <cellStyle name="표준 5 2 3 2 6 2 5" xfId="16344" xr:uid="{00000000-0005-0000-0000-0000654D0000}"/>
    <cellStyle name="표준 5 2 3 2 6 2 6" xfId="20506" xr:uid="{00000000-0005-0000-0000-0000664D0000}"/>
    <cellStyle name="표준 5 2 3 2 6 2 7" xfId="24602" xr:uid="{00000000-0005-0000-0000-0000674D0000}"/>
    <cellStyle name="표준 5 2 3 2 6 2 8" xfId="32813" xr:uid="{00000000-0005-0000-0000-0000684D0000}"/>
    <cellStyle name="표준 5 2 3 2 6 2 9" xfId="41006" xr:uid="{00000000-0005-0000-0000-0000694D0000}"/>
    <cellStyle name="표준 5 2 3 2 6 3" xfId="1649" xr:uid="{00000000-0005-0000-0000-00006A4D0000}"/>
    <cellStyle name="표준 5 2 3 2 6 3 2" xfId="10552" xr:uid="{00000000-0005-0000-0000-00006B4D0000}"/>
    <cellStyle name="표준 5 2 3 2 6 3 2 2" xfId="14664" xr:uid="{00000000-0005-0000-0000-00006C4D0000}"/>
    <cellStyle name="표준 5 2 3 2 6 3 2 2 2" xfId="31258" xr:uid="{00000000-0005-0000-0000-00006D4D0000}"/>
    <cellStyle name="표준 5 2 3 2 6 3 2 2 3" xfId="39469" xr:uid="{00000000-0005-0000-0000-00006E4D0000}"/>
    <cellStyle name="표준 5 2 3 2 6 3 2 2 4" xfId="47662" xr:uid="{00000000-0005-0000-0000-00006F4D0000}"/>
    <cellStyle name="표준 5 2 3 2 6 3 2 3" xfId="18904" xr:uid="{00000000-0005-0000-0000-0000704D0000}"/>
    <cellStyle name="표준 5 2 3 2 6 3 2 4" xfId="23066" xr:uid="{00000000-0005-0000-0000-0000714D0000}"/>
    <cellStyle name="표준 5 2 3 2 6 3 2 5" xfId="27162" xr:uid="{00000000-0005-0000-0000-0000724D0000}"/>
    <cellStyle name="표준 5 2 3 2 6 3 2 6" xfId="35373" xr:uid="{00000000-0005-0000-0000-0000734D0000}"/>
    <cellStyle name="표준 5 2 3 2 6 3 2 7" xfId="43566" xr:uid="{00000000-0005-0000-0000-0000744D0000}"/>
    <cellStyle name="표준 5 2 3 2 6 3 3" xfId="8504" xr:uid="{00000000-0005-0000-0000-0000754D0000}"/>
    <cellStyle name="표준 5 2 3 2 6 3 3 2" xfId="29210" xr:uid="{00000000-0005-0000-0000-0000764D0000}"/>
    <cellStyle name="표준 5 2 3 2 6 3 3 3" xfId="37421" xr:uid="{00000000-0005-0000-0000-0000774D0000}"/>
    <cellStyle name="표준 5 2 3 2 6 3 3 4" xfId="45614" xr:uid="{00000000-0005-0000-0000-0000784D0000}"/>
    <cellStyle name="표준 5 2 3 2 6 3 4" xfId="12616" xr:uid="{00000000-0005-0000-0000-0000794D0000}"/>
    <cellStyle name="표준 5 2 3 2 6 3 5" xfId="16856" xr:uid="{00000000-0005-0000-0000-00007A4D0000}"/>
    <cellStyle name="표준 5 2 3 2 6 3 6" xfId="21018" xr:uid="{00000000-0005-0000-0000-00007B4D0000}"/>
    <cellStyle name="표준 5 2 3 2 6 3 7" xfId="25114" xr:uid="{00000000-0005-0000-0000-00007C4D0000}"/>
    <cellStyle name="표준 5 2 3 2 6 3 8" xfId="33325" xr:uid="{00000000-0005-0000-0000-00007D4D0000}"/>
    <cellStyle name="표준 5 2 3 2 6 3 9" xfId="41518" xr:uid="{00000000-0005-0000-0000-00007E4D0000}"/>
    <cellStyle name="표준 5 2 3 2 6 4" xfId="2161" xr:uid="{00000000-0005-0000-0000-00007F4D0000}"/>
    <cellStyle name="표준 5 2 3 2 6 4 2" xfId="11064" xr:uid="{00000000-0005-0000-0000-0000804D0000}"/>
    <cellStyle name="표준 5 2 3 2 6 4 2 2" xfId="15176" xr:uid="{00000000-0005-0000-0000-0000814D0000}"/>
    <cellStyle name="표준 5 2 3 2 6 4 2 2 2" xfId="31770" xr:uid="{00000000-0005-0000-0000-0000824D0000}"/>
    <cellStyle name="표준 5 2 3 2 6 4 2 2 3" xfId="39981" xr:uid="{00000000-0005-0000-0000-0000834D0000}"/>
    <cellStyle name="표준 5 2 3 2 6 4 2 2 4" xfId="48174" xr:uid="{00000000-0005-0000-0000-0000844D0000}"/>
    <cellStyle name="표준 5 2 3 2 6 4 2 3" xfId="19416" xr:uid="{00000000-0005-0000-0000-0000854D0000}"/>
    <cellStyle name="표준 5 2 3 2 6 4 2 4" xfId="23578" xr:uid="{00000000-0005-0000-0000-0000864D0000}"/>
    <cellStyle name="표준 5 2 3 2 6 4 2 5" xfId="27674" xr:uid="{00000000-0005-0000-0000-0000874D0000}"/>
    <cellStyle name="표준 5 2 3 2 6 4 2 6" xfId="35885" xr:uid="{00000000-0005-0000-0000-0000884D0000}"/>
    <cellStyle name="표준 5 2 3 2 6 4 2 7" xfId="44078" xr:uid="{00000000-0005-0000-0000-0000894D0000}"/>
    <cellStyle name="표준 5 2 3 2 6 4 3" xfId="9016" xr:uid="{00000000-0005-0000-0000-00008A4D0000}"/>
    <cellStyle name="표준 5 2 3 2 6 4 3 2" xfId="29722" xr:uid="{00000000-0005-0000-0000-00008B4D0000}"/>
    <cellStyle name="표준 5 2 3 2 6 4 3 3" xfId="37933" xr:uid="{00000000-0005-0000-0000-00008C4D0000}"/>
    <cellStyle name="표준 5 2 3 2 6 4 3 4" xfId="46126" xr:uid="{00000000-0005-0000-0000-00008D4D0000}"/>
    <cellStyle name="표준 5 2 3 2 6 4 4" xfId="13128" xr:uid="{00000000-0005-0000-0000-00008E4D0000}"/>
    <cellStyle name="표준 5 2 3 2 6 4 5" xfId="17368" xr:uid="{00000000-0005-0000-0000-00008F4D0000}"/>
    <cellStyle name="표준 5 2 3 2 6 4 6" xfId="21530" xr:uid="{00000000-0005-0000-0000-0000904D0000}"/>
    <cellStyle name="표준 5 2 3 2 6 4 7" xfId="25626" xr:uid="{00000000-0005-0000-0000-0000914D0000}"/>
    <cellStyle name="표준 5 2 3 2 6 4 8" xfId="33837" xr:uid="{00000000-0005-0000-0000-0000924D0000}"/>
    <cellStyle name="표준 5 2 3 2 6 4 9" xfId="42030" xr:uid="{00000000-0005-0000-0000-0000934D0000}"/>
    <cellStyle name="표준 5 2 3 2 6 5" xfId="9528" xr:uid="{00000000-0005-0000-0000-0000944D0000}"/>
    <cellStyle name="표준 5 2 3 2 6 5 2" xfId="13640" xr:uid="{00000000-0005-0000-0000-0000954D0000}"/>
    <cellStyle name="표준 5 2 3 2 6 5 2 2" xfId="30234" xr:uid="{00000000-0005-0000-0000-0000964D0000}"/>
    <cellStyle name="표준 5 2 3 2 6 5 2 3" xfId="38445" xr:uid="{00000000-0005-0000-0000-0000974D0000}"/>
    <cellStyle name="표준 5 2 3 2 6 5 2 4" xfId="46638" xr:uid="{00000000-0005-0000-0000-0000984D0000}"/>
    <cellStyle name="표준 5 2 3 2 6 5 3" xfId="17880" xr:uid="{00000000-0005-0000-0000-0000994D0000}"/>
    <cellStyle name="표준 5 2 3 2 6 5 4" xfId="22042" xr:uid="{00000000-0005-0000-0000-00009A4D0000}"/>
    <cellStyle name="표준 5 2 3 2 6 5 5" xfId="26138" xr:uid="{00000000-0005-0000-0000-00009B4D0000}"/>
    <cellStyle name="표준 5 2 3 2 6 5 6" xfId="34349" xr:uid="{00000000-0005-0000-0000-00009C4D0000}"/>
    <cellStyle name="표준 5 2 3 2 6 5 7" xfId="42542" xr:uid="{00000000-0005-0000-0000-00009D4D0000}"/>
    <cellStyle name="표준 5 2 3 2 6 6" xfId="7480" xr:uid="{00000000-0005-0000-0000-00009E4D0000}"/>
    <cellStyle name="표준 5 2 3 2 6 6 2" xfId="28186" xr:uid="{00000000-0005-0000-0000-00009F4D0000}"/>
    <cellStyle name="표준 5 2 3 2 6 6 3" xfId="36397" xr:uid="{00000000-0005-0000-0000-0000A04D0000}"/>
    <cellStyle name="표준 5 2 3 2 6 6 4" xfId="44590" xr:uid="{00000000-0005-0000-0000-0000A14D0000}"/>
    <cellStyle name="표준 5 2 3 2 6 7" xfId="11592" xr:uid="{00000000-0005-0000-0000-0000A24D0000}"/>
    <cellStyle name="표준 5 2 3 2 6 8" xfId="15832" xr:uid="{00000000-0005-0000-0000-0000A34D0000}"/>
    <cellStyle name="표준 5 2 3 2 6 9" xfId="19994" xr:uid="{00000000-0005-0000-0000-0000A44D0000}"/>
    <cellStyle name="표준 5 2 3 2 7" xfId="881" xr:uid="{00000000-0005-0000-0000-0000A54D0000}"/>
    <cellStyle name="표준 5 2 3 2 7 2" xfId="9784" xr:uid="{00000000-0005-0000-0000-0000A64D0000}"/>
    <cellStyle name="표준 5 2 3 2 7 2 2" xfId="13896" xr:uid="{00000000-0005-0000-0000-0000A74D0000}"/>
    <cellStyle name="표준 5 2 3 2 7 2 2 2" xfId="30490" xr:uid="{00000000-0005-0000-0000-0000A84D0000}"/>
    <cellStyle name="표준 5 2 3 2 7 2 2 3" xfId="38701" xr:uid="{00000000-0005-0000-0000-0000A94D0000}"/>
    <cellStyle name="표준 5 2 3 2 7 2 2 4" xfId="46894" xr:uid="{00000000-0005-0000-0000-0000AA4D0000}"/>
    <cellStyle name="표준 5 2 3 2 7 2 3" xfId="18136" xr:uid="{00000000-0005-0000-0000-0000AB4D0000}"/>
    <cellStyle name="표준 5 2 3 2 7 2 4" xfId="22298" xr:uid="{00000000-0005-0000-0000-0000AC4D0000}"/>
    <cellStyle name="표준 5 2 3 2 7 2 5" xfId="26394" xr:uid="{00000000-0005-0000-0000-0000AD4D0000}"/>
    <cellStyle name="표준 5 2 3 2 7 2 6" xfId="34605" xr:uid="{00000000-0005-0000-0000-0000AE4D0000}"/>
    <cellStyle name="표준 5 2 3 2 7 2 7" xfId="42798" xr:uid="{00000000-0005-0000-0000-0000AF4D0000}"/>
    <cellStyle name="표준 5 2 3 2 7 3" xfId="7736" xr:uid="{00000000-0005-0000-0000-0000B04D0000}"/>
    <cellStyle name="표준 5 2 3 2 7 3 2" xfId="28442" xr:uid="{00000000-0005-0000-0000-0000B14D0000}"/>
    <cellStyle name="표준 5 2 3 2 7 3 3" xfId="36653" xr:uid="{00000000-0005-0000-0000-0000B24D0000}"/>
    <cellStyle name="표준 5 2 3 2 7 3 4" xfId="44846" xr:uid="{00000000-0005-0000-0000-0000B34D0000}"/>
    <cellStyle name="표준 5 2 3 2 7 4" xfId="11848" xr:uid="{00000000-0005-0000-0000-0000B44D0000}"/>
    <cellStyle name="표준 5 2 3 2 7 5" xfId="16088" xr:uid="{00000000-0005-0000-0000-0000B54D0000}"/>
    <cellStyle name="표준 5 2 3 2 7 6" xfId="20250" xr:uid="{00000000-0005-0000-0000-0000B64D0000}"/>
    <cellStyle name="표준 5 2 3 2 7 7" xfId="24346" xr:uid="{00000000-0005-0000-0000-0000B74D0000}"/>
    <cellStyle name="표준 5 2 3 2 7 8" xfId="32557" xr:uid="{00000000-0005-0000-0000-0000B84D0000}"/>
    <cellStyle name="표준 5 2 3 2 7 9" xfId="40750" xr:uid="{00000000-0005-0000-0000-0000B94D0000}"/>
    <cellStyle name="표준 5 2 3 2 8" xfId="1393" xr:uid="{00000000-0005-0000-0000-0000BA4D0000}"/>
    <cellStyle name="표준 5 2 3 2 8 2" xfId="10296" xr:uid="{00000000-0005-0000-0000-0000BB4D0000}"/>
    <cellStyle name="표준 5 2 3 2 8 2 2" xfId="14408" xr:uid="{00000000-0005-0000-0000-0000BC4D0000}"/>
    <cellStyle name="표준 5 2 3 2 8 2 2 2" xfId="31002" xr:uid="{00000000-0005-0000-0000-0000BD4D0000}"/>
    <cellStyle name="표준 5 2 3 2 8 2 2 3" xfId="39213" xr:uid="{00000000-0005-0000-0000-0000BE4D0000}"/>
    <cellStyle name="표준 5 2 3 2 8 2 2 4" xfId="47406" xr:uid="{00000000-0005-0000-0000-0000BF4D0000}"/>
    <cellStyle name="표준 5 2 3 2 8 2 3" xfId="18648" xr:uid="{00000000-0005-0000-0000-0000C04D0000}"/>
    <cellStyle name="표준 5 2 3 2 8 2 4" xfId="22810" xr:uid="{00000000-0005-0000-0000-0000C14D0000}"/>
    <cellStyle name="표준 5 2 3 2 8 2 5" xfId="26906" xr:uid="{00000000-0005-0000-0000-0000C24D0000}"/>
    <cellStyle name="표준 5 2 3 2 8 2 6" xfId="35117" xr:uid="{00000000-0005-0000-0000-0000C34D0000}"/>
    <cellStyle name="표준 5 2 3 2 8 2 7" xfId="43310" xr:uid="{00000000-0005-0000-0000-0000C44D0000}"/>
    <cellStyle name="표준 5 2 3 2 8 3" xfId="8248" xr:uid="{00000000-0005-0000-0000-0000C54D0000}"/>
    <cellStyle name="표준 5 2 3 2 8 3 2" xfId="28954" xr:uid="{00000000-0005-0000-0000-0000C64D0000}"/>
    <cellStyle name="표준 5 2 3 2 8 3 3" xfId="37165" xr:uid="{00000000-0005-0000-0000-0000C74D0000}"/>
    <cellStyle name="표준 5 2 3 2 8 3 4" xfId="45358" xr:uid="{00000000-0005-0000-0000-0000C84D0000}"/>
    <cellStyle name="표준 5 2 3 2 8 4" xfId="12360" xr:uid="{00000000-0005-0000-0000-0000C94D0000}"/>
    <cellStyle name="표준 5 2 3 2 8 5" xfId="16600" xr:uid="{00000000-0005-0000-0000-0000CA4D0000}"/>
    <cellStyle name="표준 5 2 3 2 8 6" xfId="20762" xr:uid="{00000000-0005-0000-0000-0000CB4D0000}"/>
    <cellStyle name="표준 5 2 3 2 8 7" xfId="24858" xr:uid="{00000000-0005-0000-0000-0000CC4D0000}"/>
    <cellStyle name="표준 5 2 3 2 8 8" xfId="33069" xr:uid="{00000000-0005-0000-0000-0000CD4D0000}"/>
    <cellStyle name="표준 5 2 3 2 8 9" xfId="41262" xr:uid="{00000000-0005-0000-0000-0000CE4D0000}"/>
    <cellStyle name="표준 5 2 3 2 9" xfId="1905" xr:uid="{00000000-0005-0000-0000-0000CF4D0000}"/>
    <cellStyle name="표준 5 2 3 2 9 2" xfId="10808" xr:uid="{00000000-0005-0000-0000-0000D04D0000}"/>
    <cellStyle name="표준 5 2 3 2 9 2 2" xfId="14920" xr:uid="{00000000-0005-0000-0000-0000D14D0000}"/>
    <cellStyle name="표준 5 2 3 2 9 2 2 2" xfId="31514" xr:uid="{00000000-0005-0000-0000-0000D24D0000}"/>
    <cellStyle name="표준 5 2 3 2 9 2 2 3" xfId="39725" xr:uid="{00000000-0005-0000-0000-0000D34D0000}"/>
    <cellStyle name="표준 5 2 3 2 9 2 2 4" xfId="47918" xr:uid="{00000000-0005-0000-0000-0000D44D0000}"/>
    <cellStyle name="표준 5 2 3 2 9 2 3" xfId="19160" xr:uid="{00000000-0005-0000-0000-0000D54D0000}"/>
    <cellStyle name="표준 5 2 3 2 9 2 4" xfId="23322" xr:uid="{00000000-0005-0000-0000-0000D64D0000}"/>
    <cellStyle name="표준 5 2 3 2 9 2 5" xfId="27418" xr:uid="{00000000-0005-0000-0000-0000D74D0000}"/>
    <cellStyle name="표준 5 2 3 2 9 2 6" xfId="35629" xr:uid="{00000000-0005-0000-0000-0000D84D0000}"/>
    <cellStyle name="표준 5 2 3 2 9 2 7" xfId="43822" xr:uid="{00000000-0005-0000-0000-0000D94D0000}"/>
    <cellStyle name="표준 5 2 3 2 9 3" xfId="8760" xr:uid="{00000000-0005-0000-0000-0000DA4D0000}"/>
    <cellStyle name="표준 5 2 3 2 9 3 2" xfId="29466" xr:uid="{00000000-0005-0000-0000-0000DB4D0000}"/>
    <cellStyle name="표준 5 2 3 2 9 3 3" xfId="37677" xr:uid="{00000000-0005-0000-0000-0000DC4D0000}"/>
    <cellStyle name="표준 5 2 3 2 9 3 4" xfId="45870" xr:uid="{00000000-0005-0000-0000-0000DD4D0000}"/>
    <cellStyle name="표준 5 2 3 2 9 4" xfId="12872" xr:uid="{00000000-0005-0000-0000-0000DE4D0000}"/>
    <cellStyle name="표준 5 2 3 2 9 5" xfId="17112" xr:uid="{00000000-0005-0000-0000-0000DF4D0000}"/>
    <cellStyle name="표준 5 2 3 2 9 6" xfId="21274" xr:uid="{00000000-0005-0000-0000-0000E04D0000}"/>
    <cellStyle name="표준 5 2 3 2 9 7" xfId="25370" xr:uid="{00000000-0005-0000-0000-0000E14D0000}"/>
    <cellStyle name="표준 5 2 3 2 9 8" xfId="33581" xr:uid="{00000000-0005-0000-0000-0000E24D0000}"/>
    <cellStyle name="표준 5 2 3 2 9 9" xfId="41774" xr:uid="{00000000-0005-0000-0000-0000E34D0000}"/>
    <cellStyle name="표준 5 2 3 20" xfId="15424" xr:uid="{00000000-0005-0000-0000-0000E44D0000}"/>
    <cellStyle name="표준 5 2 3 21" xfId="15440" xr:uid="{00000000-0005-0000-0000-0000E54D0000}"/>
    <cellStyle name="표준 5 2 3 22" xfId="15456" xr:uid="{00000000-0005-0000-0000-0000E64D0000}"/>
    <cellStyle name="표준 5 2 3 23" xfId="15552" xr:uid="{00000000-0005-0000-0000-0000E74D0000}"/>
    <cellStyle name="표준 5 2 3 24" xfId="15568" xr:uid="{00000000-0005-0000-0000-0000E84D0000}"/>
    <cellStyle name="표준 5 2 3 25" xfId="19664" xr:uid="{00000000-0005-0000-0000-0000E94D0000}"/>
    <cellStyle name="표준 5 2 3 26" xfId="19680" xr:uid="{00000000-0005-0000-0000-0000EA4D0000}"/>
    <cellStyle name="표준 5 2 3 27" xfId="19696" xr:uid="{00000000-0005-0000-0000-0000EB4D0000}"/>
    <cellStyle name="표준 5 2 3 28" xfId="19712" xr:uid="{00000000-0005-0000-0000-0000EC4D0000}"/>
    <cellStyle name="표준 5 2 3 29" xfId="19740" xr:uid="{00000000-0005-0000-0000-0000ED4D0000}"/>
    <cellStyle name="표준 5 2 3 3" xfId="152" xr:uid="{00000000-0005-0000-0000-0000EE4D0000}"/>
    <cellStyle name="표준 5 2 3 3 10" xfId="7189" xr:uid="{00000000-0005-0000-0000-0000EF4D0000}"/>
    <cellStyle name="표준 5 2 3 3 10 2" xfId="27938" xr:uid="{00000000-0005-0000-0000-0000F04D0000}"/>
    <cellStyle name="표준 5 2 3 3 10 3" xfId="36149" xr:uid="{00000000-0005-0000-0000-0000F14D0000}"/>
    <cellStyle name="표준 5 2 3 3 10 4" xfId="44342" xr:uid="{00000000-0005-0000-0000-0000F24D0000}"/>
    <cellStyle name="표준 5 2 3 3 11" xfId="7232" xr:uid="{00000000-0005-0000-0000-0000F34D0000}"/>
    <cellStyle name="표준 5 2 3 3 12" xfId="11344" xr:uid="{00000000-0005-0000-0000-0000F44D0000}"/>
    <cellStyle name="표준 5 2 3 3 13" xfId="15472" xr:uid="{00000000-0005-0000-0000-0000F54D0000}"/>
    <cellStyle name="표준 5 2 3 3 14" xfId="15584" xr:uid="{00000000-0005-0000-0000-0000F64D0000}"/>
    <cellStyle name="표준 5 2 3 3 15" xfId="19746" xr:uid="{00000000-0005-0000-0000-0000F74D0000}"/>
    <cellStyle name="표준 5 2 3 3 16" xfId="23842" xr:uid="{00000000-0005-0000-0000-0000F84D0000}"/>
    <cellStyle name="표준 5 2 3 3 17" xfId="32053" xr:uid="{00000000-0005-0000-0000-0000F94D0000}"/>
    <cellStyle name="표준 5 2 3 3 18" xfId="40246" xr:uid="{00000000-0005-0000-0000-0000FA4D0000}"/>
    <cellStyle name="표준 5 2 3 3 19" xfId="49647" xr:uid="{00000000-0005-0000-0000-0000FB4D0000}"/>
    <cellStyle name="표준 5 2 3 3 2" xfId="409" xr:uid="{00000000-0005-0000-0000-0000FC4D0000}"/>
    <cellStyle name="표준 5 2 3 3 2 10" xfId="7264" xr:uid="{00000000-0005-0000-0000-0000FD4D0000}"/>
    <cellStyle name="표준 5 2 3 3 2 11" xfId="11376" xr:uid="{00000000-0005-0000-0000-0000FE4D0000}"/>
    <cellStyle name="표준 5 2 3 3 2 12" xfId="15520" xr:uid="{00000000-0005-0000-0000-0000FF4D0000}"/>
    <cellStyle name="표준 5 2 3 3 2 13" xfId="15616" xr:uid="{00000000-0005-0000-0000-0000004E0000}"/>
    <cellStyle name="표준 5 2 3 3 2 14" xfId="19778" xr:uid="{00000000-0005-0000-0000-0000014E0000}"/>
    <cellStyle name="표준 5 2 3 3 2 15" xfId="23874" xr:uid="{00000000-0005-0000-0000-0000024E0000}"/>
    <cellStyle name="표준 5 2 3 3 2 16" xfId="32085" xr:uid="{00000000-0005-0000-0000-0000034E0000}"/>
    <cellStyle name="표준 5 2 3 3 2 17" xfId="40278" xr:uid="{00000000-0005-0000-0000-0000044E0000}"/>
    <cellStyle name="표준 5 2 3 3 2 18" xfId="49713" xr:uid="{00000000-0005-0000-0000-0000054E0000}"/>
    <cellStyle name="표준 5 2 3 3 2 2" xfId="473" xr:uid="{00000000-0005-0000-0000-0000064E0000}"/>
    <cellStyle name="표준 5 2 3 3 2 2 10" xfId="15680" xr:uid="{00000000-0005-0000-0000-0000074E0000}"/>
    <cellStyle name="표준 5 2 3 3 2 2 11" xfId="19842" xr:uid="{00000000-0005-0000-0000-0000084E0000}"/>
    <cellStyle name="표준 5 2 3 3 2 2 12" xfId="23938" xr:uid="{00000000-0005-0000-0000-0000094E0000}"/>
    <cellStyle name="표준 5 2 3 3 2 2 13" xfId="32149" xr:uid="{00000000-0005-0000-0000-00000A4E0000}"/>
    <cellStyle name="표준 5 2 3 3 2 2 14" xfId="40342" xr:uid="{00000000-0005-0000-0000-00000B4E0000}"/>
    <cellStyle name="표준 5 2 3 3 2 2 2" xfId="601" xr:uid="{00000000-0005-0000-0000-00000C4E0000}"/>
    <cellStyle name="표준 5 2 3 3 2 2 2 10" xfId="19970" xr:uid="{00000000-0005-0000-0000-00000D4E0000}"/>
    <cellStyle name="표준 5 2 3 3 2 2 2 11" xfId="24066" xr:uid="{00000000-0005-0000-0000-00000E4E0000}"/>
    <cellStyle name="표준 5 2 3 3 2 2 2 12" xfId="32277" xr:uid="{00000000-0005-0000-0000-00000F4E0000}"/>
    <cellStyle name="표준 5 2 3 3 2 2 2 13" xfId="40470" xr:uid="{00000000-0005-0000-0000-0000104E0000}"/>
    <cellStyle name="표준 5 2 3 3 2 2 2 2" xfId="857" xr:uid="{00000000-0005-0000-0000-0000114E0000}"/>
    <cellStyle name="표준 5 2 3 3 2 2 2 2 10" xfId="24322" xr:uid="{00000000-0005-0000-0000-0000124E0000}"/>
    <cellStyle name="표준 5 2 3 3 2 2 2 2 11" xfId="32533" xr:uid="{00000000-0005-0000-0000-0000134E0000}"/>
    <cellStyle name="표준 5 2 3 3 2 2 2 2 12" xfId="40726" xr:uid="{00000000-0005-0000-0000-0000144E0000}"/>
    <cellStyle name="표준 5 2 3 3 2 2 2 2 2" xfId="1369" xr:uid="{00000000-0005-0000-0000-0000154E0000}"/>
    <cellStyle name="표준 5 2 3 3 2 2 2 2 2 2" xfId="10272" xr:uid="{00000000-0005-0000-0000-0000164E0000}"/>
    <cellStyle name="표준 5 2 3 3 2 2 2 2 2 2 2" xfId="14384" xr:uid="{00000000-0005-0000-0000-0000174E0000}"/>
    <cellStyle name="표준 5 2 3 3 2 2 2 2 2 2 2 2" xfId="30978" xr:uid="{00000000-0005-0000-0000-0000184E0000}"/>
    <cellStyle name="표준 5 2 3 3 2 2 2 2 2 2 2 3" xfId="39189" xr:uid="{00000000-0005-0000-0000-0000194E0000}"/>
    <cellStyle name="표준 5 2 3 3 2 2 2 2 2 2 2 4" xfId="47382" xr:uid="{00000000-0005-0000-0000-00001A4E0000}"/>
    <cellStyle name="표준 5 2 3 3 2 2 2 2 2 2 3" xfId="18624" xr:uid="{00000000-0005-0000-0000-00001B4E0000}"/>
    <cellStyle name="표준 5 2 3 3 2 2 2 2 2 2 4" xfId="22786" xr:uid="{00000000-0005-0000-0000-00001C4E0000}"/>
    <cellStyle name="표준 5 2 3 3 2 2 2 2 2 2 5" xfId="26882" xr:uid="{00000000-0005-0000-0000-00001D4E0000}"/>
    <cellStyle name="표준 5 2 3 3 2 2 2 2 2 2 6" xfId="35093" xr:uid="{00000000-0005-0000-0000-00001E4E0000}"/>
    <cellStyle name="표준 5 2 3 3 2 2 2 2 2 2 7" xfId="43286" xr:uid="{00000000-0005-0000-0000-00001F4E0000}"/>
    <cellStyle name="표준 5 2 3 3 2 2 2 2 2 3" xfId="8224" xr:uid="{00000000-0005-0000-0000-0000204E0000}"/>
    <cellStyle name="표준 5 2 3 3 2 2 2 2 2 3 2" xfId="28930" xr:uid="{00000000-0005-0000-0000-0000214E0000}"/>
    <cellStyle name="표준 5 2 3 3 2 2 2 2 2 3 3" xfId="37141" xr:uid="{00000000-0005-0000-0000-0000224E0000}"/>
    <cellStyle name="표준 5 2 3 3 2 2 2 2 2 3 4" xfId="45334" xr:uid="{00000000-0005-0000-0000-0000234E0000}"/>
    <cellStyle name="표준 5 2 3 3 2 2 2 2 2 4" xfId="12336" xr:uid="{00000000-0005-0000-0000-0000244E0000}"/>
    <cellStyle name="표준 5 2 3 3 2 2 2 2 2 5" xfId="16576" xr:uid="{00000000-0005-0000-0000-0000254E0000}"/>
    <cellStyle name="표준 5 2 3 3 2 2 2 2 2 6" xfId="20738" xr:uid="{00000000-0005-0000-0000-0000264E0000}"/>
    <cellStyle name="표준 5 2 3 3 2 2 2 2 2 7" xfId="24834" xr:uid="{00000000-0005-0000-0000-0000274E0000}"/>
    <cellStyle name="표준 5 2 3 3 2 2 2 2 2 8" xfId="33045" xr:uid="{00000000-0005-0000-0000-0000284E0000}"/>
    <cellStyle name="표준 5 2 3 3 2 2 2 2 2 9" xfId="41238" xr:uid="{00000000-0005-0000-0000-0000294E0000}"/>
    <cellStyle name="표준 5 2 3 3 2 2 2 2 3" xfId="1881" xr:uid="{00000000-0005-0000-0000-00002A4E0000}"/>
    <cellStyle name="표준 5 2 3 3 2 2 2 2 3 2" xfId="10784" xr:uid="{00000000-0005-0000-0000-00002B4E0000}"/>
    <cellStyle name="표준 5 2 3 3 2 2 2 2 3 2 2" xfId="14896" xr:uid="{00000000-0005-0000-0000-00002C4E0000}"/>
    <cellStyle name="표준 5 2 3 3 2 2 2 2 3 2 2 2" xfId="31490" xr:uid="{00000000-0005-0000-0000-00002D4E0000}"/>
    <cellStyle name="표준 5 2 3 3 2 2 2 2 3 2 2 3" xfId="39701" xr:uid="{00000000-0005-0000-0000-00002E4E0000}"/>
    <cellStyle name="표준 5 2 3 3 2 2 2 2 3 2 2 4" xfId="47894" xr:uid="{00000000-0005-0000-0000-00002F4E0000}"/>
    <cellStyle name="표준 5 2 3 3 2 2 2 2 3 2 3" xfId="19136" xr:uid="{00000000-0005-0000-0000-0000304E0000}"/>
    <cellStyle name="표준 5 2 3 3 2 2 2 2 3 2 4" xfId="23298" xr:uid="{00000000-0005-0000-0000-0000314E0000}"/>
    <cellStyle name="표준 5 2 3 3 2 2 2 2 3 2 5" xfId="27394" xr:uid="{00000000-0005-0000-0000-0000324E0000}"/>
    <cellStyle name="표준 5 2 3 3 2 2 2 2 3 2 6" xfId="35605" xr:uid="{00000000-0005-0000-0000-0000334E0000}"/>
    <cellStyle name="표준 5 2 3 3 2 2 2 2 3 2 7" xfId="43798" xr:uid="{00000000-0005-0000-0000-0000344E0000}"/>
    <cellStyle name="표준 5 2 3 3 2 2 2 2 3 3" xfId="8736" xr:uid="{00000000-0005-0000-0000-0000354E0000}"/>
    <cellStyle name="표준 5 2 3 3 2 2 2 2 3 3 2" xfId="29442" xr:uid="{00000000-0005-0000-0000-0000364E0000}"/>
    <cellStyle name="표준 5 2 3 3 2 2 2 2 3 3 3" xfId="37653" xr:uid="{00000000-0005-0000-0000-0000374E0000}"/>
    <cellStyle name="표준 5 2 3 3 2 2 2 2 3 3 4" xfId="45846" xr:uid="{00000000-0005-0000-0000-0000384E0000}"/>
    <cellStyle name="표준 5 2 3 3 2 2 2 2 3 4" xfId="12848" xr:uid="{00000000-0005-0000-0000-0000394E0000}"/>
    <cellStyle name="표준 5 2 3 3 2 2 2 2 3 5" xfId="17088" xr:uid="{00000000-0005-0000-0000-00003A4E0000}"/>
    <cellStyle name="표준 5 2 3 3 2 2 2 2 3 6" xfId="21250" xr:uid="{00000000-0005-0000-0000-00003B4E0000}"/>
    <cellStyle name="표준 5 2 3 3 2 2 2 2 3 7" xfId="25346" xr:uid="{00000000-0005-0000-0000-00003C4E0000}"/>
    <cellStyle name="표준 5 2 3 3 2 2 2 2 3 8" xfId="33557" xr:uid="{00000000-0005-0000-0000-00003D4E0000}"/>
    <cellStyle name="표준 5 2 3 3 2 2 2 2 3 9" xfId="41750" xr:uid="{00000000-0005-0000-0000-00003E4E0000}"/>
    <cellStyle name="표준 5 2 3 3 2 2 2 2 4" xfId="2393" xr:uid="{00000000-0005-0000-0000-00003F4E0000}"/>
    <cellStyle name="표준 5 2 3 3 2 2 2 2 4 2" xfId="11296" xr:uid="{00000000-0005-0000-0000-0000404E0000}"/>
    <cellStyle name="표준 5 2 3 3 2 2 2 2 4 2 2" xfId="15408" xr:uid="{00000000-0005-0000-0000-0000414E0000}"/>
    <cellStyle name="표준 5 2 3 3 2 2 2 2 4 2 2 2" xfId="32002" xr:uid="{00000000-0005-0000-0000-0000424E0000}"/>
    <cellStyle name="표준 5 2 3 3 2 2 2 2 4 2 2 3" xfId="40213" xr:uid="{00000000-0005-0000-0000-0000434E0000}"/>
    <cellStyle name="표준 5 2 3 3 2 2 2 2 4 2 2 4" xfId="48406" xr:uid="{00000000-0005-0000-0000-0000444E0000}"/>
    <cellStyle name="표준 5 2 3 3 2 2 2 2 4 2 3" xfId="19648" xr:uid="{00000000-0005-0000-0000-0000454E0000}"/>
    <cellStyle name="표준 5 2 3 3 2 2 2 2 4 2 4" xfId="23810" xr:uid="{00000000-0005-0000-0000-0000464E0000}"/>
    <cellStyle name="표준 5 2 3 3 2 2 2 2 4 2 5" xfId="27906" xr:uid="{00000000-0005-0000-0000-0000474E0000}"/>
    <cellStyle name="표준 5 2 3 3 2 2 2 2 4 2 6" xfId="36117" xr:uid="{00000000-0005-0000-0000-0000484E0000}"/>
    <cellStyle name="표준 5 2 3 3 2 2 2 2 4 2 7" xfId="44310" xr:uid="{00000000-0005-0000-0000-0000494E0000}"/>
    <cellStyle name="표준 5 2 3 3 2 2 2 2 4 3" xfId="9248" xr:uid="{00000000-0005-0000-0000-00004A4E0000}"/>
    <cellStyle name="표준 5 2 3 3 2 2 2 2 4 3 2" xfId="29954" xr:uid="{00000000-0005-0000-0000-00004B4E0000}"/>
    <cellStyle name="표준 5 2 3 3 2 2 2 2 4 3 3" xfId="38165" xr:uid="{00000000-0005-0000-0000-00004C4E0000}"/>
    <cellStyle name="표준 5 2 3 3 2 2 2 2 4 3 4" xfId="46358" xr:uid="{00000000-0005-0000-0000-00004D4E0000}"/>
    <cellStyle name="표준 5 2 3 3 2 2 2 2 4 4" xfId="13360" xr:uid="{00000000-0005-0000-0000-00004E4E0000}"/>
    <cellStyle name="표준 5 2 3 3 2 2 2 2 4 5" xfId="17600" xr:uid="{00000000-0005-0000-0000-00004F4E0000}"/>
    <cellStyle name="표준 5 2 3 3 2 2 2 2 4 6" xfId="21762" xr:uid="{00000000-0005-0000-0000-0000504E0000}"/>
    <cellStyle name="표준 5 2 3 3 2 2 2 2 4 7" xfId="25858" xr:uid="{00000000-0005-0000-0000-0000514E0000}"/>
    <cellStyle name="표준 5 2 3 3 2 2 2 2 4 8" xfId="34069" xr:uid="{00000000-0005-0000-0000-0000524E0000}"/>
    <cellStyle name="표준 5 2 3 3 2 2 2 2 4 9" xfId="42262" xr:uid="{00000000-0005-0000-0000-0000534E0000}"/>
    <cellStyle name="표준 5 2 3 3 2 2 2 2 5" xfId="9760" xr:uid="{00000000-0005-0000-0000-0000544E0000}"/>
    <cellStyle name="표준 5 2 3 3 2 2 2 2 5 2" xfId="13872" xr:uid="{00000000-0005-0000-0000-0000554E0000}"/>
    <cellStyle name="표준 5 2 3 3 2 2 2 2 5 2 2" xfId="30466" xr:uid="{00000000-0005-0000-0000-0000564E0000}"/>
    <cellStyle name="표준 5 2 3 3 2 2 2 2 5 2 3" xfId="38677" xr:uid="{00000000-0005-0000-0000-0000574E0000}"/>
    <cellStyle name="표준 5 2 3 3 2 2 2 2 5 2 4" xfId="46870" xr:uid="{00000000-0005-0000-0000-0000584E0000}"/>
    <cellStyle name="표준 5 2 3 3 2 2 2 2 5 3" xfId="18112" xr:uid="{00000000-0005-0000-0000-0000594E0000}"/>
    <cellStyle name="표준 5 2 3 3 2 2 2 2 5 4" xfId="22274" xr:uid="{00000000-0005-0000-0000-00005A4E0000}"/>
    <cellStyle name="표준 5 2 3 3 2 2 2 2 5 5" xfId="26370" xr:uid="{00000000-0005-0000-0000-00005B4E0000}"/>
    <cellStyle name="표준 5 2 3 3 2 2 2 2 5 6" xfId="34581" xr:uid="{00000000-0005-0000-0000-00005C4E0000}"/>
    <cellStyle name="표준 5 2 3 3 2 2 2 2 5 7" xfId="42774" xr:uid="{00000000-0005-0000-0000-00005D4E0000}"/>
    <cellStyle name="표준 5 2 3 3 2 2 2 2 6" xfId="7712" xr:uid="{00000000-0005-0000-0000-00005E4E0000}"/>
    <cellStyle name="표준 5 2 3 3 2 2 2 2 6 2" xfId="28418" xr:uid="{00000000-0005-0000-0000-00005F4E0000}"/>
    <cellStyle name="표준 5 2 3 3 2 2 2 2 6 3" xfId="36629" xr:uid="{00000000-0005-0000-0000-0000604E0000}"/>
    <cellStyle name="표준 5 2 3 3 2 2 2 2 6 4" xfId="44822" xr:uid="{00000000-0005-0000-0000-0000614E0000}"/>
    <cellStyle name="표준 5 2 3 3 2 2 2 2 7" xfId="11824" xr:uid="{00000000-0005-0000-0000-0000624E0000}"/>
    <cellStyle name="표준 5 2 3 3 2 2 2 2 8" xfId="16064" xr:uid="{00000000-0005-0000-0000-0000634E0000}"/>
    <cellStyle name="표준 5 2 3 3 2 2 2 2 9" xfId="20226" xr:uid="{00000000-0005-0000-0000-0000644E0000}"/>
    <cellStyle name="표준 5 2 3 3 2 2 2 3" xfId="1113" xr:uid="{00000000-0005-0000-0000-0000654E0000}"/>
    <cellStyle name="표준 5 2 3 3 2 2 2 3 2" xfId="10016" xr:uid="{00000000-0005-0000-0000-0000664E0000}"/>
    <cellStyle name="표준 5 2 3 3 2 2 2 3 2 2" xfId="14128" xr:uid="{00000000-0005-0000-0000-0000674E0000}"/>
    <cellStyle name="표준 5 2 3 3 2 2 2 3 2 2 2" xfId="30722" xr:uid="{00000000-0005-0000-0000-0000684E0000}"/>
    <cellStyle name="표준 5 2 3 3 2 2 2 3 2 2 3" xfId="38933" xr:uid="{00000000-0005-0000-0000-0000694E0000}"/>
    <cellStyle name="표준 5 2 3 3 2 2 2 3 2 2 4" xfId="47126" xr:uid="{00000000-0005-0000-0000-00006A4E0000}"/>
    <cellStyle name="표준 5 2 3 3 2 2 2 3 2 3" xfId="18368" xr:uid="{00000000-0005-0000-0000-00006B4E0000}"/>
    <cellStyle name="표준 5 2 3 3 2 2 2 3 2 4" xfId="22530" xr:uid="{00000000-0005-0000-0000-00006C4E0000}"/>
    <cellStyle name="표준 5 2 3 3 2 2 2 3 2 5" xfId="26626" xr:uid="{00000000-0005-0000-0000-00006D4E0000}"/>
    <cellStyle name="표준 5 2 3 3 2 2 2 3 2 6" xfId="34837" xr:uid="{00000000-0005-0000-0000-00006E4E0000}"/>
    <cellStyle name="표준 5 2 3 3 2 2 2 3 2 7" xfId="43030" xr:uid="{00000000-0005-0000-0000-00006F4E0000}"/>
    <cellStyle name="표준 5 2 3 3 2 2 2 3 3" xfId="7968" xr:uid="{00000000-0005-0000-0000-0000704E0000}"/>
    <cellStyle name="표준 5 2 3 3 2 2 2 3 3 2" xfId="28674" xr:uid="{00000000-0005-0000-0000-0000714E0000}"/>
    <cellStyle name="표준 5 2 3 3 2 2 2 3 3 3" xfId="36885" xr:uid="{00000000-0005-0000-0000-0000724E0000}"/>
    <cellStyle name="표준 5 2 3 3 2 2 2 3 3 4" xfId="45078" xr:uid="{00000000-0005-0000-0000-0000734E0000}"/>
    <cellStyle name="표준 5 2 3 3 2 2 2 3 4" xfId="12080" xr:uid="{00000000-0005-0000-0000-0000744E0000}"/>
    <cellStyle name="표준 5 2 3 3 2 2 2 3 5" xfId="16320" xr:uid="{00000000-0005-0000-0000-0000754E0000}"/>
    <cellStyle name="표준 5 2 3 3 2 2 2 3 6" xfId="20482" xr:uid="{00000000-0005-0000-0000-0000764E0000}"/>
    <cellStyle name="표준 5 2 3 3 2 2 2 3 7" xfId="24578" xr:uid="{00000000-0005-0000-0000-0000774E0000}"/>
    <cellStyle name="표준 5 2 3 3 2 2 2 3 8" xfId="32789" xr:uid="{00000000-0005-0000-0000-0000784E0000}"/>
    <cellStyle name="표준 5 2 3 3 2 2 2 3 9" xfId="40982" xr:uid="{00000000-0005-0000-0000-0000794E0000}"/>
    <cellStyle name="표준 5 2 3 3 2 2 2 4" xfId="1625" xr:uid="{00000000-0005-0000-0000-00007A4E0000}"/>
    <cellStyle name="표준 5 2 3 3 2 2 2 4 2" xfId="10528" xr:uid="{00000000-0005-0000-0000-00007B4E0000}"/>
    <cellStyle name="표준 5 2 3 3 2 2 2 4 2 2" xfId="14640" xr:uid="{00000000-0005-0000-0000-00007C4E0000}"/>
    <cellStyle name="표준 5 2 3 3 2 2 2 4 2 2 2" xfId="31234" xr:uid="{00000000-0005-0000-0000-00007D4E0000}"/>
    <cellStyle name="표준 5 2 3 3 2 2 2 4 2 2 3" xfId="39445" xr:uid="{00000000-0005-0000-0000-00007E4E0000}"/>
    <cellStyle name="표준 5 2 3 3 2 2 2 4 2 2 4" xfId="47638" xr:uid="{00000000-0005-0000-0000-00007F4E0000}"/>
    <cellStyle name="표준 5 2 3 3 2 2 2 4 2 3" xfId="18880" xr:uid="{00000000-0005-0000-0000-0000804E0000}"/>
    <cellStyle name="표준 5 2 3 3 2 2 2 4 2 4" xfId="23042" xr:uid="{00000000-0005-0000-0000-0000814E0000}"/>
    <cellStyle name="표준 5 2 3 3 2 2 2 4 2 5" xfId="27138" xr:uid="{00000000-0005-0000-0000-0000824E0000}"/>
    <cellStyle name="표준 5 2 3 3 2 2 2 4 2 6" xfId="35349" xr:uid="{00000000-0005-0000-0000-0000834E0000}"/>
    <cellStyle name="표준 5 2 3 3 2 2 2 4 2 7" xfId="43542" xr:uid="{00000000-0005-0000-0000-0000844E0000}"/>
    <cellStyle name="표준 5 2 3 3 2 2 2 4 3" xfId="8480" xr:uid="{00000000-0005-0000-0000-0000854E0000}"/>
    <cellStyle name="표준 5 2 3 3 2 2 2 4 3 2" xfId="29186" xr:uid="{00000000-0005-0000-0000-0000864E0000}"/>
    <cellStyle name="표준 5 2 3 3 2 2 2 4 3 3" xfId="37397" xr:uid="{00000000-0005-0000-0000-0000874E0000}"/>
    <cellStyle name="표준 5 2 3 3 2 2 2 4 3 4" xfId="45590" xr:uid="{00000000-0005-0000-0000-0000884E0000}"/>
    <cellStyle name="표준 5 2 3 3 2 2 2 4 4" xfId="12592" xr:uid="{00000000-0005-0000-0000-0000894E0000}"/>
    <cellStyle name="표준 5 2 3 3 2 2 2 4 5" xfId="16832" xr:uid="{00000000-0005-0000-0000-00008A4E0000}"/>
    <cellStyle name="표준 5 2 3 3 2 2 2 4 6" xfId="20994" xr:uid="{00000000-0005-0000-0000-00008B4E0000}"/>
    <cellStyle name="표준 5 2 3 3 2 2 2 4 7" xfId="25090" xr:uid="{00000000-0005-0000-0000-00008C4E0000}"/>
    <cellStyle name="표준 5 2 3 3 2 2 2 4 8" xfId="33301" xr:uid="{00000000-0005-0000-0000-00008D4E0000}"/>
    <cellStyle name="표준 5 2 3 3 2 2 2 4 9" xfId="41494" xr:uid="{00000000-0005-0000-0000-00008E4E0000}"/>
    <cellStyle name="표준 5 2 3 3 2 2 2 5" xfId="2137" xr:uid="{00000000-0005-0000-0000-00008F4E0000}"/>
    <cellStyle name="표준 5 2 3 3 2 2 2 5 2" xfId="11040" xr:uid="{00000000-0005-0000-0000-0000904E0000}"/>
    <cellStyle name="표준 5 2 3 3 2 2 2 5 2 2" xfId="15152" xr:uid="{00000000-0005-0000-0000-0000914E0000}"/>
    <cellStyle name="표준 5 2 3 3 2 2 2 5 2 2 2" xfId="31746" xr:uid="{00000000-0005-0000-0000-0000924E0000}"/>
    <cellStyle name="표준 5 2 3 3 2 2 2 5 2 2 3" xfId="39957" xr:uid="{00000000-0005-0000-0000-0000934E0000}"/>
    <cellStyle name="표준 5 2 3 3 2 2 2 5 2 2 4" xfId="48150" xr:uid="{00000000-0005-0000-0000-0000944E0000}"/>
    <cellStyle name="표준 5 2 3 3 2 2 2 5 2 3" xfId="19392" xr:uid="{00000000-0005-0000-0000-0000954E0000}"/>
    <cellStyle name="표준 5 2 3 3 2 2 2 5 2 4" xfId="23554" xr:uid="{00000000-0005-0000-0000-0000964E0000}"/>
    <cellStyle name="표준 5 2 3 3 2 2 2 5 2 5" xfId="27650" xr:uid="{00000000-0005-0000-0000-0000974E0000}"/>
    <cellStyle name="표준 5 2 3 3 2 2 2 5 2 6" xfId="35861" xr:uid="{00000000-0005-0000-0000-0000984E0000}"/>
    <cellStyle name="표준 5 2 3 3 2 2 2 5 2 7" xfId="44054" xr:uid="{00000000-0005-0000-0000-0000994E0000}"/>
    <cellStyle name="표준 5 2 3 3 2 2 2 5 3" xfId="8992" xr:uid="{00000000-0005-0000-0000-00009A4E0000}"/>
    <cellStyle name="표준 5 2 3 3 2 2 2 5 3 2" xfId="29698" xr:uid="{00000000-0005-0000-0000-00009B4E0000}"/>
    <cellStyle name="표준 5 2 3 3 2 2 2 5 3 3" xfId="37909" xr:uid="{00000000-0005-0000-0000-00009C4E0000}"/>
    <cellStyle name="표준 5 2 3 3 2 2 2 5 3 4" xfId="46102" xr:uid="{00000000-0005-0000-0000-00009D4E0000}"/>
    <cellStyle name="표준 5 2 3 3 2 2 2 5 4" xfId="13104" xr:uid="{00000000-0005-0000-0000-00009E4E0000}"/>
    <cellStyle name="표준 5 2 3 3 2 2 2 5 5" xfId="17344" xr:uid="{00000000-0005-0000-0000-00009F4E0000}"/>
    <cellStyle name="표준 5 2 3 3 2 2 2 5 6" xfId="21506" xr:uid="{00000000-0005-0000-0000-0000A04E0000}"/>
    <cellStyle name="표준 5 2 3 3 2 2 2 5 7" xfId="25602" xr:uid="{00000000-0005-0000-0000-0000A14E0000}"/>
    <cellStyle name="표준 5 2 3 3 2 2 2 5 8" xfId="33813" xr:uid="{00000000-0005-0000-0000-0000A24E0000}"/>
    <cellStyle name="표준 5 2 3 3 2 2 2 5 9" xfId="42006" xr:uid="{00000000-0005-0000-0000-0000A34E0000}"/>
    <cellStyle name="표준 5 2 3 3 2 2 2 6" xfId="9504" xr:uid="{00000000-0005-0000-0000-0000A44E0000}"/>
    <cellStyle name="표준 5 2 3 3 2 2 2 6 2" xfId="13616" xr:uid="{00000000-0005-0000-0000-0000A54E0000}"/>
    <cellStyle name="표준 5 2 3 3 2 2 2 6 2 2" xfId="30210" xr:uid="{00000000-0005-0000-0000-0000A64E0000}"/>
    <cellStyle name="표준 5 2 3 3 2 2 2 6 2 3" xfId="38421" xr:uid="{00000000-0005-0000-0000-0000A74E0000}"/>
    <cellStyle name="표준 5 2 3 3 2 2 2 6 2 4" xfId="46614" xr:uid="{00000000-0005-0000-0000-0000A84E0000}"/>
    <cellStyle name="표준 5 2 3 3 2 2 2 6 3" xfId="17856" xr:uid="{00000000-0005-0000-0000-0000A94E0000}"/>
    <cellStyle name="표준 5 2 3 3 2 2 2 6 4" xfId="22018" xr:uid="{00000000-0005-0000-0000-0000AA4E0000}"/>
    <cellStyle name="표준 5 2 3 3 2 2 2 6 5" xfId="26114" xr:uid="{00000000-0005-0000-0000-0000AB4E0000}"/>
    <cellStyle name="표준 5 2 3 3 2 2 2 6 6" xfId="34325" xr:uid="{00000000-0005-0000-0000-0000AC4E0000}"/>
    <cellStyle name="표준 5 2 3 3 2 2 2 6 7" xfId="42518" xr:uid="{00000000-0005-0000-0000-0000AD4E0000}"/>
    <cellStyle name="표준 5 2 3 3 2 2 2 7" xfId="7456" xr:uid="{00000000-0005-0000-0000-0000AE4E0000}"/>
    <cellStyle name="표준 5 2 3 3 2 2 2 7 2" xfId="28162" xr:uid="{00000000-0005-0000-0000-0000AF4E0000}"/>
    <cellStyle name="표준 5 2 3 3 2 2 2 7 3" xfId="36373" xr:uid="{00000000-0005-0000-0000-0000B04E0000}"/>
    <cellStyle name="표준 5 2 3 3 2 2 2 7 4" xfId="44566" xr:uid="{00000000-0005-0000-0000-0000B14E0000}"/>
    <cellStyle name="표준 5 2 3 3 2 2 2 8" xfId="11568" xr:uid="{00000000-0005-0000-0000-0000B24E0000}"/>
    <cellStyle name="표준 5 2 3 3 2 2 2 9" xfId="15808" xr:uid="{00000000-0005-0000-0000-0000B34E0000}"/>
    <cellStyle name="표준 5 2 3 3 2 2 3" xfId="729" xr:uid="{00000000-0005-0000-0000-0000B44E0000}"/>
    <cellStyle name="표준 5 2 3 3 2 2 3 10" xfId="24194" xr:uid="{00000000-0005-0000-0000-0000B54E0000}"/>
    <cellStyle name="표준 5 2 3 3 2 2 3 11" xfId="32405" xr:uid="{00000000-0005-0000-0000-0000B64E0000}"/>
    <cellStyle name="표준 5 2 3 3 2 2 3 12" xfId="40598" xr:uid="{00000000-0005-0000-0000-0000B74E0000}"/>
    <cellStyle name="표준 5 2 3 3 2 2 3 2" xfId="1241" xr:uid="{00000000-0005-0000-0000-0000B84E0000}"/>
    <cellStyle name="표준 5 2 3 3 2 2 3 2 2" xfId="10144" xr:uid="{00000000-0005-0000-0000-0000B94E0000}"/>
    <cellStyle name="표준 5 2 3 3 2 2 3 2 2 2" xfId="14256" xr:uid="{00000000-0005-0000-0000-0000BA4E0000}"/>
    <cellStyle name="표준 5 2 3 3 2 2 3 2 2 2 2" xfId="30850" xr:uid="{00000000-0005-0000-0000-0000BB4E0000}"/>
    <cellStyle name="표준 5 2 3 3 2 2 3 2 2 2 3" xfId="39061" xr:uid="{00000000-0005-0000-0000-0000BC4E0000}"/>
    <cellStyle name="표준 5 2 3 3 2 2 3 2 2 2 4" xfId="47254" xr:uid="{00000000-0005-0000-0000-0000BD4E0000}"/>
    <cellStyle name="표준 5 2 3 3 2 2 3 2 2 3" xfId="18496" xr:uid="{00000000-0005-0000-0000-0000BE4E0000}"/>
    <cellStyle name="표준 5 2 3 3 2 2 3 2 2 4" xfId="22658" xr:uid="{00000000-0005-0000-0000-0000BF4E0000}"/>
    <cellStyle name="표준 5 2 3 3 2 2 3 2 2 5" xfId="26754" xr:uid="{00000000-0005-0000-0000-0000C04E0000}"/>
    <cellStyle name="표준 5 2 3 3 2 2 3 2 2 6" xfId="34965" xr:uid="{00000000-0005-0000-0000-0000C14E0000}"/>
    <cellStyle name="표준 5 2 3 3 2 2 3 2 2 7" xfId="43158" xr:uid="{00000000-0005-0000-0000-0000C24E0000}"/>
    <cellStyle name="표준 5 2 3 3 2 2 3 2 3" xfId="8096" xr:uid="{00000000-0005-0000-0000-0000C34E0000}"/>
    <cellStyle name="표준 5 2 3 3 2 2 3 2 3 2" xfId="28802" xr:uid="{00000000-0005-0000-0000-0000C44E0000}"/>
    <cellStyle name="표준 5 2 3 3 2 2 3 2 3 3" xfId="37013" xr:uid="{00000000-0005-0000-0000-0000C54E0000}"/>
    <cellStyle name="표준 5 2 3 3 2 2 3 2 3 4" xfId="45206" xr:uid="{00000000-0005-0000-0000-0000C64E0000}"/>
    <cellStyle name="표준 5 2 3 3 2 2 3 2 4" xfId="12208" xr:uid="{00000000-0005-0000-0000-0000C74E0000}"/>
    <cellStyle name="표준 5 2 3 3 2 2 3 2 5" xfId="16448" xr:uid="{00000000-0005-0000-0000-0000C84E0000}"/>
    <cellStyle name="표준 5 2 3 3 2 2 3 2 6" xfId="20610" xr:uid="{00000000-0005-0000-0000-0000C94E0000}"/>
    <cellStyle name="표준 5 2 3 3 2 2 3 2 7" xfId="24706" xr:uid="{00000000-0005-0000-0000-0000CA4E0000}"/>
    <cellStyle name="표준 5 2 3 3 2 2 3 2 8" xfId="32917" xr:uid="{00000000-0005-0000-0000-0000CB4E0000}"/>
    <cellStyle name="표준 5 2 3 3 2 2 3 2 9" xfId="41110" xr:uid="{00000000-0005-0000-0000-0000CC4E0000}"/>
    <cellStyle name="표준 5 2 3 3 2 2 3 3" xfId="1753" xr:uid="{00000000-0005-0000-0000-0000CD4E0000}"/>
    <cellStyle name="표준 5 2 3 3 2 2 3 3 2" xfId="10656" xr:uid="{00000000-0005-0000-0000-0000CE4E0000}"/>
    <cellStyle name="표준 5 2 3 3 2 2 3 3 2 2" xfId="14768" xr:uid="{00000000-0005-0000-0000-0000CF4E0000}"/>
    <cellStyle name="표준 5 2 3 3 2 2 3 3 2 2 2" xfId="31362" xr:uid="{00000000-0005-0000-0000-0000D04E0000}"/>
    <cellStyle name="표준 5 2 3 3 2 2 3 3 2 2 3" xfId="39573" xr:uid="{00000000-0005-0000-0000-0000D14E0000}"/>
    <cellStyle name="표준 5 2 3 3 2 2 3 3 2 2 4" xfId="47766" xr:uid="{00000000-0005-0000-0000-0000D24E0000}"/>
    <cellStyle name="표준 5 2 3 3 2 2 3 3 2 3" xfId="19008" xr:uid="{00000000-0005-0000-0000-0000D34E0000}"/>
    <cellStyle name="표준 5 2 3 3 2 2 3 3 2 4" xfId="23170" xr:uid="{00000000-0005-0000-0000-0000D44E0000}"/>
    <cellStyle name="표준 5 2 3 3 2 2 3 3 2 5" xfId="27266" xr:uid="{00000000-0005-0000-0000-0000D54E0000}"/>
    <cellStyle name="표준 5 2 3 3 2 2 3 3 2 6" xfId="35477" xr:uid="{00000000-0005-0000-0000-0000D64E0000}"/>
    <cellStyle name="표준 5 2 3 3 2 2 3 3 2 7" xfId="43670" xr:uid="{00000000-0005-0000-0000-0000D74E0000}"/>
    <cellStyle name="표준 5 2 3 3 2 2 3 3 3" xfId="8608" xr:uid="{00000000-0005-0000-0000-0000D84E0000}"/>
    <cellStyle name="표준 5 2 3 3 2 2 3 3 3 2" xfId="29314" xr:uid="{00000000-0005-0000-0000-0000D94E0000}"/>
    <cellStyle name="표준 5 2 3 3 2 2 3 3 3 3" xfId="37525" xr:uid="{00000000-0005-0000-0000-0000DA4E0000}"/>
    <cellStyle name="표준 5 2 3 3 2 2 3 3 3 4" xfId="45718" xr:uid="{00000000-0005-0000-0000-0000DB4E0000}"/>
    <cellStyle name="표준 5 2 3 3 2 2 3 3 4" xfId="12720" xr:uid="{00000000-0005-0000-0000-0000DC4E0000}"/>
    <cellStyle name="표준 5 2 3 3 2 2 3 3 5" xfId="16960" xr:uid="{00000000-0005-0000-0000-0000DD4E0000}"/>
    <cellStyle name="표준 5 2 3 3 2 2 3 3 6" xfId="21122" xr:uid="{00000000-0005-0000-0000-0000DE4E0000}"/>
    <cellStyle name="표준 5 2 3 3 2 2 3 3 7" xfId="25218" xr:uid="{00000000-0005-0000-0000-0000DF4E0000}"/>
    <cellStyle name="표준 5 2 3 3 2 2 3 3 8" xfId="33429" xr:uid="{00000000-0005-0000-0000-0000E04E0000}"/>
    <cellStyle name="표준 5 2 3 3 2 2 3 3 9" xfId="41622" xr:uid="{00000000-0005-0000-0000-0000E14E0000}"/>
    <cellStyle name="표준 5 2 3 3 2 2 3 4" xfId="2265" xr:uid="{00000000-0005-0000-0000-0000E24E0000}"/>
    <cellStyle name="표준 5 2 3 3 2 2 3 4 2" xfId="11168" xr:uid="{00000000-0005-0000-0000-0000E34E0000}"/>
    <cellStyle name="표준 5 2 3 3 2 2 3 4 2 2" xfId="15280" xr:uid="{00000000-0005-0000-0000-0000E44E0000}"/>
    <cellStyle name="표준 5 2 3 3 2 2 3 4 2 2 2" xfId="31874" xr:uid="{00000000-0005-0000-0000-0000E54E0000}"/>
    <cellStyle name="표준 5 2 3 3 2 2 3 4 2 2 3" xfId="40085" xr:uid="{00000000-0005-0000-0000-0000E64E0000}"/>
    <cellStyle name="표준 5 2 3 3 2 2 3 4 2 2 4" xfId="48278" xr:uid="{00000000-0005-0000-0000-0000E74E0000}"/>
    <cellStyle name="표준 5 2 3 3 2 2 3 4 2 3" xfId="19520" xr:uid="{00000000-0005-0000-0000-0000E84E0000}"/>
    <cellStyle name="표준 5 2 3 3 2 2 3 4 2 4" xfId="23682" xr:uid="{00000000-0005-0000-0000-0000E94E0000}"/>
    <cellStyle name="표준 5 2 3 3 2 2 3 4 2 5" xfId="27778" xr:uid="{00000000-0005-0000-0000-0000EA4E0000}"/>
    <cellStyle name="표준 5 2 3 3 2 2 3 4 2 6" xfId="35989" xr:uid="{00000000-0005-0000-0000-0000EB4E0000}"/>
    <cellStyle name="표준 5 2 3 3 2 2 3 4 2 7" xfId="44182" xr:uid="{00000000-0005-0000-0000-0000EC4E0000}"/>
    <cellStyle name="표준 5 2 3 3 2 2 3 4 3" xfId="9120" xr:uid="{00000000-0005-0000-0000-0000ED4E0000}"/>
    <cellStyle name="표준 5 2 3 3 2 2 3 4 3 2" xfId="29826" xr:uid="{00000000-0005-0000-0000-0000EE4E0000}"/>
    <cellStyle name="표준 5 2 3 3 2 2 3 4 3 3" xfId="38037" xr:uid="{00000000-0005-0000-0000-0000EF4E0000}"/>
    <cellStyle name="표준 5 2 3 3 2 2 3 4 3 4" xfId="46230" xr:uid="{00000000-0005-0000-0000-0000F04E0000}"/>
    <cellStyle name="표준 5 2 3 3 2 2 3 4 4" xfId="13232" xr:uid="{00000000-0005-0000-0000-0000F14E0000}"/>
    <cellStyle name="표준 5 2 3 3 2 2 3 4 5" xfId="17472" xr:uid="{00000000-0005-0000-0000-0000F24E0000}"/>
    <cellStyle name="표준 5 2 3 3 2 2 3 4 6" xfId="21634" xr:uid="{00000000-0005-0000-0000-0000F34E0000}"/>
    <cellStyle name="표준 5 2 3 3 2 2 3 4 7" xfId="25730" xr:uid="{00000000-0005-0000-0000-0000F44E0000}"/>
    <cellStyle name="표준 5 2 3 3 2 2 3 4 8" xfId="33941" xr:uid="{00000000-0005-0000-0000-0000F54E0000}"/>
    <cellStyle name="표준 5 2 3 3 2 2 3 4 9" xfId="42134" xr:uid="{00000000-0005-0000-0000-0000F64E0000}"/>
    <cellStyle name="표준 5 2 3 3 2 2 3 5" xfId="9632" xr:uid="{00000000-0005-0000-0000-0000F74E0000}"/>
    <cellStyle name="표준 5 2 3 3 2 2 3 5 2" xfId="13744" xr:uid="{00000000-0005-0000-0000-0000F84E0000}"/>
    <cellStyle name="표준 5 2 3 3 2 2 3 5 2 2" xfId="30338" xr:uid="{00000000-0005-0000-0000-0000F94E0000}"/>
    <cellStyle name="표준 5 2 3 3 2 2 3 5 2 3" xfId="38549" xr:uid="{00000000-0005-0000-0000-0000FA4E0000}"/>
    <cellStyle name="표준 5 2 3 3 2 2 3 5 2 4" xfId="46742" xr:uid="{00000000-0005-0000-0000-0000FB4E0000}"/>
    <cellStyle name="표준 5 2 3 3 2 2 3 5 3" xfId="17984" xr:uid="{00000000-0005-0000-0000-0000FC4E0000}"/>
    <cellStyle name="표준 5 2 3 3 2 2 3 5 4" xfId="22146" xr:uid="{00000000-0005-0000-0000-0000FD4E0000}"/>
    <cellStyle name="표준 5 2 3 3 2 2 3 5 5" xfId="26242" xr:uid="{00000000-0005-0000-0000-0000FE4E0000}"/>
    <cellStyle name="표준 5 2 3 3 2 2 3 5 6" xfId="34453" xr:uid="{00000000-0005-0000-0000-0000FF4E0000}"/>
    <cellStyle name="표준 5 2 3 3 2 2 3 5 7" xfId="42646" xr:uid="{00000000-0005-0000-0000-0000004F0000}"/>
    <cellStyle name="표준 5 2 3 3 2 2 3 6" xfId="7584" xr:uid="{00000000-0005-0000-0000-0000014F0000}"/>
    <cellStyle name="표준 5 2 3 3 2 2 3 6 2" xfId="28290" xr:uid="{00000000-0005-0000-0000-0000024F0000}"/>
    <cellStyle name="표준 5 2 3 3 2 2 3 6 3" xfId="36501" xr:uid="{00000000-0005-0000-0000-0000034F0000}"/>
    <cellStyle name="표준 5 2 3 3 2 2 3 6 4" xfId="44694" xr:uid="{00000000-0005-0000-0000-0000044F0000}"/>
    <cellStyle name="표준 5 2 3 3 2 2 3 7" xfId="11696" xr:uid="{00000000-0005-0000-0000-0000054F0000}"/>
    <cellStyle name="표준 5 2 3 3 2 2 3 8" xfId="15936" xr:uid="{00000000-0005-0000-0000-0000064F0000}"/>
    <cellStyle name="표준 5 2 3 3 2 2 3 9" xfId="20098" xr:uid="{00000000-0005-0000-0000-0000074F0000}"/>
    <cellStyle name="표준 5 2 3 3 2 2 4" xfId="985" xr:uid="{00000000-0005-0000-0000-0000084F0000}"/>
    <cellStyle name="표준 5 2 3 3 2 2 4 2" xfId="9888" xr:uid="{00000000-0005-0000-0000-0000094F0000}"/>
    <cellStyle name="표준 5 2 3 3 2 2 4 2 2" xfId="14000" xr:uid="{00000000-0005-0000-0000-00000A4F0000}"/>
    <cellStyle name="표준 5 2 3 3 2 2 4 2 2 2" xfId="30594" xr:uid="{00000000-0005-0000-0000-00000B4F0000}"/>
    <cellStyle name="표준 5 2 3 3 2 2 4 2 2 3" xfId="38805" xr:uid="{00000000-0005-0000-0000-00000C4F0000}"/>
    <cellStyle name="표준 5 2 3 3 2 2 4 2 2 4" xfId="46998" xr:uid="{00000000-0005-0000-0000-00000D4F0000}"/>
    <cellStyle name="표준 5 2 3 3 2 2 4 2 3" xfId="18240" xr:uid="{00000000-0005-0000-0000-00000E4F0000}"/>
    <cellStyle name="표준 5 2 3 3 2 2 4 2 4" xfId="22402" xr:uid="{00000000-0005-0000-0000-00000F4F0000}"/>
    <cellStyle name="표준 5 2 3 3 2 2 4 2 5" xfId="26498" xr:uid="{00000000-0005-0000-0000-0000104F0000}"/>
    <cellStyle name="표준 5 2 3 3 2 2 4 2 6" xfId="34709" xr:uid="{00000000-0005-0000-0000-0000114F0000}"/>
    <cellStyle name="표준 5 2 3 3 2 2 4 2 7" xfId="42902" xr:uid="{00000000-0005-0000-0000-0000124F0000}"/>
    <cellStyle name="표준 5 2 3 3 2 2 4 3" xfId="7840" xr:uid="{00000000-0005-0000-0000-0000134F0000}"/>
    <cellStyle name="표준 5 2 3 3 2 2 4 3 2" xfId="28546" xr:uid="{00000000-0005-0000-0000-0000144F0000}"/>
    <cellStyle name="표준 5 2 3 3 2 2 4 3 3" xfId="36757" xr:uid="{00000000-0005-0000-0000-0000154F0000}"/>
    <cellStyle name="표준 5 2 3 3 2 2 4 3 4" xfId="44950" xr:uid="{00000000-0005-0000-0000-0000164F0000}"/>
    <cellStyle name="표준 5 2 3 3 2 2 4 4" xfId="11952" xr:uid="{00000000-0005-0000-0000-0000174F0000}"/>
    <cellStyle name="표준 5 2 3 3 2 2 4 5" xfId="16192" xr:uid="{00000000-0005-0000-0000-0000184F0000}"/>
    <cellStyle name="표준 5 2 3 3 2 2 4 6" xfId="20354" xr:uid="{00000000-0005-0000-0000-0000194F0000}"/>
    <cellStyle name="표준 5 2 3 3 2 2 4 7" xfId="24450" xr:uid="{00000000-0005-0000-0000-00001A4F0000}"/>
    <cellStyle name="표준 5 2 3 3 2 2 4 8" xfId="32661" xr:uid="{00000000-0005-0000-0000-00001B4F0000}"/>
    <cellStyle name="표준 5 2 3 3 2 2 4 9" xfId="40854" xr:uid="{00000000-0005-0000-0000-00001C4F0000}"/>
    <cellStyle name="표준 5 2 3 3 2 2 5" xfId="1497" xr:uid="{00000000-0005-0000-0000-00001D4F0000}"/>
    <cellStyle name="표준 5 2 3 3 2 2 5 2" xfId="10400" xr:uid="{00000000-0005-0000-0000-00001E4F0000}"/>
    <cellStyle name="표준 5 2 3 3 2 2 5 2 2" xfId="14512" xr:uid="{00000000-0005-0000-0000-00001F4F0000}"/>
    <cellStyle name="표준 5 2 3 3 2 2 5 2 2 2" xfId="31106" xr:uid="{00000000-0005-0000-0000-0000204F0000}"/>
    <cellStyle name="표준 5 2 3 3 2 2 5 2 2 3" xfId="39317" xr:uid="{00000000-0005-0000-0000-0000214F0000}"/>
    <cellStyle name="표준 5 2 3 3 2 2 5 2 2 4" xfId="47510" xr:uid="{00000000-0005-0000-0000-0000224F0000}"/>
    <cellStyle name="표준 5 2 3 3 2 2 5 2 3" xfId="18752" xr:uid="{00000000-0005-0000-0000-0000234F0000}"/>
    <cellStyle name="표준 5 2 3 3 2 2 5 2 4" xfId="22914" xr:uid="{00000000-0005-0000-0000-0000244F0000}"/>
    <cellStyle name="표준 5 2 3 3 2 2 5 2 5" xfId="27010" xr:uid="{00000000-0005-0000-0000-0000254F0000}"/>
    <cellStyle name="표준 5 2 3 3 2 2 5 2 6" xfId="35221" xr:uid="{00000000-0005-0000-0000-0000264F0000}"/>
    <cellStyle name="표준 5 2 3 3 2 2 5 2 7" xfId="43414" xr:uid="{00000000-0005-0000-0000-0000274F0000}"/>
    <cellStyle name="표준 5 2 3 3 2 2 5 3" xfId="8352" xr:uid="{00000000-0005-0000-0000-0000284F0000}"/>
    <cellStyle name="표준 5 2 3 3 2 2 5 3 2" xfId="29058" xr:uid="{00000000-0005-0000-0000-0000294F0000}"/>
    <cellStyle name="표준 5 2 3 3 2 2 5 3 3" xfId="37269" xr:uid="{00000000-0005-0000-0000-00002A4F0000}"/>
    <cellStyle name="표준 5 2 3 3 2 2 5 3 4" xfId="45462" xr:uid="{00000000-0005-0000-0000-00002B4F0000}"/>
    <cellStyle name="표준 5 2 3 3 2 2 5 4" xfId="12464" xr:uid="{00000000-0005-0000-0000-00002C4F0000}"/>
    <cellStyle name="표준 5 2 3 3 2 2 5 5" xfId="16704" xr:uid="{00000000-0005-0000-0000-00002D4F0000}"/>
    <cellStyle name="표준 5 2 3 3 2 2 5 6" xfId="20866" xr:uid="{00000000-0005-0000-0000-00002E4F0000}"/>
    <cellStyle name="표준 5 2 3 3 2 2 5 7" xfId="24962" xr:uid="{00000000-0005-0000-0000-00002F4F0000}"/>
    <cellStyle name="표준 5 2 3 3 2 2 5 8" xfId="33173" xr:uid="{00000000-0005-0000-0000-0000304F0000}"/>
    <cellStyle name="표준 5 2 3 3 2 2 5 9" xfId="41366" xr:uid="{00000000-0005-0000-0000-0000314F0000}"/>
    <cellStyle name="표준 5 2 3 3 2 2 6" xfId="2009" xr:uid="{00000000-0005-0000-0000-0000324F0000}"/>
    <cellStyle name="표준 5 2 3 3 2 2 6 2" xfId="10912" xr:uid="{00000000-0005-0000-0000-0000334F0000}"/>
    <cellStyle name="표준 5 2 3 3 2 2 6 2 2" xfId="15024" xr:uid="{00000000-0005-0000-0000-0000344F0000}"/>
    <cellStyle name="표준 5 2 3 3 2 2 6 2 2 2" xfId="31618" xr:uid="{00000000-0005-0000-0000-0000354F0000}"/>
    <cellStyle name="표준 5 2 3 3 2 2 6 2 2 3" xfId="39829" xr:uid="{00000000-0005-0000-0000-0000364F0000}"/>
    <cellStyle name="표준 5 2 3 3 2 2 6 2 2 4" xfId="48022" xr:uid="{00000000-0005-0000-0000-0000374F0000}"/>
    <cellStyle name="표준 5 2 3 3 2 2 6 2 3" xfId="19264" xr:uid="{00000000-0005-0000-0000-0000384F0000}"/>
    <cellStyle name="표준 5 2 3 3 2 2 6 2 4" xfId="23426" xr:uid="{00000000-0005-0000-0000-0000394F0000}"/>
    <cellStyle name="표준 5 2 3 3 2 2 6 2 5" xfId="27522" xr:uid="{00000000-0005-0000-0000-00003A4F0000}"/>
    <cellStyle name="표준 5 2 3 3 2 2 6 2 6" xfId="35733" xr:uid="{00000000-0005-0000-0000-00003B4F0000}"/>
    <cellStyle name="표준 5 2 3 3 2 2 6 2 7" xfId="43926" xr:uid="{00000000-0005-0000-0000-00003C4F0000}"/>
    <cellStyle name="표준 5 2 3 3 2 2 6 3" xfId="8864" xr:uid="{00000000-0005-0000-0000-00003D4F0000}"/>
    <cellStyle name="표준 5 2 3 3 2 2 6 3 2" xfId="29570" xr:uid="{00000000-0005-0000-0000-00003E4F0000}"/>
    <cellStyle name="표준 5 2 3 3 2 2 6 3 3" xfId="37781" xr:uid="{00000000-0005-0000-0000-00003F4F0000}"/>
    <cellStyle name="표준 5 2 3 3 2 2 6 3 4" xfId="45974" xr:uid="{00000000-0005-0000-0000-0000404F0000}"/>
    <cellStyle name="표준 5 2 3 3 2 2 6 4" xfId="12976" xr:uid="{00000000-0005-0000-0000-0000414F0000}"/>
    <cellStyle name="표준 5 2 3 3 2 2 6 5" xfId="17216" xr:uid="{00000000-0005-0000-0000-0000424F0000}"/>
    <cellStyle name="표준 5 2 3 3 2 2 6 6" xfId="21378" xr:uid="{00000000-0005-0000-0000-0000434F0000}"/>
    <cellStyle name="표준 5 2 3 3 2 2 6 7" xfId="25474" xr:uid="{00000000-0005-0000-0000-0000444F0000}"/>
    <cellStyle name="표준 5 2 3 3 2 2 6 8" xfId="33685" xr:uid="{00000000-0005-0000-0000-0000454F0000}"/>
    <cellStyle name="표준 5 2 3 3 2 2 6 9" xfId="41878" xr:uid="{00000000-0005-0000-0000-0000464F0000}"/>
    <cellStyle name="표준 5 2 3 3 2 2 7" xfId="9376" xr:uid="{00000000-0005-0000-0000-0000474F0000}"/>
    <cellStyle name="표준 5 2 3 3 2 2 7 2" xfId="13488" xr:uid="{00000000-0005-0000-0000-0000484F0000}"/>
    <cellStyle name="표준 5 2 3 3 2 2 7 2 2" xfId="30082" xr:uid="{00000000-0005-0000-0000-0000494F0000}"/>
    <cellStyle name="표준 5 2 3 3 2 2 7 2 3" xfId="38293" xr:uid="{00000000-0005-0000-0000-00004A4F0000}"/>
    <cellStyle name="표준 5 2 3 3 2 2 7 2 4" xfId="46486" xr:uid="{00000000-0005-0000-0000-00004B4F0000}"/>
    <cellStyle name="표준 5 2 3 3 2 2 7 3" xfId="17728" xr:uid="{00000000-0005-0000-0000-00004C4F0000}"/>
    <cellStyle name="표준 5 2 3 3 2 2 7 4" xfId="21890" xr:uid="{00000000-0005-0000-0000-00004D4F0000}"/>
    <cellStyle name="표준 5 2 3 3 2 2 7 5" xfId="25986" xr:uid="{00000000-0005-0000-0000-00004E4F0000}"/>
    <cellStyle name="표준 5 2 3 3 2 2 7 6" xfId="34197" xr:uid="{00000000-0005-0000-0000-00004F4F0000}"/>
    <cellStyle name="표준 5 2 3 3 2 2 7 7" xfId="42390" xr:uid="{00000000-0005-0000-0000-0000504F0000}"/>
    <cellStyle name="표준 5 2 3 3 2 2 8" xfId="7328" xr:uid="{00000000-0005-0000-0000-0000514F0000}"/>
    <cellStyle name="표준 5 2 3 3 2 2 8 2" xfId="28034" xr:uid="{00000000-0005-0000-0000-0000524F0000}"/>
    <cellStyle name="표준 5 2 3 3 2 2 8 3" xfId="36245" xr:uid="{00000000-0005-0000-0000-0000534F0000}"/>
    <cellStyle name="표준 5 2 3 3 2 2 8 4" xfId="44438" xr:uid="{00000000-0005-0000-0000-0000544F0000}"/>
    <cellStyle name="표준 5 2 3 3 2 2 9" xfId="11440" xr:uid="{00000000-0005-0000-0000-0000554F0000}"/>
    <cellStyle name="표준 5 2 3 3 2 3" xfId="537" xr:uid="{00000000-0005-0000-0000-0000564F0000}"/>
    <cellStyle name="표준 5 2 3 3 2 3 10" xfId="19906" xr:uid="{00000000-0005-0000-0000-0000574F0000}"/>
    <cellStyle name="표준 5 2 3 3 2 3 11" xfId="24002" xr:uid="{00000000-0005-0000-0000-0000584F0000}"/>
    <cellStyle name="표준 5 2 3 3 2 3 12" xfId="32213" xr:uid="{00000000-0005-0000-0000-0000594F0000}"/>
    <cellStyle name="표준 5 2 3 3 2 3 13" xfId="40406" xr:uid="{00000000-0005-0000-0000-00005A4F0000}"/>
    <cellStyle name="표준 5 2 3 3 2 3 2" xfId="793" xr:uid="{00000000-0005-0000-0000-00005B4F0000}"/>
    <cellStyle name="표준 5 2 3 3 2 3 2 10" xfId="24258" xr:uid="{00000000-0005-0000-0000-00005C4F0000}"/>
    <cellStyle name="표준 5 2 3 3 2 3 2 11" xfId="32469" xr:uid="{00000000-0005-0000-0000-00005D4F0000}"/>
    <cellStyle name="표준 5 2 3 3 2 3 2 12" xfId="40662" xr:uid="{00000000-0005-0000-0000-00005E4F0000}"/>
    <cellStyle name="표준 5 2 3 3 2 3 2 2" xfId="1305" xr:uid="{00000000-0005-0000-0000-00005F4F0000}"/>
    <cellStyle name="표준 5 2 3 3 2 3 2 2 2" xfId="10208" xr:uid="{00000000-0005-0000-0000-0000604F0000}"/>
    <cellStyle name="표준 5 2 3 3 2 3 2 2 2 2" xfId="14320" xr:uid="{00000000-0005-0000-0000-0000614F0000}"/>
    <cellStyle name="표준 5 2 3 3 2 3 2 2 2 2 2" xfId="30914" xr:uid="{00000000-0005-0000-0000-0000624F0000}"/>
    <cellStyle name="표준 5 2 3 3 2 3 2 2 2 2 3" xfId="39125" xr:uid="{00000000-0005-0000-0000-0000634F0000}"/>
    <cellStyle name="표준 5 2 3 3 2 3 2 2 2 2 4" xfId="47318" xr:uid="{00000000-0005-0000-0000-0000644F0000}"/>
    <cellStyle name="표준 5 2 3 3 2 3 2 2 2 3" xfId="18560" xr:uid="{00000000-0005-0000-0000-0000654F0000}"/>
    <cellStyle name="표준 5 2 3 3 2 3 2 2 2 4" xfId="22722" xr:uid="{00000000-0005-0000-0000-0000664F0000}"/>
    <cellStyle name="표준 5 2 3 3 2 3 2 2 2 5" xfId="26818" xr:uid="{00000000-0005-0000-0000-0000674F0000}"/>
    <cellStyle name="표준 5 2 3 3 2 3 2 2 2 6" xfId="35029" xr:uid="{00000000-0005-0000-0000-0000684F0000}"/>
    <cellStyle name="표준 5 2 3 3 2 3 2 2 2 7" xfId="43222" xr:uid="{00000000-0005-0000-0000-0000694F0000}"/>
    <cellStyle name="표준 5 2 3 3 2 3 2 2 3" xfId="8160" xr:uid="{00000000-0005-0000-0000-00006A4F0000}"/>
    <cellStyle name="표준 5 2 3 3 2 3 2 2 3 2" xfId="28866" xr:uid="{00000000-0005-0000-0000-00006B4F0000}"/>
    <cellStyle name="표준 5 2 3 3 2 3 2 2 3 3" xfId="37077" xr:uid="{00000000-0005-0000-0000-00006C4F0000}"/>
    <cellStyle name="표준 5 2 3 3 2 3 2 2 3 4" xfId="45270" xr:uid="{00000000-0005-0000-0000-00006D4F0000}"/>
    <cellStyle name="표준 5 2 3 3 2 3 2 2 4" xfId="12272" xr:uid="{00000000-0005-0000-0000-00006E4F0000}"/>
    <cellStyle name="표준 5 2 3 3 2 3 2 2 5" xfId="16512" xr:uid="{00000000-0005-0000-0000-00006F4F0000}"/>
    <cellStyle name="표준 5 2 3 3 2 3 2 2 6" xfId="20674" xr:uid="{00000000-0005-0000-0000-0000704F0000}"/>
    <cellStyle name="표준 5 2 3 3 2 3 2 2 7" xfId="24770" xr:uid="{00000000-0005-0000-0000-0000714F0000}"/>
    <cellStyle name="표준 5 2 3 3 2 3 2 2 8" xfId="32981" xr:uid="{00000000-0005-0000-0000-0000724F0000}"/>
    <cellStyle name="표준 5 2 3 3 2 3 2 2 9" xfId="41174" xr:uid="{00000000-0005-0000-0000-0000734F0000}"/>
    <cellStyle name="표준 5 2 3 3 2 3 2 3" xfId="1817" xr:uid="{00000000-0005-0000-0000-0000744F0000}"/>
    <cellStyle name="표준 5 2 3 3 2 3 2 3 2" xfId="10720" xr:uid="{00000000-0005-0000-0000-0000754F0000}"/>
    <cellStyle name="표준 5 2 3 3 2 3 2 3 2 2" xfId="14832" xr:uid="{00000000-0005-0000-0000-0000764F0000}"/>
    <cellStyle name="표준 5 2 3 3 2 3 2 3 2 2 2" xfId="31426" xr:uid="{00000000-0005-0000-0000-0000774F0000}"/>
    <cellStyle name="표준 5 2 3 3 2 3 2 3 2 2 3" xfId="39637" xr:uid="{00000000-0005-0000-0000-0000784F0000}"/>
    <cellStyle name="표준 5 2 3 3 2 3 2 3 2 2 4" xfId="47830" xr:uid="{00000000-0005-0000-0000-0000794F0000}"/>
    <cellStyle name="표준 5 2 3 3 2 3 2 3 2 3" xfId="19072" xr:uid="{00000000-0005-0000-0000-00007A4F0000}"/>
    <cellStyle name="표준 5 2 3 3 2 3 2 3 2 4" xfId="23234" xr:uid="{00000000-0005-0000-0000-00007B4F0000}"/>
    <cellStyle name="표준 5 2 3 3 2 3 2 3 2 5" xfId="27330" xr:uid="{00000000-0005-0000-0000-00007C4F0000}"/>
    <cellStyle name="표준 5 2 3 3 2 3 2 3 2 6" xfId="35541" xr:uid="{00000000-0005-0000-0000-00007D4F0000}"/>
    <cellStyle name="표준 5 2 3 3 2 3 2 3 2 7" xfId="43734" xr:uid="{00000000-0005-0000-0000-00007E4F0000}"/>
    <cellStyle name="표준 5 2 3 3 2 3 2 3 3" xfId="8672" xr:uid="{00000000-0005-0000-0000-00007F4F0000}"/>
    <cellStyle name="표준 5 2 3 3 2 3 2 3 3 2" xfId="29378" xr:uid="{00000000-0005-0000-0000-0000804F0000}"/>
    <cellStyle name="표준 5 2 3 3 2 3 2 3 3 3" xfId="37589" xr:uid="{00000000-0005-0000-0000-0000814F0000}"/>
    <cellStyle name="표준 5 2 3 3 2 3 2 3 3 4" xfId="45782" xr:uid="{00000000-0005-0000-0000-0000824F0000}"/>
    <cellStyle name="표준 5 2 3 3 2 3 2 3 4" xfId="12784" xr:uid="{00000000-0005-0000-0000-0000834F0000}"/>
    <cellStyle name="표준 5 2 3 3 2 3 2 3 5" xfId="17024" xr:uid="{00000000-0005-0000-0000-0000844F0000}"/>
    <cellStyle name="표준 5 2 3 3 2 3 2 3 6" xfId="21186" xr:uid="{00000000-0005-0000-0000-0000854F0000}"/>
    <cellStyle name="표준 5 2 3 3 2 3 2 3 7" xfId="25282" xr:uid="{00000000-0005-0000-0000-0000864F0000}"/>
    <cellStyle name="표준 5 2 3 3 2 3 2 3 8" xfId="33493" xr:uid="{00000000-0005-0000-0000-0000874F0000}"/>
    <cellStyle name="표준 5 2 3 3 2 3 2 3 9" xfId="41686" xr:uid="{00000000-0005-0000-0000-0000884F0000}"/>
    <cellStyle name="표준 5 2 3 3 2 3 2 4" xfId="2329" xr:uid="{00000000-0005-0000-0000-0000894F0000}"/>
    <cellStyle name="표준 5 2 3 3 2 3 2 4 2" xfId="11232" xr:uid="{00000000-0005-0000-0000-00008A4F0000}"/>
    <cellStyle name="표준 5 2 3 3 2 3 2 4 2 2" xfId="15344" xr:uid="{00000000-0005-0000-0000-00008B4F0000}"/>
    <cellStyle name="표준 5 2 3 3 2 3 2 4 2 2 2" xfId="31938" xr:uid="{00000000-0005-0000-0000-00008C4F0000}"/>
    <cellStyle name="표준 5 2 3 3 2 3 2 4 2 2 3" xfId="40149" xr:uid="{00000000-0005-0000-0000-00008D4F0000}"/>
    <cellStyle name="표준 5 2 3 3 2 3 2 4 2 2 4" xfId="48342" xr:uid="{00000000-0005-0000-0000-00008E4F0000}"/>
    <cellStyle name="표준 5 2 3 3 2 3 2 4 2 3" xfId="19584" xr:uid="{00000000-0005-0000-0000-00008F4F0000}"/>
    <cellStyle name="표준 5 2 3 3 2 3 2 4 2 4" xfId="23746" xr:uid="{00000000-0005-0000-0000-0000904F0000}"/>
    <cellStyle name="표준 5 2 3 3 2 3 2 4 2 5" xfId="27842" xr:uid="{00000000-0005-0000-0000-0000914F0000}"/>
    <cellStyle name="표준 5 2 3 3 2 3 2 4 2 6" xfId="36053" xr:uid="{00000000-0005-0000-0000-0000924F0000}"/>
    <cellStyle name="표준 5 2 3 3 2 3 2 4 2 7" xfId="44246" xr:uid="{00000000-0005-0000-0000-0000934F0000}"/>
    <cellStyle name="표준 5 2 3 3 2 3 2 4 3" xfId="9184" xr:uid="{00000000-0005-0000-0000-0000944F0000}"/>
    <cellStyle name="표준 5 2 3 3 2 3 2 4 3 2" xfId="29890" xr:uid="{00000000-0005-0000-0000-0000954F0000}"/>
    <cellStyle name="표준 5 2 3 3 2 3 2 4 3 3" xfId="38101" xr:uid="{00000000-0005-0000-0000-0000964F0000}"/>
    <cellStyle name="표준 5 2 3 3 2 3 2 4 3 4" xfId="46294" xr:uid="{00000000-0005-0000-0000-0000974F0000}"/>
    <cellStyle name="표준 5 2 3 3 2 3 2 4 4" xfId="13296" xr:uid="{00000000-0005-0000-0000-0000984F0000}"/>
    <cellStyle name="표준 5 2 3 3 2 3 2 4 5" xfId="17536" xr:uid="{00000000-0005-0000-0000-0000994F0000}"/>
    <cellStyle name="표준 5 2 3 3 2 3 2 4 6" xfId="21698" xr:uid="{00000000-0005-0000-0000-00009A4F0000}"/>
    <cellStyle name="표준 5 2 3 3 2 3 2 4 7" xfId="25794" xr:uid="{00000000-0005-0000-0000-00009B4F0000}"/>
    <cellStyle name="표준 5 2 3 3 2 3 2 4 8" xfId="34005" xr:uid="{00000000-0005-0000-0000-00009C4F0000}"/>
    <cellStyle name="표준 5 2 3 3 2 3 2 4 9" xfId="42198" xr:uid="{00000000-0005-0000-0000-00009D4F0000}"/>
    <cellStyle name="표준 5 2 3 3 2 3 2 5" xfId="9696" xr:uid="{00000000-0005-0000-0000-00009E4F0000}"/>
    <cellStyle name="표준 5 2 3 3 2 3 2 5 2" xfId="13808" xr:uid="{00000000-0005-0000-0000-00009F4F0000}"/>
    <cellStyle name="표준 5 2 3 3 2 3 2 5 2 2" xfId="30402" xr:uid="{00000000-0005-0000-0000-0000A04F0000}"/>
    <cellStyle name="표준 5 2 3 3 2 3 2 5 2 3" xfId="38613" xr:uid="{00000000-0005-0000-0000-0000A14F0000}"/>
    <cellStyle name="표준 5 2 3 3 2 3 2 5 2 4" xfId="46806" xr:uid="{00000000-0005-0000-0000-0000A24F0000}"/>
    <cellStyle name="표준 5 2 3 3 2 3 2 5 3" xfId="18048" xr:uid="{00000000-0005-0000-0000-0000A34F0000}"/>
    <cellStyle name="표준 5 2 3 3 2 3 2 5 4" xfId="22210" xr:uid="{00000000-0005-0000-0000-0000A44F0000}"/>
    <cellStyle name="표준 5 2 3 3 2 3 2 5 5" xfId="26306" xr:uid="{00000000-0005-0000-0000-0000A54F0000}"/>
    <cellStyle name="표준 5 2 3 3 2 3 2 5 6" xfId="34517" xr:uid="{00000000-0005-0000-0000-0000A64F0000}"/>
    <cellStyle name="표준 5 2 3 3 2 3 2 5 7" xfId="42710" xr:uid="{00000000-0005-0000-0000-0000A74F0000}"/>
    <cellStyle name="표준 5 2 3 3 2 3 2 6" xfId="7648" xr:uid="{00000000-0005-0000-0000-0000A84F0000}"/>
    <cellStyle name="표준 5 2 3 3 2 3 2 6 2" xfId="28354" xr:uid="{00000000-0005-0000-0000-0000A94F0000}"/>
    <cellStyle name="표준 5 2 3 3 2 3 2 6 3" xfId="36565" xr:uid="{00000000-0005-0000-0000-0000AA4F0000}"/>
    <cellStyle name="표준 5 2 3 3 2 3 2 6 4" xfId="44758" xr:uid="{00000000-0005-0000-0000-0000AB4F0000}"/>
    <cellStyle name="표준 5 2 3 3 2 3 2 7" xfId="11760" xr:uid="{00000000-0005-0000-0000-0000AC4F0000}"/>
    <cellStyle name="표준 5 2 3 3 2 3 2 8" xfId="16000" xr:uid="{00000000-0005-0000-0000-0000AD4F0000}"/>
    <cellStyle name="표준 5 2 3 3 2 3 2 9" xfId="20162" xr:uid="{00000000-0005-0000-0000-0000AE4F0000}"/>
    <cellStyle name="표준 5 2 3 3 2 3 3" xfId="1049" xr:uid="{00000000-0005-0000-0000-0000AF4F0000}"/>
    <cellStyle name="표준 5 2 3 3 2 3 3 2" xfId="9952" xr:uid="{00000000-0005-0000-0000-0000B04F0000}"/>
    <cellStyle name="표준 5 2 3 3 2 3 3 2 2" xfId="14064" xr:uid="{00000000-0005-0000-0000-0000B14F0000}"/>
    <cellStyle name="표준 5 2 3 3 2 3 3 2 2 2" xfId="30658" xr:uid="{00000000-0005-0000-0000-0000B24F0000}"/>
    <cellStyle name="표준 5 2 3 3 2 3 3 2 2 3" xfId="38869" xr:uid="{00000000-0005-0000-0000-0000B34F0000}"/>
    <cellStyle name="표준 5 2 3 3 2 3 3 2 2 4" xfId="47062" xr:uid="{00000000-0005-0000-0000-0000B44F0000}"/>
    <cellStyle name="표준 5 2 3 3 2 3 3 2 3" xfId="18304" xr:uid="{00000000-0005-0000-0000-0000B54F0000}"/>
    <cellStyle name="표준 5 2 3 3 2 3 3 2 4" xfId="22466" xr:uid="{00000000-0005-0000-0000-0000B64F0000}"/>
    <cellStyle name="표준 5 2 3 3 2 3 3 2 5" xfId="26562" xr:uid="{00000000-0005-0000-0000-0000B74F0000}"/>
    <cellStyle name="표준 5 2 3 3 2 3 3 2 6" xfId="34773" xr:uid="{00000000-0005-0000-0000-0000B84F0000}"/>
    <cellStyle name="표준 5 2 3 3 2 3 3 2 7" xfId="42966" xr:uid="{00000000-0005-0000-0000-0000B94F0000}"/>
    <cellStyle name="표준 5 2 3 3 2 3 3 3" xfId="7904" xr:uid="{00000000-0005-0000-0000-0000BA4F0000}"/>
    <cellStyle name="표준 5 2 3 3 2 3 3 3 2" xfId="28610" xr:uid="{00000000-0005-0000-0000-0000BB4F0000}"/>
    <cellStyle name="표준 5 2 3 3 2 3 3 3 3" xfId="36821" xr:uid="{00000000-0005-0000-0000-0000BC4F0000}"/>
    <cellStyle name="표준 5 2 3 3 2 3 3 3 4" xfId="45014" xr:uid="{00000000-0005-0000-0000-0000BD4F0000}"/>
    <cellStyle name="표준 5 2 3 3 2 3 3 4" xfId="12016" xr:uid="{00000000-0005-0000-0000-0000BE4F0000}"/>
    <cellStyle name="표준 5 2 3 3 2 3 3 5" xfId="16256" xr:uid="{00000000-0005-0000-0000-0000BF4F0000}"/>
    <cellStyle name="표준 5 2 3 3 2 3 3 6" xfId="20418" xr:uid="{00000000-0005-0000-0000-0000C04F0000}"/>
    <cellStyle name="표준 5 2 3 3 2 3 3 7" xfId="24514" xr:uid="{00000000-0005-0000-0000-0000C14F0000}"/>
    <cellStyle name="표준 5 2 3 3 2 3 3 8" xfId="32725" xr:uid="{00000000-0005-0000-0000-0000C24F0000}"/>
    <cellStyle name="표준 5 2 3 3 2 3 3 9" xfId="40918" xr:uid="{00000000-0005-0000-0000-0000C34F0000}"/>
    <cellStyle name="표준 5 2 3 3 2 3 4" xfId="1561" xr:uid="{00000000-0005-0000-0000-0000C44F0000}"/>
    <cellStyle name="표준 5 2 3 3 2 3 4 2" xfId="10464" xr:uid="{00000000-0005-0000-0000-0000C54F0000}"/>
    <cellStyle name="표준 5 2 3 3 2 3 4 2 2" xfId="14576" xr:uid="{00000000-0005-0000-0000-0000C64F0000}"/>
    <cellStyle name="표준 5 2 3 3 2 3 4 2 2 2" xfId="31170" xr:uid="{00000000-0005-0000-0000-0000C74F0000}"/>
    <cellStyle name="표준 5 2 3 3 2 3 4 2 2 3" xfId="39381" xr:uid="{00000000-0005-0000-0000-0000C84F0000}"/>
    <cellStyle name="표준 5 2 3 3 2 3 4 2 2 4" xfId="47574" xr:uid="{00000000-0005-0000-0000-0000C94F0000}"/>
    <cellStyle name="표준 5 2 3 3 2 3 4 2 3" xfId="18816" xr:uid="{00000000-0005-0000-0000-0000CA4F0000}"/>
    <cellStyle name="표준 5 2 3 3 2 3 4 2 4" xfId="22978" xr:uid="{00000000-0005-0000-0000-0000CB4F0000}"/>
    <cellStyle name="표준 5 2 3 3 2 3 4 2 5" xfId="27074" xr:uid="{00000000-0005-0000-0000-0000CC4F0000}"/>
    <cellStyle name="표준 5 2 3 3 2 3 4 2 6" xfId="35285" xr:uid="{00000000-0005-0000-0000-0000CD4F0000}"/>
    <cellStyle name="표준 5 2 3 3 2 3 4 2 7" xfId="43478" xr:uid="{00000000-0005-0000-0000-0000CE4F0000}"/>
    <cellStyle name="표준 5 2 3 3 2 3 4 3" xfId="8416" xr:uid="{00000000-0005-0000-0000-0000CF4F0000}"/>
    <cellStyle name="표준 5 2 3 3 2 3 4 3 2" xfId="29122" xr:uid="{00000000-0005-0000-0000-0000D04F0000}"/>
    <cellStyle name="표준 5 2 3 3 2 3 4 3 3" xfId="37333" xr:uid="{00000000-0005-0000-0000-0000D14F0000}"/>
    <cellStyle name="표준 5 2 3 3 2 3 4 3 4" xfId="45526" xr:uid="{00000000-0005-0000-0000-0000D24F0000}"/>
    <cellStyle name="표준 5 2 3 3 2 3 4 4" xfId="12528" xr:uid="{00000000-0005-0000-0000-0000D34F0000}"/>
    <cellStyle name="표준 5 2 3 3 2 3 4 5" xfId="16768" xr:uid="{00000000-0005-0000-0000-0000D44F0000}"/>
    <cellStyle name="표준 5 2 3 3 2 3 4 6" xfId="20930" xr:uid="{00000000-0005-0000-0000-0000D54F0000}"/>
    <cellStyle name="표준 5 2 3 3 2 3 4 7" xfId="25026" xr:uid="{00000000-0005-0000-0000-0000D64F0000}"/>
    <cellStyle name="표준 5 2 3 3 2 3 4 8" xfId="33237" xr:uid="{00000000-0005-0000-0000-0000D74F0000}"/>
    <cellStyle name="표준 5 2 3 3 2 3 4 9" xfId="41430" xr:uid="{00000000-0005-0000-0000-0000D84F0000}"/>
    <cellStyle name="표준 5 2 3 3 2 3 5" xfId="2073" xr:uid="{00000000-0005-0000-0000-0000D94F0000}"/>
    <cellStyle name="표준 5 2 3 3 2 3 5 2" xfId="10976" xr:uid="{00000000-0005-0000-0000-0000DA4F0000}"/>
    <cellStyle name="표준 5 2 3 3 2 3 5 2 2" xfId="15088" xr:uid="{00000000-0005-0000-0000-0000DB4F0000}"/>
    <cellStyle name="표준 5 2 3 3 2 3 5 2 2 2" xfId="31682" xr:uid="{00000000-0005-0000-0000-0000DC4F0000}"/>
    <cellStyle name="표준 5 2 3 3 2 3 5 2 2 3" xfId="39893" xr:uid="{00000000-0005-0000-0000-0000DD4F0000}"/>
    <cellStyle name="표준 5 2 3 3 2 3 5 2 2 4" xfId="48086" xr:uid="{00000000-0005-0000-0000-0000DE4F0000}"/>
    <cellStyle name="표준 5 2 3 3 2 3 5 2 3" xfId="19328" xr:uid="{00000000-0005-0000-0000-0000DF4F0000}"/>
    <cellStyle name="표준 5 2 3 3 2 3 5 2 4" xfId="23490" xr:uid="{00000000-0005-0000-0000-0000E04F0000}"/>
    <cellStyle name="표준 5 2 3 3 2 3 5 2 5" xfId="27586" xr:uid="{00000000-0005-0000-0000-0000E14F0000}"/>
    <cellStyle name="표준 5 2 3 3 2 3 5 2 6" xfId="35797" xr:uid="{00000000-0005-0000-0000-0000E24F0000}"/>
    <cellStyle name="표준 5 2 3 3 2 3 5 2 7" xfId="43990" xr:uid="{00000000-0005-0000-0000-0000E34F0000}"/>
    <cellStyle name="표준 5 2 3 3 2 3 5 3" xfId="8928" xr:uid="{00000000-0005-0000-0000-0000E44F0000}"/>
    <cellStyle name="표준 5 2 3 3 2 3 5 3 2" xfId="29634" xr:uid="{00000000-0005-0000-0000-0000E54F0000}"/>
    <cellStyle name="표준 5 2 3 3 2 3 5 3 3" xfId="37845" xr:uid="{00000000-0005-0000-0000-0000E64F0000}"/>
    <cellStyle name="표준 5 2 3 3 2 3 5 3 4" xfId="46038" xr:uid="{00000000-0005-0000-0000-0000E74F0000}"/>
    <cellStyle name="표준 5 2 3 3 2 3 5 4" xfId="13040" xr:uid="{00000000-0005-0000-0000-0000E84F0000}"/>
    <cellStyle name="표준 5 2 3 3 2 3 5 5" xfId="17280" xr:uid="{00000000-0005-0000-0000-0000E94F0000}"/>
    <cellStyle name="표준 5 2 3 3 2 3 5 6" xfId="21442" xr:uid="{00000000-0005-0000-0000-0000EA4F0000}"/>
    <cellStyle name="표준 5 2 3 3 2 3 5 7" xfId="25538" xr:uid="{00000000-0005-0000-0000-0000EB4F0000}"/>
    <cellStyle name="표준 5 2 3 3 2 3 5 8" xfId="33749" xr:uid="{00000000-0005-0000-0000-0000EC4F0000}"/>
    <cellStyle name="표준 5 2 3 3 2 3 5 9" xfId="41942" xr:uid="{00000000-0005-0000-0000-0000ED4F0000}"/>
    <cellStyle name="표준 5 2 3 3 2 3 6" xfId="9440" xr:uid="{00000000-0005-0000-0000-0000EE4F0000}"/>
    <cellStyle name="표준 5 2 3 3 2 3 6 2" xfId="13552" xr:uid="{00000000-0005-0000-0000-0000EF4F0000}"/>
    <cellStyle name="표준 5 2 3 3 2 3 6 2 2" xfId="30146" xr:uid="{00000000-0005-0000-0000-0000F04F0000}"/>
    <cellStyle name="표준 5 2 3 3 2 3 6 2 3" xfId="38357" xr:uid="{00000000-0005-0000-0000-0000F14F0000}"/>
    <cellStyle name="표준 5 2 3 3 2 3 6 2 4" xfId="46550" xr:uid="{00000000-0005-0000-0000-0000F24F0000}"/>
    <cellStyle name="표준 5 2 3 3 2 3 6 3" xfId="17792" xr:uid="{00000000-0005-0000-0000-0000F34F0000}"/>
    <cellStyle name="표준 5 2 3 3 2 3 6 4" xfId="21954" xr:uid="{00000000-0005-0000-0000-0000F44F0000}"/>
    <cellStyle name="표준 5 2 3 3 2 3 6 5" xfId="26050" xr:uid="{00000000-0005-0000-0000-0000F54F0000}"/>
    <cellStyle name="표준 5 2 3 3 2 3 6 6" xfId="34261" xr:uid="{00000000-0005-0000-0000-0000F64F0000}"/>
    <cellStyle name="표준 5 2 3 3 2 3 6 7" xfId="42454" xr:uid="{00000000-0005-0000-0000-0000F74F0000}"/>
    <cellStyle name="표준 5 2 3 3 2 3 7" xfId="7392" xr:uid="{00000000-0005-0000-0000-0000F84F0000}"/>
    <cellStyle name="표준 5 2 3 3 2 3 7 2" xfId="28098" xr:uid="{00000000-0005-0000-0000-0000F94F0000}"/>
    <cellStyle name="표준 5 2 3 3 2 3 7 3" xfId="36309" xr:uid="{00000000-0005-0000-0000-0000FA4F0000}"/>
    <cellStyle name="표준 5 2 3 3 2 3 7 4" xfId="44502" xr:uid="{00000000-0005-0000-0000-0000FB4F0000}"/>
    <cellStyle name="표준 5 2 3 3 2 3 8" xfId="11504" xr:uid="{00000000-0005-0000-0000-0000FC4F0000}"/>
    <cellStyle name="표준 5 2 3 3 2 3 9" xfId="15744" xr:uid="{00000000-0005-0000-0000-0000FD4F0000}"/>
    <cellStyle name="표준 5 2 3 3 2 4" xfId="665" xr:uid="{00000000-0005-0000-0000-0000FE4F0000}"/>
    <cellStyle name="표준 5 2 3 3 2 4 10" xfId="24130" xr:uid="{00000000-0005-0000-0000-0000FF4F0000}"/>
    <cellStyle name="표준 5 2 3 3 2 4 11" xfId="32341" xr:uid="{00000000-0005-0000-0000-000000500000}"/>
    <cellStyle name="표준 5 2 3 3 2 4 12" xfId="40534" xr:uid="{00000000-0005-0000-0000-000001500000}"/>
    <cellStyle name="표준 5 2 3 3 2 4 2" xfId="1177" xr:uid="{00000000-0005-0000-0000-000002500000}"/>
    <cellStyle name="표준 5 2 3 3 2 4 2 2" xfId="10080" xr:uid="{00000000-0005-0000-0000-000003500000}"/>
    <cellStyle name="표준 5 2 3 3 2 4 2 2 2" xfId="14192" xr:uid="{00000000-0005-0000-0000-000004500000}"/>
    <cellStyle name="표준 5 2 3 3 2 4 2 2 2 2" xfId="30786" xr:uid="{00000000-0005-0000-0000-000005500000}"/>
    <cellStyle name="표준 5 2 3 3 2 4 2 2 2 3" xfId="38997" xr:uid="{00000000-0005-0000-0000-000006500000}"/>
    <cellStyle name="표준 5 2 3 3 2 4 2 2 2 4" xfId="47190" xr:uid="{00000000-0005-0000-0000-000007500000}"/>
    <cellStyle name="표준 5 2 3 3 2 4 2 2 3" xfId="18432" xr:uid="{00000000-0005-0000-0000-000008500000}"/>
    <cellStyle name="표준 5 2 3 3 2 4 2 2 4" xfId="22594" xr:uid="{00000000-0005-0000-0000-000009500000}"/>
    <cellStyle name="표준 5 2 3 3 2 4 2 2 5" xfId="26690" xr:uid="{00000000-0005-0000-0000-00000A500000}"/>
    <cellStyle name="표준 5 2 3 3 2 4 2 2 6" xfId="34901" xr:uid="{00000000-0005-0000-0000-00000B500000}"/>
    <cellStyle name="표준 5 2 3 3 2 4 2 2 7" xfId="43094" xr:uid="{00000000-0005-0000-0000-00000C500000}"/>
    <cellStyle name="표준 5 2 3 3 2 4 2 3" xfId="8032" xr:uid="{00000000-0005-0000-0000-00000D500000}"/>
    <cellStyle name="표준 5 2 3 3 2 4 2 3 2" xfId="28738" xr:uid="{00000000-0005-0000-0000-00000E500000}"/>
    <cellStyle name="표준 5 2 3 3 2 4 2 3 3" xfId="36949" xr:uid="{00000000-0005-0000-0000-00000F500000}"/>
    <cellStyle name="표준 5 2 3 3 2 4 2 3 4" xfId="45142" xr:uid="{00000000-0005-0000-0000-000010500000}"/>
    <cellStyle name="표준 5 2 3 3 2 4 2 4" xfId="12144" xr:uid="{00000000-0005-0000-0000-000011500000}"/>
    <cellStyle name="표준 5 2 3 3 2 4 2 5" xfId="16384" xr:uid="{00000000-0005-0000-0000-000012500000}"/>
    <cellStyle name="표준 5 2 3 3 2 4 2 6" xfId="20546" xr:uid="{00000000-0005-0000-0000-000013500000}"/>
    <cellStyle name="표준 5 2 3 3 2 4 2 7" xfId="24642" xr:uid="{00000000-0005-0000-0000-000014500000}"/>
    <cellStyle name="표준 5 2 3 3 2 4 2 8" xfId="32853" xr:uid="{00000000-0005-0000-0000-000015500000}"/>
    <cellStyle name="표준 5 2 3 3 2 4 2 9" xfId="41046" xr:uid="{00000000-0005-0000-0000-000016500000}"/>
    <cellStyle name="표준 5 2 3 3 2 4 3" xfId="1689" xr:uid="{00000000-0005-0000-0000-000017500000}"/>
    <cellStyle name="표준 5 2 3 3 2 4 3 2" xfId="10592" xr:uid="{00000000-0005-0000-0000-000018500000}"/>
    <cellStyle name="표준 5 2 3 3 2 4 3 2 2" xfId="14704" xr:uid="{00000000-0005-0000-0000-000019500000}"/>
    <cellStyle name="표준 5 2 3 3 2 4 3 2 2 2" xfId="31298" xr:uid="{00000000-0005-0000-0000-00001A500000}"/>
    <cellStyle name="표준 5 2 3 3 2 4 3 2 2 3" xfId="39509" xr:uid="{00000000-0005-0000-0000-00001B500000}"/>
    <cellStyle name="표준 5 2 3 3 2 4 3 2 2 4" xfId="47702" xr:uid="{00000000-0005-0000-0000-00001C500000}"/>
    <cellStyle name="표준 5 2 3 3 2 4 3 2 3" xfId="18944" xr:uid="{00000000-0005-0000-0000-00001D500000}"/>
    <cellStyle name="표준 5 2 3 3 2 4 3 2 4" xfId="23106" xr:uid="{00000000-0005-0000-0000-00001E500000}"/>
    <cellStyle name="표준 5 2 3 3 2 4 3 2 5" xfId="27202" xr:uid="{00000000-0005-0000-0000-00001F500000}"/>
    <cellStyle name="표준 5 2 3 3 2 4 3 2 6" xfId="35413" xr:uid="{00000000-0005-0000-0000-000020500000}"/>
    <cellStyle name="표준 5 2 3 3 2 4 3 2 7" xfId="43606" xr:uid="{00000000-0005-0000-0000-000021500000}"/>
    <cellStyle name="표준 5 2 3 3 2 4 3 3" xfId="8544" xr:uid="{00000000-0005-0000-0000-000022500000}"/>
    <cellStyle name="표준 5 2 3 3 2 4 3 3 2" xfId="29250" xr:uid="{00000000-0005-0000-0000-000023500000}"/>
    <cellStyle name="표준 5 2 3 3 2 4 3 3 3" xfId="37461" xr:uid="{00000000-0005-0000-0000-000024500000}"/>
    <cellStyle name="표준 5 2 3 3 2 4 3 3 4" xfId="45654" xr:uid="{00000000-0005-0000-0000-000025500000}"/>
    <cellStyle name="표준 5 2 3 3 2 4 3 4" xfId="12656" xr:uid="{00000000-0005-0000-0000-000026500000}"/>
    <cellStyle name="표준 5 2 3 3 2 4 3 5" xfId="16896" xr:uid="{00000000-0005-0000-0000-000027500000}"/>
    <cellStyle name="표준 5 2 3 3 2 4 3 6" xfId="21058" xr:uid="{00000000-0005-0000-0000-000028500000}"/>
    <cellStyle name="표준 5 2 3 3 2 4 3 7" xfId="25154" xr:uid="{00000000-0005-0000-0000-000029500000}"/>
    <cellStyle name="표준 5 2 3 3 2 4 3 8" xfId="33365" xr:uid="{00000000-0005-0000-0000-00002A500000}"/>
    <cellStyle name="표준 5 2 3 3 2 4 3 9" xfId="41558" xr:uid="{00000000-0005-0000-0000-00002B500000}"/>
    <cellStyle name="표준 5 2 3 3 2 4 4" xfId="2201" xr:uid="{00000000-0005-0000-0000-00002C500000}"/>
    <cellStyle name="표준 5 2 3 3 2 4 4 2" xfId="11104" xr:uid="{00000000-0005-0000-0000-00002D500000}"/>
    <cellStyle name="표준 5 2 3 3 2 4 4 2 2" xfId="15216" xr:uid="{00000000-0005-0000-0000-00002E500000}"/>
    <cellStyle name="표준 5 2 3 3 2 4 4 2 2 2" xfId="31810" xr:uid="{00000000-0005-0000-0000-00002F500000}"/>
    <cellStyle name="표준 5 2 3 3 2 4 4 2 2 3" xfId="40021" xr:uid="{00000000-0005-0000-0000-000030500000}"/>
    <cellStyle name="표준 5 2 3 3 2 4 4 2 2 4" xfId="48214" xr:uid="{00000000-0005-0000-0000-000031500000}"/>
    <cellStyle name="표준 5 2 3 3 2 4 4 2 3" xfId="19456" xr:uid="{00000000-0005-0000-0000-000032500000}"/>
    <cellStyle name="표준 5 2 3 3 2 4 4 2 4" xfId="23618" xr:uid="{00000000-0005-0000-0000-000033500000}"/>
    <cellStyle name="표준 5 2 3 3 2 4 4 2 5" xfId="27714" xr:uid="{00000000-0005-0000-0000-000034500000}"/>
    <cellStyle name="표준 5 2 3 3 2 4 4 2 6" xfId="35925" xr:uid="{00000000-0005-0000-0000-000035500000}"/>
    <cellStyle name="표준 5 2 3 3 2 4 4 2 7" xfId="44118" xr:uid="{00000000-0005-0000-0000-000036500000}"/>
    <cellStyle name="표준 5 2 3 3 2 4 4 3" xfId="9056" xr:uid="{00000000-0005-0000-0000-000037500000}"/>
    <cellStyle name="표준 5 2 3 3 2 4 4 3 2" xfId="29762" xr:uid="{00000000-0005-0000-0000-000038500000}"/>
    <cellStyle name="표준 5 2 3 3 2 4 4 3 3" xfId="37973" xr:uid="{00000000-0005-0000-0000-000039500000}"/>
    <cellStyle name="표준 5 2 3 3 2 4 4 3 4" xfId="46166" xr:uid="{00000000-0005-0000-0000-00003A500000}"/>
    <cellStyle name="표준 5 2 3 3 2 4 4 4" xfId="13168" xr:uid="{00000000-0005-0000-0000-00003B500000}"/>
    <cellStyle name="표준 5 2 3 3 2 4 4 5" xfId="17408" xr:uid="{00000000-0005-0000-0000-00003C500000}"/>
    <cellStyle name="표준 5 2 3 3 2 4 4 6" xfId="21570" xr:uid="{00000000-0005-0000-0000-00003D500000}"/>
    <cellStyle name="표준 5 2 3 3 2 4 4 7" xfId="25666" xr:uid="{00000000-0005-0000-0000-00003E500000}"/>
    <cellStyle name="표준 5 2 3 3 2 4 4 8" xfId="33877" xr:uid="{00000000-0005-0000-0000-00003F500000}"/>
    <cellStyle name="표준 5 2 3 3 2 4 4 9" xfId="42070" xr:uid="{00000000-0005-0000-0000-000040500000}"/>
    <cellStyle name="표준 5 2 3 3 2 4 5" xfId="9568" xr:uid="{00000000-0005-0000-0000-000041500000}"/>
    <cellStyle name="표준 5 2 3 3 2 4 5 2" xfId="13680" xr:uid="{00000000-0005-0000-0000-000042500000}"/>
    <cellStyle name="표준 5 2 3 3 2 4 5 2 2" xfId="30274" xr:uid="{00000000-0005-0000-0000-000043500000}"/>
    <cellStyle name="표준 5 2 3 3 2 4 5 2 3" xfId="38485" xr:uid="{00000000-0005-0000-0000-000044500000}"/>
    <cellStyle name="표준 5 2 3 3 2 4 5 2 4" xfId="46678" xr:uid="{00000000-0005-0000-0000-000045500000}"/>
    <cellStyle name="표준 5 2 3 3 2 4 5 3" xfId="17920" xr:uid="{00000000-0005-0000-0000-000046500000}"/>
    <cellStyle name="표준 5 2 3 3 2 4 5 4" xfId="22082" xr:uid="{00000000-0005-0000-0000-000047500000}"/>
    <cellStyle name="표준 5 2 3 3 2 4 5 5" xfId="26178" xr:uid="{00000000-0005-0000-0000-000048500000}"/>
    <cellStyle name="표준 5 2 3 3 2 4 5 6" xfId="34389" xr:uid="{00000000-0005-0000-0000-000049500000}"/>
    <cellStyle name="표준 5 2 3 3 2 4 5 7" xfId="42582" xr:uid="{00000000-0005-0000-0000-00004A500000}"/>
    <cellStyle name="표준 5 2 3 3 2 4 6" xfId="7520" xr:uid="{00000000-0005-0000-0000-00004B500000}"/>
    <cellStyle name="표준 5 2 3 3 2 4 6 2" xfId="28226" xr:uid="{00000000-0005-0000-0000-00004C500000}"/>
    <cellStyle name="표준 5 2 3 3 2 4 6 3" xfId="36437" xr:uid="{00000000-0005-0000-0000-00004D500000}"/>
    <cellStyle name="표준 5 2 3 3 2 4 6 4" xfId="44630" xr:uid="{00000000-0005-0000-0000-00004E500000}"/>
    <cellStyle name="표준 5 2 3 3 2 4 7" xfId="11632" xr:uid="{00000000-0005-0000-0000-00004F500000}"/>
    <cellStyle name="표준 5 2 3 3 2 4 8" xfId="15872" xr:uid="{00000000-0005-0000-0000-000050500000}"/>
    <cellStyle name="표준 5 2 3 3 2 4 9" xfId="20034" xr:uid="{00000000-0005-0000-0000-000051500000}"/>
    <cellStyle name="표준 5 2 3 3 2 5" xfId="921" xr:uid="{00000000-0005-0000-0000-000052500000}"/>
    <cellStyle name="표준 5 2 3 3 2 5 2" xfId="9824" xr:uid="{00000000-0005-0000-0000-000053500000}"/>
    <cellStyle name="표준 5 2 3 3 2 5 2 2" xfId="13936" xr:uid="{00000000-0005-0000-0000-000054500000}"/>
    <cellStyle name="표준 5 2 3 3 2 5 2 2 2" xfId="30530" xr:uid="{00000000-0005-0000-0000-000055500000}"/>
    <cellStyle name="표준 5 2 3 3 2 5 2 2 3" xfId="38741" xr:uid="{00000000-0005-0000-0000-000056500000}"/>
    <cellStyle name="표준 5 2 3 3 2 5 2 2 4" xfId="46934" xr:uid="{00000000-0005-0000-0000-000057500000}"/>
    <cellStyle name="표준 5 2 3 3 2 5 2 3" xfId="18176" xr:uid="{00000000-0005-0000-0000-000058500000}"/>
    <cellStyle name="표준 5 2 3 3 2 5 2 4" xfId="22338" xr:uid="{00000000-0005-0000-0000-000059500000}"/>
    <cellStyle name="표준 5 2 3 3 2 5 2 5" xfId="26434" xr:uid="{00000000-0005-0000-0000-00005A500000}"/>
    <cellStyle name="표준 5 2 3 3 2 5 2 6" xfId="34645" xr:uid="{00000000-0005-0000-0000-00005B500000}"/>
    <cellStyle name="표준 5 2 3 3 2 5 2 7" xfId="42838" xr:uid="{00000000-0005-0000-0000-00005C500000}"/>
    <cellStyle name="표준 5 2 3 3 2 5 3" xfId="7776" xr:uid="{00000000-0005-0000-0000-00005D500000}"/>
    <cellStyle name="표준 5 2 3 3 2 5 3 2" xfId="28482" xr:uid="{00000000-0005-0000-0000-00005E500000}"/>
    <cellStyle name="표준 5 2 3 3 2 5 3 3" xfId="36693" xr:uid="{00000000-0005-0000-0000-00005F500000}"/>
    <cellStyle name="표준 5 2 3 3 2 5 3 4" xfId="44886" xr:uid="{00000000-0005-0000-0000-000060500000}"/>
    <cellStyle name="표준 5 2 3 3 2 5 4" xfId="11888" xr:uid="{00000000-0005-0000-0000-000061500000}"/>
    <cellStyle name="표준 5 2 3 3 2 5 5" xfId="16128" xr:uid="{00000000-0005-0000-0000-000062500000}"/>
    <cellStyle name="표준 5 2 3 3 2 5 6" xfId="20290" xr:uid="{00000000-0005-0000-0000-000063500000}"/>
    <cellStyle name="표준 5 2 3 3 2 5 7" xfId="24386" xr:uid="{00000000-0005-0000-0000-000064500000}"/>
    <cellStyle name="표준 5 2 3 3 2 5 8" xfId="32597" xr:uid="{00000000-0005-0000-0000-000065500000}"/>
    <cellStyle name="표준 5 2 3 3 2 5 9" xfId="40790" xr:uid="{00000000-0005-0000-0000-000066500000}"/>
    <cellStyle name="표준 5 2 3 3 2 6" xfId="1433" xr:uid="{00000000-0005-0000-0000-000067500000}"/>
    <cellStyle name="표준 5 2 3 3 2 6 2" xfId="10336" xr:uid="{00000000-0005-0000-0000-000068500000}"/>
    <cellStyle name="표준 5 2 3 3 2 6 2 2" xfId="14448" xr:uid="{00000000-0005-0000-0000-000069500000}"/>
    <cellStyle name="표준 5 2 3 3 2 6 2 2 2" xfId="31042" xr:uid="{00000000-0005-0000-0000-00006A500000}"/>
    <cellStyle name="표준 5 2 3 3 2 6 2 2 3" xfId="39253" xr:uid="{00000000-0005-0000-0000-00006B500000}"/>
    <cellStyle name="표준 5 2 3 3 2 6 2 2 4" xfId="47446" xr:uid="{00000000-0005-0000-0000-00006C500000}"/>
    <cellStyle name="표준 5 2 3 3 2 6 2 3" xfId="18688" xr:uid="{00000000-0005-0000-0000-00006D500000}"/>
    <cellStyle name="표준 5 2 3 3 2 6 2 4" xfId="22850" xr:uid="{00000000-0005-0000-0000-00006E500000}"/>
    <cellStyle name="표준 5 2 3 3 2 6 2 5" xfId="26946" xr:uid="{00000000-0005-0000-0000-00006F500000}"/>
    <cellStyle name="표준 5 2 3 3 2 6 2 6" xfId="35157" xr:uid="{00000000-0005-0000-0000-000070500000}"/>
    <cellStyle name="표준 5 2 3 3 2 6 2 7" xfId="43350" xr:uid="{00000000-0005-0000-0000-000071500000}"/>
    <cellStyle name="표준 5 2 3 3 2 6 3" xfId="8288" xr:uid="{00000000-0005-0000-0000-000072500000}"/>
    <cellStyle name="표준 5 2 3 3 2 6 3 2" xfId="28994" xr:uid="{00000000-0005-0000-0000-000073500000}"/>
    <cellStyle name="표준 5 2 3 3 2 6 3 3" xfId="37205" xr:uid="{00000000-0005-0000-0000-000074500000}"/>
    <cellStyle name="표준 5 2 3 3 2 6 3 4" xfId="45398" xr:uid="{00000000-0005-0000-0000-000075500000}"/>
    <cellStyle name="표준 5 2 3 3 2 6 4" xfId="12400" xr:uid="{00000000-0005-0000-0000-000076500000}"/>
    <cellStyle name="표준 5 2 3 3 2 6 5" xfId="16640" xr:uid="{00000000-0005-0000-0000-000077500000}"/>
    <cellStyle name="표준 5 2 3 3 2 6 6" xfId="20802" xr:uid="{00000000-0005-0000-0000-000078500000}"/>
    <cellStyle name="표준 5 2 3 3 2 6 7" xfId="24898" xr:uid="{00000000-0005-0000-0000-000079500000}"/>
    <cellStyle name="표준 5 2 3 3 2 6 8" xfId="33109" xr:uid="{00000000-0005-0000-0000-00007A500000}"/>
    <cellStyle name="표준 5 2 3 3 2 6 9" xfId="41302" xr:uid="{00000000-0005-0000-0000-00007B500000}"/>
    <cellStyle name="표준 5 2 3 3 2 7" xfId="1945" xr:uid="{00000000-0005-0000-0000-00007C500000}"/>
    <cellStyle name="표준 5 2 3 3 2 7 2" xfId="10848" xr:uid="{00000000-0005-0000-0000-00007D500000}"/>
    <cellStyle name="표준 5 2 3 3 2 7 2 2" xfId="14960" xr:uid="{00000000-0005-0000-0000-00007E500000}"/>
    <cellStyle name="표준 5 2 3 3 2 7 2 2 2" xfId="31554" xr:uid="{00000000-0005-0000-0000-00007F500000}"/>
    <cellStyle name="표준 5 2 3 3 2 7 2 2 3" xfId="39765" xr:uid="{00000000-0005-0000-0000-000080500000}"/>
    <cellStyle name="표준 5 2 3 3 2 7 2 2 4" xfId="47958" xr:uid="{00000000-0005-0000-0000-000081500000}"/>
    <cellStyle name="표준 5 2 3 3 2 7 2 3" xfId="19200" xr:uid="{00000000-0005-0000-0000-000082500000}"/>
    <cellStyle name="표준 5 2 3 3 2 7 2 4" xfId="23362" xr:uid="{00000000-0005-0000-0000-000083500000}"/>
    <cellStyle name="표준 5 2 3 3 2 7 2 5" xfId="27458" xr:uid="{00000000-0005-0000-0000-000084500000}"/>
    <cellStyle name="표준 5 2 3 3 2 7 2 6" xfId="35669" xr:uid="{00000000-0005-0000-0000-000085500000}"/>
    <cellStyle name="표준 5 2 3 3 2 7 2 7" xfId="43862" xr:uid="{00000000-0005-0000-0000-000086500000}"/>
    <cellStyle name="표준 5 2 3 3 2 7 3" xfId="8800" xr:uid="{00000000-0005-0000-0000-000087500000}"/>
    <cellStyle name="표준 5 2 3 3 2 7 3 2" xfId="29506" xr:uid="{00000000-0005-0000-0000-000088500000}"/>
    <cellStyle name="표준 5 2 3 3 2 7 3 3" xfId="37717" xr:uid="{00000000-0005-0000-0000-000089500000}"/>
    <cellStyle name="표준 5 2 3 3 2 7 3 4" xfId="45910" xr:uid="{00000000-0005-0000-0000-00008A500000}"/>
    <cellStyle name="표준 5 2 3 3 2 7 4" xfId="12912" xr:uid="{00000000-0005-0000-0000-00008B500000}"/>
    <cellStyle name="표준 5 2 3 3 2 7 5" xfId="17152" xr:uid="{00000000-0005-0000-0000-00008C500000}"/>
    <cellStyle name="표준 5 2 3 3 2 7 6" xfId="21314" xr:uid="{00000000-0005-0000-0000-00008D500000}"/>
    <cellStyle name="표준 5 2 3 3 2 7 7" xfId="25410" xr:uid="{00000000-0005-0000-0000-00008E500000}"/>
    <cellStyle name="표준 5 2 3 3 2 7 8" xfId="33621" xr:uid="{00000000-0005-0000-0000-00008F500000}"/>
    <cellStyle name="표준 5 2 3 3 2 7 9" xfId="41814" xr:uid="{00000000-0005-0000-0000-000090500000}"/>
    <cellStyle name="표준 5 2 3 3 2 8" xfId="7037" xr:uid="{00000000-0005-0000-0000-000091500000}"/>
    <cellStyle name="표준 5 2 3 3 2 8 2" xfId="9312" xr:uid="{00000000-0005-0000-0000-000092500000}"/>
    <cellStyle name="표준 5 2 3 3 2 8 2 2" xfId="30018" xr:uid="{00000000-0005-0000-0000-000093500000}"/>
    <cellStyle name="표준 5 2 3 3 2 8 2 3" xfId="38229" xr:uid="{00000000-0005-0000-0000-000094500000}"/>
    <cellStyle name="표준 5 2 3 3 2 8 2 4" xfId="46422" xr:uid="{00000000-0005-0000-0000-000095500000}"/>
    <cellStyle name="표준 5 2 3 3 2 8 3" xfId="13424" xr:uid="{00000000-0005-0000-0000-000096500000}"/>
    <cellStyle name="표준 5 2 3 3 2 8 4" xfId="17664" xr:uid="{00000000-0005-0000-0000-000097500000}"/>
    <cellStyle name="표준 5 2 3 3 2 8 5" xfId="21826" xr:uid="{00000000-0005-0000-0000-000098500000}"/>
    <cellStyle name="표준 5 2 3 3 2 8 6" xfId="25922" xr:uid="{00000000-0005-0000-0000-000099500000}"/>
    <cellStyle name="표준 5 2 3 3 2 8 7" xfId="34133" xr:uid="{00000000-0005-0000-0000-00009A500000}"/>
    <cellStyle name="표준 5 2 3 3 2 8 8" xfId="42326" xr:uid="{00000000-0005-0000-0000-00009B500000}"/>
    <cellStyle name="표준 5 2 3 3 2 9" xfId="7141" xr:uid="{00000000-0005-0000-0000-00009C500000}"/>
    <cellStyle name="표준 5 2 3 3 2 9 2" xfId="27970" xr:uid="{00000000-0005-0000-0000-00009D500000}"/>
    <cellStyle name="표준 5 2 3 3 2 9 3" xfId="36181" xr:uid="{00000000-0005-0000-0000-00009E500000}"/>
    <cellStyle name="표준 5 2 3 3 2 9 4" xfId="44374" xr:uid="{00000000-0005-0000-0000-00009F500000}"/>
    <cellStyle name="표준 5 2 3 3 3" xfId="441" xr:uid="{00000000-0005-0000-0000-0000A0500000}"/>
    <cellStyle name="표준 5 2 3 3 3 10" xfId="15648" xr:uid="{00000000-0005-0000-0000-0000A1500000}"/>
    <cellStyle name="표준 5 2 3 3 3 11" xfId="19810" xr:uid="{00000000-0005-0000-0000-0000A2500000}"/>
    <cellStyle name="표준 5 2 3 3 3 12" xfId="23906" xr:uid="{00000000-0005-0000-0000-0000A3500000}"/>
    <cellStyle name="표준 5 2 3 3 3 13" xfId="32117" xr:uid="{00000000-0005-0000-0000-0000A4500000}"/>
    <cellStyle name="표준 5 2 3 3 3 14" xfId="40310" xr:uid="{00000000-0005-0000-0000-0000A5500000}"/>
    <cellStyle name="표준 5 2 3 3 3 2" xfId="569" xr:uid="{00000000-0005-0000-0000-0000A6500000}"/>
    <cellStyle name="표준 5 2 3 3 3 2 10" xfId="19938" xr:uid="{00000000-0005-0000-0000-0000A7500000}"/>
    <cellStyle name="표준 5 2 3 3 3 2 11" xfId="24034" xr:uid="{00000000-0005-0000-0000-0000A8500000}"/>
    <cellStyle name="표준 5 2 3 3 3 2 12" xfId="32245" xr:uid="{00000000-0005-0000-0000-0000A9500000}"/>
    <cellStyle name="표준 5 2 3 3 3 2 13" xfId="40438" xr:uid="{00000000-0005-0000-0000-0000AA500000}"/>
    <cellStyle name="표준 5 2 3 3 3 2 2" xfId="825" xr:uid="{00000000-0005-0000-0000-0000AB500000}"/>
    <cellStyle name="표준 5 2 3 3 3 2 2 10" xfId="24290" xr:uid="{00000000-0005-0000-0000-0000AC500000}"/>
    <cellStyle name="표준 5 2 3 3 3 2 2 11" xfId="32501" xr:uid="{00000000-0005-0000-0000-0000AD500000}"/>
    <cellStyle name="표준 5 2 3 3 3 2 2 12" xfId="40694" xr:uid="{00000000-0005-0000-0000-0000AE500000}"/>
    <cellStyle name="표준 5 2 3 3 3 2 2 2" xfId="1337" xr:uid="{00000000-0005-0000-0000-0000AF500000}"/>
    <cellStyle name="표준 5 2 3 3 3 2 2 2 2" xfId="10240" xr:uid="{00000000-0005-0000-0000-0000B0500000}"/>
    <cellStyle name="표준 5 2 3 3 3 2 2 2 2 2" xfId="14352" xr:uid="{00000000-0005-0000-0000-0000B1500000}"/>
    <cellStyle name="표준 5 2 3 3 3 2 2 2 2 2 2" xfId="30946" xr:uid="{00000000-0005-0000-0000-0000B2500000}"/>
    <cellStyle name="표준 5 2 3 3 3 2 2 2 2 2 3" xfId="39157" xr:uid="{00000000-0005-0000-0000-0000B3500000}"/>
    <cellStyle name="표준 5 2 3 3 3 2 2 2 2 2 4" xfId="47350" xr:uid="{00000000-0005-0000-0000-0000B4500000}"/>
    <cellStyle name="표준 5 2 3 3 3 2 2 2 2 3" xfId="18592" xr:uid="{00000000-0005-0000-0000-0000B5500000}"/>
    <cellStyle name="표준 5 2 3 3 3 2 2 2 2 4" xfId="22754" xr:uid="{00000000-0005-0000-0000-0000B6500000}"/>
    <cellStyle name="표준 5 2 3 3 3 2 2 2 2 5" xfId="26850" xr:uid="{00000000-0005-0000-0000-0000B7500000}"/>
    <cellStyle name="표준 5 2 3 3 3 2 2 2 2 6" xfId="35061" xr:uid="{00000000-0005-0000-0000-0000B8500000}"/>
    <cellStyle name="표준 5 2 3 3 3 2 2 2 2 7" xfId="43254" xr:uid="{00000000-0005-0000-0000-0000B9500000}"/>
    <cellStyle name="표준 5 2 3 3 3 2 2 2 3" xfId="8192" xr:uid="{00000000-0005-0000-0000-0000BA500000}"/>
    <cellStyle name="표준 5 2 3 3 3 2 2 2 3 2" xfId="28898" xr:uid="{00000000-0005-0000-0000-0000BB500000}"/>
    <cellStyle name="표준 5 2 3 3 3 2 2 2 3 3" xfId="37109" xr:uid="{00000000-0005-0000-0000-0000BC500000}"/>
    <cellStyle name="표준 5 2 3 3 3 2 2 2 3 4" xfId="45302" xr:uid="{00000000-0005-0000-0000-0000BD500000}"/>
    <cellStyle name="표준 5 2 3 3 3 2 2 2 4" xfId="12304" xr:uid="{00000000-0005-0000-0000-0000BE500000}"/>
    <cellStyle name="표준 5 2 3 3 3 2 2 2 5" xfId="16544" xr:uid="{00000000-0005-0000-0000-0000BF500000}"/>
    <cellStyle name="표준 5 2 3 3 3 2 2 2 6" xfId="20706" xr:uid="{00000000-0005-0000-0000-0000C0500000}"/>
    <cellStyle name="표준 5 2 3 3 3 2 2 2 7" xfId="24802" xr:uid="{00000000-0005-0000-0000-0000C1500000}"/>
    <cellStyle name="표준 5 2 3 3 3 2 2 2 8" xfId="33013" xr:uid="{00000000-0005-0000-0000-0000C2500000}"/>
    <cellStyle name="표준 5 2 3 3 3 2 2 2 9" xfId="41206" xr:uid="{00000000-0005-0000-0000-0000C3500000}"/>
    <cellStyle name="표준 5 2 3 3 3 2 2 3" xfId="1849" xr:uid="{00000000-0005-0000-0000-0000C4500000}"/>
    <cellStyle name="표준 5 2 3 3 3 2 2 3 2" xfId="10752" xr:uid="{00000000-0005-0000-0000-0000C5500000}"/>
    <cellStyle name="표준 5 2 3 3 3 2 2 3 2 2" xfId="14864" xr:uid="{00000000-0005-0000-0000-0000C6500000}"/>
    <cellStyle name="표준 5 2 3 3 3 2 2 3 2 2 2" xfId="31458" xr:uid="{00000000-0005-0000-0000-0000C7500000}"/>
    <cellStyle name="표준 5 2 3 3 3 2 2 3 2 2 3" xfId="39669" xr:uid="{00000000-0005-0000-0000-0000C8500000}"/>
    <cellStyle name="표준 5 2 3 3 3 2 2 3 2 2 4" xfId="47862" xr:uid="{00000000-0005-0000-0000-0000C9500000}"/>
    <cellStyle name="표준 5 2 3 3 3 2 2 3 2 3" xfId="19104" xr:uid="{00000000-0005-0000-0000-0000CA500000}"/>
    <cellStyle name="표준 5 2 3 3 3 2 2 3 2 4" xfId="23266" xr:uid="{00000000-0005-0000-0000-0000CB500000}"/>
    <cellStyle name="표준 5 2 3 3 3 2 2 3 2 5" xfId="27362" xr:uid="{00000000-0005-0000-0000-0000CC500000}"/>
    <cellStyle name="표준 5 2 3 3 3 2 2 3 2 6" xfId="35573" xr:uid="{00000000-0005-0000-0000-0000CD500000}"/>
    <cellStyle name="표준 5 2 3 3 3 2 2 3 2 7" xfId="43766" xr:uid="{00000000-0005-0000-0000-0000CE500000}"/>
    <cellStyle name="표준 5 2 3 3 3 2 2 3 3" xfId="8704" xr:uid="{00000000-0005-0000-0000-0000CF500000}"/>
    <cellStyle name="표준 5 2 3 3 3 2 2 3 3 2" xfId="29410" xr:uid="{00000000-0005-0000-0000-0000D0500000}"/>
    <cellStyle name="표준 5 2 3 3 3 2 2 3 3 3" xfId="37621" xr:uid="{00000000-0005-0000-0000-0000D1500000}"/>
    <cellStyle name="표준 5 2 3 3 3 2 2 3 3 4" xfId="45814" xr:uid="{00000000-0005-0000-0000-0000D2500000}"/>
    <cellStyle name="표준 5 2 3 3 3 2 2 3 4" xfId="12816" xr:uid="{00000000-0005-0000-0000-0000D3500000}"/>
    <cellStyle name="표준 5 2 3 3 3 2 2 3 5" xfId="17056" xr:uid="{00000000-0005-0000-0000-0000D4500000}"/>
    <cellStyle name="표준 5 2 3 3 3 2 2 3 6" xfId="21218" xr:uid="{00000000-0005-0000-0000-0000D5500000}"/>
    <cellStyle name="표준 5 2 3 3 3 2 2 3 7" xfId="25314" xr:uid="{00000000-0005-0000-0000-0000D6500000}"/>
    <cellStyle name="표준 5 2 3 3 3 2 2 3 8" xfId="33525" xr:uid="{00000000-0005-0000-0000-0000D7500000}"/>
    <cellStyle name="표준 5 2 3 3 3 2 2 3 9" xfId="41718" xr:uid="{00000000-0005-0000-0000-0000D8500000}"/>
    <cellStyle name="표준 5 2 3 3 3 2 2 4" xfId="2361" xr:uid="{00000000-0005-0000-0000-0000D9500000}"/>
    <cellStyle name="표준 5 2 3 3 3 2 2 4 2" xfId="11264" xr:uid="{00000000-0005-0000-0000-0000DA500000}"/>
    <cellStyle name="표준 5 2 3 3 3 2 2 4 2 2" xfId="15376" xr:uid="{00000000-0005-0000-0000-0000DB500000}"/>
    <cellStyle name="표준 5 2 3 3 3 2 2 4 2 2 2" xfId="31970" xr:uid="{00000000-0005-0000-0000-0000DC500000}"/>
    <cellStyle name="표준 5 2 3 3 3 2 2 4 2 2 3" xfId="40181" xr:uid="{00000000-0005-0000-0000-0000DD500000}"/>
    <cellStyle name="표준 5 2 3 3 3 2 2 4 2 2 4" xfId="48374" xr:uid="{00000000-0005-0000-0000-0000DE500000}"/>
    <cellStyle name="표준 5 2 3 3 3 2 2 4 2 3" xfId="19616" xr:uid="{00000000-0005-0000-0000-0000DF500000}"/>
    <cellStyle name="표준 5 2 3 3 3 2 2 4 2 4" xfId="23778" xr:uid="{00000000-0005-0000-0000-0000E0500000}"/>
    <cellStyle name="표준 5 2 3 3 3 2 2 4 2 5" xfId="27874" xr:uid="{00000000-0005-0000-0000-0000E1500000}"/>
    <cellStyle name="표준 5 2 3 3 3 2 2 4 2 6" xfId="36085" xr:uid="{00000000-0005-0000-0000-0000E2500000}"/>
    <cellStyle name="표준 5 2 3 3 3 2 2 4 2 7" xfId="44278" xr:uid="{00000000-0005-0000-0000-0000E3500000}"/>
    <cellStyle name="표준 5 2 3 3 3 2 2 4 3" xfId="9216" xr:uid="{00000000-0005-0000-0000-0000E4500000}"/>
    <cellStyle name="표준 5 2 3 3 3 2 2 4 3 2" xfId="29922" xr:uid="{00000000-0005-0000-0000-0000E5500000}"/>
    <cellStyle name="표준 5 2 3 3 3 2 2 4 3 3" xfId="38133" xr:uid="{00000000-0005-0000-0000-0000E6500000}"/>
    <cellStyle name="표준 5 2 3 3 3 2 2 4 3 4" xfId="46326" xr:uid="{00000000-0005-0000-0000-0000E7500000}"/>
    <cellStyle name="표준 5 2 3 3 3 2 2 4 4" xfId="13328" xr:uid="{00000000-0005-0000-0000-0000E8500000}"/>
    <cellStyle name="표준 5 2 3 3 3 2 2 4 5" xfId="17568" xr:uid="{00000000-0005-0000-0000-0000E9500000}"/>
    <cellStyle name="표준 5 2 3 3 3 2 2 4 6" xfId="21730" xr:uid="{00000000-0005-0000-0000-0000EA500000}"/>
    <cellStyle name="표준 5 2 3 3 3 2 2 4 7" xfId="25826" xr:uid="{00000000-0005-0000-0000-0000EB500000}"/>
    <cellStyle name="표준 5 2 3 3 3 2 2 4 8" xfId="34037" xr:uid="{00000000-0005-0000-0000-0000EC500000}"/>
    <cellStyle name="표준 5 2 3 3 3 2 2 4 9" xfId="42230" xr:uid="{00000000-0005-0000-0000-0000ED500000}"/>
    <cellStyle name="표준 5 2 3 3 3 2 2 5" xfId="9728" xr:uid="{00000000-0005-0000-0000-0000EE500000}"/>
    <cellStyle name="표준 5 2 3 3 3 2 2 5 2" xfId="13840" xr:uid="{00000000-0005-0000-0000-0000EF500000}"/>
    <cellStyle name="표준 5 2 3 3 3 2 2 5 2 2" xfId="30434" xr:uid="{00000000-0005-0000-0000-0000F0500000}"/>
    <cellStyle name="표준 5 2 3 3 3 2 2 5 2 3" xfId="38645" xr:uid="{00000000-0005-0000-0000-0000F1500000}"/>
    <cellStyle name="표준 5 2 3 3 3 2 2 5 2 4" xfId="46838" xr:uid="{00000000-0005-0000-0000-0000F2500000}"/>
    <cellStyle name="표준 5 2 3 3 3 2 2 5 3" xfId="18080" xr:uid="{00000000-0005-0000-0000-0000F3500000}"/>
    <cellStyle name="표준 5 2 3 3 3 2 2 5 4" xfId="22242" xr:uid="{00000000-0005-0000-0000-0000F4500000}"/>
    <cellStyle name="표준 5 2 3 3 3 2 2 5 5" xfId="26338" xr:uid="{00000000-0005-0000-0000-0000F5500000}"/>
    <cellStyle name="표준 5 2 3 3 3 2 2 5 6" xfId="34549" xr:uid="{00000000-0005-0000-0000-0000F6500000}"/>
    <cellStyle name="표준 5 2 3 3 3 2 2 5 7" xfId="42742" xr:uid="{00000000-0005-0000-0000-0000F7500000}"/>
    <cellStyle name="표준 5 2 3 3 3 2 2 6" xfId="7680" xr:uid="{00000000-0005-0000-0000-0000F8500000}"/>
    <cellStyle name="표준 5 2 3 3 3 2 2 6 2" xfId="28386" xr:uid="{00000000-0005-0000-0000-0000F9500000}"/>
    <cellStyle name="표준 5 2 3 3 3 2 2 6 3" xfId="36597" xr:uid="{00000000-0005-0000-0000-0000FA500000}"/>
    <cellStyle name="표준 5 2 3 3 3 2 2 6 4" xfId="44790" xr:uid="{00000000-0005-0000-0000-0000FB500000}"/>
    <cellStyle name="표준 5 2 3 3 3 2 2 7" xfId="11792" xr:uid="{00000000-0005-0000-0000-0000FC500000}"/>
    <cellStyle name="표준 5 2 3 3 3 2 2 8" xfId="16032" xr:uid="{00000000-0005-0000-0000-0000FD500000}"/>
    <cellStyle name="표준 5 2 3 3 3 2 2 9" xfId="20194" xr:uid="{00000000-0005-0000-0000-0000FE500000}"/>
    <cellStyle name="표준 5 2 3 3 3 2 3" xfId="1081" xr:uid="{00000000-0005-0000-0000-0000FF500000}"/>
    <cellStyle name="표준 5 2 3 3 3 2 3 2" xfId="9984" xr:uid="{00000000-0005-0000-0000-000000510000}"/>
    <cellStyle name="표준 5 2 3 3 3 2 3 2 2" xfId="14096" xr:uid="{00000000-0005-0000-0000-000001510000}"/>
    <cellStyle name="표준 5 2 3 3 3 2 3 2 2 2" xfId="30690" xr:uid="{00000000-0005-0000-0000-000002510000}"/>
    <cellStyle name="표준 5 2 3 3 3 2 3 2 2 3" xfId="38901" xr:uid="{00000000-0005-0000-0000-000003510000}"/>
    <cellStyle name="표준 5 2 3 3 3 2 3 2 2 4" xfId="47094" xr:uid="{00000000-0005-0000-0000-000004510000}"/>
    <cellStyle name="표준 5 2 3 3 3 2 3 2 3" xfId="18336" xr:uid="{00000000-0005-0000-0000-000005510000}"/>
    <cellStyle name="표준 5 2 3 3 3 2 3 2 4" xfId="22498" xr:uid="{00000000-0005-0000-0000-000006510000}"/>
    <cellStyle name="표준 5 2 3 3 3 2 3 2 5" xfId="26594" xr:uid="{00000000-0005-0000-0000-000007510000}"/>
    <cellStyle name="표준 5 2 3 3 3 2 3 2 6" xfId="34805" xr:uid="{00000000-0005-0000-0000-000008510000}"/>
    <cellStyle name="표준 5 2 3 3 3 2 3 2 7" xfId="42998" xr:uid="{00000000-0005-0000-0000-000009510000}"/>
    <cellStyle name="표준 5 2 3 3 3 2 3 3" xfId="7936" xr:uid="{00000000-0005-0000-0000-00000A510000}"/>
    <cellStyle name="표준 5 2 3 3 3 2 3 3 2" xfId="28642" xr:uid="{00000000-0005-0000-0000-00000B510000}"/>
    <cellStyle name="표준 5 2 3 3 3 2 3 3 3" xfId="36853" xr:uid="{00000000-0005-0000-0000-00000C510000}"/>
    <cellStyle name="표준 5 2 3 3 3 2 3 3 4" xfId="45046" xr:uid="{00000000-0005-0000-0000-00000D510000}"/>
    <cellStyle name="표준 5 2 3 3 3 2 3 4" xfId="12048" xr:uid="{00000000-0005-0000-0000-00000E510000}"/>
    <cellStyle name="표준 5 2 3 3 3 2 3 5" xfId="16288" xr:uid="{00000000-0005-0000-0000-00000F510000}"/>
    <cellStyle name="표준 5 2 3 3 3 2 3 6" xfId="20450" xr:uid="{00000000-0005-0000-0000-000010510000}"/>
    <cellStyle name="표준 5 2 3 3 3 2 3 7" xfId="24546" xr:uid="{00000000-0005-0000-0000-000011510000}"/>
    <cellStyle name="표준 5 2 3 3 3 2 3 8" xfId="32757" xr:uid="{00000000-0005-0000-0000-000012510000}"/>
    <cellStyle name="표준 5 2 3 3 3 2 3 9" xfId="40950" xr:uid="{00000000-0005-0000-0000-000013510000}"/>
    <cellStyle name="표준 5 2 3 3 3 2 4" xfId="1593" xr:uid="{00000000-0005-0000-0000-000014510000}"/>
    <cellStyle name="표준 5 2 3 3 3 2 4 2" xfId="10496" xr:uid="{00000000-0005-0000-0000-000015510000}"/>
    <cellStyle name="표준 5 2 3 3 3 2 4 2 2" xfId="14608" xr:uid="{00000000-0005-0000-0000-000016510000}"/>
    <cellStyle name="표준 5 2 3 3 3 2 4 2 2 2" xfId="31202" xr:uid="{00000000-0005-0000-0000-000017510000}"/>
    <cellStyle name="표준 5 2 3 3 3 2 4 2 2 3" xfId="39413" xr:uid="{00000000-0005-0000-0000-000018510000}"/>
    <cellStyle name="표준 5 2 3 3 3 2 4 2 2 4" xfId="47606" xr:uid="{00000000-0005-0000-0000-000019510000}"/>
    <cellStyle name="표준 5 2 3 3 3 2 4 2 3" xfId="18848" xr:uid="{00000000-0005-0000-0000-00001A510000}"/>
    <cellStyle name="표준 5 2 3 3 3 2 4 2 4" xfId="23010" xr:uid="{00000000-0005-0000-0000-00001B510000}"/>
    <cellStyle name="표준 5 2 3 3 3 2 4 2 5" xfId="27106" xr:uid="{00000000-0005-0000-0000-00001C510000}"/>
    <cellStyle name="표준 5 2 3 3 3 2 4 2 6" xfId="35317" xr:uid="{00000000-0005-0000-0000-00001D510000}"/>
    <cellStyle name="표준 5 2 3 3 3 2 4 2 7" xfId="43510" xr:uid="{00000000-0005-0000-0000-00001E510000}"/>
    <cellStyle name="표준 5 2 3 3 3 2 4 3" xfId="8448" xr:uid="{00000000-0005-0000-0000-00001F510000}"/>
    <cellStyle name="표준 5 2 3 3 3 2 4 3 2" xfId="29154" xr:uid="{00000000-0005-0000-0000-000020510000}"/>
    <cellStyle name="표준 5 2 3 3 3 2 4 3 3" xfId="37365" xr:uid="{00000000-0005-0000-0000-000021510000}"/>
    <cellStyle name="표준 5 2 3 3 3 2 4 3 4" xfId="45558" xr:uid="{00000000-0005-0000-0000-000022510000}"/>
    <cellStyle name="표준 5 2 3 3 3 2 4 4" xfId="12560" xr:uid="{00000000-0005-0000-0000-000023510000}"/>
    <cellStyle name="표준 5 2 3 3 3 2 4 5" xfId="16800" xr:uid="{00000000-0005-0000-0000-000024510000}"/>
    <cellStyle name="표준 5 2 3 3 3 2 4 6" xfId="20962" xr:uid="{00000000-0005-0000-0000-000025510000}"/>
    <cellStyle name="표준 5 2 3 3 3 2 4 7" xfId="25058" xr:uid="{00000000-0005-0000-0000-000026510000}"/>
    <cellStyle name="표준 5 2 3 3 3 2 4 8" xfId="33269" xr:uid="{00000000-0005-0000-0000-000027510000}"/>
    <cellStyle name="표준 5 2 3 3 3 2 4 9" xfId="41462" xr:uid="{00000000-0005-0000-0000-000028510000}"/>
    <cellStyle name="표준 5 2 3 3 3 2 5" xfId="2105" xr:uid="{00000000-0005-0000-0000-000029510000}"/>
    <cellStyle name="표준 5 2 3 3 3 2 5 2" xfId="11008" xr:uid="{00000000-0005-0000-0000-00002A510000}"/>
    <cellStyle name="표준 5 2 3 3 3 2 5 2 2" xfId="15120" xr:uid="{00000000-0005-0000-0000-00002B510000}"/>
    <cellStyle name="표준 5 2 3 3 3 2 5 2 2 2" xfId="31714" xr:uid="{00000000-0005-0000-0000-00002C510000}"/>
    <cellStyle name="표준 5 2 3 3 3 2 5 2 2 3" xfId="39925" xr:uid="{00000000-0005-0000-0000-00002D510000}"/>
    <cellStyle name="표준 5 2 3 3 3 2 5 2 2 4" xfId="48118" xr:uid="{00000000-0005-0000-0000-00002E510000}"/>
    <cellStyle name="표준 5 2 3 3 3 2 5 2 3" xfId="19360" xr:uid="{00000000-0005-0000-0000-00002F510000}"/>
    <cellStyle name="표준 5 2 3 3 3 2 5 2 4" xfId="23522" xr:uid="{00000000-0005-0000-0000-000030510000}"/>
    <cellStyle name="표준 5 2 3 3 3 2 5 2 5" xfId="27618" xr:uid="{00000000-0005-0000-0000-000031510000}"/>
    <cellStyle name="표준 5 2 3 3 3 2 5 2 6" xfId="35829" xr:uid="{00000000-0005-0000-0000-000032510000}"/>
    <cellStyle name="표준 5 2 3 3 3 2 5 2 7" xfId="44022" xr:uid="{00000000-0005-0000-0000-000033510000}"/>
    <cellStyle name="표준 5 2 3 3 3 2 5 3" xfId="8960" xr:uid="{00000000-0005-0000-0000-000034510000}"/>
    <cellStyle name="표준 5 2 3 3 3 2 5 3 2" xfId="29666" xr:uid="{00000000-0005-0000-0000-000035510000}"/>
    <cellStyle name="표준 5 2 3 3 3 2 5 3 3" xfId="37877" xr:uid="{00000000-0005-0000-0000-000036510000}"/>
    <cellStyle name="표준 5 2 3 3 3 2 5 3 4" xfId="46070" xr:uid="{00000000-0005-0000-0000-000037510000}"/>
    <cellStyle name="표준 5 2 3 3 3 2 5 4" xfId="13072" xr:uid="{00000000-0005-0000-0000-000038510000}"/>
    <cellStyle name="표준 5 2 3 3 3 2 5 5" xfId="17312" xr:uid="{00000000-0005-0000-0000-000039510000}"/>
    <cellStyle name="표준 5 2 3 3 3 2 5 6" xfId="21474" xr:uid="{00000000-0005-0000-0000-00003A510000}"/>
    <cellStyle name="표준 5 2 3 3 3 2 5 7" xfId="25570" xr:uid="{00000000-0005-0000-0000-00003B510000}"/>
    <cellStyle name="표준 5 2 3 3 3 2 5 8" xfId="33781" xr:uid="{00000000-0005-0000-0000-00003C510000}"/>
    <cellStyle name="표준 5 2 3 3 3 2 5 9" xfId="41974" xr:uid="{00000000-0005-0000-0000-00003D510000}"/>
    <cellStyle name="표준 5 2 3 3 3 2 6" xfId="9472" xr:uid="{00000000-0005-0000-0000-00003E510000}"/>
    <cellStyle name="표준 5 2 3 3 3 2 6 2" xfId="13584" xr:uid="{00000000-0005-0000-0000-00003F510000}"/>
    <cellStyle name="표준 5 2 3 3 3 2 6 2 2" xfId="30178" xr:uid="{00000000-0005-0000-0000-000040510000}"/>
    <cellStyle name="표준 5 2 3 3 3 2 6 2 3" xfId="38389" xr:uid="{00000000-0005-0000-0000-000041510000}"/>
    <cellStyle name="표준 5 2 3 3 3 2 6 2 4" xfId="46582" xr:uid="{00000000-0005-0000-0000-000042510000}"/>
    <cellStyle name="표준 5 2 3 3 3 2 6 3" xfId="17824" xr:uid="{00000000-0005-0000-0000-000043510000}"/>
    <cellStyle name="표준 5 2 3 3 3 2 6 4" xfId="21986" xr:uid="{00000000-0005-0000-0000-000044510000}"/>
    <cellStyle name="표준 5 2 3 3 3 2 6 5" xfId="26082" xr:uid="{00000000-0005-0000-0000-000045510000}"/>
    <cellStyle name="표준 5 2 3 3 3 2 6 6" xfId="34293" xr:uid="{00000000-0005-0000-0000-000046510000}"/>
    <cellStyle name="표준 5 2 3 3 3 2 6 7" xfId="42486" xr:uid="{00000000-0005-0000-0000-000047510000}"/>
    <cellStyle name="표준 5 2 3 3 3 2 7" xfId="7424" xr:uid="{00000000-0005-0000-0000-000048510000}"/>
    <cellStyle name="표준 5 2 3 3 3 2 7 2" xfId="28130" xr:uid="{00000000-0005-0000-0000-000049510000}"/>
    <cellStyle name="표준 5 2 3 3 3 2 7 3" xfId="36341" xr:uid="{00000000-0005-0000-0000-00004A510000}"/>
    <cellStyle name="표준 5 2 3 3 3 2 7 4" xfId="44534" xr:uid="{00000000-0005-0000-0000-00004B510000}"/>
    <cellStyle name="표준 5 2 3 3 3 2 8" xfId="11536" xr:uid="{00000000-0005-0000-0000-00004C510000}"/>
    <cellStyle name="표준 5 2 3 3 3 2 9" xfId="15776" xr:uid="{00000000-0005-0000-0000-00004D510000}"/>
    <cellStyle name="표준 5 2 3 3 3 3" xfId="697" xr:uid="{00000000-0005-0000-0000-00004E510000}"/>
    <cellStyle name="표준 5 2 3 3 3 3 10" xfId="24162" xr:uid="{00000000-0005-0000-0000-00004F510000}"/>
    <cellStyle name="표준 5 2 3 3 3 3 11" xfId="32373" xr:uid="{00000000-0005-0000-0000-000050510000}"/>
    <cellStyle name="표준 5 2 3 3 3 3 12" xfId="40566" xr:uid="{00000000-0005-0000-0000-000051510000}"/>
    <cellStyle name="표준 5 2 3 3 3 3 2" xfId="1209" xr:uid="{00000000-0005-0000-0000-000052510000}"/>
    <cellStyle name="표준 5 2 3 3 3 3 2 2" xfId="10112" xr:uid="{00000000-0005-0000-0000-000053510000}"/>
    <cellStyle name="표준 5 2 3 3 3 3 2 2 2" xfId="14224" xr:uid="{00000000-0005-0000-0000-000054510000}"/>
    <cellStyle name="표준 5 2 3 3 3 3 2 2 2 2" xfId="30818" xr:uid="{00000000-0005-0000-0000-000055510000}"/>
    <cellStyle name="표준 5 2 3 3 3 3 2 2 2 3" xfId="39029" xr:uid="{00000000-0005-0000-0000-000056510000}"/>
    <cellStyle name="표준 5 2 3 3 3 3 2 2 2 4" xfId="47222" xr:uid="{00000000-0005-0000-0000-000057510000}"/>
    <cellStyle name="표준 5 2 3 3 3 3 2 2 3" xfId="18464" xr:uid="{00000000-0005-0000-0000-000058510000}"/>
    <cellStyle name="표준 5 2 3 3 3 3 2 2 4" xfId="22626" xr:uid="{00000000-0005-0000-0000-000059510000}"/>
    <cellStyle name="표준 5 2 3 3 3 3 2 2 5" xfId="26722" xr:uid="{00000000-0005-0000-0000-00005A510000}"/>
    <cellStyle name="표준 5 2 3 3 3 3 2 2 6" xfId="34933" xr:uid="{00000000-0005-0000-0000-00005B510000}"/>
    <cellStyle name="표준 5 2 3 3 3 3 2 2 7" xfId="43126" xr:uid="{00000000-0005-0000-0000-00005C510000}"/>
    <cellStyle name="표준 5 2 3 3 3 3 2 3" xfId="8064" xr:uid="{00000000-0005-0000-0000-00005D510000}"/>
    <cellStyle name="표준 5 2 3 3 3 3 2 3 2" xfId="28770" xr:uid="{00000000-0005-0000-0000-00005E510000}"/>
    <cellStyle name="표준 5 2 3 3 3 3 2 3 3" xfId="36981" xr:uid="{00000000-0005-0000-0000-00005F510000}"/>
    <cellStyle name="표준 5 2 3 3 3 3 2 3 4" xfId="45174" xr:uid="{00000000-0005-0000-0000-000060510000}"/>
    <cellStyle name="표준 5 2 3 3 3 3 2 4" xfId="12176" xr:uid="{00000000-0005-0000-0000-000061510000}"/>
    <cellStyle name="표준 5 2 3 3 3 3 2 5" xfId="16416" xr:uid="{00000000-0005-0000-0000-000062510000}"/>
    <cellStyle name="표준 5 2 3 3 3 3 2 6" xfId="20578" xr:uid="{00000000-0005-0000-0000-000063510000}"/>
    <cellStyle name="표준 5 2 3 3 3 3 2 7" xfId="24674" xr:uid="{00000000-0005-0000-0000-000064510000}"/>
    <cellStyle name="표준 5 2 3 3 3 3 2 8" xfId="32885" xr:uid="{00000000-0005-0000-0000-000065510000}"/>
    <cellStyle name="표준 5 2 3 3 3 3 2 9" xfId="41078" xr:uid="{00000000-0005-0000-0000-000066510000}"/>
    <cellStyle name="표준 5 2 3 3 3 3 3" xfId="1721" xr:uid="{00000000-0005-0000-0000-000067510000}"/>
    <cellStyle name="표준 5 2 3 3 3 3 3 2" xfId="10624" xr:uid="{00000000-0005-0000-0000-000068510000}"/>
    <cellStyle name="표준 5 2 3 3 3 3 3 2 2" xfId="14736" xr:uid="{00000000-0005-0000-0000-000069510000}"/>
    <cellStyle name="표준 5 2 3 3 3 3 3 2 2 2" xfId="31330" xr:uid="{00000000-0005-0000-0000-00006A510000}"/>
    <cellStyle name="표준 5 2 3 3 3 3 3 2 2 3" xfId="39541" xr:uid="{00000000-0005-0000-0000-00006B510000}"/>
    <cellStyle name="표준 5 2 3 3 3 3 3 2 2 4" xfId="47734" xr:uid="{00000000-0005-0000-0000-00006C510000}"/>
    <cellStyle name="표준 5 2 3 3 3 3 3 2 3" xfId="18976" xr:uid="{00000000-0005-0000-0000-00006D510000}"/>
    <cellStyle name="표준 5 2 3 3 3 3 3 2 4" xfId="23138" xr:uid="{00000000-0005-0000-0000-00006E510000}"/>
    <cellStyle name="표준 5 2 3 3 3 3 3 2 5" xfId="27234" xr:uid="{00000000-0005-0000-0000-00006F510000}"/>
    <cellStyle name="표준 5 2 3 3 3 3 3 2 6" xfId="35445" xr:uid="{00000000-0005-0000-0000-000070510000}"/>
    <cellStyle name="표준 5 2 3 3 3 3 3 2 7" xfId="43638" xr:uid="{00000000-0005-0000-0000-000071510000}"/>
    <cellStyle name="표준 5 2 3 3 3 3 3 3" xfId="8576" xr:uid="{00000000-0005-0000-0000-000072510000}"/>
    <cellStyle name="표준 5 2 3 3 3 3 3 3 2" xfId="29282" xr:uid="{00000000-0005-0000-0000-000073510000}"/>
    <cellStyle name="표준 5 2 3 3 3 3 3 3 3" xfId="37493" xr:uid="{00000000-0005-0000-0000-000074510000}"/>
    <cellStyle name="표준 5 2 3 3 3 3 3 3 4" xfId="45686" xr:uid="{00000000-0005-0000-0000-000075510000}"/>
    <cellStyle name="표준 5 2 3 3 3 3 3 4" xfId="12688" xr:uid="{00000000-0005-0000-0000-000076510000}"/>
    <cellStyle name="표준 5 2 3 3 3 3 3 5" xfId="16928" xr:uid="{00000000-0005-0000-0000-000077510000}"/>
    <cellStyle name="표준 5 2 3 3 3 3 3 6" xfId="21090" xr:uid="{00000000-0005-0000-0000-000078510000}"/>
    <cellStyle name="표준 5 2 3 3 3 3 3 7" xfId="25186" xr:uid="{00000000-0005-0000-0000-000079510000}"/>
    <cellStyle name="표준 5 2 3 3 3 3 3 8" xfId="33397" xr:uid="{00000000-0005-0000-0000-00007A510000}"/>
    <cellStyle name="표준 5 2 3 3 3 3 3 9" xfId="41590" xr:uid="{00000000-0005-0000-0000-00007B510000}"/>
    <cellStyle name="표준 5 2 3 3 3 3 4" xfId="2233" xr:uid="{00000000-0005-0000-0000-00007C510000}"/>
    <cellStyle name="표준 5 2 3 3 3 3 4 2" xfId="11136" xr:uid="{00000000-0005-0000-0000-00007D510000}"/>
    <cellStyle name="표준 5 2 3 3 3 3 4 2 2" xfId="15248" xr:uid="{00000000-0005-0000-0000-00007E510000}"/>
    <cellStyle name="표준 5 2 3 3 3 3 4 2 2 2" xfId="31842" xr:uid="{00000000-0005-0000-0000-00007F510000}"/>
    <cellStyle name="표준 5 2 3 3 3 3 4 2 2 3" xfId="40053" xr:uid="{00000000-0005-0000-0000-000080510000}"/>
    <cellStyle name="표준 5 2 3 3 3 3 4 2 2 4" xfId="48246" xr:uid="{00000000-0005-0000-0000-000081510000}"/>
    <cellStyle name="표준 5 2 3 3 3 3 4 2 3" xfId="19488" xr:uid="{00000000-0005-0000-0000-000082510000}"/>
    <cellStyle name="표준 5 2 3 3 3 3 4 2 4" xfId="23650" xr:uid="{00000000-0005-0000-0000-000083510000}"/>
    <cellStyle name="표준 5 2 3 3 3 3 4 2 5" xfId="27746" xr:uid="{00000000-0005-0000-0000-000084510000}"/>
    <cellStyle name="표준 5 2 3 3 3 3 4 2 6" xfId="35957" xr:uid="{00000000-0005-0000-0000-000085510000}"/>
    <cellStyle name="표준 5 2 3 3 3 3 4 2 7" xfId="44150" xr:uid="{00000000-0005-0000-0000-000086510000}"/>
    <cellStyle name="표준 5 2 3 3 3 3 4 3" xfId="9088" xr:uid="{00000000-0005-0000-0000-000087510000}"/>
    <cellStyle name="표준 5 2 3 3 3 3 4 3 2" xfId="29794" xr:uid="{00000000-0005-0000-0000-000088510000}"/>
    <cellStyle name="표준 5 2 3 3 3 3 4 3 3" xfId="38005" xr:uid="{00000000-0005-0000-0000-000089510000}"/>
    <cellStyle name="표준 5 2 3 3 3 3 4 3 4" xfId="46198" xr:uid="{00000000-0005-0000-0000-00008A510000}"/>
    <cellStyle name="표준 5 2 3 3 3 3 4 4" xfId="13200" xr:uid="{00000000-0005-0000-0000-00008B510000}"/>
    <cellStyle name="표준 5 2 3 3 3 3 4 5" xfId="17440" xr:uid="{00000000-0005-0000-0000-00008C510000}"/>
    <cellStyle name="표준 5 2 3 3 3 3 4 6" xfId="21602" xr:uid="{00000000-0005-0000-0000-00008D510000}"/>
    <cellStyle name="표준 5 2 3 3 3 3 4 7" xfId="25698" xr:uid="{00000000-0005-0000-0000-00008E510000}"/>
    <cellStyle name="표준 5 2 3 3 3 3 4 8" xfId="33909" xr:uid="{00000000-0005-0000-0000-00008F510000}"/>
    <cellStyle name="표준 5 2 3 3 3 3 4 9" xfId="42102" xr:uid="{00000000-0005-0000-0000-000090510000}"/>
    <cellStyle name="표준 5 2 3 3 3 3 5" xfId="9600" xr:uid="{00000000-0005-0000-0000-000091510000}"/>
    <cellStyle name="표준 5 2 3 3 3 3 5 2" xfId="13712" xr:uid="{00000000-0005-0000-0000-000092510000}"/>
    <cellStyle name="표준 5 2 3 3 3 3 5 2 2" xfId="30306" xr:uid="{00000000-0005-0000-0000-000093510000}"/>
    <cellStyle name="표준 5 2 3 3 3 3 5 2 3" xfId="38517" xr:uid="{00000000-0005-0000-0000-000094510000}"/>
    <cellStyle name="표준 5 2 3 3 3 3 5 2 4" xfId="46710" xr:uid="{00000000-0005-0000-0000-000095510000}"/>
    <cellStyle name="표준 5 2 3 3 3 3 5 3" xfId="17952" xr:uid="{00000000-0005-0000-0000-000096510000}"/>
    <cellStyle name="표준 5 2 3 3 3 3 5 4" xfId="22114" xr:uid="{00000000-0005-0000-0000-000097510000}"/>
    <cellStyle name="표준 5 2 3 3 3 3 5 5" xfId="26210" xr:uid="{00000000-0005-0000-0000-000098510000}"/>
    <cellStyle name="표준 5 2 3 3 3 3 5 6" xfId="34421" xr:uid="{00000000-0005-0000-0000-000099510000}"/>
    <cellStyle name="표준 5 2 3 3 3 3 5 7" xfId="42614" xr:uid="{00000000-0005-0000-0000-00009A510000}"/>
    <cellStyle name="표준 5 2 3 3 3 3 6" xfId="7552" xr:uid="{00000000-0005-0000-0000-00009B510000}"/>
    <cellStyle name="표준 5 2 3 3 3 3 6 2" xfId="28258" xr:uid="{00000000-0005-0000-0000-00009C510000}"/>
    <cellStyle name="표준 5 2 3 3 3 3 6 3" xfId="36469" xr:uid="{00000000-0005-0000-0000-00009D510000}"/>
    <cellStyle name="표준 5 2 3 3 3 3 6 4" xfId="44662" xr:uid="{00000000-0005-0000-0000-00009E510000}"/>
    <cellStyle name="표준 5 2 3 3 3 3 7" xfId="11664" xr:uid="{00000000-0005-0000-0000-00009F510000}"/>
    <cellStyle name="표준 5 2 3 3 3 3 8" xfId="15904" xr:uid="{00000000-0005-0000-0000-0000A0510000}"/>
    <cellStyle name="표준 5 2 3 3 3 3 9" xfId="20066" xr:uid="{00000000-0005-0000-0000-0000A1510000}"/>
    <cellStyle name="표준 5 2 3 3 3 4" xfId="953" xr:uid="{00000000-0005-0000-0000-0000A2510000}"/>
    <cellStyle name="표준 5 2 3 3 3 4 2" xfId="9856" xr:uid="{00000000-0005-0000-0000-0000A3510000}"/>
    <cellStyle name="표준 5 2 3 3 3 4 2 2" xfId="13968" xr:uid="{00000000-0005-0000-0000-0000A4510000}"/>
    <cellStyle name="표준 5 2 3 3 3 4 2 2 2" xfId="30562" xr:uid="{00000000-0005-0000-0000-0000A5510000}"/>
    <cellStyle name="표준 5 2 3 3 3 4 2 2 3" xfId="38773" xr:uid="{00000000-0005-0000-0000-0000A6510000}"/>
    <cellStyle name="표준 5 2 3 3 3 4 2 2 4" xfId="46966" xr:uid="{00000000-0005-0000-0000-0000A7510000}"/>
    <cellStyle name="표준 5 2 3 3 3 4 2 3" xfId="18208" xr:uid="{00000000-0005-0000-0000-0000A8510000}"/>
    <cellStyle name="표준 5 2 3 3 3 4 2 4" xfId="22370" xr:uid="{00000000-0005-0000-0000-0000A9510000}"/>
    <cellStyle name="표준 5 2 3 3 3 4 2 5" xfId="26466" xr:uid="{00000000-0005-0000-0000-0000AA510000}"/>
    <cellStyle name="표준 5 2 3 3 3 4 2 6" xfId="34677" xr:uid="{00000000-0005-0000-0000-0000AB510000}"/>
    <cellStyle name="표준 5 2 3 3 3 4 2 7" xfId="42870" xr:uid="{00000000-0005-0000-0000-0000AC510000}"/>
    <cellStyle name="표준 5 2 3 3 3 4 3" xfId="7808" xr:uid="{00000000-0005-0000-0000-0000AD510000}"/>
    <cellStyle name="표준 5 2 3 3 3 4 3 2" xfId="28514" xr:uid="{00000000-0005-0000-0000-0000AE510000}"/>
    <cellStyle name="표준 5 2 3 3 3 4 3 3" xfId="36725" xr:uid="{00000000-0005-0000-0000-0000AF510000}"/>
    <cellStyle name="표준 5 2 3 3 3 4 3 4" xfId="44918" xr:uid="{00000000-0005-0000-0000-0000B0510000}"/>
    <cellStyle name="표준 5 2 3 3 3 4 4" xfId="11920" xr:uid="{00000000-0005-0000-0000-0000B1510000}"/>
    <cellStyle name="표준 5 2 3 3 3 4 5" xfId="16160" xr:uid="{00000000-0005-0000-0000-0000B2510000}"/>
    <cellStyle name="표준 5 2 3 3 3 4 6" xfId="20322" xr:uid="{00000000-0005-0000-0000-0000B3510000}"/>
    <cellStyle name="표준 5 2 3 3 3 4 7" xfId="24418" xr:uid="{00000000-0005-0000-0000-0000B4510000}"/>
    <cellStyle name="표준 5 2 3 3 3 4 8" xfId="32629" xr:uid="{00000000-0005-0000-0000-0000B5510000}"/>
    <cellStyle name="표준 5 2 3 3 3 4 9" xfId="40822" xr:uid="{00000000-0005-0000-0000-0000B6510000}"/>
    <cellStyle name="표준 5 2 3 3 3 5" xfId="1465" xr:uid="{00000000-0005-0000-0000-0000B7510000}"/>
    <cellStyle name="표준 5 2 3 3 3 5 2" xfId="10368" xr:uid="{00000000-0005-0000-0000-0000B8510000}"/>
    <cellStyle name="표준 5 2 3 3 3 5 2 2" xfId="14480" xr:uid="{00000000-0005-0000-0000-0000B9510000}"/>
    <cellStyle name="표준 5 2 3 3 3 5 2 2 2" xfId="31074" xr:uid="{00000000-0005-0000-0000-0000BA510000}"/>
    <cellStyle name="표준 5 2 3 3 3 5 2 2 3" xfId="39285" xr:uid="{00000000-0005-0000-0000-0000BB510000}"/>
    <cellStyle name="표준 5 2 3 3 3 5 2 2 4" xfId="47478" xr:uid="{00000000-0005-0000-0000-0000BC510000}"/>
    <cellStyle name="표준 5 2 3 3 3 5 2 3" xfId="18720" xr:uid="{00000000-0005-0000-0000-0000BD510000}"/>
    <cellStyle name="표준 5 2 3 3 3 5 2 4" xfId="22882" xr:uid="{00000000-0005-0000-0000-0000BE510000}"/>
    <cellStyle name="표준 5 2 3 3 3 5 2 5" xfId="26978" xr:uid="{00000000-0005-0000-0000-0000BF510000}"/>
    <cellStyle name="표준 5 2 3 3 3 5 2 6" xfId="35189" xr:uid="{00000000-0005-0000-0000-0000C0510000}"/>
    <cellStyle name="표준 5 2 3 3 3 5 2 7" xfId="43382" xr:uid="{00000000-0005-0000-0000-0000C1510000}"/>
    <cellStyle name="표준 5 2 3 3 3 5 3" xfId="8320" xr:uid="{00000000-0005-0000-0000-0000C2510000}"/>
    <cellStyle name="표준 5 2 3 3 3 5 3 2" xfId="29026" xr:uid="{00000000-0005-0000-0000-0000C3510000}"/>
    <cellStyle name="표준 5 2 3 3 3 5 3 3" xfId="37237" xr:uid="{00000000-0005-0000-0000-0000C4510000}"/>
    <cellStyle name="표준 5 2 3 3 3 5 3 4" xfId="45430" xr:uid="{00000000-0005-0000-0000-0000C5510000}"/>
    <cellStyle name="표준 5 2 3 3 3 5 4" xfId="12432" xr:uid="{00000000-0005-0000-0000-0000C6510000}"/>
    <cellStyle name="표준 5 2 3 3 3 5 5" xfId="16672" xr:uid="{00000000-0005-0000-0000-0000C7510000}"/>
    <cellStyle name="표준 5 2 3 3 3 5 6" xfId="20834" xr:uid="{00000000-0005-0000-0000-0000C8510000}"/>
    <cellStyle name="표준 5 2 3 3 3 5 7" xfId="24930" xr:uid="{00000000-0005-0000-0000-0000C9510000}"/>
    <cellStyle name="표준 5 2 3 3 3 5 8" xfId="33141" xr:uid="{00000000-0005-0000-0000-0000CA510000}"/>
    <cellStyle name="표준 5 2 3 3 3 5 9" xfId="41334" xr:uid="{00000000-0005-0000-0000-0000CB510000}"/>
    <cellStyle name="표준 5 2 3 3 3 6" xfId="1977" xr:uid="{00000000-0005-0000-0000-0000CC510000}"/>
    <cellStyle name="표준 5 2 3 3 3 6 2" xfId="10880" xr:uid="{00000000-0005-0000-0000-0000CD510000}"/>
    <cellStyle name="표준 5 2 3 3 3 6 2 2" xfId="14992" xr:uid="{00000000-0005-0000-0000-0000CE510000}"/>
    <cellStyle name="표준 5 2 3 3 3 6 2 2 2" xfId="31586" xr:uid="{00000000-0005-0000-0000-0000CF510000}"/>
    <cellStyle name="표준 5 2 3 3 3 6 2 2 3" xfId="39797" xr:uid="{00000000-0005-0000-0000-0000D0510000}"/>
    <cellStyle name="표준 5 2 3 3 3 6 2 2 4" xfId="47990" xr:uid="{00000000-0005-0000-0000-0000D1510000}"/>
    <cellStyle name="표준 5 2 3 3 3 6 2 3" xfId="19232" xr:uid="{00000000-0005-0000-0000-0000D2510000}"/>
    <cellStyle name="표준 5 2 3 3 3 6 2 4" xfId="23394" xr:uid="{00000000-0005-0000-0000-0000D3510000}"/>
    <cellStyle name="표준 5 2 3 3 3 6 2 5" xfId="27490" xr:uid="{00000000-0005-0000-0000-0000D4510000}"/>
    <cellStyle name="표준 5 2 3 3 3 6 2 6" xfId="35701" xr:uid="{00000000-0005-0000-0000-0000D5510000}"/>
    <cellStyle name="표준 5 2 3 3 3 6 2 7" xfId="43894" xr:uid="{00000000-0005-0000-0000-0000D6510000}"/>
    <cellStyle name="표준 5 2 3 3 3 6 3" xfId="8832" xr:uid="{00000000-0005-0000-0000-0000D7510000}"/>
    <cellStyle name="표준 5 2 3 3 3 6 3 2" xfId="29538" xr:uid="{00000000-0005-0000-0000-0000D8510000}"/>
    <cellStyle name="표준 5 2 3 3 3 6 3 3" xfId="37749" xr:uid="{00000000-0005-0000-0000-0000D9510000}"/>
    <cellStyle name="표준 5 2 3 3 3 6 3 4" xfId="45942" xr:uid="{00000000-0005-0000-0000-0000DA510000}"/>
    <cellStyle name="표준 5 2 3 3 3 6 4" xfId="12944" xr:uid="{00000000-0005-0000-0000-0000DB510000}"/>
    <cellStyle name="표준 5 2 3 3 3 6 5" xfId="17184" xr:uid="{00000000-0005-0000-0000-0000DC510000}"/>
    <cellStyle name="표준 5 2 3 3 3 6 6" xfId="21346" xr:uid="{00000000-0005-0000-0000-0000DD510000}"/>
    <cellStyle name="표준 5 2 3 3 3 6 7" xfId="25442" xr:uid="{00000000-0005-0000-0000-0000DE510000}"/>
    <cellStyle name="표준 5 2 3 3 3 6 8" xfId="33653" xr:uid="{00000000-0005-0000-0000-0000DF510000}"/>
    <cellStyle name="표준 5 2 3 3 3 6 9" xfId="41846" xr:uid="{00000000-0005-0000-0000-0000E0510000}"/>
    <cellStyle name="표준 5 2 3 3 3 7" xfId="9344" xr:uid="{00000000-0005-0000-0000-0000E1510000}"/>
    <cellStyle name="표준 5 2 3 3 3 7 2" xfId="13456" xr:uid="{00000000-0005-0000-0000-0000E2510000}"/>
    <cellStyle name="표준 5 2 3 3 3 7 2 2" xfId="30050" xr:uid="{00000000-0005-0000-0000-0000E3510000}"/>
    <cellStyle name="표준 5 2 3 3 3 7 2 3" xfId="38261" xr:uid="{00000000-0005-0000-0000-0000E4510000}"/>
    <cellStyle name="표준 5 2 3 3 3 7 2 4" xfId="46454" xr:uid="{00000000-0005-0000-0000-0000E5510000}"/>
    <cellStyle name="표준 5 2 3 3 3 7 3" xfId="17696" xr:uid="{00000000-0005-0000-0000-0000E6510000}"/>
    <cellStyle name="표준 5 2 3 3 3 7 4" xfId="21858" xr:uid="{00000000-0005-0000-0000-0000E7510000}"/>
    <cellStyle name="표준 5 2 3 3 3 7 5" xfId="25954" xr:uid="{00000000-0005-0000-0000-0000E8510000}"/>
    <cellStyle name="표준 5 2 3 3 3 7 6" xfId="34165" xr:uid="{00000000-0005-0000-0000-0000E9510000}"/>
    <cellStyle name="표준 5 2 3 3 3 7 7" xfId="42358" xr:uid="{00000000-0005-0000-0000-0000EA510000}"/>
    <cellStyle name="표준 5 2 3 3 3 8" xfId="7296" xr:uid="{00000000-0005-0000-0000-0000EB510000}"/>
    <cellStyle name="표준 5 2 3 3 3 8 2" xfId="28002" xr:uid="{00000000-0005-0000-0000-0000EC510000}"/>
    <cellStyle name="표준 5 2 3 3 3 8 3" xfId="36213" xr:uid="{00000000-0005-0000-0000-0000ED510000}"/>
    <cellStyle name="표준 5 2 3 3 3 8 4" xfId="44406" xr:uid="{00000000-0005-0000-0000-0000EE510000}"/>
    <cellStyle name="표준 5 2 3 3 3 9" xfId="11408" xr:uid="{00000000-0005-0000-0000-0000EF510000}"/>
    <cellStyle name="표준 5 2 3 3 4" xfId="505" xr:uid="{00000000-0005-0000-0000-0000F0510000}"/>
    <cellStyle name="표준 5 2 3 3 4 10" xfId="19874" xr:uid="{00000000-0005-0000-0000-0000F1510000}"/>
    <cellStyle name="표준 5 2 3 3 4 11" xfId="23970" xr:uid="{00000000-0005-0000-0000-0000F2510000}"/>
    <cellStyle name="표준 5 2 3 3 4 12" xfId="32181" xr:uid="{00000000-0005-0000-0000-0000F3510000}"/>
    <cellStyle name="표준 5 2 3 3 4 13" xfId="40374" xr:uid="{00000000-0005-0000-0000-0000F4510000}"/>
    <cellStyle name="표준 5 2 3 3 4 2" xfId="761" xr:uid="{00000000-0005-0000-0000-0000F5510000}"/>
    <cellStyle name="표준 5 2 3 3 4 2 10" xfId="24226" xr:uid="{00000000-0005-0000-0000-0000F6510000}"/>
    <cellStyle name="표준 5 2 3 3 4 2 11" xfId="32437" xr:uid="{00000000-0005-0000-0000-0000F7510000}"/>
    <cellStyle name="표준 5 2 3 3 4 2 12" xfId="40630" xr:uid="{00000000-0005-0000-0000-0000F8510000}"/>
    <cellStyle name="표준 5 2 3 3 4 2 2" xfId="1273" xr:uid="{00000000-0005-0000-0000-0000F9510000}"/>
    <cellStyle name="표준 5 2 3 3 4 2 2 2" xfId="10176" xr:uid="{00000000-0005-0000-0000-0000FA510000}"/>
    <cellStyle name="표준 5 2 3 3 4 2 2 2 2" xfId="14288" xr:uid="{00000000-0005-0000-0000-0000FB510000}"/>
    <cellStyle name="표준 5 2 3 3 4 2 2 2 2 2" xfId="30882" xr:uid="{00000000-0005-0000-0000-0000FC510000}"/>
    <cellStyle name="표준 5 2 3 3 4 2 2 2 2 3" xfId="39093" xr:uid="{00000000-0005-0000-0000-0000FD510000}"/>
    <cellStyle name="표준 5 2 3 3 4 2 2 2 2 4" xfId="47286" xr:uid="{00000000-0005-0000-0000-0000FE510000}"/>
    <cellStyle name="표준 5 2 3 3 4 2 2 2 3" xfId="18528" xr:uid="{00000000-0005-0000-0000-0000FF510000}"/>
    <cellStyle name="표준 5 2 3 3 4 2 2 2 4" xfId="22690" xr:uid="{00000000-0005-0000-0000-000000520000}"/>
    <cellStyle name="표준 5 2 3 3 4 2 2 2 5" xfId="26786" xr:uid="{00000000-0005-0000-0000-000001520000}"/>
    <cellStyle name="표준 5 2 3 3 4 2 2 2 6" xfId="34997" xr:uid="{00000000-0005-0000-0000-000002520000}"/>
    <cellStyle name="표준 5 2 3 3 4 2 2 2 7" xfId="43190" xr:uid="{00000000-0005-0000-0000-000003520000}"/>
    <cellStyle name="표준 5 2 3 3 4 2 2 3" xfId="8128" xr:uid="{00000000-0005-0000-0000-000004520000}"/>
    <cellStyle name="표준 5 2 3 3 4 2 2 3 2" xfId="28834" xr:uid="{00000000-0005-0000-0000-000005520000}"/>
    <cellStyle name="표준 5 2 3 3 4 2 2 3 3" xfId="37045" xr:uid="{00000000-0005-0000-0000-000006520000}"/>
    <cellStyle name="표준 5 2 3 3 4 2 2 3 4" xfId="45238" xr:uid="{00000000-0005-0000-0000-000007520000}"/>
    <cellStyle name="표준 5 2 3 3 4 2 2 4" xfId="12240" xr:uid="{00000000-0005-0000-0000-000008520000}"/>
    <cellStyle name="표준 5 2 3 3 4 2 2 5" xfId="16480" xr:uid="{00000000-0005-0000-0000-000009520000}"/>
    <cellStyle name="표준 5 2 3 3 4 2 2 6" xfId="20642" xr:uid="{00000000-0005-0000-0000-00000A520000}"/>
    <cellStyle name="표준 5 2 3 3 4 2 2 7" xfId="24738" xr:uid="{00000000-0005-0000-0000-00000B520000}"/>
    <cellStyle name="표준 5 2 3 3 4 2 2 8" xfId="32949" xr:uid="{00000000-0005-0000-0000-00000C520000}"/>
    <cellStyle name="표준 5 2 3 3 4 2 2 9" xfId="41142" xr:uid="{00000000-0005-0000-0000-00000D520000}"/>
    <cellStyle name="표준 5 2 3 3 4 2 3" xfId="1785" xr:uid="{00000000-0005-0000-0000-00000E520000}"/>
    <cellStyle name="표준 5 2 3 3 4 2 3 2" xfId="10688" xr:uid="{00000000-0005-0000-0000-00000F520000}"/>
    <cellStyle name="표준 5 2 3 3 4 2 3 2 2" xfId="14800" xr:uid="{00000000-0005-0000-0000-000010520000}"/>
    <cellStyle name="표준 5 2 3 3 4 2 3 2 2 2" xfId="31394" xr:uid="{00000000-0005-0000-0000-000011520000}"/>
    <cellStyle name="표준 5 2 3 3 4 2 3 2 2 3" xfId="39605" xr:uid="{00000000-0005-0000-0000-000012520000}"/>
    <cellStyle name="표준 5 2 3 3 4 2 3 2 2 4" xfId="47798" xr:uid="{00000000-0005-0000-0000-000013520000}"/>
    <cellStyle name="표준 5 2 3 3 4 2 3 2 3" xfId="19040" xr:uid="{00000000-0005-0000-0000-000014520000}"/>
    <cellStyle name="표준 5 2 3 3 4 2 3 2 4" xfId="23202" xr:uid="{00000000-0005-0000-0000-000015520000}"/>
    <cellStyle name="표준 5 2 3 3 4 2 3 2 5" xfId="27298" xr:uid="{00000000-0005-0000-0000-000016520000}"/>
    <cellStyle name="표준 5 2 3 3 4 2 3 2 6" xfId="35509" xr:uid="{00000000-0005-0000-0000-000017520000}"/>
    <cellStyle name="표준 5 2 3 3 4 2 3 2 7" xfId="43702" xr:uid="{00000000-0005-0000-0000-000018520000}"/>
    <cellStyle name="표준 5 2 3 3 4 2 3 3" xfId="8640" xr:uid="{00000000-0005-0000-0000-000019520000}"/>
    <cellStyle name="표준 5 2 3 3 4 2 3 3 2" xfId="29346" xr:uid="{00000000-0005-0000-0000-00001A520000}"/>
    <cellStyle name="표준 5 2 3 3 4 2 3 3 3" xfId="37557" xr:uid="{00000000-0005-0000-0000-00001B520000}"/>
    <cellStyle name="표준 5 2 3 3 4 2 3 3 4" xfId="45750" xr:uid="{00000000-0005-0000-0000-00001C520000}"/>
    <cellStyle name="표준 5 2 3 3 4 2 3 4" xfId="12752" xr:uid="{00000000-0005-0000-0000-00001D520000}"/>
    <cellStyle name="표준 5 2 3 3 4 2 3 5" xfId="16992" xr:uid="{00000000-0005-0000-0000-00001E520000}"/>
    <cellStyle name="표준 5 2 3 3 4 2 3 6" xfId="21154" xr:uid="{00000000-0005-0000-0000-00001F520000}"/>
    <cellStyle name="표준 5 2 3 3 4 2 3 7" xfId="25250" xr:uid="{00000000-0005-0000-0000-000020520000}"/>
    <cellStyle name="표준 5 2 3 3 4 2 3 8" xfId="33461" xr:uid="{00000000-0005-0000-0000-000021520000}"/>
    <cellStyle name="표준 5 2 3 3 4 2 3 9" xfId="41654" xr:uid="{00000000-0005-0000-0000-000022520000}"/>
    <cellStyle name="표준 5 2 3 3 4 2 4" xfId="2297" xr:uid="{00000000-0005-0000-0000-000023520000}"/>
    <cellStyle name="표준 5 2 3 3 4 2 4 2" xfId="11200" xr:uid="{00000000-0005-0000-0000-000024520000}"/>
    <cellStyle name="표준 5 2 3 3 4 2 4 2 2" xfId="15312" xr:uid="{00000000-0005-0000-0000-000025520000}"/>
    <cellStyle name="표준 5 2 3 3 4 2 4 2 2 2" xfId="31906" xr:uid="{00000000-0005-0000-0000-000026520000}"/>
    <cellStyle name="표준 5 2 3 3 4 2 4 2 2 3" xfId="40117" xr:uid="{00000000-0005-0000-0000-000027520000}"/>
    <cellStyle name="표준 5 2 3 3 4 2 4 2 2 4" xfId="48310" xr:uid="{00000000-0005-0000-0000-000028520000}"/>
    <cellStyle name="표준 5 2 3 3 4 2 4 2 3" xfId="19552" xr:uid="{00000000-0005-0000-0000-000029520000}"/>
    <cellStyle name="표준 5 2 3 3 4 2 4 2 4" xfId="23714" xr:uid="{00000000-0005-0000-0000-00002A520000}"/>
    <cellStyle name="표준 5 2 3 3 4 2 4 2 5" xfId="27810" xr:uid="{00000000-0005-0000-0000-00002B520000}"/>
    <cellStyle name="표준 5 2 3 3 4 2 4 2 6" xfId="36021" xr:uid="{00000000-0005-0000-0000-00002C520000}"/>
    <cellStyle name="표준 5 2 3 3 4 2 4 2 7" xfId="44214" xr:uid="{00000000-0005-0000-0000-00002D520000}"/>
    <cellStyle name="표준 5 2 3 3 4 2 4 3" xfId="9152" xr:uid="{00000000-0005-0000-0000-00002E520000}"/>
    <cellStyle name="표준 5 2 3 3 4 2 4 3 2" xfId="29858" xr:uid="{00000000-0005-0000-0000-00002F520000}"/>
    <cellStyle name="표준 5 2 3 3 4 2 4 3 3" xfId="38069" xr:uid="{00000000-0005-0000-0000-000030520000}"/>
    <cellStyle name="표준 5 2 3 3 4 2 4 3 4" xfId="46262" xr:uid="{00000000-0005-0000-0000-000031520000}"/>
    <cellStyle name="표준 5 2 3 3 4 2 4 4" xfId="13264" xr:uid="{00000000-0005-0000-0000-000032520000}"/>
    <cellStyle name="표준 5 2 3 3 4 2 4 5" xfId="17504" xr:uid="{00000000-0005-0000-0000-000033520000}"/>
    <cellStyle name="표준 5 2 3 3 4 2 4 6" xfId="21666" xr:uid="{00000000-0005-0000-0000-000034520000}"/>
    <cellStyle name="표준 5 2 3 3 4 2 4 7" xfId="25762" xr:uid="{00000000-0005-0000-0000-000035520000}"/>
    <cellStyle name="표준 5 2 3 3 4 2 4 8" xfId="33973" xr:uid="{00000000-0005-0000-0000-000036520000}"/>
    <cellStyle name="표준 5 2 3 3 4 2 4 9" xfId="42166" xr:uid="{00000000-0005-0000-0000-000037520000}"/>
    <cellStyle name="표준 5 2 3 3 4 2 5" xfId="9664" xr:uid="{00000000-0005-0000-0000-000038520000}"/>
    <cellStyle name="표준 5 2 3 3 4 2 5 2" xfId="13776" xr:uid="{00000000-0005-0000-0000-000039520000}"/>
    <cellStyle name="표준 5 2 3 3 4 2 5 2 2" xfId="30370" xr:uid="{00000000-0005-0000-0000-00003A520000}"/>
    <cellStyle name="표준 5 2 3 3 4 2 5 2 3" xfId="38581" xr:uid="{00000000-0005-0000-0000-00003B520000}"/>
    <cellStyle name="표준 5 2 3 3 4 2 5 2 4" xfId="46774" xr:uid="{00000000-0005-0000-0000-00003C520000}"/>
    <cellStyle name="표준 5 2 3 3 4 2 5 3" xfId="18016" xr:uid="{00000000-0005-0000-0000-00003D520000}"/>
    <cellStyle name="표준 5 2 3 3 4 2 5 4" xfId="22178" xr:uid="{00000000-0005-0000-0000-00003E520000}"/>
    <cellStyle name="표준 5 2 3 3 4 2 5 5" xfId="26274" xr:uid="{00000000-0005-0000-0000-00003F520000}"/>
    <cellStyle name="표준 5 2 3 3 4 2 5 6" xfId="34485" xr:uid="{00000000-0005-0000-0000-000040520000}"/>
    <cellStyle name="표준 5 2 3 3 4 2 5 7" xfId="42678" xr:uid="{00000000-0005-0000-0000-000041520000}"/>
    <cellStyle name="표준 5 2 3 3 4 2 6" xfId="7616" xr:uid="{00000000-0005-0000-0000-000042520000}"/>
    <cellStyle name="표준 5 2 3 3 4 2 6 2" xfId="28322" xr:uid="{00000000-0005-0000-0000-000043520000}"/>
    <cellStyle name="표준 5 2 3 3 4 2 6 3" xfId="36533" xr:uid="{00000000-0005-0000-0000-000044520000}"/>
    <cellStyle name="표준 5 2 3 3 4 2 6 4" xfId="44726" xr:uid="{00000000-0005-0000-0000-000045520000}"/>
    <cellStyle name="표준 5 2 3 3 4 2 7" xfId="11728" xr:uid="{00000000-0005-0000-0000-000046520000}"/>
    <cellStyle name="표준 5 2 3 3 4 2 8" xfId="15968" xr:uid="{00000000-0005-0000-0000-000047520000}"/>
    <cellStyle name="표준 5 2 3 3 4 2 9" xfId="20130" xr:uid="{00000000-0005-0000-0000-000048520000}"/>
    <cellStyle name="표준 5 2 3 3 4 3" xfId="1017" xr:uid="{00000000-0005-0000-0000-000049520000}"/>
    <cellStyle name="표준 5 2 3 3 4 3 2" xfId="9920" xr:uid="{00000000-0005-0000-0000-00004A520000}"/>
    <cellStyle name="표준 5 2 3 3 4 3 2 2" xfId="14032" xr:uid="{00000000-0005-0000-0000-00004B520000}"/>
    <cellStyle name="표준 5 2 3 3 4 3 2 2 2" xfId="30626" xr:uid="{00000000-0005-0000-0000-00004C520000}"/>
    <cellStyle name="표준 5 2 3 3 4 3 2 2 3" xfId="38837" xr:uid="{00000000-0005-0000-0000-00004D520000}"/>
    <cellStyle name="표준 5 2 3 3 4 3 2 2 4" xfId="47030" xr:uid="{00000000-0005-0000-0000-00004E520000}"/>
    <cellStyle name="표준 5 2 3 3 4 3 2 3" xfId="18272" xr:uid="{00000000-0005-0000-0000-00004F520000}"/>
    <cellStyle name="표준 5 2 3 3 4 3 2 4" xfId="22434" xr:uid="{00000000-0005-0000-0000-000050520000}"/>
    <cellStyle name="표준 5 2 3 3 4 3 2 5" xfId="26530" xr:uid="{00000000-0005-0000-0000-000051520000}"/>
    <cellStyle name="표준 5 2 3 3 4 3 2 6" xfId="34741" xr:uid="{00000000-0005-0000-0000-000052520000}"/>
    <cellStyle name="표준 5 2 3 3 4 3 2 7" xfId="42934" xr:uid="{00000000-0005-0000-0000-000053520000}"/>
    <cellStyle name="표준 5 2 3 3 4 3 3" xfId="7872" xr:uid="{00000000-0005-0000-0000-000054520000}"/>
    <cellStyle name="표준 5 2 3 3 4 3 3 2" xfId="28578" xr:uid="{00000000-0005-0000-0000-000055520000}"/>
    <cellStyle name="표준 5 2 3 3 4 3 3 3" xfId="36789" xr:uid="{00000000-0005-0000-0000-000056520000}"/>
    <cellStyle name="표준 5 2 3 3 4 3 3 4" xfId="44982" xr:uid="{00000000-0005-0000-0000-000057520000}"/>
    <cellStyle name="표준 5 2 3 3 4 3 4" xfId="11984" xr:uid="{00000000-0005-0000-0000-000058520000}"/>
    <cellStyle name="표준 5 2 3 3 4 3 5" xfId="16224" xr:uid="{00000000-0005-0000-0000-000059520000}"/>
    <cellStyle name="표준 5 2 3 3 4 3 6" xfId="20386" xr:uid="{00000000-0005-0000-0000-00005A520000}"/>
    <cellStyle name="표준 5 2 3 3 4 3 7" xfId="24482" xr:uid="{00000000-0005-0000-0000-00005B520000}"/>
    <cellStyle name="표준 5 2 3 3 4 3 8" xfId="32693" xr:uid="{00000000-0005-0000-0000-00005C520000}"/>
    <cellStyle name="표준 5 2 3 3 4 3 9" xfId="40886" xr:uid="{00000000-0005-0000-0000-00005D520000}"/>
    <cellStyle name="표준 5 2 3 3 4 4" xfId="1529" xr:uid="{00000000-0005-0000-0000-00005E520000}"/>
    <cellStyle name="표준 5 2 3 3 4 4 2" xfId="10432" xr:uid="{00000000-0005-0000-0000-00005F520000}"/>
    <cellStyle name="표준 5 2 3 3 4 4 2 2" xfId="14544" xr:uid="{00000000-0005-0000-0000-000060520000}"/>
    <cellStyle name="표준 5 2 3 3 4 4 2 2 2" xfId="31138" xr:uid="{00000000-0005-0000-0000-000061520000}"/>
    <cellStyle name="표준 5 2 3 3 4 4 2 2 3" xfId="39349" xr:uid="{00000000-0005-0000-0000-000062520000}"/>
    <cellStyle name="표준 5 2 3 3 4 4 2 2 4" xfId="47542" xr:uid="{00000000-0005-0000-0000-000063520000}"/>
    <cellStyle name="표준 5 2 3 3 4 4 2 3" xfId="18784" xr:uid="{00000000-0005-0000-0000-000064520000}"/>
    <cellStyle name="표준 5 2 3 3 4 4 2 4" xfId="22946" xr:uid="{00000000-0005-0000-0000-000065520000}"/>
    <cellStyle name="표준 5 2 3 3 4 4 2 5" xfId="27042" xr:uid="{00000000-0005-0000-0000-000066520000}"/>
    <cellStyle name="표준 5 2 3 3 4 4 2 6" xfId="35253" xr:uid="{00000000-0005-0000-0000-000067520000}"/>
    <cellStyle name="표준 5 2 3 3 4 4 2 7" xfId="43446" xr:uid="{00000000-0005-0000-0000-000068520000}"/>
    <cellStyle name="표준 5 2 3 3 4 4 3" xfId="8384" xr:uid="{00000000-0005-0000-0000-000069520000}"/>
    <cellStyle name="표준 5 2 3 3 4 4 3 2" xfId="29090" xr:uid="{00000000-0005-0000-0000-00006A520000}"/>
    <cellStyle name="표준 5 2 3 3 4 4 3 3" xfId="37301" xr:uid="{00000000-0005-0000-0000-00006B520000}"/>
    <cellStyle name="표준 5 2 3 3 4 4 3 4" xfId="45494" xr:uid="{00000000-0005-0000-0000-00006C520000}"/>
    <cellStyle name="표준 5 2 3 3 4 4 4" xfId="12496" xr:uid="{00000000-0005-0000-0000-00006D520000}"/>
    <cellStyle name="표준 5 2 3 3 4 4 5" xfId="16736" xr:uid="{00000000-0005-0000-0000-00006E520000}"/>
    <cellStyle name="표준 5 2 3 3 4 4 6" xfId="20898" xr:uid="{00000000-0005-0000-0000-00006F520000}"/>
    <cellStyle name="표준 5 2 3 3 4 4 7" xfId="24994" xr:uid="{00000000-0005-0000-0000-000070520000}"/>
    <cellStyle name="표준 5 2 3 3 4 4 8" xfId="33205" xr:uid="{00000000-0005-0000-0000-000071520000}"/>
    <cellStyle name="표준 5 2 3 3 4 4 9" xfId="41398" xr:uid="{00000000-0005-0000-0000-000072520000}"/>
    <cellStyle name="표준 5 2 3 3 4 5" xfId="2041" xr:uid="{00000000-0005-0000-0000-000073520000}"/>
    <cellStyle name="표준 5 2 3 3 4 5 2" xfId="10944" xr:uid="{00000000-0005-0000-0000-000074520000}"/>
    <cellStyle name="표준 5 2 3 3 4 5 2 2" xfId="15056" xr:uid="{00000000-0005-0000-0000-000075520000}"/>
    <cellStyle name="표준 5 2 3 3 4 5 2 2 2" xfId="31650" xr:uid="{00000000-0005-0000-0000-000076520000}"/>
    <cellStyle name="표준 5 2 3 3 4 5 2 2 3" xfId="39861" xr:uid="{00000000-0005-0000-0000-000077520000}"/>
    <cellStyle name="표준 5 2 3 3 4 5 2 2 4" xfId="48054" xr:uid="{00000000-0005-0000-0000-000078520000}"/>
    <cellStyle name="표준 5 2 3 3 4 5 2 3" xfId="19296" xr:uid="{00000000-0005-0000-0000-000079520000}"/>
    <cellStyle name="표준 5 2 3 3 4 5 2 4" xfId="23458" xr:uid="{00000000-0005-0000-0000-00007A520000}"/>
    <cellStyle name="표준 5 2 3 3 4 5 2 5" xfId="27554" xr:uid="{00000000-0005-0000-0000-00007B520000}"/>
    <cellStyle name="표준 5 2 3 3 4 5 2 6" xfId="35765" xr:uid="{00000000-0005-0000-0000-00007C520000}"/>
    <cellStyle name="표준 5 2 3 3 4 5 2 7" xfId="43958" xr:uid="{00000000-0005-0000-0000-00007D520000}"/>
    <cellStyle name="표준 5 2 3 3 4 5 3" xfId="8896" xr:uid="{00000000-0005-0000-0000-00007E520000}"/>
    <cellStyle name="표준 5 2 3 3 4 5 3 2" xfId="29602" xr:uid="{00000000-0005-0000-0000-00007F520000}"/>
    <cellStyle name="표준 5 2 3 3 4 5 3 3" xfId="37813" xr:uid="{00000000-0005-0000-0000-000080520000}"/>
    <cellStyle name="표준 5 2 3 3 4 5 3 4" xfId="46006" xr:uid="{00000000-0005-0000-0000-000081520000}"/>
    <cellStyle name="표준 5 2 3 3 4 5 4" xfId="13008" xr:uid="{00000000-0005-0000-0000-000082520000}"/>
    <cellStyle name="표준 5 2 3 3 4 5 5" xfId="17248" xr:uid="{00000000-0005-0000-0000-000083520000}"/>
    <cellStyle name="표준 5 2 3 3 4 5 6" xfId="21410" xr:uid="{00000000-0005-0000-0000-000084520000}"/>
    <cellStyle name="표준 5 2 3 3 4 5 7" xfId="25506" xr:uid="{00000000-0005-0000-0000-000085520000}"/>
    <cellStyle name="표준 5 2 3 3 4 5 8" xfId="33717" xr:uid="{00000000-0005-0000-0000-000086520000}"/>
    <cellStyle name="표준 5 2 3 3 4 5 9" xfId="41910" xr:uid="{00000000-0005-0000-0000-000087520000}"/>
    <cellStyle name="표준 5 2 3 3 4 6" xfId="9408" xr:uid="{00000000-0005-0000-0000-000088520000}"/>
    <cellStyle name="표준 5 2 3 3 4 6 2" xfId="13520" xr:uid="{00000000-0005-0000-0000-000089520000}"/>
    <cellStyle name="표준 5 2 3 3 4 6 2 2" xfId="30114" xr:uid="{00000000-0005-0000-0000-00008A520000}"/>
    <cellStyle name="표준 5 2 3 3 4 6 2 3" xfId="38325" xr:uid="{00000000-0005-0000-0000-00008B520000}"/>
    <cellStyle name="표준 5 2 3 3 4 6 2 4" xfId="46518" xr:uid="{00000000-0005-0000-0000-00008C520000}"/>
    <cellStyle name="표준 5 2 3 3 4 6 3" xfId="17760" xr:uid="{00000000-0005-0000-0000-00008D520000}"/>
    <cellStyle name="표준 5 2 3 3 4 6 4" xfId="21922" xr:uid="{00000000-0005-0000-0000-00008E520000}"/>
    <cellStyle name="표준 5 2 3 3 4 6 5" xfId="26018" xr:uid="{00000000-0005-0000-0000-00008F520000}"/>
    <cellStyle name="표준 5 2 3 3 4 6 6" xfId="34229" xr:uid="{00000000-0005-0000-0000-000090520000}"/>
    <cellStyle name="표준 5 2 3 3 4 6 7" xfId="42422" xr:uid="{00000000-0005-0000-0000-000091520000}"/>
    <cellStyle name="표준 5 2 3 3 4 7" xfId="7360" xr:uid="{00000000-0005-0000-0000-000092520000}"/>
    <cellStyle name="표준 5 2 3 3 4 7 2" xfId="28066" xr:uid="{00000000-0005-0000-0000-000093520000}"/>
    <cellStyle name="표준 5 2 3 3 4 7 3" xfId="36277" xr:uid="{00000000-0005-0000-0000-000094520000}"/>
    <cellStyle name="표준 5 2 3 3 4 7 4" xfId="44470" xr:uid="{00000000-0005-0000-0000-000095520000}"/>
    <cellStyle name="표준 5 2 3 3 4 8" xfId="11472" xr:uid="{00000000-0005-0000-0000-000096520000}"/>
    <cellStyle name="표준 5 2 3 3 4 9" xfId="15712" xr:uid="{00000000-0005-0000-0000-000097520000}"/>
    <cellStyle name="표준 5 2 3 3 5" xfId="633" xr:uid="{00000000-0005-0000-0000-000098520000}"/>
    <cellStyle name="표준 5 2 3 3 5 10" xfId="24098" xr:uid="{00000000-0005-0000-0000-000099520000}"/>
    <cellStyle name="표준 5 2 3 3 5 11" xfId="32309" xr:uid="{00000000-0005-0000-0000-00009A520000}"/>
    <cellStyle name="표준 5 2 3 3 5 12" xfId="40502" xr:uid="{00000000-0005-0000-0000-00009B520000}"/>
    <cellStyle name="표준 5 2 3 3 5 2" xfId="1145" xr:uid="{00000000-0005-0000-0000-00009C520000}"/>
    <cellStyle name="표준 5 2 3 3 5 2 2" xfId="10048" xr:uid="{00000000-0005-0000-0000-00009D520000}"/>
    <cellStyle name="표준 5 2 3 3 5 2 2 2" xfId="14160" xr:uid="{00000000-0005-0000-0000-00009E520000}"/>
    <cellStyle name="표준 5 2 3 3 5 2 2 2 2" xfId="30754" xr:uid="{00000000-0005-0000-0000-00009F520000}"/>
    <cellStyle name="표준 5 2 3 3 5 2 2 2 3" xfId="38965" xr:uid="{00000000-0005-0000-0000-0000A0520000}"/>
    <cellStyle name="표준 5 2 3 3 5 2 2 2 4" xfId="47158" xr:uid="{00000000-0005-0000-0000-0000A1520000}"/>
    <cellStyle name="표준 5 2 3 3 5 2 2 3" xfId="18400" xr:uid="{00000000-0005-0000-0000-0000A2520000}"/>
    <cellStyle name="표준 5 2 3 3 5 2 2 4" xfId="22562" xr:uid="{00000000-0005-0000-0000-0000A3520000}"/>
    <cellStyle name="표준 5 2 3 3 5 2 2 5" xfId="26658" xr:uid="{00000000-0005-0000-0000-0000A4520000}"/>
    <cellStyle name="표준 5 2 3 3 5 2 2 6" xfId="34869" xr:uid="{00000000-0005-0000-0000-0000A5520000}"/>
    <cellStyle name="표준 5 2 3 3 5 2 2 7" xfId="43062" xr:uid="{00000000-0005-0000-0000-0000A6520000}"/>
    <cellStyle name="표준 5 2 3 3 5 2 3" xfId="8000" xr:uid="{00000000-0005-0000-0000-0000A7520000}"/>
    <cellStyle name="표준 5 2 3 3 5 2 3 2" xfId="28706" xr:uid="{00000000-0005-0000-0000-0000A8520000}"/>
    <cellStyle name="표준 5 2 3 3 5 2 3 3" xfId="36917" xr:uid="{00000000-0005-0000-0000-0000A9520000}"/>
    <cellStyle name="표준 5 2 3 3 5 2 3 4" xfId="45110" xr:uid="{00000000-0005-0000-0000-0000AA520000}"/>
    <cellStyle name="표준 5 2 3 3 5 2 4" xfId="12112" xr:uid="{00000000-0005-0000-0000-0000AB520000}"/>
    <cellStyle name="표준 5 2 3 3 5 2 5" xfId="16352" xr:uid="{00000000-0005-0000-0000-0000AC520000}"/>
    <cellStyle name="표준 5 2 3 3 5 2 6" xfId="20514" xr:uid="{00000000-0005-0000-0000-0000AD520000}"/>
    <cellStyle name="표준 5 2 3 3 5 2 7" xfId="24610" xr:uid="{00000000-0005-0000-0000-0000AE520000}"/>
    <cellStyle name="표준 5 2 3 3 5 2 8" xfId="32821" xr:uid="{00000000-0005-0000-0000-0000AF520000}"/>
    <cellStyle name="표준 5 2 3 3 5 2 9" xfId="41014" xr:uid="{00000000-0005-0000-0000-0000B0520000}"/>
    <cellStyle name="표준 5 2 3 3 5 3" xfId="1657" xr:uid="{00000000-0005-0000-0000-0000B1520000}"/>
    <cellStyle name="표준 5 2 3 3 5 3 2" xfId="10560" xr:uid="{00000000-0005-0000-0000-0000B2520000}"/>
    <cellStyle name="표준 5 2 3 3 5 3 2 2" xfId="14672" xr:uid="{00000000-0005-0000-0000-0000B3520000}"/>
    <cellStyle name="표준 5 2 3 3 5 3 2 2 2" xfId="31266" xr:uid="{00000000-0005-0000-0000-0000B4520000}"/>
    <cellStyle name="표준 5 2 3 3 5 3 2 2 3" xfId="39477" xr:uid="{00000000-0005-0000-0000-0000B5520000}"/>
    <cellStyle name="표준 5 2 3 3 5 3 2 2 4" xfId="47670" xr:uid="{00000000-0005-0000-0000-0000B6520000}"/>
    <cellStyle name="표준 5 2 3 3 5 3 2 3" xfId="18912" xr:uid="{00000000-0005-0000-0000-0000B7520000}"/>
    <cellStyle name="표준 5 2 3 3 5 3 2 4" xfId="23074" xr:uid="{00000000-0005-0000-0000-0000B8520000}"/>
    <cellStyle name="표준 5 2 3 3 5 3 2 5" xfId="27170" xr:uid="{00000000-0005-0000-0000-0000B9520000}"/>
    <cellStyle name="표준 5 2 3 3 5 3 2 6" xfId="35381" xr:uid="{00000000-0005-0000-0000-0000BA520000}"/>
    <cellStyle name="표준 5 2 3 3 5 3 2 7" xfId="43574" xr:uid="{00000000-0005-0000-0000-0000BB520000}"/>
    <cellStyle name="표준 5 2 3 3 5 3 3" xfId="8512" xr:uid="{00000000-0005-0000-0000-0000BC520000}"/>
    <cellStyle name="표준 5 2 3 3 5 3 3 2" xfId="29218" xr:uid="{00000000-0005-0000-0000-0000BD520000}"/>
    <cellStyle name="표준 5 2 3 3 5 3 3 3" xfId="37429" xr:uid="{00000000-0005-0000-0000-0000BE520000}"/>
    <cellStyle name="표준 5 2 3 3 5 3 3 4" xfId="45622" xr:uid="{00000000-0005-0000-0000-0000BF520000}"/>
    <cellStyle name="표준 5 2 3 3 5 3 4" xfId="12624" xr:uid="{00000000-0005-0000-0000-0000C0520000}"/>
    <cellStyle name="표준 5 2 3 3 5 3 5" xfId="16864" xr:uid="{00000000-0005-0000-0000-0000C1520000}"/>
    <cellStyle name="표준 5 2 3 3 5 3 6" xfId="21026" xr:uid="{00000000-0005-0000-0000-0000C2520000}"/>
    <cellStyle name="표준 5 2 3 3 5 3 7" xfId="25122" xr:uid="{00000000-0005-0000-0000-0000C3520000}"/>
    <cellStyle name="표준 5 2 3 3 5 3 8" xfId="33333" xr:uid="{00000000-0005-0000-0000-0000C4520000}"/>
    <cellStyle name="표준 5 2 3 3 5 3 9" xfId="41526" xr:uid="{00000000-0005-0000-0000-0000C5520000}"/>
    <cellStyle name="표준 5 2 3 3 5 4" xfId="2169" xr:uid="{00000000-0005-0000-0000-0000C6520000}"/>
    <cellStyle name="표준 5 2 3 3 5 4 2" xfId="11072" xr:uid="{00000000-0005-0000-0000-0000C7520000}"/>
    <cellStyle name="표준 5 2 3 3 5 4 2 2" xfId="15184" xr:uid="{00000000-0005-0000-0000-0000C8520000}"/>
    <cellStyle name="표준 5 2 3 3 5 4 2 2 2" xfId="31778" xr:uid="{00000000-0005-0000-0000-0000C9520000}"/>
    <cellStyle name="표준 5 2 3 3 5 4 2 2 3" xfId="39989" xr:uid="{00000000-0005-0000-0000-0000CA520000}"/>
    <cellStyle name="표준 5 2 3 3 5 4 2 2 4" xfId="48182" xr:uid="{00000000-0005-0000-0000-0000CB520000}"/>
    <cellStyle name="표준 5 2 3 3 5 4 2 3" xfId="19424" xr:uid="{00000000-0005-0000-0000-0000CC520000}"/>
    <cellStyle name="표준 5 2 3 3 5 4 2 4" xfId="23586" xr:uid="{00000000-0005-0000-0000-0000CD520000}"/>
    <cellStyle name="표준 5 2 3 3 5 4 2 5" xfId="27682" xr:uid="{00000000-0005-0000-0000-0000CE520000}"/>
    <cellStyle name="표준 5 2 3 3 5 4 2 6" xfId="35893" xr:uid="{00000000-0005-0000-0000-0000CF520000}"/>
    <cellStyle name="표준 5 2 3 3 5 4 2 7" xfId="44086" xr:uid="{00000000-0005-0000-0000-0000D0520000}"/>
    <cellStyle name="표준 5 2 3 3 5 4 3" xfId="9024" xr:uid="{00000000-0005-0000-0000-0000D1520000}"/>
    <cellStyle name="표준 5 2 3 3 5 4 3 2" xfId="29730" xr:uid="{00000000-0005-0000-0000-0000D2520000}"/>
    <cellStyle name="표준 5 2 3 3 5 4 3 3" xfId="37941" xr:uid="{00000000-0005-0000-0000-0000D3520000}"/>
    <cellStyle name="표준 5 2 3 3 5 4 3 4" xfId="46134" xr:uid="{00000000-0005-0000-0000-0000D4520000}"/>
    <cellStyle name="표준 5 2 3 3 5 4 4" xfId="13136" xr:uid="{00000000-0005-0000-0000-0000D5520000}"/>
    <cellStyle name="표준 5 2 3 3 5 4 5" xfId="17376" xr:uid="{00000000-0005-0000-0000-0000D6520000}"/>
    <cellStyle name="표준 5 2 3 3 5 4 6" xfId="21538" xr:uid="{00000000-0005-0000-0000-0000D7520000}"/>
    <cellStyle name="표준 5 2 3 3 5 4 7" xfId="25634" xr:uid="{00000000-0005-0000-0000-0000D8520000}"/>
    <cellStyle name="표준 5 2 3 3 5 4 8" xfId="33845" xr:uid="{00000000-0005-0000-0000-0000D9520000}"/>
    <cellStyle name="표준 5 2 3 3 5 4 9" xfId="42038" xr:uid="{00000000-0005-0000-0000-0000DA520000}"/>
    <cellStyle name="표준 5 2 3 3 5 5" xfId="9536" xr:uid="{00000000-0005-0000-0000-0000DB520000}"/>
    <cellStyle name="표준 5 2 3 3 5 5 2" xfId="13648" xr:uid="{00000000-0005-0000-0000-0000DC520000}"/>
    <cellStyle name="표준 5 2 3 3 5 5 2 2" xfId="30242" xr:uid="{00000000-0005-0000-0000-0000DD520000}"/>
    <cellStyle name="표준 5 2 3 3 5 5 2 3" xfId="38453" xr:uid="{00000000-0005-0000-0000-0000DE520000}"/>
    <cellStyle name="표준 5 2 3 3 5 5 2 4" xfId="46646" xr:uid="{00000000-0005-0000-0000-0000DF520000}"/>
    <cellStyle name="표준 5 2 3 3 5 5 3" xfId="17888" xr:uid="{00000000-0005-0000-0000-0000E0520000}"/>
    <cellStyle name="표준 5 2 3 3 5 5 4" xfId="22050" xr:uid="{00000000-0005-0000-0000-0000E1520000}"/>
    <cellStyle name="표준 5 2 3 3 5 5 5" xfId="26146" xr:uid="{00000000-0005-0000-0000-0000E2520000}"/>
    <cellStyle name="표준 5 2 3 3 5 5 6" xfId="34357" xr:uid="{00000000-0005-0000-0000-0000E3520000}"/>
    <cellStyle name="표준 5 2 3 3 5 5 7" xfId="42550" xr:uid="{00000000-0005-0000-0000-0000E4520000}"/>
    <cellStyle name="표준 5 2 3 3 5 6" xfId="7488" xr:uid="{00000000-0005-0000-0000-0000E5520000}"/>
    <cellStyle name="표준 5 2 3 3 5 6 2" xfId="28194" xr:uid="{00000000-0005-0000-0000-0000E6520000}"/>
    <cellStyle name="표준 5 2 3 3 5 6 3" xfId="36405" xr:uid="{00000000-0005-0000-0000-0000E7520000}"/>
    <cellStyle name="표준 5 2 3 3 5 6 4" xfId="44598" xr:uid="{00000000-0005-0000-0000-0000E8520000}"/>
    <cellStyle name="표준 5 2 3 3 5 7" xfId="11600" xr:uid="{00000000-0005-0000-0000-0000E9520000}"/>
    <cellStyle name="표준 5 2 3 3 5 8" xfId="15840" xr:uid="{00000000-0005-0000-0000-0000EA520000}"/>
    <cellStyle name="표준 5 2 3 3 5 9" xfId="20002" xr:uid="{00000000-0005-0000-0000-0000EB520000}"/>
    <cellStyle name="표준 5 2 3 3 6" xfId="889" xr:uid="{00000000-0005-0000-0000-0000EC520000}"/>
    <cellStyle name="표준 5 2 3 3 6 2" xfId="9792" xr:uid="{00000000-0005-0000-0000-0000ED520000}"/>
    <cellStyle name="표준 5 2 3 3 6 2 2" xfId="13904" xr:uid="{00000000-0005-0000-0000-0000EE520000}"/>
    <cellStyle name="표준 5 2 3 3 6 2 2 2" xfId="30498" xr:uid="{00000000-0005-0000-0000-0000EF520000}"/>
    <cellStyle name="표준 5 2 3 3 6 2 2 3" xfId="38709" xr:uid="{00000000-0005-0000-0000-0000F0520000}"/>
    <cellStyle name="표준 5 2 3 3 6 2 2 4" xfId="46902" xr:uid="{00000000-0005-0000-0000-0000F1520000}"/>
    <cellStyle name="표준 5 2 3 3 6 2 3" xfId="18144" xr:uid="{00000000-0005-0000-0000-0000F2520000}"/>
    <cellStyle name="표준 5 2 3 3 6 2 4" xfId="22306" xr:uid="{00000000-0005-0000-0000-0000F3520000}"/>
    <cellStyle name="표준 5 2 3 3 6 2 5" xfId="26402" xr:uid="{00000000-0005-0000-0000-0000F4520000}"/>
    <cellStyle name="표준 5 2 3 3 6 2 6" xfId="34613" xr:uid="{00000000-0005-0000-0000-0000F5520000}"/>
    <cellStyle name="표준 5 2 3 3 6 2 7" xfId="42806" xr:uid="{00000000-0005-0000-0000-0000F6520000}"/>
    <cellStyle name="표준 5 2 3 3 6 3" xfId="7744" xr:uid="{00000000-0005-0000-0000-0000F7520000}"/>
    <cellStyle name="표준 5 2 3 3 6 3 2" xfId="28450" xr:uid="{00000000-0005-0000-0000-0000F8520000}"/>
    <cellStyle name="표준 5 2 3 3 6 3 3" xfId="36661" xr:uid="{00000000-0005-0000-0000-0000F9520000}"/>
    <cellStyle name="표준 5 2 3 3 6 3 4" xfId="44854" xr:uid="{00000000-0005-0000-0000-0000FA520000}"/>
    <cellStyle name="표준 5 2 3 3 6 4" xfId="11856" xr:uid="{00000000-0005-0000-0000-0000FB520000}"/>
    <cellStyle name="표준 5 2 3 3 6 5" xfId="16096" xr:uid="{00000000-0005-0000-0000-0000FC520000}"/>
    <cellStyle name="표준 5 2 3 3 6 6" xfId="20258" xr:uid="{00000000-0005-0000-0000-0000FD520000}"/>
    <cellStyle name="표준 5 2 3 3 6 7" xfId="24354" xr:uid="{00000000-0005-0000-0000-0000FE520000}"/>
    <cellStyle name="표준 5 2 3 3 6 8" xfId="32565" xr:uid="{00000000-0005-0000-0000-0000FF520000}"/>
    <cellStyle name="표준 5 2 3 3 6 9" xfId="40758" xr:uid="{00000000-0005-0000-0000-000000530000}"/>
    <cellStyle name="표준 5 2 3 3 7" xfId="1401" xr:uid="{00000000-0005-0000-0000-000001530000}"/>
    <cellStyle name="표준 5 2 3 3 7 2" xfId="10304" xr:uid="{00000000-0005-0000-0000-000002530000}"/>
    <cellStyle name="표준 5 2 3 3 7 2 2" xfId="14416" xr:uid="{00000000-0005-0000-0000-000003530000}"/>
    <cellStyle name="표준 5 2 3 3 7 2 2 2" xfId="31010" xr:uid="{00000000-0005-0000-0000-000004530000}"/>
    <cellStyle name="표준 5 2 3 3 7 2 2 3" xfId="39221" xr:uid="{00000000-0005-0000-0000-000005530000}"/>
    <cellStyle name="표준 5 2 3 3 7 2 2 4" xfId="47414" xr:uid="{00000000-0005-0000-0000-000006530000}"/>
    <cellStyle name="표준 5 2 3 3 7 2 3" xfId="18656" xr:uid="{00000000-0005-0000-0000-000007530000}"/>
    <cellStyle name="표준 5 2 3 3 7 2 4" xfId="22818" xr:uid="{00000000-0005-0000-0000-000008530000}"/>
    <cellStyle name="표준 5 2 3 3 7 2 5" xfId="26914" xr:uid="{00000000-0005-0000-0000-000009530000}"/>
    <cellStyle name="표준 5 2 3 3 7 2 6" xfId="35125" xr:uid="{00000000-0005-0000-0000-00000A530000}"/>
    <cellStyle name="표준 5 2 3 3 7 2 7" xfId="43318" xr:uid="{00000000-0005-0000-0000-00000B530000}"/>
    <cellStyle name="표준 5 2 3 3 7 3" xfId="8256" xr:uid="{00000000-0005-0000-0000-00000C530000}"/>
    <cellStyle name="표준 5 2 3 3 7 3 2" xfId="28962" xr:uid="{00000000-0005-0000-0000-00000D530000}"/>
    <cellStyle name="표준 5 2 3 3 7 3 3" xfId="37173" xr:uid="{00000000-0005-0000-0000-00000E530000}"/>
    <cellStyle name="표준 5 2 3 3 7 3 4" xfId="45366" xr:uid="{00000000-0005-0000-0000-00000F530000}"/>
    <cellStyle name="표준 5 2 3 3 7 4" xfId="12368" xr:uid="{00000000-0005-0000-0000-000010530000}"/>
    <cellStyle name="표준 5 2 3 3 7 5" xfId="16608" xr:uid="{00000000-0005-0000-0000-000011530000}"/>
    <cellStyle name="표준 5 2 3 3 7 6" xfId="20770" xr:uid="{00000000-0005-0000-0000-000012530000}"/>
    <cellStyle name="표준 5 2 3 3 7 7" xfId="24866" xr:uid="{00000000-0005-0000-0000-000013530000}"/>
    <cellStyle name="표준 5 2 3 3 7 8" xfId="33077" xr:uid="{00000000-0005-0000-0000-000014530000}"/>
    <cellStyle name="표준 5 2 3 3 7 9" xfId="41270" xr:uid="{00000000-0005-0000-0000-000015530000}"/>
    <cellStyle name="표준 5 2 3 3 8" xfId="1913" xr:uid="{00000000-0005-0000-0000-000016530000}"/>
    <cellStyle name="표준 5 2 3 3 8 2" xfId="10816" xr:uid="{00000000-0005-0000-0000-000017530000}"/>
    <cellStyle name="표준 5 2 3 3 8 2 2" xfId="14928" xr:uid="{00000000-0005-0000-0000-000018530000}"/>
    <cellStyle name="표준 5 2 3 3 8 2 2 2" xfId="31522" xr:uid="{00000000-0005-0000-0000-000019530000}"/>
    <cellStyle name="표준 5 2 3 3 8 2 2 3" xfId="39733" xr:uid="{00000000-0005-0000-0000-00001A530000}"/>
    <cellStyle name="표준 5 2 3 3 8 2 2 4" xfId="47926" xr:uid="{00000000-0005-0000-0000-00001B530000}"/>
    <cellStyle name="표준 5 2 3 3 8 2 3" xfId="19168" xr:uid="{00000000-0005-0000-0000-00001C530000}"/>
    <cellStyle name="표준 5 2 3 3 8 2 4" xfId="23330" xr:uid="{00000000-0005-0000-0000-00001D530000}"/>
    <cellStyle name="표준 5 2 3 3 8 2 5" xfId="27426" xr:uid="{00000000-0005-0000-0000-00001E530000}"/>
    <cellStyle name="표준 5 2 3 3 8 2 6" xfId="35637" xr:uid="{00000000-0005-0000-0000-00001F530000}"/>
    <cellStyle name="표준 5 2 3 3 8 2 7" xfId="43830" xr:uid="{00000000-0005-0000-0000-000020530000}"/>
    <cellStyle name="표준 5 2 3 3 8 3" xfId="8768" xr:uid="{00000000-0005-0000-0000-000021530000}"/>
    <cellStyle name="표준 5 2 3 3 8 3 2" xfId="29474" xr:uid="{00000000-0005-0000-0000-000022530000}"/>
    <cellStyle name="표준 5 2 3 3 8 3 3" xfId="37685" xr:uid="{00000000-0005-0000-0000-000023530000}"/>
    <cellStyle name="표준 5 2 3 3 8 3 4" xfId="45878" xr:uid="{00000000-0005-0000-0000-000024530000}"/>
    <cellStyle name="표준 5 2 3 3 8 4" xfId="12880" xr:uid="{00000000-0005-0000-0000-000025530000}"/>
    <cellStyle name="표준 5 2 3 3 8 5" xfId="17120" xr:uid="{00000000-0005-0000-0000-000026530000}"/>
    <cellStyle name="표준 5 2 3 3 8 6" xfId="21282" xr:uid="{00000000-0005-0000-0000-000027530000}"/>
    <cellStyle name="표준 5 2 3 3 8 7" xfId="25378" xr:uid="{00000000-0005-0000-0000-000028530000}"/>
    <cellStyle name="표준 5 2 3 3 8 8" xfId="33589" xr:uid="{00000000-0005-0000-0000-000029530000}"/>
    <cellStyle name="표준 5 2 3 3 8 9" xfId="41782" xr:uid="{00000000-0005-0000-0000-00002A530000}"/>
    <cellStyle name="표준 5 2 3 3 9" xfId="6969" xr:uid="{00000000-0005-0000-0000-00002B530000}"/>
    <cellStyle name="표준 5 2 3 3 9 2" xfId="9280" xr:uid="{00000000-0005-0000-0000-00002C530000}"/>
    <cellStyle name="표준 5 2 3 3 9 2 2" xfId="29986" xr:uid="{00000000-0005-0000-0000-00002D530000}"/>
    <cellStyle name="표준 5 2 3 3 9 2 3" xfId="38197" xr:uid="{00000000-0005-0000-0000-00002E530000}"/>
    <cellStyle name="표준 5 2 3 3 9 2 4" xfId="46390" xr:uid="{00000000-0005-0000-0000-00002F530000}"/>
    <cellStyle name="표준 5 2 3 3 9 3" xfId="13392" xr:uid="{00000000-0005-0000-0000-000030530000}"/>
    <cellStyle name="표준 5 2 3 3 9 4" xfId="17632" xr:uid="{00000000-0005-0000-0000-000031530000}"/>
    <cellStyle name="표준 5 2 3 3 9 5" xfId="21794" xr:uid="{00000000-0005-0000-0000-000032530000}"/>
    <cellStyle name="표준 5 2 3 3 9 6" xfId="25890" xr:uid="{00000000-0005-0000-0000-000033530000}"/>
    <cellStyle name="표준 5 2 3 3 9 7" xfId="34101" xr:uid="{00000000-0005-0000-0000-000034530000}"/>
    <cellStyle name="표준 5 2 3 3 9 8" xfId="42294" xr:uid="{00000000-0005-0000-0000-000035530000}"/>
    <cellStyle name="표준 5 2 3 30" xfId="23826" xr:uid="{00000000-0005-0000-0000-000036530000}"/>
    <cellStyle name="표준 5 2 3 31" xfId="32020" xr:uid="{00000000-0005-0000-0000-000037530000}"/>
    <cellStyle name="표준 5 2 3 32" xfId="32037" xr:uid="{00000000-0005-0000-0000-000038530000}"/>
    <cellStyle name="표준 5 2 3 33" xfId="40230" xr:uid="{00000000-0005-0000-0000-000039530000}"/>
    <cellStyle name="표준 5 2 3 34" xfId="48432" xr:uid="{00000000-0005-0000-0000-00003A530000}"/>
    <cellStyle name="표준 5 2 3 4" xfId="295" xr:uid="{00000000-0005-0000-0000-00003B530000}"/>
    <cellStyle name="표준 5 2 3 4 10" xfId="7173" xr:uid="{00000000-0005-0000-0000-00003C530000}"/>
    <cellStyle name="표준 5 2 3 4 11" xfId="7248" xr:uid="{00000000-0005-0000-0000-00003D530000}"/>
    <cellStyle name="표준 5 2 3 4 12" xfId="11360" xr:uid="{00000000-0005-0000-0000-00003E530000}"/>
    <cellStyle name="표준 5 2 3 4 13" xfId="15488" xr:uid="{00000000-0005-0000-0000-00003F530000}"/>
    <cellStyle name="표준 5 2 3 4 14" xfId="15600" xr:uid="{00000000-0005-0000-0000-000040530000}"/>
    <cellStyle name="표준 5 2 3 4 15" xfId="19762" xr:uid="{00000000-0005-0000-0000-000041530000}"/>
    <cellStyle name="표준 5 2 3 4 16" xfId="23858" xr:uid="{00000000-0005-0000-0000-000042530000}"/>
    <cellStyle name="표준 5 2 3 4 17" xfId="32069" xr:uid="{00000000-0005-0000-0000-000043530000}"/>
    <cellStyle name="표준 5 2 3 4 18" xfId="40262" xr:uid="{00000000-0005-0000-0000-000044530000}"/>
    <cellStyle name="표준 5 2 3 4 19" xfId="49692" xr:uid="{00000000-0005-0000-0000-000045530000}"/>
    <cellStyle name="표준 5 2 3 4 2" xfId="457" xr:uid="{00000000-0005-0000-0000-000046530000}"/>
    <cellStyle name="표준 5 2 3 4 2 10" xfId="11424" xr:uid="{00000000-0005-0000-0000-000047530000}"/>
    <cellStyle name="표준 5 2 3 4 2 11" xfId="15536" xr:uid="{00000000-0005-0000-0000-000048530000}"/>
    <cellStyle name="표준 5 2 3 4 2 12" xfId="15664" xr:uid="{00000000-0005-0000-0000-000049530000}"/>
    <cellStyle name="표준 5 2 3 4 2 13" xfId="19826" xr:uid="{00000000-0005-0000-0000-00004A530000}"/>
    <cellStyle name="표준 5 2 3 4 2 14" xfId="23922" xr:uid="{00000000-0005-0000-0000-00004B530000}"/>
    <cellStyle name="표준 5 2 3 4 2 15" xfId="32133" xr:uid="{00000000-0005-0000-0000-00004C530000}"/>
    <cellStyle name="표준 5 2 3 4 2 16" xfId="40326" xr:uid="{00000000-0005-0000-0000-00004D530000}"/>
    <cellStyle name="표준 5 2 3 4 2 2" xfId="585" xr:uid="{00000000-0005-0000-0000-00004E530000}"/>
    <cellStyle name="표준 5 2 3 4 2 2 10" xfId="19954" xr:uid="{00000000-0005-0000-0000-00004F530000}"/>
    <cellStyle name="표준 5 2 3 4 2 2 11" xfId="24050" xr:uid="{00000000-0005-0000-0000-000050530000}"/>
    <cellStyle name="표준 5 2 3 4 2 2 12" xfId="32261" xr:uid="{00000000-0005-0000-0000-000051530000}"/>
    <cellStyle name="표준 5 2 3 4 2 2 13" xfId="40454" xr:uid="{00000000-0005-0000-0000-000052530000}"/>
    <cellStyle name="표준 5 2 3 4 2 2 2" xfId="841" xr:uid="{00000000-0005-0000-0000-000053530000}"/>
    <cellStyle name="표준 5 2 3 4 2 2 2 10" xfId="24306" xr:uid="{00000000-0005-0000-0000-000054530000}"/>
    <cellStyle name="표준 5 2 3 4 2 2 2 11" xfId="32517" xr:uid="{00000000-0005-0000-0000-000055530000}"/>
    <cellStyle name="표준 5 2 3 4 2 2 2 12" xfId="40710" xr:uid="{00000000-0005-0000-0000-000056530000}"/>
    <cellStyle name="표준 5 2 3 4 2 2 2 2" xfId="1353" xr:uid="{00000000-0005-0000-0000-000057530000}"/>
    <cellStyle name="표준 5 2 3 4 2 2 2 2 2" xfId="10256" xr:uid="{00000000-0005-0000-0000-000058530000}"/>
    <cellStyle name="표준 5 2 3 4 2 2 2 2 2 2" xfId="14368" xr:uid="{00000000-0005-0000-0000-000059530000}"/>
    <cellStyle name="표준 5 2 3 4 2 2 2 2 2 2 2" xfId="30962" xr:uid="{00000000-0005-0000-0000-00005A530000}"/>
    <cellStyle name="표준 5 2 3 4 2 2 2 2 2 2 3" xfId="39173" xr:uid="{00000000-0005-0000-0000-00005B530000}"/>
    <cellStyle name="표준 5 2 3 4 2 2 2 2 2 2 4" xfId="47366" xr:uid="{00000000-0005-0000-0000-00005C530000}"/>
    <cellStyle name="표준 5 2 3 4 2 2 2 2 2 3" xfId="18608" xr:uid="{00000000-0005-0000-0000-00005D530000}"/>
    <cellStyle name="표준 5 2 3 4 2 2 2 2 2 4" xfId="22770" xr:uid="{00000000-0005-0000-0000-00005E530000}"/>
    <cellStyle name="표준 5 2 3 4 2 2 2 2 2 5" xfId="26866" xr:uid="{00000000-0005-0000-0000-00005F530000}"/>
    <cellStyle name="표준 5 2 3 4 2 2 2 2 2 6" xfId="35077" xr:uid="{00000000-0005-0000-0000-000060530000}"/>
    <cellStyle name="표준 5 2 3 4 2 2 2 2 2 7" xfId="43270" xr:uid="{00000000-0005-0000-0000-000061530000}"/>
    <cellStyle name="표준 5 2 3 4 2 2 2 2 3" xfId="8208" xr:uid="{00000000-0005-0000-0000-000062530000}"/>
    <cellStyle name="표준 5 2 3 4 2 2 2 2 3 2" xfId="28914" xr:uid="{00000000-0005-0000-0000-000063530000}"/>
    <cellStyle name="표준 5 2 3 4 2 2 2 2 3 3" xfId="37125" xr:uid="{00000000-0005-0000-0000-000064530000}"/>
    <cellStyle name="표준 5 2 3 4 2 2 2 2 3 4" xfId="45318" xr:uid="{00000000-0005-0000-0000-000065530000}"/>
    <cellStyle name="표준 5 2 3 4 2 2 2 2 4" xfId="12320" xr:uid="{00000000-0005-0000-0000-000066530000}"/>
    <cellStyle name="표준 5 2 3 4 2 2 2 2 5" xfId="16560" xr:uid="{00000000-0005-0000-0000-000067530000}"/>
    <cellStyle name="표준 5 2 3 4 2 2 2 2 6" xfId="20722" xr:uid="{00000000-0005-0000-0000-000068530000}"/>
    <cellStyle name="표준 5 2 3 4 2 2 2 2 7" xfId="24818" xr:uid="{00000000-0005-0000-0000-000069530000}"/>
    <cellStyle name="표준 5 2 3 4 2 2 2 2 8" xfId="33029" xr:uid="{00000000-0005-0000-0000-00006A530000}"/>
    <cellStyle name="표준 5 2 3 4 2 2 2 2 9" xfId="41222" xr:uid="{00000000-0005-0000-0000-00006B530000}"/>
    <cellStyle name="표준 5 2 3 4 2 2 2 3" xfId="1865" xr:uid="{00000000-0005-0000-0000-00006C530000}"/>
    <cellStyle name="표준 5 2 3 4 2 2 2 3 2" xfId="10768" xr:uid="{00000000-0005-0000-0000-00006D530000}"/>
    <cellStyle name="표준 5 2 3 4 2 2 2 3 2 2" xfId="14880" xr:uid="{00000000-0005-0000-0000-00006E530000}"/>
    <cellStyle name="표준 5 2 3 4 2 2 2 3 2 2 2" xfId="31474" xr:uid="{00000000-0005-0000-0000-00006F530000}"/>
    <cellStyle name="표준 5 2 3 4 2 2 2 3 2 2 3" xfId="39685" xr:uid="{00000000-0005-0000-0000-000070530000}"/>
    <cellStyle name="표준 5 2 3 4 2 2 2 3 2 2 4" xfId="47878" xr:uid="{00000000-0005-0000-0000-000071530000}"/>
    <cellStyle name="표준 5 2 3 4 2 2 2 3 2 3" xfId="19120" xr:uid="{00000000-0005-0000-0000-000072530000}"/>
    <cellStyle name="표준 5 2 3 4 2 2 2 3 2 4" xfId="23282" xr:uid="{00000000-0005-0000-0000-000073530000}"/>
    <cellStyle name="표준 5 2 3 4 2 2 2 3 2 5" xfId="27378" xr:uid="{00000000-0005-0000-0000-000074530000}"/>
    <cellStyle name="표준 5 2 3 4 2 2 2 3 2 6" xfId="35589" xr:uid="{00000000-0005-0000-0000-000075530000}"/>
    <cellStyle name="표준 5 2 3 4 2 2 2 3 2 7" xfId="43782" xr:uid="{00000000-0005-0000-0000-000076530000}"/>
    <cellStyle name="표준 5 2 3 4 2 2 2 3 3" xfId="8720" xr:uid="{00000000-0005-0000-0000-000077530000}"/>
    <cellStyle name="표준 5 2 3 4 2 2 2 3 3 2" xfId="29426" xr:uid="{00000000-0005-0000-0000-000078530000}"/>
    <cellStyle name="표준 5 2 3 4 2 2 2 3 3 3" xfId="37637" xr:uid="{00000000-0005-0000-0000-000079530000}"/>
    <cellStyle name="표준 5 2 3 4 2 2 2 3 3 4" xfId="45830" xr:uid="{00000000-0005-0000-0000-00007A530000}"/>
    <cellStyle name="표준 5 2 3 4 2 2 2 3 4" xfId="12832" xr:uid="{00000000-0005-0000-0000-00007B530000}"/>
    <cellStyle name="표준 5 2 3 4 2 2 2 3 5" xfId="17072" xr:uid="{00000000-0005-0000-0000-00007C530000}"/>
    <cellStyle name="표준 5 2 3 4 2 2 2 3 6" xfId="21234" xr:uid="{00000000-0005-0000-0000-00007D530000}"/>
    <cellStyle name="표준 5 2 3 4 2 2 2 3 7" xfId="25330" xr:uid="{00000000-0005-0000-0000-00007E530000}"/>
    <cellStyle name="표준 5 2 3 4 2 2 2 3 8" xfId="33541" xr:uid="{00000000-0005-0000-0000-00007F530000}"/>
    <cellStyle name="표준 5 2 3 4 2 2 2 3 9" xfId="41734" xr:uid="{00000000-0005-0000-0000-000080530000}"/>
    <cellStyle name="표준 5 2 3 4 2 2 2 4" xfId="2377" xr:uid="{00000000-0005-0000-0000-000081530000}"/>
    <cellStyle name="표준 5 2 3 4 2 2 2 4 2" xfId="11280" xr:uid="{00000000-0005-0000-0000-000082530000}"/>
    <cellStyle name="표준 5 2 3 4 2 2 2 4 2 2" xfId="15392" xr:uid="{00000000-0005-0000-0000-000083530000}"/>
    <cellStyle name="표준 5 2 3 4 2 2 2 4 2 2 2" xfId="31986" xr:uid="{00000000-0005-0000-0000-000084530000}"/>
    <cellStyle name="표준 5 2 3 4 2 2 2 4 2 2 3" xfId="40197" xr:uid="{00000000-0005-0000-0000-000085530000}"/>
    <cellStyle name="표준 5 2 3 4 2 2 2 4 2 2 4" xfId="48390" xr:uid="{00000000-0005-0000-0000-000086530000}"/>
    <cellStyle name="표준 5 2 3 4 2 2 2 4 2 3" xfId="19632" xr:uid="{00000000-0005-0000-0000-000087530000}"/>
    <cellStyle name="표준 5 2 3 4 2 2 2 4 2 4" xfId="23794" xr:uid="{00000000-0005-0000-0000-000088530000}"/>
    <cellStyle name="표준 5 2 3 4 2 2 2 4 2 5" xfId="27890" xr:uid="{00000000-0005-0000-0000-000089530000}"/>
    <cellStyle name="표준 5 2 3 4 2 2 2 4 2 6" xfId="36101" xr:uid="{00000000-0005-0000-0000-00008A530000}"/>
    <cellStyle name="표준 5 2 3 4 2 2 2 4 2 7" xfId="44294" xr:uid="{00000000-0005-0000-0000-00008B530000}"/>
    <cellStyle name="표준 5 2 3 4 2 2 2 4 3" xfId="9232" xr:uid="{00000000-0005-0000-0000-00008C530000}"/>
    <cellStyle name="표준 5 2 3 4 2 2 2 4 3 2" xfId="29938" xr:uid="{00000000-0005-0000-0000-00008D530000}"/>
    <cellStyle name="표준 5 2 3 4 2 2 2 4 3 3" xfId="38149" xr:uid="{00000000-0005-0000-0000-00008E530000}"/>
    <cellStyle name="표준 5 2 3 4 2 2 2 4 3 4" xfId="46342" xr:uid="{00000000-0005-0000-0000-00008F530000}"/>
    <cellStyle name="표준 5 2 3 4 2 2 2 4 4" xfId="13344" xr:uid="{00000000-0005-0000-0000-000090530000}"/>
    <cellStyle name="표준 5 2 3 4 2 2 2 4 5" xfId="17584" xr:uid="{00000000-0005-0000-0000-000091530000}"/>
    <cellStyle name="표준 5 2 3 4 2 2 2 4 6" xfId="21746" xr:uid="{00000000-0005-0000-0000-000092530000}"/>
    <cellStyle name="표준 5 2 3 4 2 2 2 4 7" xfId="25842" xr:uid="{00000000-0005-0000-0000-000093530000}"/>
    <cellStyle name="표준 5 2 3 4 2 2 2 4 8" xfId="34053" xr:uid="{00000000-0005-0000-0000-000094530000}"/>
    <cellStyle name="표준 5 2 3 4 2 2 2 4 9" xfId="42246" xr:uid="{00000000-0005-0000-0000-000095530000}"/>
    <cellStyle name="표준 5 2 3 4 2 2 2 5" xfId="9744" xr:uid="{00000000-0005-0000-0000-000096530000}"/>
    <cellStyle name="표준 5 2 3 4 2 2 2 5 2" xfId="13856" xr:uid="{00000000-0005-0000-0000-000097530000}"/>
    <cellStyle name="표준 5 2 3 4 2 2 2 5 2 2" xfId="30450" xr:uid="{00000000-0005-0000-0000-000098530000}"/>
    <cellStyle name="표준 5 2 3 4 2 2 2 5 2 3" xfId="38661" xr:uid="{00000000-0005-0000-0000-000099530000}"/>
    <cellStyle name="표준 5 2 3 4 2 2 2 5 2 4" xfId="46854" xr:uid="{00000000-0005-0000-0000-00009A530000}"/>
    <cellStyle name="표준 5 2 3 4 2 2 2 5 3" xfId="18096" xr:uid="{00000000-0005-0000-0000-00009B530000}"/>
    <cellStyle name="표준 5 2 3 4 2 2 2 5 4" xfId="22258" xr:uid="{00000000-0005-0000-0000-00009C530000}"/>
    <cellStyle name="표준 5 2 3 4 2 2 2 5 5" xfId="26354" xr:uid="{00000000-0005-0000-0000-00009D530000}"/>
    <cellStyle name="표준 5 2 3 4 2 2 2 5 6" xfId="34565" xr:uid="{00000000-0005-0000-0000-00009E530000}"/>
    <cellStyle name="표준 5 2 3 4 2 2 2 5 7" xfId="42758" xr:uid="{00000000-0005-0000-0000-00009F530000}"/>
    <cellStyle name="표준 5 2 3 4 2 2 2 6" xfId="7696" xr:uid="{00000000-0005-0000-0000-0000A0530000}"/>
    <cellStyle name="표준 5 2 3 4 2 2 2 6 2" xfId="28402" xr:uid="{00000000-0005-0000-0000-0000A1530000}"/>
    <cellStyle name="표준 5 2 3 4 2 2 2 6 3" xfId="36613" xr:uid="{00000000-0005-0000-0000-0000A2530000}"/>
    <cellStyle name="표준 5 2 3 4 2 2 2 6 4" xfId="44806" xr:uid="{00000000-0005-0000-0000-0000A3530000}"/>
    <cellStyle name="표준 5 2 3 4 2 2 2 7" xfId="11808" xr:uid="{00000000-0005-0000-0000-0000A4530000}"/>
    <cellStyle name="표준 5 2 3 4 2 2 2 8" xfId="16048" xr:uid="{00000000-0005-0000-0000-0000A5530000}"/>
    <cellStyle name="표준 5 2 3 4 2 2 2 9" xfId="20210" xr:uid="{00000000-0005-0000-0000-0000A6530000}"/>
    <cellStyle name="표준 5 2 3 4 2 2 3" xfId="1097" xr:uid="{00000000-0005-0000-0000-0000A7530000}"/>
    <cellStyle name="표준 5 2 3 4 2 2 3 2" xfId="10000" xr:uid="{00000000-0005-0000-0000-0000A8530000}"/>
    <cellStyle name="표준 5 2 3 4 2 2 3 2 2" xfId="14112" xr:uid="{00000000-0005-0000-0000-0000A9530000}"/>
    <cellStyle name="표준 5 2 3 4 2 2 3 2 2 2" xfId="30706" xr:uid="{00000000-0005-0000-0000-0000AA530000}"/>
    <cellStyle name="표준 5 2 3 4 2 2 3 2 2 3" xfId="38917" xr:uid="{00000000-0005-0000-0000-0000AB530000}"/>
    <cellStyle name="표준 5 2 3 4 2 2 3 2 2 4" xfId="47110" xr:uid="{00000000-0005-0000-0000-0000AC530000}"/>
    <cellStyle name="표준 5 2 3 4 2 2 3 2 3" xfId="18352" xr:uid="{00000000-0005-0000-0000-0000AD530000}"/>
    <cellStyle name="표준 5 2 3 4 2 2 3 2 4" xfId="22514" xr:uid="{00000000-0005-0000-0000-0000AE530000}"/>
    <cellStyle name="표준 5 2 3 4 2 2 3 2 5" xfId="26610" xr:uid="{00000000-0005-0000-0000-0000AF530000}"/>
    <cellStyle name="표준 5 2 3 4 2 2 3 2 6" xfId="34821" xr:uid="{00000000-0005-0000-0000-0000B0530000}"/>
    <cellStyle name="표준 5 2 3 4 2 2 3 2 7" xfId="43014" xr:uid="{00000000-0005-0000-0000-0000B1530000}"/>
    <cellStyle name="표준 5 2 3 4 2 2 3 3" xfId="7952" xr:uid="{00000000-0005-0000-0000-0000B2530000}"/>
    <cellStyle name="표준 5 2 3 4 2 2 3 3 2" xfId="28658" xr:uid="{00000000-0005-0000-0000-0000B3530000}"/>
    <cellStyle name="표준 5 2 3 4 2 2 3 3 3" xfId="36869" xr:uid="{00000000-0005-0000-0000-0000B4530000}"/>
    <cellStyle name="표준 5 2 3 4 2 2 3 3 4" xfId="45062" xr:uid="{00000000-0005-0000-0000-0000B5530000}"/>
    <cellStyle name="표준 5 2 3 4 2 2 3 4" xfId="12064" xr:uid="{00000000-0005-0000-0000-0000B6530000}"/>
    <cellStyle name="표준 5 2 3 4 2 2 3 5" xfId="16304" xr:uid="{00000000-0005-0000-0000-0000B7530000}"/>
    <cellStyle name="표준 5 2 3 4 2 2 3 6" xfId="20466" xr:uid="{00000000-0005-0000-0000-0000B8530000}"/>
    <cellStyle name="표준 5 2 3 4 2 2 3 7" xfId="24562" xr:uid="{00000000-0005-0000-0000-0000B9530000}"/>
    <cellStyle name="표준 5 2 3 4 2 2 3 8" xfId="32773" xr:uid="{00000000-0005-0000-0000-0000BA530000}"/>
    <cellStyle name="표준 5 2 3 4 2 2 3 9" xfId="40966" xr:uid="{00000000-0005-0000-0000-0000BB530000}"/>
    <cellStyle name="표준 5 2 3 4 2 2 4" xfId="1609" xr:uid="{00000000-0005-0000-0000-0000BC530000}"/>
    <cellStyle name="표준 5 2 3 4 2 2 4 2" xfId="10512" xr:uid="{00000000-0005-0000-0000-0000BD530000}"/>
    <cellStyle name="표준 5 2 3 4 2 2 4 2 2" xfId="14624" xr:uid="{00000000-0005-0000-0000-0000BE530000}"/>
    <cellStyle name="표준 5 2 3 4 2 2 4 2 2 2" xfId="31218" xr:uid="{00000000-0005-0000-0000-0000BF530000}"/>
    <cellStyle name="표준 5 2 3 4 2 2 4 2 2 3" xfId="39429" xr:uid="{00000000-0005-0000-0000-0000C0530000}"/>
    <cellStyle name="표준 5 2 3 4 2 2 4 2 2 4" xfId="47622" xr:uid="{00000000-0005-0000-0000-0000C1530000}"/>
    <cellStyle name="표준 5 2 3 4 2 2 4 2 3" xfId="18864" xr:uid="{00000000-0005-0000-0000-0000C2530000}"/>
    <cellStyle name="표준 5 2 3 4 2 2 4 2 4" xfId="23026" xr:uid="{00000000-0005-0000-0000-0000C3530000}"/>
    <cellStyle name="표준 5 2 3 4 2 2 4 2 5" xfId="27122" xr:uid="{00000000-0005-0000-0000-0000C4530000}"/>
    <cellStyle name="표준 5 2 3 4 2 2 4 2 6" xfId="35333" xr:uid="{00000000-0005-0000-0000-0000C5530000}"/>
    <cellStyle name="표준 5 2 3 4 2 2 4 2 7" xfId="43526" xr:uid="{00000000-0005-0000-0000-0000C6530000}"/>
    <cellStyle name="표준 5 2 3 4 2 2 4 3" xfId="8464" xr:uid="{00000000-0005-0000-0000-0000C7530000}"/>
    <cellStyle name="표준 5 2 3 4 2 2 4 3 2" xfId="29170" xr:uid="{00000000-0005-0000-0000-0000C8530000}"/>
    <cellStyle name="표준 5 2 3 4 2 2 4 3 3" xfId="37381" xr:uid="{00000000-0005-0000-0000-0000C9530000}"/>
    <cellStyle name="표준 5 2 3 4 2 2 4 3 4" xfId="45574" xr:uid="{00000000-0005-0000-0000-0000CA530000}"/>
    <cellStyle name="표준 5 2 3 4 2 2 4 4" xfId="12576" xr:uid="{00000000-0005-0000-0000-0000CB530000}"/>
    <cellStyle name="표준 5 2 3 4 2 2 4 5" xfId="16816" xr:uid="{00000000-0005-0000-0000-0000CC530000}"/>
    <cellStyle name="표준 5 2 3 4 2 2 4 6" xfId="20978" xr:uid="{00000000-0005-0000-0000-0000CD530000}"/>
    <cellStyle name="표준 5 2 3 4 2 2 4 7" xfId="25074" xr:uid="{00000000-0005-0000-0000-0000CE530000}"/>
    <cellStyle name="표준 5 2 3 4 2 2 4 8" xfId="33285" xr:uid="{00000000-0005-0000-0000-0000CF530000}"/>
    <cellStyle name="표준 5 2 3 4 2 2 4 9" xfId="41478" xr:uid="{00000000-0005-0000-0000-0000D0530000}"/>
    <cellStyle name="표준 5 2 3 4 2 2 5" xfId="2121" xr:uid="{00000000-0005-0000-0000-0000D1530000}"/>
    <cellStyle name="표준 5 2 3 4 2 2 5 2" xfId="11024" xr:uid="{00000000-0005-0000-0000-0000D2530000}"/>
    <cellStyle name="표준 5 2 3 4 2 2 5 2 2" xfId="15136" xr:uid="{00000000-0005-0000-0000-0000D3530000}"/>
    <cellStyle name="표준 5 2 3 4 2 2 5 2 2 2" xfId="31730" xr:uid="{00000000-0005-0000-0000-0000D4530000}"/>
    <cellStyle name="표준 5 2 3 4 2 2 5 2 2 3" xfId="39941" xr:uid="{00000000-0005-0000-0000-0000D5530000}"/>
    <cellStyle name="표준 5 2 3 4 2 2 5 2 2 4" xfId="48134" xr:uid="{00000000-0005-0000-0000-0000D6530000}"/>
    <cellStyle name="표준 5 2 3 4 2 2 5 2 3" xfId="19376" xr:uid="{00000000-0005-0000-0000-0000D7530000}"/>
    <cellStyle name="표준 5 2 3 4 2 2 5 2 4" xfId="23538" xr:uid="{00000000-0005-0000-0000-0000D8530000}"/>
    <cellStyle name="표준 5 2 3 4 2 2 5 2 5" xfId="27634" xr:uid="{00000000-0005-0000-0000-0000D9530000}"/>
    <cellStyle name="표준 5 2 3 4 2 2 5 2 6" xfId="35845" xr:uid="{00000000-0005-0000-0000-0000DA530000}"/>
    <cellStyle name="표준 5 2 3 4 2 2 5 2 7" xfId="44038" xr:uid="{00000000-0005-0000-0000-0000DB530000}"/>
    <cellStyle name="표준 5 2 3 4 2 2 5 3" xfId="8976" xr:uid="{00000000-0005-0000-0000-0000DC530000}"/>
    <cellStyle name="표준 5 2 3 4 2 2 5 3 2" xfId="29682" xr:uid="{00000000-0005-0000-0000-0000DD530000}"/>
    <cellStyle name="표준 5 2 3 4 2 2 5 3 3" xfId="37893" xr:uid="{00000000-0005-0000-0000-0000DE530000}"/>
    <cellStyle name="표준 5 2 3 4 2 2 5 3 4" xfId="46086" xr:uid="{00000000-0005-0000-0000-0000DF530000}"/>
    <cellStyle name="표준 5 2 3 4 2 2 5 4" xfId="13088" xr:uid="{00000000-0005-0000-0000-0000E0530000}"/>
    <cellStyle name="표준 5 2 3 4 2 2 5 5" xfId="17328" xr:uid="{00000000-0005-0000-0000-0000E1530000}"/>
    <cellStyle name="표준 5 2 3 4 2 2 5 6" xfId="21490" xr:uid="{00000000-0005-0000-0000-0000E2530000}"/>
    <cellStyle name="표준 5 2 3 4 2 2 5 7" xfId="25586" xr:uid="{00000000-0005-0000-0000-0000E3530000}"/>
    <cellStyle name="표준 5 2 3 4 2 2 5 8" xfId="33797" xr:uid="{00000000-0005-0000-0000-0000E4530000}"/>
    <cellStyle name="표준 5 2 3 4 2 2 5 9" xfId="41990" xr:uid="{00000000-0005-0000-0000-0000E5530000}"/>
    <cellStyle name="표준 5 2 3 4 2 2 6" xfId="9488" xr:uid="{00000000-0005-0000-0000-0000E6530000}"/>
    <cellStyle name="표준 5 2 3 4 2 2 6 2" xfId="13600" xr:uid="{00000000-0005-0000-0000-0000E7530000}"/>
    <cellStyle name="표준 5 2 3 4 2 2 6 2 2" xfId="30194" xr:uid="{00000000-0005-0000-0000-0000E8530000}"/>
    <cellStyle name="표준 5 2 3 4 2 2 6 2 3" xfId="38405" xr:uid="{00000000-0005-0000-0000-0000E9530000}"/>
    <cellStyle name="표준 5 2 3 4 2 2 6 2 4" xfId="46598" xr:uid="{00000000-0005-0000-0000-0000EA530000}"/>
    <cellStyle name="표준 5 2 3 4 2 2 6 3" xfId="17840" xr:uid="{00000000-0005-0000-0000-0000EB530000}"/>
    <cellStyle name="표준 5 2 3 4 2 2 6 4" xfId="22002" xr:uid="{00000000-0005-0000-0000-0000EC530000}"/>
    <cellStyle name="표준 5 2 3 4 2 2 6 5" xfId="26098" xr:uid="{00000000-0005-0000-0000-0000ED530000}"/>
    <cellStyle name="표준 5 2 3 4 2 2 6 6" xfId="34309" xr:uid="{00000000-0005-0000-0000-0000EE530000}"/>
    <cellStyle name="표준 5 2 3 4 2 2 6 7" xfId="42502" xr:uid="{00000000-0005-0000-0000-0000EF530000}"/>
    <cellStyle name="표준 5 2 3 4 2 2 7" xfId="7440" xr:uid="{00000000-0005-0000-0000-0000F0530000}"/>
    <cellStyle name="표준 5 2 3 4 2 2 7 2" xfId="28146" xr:uid="{00000000-0005-0000-0000-0000F1530000}"/>
    <cellStyle name="표준 5 2 3 4 2 2 7 3" xfId="36357" xr:uid="{00000000-0005-0000-0000-0000F2530000}"/>
    <cellStyle name="표준 5 2 3 4 2 2 7 4" xfId="44550" xr:uid="{00000000-0005-0000-0000-0000F3530000}"/>
    <cellStyle name="표준 5 2 3 4 2 2 8" xfId="11552" xr:uid="{00000000-0005-0000-0000-0000F4530000}"/>
    <cellStyle name="표준 5 2 3 4 2 2 9" xfId="15792" xr:uid="{00000000-0005-0000-0000-0000F5530000}"/>
    <cellStyle name="표준 5 2 3 4 2 3" xfId="713" xr:uid="{00000000-0005-0000-0000-0000F6530000}"/>
    <cellStyle name="표준 5 2 3 4 2 3 10" xfId="24178" xr:uid="{00000000-0005-0000-0000-0000F7530000}"/>
    <cellStyle name="표준 5 2 3 4 2 3 11" xfId="32389" xr:uid="{00000000-0005-0000-0000-0000F8530000}"/>
    <cellStyle name="표준 5 2 3 4 2 3 12" xfId="40582" xr:uid="{00000000-0005-0000-0000-0000F9530000}"/>
    <cellStyle name="표준 5 2 3 4 2 3 2" xfId="1225" xr:uid="{00000000-0005-0000-0000-0000FA530000}"/>
    <cellStyle name="표준 5 2 3 4 2 3 2 2" xfId="10128" xr:uid="{00000000-0005-0000-0000-0000FB530000}"/>
    <cellStyle name="표준 5 2 3 4 2 3 2 2 2" xfId="14240" xr:uid="{00000000-0005-0000-0000-0000FC530000}"/>
    <cellStyle name="표준 5 2 3 4 2 3 2 2 2 2" xfId="30834" xr:uid="{00000000-0005-0000-0000-0000FD530000}"/>
    <cellStyle name="표준 5 2 3 4 2 3 2 2 2 3" xfId="39045" xr:uid="{00000000-0005-0000-0000-0000FE530000}"/>
    <cellStyle name="표준 5 2 3 4 2 3 2 2 2 4" xfId="47238" xr:uid="{00000000-0005-0000-0000-0000FF530000}"/>
    <cellStyle name="표준 5 2 3 4 2 3 2 2 3" xfId="18480" xr:uid="{00000000-0005-0000-0000-000000540000}"/>
    <cellStyle name="표준 5 2 3 4 2 3 2 2 4" xfId="22642" xr:uid="{00000000-0005-0000-0000-000001540000}"/>
    <cellStyle name="표준 5 2 3 4 2 3 2 2 5" xfId="26738" xr:uid="{00000000-0005-0000-0000-000002540000}"/>
    <cellStyle name="표준 5 2 3 4 2 3 2 2 6" xfId="34949" xr:uid="{00000000-0005-0000-0000-000003540000}"/>
    <cellStyle name="표준 5 2 3 4 2 3 2 2 7" xfId="43142" xr:uid="{00000000-0005-0000-0000-000004540000}"/>
    <cellStyle name="표준 5 2 3 4 2 3 2 3" xfId="8080" xr:uid="{00000000-0005-0000-0000-000005540000}"/>
    <cellStyle name="표준 5 2 3 4 2 3 2 3 2" xfId="28786" xr:uid="{00000000-0005-0000-0000-000006540000}"/>
    <cellStyle name="표준 5 2 3 4 2 3 2 3 3" xfId="36997" xr:uid="{00000000-0005-0000-0000-000007540000}"/>
    <cellStyle name="표준 5 2 3 4 2 3 2 3 4" xfId="45190" xr:uid="{00000000-0005-0000-0000-000008540000}"/>
    <cellStyle name="표준 5 2 3 4 2 3 2 4" xfId="12192" xr:uid="{00000000-0005-0000-0000-000009540000}"/>
    <cellStyle name="표준 5 2 3 4 2 3 2 5" xfId="16432" xr:uid="{00000000-0005-0000-0000-00000A540000}"/>
    <cellStyle name="표준 5 2 3 4 2 3 2 6" xfId="20594" xr:uid="{00000000-0005-0000-0000-00000B540000}"/>
    <cellStyle name="표준 5 2 3 4 2 3 2 7" xfId="24690" xr:uid="{00000000-0005-0000-0000-00000C540000}"/>
    <cellStyle name="표준 5 2 3 4 2 3 2 8" xfId="32901" xr:uid="{00000000-0005-0000-0000-00000D540000}"/>
    <cellStyle name="표준 5 2 3 4 2 3 2 9" xfId="41094" xr:uid="{00000000-0005-0000-0000-00000E540000}"/>
    <cellStyle name="표준 5 2 3 4 2 3 3" xfId="1737" xr:uid="{00000000-0005-0000-0000-00000F540000}"/>
    <cellStyle name="표준 5 2 3 4 2 3 3 2" xfId="10640" xr:uid="{00000000-0005-0000-0000-000010540000}"/>
    <cellStyle name="표준 5 2 3 4 2 3 3 2 2" xfId="14752" xr:uid="{00000000-0005-0000-0000-000011540000}"/>
    <cellStyle name="표준 5 2 3 4 2 3 3 2 2 2" xfId="31346" xr:uid="{00000000-0005-0000-0000-000012540000}"/>
    <cellStyle name="표준 5 2 3 4 2 3 3 2 2 3" xfId="39557" xr:uid="{00000000-0005-0000-0000-000013540000}"/>
    <cellStyle name="표준 5 2 3 4 2 3 3 2 2 4" xfId="47750" xr:uid="{00000000-0005-0000-0000-000014540000}"/>
    <cellStyle name="표준 5 2 3 4 2 3 3 2 3" xfId="18992" xr:uid="{00000000-0005-0000-0000-000015540000}"/>
    <cellStyle name="표준 5 2 3 4 2 3 3 2 4" xfId="23154" xr:uid="{00000000-0005-0000-0000-000016540000}"/>
    <cellStyle name="표준 5 2 3 4 2 3 3 2 5" xfId="27250" xr:uid="{00000000-0005-0000-0000-000017540000}"/>
    <cellStyle name="표준 5 2 3 4 2 3 3 2 6" xfId="35461" xr:uid="{00000000-0005-0000-0000-000018540000}"/>
    <cellStyle name="표준 5 2 3 4 2 3 3 2 7" xfId="43654" xr:uid="{00000000-0005-0000-0000-000019540000}"/>
    <cellStyle name="표준 5 2 3 4 2 3 3 3" xfId="8592" xr:uid="{00000000-0005-0000-0000-00001A540000}"/>
    <cellStyle name="표준 5 2 3 4 2 3 3 3 2" xfId="29298" xr:uid="{00000000-0005-0000-0000-00001B540000}"/>
    <cellStyle name="표준 5 2 3 4 2 3 3 3 3" xfId="37509" xr:uid="{00000000-0005-0000-0000-00001C540000}"/>
    <cellStyle name="표준 5 2 3 4 2 3 3 3 4" xfId="45702" xr:uid="{00000000-0005-0000-0000-00001D540000}"/>
    <cellStyle name="표준 5 2 3 4 2 3 3 4" xfId="12704" xr:uid="{00000000-0005-0000-0000-00001E540000}"/>
    <cellStyle name="표준 5 2 3 4 2 3 3 5" xfId="16944" xr:uid="{00000000-0005-0000-0000-00001F540000}"/>
    <cellStyle name="표준 5 2 3 4 2 3 3 6" xfId="21106" xr:uid="{00000000-0005-0000-0000-000020540000}"/>
    <cellStyle name="표준 5 2 3 4 2 3 3 7" xfId="25202" xr:uid="{00000000-0005-0000-0000-000021540000}"/>
    <cellStyle name="표준 5 2 3 4 2 3 3 8" xfId="33413" xr:uid="{00000000-0005-0000-0000-000022540000}"/>
    <cellStyle name="표준 5 2 3 4 2 3 3 9" xfId="41606" xr:uid="{00000000-0005-0000-0000-000023540000}"/>
    <cellStyle name="표준 5 2 3 4 2 3 4" xfId="2249" xr:uid="{00000000-0005-0000-0000-000024540000}"/>
    <cellStyle name="표준 5 2 3 4 2 3 4 2" xfId="11152" xr:uid="{00000000-0005-0000-0000-000025540000}"/>
    <cellStyle name="표준 5 2 3 4 2 3 4 2 2" xfId="15264" xr:uid="{00000000-0005-0000-0000-000026540000}"/>
    <cellStyle name="표준 5 2 3 4 2 3 4 2 2 2" xfId="31858" xr:uid="{00000000-0005-0000-0000-000027540000}"/>
    <cellStyle name="표준 5 2 3 4 2 3 4 2 2 3" xfId="40069" xr:uid="{00000000-0005-0000-0000-000028540000}"/>
    <cellStyle name="표준 5 2 3 4 2 3 4 2 2 4" xfId="48262" xr:uid="{00000000-0005-0000-0000-000029540000}"/>
    <cellStyle name="표준 5 2 3 4 2 3 4 2 3" xfId="19504" xr:uid="{00000000-0005-0000-0000-00002A540000}"/>
    <cellStyle name="표준 5 2 3 4 2 3 4 2 4" xfId="23666" xr:uid="{00000000-0005-0000-0000-00002B540000}"/>
    <cellStyle name="표준 5 2 3 4 2 3 4 2 5" xfId="27762" xr:uid="{00000000-0005-0000-0000-00002C540000}"/>
    <cellStyle name="표준 5 2 3 4 2 3 4 2 6" xfId="35973" xr:uid="{00000000-0005-0000-0000-00002D540000}"/>
    <cellStyle name="표준 5 2 3 4 2 3 4 2 7" xfId="44166" xr:uid="{00000000-0005-0000-0000-00002E540000}"/>
    <cellStyle name="표준 5 2 3 4 2 3 4 3" xfId="9104" xr:uid="{00000000-0005-0000-0000-00002F540000}"/>
    <cellStyle name="표준 5 2 3 4 2 3 4 3 2" xfId="29810" xr:uid="{00000000-0005-0000-0000-000030540000}"/>
    <cellStyle name="표준 5 2 3 4 2 3 4 3 3" xfId="38021" xr:uid="{00000000-0005-0000-0000-000031540000}"/>
    <cellStyle name="표준 5 2 3 4 2 3 4 3 4" xfId="46214" xr:uid="{00000000-0005-0000-0000-000032540000}"/>
    <cellStyle name="표준 5 2 3 4 2 3 4 4" xfId="13216" xr:uid="{00000000-0005-0000-0000-000033540000}"/>
    <cellStyle name="표준 5 2 3 4 2 3 4 5" xfId="17456" xr:uid="{00000000-0005-0000-0000-000034540000}"/>
    <cellStyle name="표준 5 2 3 4 2 3 4 6" xfId="21618" xr:uid="{00000000-0005-0000-0000-000035540000}"/>
    <cellStyle name="표준 5 2 3 4 2 3 4 7" xfId="25714" xr:uid="{00000000-0005-0000-0000-000036540000}"/>
    <cellStyle name="표준 5 2 3 4 2 3 4 8" xfId="33925" xr:uid="{00000000-0005-0000-0000-000037540000}"/>
    <cellStyle name="표준 5 2 3 4 2 3 4 9" xfId="42118" xr:uid="{00000000-0005-0000-0000-000038540000}"/>
    <cellStyle name="표준 5 2 3 4 2 3 5" xfId="9616" xr:uid="{00000000-0005-0000-0000-000039540000}"/>
    <cellStyle name="표준 5 2 3 4 2 3 5 2" xfId="13728" xr:uid="{00000000-0005-0000-0000-00003A540000}"/>
    <cellStyle name="표준 5 2 3 4 2 3 5 2 2" xfId="30322" xr:uid="{00000000-0005-0000-0000-00003B540000}"/>
    <cellStyle name="표준 5 2 3 4 2 3 5 2 3" xfId="38533" xr:uid="{00000000-0005-0000-0000-00003C540000}"/>
    <cellStyle name="표준 5 2 3 4 2 3 5 2 4" xfId="46726" xr:uid="{00000000-0005-0000-0000-00003D540000}"/>
    <cellStyle name="표준 5 2 3 4 2 3 5 3" xfId="17968" xr:uid="{00000000-0005-0000-0000-00003E540000}"/>
    <cellStyle name="표준 5 2 3 4 2 3 5 4" xfId="22130" xr:uid="{00000000-0005-0000-0000-00003F540000}"/>
    <cellStyle name="표준 5 2 3 4 2 3 5 5" xfId="26226" xr:uid="{00000000-0005-0000-0000-000040540000}"/>
    <cellStyle name="표준 5 2 3 4 2 3 5 6" xfId="34437" xr:uid="{00000000-0005-0000-0000-000041540000}"/>
    <cellStyle name="표준 5 2 3 4 2 3 5 7" xfId="42630" xr:uid="{00000000-0005-0000-0000-000042540000}"/>
    <cellStyle name="표준 5 2 3 4 2 3 6" xfId="7568" xr:uid="{00000000-0005-0000-0000-000043540000}"/>
    <cellStyle name="표준 5 2 3 4 2 3 6 2" xfId="28274" xr:uid="{00000000-0005-0000-0000-000044540000}"/>
    <cellStyle name="표준 5 2 3 4 2 3 6 3" xfId="36485" xr:uid="{00000000-0005-0000-0000-000045540000}"/>
    <cellStyle name="표준 5 2 3 4 2 3 6 4" xfId="44678" xr:uid="{00000000-0005-0000-0000-000046540000}"/>
    <cellStyle name="표준 5 2 3 4 2 3 7" xfId="11680" xr:uid="{00000000-0005-0000-0000-000047540000}"/>
    <cellStyle name="표준 5 2 3 4 2 3 8" xfId="15920" xr:uid="{00000000-0005-0000-0000-000048540000}"/>
    <cellStyle name="표준 5 2 3 4 2 3 9" xfId="20082" xr:uid="{00000000-0005-0000-0000-000049540000}"/>
    <cellStyle name="표준 5 2 3 4 2 4" xfId="969" xr:uid="{00000000-0005-0000-0000-00004A540000}"/>
    <cellStyle name="표준 5 2 3 4 2 4 2" xfId="9872" xr:uid="{00000000-0005-0000-0000-00004B540000}"/>
    <cellStyle name="표준 5 2 3 4 2 4 2 2" xfId="13984" xr:uid="{00000000-0005-0000-0000-00004C540000}"/>
    <cellStyle name="표준 5 2 3 4 2 4 2 2 2" xfId="30578" xr:uid="{00000000-0005-0000-0000-00004D540000}"/>
    <cellStyle name="표준 5 2 3 4 2 4 2 2 3" xfId="38789" xr:uid="{00000000-0005-0000-0000-00004E540000}"/>
    <cellStyle name="표준 5 2 3 4 2 4 2 2 4" xfId="46982" xr:uid="{00000000-0005-0000-0000-00004F540000}"/>
    <cellStyle name="표준 5 2 3 4 2 4 2 3" xfId="18224" xr:uid="{00000000-0005-0000-0000-000050540000}"/>
    <cellStyle name="표준 5 2 3 4 2 4 2 4" xfId="22386" xr:uid="{00000000-0005-0000-0000-000051540000}"/>
    <cellStyle name="표준 5 2 3 4 2 4 2 5" xfId="26482" xr:uid="{00000000-0005-0000-0000-000052540000}"/>
    <cellStyle name="표준 5 2 3 4 2 4 2 6" xfId="34693" xr:uid="{00000000-0005-0000-0000-000053540000}"/>
    <cellStyle name="표준 5 2 3 4 2 4 2 7" xfId="42886" xr:uid="{00000000-0005-0000-0000-000054540000}"/>
    <cellStyle name="표준 5 2 3 4 2 4 3" xfId="7824" xr:uid="{00000000-0005-0000-0000-000055540000}"/>
    <cellStyle name="표준 5 2 3 4 2 4 3 2" xfId="28530" xr:uid="{00000000-0005-0000-0000-000056540000}"/>
    <cellStyle name="표준 5 2 3 4 2 4 3 3" xfId="36741" xr:uid="{00000000-0005-0000-0000-000057540000}"/>
    <cellStyle name="표준 5 2 3 4 2 4 3 4" xfId="44934" xr:uid="{00000000-0005-0000-0000-000058540000}"/>
    <cellStyle name="표준 5 2 3 4 2 4 4" xfId="11936" xr:uid="{00000000-0005-0000-0000-000059540000}"/>
    <cellStyle name="표준 5 2 3 4 2 4 5" xfId="16176" xr:uid="{00000000-0005-0000-0000-00005A540000}"/>
    <cellStyle name="표준 5 2 3 4 2 4 6" xfId="20338" xr:uid="{00000000-0005-0000-0000-00005B540000}"/>
    <cellStyle name="표준 5 2 3 4 2 4 7" xfId="24434" xr:uid="{00000000-0005-0000-0000-00005C540000}"/>
    <cellStyle name="표준 5 2 3 4 2 4 8" xfId="32645" xr:uid="{00000000-0005-0000-0000-00005D540000}"/>
    <cellStyle name="표준 5 2 3 4 2 4 9" xfId="40838" xr:uid="{00000000-0005-0000-0000-00005E540000}"/>
    <cellStyle name="표준 5 2 3 4 2 5" xfId="1481" xr:uid="{00000000-0005-0000-0000-00005F540000}"/>
    <cellStyle name="표준 5 2 3 4 2 5 2" xfId="10384" xr:uid="{00000000-0005-0000-0000-000060540000}"/>
    <cellStyle name="표준 5 2 3 4 2 5 2 2" xfId="14496" xr:uid="{00000000-0005-0000-0000-000061540000}"/>
    <cellStyle name="표준 5 2 3 4 2 5 2 2 2" xfId="31090" xr:uid="{00000000-0005-0000-0000-000062540000}"/>
    <cellStyle name="표준 5 2 3 4 2 5 2 2 3" xfId="39301" xr:uid="{00000000-0005-0000-0000-000063540000}"/>
    <cellStyle name="표준 5 2 3 4 2 5 2 2 4" xfId="47494" xr:uid="{00000000-0005-0000-0000-000064540000}"/>
    <cellStyle name="표준 5 2 3 4 2 5 2 3" xfId="18736" xr:uid="{00000000-0005-0000-0000-000065540000}"/>
    <cellStyle name="표준 5 2 3 4 2 5 2 4" xfId="22898" xr:uid="{00000000-0005-0000-0000-000066540000}"/>
    <cellStyle name="표준 5 2 3 4 2 5 2 5" xfId="26994" xr:uid="{00000000-0005-0000-0000-000067540000}"/>
    <cellStyle name="표준 5 2 3 4 2 5 2 6" xfId="35205" xr:uid="{00000000-0005-0000-0000-000068540000}"/>
    <cellStyle name="표준 5 2 3 4 2 5 2 7" xfId="43398" xr:uid="{00000000-0005-0000-0000-000069540000}"/>
    <cellStyle name="표준 5 2 3 4 2 5 3" xfId="8336" xr:uid="{00000000-0005-0000-0000-00006A540000}"/>
    <cellStyle name="표준 5 2 3 4 2 5 3 2" xfId="29042" xr:uid="{00000000-0005-0000-0000-00006B540000}"/>
    <cellStyle name="표준 5 2 3 4 2 5 3 3" xfId="37253" xr:uid="{00000000-0005-0000-0000-00006C540000}"/>
    <cellStyle name="표준 5 2 3 4 2 5 3 4" xfId="45446" xr:uid="{00000000-0005-0000-0000-00006D540000}"/>
    <cellStyle name="표준 5 2 3 4 2 5 4" xfId="12448" xr:uid="{00000000-0005-0000-0000-00006E540000}"/>
    <cellStyle name="표준 5 2 3 4 2 5 5" xfId="16688" xr:uid="{00000000-0005-0000-0000-00006F540000}"/>
    <cellStyle name="표준 5 2 3 4 2 5 6" xfId="20850" xr:uid="{00000000-0005-0000-0000-000070540000}"/>
    <cellStyle name="표준 5 2 3 4 2 5 7" xfId="24946" xr:uid="{00000000-0005-0000-0000-000071540000}"/>
    <cellStyle name="표준 5 2 3 4 2 5 8" xfId="33157" xr:uid="{00000000-0005-0000-0000-000072540000}"/>
    <cellStyle name="표준 5 2 3 4 2 5 9" xfId="41350" xr:uid="{00000000-0005-0000-0000-000073540000}"/>
    <cellStyle name="표준 5 2 3 4 2 6" xfId="1993" xr:uid="{00000000-0005-0000-0000-000074540000}"/>
    <cellStyle name="표준 5 2 3 4 2 6 2" xfId="10896" xr:uid="{00000000-0005-0000-0000-000075540000}"/>
    <cellStyle name="표준 5 2 3 4 2 6 2 2" xfId="15008" xr:uid="{00000000-0005-0000-0000-000076540000}"/>
    <cellStyle name="표준 5 2 3 4 2 6 2 2 2" xfId="31602" xr:uid="{00000000-0005-0000-0000-000077540000}"/>
    <cellStyle name="표준 5 2 3 4 2 6 2 2 3" xfId="39813" xr:uid="{00000000-0005-0000-0000-000078540000}"/>
    <cellStyle name="표준 5 2 3 4 2 6 2 2 4" xfId="48006" xr:uid="{00000000-0005-0000-0000-000079540000}"/>
    <cellStyle name="표준 5 2 3 4 2 6 2 3" xfId="19248" xr:uid="{00000000-0005-0000-0000-00007A540000}"/>
    <cellStyle name="표준 5 2 3 4 2 6 2 4" xfId="23410" xr:uid="{00000000-0005-0000-0000-00007B540000}"/>
    <cellStyle name="표준 5 2 3 4 2 6 2 5" xfId="27506" xr:uid="{00000000-0005-0000-0000-00007C540000}"/>
    <cellStyle name="표준 5 2 3 4 2 6 2 6" xfId="35717" xr:uid="{00000000-0005-0000-0000-00007D540000}"/>
    <cellStyle name="표준 5 2 3 4 2 6 2 7" xfId="43910" xr:uid="{00000000-0005-0000-0000-00007E540000}"/>
    <cellStyle name="표준 5 2 3 4 2 6 3" xfId="8848" xr:uid="{00000000-0005-0000-0000-00007F540000}"/>
    <cellStyle name="표준 5 2 3 4 2 6 3 2" xfId="29554" xr:uid="{00000000-0005-0000-0000-000080540000}"/>
    <cellStyle name="표준 5 2 3 4 2 6 3 3" xfId="37765" xr:uid="{00000000-0005-0000-0000-000081540000}"/>
    <cellStyle name="표준 5 2 3 4 2 6 3 4" xfId="45958" xr:uid="{00000000-0005-0000-0000-000082540000}"/>
    <cellStyle name="표준 5 2 3 4 2 6 4" xfId="12960" xr:uid="{00000000-0005-0000-0000-000083540000}"/>
    <cellStyle name="표준 5 2 3 4 2 6 5" xfId="17200" xr:uid="{00000000-0005-0000-0000-000084540000}"/>
    <cellStyle name="표준 5 2 3 4 2 6 6" xfId="21362" xr:uid="{00000000-0005-0000-0000-000085540000}"/>
    <cellStyle name="표준 5 2 3 4 2 6 7" xfId="25458" xr:uid="{00000000-0005-0000-0000-000086540000}"/>
    <cellStyle name="표준 5 2 3 4 2 6 8" xfId="33669" xr:uid="{00000000-0005-0000-0000-000087540000}"/>
    <cellStyle name="표준 5 2 3 4 2 6 9" xfId="41862" xr:uid="{00000000-0005-0000-0000-000088540000}"/>
    <cellStyle name="표준 5 2 3 4 2 7" xfId="7053" xr:uid="{00000000-0005-0000-0000-000089540000}"/>
    <cellStyle name="표준 5 2 3 4 2 7 2" xfId="9360" xr:uid="{00000000-0005-0000-0000-00008A540000}"/>
    <cellStyle name="표준 5 2 3 4 2 7 2 2" xfId="30066" xr:uid="{00000000-0005-0000-0000-00008B540000}"/>
    <cellStyle name="표준 5 2 3 4 2 7 2 3" xfId="38277" xr:uid="{00000000-0005-0000-0000-00008C540000}"/>
    <cellStyle name="표준 5 2 3 4 2 7 2 4" xfId="46470" xr:uid="{00000000-0005-0000-0000-00008D540000}"/>
    <cellStyle name="표준 5 2 3 4 2 7 3" xfId="13472" xr:uid="{00000000-0005-0000-0000-00008E540000}"/>
    <cellStyle name="표준 5 2 3 4 2 7 4" xfId="17712" xr:uid="{00000000-0005-0000-0000-00008F540000}"/>
    <cellStyle name="표준 5 2 3 4 2 7 5" xfId="21874" xr:uid="{00000000-0005-0000-0000-000090540000}"/>
    <cellStyle name="표준 5 2 3 4 2 7 6" xfId="25970" xr:uid="{00000000-0005-0000-0000-000091540000}"/>
    <cellStyle name="표준 5 2 3 4 2 7 7" xfId="34181" xr:uid="{00000000-0005-0000-0000-000092540000}"/>
    <cellStyle name="표준 5 2 3 4 2 7 8" xfId="42374" xr:uid="{00000000-0005-0000-0000-000093540000}"/>
    <cellStyle name="표준 5 2 3 4 2 8" xfId="7125" xr:uid="{00000000-0005-0000-0000-000094540000}"/>
    <cellStyle name="표준 5 2 3 4 2 8 2" xfId="28018" xr:uid="{00000000-0005-0000-0000-000095540000}"/>
    <cellStyle name="표준 5 2 3 4 2 8 3" xfId="36229" xr:uid="{00000000-0005-0000-0000-000096540000}"/>
    <cellStyle name="표준 5 2 3 4 2 8 4" xfId="44422" xr:uid="{00000000-0005-0000-0000-000097540000}"/>
    <cellStyle name="표준 5 2 3 4 2 9" xfId="7312" xr:uid="{00000000-0005-0000-0000-000098540000}"/>
    <cellStyle name="표준 5 2 3 4 3" xfId="521" xr:uid="{00000000-0005-0000-0000-000099540000}"/>
    <cellStyle name="표준 5 2 3 4 3 10" xfId="19890" xr:uid="{00000000-0005-0000-0000-00009A540000}"/>
    <cellStyle name="표준 5 2 3 4 3 11" xfId="23986" xr:uid="{00000000-0005-0000-0000-00009B540000}"/>
    <cellStyle name="표준 5 2 3 4 3 12" xfId="32197" xr:uid="{00000000-0005-0000-0000-00009C540000}"/>
    <cellStyle name="표준 5 2 3 4 3 13" xfId="40390" xr:uid="{00000000-0005-0000-0000-00009D540000}"/>
    <cellStyle name="표준 5 2 3 4 3 2" xfId="777" xr:uid="{00000000-0005-0000-0000-00009E540000}"/>
    <cellStyle name="표준 5 2 3 4 3 2 10" xfId="24242" xr:uid="{00000000-0005-0000-0000-00009F540000}"/>
    <cellStyle name="표준 5 2 3 4 3 2 11" xfId="32453" xr:uid="{00000000-0005-0000-0000-0000A0540000}"/>
    <cellStyle name="표준 5 2 3 4 3 2 12" xfId="40646" xr:uid="{00000000-0005-0000-0000-0000A1540000}"/>
    <cellStyle name="표준 5 2 3 4 3 2 2" xfId="1289" xr:uid="{00000000-0005-0000-0000-0000A2540000}"/>
    <cellStyle name="표준 5 2 3 4 3 2 2 2" xfId="10192" xr:uid="{00000000-0005-0000-0000-0000A3540000}"/>
    <cellStyle name="표준 5 2 3 4 3 2 2 2 2" xfId="14304" xr:uid="{00000000-0005-0000-0000-0000A4540000}"/>
    <cellStyle name="표준 5 2 3 4 3 2 2 2 2 2" xfId="30898" xr:uid="{00000000-0005-0000-0000-0000A5540000}"/>
    <cellStyle name="표준 5 2 3 4 3 2 2 2 2 3" xfId="39109" xr:uid="{00000000-0005-0000-0000-0000A6540000}"/>
    <cellStyle name="표준 5 2 3 4 3 2 2 2 2 4" xfId="47302" xr:uid="{00000000-0005-0000-0000-0000A7540000}"/>
    <cellStyle name="표준 5 2 3 4 3 2 2 2 3" xfId="18544" xr:uid="{00000000-0005-0000-0000-0000A8540000}"/>
    <cellStyle name="표준 5 2 3 4 3 2 2 2 4" xfId="22706" xr:uid="{00000000-0005-0000-0000-0000A9540000}"/>
    <cellStyle name="표준 5 2 3 4 3 2 2 2 5" xfId="26802" xr:uid="{00000000-0005-0000-0000-0000AA540000}"/>
    <cellStyle name="표준 5 2 3 4 3 2 2 2 6" xfId="35013" xr:uid="{00000000-0005-0000-0000-0000AB540000}"/>
    <cellStyle name="표준 5 2 3 4 3 2 2 2 7" xfId="43206" xr:uid="{00000000-0005-0000-0000-0000AC540000}"/>
    <cellStyle name="표준 5 2 3 4 3 2 2 3" xfId="8144" xr:uid="{00000000-0005-0000-0000-0000AD540000}"/>
    <cellStyle name="표준 5 2 3 4 3 2 2 3 2" xfId="28850" xr:uid="{00000000-0005-0000-0000-0000AE540000}"/>
    <cellStyle name="표준 5 2 3 4 3 2 2 3 3" xfId="37061" xr:uid="{00000000-0005-0000-0000-0000AF540000}"/>
    <cellStyle name="표준 5 2 3 4 3 2 2 3 4" xfId="45254" xr:uid="{00000000-0005-0000-0000-0000B0540000}"/>
    <cellStyle name="표준 5 2 3 4 3 2 2 4" xfId="12256" xr:uid="{00000000-0005-0000-0000-0000B1540000}"/>
    <cellStyle name="표준 5 2 3 4 3 2 2 5" xfId="16496" xr:uid="{00000000-0005-0000-0000-0000B2540000}"/>
    <cellStyle name="표준 5 2 3 4 3 2 2 6" xfId="20658" xr:uid="{00000000-0005-0000-0000-0000B3540000}"/>
    <cellStyle name="표준 5 2 3 4 3 2 2 7" xfId="24754" xr:uid="{00000000-0005-0000-0000-0000B4540000}"/>
    <cellStyle name="표준 5 2 3 4 3 2 2 8" xfId="32965" xr:uid="{00000000-0005-0000-0000-0000B5540000}"/>
    <cellStyle name="표준 5 2 3 4 3 2 2 9" xfId="41158" xr:uid="{00000000-0005-0000-0000-0000B6540000}"/>
    <cellStyle name="표준 5 2 3 4 3 2 3" xfId="1801" xr:uid="{00000000-0005-0000-0000-0000B7540000}"/>
    <cellStyle name="표준 5 2 3 4 3 2 3 2" xfId="10704" xr:uid="{00000000-0005-0000-0000-0000B8540000}"/>
    <cellStyle name="표준 5 2 3 4 3 2 3 2 2" xfId="14816" xr:uid="{00000000-0005-0000-0000-0000B9540000}"/>
    <cellStyle name="표준 5 2 3 4 3 2 3 2 2 2" xfId="31410" xr:uid="{00000000-0005-0000-0000-0000BA540000}"/>
    <cellStyle name="표준 5 2 3 4 3 2 3 2 2 3" xfId="39621" xr:uid="{00000000-0005-0000-0000-0000BB540000}"/>
    <cellStyle name="표준 5 2 3 4 3 2 3 2 2 4" xfId="47814" xr:uid="{00000000-0005-0000-0000-0000BC540000}"/>
    <cellStyle name="표준 5 2 3 4 3 2 3 2 3" xfId="19056" xr:uid="{00000000-0005-0000-0000-0000BD540000}"/>
    <cellStyle name="표준 5 2 3 4 3 2 3 2 4" xfId="23218" xr:uid="{00000000-0005-0000-0000-0000BE540000}"/>
    <cellStyle name="표준 5 2 3 4 3 2 3 2 5" xfId="27314" xr:uid="{00000000-0005-0000-0000-0000BF540000}"/>
    <cellStyle name="표준 5 2 3 4 3 2 3 2 6" xfId="35525" xr:uid="{00000000-0005-0000-0000-0000C0540000}"/>
    <cellStyle name="표준 5 2 3 4 3 2 3 2 7" xfId="43718" xr:uid="{00000000-0005-0000-0000-0000C1540000}"/>
    <cellStyle name="표준 5 2 3 4 3 2 3 3" xfId="8656" xr:uid="{00000000-0005-0000-0000-0000C2540000}"/>
    <cellStyle name="표준 5 2 3 4 3 2 3 3 2" xfId="29362" xr:uid="{00000000-0005-0000-0000-0000C3540000}"/>
    <cellStyle name="표준 5 2 3 4 3 2 3 3 3" xfId="37573" xr:uid="{00000000-0005-0000-0000-0000C4540000}"/>
    <cellStyle name="표준 5 2 3 4 3 2 3 3 4" xfId="45766" xr:uid="{00000000-0005-0000-0000-0000C5540000}"/>
    <cellStyle name="표준 5 2 3 4 3 2 3 4" xfId="12768" xr:uid="{00000000-0005-0000-0000-0000C6540000}"/>
    <cellStyle name="표준 5 2 3 4 3 2 3 5" xfId="17008" xr:uid="{00000000-0005-0000-0000-0000C7540000}"/>
    <cellStyle name="표준 5 2 3 4 3 2 3 6" xfId="21170" xr:uid="{00000000-0005-0000-0000-0000C8540000}"/>
    <cellStyle name="표준 5 2 3 4 3 2 3 7" xfId="25266" xr:uid="{00000000-0005-0000-0000-0000C9540000}"/>
    <cellStyle name="표준 5 2 3 4 3 2 3 8" xfId="33477" xr:uid="{00000000-0005-0000-0000-0000CA540000}"/>
    <cellStyle name="표준 5 2 3 4 3 2 3 9" xfId="41670" xr:uid="{00000000-0005-0000-0000-0000CB540000}"/>
    <cellStyle name="표준 5 2 3 4 3 2 4" xfId="2313" xr:uid="{00000000-0005-0000-0000-0000CC540000}"/>
    <cellStyle name="표준 5 2 3 4 3 2 4 2" xfId="11216" xr:uid="{00000000-0005-0000-0000-0000CD540000}"/>
    <cellStyle name="표준 5 2 3 4 3 2 4 2 2" xfId="15328" xr:uid="{00000000-0005-0000-0000-0000CE540000}"/>
    <cellStyle name="표준 5 2 3 4 3 2 4 2 2 2" xfId="31922" xr:uid="{00000000-0005-0000-0000-0000CF540000}"/>
    <cellStyle name="표준 5 2 3 4 3 2 4 2 2 3" xfId="40133" xr:uid="{00000000-0005-0000-0000-0000D0540000}"/>
    <cellStyle name="표준 5 2 3 4 3 2 4 2 2 4" xfId="48326" xr:uid="{00000000-0005-0000-0000-0000D1540000}"/>
    <cellStyle name="표준 5 2 3 4 3 2 4 2 3" xfId="19568" xr:uid="{00000000-0005-0000-0000-0000D2540000}"/>
    <cellStyle name="표준 5 2 3 4 3 2 4 2 4" xfId="23730" xr:uid="{00000000-0005-0000-0000-0000D3540000}"/>
    <cellStyle name="표준 5 2 3 4 3 2 4 2 5" xfId="27826" xr:uid="{00000000-0005-0000-0000-0000D4540000}"/>
    <cellStyle name="표준 5 2 3 4 3 2 4 2 6" xfId="36037" xr:uid="{00000000-0005-0000-0000-0000D5540000}"/>
    <cellStyle name="표준 5 2 3 4 3 2 4 2 7" xfId="44230" xr:uid="{00000000-0005-0000-0000-0000D6540000}"/>
    <cellStyle name="표준 5 2 3 4 3 2 4 3" xfId="9168" xr:uid="{00000000-0005-0000-0000-0000D7540000}"/>
    <cellStyle name="표준 5 2 3 4 3 2 4 3 2" xfId="29874" xr:uid="{00000000-0005-0000-0000-0000D8540000}"/>
    <cellStyle name="표준 5 2 3 4 3 2 4 3 3" xfId="38085" xr:uid="{00000000-0005-0000-0000-0000D9540000}"/>
    <cellStyle name="표준 5 2 3 4 3 2 4 3 4" xfId="46278" xr:uid="{00000000-0005-0000-0000-0000DA540000}"/>
    <cellStyle name="표준 5 2 3 4 3 2 4 4" xfId="13280" xr:uid="{00000000-0005-0000-0000-0000DB540000}"/>
    <cellStyle name="표준 5 2 3 4 3 2 4 5" xfId="17520" xr:uid="{00000000-0005-0000-0000-0000DC540000}"/>
    <cellStyle name="표준 5 2 3 4 3 2 4 6" xfId="21682" xr:uid="{00000000-0005-0000-0000-0000DD540000}"/>
    <cellStyle name="표준 5 2 3 4 3 2 4 7" xfId="25778" xr:uid="{00000000-0005-0000-0000-0000DE540000}"/>
    <cellStyle name="표준 5 2 3 4 3 2 4 8" xfId="33989" xr:uid="{00000000-0005-0000-0000-0000DF540000}"/>
    <cellStyle name="표준 5 2 3 4 3 2 4 9" xfId="42182" xr:uid="{00000000-0005-0000-0000-0000E0540000}"/>
    <cellStyle name="표준 5 2 3 4 3 2 5" xfId="9680" xr:uid="{00000000-0005-0000-0000-0000E1540000}"/>
    <cellStyle name="표준 5 2 3 4 3 2 5 2" xfId="13792" xr:uid="{00000000-0005-0000-0000-0000E2540000}"/>
    <cellStyle name="표준 5 2 3 4 3 2 5 2 2" xfId="30386" xr:uid="{00000000-0005-0000-0000-0000E3540000}"/>
    <cellStyle name="표준 5 2 3 4 3 2 5 2 3" xfId="38597" xr:uid="{00000000-0005-0000-0000-0000E4540000}"/>
    <cellStyle name="표준 5 2 3 4 3 2 5 2 4" xfId="46790" xr:uid="{00000000-0005-0000-0000-0000E5540000}"/>
    <cellStyle name="표준 5 2 3 4 3 2 5 3" xfId="18032" xr:uid="{00000000-0005-0000-0000-0000E6540000}"/>
    <cellStyle name="표준 5 2 3 4 3 2 5 4" xfId="22194" xr:uid="{00000000-0005-0000-0000-0000E7540000}"/>
    <cellStyle name="표준 5 2 3 4 3 2 5 5" xfId="26290" xr:uid="{00000000-0005-0000-0000-0000E8540000}"/>
    <cellStyle name="표준 5 2 3 4 3 2 5 6" xfId="34501" xr:uid="{00000000-0005-0000-0000-0000E9540000}"/>
    <cellStyle name="표준 5 2 3 4 3 2 5 7" xfId="42694" xr:uid="{00000000-0005-0000-0000-0000EA540000}"/>
    <cellStyle name="표준 5 2 3 4 3 2 6" xfId="7632" xr:uid="{00000000-0005-0000-0000-0000EB540000}"/>
    <cellStyle name="표준 5 2 3 4 3 2 6 2" xfId="28338" xr:uid="{00000000-0005-0000-0000-0000EC540000}"/>
    <cellStyle name="표준 5 2 3 4 3 2 6 3" xfId="36549" xr:uid="{00000000-0005-0000-0000-0000ED540000}"/>
    <cellStyle name="표준 5 2 3 4 3 2 6 4" xfId="44742" xr:uid="{00000000-0005-0000-0000-0000EE540000}"/>
    <cellStyle name="표준 5 2 3 4 3 2 7" xfId="11744" xr:uid="{00000000-0005-0000-0000-0000EF540000}"/>
    <cellStyle name="표준 5 2 3 4 3 2 8" xfId="15984" xr:uid="{00000000-0005-0000-0000-0000F0540000}"/>
    <cellStyle name="표준 5 2 3 4 3 2 9" xfId="20146" xr:uid="{00000000-0005-0000-0000-0000F1540000}"/>
    <cellStyle name="표준 5 2 3 4 3 3" xfId="1033" xr:uid="{00000000-0005-0000-0000-0000F2540000}"/>
    <cellStyle name="표준 5 2 3 4 3 3 2" xfId="9936" xr:uid="{00000000-0005-0000-0000-0000F3540000}"/>
    <cellStyle name="표준 5 2 3 4 3 3 2 2" xfId="14048" xr:uid="{00000000-0005-0000-0000-0000F4540000}"/>
    <cellStyle name="표준 5 2 3 4 3 3 2 2 2" xfId="30642" xr:uid="{00000000-0005-0000-0000-0000F5540000}"/>
    <cellStyle name="표준 5 2 3 4 3 3 2 2 3" xfId="38853" xr:uid="{00000000-0005-0000-0000-0000F6540000}"/>
    <cellStyle name="표준 5 2 3 4 3 3 2 2 4" xfId="47046" xr:uid="{00000000-0005-0000-0000-0000F7540000}"/>
    <cellStyle name="표준 5 2 3 4 3 3 2 3" xfId="18288" xr:uid="{00000000-0005-0000-0000-0000F8540000}"/>
    <cellStyle name="표준 5 2 3 4 3 3 2 4" xfId="22450" xr:uid="{00000000-0005-0000-0000-0000F9540000}"/>
    <cellStyle name="표준 5 2 3 4 3 3 2 5" xfId="26546" xr:uid="{00000000-0005-0000-0000-0000FA540000}"/>
    <cellStyle name="표준 5 2 3 4 3 3 2 6" xfId="34757" xr:uid="{00000000-0005-0000-0000-0000FB540000}"/>
    <cellStyle name="표준 5 2 3 4 3 3 2 7" xfId="42950" xr:uid="{00000000-0005-0000-0000-0000FC540000}"/>
    <cellStyle name="표준 5 2 3 4 3 3 3" xfId="7888" xr:uid="{00000000-0005-0000-0000-0000FD540000}"/>
    <cellStyle name="표준 5 2 3 4 3 3 3 2" xfId="28594" xr:uid="{00000000-0005-0000-0000-0000FE540000}"/>
    <cellStyle name="표준 5 2 3 4 3 3 3 3" xfId="36805" xr:uid="{00000000-0005-0000-0000-0000FF540000}"/>
    <cellStyle name="표준 5 2 3 4 3 3 3 4" xfId="44998" xr:uid="{00000000-0005-0000-0000-000000550000}"/>
    <cellStyle name="표준 5 2 3 4 3 3 4" xfId="12000" xr:uid="{00000000-0005-0000-0000-000001550000}"/>
    <cellStyle name="표준 5 2 3 4 3 3 5" xfId="16240" xr:uid="{00000000-0005-0000-0000-000002550000}"/>
    <cellStyle name="표준 5 2 3 4 3 3 6" xfId="20402" xr:uid="{00000000-0005-0000-0000-000003550000}"/>
    <cellStyle name="표준 5 2 3 4 3 3 7" xfId="24498" xr:uid="{00000000-0005-0000-0000-000004550000}"/>
    <cellStyle name="표준 5 2 3 4 3 3 8" xfId="32709" xr:uid="{00000000-0005-0000-0000-000005550000}"/>
    <cellStyle name="표준 5 2 3 4 3 3 9" xfId="40902" xr:uid="{00000000-0005-0000-0000-000006550000}"/>
    <cellStyle name="표준 5 2 3 4 3 4" xfId="1545" xr:uid="{00000000-0005-0000-0000-000007550000}"/>
    <cellStyle name="표준 5 2 3 4 3 4 2" xfId="10448" xr:uid="{00000000-0005-0000-0000-000008550000}"/>
    <cellStyle name="표준 5 2 3 4 3 4 2 2" xfId="14560" xr:uid="{00000000-0005-0000-0000-000009550000}"/>
    <cellStyle name="표준 5 2 3 4 3 4 2 2 2" xfId="31154" xr:uid="{00000000-0005-0000-0000-00000A550000}"/>
    <cellStyle name="표준 5 2 3 4 3 4 2 2 3" xfId="39365" xr:uid="{00000000-0005-0000-0000-00000B550000}"/>
    <cellStyle name="표준 5 2 3 4 3 4 2 2 4" xfId="47558" xr:uid="{00000000-0005-0000-0000-00000C550000}"/>
    <cellStyle name="표준 5 2 3 4 3 4 2 3" xfId="18800" xr:uid="{00000000-0005-0000-0000-00000D550000}"/>
    <cellStyle name="표준 5 2 3 4 3 4 2 4" xfId="22962" xr:uid="{00000000-0005-0000-0000-00000E550000}"/>
    <cellStyle name="표준 5 2 3 4 3 4 2 5" xfId="27058" xr:uid="{00000000-0005-0000-0000-00000F550000}"/>
    <cellStyle name="표준 5 2 3 4 3 4 2 6" xfId="35269" xr:uid="{00000000-0005-0000-0000-000010550000}"/>
    <cellStyle name="표준 5 2 3 4 3 4 2 7" xfId="43462" xr:uid="{00000000-0005-0000-0000-000011550000}"/>
    <cellStyle name="표준 5 2 3 4 3 4 3" xfId="8400" xr:uid="{00000000-0005-0000-0000-000012550000}"/>
    <cellStyle name="표준 5 2 3 4 3 4 3 2" xfId="29106" xr:uid="{00000000-0005-0000-0000-000013550000}"/>
    <cellStyle name="표준 5 2 3 4 3 4 3 3" xfId="37317" xr:uid="{00000000-0005-0000-0000-000014550000}"/>
    <cellStyle name="표준 5 2 3 4 3 4 3 4" xfId="45510" xr:uid="{00000000-0005-0000-0000-000015550000}"/>
    <cellStyle name="표준 5 2 3 4 3 4 4" xfId="12512" xr:uid="{00000000-0005-0000-0000-000016550000}"/>
    <cellStyle name="표준 5 2 3 4 3 4 5" xfId="16752" xr:uid="{00000000-0005-0000-0000-000017550000}"/>
    <cellStyle name="표준 5 2 3 4 3 4 6" xfId="20914" xr:uid="{00000000-0005-0000-0000-000018550000}"/>
    <cellStyle name="표준 5 2 3 4 3 4 7" xfId="25010" xr:uid="{00000000-0005-0000-0000-000019550000}"/>
    <cellStyle name="표준 5 2 3 4 3 4 8" xfId="33221" xr:uid="{00000000-0005-0000-0000-00001A550000}"/>
    <cellStyle name="표준 5 2 3 4 3 4 9" xfId="41414" xr:uid="{00000000-0005-0000-0000-00001B550000}"/>
    <cellStyle name="표준 5 2 3 4 3 5" xfId="2057" xr:uid="{00000000-0005-0000-0000-00001C550000}"/>
    <cellStyle name="표준 5 2 3 4 3 5 2" xfId="10960" xr:uid="{00000000-0005-0000-0000-00001D550000}"/>
    <cellStyle name="표준 5 2 3 4 3 5 2 2" xfId="15072" xr:uid="{00000000-0005-0000-0000-00001E550000}"/>
    <cellStyle name="표준 5 2 3 4 3 5 2 2 2" xfId="31666" xr:uid="{00000000-0005-0000-0000-00001F550000}"/>
    <cellStyle name="표준 5 2 3 4 3 5 2 2 3" xfId="39877" xr:uid="{00000000-0005-0000-0000-000020550000}"/>
    <cellStyle name="표준 5 2 3 4 3 5 2 2 4" xfId="48070" xr:uid="{00000000-0005-0000-0000-000021550000}"/>
    <cellStyle name="표준 5 2 3 4 3 5 2 3" xfId="19312" xr:uid="{00000000-0005-0000-0000-000022550000}"/>
    <cellStyle name="표준 5 2 3 4 3 5 2 4" xfId="23474" xr:uid="{00000000-0005-0000-0000-000023550000}"/>
    <cellStyle name="표준 5 2 3 4 3 5 2 5" xfId="27570" xr:uid="{00000000-0005-0000-0000-000024550000}"/>
    <cellStyle name="표준 5 2 3 4 3 5 2 6" xfId="35781" xr:uid="{00000000-0005-0000-0000-000025550000}"/>
    <cellStyle name="표준 5 2 3 4 3 5 2 7" xfId="43974" xr:uid="{00000000-0005-0000-0000-000026550000}"/>
    <cellStyle name="표준 5 2 3 4 3 5 3" xfId="8912" xr:uid="{00000000-0005-0000-0000-000027550000}"/>
    <cellStyle name="표준 5 2 3 4 3 5 3 2" xfId="29618" xr:uid="{00000000-0005-0000-0000-000028550000}"/>
    <cellStyle name="표준 5 2 3 4 3 5 3 3" xfId="37829" xr:uid="{00000000-0005-0000-0000-000029550000}"/>
    <cellStyle name="표준 5 2 3 4 3 5 3 4" xfId="46022" xr:uid="{00000000-0005-0000-0000-00002A550000}"/>
    <cellStyle name="표준 5 2 3 4 3 5 4" xfId="13024" xr:uid="{00000000-0005-0000-0000-00002B550000}"/>
    <cellStyle name="표준 5 2 3 4 3 5 5" xfId="17264" xr:uid="{00000000-0005-0000-0000-00002C550000}"/>
    <cellStyle name="표준 5 2 3 4 3 5 6" xfId="21426" xr:uid="{00000000-0005-0000-0000-00002D550000}"/>
    <cellStyle name="표준 5 2 3 4 3 5 7" xfId="25522" xr:uid="{00000000-0005-0000-0000-00002E550000}"/>
    <cellStyle name="표준 5 2 3 4 3 5 8" xfId="33733" xr:uid="{00000000-0005-0000-0000-00002F550000}"/>
    <cellStyle name="표준 5 2 3 4 3 5 9" xfId="41926" xr:uid="{00000000-0005-0000-0000-000030550000}"/>
    <cellStyle name="표준 5 2 3 4 3 6" xfId="9424" xr:uid="{00000000-0005-0000-0000-000031550000}"/>
    <cellStyle name="표준 5 2 3 4 3 6 2" xfId="13536" xr:uid="{00000000-0005-0000-0000-000032550000}"/>
    <cellStyle name="표준 5 2 3 4 3 6 2 2" xfId="30130" xr:uid="{00000000-0005-0000-0000-000033550000}"/>
    <cellStyle name="표준 5 2 3 4 3 6 2 3" xfId="38341" xr:uid="{00000000-0005-0000-0000-000034550000}"/>
    <cellStyle name="표준 5 2 3 4 3 6 2 4" xfId="46534" xr:uid="{00000000-0005-0000-0000-000035550000}"/>
    <cellStyle name="표준 5 2 3 4 3 6 3" xfId="17776" xr:uid="{00000000-0005-0000-0000-000036550000}"/>
    <cellStyle name="표준 5 2 3 4 3 6 4" xfId="21938" xr:uid="{00000000-0005-0000-0000-000037550000}"/>
    <cellStyle name="표준 5 2 3 4 3 6 5" xfId="26034" xr:uid="{00000000-0005-0000-0000-000038550000}"/>
    <cellStyle name="표준 5 2 3 4 3 6 6" xfId="34245" xr:uid="{00000000-0005-0000-0000-000039550000}"/>
    <cellStyle name="표준 5 2 3 4 3 6 7" xfId="42438" xr:uid="{00000000-0005-0000-0000-00003A550000}"/>
    <cellStyle name="표준 5 2 3 4 3 7" xfId="7376" xr:uid="{00000000-0005-0000-0000-00003B550000}"/>
    <cellStyle name="표준 5 2 3 4 3 7 2" xfId="28082" xr:uid="{00000000-0005-0000-0000-00003C550000}"/>
    <cellStyle name="표준 5 2 3 4 3 7 3" xfId="36293" xr:uid="{00000000-0005-0000-0000-00003D550000}"/>
    <cellStyle name="표준 5 2 3 4 3 7 4" xfId="44486" xr:uid="{00000000-0005-0000-0000-00003E550000}"/>
    <cellStyle name="표준 5 2 3 4 3 8" xfId="11488" xr:uid="{00000000-0005-0000-0000-00003F550000}"/>
    <cellStyle name="표준 5 2 3 4 3 9" xfId="15728" xr:uid="{00000000-0005-0000-0000-000040550000}"/>
    <cellStyle name="표준 5 2 3 4 4" xfId="649" xr:uid="{00000000-0005-0000-0000-000041550000}"/>
    <cellStyle name="표준 5 2 3 4 4 10" xfId="24114" xr:uid="{00000000-0005-0000-0000-000042550000}"/>
    <cellStyle name="표준 5 2 3 4 4 11" xfId="32325" xr:uid="{00000000-0005-0000-0000-000043550000}"/>
    <cellStyle name="표준 5 2 3 4 4 12" xfId="40518" xr:uid="{00000000-0005-0000-0000-000044550000}"/>
    <cellStyle name="표준 5 2 3 4 4 2" xfId="1161" xr:uid="{00000000-0005-0000-0000-000045550000}"/>
    <cellStyle name="표준 5 2 3 4 4 2 2" xfId="10064" xr:uid="{00000000-0005-0000-0000-000046550000}"/>
    <cellStyle name="표준 5 2 3 4 4 2 2 2" xfId="14176" xr:uid="{00000000-0005-0000-0000-000047550000}"/>
    <cellStyle name="표준 5 2 3 4 4 2 2 2 2" xfId="30770" xr:uid="{00000000-0005-0000-0000-000048550000}"/>
    <cellStyle name="표준 5 2 3 4 4 2 2 2 3" xfId="38981" xr:uid="{00000000-0005-0000-0000-000049550000}"/>
    <cellStyle name="표준 5 2 3 4 4 2 2 2 4" xfId="47174" xr:uid="{00000000-0005-0000-0000-00004A550000}"/>
    <cellStyle name="표준 5 2 3 4 4 2 2 3" xfId="18416" xr:uid="{00000000-0005-0000-0000-00004B550000}"/>
    <cellStyle name="표준 5 2 3 4 4 2 2 4" xfId="22578" xr:uid="{00000000-0005-0000-0000-00004C550000}"/>
    <cellStyle name="표준 5 2 3 4 4 2 2 5" xfId="26674" xr:uid="{00000000-0005-0000-0000-00004D550000}"/>
    <cellStyle name="표준 5 2 3 4 4 2 2 6" xfId="34885" xr:uid="{00000000-0005-0000-0000-00004E550000}"/>
    <cellStyle name="표준 5 2 3 4 4 2 2 7" xfId="43078" xr:uid="{00000000-0005-0000-0000-00004F550000}"/>
    <cellStyle name="표준 5 2 3 4 4 2 3" xfId="8016" xr:uid="{00000000-0005-0000-0000-000050550000}"/>
    <cellStyle name="표준 5 2 3 4 4 2 3 2" xfId="28722" xr:uid="{00000000-0005-0000-0000-000051550000}"/>
    <cellStyle name="표준 5 2 3 4 4 2 3 3" xfId="36933" xr:uid="{00000000-0005-0000-0000-000052550000}"/>
    <cellStyle name="표준 5 2 3 4 4 2 3 4" xfId="45126" xr:uid="{00000000-0005-0000-0000-000053550000}"/>
    <cellStyle name="표준 5 2 3 4 4 2 4" xfId="12128" xr:uid="{00000000-0005-0000-0000-000054550000}"/>
    <cellStyle name="표준 5 2 3 4 4 2 5" xfId="16368" xr:uid="{00000000-0005-0000-0000-000055550000}"/>
    <cellStyle name="표준 5 2 3 4 4 2 6" xfId="20530" xr:uid="{00000000-0005-0000-0000-000056550000}"/>
    <cellStyle name="표준 5 2 3 4 4 2 7" xfId="24626" xr:uid="{00000000-0005-0000-0000-000057550000}"/>
    <cellStyle name="표준 5 2 3 4 4 2 8" xfId="32837" xr:uid="{00000000-0005-0000-0000-000058550000}"/>
    <cellStyle name="표준 5 2 3 4 4 2 9" xfId="41030" xr:uid="{00000000-0005-0000-0000-000059550000}"/>
    <cellStyle name="표준 5 2 3 4 4 3" xfId="1673" xr:uid="{00000000-0005-0000-0000-00005A550000}"/>
    <cellStyle name="표준 5 2 3 4 4 3 2" xfId="10576" xr:uid="{00000000-0005-0000-0000-00005B550000}"/>
    <cellStyle name="표준 5 2 3 4 4 3 2 2" xfId="14688" xr:uid="{00000000-0005-0000-0000-00005C550000}"/>
    <cellStyle name="표준 5 2 3 4 4 3 2 2 2" xfId="31282" xr:uid="{00000000-0005-0000-0000-00005D550000}"/>
    <cellStyle name="표준 5 2 3 4 4 3 2 2 3" xfId="39493" xr:uid="{00000000-0005-0000-0000-00005E550000}"/>
    <cellStyle name="표준 5 2 3 4 4 3 2 2 4" xfId="47686" xr:uid="{00000000-0005-0000-0000-00005F550000}"/>
    <cellStyle name="표준 5 2 3 4 4 3 2 3" xfId="18928" xr:uid="{00000000-0005-0000-0000-000060550000}"/>
    <cellStyle name="표준 5 2 3 4 4 3 2 4" xfId="23090" xr:uid="{00000000-0005-0000-0000-000061550000}"/>
    <cellStyle name="표준 5 2 3 4 4 3 2 5" xfId="27186" xr:uid="{00000000-0005-0000-0000-000062550000}"/>
    <cellStyle name="표준 5 2 3 4 4 3 2 6" xfId="35397" xr:uid="{00000000-0005-0000-0000-000063550000}"/>
    <cellStyle name="표준 5 2 3 4 4 3 2 7" xfId="43590" xr:uid="{00000000-0005-0000-0000-000064550000}"/>
    <cellStyle name="표준 5 2 3 4 4 3 3" xfId="8528" xr:uid="{00000000-0005-0000-0000-000065550000}"/>
    <cellStyle name="표준 5 2 3 4 4 3 3 2" xfId="29234" xr:uid="{00000000-0005-0000-0000-000066550000}"/>
    <cellStyle name="표준 5 2 3 4 4 3 3 3" xfId="37445" xr:uid="{00000000-0005-0000-0000-000067550000}"/>
    <cellStyle name="표준 5 2 3 4 4 3 3 4" xfId="45638" xr:uid="{00000000-0005-0000-0000-000068550000}"/>
    <cellStyle name="표준 5 2 3 4 4 3 4" xfId="12640" xr:uid="{00000000-0005-0000-0000-000069550000}"/>
    <cellStyle name="표준 5 2 3 4 4 3 5" xfId="16880" xr:uid="{00000000-0005-0000-0000-00006A550000}"/>
    <cellStyle name="표준 5 2 3 4 4 3 6" xfId="21042" xr:uid="{00000000-0005-0000-0000-00006B550000}"/>
    <cellStyle name="표준 5 2 3 4 4 3 7" xfId="25138" xr:uid="{00000000-0005-0000-0000-00006C550000}"/>
    <cellStyle name="표준 5 2 3 4 4 3 8" xfId="33349" xr:uid="{00000000-0005-0000-0000-00006D550000}"/>
    <cellStyle name="표준 5 2 3 4 4 3 9" xfId="41542" xr:uid="{00000000-0005-0000-0000-00006E550000}"/>
    <cellStyle name="표준 5 2 3 4 4 4" xfId="2185" xr:uid="{00000000-0005-0000-0000-00006F550000}"/>
    <cellStyle name="표준 5 2 3 4 4 4 2" xfId="11088" xr:uid="{00000000-0005-0000-0000-000070550000}"/>
    <cellStyle name="표준 5 2 3 4 4 4 2 2" xfId="15200" xr:uid="{00000000-0005-0000-0000-000071550000}"/>
    <cellStyle name="표준 5 2 3 4 4 4 2 2 2" xfId="31794" xr:uid="{00000000-0005-0000-0000-000072550000}"/>
    <cellStyle name="표준 5 2 3 4 4 4 2 2 3" xfId="40005" xr:uid="{00000000-0005-0000-0000-000073550000}"/>
    <cellStyle name="표준 5 2 3 4 4 4 2 2 4" xfId="48198" xr:uid="{00000000-0005-0000-0000-000074550000}"/>
    <cellStyle name="표준 5 2 3 4 4 4 2 3" xfId="19440" xr:uid="{00000000-0005-0000-0000-000075550000}"/>
    <cellStyle name="표준 5 2 3 4 4 4 2 4" xfId="23602" xr:uid="{00000000-0005-0000-0000-000076550000}"/>
    <cellStyle name="표준 5 2 3 4 4 4 2 5" xfId="27698" xr:uid="{00000000-0005-0000-0000-000077550000}"/>
    <cellStyle name="표준 5 2 3 4 4 4 2 6" xfId="35909" xr:uid="{00000000-0005-0000-0000-000078550000}"/>
    <cellStyle name="표준 5 2 3 4 4 4 2 7" xfId="44102" xr:uid="{00000000-0005-0000-0000-000079550000}"/>
    <cellStyle name="표준 5 2 3 4 4 4 3" xfId="9040" xr:uid="{00000000-0005-0000-0000-00007A550000}"/>
    <cellStyle name="표준 5 2 3 4 4 4 3 2" xfId="29746" xr:uid="{00000000-0005-0000-0000-00007B550000}"/>
    <cellStyle name="표준 5 2 3 4 4 4 3 3" xfId="37957" xr:uid="{00000000-0005-0000-0000-00007C550000}"/>
    <cellStyle name="표준 5 2 3 4 4 4 3 4" xfId="46150" xr:uid="{00000000-0005-0000-0000-00007D550000}"/>
    <cellStyle name="표준 5 2 3 4 4 4 4" xfId="13152" xr:uid="{00000000-0005-0000-0000-00007E550000}"/>
    <cellStyle name="표준 5 2 3 4 4 4 5" xfId="17392" xr:uid="{00000000-0005-0000-0000-00007F550000}"/>
    <cellStyle name="표준 5 2 3 4 4 4 6" xfId="21554" xr:uid="{00000000-0005-0000-0000-000080550000}"/>
    <cellStyle name="표준 5 2 3 4 4 4 7" xfId="25650" xr:uid="{00000000-0005-0000-0000-000081550000}"/>
    <cellStyle name="표준 5 2 3 4 4 4 8" xfId="33861" xr:uid="{00000000-0005-0000-0000-000082550000}"/>
    <cellStyle name="표준 5 2 3 4 4 4 9" xfId="42054" xr:uid="{00000000-0005-0000-0000-000083550000}"/>
    <cellStyle name="표준 5 2 3 4 4 5" xfId="9552" xr:uid="{00000000-0005-0000-0000-000084550000}"/>
    <cellStyle name="표준 5 2 3 4 4 5 2" xfId="13664" xr:uid="{00000000-0005-0000-0000-000085550000}"/>
    <cellStyle name="표준 5 2 3 4 4 5 2 2" xfId="30258" xr:uid="{00000000-0005-0000-0000-000086550000}"/>
    <cellStyle name="표준 5 2 3 4 4 5 2 3" xfId="38469" xr:uid="{00000000-0005-0000-0000-000087550000}"/>
    <cellStyle name="표준 5 2 3 4 4 5 2 4" xfId="46662" xr:uid="{00000000-0005-0000-0000-000088550000}"/>
    <cellStyle name="표준 5 2 3 4 4 5 3" xfId="17904" xr:uid="{00000000-0005-0000-0000-000089550000}"/>
    <cellStyle name="표준 5 2 3 4 4 5 4" xfId="22066" xr:uid="{00000000-0005-0000-0000-00008A550000}"/>
    <cellStyle name="표준 5 2 3 4 4 5 5" xfId="26162" xr:uid="{00000000-0005-0000-0000-00008B550000}"/>
    <cellStyle name="표준 5 2 3 4 4 5 6" xfId="34373" xr:uid="{00000000-0005-0000-0000-00008C550000}"/>
    <cellStyle name="표준 5 2 3 4 4 5 7" xfId="42566" xr:uid="{00000000-0005-0000-0000-00008D550000}"/>
    <cellStyle name="표준 5 2 3 4 4 6" xfId="7504" xr:uid="{00000000-0005-0000-0000-00008E550000}"/>
    <cellStyle name="표준 5 2 3 4 4 6 2" xfId="28210" xr:uid="{00000000-0005-0000-0000-00008F550000}"/>
    <cellStyle name="표준 5 2 3 4 4 6 3" xfId="36421" xr:uid="{00000000-0005-0000-0000-000090550000}"/>
    <cellStyle name="표준 5 2 3 4 4 6 4" xfId="44614" xr:uid="{00000000-0005-0000-0000-000091550000}"/>
    <cellStyle name="표준 5 2 3 4 4 7" xfId="11616" xr:uid="{00000000-0005-0000-0000-000092550000}"/>
    <cellStyle name="표준 5 2 3 4 4 8" xfId="15856" xr:uid="{00000000-0005-0000-0000-000093550000}"/>
    <cellStyle name="표준 5 2 3 4 4 9" xfId="20018" xr:uid="{00000000-0005-0000-0000-000094550000}"/>
    <cellStyle name="표준 5 2 3 4 5" xfId="905" xr:uid="{00000000-0005-0000-0000-000095550000}"/>
    <cellStyle name="표준 5 2 3 4 5 2" xfId="9808" xr:uid="{00000000-0005-0000-0000-000096550000}"/>
    <cellStyle name="표준 5 2 3 4 5 2 2" xfId="13920" xr:uid="{00000000-0005-0000-0000-000097550000}"/>
    <cellStyle name="표준 5 2 3 4 5 2 2 2" xfId="30514" xr:uid="{00000000-0005-0000-0000-000098550000}"/>
    <cellStyle name="표준 5 2 3 4 5 2 2 3" xfId="38725" xr:uid="{00000000-0005-0000-0000-000099550000}"/>
    <cellStyle name="표준 5 2 3 4 5 2 2 4" xfId="46918" xr:uid="{00000000-0005-0000-0000-00009A550000}"/>
    <cellStyle name="표준 5 2 3 4 5 2 3" xfId="18160" xr:uid="{00000000-0005-0000-0000-00009B550000}"/>
    <cellStyle name="표준 5 2 3 4 5 2 4" xfId="22322" xr:uid="{00000000-0005-0000-0000-00009C550000}"/>
    <cellStyle name="표준 5 2 3 4 5 2 5" xfId="26418" xr:uid="{00000000-0005-0000-0000-00009D550000}"/>
    <cellStyle name="표준 5 2 3 4 5 2 6" xfId="34629" xr:uid="{00000000-0005-0000-0000-00009E550000}"/>
    <cellStyle name="표준 5 2 3 4 5 2 7" xfId="42822" xr:uid="{00000000-0005-0000-0000-00009F550000}"/>
    <cellStyle name="표준 5 2 3 4 5 3" xfId="7760" xr:uid="{00000000-0005-0000-0000-0000A0550000}"/>
    <cellStyle name="표준 5 2 3 4 5 3 2" xfId="28466" xr:uid="{00000000-0005-0000-0000-0000A1550000}"/>
    <cellStyle name="표준 5 2 3 4 5 3 3" xfId="36677" xr:uid="{00000000-0005-0000-0000-0000A2550000}"/>
    <cellStyle name="표준 5 2 3 4 5 3 4" xfId="44870" xr:uid="{00000000-0005-0000-0000-0000A3550000}"/>
    <cellStyle name="표준 5 2 3 4 5 4" xfId="11872" xr:uid="{00000000-0005-0000-0000-0000A4550000}"/>
    <cellStyle name="표준 5 2 3 4 5 5" xfId="16112" xr:uid="{00000000-0005-0000-0000-0000A5550000}"/>
    <cellStyle name="표준 5 2 3 4 5 6" xfId="20274" xr:uid="{00000000-0005-0000-0000-0000A6550000}"/>
    <cellStyle name="표준 5 2 3 4 5 7" xfId="24370" xr:uid="{00000000-0005-0000-0000-0000A7550000}"/>
    <cellStyle name="표준 5 2 3 4 5 8" xfId="32581" xr:uid="{00000000-0005-0000-0000-0000A8550000}"/>
    <cellStyle name="표준 5 2 3 4 5 9" xfId="40774" xr:uid="{00000000-0005-0000-0000-0000A9550000}"/>
    <cellStyle name="표준 5 2 3 4 6" xfId="1417" xr:uid="{00000000-0005-0000-0000-0000AA550000}"/>
    <cellStyle name="표준 5 2 3 4 6 2" xfId="10320" xr:uid="{00000000-0005-0000-0000-0000AB550000}"/>
    <cellStyle name="표준 5 2 3 4 6 2 2" xfId="14432" xr:uid="{00000000-0005-0000-0000-0000AC550000}"/>
    <cellStyle name="표준 5 2 3 4 6 2 2 2" xfId="31026" xr:uid="{00000000-0005-0000-0000-0000AD550000}"/>
    <cellStyle name="표준 5 2 3 4 6 2 2 3" xfId="39237" xr:uid="{00000000-0005-0000-0000-0000AE550000}"/>
    <cellStyle name="표준 5 2 3 4 6 2 2 4" xfId="47430" xr:uid="{00000000-0005-0000-0000-0000AF550000}"/>
    <cellStyle name="표준 5 2 3 4 6 2 3" xfId="18672" xr:uid="{00000000-0005-0000-0000-0000B0550000}"/>
    <cellStyle name="표준 5 2 3 4 6 2 4" xfId="22834" xr:uid="{00000000-0005-0000-0000-0000B1550000}"/>
    <cellStyle name="표준 5 2 3 4 6 2 5" xfId="26930" xr:uid="{00000000-0005-0000-0000-0000B2550000}"/>
    <cellStyle name="표준 5 2 3 4 6 2 6" xfId="35141" xr:uid="{00000000-0005-0000-0000-0000B3550000}"/>
    <cellStyle name="표준 5 2 3 4 6 2 7" xfId="43334" xr:uid="{00000000-0005-0000-0000-0000B4550000}"/>
    <cellStyle name="표준 5 2 3 4 6 3" xfId="8272" xr:uid="{00000000-0005-0000-0000-0000B5550000}"/>
    <cellStyle name="표준 5 2 3 4 6 3 2" xfId="28978" xr:uid="{00000000-0005-0000-0000-0000B6550000}"/>
    <cellStyle name="표준 5 2 3 4 6 3 3" xfId="37189" xr:uid="{00000000-0005-0000-0000-0000B7550000}"/>
    <cellStyle name="표준 5 2 3 4 6 3 4" xfId="45382" xr:uid="{00000000-0005-0000-0000-0000B8550000}"/>
    <cellStyle name="표준 5 2 3 4 6 4" xfId="12384" xr:uid="{00000000-0005-0000-0000-0000B9550000}"/>
    <cellStyle name="표준 5 2 3 4 6 5" xfId="16624" xr:uid="{00000000-0005-0000-0000-0000BA550000}"/>
    <cellStyle name="표준 5 2 3 4 6 6" xfId="20786" xr:uid="{00000000-0005-0000-0000-0000BB550000}"/>
    <cellStyle name="표준 5 2 3 4 6 7" xfId="24882" xr:uid="{00000000-0005-0000-0000-0000BC550000}"/>
    <cellStyle name="표준 5 2 3 4 6 8" xfId="33093" xr:uid="{00000000-0005-0000-0000-0000BD550000}"/>
    <cellStyle name="표준 5 2 3 4 6 9" xfId="41286" xr:uid="{00000000-0005-0000-0000-0000BE550000}"/>
    <cellStyle name="표준 5 2 3 4 7" xfId="1929" xr:uid="{00000000-0005-0000-0000-0000BF550000}"/>
    <cellStyle name="표준 5 2 3 4 7 2" xfId="10832" xr:uid="{00000000-0005-0000-0000-0000C0550000}"/>
    <cellStyle name="표준 5 2 3 4 7 2 2" xfId="14944" xr:uid="{00000000-0005-0000-0000-0000C1550000}"/>
    <cellStyle name="표준 5 2 3 4 7 2 2 2" xfId="31538" xr:uid="{00000000-0005-0000-0000-0000C2550000}"/>
    <cellStyle name="표준 5 2 3 4 7 2 2 3" xfId="39749" xr:uid="{00000000-0005-0000-0000-0000C3550000}"/>
    <cellStyle name="표준 5 2 3 4 7 2 2 4" xfId="47942" xr:uid="{00000000-0005-0000-0000-0000C4550000}"/>
    <cellStyle name="표준 5 2 3 4 7 2 3" xfId="19184" xr:uid="{00000000-0005-0000-0000-0000C5550000}"/>
    <cellStyle name="표준 5 2 3 4 7 2 4" xfId="23346" xr:uid="{00000000-0005-0000-0000-0000C6550000}"/>
    <cellStyle name="표준 5 2 3 4 7 2 5" xfId="27442" xr:uid="{00000000-0005-0000-0000-0000C7550000}"/>
    <cellStyle name="표준 5 2 3 4 7 2 6" xfId="35653" xr:uid="{00000000-0005-0000-0000-0000C8550000}"/>
    <cellStyle name="표준 5 2 3 4 7 2 7" xfId="43846" xr:uid="{00000000-0005-0000-0000-0000C9550000}"/>
    <cellStyle name="표준 5 2 3 4 7 3" xfId="8784" xr:uid="{00000000-0005-0000-0000-0000CA550000}"/>
    <cellStyle name="표준 5 2 3 4 7 3 2" xfId="29490" xr:uid="{00000000-0005-0000-0000-0000CB550000}"/>
    <cellStyle name="표준 5 2 3 4 7 3 3" xfId="37701" xr:uid="{00000000-0005-0000-0000-0000CC550000}"/>
    <cellStyle name="표준 5 2 3 4 7 3 4" xfId="45894" xr:uid="{00000000-0005-0000-0000-0000CD550000}"/>
    <cellStyle name="표준 5 2 3 4 7 4" xfId="12896" xr:uid="{00000000-0005-0000-0000-0000CE550000}"/>
    <cellStyle name="표준 5 2 3 4 7 5" xfId="17136" xr:uid="{00000000-0005-0000-0000-0000CF550000}"/>
    <cellStyle name="표준 5 2 3 4 7 6" xfId="21298" xr:uid="{00000000-0005-0000-0000-0000D0550000}"/>
    <cellStyle name="표준 5 2 3 4 7 7" xfId="25394" xr:uid="{00000000-0005-0000-0000-0000D1550000}"/>
    <cellStyle name="표준 5 2 3 4 7 8" xfId="33605" xr:uid="{00000000-0005-0000-0000-0000D2550000}"/>
    <cellStyle name="표준 5 2 3 4 7 9" xfId="41798" xr:uid="{00000000-0005-0000-0000-0000D3550000}"/>
    <cellStyle name="표준 5 2 3 4 8" xfId="393" xr:uid="{00000000-0005-0000-0000-0000D4550000}"/>
    <cellStyle name="표준 5 2 3 4 8 2" xfId="9296" xr:uid="{00000000-0005-0000-0000-0000D5550000}"/>
    <cellStyle name="표준 5 2 3 4 8 2 2" xfId="30002" xr:uid="{00000000-0005-0000-0000-0000D6550000}"/>
    <cellStyle name="표준 5 2 3 4 8 2 3" xfId="38213" xr:uid="{00000000-0005-0000-0000-0000D7550000}"/>
    <cellStyle name="표준 5 2 3 4 8 2 4" xfId="46406" xr:uid="{00000000-0005-0000-0000-0000D8550000}"/>
    <cellStyle name="표준 5 2 3 4 8 3" xfId="13408" xr:uid="{00000000-0005-0000-0000-0000D9550000}"/>
    <cellStyle name="표준 5 2 3 4 8 4" xfId="17648" xr:uid="{00000000-0005-0000-0000-0000DA550000}"/>
    <cellStyle name="표준 5 2 3 4 8 5" xfId="21810" xr:uid="{00000000-0005-0000-0000-0000DB550000}"/>
    <cellStyle name="표준 5 2 3 4 8 6" xfId="25906" xr:uid="{00000000-0005-0000-0000-0000DC550000}"/>
    <cellStyle name="표준 5 2 3 4 8 7" xfId="34117" xr:uid="{00000000-0005-0000-0000-0000DD550000}"/>
    <cellStyle name="표준 5 2 3 4 8 8" xfId="42310" xr:uid="{00000000-0005-0000-0000-0000DE550000}"/>
    <cellStyle name="표준 5 2 3 4 9" xfId="6995" xr:uid="{00000000-0005-0000-0000-0000DF550000}"/>
    <cellStyle name="표준 5 2 3 4 9 2" xfId="27954" xr:uid="{00000000-0005-0000-0000-0000E0550000}"/>
    <cellStyle name="표준 5 2 3 4 9 3" xfId="36165" xr:uid="{00000000-0005-0000-0000-0000E1550000}"/>
    <cellStyle name="표준 5 2 3 4 9 4" xfId="44358" xr:uid="{00000000-0005-0000-0000-0000E2550000}"/>
    <cellStyle name="표준 5 2 3 5" xfId="425" xr:uid="{00000000-0005-0000-0000-0000E3550000}"/>
    <cellStyle name="표준 5 2 3 5 10" xfId="11392" xr:uid="{00000000-0005-0000-0000-0000E4550000}"/>
    <cellStyle name="표준 5 2 3 5 11" xfId="15504" xr:uid="{00000000-0005-0000-0000-0000E5550000}"/>
    <cellStyle name="표준 5 2 3 5 12" xfId="15632" xr:uid="{00000000-0005-0000-0000-0000E6550000}"/>
    <cellStyle name="표준 5 2 3 5 13" xfId="19794" xr:uid="{00000000-0005-0000-0000-0000E7550000}"/>
    <cellStyle name="표준 5 2 3 5 14" xfId="23890" xr:uid="{00000000-0005-0000-0000-0000E8550000}"/>
    <cellStyle name="표준 5 2 3 5 15" xfId="32101" xr:uid="{00000000-0005-0000-0000-0000E9550000}"/>
    <cellStyle name="표준 5 2 3 5 16" xfId="40294" xr:uid="{00000000-0005-0000-0000-0000EA550000}"/>
    <cellStyle name="표준 5 2 3 5 2" xfId="553" xr:uid="{00000000-0005-0000-0000-0000EB550000}"/>
    <cellStyle name="표준 5 2 3 5 2 10" xfId="19922" xr:uid="{00000000-0005-0000-0000-0000EC550000}"/>
    <cellStyle name="표준 5 2 3 5 2 11" xfId="24018" xr:uid="{00000000-0005-0000-0000-0000ED550000}"/>
    <cellStyle name="표준 5 2 3 5 2 12" xfId="32229" xr:uid="{00000000-0005-0000-0000-0000EE550000}"/>
    <cellStyle name="표준 5 2 3 5 2 13" xfId="40422" xr:uid="{00000000-0005-0000-0000-0000EF550000}"/>
    <cellStyle name="표준 5 2 3 5 2 2" xfId="809" xr:uid="{00000000-0005-0000-0000-0000F0550000}"/>
    <cellStyle name="표준 5 2 3 5 2 2 10" xfId="24274" xr:uid="{00000000-0005-0000-0000-0000F1550000}"/>
    <cellStyle name="표준 5 2 3 5 2 2 11" xfId="32485" xr:uid="{00000000-0005-0000-0000-0000F2550000}"/>
    <cellStyle name="표준 5 2 3 5 2 2 12" xfId="40678" xr:uid="{00000000-0005-0000-0000-0000F3550000}"/>
    <cellStyle name="표준 5 2 3 5 2 2 2" xfId="1321" xr:uid="{00000000-0005-0000-0000-0000F4550000}"/>
    <cellStyle name="표준 5 2 3 5 2 2 2 2" xfId="10224" xr:uid="{00000000-0005-0000-0000-0000F5550000}"/>
    <cellStyle name="표준 5 2 3 5 2 2 2 2 2" xfId="14336" xr:uid="{00000000-0005-0000-0000-0000F6550000}"/>
    <cellStyle name="표준 5 2 3 5 2 2 2 2 2 2" xfId="30930" xr:uid="{00000000-0005-0000-0000-0000F7550000}"/>
    <cellStyle name="표준 5 2 3 5 2 2 2 2 2 3" xfId="39141" xr:uid="{00000000-0005-0000-0000-0000F8550000}"/>
    <cellStyle name="표준 5 2 3 5 2 2 2 2 2 4" xfId="47334" xr:uid="{00000000-0005-0000-0000-0000F9550000}"/>
    <cellStyle name="표준 5 2 3 5 2 2 2 2 3" xfId="18576" xr:uid="{00000000-0005-0000-0000-0000FA550000}"/>
    <cellStyle name="표준 5 2 3 5 2 2 2 2 4" xfId="22738" xr:uid="{00000000-0005-0000-0000-0000FB550000}"/>
    <cellStyle name="표준 5 2 3 5 2 2 2 2 5" xfId="26834" xr:uid="{00000000-0005-0000-0000-0000FC550000}"/>
    <cellStyle name="표준 5 2 3 5 2 2 2 2 6" xfId="35045" xr:uid="{00000000-0005-0000-0000-0000FD550000}"/>
    <cellStyle name="표준 5 2 3 5 2 2 2 2 7" xfId="43238" xr:uid="{00000000-0005-0000-0000-0000FE550000}"/>
    <cellStyle name="표준 5 2 3 5 2 2 2 3" xfId="8176" xr:uid="{00000000-0005-0000-0000-0000FF550000}"/>
    <cellStyle name="표준 5 2 3 5 2 2 2 3 2" xfId="28882" xr:uid="{00000000-0005-0000-0000-000000560000}"/>
    <cellStyle name="표준 5 2 3 5 2 2 2 3 3" xfId="37093" xr:uid="{00000000-0005-0000-0000-000001560000}"/>
    <cellStyle name="표준 5 2 3 5 2 2 2 3 4" xfId="45286" xr:uid="{00000000-0005-0000-0000-000002560000}"/>
    <cellStyle name="표준 5 2 3 5 2 2 2 4" xfId="12288" xr:uid="{00000000-0005-0000-0000-000003560000}"/>
    <cellStyle name="표준 5 2 3 5 2 2 2 5" xfId="16528" xr:uid="{00000000-0005-0000-0000-000004560000}"/>
    <cellStyle name="표준 5 2 3 5 2 2 2 6" xfId="20690" xr:uid="{00000000-0005-0000-0000-000005560000}"/>
    <cellStyle name="표준 5 2 3 5 2 2 2 7" xfId="24786" xr:uid="{00000000-0005-0000-0000-000006560000}"/>
    <cellStyle name="표준 5 2 3 5 2 2 2 8" xfId="32997" xr:uid="{00000000-0005-0000-0000-000007560000}"/>
    <cellStyle name="표준 5 2 3 5 2 2 2 9" xfId="41190" xr:uid="{00000000-0005-0000-0000-000008560000}"/>
    <cellStyle name="표준 5 2 3 5 2 2 3" xfId="1833" xr:uid="{00000000-0005-0000-0000-000009560000}"/>
    <cellStyle name="표준 5 2 3 5 2 2 3 2" xfId="10736" xr:uid="{00000000-0005-0000-0000-00000A560000}"/>
    <cellStyle name="표준 5 2 3 5 2 2 3 2 2" xfId="14848" xr:uid="{00000000-0005-0000-0000-00000B560000}"/>
    <cellStyle name="표준 5 2 3 5 2 2 3 2 2 2" xfId="31442" xr:uid="{00000000-0005-0000-0000-00000C560000}"/>
    <cellStyle name="표준 5 2 3 5 2 2 3 2 2 3" xfId="39653" xr:uid="{00000000-0005-0000-0000-00000D560000}"/>
    <cellStyle name="표준 5 2 3 5 2 2 3 2 2 4" xfId="47846" xr:uid="{00000000-0005-0000-0000-00000E560000}"/>
    <cellStyle name="표준 5 2 3 5 2 2 3 2 3" xfId="19088" xr:uid="{00000000-0005-0000-0000-00000F560000}"/>
    <cellStyle name="표준 5 2 3 5 2 2 3 2 4" xfId="23250" xr:uid="{00000000-0005-0000-0000-000010560000}"/>
    <cellStyle name="표준 5 2 3 5 2 2 3 2 5" xfId="27346" xr:uid="{00000000-0005-0000-0000-000011560000}"/>
    <cellStyle name="표준 5 2 3 5 2 2 3 2 6" xfId="35557" xr:uid="{00000000-0005-0000-0000-000012560000}"/>
    <cellStyle name="표준 5 2 3 5 2 2 3 2 7" xfId="43750" xr:uid="{00000000-0005-0000-0000-000013560000}"/>
    <cellStyle name="표준 5 2 3 5 2 2 3 3" xfId="8688" xr:uid="{00000000-0005-0000-0000-000014560000}"/>
    <cellStyle name="표준 5 2 3 5 2 2 3 3 2" xfId="29394" xr:uid="{00000000-0005-0000-0000-000015560000}"/>
    <cellStyle name="표준 5 2 3 5 2 2 3 3 3" xfId="37605" xr:uid="{00000000-0005-0000-0000-000016560000}"/>
    <cellStyle name="표준 5 2 3 5 2 2 3 3 4" xfId="45798" xr:uid="{00000000-0005-0000-0000-000017560000}"/>
    <cellStyle name="표준 5 2 3 5 2 2 3 4" xfId="12800" xr:uid="{00000000-0005-0000-0000-000018560000}"/>
    <cellStyle name="표준 5 2 3 5 2 2 3 5" xfId="17040" xr:uid="{00000000-0005-0000-0000-000019560000}"/>
    <cellStyle name="표준 5 2 3 5 2 2 3 6" xfId="21202" xr:uid="{00000000-0005-0000-0000-00001A560000}"/>
    <cellStyle name="표준 5 2 3 5 2 2 3 7" xfId="25298" xr:uid="{00000000-0005-0000-0000-00001B560000}"/>
    <cellStyle name="표준 5 2 3 5 2 2 3 8" xfId="33509" xr:uid="{00000000-0005-0000-0000-00001C560000}"/>
    <cellStyle name="표준 5 2 3 5 2 2 3 9" xfId="41702" xr:uid="{00000000-0005-0000-0000-00001D560000}"/>
    <cellStyle name="표준 5 2 3 5 2 2 4" xfId="2345" xr:uid="{00000000-0005-0000-0000-00001E560000}"/>
    <cellStyle name="표준 5 2 3 5 2 2 4 2" xfId="11248" xr:uid="{00000000-0005-0000-0000-00001F560000}"/>
    <cellStyle name="표준 5 2 3 5 2 2 4 2 2" xfId="15360" xr:uid="{00000000-0005-0000-0000-000020560000}"/>
    <cellStyle name="표준 5 2 3 5 2 2 4 2 2 2" xfId="31954" xr:uid="{00000000-0005-0000-0000-000021560000}"/>
    <cellStyle name="표준 5 2 3 5 2 2 4 2 2 3" xfId="40165" xr:uid="{00000000-0005-0000-0000-000022560000}"/>
    <cellStyle name="표준 5 2 3 5 2 2 4 2 2 4" xfId="48358" xr:uid="{00000000-0005-0000-0000-000023560000}"/>
    <cellStyle name="표준 5 2 3 5 2 2 4 2 3" xfId="19600" xr:uid="{00000000-0005-0000-0000-000024560000}"/>
    <cellStyle name="표준 5 2 3 5 2 2 4 2 4" xfId="23762" xr:uid="{00000000-0005-0000-0000-000025560000}"/>
    <cellStyle name="표준 5 2 3 5 2 2 4 2 5" xfId="27858" xr:uid="{00000000-0005-0000-0000-000026560000}"/>
    <cellStyle name="표준 5 2 3 5 2 2 4 2 6" xfId="36069" xr:uid="{00000000-0005-0000-0000-000027560000}"/>
    <cellStyle name="표준 5 2 3 5 2 2 4 2 7" xfId="44262" xr:uid="{00000000-0005-0000-0000-000028560000}"/>
    <cellStyle name="표준 5 2 3 5 2 2 4 3" xfId="9200" xr:uid="{00000000-0005-0000-0000-000029560000}"/>
    <cellStyle name="표준 5 2 3 5 2 2 4 3 2" xfId="29906" xr:uid="{00000000-0005-0000-0000-00002A560000}"/>
    <cellStyle name="표준 5 2 3 5 2 2 4 3 3" xfId="38117" xr:uid="{00000000-0005-0000-0000-00002B560000}"/>
    <cellStyle name="표준 5 2 3 5 2 2 4 3 4" xfId="46310" xr:uid="{00000000-0005-0000-0000-00002C560000}"/>
    <cellStyle name="표준 5 2 3 5 2 2 4 4" xfId="13312" xr:uid="{00000000-0005-0000-0000-00002D560000}"/>
    <cellStyle name="표준 5 2 3 5 2 2 4 5" xfId="17552" xr:uid="{00000000-0005-0000-0000-00002E560000}"/>
    <cellStyle name="표준 5 2 3 5 2 2 4 6" xfId="21714" xr:uid="{00000000-0005-0000-0000-00002F560000}"/>
    <cellStyle name="표준 5 2 3 5 2 2 4 7" xfId="25810" xr:uid="{00000000-0005-0000-0000-000030560000}"/>
    <cellStyle name="표준 5 2 3 5 2 2 4 8" xfId="34021" xr:uid="{00000000-0005-0000-0000-000031560000}"/>
    <cellStyle name="표준 5 2 3 5 2 2 4 9" xfId="42214" xr:uid="{00000000-0005-0000-0000-000032560000}"/>
    <cellStyle name="표준 5 2 3 5 2 2 5" xfId="9712" xr:uid="{00000000-0005-0000-0000-000033560000}"/>
    <cellStyle name="표준 5 2 3 5 2 2 5 2" xfId="13824" xr:uid="{00000000-0005-0000-0000-000034560000}"/>
    <cellStyle name="표준 5 2 3 5 2 2 5 2 2" xfId="30418" xr:uid="{00000000-0005-0000-0000-000035560000}"/>
    <cellStyle name="표준 5 2 3 5 2 2 5 2 3" xfId="38629" xr:uid="{00000000-0005-0000-0000-000036560000}"/>
    <cellStyle name="표준 5 2 3 5 2 2 5 2 4" xfId="46822" xr:uid="{00000000-0005-0000-0000-000037560000}"/>
    <cellStyle name="표준 5 2 3 5 2 2 5 3" xfId="18064" xr:uid="{00000000-0005-0000-0000-000038560000}"/>
    <cellStyle name="표준 5 2 3 5 2 2 5 4" xfId="22226" xr:uid="{00000000-0005-0000-0000-000039560000}"/>
    <cellStyle name="표준 5 2 3 5 2 2 5 5" xfId="26322" xr:uid="{00000000-0005-0000-0000-00003A560000}"/>
    <cellStyle name="표준 5 2 3 5 2 2 5 6" xfId="34533" xr:uid="{00000000-0005-0000-0000-00003B560000}"/>
    <cellStyle name="표준 5 2 3 5 2 2 5 7" xfId="42726" xr:uid="{00000000-0005-0000-0000-00003C560000}"/>
    <cellStyle name="표준 5 2 3 5 2 2 6" xfId="7664" xr:uid="{00000000-0005-0000-0000-00003D560000}"/>
    <cellStyle name="표준 5 2 3 5 2 2 6 2" xfId="28370" xr:uid="{00000000-0005-0000-0000-00003E560000}"/>
    <cellStyle name="표준 5 2 3 5 2 2 6 3" xfId="36581" xr:uid="{00000000-0005-0000-0000-00003F560000}"/>
    <cellStyle name="표준 5 2 3 5 2 2 6 4" xfId="44774" xr:uid="{00000000-0005-0000-0000-000040560000}"/>
    <cellStyle name="표준 5 2 3 5 2 2 7" xfId="11776" xr:uid="{00000000-0005-0000-0000-000041560000}"/>
    <cellStyle name="표준 5 2 3 5 2 2 8" xfId="16016" xr:uid="{00000000-0005-0000-0000-000042560000}"/>
    <cellStyle name="표준 5 2 3 5 2 2 9" xfId="20178" xr:uid="{00000000-0005-0000-0000-000043560000}"/>
    <cellStyle name="표준 5 2 3 5 2 3" xfId="1065" xr:uid="{00000000-0005-0000-0000-000044560000}"/>
    <cellStyle name="표준 5 2 3 5 2 3 2" xfId="9968" xr:uid="{00000000-0005-0000-0000-000045560000}"/>
    <cellStyle name="표준 5 2 3 5 2 3 2 2" xfId="14080" xr:uid="{00000000-0005-0000-0000-000046560000}"/>
    <cellStyle name="표준 5 2 3 5 2 3 2 2 2" xfId="30674" xr:uid="{00000000-0005-0000-0000-000047560000}"/>
    <cellStyle name="표준 5 2 3 5 2 3 2 2 3" xfId="38885" xr:uid="{00000000-0005-0000-0000-000048560000}"/>
    <cellStyle name="표준 5 2 3 5 2 3 2 2 4" xfId="47078" xr:uid="{00000000-0005-0000-0000-000049560000}"/>
    <cellStyle name="표준 5 2 3 5 2 3 2 3" xfId="18320" xr:uid="{00000000-0005-0000-0000-00004A560000}"/>
    <cellStyle name="표준 5 2 3 5 2 3 2 4" xfId="22482" xr:uid="{00000000-0005-0000-0000-00004B560000}"/>
    <cellStyle name="표준 5 2 3 5 2 3 2 5" xfId="26578" xr:uid="{00000000-0005-0000-0000-00004C560000}"/>
    <cellStyle name="표준 5 2 3 5 2 3 2 6" xfId="34789" xr:uid="{00000000-0005-0000-0000-00004D560000}"/>
    <cellStyle name="표준 5 2 3 5 2 3 2 7" xfId="42982" xr:uid="{00000000-0005-0000-0000-00004E560000}"/>
    <cellStyle name="표준 5 2 3 5 2 3 3" xfId="7920" xr:uid="{00000000-0005-0000-0000-00004F560000}"/>
    <cellStyle name="표준 5 2 3 5 2 3 3 2" xfId="28626" xr:uid="{00000000-0005-0000-0000-000050560000}"/>
    <cellStyle name="표준 5 2 3 5 2 3 3 3" xfId="36837" xr:uid="{00000000-0005-0000-0000-000051560000}"/>
    <cellStyle name="표준 5 2 3 5 2 3 3 4" xfId="45030" xr:uid="{00000000-0005-0000-0000-000052560000}"/>
    <cellStyle name="표준 5 2 3 5 2 3 4" xfId="12032" xr:uid="{00000000-0005-0000-0000-000053560000}"/>
    <cellStyle name="표준 5 2 3 5 2 3 5" xfId="16272" xr:uid="{00000000-0005-0000-0000-000054560000}"/>
    <cellStyle name="표준 5 2 3 5 2 3 6" xfId="20434" xr:uid="{00000000-0005-0000-0000-000055560000}"/>
    <cellStyle name="표준 5 2 3 5 2 3 7" xfId="24530" xr:uid="{00000000-0005-0000-0000-000056560000}"/>
    <cellStyle name="표준 5 2 3 5 2 3 8" xfId="32741" xr:uid="{00000000-0005-0000-0000-000057560000}"/>
    <cellStyle name="표준 5 2 3 5 2 3 9" xfId="40934" xr:uid="{00000000-0005-0000-0000-000058560000}"/>
    <cellStyle name="표준 5 2 3 5 2 4" xfId="1577" xr:uid="{00000000-0005-0000-0000-000059560000}"/>
    <cellStyle name="표준 5 2 3 5 2 4 2" xfId="10480" xr:uid="{00000000-0005-0000-0000-00005A560000}"/>
    <cellStyle name="표준 5 2 3 5 2 4 2 2" xfId="14592" xr:uid="{00000000-0005-0000-0000-00005B560000}"/>
    <cellStyle name="표준 5 2 3 5 2 4 2 2 2" xfId="31186" xr:uid="{00000000-0005-0000-0000-00005C560000}"/>
    <cellStyle name="표준 5 2 3 5 2 4 2 2 3" xfId="39397" xr:uid="{00000000-0005-0000-0000-00005D560000}"/>
    <cellStyle name="표준 5 2 3 5 2 4 2 2 4" xfId="47590" xr:uid="{00000000-0005-0000-0000-00005E560000}"/>
    <cellStyle name="표준 5 2 3 5 2 4 2 3" xfId="18832" xr:uid="{00000000-0005-0000-0000-00005F560000}"/>
    <cellStyle name="표준 5 2 3 5 2 4 2 4" xfId="22994" xr:uid="{00000000-0005-0000-0000-000060560000}"/>
    <cellStyle name="표준 5 2 3 5 2 4 2 5" xfId="27090" xr:uid="{00000000-0005-0000-0000-000061560000}"/>
    <cellStyle name="표준 5 2 3 5 2 4 2 6" xfId="35301" xr:uid="{00000000-0005-0000-0000-000062560000}"/>
    <cellStyle name="표준 5 2 3 5 2 4 2 7" xfId="43494" xr:uid="{00000000-0005-0000-0000-000063560000}"/>
    <cellStyle name="표준 5 2 3 5 2 4 3" xfId="8432" xr:uid="{00000000-0005-0000-0000-000064560000}"/>
    <cellStyle name="표준 5 2 3 5 2 4 3 2" xfId="29138" xr:uid="{00000000-0005-0000-0000-000065560000}"/>
    <cellStyle name="표준 5 2 3 5 2 4 3 3" xfId="37349" xr:uid="{00000000-0005-0000-0000-000066560000}"/>
    <cellStyle name="표준 5 2 3 5 2 4 3 4" xfId="45542" xr:uid="{00000000-0005-0000-0000-000067560000}"/>
    <cellStyle name="표준 5 2 3 5 2 4 4" xfId="12544" xr:uid="{00000000-0005-0000-0000-000068560000}"/>
    <cellStyle name="표준 5 2 3 5 2 4 5" xfId="16784" xr:uid="{00000000-0005-0000-0000-000069560000}"/>
    <cellStyle name="표준 5 2 3 5 2 4 6" xfId="20946" xr:uid="{00000000-0005-0000-0000-00006A560000}"/>
    <cellStyle name="표준 5 2 3 5 2 4 7" xfId="25042" xr:uid="{00000000-0005-0000-0000-00006B560000}"/>
    <cellStyle name="표준 5 2 3 5 2 4 8" xfId="33253" xr:uid="{00000000-0005-0000-0000-00006C560000}"/>
    <cellStyle name="표준 5 2 3 5 2 4 9" xfId="41446" xr:uid="{00000000-0005-0000-0000-00006D560000}"/>
    <cellStyle name="표준 5 2 3 5 2 5" xfId="2089" xr:uid="{00000000-0005-0000-0000-00006E560000}"/>
    <cellStyle name="표준 5 2 3 5 2 5 2" xfId="10992" xr:uid="{00000000-0005-0000-0000-00006F560000}"/>
    <cellStyle name="표준 5 2 3 5 2 5 2 2" xfId="15104" xr:uid="{00000000-0005-0000-0000-000070560000}"/>
    <cellStyle name="표준 5 2 3 5 2 5 2 2 2" xfId="31698" xr:uid="{00000000-0005-0000-0000-000071560000}"/>
    <cellStyle name="표준 5 2 3 5 2 5 2 2 3" xfId="39909" xr:uid="{00000000-0005-0000-0000-000072560000}"/>
    <cellStyle name="표준 5 2 3 5 2 5 2 2 4" xfId="48102" xr:uid="{00000000-0005-0000-0000-000073560000}"/>
    <cellStyle name="표준 5 2 3 5 2 5 2 3" xfId="19344" xr:uid="{00000000-0005-0000-0000-000074560000}"/>
    <cellStyle name="표준 5 2 3 5 2 5 2 4" xfId="23506" xr:uid="{00000000-0005-0000-0000-000075560000}"/>
    <cellStyle name="표준 5 2 3 5 2 5 2 5" xfId="27602" xr:uid="{00000000-0005-0000-0000-000076560000}"/>
    <cellStyle name="표준 5 2 3 5 2 5 2 6" xfId="35813" xr:uid="{00000000-0005-0000-0000-000077560000}"/>
    <cellStyle name="표준 5 2 3 5 2 5 2 7" xfId="44006" xr:uid="{00000000-0005-0000-0000-000078560000}"/>
    <cellStyle name="표준 5 2 3 5 2 5 3" xfId="8944" xr:uid="{00000000-0005-0000-0000-000079560000}"/>
    <cellStyle name="표준 5 2 3 5 2 5 3 2" xfId="29650" xr:uid="{00000000-0005-0000-0000-00007A560000}"/>
    <cellStyle name="표준 5 2 3 5 2 5 3 3" xfId="37861" xr:uid="{00000000-0005-0000-0000-00007B560000}"/>
    <cellStyle name="표준 5 2 3 5 2 5 3 4" xfId="46054" xr:uid="{00000000-0005-0000-0000-00007C560000}"/>
    <cellStyle name="표준 5 2 3 5 2 5 4" xfId="13056" xr:uid="{00000000-0005-0000-0000-00007D560000}"/>
    <cellStyle name="표준 5 2 3 5 2 5 5" xfId="17296" xr:uid="{00000000-0005-0000-0000-00007E560000}"/>
    <cellStyle name="표준 5 2 3 5 2 5 6" xfId="21458" xr:uid="{00000000-0005-0000-0000-00007F560000}"/>
    <cellStyle name="표준 5 2 3 5 2 5 7" xfId="25554" xr:uid="{00000000-0005-0000-0000-000080560000}"/>
    <cellStyle name="표준 5 2 3 5 2 5 8" xfId="33765" xr:uid="{00000000-0005-0000-0000-000081560000}"/>
    <cellStyle name="표준 5 2 3 5 2 5 9" xfId="41958" xr:uid="{00000000-0005-0000-0000-000082560000}"/>
    <cellStyle name="표준 5 2 3 5 2 6" xfId="9456" xr:uid="{00000000-0005-0000-0000-000083560000}"/>
    <cellStyle name="표준 5 2 3 5 2 6 2" xfId="13568" xr:uid="{00000000-0005-0000-0000-000084560000}"/>
    <cellStyle name="표준 5 2 3 5 2 6 2 2" xfId="30162" xr:uid="{00000000-0005-0000-0000-000085560000}"/>
    <cellStyle name="표준 5 2 3 5 2 6 2 3" xfId="38373" xr:uid="{00000000-0005-0000-0000-000086560000}"/>
    <cellStyle name="표준 5 2 3 5 2 6 2 4" xfId="46566" xr:uid="{00000000-0005-0000-0000-000087560000}"/>
    <cellStyle name="표준 5 2 3 5 2 6 3" xfId="17808" xr:uid="{00000000-0005-0000-0000-000088560000}"/>
    <cellStyle name="표준 5 2 3 5 2 6 4" xfId="21970" xr:uid="{00000000-0005-0000-0000-000089560000}"/>
    <cellStyle name="표준 5 2 3 5 2 6 5" xfId="26066" xr:uid="{00000000-0005-0000-0000-00008A560000}"/>
    <cellStyle name="표준 5 2 3 5 2 6 6" xfId="34277" xr:uid="{00000000-0005-0000-0000-00008B560000}"/>
    <cellStyle name="표준 5 2 3 5 2 6 7" xfId="42470" xr:uid="{00000000-0005-0000-0000-00008C560000}"/>
    <cellStyle name="표준 5 2 3 5 2 7" xfId="7408" xr:uid="{00000000-0005-0000-0000-00008D560000}"/>
    <cellStyle name="표준 5 2 3 5 2 7 2" xfId="28114" xr:uid="{00000000-0005-0000-0000-00008E560000}"/>
    <cellStyle name="표준 5 2 3 5 2 7 3" xfId="36325" xr:uid="{00000000-0005-0000-0000-00008F560000}"/>
    <cellStyle name="표준 5 2 3 5 2 7 4" xfId="44518" xr:uid="{00000000-0005-0000-0000-000090560000}"/>
    <cellStyle name="표준 5 2 3 5 2 8" xfId="11520" xr:uid="{00000000-0005-0000-0000-000091560000}"/>
    <cellStyle name="표준 5 2 3 5 2 9" xfId="15760" xr:uid="{00000000-0005-0000-0000-000092560000}"/>
    <cellStyle name="표준 5 2 3 5 3" xfId="681" xr:uid="{00000000-0005-0000-0000-000093560000}"/>
    <cellStyle name="표준 5 2 3 5 3 10" xfId="24146" xr:uid="{00000000-0005-0000-0000-000094560000}"/>
    <cellStyle name="표준 5 2 3 5 3 11" xfId="32357" xr:uid="{00000000-0005-0000-0000-000095560000}"/>
    <cellStyle name="표준 5 2 3 5 3 12" xfId="40550" xr:uid="{00000000-0005-0000-0000-000096560000}"/>
    <cellStyle name="표준 5 2 3 5 3 2" xfId="1193" xr:uid="{00000000-0005-0000-0000-000097560000}"/>
    <cellStyle name="표준 5 2 3 5 3 2 2" xfId="10096" xr:uid="{00000000-0005-0000-0000-000098560000}"/>
    <cellStyle name="표준 5 2 3 5 3 2 2 2" xfId="14208" xr:uid="{00000000-0005-0000-0000-000099560000}"/>
    <cellStyle name="표준 5 2 3 5 3 2 2 2 2" xfId="30802" xr:uid="{00000000-0005-0000-0000-00009A560000}"/>
    <cellStyle name="표준 5 2 3 5 3 2 2 2 3" xfId="39013" xr:uid="{00000000-0005-0000-0000-00009B560000}"/>
    <cellStyle name="표준 5 2 3 5 3 2 2 2 4" xfId="47206" xr:uid="{00000000-0005-0000-0000-00009C560000}"/>
    <cellStyle name="표준 5 2 3 5 3 2 2 3" xfId="18448" xr:uid="{00000000-0005-0000-0000-00009D560000}"/>
    <cellStyle name="표준 5 2 3 5 3 2 2 4" xfId="22610" xr:uid="{00000000-0005-0000-0000-00009E560000}"/>
    <cellStyle name="표준 5 2 3 5 3 2 2 5" xfId="26706" xr:uid="{00000000-0005-0000-0000-00009F560000}"/>
    <cellStyle name="표준 5 2 3 5 3 2 2 6" xfId="34917" xr:uid="{00000000-0005-0000-0000-0000A0560000}"/>
    <cellStyle name="표준 5 2 3 5 3 2 2 7" xfId="43110" xr:uid="{00000000-0005-0000-0000-0000A1560000}"/>
    <cellStyle name="표준 5 2 3 5 3 2 3" xfId="8048" xr:uid="{00000000-0005-0000-0000-0000A2560000}"/>
    <cellStyle name="표준 5 2 3 5 3 2 3 2" xfId="28754" xr:uid="{00000000-0005-0000-0000-0000A3560000}"/>
    <cellStyle name="표준 5 2 3 5 3 2 3 3" xfId="36965" xr:uid="{00000000-0005-0000-0000-0000A4560000}"/>
    <cellStyle name="표준 5 2 3 5 3 2 3 4" xfId="45158" xr:uid="{00000000-0005-0000-0000-0000A5560000}"/>
    <cellStyle name="표준 5 2 3 5 3 2 4" xfId="12160" xr:uid="{00000000-0005-0000-0000-0000A6560000}"/>
    <cellStyle name="표준 5 2 3 5 3 2 5" xfId="16400" xr:uid="{00000000-0005-0000-0000-0000A7560000}"/>
    <cellStyle name="표준 5 2 3 5 3 2 6" xfId="20562" xr:uid="{00000000-0005-0000-0000-0000A8560000}"/>
    <cellStyle name="표준 5 2 3 5 3 2 7" xfId="24658" xr:uid="{00000000-0005-0000-0000-0000A9560000}"/>
    <cellStyle name="표준 5 2 3 5 3 2 8" xfId="32869" xr:uid="{00000000-0005-0000-0000-0000AA560000}"/>
    <cellStyle name="표준 5 2 3 5 3 2 9" xfId="41062" xr:uid="{00000000-0005-0000-0000-0000AB560000}"/>
    <cellStyle name="표준 5 2 3 5 3 3" xfId="1705" xr:uid="{00000000-0005-0000-0000-0000AC560000}"/>
    <cellStyle name="표준 5 2 3 5 3 3 2" xfId="10608" xr:uid="{00000000-0005-0000-0000-0000AD560000}"/>
    <cellStyle name="표준 5 2 3 5 3 3 2 2" xfId="14720" xr:uid="{00000000-0005-0000-0000-0000AE560000}"/>
    <cellStyle name="표준 5 2 3 5 3 3 2 2 2" xfId="31314" xr:uid="{00000000-0005-0000-0000-0000AF560000}"/>
    <cellStyle name="표준 5 2 3 5 3 3 2 2 3" xfId="39525" xr:uid="{00000000-0005-0000-0000-0000B0560000}"/>
    <cellStyle name="표준 5 2 3 5 3 3 2 2 4" xfId="47718" xr:uid="{00000000-0005-0000-0000-0000B1560000}"/>
    <cellStyle name="표준 5 2 3 5 3 3 2 3" xfId="18960" xr:uid="{00000000-0005-0000-0000-0000B2560000}"/>
    <cellStyle name="표준 5 2 3 5 3 3 2 4" xfId="23122" xr:uid="{00000000-0005-0000-0000-0000B3560000}"/>
    <cellStyle name="표준 5 2 3 5 3 3 2 5" xfId="27218" xr:uid="{00000000-0005-0000-0000-0000B4560000}"/>
    <cellStyle name="표준 5 2 3 5 3 3 2 6" xfId="35429" xr:uid="{00000000-0005-0000-0000-0000B5560000}"/>
    <cellStyle name="표준 5 2 3 5 3 3 2 7" xfId="43622" xr:uid="{00000000-0005-0000-0000-0000B6560000}"/>
    <cellStyle name="표준 5 2 3 5 3 3 3" xfId="8560" xr:uid="{00000000-0005-0000-0000-0000B7560000}"/>
    <cellStyle name="표준 5 2 3 5 3 3 3 2" xfId="29266" xr:uid="{00000000-0005-0000-0000-0000B8560000}"/>
    <cellStyle name="표준 5 2 3 5 3 3 3 3" xfId="37477" xr:uid="{00000000-0005-0000-0000-0000B9560000}"/>
    <cellStyle name="표준 5 2 3 5 3 3 3 4" xfId="45670" xr:uid="{00000000-0005-0000-0000-0000BA560000}"/>
    <cellStyle name="표준 5 2 3 5 3 3 4" xfId="12672" xr:uid="{00000000-0005-0000-0000-0000BB560000}"/>
    <cellStyle name="표준 5 2 3 5 3 3 5" xfId="16912" xr:uid="{00000000-0005-0000-0000-0000BC560000}"/>
    <cellStyle name="표준 5 2 3 5 3 3 6" xfId="21074" xr:uid="{00000000-0005-0000-0000-0000BD560000}"/>
    <cellStyle name="표준 5 2 3 5 3 3 7" xfId="25170" xr:uid="{00000000-0005-0000-0000-0000BE560000}"/>
    <cellStyle name="표준 5 2 3 5 3 3 8" xfId="33381" xr:uid="{00000000-0005-0000-0000-0000BF560000}"/>
    <cellStyle name="표준 5 2 3 5 3 3 9" xfId="41574" xr:uid="{00000000-0005-0000-0000-0000C0560000}"/>
    <cellStyle name="표준 5 2 3 5 3 4" xfId="2217" xr:uid="{00000000-0005-0000-0000-0000C1560000}"/>
    <cellStyle name="표준 5 2 3 5 3 4 2" xfId="11120" xr:uid="{00000000-0005-0000-0000-0000C2560000}"/>
    <cellStyle name="표준 5 2 3 5 3 4 2 2" xfId="15232" xr:uid="{00000000-0005-0000-0000-0000C3560000}"/>
    <cellStyle name="표준 5 2 3 5 3 4 2 2 2" xfId="31826" xr:uid="{00000000-0005-0000-0000-0000C4560000}"/>
    <cellStyle name="표준 5 2 3 5 3 4 2 2 3" xfId="40037" xr:uid="{00000000-0005-0000-0000-0000C5560000}"/>
    <cellStyle name="표준 5 2 3 5 3 4 2 2 4" xfId="48230" xr:uid="{00000000-0005-0000-0000-0000C6560000}"/>
    <cellStyle name="표준 5 2 3 5 3 4 2 3" xfId="19472" xr:uid="{00000000-0005-0000-0000-0000C7560000}"/>
    <cellStyle name="표준 5 2 3 5 3 4 2 4" xfId="23634" xr:uid="{00000000-0005-0000-0000-0000C8560000}"/>
    <cellStyle name="표준 5 2 3 5 3 4 2 5" xfId="27730" xr:uid="{00000000-0005-0000-0000-0000C9560000}"/>
    <cellStyle name="표준 5 2 3 5 3 4 2 6" xfId="35941" xr:uid="{00000000-0005-0000-0000-0000CA560000}"/>
    <cellStyle name="표준 5 2 3 5 3 4 2 7" xfId="44134" xr:uid="{00000000-0005-0000-0000-0000CB560000}"/>
    <cellStyle name="표준 5 2 3 5 3 4 3" xfId="9072" xr:uid="{00000000-0005-0000-0000-0000CC560000}"/>
    <cellStyle name="표준 5 2 3 5 3 4 3 2" xfId="29778" xr:uid="{00000000-0005-0000-0000-0000CD560000}"/>
    <cellStyle name="표준 5 2 3 5 3 4 3 3" xfId="37989" xr:uid="{00000000-0005-0000-0000-0000CE560000}"/>
    <cellStyle name="표준 5 2 3 5 3 4 3 4" xfId="46182" xr:uid="{00000000-0005-0000-0000-0000CF560000}"/>
    <cellStyle name="표준 5 2 3 5 3 4 4" xfId="13184" xr:uid="{00000000-0005-0000-0000-0000D0560000}"/>
    <cellStyle name="표준 5 2 3 5 3 4 5" xfId="17424" xr:uid="{00000000-0005-0000-0000-0000D1560000}"/>
    <cellStyle name="표준 5 2 3 5 3 4 6" xfId="21586" xr:uid="{00000000-0005-0000-0000-0000D2560000}"/>
    <cellStyle name="표준 5 2 3 5 3 4 7" xfId="25682" xr:uid="{00000000-0005-0000-0000-0000D3560000}"/>
    <cellStyle name="표준 5 2 3 5 3 4 8" xfId="33893" xr:uid="{00000000-0005-0000-0000-0000D4560000}"/>
    <cellStyle name="표준 5 2 3 5 3 4 9" xfId="42086" xr:uid="{00000000-0005-0000-0000-0000D5560000}"/>
    <cellStyle name="표준 5 2 3 5 3 5" xfId="9584" xr:uid="{00000000-0005-0000-0000-0000D6560000}"/>
    <cellStyle name="표준 5 2 3 5 3 5 2" xfId="13696" xr:uid="{00000000-0005-0000-0000-0000D7560000}"/>
    <cellStyle name="표준 5 2 3 5 3 5 2 2" xfId="30290" xr:uid="{00000000-0005-0000-0000-0000D8560000}"/>
    <cellStyle name="표준 5 2 3 5 3 5 2 3" xfId="38501" xr:uid="{00000000-0005-0000-0000-0000D9560000}"/>
    <cellStyle name="표준 5 2 3 5 3 5 2 4" xfId="46694" xr:uid="{00000000-0005-0000-0000-0000DA560000}"/>
    <cellStyle name="표준 5 2 3 5 3 5 3" xfId="17936" xr:uid="{00000000-0005-0000-0000-0000DB560000}"/>
    <cellStyle name="표준 5 2 3 5 3 5 4" xfId="22098" xr:uid="{00000000-0005-0000-0000-0000DC560000}"/>
    <cellStyle name="표준 5 2 3 5 3 5 5" xfId="26194" xr:uid="{00000000-0005-0000-0000-0000DD560000}"/>
    <cellStyle name="표준 5 2 3 5 3 5 6" xfId="34405" xr:uid="{00000000-0005-0000-0000-0000DE560000}"/>
    <cellStyle name="표준 5 2 3 5 3 5 7" xfId="42598" xr:uid="{00000000-0005-0000-0000-0000DF560000}"/>
    <cellStyle name="표준 5 2 3 5 3 6" xfId="7536" xr:uid="{00000000-0005-0000-0000-0000E0560000}"/>
    <cellStyle name="표준 5 2 3 5 3 6 2" xfId="28242" xr:uid="{00000000-0005-0000-0000-0000E1560000}"/>
    <cellStyle name="표준 5 2 3 5 3 6 3" xfId="36453" xr:uid="{00000000-0005-0000-0000-0000E2560000}"/>
    <cellStyle name="표준 5 2 3 5 3 6 4" xfId="44646" xr:uid="{00000000-0005-0000-0000-0000E3560000}"/>
    <cellStyle name="표준 5 2 3 5 3 7" xfId="11648" xr:uid="{00000000-0005-0000-0000-0000E4560000}"/>
    <cellStyle name="표준 5 2 3 5 3 8" xfId="15888" xr:uid="{00000000-0005-0000-0000-0000E5560000}"/>
    <cellStyle name="표준 5 2 3 5 3 9" xfId="20050" xr:uid="{00000000-0005-0000-0000-0000E6560000}"/>
    <cellStyle name="표준 5 2 3 5 4" xfId="937" xr:uid="{00000000-0005-0000-0000-0000E7560000}"/>
    <cellStyle name="표준 5 2 3 5 4 2" xfId="9840" xr:uid="{00000000-0005-0000-0000-0000E8560000}"/>
    <cellStyle name="표준 5 2 3 5 4 2 2" xfId="13952" xr:uid="{00000000-0005-0000-0000-0000E9560000}"/>
    <cellStyle name="표준 5 2 3 5 4 2 2 2" xfId="30546" xr:uid="{00000000-0005-0000-0000-0000EA560000}"/>
    <cellStyle name="표준 5 2 3 5 4 2 2 3" xfId="38757" xr:uid="{00000000-0005-0000-0000-0000EB560000}"/>
    <cellStyle name="표준 5 2 3 5 4 2 2 4" xfId="46950" xr:uid="{00000000-0005-0000-0000-0000EC560000}"/>
    <cellStyle name="표준 5 2 3 5 4 2 3" xfId="18192" xr:uid="{00000000-0005-0000-0000-0000ED560000}"/>
    <cellStyle name="표준 5 2 3 5 4 2 4" xfId="22354" xr:uid="{00000000-0005-0000-0000-0000EE560000}"/>
    <cellStyle name="표준 5 2 3 5 4 2 5" xfId="26450" xr:uid="{00000000-0005-0000-0000-0000EF560000}"/>
    <cellStyle name="표준 5 2 3 5 4 2 6" xfId="34661" xr:uid="{00000000-0005-0000-0000-0000F0560000}"/>
    <cellStyle name="표준 5 2 3 5 4 2 7" xfId="42854" xr:uid="{00000000-0005-0000-0000-0000F1560000}"/>
    <cellStyle name="표준 5 2 3 5 4 3" xfId="7792" xr:uid="{00000000-0005-0000-0000-0000F2560000}"/>
    <cellStyle name="표준 5 2 3 5 4 3 2" xfId="28498" xr:uid="{00000000-0005-0000-0000-0000F3560000}"/>
    <cellStyle name="표준 5 2 3 5 4 3 3" xfId="36709" xr:uid="{00000000-0005-0000-0000-0000F4560000}"/>
    <cellStyle name="표준 5 2 3 5 4 3 4" xfId="44902" xr:uid="{00000000-0005-0000-0000-0000F5560000}"/>
    <cellStyle name="표준 5 2 3 5 4 4" xfId="11904" xr:uid="{00000000-0005-0000-0000-0000F6560000}"/>
    <cellStyle name="표준 5 2 3 5 4 5" xfId="16144" xr:uid="{00000000-0005-0000-0000-0000F7560000}"/>
    <cellStyle name="표준 5 2 3 5 4 6" xfId="20306" xr:uid="{00000000-0005-0000-0000-0000F8560000}"/>
    <cellStyle name="표준 5 2 3 5 4 7" xfId="24402" xr:uid="{00000000-0005-0000-0000-0000F9560000}"/>
    <cellStyle name="표준 5 2 3 5 4 8" xfId="32613" xr:uid="{00000000-0005-0000-0000-0000FA560000}"/>
    <cellStyle name="표준 5 2 3 5 4 9" xfId="40806" xr:uid="{00000000-0005-0000-0000-0000FB560000}"/>
    <cellStyle name="표준 5 2 3 5 5" xfId="1449" xr:uid="{00000000-0005-0000-0000-0000FC560000}"/>
    <cellStyle name="표준 5 2 3 5 5 2" xfId="10352" xr:uid="{00000000-0005-0000-0000-0000FD560000}"/>
    <cellStyle name="표준 5 2 3 5 5 2 2" xfId="14464" xr:uid="{00000000-0005-0000-0000-0000FE560000}"/>
    <cellStyle name="표준 5 2 3 5 5 2 2 2" xfId="31058" xr:uid="{00000000-0005-0000-0000-0000FF560000}"/>
    <cellStyle name="표준 5 2 3 5 5 2 2 3" xfId="39269" xr:uid="{00000000-0005-0000-0000-000000570000}"/>
    <cellStyle name="표준 5 2 3 5 5 2 2 4" xfId="47462" xr:uid="{00000000-0005-0000-0000-000001570000}"/>
    <cellStyle name="표준 5 2 3 5 5 2 3" xfId="18704" xr:uid="{00000000-0005-0000-0000-000002570000}"/>
    <cellStyle name="표준 5 2 3 5 5 2 4" xfId="22866" xr:uid="{00000000-0005-0000-0000-000003570000}"/>
    <cellStyle name="표준 5 2 3 5 5 2 5" xfId="26962" xr:uid="{00000000-0005-0000-0000-000004570000}"/>
    <cellStyle name="표준 5 2 3 5 5 2 6" xfId="35173" xr:uid="{00000000-0005-0000-0000-000005570000}"/>
    <cellStyle name="표준 5 2 3 5 5 2 7" xfId="43366" xr:uid="{00000000-0005-0000-0000-000006570000}"/>
    <cellStyle name="표준 5 2 3 5 5 3" xfId="8304" xr:uid="{00000000-0005-0000-0000-000007570000}"/>
    <cellStyle name="표준 5 2 3 5 5 3 2" xfId="29010" xr:uid="{00000000-0005-0000-0000-000008570000}"/>
    <cellStyle name="표준 5 2 3 5 5 3 3" xfId="37221" xr:uid="{00000000-0005-0000-0000-000009570000}"/>
    <cellStyle name="표준 5 2 3 5 5 3 4" xfId="45414" xr:uid="{00000000-0005-0000-0000-00000A570000}"/>
    <cellStyle name="표준 5 2 3 5 5 4" xfId="12416" xr:uid="{00000000-0005-0000-0000-00000B570000}"/>
    <cellStyle name="표준 5 2 3 5 5 5" xfId="16656" xr:uid="{00000000-0005-0000-0000-00000C570000}"/>
    <cellStyle name="표준 5 2 3 5 5 6" xfId="20818" xr:uid="{00000000-0005-0000-0000-00000D570000}"/>
    <cellStyle name="표준 5 2 3 5 5 7" xfId="24914" xr:uid="{00000000-0005-0000-0000-00000E570000}"/>
    <cellStyle name="표준 5 2 3 5 5 8" xfId="33125" xr:uid="{00000000-0005-0000-0000-00000F570000}"/>
    <cellStyle name="표준 5 2 3 5 5 9" xfId="41318" xr:uid="{00000000-0005-0000-0000-000010570000}"/>
    <cellStyle name="표준 5 2 3 5 6" xfId="1961" xr:uid="{00000000-0005-0000-0000-000011570000}"/>
    <cellStyle name="표준 5 2 3 5 6 2" xfId="10864" xr:uid="{00000000-0005-0000-0000-000012570000}"/>
    <cellStyle name="표준 5 2 3 5 6 2 2" xfId="14976" xr:uid="{00000000-0005-0000-0000-000013570000}"/>
    <cellStyle name="표준 5 2 3 5 6 2 2 2" xfId="31570" xr:uid="{00000000-0005-0000-0000-000014570000}"/>
    <cellStyle name="표준 5 2 3 5 6 2 2 3" xfId="39781" xr:uid="{00000000-0005-0000-0000-000015570000}"/>
    <cellStyle name="표준 5 2 3 5 6 2 2 4" xfId="47974" xr:uid="{00000000-0005-0000-0000-000016570000}"/>
    <cellStyle name="표준 5 2 3 5 6 2 3" xfId="19216" xr:uid="{00000000-0005-0000-0000-000017570000}"/>
    <cellStyle name="표준 5 2 3 5 6 2 4" xfId="23378" xr:uid="{00000000-0005-0000-0000-000018570000}"/>
    <cellStyle name="표준 5 2 3 5 6 2 5" xfId="27474" xr:uid="{00000000-0005-0000-0000-000019570000}"/>
    <cellStyle name="표준 5 2 3 5 6 2 6" xfId="35685" xr:uid="{00000000-0005-0000-0000-00001A570000}"/>
    <cellStyle name="표준 5 2 3 5 6 2 7" xfId="43878" xr:uid="{00000000-0005-0000-0000-00001B570000}"/>
    <cellStyle name="표준 5 2 3 5 6 3" xfId="8816" xr:uid="{00000000-0005-0000-0000-00001C570000}"/>
    <cellStyle name="표준 5 2 3 5 6 3 2" xfId="29522" xr:uid="{00000000-0005-0000-0000-00001D570000}"/>
    <cellStyle name="표준 5 2 3 5 6 3 3" xfId="37733" xr:uid="{00000000-0005-0000-0000-00001E570000}"/>
    <cellStyle name="표준 5 2 3 5 6 3 4" xfId="45926" xr:uid="{00000000-0005-0000-0000-00001F570000}"/>
    <cellStyle name="표준 5 2 3 5 6 4" xfId="12928" xr:uid="{00000000-0005-0000-0000-000020570000}"/>
    <cellStyle name="표준 5 2 3 5 6 5" xfId="17168" xr:uid="{00000000-0005-0000-0000-000021570000}"/>
    <cellStyle name="표준 5 2 3 5 6 6" xfId="21330" xr:uid="{00000000-0005-0000-0000-000022570000}"/>
    <cellStyle name="표준 5 2 3 5 6 7" xfId="25426" xr:uid="{00000000-0005-0000-0000-000023570000}"/>
    <cellStyle name="표준 5 2 3 5 6 8" xfId="33637" xr:uid="{00000000-0005-0000-0000-000024570000}"/>
    <cellStyle name="표준 5 2 3 5 6 9" xfId="41830" xr:uid="{00000000-0005-0000-0000-000025570000}"/>
    <cellStyle name="표준 5 2 3 5 7" xfId="7021" xr:uid="{00000000-0005-0000-0000-000026570000}"/>
    <cellStyle name="표준 5 2 3 5 7 2" xfId="9328" xr:uid="{00000000-0005-0000-0000-000027570000}"/>
    <cellStyle name="표준 5 2 3 5 7 2 2" xfId="30034" xr:uid="{00000000-0005-0000-0000-000028570000}"/>
    <cellStyle name="표준 5 2 3 5 7 2 3" xfId="38245" xr:uid="{00000000-0005-0000-0000-000029570000}"/>
    <cellStyle name="표준 5 2 3 5 7 2 4" xfId="46438" xr:uid="{00000000-0005-0000-0000-00002A570000}"/>
    <cellStyle name="표준 5 2 3 5 7 3" xfId="13440" xr:uid="{00000000-0005-0000-0000-00002B570000}"/>
    <cellStyle name="표준 5 2 3 5 7 4" xfId="17680" xr:uid="{00000000-0005-0000-0000-00002C570000}"/>
    <cellStyle name="표준 5 2 3 5 7 5" xfId="21842" xr:uid="{00000000-0005-0000-0000-00002D570000}"/>
    <cellStyle name="표준 5 2 3 5 7 6" xfId="25938" xr:uid="{00000000-0005-0000-0000-00002E570000}"/>
    <cellStyle name="표준 5 2 3 5 7 7" xfId="34149" xr:uid="{00000000-0005-0000-0000-00002F570000}"/>
    <cellStyle name="표준 5 2 3 5 7 8" xfId="42342" xr:uid="{00000000-0005-0000-0000-000030570000}"/>
    <cellStyle name="표준 5 2 3 5 8" xfId="7157" xr:uid="{00000000-0005-0000-0000-000031570000}"/>
    <cellStyle name="표준 5 2 3 5 8 2" xfId="27986" xr:uid="{00000000-0005-0000-0000-000032570000}"/>
    <cellStyle name="표준 5 2 3 5 8 3" xfId="36197" xr:uid="{00000000-0005-0000-0000-000033570000}"/>
    <cellStyle name="표준 5 2 3 5 8 4" xfId="44390" xr:uid="{00000000-0005-0000-0000-000034570000}"/>
    <cellStyle name="표준 5 2 3 5 9" xfId="7280" xr:uid="{00000000-0005-0000-0000-000035570000}"/>
    <cellStyle name="표준 5 2 3 6" xfId="489" xr:uid="{00000000-0005-0000-0000-000036570000}"/>
    <cellStyle name="표준 5 2 3 6 10" xfId="19858" xr:uid="{00000000-0005-0000-0000-000037570000}"/>
    <cellStyle name="표준 5 2 3 6 11" xfId="23954" xr:uid="{00000000-0005-0000-0000-000038570000}"/>
    <cellStyle name="표준 5 2 3 6 12" xfId="32165" xr:uid="{00000000-0005-0000-0000-000039570000}"/>
    <cellStyle name="표준 5 2 3 6 13" xfId="40358" xr:uid="{00000000-0005-0000-0000-00003A570000}"/>
    <cellStyle name="표준 5 2 3 6 2" xfId="745" xr:uid="{00000000-0005-0000-0000-00003B570000}"/>
    <cellStyle name="표준 5 2 3 6 2 10" xfId="24210" xr:uid="{00000000-0005-0000-0000-00003C570000}"/>
    <cellStyle name="표준 5 2 3 6 2 11" xfId="32421" xr:uid="{00000000-0005-0000-0000-00003D570000}"/>
    <cellStyle name="표준 5 2 3 6 2 12" xfId="40614" xr:uid="{00000000-0005-0000-0000-00003E570000}"/>
    <cellStyle name="표준 5 2 3 6 2 2" xfId="1257" xr:uid="{00000000-0005-0000-0000-00003F570000}"/>
    <cellStyle name="표준 5 2 3 6 2 2 2" xfId="10160" xr:uid="{00000000-0005-0000-0000-000040570000}"/>
    <cellStyle name="표준 5 2 3 6 2 2 2 2" xfId="14272" xr:uid="{00000000-0005-0000-0000-000041570000}"/>
    <cellStyle name="표준 5 2 3 6 2 2 2 2 2" xfId="30866" xr:uid="{00000000-0005-0000-0000-000042570000}"/>
    <cellStyle name="표준 5 2 3 6 2 2 2 2 3" xfId="39077" xr:uid="{00000000-0005-0000-0000-000043570000}"/>
    <cellStyle name="표준 5 2 3 6 2 2 2 2 4" xfId="47270" xr:uid="{00000000-0005-0000-0000-000044570000}"/>
    <cellStyle name="표준 5 2 3 6 2 2 2 3" xfId="18512" xr:uid="{00000000-0005-0000-0000-000045570000}"/>
    <cellStyle name="표준 5 2 3 6 2 2 2 4" xfId="22674" xr:uid="{00000000-0005-0000-0000-000046570000}"/>
    <cellStyle name="표준 5 2 3 6 2 2 2 5" xfId="26770" xr:uid="{00000000-0005-0000-0000-000047570000}"/>
    <cellStyle name="표준 5 2 3 6 2 2 2 6" xfId="34981" xr:uid="{00000000-0005-0000-0000-000048570000}"/>
    <cellStyle name="표준 5 2 3 6 2 2 2 7" xfId="43174" xr:uid="{00000000-0005-0000-0000-000049570000}"/>
    <cellStyle name="표준 5 2 3 6 2 2 3" xfId="8112" xr:uid="{00000000-0005-0000-0000-00004A570000}"/>
    <cellStyle name="표준 5 2 3 6 2 2 3 2" xfId="28818" xr:uid="{00000000-0005-0000-0000-00004B570000}"/>
    <cellStyle name="표준 5 2 3 6 2 2 3 3" xfId="37029" xr:uid="{00000000-0005-0000-0000-00004C570000}"/>
    <cellStyle name="표준 5 2 3 6 2 2 3 4" xfId="45222" xr:uid="{00000000-0005-0000-0000-00004D570000}"/>
    <cellStyle name="표준 5 2 3 6 2 2 4" xfId="12224" xr:uid="{00000000-0005-0000-0000-00004E570000}"/>
    <cellStyle name="표준 5 2 3 6 2 2 5" xfId="16464" xr:uid="{00000000-0005-0000-0000-00004F570000}"/>
    <cellStyle name="표준 5 2 3 6 2 2 6" xfId="20626" xr:uid="{00000000-0005-0000-0000-000050570000}"/>
    <cellStyle name="표준 5 2 3 6 2 2 7" xfId="24722" xr:uid="{00000000-0005-0000-0000-000051570000}"/>
    <cellStyle name="표준 5 2 3 6 2 2 8" xfId="32933" xr:uid="{00000000-0005-0000-0000-000052570000}"/>
    <cellStyle name="표준 5 2 3 6 2 2 9" xfId="41126" xr:uid="{00000000-0005-0000-0000-000053570000}"/>
    <cellStyle name="표준 5 2 3 6 2 3" xfId="1769" xr:uid="{00000000-0005-0000-0000-000054570000}"/>
    <cellStyle name="표준 5 2 3 6 2 3 2" xfId="10672" xr:uid="{00000000-0005-0000-0000-000055570000}"/>
    <cellStyle name="표준 5 2 3 6 2 3 2 2" xfId="14784" xr:uid="{00000000-0005-0000-0000-000056570000}"/>
    <cellStyle name="표준 5 2 3 6 2 3 2 2 2" xfId="31378" xr:uid="{00000000-0005-0000-0000-000057570000}"/>
    <cellStyle name="표준 5 2 3 6 2 3 2 2 3" xfId="39589" xr:uid="{00000000-0005-0000-0000-000058570000}"/>
    <cellStyle name="표준 5 2 3 6 2 3 2 2 4" xfId="47782" xr:uid="{00000000-0005-0000-0000-000059570000}"/>
    <cellStyle name="표준 5 2 3 6 2 3 2 3" xfId="19024" xr:uid="{00000000-0005-0000-0000-00005A570000}"/>
    <cellStyle name="표준 5 2 3 6 2 3 2 4" xfId="23186" xr:uid="{00000000-0005-0000-0000-00005B570000}"/>
    <cellStyle name="표준 5 2 3 6 2 3 2 5" xfId="27282" xr:uid="{00000000-0005-0000-0000-00005C570000}"/>
    <cellStyle name="표준 5 2 3 6 2 3 2 6" xfId="35493" xr:uid="{00000000-0005-0000-0000-00005D570000}"/>
    <cellStyle name="표준 5 2 3 6 2 3 2 7" xfId="43686" xr:uid="{00000000-0005-0000-0000-00005E570000}"/>
    <cellStyle name="표준 5 2 3 6 2 3 3" xfId="8624" xr:uid="{00000000-0005-0000-0000-00005F570000}"/>
    <cellStyle name="표준 5 2 3 6 2 3 3 2" xfId="29330" xr:uid="{00000000-0005-0000-0000-000060570000}"/>
    <cellStyle name="표준 5 2 3 6 2 3 3 3" xfId="37541" xr:uid="{00000000-0005-0000-0000-000061570000}"/>
    <cellStyle name="표준 5 2 3 6 2 3 3 4" xfId="45734" xr:uid="{00000000-0005-0000-0000-000062570000}"/>
    <cellStyle name="표준 5 2 3 6 2 3 4" xfId="12736" xr:uid="{00000000-0005-0000-0000-000063570000}"/>
    <cellStyle name="표준 5 2 3 6 2 3 5" xfId="16976" xr:uid="{00000000-0005-0000-0000-000064570000}"/>
    <cellStyle name="표준 5 2 3 6 2 3 6" xfId="21138" xr:uid="{00000000-0005-0000-0000-000065570000}"/>
    <cellStyle name="표준 5 2 3 6 2 3 7" xfId="25234" xr:uid="{00000000-0005-0000-0000-000066570000}"/>
    <cellStyle name="표준 5 2 3 6 2 3 8" xfId="33445" xr:uid="{00000000-0005-0000-0000-000067570000}"/>
    <cellStyle name="표준 5 2 3 6 2 3 9" xfId="41638" xr:uid="{00000000-0005-0000-0000-000068570000}"/>
    <cellStyle name="표준 5 2 3 6 2 4" xfId="2281" xr:uid="{00000000-0005-0000-0000-000069570000}"/>
    <cellStyle name="표준 5 2 3 6 2 4 2" xfId="11184" xr:uid="{00000000-0005-0000-0000-00006A570000}"/>
    <cellStyle name="표준 5 2 3 6 2 4 2 2" xfId="15296" xr:uid="{00000000-0005-0000-0000-00006B570000}"/>
    <cellStyle name="표준 5 2 3 6 2 4 2 2 2" xfId="31890" xr:uid="{00000000-0005-0000-0000-00006C570000}"/>
    <cellStyle name="표준 5 2 3 6 2 4 2 2 3" xfId="40101" xr:uid="{00000000-0005-0000-0000-00006D570000}"/>
    <cellStyle name="표준 5 2 3 6 2 4 2 2 4" xfId="48294" xr:uid="{00000000-0005-0000-0000-00006E570000}"/>
    <cellStyle name="표준 5 2 3 6 2 4 2 3" xfId="19536" xr:uid="{00000000-0005-0000-0000-00006F570000}"/>
    <cellStyle name="표준 5 2 3 6 2 4 2 4" xfId="23698" xr:uid="{00000000-0005-0000-0000-000070570000}"/>
    <cellStyle name="표준 5 2 3 6 2 4 2 5" xfId="27794" xr:uid="{00000000-0005-0000-0000-000071570000}"/>
    <cellStyle name="표준 5 2 3 6 2 4 2 6" xfId="36005" xr:uid="{00000000-0005-0000-0000-000072570000}"/>
    <cellStyle name="표준 5 2 3 6 2 4 2 7" xfId="44198" xr:uid="{00000000-0005-0000-0000-000073570000}"/>
    <cellStyle name="표준 5 2 3 6 2 4 3" xfId="9136" xr:uid="{00000000-0005-0000-0000-000074570000}"/>
    <cellStyle name="표준 5 2 3 6 2 4 3 2" xfId="29842" xr:uid="{00000000-0005-0000-0000-000075570000}"/>
    <cellStyle name="표준 5 2 3 6 2 4 3 3" xfId="38053" xr:uid="{00000000-0005-0000-0000-000076570000}"/>
    <cellStyle name="표준 5 2 3 6 2 4 3 4" xfId="46246" xr:uid="{00000000-0005-0000-0000-000077570000}"/>
    <cellStyle name="표준 5 2 3 6 2 4 4" xfId="13248" xr:uid="{00000000-0005-0000-0000-000078570000}"/>
    <cellStyle name="표준 5 2 3 6 2 4 5" xfId="17488" xr:uid="{00000000-0005-0000-0000-000079570000}"/>
    <cellStyle name="표준 5 2 3 6 2 4 6" xfId="21650" xr:uid="{00000000-0005-0000-0000-00007A570000}"/>
    <cellStyle name="표준 5 2 3 6 2 4 7" xfId="25746" xr:uid="{00000000-0005-0000-0000-00007B570000}"/>
    <cellStyle name="표준 5 2 3 6 2 4 8" xfId="33957" xr:uid="{00000000-0005-0000-0000-00007C570000}"/>
    <cellStyle name="표준 5 2 3 6 2 4 9" xfId="42150" xr:uid="{00000000-0005-0000-0000-00007D570000}"/>
    <cellStyle name="표준 5 2 3 6 2 5" xfId="9648" xr:uid="{00000000-0005-0000-0000-00007E570000}"/>
    <cellStyle name="표준 5 2 3 6 2 5 2" xfId="13760" xr:uid="{00000000-0005-0000-0000-00007F570000}"/>
    <cellStyle name="표준 5 2 3 6 2 5 2 2" xfId="30354" xr:uid="{00000000-0005-0000-0000-000080570000}"/>
    <cellStyle name="표준 5 2 3 6 2 5 2 3" xfId="38565" xr:uid="{00000000-0005-0000-0000-000081570000}"/>
    <cellStyle name="표준 5 2 3 6 2 5 2 4" xfId="46758" xr:uid="{00000000-0005-0000-0000-000082570000}"/>
    <cellStyle name="표준 5 2 3 6 2 5 3" xfId="18000" xr:uid="{00000000-0005-0000-0000-000083570000}"/>
    <cellStyle name="표준 5 2 3 6 2 5 4" xfId="22162" xr:uid="{00000000-0005-0000-0000-000084570000}"/>
    <cellStyle name="표준 5 2 3 6 2 5 5" xfId="26258" xr:uid="{00000000-0005-0000-0000-000085570000}"/>
    <cellStyle name="표준 5 2 3 6 2 5 6" xfId="34469" xr:uid="{00000000-0005-0000-0000-000086570000}"/>
    <cellStyle name="표준 5 2 3 6 2 5 7" xfId="42662" xr:uid="{00000000-0005-0000-0000-000087570000}"/>
    <cellStyle name="표준 5 2 3 6 2 6" xfId="7600" xr:uid="{00000000-0005-0000-0000-000088570000}"/>
    <cellStyle name="표준 5 2 3 6 2 6 2" xfId="28306" xr:uid="{00000000-0005-0000-0000-000089570000}"/>
    <cellStyle name="표준 5 2 3 6 2 6 3" xfId="36517" xr:uid="{00000000-0005-0000-0000-00008A570000}"/>
    <cellStyle name="표준 5 2 3 6 2 6 4" xfId="44710" xr:uid="{00000000-0005-0000-0000-00008B570000}"/>
    <cellStyle name="표준 5 2 3 6 2 7" xfId="11712" xr:uid="{00000000-0005-0000-0000-00008C570000}"/>
    <cellStyle name="표준 5 2 3 6 2 8" xfId="15952" xr:uid="{00000000-0005-0000-0000-00008D570000}"/>
    <cellStyle name="표준 5 2 3 6 2 9" xfId="20114" xr:uid="{00000000-0005-0000-0000-00008E570000}"/>
    <cellStyle name="표준 5 2 3 6 3" xfId="1001" xr:uid="{00000000-0005-0000-0000-00008F570000}"/>
    <cellStyle name="표준 5 2 3 6 3 2" xfId="9904" xr:uid="{00000000-0005-0000-0000-000090570000}"/>
    <cellStyle name="표준 5 2 3 6 3 2 2" xfId="14016" xr:uid="{00000000-0005-0000-0000-000091570000}"/>
    <cellStyle name="표준 5 2 3 6 3 2 2 2" xfId="30610" xr:uid="{00000000-0005-0000-0000-000092570000}"/>
    <cellStyle name="표준 5 2 3 6 3 2 2 3" xfId="38821" xr:uid="{00000000-0005-0000-0000-000093570000}"/>
    <cellStyle name="표준 5 2 3 6 3 2 2 4" xfId="47014" xr:uid="{00000000-0005-0000-0000-000094570000}"/>
    <cellStyle name="표준 5 2 3 6 3 2 3" xfId="18256" xr:uid="{00000000-0005-0000-0000-000095570000}"/>
    <cellStyle name="표준 5 2 3 6 3 2 4" xfId="22418" xr:uid="{00000000-0005-0000-0000-000096570000}"/>
    <cellStyle name="표준 5 2 3 6 3 2 5" xfId="26514" xr:uid="{00000000-0005-0000-0000-000097570000}"/>
    <cellStyle name="표준 5 2 3 6 3 2 6" xfId="34725" xr:uid="{00000000-0005-0000-0000-000098570000}"/>
    <cellStyle name="표준 5 2 3 6 3 2 7" xfId="42918" xr:uid="{00000000-0005-0000-0000-000099570000}"/>
    <cellStyle name="표준 5 2 3 6 3 3" xfId="7856" xr:uid="{00000000-0005-0000-0000-00009A570000}"/>
    <cellStyle name="표준 5 2 3 6 3 3 2" xfId="28562" xr:uid="{00000000-0005-0000-0000-00009B570000}"/>
    <cellStyle name="표준 5 2 3 6 3 3 3" xfId="36773" xr:uid="{00000000-0005-0000-0000-00009C570000}"/>
    <cellStyle name="표준 5 2 3 6 3 3 4" xfId="44966" xr:uid="{00000000-0005-0000-0000-00009D570000}"/>
    <cellStyle name="표준 5 2 3 6 3 4" xfId="11968" xr:uid="{00000000-0005-0000-0000-00009E570000}"/>
    <cellStyle name="표준 5 2 3 6 3 5" xfId="16208" xr:uid="{00000000-0005-0000-0000-00009F570000}"/>
    <cellStyle name="표준 5 2 3 6 3 6" xfId="20370" xr:uid="{00000000-0005-0000-0000-0000A0570000}"/>
    <cellStyle name="표준 5 2 3 6 3 7" xfId="24466" xr:uid="{00000000-0005-0000-0000-0000A1570000}"/>
    <cellStyle name="표준 5 2 3 6 3 8" xfId="32677" xr:uid="{00000000-0005-0000-0000-0000A2570000}"/>
    <cellStyle name="표준 5 2 3 6 3 9" xfId="40870" xr:uid="{00000000-0005-0000-0000-0000A3570000}"/>
    <cellStyle name="표준 5 2 3 6 4" xfId="1513" xr:uid="{00000000-0005-0000-0000-0000A4570000}"/>
    <cellStyle name="표준 5 2 3 6 4 2" xfId="10416" xr:uid="{00000000-0005-0000-0000-0000A5570000}"/>
    <cellStyle name="표준 5 2 3 6 4 2 2" xfId="14528" xr:uid="{00000000-0005-0000-0000-0000A6570000}"/>
    <cellStyle name="표준 5 2 3 6 4 2 2 2" xfId="31122" xr:uid="{00000000-0005-0000-0000-0000A7570000}"/>
    <cellStyle name="표준 5 2 3 6 4 2 2 3" xfId="39333" xr:uid="{00000000-0005-0000-0000-0000A8570000}"/>
    <cellStyle name="표준 5 2 3 6 4 2 2 4" xfId="47526" xr:uid="{00000000-0005-0000-0000-0000A9570000}"/>
    <cellStyle name="표준 5 2 3 6 4 2 3" xfId="18768" xr:uid="{00000000-0005-0000-0000-0000AA570000}"/>
    <cellStyle name="표준 5 2 3 6 4 2 4" xfId="22930" xr:uid="{00000000-0005-0000-0000-0000AB570000}"/>
    <cellStyle name="표준 5 2 3 6 4 2 5" xfId="27026" xr:uid="{00000000-0005-0000-0000-0000AC570000}"/>
    <cellStyle name="표준 5 2 3 6 4 2 6" xfId="35237" xr:uid="{00000000-0005-0000-0000-0000AD570000}"/>
    <cellStyle name="표준 5 2 3 6 4 2 7" xfId="43430" xr:uid="{00000000-0005-0000-0000-0000AE570000}"/>
    <cellStyle name="표준 5 2 3 6 4 3" xfId="8368" xr:uid="{00000000-0005-0000-0000-0000AF570000}"/>
    <cellStyle name="표준 5 2 3 6 4 3 2" xfId="29074" xr:uid="{00000000-0005-0000-0000-0000B0570000}"/>
    <cellStyle name="표준 5 2 3 6 4 3 3" xfId="37285" xr:uid="{00000000-0005-0000-0000-0000B1570000}"/>
    <cellStyle name="표준 5 2 3 6 4 3 4" xfId="45478" xr:uid="{00000000-0005-0000-0000-0000B2570000}"/>
    <cellStyle name="표준 5 2 3 6 4 4" xfId="12480" xr:uid="{00000000-0005-0000-0000-0000B3570000}"/>
    <cellStyle name="표준 5 2 3 6 4 5" xfId="16720" xr:uid="{00000000-0005-0000-0000-0000B4570000}"/>
    <cellStyle name="표준 5 2 3 6 4 6" xfId="20882" xr:uid="{00000000-0005-0000-0000-0000B5570000}"/>
    <cellStyle name="표준 5 2 3 6 4 7" xfId="24978" xr:uid="{00000000-0005-0000-0000-0000B6570000}"/>
    <cellStyle name="표준 5 2 3 6 4 8" xfId="33189" xr:uid="{00000000-0005-0000-0000-0000B7570000}"/>
    <cellStyle name="표준 5 2 3 6 4 9" xfId="41382" xr:uid="{00000000-0005-0000-0000-0000B8570000}"/>
    <cellStyle name="표준 5 2 3 6 5" xfId="2025" xr:uid="{00000000-0005-0000-0000-0000B9570000}"/>
    <cellStyle name="표준 5 2 3 6 5 2" xfId="10928" xr:uid="{00000000-0005-0000-0000-0000BA570000}"/>
    <cellStyle name="표준 5 2 3 6 5 2 2" xfId="15040" xr:uid="{00000000-0005-0000-0000-0000BB570000}"/>
    <cellStyle name="표준 5 2 3 6 5 2 2 2" xfId="31634" xr:uid="{00000000-0005-0000-0000-0000BC570000}"/>
    <cellStyle name="표준 5 2 3 6 5 2 2 3" xfId="39845" xr:uid="{00000000-0005-0000-0000-0000BD570000}"/>
    <cellStyle name="표준 5 2 3 6 5 2 2 4" xfId="48038" xr:uid="{00000000-0005-0000-0000-0000BE570000}"/>
    <cellStyle name="표준 5 2 3 6 5 2 3" xfId="19280" xr:uid="{00000000-0005-0000-0000-0000BF570000}"/>
    <cellStyle name="표준 5 2 3 6 5 2 4" xfId="23442" xr:uid="{00000000-0005-0000-0000-0000C0570000}"/>
    <cellStyle name="표준 5 2 3 6 5 2 5" xfId="27538" xr:uid="{00000000-0005-0000-0000-0000C1570000}"/>
    <cellStyle name="표준 5 2 3 6 5 2 6" xfId="35749" xr:uid="{00000000-0005-0000-0000-0000C2570000}"/>
    <cellStyle name="표준 5 2 3 6 5 2 7" xfId="43942" xr:uid="{00000000-0005-0000-0000-0000C3570000}"/>
    <cellStyle name="표준 5 2 3 6 5 3" xfId="8880" xr:uid="{00000000-0005-0000-0000-0000C4570000}"/>
    <cellStyle name="표준 5 2 3 6 5 3 2" xfId="29586" xr:uid="{00000000-0005-0000-0000-0000C5570000}"/>
    <cellStyle name="표준 5 2 3 6 5 3 3" xfId="37797" xr:uid="{00000000-0005-0000-0000-0000C6570000}"/>
    <cellStyle name="표준 5 2 3 6 5 3 4" xfId="45990" xr:uid="{00000000-0005-0000-0000-0000C7570000}"/>
    <cellStyle name="표준 5 2 3 6 5 4" xfId="12992" xr:uid="{00000000-0005-0000-0000-0000C8570000}"/>
    <cellStyle name="표준 5 2 3 6 5 5" xfId="17232" xr:uid="{00000000-0005-0000-0000-0000C9570000}"/>
    <cellStyle name="표준 5 2 3 6 5 6" xfId="21394" xr:uid="{00000000-0005-0000-0000-0000CA570000}"/>
    <cellStyle name="표준 5 2 3 6 5 7" xfId="25490" xr:uid="{00000000-0005-0000-0000-0000CB570000}"/>
    <cellStyle name="표준 5 2 3 6 5 8" xfId="33701" xr:uid="{00000000-0005-0000-0000-0000CC570000}"/>
    <cellStyle name="표준 5 2 3 6 5 9" xfId="41894" xr:uid="{00000000-0005-0000-0000-0000CD570000}"/>
    <cellStyle name="표준 5 2 3 6 6" xfId="9392" xr:uid="{00000000-0005-0000-0000-0000CE570000}"/>
    <cellStyle name="표준 5 2 3 6 6 2" xfId="13504" xr:uid="{00000000-0005-0000-0000-0000CF570000}"/>
    <cellStyle name="표준 5 2 3 6 6 2 2" xfId="30098" xr:uid="{00000000-0005-0000-0000-0000D0570000}"/>
    <cellStyle name="표준 5 2 3 6 6 2 3" xfId="38309" xr:uid="{00000000-0005-0000-0000-0000D1570000}"/>
    <cellStyle name="표준 5 2 3 6 6 2 4" xfId="46502" xr:uid="{00000000-0005-0000-0000-0000D2570000}"/>
    <cellStyle name="표준 5 2 3 6 6 3" xfId="17744" xr:uid="{00000000-0005-0000-0000-0000D3570000}"/>
    <cellStyle name="표준 5 2 3 6 6 4" xfId="21906" xr:uid="{00000000-0005-0000-0000-0000D4570000}"/>
    <cellStyle name="표준 5 2 3 6 6 5" xfId="26002" xr:uid="{00000000-0005-0000-0000-0000D5570000}"/>
    <cellStyle name="표준 5 2 3 6 6 6" xfId="34213" xr:uid="{00000000-0005-0000-0000-0000D6570000}"/>
    <cellStyle name="표준 5 2 3 6 6 7" xfId="42406" xr:uid="{00000000-0005-0000-0000-0000D7570000}"/>
    <cellStyle name="표준 5 2 3 6 7" xfId="7344" xr:uid="{00000000-0005-0000-0000-0000D8570000}"/>
    <cellStyle name="표준 5 2 3 6 7 2" xfId="28050" xr:uid="{00000000-0005-0000-0000-0000D9570000}"/>
    <cellStyle name="표준 5 2 3 6 7 3" xfId="36261" xr:uid="{00000000-0005-0000-0000-0000DA570000}"/>
    <cellStyle name="표준 5 2 3 6 7 4" xfId="44454" xr:uid="{00000000-0005-0000-0000-0000DB570000}"/>
    <cellStyle name="표준 5 2 3 6 8" xfId="11456" xr:uid="{00000000-0005-0000-0000-0000DC570000}"/>
    <cellStyle name="표준 5 2 3 6 9" xfId="15696" xr:uid="{00000000-0005-0000-0000-0000DD570000}"/>
    <cellStyle name="표준 5 2 3 7" xfId="617" xr:uid="{00000000-0005-0000-0000-0000DE570000}"/>
    <cellStyle name="표준 5 2 3 7 10" xfId="24082" xr:uid="{00000000-0005-0000-0000-0000DF570000}"/>
    <cellStyle name="표준 5 2 3 7 11" xfId="32293" xr:uid="{00000000-0005-0000-0000-0000E0570000}"/>
    <cellStyle name="표준 5 2 3 7 12" xfId="40486" xr:uid="{00000000-0005-0000-0000-0000E1570000}"/>
    <cellStyle name="표준 5 2 3 7 2" xfId="1129" xr:uid="{00000000-0005-0000-0000-0000E2570000}"/>
    <cellStyle name="표준 5 2 3 7 2 2" xfId="10032" xr:uid="{00000000-0005-0000-0000-0000E3570000}"/>
    <cellStyle name="표준 5 2 3 7 2 2 2" xfId="14144" xr:uid="{00000000-0005-0000-0000-0000E4570000}"/>
    <cellStyle name="표준 5 2 3 7 2 2 2 2" xfId="30738" xr:uid="{00000000-0005-0000-0000-0000E5570000}"/>
    <cellStyle name="표준 5 2 3 7 2 2 2 3" xfId="38949" xr:uid="{00000000-0005-0000-0000-0000E6570000}"/>
    <cellStyle name="표준 5 2 3 7 2 2 2 4" xfId="47142" xr:uid="{00000000-0005-0000-0000-0000E7570000}"/>
    <cellStyle name="표준 5 2 3 7 2 2 3" xfId="18384" xr:uid="{00000000-0005-0000-0000-0000E8570000}"/>
    <cellStyle name="표준 5 2 3 7 2 2 4" xfId="22546" xr:uid="{00000000-0005-0000-0000-0000E9570000}"/>
    <cellStyle name="표준 5 2 3 7 2 2 5" xfId="26642" xr:uid="{00000000-0005-0000-0000-0000EA570000}"/>
    <cellStyle name="표준 5 2 3 7 2 2 6" xfId="34853" xr:uid="{00000000-0005-0000-0000-0000EB570000}"/>
    <cellStyle name="표준 5 2 3 7 2 2 7" xfId="43046" xr:uid="{00000000-0005-0000-0000-0000EC570000}"/>
    <cellStyle name="표준 5 2 3 7 2 3" xfId="7984" xr:uid="{00000000-0005-0000-0000-0000ED570000}"/>
    <cellStyle name="표준 5 2 3 7 2 3 2" xfId="28690" xr:uid="{00000000-0005-0000-0000-0000EE570000}"/>
    <cellStyle name="표준 5 2 3 7 2 3 3" xfId="36901" xr:uid="{00000000-0005-0000-0000-0000EF570000}"/>
    <cellStyle name="표준 5 2 3 7 2 3 4" xfId="45094" xr:uid="{00000000-0005-0000-0000-0000F0570000}"/>
    <cellStyle name="표준 5 2 3 7 2 4" xfId="12096" xr:uid="{00000000-0005-0000-0000-0000F1570000}"/>
    <cellStyle name="표준 5 2 3 7 2 5" xfId="16336" xr:uid="{00000000-0005-0000-0000-0000F2570000}"/>
    <cellStyle name="표준 5 2 3 7 2 6" xfId="20498" xr:uid="{00000000-0005-0000-0000-0000F3570000}"/>
    <cellStyle name="표준 5 2 3 7 2 7" xfId="24594" xr:uid="{00000000-0005-0000-0000-0000F4570000}"/>
    <cellStyle name="표준 5 2 3 7 2 8" xfId="32805" xr:uid="{00000000-0005-0000-0000-0000F5570000}"/>
    <cellStyle name="표준 5 2 3 7 2 9" xfId="40998" xr:uid="{00000000-0005-0000-0000-0000F6570000}"/>
    <cellStyle name="표준 5 2 3 7 3" xfId="1641" xr:uid="{00000000-0005-0000-0000-0000F7570000}"/>
    <cellStyle name="표준 5 2 3 7 3 2" xfId="10544" xr:uid="{00000000-0005-0000-0000-0000F8570000}"/>
    <cellStyle name="표준 5 2 3 7 3 2 2" xfId="14656" xr:uid="{00000000-0005-0000-0000-0000F9570000}"/>
    <cellStyle name="표준 5 2 3 7 3 2 2 2" xfId="31250" xr:uid="{00000000-0005-0000-0000-0000FA570000}"/>
    <cellStyle name="표준 5 2 3 7 3 2 2 3" xfId="39461" xr:uid="{00000000-0005-0000-0000-0000FB570000}"/>
    <cellStyle name="표준 5 2 3 7 3 2 2 4" xfId="47654" xr:uid="{00000000-0005-0000-0000-0000FC570000}"/>
    <cellStyle name="표준 5 2 3 7 3 2 3" xfId="18896" xr:uid="{00000000-0005-0000-0000-0000FD570000}"/>
    <cellStyle name="표준 5 2 3 7 3 2 4" xfId="23058" xr:uid="{00000000-0005-0000-0000-0000FE570000}"/>
    <cellStyle name="표준 5 2 3 7 3 2 5" xfId="27154" xr:uid="{00000000-0005-0000-0000-0000FF570000}"/>
    <cellStyle name="표준 5 2 3 7 3 2 6" xfId="35365" xr:uid="{00000000-0005-0000-0000-000000580000}"/>
    <cellStyle name="표준 5 2 3 7 3 2 7" xfId="43558" xr:uid="{00000000-0005-0000-0000-000001580000}"/>
    <cellStyle name="표준 5 2 3 7 3 3" xfId="8496" xr:uid="{00000000-0005-0000-0000-000002580000}"/>
    <cellStyle name="표준 5 2 3 7 3 3 2" xfId="29202" xr:uid="{00000000-0005-0000-0000-000003580000}"/>
    <cellStyle name="표준 5 2 3 7 3 3 3" xfId="37413" xr:uid="{00000000-0005-0000-0000-000004580000}"/>
    <cellStyle name="표준 5 2 3 7 3 3 4" xfId="45606" xr:uid="{00000000-0005-0000-0000-000005580000}"/>
    <cellStyle name="표준 5 2 3 7 3 4" xfId="12608" xr:uid="{00000000-0005-0000-0000-000006580000}"/>
    <cellStyle name="표준 5 2 3 7 3 5" xfId="16848" xr:uid="{00000000-0005-0000-0000-000007580000}"/>
    <cellStyle name="표준 5 2 3 7 3 6" xfId="21010" xr:uid="{00000000-0005-0000-0000-000008580000}"/>
    <cellStyle name="표준 5 2 3 7 3 7" xfId="25106" xr:uid="{00000000-0005-0000-0000-000009580000}"/>
    <cellStyle name="표준 5 2 3 7 3 8" xfId="33317" xr:uid="{00000000-0005-0000-0000-00000A580000}"/>
    <cellStyle name="표준 5 2 3 7 3 9" xfId="41510" xr:uid="{00000000-0005-0000-0000-00000B580000}"/>
    <cellStyle name="표준 5 2 3 7 4" xfId="2153" xr:uid="{00000000-0005-0000-0000-00000C580000}"/>
    <cellStyle name="표준 5 2 3 7 4 2" xfId="11056" xr:uid="{00000000-0005-0000-0000-00000D580000}"/>
    <cellStyle name="표준 5 2 3 7 4 2 2" xfId="15168" xr:uid="{00000000-0005-0000-0000-00000E580000}"/>
    <cellStyle name="표준 5 2 3 7 4 2 2 2" xfId="31762" xr:uid="{00000000-0005-0000-0000-00000F580000}"/>
    <cellStyle name="표준 5 2 3 7 4 2 2 3" xfId="39973" xr:uid="{00000000-0005-0000-0000-000010580000}"/>
    <cellStyle name="표준 5 2 3 7 4 2 2 4" xfId="48166" xr:uid="{00000000-0005-0000-0000-000011580000}"/>
    <cellStyle name="표준 5 2 3 7 4 2 3" xfId="19408" xr:uid="{00000000-0005-0000-0000-000012580000}"/>
    <cellStyle name="표준 5 2 3 7 4 2 4" xfId="23570" xr:uid="{00000000-0005-0000-0000-000013580000}"/>
    <cellStyle name="표준 5 2 3 7 4 2 5" xfId="27666" xr:uid="{00000000-0005-0000-0000-000014580000}"/>
    <cellStyle name="표준 5 2 3 7 4 2 6" xfId="35877" xr:uid="{00000000-0005-0000-0000-000015580000}"/>
    <cellStyle name="표준 5 2 3 7 4 2 7" xfId="44070" xr:uid="{00000000-0005-0000-0000-000016580000}"/>
    <cellStyle name="표준 5 2 3 7 4 3" xfId="9008" xr:uid="{00000000-0005-0000-0000-000017580000}"/>
    <cellStyle name="표준 5 2 3 7 4 3 2" xfId="29714" xr:uid="{00000000-0005-0000-0000-000018580000}"/>
    <cellStyle name="표준 5 2 3 7 4 3 3" xfId="37925" xr:uid="{00000000-0005-0000-0000-000019580000}"/>
    <cellStyle name="표준 5 2 3 7 4 3 4" xfId="46118" xr:uid="{00000000-0005-0000-0000-00001A580000}"/>
    <cellStyle name="표준 5 2 3 7 4 4" xfId="13120" xr:uid="{00000000-0005-0000-0000-00001B580000}"/>
    <cellStyle name="표준 5 2 3 7 4 5" xfId="17360" xr:uid="{00000000-0005-0000-0000-00001C580000}"/>
    <cellStyle name="표준 5 2 3 7 4 6" xfId="21522" xr:uid="{00000000-0005-0000-0000-00001D580000}"/>
    <cellStyle name="표준 5 2 3 7 4 7" xfId="25618" xr:uid="{00000000-0005-0000-0000-00001E580000}"/>
    <cellStyle name="표준 5 2 3 7 4 8" xfId="33829" xr:uid="{00000000-0005-0000-0000-00001F580000}"/>
    <cellStyle name="표준 5 2 3 7 4 9" xfId="42022" xr:uid="{00000000-0005-0000-0000-000020580000}"/>
    <cellStyle name="표준 5 2 3 7 5" xfId="9520" xr:uid="{00000000-0005-0000-0000-000021580000}"/>
    <cellStyle name="표준 5 2 3 7 5 2" xfId="13632" xr:uid="{00000000-0005-0000-0000-000022580000}"/>
    <cellStyle name="표준 5 2 3 7 5 2 2" xfId="30226" xr:uid="{00000000-0005-0000-0000-000023580000}"/>
    <cellStyle name="표준 5 2 3 7 5 2 3" xfId="38437" xr:uid="{00000000-0005-0000-0000-000024580000}"/>
    <cellStyle name="표준 5 2 3 7 5 2 4" xfId="46630" xr:uid="{00000000-0005-0000-0000-000025580000}"/>
    <cellStyle name="표준 5 2 3 7 5 3" xfId="17872" xr:uid="{00000000-0005-0000-0000-000026580000}"/>
    <cellStyle name="표준 5 2 3 7 5 4" xfId="22034" xr:uid="{00000000-0005-0000-0000-000027580000}"/>
    <cellStyle name="표준 5 2 3 7 5 5" xfId="26130" xr:uid="{00000000-0005-0000-0000-000028580000}"/>
    <cellStyle name="표준 5 2 3 7 5 6" xfId="34341" xr:uid="{00000000-0005-0000-0000-000029580000}"/>
    <cellStyle name="표준 5 2 3 7 5 7" xfId="42534" xr:uid="{00000000-0005-0000-0000-00002A580000}"/>
    <cellStyle name="표준 5 2 3 7 6" xfId="7472" xr:uid="{00000000-0005-0000-0000-00002B580000}"/>
    <cellStyle name="표준 5 2 3 7 6 2" xfId="28178" xr:uid="{00000000-0005-0000-0000-00002C580000}"/>
    <cellStyle name="표준 5 2 3 7 6 3" xfId="36389" xr:uid="{00000000-0005-0000-0000-00002D580000}"/>
    <cellStyle name="표준 5 2 3 7 6 4" xfId="44582" xr:uid="{00000000-0005-0000-0000-00002E580000}"/>
    <cellStyle name="표준 5 2 3 7 7" xfId="11584" xr:uid="{00000000-0005-0000-0000-00002F580000}"/>
    <cellStyle name="표준 5 2 3 7 8" xfId="15824" xr:uid="{00000000-0005-0000-0000-000030580000}"/>
    <cellStyle name="표준 5 2 3 7 9" xfId="19986" xr:uid="{00000000-0005-0000-0000-000031580000}"/>
    <cellStyle name="표준 5 2 3 8" xfId="873" xr:uid="{00000000-0005-0000-0000-000032580000}"/>
    <cellStyle name="표준 5 2 3 8 2" xfId="9776" xr:uid="{00000000-0005-0000-0000-000033580000}"/>
    <cellStyle name="표준 5 2 3 8 2 2" xfId="13888" xr:uid="{00000000-0005-0000-0000-000034580000}"/>
    <cellStyle name="표준 5 2 3 8 2 2 2" xfId="30482" xr:uid="{00000000-0005-0000-0000-000035580000}"/>
    <cellStyle name="표준 5 2 3 8 2 2 3" xfId="38693" xr:uid="{00000000-0005-0000-0000-000036580000}"/>
    <cellStyle name="표준 5 2 3 8 2 2 4" xfId="46886" xr:uid="{00000000-0005-0000-0000-000037580000}"/>
    <cellStyle name="표준 5 2 3 8 2 3" xfId="18128" xr:uid="{00000000-0005-0000-0000-000038580000}"/>
    <cellStyle name="표준 5 2 3 8 2 4" xfId="22290" xr:uid="{00000000-0005-0000-0000-000039580000}"/>
    <cellStyle name="표준 5 2 3 8 2 5" xfId="26386" xr:uid="{00000000-0005-0000-0000-00003A580000}"/>
    <cellStyle name="표준 5 2 3 8 2 6" xfId="34597" xr:uid="{00000000-0005-0000-0000-00003B580000}"/>
    <cellStyle name="표준 5 2 3 8 2 7" xfId="42790" xr:uid="{00000000-0005-0000-0000-00003C580000}"/>
    <cellStyle name="표준 5 2 3 8 3" xfId="7728" xr:uid="{00000000-0005-0000-0000-00003D580000}"/>
    <cellStyle name="표준 5 2 3 8 3 2" xfId="28434" xr:uid="{00000000-0005-0000-0000-00003E580000}"/>
    <cellStyle name="표준 5 2 3 8 3 3" xfId="36645" xr:uid="{00000000-0005-0000-0000-00003F580000}"/>
    <cellStyle name="표준 5 2 3 8 3 4" xfId="44838" xr:uid="{00000000-0005-0000-0000-000040580000}"/>
    <cellStyle name="표준 5 2 3 8 4" xfId="11840" xr:uid="{00000000-0005-0000-0000-000041580000}"/>
    <cellStyle name="표준 5 2 3 8 5" xfId="16080" xr:uid="{00000000-0005-0000-0000-000042580000}"/>
    <cellStyle name="표준 5 2 3 8 6" xfId="20242" xr:uid="{00000000-0005-0000-0000-000043580000}"/>
    <cellStyle name="표준 5 2 3 8 7" xfId="24338" xr:uid="{00000000-0005-0000-0000-000044580000}"/>
    <cellStyle name="표준 5 2 3 8 8" xfId="32549" xr:uid="{00000000-0005-0000-0000-000045580000}"/>
    <cellStyle name="표준 5 2 3 8 9" xfId="40742" xr:uid="{00000000-0005-0000-0000-000046580000}"/>
    <cellStyle name="표준 5 2 3 9" xfId="1385" xr:uid="{00000000-0005-0000-0000-000047580000}"/>
    <cellStyle name="표준 5 2 3 9 2" xfId="10288" xr:uid="{00000000-0005-0000-0000-000048580000}"/>
    <cellStyle name="표준 5 2 3 9 2 2" xfId="14400" xr:uid="{00000000-0005-0000-0000-000049580000}"/>
    <cellStyle name="표준 5 2 3 9 2 2 2" xfId="30994" xr:uid="{00000000-0005-0000-0000-00004A580000}"/>
    <cellStyle name="표준 5 2 3 9 2 2 3" xfId="39205" xr:uid="{00000000-0005-0000-0000-00004B580000}"/>
    <cellStyle name="표준 5 2 3 9 2 2 4" xfId="47398" xr:uid="{00000000-0005-0000-0000-00004C580000}"/>
    <cellStyle name="표준 5 2 3 9 2 3" xfId="18640" xr:uid="{00000000-0005-0000-0000-00004D580000}"/>
    <cellStyle name="표준 5 2 3 9 2 4" xfId="22802" xr:uid="{00000000-0005-0000-0000-00004E580000}"/>
    <cellStyle name="표준 5 2 3 9 2 5" xfId="26898" xr:uid="{00000000-0005-0000-0000-00004F580000}"/>
    <cellStyle name="표준 5 2 3 9 2 6" xfId="35109" xr:uid="{00000000-0005-0000-0000-000050580000}"/>
    <cellStyle name="표준 5 2 3 9 2 7" xfId="43302" xr:uid="{00000000-0005-0000-0000-000051580000}"/>
    <cellStyle name="표준 5 2 3 9 3" xfId="8240" xr:uid="{00000000-0005-0000-0000-000052580000}"/>
    <cellStyle name="표준 5 2 3 9 3 2" xfId="28946" xr:uid="{00000000-0005-0000-0000-000053580000}"/>
    <cellStyle name="표준 5 2 3 9 3 3" xfId="37157" xr:uid="{00000000-0005-0000-0000-000054580000}"/>
    <cellStyle name="표준 5 2 3 9 3 4" xfId="45350" xr:uid="{00000000-0005-0000-0000-000055580000}"/>
    <cellStyle name="표준 5 2 3 9 4" xfId="12352" xr:uid="{00000000-0005-0000-0000-000056580000}"/>
    <cellStyle name="표준 5 2 3 9 5" xfId="16592" xr:uid="{00000000-0005-0000-0000-000057580000}"/>
    <cellStyle name="표준 5 2 3 9 6" xfId="20754" xr:uid="{00000000-0005-0000-0000-000058580000}"/>
    <cellStyle name="표준 5 2 3 9 7" xfId="24850" xr:uid="{00000000-0005-0000-0000-000059580000}"/>
    <cellStyle name="표준 5 2 3 9 8" xfId="33061" xr:uid="{00000000-0005-0000-0000-00005A580000}"/>
    <cellStyle name="표준 5 2 3 9 9" xfId="41254" xr:uid="{00000000-0005-0000-0000-00005B580000}"/>
    <cellStyle name="표준 5 2 30" xfId="19676" xr:uid="{00000000-0005-0000-0000-00005C580000}"/>
    <cellStyle name="표준 5 2 31" xfId="19692" xr:uid="{00000000-0005-0000-0000-00005D580000}"/>
    <cellStyle name="표준 5 2 32" xfId="19708" xr:uid="{00000000-0005-0000-0000-00005E580000}"/>
    <cellStyle name="표준 5 2 33" xfId="19738" xr:uid="{00000000-0005-0000-0000-00005F580000}"/>
    <cellStyle name="표준 5 2 34" xfId="23822" xr:uid="{00000000-0005-0000-0000-000060580000}"/>
    <cellStyle name="표준 5 2 35" xfId="32016" xr:uid="{00000000-0005-0000-0000-000061580000}"/>
    <cellStyle name="표준 5 2 36" xfId="32033" xr:uid="{00000000-0005-0000-0000-000062580000}"/>
    <cellStyle name="표준 5 2 37" xfId="40225" xr:uid="{00000000-0005-0000-0000-000063580000}"/>
    <cellStyle name="표준 5 2 38" xfId="48428" xr:uid="{00000000-0005-0000-0000-000064580000}"/>
    <cellStyle name="표준 5 2 4" xfId="72" xr:uid="{00000000-0005-0000-0000-000065580000}"/>
    <cellStyle name="표준 5 2 4 10" xfId="4398" xr:uid="{00000000-0005-0000-0000-000066580000}"/>
    <cellStyle name="표준 5 2 4 10 2" xfId="9268" xr:uid="{00000000-0005-0000-0000-000067580000}"/>
    <cellStyle name="표준 5 2 4 10 2 2" xfId="29974" xr:uid="{00000000-0005-0000-0000-000068580000}"/>
    <cellStyle name="표준 5 2 4 10 2 3" xfId="38185" xr:uid="{00000000-0005-0000-0000-000069580000}"/>
    <cellStyle name="표준 5 2 4 10 2 4" xfId="46378" xr:uid="{00000000-0005-0000-0000-00006A580000}"/>
    <cellStyle name="표준 5 2 4 10 3" xfId="13380" xr:uid="{00000000-0005-0000-0000-00006B580000}"/>
    <cellStyle name="표준 5 2 4 10 4" xfId="17620" xr:uid="{00000000-0005-0000-0000-00006C580000}"/>
    <cellStyle name="표준 5 2 4 10 5" xfId="21782" xr:uid="{00000000-0005-0000-0000-00006D580000}"/>
    <cellStyle name="표준 5 2 4 10 6" xfId="25878" xr:uid="{00000000-0005-0000-0000-00006E580000}"/>
    <cellStyle name="표준 5 2 4 10 7" xfId="34089" xr:uid="{00000000-0005-0000-0000-00006F580000}"/>
    <cellStyle name="표준 5 2 4 10 8" xfId="42282" xr:uid="{00000000-0005-0000-0000-000070580000}"/>
    <cellStyle name="표준 5 2 4 11" xfId="6955" xr:uid="{00000000-0005-0000-0000-000071580000}"/>
    <cellStyle name="표준 5 2 4 11 2" xfId="27926" xr:uid="{00000000-0005-0000-0000-000072580000}"/>
    <cellStyle name="표준 5 2 4 11 3" xfId="36137" xr:uid="{00000000-0005-0000-0000-000073580000}"/>
    <cellStyle name="표준 5 2 4 11 4" xfId="44330" xr:uid="{00000000-0005-0000-0000-000074580000}"/>
    <cellStyle name="표준 5 2 4 12" xfId="7073" xr:uid="{00000000-0005-0000-0000-000075580000}"/>
    <cellStyle name="표준 5 2 4 13" xfId="7089" xr:uid="{00000000-0005-0000-0000-000076580000}"/>
    <cellStyle name="표준 5 2 4 14" xfId="7105" xr:uid="{00000000-0005-0000-0000-000077580000}"/>
    <cellStyle name="표준 5 2 4 15" xfId="7201" xr:uid="{00000000-0005-0000-0000-000078580000}"/>
    <cellStyle name="표준 5 2 4 16" xfId="7220" xr:uid="{00000000-0005-0000-0000-000079580000}"/>
    <cellStyle name="표준 5 2 4 17" xfId="11316" xr:uid="{00000000-0005-0000-0000-00007A580000}"/>
    <cellStyle name="표준 5 2 4 18" xfId="11332" xr:uid="{00000000-0005-0000-0000-00007B580000}"/>
    <cellStyle name="표준 5 2 4 19" xfId="15428" xr:uid="{00000000-0005-0000-0000-00007C580000}"/>
    <cellStyle name="표준 5 2 4 2" xfId="166" xr:uid="{00000000-0005-0000-0000-00007D580000}"/>
    <cellStyle name="표준 5 2 4 2 10" xfId="7185" xr:uid="{00000000-0005-0000-0000-00007E580000}"/>
    <cellStyle name="표준 5 2 4 2 10 2" xfId="27942" xr:uid="{00000000-0005-0000-0000-00007F580000}"/>
    <cellStyle name="표준 5 2 4 2 10 3" xfId="36153" xr:uid="{00000000-0005-0000-0000-000080580000}"/>
    <cellStyle name="표준 5 2 4 2 10 4" xfId="44346" xr:uid="{00000000-0005-0000-0000-000081580000}"/>
    <cellStyle name="표준 5 2 4 2 11" xfId="7236" xr:uid="{00000000-0005-0000-0000-000082580000}"/>
    <cellStyle name="표준 5 2 4 2 12" xfId="11348" xr:uid="{00000000-0005-0000-0000-000083580000}"/>
    <cellStyle name="표준 5 2 4 2 13" xfId="15476" xr:uid="{00000000-0005-0000-0000-000084580000}"/>
    <cellStyle name="표준 5 2 4 2 14" xfId="15588" xr:uid="{00000000-0005-0000-0000-000085580000}"/>
    <cellStyle name="표준 5 2 4 2 15" xfId="19750" xr:uid="{00000000-0005-0000-0000-000086580000}"/>
    <cellStyle name="표준 5 2 4 2 16" xfId="23846" xr:uid="{00000000-0005-0000-0000-000087580000}"/>
    <cellStyle name="표준 5 2 4 2 17" xfId="32057" xr:uid="{00000000-0005-0000-0000-000088580000}"/>
    <cellStyle name="표준 5 2 4 2 18" xfId="40250" xr:uid="{00000000-0005-0000-0000-000089580000}"/>
    <cellStyle name="표준 5 2 4 2 19" xfId="49643" xr:uid="{00000000-0005-0000-0000-00008A580000}"/>
    <cellStyle name="표준 5 2 4 2 2" xfId="413" xr:uid="{00000000-0005-0000-0000-00008B580000}"/>
    <cellStyle name="표준 5 2 4 2 2 10" xfId="7268" xr:uid="{00000000-0005-0000-0000-00008C580000}"/>
    <cellStyle name="표준 5 2 4 2 2 11" xfId="11380" xr:uid="{00000000-0005-0000-0000-00008D580000}"/>
    <cellStyle name="표준 5 2 4 2 2 12" xfId="15524" xr:uid="{00000000-0005-0000-0000-00008E580000}"/>
    <cellStyle name="표준 5 2 4 2 2 13" xfId="15620" xr:uid="{00000000-0005-0000-0000-00008F580000}"/>
    <cellStyle name="표준 5 2 4 2 2 14" xfId="19782" xr:uid="{00000000-0005-0000-0000-000090580000}"/>
    <cellStyle name="표준 5 2 4 2 2 15" xfId="23878" xr:uid="{00000000-0005-0000-0000-000091580000}"/>
    <cellStyle name="표준 5 2 4 2 2 16" xfId="32089" xr:uid="{00000000-0005-0000-0000-000092580000}"/>
    <cellStyle name="표준 5 2 4 2 2 17" xfId="40282" xr:uid="{00000000-0005-0000-0000-000093580000}"/>
    <cellStyle name="표준 5 2 4 2 2 18" xfId="49709" xr:uid="{00000000-0005-0000-0000-000094580000}"/>
    <cellStyle name="표준 5 2 4 2 2 2" xfId="477" xr:uid="{00000000-0005-0000-0000-000095580000}"/>
    <cellStyle name="표준 5 2 4 2 2 2 10" xfId="15684" xr:uid="{00000000-0005-0000-0000-000096580000}"/>
    <cellStyle name="표준 5 2 4 2 2 2 11" xfId="19846" xr:uid="{00000000-0005-0000-0000-000097580000}"/>
    <cellStyle name="표준 5 2 4 2 2 2 12" xfId="23942" xr:uid="{00000000-0005-0000-0000-000098580000}"/>
    <cellStyle name="표준 5 2 4 2 2 2 13" xfId="32153" xr:uid="{00000000-0005-0000-0000-000099580000}"/>
    <cellStyle name="표준 5 2 4 2 2 2 14" xfId="40346" xr:uid="{00000000-0005-0000-0000-00009A580000}"/>
    <cellStyle name="표준 5 2 4 2 2 2 2" xfId="605" xr:uid="{00000000-0005-0000-0000-00009B580000}"/>
    <cellStyle name="표준 5 2 4 2 2 2 2 10" xfId="19974" xr:uid="{00000000-0005-0000-0000-00009C580000}"/>
    <cellStyle name="표준 5 2 4 2 2 2 2 11" xfId="24070" xr:uid="{00000000-0005-0000-0000-00009D580000}"/>
    <cellStyle name="표준 5 2 4 2 2 2 2 12" xfId="32281" xr:uid="{00000000-0005-0000-0000-00009E580000}"/>
    <cellStyle name="표준 5 2 4 2 2 2 2 13" xfId="40474" xr:uid="{00000000-0005-0000-0000-00009F580000}"/>
    <cellStyle name="표준 5 2 4 2 2 2 2 2" xfId="861" xr:uid="{00000000-0005-0000-0000-0000A0580000}"/>
    <cellStyle name="표준 5 2 4 2 2 2 2 2 10" xfId="24326" xr:uid="{00000000-0005-0000-0000-0000A1580000}"/>
    <cellStyle name="표준 5 2 4 2 2 2 2 2 11" xfId="32537" xr:uid="{00000000-0005-0000-0000-0000A2580000}"/>
    <cellStyle name="표준 5 2 4 2 2 2 2 2 12" xfId="40730" xr:uid="{00000000-0005-0000-0000-0000A3580000}"/>
    <cellStyle name="표준 5 2 4 2 2 2 2 2 2" xfId="1373" xr:uid="{00000000-0005-0000-0000-0000A4580000}"/>
    <cellStyle name="표준 5 2 4 2 2 2 2 2 2 2" xfId="10276" xr:uid="{00000000-0005-0000-0000-0000A5580000}"/>
    <cellStyle name="표준 5 2 4 2 2 2 2 2 2 2 2" xfId="14388" xr:uid="{00000000-0005-0000-0000-0000A6580000}"/>
    <cellStyle name="표준 5 2 4 2 2 2 2 2 2 2 2 2" xfId="30982" xr:uid="{00000000-0005-0000-0000-0000A7580000}"/>
    <cellStyle name="표준 5 2 4 2 2 2 2 2 2 2 2 3" xfId="39193" xr:uid="{00000000-0005-0000-0000-0000A8580000}"/>
    <cellStyle name="표준 5 2 4 2 2 2 2 2 2 2 2 4" xfId="47386" xr:uid="{00000000-0005-0000-0000-0000A9580000}"/>
    <cellStyle name="표준 5 2 4 2 2 2 2 2 2 2 3" xfId="18628" xr:uid="{00000000-0005-0000-0000-0000AA580000}"/>
    <cellStyle name="표준 5 2 4 2 2 2 2 2 2 2 4" xfId="22790" xr:uid="{00000000-0005-0000-0000-0000AB580000}"/>
    <cellStyle name="표준 5 2 4 2 2 2 2 2 2 2 5" xfId="26886" xr:uid="{00000000-0005-0000-0000-0000AC580000}"/>
    <cellStyle name="표준 5 2 4 2 2 2 2 2 2 2 6" xfId="35097" xr:uid="{00000000-0005-0000-0000-0000AD580000}"/>
    <cellStyle name="표준 5 2 4 2 2 2 2 2 2 2 7" xfId="43290" xr:uid="{00000000-0005-0000-0000-0000AE580000}"/>
    <cellStyle name="표준 5 2 4 2 2 2 2 2 2 3" xfId="8228" xr:uid="{00000000-0005-0000-0000-0000AF580000}"/>
    <cellStyle name="표준 5 2 4 2 2 2 2 2 2 3 2" xfId="28934" xr:uid="{00000000-0005-0000-0000-0000B0580000}"/>
    <cellStyle name="표준 5 2 4 2 2 2 2 2 2 3 3" xfId="37145" xr:uid="{00000000-0005-0000-0000-0000B1580000}"/>
    <cellStyle name="표준 5 2 4 2 2 2 2 2 2 3 4" xfId="45338" xr:uid="{00000000-0005-0000-0000-0000B2580000}"/>
    <cellStyle name="표준 5 2 4 2 2 2 2 2 2 4" xfId="12340" xr:uid="{00000000-0005-0000-0000-0000B3580000}"/>
    <cellStyle name="표준 5 2 4 2 2 2 2 2 2 5" xfId="16580" xr:uid="{00000000-0005-0000-0000-0000B4580000}"/>
    <cellStyle name="표준 5 2 4 2 2 2 2 2 2 6" xfId="20742" xr:uid="{00000000-0005-0000-0000-0000B5580000}"/>
    <cellStyle name="표준 5 2 4 2 2 2 2 2 2 7" xfId="24838" xr:uid="{00000000-0005-0000-0000-0000B6580000}"/>
    <cellStyle name="표준 5 2 4 2 2 2 2 2 2 8" xfId="33049" xr:uid="{00000000-0005-0000-0000-0000B7580000}"/>
    <cellStyle name="표준 5 2 4 2 2 2 2 2 2 9" xfId="41242" xr:uid="{00000000-0005-0000-0000-0000B8580000}"/>
    <cellStyle name="표준 5 2 4 2 2 2 2 2 3" xfId="1885" xr:uid="{00000000-0005-0000-0000-0000B9580000}"/>
    <cellStyle name="표준 5 2 4 2 2 2 2 2 3 2" xfId="10788" xr:uid="{00000000-0005-0000-0000-0000BA580000}"/>
    <cellStyle name="표준 5 2 4 2 2 2 2 2 3 2 2" xfId="14900" xr:uid="{00000000-0005-0000-0000-0000BB580000}"/>
    <cellStyle name="표준 5 2 4 2 2 2 2 2 3 2 2 2" xfId="31494" xr:uid="{00000000-0005-0000-0000-0000BC580000}"/>
    <cellStyle name="표준 5 2 4 2 2 2 2 2 3 2 2 3" xfId="39705" xr:uid="{00000000-0005-0000-0000-0000BD580000}"/>
    <cellStyle name="표준 5 2 4 2 2 2 2 2 3 2 2 4" xfId="47898" xr:uid="{00000000-0005-0000-0000-0000BE580000}"/>
    <cellStyle name="표준 5 2 4 2 2 2 2 2 3 2 3" xfId="19140" xr:uid="{00000000-0005-0000-0000-0000BF580000}"/>
    <cellStyle name="표준 5 2 4 2 2 2 2 2 3 2 4" xfId="23302" xr:uid="{00000000-0005-0000-0000-0000C0580000}"/>
    <cellStyle name="표준 5 2 4 2 2 2 2 2 3 2 5" xfId="27398" xr:uid="{00000000-0005-0000-0000-0000C1580000}"/>
    <cellStyle name="표준 5 2 4 2 2 2 2 2 3 2 6" xfId="35609" xr:uid="{00000000-0005-0000-0000-0000C2580000}"/>
    <cellStyle name="표준 5 2 4 2 2 2 2 2 3 2 7" xfId="43802" xr:uid="{00000000-0005-0000-0000-0000C3580000}"/>
    <cellStyle name="표준 5 2 4 2 2 2 2 2 3 3" xfId="8740" xr:uid="{00000000-0005-0000-0000-0000C4580000}"/>
    <cellStyle name="표준 5 2 4 2 2 2 2 2 3 3 2" xfId="29446" xr:uid="{00000000-0005-0000-0000-0000C5580000}"/>
    <cellStyle name="표준 5 2 4 2 2 2 2 2 3 3 3" xfId="37657" xr:uid="{00000000-0005-0000-0000-0000C6580000}"/>
    <cellStyle name="표준 5 2 4 2 2 2 2 2 3 3 4" xfId="45850" xr:uid="{00000000-0005-0000-0000-0000C7580000}"/>
    <cellStyle name="표준 5 2 4 2 2 2 2 2 3 4" xfId="12852" xr:uid="{00000000-0005-0000-0000-0000C8580000}"/>
    <cellStyle name="표준 5 2 4 2 2 2 2 2 3 5" xfId="17092" xr:uid="{00000000-0005-0000-0000-0000C9580000}"/>
    <cellStyle name="표준 5 2 4 2 2 2 2 2 3 6" xfId="21254" xr:uid="{00000000-0005-0000-0000-0000CA580000}"/>
    <cellStyle name="표준 5 2 4 2 2 2 2 2 3 7" xfId="25350" xr:uid="{00000000-0005-0000-0000-0000CB580000}"/>
    <cellStyle name="표준 5 2 4 2 2 2 2 2 3 8" xfId="33561" xr:uid="{00000000-0005-0000-0000-0000CC580000}"/>
    <cellStyle name="표준 5 2 4 2 2 2 2 2 3 9" xfId="41754" xr:uid="{00000000-0005-0000-0000-0000CD580000}"/>
    <cellStyle name="표준 5 2 4 2 2 2 2 2 4" xfId="2397" xr:uid="{00000000-0005-0000-0000-0000CE580000}"/>
    <cellStyle name="표준 5 2 4 2 2 2 2 2 4 2" xfId="11300" xr:uid="{00000000-0005-0000-0000-0000CF580000}"/>
    <cellStyle name="표준 5 2 4 2 2 2 2 2 4 2 2" xfId="15412" xr:uid="{00000000-0005-0000-0000-0000D0580000}"/>
    <cellStyle name="표준 5 2 4 2 2 2 2 2 4 2 2 2" xfId="32006" xr:uid="{00000000-0005-0000-0000-0000D1580000}"/>
    <cellStyle name="표준 5 2 4 2 2 2 2 2 4 2 2 3" xfId="40217" xr:uid="{00000000-0005-0000-0000-0000D2580000}"/>
    <cellStyle name="표준 5 2 4 2 2 2 2 2 4 2 2 4" xfId="48410" xr:uid="{00000000-0005-0000-0000-0000D3580000}"/>
    <cellStyle name="표준 5 2 4 2 2 2 2 2 4 2 3" xfId="19652" xr:uid="{00000000-0005-0000-0000-0000D4580000}"/>
    <cellStyle name="표준 5 2 4 2 2 2 2 2 4 2 4" xfId="23814" xr:uid="{00000000-0005-0000-0000-0000D5580000}"/>
    <cellStyle name="표준 5 2 4 2 2 2 2 2 4 2 5" xfId="27910" xr:uid="{00000000-0005-0000-0000-0000D6580000}"/>
    <cellStyle name="표준 5 2 4 2 2 2 2 2 4 2 6" xfId="36121" xr:uid="{00000000-0005-0000-0000-0000D7580000}"/>
    <cellStyle name="표준 5 2 4 2 2 2 2 2 4 2 7" xfId="44314" xr:uid="{00000000-0005-0000-0000-0000D8580000}"/>
    <cellStyle name="표준 5 2 4 2 2 2 2 2 4 3" xfId="9252" xr:uid="{00000000-0005-0000-0000-0000D9580000}"/>
    <cellStyle name="표준 5 2 4 2 2 2 2 2 4 3 2" xfId="29958" xr:uid="{00000000-0005-0000-0000-0000DA580000}"/>
    <cellStyle name="표준 5 2 4 2 2 2 2 2 4 3 3" xfId="38169" xr:uid="{00000000-0005-0000-0000-0000DB580000}"/>
    <cellStyle name="표준 5 2 4 2 2 2 2 2 4 3 4" xfId="46362" xr:uid="{00000000-0005-0000-0000-0000DC580000}"/>
    <cellStyle name="표준 5 2 4 2 2 2 2 2 4 4" xfId="13364" xr:uid="{00000000-0005-0000-0000-0000DD580000}"/>
    <cellStyle name="표준 5 2 4 2 2 2 2 2 4 5" xfId="17604" xr:uid="{00000000-0005-0000-0000-0000DE580000}"/>
    <cellStyle name="표준 5 2 4 2 2 2 2 2 4 6" xfId="21766" xr:uid="{00000000-0005-0000-0000-0000DF580000}"/>
    <cellStyle name="표준 5 2 4 2 2 2 2 2 4 7" xfId="25862" xr:uid="{00000000-0005-0000-0000-0000E0580000}"/>
    <cellStyle name="표준 5 2 4 2 2 2 2 2 4 8" xfId="34073" xr:uid="{00000000-0005-0000-0000-0000E1580000}"/>
    <cellStyle name="표준 5 2 4 2 2 2 2 2 4 9" xfId="42266" xr:uid="{00000000-0005-0000-0000-0000E2580000}"/>
    <cellStyle name="표준 5 2 4 2 2 2 2 2 5" xfId="9764" xr:uid="{00000000-0005-0000-0000-0000E3580000}"/>
    <cellStyle name="표준 5 2 4 2 2 2 2 2 5 2" xfId="13876" xr:uid="{00000000-0005-0000-0000-0000E4580000}"/>
    <cellStyle name="표준 5 2 4 2 2 2 2 2 5 2 2" xfId="30470" xr:uid="{00000000-0005-0000-0000-0000E5580000}"/>
    <cellStyle name="표준 5 2 4 2 2 2 2 2 5 2 3" xfId="38681" xr:uid="{00000000-0005-0000-0000-0000E6580000}"/>
    <cellStyle name="표준 5 2 4 2 2 2 2 2 5 2 4" xfId="46874" xr:uid="{00000000-0005-0000-0000-0000E7580000}"/>
    <cellStyle name="표준 5 2 4 2 2 2 2 2 5 3" xfId="18116" xr:uid="{00000000-0005-0000-0000-0000E8580000}"/>
    <cellStyle name="표준 5 2 4 2 2 2 2 2 5 4" xfId="22278" xr:uid="{00000000-0005-0000-0000-0000E9580000}"/>
    <cellStyle name="표준 5 2 4 2 2 2 2 2 5 5" xfId="26374" xr:uid="{00000000-0005-0000-0000-0000EA580000}"/>
    <cellStyle name="표준 5 2 4 2 2 2 2 2 5 6" xfId="34585" xr:uid="{00000000-0005-0000-0000-0000EB580000}"/>
    <cellStyle name="표준 5 2 4 2 2 2 2 2 5 7" xfId="42778" xr:uid="{00000000-0005-0000-0000-0000EC580000}"/>
    <cellStyle name="표준 5 2 4 2 2 2 2 2 6" xfId="7716" xr:uid="{00000000-0005-0000-0000-0000ED580000}"/>
    <cellStyle name="표준 5 2 4 2 2 2 2 2 6 2" xfId="28422" xr:uid="{00000000-0005-0000-0000-0000EE580000}"/>
    <cellStyle name="표준 5 2 4 2 2 2 2 2 6 3" xfId="36633" xr:uid="{00000000-0005-0000-0000-0000EF580000}"/>
    <cellStyle name="표준 5 2 4 2 2 2 2 2 6 4" xfId="44826" xr:uid="{00000000-0005-0000-0000-0000F0580000}"/>
    <cellStyle name="표준 5 2 4 2 2 2 2 2 7" xfId="11828" xr:uid="{00000000-0005-0000-0000-0000F1580000}"/>
    <cellStyle name="표준 5 2 4 2 2 2 2 2 8" xfId="16068" xr:uid="{00000000-0005-0000-0000-0000F2580000}"/>
    <cellStyle name="표준 5 2 4 2 2 2 2 2 9" xfId="20230" xr:uid="{00000000-0005-0000-0000-0000F3580000}"/>
    <cellStyle name="표준 5 2 4 2 2 2 2 3" xfId="1117" xr:uid="{00000000-0005-0000-0000-0000F4580000}"/>
    <cellStyle name="표준 5 2 4 2 2 2 2 3 2" xfId="10020" xr:uid="{00000000-0005-0000-0000-0000F5580000}"/>
    <cellStyle name="표준 5 2 4 2 2 2 2 3 2 2" xfId="14132" xr:uid="{00000000-0005-0000-0000-0000F6580000}"/>
    <cellStyle name="표준 5 2 4 2 2 2 2 3 2 2 2" xfId="30726" xr:uid="{00000000-0005-0000-0000-0000F7580000}"/>
    <cellStyle name="표준 5 2 4 2 2 2 2 3 2 2 3" xfId="38937" xr:uid="{00000000-0005-0000-0000-0000F8580000}"/>
    <cellStyle name="표준 5 2 4 2 2 2 2 3 2 2 4" xfId="47130" xr:uid="{00000000-0005-0000-0000-0000F9580000}"/>
    <cellStyle name="표준 5 2 4 2 2 2 2 3 2 3" xfId="18372" xr:uid="{00000000-0005-0000-0000-0000FA580000}"/>
    <cellStyle name="표준 5 2 4 2 2 2 2 3 2 4" xfId="22534" xr:uid="{00000000-0005-0000-0000-0000FB580000}"/>
    <cellStyle name="표준 5 2 4 2 2 2 2 3 2 5" xfId="26630" xr:uid="{00000000-0005-0000-0000-0000FC580000}"/>
    <cellStyle name="표준 5 2 4 2 2 2 2 3 2 6" xfId="34841" xr:uid="{00000000-0005-0000-0000-0000FD580000}"/>
    <cellStyle name="표준 5 2 4 2 2 2 2 3 2 7" xfId="43034" xr:uid="{00000000-0005-0000-0000-0000FE580000}"/>
    <cellStyle name="표준 5 2 4 2 2 2 2 3 3" xfId="7972" xr:uid="{00000000-0005-0000-0000-0000FF580000}"/>
    <cellStyle name="표준 5 2 4 2 2 2 2 3 3 2" xfId="28678" xr:uid="{00000000-0005-0000-0000-000000590000}"/>
    <cellStyle name="표준 5 2 4 2 2 2 2 3 3 3" xfId="36889" xr:uid="{00000000-0005-0000-0000-000001590000}"/>
    <cellStyle name="표준 5 2 4 2 2 2 2 3 3 4" xfId="45082" xr:uid="{00000000-0005-0000-0000-000002590000}"/>
    <cellStyle name="표준 5 2 4 2 2 2 2 3 4" xfId="12084" xr:uid="{00000000-0005-0000-0000-000003590000}"/>
    <cellStyle name="표준 5 2 4 2 2 2 2 3 5" xfId="16324" xr:uid="{00000000-0005-0000-0000-000004590000}"/>
    <cellStyle name="표준 5 2 4 2 2 2 2 3 6" xfId="20486" xr:uid="{00000000-0005-0000-0000-000005590000}"/>
    <cellStyle name="표준 5 2 4 2 2 2 2 3 7" xfId="24582" xr:uid="{00000000-0005-0000-0000-000006590000}"/>
    <cellStyle name="표준 5 2 4 2 2 2 2 3 8" xfId="32793" xr:uid="{00000000-0005-0000-0000-000007590000}"/>
    <cellStyle name="표준 5 2 4 2 2 2 2 3 9" xfId="40986" xr:uid="{00000000-0005-0000-0000-000008590000}"/>
    <cellStyle name="표준 5 2 4 2 2 2 2 4" xfId="1629" xr:uid="{00000000-0005-0000-0000-000009590000}"/>
    <cellStyle name="표준 5 2 4 2 2 2 2 4 2" xfId="10532" xr:uid="{00000000-0005-0000-0000-00000A590000}"/>
    <cellStyle name="표준 5 2 4 2 2 2 2 4 2 2" xfId="14644" xr:uid="{00000000-0005-0000-0000-00000B590000}"/>
    <cellStyle name="표준 5 2 4 2 2 2 2 4 2 2 2" xfId="31238" xr:uid="{00000000-0005-0000-0000-00000C590000}"/>
    <cellStyle name="표준 5 2 4 2 2 2 2 4 2 2 3" xfId="39449" xr:uid="{00000000-0005-0000-0000-00000D590000}"/>
    <cellStyle name="표준 5 2 4 2 2 2 2 4 2 2 4" xfId="47642" xr:uid="{00000000-0005-0000-0000-00000E590000}"/>
    <cellStyle name="표준 5 2 4 2 2 2 2 4 2 3" xfId="18884" xr:uid="{00000000-0005-0000-0000-00000F590000}"/>
    <cellStyle name="표준 5 2 4 2 2 2 2 4 2 4" xfId="23046" xr:uid="{00000000-0005-0000-0000-000010590000}"/>
    <cellStyle name="표준 5 2 4 2 2 2 2 4 2 5" xfId="27142" xr:uid="{00000000-0005-0000-0000-000011590000}"/>
    <cellStyle name="표준 5 2 4 2 2 2 2 4 2 6" xfId="35353" xr:uid="{00000000-0005-0000-0000-000012590000}"/>
    <cellStyle name="표준 5 2 4 2 2 2 2 4 2 7" xfId="43546" xr:uid="{00000000-0005-0000-0000-000013590000}"/>
    <cellStyle name="표준 5 2 4 2 2 2 2 4 3" xfId="8484" xr:uid="{00000000-0005-0000-0000-000014590000}"/>
    <cellStyle name="표준 5 2 4 2 2 2 2 4 3 2" xfId="29190" xr:uid="{00000000-0005-0000-0000-000015590000}"/>
    <cellStyle name="표준 5 2 4 2 2 2 2 4 3 3" xfId="37401" xr:uid="{00000000-0005-0000-0000-000016590000}"/>
    <cellStyle name="표준 5 2 4 2 2 2 2 4 3 4" xfId="45594" xr:uid="{00000000-0005-0000-0000-000017590000}"/>
    <cellStyle name="표준 5 2 4 2 2 2 2 4 4" xfId="12596" xr:uid="{00000000-0005-0000-0000-000018590000}"/>
    <cellStyle name="표준 5 2 4 2 2 2 2 4 5" xfId="16836" xr:uid="{00000000-0005-0000-0000-000019590000}"/>
    <cellStyle name="표준 5 2 4 2 2 2 2 4 6" xfId="20998" xr:uid="{00000000-0005-0000-0000-00001A590000}"/>
    <cellStyle name="표준 5 2 4 2 2 2 2 4 7" xfId="25094" xr:uid="{00000000-0005-0000-0000-00001B590000}"/>
    <cellStyle name="표준 5 2 4 2 2 2 2 4 8" xfId="33305" xr:uid="{00000000-0005-0000-0000-00001C590000}"/>
    <cellStyle name="표준 5 2 4 2 2 2 2 4 9" xfId="41498" xr:uid="{00000000-0005-0000-0000-00001D590000}"/>
    <cellStyle name="표준 5 2 4 2 2 2 2 5" xfId="2141" xr:uid="{00000000-0005-0000-0000-00001E590000}"/>
    <cellStyle name="표준 5 2 4 2 2 2 2 5 2" xfId="11044" xr:uid="{00000000-0005-0000-0000-00001F590000}"/>
    <cellStyle name="표준 5 2 4 2 2 2 2 5 2 2" xfId="15156" xr:uid="{00000000-0005-0000-0000-000020590000}"/>
    <cellStyle name="표준 5 2 4 2 2 2 2 5 2 2 2" xfId="31750" xr:uid="{00000000-0005-0000-0000-000021590000}"/>
    <cellStyle name="표준 5 2 4 2 2 2 2 5 2 2 3" xfId="39961" xr:uid="{00000000-0005-0000-0000-000022590000}"/>
    <cellStyle name="표준 5 2 4 2 2 2 2 5 2 2 4" xfId="48154" xr:uid="{00000000-0005-0000-0000-000023590000}"/>
    <cellStyle name="표준 5 2 4 2 2 2 2 5 2 3" xfId="19396" xr:uid="{00000000-0005-0000-0000-000024590000}"/>
    <cellStyle name="표준 5 2 4 2 2 2 2 5 2 4" xfId="23558" xr:uid="{00000000-0005-0000-0000-000025590000}"/>
    <cellStyle name="표준 5 2 4 2 2 2 2 5 2 5" xfId="27654" xr:uid="{00000000-0005-0000-0000-000026590000}"/>
    <cellStyle name="표준 5 2 4 2 2 2 2 5 2 6" xfId="35865" xr:uid="{00000000-0005-0000-0000-000027590000}"/>
    <cellStyle name="표준 5 2 4 2 2 2 2 5 2 7" xfId="44058" xr:uid="{00000000-0005-0000-0000-000028590000}"/>
    <cellStyle name="표준 5 2 4 2 2 2 2 5 3" xfId="8996" xr:uid="{00000000-0005-0000-0000-000029590000}"/>
    <cellStyle name="표준 5 2 4 2 2 2 2 5 3 2" xfId="29702" xr:uid="{00000000-0005-0000-0000-00002A590000}"/>
    <cellStyle name="표준 5 2 4 2 2 2 2 5 3 3" xfId="37913" xr:uid="{00000000-0005-0000-0000-00002B590000}"/>
    <cellStyle name="표준 5 2 4 2 2 2 2 5 3 4" xfId="46106" xr:uid="{00000000-0005-0000-0000-00002C590000}"/>
    <cellStyle name="표준 5 2 4 2 2 2 2 5 4" xfId="13108" xr:uid="{00000000-0005-0000-0000-00002D590000}"/>
    <cellStyle name="표준 5 2 4 2 2 2 2 5 5" xfId="17348" xr:uid="{00000000-0005-0000-0000-00002E590000}"/>
    <cellStyle name="표준 5 2 4 2 2 2 2 5 6" xfId="21510" xr:uid="{00000000-0005-0000-0000-00002F590000}"/>
    <cellStyle name="표준 5 2 4 2 2 2 2 5 7" xfId="25606" xr:uid="{00000000-0005-0000-0000-000030590000}"/>
    <cellStyle name="표준 5 2 4 2 2 2 2 5 8" xfId="33817" xr:uid="{00000000-0005-0000-0000-000031590000}"/>
    <cellStyle name="표준 5 2 4 2 2 2 2 5 9" xfId="42010" xr:uid="{00000000-0005-0000-0000-000032590000}"/>
    <cellStyle name="표준 5 2 4 2 2 2 2 6" xfId="9508" xr:uid="{00000000-0005-0000-0000-000033590000}"/>
    <cellStyle name="표준 5 2 4 2 2 2 2 6 2" xfId="13620" xr:uid="{00000000-0005-0000-0000-000034590000}"/>
    <cellStyle name="표준 5 2 4 2 2 2 2 6 2 2" xfId="30214" xr:uid="{00000000-0005-0000-0000-000035590000}"/>
    <cellStyle name="표준 5 2 4 2 2 2 2 6 2 3" xfId="38425" xr:uid="{00000000-0005-0000-0000-000036590000}"/>
    <cellStyle name="표준 5 2 4 2 2 2 2 6 2 4" xfId="46618" xr:uid="{00000000-0005-0000-0000-000037590000}"/>
    <cellStyle name="표준 5 2 4 2 2 2 2 6 3" xfId="17860" xr:uid="{00000000-0005-0000-0000-000038590000}"/>
    <cellStyle name="표준 5 2 4 2 2 2 2 6 4" xfId="22022" xr:uid="{00000000-0005-0000-0000-000039590000}"/>
    <cellStyle name="표준 5 2 4 2 2 2 2 6 5" xfId="26118" xr:uid="{00000000-0005-0000-0000-00003A590000}"/>
    <cellStyle name="표준 5 2 4 2 2 2 2 6 6" xfId="34329" xr:uid="{00000000-0005-0000-0000-00003B590000}"/>
    <cellStyle name="표준 5 2 4 2 2 2 2 6 7" xfId="42522" xr:uid="{00000000-0005-0000-0000-00003C590000}"/>
    <cellStyle name="표준 5 2 4 2 2 2 2 7" xfId="7460" xr:uid="{00000000-0005-0000-0000-00003D590000}"/>
    <cellStyle name="표준 5 2 4 2 2 2 2 7 2" xfId="28166" xr:uid="{00000000-0005-0000-0000-00003E590000}"/>
    <cellStyle name="표준 5 2 4 2 2 2 2 7 3" xfId="36377" xr:uid="{00000000-0005-0000-0000-00003F590000}"/>
    <cellStyle name="표준 5 2 4 2 2 2 2 7 4" xfId="44570" xr:uid="{00000000-0005-0000-0000-000040590000}"/>
    <cellStyle name="표준 5 2 4 2 2 2 2 8" xfId="11572" xr:uid="{00000000-0005-0000-0000-000041590000}"/>
    <cellStyle name="표준 5 2 4 2 2 2 2 9" xfId="15812" xr:uid="{00000000-0005-0000-0000-000042590000}"/>
    <cellStyle name="표준 5 2 4 2 2 2 3" xfId="733" xr:uid="{00000000-0005-0000-0000-000043590000}"/>
    <cellStyle name="표준 5 2 4 2 2 2 3 10" xfId="24198" xr:uid="{00000000-0005-0000-0000-000044590000}"/>
    <cellStyle name="표준 5 2 4 2 2 2 3 11" xfId="32409" xr:uid="{00000000-0005-0000-0000-000045590000}"/>
    <cellStyle name="표준 5 2 4 2 2 2 3 12" xfId="40602" xr:uid="{00000000-0005-0000-0000-000046590000}"/>
    <cellStyle name="표준 5 2 4 2 2 2 3 2" xfId="1245" xr:uid="{00000000-0005-0000-0000-000047590000}"/>
    <cellStyle name="표준 5 2 4 2 2 2 3 2 2" xfId="10148" xr:uid="{00000000-0005-0000-0000-000048590000}"/>
    <cellStyle name="표준 5 2 4 2 2 2 3 2 2 2" xfId="14260" xr:uid="{00000000-0005-0000-0000-000049590000}"/>
    <cellStyle name="표준 5 2 4 2 2 2 3 2 2 2 2" xfId="30854" xr:uid="{00000000-0005-0000-0000-00004A590000}"/>
    <cellStyle name="표준 5 2 4 2 2 2 3 2 2 2 3" xfId="39065" xr:uid="{00000000-0005-0000-0000-00004B590000}"/>
    <cellStyle name="표준 5 2 4 2 2 2 3 2 2 2 4" xfId="47258" xr:uid="{00000000-0005-0000-0000-00004C590000}"/>
    <cellStyle name="표준 5 2 4 2 2 2 3 2 2 3" xfId="18500" xr:uid="{00000000-0005-0000-0000-00004D590000}"/>
    <cellStyle name="표준 5 2 4 2 2 2 3 2 2 4" xfId="22662" xr:uid="{00000000-0005-0000-0000-00004E590000}"/>
    <cellStyle name="표준 5 2 4 2 2 2 3 2 2 5" xfId="26758" xr:uid="{00000000-0005-0000-0000-00004F590000}"/>
    <cellStyle name="표준 5 2 4 2 2 2 3 2 2 6" xfId="34969" xr:uid="{00000000-0005-0000-0000-000050590000}"/>
    <cellStyle name="표준 5 2 4 2 2 2 3 2 2 7" xfId="43162" xr:uid="{00000000-0005-0000-0000-000051590000}"/>
    <cellStyle name="표준 5 2 4 2 2 2 3 2 3" xfId="8100" xr:uid="{00000000-0005-0000-0000-000052590000}"/>
    <cellStyle name="표준 5 2 4 2 2 2 3 2 3 2" xfId="28806" xr:uid="{00000000-0005-0000-0000-000053590000}"/>
    <cellStyle name="표준 5 2 4 2 2 2 3 2 3 3" xfId="37017" xr:uid="{00000000-0005-0000-0000-000054590000}"/>
    <cellStyle name="표준 5 2 4 2 2 2 3 2 3 4" xfId="45210" xr:uid="{00000000-0005-0000-0000-000055590000}"/>
    <cellStyle name="표준 5 2 4 2 2 2 3 2 4" xfId="12212" xr:uid="{00000000-0005-0000-0000-000056590000}"/>
    <cellStyle name="표준 5 2 4 2 2 2 3 2 5" xfId="16452" xr:uid="{00000000-0005-0000-0000-000057590000}"/>
    <cellStyle name="표준 5 2 4 2 2 2 3 2 6" xfId="20614" xr:uid="{00000000-0005-0000-0000-000058590000}"/>
    <cellStyle name="표준 5 2 4 2 2 2 3 2 7" xfId="24710" xr:uid="{00000000-0005-0000-0000-000059590000}"/>
    <cellStyle name="표준 5 2 4 2 2 2 3 2 8" xfId="32921" xr:uid="{00000000-0005-0000-0000-00005A590000}"/>
    <cellStyle name="표준 5 2 4 2 2 2 3 2 9" xfId="41114" xr:uid="{00000000-0005-0000-0000-00005B590000}"/>
    <cellStyle name="표준 5 2 4 2 2 2 3 3" xfId="1757" xr:uid="{00000000-0005-0000-0000-00005C590000}"/>
    <cellStyle name="표준 5 2 4 2 2 2 3 3 2" xfId="10660" xr:uid="{00000000-0005-0000-0000-00005D590000}"/>
    <cellStyle name="표준 5 2 4 2 2 2 3 3 2 2" xfId="14772" xr:uid="{00000000-0005-0000-0000-00005E590000}"/>
    <cellStyle name="표준 5 2 4 2 2 2 3 3 2 2 2" xfId="31366" xr:uid="{00000000-0005-0000-0000-00005F590000}"/>
    <cellStyle name="표준 5 2 4 2 2 2 3 3 2 2 3" xfId="39577" xr:uid="{00000000-0005-0000-0000-000060590000}"/>
    <cellStyle name="표준 5 2 4 2 2 2 3 3 2 2 4" xfId="47770" xr:uid="{00000000-0005-0000-0000-000061590000}"/>
    <cellStyle name="표준 5 2 4 2 2 2 3 3 2 3" xfId="19012" xr:uid="{00000000-0005-0000-0000-000062590000}"/>
    <cellStyle name="표준 5 2 4 2 2 2 3 3 2 4" xfId="23174" xr:uid="{00000000-0005-0000-0000-000063590000}"/>
    <cellStyle name="표준 5 2 4 2 2 2 3 3 2 5" xfId="27270" xr:uid="{00000000-0005-0000-0000-000064590000}"/>
    <cellStyle name="표준 5 2 4 2 2 2 3 3 2 6" xfId="35481" xr:uid="{00000000-0005-0000-0000-000065590000}"/>
    <cellStyle name="표준 5 2 4 2 2 2 3 3 2 7" xfId="43674" xr:uid="{00000000-0005-0000-0000-000066590000}"/>
    <cellStyle name="표준 5 2 4 2 2 2 3 3 3" xfId="8612" xr:uid="{00000000-0005-0000-0000-000067590000}"/>
    <cellStyle name="표준 5 2 4 2 2 2 3 3 3 2" xfId="29318" xr:uid="{00000000-0005-0000-0000-000068590000}"/>
    <cellStyle name="표준 5 2 4 2 2 2 3 3 3 3" xfId="37529" xr:uid="{00000000-0005-0000-0000-000069590000}"/>
    <cellStyle name="표준 5 2 4 2 2 2 3 3 3 4" xfId="45722" xr:uid="{00000000-0005-0000-0000-00006A590000}"/>
    <cellStyle name="표준 5 2 4 2 2 2 3 3 4" xfId="12724" xr:uid="{00000000-0005-0000-0000-00006B590000}"/>
    <cellStyle name="표준 5 2 4 2 2 2 3 3 5" xfId="16964" xr:uid="{00000000-0005-0000-0000-00006C590000}"/>
    <cellStyle name="표준 5 2 4 2 2 2 3 3 6" xfId="21126" xr:uid="{00000000-0005-0000-0000-00006D590000}"/>
    <cellStyle name="표준 5 2 4 2 2 2 3 3 7" xfId="25222" xr:uid="{00000000-0005-0000-0000-00006E590000}"/>
    <cellStyle name="표준 5 2 4 2 2 2 3 3 8" xfId="33433" xr:uid="{00000000-0005-0000-0000-00006F590000}"/>
    <cellStyle name="표준 5 2 4 2 2 2 3 3 9" xfId="41626" xr:uid="{00000000-0005-0000-0000-000070590000}"/>
    <cellStyle name="표준 5 2 4 2 2 2 3 4" xfId="2269" xr:uid="{00000000-0005-0000-0000-000071590000}"/>
    <cellStyle name="표준 5 2 4 2 2 2 3 4 2" xfId="11172" xr:uid="{00000000-0005-0000-0000-000072590000}"/>
    <cellStyle name="표준 5 2 4 2 2 2 3 4 2 2" xfId="15284" xr:uid="{00000000-0005-0000-0000-000073590000}"/>
    <cellStyle name="표준 5 2 4 2 2 2 3 4 2 2 2" xfId="31878" xr:uid="{00000000-0005-0000-0000-000074590000}"/>
    <cellStyle name="표준 5 2 4 2 2 2 3 4 2 2 3" xfId="40089" xr:uid="{00000000-0005-0000-0000-000075590000}"/>
    <cellStyle name="표준 5 2 4 2 2 2 3 4 2 2 4" xfId="48282" xr:uid="{00000000-0005-0000-0000-000076590000}"/>
    <cellStyle name="표준 5 2 4 2 2 2 3 4 2 3" xfId="19524" xr:uid="{00000000-0005-0000-0000-000077590000}"/>
    <cellStyle name="표준 5 2 4 2 2 2 3 4 2 4" xfId="23686" xr:uid="{00000000-0005-0000-0000-000078590000}"/>
    <cellStyle name="표준 5 2 4 2 2 2 3 4 2 5" xfId="27782" xr:uid="{00000000-0005-0000-0000-000079590000}"/>
    <cellStyle name="표준 5 2 4 2 2 2 3 4 2 6" xfId="35993" xr:uid="{00000000-0005-0000-0000-00007A590000}"/>
    <cellStyle name="표준 5 2 4 2 2 2 3 4 2 7" xfId="44186" xr:uid="{00000000-0005-0000-0000-00007B590000}"/>
    <cellStyle name="표준 5 2 4 2 2 2 3 4 3" xfId="9124" xr:uid="{00000000-0005-0000-0000-00007C590000}"/>
    <cellStyle name="표준 5 2 4 2 2 2 3 4 3 2" xfId="29830" xr:uid="{00000000-0005-0000-0000-00007D590000}"/>
    <cellStyle name="표준 5 2 4 2 2 2 3 4 3 3" xfId="38041" xr:uid="{00000000-0005-0000-0000-00007E590000}"/>
    <cellStyle name="표준 5 2 4 2 2 2 3 4 3 4" xfId="46234" xr:uid="{00000000-0005-0000-0000-00007F590000}"/>
    <cellStyle name="표준 5 2 4 2 2 2 3 4 4" xfId="13236" xr:uid="{00000000-0005-0000-0000-000080590000}"/>
    <cellStyle name="표준 5 2 4 2 2 2 3 4 5" xfId="17476" xr:uid="{00000000-0005-0000-0000-000081590000}"/>
    <cellStyle name="표준 5 2 4 2 2 2 3 4 6" xfId="21638" xr:uid="{00000000-0005-0000-0000-000082590000}"/>
    <cellStyle name="표준 5 2 4 2 2 2 3 4 7" xfId="25734" xr:uid="{00000000-0005-0000-0000-000083590000}"/>
    <cellStyle name="표준 5 2 4 2 2 2 3 4 8" xfId="33945" xr:uid="{00000000-0005-0000-0000-000084590000}"/>
    <cellStyle name="표준 5 2 4 2 2 2 3 4 9" xfId="42138" xr:uid="{00000000-0005-0000-0000-000085590000}"/>
    <cellStyle name="표준 5 2 4 2 2 2 3 5" xfId="9636" xr:uid="{00000000-0005-0000-0000-000086590000}"/>
    <cellStyle name="표준 5 2 4 2 2 2 3 5 2" xfId="13748" xr:uid="{00000000-0005-0000-0000-000087590000}"/>
    <cellStyle name="표준 5 2 4 2 2 2 3 5 2 2" xfId="30342" xr:uid="{00000000-0005-0000-0000-000088590000}"/>
    <cellStyle name="표준 5 2 4 2 2 2 3 5 2 3" xfId="38553" xr:uid="{00000000-0005-0000-0000-000089590000}"/>
    <cellStyle name="표준 5 2 4 2 2 2 3 5 2 4" xfId="46746" xr:uid="{00000000-0005-0000-0000-00008A590000}"/>
    <cellStyle name="표준 5 2 4 2 2 2 3 5 3" xfId="17988" xr:uid="{00000000-0005-0000-0000-00008B590000}"/>
    <cellStyle name="표준 5 2 4 2 2 2 3 5 4" xfId="22150" xr:uid="{00000000-0005-0000-0000-00008C590000}"/>
    <cellStyle name="표준 5 2 4 2 2 2 3 5 5" xfId="26246" xr:uid="{00000000-0005-0000-0000-00008D590000}"/>
    <cellStyle name="표준 5 2 4 2 2 2 3 5 6" xfId="34457" xr:uid="{00000000-0005-0000-0000-00008E590000}"/>
    <cellStyle name="표준 5 2 4 2 2 2 3 5 7" xfId="42650" xr:uid="{00000000-0005-0000-0000-00008F590000}"/>
    <cellStyle name="표준 5 2 4 2 2 2 3 6" xfId="7588" xr:uid="{00000000-0005-0000-0000-000090590000}"/>
    <cellStyle name="표준 5 2 4 2 2 2 3 6 2" xfId="28294" xr:uid="{00000000-0005-0000-0000-000091590000}"/>
    <cellStyle name="표준 5 2 4 2 2 2 3 6 3" xfId="36505" xr:uid="{00000000-0005-0000-0000-000092590000}"/>
    <cellStyle name="표준 5 2 4 2 2 2 3 6 4" xfId="44698" xr:uid="{00000000-0005-0000-0000-000093590000}"/>
    <cellStyle name="표준 5 2 4 2 2 2 3 7" xfId="11700" xr:uid="{00000000-0005-0000-0000-000094590000}"/>
    <cellStyle name="표준 5 2 4 2 2 2 3 8" xfId="15940" xr:uid="{00000000-0005-0000-0000-000095590000}"/>
    <cellStyle name="표준 5 2 4 2 2 2 3 9" xfId="20102" xr:uid="{00000000-0005-0000-0000-000096590000}"/>
    <cellStyle name="표준 5 2 4 2 2 2 4" xfId="989" xr:uid="{00000000-0005-0000-0000-000097590000}"/>
    <cellStyle name="표준 5 2 4 2 2 2 4 2" xfId="9892" xr:uid="{00000000-0005-0000-0000-000098590000}"/>
    <cellStyle name="표준 5 2 4 2 2 2 4 2 2" xfId="14004" xr:uid="{00000000-0005-0000-0000-000099590000}"/>
    <cellStyle name="표준 5 2 4 2 2 2 4 2 2 2" xfId="30598" xr:uid="{00000000-0005-0000-0000-00009A590000}"/>
    <cellStyle name="표준 5 2 4 2 2 2 4 2 2 3" xfId="38809" xr:uid="{00000000-0005-0000-0000-00009B590000}"/>
    <cellStyle name="표준 5 2 4 2 2 2 4 2 2 4" xfId="47002" xr:uid="{00000000-0005-0000-0000-00009C590000}"/>
    <cellStyle name="표준 5 2 4 2 2 2 4 2 3" xfId="18244" xr:uid="{00000000-0005-0000-0000-00009D590000}"/>
    <cellStyle name="표준 5 2 4 2 2 2 4 2 4" xfId="22406" xr:uid="{00000000-0005-0000-0000-00009E590000}"/>
    <cellStyle name="표준 5 2 4 2 2 2 4 2 5" xfId="26502" xr:uid="{00000000-0005-0000-0000-00009F590000}"/>
    <cellStyle name="표준 5 2 4 2 2 2 4 2 6" xfId="34713" xr:uid="{00000000-0005-0000-0000-0000A0590000}"/>
    <cellStyle name="표준 5 2 4 2 2 2 4 2 7" xfId="42906" xr:uid="{00000000-0005-0000-0000-0000A1590000}"/>
    <cellStyle name="표준 5 2 4 2 2 2 4 3" xfId="7844" xr:uid="{00000000-0005-0000-0000-0000A2590000}"/>
    <cellStyle name="표준 5 2 4 2 2 2 4 3 2" xfId="28550" xr:uid="{00000000-0005-0000-0000-0000A3590000}"/>
    <cellStyle name="표준 5 2 4 2 2 2 4 3 3" xfId="36761" xr:uid="{00000000-0005-0000-0000-0000A4590000}"/>
    <cellStyle name="표준 5 2 4 2 2 2 4 3 4" xfId="44954" xr:uid="{00000000-0005-0000-0000-0000A5590000}"/>
    <cellStyle name="표준 5 2 4 2 2 2 4 4" xfId="11956" xr:uid="{00000000-0005-0000-0000-0000A6590000}"/>
    <cellStyle name="표준 5 2 4 2 2 2 4 5" xfId="16196" xr:uid="{00000000-0005-0000-0000-0000A7590000}"/>
    <cellStyle name="표준 5 2 4 2 2 2 4 6" xfId="20358" xr:uid="{00000000-0005-0000-0000-0000A8590000}"/>
    <cellStyle name="표준 5 2 4 2 2 2 4 7" xfId="24454" xr:uid="{00000000-0005-0000-0000-0000A9590000}"/>
    <cellStyle name="표준 5 2 4 2 2 2 4 8" xfId="32665" xr:uid="{00000000-0005-0000-0000-0000AA590000}"/>
    <cellStyle name="표준 5 2 4 2 2 2 4 9" xfId="40858" xr:uid="{00000000-0005-0000-0000-0000AB590000}"/>
    <cellStyle name="표준 5 2 4 2 2 2 5" xfId="1501" xr:uid="{00000000-0005-0000-0000-0000AC590000}"/>
    <cellStyle name="표준 5 2 4 2 2 2 5 2" xfId="10404" xr:uid="{00000000-0005-0000-0000-0000AD590000}"/>
    <cellStyle name="표준 5 2 4 2 2 2 5 2 2" xfId="14516" xr:uid="{00000000-0005-0000-0000-0000AE590000}"/>
    <cellStyle name="표준 5 2 4 2 2 2 5 2 2 2" xfId="31110" xr:uid="{00000000-0005-0000-0000-0000AF590000}"/>
    <cellStyle name="표준 5 2 4 2 2 2 5 2 2 3" xfId="39321" xr:uid="{00000000-0005-0000-0000-0000B0590000}"/>
    <cellStyle name="표준 5 2 4 2 2 2 5 2 2 4" xfId="47514" xr:uid="{00000000-0005-0000-0000-0000B1590000}"/>
    <cellStyle name="표준 5 2 4 2 2 2 5 2 3" xfId="18756" xr:uid="{00000000-0005-0000-0000-0000B2590000}"/>
    <cellStyle name="표준 5 2 4 2 2 2 5 2 4" xfId="22918" xr:uid="{00000000-0005-0000-0000-0000B3590000}"/>
    <cellStyle name="표준 5 2 4 2 2 2 5 2 5" xfId="27014" xr:uid="{00000000-0005-0000-0000-0000B4590000}"/>
    <cellStyle name="표준 5 2 4 2 2 2 5 2 6" xfId="35225" xr:uid="{00000000-0005-0000-0000-0000B5590000}"/>
    <cellStyle name="표준 5 2 4 2 2 2 5 2 7" xfId="43418" xr:uid="{00000000-0005-0000-0000-0000B6590000}"/>
    <cellStyle name="표준 5 2 4 2 2 2 5 3" xfId="8356" xr:uid="{00000000-0005-0000-0000-0000B7590000}"/>
    <cellStyle name="표준 5 2 4 2 2 2 5 3 2" xfId="29062" xr:uid="{00000000-0005-0000-0000-0000B8590000}"/>
    <cellStyle name="표준 5 2 4 2 2 2 5 3 3" xfId="37273" xr:uid="{00000000-0005-0000-0000-0000B9590000}"/>
    <cellStyle name="표준 5 2 4 2 2 2 5 3 4" xfId="45466" xr:uid="{00000000-0005-0000-0000-0000BA590000}"/>
    <cellStyle name="표준 5 2 4 2 2 2 5 4" xfId="12468" xr:uid="{00000000-0005-0000-0000-0000BB590000}"/>
    <cellStyle name="표준 5 2 4 2 2 2 5 5" xfId="16708" xr:uid="{00000000-0005-0000-0000-0000BC590000}"/>
    <cellStyle name="표준 5 2 4 2 2 2 5 6" xfId="20870" xr:uid="{00000000-0005-0000-0000-0000BD590000}"/>
    <cellStyle name="표준 5 2 4 2 2 2 5 7" xfId="24966" xr:uid="{00000000-0005-0000-0000-0000BE590000}"/>
    <cellStyle name="표준 5 2 4 2 2 2 5 8" xfId="33177" xr:uid="{00000000-0005-0000-0000-0000BF590000}"/>
    <cellStyle name="표준 5 2 4 2 2 2 5 9" xfId="41370" xr:uid="{00000000-0005-0000-0000-0000C0590000}"/>
    <cellStyle name="표준 5 2 4 2 2 2 6" xfId="2013" xr:uid="{00000000-0005-0000-0000-0000C1590000}"/>
    <cellStyle name="표준 5 2 4 2 2 2 6 2" xfId="10916" xr:uid="{00000000-0005-0000-0000-0000C2590000}"/>
    <cellStyle name="표준 5 2 4 2 2 2 6 2 2" xfId="15028" xr:uid="{00000000-0005-0000-0000-0000C3590000}"/>
    <cellStyle name="표준 5 2 4 2 2 2 6 2 2 2" xfId="31622" xr:uid="{00000000-0005-0000-0000-0000C4590000}"/>
    <cellStyle name="표준 5 2 4 2 2 2 6 2 2 3" xfId="39833" xr:uid="{00000000-0005-0000-0000-0000C5590000}"/>
    <cellStyle name="표준 5 2 4 2 2 2 6 2 2 4" xfId="48026" xr:uid="{00000000-0005-0000-0000-0000C6590000}"/>
    <cellStyle name="표준 5 2 4 2 2 2 6 2 3" xfId="19268" xr:uid="{00000000-0005-0000-0000-0000C7590000}"/>
    <cellStyle name="표준 5 2 4 2 2 2 6 2 4" xfId="23430" xr:uid="{00000000-0005-0000-0000-0000C8590000}"/>
    <cellStyle name="표준 5 2 4 2 2 2 6 2 5" xfId="27526" xr:uid="{00000000-0005-0000-0000-0000C9590000}"/>
    <cellStyle name="표준 5 2 4 2 2 2 6 2 6" xfId="35737" xr:uid="{00000000-0005-0000-0000-0000CA590000}"/>
    <cellStyle name="표준 5 2 4 2 2 2 6 2 7" xfId="43930" xr:uid="{00000000-0005-0000-0000-0000CB590000}"/>
    <cellStyle name="표준 5 2 4 2 2 2 6 3" xfId="8868" xr:uid="{00000000-0005-0000-0000-0000CC590000}"/>
    <cellStyle name="표준 5 2 4 2 2 2 6 3 2" xfId="29574" xr:uid="{00000000-0005-0000-0000-0000CD590000}"/>
    <cellStyle name="표준 5 2 4 2 2 2 6 3 3" xfId="37785" xr:uid="{00000000-0005-0000-0000-0000CE590000}"/>
    <cellStyle name="표준 5 2 4 2 2 2 6 3 4" xfId="45978" xr:uid="{00000000-0005-0000-0000-0000CF590000}"/>
    <cellStyle name="표준 5 2 4 2 2 2 6 4" xfId="12980" xr:uid="{00000000-0005-0000-0000-0000D0590000}"/>
    <cellStyle name="표준 5 2 4 2 2 2 6 5" xfId="17220" xr:uid="{00000000-0005-0000-0000-0000D1590000}"/>
    <cellStyle name="표준 5 2 4 2 2 2 6 6" xfId="21382" xr:uid="{00000000-0005-0000-0000-0000D2590000}"/>
    <cellStyle name="표준 5 2 4 2 2 2 6 7" xfId="25478" xr:uid="{00000000-0005-0000-0000-0000D3590000}"/>
    <cellStyle name="표준 5 2 4 2 2 2 6 8" xfId="33689" xr:uid="{00000000-0005-0000-0000-0000D4590000}"/>
    <cellStyle name="표준 5 2 4 2 2 2 6 9" xfId="41882" xr:uid="{00000000-0005-0000-0000-0000D5590000}"/>
    <cellStyle name="표준 5 2 4 2 2 2 7" xfId="9380" xr:uid="{00000000-0005-0000-0000-0000D6590000}"/>
    <cellStyle name="표준 5 2 4 2 2 2 7 2" xfId="13492" xr:uid="{00000000-0005-0000-0000-0000D7590000}"/>
    <cellStyle name="표준 5 2 4 2 2 2 7 2 2" xfId="30086" xr:uid="{00000000-0005-0000-0000-0000D8590000}"/>
    <cellStyle name="표준 5 2 4 2 2 2 7 2 3" xfId="38297" xr:uid="{00000000-0005-0000-0000-0000D9590000}"/>
    <cellStyle name="표준 5 2 4 2 2 2 7 2 4" xfId="46490" xr:uid="{00000000-0005-0000-0000-0000DA590000}"/>
    <cellStyle name="표준 5 2 4 2 2 2 7 3" xfId="17732" xr:uid="{00000000-0005-0000-0000-0000DB590000}"/>
    <cellStyle name="표준 5 2 4 2 2 2 7 4" xfId="21894" xr:uid="{00000000-0005-0000-0000-0000DC590000}"/>
    <cellStyle name="표준 5 2 4 2 2 2 7 5" xfId="25990" xr:uid="{00000000-0005-0000-0000-0000DD590000}"/>
    <cellStyle name="표준 5 2 4 2 2 2 7 6" xfId="34201" xr:uid="{00000000-0005-0000-0000-0000DE590000}"/>
    <cellStyle name="표준 5 2 4 2 2 2 7 7" xfId="42394" xr:uid="{00000000-0005-0000-0000-0000DF590000}"/>
    <cellStyle name="표준 5 2 4 2 2 2 8" xfId="7332" xr:uid="{00000000-0005-0000-0000-0000E0590000}"/>
    <cellStyle name="표준 5 2 4 2 2 2 8 2" xfId="28038" xr:uid="{00000000-0005-0000-0000-0000E1590000}"/>
    <cellStyle name="표준 5 2 4 2 2 2 8 3" xfId="36249" xr:uid="{00000000-0005-0000-0000-0000E2590000}"/>
    <cellStyle name="표준 5 2 4 2 2 2 8 4" xfId="44442" xr:uid="{00000000-0005-0000-0000-0000E3590000}"/>
    <cellStyle name="표준 5 2 4 2 2 2 9" xfId="11444" xr:uid="{00000000-0005-0000-0000-0000E4590000}"/>
    <cellStyle name="표준 5 2 4 2 2 3" xfId="541" xr:uid="{00000000-0005-0000-0000-0000E5590000}"/>
    <cellStyle name="표준 5 2 4 2 2 3 10" xfId="19910" xr:uid="{00000000-0005-0000-0000-0000E6590000}"/>
    <cellStyle name="표준 5 2 4 2 2 3 11" xfId="24006" xr:uid="{00000000-0005-0000-0000-0000E7590000}"/>
    <cellStyle name="표준 5 2 4 2 2 3 12" xfId="32217" xr:uid="{00000000-0005-0000-0000-0000E8590000}"/>
    <cellStyle name="표준 5 2 4 2 2 3 13" xfId="40410" xr:uid="{00000000-0005-0000-0000-0000E9590000}"/>
    <cellStyle name="표준 5 2 4 2 2 3 2" xfId="797" xr:uid="{00000000-0005-0000-0000-0000EA590000}"/>
    <cellStyle name="표준 5 2 4 2 2 3 2 10" xfId="24262" xr:uid="{00000000-0005-0000-0000-0000EB590000}"/>
    <cellStyle name="표준 5 2 4 2 2 3 2 11" xfId="32473" xr:uid="{00000000-0005-0000-0000-0000EC590000}"/>
    <cellStyle name="표준 5 2 4 2 2 3 2 12" xfId="40666" xr:uid="{00000000-0005-0000-0000-0000ED590000}"/>
    <cellStyle name="표준 5 2 4 2 2 3 2 2" xfId="1309" xr:uid="{00000000-0005-0000-0000-0000EE590000}"/>
    <cellStyle name="표준 5 2 4 2 2 3 2 2 2" xfId="10212" xr:uid="{00000000-0005-0000-0000-0000EF590000}"/>
    <cellStyle name="표준 5 2 4 2 2 3 2 2 2 2" xfId="14324" xr:uid="{00000000-0005-0000-0000-0000F0590000}"/>
    <cellStyle name="표준 5 2 4 2 2 3 2 2 2 2 2" xfId="30918" xr:uid="{00000000-0005-0000-0000-0000F1590000}"/>
    <cellStyle name="표준 5 2 4 2 2 3 2 2 2 2 3" xfId="39129" xr:uid="{00000000-0005-0000-0000-0000F2590000}"/>
    <cellStyle name="표준 5 2 4 2 2 3 2 2 2 2 4" xfId="47322" xr:uid="{00000000-0005-0000-0000-0000F3590000}"/>
    <cellStyle name="표준 5 2 4 2 2 3 2 2 2 3" xfId="18564" xr:uid="{00000000-0005-0000-0000-0000F4590000}"/>
    <cellStyle name="표준 5 2 4 2 2 3 2 2 2 4" xfId="22726" xr:uid="{00000000-0005-0000-0000-0000F5590000}"/>
    <cellStyle name="표준 5 2 4 2 2 3 2 2 2 5" xfId="26822" xr:uid="{00000000-0005-0000-0000-0000F6590000}"/>
    <cellStyle name="표준 5 2 4 2 2 3 2 2 2 6" xfId="35033" xr:uid="{00000000-0005-0000-0000-0000F7590000}"/>
    <cellStyle name="표준 5 2 4 2 2 3 2 2 2 7" xfId="43226" xr:uid="{00000000-0005-0000-0000-0000F8590000}"/>
    <cellStyle name="표준 5 2 4 2 2 3 2 2 3" xfId="8164" xr:uid="{00000000-0005-0000-0000-0000F9590000}"/>
    <cellStyle name="표준 5 2 4 2 2 3 2 2 3 2" xfId="28870" xr:uid="{00000000-0005-0000-0000-0000FA590000}"/>
    <cellStyle name="표준 5 2 4 2 2 3 2 2 3 3" xfId="37081" xr:uid="{00000000-0005-0000-0000-0000FB590000}"/>
    <cellStyle name="표준 5 2 4 2 2 3 2 2 3 4" xfId="45274" xr:uid="{00000000-0005-0000-0000-0000FC590000}"/>
    <cellStyle name="표준 5 2 4 2 2 3 2 2 4" xfId="12276" xr:uid="{00000000-0005-0000-0000-0000FD590000}"/>
    <cellStyle name="표준 5 2 4 2 2 3 2 2 5" xfId="16516" xr:uid="{00000000-0005-0000-0000-0000FE590000}"/>
    <cellStyle name="표준 5 2 4 2 2 3 2 2 6" xfId="20678" xr:uid="{00000000-0005-0000-0000-0000FF590000}"/>
    <cellStyle name="표준 5 2 4 2 2 3 2 2 7" xfId="24774" xr:uid="{00000000-0005-0000-0000-0000005A0000}"/>
    <cellStyle name="표준 5 2 4 2 2 3 2 2 8" xfId="32985" xr:uid="{00000000-0005-0000-0000-0000015A0000}"/>
    <cellStyle name="표준 5 2 4 2 2 3 2 2 9" xfId="41178" xr:uid="{00000000-0005-0000-0000-0000025A0000}"/>
    <cellStyle name="표준 5 2 4 2 2 3 2 3" xfId="1821" xr:uid="{00000000-0005-0000-0000-0000035A0000}"/>
    <cellStyle name="표준 5 2 4 2 2 3 2 3 2" xfId="10724" xr:uid="{00000000-0005-0000-0000-0000045A0000}"/>
    <cellStyle name="표준 5 2 4 2 2 3 2 3 2 2" xfId="14836" xr:uid="{00000000-0005-0000-0000-0000055A0000}"/>
    <cellStyle name="표준 5 2 4 2 2 3 2 3 2 2 2" xfId="31430" xr:uid="{00000000-0005-0000-0000-0000065A0000}"/>
    <cellStyle name="표준 5 2 4 2 2 3 2 3 2 2 3" xfId="39641" xr:uid="{00000000-0005-0000-0000-0000075A0000}"/>
    <cellStyle name="표준 5 2 4 2 2 3 2 3 2 2 4" xfId="47834" xr:uid="{00000000-0005-0000-0000-0000085A0000}"/>
    <cellStyle name="표준 5 2 4 2 2 3 2 3 2 3" xfId="19076" xr:uid="{00000000-0005-0000-0000-0000095A0000}"/>
    <cellStyle name="표준 5 2 4 2 2 3 2 3 2 4" xfId="23238" xr:uid="{00000000-0005-0000-0000-00000A5A0000}"/>
    <cellStyle name="표준 5 2 4 2 2 3 2 3 2 5" xfId="27334" xr:uid="{00000000-0005-0000-0000-00000B5A0000}"/>
    <cellStyle name="표준 5 2 4 2 2 3 2 3 2 6" xfId="35545" xr:uid="{00000000-0005-0000-0000-00000C5A0000}"/>
    <cellStyle name="표준 5 2 4 2 2 3 2 3 2 7" xfId="43738" xr:uid="{00000000-0005-0000-0000-00000D5A0000}"/>
    <cellStyle name="표준 5 2 4 2 2 3 2 3 3" xfId="8676" xr:uid="{00000000-0005-0000-0000-00000E5A0000}"/>
    <cellStyle name="표준 5 2 4 2 2 3 2 3 3 2" xfId="29382" xr:uid="{00000000-0005-0000-0000-00000F5A0000}"/>
    <cellStyle name="표준 5 2 4 2 2 3 2 3 3 3" xfId="37593" xr:uid="{00000000-0005-0000-0000-0000105A0000}"/>
    <cellStyle name="표준 5 2 4 2 2 3 2 3 3 4" xfId="45786" xr:uid="{00000000-0005-0000-0000-0000115A0000}"/>
    <cellStyle name="표준 5 2 4 2 2 3 2 3 4" xfId="12788" xr:uid="{00000000-0005-0000-0000-0000125A0000}"/>
    <cellStyle name="표준 5 2 4 2 2 3 2 3 5" xfId="17028" xr:uid="{00000000-0005-0000-0000-0000135A0000}"/>
    <cellStyle name="표준 5 2 4 2 2 3 2 3 6" xfId="21190" xr:uid="{00000000-0005-0000-0000-0000145A0000}"/>
    <cellStyle name="표준 5 2 4 2 2 3 2 3 7" xfId="25286" xr:uid="{00000000-0005-0000-0000-0000155A0000}"/>
    <cellStyle name="표준 5 2 4 2 2 3 2 3 8" xfId="33497" xr:uid="{00000000-0005-0000-0000-0000165A0000}"/>
    <cellStyle name="표준 5 2 4 2 2 3 2 3 9" xfId="41690" xr:uid="{00000000-0005-0000-0000-0000175A0000}"/>
    <cellStyle name="표준 5 2 4 2 2 3 2 4" xfId="2333" xr:uid="{00000000-0005-0000-0000-0000185A0000}"/>
    <cellStyle name="표준 5 2 4 2 2 3 2 4 2" xfId="11236" xr:uid="{00000000-0005-0000-0000-0000195A0000}"/>
    <cellStyle name="표준 5 2 4 2 2 3 2 4 2 2" xfId="15348" xr:uid="{00000000-0005-0000-0000-00001A5A0000}"/>
    <cellStyle name="표준 5 2 4 2 2 3 2 4 2 2 2" xfId="31942" xr:uid="{00000000-0005-0000-0000-00001B5A0000}"/>
    <cellStyle name="표준 5 2 4 2 2 3 2 4 2 2 3" xfId="40153" xr:uid="{00000000-0005-0000-0000-00001C5A0000}"/>
    <cellStyle name="표준 5 2 4 2 2 3 2 4 2 2 4" xfId="48346" xr:uid="{00000000-0005-0000-0000-00001D5A0000}"/>
    <cellStyle name="표준 5 2 4 2 2 3 2 4 2 3" xfId="19588" xr:uid="{00000000-0005-0000-0000-00001E5A0000}"/>
    <cellStyle name="표준 5 2 4 2 2 3 2 4 2 4" xfId="23750" xr:uid="{00000000-0005-0000-0000-00001F5A0000}"/>
    <cellStyle name="표준 5 2 4 2 2 3 2 4 2 5" xfId="27846" xr:uid="{00000000-0005-0000-0000-0000205A0000}"/>
    <cellStyle name="표준 5 2 4 2 2 3 2 4 2 6" xfId="36057" xr:uid="{00000000-0005-0000-0000-0000215A0000}"/>
    <cellStyle name="표준 5 2 4 2 2 3 2 4 2 7" xfId="44250" xr:uid="{00000000-0005-0000-0000-0000225A0000}"/>
    <cellStyle name="표준 5 2 4 2 2 3 2 4 3" xfId="9188" xr:uid="{00000000-0005-0000-0000-0000235A0000}"/>
    <cellStyle name="표준 5 2 4 2 2 3 2 4 3 2" xfId="29894" xr:uid="{00000000-0005-0000-0000-0000245A0000}"/>
    <cellStyle name="표준 5 2 4 2 2 3 2 4 3 3" xfId="38105" xr:uid="{00000000-0005-0000-0000-0000255A0000}"/>
    <cellStyle name="표준 5 2 4 2 2 3 2 4 3 4" xfId="46298" xr:uid="{00000000-0005-0000-0000-0000265A0000}"/>
    <cellStyle name="표준 5 2 4 2 2 3 2 4 4" xfId="13300" xr:uid="{00000000-0005-0000-0000-0000275A0000}"/>
    <cellStyle name="표준 5 2 4 2 2 3 2 4 5" xfId="17540" xr:uid="{00000000-0005-0000-0000-0000285A0000}"/>
    <cellStyle name="표준 5 2 4 2 2 3 2 4 6" xfId="21702" xr:uid="{00000000-0005-0000-0000-0000295A0000}"/>
    <cellStyle name="표준 5 2 4 2 2 3 2 4 7" xfId="25798" xr:uid="{00000000-0005-0000-0000-00002A5A0000}"/>
    <cellStyle name="표준 5 2 4 2 2 3 2 4 8" xfId="34009" xr:uid="{00000000-0005-0000-0000-00002B5A0000}"/>
    <cellStyle name="표준 5 2 4 2 2 3 2 4 9" xfId="42202" xr:uid="{00000000-0005-0000-0000-00002C5A0000}"/>
    <cellStyle name="표준 5 2 4 2 2 3 2 5" xfId="9700" xr:uid="{00000000-0005-0000-0000-00002D5A0000}"/>
    <cellStyle name="표준 5 2 4 2 2 3 2 5 2" xfId="13812" xr:uid="{00000000-0005-0000-0000-00002E5A0000}"/>
    <cellStyle name="표준 5 2 4 2 2 3 2 5 2 2" xfId="30406" xr:uid="{00000000-0005-0000-0000-00002F5A0000}"/>
    <cellStyle name="표준 5 2 4 2 2 3 2 5 2 3" xfId="38617" xr:uid="{00000000-0005-0000-0000-0000305A0000}"/>
    <cellStyle name="표준 5 2 4 2 2 3 2 5 2 4" xfId="46810" xr:uid="{00000000-0005-0000-0000-0000315A0000}"/>
    <cellStyle name="표준 5 2 4 2 2 3 2 5 3" xfId="18052" xr:uid="{00000000-0005-0000-0000-0000325A0000}"/>
    <cellStyle name="표준 5 2 4 2 2 3 2 5 4" xfId="22214" xr:uid="{00000000-0005-0000-0000-0000335A0000}"/>
    <cellStyle name="표준 5 2 4 2 2 3 2 5 5" xfId="26310" xr:uid="{00000000-0005-0000-0000-0000345A0000}"/>
    <cellStyle name="표준 5 2 4 2 2 3 2 5 6" xfId="34521" xr:uid="{00000000-0005-0000-0000-0000355A0000}"/>
    <cellStyle name="표준 5 2 4 2 2 3 2 5 7" xfId="42714" xr:uid="{00000000-0005-0000-0000-0000365A0000}"/>
    <cellStyle name="표준 5 2 4 2 2 3 2 6" xfId="7652" xr:uid="{00000000-0005-0000-0000-0000375A0000}"/>
    <cellStyle name="표준 5 2 4 2 2 3 2 6 2" xfId="28358" xr:uid="{00000000-0005-0000-0000-0000385A0000}"/>
    <cellStyle name="표준 5 2 4 2 2 3 2 6 3" xfId="36569" xr:uid="{00000000-0005-0000-0000-0000395A0000}"/>
    <cellStyle name="표준 5 2 4 2 2 3 2 6 4" xfId="44762" xr:uid="{00000000-0005-0000-0000-00003A5A0000}"/>
    <cellStyle name="표준 5 2 4 2 2 3 2 7" xfId="11764" xr:uid="{00000000-0005-0000-0000-00003B5A0000}"/>
    <cellStyle name="표준 5 2 4 2 2 3 2 8" xfId="16004" xr:uid="{00000000-0005-0000-0000-00003C5A0000}"/>
    <cellStyle name="표준 5 2 4 2 2 3 2 9" xfId="20166" xr:uid="{00000000-0005-0000-0000-00003D5A0000}"/>
    <cellStyle name="표준 5 2 4 2 2 3 3" xfId="1053" xr:uid="{00000000-0005-0000-0000-00003E5A0000}"/>
    <cellStyle name="표준 5 2 4 2 2 3 3 2" xfId="9956" xr:uid="{00000000-0005-0000-0000-00003F5A0000}"/>
    <cellStyle name="표준 5 2 4 2 2 3 3 2 2" xfId="14068" xr:uid="{00000000-0005-0000-0000-0000405A0000}"/>
    <cellStyle name="표준 5 2 4 2 2 3 3 2 2 2" xfId="30662" xr:uid="{00000000-0005-0000-0000-0000415A0000}"/>
    <cellStyle name="표준 5 2 4 2 2 3 3 2 2 3" xfId="38873" xr:uid="{00000000-0005-0000-0000-0000425A0000}"/>
    <cellStyle name="표준 5 2 4 2 2 3 3 2 2 4" xfId="47066" xr:uid="{00000000-0005-0000-0000-0000435A0000}"/>
    <cellStyle name="표준 5 2 4 2 2 3 3 2 3" xfId="18308" xr:uid="{00000000-0005-0000-0000-0000445A0000}"/>
    <cellStyle name="표준 5 2 4 2 2 3 3 2 4" xfId="22470" xr:uid="{00000000-0005-0000-0000-0000455A0000}"/>
    <cellStyle name="표준 5 2 4 2 2 3 3 2 5" xfId="26566" xr:uid="{00000000-0005-0000-0000-0000465A0000}"/>
    <cellStyle name="표준 5 2 4 2 2 3 3 2 6" xfId="34777" xr:uid="{00000000-0005-0000-0000-0000475A0000}"/>
    <cellStyle name="표준 5 2 4 2 2 3 3 2 7" xfId="42970" xr:uid="{00000000-0005-0000-0000-0000485A0000}"/>
    <cellStyle name="표준 5 2 4 2 2 3 3 3" xfId="7908" xr:uid="{00000000-0005-0000-0000-0000495A0000}"/>
    <cellStyle name="표준 5 2 4 2 2 3 3 3 2" xfId="28614" xr:uid="{00000000-0005-0000-0000-00004A5A0000}"/>
    <cellStyle name="표준 5 2 4 2 2 3 3 3 3" xfId="36825" xr:uid="{00000000-0005-0000-0000-00004B5A0000}"/>
    <cellStyle name="표준 5 2 4 2 2 3 3 3 4" xfId="45018" xr:uid="{00000000-0005-0000-0000-00004C5A0000}"/>
    <cellStyle name="표준 5 2 4 2 2 3 3 4" xfId="12020" xr:uid="{00000000-0005-0000-0000-00004D5A0000}"/>
    <cellStyle name="표준 5 2 4 2 2 3 3 5" xfId="16260" xr:uid="{00000000-0005-0000-0000-00004E5A0000}"/>
    <cellStyle name="표준 5 2 4 2 2 3 3 6" xfId="20422" xr:uid="{00000000-0005-0000-0000-00004F5A0000}"/>
    <cellStyle name="표준 5 2 4 2 2 3 3 7" xfId="24518" xr:uid="{00000000-0005-0000-0000-0000505A0000}"/>
    <cellStyle name="표준 5 2 4 2 2 3 3 8" xfId="32729" xr:uid="{00000000-0005-0000-0000-0000515A0000}"/>
    <cellStyle name="표준 5 2 4 2 2 3 3 9" xfId="40922" xr:uid="{00000000-0005-0000-0000-0000525A0000}"/>
    <cellStyle name="표준 5 2 4 2 2 3 4" xfId="1565" xr:uid="{00000000-0005-0000-0000-0000535A0000}"/>
    <cellStyle name="표준 5 2 4 2 2 3 4 2" xfId="10468" xr:uid="{00000000-0005-0000-0000-0000545A0000}"/>
    <cellStyle name="표준 5 2 4 2 2 3 4 2 2" xfId="14580" xr:uid="{00000000-0005-0000-0000-0000555A0000}"/>
    <cellStyle name="표준 5 2 4 2 2 3 4 2 2 2" xfId="31174" xr:uid="{00000000-0005-0000-0000-0000565A0000}"/>
    <cellStyle name="표준 5 2 4 2 2 3 4 2 2 3" xfId="39385" xr:uid="{00000000-0005-0000-0000-0000575A0000}"/>
    <cellStyle name="표준 5 2 4 2 2 3 4 2 2 4" xfId="47578" xr:uid="{00000000-0005-0000-0000-0000585A0000}"/>
    <cellStyle name="표준 5 2 4 2 2 3 4 2 3" xfId="18820" xr:uid="{00000000-0005-0000-0000-0000595A0000}"/>
    <cellStyle name="표준 5 2 4 2 2 3 4 2 4" xfId="22982" xr:uid="{00000000-0005-0000-0000-00005A5A0000}"/>
    <cellStyle name="표준 5 2 4 2 2 3 4 2 5" xfId="27078" xr:uid="{00000000-0005-0000-0000-00005B5A0000}"/>
    <cellStyle name="표준 5 2 4 2 2 3 4 2 6" xfId="35289" xr:uid="{00000000-0005-0000-0000-00005C5A0000}"/>
    <cellStyle name="표준 5 2 4 2 2 3 4 2 7" xfId="43482" xr:uid="{00000000-0005-0000-0000-00005D5A0000}"/>
    <cellStyle name="표준 5 2 4 2 2 3 4 3" xfId="8420" xr:uid="{00000000-0005-0000-0000-00005E5A0000}"/>
    <cellStyle name="표준 5 2 4 2 2 3 4 3 2" xfId="29126" xr:uid="{00000000-0005-0000-0000-00005F5A0000}"/>
    <cellStyle name="표준 5 2 4 2 2 3 4 3 3" xfId="37337" xr:uid="{00000000-0005-0000-0000-0000605A0000}"/>
    <cellStyle name="표준 5 2 4 2 2 3 4 3 4" xfId="45530" xr:uid="{00000000-0005-0000-0000-0000615A0000}"/>
    <cellStyle name="표준 5 2 4 2 2 3 4 4" xfId="12532" xr:uid="{00000000-0005-0000-0000-0000625A0000}"/>
    <cellStyle name="표준 5 2 4 2 2 3 4 5" xfId="16772" xr:uid="{00000000-0005-0000-0000-0000635A0000}"/>
    <cellStyle name="표준 5 2 4 2 2 3 4 6" xfId="20934" xr:uid="{00000000-0005-0000-0000-0000645A0000}"/>
    <cellStyle name="표준 5 2 4 2 2 3 4 7" xfId="25030" xr:uid="{00000000-0005-0000-0000-0000655A0000}"/>
    <cellStyle name="표준 5 2 4 2 2 3 4 8" xfId="33241" xr:uid="{00000000-0005-0000-0000-0000665A0000}"/>
    <cellStyle name="표준 5 2 4 2 2 3 4 9" xfId="41434" xr:uid="{00000000-0005-0000-0000-0000675A0000}"/>
    <cellStyle name="표준 5 2 4 2 2 3 5" xfId="2077" xr:uid="{00000000-0005-0000-0000-0000685A0000}"/>
    <cellStyle name="표준 5 2 4 2 2 3 5 2" xfId="10980" xr:uid="{00000000-0005-0000-0000-0000695A0000}"/>
    <cellStyle name="표준 5 2 4 2 2 3 5 2 2" xfId="15092" xr:uid="{00000000-0005-0000-0000-00006A5A0000}"/>
    <cellStyle name="표준 5 2 4 2 2 3 5 2 2 2" xfId="31686" xr:uid="{00000000-0005-0000-0000-00006B5A0000}"/>
    <cellStyle name="표준 5 2 4 2 2 3 5 2 2 3" xfId="39897" xr:uid="{00000000-0005-0000-0000-00006C5A0000}"/>
    <cellStyle name="표준 5 2 4 2 2 3 5 2 2 4" xfId="48090" xr:uid="{00000000-0005-0000-0000-00006D5A0000}"/>
    <cellStyle name="표준 5 2 4 2 2 3 5 2 3" xfId="19332" xr:uid="{00000000-0005-0000-0000-00006E5A0000}"/>
    <cellStyle name="표준 5 2 4 2 2 3 5 2 4" xfId="23494" xr:uid="{00000000-0005-0000-0000-00006F5A0000}"/>
    <cellStyle name="표준 5 2 4 2 2 3 5 2 5" xfId="27590" xr:uid="{00000000-0005-0000-0000-0000705A0000}"/>
    <cellStyle name="표준 5 2 4 2 2 3 5 2 6" xfId="35801" xr:uid="{00000000-0005-0000-0000-0000715A0000}"/>
    <cellStyle name="표준 5 2 4 2 2 3 5 2 7" xfId="43994" xr:uid="{00000000-0005-0000-0000-0000725A0000}"/>
    <cellStyle name="표준 5 2 4 2 2 3 5 3" xfId="8932" xr:uid="{00000000-0005-0000-0000-0000735A0000}"/>
    <cellStyle name="표준 5 2 4 2 2 3 5 3 2" xfId="29638" xr:uid="{00000000-0005-0000-0000-0000745A0000}"/>
    <cellStyle name="표준 5 2 4 2 2 3 5 3 3" xfId="37849" xr:uid="{00000000-0005-0000-0000-0000755A0000}"/>
    <cellStyle name="표준 5 2 4 2 2 3 5 3 4" xfId="46042" xr:uid="{00000000-0005-0000-0000-0000765A0000}"/>
    <cellStyle name="표준 5 2 4 2 2 3 5 4" xfId="13044" xr:uid="{00000000-0005-0000-0000-0000775A0000}"/>
    <cellStyle name="표준 5 2 4 2 2 3 5 5" xfId="17284" xr:uid="{00000000-0005-0000-0000-0000785A0000}"/>
    <cellStyle name="표준 5 2 4 2 2 3 5 6" xfId="21446" xr:uid="{00000000-0005-0000-0000-0000795A0000}"/>
    <cellStyle name="표준 5 2 4 2 2 3 5 7" xfId="25542" xr:uid="{00000000-0005-0000-0000-00007A5A0000}"/>
    <cellStyle name="표준 5 2 4 2 2 3 5 8" xfId="33753" xr:uid="{00000000-0005-0000-0000-00007B5A0000}"/>
    <cellStyle name="표준 5 2 4 2 2 3 5 9" xfId="41946" xr:uid="{00000000-0005-0000-0000-00007C5A0000}"/>
    <cellStyle name="표준 5 2 4 2 2 3 6" xfId="9444" xr:uid="{00000000-0005-0000-0000-00007D5A0000}"/>
    <cellStyle name="표준 5 2 4 2 2 3 6 2" xfId="13556" xr:uid="{00000000-0005-0000-0000-00007E5A0000}"/>
    <cellStyle name="표준 5 2 4 2 2 3 6 2 2" xfId="30150" xr:uid="{00000000-0005-0000-0000-00007F5A0000}"/>
    <cellStyle name="표준 5 2 4 2 2 3 6 2 3" xfId="38361" xr:uid="{00000000-0005-0000-0000-0000805A0000}"/>
    <cellStyle name="표준 5 2 4 2 2 3 6 2 4" xfId="46554" xr:uid="{00000000-0005-0000-0000-0000815A0000}"/>
    <cellStyle name="표준 5 2 4 2 2 3 6 3" xfId="17796" xr:uid="{00000000-0005-0000-0000-0000825A0000}"/>
    <cellStyle name="표준 5 2 4 2 2 3 6 4" xfId="21958" xr:uid="{00000000-0005-0000-0000-0000835A0000}"/>
    <cellStyle name="표준 5 2 4 2 2 3 6 5" xfId="26054" xr:uid="{00000000-0005-0000-0000-0000845A0000}"/>
    <cellStyle name="표준 5 2 4 2 2 3 6 6" xfId="34265" xr:uid="{00000000-0005-0000-0000-0000855A0000}"/>
    <cellStyle name="표준 5 2 4 2 2 3 6 7" xfId="42458" xr:uid="{00000000-0005-0000-0000-0000865A0000}"/>
    <cellStyle name="표준 5 2 4 2 2 3 7" xfId="7396" xr:uid="{00000000-0005-0000-0000-0000875A0000}"/>
    <cellStyle name="표준 5 2 4 2 2 3 7 2" xfId="28102" xr:uid="{00000000-0005-0000-0000-0000885A0000}"/>
    <cellStyle name="표준 5 2 4 2 2 3 7 3" xfId="36313" xr:uid="{00000000-0005-0000-0000-0000895A0000}"/>
    <cellStyle name="표준 5 2 4 2 2 3 7 4" xfId="44506" xr:uid="{00000000-0005-0000-0000-00008A5A0000}"/>
    <cellStyle name="표준 5 2 4 2 2 3 8" xfId="11508" xr:uid="{00000000-0005-0000-0000-00008B5A0000}"/>
    <cellStyle name="표준 5 2 4 2 2 3 9" xfId="15748" xr:uid="{00000000-0005-0000-0000-00008C5A0000}"/>
    <cellStyle name="표준 5 2 4 2 2 4" xfId="669" xr:uid="{00000000-0005-0000-0000-00008D5A0000}"/>
    <cellStyle name="표준 5 2 4 2 2 4 10" xfId="24134" xr:uid="{00000000-0005-0000-0000-00008E5A0000}"/>
    <cellStyle name="표준 5 2 4 2 2 4 11" xfId="32345" xr:uid="{00000000-0005-0000-0000-00008F5A0000}"/>
    <cellStyle name="표준 5 2 4 2 2 4 12" xfId="40538" xr:uid="{00000000-0005-0000-0000-0000905A0000}"/>
    <cellStyle name="표준 5 2 4 2 2 4 2" xfId="1181" xr:uid="{00000000-0005-0000-0000-0000915A0000}"/>
    <cellStyle name="표준 5 2 4 2 2 4 2 2" xfId="10084" xr:uid="{00000000-0005-0000-0000-0000925A0000}"/>
    <cellStyle name="표준 5 2 4 2 2 4 2 2 2" xfId="14196" xr:uid="{00000000-0005-0000-0000-0000935A0000}"/>
    <cellStyle name="표준 5 2 4 2 2 4 2 2 2 2" xfId="30790" xr:uid="{00000000-0005-0000-0000-0000945A0000}"/>
    <cellStyle name="표준 5 2 4 2 2 4 2 2 2 3" xfId="39001" xr:uid="{00000000-0005-0000-0000-0000955A0000}"/>
    <cellStyle name="표준 5 2 4 2 2 4 2 2 2 4" xfId="47194" xr:uid="{00000000-0005-0000-0000-0000965A0000}"/>
    <cellStyle name="표준 5 2 4 2 2 4 2 2 3" xfId="18436" xr:uid="{00000000-0005-0000-0000-0000975A0000}"/>
    <cellStyle name="표준 5 2 4 2 2 4 2 2 4" xfId="22598" xr:uid="{00000000-0005-0000-0000-0000985A0000}"/>
    <cellStyle name="표준 5 2 4 2 2 4 2 2 5" xfId="26694" xr:uid="{00000000-0005-0000-0000-0000995A0000}"/>
    <cellStyle name="표준 5 2 4 2 2 4 2 2 6" xfId="34905" xr:uid="{00000000-0005-0000-0000-00009A5A0000}"/>
    <cellStyle name="표준 5 2 4 2 2 4 2 2 7" xfId="43098" xr:uid="{00000000-0005-0000-0000-00009B5A0000}"/>
    <cellStyle name="표준 5 2 4 2 2 4 2 3" xfId="8036" xr:uid="{00000000-0005-0000-0000-00009C5A0000}"/>
    <cellStyle name="표준 5 2 4 2 2 4 2 3 2" xfId="28742" xr:uid="{00000000-0005-0000-0000-00009D5A0000}"/>
    <cellStyle name="표준 5 2 4 2 2 4 2 3 3" xfId="36953" xr:uid="{00000000-0005-0000-0000-00009E5A0000}"/>
    <cellStyle name="표준 5 2 4 2 2 4 2 3 4" xfId="45146" xr:uid="{00000000-0005-0000-0000-00009F5A0000}"/>
    <cellStyle name="표준 5 2 4 2 2 4 2 4" xfId="12148" xr:uid="{00000000-0005-0000-0000-0000A05A0000}"/>
    <cellStyle name="표준 5 2 4 2 2 4 2 5" xfId="16388" xr:uid="{00000000-0005-0000-0000-0000A15A0000}"/>
    <cellStyle name="표준 5 2 4 2 2 4 2 6" xfId="20550" xr:uid="{00000000-0005-0000-0000-0000A25A0000}"/>
    <cellStyle name="표준 5 2 4 2 2 4 2 7" xfId="24646" xr:uid="{00000000-0005-0000-0000-0000A35A0000}"/>
    <cellStyle name="표준 5 2 4 2 2 4 2 8" xfId="32857" xr:uid="{00000000-0005-0000-0000-0000A45A0000}"/>
    <cellStyle name="표준 5 2 4 2 2 4 2 9" xfId="41050" xr:uid="{00000000-0005-0000-0000-0000A55A0000}"/>
    <cellStyle name="표준 5 2 4 2 2 4 3" xfId="1693" xr:uid="{00000000-0005-0000-0000-0000A65A0000}"/>
    <cellStyle name="표준 5 2 4 2 2 4 3 2" xfId="10596" xr:uid="{00000000-0005-0000-0000-0000A75A0000}"/>
    <cellStyle name="표준 5 2 4 2 2 4 3 2 2" xfId="14708" xr:uid="{00000000-0005-0000-0000-0000A85A0000}"/>
    <cellStyle name="표준 5 2 4 2 2 4 3 2 2 2" xfId="31302" xr:uid="{00000000-0005-0000-0000-0000A95A0000}"/>
    <cellStyle name="표준 5 2 4 2 2 4 3 2 2 3" xfId="39513" xr:uid="{00000000-0005-0000-0000-0000AA5A0000}"/>
    <cellStyle name="표준 5 2 4 2 2 4 3 2 2 4" xfId="47706" xr:uid="{00000000-0005-0000-0000-0000AB5A0000}"/>
    <cellStyle name="표준 5 2 4 2 2 4 3 2 3" xfId="18948" xr:uid="{00000000-0005-0000-0000-0000AC5A0000}"/>
    <cellStyle name="표준 5 2 4 2 2 4 3 2 4" xfId="23110" xr:uid="{00000000-0005-0000-0000-0000AD5A0000}"/>
    <cellStyle name="표준 5 2 4 2 2 4 3 2 5" xfId="27206" xr:uid="{00000000-0005-0000-0000-0000AE5A0000}"/>
    <cellStyle name="표준 5 2 4 2 2 4 3 2 6" xfId="35417" xr:uid="{00000000-0005-0000-0000-0000AF5A0000}"/>
    <cellStyle name="표준 5 2 4 2 2 4 3 2 7" xfId="43610" xr:uid="{00000000-0005-0000-0000-0000B05A0000}"/>
    <cellStyle name="표준 5 2 4 2 2 4 3 3" xfId="8548" xr:uid="{00000000-0005-0000-0000-0000B15A0000}"/>
    <cellStyle name="표준 5 2 4 2 2 4 3 3 2" xfId="29254" xr:uid="{00000000-0005-0000-0000-0000B25A0000}"/>
    <cellStyle name="표준 5 2 4 2 2 4 3 3 3" xfId="37465" xr:uid="{00000000-0005-0000-0000-0000B35A0000}"/>
    <cellStyle name="표준 5 2 4 2 2 4 3 3 4" xfId="45658" xr:uid="{00000000-0005-0000-0000-0000B45A0000}"/>
    <cellStyle name="표준 5 2 4 2 2 4 3 4" xfId="12660" xr:uid="{00000000-0005-0000-0000-0000B55A0000}"/>
    <cellStyle name="표준 5 2 4 2 2 4 3 5" xfId="16900" xr:uid="{00000000-0005-0000-0000-0000B65A0000}"/>
    <cellStyle name="표준 5 2 4 2 2 4 3 6" xfId="21062" xr:uid="{00000000-0005-0000-0000-0000B75A0000}"/>
    <cellStyle name="표준 5 2 4 2 2 4 3 7" xfId="25158" xr:uid="{00000000-0005-0000-0000-0000B85A0000}"/>
    <cellStyle name="표준 5 2 4 2 2 4 3 8" xfId="33369" xr:uid="{00000000-0005-0000-0000-0000B95A0000}"/>
    <cellStyle name="표준 5 2 4 2 2 4 3 9" xfId="41562" xr:uid="{00000000-0005-0000-0000-0000BA5A0000}"/>
    <cellStyle name="표준 5 2 4 2 2 4 4" xfId="2205" xr:uid="{00000000-0005-0000-0000-0000BB5A0000}"/>
    <cellStyle name="표준 5 2 4 2 2 4 4 2" xfId="11108" xr:uid="{00000000-0005-0000-0000-0000BC5A0000}"/>
    <cellStyle name="표준 5 2 4 2 2 4 4 2 2" xfId="15220" xr:uid="{00000000-0005-0000-0000-0000BD5A0000}"/>
    <cellStyle name="표준 5 2 4 2 2 4 4 2 2 2" xfId="31814" xr:uid="{00000000-0005-0000-0000-0000BE5A0000}"/>
    <cellStyle name="표준 5 2 4 2 2 4 4 2 2 3" xfId="40025" xr:uid="{00000000-0005-0000-0000-0000BF5A0000}"/>
    <cellStyle name="표준 5 2 4 2 2 4 4 2 2 4" xfId="48218" xr:uid="{00000000-0005-0000-0000-0000C05A0000}"/>
    <cellStyle name="표준 5 2 4 2 2 4 4 2 3" xfId="19460" xr:uid="{00000000-0005-0000-0000-0000C15A0000}"/>
    <cellStyle name="표준 5 2 4 2 2 4 4 2 4" xfId="23622" xr:uid="{00000000-0005-0000-0000-0000C25A0000}"/>
    <cellStyle name="표준 5 2 4 2 2 4 4 2 5" xfId="27718" xr:uid="{00000000-0005-0000-0000-0000C35A0000}"/>
    <cellStyle name="표준 5 2 4 2 2 4 4 2 6" xfId="35929" xr:uid="{00000000-0005-0000-0000-0000C45A0000}"/>
    <cellStyle name="표준 5 2 4 2 2 4 4 2 7" xfId="44122" xr:uid="{00000000-0005-0000-0000-0000C55A0000}"/>
    <cellStyle name="표준 5 2 4 2 2 4 4 3" xfId="9060" xr:uid="{00000000-0005-0000-0000-0000C65A0000}"/>
    <cellStyle name="표준 5 2 4 2 2 4 4 3 2" xfId="29766" xr:uid="{00000000-0005-0000-0000-0000C75A0000}"/>
    <cellStyle name="표준 5 2 4 2 2 4 4 3 3" xfId="37977" xr:uid="{00000000-0005-0000-0000-0000C85A0000}"/>
    <cellStyle name="표준 5 2 4 2 2 4 4 3 4" xfId="46170" xr:uid="{00000000-0005-0000-0000-0000C95A0000}"/>
    <cellStyle name="표준 5 2 4 2 2 4 4 4" xfId="13172" xr:uid="{00000000-0005-0000-0000-0000CA5A0000}"/>
    <cellStyle name="표준 5 2 4 2 2 4 4 5" xfId="17412" xr:uid="{00000000-0005-0000-0000-0000CB5A0000}"/>
    <cellStyle name="표준 5 2 4 2 2 4 4 6" xfId="21574" xr:uid="{00000000-0005-0000-0000-0000CC5A0000}"/>
    <cellStyle name="표준 5 2 4 2 2 4 4 7" xfId="25670" xr:uid="{00000000-0005-0000-0000-0000CD5A0000}"/>
    <cellStyle name="표준 5 2 4 2 2 4 4 8" xfId="33881" xr:uid="{00000000-0005-0000-0000-0000CE5A0000}"/>
    <cellStyle name="표준 5 2 4 2 2 4 4 9" xfId="42074" xr:uid="{00000000-0005-0000-0000-0000CF5A0000}"/>
    <cellStyle name="표준 5 2 4 2 2 4 5" xfId="9572" xr:uid="{00000000-0005-0000-0000-0000D05A0000}"/>
    <cellStyle name="표준 5 2 4 2 2 4 5 2" xfId="13684" xr:uid="{00000000-0005-0000-0000-0000D15A0000}"/>
    <cellStyle name="표준 5 2 4 2 2 4 5 2 2" xfId="30278" xr:uid="{00000000-0005-0000-0000-0000D25A0000}"/>
    <cellStyle name="표준 5 2 4 2 2 4 5 2 3" xfId="38489" xr:uid="{00000000-0005-0000-0000-0000D35A0000}"/>
    <cellStyle name="표준 5 2 4 2 2 4 5 2 4" xfId="46682" xr:uid="{00000000-0005-0000-0000-0000D45A0000}"/>
    <cellStyle name="표준 5 2 4 2 2 4 5 3" xfId="17924" xr:uid="{00000000-0005-0000-0000-0000D55A0000}"/>
    <cellStyle name="표준 5 2 4 2 2 4 5 4" xfId="22086" xr:uid="{00000000-0005-0000-0000-0000D65A0000}"/>
    <cellStyle name="표준 5 2 4 2 2 4 5 5" xfId="26182" xr:uid="{00000000-0005-0000-0000-0000D75A0000}"/>
    <cellStyle name="표준 5 2 4 2 2 4 5 6" xfId="34393" xr:uid="{00000000-0005-0000-0000-0000D85A0000}"/>
    <cellStyle name="표준 5 2 4 2 2 4 5 7" xfId="42586" xr:uid="{00000000-0005-0000-0000-0000D95A0000}"/>
    <cellStyle name="표준 5 2 4 2 2 4 6" xfId="7524" xr:uid="{00000000-0005-0000-0000-0000DA5A0000}"/>
    <cellStyle name="표준 5 2 4 2 2 4 6 2" xfId="28230" xr:uid="{00000000-0005-0000-0000-0000DB5A0000}"/>
    <cellStyle name="표준 5 2 4 2 2 4 6 3" xfId="36441" xr:uid="{00000000-0005-0000-0000-0000DC5A0000}"/>
    <cellStyle name="표준 5 2 4 2 2 4 6 4" xfId="44634" xr:uid="{00000000-0005-0000-0000-0000DD5A0000}"/>
    <cellStyle name="표준 5 2 4 2 2 4 7" xfId="11636" xr:uid="{00000000-0005-0000-0000-0000DE5A0000}"/>
    <cellStyle name="표준 5 2 4 2 2 4 8" xfId="15876" xr:uid="{00000000-0005-0000-0000-0000DF5A0000}"/>
    <cellStyle name="표준 5 2 4 2 2 4 9" xfId="20038" xr:uid="{00000000-0005-0000-0000-0000E05A0000}"/>
    <cellStyle name="표준 5 2 4 2 2 5" xfId="925" xr:uid="{00000000-0005-0000-0000-0000E15A0000}"/>
    <cellStyle name="표준 5 2 4 2 2 5 2" xfId="9828" xr:uid="{00000000-0005-0000-0000-0000E25A0000}"/>
    <cellStyle name="표준 5 2 4 2 2 5 2 2" xfId="13940" xr:uid="{00000000-0005-0000-0000-0000E35A0000}"/>
    <cellStyle name="표준 5 2 4 2 2 5 2 2 2" xfId="30534" xr:uid="{00000000-0005-0000-0000-0000E45A0000}"/>
    <cellStyle name="표준 5 2 4 2 2 5 2 2 3" xfId="38745" xr:uid="{00000000-0005-0000-0000-0000E55A0000}"/>
    <cellStyle name="표준 5 2 4 2 2 5 2 2 4" xfId="46938" xr:uid="{00000000-0005-0000-0000-0000E65A0000}"/>
    <cellStyle name="표준 5 2 4 2 2 5 2 3" xfId="18180" xr:uid="{00000000-0005-0000-0000-0000E75A0000}"/>
    <cellStyle name="표준 5 2 4 2 2 5 2 4" xfId="22342" xr:uid="{00000000-0005-0000-0000-0000E85A0000}"/>
    <cellStyle name="표준 5 2 4 2 2 5 2 5" xfId="26438" xr:uid="{00000000-0005-0000-0000-0000E95A0000}"/>
    <cellStyle name="표준 5 2 4 2 2 5 2 6" xfId="34649" xr:uid="{00000000-0005-0000-0000-0000EA5A0000}"/>
    <cellStyle name="표준 5 2 4 2 2 5 2 7" xfId="42842" xr:uid="{00000000-0005-0000-0000-0000EB5A0000}"/>
    <cellStyle name="표준 5 2 4 2 2 5 3" xfId="7780" xr:uid="{00000000-0005-0000-0000-0000EC5A0000}"/>
    <cellStyle name="표준 5 2 4 2 2 5 3 2" xfId="28486" xr:uid="{00000000-0005-0000-0000-0000ED5A0000}"/>
    <cellStyle name="표준 5 2 4 2 2 5 3 3" xfId="36697" xr:uid="{00000000-0005-0000-0000-0000EE5A0000}"/>
    <cellStyle name="표준 5 2 4 2 2 5 3 4" xfId="44890" xr:uid="{00000000-0005-0000-0000-0000EF5A0000}"/>
    <cellStyle name="표준 5 2 4 2 2 5 4" xfId="11892" xr:uid="{00000000-0005-0000-0000-0000F05A0000}"/>
    <cellStyle name="표준 5 2 4 2 2 5 5" xfId="16132" xr:uid="{00000000-0005-0000-0000-0000F15A0000}"/>
    <cellStyle name="표준 5 2 4 2 2 5 6" xfId="20294" xr:uid="{00000000-0005-0000-0000-0000F25A0000}"/>
    <cellStyle name="표준 5 2 4 2 2 5 7" xfId="24390" xr:uid="{00000000-0005-0000-0000-0000F35A0000}"/>
    <cellStyle name="표준 5 2 4 2 2 5 8" xfId="32601" xr:uid="{00000000-0005-0000-0000-0000F45A0000}"/>
    <cellStyle name="표준 5 2 4 2 2 5 9" xfId="40794" xr:uid="{00000000-0005-0000-0000-0000F55A0000}"/>
    <cellStyle name="표준 5 2 4 2 2 6" xfId="1437" xr:uid="{00000000-0005-0000-0000-0000F65A0000}"/>
    <cellStyle name="표준 5 2 4 2 2 6 2" xfId="10340" xr:uid="{00000000-0005-0000-0000-0000F75A0000}"/>
    <cellStyle name="표준 5 2 4 2 2 6 2 2" xfId="14452" xr:uid="{00000000-0005-0000-0000-0000F85A0000}"/>
    <cellStyle name="표준 5 2 4 2 2 6 2 2 2" xfId="31046" xr:uid="{00000000-0005-0000-0000-0000F95A0000}"/>
    <cellStyle name="표준 5 2 4 2 2 6 2 2 3" xfId="39257" xr:uid="{00000000-0005-0000-0000-0000FA5A0000}"/>
    <cellStyle name="표준 5 2 4 2 2 6 2 2 4" xfId="47450" xr:uid="{00000000-0005-0000-0000-0000FB5A0000}"/>
    <cellStyle name="표준 5 2 4 2 2 6 2 3" xfId="18692" xr:uid="{00000000-0005-0000-0000-0000FC5A0000}"/>
    <cellStyle name="표준 5 2 4 2 2 6 2 4" xfId="22854" xr:uid="{00000000-0005-0000-0000-0000FD5A0000}"/>
    <cellStyle name="표준 5 2 4 2 2 6 2 5" xfId="26950" xr:uid="{00000000-0005-0000-0000-0000FE5A0000}"/>
    <cellStyle name="표준 5 2 4 2 2 6 2 6" xfId="35161" xr:uid="{00000000-0005-0000-0000-0000FF5A0000}"/>
    <cellStyle name="표준 5 2 4 2 2 6 2 7" xfId="43354" xr:uid="{00000000-0005-0000-0000-0000005B0000}"/>
    <cellStyle name="표준 5 2 4 2 2 6 3" xfId="8292" xr:uid="{00000000-0005-0000-0000-0000015B0000}"/>
    <cellStyle name="표준 5 2 4 2 2 6 3 2" xfId="28998" xr:uid="{00000000-0005-0000-0000-0000025B0000}"/>
    <cellStyle name="표준 5 2 4 2 2 6 3 3" xfId="37209" xr:uid="{00000000-0005-0000-0000-0000035B0000}"/>
    <cellStyle name="표준 5 2 4 2 2 6 3 4" xfId="45402" xr:uid="{00000000-0005-0000-0000-0000045B0000}"/>
    <cellStyle name="표준 5 2 4 2 2 6 4" xfId="12404" xr:uid="{00000000-0005-0000-0000-0000055B0000}"/>
    <cellStyle name="표준 5 2 4 2 2 6 5" xfId="16644" xr:uid="{00000000-0005-0000-0000-0000065B0000}"/>
    <cellStyle name="표준 5 2 4 2 2 6 6" xfId="20806" xr:uid="{00000000-0005-0000-0000-0000075B0000}"/>
    <cellStyle name="표준 5 2 4 2 2 6 7" xfId="24902" xr:uid="{00000000-0005-0000-0000-0000085B0000}"/>
    <cellStyle name="표준 5 2 4 2 2 6 8" xfId="33113" xr:uid="{00000000-0005-0000-0000-0000095B0000}"/>
    <cellStyle name="표준 5 2 4 2 2 6 9" xfId="41306" xr:uid="{00000000-0005-0000-0000-00000A5B0000}"/>
    <cellStyle name="표준 5 2 4 2 2 7" xfId="1949" xr:uid="{00000000-0005-0000-0000-00000B5B0000}"/>
    <cellStyle name="표준 5 2 4 2 2 7 2" xfId="10852" xr:uid="{00000000-0005-0000-0000-00000C5B0000}"/>
    <cellStyle name="표준 5 2 4 2 2 7 2 2" xfId="14964" xr:uid="{00000000-0005-0000-0000-00000D5B0000}"/>
    <cellStyle name="표준 5 2 4 2 2 7 2 2 2" xfId="31558" xr:uid="{00000000-0005-0000-0000-00000E5B0000}"/>
    <cellStyle name="표준 5 2 4 2 2 7 2 2 3" xfId="39769" xr:uid="{00000000-0005-0000-0000-00000F5B0000}"/>
    <cellStyle name="표준 5 2 4 2 2 7 2 2 4" xfId="47962" xr:uid="{00000000-0005-0000-0000-0000105B0000}"/>
    <cellStyle name="표준 5 2 4 2 2 7 2 3" xfId="19204" xr:uid="{00000000-0005-0000-0000-0000115B0000}"/>
    <cellStyle name="표준 5 2 4 2 2 7 2 4" xfId="23366" xr:uid="{00000000-0005-0000-0000-0000125B0000}"/>
    <cellStyle name="표준 5 2 4 2 2 7 2 5" xfId="27462" xr:uid="{00000000-0005-0000-0000-0000135B0000}"/>
    <cellStyle name="표준 5 2 4 2 2 7 2 6" xfId="35673" xr:uid="{00000000-0005-0000-0000-0000145B0000}"/>
    <cellStyle name="표준 5 2 4 2 2 7 2 7" xfId="43866" xr:uid="{00000000-0005-0000-0000-0000155B0000}"/>
    <cellStyle name="표준 5 2 4 2 2 7 3" xfId="8804" xr:uid="{00000000-0005-0000-0000-0000165B0000}"/>
    <cellStyle name="표준 5 2 4 2 2 7 3 2" xfId="29510" xr:uid="{00000000-0005-0000-0000-0000175B0000}"/>
    <cellStyle name="표준 5 2 4 2 2 7 3 3" xfId="37721" xr:uid="{00000000-0005-0000-0000-0000185B0000}"/>
    <cellStyle name="표준 5 2 4 2 2 7 3 4" xfId="45914" xr:uid="{00000000-0005-0000-0000-0000195B0000}"/>
    <cellStyle name="표준 5 2 4 2 2 7 4" xfId="12916" xr:uid="{00000000-0005-0000-0000-00001A5B0000}"/>
    <cellStyle name="표준 5 2 4 2 2 7 5" xfId="17156" xr:uid="{00000000-0005-0000-0000-00001B5B0000}"/>
    <cellStyle name="표준 5 2 4 2 2 7 6" xfId="21318" xr:uid="{00000000-0005-0000-0000-00001C5B0000}"/>
    <cellStyle name="표준 5 2 4 2 2 7 7" xfId="25414" xr:uid="{00000000-0005-0000-0000-00001D5B0000}"/>
    <cellStyle name="표준 5 2 4 2 2 7 8" xfId="33625" xr:uid="{00000000-0005-0000-0000-00001E5B0000}"/>
    <cellStyle name="표준 5 2 4 2 2 7 9" xfId="41818" xr:uid="{00000000-0005-0000-0000-00001F5B0000}"/>
    <cellStyle name="표준 5 2 4 2 2 8" xfId="7041" xr:uid="{00000000-0005-0000-0000-0000205B0000}"/>
    <cellStyle name="표준 5 2 4 2 2 8 2" xfId="9316" xr:uid="{00000000-0005-0000-0000-0000215B0000}"/>
    <cellStyle name="표준 5 2 4 2 2 8 2 2" xfId="30022" xr:uid="{00000000-0005-0000-0000-0000225B0000}"/>
    <cellStyle name="표준 5 2 4 2 2 8 2 3" xfId="38233" xr:uid="{00000000-0005-0000-0000-0000235B0000}"/>
    <cellStyle name="표준 5 2 4 2 2 8 2 4" xfId="46426" xr:uid="{00000000-0005-0000-0000-0000245B0000}"/>
    <cellStyle name="표준 5 2 4 2 2 8 3" xfId="13428" xr:uid="{00000000-0005-0000-0000-0000255B0000}"/>
    <cellStyle name="표준 5 2 4 2 2 8 4" xfId="17668" xr:uid="{00000000-0005-0000-0000-0000265B0000}"/>
    <cellStyle name="표준 5 2 4 2 2 8 5" xfId="21830" xr:uid="{00000000-0005-0000-0000-0000275B0000}"/>
    <cellStyle name="표준 5 2 4 2 2 8 6" xfId="25926" xr:uid="{00000000-0005-0000-0000-0000285B0000}"/>
    <cellStyle name="표준 5 2 4 2 2 8 7" xfId="34137" xr:uid="{00000000-0005-0000-0000-0000295B0000}"/>
    <cellStyle name="표준 5 2 4 2 2 8 8" xfId="42330" xr:uid="{00000000-0005-0000-0000-00002A5B0000}"/>
    <cellStyle name="표준 5 2 4 2 2 9" xfId="7137" xr:uid="{00000000-0005-0000-0000-00002B5B0000}"/>
    <cellStyle name="표준 5 2 4 2 2 9 2" xfId="27974" xr:uid="{00000000-0005-0000-0000-00002C5B0000}"/>
    <cellStyle name="표준 5 2 4 2 2 9 3" xfId="36185" xr:uid="{00000000-0005-0000-0000-00002D5B0000}"/>
    <cellStyle name="표준 5 2 4 2 2 9 4" xfId="44378" xr:uid="{00000000-0005-0000-0000-00002E5B0000}"/>
    <cellStyle name="표준 5 2 4 2 3" xfId="445" xr:uid="{00000000-0005-0000-0000-00002F5B0000}"/>
    <cellStyle name="표준 5 2 4 2 3 10" xfId="15652" xr:uid="{00000000-0005-0000-0000-0000305B0000}"/>
    <cellStyle name="표준 5 2 4 2 3 11" xfId="19814" xr:uid="{00000000-0005-0000-0000-0000315B0000}"/>
    <cellStyle name="표준 5 2 4 2 3 12" xfId="23910" xr:uid="{00000000-0005-0000-0000-0000325B0000}"/>
    <cellStyle name="표준 5 2 4 2 3 13" xfId="32121" xr:uid="{00000000-0005-0000-0000-0000335B0000}"/>
    <cellStyle name="표준 5 2 4 2 3 14" xfId="40314" xr:uid="{00000000-0005-0000-0000-0000345B0000}"/>
    <cellStyle name="표준 5 2 4 2 3 2" xfId="573" xr:uid="{00000000-0005-0000-0000-0000355B0000}"/>
    <cellStyle name="표준 5 2 4 2 3 2 10" xfId="19942" xr:uid="{00000000-0005-0000-0000-0000365B0000}"/>
    <cellStyle name="표준 5 2 4 2 3 2 11" xfId="24038" xr:uid="{00000000-0005-0000-0000-0000375B0000}"/>
    <cellStyle name="표준 5 2 4 2 3 2 12" xfId="32249" xr:uid="{00000000-0005-0000-0000-0000385B0000}"/>
    <cellStyle name="표준 5 2 4 2 3 2 13" xfId="40442" xr:uid="{00000000-0005-0000-0000-0000395B0000}"/>
    <cellStyle name="표준 5 2 4 2 3 2 2" xfId="829" xr:uid="{00000000-0005-0000-0000-00003A5B0000}"/>
    <cellStyle name="표준 5 2 4 2 3 2 2 10" xfId="24294" xr:uid="{00000000-0005-0000-0000-00003B5B0000}"/>
    <cellStyle name="표준 5 2 4 2 3 2 2 11" xfId="32505" xr:uid="{00000000-0005-0000-0000-00003C5B0000}"/>
    <cellStyle name="표준 5 2 4 2 3 2 2 12" xfId="40698" xr:uid="{00000000-0005-0000-0000-00003D5B0000}"/>
    <cellStyle name="표준 5 2 4 2 3 2 2 2" xfId="1341" xr:uid="{00000000-0005-0000-0000-00003E5B0000}"/>
    <cellStyle name="표준 5 2 4 2 3 2 2 2 2" xfId="10244" xr:uid="{00000000-0005-0000-0000-00003F5B0000}"/>
    <cellStyle name="표준 5 2 4 2 3 2 2 2 2 2" xfId="14356" xr:uid="{00000000-0005-0000-0000-0000405B0000}"/>
    <cellStyle name="표준 5 2 4 2 3 2 2 2 2 2 2" xfId="30950" xr:uid="{00000000-0005-0000-0000-0000415B0000}"/>
    <cellStyle name="표준 5 2 4 2 3 2 2 2 2 2 3" xfId="39161" xr:uid="{00000000-0005-0000-0000-0000425B0000}"/>
    <cellStyle name="표준 5 2 4 2 3 2 2 2 2 2 4" xfId="47354" xr:uid="{00000000-0005-0000-0000-0000435B0000}"/>
    <cellStyle name="표준 5 2 4 2 3 2 2 2 2 3" xfId="18596" xr:uid="{00000000-0005-0000-0000-0000445B0000}"/>
    <cellStyle name="표준 5 2 4 2 3 2 2 2 2 4" xfId="22758" xr:uid="{00000000-0005-0000-0000-0000455B0000}"/>
    <cellStyle name="표준 5 2 4 2 3 2 2 2 2 5" xfId="26854" xr:uid="{00000000-0005-0000-0000-0000465B0000}"/>
    <cellStyle name="표준 5 2 4 2 3 2 2 2 2 6" xfId="35065" xr:uid="{00000000-0005-0000-0000-0000475B0000}"/>
    <cellStyle name="표준 5 2 4 2 3 2 2 2 2 7" xfId="43258" xr:uid="{00000000-0005-0000-0000-0000485B0000}"/>
    <cellStyle name="표준 5 2 4 2 3 2 2 2 3" xfId="8196" xr:uid="{00000000-0005-0000-0000-0000495B0000}"/>
    <cellStyle name="표준 5 2 4 2 3 2 2 2 3 2" xfId="28902" xr:uid="{00000000-0005-0000-0000-00004A5B0000}"/>
    <cellStyle name="표준 5 2 4 2 3 2 2 2 3 3" xfId="37113" xr:uid="{00000000-0005-0000-0000-00004B5B0000}"/>
    <cellStyle name="표준 5 2 4 2 3 2 2 2 3 4" xfId="45306" xr:uid="{00000000-0005-0000-0000-00004C5B0000}"/>
    <cellStyle name="표준 5 2 4 2 3 2 2 2 4" xfId="12308" xr:uid="{00000000-0005-0000-0000-00004D5B0000}"/>
    <cellStyle name="표준 5 2 4 2 3 2 2 2 5" xfId="16548" xr:uid="{00000000-0005-0000-0000-00004E5B0000}"/>
    <cellStyle name="표준 5 2 4 2 3 2 2 2 6" xfId="20710" xr:uid="{00000000-0005-0000-0000-00004F5B0000}"/>
    <cellStyle name="표준 5 2 4 2 3 2 2 2 7" xfId="24806" xr:uid="{00000000-0005-0000-0000-0000505B0000}"/>
    <cellStyle name="표준 5 2 4 2 3 2 2 2 8" xfId="33017" xr:uid="{00000000-0005-0000-0000-0000515B0000}"/>
    <cellStyle name="표준 5 2 4 2 3 2 2 2 9" xfId="41210" xr:uid="{00000000-0005-0000-0000-0000525B0000}"/>
    <cellStyle name="표준 5 2 4 2 3 2 2 3" xfId="1853" xr:uid="{00000000-0005-0000-0000-0000535B0000}"/>
    <cellStyle name="표준 5 2 4 2 3 2 2 3 2" xfId="10756" xr:uid="{00000000-0005-0000-0000-0000545B0000}"/>
    <cellStyle name="표준 5 2 4 2 3 2 2 3 2 2" xfId="14868" xr:uid="{00000000-0005-0000-0000-0000555B0000}"/>
    <cellStyle name="표준 5 2 4 2 3 2 2 3 2 2 2" xfId="31462" xr:uid="{00000000-0005-0000-0000-0000565B0000}"/>
    <cellStyle name="표준 5 2 4 2 3 2 2 3 2 2 3" xfId="39673" xr:uid="{00000000-0005-0000-0000-0000575B0000}"/>
    <cellStyle name="표준 5 2 4 2 3 2 2 3 2 2 4" xfId="47866" xr:uid="{00000000-0005-0000-0000-0000585B0000}"/>
    <cellStyle name="표준 5 2 4 2 3 2 2 3 2 3" xfId="19108" xr:uid="{00000000-0005-0000-0000-0000595B0000}"/>
    <cellStyle name="표준 5 2 4 2 3 2 2 3 2 4" xfId="23270" xr:uid="{00000000-0005-0000-0000-00005A5B0000}"/>
    <cellStyle name="표준 5 2 4 2 3 2 2 3 2 5" xfId="27366" xr:uid="{00000000-0005-0000-0000-00005B5B0000}"/>
    <cellStyle name="표준 5 2 4 2 3 2 2 3 2 6" xfId="35577" xr:uid="{00000000-0005-0000-0000-00005C5B0000}"/>
    <cellStyle name="표준 5 2 4 2 3 2 2 3 2 7" xfId="43770" xr:uid="{00000000-0005-0000-0000-00005D5B0000}"/>
    <cellStyle name="표준 5 2 4 2 3 2 2 3 3" xfId="8708" xr:uid="{00000000-0005-0000-0000-00005E5B0000}"/>
    <cellStyle name="표준 5 2 4 2 3 2 2 3 3 2" xfId="29414" xr:uid="{00000000-0005-0000-0000-00005F5B0000}"/>
    <cellStyle name="표준 5 2 4 2 3 2 2 3 3 3" xfId="37625" xr:uid="{00000000-0005-0000-0000-0000605B0000}"/>
    <cellStyle name="표준 5 2 4 2 3 2 2 3 3 4" xfId="45818" xr:uid="{00000000-0005-0000-0000-0000615B0000}"/>
    <cellStyle name="표준 5 2 4 2 3 2 2 3 4" xfId="12820" xr:uid="{00000000-0005-0000-0000-0000625B0000}"/>
    <cellStyle name="표준 5 2 4 2 3 2 2 3 5" xfId="17060" xr:uid="{00000000-0005-0000-0000-0000635B0000}"/>
    <cellStyle name="표준 5 2 4 2 3 2 2 3 6" xfId="21222" xr:uid="{00000000-0005-0000-0000-0000645B0000}"/>
    <cellStyle name="표준 5 2 4 2 3 2 2 3 7" xfId="25318" xr:uid="{00000000-0005-0000-0000-0000655B0000}"/>
    <cellStyle name="표준 5 2 4 2 3 2 2 3 8" xfId="33529" xr:uid="{00000000-0005-0000-0000-0000665B0000}"/>
    <cellStyle name="표준 5 2 4 2 3 2 2 3 9" xfId="41722" xr:uid="{00000000-0005-0000-0000-0000675B0000}"/>
    <cellStyle name="표준 5 2 4 2 3 2 2 4" xfId="2365" xr:uid="{00000000-0005-0000-0000-0000685B0000}"/>
    <cellStyle name="표준 5 2 4 2 3 2 2 4 2" xfId="11268" xr:uid="{00000000-0005-0000-0000-0000695B0000}"/>
    <cellStyle name="표준 5 2 4 2 3 2 2 4 2 2" xfId="15380" xr:uid="{00000000-0005-0000-0000-00006A5B0000}"/>
    <cellStyle name="표준 5 2 4 2 3 2 2 4 2 2 2" xfId="31974" xr:uid="{00000000-0005-0000-0000-00006B5B0000}"/>
    <cellStyle name="표준 5 2 4 2 3 2 2 4 2 2 3" xfId="40185" xr:uid="{00000000-0005-0000-0000-00006C5B0000}"/>
    <cellStyle name="표준 5 2 4 2 3 2 2 4 2 2 4" xfId="48378" xr:uid="{00000000-0005-0000-0000-00006D5B0000}"/>
    <cellStyle name="표준 5 2 4 2 3 2 2 4 2 3" xfId="19620" xr:uid="{00000000-0005-0000-0000-00006E5B0000}"/>
    <cellStyle name="표준 5 2 4 2 3 2 2 4 2 4" xfId="23782" xr:uid="{00000000-0005-0000-0000-00006F5B0000}"/>
    <cellStyle name="표준 5 2 4 2 3 2 2 4 2 5" xfId="27878" xr:uid="{00000000-0005-0000-0000-0000705B0000}"/>
    <cellStyle name="표준 5 2 4 2 3 2 2 4 2 6" xfId="36089" xr:uid="{00000000-0005-0000-0000-0000715B0000}"/>
    <cellStyle name="표준 5 2 4 2 3 2 2 4 2 7" xfId="44282" xr:uid="{00000000-0005-0000-0000-0000725B0000}"/>
    <cellStyle name="표준 5 2 4 2 3 2 2 4 3" xfId="9220" xr:uid="{00000000-0005-0000-0000-0000735B0000}"/>
    <cellStyle name="표준 5 2 4 2 3 2 2 4 3 2" xfId="29926" xr:uid="{00000000-0005-0000-0000-0000745B0000}"/>
    <cellStyle name="표준 5 2 4 2 3 2 2 4 3 3" xfId="38137" xr:uid="{00000000-0005-0000-0000-0000755B0000}"/>
    <cellStyle name="표준 5 2 4 2 3 2 2 4 3 4" xfId="46330" xr:uid="{00000000-0005-0000-0000-0000765B0000}"/>
    <cellStyle name="표준 5 2 4 2 3 2 2 4 4" xfId="13332" xr:uid="{00000000-0005-0000-0000-0000775B0000}"/>
    <cellStyle name="표준 5 2 4 2 3 2 2 4 5" xfId="17572" xr:uid="{00000000-0005-0000-0000-0000785B0000}"/>
    <cellStyle name="표준 5 2 4 2 3 2 2 4 6" xfId="21734" xr:uid="{00000000-0005-0000-0000-0000795B0000}"/>
    <cellStyle name="표준 5 2 4 2 3 2 2 4 7" xfId="25830" xr:uid="{00000000-0005-0000-0000-00007A5B0000}"/>
    <cellStyle name="표준 5 2 4 2 3 2 2 4 8" xfId="34041" xr:uid="{00000000-0005-0000-0000-00007B5B0000}"/>
    <cellStyle name="표준 5 2 4 2 3 2 2 4 9" xfId="42234" xr:uid="{00000000-0005-0000-0000-00007C5B0000}"/>
    <cellStyle name="표준 5 2 4 2 3 2 2 5" xfId="9732" xr:uid="{00000000-0005-0000-0000-00007D5B0000}"/>
    <cellStyle name="표준 5 2 4 2 3 2 2 5 2" xfId="13844" xr:uid="{00000000-0005-0000-0000-00007E5B0000}"/>
    <cellStyle name="표준 5 2 4 2 3 2 2 5 2 2" xfId="30438" xr:uid="{00000000-0005-0000-0000-00007F5B0000}"/>
    <cellStyle name="표준 5 2 4 2 3 2 2 5 2 3" xfId="38649" xr:uid="{00000000-0005-0000-0000-0000805B0000}"/>
    <cellStyle name="표준 5 2 4 2 3 2 2 5 2 4" xfId="46842" xr:uid="{00000000-0005-0000-0000-0000815B0000}"/>
    <cellStyle name="표준 5 2 4 2 3 2 2 5 3" xfId="18084" xr:uid="{00000000-0005-0000-0000-0000825B0000}"/>
    <cellStyle name="표준 5 2 4 2 3 2 2 5 4" xfId="22246" xr:uid="{00000000-0005-0000-0000-0000835B0000}"/>
    <cellStyle name="표준 5 2 4 2 3 2 2 5 5" xfId="26342" xr:uid="{00000000-0005-0000-0000-0000845B0000}"/>
    <cellStyle name="표준 5 2 4 2 3 2 2 5 6" xfId="34553" xr:uid="{00000000-0005-0000-0000-0000855B0000}"/>
    <cellStyle name="표준 5 2 4 2 3 2 2 5 7" xfId="42746" xr:uid="{00000000-0005-0000-0000-0000865B0000}"/>
    <cellStyle name="표준 5 2 4 2 3 2 2 6" xfId="7684" xr:uid="{00000000-0005-0000-0000-0000875B0000}"/>
    <cellStyle name="표준 5 2 4 2 3 2 2 6 2" xfId="28390" xr:uid="{00000000-0005-0000-0000-0000885B0000}"/>
    <cellStyle name="표준 5 2 4 2 3 2 2 6 3" xfId="36601" xr:uid="{00000000-0005-0000-0000-0000895B0000}"/>
    <cellStyle name="표준 5 2 4 2 3 2 2 6 4" xfId="44794" xr:uid="{00000000-0005-0000-0000-00008A5B0000}"/>
    <cellStyle name="표준 5 2 4 2 3 2 2 7" xfId="11796" xr:uid="{00000000-0005-0000-0000-00008B5B0000}"/>
    <cellStyle name="표준 5 2 4 2 3 2 2 8" xfId="16036" xr:uid="{00000000-0005-0000-0000-00008C5B0000}"/>
    <cellStyle name="표준 5 2 4 2 3 2 2 9" xfId="20198" xr:uid="{00000000-0005-0000-0000-00008D5B0000}"/>
    <cellStyle name="표준 5 2 4 2 3 2 3" xfId="1085" xr:uid="{00000000-0005-0000-0000-00008E5B0000}"/>
    <cellStyle name="표준 5 2 4 2 3 2 3 2" xfId="9988" xr:uid="{00000000-0005-0000-0000-00008F5B0000}"/>
    <cellStyle name="표준 5 2 4 2 3 2 3 2 2" xfId="14100" xr:uid="{00000000-0005-0000-0000-0000905B0000}"/>
    <cellStyle name="표준 5 2 4 2 3 2 3 2 2 2" xfId="30694" xr:uid="{00000000-0005-0000-0000-0000915B0000}"/>
    <cellStyle name="표준 5 2 4 2 3 2 3 2 2 3" xfId="38905" xr:uid="{00000000-0005-0000-0000-0000925B0000}"/>
    <cellStyle name="표준 5 2 4 2 3 2 3 2 2 4" xfId="47098" xr:uid="{00000000-0005-0000-0000-0000935B0000}"/>
    <cellStyle name="표준 5 2 4 2 3 2 3 2 3" xfId="18340" xr:uid="{00000000-0005-0000-0000-0000945B0000}"/>
    <cellStyle name="표준 5 2 4 2 3 2 3 2 4" xfId="22502" xr:uid="{00000000-0005-0000-0000-0000955B0000}"/>
    <cellStyle name="표준 5 2 4 2 3 2 3 2 5" xfId="26598" xr:uid="{00000000-0005-0000-0000-0000965B0000}"/>
    <cellStyle name="표준 5 2 4 2 3 2 3 2 6" xfId="34809" xr:uid="{00000000-0005-0000-0000-0000975B0000}"/>
    <cellStyle name="표준 5 2 4 2 3 2 3 2 7" xfId="43002" xr:uid="{00000000-0005-0000-0000-0000985B0000}"/>
    <cellStyle name="표준 5 2 4 2 3 2 3 3" xfId="7940" xr:uid="{00000000-0005-0000-0000-0000995B0000}"/>
    <cellStyle name="표준 5 2 4 2 3 2 3 3 2" xfId="28646" xr:uid="{00000000-0005-0000-0000-00009A5B0000}"/>
    <cellStyle name="표준 5 2 4 2 3 2 3 3 3" xfId="36857" xr:uid="{00000000-0005-0000-0000-00009B5B0000}"/>
    <cellStyle name="표준 5 2 4 2 3 2 3 3 4" xfId="45050" xr:uid="{00000000-0005-0000-0000-00009C5B0000}"/>
    <cellStyle name="표준 5 2 4 2 3 2 3 4" xfId="12052" xr:uid="{00000000-0005-0000-0000-00009D5B0000}"/>
    <cellStyle name="표준 5 2 4 2 3 2 3 5" xfId="16292" xr:uid="{00000000-0005-0000-0000-00009E5B0000}"/>
    <cellStyle name="표준 5 2 4 2 3 2 3 6" xfId="20454" xr:uid="{00000000-0005-0000-0000-00009F5B0000}"/>
    <cellStyle name="표준 5 2 4 2 3 2 3 7" xfId="24550" xr:uid="{00000000-0005-0000-0000-0000A05B0000}"/>
    <cellStyle name="표준 5 2 4 2 3 2 3 8" xfId="32761" xr:uid="{00000000-0005-0000-0000-0000A15B0000}"/>
    <cellStyle name="표준 5 2 4 2 3 2 3 9" xfId="40954" xr:uid="{00000000-0005-0000-0000-0000A25B0000}"/>
    <cellStyle name="표준 5 2 4 2 3 2 4" xfId="1597" xr:uid="{00000000-0005-0000-0000-0000A35B0000}"/>
    <cellStyle name="표준 5 2 4 2 3 2 4 2" xfId="10500" xr:uid="{00000000-0005-0000-0000-0000A45B0000}"/>
    <cellStyle name="표준 5 2 4 2 3 2 4 2 2" xfId="14612" xr:uid="{00000000-0005-0000-0000-0000A55B0000}"/>
    <cellStyle name="표준 5 2 4 2 3 2 4 2 2 2" xfId="31206" xr:uid="{00000000-0005-0000-0000-0000A65B0000}"/>
    <cellStyle name="표준 5 2 4 2 3 2 4 2 2 3" xfId="39417" xr:uid="{00000000-0005-0000-0000-0000A75B0000}"/>
    <cellStyle name="표준 5 2 4 2 3 2 4 2 2 4" xfId="47610" xr:uid="{00000000-0005-0000-0000-0000A85B0000}"/>
    <cellStyle name="표준 5 2 4 2 3 2 4 2 3" xfId="18852" xr:uid="{00000000-0005-0000-0000-0000A95B0000}"/>
    <cellStyle name="표준 5 2 4 2 3 2 4 2 4" xfId="23014" xr:uid="{00000000-0005-0000-0000-0000AA5B0000}"/>
    <cellStyle name="표준 5 2 4 2 3 2 4 2 5" xfId="27110" xr:uid="{00000000-0005-0000-0000-0000AB5B0000}"/>
    <cellStyle name="표준 5 2 4 2 3 2 4 2 6" xfId="35321" xr:uid="{00000000-0005-0000-0000-0000AC5B0000}"/>
    <cellStyle name="표준 5 2 4 2 3 2 4 2 7" xfId="43514" xr:uid="{00000000-0005-0000-0000-0000AD5B0000}"/>
    <cellStyle name="표준 5 2 4 2 3 2 4 3" xfId="8452" xr:uid="{00000000-0005-0000-0000-0000AE5B0000}"/>
    <cellStyle name="표준 5 2 4 2 3 2 4 3 2" xfId="29158" xr:uid="{00000000-0005-0000-0000-0000AF5B0000}"/>
    <cellStyle name="표준 5 2 4 2 3 2 4 3 3" xfId="37369" xr:uid="{00000000-0005-0000-0000-0000B05B0000}"/>
    <cellStyle name="표준 5 2 4 2 3 2 4 3 4" xfId="45562" xr:uid="{00000000-0005-0000-0000-0000B15B0000}"/>
    <cellStyle name="표준 5 2 4 2 3 2 4 4" xfId="12564" xr:uid="{00000000-0005-0000-0000-0000B25B0000}"/>
    <cellStyle name="표준 5 2 4 2 3 2 4 5" xfId="16804" xr:uid="{00000000-0005-0000-0000-0000B35B0000}"/>
    <cellStyle name="표준 5 2 4 2 3 2 4 6" xfId="20966" xr:uid="{00000000-0005-0000-0000-0000B45B0000}"/>
    <cellStyle name="표준 5 2 4 2 3 2 4 7" xfId="25062" xr:uid="{00000000-0005-0000-0000-0000B55B0000}"/>
    <cellStyle name="표준 5 2 4 2 3 2 4 8" xfId="33273" xr:uid="{00000000-0005-0000-0000-0000B65B0000}"/>
    <cellStyle name="표준 5 2 4 2 3 2 4 9" xfId="41466" xr:uid="{00000000-0005-0000-0000-0000B75B0000}"/>
    <cellStyle name="표준 5 2 4 2 3 2 5" xfId="2109" xr:uid="{00000000-0005-0000-0000-0000B85B0000}"/>
    <cellStyle name="표준 5 2 4 2 3 2 5 2" xfId="11012" xr:uid="{00000000-0005-0000-0000-0000B95B0000}"/>
    <cellStyle name="표준 5 2 4 2 3 2 5 2 2" xfId="15124" xr:uid="{00000000-0005-0000-0000-0000BA5B0000}"/>
    <cellStyle name="표준 5 2 4 2 3 2 5 2 2 2" xfId="31718" xr:uid="{00000000-0005-0000-0000-0000BB5B0000}"/>
    <cellStyle name="표준 5 2 4 2 3 2 5 2 2 3" xfId="39929" xr:uid="{00000000-0005-0000-0000-0000BC5B0000}"/>
    <cellStyle name="표준 5 2 4 2 3 2 5 2 2 4" xfId="48122" xr:uid="{00000000-0005-0000-0000-0000BD5B0000}"/>
    <cellStyle name="표준 5 2 4 2 3 2 5 2 3" xfId="19364" xr:uid="{00000000-0005-0000-0000-0000BE5B0000}"/>
    <cellStyle name="표준 5 2 4 2 3 2 5 2 4" xfId="23526" xr:uid="{00000000-0005-0000-0000-0000BF5B0000}"/>
    <cellStyle name="표준 5 2 4 2 3 2 5 2 5" xfId="27622" xr:uid="{00000000-0005-0000-0000-0000C05B0000}"/>
    <cellStyle name="표준 5 2 4 2 3 2 5 2 6" xfId="35833" xr:uid="{00000000-0005-0000-0000-0000C15B0000}"/>
    <cellStyle name="표준 5 2 4 2 3 2 5 2 7" xfId="44026" xr:uid="{00000000-0005-0000-0000-0000C25B0000}"/>
    <cellStyle name="표준 5 2 4 2 3 2 5 3" xfId="8964" xr:uid="{00000000-0005-0000-0000-0000C35B0000}"/>
    <cellStyle name="표준 5 2 4 2 3 2 5 3 2" xfId="29670" xr:uid="{00000000-0005-0000-0000-0000C45B0000}"/>
    <cellStyle name="표준 5 2 4 2 3 2 5 3 3" xfId="37881" xr:uid="{00000000-0005-0000-0000-0000C55B0000}"/>
    <cellStyle name="표준 5 2 4 2 3 2 5 3 4" xfId="46074" xr:uid="{00000000-0005-0000-0000-0000C65B0000}"/>
    <cellStyle name="표준 5 2 4 2 3 2 5 4" xfId="13076" xr:uid="{00000000-0005-0000-0000-0000C75B0000}"/>
    <cellStyle name="표준 5 2 4 2 3 2 5 5" xfId="17316" xr:uid="{00000000-0005-0000-0000-0000C85B0000}"/>
    <cellStyle name="표준 5 2 4 2 3 2 5 6" xfId="21478" xr:uid="{00000000-0005-0000-0000-0000C95B0000}"/>
    <cellStyle name="표준 5 2 4 2 3 2 5 7" xfId="25574" xr:uid="{00000000-0005-0000-0000-0000CA5B0000}"/>
    <cellStyle name="표준 5 2 4 2 3 2 5 8" xfId="33785" xr:uid="{00000000-0005-0000-0000-0000CB5B0000}"/>
    <cellStyle name="표준 5 2 4 2 3 2 5 9" xfId="41978" xr:uid="{00000000-0005-0000-0000-0000CC5B0000}"/>
    <cellStyle name="표준 5 2 4 2 3 2 6" xfId="9476" xr:uid="{00000000-0005-0000-0000-0000CD5B0000}"/>
    <cellStyle name="표준 5 2 4 2 3 2 6 2" xfId="13588" xr:uid="{00000000-0005-0000-0000-0000CE5B0000}"/>
    <cellStyle name="표준 5 2 4 2 3 2 6 2 2" xfId="30182" xr:uid="{00000000-0005-0000-0000-0000CF5B0000}"/>
    <cellStyle name="표준 5 2 4 2 3 2 6 2 3" xfId="38393" xr:uid="{00000000-0005-0000-0000-0000D05B0000}"/>
    <cellStyle name="표준 5 2 4 2 3 2 6 2 4" xfId="46586" xr:uid="{00000000-0005-0000-0000-0000D15B0000}"/>
    <cellStyle name="표준 5 2 4 2 3 2 6 3" xfId="17828" xr:uid="{00000000-0005-0000-0000-0000D25B0000}"/>
    <cellStyle name="표준 5 2 4 2 3 2 6 4" xfId="21990" xr:uid="{00000000-0005-0000-0000-0000D35B0000}"/>
    <cellStyle name="표준 5 2 4 2 3 2 6 5" xfId="26086" xr:uid="{00000000-0005-0000-0000-0000D45B0000}"/>
    <cellStyle name="표준 5 2 4 2 3 2 6 6" xfId="34297" xr:uid="{00000000-0005-0000-0000-0000D55B0000}"/>
    <cellStyle name="표준 5 2 4 2 3 2 6 7" xfId="42490" xr:uid="{00000000-0005-0000-0000-0000D65B0000}"/>
    <cellStyle name="표준 5 2 4 2 3 2 7" xfId="7428" xr:uid="{00000000-0005-0000-0000-0000D75B0000}"/>
    <cellStyle name="표준 5 2 4 2 3 2 7 2" xfId="28134" xr:uid="{00000000-0005-0000-0000-0000D85B0000}"/>
    <cellStyle name="표준 5 2 4 2 3 2 7 3" xfId="36345" xr:uid="{00000000-0005-0000-0000-0000D95B0000}"/>
    <cellStyle name="표준 5 2 4 2 3 2 7 4" xfId="44538" xr:uid="{00000000-0005-0000-0000-0000DA5B0000}"/>
    <cellStyle name="표준 5 2 4 2 3 2 8" xfId="11540" xr:uid="{00000000-0005-0000-0000-0000DB5B0000}"/>
    <cellStyle name="표준 5 2 4 2 3 2 9" xfId="15780" xr:uid="{00000000-0005-0000-0000-0000DC5B0000}"/>
    <cellStyle name="표준 5 2 4 2 3 3" xfId="701" xr:uid="{00000000-0005-0000-0000-0000DD5B0000}"/>
    <cellStyle name="표준 5 2 4 2 3 3 10" xfId="24166" xr:uid="{00000000-0005-0000-0000-0000DE5B0000}"/>
    <cellStyle name="표준 5 2 4 2 3 3 11" xfId="32377" xr:uid="{00000000-0005-0000-0000-0000DF5B0000}"/>
    <cellStyle name="표준 5 2 4 2 3 3 12" xfId="40570" xr:uid="{00000000-0005-0000-0000-0000E05B0000}"/>
    <cellStyle name="표준 5 2 4 2 3 3 2" xfId="1213" xr:uid="{00000000-0005-0000-0000-0000E15B0000}"/>
    <cellStyle name="표준 5 2 4 2 3 3 2 2" xfId="10116" xr:uid="{00000000-0005-0000-0000-0000E25B0000}"/>
    <cellStyle name="표준 5 2 4 2 3 3 2 2 2" xfId="14228" xr:uid="{00000000-0005-0000-0000-0000E35B0000}"/>
    <cellStyle name="표준 5 2 4 2 3 3 2 2 2 2" xfId="30822" xr:uid="{00000000-0005-0000-0000-0000E45B0000}"/>
    <cellStyle name="표준 5 2 4 2 3 3 2 2 2 3" xfId="39033" xr:uid="{00000000-0005-0000-0000-0000E55B0000}"/>
    <cellStyle name="표준 5 2 4 2 3 3 2 2 2 4" xfId="47226" xr:uid="{00000000-0005-0000-0000-0000E65B0000}"/>
    <cellStyle name="표준 5 2 4 2 3 3 2 2 3" xfId="18468" xr:uid="{00000000-0005-0000-0000-0000E75B0000}"/>
    <cellStyle name="표준 5 2 4 2 3 3 2 2 4" xfId="22630" xr:uid="{00000000-0005-0000-0000-0000E85B0000}"/>
    <cellStyle name="표준 5 2 4 2 3 3 2 2 5" xfId="26726" xr:uid="{00000000-0005-0000-0000-0000E95B0000}"/>
    <cellStyle name="표준 5 2 4 2 3 3 2 2 6" xfId="34937" xr:uid="{00000000-0005-0000-0000-0000EA5B0000}"/>
    <cellStyle name="표준 5 2 4 2 3 3 2 2 7" xfId="43130" xr:uid="{00000000-0005-0000-0000-0000EB5B0000}"/>
    <cellStyle name="표준 5 2 4 2 3 3 2 3" xfId="8068" xr:uid="{00000000-0005-0000-0000-0000EC5B0000}"/>
    <cellStyle name="표준 5 2 4 2 3 3 2 3 2" xfId="28774" xr:uid="{00000000-0005-0000-0000-0000ED5B0000}"/>
    <cellStyle name="표준 5 2 4 2 3 3 2 3 3" xfId="36985" xr:uid="{00000000-0005-0000-0000-0000EE5B0000}"/>
    <cellStyle name="표준 5 2 4 2 3 3 2 3 4" xfId="45178" xr:uid="{00000000-0005-0000-0000-0000EF5B0000}"/>
    <cellStyle name="표준 5 2 4 2 3 3 2 4" xfId="12180" xr:uid="{00000000-0005-0000-0000-0000F05B0000}"/>
    <cellStyle name="표준 5 2 4 2 3 3 2 5" xfId="16420" xr:uid="{00000000-0005-0000-0000-0000F15B0000}"/>
    <cellStyle name="표준 5 2 4 2 3 3 2 6" xfId="20582" xr:uid="{00000000-0005-0000-0000-0000F25B0000}"/>
    <cellStyle name="표준 5 2 4 2 3 3 2 7" xfId="24678" xr:uid="{00000000-0005-0000-0000-0000F35B0000}"/>
    <cellStyle name="표준 5 2 4 2 3 3 2 8" xfId="32889" xr:uid="{00000000-0005-0000-0000-0000F45B0000}"/>
    <cellStyle name="표준 5 2 4 2 3 3 2 9" xfId="41082" xr:uid="{00000000-0005-0000-0000-0000F55B0000}"/>
    <cellStyle name="표준 5 2 4 2 3 3 3" xfId="1725" xr:uid="{00000000-0005-0000-0000-0000F65B0000}"/>
    <cellStyle name="표준 5 2 4 2 3 3 3 2" xfId="10628" xr:uid="{00000000-0005-0000-0000-0000F75B0000}"/>
    <cellStyle name="표준 5 2 4 2 3 3 3 2 2" xfId="14740" xr:uid="{00000000-0005-0000-0000-0000F85B0000}"/>
    <cellStyle name="표준 5 2 4 2 3 3 3 2 2 2" xfId="31334" xr:uid="{00000000-0005-0000-0000-0000F95B0000}"/>
    <cellStyle name="표준 5 2 4 2 3 3 3 2 2 3" xfId="39545" xr:uid="{00000000-0005-0000-0000-0000FA5B0000}"/>
    <cellStyle name="표준 5 2 4 2 3 3 3 2 2 4" xfId="47738" xr:uid="{00000000-0005-0000-0000-0000FB5B0000}"/>
    <cellStyle name="표준 5 2 4 2 3 3 3 2 3" xfId="18980" xr:uid="{00000000-0005-0000-0000-0000FC5B0000}"/>
    <cellStyle name="표준 5 2 4 2 3 3 3 2 4" xfId="23142" xr:uid="{00000000-0005-0000-0000-0000FD5B0000}"/>
    <cellStyle name="표준 5 2 4 2 3 3 3 2 5" xfId="27238" xr:uid="{00000000-0005-0000-0000-0000FE5B0000}"/>
    <cellStyle name="표준 5 2 4 2 3 3 3 2 6" xfId="35449" xr:uid="{00000000-0005-0000-0000-0000FF5B0000}"/>
    <cellStyle name="표준 5 2 4 2 3 3 3 2 7" xfId="43642" xr:uid="{00000000-0005-0000-0000-0000005C0000}"/>
    <cellStyle name="표준 5 2 4 2 3 3 3 3" xfId="8580" xr:uid="{00000000-0005-0000-0000-0000015C0000}"/>
    <cellStyle name="표준 5 2 4 2 3 3 3 3 2" xfId="29286" xr:uid="{00000000-0005-0000-0000-0000025C0000}"/>
    <cellStyle name="표준 5 2 4 2 3 3 3 3 3" xfId="37497" xr:uid="{00000000-0005-0000-0000-0000035C0000}"/>
    <cellStyle name="표준 5 2 4 2 3 3 3 3 4" xfId="45690" xr:uid="{00000000-0005-0000-0000-0000045C0000}"/>
    <cellStyle name="표준 5 2 4 2 3 3 3 4" xfId="12692" xr:uid="{00000000-0005-0000-0000-0000055C0000}"/>
    <cellStyle name="표준 5 2 4 2 3 3 3 5" xfId="16932" xr:uid="{00000000-0005-0000-0000-0000065C0000}"/>
    <cellStyle name="표준 5 2 4 2 3 3 3 6" xfId="21094" xr:uid="{00000000-0005-0000-0000-0000075C0000}"/>
    <cellStyle name="표준 5 2 4 2 3 3 3 7" xfId="25190" xr:uid="{00000000-0005-0000-0000-0000085C0000}"/>
    <cellStyle name="표준 5 2 4 2 3 3 3 8" xfId="33401" xr:uid="{00000000-0005-0000-0000-0000095C0000}"/>
    <cellStyle name="표준 5 2 4 2 3 3 3 9" xfId="41594" xr:uid="{00000000-0005-0000-0000-00000A5C0000}"/>
    <cellStyle name="표준 5 2 4 2 3 3 4" xfId="2237" xr:uid="{00000000-0005-0000-0000-00000B5C0000}"/>
    <cellStyle name="표준 5 2 4 2 3 3 4 2" xfId="11140" xr:uid="{00000000-0005-0000-0000-00000C5C0000}"/>
    <cellStyle name="표준 5 2 4 2 3 3 4 2 2" xfId="15252" xr:uid="{00000000-0005-0000-0000-00000D5C0000}"/>
    <cellStyle name="표준 5 2 4 2 3 3 4 2 2 2" xfId="31846" xr:uid="{00000000-0005-0000-0000-00000E5C0000}"/>
    <cellStyle name="표준 5 2 4 2 3 3 4 2 2 3" xfId="40057" xr:uid="{00000000-0005-0000-0000-00000F5C0000}"/>
    <cellStyle name="표준 5 2 4 2 3 3 4 2 2 4" xfId="48250" xr:uid="{00000000-0005-0000-0000-0000105C0000}"/>
    <cellStyle name="표준 5 2 4 2 3 3 4 2 3" xfId="19492" xr:uid="{00000000-0005-0000-0000-0000115C0000}"/>
    <cellStyle name="표준 5 2 4 2 3 3 4 2 4" xfId="23654" xr:uid="{00000000-0005-0000-0000-0000125C0000}"/>
    <cellStyle name="표준 5 2 4 2 3 3 4 2 5" xfId="27750" xr:uid="{00000000-0005-0000-0000-0000135C0000}"/>
    <cellStyle name="표준 5 2 4 2 3 3 4 2 6" xfId="35961" xr:uid="{00000000-0005-0000-0000-0000145C0000}"/>
    <cellStyle name="표준 5 2 4 2 3 3 4 2 7" xfId="44154" xr:uid="{00000000-0005-0000-0000-0000155C0000}"/>
    <cellStyle name="표준 5 2 4 2 3 3 4 3" xfId="9092" xr:uid="{00000000-0005-0000-0000-0000165C0000}"/>
    <cellStyle name="표준 5 2 4 2 3 3 4 3 2" xfId="29798" xr:uid="{00000000-0005-0000-0000-0000175C0000}"/>
    <cellStyle name="표준 5 2 4 2 3 3 4 3 3" xfId="38009" xr:uid="{00000000-0005-0000-0000-0000185C0000}"/>
    <cellStyle name="표준 5 2 4 2 3 3 4 3 4" xfId="46202" xr:uid="{00000000-0005-0000-0000-0000195C0000}"/>
    <cellStyle name="표준 5 2 4 2 3 3 4 4" xfId="13204" xr:uid="{00000000-0005-0000-0000-00001A5C0000}"/>
    <cellStyle name="표준 5 2 4 2 3 3 4 5" xfId="17444" xr:uid="{00000000-0005-0000-0000-00001B5C0000}"/>
    <cellStyle name="표준 5 2 4 2 3 3 4 6" xfId="21606" xr:uid="{00000000-0005-0000-0000-00001C5C0000}"/>
    <cellStyle name="표준 5 2 4 2 3 3 4 7" xfId="25702" xr:uid="{00000000-0005-0000-0000-00001D5C0000}"/>
    <cellStyle name="표준 5 2 4 2 3 3 4 8" xfId="33913" xr:uid="{00000000-0005-0000-0000-00001E5C0000}"/>
    <cellStyle name="표준 5 2 4 2 3 3 4 9" xfId="42106" xr:uid="{00000000-0005-0000-0000-00001F5C0000}"/>
    <cellStyle name="표준 5 2 4 2 3 3 5" xfId="9604" xr:uid="{00000000-0005-0000-0000-0000205C0000}"/>
    <cellStyle name="표준 5 2 4 2 3 3 5 2" xfId="13716" xr:uid="{00000000-0005-0000-0000-0000215C0000}"/>
    <cellStyle name="표준 5 2 4 2 3 3 5 2 2" xfId="30310" xr:uid="{00000000-0005-0000-0000-0000225C0000}"/>
    <cellStyle name="표준 5 2 4 2 3 3 5 2 3" xfId="38521" xr:uid="{00000000-0005-0000-0000-0000235C0000}"/>
    <cellStyle name="표준 5 2 4 2 3 3 5 2 4" xfId="46714" xr:uid="{00000000-0005-0000-0000-0000245C0000}"/>
    <cellStyle name="표준 5 2 4 2 3 3 5 3" xfId="17956" xr:uid="{00000000-0005-0000-0000-0000255C0000}"/>
    <cellStyle name="표준 5 2 4 2 3 3 5 4" xfId="22118" xr:uid="{00000000-0005-0000-0000-0000265C0000}"/>
    <cellStyle name="표준 5 2 4 2 3 3 5 5" xfId="26214" xr:uid="{00000000-0005-0000-0000-0000275C0000}"/>
    <cellStyle name="표준 5 2 4 2 3 3 5 6" xfId="34425" xr:uid="{00000000-0005-0000-0000-0000285C0000}"/>
    <cellStyle name="표준 5 2 4 2 3 3 5 7" xfId="42618" xr:uid="{00000000-0005-0000-0000-0000295C0000}"/>
    <cellStyle name="표준 5 2 4 2 3 3 6" xfId="7556" xr:uid="{00000000-0005-0000-0000-00002A5C0000}"/>
    <cellStyle name="표준 5 2 4 2 3 3 6 2" xfId="28262" xr:uid="{00000000-0005-0000-0000-00002B5C0000}"/>
    <cellStyle name="표준 5 2 4 2 3 3 6 3" xfId="36473" xr:uid="{00000000-0005-0000-0000-00002C5C0000}"/>
    <cellStyle name="표준 5 2 4 2 3 3 6 4" xfId="44666" xr:uid="{00000000-0005-0000-0000-00002D5C0000}"/>
    <cellStyle name="표준 5 2 4 2 3 3 7" xfId="11668" xr:uid="{00000000-0005-0000-0000-00002E5C0000}"/>
    <cellStyle name="표준 5 2 4 2 3 3 8" xfId="15908" xr:uid="{00000000-0005-0000-0000-00002F5C0000}"/>
    <cellStyle name="표준 5 2 4 2 3 3 9" xfId="20070" xr:uid="{00000000-0005-0000-0000-0000305C0000}"/>
    <cellStyle name="표준 5 2 4 2 3 4" xfId="957" xr:uid="{00000000-0005-0000-0000-0000315C0000}"/>
    <cellStyle name="표준 5 2 4 2 3 4 2" xfId="9860" xr:uid="{00000000-0005-0000-0000-0000325C0000}"/>
    <cellStyle name="표준 5 2 4 2 3 4 2 2" xfId="13972" xr:uid="{00000000-0005-0000-0000-0000335C0000}"/>
    <cellStyle name="표준 5 2 4 2 3 4 2 2 2" xfId="30566" xr:uid="{00000000-0005-0000-0000-0000345C0000}"/>
    <cellStyle name="표준 5 2 4 2 3 4 2 2 3" xfId="38777" xr:uid="{00000000-0005-0000-0000-0000355C0000}"/>
    <cellStyle name="표준 5 2 4 2 3 4 2 2 4" xfId="46970" xr:uid="{00000000-0005-0000-0000-0000365C0000}"/>
    <cellStyle name="표준 5 2 4 2 3 4 2 3" xfId="18212" xr:uid="{00000000-0005-0000-0000-0000375C0000}"/>
    <cellStyle name="표준 5 2 4 2 3 4 2 4" xfId="22374" xr:uid="{00000000-0005-0000-0000-0000385C0000}"/>
    <cellStyle name="표준 5 2 4 2 3 4 2 5" xfId="26470" xr:uid="{00000000-0005-0000-0000-0000395C0000}"/>
    <cellStyle name="표준 5 2 4 2 3 4 2 6" xfId="34681" xr:uid="{00000000-0005-0000-0000-00003A5C0000}"/>
    <cellStyle name="표준 5 2 4 2 3 4 2 7" xfId="42874" xr:uid="{00000000-0005-0000-0000-00003B5C0000}"/>
    <cellStyle name="표준 5 2 4 2 3 4 3" xfId="7812" xr:uid="{00000000-0005-0000-0000-00003C5C0000}"/>
    <cellStyle name="표준 5 2 4 2 3 4 3 2" xfId="28518" xr:uid="{00000000-0005-0000-0000-00003D5C0000}"/>
    <cellStyle name="표준 5 2 4 2 3 4 3 3" xfId="36729" xr:uid="{00000000-0005-0000-0000-00003E5C0000}"/>
    <cellStyle name="표준 5 2 4 2 3 4 3 4" xfId="44922" xr:uid="{00000000-0005-0000-0000-00003F5C0000}"/>
    <cellStyle name="표준 5 2 4 2 3 4 4" xfId="11924" xr:uid="{00000000-0005-0000-0000-0000405C0000}"/>
    <cellStyle name="표준 5 2 4 2 3 4 5" xfId="16164" xr:uid="{00000000-0005-0000-0000-0000415C0000}"/>
    <cellStyle name="표준 5 2 4 2 3 4 6" xfId="20326" xr:uid="{00000000-0005-0000-0000-0000425C0000}"/>
    <cellStyle name="표준 5 2 4 2 3 4 7" xfId="24422" xr:uid="{00000000-0005-0000-0000-0000435C0000}"/>
    <cellStyle name="표준 5 2 4 2 3 4 8" xfId="32633" xr:uid="{00000000-0005-0000-0000-0000445C0000}"/>
    <cellStyle name="표준 5 2 4 2 3 4 9" xfId="40826" xr:uid="{00000000-0005-0000-0000-0000455C0000}"/>
    <cellStyle name="표준 5 2 4 2 3 5" xfId="1469" xr:uid="{00000000-0005-0000-0000-0000465C0000}"/>
    <cellStyle name="표준 5 2 4 2 3 5 2" xfId="10372" xr:uid="{00000000-0005-0000-0000-0000475C0000}"/>
    <cellStyle name="표준 5 2 4 2 3 5 2 2" xfId="14484" xr:uid="{00000000-0005-0000-0000-0000485C0000}"/>
    <cellStyle name="표준 5 2 4 2 3 5 2 2 2" xfId="31078" xr:uid="{00000000-0005-0000-0000-0000495C0000}"/>
    <cellStyle name="표준 5 2 4 2 3 5 2 2 3" xfId="39289" xr:uid="{00000000-0005-0000-0000-00004A5C0000}"/>
    <cellStyle name="표준 5 2 4 2 3 5 2 2 4" xfId="47482" xr:uid="{00000000-0005-0000-0000-00004B5C0000}"/>
    <cellStyle name="표준 5 2 4 2 3 5 2 3" xfId="18724" xr:uid="{00000000-0005-0000-0000-00004C5C0000}"/>
    <cellStyle name="표준 5 2 4 2 3 5 2 4" xfId="22886" xr:uid="{00000000-0005-0000-0000-00004D5C0000}"/>
    <cellStyle name="표준 5 2 4 2 3 5 2 5" xfId="26982" xr:uid="{00000000-0005-0000-0000-00004E5C0000}"/>
    <cellStyle name="표준 5 2 4 2 3 5 2 6" xfId="35193" xr:uid="{00000000-0005-0000-0000-00004F5C0000}"/>
    <cellStyle name="표준 5 2 4 2 3 5 2 7" xfId="43386" xr:uid="{00000000-0005-0000-0000-0000505C0000}"/>
    <cellStyle name="표준 5 2 4 2 3 5 3" xfId="8324" xr:uid="{00000000-0005-0000-0000-0000515C0000}"/>
    <cellStyle name="표준 5 2 4 2 3 5 3 2" xfId="29030" xr:uid="{00000000-0005-0000-0000-0000525C0000}"/>
    <cellStyle name="표준 5 2 4 2 3 5 3 3" xfId="37241" xr:uid="{00000000-0005-0000-0000-0000535C0000}"/>
    <cellStyle name="표준 5 2 4 2 3 5 3 4" xfId="45434" xr:uid="{00000000-0005-0000-0000-0000545C0000}"/>
    <cellStyle name="표준 5 2 4 2 3 5 4" xfId="12436" xr:uid="{00000000-0005-0000-0000-0000555C0000}"/>
    <cellStyle name="표준 5 2 4 2 3 5 5" xfId="16676" xr:uid="{00000000-0005-0000-0000-0000565C0000}"/>
    <cellStyle name="표준 5 2 4 2 3 5 6" xfId="20838" xr:uid="{00000000-0005-0000-0000-0000575C0000}"/>
    <cellStyle name="표준 5 2 4 2 3 5 7" xfId="24934" xr:uid="{00000000-0005-0000-0000-0000585C0000}"/>
    <cellStyle name="표준 5 2 4 2 3 5 8" xfId="33145" xr:uid="{00000000-0005-0000-0000-0000595C0000}"/>
    <cellStyle name="표준 5 2 4 2 3 5 9" xfId="41338" xr:uid="{00000000-0005-0000-0000-00005A5C0000}"/>
    <cellStyle name="표준 5 2 4 2 3 6" xfId="1981" xr:uid="{00000000-0005-0000-0000-00005B5C0000}"/>
    <cellStyle name="표준 5 2 4 2 3 6 2" xfId="10884" xr:uid="{00000000-0005-0000-0000-00005C5C0000}"/>
    <cellStyle name="표준 5 2 4 2 3 6 2 2" xfId="14996" xr:uid="{00000000-0005-0000-0000-00005D5C0000}"/>
    <cellStyle name="표준 5 2 4 2 3 6 2 2 2" xfId="31590" xr:uid="{00000000-0005-0000-0000-00005E5C0000}"/>
    <cellStyle name="표준 5 2 4 2 3 6 2 2 3" xfId="39801" xr:uid="{00000000-0005-0000-0000-00005F5C0000}"/>
    <cellStyle name="표준 5 2 4 2 3 6 2 2 4" xfId="47994" xr:uid="{00000000-0005-0000-0000-0000605C0000}"/>
    <cellStyle name="표준 5 2 4 2 3 6 2 3" xfId="19236" xr:uid="{00000000-0005-0000-0000-0000615C0000}"/>
    <cellStyle name="표준 5 2 4 2 3 6 2 4" xfId="23398" xr:uid="{00000000-0005-0000-0000-0000625C0000}"/>
    <cellStyle name="표준 5 2 4 2 3 6 2 5" xfId="27494" xr:uid="{00000000-0005-0000-0000-0000635C0000}"/>
    <cellStyle name="표준 5 2 4 2 3 6 2 6" xfId="35705" xr:uid="{00000000-0005-0000-0000-0000645C0000}"/>
    <cellStyle name="표준 5 2 4 2 3 6 2 7" xfId="43898" xr:uid="{00000000-0005-0000-0000-0000655C0000}"/>
    <cellStyle name="표준 5 2 4 2 3 6 3" xfId="8836" xr:uid="{00000000-0005-0000-0000-0000665C0000}"/>
    <cellStyle name="표준 5 2 4 2 3 6 3 2" xfId="29542" xr:uid="{00000000-0005-0000-0000-0000675C0000}"/>
    <cellStyle name="표준 5 2 4 2 3 6 3 3" xfId="37753" xr:uid="{00000000-0005-0000-0000-0000685C0000}"/>
    <cellStyle name="표준 5 2 4 2 3 6 3 4" xfId="45946" xr:uid="{00000000-0005-0000-0000-0000695C0000}"/>
    <cellStyle name="표준 5 2 4 2 3 6 4" xfId="12948" xr:uid="{00000000-0005-0000-0000-00006A5C0000}"/>
    <cellStyle name="표준 5 2 4 2 3 6 5" xfId="17188" xr:uid="{00000000-0005-0000-0000-00006B5C0000}"/>
    <cellStyle name="표준 5 2 4 2 3 6 6" xfId="21350" xr:uid="{00000000-0005-0000-0000-00006C5C0000}"/>
    <cellStyle name="표준 5 2 4 2 3 6 7" xfId="25446" xr:uid="{00000000-0005-0000-0000-00006D5C0000}"/>
    <cellStyle name="표준 5 2 4 2 3 6 8" xfId="33657" xr:uid="{00000000-0005-0000-0000-00006E5C0000}"/>
    <cellStyle name="표준 5 2 4 2 3 6 9" xfId="41850" xr:uid="{00000000-0005-0000-0000-00006F5C0000}"/>
    <cellStyle name="표준 5 2 4 2 3 7" xfId="9348" xr:uid="{00000000-0005-0000-0000-0000705C0000}"/>
    <cellStyle name="표준 5 2 4 2 3 7 2" xfId="13460" xr:uid="{00000000-0005-0000-0000-0000715C0000}"/>
    <cellStyle name="표준 5 2 4 2 3 7 2 2" xfId="30054" xr:uid="{00000000-0005-0000-0000-0000725C0000}"/>
    <cellStyle name="표준 5 2 4 2 3 7 2 3" xfId="38265" xr:uid="{00000000-0005-0000-0000-0000735C0000}"/>
    <cellStyle name="표준 5 2 4 2 3 7 2 4" xfId="46458" xr:uid="{00000000-0005-0000-0000-0000745C0000}"/>
    <cellStyle name="표준 5 2 4 2 3 7 3" xfId="17700" xr:uid="{00000000-0005-0000-0000-0000755C0000}"/>
    <cellStyle name="표준 5 2 4 2 3 7 4" xfId="21862" xr:uid="{00000000-0005-0000-0000-0000765C0000}"/>
    <cellStyle name="표준 5 2 4 2 3 7 5" xfId="25958" xr:uid="{00000000-0005-0000-0000-0000775C0000}"/>
    <cellStyle name="표준 5 2 4 2 3 7 6" xfId="34169" xr:uid="{00000000-0005-0000-0000-0000785C0000}"/>
    <cellStyle name="표준 5 2 4 2 3 7 7" xfId="42362" xr:uid="{00000000-0005-0000-0000-0000795C0000}"/>
    <cellStyle name="표준 5 2 4 2 3 8" xfId="7300" xr:uid="{00000000-0005-0000-0000-00007A5C0000}"/>
    <cellStyle name="표준 5 2 4 2 3 8 2" xfId="28006" xr:uid="{00000000-0005-0000-0000-00007B5C0000}"/>
    <cellStyle name="표준 5 2 4 2 3 8 3" xfId="36217" xr:uid="{00000000-0005-0000-0000-00007C5C0000}"/>
    <cellStyle name="표준 5 2 4 2 3 8 4" xfId="44410" xr:uid="{00000000-0005-0000-0000-00007D5C0000}"/>
    <cellStyle name="표준 5 2 4 2 3 9" xfId="11412" xr:uid="{00000000-0005-0000-0000-00007E5C0000}"/>
    <cellStyle name="표준 5 2 4 2 4" xfId="509" xr:uid="{00000000-0005-0000-0000-00007F5C0000}"/>
    <cellStyle name="표준 5 2 4 2 4 10" xfId="19878" xr:uid="{00000000-0005-0000-0000-0000805C0000}"/>
    <cellStyle name="표준 5 2 4 2 4 11" xfId="23974" xr:uid="{00000000-0005-0000-0000-0000815C0000}"/>
    <cellStyle name="표준 5 2 4 2 4 12" xfId="32185" xr:uid="{00000000-0005-0000-0000-0000825C0000}"/>
    <cellStyle name="표준 5 2 4 2 4 13" xfId="40378" xr:uid="{00000000-0005-0000-0000-0000835C0000}"/>
    <cellStyle name="표준 5 2 4 2 4 2" xfId="765" xr:uid="{00000000-0005-0000-0000-0000845C0000}"/>
    <cellStyle name="표준 5 2 4 2 4 2 10" xfId="24230" xr:uid="{00000000-0005-0000-0000-0000855C0000}"/>
    <cellStyle name="표준 5 2 4 2 4 2 11" xfId="32441" xr:uid="{00000000-0005-0000-0000-0000865C0000}"/>
    <cellStyle name="표준 5 2 4 2 4 2 12" xfId="40634" xr:uid="{00000000-0005-0000-0000-0000875C0000}"/>
    <cellStyle name="표준 5 2 4 2 4 2 2" xfId="1277" xr:uid="{00000000-0005-0000-0000-0000885C0000}"/>
    <cellStyle name="표준 5 2 4 2 4 2 2 2" xfId="10180" xr:uid="{00000000-0005-0000-0000-0000895C0000}"/>
    <cellStyle name="표준 5 2 4 2 4 2 2 2 2" xfId="14292" xr:uid="{00000000-0005-0000-0000-00008A5C0000}"/>
    <cellStyle name="표준 5 2 4 2 4 2 2 2 2 2" xfId="30886" xr:uid="{00000000-0005-0000-0000-00008B5C0000}"/>
    <cellStyle name="표준 5 2 4 2 4 2 2 2 2 3" xfId="39097" xr:uid="{00000000-0005-0000-0000-00008C5C0000}"/>
    <cellStyle name="표준 5 2 4 2 4 2 2 2 2 4" xfId="47290" xr:uid="{00000000-0005-0000-0000-00008D5C0000}"/>
    <cellStyle name="표준 5 2 4 2 4 2 2 2 3" xfId="18532" xr:uid="{00000000-0005-0000-0000-00008E5C0000}"/>
    <cellStyle name="표준 5 2 4 2 4 2 2 2 4" xfId="22694" xr:uid="{00000000-0005-0000-0000-00008F5C0000}"/>
    <cellStyle name="표준 5 2 4 2 4 2 2 2 5" xfId="26790" xr:uid="{00000000-0005-0000-0000-0000905C0000}"/>
    <cellStyle name="표준 5 2 4 2 4 2 2 2 6" xfId="35001" xr:uid="{00000000-0005-0000-0000-0000915C0000}"/>
    <cellStyle name="표준 5 2 4 2 4 2 2 2 7" xfId="43194" xr:uid="{00000000-0005-0000-0000-0000925C0000}"/>
    <cellStyle name="표준 5 2 4 2 4 2 2 3" xfId="8132" xr:uid="{00000000-0005-0000-0000-0000935C0000}"/>
    <cellStyle name="표준 5 2 4 2 4 2 2 3 2" xfId="28838" xr:uid="{00000000-0005-0000-0000-0000945C0000}"/>
    <cellStyle name="표준 5 2 4 2 4 2 2 3 3" xfId="37049" xr:uid="{00000000-0005-0000-0000-0000955C0000}"/>
    <cellStyle name="표준 5 2 4 2 4 2 2 3 4" xfId="45242" xr:uid="{00000000-0005-0000-0000-0000965C0000}"/>
    <cellStyle name="표준 5 2 4 2 4 2 2 4" xfId="12244" xr:uid="{00000000-0005-0000-0000-0000975C0000}"/>
    <cellStyle name="표준 5 2 4 2 4 2 2 5" xfId="16484" xr:uid="{00000000-0005-0000-0000-0000985C0000}"/>
    <cellStyle name="표준 5 2 4 2 4 2 2 6" xfId="20646" xr:uid="{00000000-0005-0000-0000-0000995C0000}"/>
    <cellStyle name="표준 5 2 4 2 4 2 2 7" xfId="24742" xr:uid="{00000000-0005-0000-0000-00009A5C0000}"/>
    <cellStyle name="표준 5 2 4 2 4 2 2 8" xfId="32953" xr:uid="{00000000-0005-0000-0000-00009B5C0000}"/>
    <cellStyle name="표준 5 2 4 2 4 2 2 9" xfId="41146" xr:uid="{00000000-0005-0000-0000-00009C5C0000}"/>
    <cellStyle name="표준 5 2 4 2 4 2 3" xfId="1789" xr:uid="{00000000-0005-0000-0000-00009D5C0000}"/>
    <cellStyle name="표준 5 2 4 2 4 2 3 2" xfId="10692" xr:uid="{00000000-0005-0000-0000-00009E5C0000}"/>
    <cellStyle name="표준 5 2 4 2 4 2 3 2 2" xfId="14804" xr:uid="{00000000-0005-0000-0000-00009F5C0000}"/>
    <cellStyle name="표준 5 2 4 2 4 2 3 2 2 2" xfId="31398" xr:uid="{00000000-0005-0000-0000-0000A05C0000}"/>
    <cellStyle name="표준 5 2 4 2 4 2 3 2 2 3" xfId="39609" xr:uid="{00000000-0005-0000-0000-0000A15C0000}"/>
    <cellStyle name="표준 5 2 4 2 4 2 3 2 2 4" xfId="47802" xr:uid="{00000000-0005-0000-0000-0000A25C0000}"/>
    <cellStyle name="표준 5 2 4 2 4 2 3 2 3" xfId="19044" xr:uid="{00000000-0005-0000-0000-0000A35C0000}"/>
    <cellStyle name="표준 5 2 4 2 4 2 3 2 4" xfId="23206" xr:uid="{00000000-0005-0000-0000-0000A45C0000}"/>
    <cellStyle name="표준 5 2 4 2 4 2 3 2 5" xfId="27302" xr:uid="{00000000-0005-0000-0000-0000A55C0000}"/>
    <cellStyle name="표준 5 2 4 2 4 2 3 2 6" xfId="35513" xr:uid="{00000000-0005-0000-0000-0000A65C0000}"/>
    <cellStyle name="표준 5 2 4 2 4 2 3 2 7" xfId="43706" xr:uid="{00000000-0005-0000-0000-0000A75C0000}"/>
    <cellStyle name="표준 5 2 4 2 4 2 3 3" xfId="8644" xr:uid="{00000000-0005-0000-0000-0000A85C0000}"/>
    <cellStyle name="표준 5 2 4 2 4 2 3 3 2" xfId="29350" xr:uid="{00000000-0005-0000-0000-0000A95C0000}"/>
    <cellStyle name="표준 5 2 4 2 4 2 3 3 3" xfId="37561" xr:uid="{00000000-0005-0000-0000-0000AA5C0000}"/>
    <cellStyle name="표준 5 2 4 2 4 2 3 3 4" xfId="45754" xr:uid="{00000000-0005-0000-0000-0000AB5C0000}"/>
    <cellStyle name="표준 5 2 4 2 4 2 3 4" xfId="12756" xr:uid="{00000000-0005-0000-0000-0000AC5C0000}"/>
    <cellStyle name="표준 5 2 4 2 4 2 3 5" xfId="16996" xr:uid="{00000000-0005-0000-0000-0000AD5C0000}"/>
    <cellStyle name="표준 5 2 4 2 4 2 3 6" xfId="21158" xr:uid="{00000000-0005-0000-0000-0000AE5C0000}"/>
    <cellStyle name="표준 5 2 4 2 4 2 3 7" xfId="25254" xr:uid="{00000000-0005-0000-0000-0000AF5C0000}"/>
    <cellStyle name="표준 5 2 4 2 4 2 3 8" xfId="33465" xr:uid="{00000000-0005-0000-0000-0000B05C0000}"/>
    <cellStyle name="표준 5 2 4 2 4 2 3 9" xfId="41658" xr:uid="{00000000-0005-0000-0000-0000B15C0000}"/>
    <cellStyle name="표준 5 2 4 2 4 2 4" xfId="2301" xr:uid="{00000000-0005-0000-0000-0000B25C0000}"/>
    <cellStyle name="표준 5 2 4 2 4 2 4 2" xfId="11204" xr:uid="{00000000-0005-0000-0000-0000B35C0000}"/>
    <cellStyle name="표준 5 2 4 2 4 2 4 2 2" xfId="15316" xr:uid="{00000000-0005-0000-0000-0000B45C0000}"/>
    <cellStyle name="표준 5 2 4 2 4 2 4 2 2 2" xfId="31910" xr:uid="{00000000-0005-0000-0000-0000B55C0000}"/>
    <cellStyle name="표준 5 2 4 2 4 2 4 2 2 3" xfId="40121" xr:uid="{00000000-0005-0000-0000-0000B65C0000}"/>
    <cellStyle name="표준 5 2 4 2 4 2 4 2 2 4" xfId="48314" xr:uid="{00000000-0005-0000-0000-0000B75C0000}"/>
    <cellStyle name="표준 5 2 4 2 4 2 4 2 3" xfId="19556" xr:uid="{00000000-0005-0000-0000-0000B85C0000}"/>
    <cellStyle name="표준 5 2 4 2 4 2 4 2 4" xfId="23718" xr:uid="{00000000-0005-0000-0000-0000B95C0000}"/>
    <cellStyle name="표준 5 2 4 2 4 2 4 2 5" xfId="27814" xr:uid="{00000000-0005-0000-0000-0000BA5C0000}"/>
    <cellStyle name="표준 5 2 4 2 4 2 4 2 6" xfId="36025" xr:uid="{00000000-0005-0000-0000-0000BB5C0000}"/>
    <cellStyle name="표준 5 2 4 2 4 2 4 2 7" xfId="44218" xr:uid="{00000000-0005-0000-0000-0000BC5C0000}"/>
    <cellStyle name="표준 5 2 4 2 4 2 4 3" xfId="9156" xr:uid="{00000000-0005-0000-0000-0000BD5C0000}"/>
    <cellStyle name="표준 5 2 4 2 4 2 4 3 2" xfId="29862" xr:uid="{00000000-0005-0000-0000-0000BE5C0000}"/>
    <cellStyle name="표준 5 2 4 2 4 2 4 3 3" xfId="38073" xr:uid="{00000000-0005-0000-0000-0000BF5C0000}"/>
    <cellStyle name="표준 5 2 4 2 4 2 4 3 4" xfId="46266" xr:uid="{00000000-0005-0000-0000-0000C05C0000}"/>
    <cellStyle name="표준 5 2 4 2 4 2 4 4" xfId="13268" xr:uid="{00000000-0005-0000-0000-0000C15C0000}"/>
    <cellStyle name="표준 5 2 4 2 4 2 4 5" xfId="17508" xr:uid="{00000000-0005-0000-0000-0000C25C0000}"/>
    <cellStyle name="표준 5 2 4 2 4 2 4 6" xfId="21670" xr:uid="{00000000-0005-0000-0000-0000C35C0000}"/>
    <cellStyle name="표준 5 2 4 2 4 2 4 7" xfId="25766" xr:uid="{00000000-0005-0000-0000-0000C45C0000}"/>
    <cellStyle name="표준 5 2 4 2 4 2 4 8" xfId="33977" xr:uid="{00000000-0005-0000-0000-0000C55C0000}"/>
    <cellStyle name="표준 5 2 4 2 4 2 4 9" xfId="42170" xr:uid="{00000000-0005-0000-0000-0000C65C0000}"/>
    <cellStyle name="표준 5 2 4 2 4 2 5" xfId="9668" xr:uid="{00000000-0005-0000-0000-0000C75C0000}"/>
    <cellStyle name="표준 5 2 4 2 4 2 5 2" xfId="13780" xr:uid="{00000000-0005-0000-0000-0000C85C0000}"/>
    <cellStyle name="표준 5 2 4 2 4 2 5 2 2" xfId="30374" xr:uid="{00000000-0005-0000-0000-0000C95C0000}"/>
    <cellStyle name="표준 5 2 4 2 4 2 5 2 3" xfId="38585" xr:uid="{00000000-0005-0000-0000-0000CA5C0000}"/>
    <cellStyle name="표준 5 2 4 2 4 2 5 2 4" xfId="46778" xr:uid="{00000000-0005-0000-0000-0000CB5C0000}"/>
    <cellStyle name="표준 5 2 4 2 4 2 5 3" xfId="18020" xr:uid="{00000000-0005-0000-0000-0000CC5C0000}"/>
    <cellStyle name="표준 5 2 4 2 4 2 5 4" xfId="22182" xr:uid="{00000000-0005-0000-0000-0000CD5C0000}"/>
    <cellStyle name="표준 5 2 4 2 4 2 5 5" xfId="26278" xr:uid="{00000000-0005-0000-0000-0000CE5C0000}"/>
    <cellStyle name="표준 5 2 4 2 4 2 5 6" xfId="34489" xr:uid="{00000000-0005-0000-0000-0000CF5C0000}"/>
    <cellStyle name="표준 5 2 4 2 4 2 5 7" xfId="42682" xr:uid="{00000000-0005-0000-0000-0000D05C0000}"/>
    <cellStyle name="표준 5 2 4 2 4 2 6" xfId="7620" xr:uid="{00000000-0005-0000-0000-0000D15C0000}"/>
    <cellStyle name="표준 5 2 4 2 4 2 6 2" xfId="28326" xr:uid="{00000000-0005-0000-0000-0000D25C0000}"/>
    <cellStyle name="표준 5 2 4 2 4 2 6 3" xfId="36537" xr:uid="{00000000-0005-0000-0000-0000D35C0000}"/>
    <cellStyle name="표준 5 2 4 2 4 2 6 4" xfId="44730" xr:uid="{00000000-0005-0000-0000-0000D45C0000}"/>
    <cellStyle name="표준 5 2 4 2 4 2 7" xfId="11732" xr:uid="{00000000-0005-0000-0000-0000D55C0000}"/>
    <cellStyle name="표준 5 2 4 2 4 2 8" xfId="15972" xr:uid="{00000000-0005-0000-0000-0000D65C0000}"/>
    <cellStyle name="표준 5 2 4 2 4 2 9" xfId="20134" xr:uid="{00000000-0005-0000-0000-0000D75C0000}"/>
    <cellStyle name="표준 5 2 4 2 4 3" xfId="1021" xr:uid="{00000000-0005-0000-0000-0000D85C0000}"/>
    <cellStyle name="표준 5 2 4 2 4 3 2" xfId="9924" xr:uid="{00000000-0005-0000-0000-0000D95C0000}"/>
    <cellStyle name="표준 5 2 4 2 4 3 2 2" xfId="14036" xr:uid="{00000000-0005-0000-0000-0000DA5C0000}"/>
    <cellStyle name="표준 5 2 4 2 4 3 2 2 2" xfId="30630" xr:uid="{00000000-0005-0000-0000-0000DB5C0000}"/>
    <cellStyle name="표준 5 2 4 2 4 3 2 2 3" xfId="38841" xr:uid="{00000000-0005-0000-0000-0000DC5C0000}"/>
    <cellStyle name="표준 5 2 4 2 4 3 2 2 4" xfId="47034" xr:uid="{00000000-0005-0000-0000-0000DD5C0000}"/>
    <cellStyle name="표준 5 2 4 2 4 3 2 3" xfId="18276" xr:uid="{00000000-0005-0000-0000-0000DE5C0000}"/>
    <cellStyle name="표준 5 2 4 2 4 3 2 4" xfId="22438" xr:uid="{00000000-0005-0000-0000-0000DF5C0000}"/>
    <cellStyle name="표준 5 2 4 2 4 3 2 5" xfId="26534" xr:uid="{00000000-0005-0000-0000-0000E05C0000}"/>
    <cellStyle name="표준 5 2 4 2 4 3 2 6" xfId="34745" xr:uid="{00000000-0005-0000-0000-0000E15C0000}"/>
    <cellStyle name="표준 5 2 4 2 4 3 2 7" xfId="42938" xr:uid="{00000000-0005-0000-0000-0000E25C0000}"/>
    <cellStyle name="표준 5 2 4 2 4 3 3" xfId="7876" xr:uid="{00000000-0005-0000-0000-0000E35C0000}"/>
    <cellStyle name="표준 5 2 4 2 4 3 3 2" xfId="28582" xr:uid="{00000000-0005-0000-0000-0000E45C0000}"/>
    <cellStyle name="표준 5 2 4 2 4 3 3 3" xfId="36793" xr:uid="{00000000-0005-0000-0000-0000E55C0000}"/>
    <cellStyle name="표준 5 2 4 2 4 3 3 4" xfId="44986" xr:uid="{00000000-0005-0000-0000-0000E65C0000}"/>
    <cellStyle name="표준 5 2 4 2 4 3 4" xfId="11988" xr:uid="{00000000-0005-0000-0000-0000E75C0000}"/>
    <cellStyle name="표준 5 2 4 2 4 3 5" xfId="16228" xr:uid="{00000000-0005-0000-0000-0000E85C0000}"/>
    <cellStyle name="표준 5 2 4 2 4 3 6" xfId="20390" xr:uid="{00000000-0005-0000-0000-0000E95C0000}"/>
    <cellStyle name="표준 5 2 4 2 4 3 7" xfId="24486" xr:uid="{00000000-0005-0000-0000-0000EA5C0000}"/>
    <cellStyle name="표준 5 2 4 2 4 3 8" xfId="32697" xr:uid="{00000000-0005-0000-0000-0000EB5C0000}"/>
    <cellStyle name="표준 5 2 4 2 4 3 9" xfId="40890" xr:uid="{00000000-0005-0000-0000-0000EC5C0000}"/>
    <cellStyle name="표준 5 2 4 2 4 4" xfId="1533" xr:uid="{00000000-0005-0000-0000-0000ED5C0000}"/>
    <cellStyle name="표준 5 2 4 2 4 4 2" xfId="10436" xr:uid="{00000000-0005-0000-0000-0000EE5C0000}"/>
    <cellStyle name="표준 5 2 4 2 4 4 2 2" xfId="14548" xr:uid="{00000000-0005-0000-0000-0000EF5C0000}"/>
    <cellStyle name="표준 5 2 4 2 4 4 2 2 2" xfId="31142" xr:uid="{00000000-0005-0000-0000-0000F05C0000}"/>
    <cellStyle name="표준 5 2 4 2 4 4 2 2 3" xfId="39353" xr:uid="{00000000-0005-0000-0000-0000F15C0000}"/>
    <cellStyle name="표준 5 2 4 2 4 4 2 2 4" xfId="47546" xr:uid="{00000000-0005-0000-0000-0000F25C0000}"/>
    <cellStyle name="표준 5 2 4 2 4 4 2 3" xfId="18788" xr:uid="{00000000-0005-0000-0000-0000F35C0000}"/>
    <cellStyle name="표준 5 2 4 2 4 4 2 4" xfId="22950" xr:uid="{00000000-0005-0000-0000-0000F45C0000}"/>
    <cellStyle name="표준 5 2 4 2 4 4 2 5" xfId="27046" xr:uid="{00000000-0005-0000-0000-0000F55C0000}"/>
    <cellStyle name="표준 5 2 4 2 4 4 2 6" xfId="35257" xr:uid="{00000000-0005-0000-0000-0000F65C0000}"/>
    <cellStyle name="표준 5 2 4 2 4 4 2 7" xfId="43450" xr:uid="{00000000-0005-0000-0000-0000F75C0000}"/>
    <cellStyle name="표준 5 2 4 2 4 4 3" xfId="8388" xr:uid="{00000000-0005-0000-0000-0000F85C0000}"/>
    <cellStyle name="표준 5 2 4 2 4 4 3 2" xfId="29094" xr:uid="{00000000-0005-0000-0000-0000F95C0000}"/>
    <cellStyle name="표준 5 2 4 2 4 4 3 3" xfId="37305" xr:uid="{00000000-0005-0000-0000-0000FA5C0000}"/>
    <cellStyle name="표준 5 2 4 2 4 4 3 4" xfId="45498" xr:uid="{00000000-0005-0000-0000-0000FB5C0000}"/>
    <cellStyle name="표준 5 2 4 2 4 4 4" xfId="12500" xr:uid="{00000000-0005-0000-0000-0000FC5C0000}"/>
    <cellStyle name="표준 5 2 4 2 4 4 5" xfId="16740" xr:uid="{00000000-0005-0000-0000-0000FD5C0000}"/>
    <cellStyle name="표준 5 2 4 2 4 4 6" xfId="20902" xr:uid="{00000000-0005-0000-0000-0000FE5C0000}"/>
    <cellStyle name="표준 5 2 4 2 4 4 7" xfId="24998" xr:uid="{00000000-0005-0000-0000-0000FF5C0000}"/>
    <cellStyle name="표준 5 2 4 2 4 4 8" xfId="33209" xr:uid="{00000000-0005-0000-0000-0000005D0000}"/>
    <cellStyle name="표준 5 2 4 2 4 4 9" xfId="41402" xr:uid="{00000000-0005-0000-0000-0000015D0000}"/>
    <cellStyle name="표준 5 2 4 2 4 5" xfId="2045" xr:uid="{00000000-0005-0000-0000-0000025D0000}"/>
    <cellStyle name="표준 5 2 4 2 4 5 2" xfId="10948" xr:uid="{00000000-0005-0000-0000-0000035D0000}"/>
    <cellStyle name="표준 5 2 4 2 4 5 2 2" xfId="15060" xr:uid="{00000000-0005-0000-0000-0000045D0000}"/>
    <cellStyle name="표준 5 2 4 2 4 5 2 2 2" xfId="31654" xr:uid="{00000000-0005-0000-0000-0000055D0000}"/>
    <cellStyle name="표준 5 2 4 2 4 5 2 2 3" xfId="39865" xr:uid="{00000000-0005-0000-0000-0000065D0000}"/>
    <cellStyle name="표준 5 2 4 2 4 5 2 2 4" xfId="48058" xr:uid="{00000000-0005-0000-0000-0000075D0000}"/>
    <cellStyle name="표준 5 2 4 2 4 5 2 3" xfId="19300" xr:uid="{00000000-0005-0000-0000-0000085D0000}"/>
    <cellStyle name="표준 5 2 4 2 4 5 2 4" xfId="23462" xr:uid="{00000000-0005-0000-0000-0000095D0000}"/>
    <cellStyle name="표준 5 2 4 2 4 5 2 5" xfId="27558" xr:uid="{00000000-0005-0000-0000-00000A5D0000}"/>
    <cellStyle name="표준 5 2 4 2 4 5 2 6" xfId="35769" xr:uid="{00000000-0005-0000-0000-00000B5D0000}"/>
    <cellStyle name="표준 5 2 4 2 4 5 2 7" xfId="43962" xr:uid="{00000000-0005-0000-0000-00000C5D0000}"/>
    <cellStyle name="표준 5 2 4 2 4 5 3" xfId="8900" xr:uid="{00000000-0005-0000-0000-00000D5D0000}"/>
    <cellStyle name="표준 5 2 4 2 4 5 3 2" xfId="29606" xr:uid="{00000000-0005-0000-0000-00000E5D0000}"/>
    <cellStyle name="표준 5 2 4 2 4 5 3 3" xfId="37817" xr:uid="{00000000-0005-0000-0000-00000F5D0000}"/>
    <cellStyle name="표준 5 2 4 2 4 5 3 4" xfId="46010" xr:uid="{00000000-0005-0000-0000-0000105D0000}"/>
    <cellStyle name="표준 5 2 4 2 4 5 4" xfId="13012" xr:uid="{00000000-0005-0000-0000-0000115D0000}"/>
    <cellStyle name="표준 5 2 4 2 4 5 5" xfId="17252" xr:uid="{00000000-0005-0000-0000-0000125D0000}"/>
    <cellStyle name="표준 5 2 4 2 4 5 6" xfId="21414" xr:uid="{00000000-0005-0000-0000-0000135D0000}"/>
    <cellStyle name="표준 5 2 4 2 4 5 7" xfId="25510" xr:uid="{00000000-0005-0000-0000-0000145D0000}"/>
    <cellStyle name="표준 5 2 4 2 4 5 8" xfId="33721" xr:uid="{00000000-0005-0000-0000-0000155D0000}"/>
    <cellStyle name="표준 5 2 4 2 4 5 9" xfId="41914" xr:uid="{00000000-0005-0000-0000-0000165D0000}"/>
    <cellStyle name="표준 5 2 4 2 4 6" xfId="9412" xr:uid="{00000000-0005-0000-0000-0000175D0000}"/>
    <cellStyle name="표준 5 2 4 2 4 6 2" xfId="13524" xr:uid="{00000000-0005-0000-0000-0000185D0000}"/>
    <cellStyle name="표준 5 2 4 2 4 6 2 2" xfId="30118" xr:uid="{00000000-0005-0000-0000-0000195D0000}"/>
    <cellStyle name="표준 5 2 4 2 4 6 2 3" xfId="38329" xr:uid="{00000000-0005-0000-0000-00001A5D0000}"/>
    <cellStyle name="표준 5 2 4 2 4 6 2 4" xfId="46522" xr:uid="{00000000-0005-0000-0000-00001B5D0000}"/>
    <cellStyle name="표준 5 2 4 2 4 6 3" xfId="17764" xr:uid="{00000000-0005-0000-0000-00001C5D0000}"/>
    <cellStyle name="표준 5 2 4 2 4 6 4" xfId="21926" xr:uid="{00000000-0005-0000-0000-00001D5D0000}"/>
    <cellStyle name="표준 5 2 4 2 4 6 5" xfId="26022" xr:uid="{00000000-0005-0000-0000-00001E5D0000}"/>
    <cellStyle name="표준 5 2 4 2 4 6 6" xfId="34233" xr:uid="{00000000-0005-0000-0000-00001F5D0000}"/>
    <cellStyle name="표준 5 2 4 2 4 6 7" xfId="42426" xr:uid="{00000000-0005-0000-0000-0000205D0000}"/>
    <cellStyle name="표준 5 2 4 2 4 7" xfId="7364" xr:uid="{00000000-0005-0000-0000-0000215D0000}"/>
    <cellStyle name="표준 5 2 4 2 4 7 2" xfId="28070" xr:uid="{00000000-0005-0000-0000-0000225D0000}"/>
    <cellStyle name="표준 5 2 4 2 4 7 3" xfId="36281" xr:uid="{00000000-0005-0000-0000-0000235D0000}"/>
    <cellStyle name="표준 5 2 4 2 4 7 4" xfId="44474" xr:uid="{00000000-0005-0000-0000-0000245D0000}"/>
    <cellStyle name="표준 5 2 4 2 4 8" xfId="11476" xr:uid="{00000000-0005-0000-0000-0000255D0000}"/>
    <cellStyle name="표준 5 2 4 2 4 9" xfId="15716" xr:uid="{00000000-0005-0000-0000-0000265D0000}"/>
    <cellStyle name="표준 5 2 4 2 5" xfId="637" xr:uid="{00000000-0005-0000-0000-0000275D0000}"/>
    <cellStyle name="표준 5 2 4 2 5 10" xfId="24102" xr:uid="{00000000-0005-0000-0000-0000285D0000}"/>
    <cellStyle name="표준 5 2 4 2 5 11" xfId="32313" xr:uid="{00000000-0005-0000-0000-0000295D0000}"/>
    <cellStyle name="표준 5 2 4 2 5 12" xfId="40506" xr:uid="{00000000-0005-0000-0000-00002A5D0000}"/>
    <cellStyle name="표준 5 2 4 2 5 2" xfId="1149" xr:uid="{00000000-0005-0000-0000-00002B5D0000}"/>
    <cellStyle name="표준 5 2 4 2 5 2 2" xfId="10052" xr:uid="{00000000-0005-0000-0000-00002C5D0000}"/>
    <cellStyle name="표준 5 2 4 2 5 2 2 2" xfId="14164" xr:uid="{00000000-0005-0000-0000-00002D5D0000}"/>
    <cellStyle name="표준 5 2 4 2 5 2 2 2 2" xfId="30758" xr:uid="{00000000-0005-0000-0000-00002E5D0000}"/>
    <cellStyle name="표준 5 2 4 2 5 2 2 2 3" xfId="38969" xr:uid="{00000000-0005-0000-0000-00002F5D0000}"/>
    <cellStyle name="표준 5 2 4 2 5 2 2 2 4" xfId="47162" xr:uid="{00000000-0005-0000-0000-0000305D0000}"/>
    <cellStyle name="표준 5 2 4 2 5 2 2 3" xfId="18404" xr:uid="{00000000-0005-0000-0000-0000315D0000}"/>
    <cellStyle name="표준 5 2 4 2 5 2 2 4" xfId="22566" xr:uid="{00000000-0005-0000-0000-0000325D0000}"/>
    <cellStyle name="표준 5 2 4 2 5 2 2 5" xfId="26662" xr:uid="{00000000-0005-0000-0000-0000335D0000}"/>
    <cellStyle name="표준 5 2 4 2 5 2 2 6" xfId="34873" xr:uid="{00000000-0005-0000-0000-0000345D0000}"/>
    <cellStyle name="표준 5 2 4 2 5 2 2 7" xfId="43066" xr:uid="{00000000-0005-0000-0000-0000355D0000}"/>
    <cellStyle name="표준 5 2 4 2 5 2 3" xfId="8004" xr:uid="{00000000-0005-0000-0000-0000365D0000}"/>
    <cellStyle name="표준 5 2 4 2 5 2 3 2" xfId="28710" xr:uid="{00000000-0005-0000-0000-0000375D0000}"/>
    <cellStyle name="표준 5 2 4 2 5 2 3 3" xfId="36921" xr:uid="{00000000-0005-0000-0000-0000385D0000}"/>
    <cellStyle name="표준 5 2 4 2 5 2 3 4" xfId="45114" xr:uid="{00000000-0005-0000-0000-0000395D0000}"/>
    <cellStyle name="표준 5 2 4 2 5 2 4" xfId="12116" xr:uid="{00000000-0005-0000-0000-00003A5D0000}"/>
    <cellStyle name="표준 5 2 4 2 5 2 5" xfId="16356" xr:uid="{00000000-0005-0000-0000-00003B5D0000}"/>
    <cellStyle name="표준 5 2 4 2 5 2 6" xfId="20518" xr:uid="{00000000-0005-0000-0000-00003C5D0000}"/>
    <cellStyle name="표준 5 2 4 2 5 2 7" xfId="24614" xr:uid="{00000000-0005-0000-0000-00003D5D0000}"/>
    <cellStyle name="표준 5 2 4 2 5 2 8" xfId="32825" xr:uid="{00000000-0005-0000-0000-00003E5D0000}"/>
    <cellStyle name="표준 5 2 4 2 5 2 9" xfId="41018" xr:uid="{00000000-0005-0000-0000-00003F5D0000}"/>
    <cellStyle name="표준 5 2 4 2 5 3" xfId="1661" xr:uid="{00000000-0005-0000-0000-0000405D0000}"/>
    <cellStyle name="표준 5 2 4 2 5 3 2" xfId="10564" xr:uid="{00000000-0005-0000-0000-0000415D0000}"/>
    <cellStyle name="표준 5 2 4 2 5 3 2 2" xfId="14676" xr:uid="{00000000-0005-0000-0000-0000425D0000}"/>
    <cellStyle name="표준 5 2 4 2 5 3 2 2 2" xfId="31270" xr:uid="{00000000-0005-0000-0000-0000435D0000}"/>
    <cellStyle name="표준 5 2 4 2 5 3 2 2 3" xfId="39481" xr:uid="{00000000-0005-0000-0000-0000445D0000}"/>
    <cellStyle name="표준 5 2 4 2 5 3 2 2 4" xfId="47674" xr:uid="{00000000-0005-0000-0000-0000455D0000}"/>
    <cellStyle name="표준 5 2 4 2 5 3 2 3" xfId="18916" xr:uid="{00000000-0005-0000-0000-0000465D0000}"/>
    <cellStyle name="표준 5 2 4 2 5 3 2 4" xfId="23078" xr:uid="{00000000-0005-0000-0000-0000475D0000}"/>
    <cellStyle name="표준 5 2 4 2 5 3 2 5" xfId="27174" xr:uid="{00000000-0005-0000-0000-0000485D0000}"/>
    <cellStyle name="표준 5 2 4 2 5 3 2 6" xfId="35385" xr:uid="{00000000-0005-0000-0000-0000495D0000}"/>
    <cellStyle name="표준 5 2 4 2 5 3 2 7" xfId="43578" xr:uid="{00000000-0005-0000-0000-00004A5D0000}"/>
    <cellStyle name="표준 5 2 4 2 5 3 3" xfId="8516" xr:uid="{00000000-0005-0000-0000-00004B5D0000}"/>
    <cellStyle name="표준 5 2 4 2 5 3 3 2" xfId="29222" xr:uid="{00000000-0005-0000-0000-00004C5D0000}"/>
    <cellStyle name="표준 5 2 4 2 5 3 3 3" xfId="37433" xr:uid="{00000000-0005-0000-0000-00004D5D0000}"/>
    <cellStyle name="표준 5 2 4 2 5 3 3 4" xfId="45626" xr:uid="{00000000-0005-0000-0000-00004E5D0000}"/>
    <cellStyle name="표준 5 2 4 2 5 3 4" xfId="12628" xr:uid="{00000000-0005-0000-0000-00004F5D0000}"/>
    <cellStyle name="표준 5 2 4 2 5 3 5" xfId="16868" xr:uid="{00000000-0005-0000-0000-0000505D0000}"/>
    <cellStyle name="표준 5 2 4 2 5 3 6" xfId="21030" xr:uid="{00000000-0005-0000-0000-0000515D0000}"/>
    <cellStyle name="표준 5 2 4 2 5 3 7" xfId="25126" xr:uid="{00000000-0005-0000-0000-0000525D0000}"/>
    <cellStyle name="표준 5 2 4 2 5 3 8" xfId="33337" xr:uid="{00000000-0005-0000-0000-0000535D0000}"/>
    <cellStyle name="표준 5 2 4 2 5 3 9" xfId="41530" xr:uid="{00000000-0005-0000-0000-0000545D0000}"/>
    <cellStyle name="표준 5 2 4 2 5 4" xfId="2173" xr:uid="{00000000-0005-0000-0000-0000555D0000}"/>
    <cellStyle name="표준 5 2 4 2 5 4 2" xfId="11076" xr:uid="{00000000-0005-0000-0000-0000565D0000}"/>
    <cellStyle name="표준 5 2 4 2 5 4 2 2" xfId="15188" xr:uid="{00000000-0005-0000-0000-0000575D0000}"/>
    <cellStyle name="표준 5 2 4 2 5 4 2 2 2" xfId="31782" xr:uid="{00000000-0005-0000-0000-0000585D0000}"/>
    <cellStyle name="표준 5 2 4 2 5 4 2 2 3" xfId="39993" xr:uid="{00000000-0005-0000-0000-0000595D0000}"/>
    <cellStyle name="표준 5 2 4 2 5 4 2 2 4" xfId="48186" xr:uid="{00000000-0005-0000-0000-00005A5D0000}"/>
    <cellStyle name="표준 5 2 4 2 5 4 2 3" xfId="19428" xr:uid="{00000000-0005-0000-0000-00005B5D0000}"/>
    <cellStyle name="표준 5 2 4 2 5 4 2 4" xfId="23590" xr:uid="{00000000-0005-0000-0000-00005C5D0000}"/>
    <cellStyle name="표준 5 2 4 2 5 4 2 5" xfId="27686" xr:uid="{00000000-0005-0000-0000-00005D5D0000}"/>
    <cellStyle name="표준 5 2 4 2 5 4 2 6" xfId="35897" xr:uid="{00000000-0005-0000-0000-00005E5D0000}"/>
    <cellStyle name="표준 5 2 4 2 5 4 2 7" xfId="44090" xr:uid="{00000000-0005-0000-0000-00005F5D0000}"/>
    <cellStyle name="표준 5 2 4 2 5 4 3" xfId="9028" xr:uid="{00000000-0005-0000-0000-0000605D0000}"/>
    <cellStyle name="표준 5 2 4 2 5 4 3 2" xfId="29734" xr:uid="{00000000-0005-0000-0000-0000615D0000}"/>
    <cellStyle name="표준 5 2 4 2 5 4 3 3" xfId="37945" xr:uid="{00000000-0005-0000-0000-0000625D0000}"/>
    <cellStyle name="표준 5 2 4 2 5 4 3 4" xfId="46138" xr:uid="{00000000-0005-0000-0000-0000635D0000}"/>
    <cellStyle name="표준 5 2 4 2 5 4 4" xfId="13140" xr:uid="{00000000-0005-0000-0000-0000645D0000}"/>
    <cellStyle name="표준 5 2 4 2 5 4 5" xfId="17380" xr:uid="{00000000-0005-0000-0000-0000655D0000}"/>
    <cellStyle name="표준 5 2 4 2 5 4 6" xfId="21542" xr:uid="{00000000-0005-0000-0000-0000665D0000}"/>
    <cellStyle name="표준 5 2 4 2 5 4 7" xfId="25638" xr:uid="{00000000-0005-0000-0000-0000675D0000}"/>
    <cellStyle name="표준 5 2 4 2 5 4 8" xfId="33849" xr:uid="{00000000-0005-0000-0000-0000685D0000}"/>
    <cellStyle name="표준 5 2 4 2 5 4 9" xfId="42042" xr:uid="{00000000-0005-0000-0000-0000695D0000}"/>
    <cellStyle name="표준 5 2 4 2 5 5" xfId="9540" xr:uid="{00000000-0005-0000-0000-00006A5D0000}"/>
    <cellStyle name="표준 5 2 4 2 5 5 2" xfId="13652" xr:uid="{00000000-0005-0000-0000-00006B5D0000}"/>
    <cellStyle name="표준 5 2 4 2 5 5 2 2" xfId="30246" xr:uid="{00000000-0005-0000-0000-00006C5D0000}"/>
    <cellStyle name="표준 5 2 4 2 5 5 2 3" xfId="38457" xr:uid="{00000000-0005-0000-0000-00006D5D0000}"/>
    <cellStyle name="표준 5 2 4 2 5 5 2 4" xfId="46650" xr:uid="{00000000-0005-0000-0000-00006E5D0000}"/>
    <cellStyle name="표준 5 2 4 2 5 5 3" xfId="17892" xr:uid="{00000000-0005-0000-0000-00006F5D0000}"/>
    <cellStyle name="표준 5 2 4 2 5 5 4" xfId="22054" xr:uid="{00000000-0005-0000-0000-0000705D0000}"/>
    <cellStyle name="표준 5 2 4 2 5 5 5" xfId="26150" xr:uid="{00000000-0005-0000-0000-0000715D0000}"/>
    <cellStyle name="표준 5 2 4 2 5 5 6" xfId="34361" xr:uid="{00000000-0005-0000-0000-0000725D0000}"/>
    <cellStyle name="표준 5 2 4 2 5 5 7" xfId="42554" xr:uid="{00000000-0005-0000-0000-0000735D0000}"/>
    <cellStyle name="표준 5 2 4 2 5 6" xfId="7492" xr:uid="{00000000-0005-0000-0000-0000745D0000}"/>
    <cellStyle name="표준 5 2 4 2 5 6 2" xfId="28198" xr:uid="{00000000-0005-0000-0000-0000755D0000}"/>
    <cellStyle name="표준 5 2 4 2 5 6 3" xfId="36409" xr:uid="{00000000-0005-0000-0000-0000765D0000}"/>
    <cellStyle name="표준 5 2 4 2 5 6 4" xfId="44602" xr:uid="{00000000-0005-0000-0000-0000775D0000}"/>
    <cellStyle name="표준 5 2 4 2 5 7" xfId="11604" xr:uid="{00000000-0005-0000-0000-0000785D0000}"/>
    <cellStyle name="표준 5 2 4 2 5 8" xfId="15844" xr:uid="{00000000-0005-0000-0000-0000795D0000}"/>
    <cellStyle name="표준 5 2 4 2 5 9" xfId="20006" xr:uid="{00000000-0005-0000-0000-00007A5D0000}"/>
    <cellStyle name="표준 5 2 4 2 6" xfId="893" xr:uid="{00000000-0005-0000-0000-00007B5D0000}"/>
    <cellStyle name="표준 5 2 4 2 6 2" xfId="9796" xr:uid="{00000000-0005-0000-0000-00007C5D0000}"/>
    <cellStyle name="표준 5 2 4 2 6 2 2" xfId="13908" xr:uid="{00000000-0005-0000-0000-00007D5D0000}"/>
    <cellStyle name="표준 5 2 4 2 6 2 2 2" xfId="30502" xr:uid="{00000000-0005-0000-0000-00007E5D0000}"/>
    <cellStyle name="표준 5 2 4 2 6 2 2 3" xfId="38713" xr:uid="{00000000-0005-0000-0000-00007F5D0000}"/>
    <cellStyle name="표준 5 2 4 2 6 2 2 4" xfId="46906" xr:uid="{00000000-0005-0000-0000-0000805D0000}"/>
    <cellStyle name="표준 5 2 4 2 6 2 3" xfId="18148" xr:uid="{00000000-0005-0000-0000-0000815D0000}"/>
    <cellStyle name="표준 5 2 4 2 6 2 4" xfId="22310" xr:uid="{00000000-0005-0000-0000-0000825D0000}"/>
    <cellStyle name="표준 5 2 4 2 6 2 5" xfId="26406" xr:uid="{00000000-0005-0000-0000-0000835D0000}"/>
    <cellStyle name="표준 5 2 4 2 6 2 6" xfId="34617" xr:uid="{00000000-0005-0000-0000-0000845D0000}"/>
    <cellStyle name="표준 5 2 4 2 6 2 7" xfId="42810" xr:uid="{00000000-0005-0000-0000-0000855D0000}"/>
    <cellStyle name="표준 5 2 4 2 6 3" xfId="7748" xr:uid="{00000000-0005-0000-0000-0000865D0000}"/>
    <cellStyle name="표준 5 2 4 2 6 3 2" xfId="28454" xr:uid="{00000000-0005-0000-0000-0000875D0000}"/>
    <cellStyle name="표준 5 2 4 2 6 3 3" xfId="36665" xr:uid="{00000000-0005-0000-0000-0000885D0000}"/>
    <cellStyle name="표준 5 2 4 2 6 3 4" xfId="44858" xr:uid="{00000000-0005-0000-0000-0000895D0000}"/>
    <cellStyle name="표준 5 2 4 2 6 4" xfId="11860" xr:uid="{00000000-0005-0000-0000-00008A5D0000}"/>
    <cellStyle name="표준 5 2 4 2 6 5" xfId="16100" xr:uid="{00000000-0005-0000-0000-00008B5D0000}"/>
    <cellStyle name="표준 5 2 4 2 6 6" xfId="20262" xr:uid="{00000000-0005-0000-0000-00008C5D0000}"/>
    <cellStyle name="표준 5 2 4 2 6 7" xfId="24358" xr:uid="{00000000-0005-0000-0000-00008D5D0000}"/>
    <cellStyle name="표준 5 2 4 2 6 8" xfId="32569" xr:uid="{00000000-0005-0000-0000-00008E5D0000}"/>
    <cellStyle name="표준 5 2 4 2 6 9" xfId="40762" xr:uid="{00000000-0005-0000-0000-00008F5D0000}"/>
    <cellStyle name="표준 5 2 4 2 7" xfId="1405" xr:uid="{00000000-0005-0000-0000-0000905D0000}"/>
    <cellStyle name="표준 5 2 4 2 7 2" xfId="10308" xr:uid="{00000000-0005-0000-0000-0000915D0000}"/>
    <cellStyle name="표준 5 2 4 2 7 2 2" xfId="14420" xr:uid="{00000000-0005-0000-0000-0000925D0000}"/>
    <cellStyle name="표준 5 2 4 2 7 2 2 2" xfId="31014" xr:uid="{00000000-0005-0000-0000-0000935D0000}"/>
    <cellStyle name="표준 5 2 4 2 7 2 2 3" xfId="39225" xr:uid="{00000000-0005-0000-0000-0000945D0000}"/>
    <cellStyle name="표준 5 2 4 2 7 2 2 4" xfId="47418" xr:uid="{00000000-0005-0000-0000-0000955D0000}"/>
    <cellStyle name="표준 5 2 4 2 7 2 3" xfId="18660" xr:uid="{00000000-0005-0000-0000-0000965D0000}"/>
    <cellStyle name="표준 5 2 4 2 7 2 4" xfId="22822" xr:uid="{00000000-0005-0000-0000-0000975D0000}"/>
    <cellStyle name="표준 5 2 4 2 7 2 5" xfId="26918" xr:uid="{00000000-0005-0000-0000-0000985D0000}"/>
    <cellStyle name="표준 5 2 4 2 7 2 6" xfId="35129" xr:uid="{00000000-0005-0000-0000-0000995D0000}"/>
    <cellStyle name="표준 5 2 4 2 7 2 7" xfId="43322" xr:uid="{00000000-0005-0000-0000-00009A5D0000}"/>
    <cellStyle name="표준 5 2 4 2 7 3" xfId="8260" xr:uid="{00000000-0005-0000-0000-00009B5D0000}"/>
    <cellStyle name="표준 5 2 4 2 7 3 2" xfId="28966" xr:uid="{00000000-0005-0000-0000-00009C5D0000}"/>
    <cellStyle name="표준 5 2 4 2 7 3 3" xfId="37177" xr:uid="{00000000-0005-0000-0000-00009D5D0000}"/>
    <cellStyle name="표준 5 2 4 2 7 3 4" xfId="45370" xr:uid="{00000000-0005-0000-0000-00009E5D0000}"/>
    <cellStyle name="표준 5 2 4 2 7 4" xfId="12372" xr:uid="{00000000-0005-0000-0000-00009F5D0000}"/>
    <cellStyle name="표준 5 2 4 2 7 5" xfId="16612" xr:uid="{00000000-0005-0000-0000-0000A05D0000}"/>
    <cellStyle name="표준 5 2 4 2 7 6" xfId="20774" xr:uid="{00000000-0005-0000-0000-0000A15D0000}"/>
    <cellStyle name="표준 5 2 4 2 7 7" xfId="24870" xr:uid="{00000000-0005-0000-0000-0000A25D0000}"/>
    <cellStyle name="표준 5 2 4 2 7 8" xfId="33081" xr:uid="{00000000-0005-0000-0000-0000A35D0000}"/>
    <cellStyle name="표준 5 2 4 2 7 9" xfId="41274" xr:uid="{00000000-0005-0000-0000-0000A45D0000}"/>
    <cellStyle name="표준 5 2 4 2 8" xfId="1917" xr:uid="{00000000-0005-0000-0000-0000A55D0000}"/>
    <cellStyle name="표준 5 2 4 2 8 2" xfId="10820" xr:uid="{00000000-0005-0000-0000-0000A65D0000}"/>
    <cellStyle name="표준 5 2 4 2 8 2 2" xfId="14932" xr:uid="{00000000-0005-0000-0000-0000A75D0000}"/>
    <cellStyle name="표준 5 2 4 2 8 2 2 2" xfId="31526" xr:uid="{00000000-0005-0000-0000-0000A85D0000}"/>
    <cellStyle name="표준 5 2 4 2 8 2 2 3" xfId="39737" xr:uid="{00000000-0005-0000-0000-0000A95D0000}"/>
    <cellStyle name="표준 5 2 4 2 8 2 2 4" xfId="47930" xr:uid="{00000000-0005-0000-0000-0000AA5D0000}"/>
    <cellStyle name="표준 5 2 4 2 8 2 3" xfId="19172" xr:uid="{00000000-0005-0000-0000-0000AB5D0000}"/>
    <cellStyle name="표준 5 2 4 2 8 2 4" xfId="23334" xr:uid="{00000000-0005-0000-0000-0000AC5D0000}"/>
    <cellStyle name="표준 5 2 4 2 8 2 5" xfId="27430" xr:uid="{00000000-0005-0000-0000-0000AD5D0000}"/>
    <cellStyle name="표준 5 2 4 2 8 2 6" xfId="35641" xr:uid="{00000000-0005-0000-0000-0000AE5D0000}"/>
    <cellStyle name="표준 5 2 4 2 8 2 7" xfId="43834" xr:uid="{00000000-0005-0000-0000-0000AF5D0000}"/>
    <cellStyle name="표준 5 2 4 2 8 3" xfId="8772" xr:uid="{00000000-0005-0000-0000-0000B05D0000}"/>
    <cellStyle name="표준 5 2 4 2 8 3 2" xfId="29478" xr:uid="{00000000-0005-0000-0000-0000B15D0000}"/>
    <cellStyle name="표준 5 2 4 2 8 3 3" xfId="37689" xr:uid="{00000000-0005-0000-0000-0000B25D0000}"/>
    <cellStyle name="표준 5 2 4 2 8 3 4" xfId="45882" xr:uid="{00000000-0005-0000-0000-0000B35D0000}"/>
    <cellStyle name="표준 5 2 4 2 8 4" xfId="12884" xr:uid="{00000000-0005-0000-0000-0000B45D0000}"/>
    <cellStyle name="표준 5 2 4 2 8 5" xfId="17124" xr:uid="{00000000-0005-0000-0000-0000B55D0000}"/>
    <cellStyle name="표준 5 2 4 2 8 6" xfId="21286" xr:uid="{00000000-0005-0000-0000-0000B65D0000}"/>
    <cellStyle name="표준 5 2 4 2 8 7" xfId="25382" xr:uid="{00000000-0005-0000-0000-0000B75D0000}"/>
    <cellStyle name="표준 5 2 4 2 8 8" xfId="33593" xr:uid="{00000000-0005-0000-0000-0000B85D0000}"/>
    <cellStyle name="표준 5 2 4 2 8 9" xfId="41786" xr:uid="{00000000-0005-0000-0000-0000B95D0000}"/>
    <cellStyle name="표준 5 2 4 2 9" xfId="6973" xr:uid="{00000000-0005-0000-0000-0000BA5D0000}"/>
    <cellStyle name="표준 5 2 4 2 9 2" xfId="9284" xr:uid="{00000000-0005-0000-0000-0000BB5D0000}"/>
    <cellStyle name="표준 5 2 4 2 9 2 2" xfId="29990" xr:uid="{00000000-0005-0000-0000-0000BC5D0000}"/>
    <cellStyle name="표준 5 2 4 2 9 2 3" xfId="38201" xr:uid="{00000000-0005-0000-0000-0000BD5D0000}"/>
    <cellStyle name="표준 5 2 4 2 9 2 4" xfId="46394" xr:uid="{00000000-0005-0000-0000-0000BE5D0000}"/>
    <cellStyle name="표준 5 2 4 2 9 3" xfId="13396" xr:uid="{00000000-0005-0000-0000-0000BF5D0000}"/>
    <cellStyle name="표준 5 2 4 2 9 4" xfId="17636" xr:uid="{00000000-0005-0000-0000-0000C05D0000}"/>
    <cellStyle name="표준 5 2 4 2 9 5" xfId="21798" xr:uid="{00000000-0005-0000-0000-0000C15D0000}"/>
    <cellStyle name="표준 5 2 4 2 9 6" xfId="25894" xr:uid="{00000000-0005-0000-0000-0000C25D0000}"/>
    <cellStyle name="표준 5 2 4 2 9 7" xfId="34105" xr:uid="{00000000-0005-0000-0000-0000C35D0000}"/>
    <cellStyle name="표준 5 2 4 2 9 8" xfId="42298" xr:uid="{00000000-0005-0000-0000-0000C45D0000}"/>
    <cellStyle name="표준 5 2 4 20" xfId="15444" xr:uid="{00000000-0005-0000-0000-0000C55D0000}"/>
    <cellStyle name="표준 5 2 4 21" xfId="15460" xr:uid="{00000000-0005-0000-0000-0000C65D0000}"/>
    <cellStyle name="표준 5 2 4 22" xfId="15556" xr:uid="{00000000-0005-0000-0000-0000C75D0000}"/>
    <cellStyle name="표준 5 2 4 23" xfId="15572" xr:uid="{00000000-0005-0000-0000-0000C85D0000}"/>
    <cellStyle name="표준 5 2 4 24" xfId="19668" xr:uid="{00000000-0005-0000-0000-0000C95D0000}"/>
    <cellStyle name="표준 5 2 4 25" xfId="19684" xr:uid="{00000000-0005-0000-0000-0000CA5D0000}"/>
    <cellStyle name="표준 5 2 4 26" xfId="19700" xr:uid="{00000000-0005-0000-0000-0000CB5D0000}"/>
    <cellStyle name="표준 5 2 4 27" xfId="19716" xr:uid="{00000000-0005-0000-0000-0000CC5D0000}"/>
    <cellStyle name="표준 5 2 4 28" xfId="19739" xr:uid="{00000000-0005-0000-0000-0000CD5D0000}"/>
    <cellStyle name="표준 5 2 4 29" xfId="23830" xr:uid="{00000000-0005-0000-0000-0000CE5D0000}"/>
    <cellStyle name="표준 5 2 4 3" xfId="297" xr:uid="{00000000-0005-0000-0000-0000CF5D0000}"/>
    <cellStyle name="표준 5 2 4 3 10" xfId="7169" xr:uid="{00000000-0005-0000-0000-0000D05D0000}"/>
    <cellStyle name="표준 5 2 4 3 11" xfId="7252" xr:uid="{00000000-0005-0000-0000-0000D15D0000}"/>
    <cellStyle name="표준 5 2 4 3 12" xfId="11364" xr:uid="{00000000-0005-0000-0000-0000D25D0000}"/>
    <cellStyle name="표준 5 2 4 3 13" xfId="15492" xr:uid="{00000000-0005-0000-0000-0000D35D0000}"/>
    <cellStyle name="표준 5 2 4 3 14" xfId="15604" xr:uid="{00000000-0005-0000-0000-0000D45D0000}"/>
    <cellStyle name="표준 5 2 4 3 15" xfId="19766" xr:uid="{00000000-0005-0000-0000-0000D55D0000}"/>
    <cellStyle name="표준 5 2 4 3 16" xfId="23862" xr:uid="{00000000-0005-0000-0000-0000D65D0000}"/>
    <cellStyle name="표준 5 2 4 3 17" xfId="32073" xr:uid="{00000000-0005-0000-0000-0000D75D0000}"/>
    <cellStyle name="표준 5 2 4 3 18" xfId="40266" xr:uid="{00000000-0005-0000-0000-0000D85D0000}"/>
    <cellStyle name="표준 5 2 4 3 19" xfId="49696" xr:uid="{00000000-0005-0000-0000-0000D95D0000}"/>
    <cellStyle name="표준 5 2 4 3 2" xfId="461" xr:uid="{00000000-0005-0000-0000-0000DA5D0000}"/>
    <cellStyle name="표준 5 2 4 3 2 10" xfId="11428" xr:uid="{00000000-0005-0000-0000-0000DB5D0000}"/>
    <cellStyle name="표준 5 2 4 3 2 11" xfId="15540" xr:uid="{00000000-0005-0000-0000-0000DC5D0000}"/>
    <cellStyle name="표준 5 2 4 3 2 12" xfId="15668" xr:uid="{00000000-0005-0000-0000-0000DD5D0000}"/>
    <cellStyle name="표준 5 2 4 3 2 13" xfId="19830" xr:uid="{00000000-0005-0000-0000-0000DE5D0000}"/>
    <cellStyle name="표준 5 2 4 3 2 14" xfId="23926" xr:uid="{00000000-0005-0000-0000-0000DF5D0000}"/>
    <cellStyle name="표준 5 2 4 3 2 15" xfId="32137" xr:uid="{00000000-0005-0000-0000-0000E05D0000}"/>
    <cellStyle name="표준 5 2 4 3 2 16" xfId="40330" xr:uid="{00000000-0005-0000-0000-0000E15D0000}"/>
    <cellStyle name="표준 5 2 4 3 2 2" xfId="589" xr:uid="{00000000-0005-0000-0000-0000E25D0000}"/>
    <cellStyle name="표준 5 2 4 3 2 2 10" xfId="19958" xr:uid="{00000000-0005-0000-0000-0000E35D0000}"/>
    <cellStyle name="표준 5 2 4 3 2 2 11" xfId="24054" xr:uid="{00000000-0005-0000-0000-0000E45D0000}"/>
    <cellStyle name="표준 5 2 4 3 2 2 12" xfId="32265" xr:uid="{00000000-0005-0000-0000-0000E55D0000}"/>
    <cellStyle name="표준 5 2 4 3 2 2 13" xfId="40458" xr:uid="{00000000-0005-0000-0000-0000E65D0000}"/>
    <cellStyle name="표준 5 2 4 3 2 2 2" xfId="845" xr:uid="{00000000-0005-0000-0000-0000E75D0000}"/>
    <cellStyle name="표준 5 2 4 3 2 2 2 10" xfId="24310" xr:uid="{00000000-0005-0000-0000-0000E85D0000}"/>
    <cellStyle name="표준 5 2 4 3 2 2 2 11" xfId="32521" xr:uid="{00000000-0005-0000-0000-0000E95D0000}"/>
    <cellStyle name="표준 5 2 4 3 2 2 2 12" xfId="40714" xr:uid="{00000000-0005-0000-0000-0000EA5D0000}"/>
    <cellStyle name="표준 5 2 4 3 2 2 2 2" xfId="1357" xr:uid="{00000000-0005-0000-0000-0000EB5D0000}"/>
    <cellStyle name="표준 5 2 4 3 2 2 2 2 2" xfId="10260" xr:uid="{00000000-0005-0000-0000-0000EC5D0000}"/>
    <cellStyle name="표준 5 2 4 3 2 2 2 2 2 2" xfId="14372" xr:uid="{00000000-0005-0000-0000-0000ED5D0000}"/>
    <cellStyle name="표준 5 2 4 3 2 2 2 2 2 2 2" xfId="30966" xr:uid="{00000000-0005-0000-0000-0000EE5D0000}"/>
    <cellStyle name="표준 5 2 4 3 2 2 2 2 2 2 3" xfId="39177" xr:uid="{00000000-0005-0000-0000-0000EF5D0000}"/>
    <cellStyle name="표준 5 2 4 3 2 2 2 2 2 2 4" xfId="47370" xr:uid="{00000000-0005-0000-0000-0000F05D0000}"/>
    <cellStyle name="표준 5 2 4 3 2 2 2 2 2 3" xfId="18612" xr:uid="{00000000-0005-0000-0000-0000F15D0000}"/>
    <cellStyle name="표준 5 2 4 3 2 2 2 2 2 4" xfId="22774" xr:uid="{00000000-0005-0000-0000-0000F25D0000}"/>
    <cellStyle name="표준 5 2 4 3 2 2 2 2 2 5" xfId="26870" xr:uid="{00000000-0005-0000-0000-0000F35D0000}"/>
    <cellStyle name="표준 5 2 4 3 2 2 2 2 2 6" xfId="35081" xr:uid="{00000000-0005-0000-0000-0000F45D0000}"/>
    <cellStyle name="표준 5 2 4 3 2 2 2 2 2 7" xfId="43274" xr:uid="{00000000-0005-0000-0000-0000F55D0000}"/>
    <cellStyle name="표준 5 2 4 3 2 2 2 2 3" xfId="8212" xr:uid="{00000000-0005-0000-0000-0000F65D0000}"/>
    <cellStyle name="표준 5 2 4 3 2 2 2 2 3 2" xfId="28918" xr:uid="{00000000-0005-0000-0000-0000F75D0000}"/>
    <cellStyle name="표준 5 2 4 3 2 2 2 2 3 3" xfId="37129" xr:uid="{00000000-0005-0000-0000-0000F85D0000}"/>
    <cellStyle name="표준 5 2 4 3 2 2 2 2 3 4" xfId="45322" xr:uid="{00000000-0005-0000-0000-0000F95D0000}"/>
    <cellStyle name="표준 5 2 4 3 2 2 2 2 4" xfId="12324" xr:uid="{00000000-0005-0000-0000-0000FA5D0000}"/>
    <cellStyle name="표준 5 2 4 3 2 2 2 2 5" xfId="16564" xr:uid="{00000000-0005-0000-0000-0000FB5D0000}"/>
    <cellStyle name="표준 5 2 4 3 2 2 2 2 6" xfId="20726" xr:uid="{00000000-0005-0000-0000-0000FC5D0000}"/>
    <cellStyle name="표준 5 2 4 3 2 2 2 2 7" xfId="24822" xr:uid="{00000000-0005-0000-0000-0000FD5D0000}"/>
    <cellStyle name="표준 5 2 4 3 2 2 2 2 8" xfId="33033" xr:uid="{00000000-0005-0000-0000-0000FE5D0000}"/>
    <cellStyle name="표준 5 2 4 3 2 2 2 2 9" xfId="41226" xr:uid="{00000000-0005-0000-0000-0000FF5D0000}"/>
    <cellStyle name="표준 5 2 4 3 2 2 2 3" xfId="1869" xr:uid="{00000000-0005-0000-0000-0000005E0000}"/>
    <cellStyle name="표준 5 2 4 3 2 2 2 3 2" xfId="10772" xr:uid="{00000000-0005-0000-0000-0000015E0000}"/>
    <cellStyle name="표준 5 2 4 3 2 2 2 3 2 2" xfId="14884" xr:uid="{00000000-0005-0000-0000-0000025E0000}"/>
    <cellStyle name="표준 5 2 4 3 2 2 2 3 2 2 2" xfId="31478" xr:uid="{00000000-0005-0000-0000-0000035E0000}"/>
    <cellStyle name="표준 5 2 4 3 2 2 2 3 2 2 3" xfId="39689" xr:uid="{00000000-0005-0000-0000-0000045E0000}"/>
    <cellStyle name="표준 5 2 4 3 2 2 2 3 2 2 4" xfId="47882" xr:uid="{00000000-0005-0000-0000-0000055E0000}"/>
    <cellStyle name="표준 5 2 4 3 2 2 2 3 2 3" xfId="19124" xr:uid="{00000000-0005-0000-0000-0000065E0000}"/>
    <cellStyle name="표준 5 2 4 3 2 2 2 3 2 4" xfId="23286" xr:uid="{00000000-0005-0000-0000-0000075E0000}"/>
    <cellStyle name="표준 5 2 4 3 2 2 2 3 2 5" xfId="27382" xr:uid="{00000000-0005-0000-0000-0000085E0000}"/>
    <cellStyle name="표준 5 2 4 3 2 2 2 3 2 6" xfId="35593" xr:uid="{00000000-0005-0000-0000-0000095E0000}"/>
    <cellStyle name="표준 5 2 4 3 2 2 2 3 2 7" xfId="43786" xr:uid="{00000000-0005-0000-0000-00000A5E0000}"/>
    <cellStyle name="표준 5 2 4 3 2 2 2 3 3" xfId="8724" xr:uid="{00000000-0005-0000-0000-00000B5E0000}"/>
    <cellStyle name="표준 5 2 4 3 2 2 2 3 3 2" xfId="29430" xr:uid="{00000000-0005-0000-0000-00000C5E0000}"/>
    <cellStyle name="표준 5 2 4 3 2 2 2 3 3 3" xfId="37641" xr:uid="{00000000-0005-0000-0000-00000D5E0000}"/>
    <cellStyle name="표준 5 2 4 3 2 2 2 3 3 4" xfId="45834" xr:uid="{00000000-0005-0000-0000-00000E5E0000}"/>
    <cellStyle name="표준 5 2 4 3 2 2 2 3 4" xfId="12836" xr:uid="{00000000-0005-0000-0000-00000F5E0000}"/>
    <cellStyle name="표준 5 2 4 3 2 2 2 3 5" xfId="17076" xr:uid="{00000000-0005-0000-0000-0000105E0000}"/>
    <cellStyle name="표준 5 2 4 3 2 2 2 3 6" xfId="21238" xr:uid="{00000000-0005-0000-0000-0000115E0000}"/>
    <cellStyle name="표준 5 2 4 3 2 2 2 3 7" xfId="25334" xr:uid="{00000000-0005-0000-0000-0000125E0000}"/>
    <cellStyle name="표준 5 2 4 3 2 2 2 3 8" xfId="33545" xr:uid="{00000000-0005-0000-0000-0000135E0000}"/>
    <cellStyle name="표준 5 2 4 3 2 2 2 3 9" xfId="41738" xr:uid="{00000000-0005-0000-0000-0000145E0000}"/>
    <cellStyle name="표준 5 2 4 3 2 2 2 4" xfId="2381" xr:uid="{00000000-0005-0000-0000-0000155E0000}"/>
    <cellStyle name="표준 5 2 4 3 2 2 2 4 2" xfId="11284" xr:uid="{00000000-0005-0000-0000-0000165E0000}"/>
    <cellStyle name="표준 5 2 4 3 2 2 2 4 2 2" xfId="15396" xr:uid="{00000000-0005-0000-0000-0000175E0000}"/>
    <cellStyle name="표준 5 2 4 3 2 2 2 4 2 2 2" xfId="31990" xr:uid="{00000000-0005-0000-0000-0000185E0000}"/>
    <cellStyle name="표준 5 2 4 3 2 2 2 4 2 2 3" xfId="40201" xr:uid="{00000000-0005-0000-0000-0000195E0000}"/>
    <cellStyle name="표준 5 2 4 3 2 2 2 4 2 2 4" xfId="48394" xr:uid="{00000000-0005-0000-0000-00001A5E0000}"/>
    <cellStyle name="표준 5 2 4 3 2 2 2 4 2 3" xfId="19636" xr:uid="{00000000-0005-0000-0000-00001B5E0000}"/>
    <cellStyle name="표준 5 2 4 3 2 2 2 4 2 4" xfId="23798" xr:uid="{00000000-0005-0000-0000-00001C5E0000}"/>
    <cellStyle name="표준 5 2 4 3 2 2 2 4 2 5" xfId="27894" xr:uid="{00000000-0005-0000-0000-00001D5E0000}"/>
    <cellStyle name="표준 5 2 4 3 2 2 2 4 2 6" xfId="36105" xr:uid="{00000000-0005-0000-0000-00001E5E0000}"/>
    <cellStyle name="표준 5 2 4 3 2 2 2 4 2 7" xfId="44298" xr:uid="{00000000-0005-0000-0000-00001F5E0000}"/>
    <cellStyle name="표준 5 2 4 3 2 2 2 4 3" xfId="9236" xr:uid="{00000000-0005-0000-0000-0000205E0000}"/>
    <cellStyle name="표준 5 2 4 3 2 2 2 4 3 2" xfId="29942" xr:uid="{00000000-0005-0000-0000-0000215E0000}"/>
    <cellStyle name="표준 5 2 4 3 2 2 2 4 3 3" xfId="38153" xr:uid="{00000000-0005-0000-0000-0000225E0000}"/>
    <cellStyle name="표준 5 2 4 3 2 2 2 4 3 4" xfId="46346" xr:uid="{00000000-0005-0000-0000-0000235E0000}"/>
    <cellStyle name="표준 5 2 4 3 2 2 2 4 4" xfId="13348" xr:uid="{00000000-0005-0000-0000-0000245E0000}"/>
    <cellStyle name="표준 5 2 4 3 2 2 2 4 5" xfId="17588" xr:uid="{00000000-0005-0000-0000-0000255E0000}"/>
    <cellStyle name="표준 5 2 4 3 2 2 2 4 6" xfId="21750" xr:uid="{00000000-0005-0000-0000-0000265E0000}"/>
    <cellStyle name="표준 5 2 4 3 2 2 2 4 7" xfId="25846" xr:uid="{00000000-0005-0000-0000-0000275E0000}"/>
    <cellStyle name="표준 5 2 4 3 2 2 2 4 8" xfId="34057" xr:uid="{00000000-0005-0000-0000-0000285E0000}"/>
    <cellStyle name="표준 5 2 4 3 2 2 2 4 9" xfId="42250" xr:uid="{00000000-0005-0000-0000-0000295E0000}"/>
    <cellStyle name="표준 5 2 4 3 2 2 2 5" xfId="9748" xr:uid="{00000000-0005-0000-0000-00002A5E0000}"/>
    <cellStyle name="표준 5 2 4 3 2 2 2 5 2" xfId="13860" xr:uid="{00000000-0005-0000-0000-00002B5E0000}"/>
    <cellStyle name="표준 5 2 4 3 2 2 2 5 2 2" xfId="30454" xr:uid="{00000000-0005-0000-0000-00002C5E0000}"/>
    <cellStyle name="표준 5 2 4 3 2 2 2 5 2 3" xfId="38665" xr:uid="{00000000-0005-0000-0000-00002D5E0000}"/>
    <cellStyle name="표준 5 2 4 3 2 2 2 5 2 4" xfId="46858" xr:uid="{00000000-0005-0000-0000-00002E5E0000}"/>
    <cellStyle name="표준 5 2 4 3 2 2 2 5 3" xfId="18100" xr:uid="{00000000-0005-0000-0000-00002F5E0000}"/>
    <cellStyle name="표준 5 2 4 3 2 2 2 5 4" xfId="22262" xr:uid="{00000000-0005-0000-0000-0000305E0000}"/>
    <cellStyle name="표준 5 2 4 3 2 2 2 5 5" xfId="26358" xr:uid="{00000000-0005-0000-0000-0000315E0000}"/>
    <cellStyle name="표준 5 2 4 3 2 2 2 5 6" xfId="34569" xr:uid="{00000000-0005-0000-0000-0000325E0000}"/>
    <cellStyle name="표준 5 2 4 3 2 2 2 5 7" xfId="42762" xr:uid="{00000000-0005-0000-0000-0000335E0000}"/>
    <cellStyle name="표준 5 2 4 3 2 2 2 6" xfId="7700" xr:uid="{00000000-0005-0000-0000-0000345E0000}"/>
    <cellStyle name="표준 5 2 4 3 2 2 2 6 2" xfId="28406" xr:uid="{00000000-0005-0000-0000-0000355E0000}"/>
    <cellStyle name="표준 5 2 4 3 2 2 2 6 3" xfId="36617" xr:uid="{00000000-0005-0000-0000-0000365E0000}"/>
    <cellStyle name="표준 5 2 4 3 2 2 2 6 4" xfId="44810" xr:uid="{00000000-0005-0000-0000-0000375E0000}"/>
    <cellStyle name="표준 5 2 4 3 2 2 2 7" xfId="11812" xr:uid="{00000000-0005-0000-0000-0000385E0000}"/>
    <cellStyle name="표준 5 2 4 3 2 2 2 8" xfId="16052" xr:uid="{00000000-0005-0000-0000-0000395E0000}"/>
    <cellStyle name="표준 5 2 4 3 2 2 2 9" xfId="20214" xr:uid="{00000000-0005-0000-0000-00003A5E0000}"/>
    <cellStyle name="표준 5 2 4 3 2 2 3" xfId="1101" xr:uid="{00000000-0005-0000-0000-00003B5E0000}"/>
    <cellStyle name="표준 5 2 4 3 2 2 3 2" xfId="10004" xr:uid="{00000000-0005-0000-0000-00003C5E0000}"/>
    <cellStyle name="표준 5 2 4 3 2 2 3 2 2" xfId="14116" xr:uid="{00000000-0005-0000-0000-00003D5E0000}"/>
    <cellStyle name="표준 5 2 4 3 2 2 3 2 2 2" xfId="30710" xr:uid="{00000000-0005-0000-0000-00003E5E0000}"/>
    <cellStyle name="표준 5 2 4 3 2 2 3 2 2 3" xfId="38921" xr:uid="{00000000-0005-0000-0000-00003F5E0000}"/>
    <cellStyle name="표준 5 2 4 3 2 2 3 2 2 4" xfId="47114" xr:uid="{00000000-0005-0000-0000-0000405E0000}"/>
    <cellStyle name="표준 5 2 4 3 2 2 3 2 3" xfId="18356" xr:uid="{00000000-0005-0000-0000-0000415E0000}"/>
    <cellStyle name="표준 5 2 4 3 2 2 3 2 4" xfId="22518" xr:uid="{00000000-0005-0000-0000-0000425E0000}"/>
    <cellStyle name="표준 5 2 4 3 2 2 3 2 5" xfId="26614" xr:uid="{00000000-0005-0000-0000-0000435E0000}"/>
    <cellStyle name="표준 5 2 4 3 2 2 3 2 6" xfId="34825" xr:uid="{00000000-0005-0000-0000-0000445E0000}"/>
    <cellStyle name="표준 5 2 4 3 2 2 3 2 7" xfId="43018" xr:uid="{00000000-0005-0000-0000-0000455E0000}"/>
    <cellStyle name="표준 5 2 4 3 2 2 3 3" xfId="7956" xr:uid="{00000000-0005-0000-0000-0000465E0000}"/>
    <cellStyle name="표준 5 2 4 3 2 2 3 3 2" xfId="28662" xr:uid="{00000000-0005-0000-0000-0000475E0000}"/>
    <cellStyle name="표준 5 2 4 3 2 2 3 3 3" xfId="36873" xr:uid="{00000000-0005-0000-0000-0000485E0000}"/>
    <cellStyle name="표준 5 2 4 3 2 2 3 3 4" xfId="45066" xr:uid="{00000000-0005-0000-0000-0000495E0000}"/>
    <cellStyle name="표준 5 2 4 3 2 2 3 4" xfId="12068" xr:uid="{00000000-0005-0000-0000-00004A5E0000}"/>
    <cellStyle name="표준 5 2 4 3 2 2 3 5" xfId="16308" xr:uid="{00000000-0005-0000-0000-00004B5E0000}"/>
    <cellStyle name="표준 5 2 4 3 2 2 3 6" xfId="20470" xr:uid="{00000000-0005-0000-0000-00004C5E0000}"/>
    <cellStyle name="표준 5 2 4 3 2 2 3 7" xfId="24566" xr:uid="{00000000-0005-0000-0000-00004D5E0000}"/>
    <cellStyle name="표준 5 2 4 3 2 2 3 8" xfId="32777" xr:uid="{00000000-0005-0000-0000-00004E5E0000}"/>
    <cellStyle name="표준 5 2 4 3 2 2 3 9" xfId="40970" xr:uid="{00000000-0005-0000-0000-00004F5E0000}"/>
    <cellStyle name="표준 5 2 4 3 2 2 4" xfId="1613" xr:uid="{00000000-0005-0000-0000-0000505E0000}"/>
    <cellStyle name="표준 5 2 4 3 2 2 4 2" xfId="10516" xr:uid="{00000000-0005-0000-0000-0000515E0000}"/>
    <cellStyle name="표준 5 2 4 3 2 2 4 2 2" xfId="14628" xr:uid="{00000000-0005-0000-0000-0000525E0000}"/>
    <cellStyle name="표준 5 2 4 3 2 2 4 2 2 2" xfId="31222" xr:uid="{00000000-0005-0000-0000-0000535E0000}"/>
    <cellStyle name="표준 5 2 4 3 2 2 4 2 2 3" xfId="39433" xr:uid="{00000000-0005-0000-0000-0000545E0000}"/>
    <cellStyle name="표준 5 2 4 3 2 2 4 2 2 4" xfId="47626" xr:uid="{00000000-0005-0000-0000-0000555E0000}"/>
    <cellStyle name="표준 5 2 4 3 2 2 4 2 3" xfId="18868" xr:uid="{00000000-0005-0000-0000-0000565E0000}"/>
    <cellStyle name="표준 5 2 4 3 2 2 4 2 4" xfId="23030" xr:uid="{00000000-0005-0000-0000-0000575E0000}"/>
    <cellStyle name="표준 5 2 4 3 2 2 4 2 5" xfId="27126" xr:uid="{00000000-0005-0000-0000-0000585E0000}"/>
    <cellStyle name="표준 5 2 4 3 2 2 4 2 6" xfId="35337" xr:uid="{00000000-0005-0000-0000-0000595E0000}"/>
    <cellStyle name="표준 5 2 4 3 2 2 4 2 7" xfId="43530" xr:uid="{00000000-0005-0000-0000-00005A5E0000}"/>
    <cellStyle name="표준 5 2 4 3 2 2 4 3" xfId="8468" xr:uid="{00000000-0005-0000-0000-00005B5E0000}"/>
    <cellStyle name="표준 5 2 4 3 2 2 4 3 2" xfId="29174" xr:uid="{00000000-0005-0000-0000-00005C5E0000}"/>
    <cellStyle name="표준 5 2 4 3 2 2 4 3 3" xfId="37385" xr:uid="{00000000-0005-0000-0000-00005D5E0000}"/>
    <cellStyle name="표준 5 2 4 3 2 2 4 3 4" xfId="45578" xr:uid="{00000000-0005-0000-0000-00005E5E0000}"/>
    <cellStyle name="표준 5 2 4 3 2 2 4 4" xfId="12580" xr:uid="{00000000-0005-0000-0000-00005F5E0000}"/>
    <cellStyle name="표준 5 2 4 3 2 2 4 5" xfId="16820" xr:uid="{00000000-0005-0000-0000-0000605E0000}"/>
    <cellStyle name="표준 5 2 4 3 2 2 4 6" xfId="20982" xr:uid="{00000000-0005-0000-0000-0000615E0000}"/>
    <cellStyle name="표준 5 2 4 3 2 2 4 7" xfId="25078" xr:uid="{00000000-0005-0000-0000-0000625E0000}"/>
    <cellStyle name="표준 5 2 4 3 2 2 4 8" xfId="33289" xr:uid="{00000000-0005-0000-0000-0000635E0000}"/>
    <cellStyle name="표준 5 2 4 3 2 2 4 9" xfId="41482" xr:uid="{00000000-0005-0000-0000-0000645E0000}"/>
    <cellStyle name="표준 5 2 4 3 2 2 5" xfId="2125" xr:uid="{00000000-0005-0000-0000-0000655E0000}"/>
    <cellStyle name="표준 5 2 4 3 2 2 5 2" xfId="11028" xr:uid="{00000000-0005-0000-0000-0000665E0000}"/>
    <cellStyle name="표준 5 2 4 3 2 2 5 2 2" xfId="15140" xr:uid="{00000000-0005-0000-0000-0000675E0000}"/>
    <cellStyle name="표준 5 2 4 3 2 2 5 2 2 2" xfId="31734" xr:uid="{00000000-0005-0000-0000-0000685E0000}"/>
    <cellStyle name="표준 5 2 4 3 2 2 5 2 2 3" xfId="39945" xr:uid="{00000000-0005-0000-0000-0000695E0000}"/>
    <cellStyle name="표준 5 2 4 3 2 2 5 2 2 4" xfId="48138" xr:uid="{00000000-0005-0000-0000-00006A5E0000}"/>
    <cellStyle name="표준 5 2 4 3 2 2 5 2 3" xfId="19380" xr:uid="{00000000-0005-0000-0000-00006B5E0000}"/>
    <cellStyle name="표준 5 2 4 3 2 2 5 2 4" xfId="23542" xr:uid="{00000000-0005-0000-0000-00006C5E0000}"/>
    <cellStyle name="표준 5 2 4 3 2 2 5 2 5" xfId="27638" xr:uid="{00000000-0005-0000-0000-00006D5E0000}"/>
    <cellStyle name="표준 5 2 4 3 2 2 5 2 6" xfId="35849" xr:uid="{00000000-0005-0000-0000-00006E5E0000}"/>
    <cellStyle name="표준 5 2 4 3 2 2 5 2 7" xfId="44042" xr:uid="{00000000-0005-0000-0000-00006F5E0000}"/>
    <cellStyle name="표준 5 2 4 3 2 2 5 3" xfId="8980" xr:uid="{00000000-0005-0000-0000-0000705E0000}"/>
    <cellStyle name="표준 5 2 4 3 2 2 5 3 2" xfId="29686" xr:uid="{00000000-0005-0000-0000-0000715E0000}"/>
    <cellStyle name="표준 5 2 4 3 2 2 5 3 3" xfId="37897" xr:uid="{00000000-0005-0000-0000-0000725E0000}"/>
    <cellStyle name="표준 5 2 4 3 2 2 5 3 4" xfId="46090" xr:uid="{00000000-0005-0000-0000-0000735E0000}"/>
    <cellStyle name="표준 5 2 4 3 2 2 5 4" xfId="13092" xr:uid="{00000000-0005-0000-0000-0000745E0000}"/>
    <cellStyle name="표준 5 2 4 3 2 2 5 5" xfId="17332" xr:uid="{00000000-0005-0000-0000-0000755E0000}"/>
    <cellStyle name="표준 5 2 4 3 2 2 5 6" xfId="21494" xr:uid="{00000000-0005-0000-0000-0000765E0000}"/>
    <cellStyle name="표준 5 2 4 3 2 2 5 7" xfId="25590" xr:uid="{00000000-0005-0000-0000-0000775E0000}"/>
    <cellStyle name="표준 5 2 4 3 2 2 5 8" xfId="33801" xr:uid="{00000000-0005-0000-0000-0000785E0000}"/>
    <cellStyle name="표준 5 2 4 3 2 2 5 9" xfId="41994" xr:uid="{00000000-0005-0000-0000-0000795E0000}"/>
    <cellStyle name="표준 5 2 4 3 2 2 6" xfId="9492" xr:uid="{00000000-0005-0000-0000-00007A5E0000}"/>
    <cellStyle name="표준 5 2 4 3 2 2 6 2" xfId="13604" xr:uid="{00000000-0005-0000-0000-00007B5E0000}"/>
    <cellStyle name="표준 5 2 4 3 2 2 6 2 2" xfId="30198" xr:uid="{00000000-0005-0000-0000-00007C5E0000}"/>
    <cellStyle name="표준 5 2 4 3 2 2 6 2 3" xfId="38409" xr:uid="{00000000-0005-0000-0000-00007D5E0000}"/>
    <cellStyle name="표준 5 2 4 3 2 2 6 2 4" xfId="46602" xr:uid="{00000000-0005-0000-0000-00007E5E0000}"/>
    <cellStyle name="표준 5 2 4 3 2 2 6 3" xfId="17844" xr:uid="{00000000-0005-0000-0000-00007F5E0000}"/>
    <cellStyle name="표준 5 2 4 3 2 2 6 4" xfId="22006" xr:uid="{00000000-0005-0000-0000-0000805E0000}"/>
    <cellStyle name="표준 5 2 4 3 2 2 6 5" xfId="26102" xr:uid="{00000000-0005-0000-0000-0000815E0000}"/>
    <cellStyle name="표준 5 2 4 3 2 2 6 6" xfId="34313" xr:uid="{00000000-0005-0000-0000-0000825E0000}"/>
    <cellStyle name="표준 5 2 4 3 2 2 6 7" xfId="42506" xr:uid="{00000000-0005-0000-0000-0000835E0000}"/>
    <cellStyle name="표준 5 2 4 3 2 2 7" xfId="7444" xr:uid="{00000000-0005-0000-0000-0000845E0000}"/>
    <cellStyle name="표준 5 2 4 3 2 2 7 2" xfId="28150" xr:uid="{00000000-0005-0000-0000-0000855E0000}"/>
    <cellStyle name="표준 5 2 4 3 2 2 7 3" xfId="36361" xr:uid="{00000000-0005-0000-0000-0000865E0000}"/>
    <cellStyle name="표준 5 2 4 3 2 2 7 4" xfId="44554" xr:uid="{00000000-0005-0000-0000-0000875E0000}"/>
    <cellStyle name="표준 5 2 4 3 2 2 8" xfId="11556" xr:uid="{00000000-0005-0000-0000-0000885E0000}"/>
    <cellStyle name="표준 5 2 4 3 2 2 9" xfId="15796" xr:uid="{00000000-0005-0000-0000-0000895E0000}"/>
    <cellStyle name="표준 5 2 4 3 2 3" xfId="717" xr:uid="{00000000-0005-0000-0000-00008A5E0000}"/>
    <cellStyle name="표준 5 2 4 3 2 3 10" xfId="24182" xr:uid="{00000000-0005-0000-0000-00008B5E0000}"/>
    <cellStyle name="표준 5 2 4 3 2 3 11" xfId="32393" xr:uid="{00000000-0005-0000-0000-00008C5E0000}"/>
    <cellStyle name="표준 5 2 4 3 2 3 12" xfId="40586" xr:uid="{00000000-0005-0000-0000-00008D5E0000}"/>
    <cellStyle name="표준 5 2 4 3 2 3 2" xfId="1229" xr:uid="{00000000-0005-0000-0000-00008E5E0000}"/>
    <cellStyle name="표준 5 2 4 3 2 3 2 2" xfId="10132" xr:uid="{00000000-0005-0000-0000-00008F5E0000}"/>
    <cellStyle name="표준 5 2 4 3 2 3 2 2 2" xfId="14244" xr:uid="{00000000-0005-0000-0000-0000905E0000}"/>
    <cellStyle name="표준 5 2 4 3 2 3 2 2 2 2" xfId="30838" xr:uid="{00000000-0005-0000-0000-0000915E0000}"/>
    <cellStyle name="표준 5 2 4 3 2 3 2 2 2 3" xfId="39049" xr:uid="{00000000-0005-0000-0000-0000925E0000}"/>
    <cellStyle name="표준 5 2 4 3 2 3 2 2 2 4" xfId="47242" xr:uid="{00000000-0005-0000-0000-0000935E0000}"/>
    <cellStyle name="표준 5 2 4 3 2 3 2 2 3" xfId="18484" xr:uid="{00000000-0005-0000-0000-0000945E0000}"/>
    <cellStyle name="표준 5 2 4 3 2 3 2 2 4" xfId="22646" xr:uid="{00000000-0005-0000-0000-0000955E0000}"/>
    <cellStyle name="표준 5 2 4 3 2 3 2 2 5" xfId="26742" xr:uid="{00000000-0005-0000-0000-0000965E0000}"/>
    <cellStyle name="표준 5 2 4 3 2 3 2 2 6" xfId="34953" xr:uid="{00000000-0005-0000-0000-0000975E0000}"/>
    <cellStyle name="표준 5 2 4 3 2 3 2 2 7" xfId="43146" xr:uid="{00000000-0005-0000-0000-0000985E0000}"/>
    <cellStyle name="표준 5 2 4 3 2 3 2 3" xfId="8084" xr:uid="{00000000-0005-0000-0000-0000995E0000}"/>
    <cellStyle name="표준 5 2 4 3 2 3 2 3 2" xfId="28790" xr:uid="{00000000-0005-0000-0000-00009A5E0000}"/>
    <cellStyle name="표준 5 2 4 3 2 3 2 3 3" xfId="37001" xr:uid="{00000000-0005-0000-0000-00009B5E0000}"/>
    <cellStyle name="표준 5 2 4 3 2 3 2 3 4" xfId="45194" xr:uid="{00000000-0005-0000-0000-00009C5E0000}"/>
    <cellStyle name="표준 5 2 4 3 2 3 2 4" xfId="12196" xr:uid="{00000000-0005-0000-0000-00009D5E0000}"/>
    <cellStyle name="표준 5 2 4 3 2 3 2 5" xfId="16436" xr:uid="{00000000-0005-0000-0000-00009E5E0000}"/>
    <cellStyle name="표준 5 2 4 3 2 3 2 6" xfId="20598" xr:uid="{00000000-0005-0000-0000-00009F5E0000}"/>
    <cellStyle name="표준 5 2 4 3 2 3 2 7" xfId="24694" xr:uid="{00000000-0005-0000-0000-0000A05E0000}"/>
    <cellStyle name="표준 5 2 4 3 2 3 2 8" xfId="32905" xr:uid="{00000000-0005-0000-0000-0000A15E0000}"/>
    <cellStyle name="표준 5 2 4 3 2 3 2 9" xfId="41098" xr:uid="{00000000-0005-0000-0000-0000A25E0000}"/>
    <cellStyle name="표준 5 2 4 3 2 3 3" xfId="1741" xr:uid="{00000000-0005-0000-0000-0000A35E0000}"/>
    <cellStyle name="표준 5 2 4 3 2 3 3 2" xfId="10644" xr:uid="{00000000-0005-0000-0000-0000A45E0000}"/>
    <cellStyle name="표준 5 2 4 3 2 3 3 2 2" xfId="14756" xr:uid="{00000000-0005-0000-0000-0000A55E0000}"/>
    <cellStyle name="표준 5 2 4 3 2 3 3 2 2 2" xfId="31350" xr:uid="{00000000-0005-0000-0000-0000A65E0000}"/>
    <cellStyle name="표준 5 2 4 3 2 3 3 2 2 3" xfId="39561" xr:uid="{00000000-0005-0000-0000-0000A75E0000}"/>
    <cellStyle name="표준 5 2 4 3 2 3 3 2 2 4" xfId="47754" xr:uid="{00000000-0005-0000-0000-0000A85E0000}"/>
    <cellStyle name="표준 5 2 4 3 2 3 3 2 3" xfId="18996" xr:uid="{00000000-0005-0000-0000-0000A95E0000}"/>
    <cellStyle name="표준 5 2 4 3 2 3 3 2 4" xfId="23158" xr:uid="{00000000-0005-0000-0000-0000AA5E0000}"/>
    <cellStyle name="표준 5 2 4 3 2 3 3 2 5" xfId="27254" xr:uid="{00000000-0005-0000-0000-0000AB5E0000}"/>
    <cellStyle name="표준 5 2 4 3 2 3 3 2 6" xfId="35465" xr:uid="{00000000-0005-0000-0000-0000AC5E0000}"/>
    <cellStyle name="표준 5 2 4 3 2 3 3 2 7" xfId="43658" xr:uid="{00000000-0005-0000-0000-0000AD5E0000}"/>
    <cellStyle name="표준 5 2 4 3 2 3 3 3" xfId="8596" xr:uid="{00000000-0005-0000-0000-0000AE5E0000}"/>
    <cellStyle name="표준 5 2 4 3 2 3 3 3 2" xfId="29302" xr:uid="{00000000-0005-0000-0000-0000AF5E0000}"/>
    <cellStyle name="표준 5 2 4 3 2 3 3 3 3" xfId="37513" xr:uid="{00000000-0005-0000-0000-0000B05E0000}"/>
    <cellStyle name="표준 5 2 4 3 2 3 3 3 4" xfId="45706" xr:uid="{00000000-0005-0000-0000-0000B15E0000}"/>
    <cellStyle name="표준 5 2 4 3 2 3 3 4" xfId="12708" xr:uid="{00000000-0005-0000-0000-0000B25E0000}"/>
    <cellStyle name="표준 5 2 4 3 2 3 3 5" xfId="16948" xr:uid="{00000000-0005-0000-0000-0000B35E0000}"/>
    <cellStyle name="표준 5 2 4 3 2 3 3 6" xfId="21110" xr:uid="{00000000-0005-0000-0000-0000B45E0000}"/>
    <cellStyle name="표준 5 2 4 3 2 3 3 7" xfId="25206" xr:uid="{00000000-0005-0000-0000-0000B55E0000}"/>
    <cellStyle name="표준 5 2 4 3 2 3 3 8" xfId="33417" xr:uid="{00000000-0005-0000-0000-0000B65E0000}"/>
    <cellStyle name="표준 5 2 4 3 2 3 3 9" xfId="41610" xr:uid="{00000000-0005-0000-0000-0000B75E0000}"/>
    <cellStyle name="표준 5 2 4 3 2 3 4" xfId="2253" xr:uid="{00000000-0005-0000-0000-0000B85E0000}"/>
    <cellStyle name="표준 5 2 4 3 2 3 4 2" xfId="11156" xr:uid="{00000000-0005-0000-0000-0000B95E0000}"/>
    <cellStyle name="표준 5 2 4 3 2 3 4 2 2" xfId="15268" xr:uid="{00000000-0005-0000-0000-0000BA5E0000}"/>
    <cellStyle name="표준 5 2 4 3 2 3 4 2 2 2" xfId="31862" xr:uid="{00000000-0005-0000-0000-0000BB5E0000}"/>
    <cellStyle name="표준 5 2 4 3 2 3 4 2 2 3" xfId="40073" xr:uid="{00000000-0005-0000-0000-0000BC5E0000}"/>
    <cellStyle name="표준 5 2 4 3 2 3 4 2 2 4" xfId="48266" xr:uid="{00000000-0005-0000-0000-0000BD5E0000}"/>
    <cellStyle name="표준 5 2 4 3 2 3 4 2 3" xfId="19508" xr:uid="{00000000-0005-0000-0000-0000BE5E0000}"/>
    <cellStyle name="표준 5 2 4 3 2 3 4 2 4" xfId="23670" xr:uid="{00000000-0005-0000-0000-0000BF5E0000}"/>
    <cellStyle name="표준 5 2 4 3 2 3 4 2 5" xfId="27766" xr:uid="{00000000-0005-0000-0000-0000C05E0000}"/>
    <cellStyle name="표준 5 2 4 3 2 3 4 2 6" xfId="35977" xr:uid="{00000000-0005-0000-0000-0000C15E0000}"/>
    <cellStyle name="표준 5 2 4 3 2 3 4 2 7" xfId="44170" xr:uid="{00000000-0005-0000-0000-0000C25E0000}"/>
    <cellStyle name="표준 5 2 4 3 2 3 4 3" xfId="9108" xr:uid="{00000000-0005-0000-0000-0000C35E0000}"/>
    <cellStyle name="표준 5 2 4 3 2 3 4 3 2" xfId="29814" xr:uid="{00000000-0005-0000-0000-0000C45E0000}"/>
    <cellStyle name="표준 5 2 4 3 2 3 4 3 3" xfId="38025" xr:uid="{00000000-0005-0000-0000-0000C55E0000}"/>
    <cellStyle name="표준 5 2 4 3 2 3 4 3 4" xfId="46218" xr:uid="{00000000-0005-0000-0000-0000C65E0000}"/>
    <cellStyle name="표준 5 2 4 3 2 3 4 4" xfId="13220" xr:uid="{00000000-0005-0000-0000-0000C75E0000}"/>
    <cellStyle name="표준 5 2 4 3 2 3 4 5" xfId="17460" xr:uid="{00000000-0005-0000-0000-0000C85E0000}"/>
    <cellStyle name="표준 5 2 4 3 2 3 4 6" xfId="21622" xr:uid="{00000000-0005-0000-0000-0000C95E0000}"/>
    <cellStyle name="표준 5 2 4 3 2 3 4 7" xfId="25718" xr:uid="{00000000-0005-0000-0000-0000CA5E0000}"/>
    <cellStyle name="표준 5 2 4 3 2 3 4 8" xfId="33929" xr:uid="{00000000-0005-0000-0000-0000CB5E0000}"/>
    <cellStyle name="표준 5 2 4 3 2 3 4 9" xfId="42122" xr:uid="{00000000-0005-0000-0000-0000CC5E0000}"/>
    <cellStyle name="표준 5 2 4 3 2 3 5" xfId="9620" xr:uid="{00000000-0005-0000-0000-0000CD5E0000}"/>
    <cellStyle name="표준 5 2 4 3 2 3 5 2" xfId="13732" xr:uid="{00000000-0005-0000-0000-0000CE5E0000}"/>
    <cellStyle name="표준 5 2 4 3 2 3 5 2 2" xfId="30326" xr:uid="{00000000-0005-0000-0000-0000CF5E0000}"/>
    <cellStyle name="표준 5 2 4 3 2 3 5 2 3" xfId="38537" xr:uid="{00000000-0005-0000-0000-0000D05E0000}"/>
    <cellStyle name="표준 5 2 4 3 2 3 5 2 4" xfId="46730" xr:uid="{00000000-0005-0000-0000-0000D15E0000}"/>
    <cellStyle name="표준 5 2 4 3 2 3 5 3" xfId="17972" xr:uid="{00000000-0005-0000-0000-0000D25E0000}"/>
    <cellStyle name="표준 5 2 4 3 2 3 5 4" xfId="22134" xr:uid="{00000000-0005-0000-0000-0000D35E0000}"/>
    <cellStyle name="표준 5 2 4 3 2 3 5 5" xfId="26230" xr:uid="{00000000-0005-0000-0000-0000D45E0000}"/>
    <cellStyle name="표준 5 2 4 3 2 3 5 6" xfId="34441" xr:uid="{00000000-0005-0000-0000-0000D55E0000}"/>
    <cellStyle name="표준 5 2 4 3 2 3 5 7" xfId="42634" xr:uid="{00000000-0005-0000-0000-0000D65E0000}"/>
    <cellStyle name="표준 5 2 4 3 2 3 6" xfId="7572" xr:uid="{00000000-0005-0000-0000-0000D75E0000}"/>
    <cellStyle name="표준 5 2 4 3 2 3 6 2" xfId="28278" xr:uid="{00000000-0005-0000-0000-0000D85E0000}"/>
    <cellStyle name="표준 5 2 4 3 2 3 6 3" xfId="36489" xr:uid="{00000000-0005-0000-0000-0000D95E0000}"/>
    <cellStyle name="표준 5 2 4 3 2 3 6 4" xfId="44682" xr:uid="{00000000-0005-0000-0000-0000DA5E0000}"/>
    <cellStyle name="표준 5 2 4 3 2 3 7" xfId="11684" xr:uid="{00000000-0005-0000-0000-0000DB5E0000}"/>
    <cellStyle name="표준 5 2 4 3 2 3 8" xfId="15924" xr:uid="{00000000-0005-0000-0000-0000DC5E0000}"/>
    <cellStyle name="표준 5 2 4 3 2 3 9" xfId="20086" xr:uid="{00000000-0005-0000-0000-0000DD5E0000}"/>
    <cellStyle name="표준 5 2 4 3 2 4" xfId="973" xr:uid="{00000000-0005-0000-0000-0000DE5E0000}"/>
    <cellStyle name="표준 5 2 4 3 2 4 2" xfId="9876" xr:uid="{00000000-0005-0000-0000-0000DF5E0000}"/>
    <cellStyle name="표준 5 2 4 3 2 4 2 2" xfId="13988" xr:uid="{00000000-0005-0000-0000-0000E05E0000}"/>
    <cellStyle name="표준 5 2 4 3 2 4 2 2 2" xfId="30582" xr:uid="{00000000-0005-0000-0000-0000E15E0000}"/>
    <cellStyle name="표준 5 2 4 3 2 4 2 2 3" xfId="38793" xr:uid="{00000000-0005-0000-0000-0000E25E0000}"/>
    <cellStyle name="표준 5 2 4 3 2 4 2 2 4" xfId="46986" xr:uid="{00000000-0005-0000-0000-0000E35E0000}"/>
    <cellStyle name="표준 5 2 4 3 2 4 2 3" xfId="18228" xr:uid="{00000000-0005-0000-0000-0000E45E0000}"/>
    <cellStyle name="표준 5 2 4 3 2 4 2 4" xfId="22390" xr:uid="{00000000-0005-0000-0000-0000E55E0000}"/>
    <cellStyle name="표준 5 2 4 3 2 4 2 5" xfId="26486" xr:uid="{00000000-0005-0000-0000-0000E65E0000}"/>
    <cellStyle name="표준 5 2 4 3 2 4 2 6" xfId="34697" xr:uid="{00000000-0005-0000-0000-0000E75E0000}"/>
    <cellStyle name="표준 5 2 4 3 2 4 2 7" xfId="42890" xr:uid="{00000000-0005-0000-0000-0000E85E0000}"/>
    <cellStyle name="표준 5 2 4 3 2 4 3" xfId="7828" xr:uid="{00000000-0005-0000-0000-0000E95E0000}"/>
    <cellStyle name="표준 5 2 4 3 2 4 3 2" xfId="28534" xr:uid="{00000000-0005-0000-0000-0000EA5E0000}"/>
    <cellStyle name="표준 5 2 4 3 2 4 3 3" xfId="36745" xr:uid="{00000000-0005-0000-0000-0000EB5E0000}"/>
    <cellStyle name="표준 5 2 4 3 2 4 3 4" xfId="44938" xr:uid="{00000000-0005-0000-0000-0000EC5E0000}"/>
    <cellStyle name="표준 5 2 4 3 2 4 4" xfId="11940" xr:uid="{00000000-0005-0000-0000-0000ED5E0000}"/>
    <cellStyle name="표준 5 2 4 3 2 4 5" xfId="16180" xr:uid="{00000000-0005-0000-0000-0000EE5E0000}"/>
    <cellStyle name="표준 5 2 4 3 2 4 6" xfId="20342" xr:uid="{00000000-0005-0000-0000-0000EF5E0000}"/>
    <cellStyle name="표준 5 2 4 3 2 4 7" xfId="24438" xr:uid="{00000000-0005-0000-0000-0000F05E0000}"/>
    <cellStyle name="표준 5 2 4 3 2 4 8" xfId="32649" xr:uid="{00000000-0005-0000-0000-0000F15E0000}"/>
    <cellStyle name="표준 5 2 4 3 2 4 9" xfId="40842" xr:uid="{00000000-0005-0000-0000-0000F25E0000}"/>
    <cellStyle name="표준 5 2 4 3 2 5" xfId="1485" xr:uid="{00000000-0005-0000-0000-0000F35E0000}"/>
    <cellStyle name="표준 5 2 4 3 2 5 2" xfId="10388" xr:uid="{00000000-0005-0000-0000-0000F45E0000}"/>
    <cellStyle name="표준 5 2 4 3 2 5 2 2" xfId="14500" xr:uid="{00000000-0005-0000-0000-0000F55E0000}"/>
    <cellStyle name="표준 5 2 4 3 2 5 2 2 2" xfId="31094" xr:uid="{00000000-0005-0000-0000-0000F65E0000}"/>
    <cellStyle name="표준 5 2 4 3 2 5 2 2 3" xfId="39305" xr:uid="{00000000-0005-0000-0000-0000F75E0000}"/>
    <cellStyle name="표준 5 2 4 3 2 5 2 2 4" xfId="47498" xr:uid="{00000000-0005-0000-0000-0000F85E0000}"/>
    <cellStyle name="표준 5 2 4 3 2 5 2 3" xfId="18740" xr:uid="{00000000-0005-0000-0000-0000F95E0000}"/>
    <cellStyle name="표준 5 2 4 3 2 5 2 4" xfId="22902" xr:uid="{00000000-0005-0000-0000-0000FA5E0000}"/>
    <cellStyle name="표준 5 2 4 3 2 5 2 5" xfId="26998" xr:uid="{00000000-0005-0000-0000-0000FB5E0000}"/>
    <cellStyle name="표준 5 2 4 3 2 5 2 6" xfId="35209" xr:uid="{00000000-0005-0000-0000-0000FC5E0000}"/>
    <cellStyle name="표준 5 2 4 3 2 5 2 7" xfId="43402" xr:uid="{00000000-0005-0000-0000-0000FD5E0000}"/>
    <cellStyle name="표준 5 2 4 3 2 5 3" xfId="8340" xr:uid="{00000000-0005-0000-0000-0000FE5E0000}"/>
    <cellStyle name="표준 5 2 4 3 2 5 3 2" xfId="29046" xr:uid="{00000000-0005-0000-0000-0000FF5E0000}"/>
    <cellStyle name="표준 5 2 4 3 2 5 3 3" xfId="37257" xr:uid="{00000000-0005-0000-0000-0000005F0000}"/>
    <cellStyle name="표준 5 2 4 3 2 5 3 4" xfId="45450" xr:uid="{00000000-0005-0000-0000-0000015F0000}"/>
    <cellStyle name="표준 5 2 4 3 2 5 4" xfId="12452" xr:uid="{00000000-0005-0000-0000-0000025F0000}"/>
    <cellStyle name="표준 5 2 4 3 2 5 5" xfId="16692" xr:uid="{00000000-0005-0000-0000-0000035F0000}"/>
    <cellStyle name="표준 5 2 4 3 2 5 6" xfId="20854" xr:uid="{00000000-0005-0000-0000-0000045F0000}"/>
    <cellStyle name="표준 5 2 4 3 2 5 7" xfId="24950" xr:uid="{00000000-0005-0000-0000-0000055F0000}"/>
    <cellStyle name="표준 5 2 4 3 2 5 8" xfId="33161" xr:uid="{00000000-0005-0000-0000-0000065F0000}"/>
    <cellStyle name="표준 5 2 4 3 2 5 9" xfId="41354" xr:uid="{00000000-0005-0000-0000-0000075F0000}"/>
    <cellStyle name="표준 5 2 4 3 2 6" xfId="1997" xr:uid="{00000000-0005-0000-0000-0000085F0000}"/>
    <cellStyle name="표준 5 2 4 3 2 6 2" xfId="10900" xr:uid="{00000000-0005-0000-0000-0000095F0000}"/>
    <cellStyle name="표준 5 2 4 3 2 6 2 2" xfId="15012" xr:uid="{00000000-0005-0000-0000-00000A5F0000}"/>
    <cellStyle name="표준 5 2 4 3 2 6 2 2 2" xfId="31606" xr:uid="{00000000-0005-0000-0000-00000B5F0000}"/>
    <cellStyle name="표준 5 2 4 3 2 6 2 2 3" xfId="39817" xr:uid="{00000000-0005-0000-0000-00000C5F0000}"/>
    <cellStyle name="표준 5 2 4 3 2 6 2 2 4" xfId="48010" xr:uid="{00000000-0005-0000-0000-00000D5F0000}"/>
    <cellStyle name="표준 5 2 4 3 2 6 2 3" xfId="19252" xr:uid="{00000000-0005-0000-0000-00000E5F0000}"/>
    <cellStyle name="표준 5 2 4 3 2 6 2 4" xfId="23414" xr:uid="{00000000-0005-0000-0000-00000F5F0000}"/>
    <cellStyle name="표준 5 2 4 3 2 6 2 5" xfId="27510" xr:uid="{00000000-0005-0000-0000-0000105F0000}"/>
    <cellStyle name="표준 5 2 4 3 2 6 2 6" xfId="35721" xr:uid="{00000000-0005-0000-0000-0000115F0000}"/>
    <cellStyle name="표준 5 2 4 3 2 6 2 7" xfId="43914" xr:uid="{00000000-0005-0000-0000-0000125F0000}"/>
    <cellStyle name="표준 5 2 4 3 2 6 3" xfId="8852" xr:uid="{00000000-0005-0000-0000-0000135F0000}"/>
    <cellStyle name="표준 5 2 4 3 2 6 3 2" xfId="29558" xr:uid="{00000000-0005-0000-0000-0000145F0000}"/>
    <cellStyle name="표준 5 2 4 3 2 6 3 3" xfId="37769" xr:uid="{00000000-0005-0000-0000-0000155F0000}"/>
    <cellStyle name="표준 5 2 4 3 2 6 3 4" xfId="45962" xr:uid="{00000000-0005-0000-0000-0000165F0000}"/>
    <cellStyle name="표준 5 2 4 3 2 6 4" xfId="12964" xr:uid="{00000000-0005-0000-0000-0000175F0000}"/>
    <cellStyle name="표준 5 2 4 3 2 6 5" xfId="17204" xr:uid="{00000000-0005-0000-0000-0000185F0000}"/>
    <cellStyle name="표준 5 2 4 3 2 6 6" xfId="21366" xr:uid="{00000000-0005-0000-0000-0000195F0000}"/>
    <cellStyle name="표준 5 2 4 3 2 6 7" xfId="25462" xr:uid="{00000000-0005-0000-0000-00001A5F0000}"/>
    <cellStyle name="표준 5 2 4 3 2 6 8" xfId="33673" xr:uid="{00000000-0005-0000-0000-00001B5F0000}"/>
    <cellStyle name="표준 5 2 4 3 2 6 9" xfId="41866" xr:uid="{00000000-0005-0000-0000-00001C5F0000}"/>
    <cellStyle name="표준 5 2 4 3 2 7" xfId="7057" xr:uid="{00000000-0005-0000-0000-00001D5F0000}"/>
    <cellStyle name="표준 5 2 4 3 2 7 2" xfId="9364" xr:uid="{00000000-0005-0000-0000-00001E5F0000}"/>
    <cellStyle name="표준 5 2 4 3 2 7 2 2" xfId="30070" xr:uid="{00000000-0005-0000-0000-00001F5F0000}"/>
    <cellStyle name="표준 5 2 4 3 2 7 2 3" xfId="38281" xr:uid="{00000000-0005-0000-0000-0000205F0000}"/>
    <cellStyle name="표준 5 2 4 3 2 7 2 4" xfId="46474" xr:uid="{00000000-0005-0000-0000-0000215F0000}"/>
    <cellStyle name="표준 5 2 4 3 2 7 3" xfId="13476" xr:uid="{00000000-0005-0000-0000-0000225F0000}"/>
    <cellStyle name="표준 5 2 4 3 2 7 4" xfId="17716" xr:uid="{00000000-0005-0000-0000-0000235F0000}"/>
    <cellStyle name="표준 5 2 4 3 2 7 5" xfId="21878" xr:uid="{00000000-0005-0000-0000-0000245F0000}"/>
    <cellStyle name="표준 5 2 4 3 2 7 6" xfId="25974" xr:uid="{00000000-0005-0000-0000-0000255F0000}"/>
    <cellStyle name="표준 5 2 4 3 2 7 7" xfId="34185" xr:uid="{00000000-0005-0000-0000-0000265F0000}"/>
    <cellStyle name="표준 5 2 4 3 2 7 8" xfId="42378" xr:uid="{00000000-0005-0000-0000-0000275F0000}"/>
    <cellStyle name="표준 5 2 4 3 2 8" xfId="7121" xr:uid="{00000000-0005-0000-0000-0000285F0000}"/>
    <cellStyle name="표준 5 2 4 3 2 8 2" xfId="28022" xr:uid="{00000000-0005-0000-0000-0000295F0000}"/>
    <cellStyle name="표준 5 2 4 3 2 8 3" xfId="36233" xr:uid="{00000000-0005-0000-0000-00002A5F0000}"/>
    <cellStyle name="표준 5 2 4 3 2 8 4" xfId="44426" xr:uid="{00000000-0005-0000-0000-00002B5F0000}"/>
    <cellStyle name="표준 5 2 4 3 2 9" xfId="7316" xr:uid="{00000000-0005-0000-0000-00002C5F0000}"/>
    <cellStyle name="표준 5 2 4 3 3" xfId="525" xr:uid="{00000000-0005-0000-0000-00002D5F0000}"/>
    <cellStyle name="표준 5 2 4 3 3 10" xfId="19894" xr:uid="{00000000-0005-0000-0000-00002E5F0000}"/>
    <cellStyle name="표준 5 2 4 3 3 11" xfId="23990" xr:uid="{00000000-0005-0000-0000-00002F5F0000}"/>
    <cellStyle name="표준 5 2 4 3 3 12" xfId="32201" xr:uid="{00000000-0005-0000-0000-0000305F0000}"/>
    <cellStyle name="표준 5 2 4 3 3 13" xfId="40394" xr:uid="{00000000-0005-0000-0000-0000315F0000}"/>
    <cellStyle name="표준 5 2 4 3 3 2" xfId="781" xr:uid="{00000000-0005-0000-0000-0000325F0000}"/>
    <cellStyle name="표준 5 2 4 3 3 2 10" xfId="24246" xr:uid="{00000000-0005-0000-0000-0000335F0000}"/>
    <cellStyle name="표준 5 2 4 3 3 2 11" xfId="32457" xr:uid="{00000000-0005-0000-0000-0000345F0000}"/>
    <cellStyle name="표준 5 2 4 3 3 2 12" xfId="40650" xr:uid="{00000000-0005-0000-0000-0000355F0000}"/>
    <cellStyle name="표준 5 2 4 3 3 2 2" xfId="1293" xr:uid="{00000000-0005-0000-0000-0000365F0000}"/>
    <cellStyle name="표준 5 2 4 3 3 2 2 2" xfId="10196" xr:uid="{00000000-0005-0000-0000-0000375F0000}"/>
    <cellStyle name="표준 5 2 4 3 3 2 2 2 2" xfId="14308" xr:uid="{00000000-0005-0000-0000-0000385F0000}"/>
    <cellStyle name="표준 5 2 4 3 3 2 2 2 2 2" xfId="30902" xr:uid="{00000000-0005-0000-0000-0000395F0000}"/>
    <cellStyle name="표준 5 2 4 3 3 2 2 2 2 3" xfId="39113" xr:uid="{00000000-0005-0000-0000-00003A5F0000}"/>
    <cellStyle name="표준 5 2 4 3 3 2 2 2 2 4" xfId="47306" xr:uid="{00000000-0005-0000-0000-00003B5F0000}"/>
    <cellStyle name="표준 5 2 4 3 3 2 2 2 3" xfId="18548" xr:uid="{00000000-0005-0000-0000-00003C5F0000}"/>
    <cellStyle name="표준 5 2 4 3 3 2 2 2 4" xfId="22710" xr:uid="{00000000-0005-0000-0000-00003D5F0000}"/>
    <cellStyle name="표준 5 2 4 3 3 2 2 2 5" xfId="26806" xr:uid="{00000000-0005-0000-0000-00003E5F0000}"/>
    <cellStyle name="표준 5 2 4 3 3 2 2 2 6" xfId="35017" xr:uid="{00000000-0005-0000-0000-00003F5F0000}"/>
    <cellStyle name="표준 5 2 4 3 3 2 2 2 7" xfId="43210" xr:uid="{00000000-0005-0000-0000-0000405F0000}"/>
    <cellStyle name="표준 5 2 4 3 3 2 2 3" xfId="8148" xr:uid="{00000000-0005-0000-0000-0000415F0000}"/>
    <cellStyle name="표준 5 2 4 3 3 2 2 3 2" xfId="28854" xr:uid="{00000000-0005-0000-0000-0000425F0000}"/>
    <cellStyle name="표준 5 2 4 3 3 2 2 3 3" xfId="37065" xr:uid="{00000000-0005-0000-0000-0000435F0000}"/>
    <cellStyle name="표준 5 2 4 3 3 2 2 3 4" xfId="45258" xr:uid="{00000000-0005-0000-0000-0000445F0000}"/>
    <cellStyle name="표준 5 2 4 3 3 2 2 4" xfId="12260" xr:uid="{00000000-0005-0000-0000-0000455F0000}"/>
    <cellStyle name="표준 5 2 4 3 3 2 2 5" xfId="16500" xr:uid="{00000000-0005-0000-0000-0000465F0000}"/>
    <cellStyle name="표준 5 2 4 3 3 2 2 6" xfId="20662" xr:uid="{00000000-0005-0000-0000-0000475F0000}"/>
    <cellStyle name="표준 5 2 4 3 3 2 2 7" xfId="24758" xr:uid="{00000000-0005-0000-0000-0000485F0000}"/>
    <cellStyle name="표준 5 2 4 3 3 2 2 8" xfId="32969" xr:uid="{00000000-0005-0000-0000-0000495F0000}"/>
    <cellStyle name="표준 5 2 4 3 3 2 2 9" xfId="41162" xr:uid="{00000000-0005-0000-0000-00004A5F0000}"/>
    <cellStyle name="표준 5 2 4 3 3 2 3" xfId="1805" xr:uid="{00000000-0005-0000-0000-00004B5F0000}"/>
    <cellStyle name="표준 5 2 4 3 3 2 3 2" xfId="10708" xr:uid="{00000000-0005-0000-0000-00004C5F0000}"/>
    <cellStyle name="표준 5 2 4 3 3 2 3 2 2" xfId="14820" xr:uid="{00000000-0005-0000-0000-00004D5F0000}"/>
    <cellStyle name="표준 5 2 4 3 3 2 3 2 2 2" xfId="31414" xr:uid="{00000000-0005-0000-0000-00004E5F0000}"/>
    <cellStyle name="표준 5 2 4 3 3 2 3 2 2 3" xfId="39625" xr:uid="{00000000-0005-0000-0000-00004F5F0000}"/>
    <cellStyle name="표준 5 2 4 3 3 2 3 2 2 4" xfId="47818" xr:uid="{00000000-0005-0000-0000-0000505F0000}"/>
    <cellStyle name="표준 5 2 4 3 3 2 3 2 3" xfId="19060" xr:uid="{00000000-0005-0000-0000-0000515F0000}"/>
    <cellStyle name="표준 5 2 4 3 3 2 3 2 4" xfId="23222" xr:uid="{00000000-0005-0000-0000-0000525F0000}"/>
    <cellStyle name="표준 5 2 4 3 3 2 3 2 5" xfId="27318" xr:uid="{00000000-0005-0000-0000-0000535F0000}"/>
    <cellStyle name="표준 5 2 4 3 3 2 3 2 6" xfId="35529" xr:uid="{00000000-0005-0000-0000-0000545F0000}"/>
    <cellStyle name="표준 5 2 4 3 3 2 3 2 7" xfId="43722" xr:uid="{00000000-0005-0000-0000-0000555F0000}"/>
    <cellStyle name="표준 5 2 4 3 3 2 3 3" xfId="8660" xr:uid="{00000000-0005-0000-0000-0000565F0000}"/>
    <cellStyle name="표준 5 2 4 3 3 2 3 3 2" xfId="29366" xr:uid="{00000000-0005-0000-0000-0000575F0000}"/>
    <cellStyle name="표준 5 2 4 3 3 2 3 3 3" xfId="37577" xr:uid="{00000000-0005-0000-0000-0000585F0000}"/>
    <cellStyle name="표준 5 2 4 3 3 2 3 3 4" xfId="45770" xr:uid="{00000000-0005-0000-0000-0000595F0000}"/>
    <cellStyle name="표준 5 2 4 3 3 2 3 4" xfId="12772" xr:uid="{00000000-0005-0000-0000-00005A5F0000}"/>
    <cellStyle name="표준 5 2 4 3 3 2 3 5" xfId="17012" xr:uid="{00000000-0005-0000-0000-00005B5F0000}"/>
    <cellStyle name="표준 5 2 4 3 3 2 3 6" xfId="21174" xr:uid="{00000000-0005-0000-0000-00005C5F0000}"/>
    <cellStyle name="표준 5 2 4 3 3 2 3 7" xfId="25270" xr:uid="{00000000-0005-0000-0000-00005D5F0000}"/>
    <cellStyle name="표준 5 2 4 3 3 2 3 8" xfId="33481" xr:uid="{00000000-0005-0000-0000-00005E5F0000}"/>
    <cellStyle name="표준 5 2 4 3 3 2 3 9" xfId="41674" xr:uid="{00000000-0005-0000-0000-00005F5F0000}"/>
    <cellStyle name="표준 5 2 4 3 3 2 4" xfId="2317" xr:uid="{00000000-0005-0000-0000-0000605F0000}"/>
    <cellStyle name="표준 5 2 4 3 3 2 4 2" xfId="11220" xr:uid="{00000000-0005-0000-0000-0000615F0000}"/>
    <cellStyle name="표준 5 2 4 3 3 2 4 2 2" xfId="15332" xr:uid="{00000000-0005-0000-0000-0000625F0000}"/>
    <cellStyle name="표준 5 2 4 3 3 2 4 2 2 2" xfId="31926" xr:uid="{00000000-0005-0000-0000-0000635F0000}"/>
    <cellStyle name="표준 5 2 4 3 3 2 4 2 2 3" xfId="40137" xr:uid="{00000000-0005-0000-0000-0000645F0000}"/>
    <cellStyle name="표준 5 2 4 3 3 2 4 2 2 4" xfId="48330" xr:uid="{00000000-0005-0000-0000-0000655F0000}"/>
    <cellStyle name="표준 5 2 4 3 3 2 4 2 3" xfId="19572" xr:uid="{00000000-0005-0000-0000-0000665F0000}"/>
    <cellStyle name="표준 5 2 4 3 3 2 4 2 4" xfId="23734" xr:uid="{00000000-0005-0000-0000-0000675F0000}"/>
    <cellStyle name="표준 5 2 4 3 3 2 4 2 5" xfId="27830" xr:uid="{00000000-0005-0000-0000-0000685F0000}"/>
    <cellStyle name="표준 5 2 4 3 3 2 4 2 6" xfId="36041" xr:uid="{00000000-0005-0000-0000-0000695F0000}"/>
    <cellStyle name="표준 5 2 4 3 3 2 4 2 7" xfId="44234" xr:uid="{00000000-0005-0000-0000-00006A5F0000}"/>
    <cellStyle name="표준 5 2 4 3 3 2 4 3" xfId="9172" xr:uid="{00000000-0005-0000-0000-00006B5F0000}"/>
    <cellStyle name="표준 5 2 4 3 3 2 4 3 2" xfId="29878" xr:uid="{00000000-0005-0000-0000-00006C5F0000}"/>
    <cellStyle name="표준 5 2 4 3 3 2 4 3 3" xfId="38089" xr:uid="{00000000-0005-0000-0000-00006D5F0000}"/>
    <cellStyle name="표준 5 2 4 3 3 2 4 3 4" xfId="46282" xr:uid="{00000000-0005-0000-0000-00006E5F0000}"/>
    <cellStyle name="표준 5 2 4 3 3 2 4 4" xfId="13284" xr:uid="{00000000-0005-0000-0000-00006F5F0000}"/>
    <cellStyle name="표준 5 2 4 3 3 2 4 5" xfId="17524" xr:uid="{00000000-0005-0000-0000-0000705F0000}"/>
    <cellStyle name="표준 5 2 4 3 3 2 4 6" xfId="21686" xr:uid="{00000000-0005-0000-0000-0000715F0000}"/>
    <cellStyle name="표준 5 2 4 3 3 2 4 7" xfId="25782" xr:uid="{00000000-0005-0000-0000-0000725F0000}"/>
    <cellStyle name="표준 5 2 4 3 3 2 4 8" xfId="33993" xr:uid="{00000000-0005-0000-0000-0000735F0000}"/>
    <cellStyle name="표준 5 2 4 3 3 2 4 9" xfId="42186" xr:uid="{00000000-0005-0000-0000-0000745F0000}"/>
    <cellStyle name="표준 5 2 4 3 3 2 5" xfId="9684" xr:uid="{00000000-0005-0000-0000-0000755F0000}"/>
    <cellStyle name="표준 5 2 4 3 3 2 5 2" xfId="13796" xr:uid="{00000000-0005-0000-0000-0000765F0000}"/>
    <cellStyle name="표준 5 2 4 3 3 2 5 2 2" xfId="30390" xr:uid="{00000000-0005-0000-0000-0000775F0000}"/>
    <cellStyle name="표준 5 2 4 3 3 2 5 2 3" xfId="38601" xr:uid="{00000000-0005-0000-0000-0000785F0000}"/>
    <cellStyle name="표준 5 2 4 3 3 2 5 2 4" xfId="46794" xr:uid="{00000000-0005-0000-0000-0000795F0000}"/>
    <cellStyle name="표준 5 2 4 3 3 2 5 3" xfId="18036" xr:uid="{00000000-0005-0000-0000-00007A5F0000}"/>
    <cellStyle name="표준 5 2 4 3 3 2 5 4" xfId="22198" xr:uid="{00000000-0005-0000-0000-00007B5F0000}"/>
    <cellStyle name="표준 5 2 4 3 3 2 5 5" xfId="26294" xr:uid="{00000000-0005-0000-0000-00007C5F0000}"/>
    <cellStyle name="표준 5 2 4 3 3 2 5 6" xfId="34505" xr:uid="{00000000-0005-0000-0000-00007D5F0000}"/>
    <cellStyle name="표준 5 2 4 3 3 2 5 7" xfId="42698" xr:uid="{00000000-0005-0000-0000-00007E5F0000}"/>
    <cellStyle name="표준 5 2 4 3 3 2 6" xfId="7636" xr:uid="{00000000-0005-0000-0000-00007F5F0000}"/>
    <cellStyle name="표준 5 2 4 3 3 2 6 2" xfId="28342" xr:uid="{00000000-0005-0000-0000-0000805F0000}"/>
    <cellStyle name="표준 5 2 4 3 3 2 6 3" xfId="36553" xr:uid="{00000000-0005-0000-0000-0000815F0000}"/>
    <cellStyle name="표준 5 2 4 3 3 2 6 4" xfId="44746" xr:uid="{00000000-0005-0000-0000-0000825F0000}"/>
    <cellStyle name="표준 5 2 4 3 3 2 7" xfId="11748" xr:uid="{00000000-0005-0000-0000-0000835F0000}"/>
    <cellStyle name="표준 5 2 4 3 3 2 8" xfId="15988" xr:uid="{00000000-0005-0000-0000-0000845F0000}"/>
    <cellStyle name="표준 5 2 4 3 3 2 9" xfId="20150" xr:uid="{00000000-0005-0000-0000-0000855F0000}"/>
    <cellStyle name="표준 5 2 4 3 3 3" xfId="1037" xr:uid="{00000000-0005-0000-0000-0000865F0000}"/>
    <cellStyle name="표준 5 2 4 3 3 3 2" xfId="9940" xr:uid="{00000000-0005-0000-0000-0000875F0000}"/>
    <cellStyle name="표준 5 2 4 3 3 3 2 2" xfId="14052" xr:uid="{00000000-0005-0000-0000-0000885F0000}"/>
    <cellStyle name="표준 5 2 4 3 3 3 2 2 2" xfId="30646" xr:uid="{00000000-0005-0000-0000-0000895F0000}"/>
    <cellStyle name="표준 5 2 4 3 3 3 2 2 3" xfId="38857" xr:uid="{00000000-0005-0000-0000-00008A5F0000}"/>
    <cellStyle name="표준 5 2 4 3 3 3 2 2 4" xfId="47050" xr:uid="{00000000-0005-0000-0000-00008B5F0000}"/>
    <cellStyle name="표준 5 2 4 3 3 3 2 3" xfId="18292" xr:uid="{00000000-0005-0000-0000-00008C5F0000}"/>
    <cellStyle name="표준 5 2 4 3 3 3 2 4" xfId="22454" xr:uid="{00000000-0005-0000-0000-00008D5F0000}"/>
    <cellStyle name="표준 5 2 4 3 3 3 2 5" xfId="26550" xr:uid="{00000000-0005-0000-0000-00008E5F0000}"/>
    <cellStyle name="표준 5 2 4 3 3 3 2 6" xfId="34761" xr:uid="{00000000-0005-0000-0000-00008F5F0000}"/>
    <cellStyle name="표준 5 2 4 3 3 3 2 7" xfId="42954" xr:uid="{00000000-0005-0000-0000-0000905F0000}"/>
    <cellStyle name="표준 5 2 4 3 3 3 3" xfId="7892" xr:uid="{00000000-0005-0000-0000-0000915F0000}"/>
    <cellStyle name="표준 5 2 4 3 3 3 3 2" xfId="28598" xr:uid="{00000000-0005-0000-0000-0000925F0000}"/>
    <cellStyle name="표준 5 2 4 3 3 3 3 3" xfId="36809" xr:uid="{00000000-0005-0000-0000-0000935F0000}"/>
    <cellStyle name="표준 5 2 4 3 3 3 3 4" xfId="45002" xr:uid="{00000000-0005-0000-0000-0000945F0000}"/>
    <cellStyle name="표준 5 2 4 3 3 3 4" xfId="12004" xr:uid="{00000000-0005-0000-0000-0000955F0000}"/>
    <cellStyle name="표준 5 2 4 3 3 3 5" xfId="16244" xr:uid="{00000000-0005-0000-0000-0000965F0000}"/>
    <cellStyle name="표준 5 2 4 3 3 3 6" xfId="20406" xr:uid="{00000000-0005-0000-0000-0000975F0000}"/>
    <cellStyle name="표준 5 2 4 3 3 3 7" xfId="24502" xr:uid="{00000000-0005-0000-0000-0000985F0000}"/>
    <cellStyle name="표준 5 2 4 3 3 3 8" xfId="32713" xr:uid="{00000000-0005-0000-0000-0000995F0000}"/>
    <cellStyle name="표준 5 2 4 3 3 3 9" xfId="40906" xr:uid="{00000000-0005-0000-0000-00009A5F0000}"/>
    <cellStyle name="표준 5 2 4 3 3 4" xfId="1549" xr:uid="{00000000-0005-0000-0000-00009B5F0000}"/>
    <cellStyle name="표준 5 2 4 3 3 4 2" xfId="10452" xr:uid="{00000000-0005-0000-0000-00009C5F0000}"/>
    <cellStyle name="표준 5 2 4 3 3 4 2 2" xfId="14564" xr:uid="{00000000-0005-0000-0000-00009D5F0000}"/>
    <cellStyle name="표준 5 2 4 3 3 4 2 2 2" xfId="31158" xr:uid="{00000000-0005-0000-0000-00009E5F0000}"/>
    <cellStyle name="표준 5 2 4 3 3 4 2 2 3" xfId="39369" xr:uid="{00000000-0005-0000-0000-00009F5F0000}"/>
    <cellStyle name="표준 5 2 4 3 3 4 2 2 4" xfId="47562" xr:uid="{00000000-0005-0000-0000-0000A05F0000}"/>
    <cellStyle name="표준 5 2 4 3 3 4 2 3" xfId="18804" xr:uid="{00000000-0005-0000-0000-0000A15F0000}"/>
    <cellStyle name="표준 5 2 4 3 3 4 2 4" xfId="22966" xr:uid="{00000000-0005-0000-0000-0000A25F0000}"/>
    <cellStyle name="표준 5 2 4 3 3 4 2 5" xfId="27062" xr:uid="{00000000-0005-0000-0000-0000A35F0000}"/>
    <cellStyle name="표준 5 2 4 3 3 4 2 6" xfId="35273" xr:uid="{00000000-0005-0000-0000-0000A45F0000}"/>
    <cellStyle name="표준 5 2 4 3 3 4 2 7" xfId="43466" xr:uid="{00000000-0005-0000-0000-0000A55F0000}"/>
    <cellStyle name="표준 5 2 4 3 3 4 3" xfId="8404" xr:uid="{00000000-0005-0000-0000-0000A65F0000}"/>
    <cellStyle name="표준 5 2 4 3 3 4 3 2" xfId="29110" xr:uid="{00000000-0005-0000-0000-0000A75F0000}"/>
    <cellStyle name="표준 5 2 4 3 3 4 3 3" xfId="37321" xr:uid="{00000000-0005-0000-0000-0000A85F0000}"/>
    <cellStyle name="표준 5 2 4 3 3 4 3 4" xfId="45514" xr:uid="{00000000-0005-0000-0000-0000A95F0000}"/>
    <cellStyle name="표준 5 2 4 3 3 4 4" xfId="12516" xr:uid="{00000000-0005-0000-0000-0000AA5F0000}"/>
    <cellStyle name="표준 5 2 4 3 3 4 5" xfId="16756" xr:uid="{00000000-0005-0000-0000-0000AB5F0000}"/>
    <cellStyle name="표준 5 2 4 3 3 4 6" xfId="20918" xr:uid="{00000000-0005-0000-0000-0000AC5F0000}"/>
    <cellStyle name="표준 5 2 4 3 3 4 7" xfId="25014" xr:uid="{00000000-0005-0000-0000-0000AD5F0000}"/>
    <cellStyle name="표준 5 2 4 3 3 4 8" xfId="33225" xr:uid="{00000000-0005-0000-0000-0000AE5F0000}"/>
    <cellStyle name="표준 5 2 4 3 3 4 9" xfId="41418" xr:uid="{00000000-0005-0000-0000-0000AF5F0000}"/>
    <cellStyle name="표준 5 2 4 3 3 5" xfId="2061" xr:uid="{00000000-0005-0000-0000-0000B05F0000}"/>
    <cellStyle name="표준 5 2 4 3 3 5 2" xfId="10964" xr:uid="{00000000-0005-0000-0000-0000B15F0000}"/>
    <cellStyle name="표준 5 2 4 3 3 5 2 2" xfId="15076" xr:uid="{00000000-0005-0000-0000-0000B25F0000}"/>
    <cellStyle name="표준 5 2 4 3 3 5 2 2 2" xfId="31670" xr:uid="{00000000-0005-0000-0000-0000B35F0000}"/>
    <cellStyle name="표준 5 2 4 3 3 5 2 2 3" xfId="39881" xr:uid="{00000000-0005-0000-0000-0000B45F0000}"/>
    <cellStyle name="표준 5 2 4 3 3 5 2 2 4" xfId="48074" xr:uid="{00000000-0005-0000-0000-0000B55F0000}"/>
    <cellStyle name="표준 5 2 4 3 3 5 2 3" xfId="19316" xr:uid="{00000000-0005-0000-0000-0000B65F0000}"/>
    <cellStyle name="표준 5 2 4 3 3 5 2 4" xfId="23478" xr:uid="{00000000-0005-0000-0000-0000B75F0000}"/>
    <cellStyle name="표준 5 2 4 3 3 5 2 5" xfId="27574" xr:uid="{00000000-0005-0000-0000-0000B85F0000}"/>
    <cellStyle name="표준 5 2 4 3 3 5 2 6" xfId="35785" xr:uid="{00000000-0005-0000-0000-0000B95F0000}"/>
    <cellStyle name="표준 5 2 4 3 3 5 2 7" xfId="43978" xr:uid="{00000000-0005-0000-0000-0000BA5F0000}"/>
    <cellStyle name="표준 5 2 4 3 3 5 3" xfId="8916" xr:uid="{00000000-0005-0000-0000-0000BB5F0000}"/>
    <cellStyle name="표준 5 2 4 3 3 5 3 2" xfId="29622" xr:uid="{00000000-0005-0000-0000-0000BC5F0000}"/>
    <cellStyle name="표준 5 2 4 3 3 5 3 3" xfId="37833" xr:uid="{00000000-0005-0000-0000-0000BD5F0000}"/>
    <cellStyle name="표준 5 2 4 3 3 5 3 4" xfId="46026" xr:uid="{00000000-0005-0000-0000-0000BE5F0000}"/>
    <cellStyle name="표준 5 2 4 3 3 5 4" xfId="13028" xr:uid="{00000000-0005-0000-0000-0000BF5F0000}"/>
    <cellStyle name="표준 5 2 4 3 3 5 5" xfId="17268" xr:uid="{00000000-0005-0000-0000-0000C05F0000}"/>
    <cellStyle name="표준 5 2 4 3 3 5 6" xfId="21430" xr:uid="{00000000-0005-0000-0000-0000C15F0000}"/>
    <cellStyle name="표준 5 2 4 3 3 5 7" xfId="25526" xr:uid="{00000000-0005-0000-0000-0000C25F0000}"/>
    <cellStyle name="표준 5 2 4 3 3 5 8" xfId="33737" xr:uid="{00000000-0005-0000-0000-0000C35F0000}"/>
    <cellStyle name="표준 5 2 4 3 3 5 9" xfId="41930" xr:uid="{00000000-0005-0000-0000-0000C45F0000}"/>
    <cellStyle name="표준 5 2 4 3 3 6" xfId="9428" xr:uid="{00000000-0005-0000-0000-0000C55F0000}"/>
    <cellStyle name="표준 5 2 4 3 3 6 2" xfId="13540" xr:uid="{00000000-0005-0000-0000-0000C65F0000}"/>
    <cellStyle name="표준 5 2 4 3 3 6 2 2" xfId="30134" xr:uid="{00000000-0005-0000-0000-0000C75F0000}"/>
    <cellStyle name="표준 5 2 4 3 3 6 2 3" xfId="38345" xr:uid="{00000000-0005-0000-0000-0000C85F0000}"/>
    <cellStyle name="표준 5 2 4 3 3 6 2 4" xfId="46538" xr:uid="{00000000-0005-0000-0000-0000C95F0000}"/>
    <cellStyle name="표준 5 2 4 3 3 6 3" xfId="17780" xr:uid="{00000000-0005-0000-0000-0000CA5F0000}"/>
    <cellStyle name="표준 5 2 4 3 3 6 4" xfId="21942" xr:uid="{00000000-0005-0000-0000-0000CB5F0000}"/>
    <cellStyle name="표준 5 2 4 3 3 6 5" xfId="26038" xr:uid="{00000000-0005-0000-0000-0000CC5F0000}"/>
    <cellStyle name="표준 5 2 4 3 3 6 6" xfId="34249" xr:uid="{00000000-0005-0000-0000-0000CD5F0000}"/>
    <cellStyle name="표준 5 2 4 3 3 6 7" xfId="42442" xr:uid="{00000000-0005-0000-0000-0000CE5F0000}"/>
    <cellStyle name="표준 5 2 4 3 3 7" xfId="7380" xr:uid="{00000000-0005-0000-0000-0000CF5F0000}"/>
    <cellStyle name="표준 5 2 4 3 3 7 2" xfId="28086" xr:uid="{00000000-0005-0000-0000-0000D05F0000}"/>
    <cellStyle name="표준 5 2 4 3 3 7 3" xfId="36297" xr:uid="{00000000-0005-0000-0000-0000D15F0000}"/>
    <cellStyle name="표준 5 2 4 3 3 7 4" xfId="44490" xr:uid="{00000000-0005-0000-0000-0000D25F0000}"/>
    <cellStyle name="표준 5 2 4 3 3 8" xfId="11492" xr:uid="{00000000-0005-0000-0000-0000D35F0000}"/>
    <cellStyle name="표준 5 2 4 3 3 9" xfId="15732" xr:uid="{00000000-0005-0000-0000-0000D45F0000}"/>
    <cellStyle name="표준 5 2 4 3 4" xfId="653" xr:uid="{00000000-0005-0000-0000-0000D55F0000}"/>
    <cellStyle name="표준 5 2 4 3 4 10" xfId="24118" xr:uid="{00000000-0005-0000-0000-0000D65F0000}"/>
    <cellStyle name="표준 5 2 4 3 4 11" xfId="32329" xr:uid="{00000000-0005-0000-0000-0000D75F0000}"/>
    <cellStyle name="표준 5 2 4 3 4 12" xfId="40522" xr:uid="{00000000-0005-0000-0000-0000D85F0000}"/>
    <cellStyle name="표준 5 2 4 3 4 2" xfId="1165" xr:uid="{00000000-0005-0000-0000-0000D95F0000}"/>
    <cellStyle name="표준 5 2 4 3 4 2 2" xfId="10068" xr:uid="{00000000-0005-0000-0000-0000DA5F0000}"/>
    <cellStyle name="표준 5 2 4 3 4 2 2 2" xfId="14180" xr:uid="{00000000-0005-0000-0000-0000DB5F0000}"/>
    <cellStyle name="표준 5 2 4 3 4 2 2 2 2" xfId="30774" xr:uid="{00000000-0005-0000-0000-0000DC5F0000}"/>
    <cellStyle name="표준 5 2 4 3 4 2 2 2 3" xfId="38985" xr:uid="{00000000-0005-0000-0000-0000DD5F0000}"/>
    <cellStyle name="표준 5 2 4 3 4 2 2 2 4" xfId="47178" xr:uid="{00000000-0005-0000-0000-0000DE5F0000}"/>
    <cellStyle name="표준 5 2 4 3 4 2 2 3" xfId="18420" xr:uid="{00000000-0005-0000-0000-0000DF5F0000}"/>
    <cellStyle name="표준 5 2 4 3 4 2 2 4" xfId="22582" xr:uid="{00000000-0005-0000-0000-0000E05F0000}"/>
    <cellStyle name="표준 5 2 4 3 4 2 2 5" xfId="26678" xr:uid="{00000000-0005-0000-0000-0000E15F0000}"/>
    <cellStyle name="표준 5 2 4 3 4 2 2 6" xfId="34889" xr:uid="{00000000-0005-0000-0000-0000E25F0000}"/>
    <cellStyle name="표준 5 2 4 3 4 2 2 7" xfId="43082" xr:uid="{00000000-0005-0000-0000-0000E35F0000}"/>
    <cellStyle name="표준 5 2 4 3 4 2 3" xfId="8020" xr:uid="{00000000-0005-0000-0000-0000E45F0000}"/>
    <cellStyle name="표준 5 2 4 3 4 2 3 2" xfId="28726" xr:uid="{00000000-0005-0000-0000-0000E55F0000}"/>
    <cellStyle name="표준 5 2 4 3 4 2 3 3" xfId="36937" xr:uid="{00000000-0005-0000-0000-0000E65F0000}"/>
    <cellStyle name="표준 5 2 4 3 4 2 3 4" xfId="45130" xr:uid="{00000000-0005-0000-0000-0000E75F0000}"/>
    <cellStyle name="표준 5 2 4 3 4 2 4" xfId="12132" xr:uid="{00000000-0005-0000-0000-0000E85F0000}"/>
    <cellStyle name="표준 5 2 4 3 4 2 5" xfId="16372" xr:uid="{00000000-0005-0000-0000-0000E95F0000}"/>
    <cellStyle name="표준 5 2 4 3 4 2 6" xfId="20534" xr:uid="{00000000-0005-0000-0000-0000EA5F0000}"/>
    <cellStyle name="표준 5 2 4 3 4 2 7" xfId="24630" xr:uid="{00000000-0005-0000-0000-0000EB5F0000}"/>
    <cellStyle name="표준 5 2 4 3 4 2 8" xfId="32841" xr:uid="{00000000-0005-0000-0000-0000EC5F0000}"/>
    <cellStyle name="표준 5 2 4 3 4 2 9" xfId="41034" xr:uid="{00000000-0005-0000-0000-0000ED5F0000}"/>
    <cellStyle name="표준 5 2 4 3 4 3" xfId="1677" xr:uid="{00000000-0005-0000-0000-0000EE5F0000}"/>
    <cellStyle name="표준 5 2 4 3 4 3 2" xfId="10580" xr:uid="{00000000-0005-0000-0000-0000EF5F0000}"/>
    <cellStyle name="표준 5 2 4 3 4 3 2 2" xfId="14692" xr:uid="{00000000-0005-0000-0000-0000F05F0000}"/>
    <cellStyle name="표준 5 2 4 3 4 3 2 2 2" xfId="31286" xr:uid="{00000000-0005-0000-0000-0000F15F0000}"/>
    <cellStyle name="표준 5 2 4 3 4 3 2 2 3" xfId="39497" xr:uid="{00000000-0005-0000-0000-0000F25F0000}"/>
    <cellStyle name="표준 5 2 4 3 4 3 2 2 4" xfId="47690" xr:uid="{00000000-0005-0000-0000-0000F35F0000}"/>
    <cellStyle name="표준 5 2 4 3 4 3 2 3" xfId="18932" xr:uid="{00000000-0005-0000-0000-0000F45F0000}"/>
    <cellStyle name="표준 5 2 4 3 4 3 2 4" xfId="23094" xr:uid="{00000000-0005-0000-0000-0000F55F0000}"/>
    <cellStyle name="표준 5 2 4 3 4 3 2 5" xfId="27190" xr:uid="{00000000-0005-0000-0000-0000F65F0000}"/>
    <cellStyle name="표준 5 2 4 3 4 3 2 6" xfId="35401" xr:uid="{00000000-0005-0000-0000-0000F75F0000}"/>
    <cellStyle name="표준 5 2 4 3 4 3 2 7" xfId="43594" xr:uid="{00000000-0005-0000-0000-0000F85F0000}"/>
    <cellStyle name="표준 5 2 4 3 4 3 3" xfId="8532" xr:uid="{00000000-0005-0000-0000-0000F95F0000}"/>
    <cellStyle name="표준 5 2 4 3 4 3 3 2" xfId="29238" xr:uid="{00000000-0005-0000-0000-0000FA5F0000}"/>
    <cellStyle name="표준 5 2 4 3 4 3 3 3" xfId="37449" xr:uid="{00000000-0005-0000-0000-0000FB5F0000}"/>
    <cellStyle name="표준 5 2 4 3 4 3 3 4" xfId="45642" xr:uid="{00000000-0005-0000-0000-0000FC5F0000}"/>
    <cellStyle name="표준 5 2 4 3 4 3 4" xfId="12644" xr:uid="{00000000-0005-0000-0000-0000FD5F0000}"/>
    <cellStyle name="표준 5 2 4 3 4 3 5" xfId="16884" xr:uid="{00000000-0005-0000-0000-0000FE5F0000}"/>
    <cellStyle name="표준 5 2 4 3 4 3 6" xfId="21046" xr:uid="{00000000-0005-0000-0000-0000FF5F0000}"/>
    <cellStyle name="표준 5 2 4 3 4 3 7" xfId="25142" xr:uid="{00000000-0005-0000-0000-000000600000}"/>
    <cellStyle name="표준 5 2 4 3 4 3 8" xfId="33353" xr:uid="{00000000-0005-0000-0000-000001600000}"/>
    <cellStyle name="표준 5 2 4 3 4 3 9" xfId="41546" xr:uid="{00000000-0005-0000-0000-000002600000}"/>
    <cellStyle name="표준 5 2 4 3 4 4" xfId="2189" xr:uid="{00000000-0005-0000-0000-000003600000}"/>
    <cellStyle name="표준 5 2 4 3 4 4 2" xfId="11092" xr:uid="{00000000-0005-0000-0000-000004600000}"/>
    <cellStyle name="표준 5 2 4 3 4 4 2 2" xfId="15204" xr:uid="{00000000-0005-0000-0000-000005600000}"/>
    <cellStyle name="표준 5 2 4 3 4 4 2 2 2" xfId="31798" xr:uid="{00000000-0005-0000-0000-000006600000}"/>
    <cellStyle name="표준 5 2 4 3 4 4 2 2 3" xfId="40009" xr:uid="{00000000-0005-0000-0000-000007600000}"/>
    <cellStyle name="표준 5 2 4 3 4 4 2 2 4" xfId="48202" xr:uid="{00000000-0005-0000-0000-000008600000}"/>
    <cellStyle name="표준 5 2 4 3 4 4 2 3" xfId="19444" xr:uid="{00000000-0005-0000-0000-000009600000}"/>
    <cellStyle name="표준 5 2 4 3 4 4 2 4" xfId="23606" xr:uid="{00000000-0005-0000-0000-00000A600000}"/>
    <cellStyle name="표준 5 2 4 3 4 4 2 5" xfId="27702" xr:uid="{00000000-0005-0000-0000-00000B600000}"/>
    <cellStyle name="표준 5 2 4 3 4 4 2 6" xfId="35913" xr:uid="{00000000-0005-0000-0000-00000C600000}"/>
    <cellStyle name="표준 5 2 4 3 4 4 2 7" xfId="44106" xr:uid="{00000000-0005-0000-0000-00000D600000}"/>
    <cellStyle name="표준 5 2 4 3 4 4 3" xfId="9044" xr:uid="{00000000-0005-0000-0000-00000E600000}"/>
    <cellStyle name="표준 5 2 4 3 4 4 3 2" xfId="29750" xr:uid="{00000000-0005-0000-0000-00000F600000}"/>
    <cellStyle name="표준 5 2 4 3 4 4 3 3" xfId="37961" xr:uid="{00000000-0005-0000-0000-000010600000}"/>
    <cellStyle name="표준 5 2 4 3 4 4 3 4" xfId="46154" xr:uid="{00000000-0005-0000-0000-000011600000}"/>
    <cellStyle name="표준 5 2 4 3 4 4 4" xfId="13156" xr:uid="{00000000-0005-0000-0000-000012600000}"/>
    <cellStyle name="표준 5 2 4 3 4 4 5" xfId="17396" xr:uid="{00000000-0005-0000-0000-000013600000}"/>
    <cellStyle name="표준 5 2 4 3 4 4 6" xfId="21558" xr:uid="{00000000-0005-0000-0000-000014600000}"/>
    <cellStyle name="표준 5 2 4 3 4 4 7" xfId="25654" xr:uid="{00000000-0005-0000-0000-000015600000}"/>
    <cellStyle name="표준 5 2 4 3 4 4 8" xfId="33865" xr:uid="{00000000-0005-0000-0000-000016600000}"/>
    <cellStyle name="표준 5 2 4 3 4 4 9" xfId="42058" xr:uid="{00000000-0005-0000-0000-000017600000}"/>
    <cellStyle name="표준 5 2 4 3 4 5" xfId="9556" xr:uid="{00000000-0005-0000-0000-000018600000}"/>
    <cellStyle name="표준 5 2 4 3 4 5 2" xfId="13668" xr:uid="{00000000-0005-0000-0000-000019600000}"/>
    <cellStyle name="표준 5 2 4 3 4 5 2 2" xfId="30262" xr:uid="{00000000-0005-0000-0000-00001A600000}"/>
    <cellStyle name="표준 5 2 4 3 4 5 2 3" xfId="38473" xr:uid="{00000000-0005-0000-0000-00001B600000}"/>
    <cellStyle name="표준 5 2 4 3 4 5 2 4" xfId="46666" xr:uid="{00000000-0005-0000-0000-00001C600000}"/>
    <cellStyle name="표준 5 2 4 3 4 5 3" xfId="17908" xr:uid="{00000000-0005-0000-0000-00001D600000}"/>
    <cellStyle name="표준 5 2 4 3 4 5 4" xfId="22070" xr:uid="{00000000-0005-0000-0000-00001E600000}"/>
    <cellStyle name="표준 5 2 4 3 4 5 5" xfId="26166" xr:uid="{00000000-0005-0000-0000-00001F600000}"/>
    <cellStyle name="표준 5 2 4 3 4 5 6" xfId="34377" xr:uid="{00000000-0005-0000-0000-000020600000}"/>
    <cellStyle name="표준 5 2 4 3 4 5 7" xfId="42570" xr:uid="{00000000-0005-0000-0000-000021600000}"/>
    <cellStyle name="표준 5 2 4 3 4 6" xfId="7508" xr:uid="{00000000-0005-0000-0000-000022600000}"/>
    <cellStyle name="표준 5 2 4 3 4 6 2" xfId="28214" xr:uid="{00000000-0005-0000-0000-000023600000}"/>
    <cellStyle name="표준 5 2 4 3 4 6 3" xfId="36425" xr:uid="{00000000-0005-0000-0000-000024600000}"/>
    <cellStyle name="표준 5 2 4 3 4 6 4" xfId="44618" xr:uid="{00000000-0005-0000-0000-000025600000}"/>
    <cellStyle name="표준 5 2 4 3 4 7" xfId="11620" xr:uid="{00000000-0005-0000-0000-000026600000}"/>
    <cellStyle name="표준 5 2 4 3 4 8" xfId="15860" xr:uid="{00000000-0005-0000-0000-000027600000}"/>
    <cellStyle name="표준 5 2 4 3 4 9" xfId="20022" xr:uid="{00000000-0005-0000-0000-000028600000}"/>
    <cellStyle name="표준 5 2 4 3 5" xfId="909" xr:uid="{00000000-0005-0000-0000-000029600000}"/>
    <cellStyle name="표준 5 2 4 3 5 2" xfId="9812" xr:uid="{00000000-0005-0000-0000-00002A600000}"/>
    <cellStyle name="표준 5 2 4 3 5 2 2" xfId="13924" xr:uid="{00000000-0005-0000-0000-00002B600000}"/>
    <cellStyle name="표준 5 2 4 3 5 2 2 2" xfId="30518" xr:uid="{00000000-0005-0000-0000-00002C600000}"/>
    <cellStyle name="표준 5 2 4 3 5 2 2 3" xfId="38729" xr:uid="{00000000-0005-0000-0000-00002D600000}"/>
    <cellStyle name="표준 5 2 4 3 5 2 2 4" xfId="46922" xr:uid="{00000000-0005-0000-0000-00002E600000}"/>
    <cellStyle name="표준 5 2 4 3 5 2 3" xfId="18164" xr:uid="{00000000-0005-0000-0000-00002F600000}"/>
    <cellStyle name="표준 5 2 4 3 5 2 4" xfId="22326" xr:uid="{00000000-0005-0000-0000-000030600000}"/>
    <cellStyle name="표준 5 2 4 3 5 2 5" xfId="26422" xr:uid="{00000000-0005-0000-0000-000031600000}"/>
    <cellStyle name="표준 5 2 4 3 5 2 6" xfId="34633" xr:uid="{00000000-0005-0000-0000-000032600000}"/>
    <cellStyle name="표준 5 2 4 3 5 2 7" xfId="42826" xr:uid="{00000000-0005-0000-0000-000033600000}"/>
    <cellStyle name="표준 5 2 4 3 5 3" xfId="7764" xr:uid="{00000000-0005-0000-0000-000034600000}"/>
    <cellStyle name="표준 5 2 4 3 5 3 2" xfId="28470" xr:uid="{00000000-0005-0000-0000-000035600000}"/>
    <cellStyle name="표준 5 2 4 3 5 3 3" xfId="36681" xr:uid="{00000000-0005-0000-0000-000036600000}"/>
    <cellStyle name="표준 5 2 4 3 5 3 4" xfId="44874" xr:uid="{00000000-0005-0000-0000-000037600000}"/>
    <cellStyle name="표준 5 2 4 3 5 4" xfId="11876" xr:uid="{00000000-0005-0000-0000-000038600000}"/>
    <cellStyle name="표준 5 2 4 3 5 5" xfId="16116" xr:uid="{00000000-0005-0000-0000-000039600000}"/>
    <cellStyle name="표준 5 2 4 3 5 6" xfId="20278" xr:uid="{00000000-0005-0000-0000-00003A600000}"/>
    <cellStyle name="표준 5 2 4 3 5 7" xfId="24374" xr:uid="{00000000-0005-0000-0000-00003B600000}"/>
    <cellStyle name="표준 5 2 4 3 5 8" xfId="32585" xr:uid="{00000000-0005-0000-0000-00003C600000}"/>
    <cellStyle name="표준 5 2 4 3 5 9" xfId="40778" xr:uid="{00000000-0005-0000-0000-00003D600000}"/>
    <cellStyle name="표준 5 2 4 3 6" xfId="1421" xr:uid="{00000000-0005-0000-0000-00003E600000}"/>
    <cellStyle name="표준 5 2 4 3 6 2" xfId="10324" xr:uid="{00000000-0005-0000-0000-00003F600000}"/>
    <cellStyle name="표준 5 2 4 3 6 2 2" xfId="14436" xr:uid="{00000000-0005-0000-0000-000040600000}"/>
    <cellStyle name="표준 5 2 4 3 6 2 2 2" xfId="31030" xr:uid="{00000000-0005-0000-0000-000041600000}"/>
    <cellStyle name="표준 5 2 4 3 6 2 2 3" xfId="39241" xr:uid="{00000000-0005-0000-0000-000042600000}"/>
    <cellStyle name="표준 5 2 4 3 6 2 2 4" xfId="47434" xr:uid="{00000000-0005-0000-0000-000043600000}"/>
    <cellStyle name="표준 5 2 4 3 6 2 3" xfId="18676" xr:uid="{00000000-0005-0000-0000-000044600000}"/>
    <cellStyle name="표준 5 2 4 3 6 2 4" xfId="22838" xr:uid="{00000000-0005-0000-0000-000045600000}"/>
    <cellStyle name="표준 5 2 4 3 6 2 5" xfId="26934" xr:uid="{00000000-0005-0000-0000-000046600000}"/>
    <cellStyle name="표준 5 2 4 3 6 2 6" xfId="35145" xr:uid="{00000000-0005-0000-0000-000047600000}"/>
    <cellStyle name="표준 5 2 4 3 6 2 7" xfId="43338" xr:uid="{00000000-0005-0000-0000-000048600000}"/>
    <cellStyle name="표준 5 2 4 3 6 3" xfId="8276" xr:uid="{00000000-0005-0000-0000-000049600000}"/>
    <cellStyle name="표준 5 2 4 3 6 3 2" xfId="28982" xr:uid="{00000000-0005-0000-0000-00004A600000}"/>
    <cellStyle name="표준 5 2 4 3 6 3 3" xfId="37193" xr:uid="{00000000-0005-0000-0000-00004B600000}"/>
    <cellStyle name="표준 5 2 4 3 6 3 4" xfId="45386" xr:uid="{00000000-0005-0000-0000-00004C600000}"/>
    <cellStyle name="표준 5 2 4 3 6 4" xfId="12388" xr:uid="{00000000-0005-0000-0000-00004D600000}"/>
    <cellStyle name="표준 5 2 4 3 6 5" xfId="16628" xr:uid="{00000000-0005-0000-0000-00004E600000}"/>
    <cellStyle name="표준 5 2 4 3 6 6" xfId="20790" xr:uid="{00000000-0005-0000-0000-00004F600000}"/>
    <cellStyle name="표준 5 2 4 3 6 7" xfId="24886" xr:uid="{00000000-0005-0000-0000-000050600000}"/>
    <cellStyle name="표준 5 2 4 3 6 8" xfId="33097" xr:uid="{00000000-0005-0000-0000-000051600000}"/>
    <cellStyle name="표준 5 2 4 3 6 9" xfId="41290" xr:uid="{00000000-0005-0000-0000-000052600000}"/>
    <cellStyle name="표준 5 2 4 3 7" xfId="1933" xr:uid="{00000000-0005-0000-0000-000053600000}"/>
    <cellStyle name="표준 5 2 4 3 7 2" xfId="10836" xr:uid="{00000000-0005-0000-0000-000054600000}"/>
    <cellStyle name="표준 5 2 4 3 7 2 2" xfId="14948" xr:uid="{00000000-0005-0000-0000-000055600000}"/>
    <cellStyle name="표준 5 2 4 3 7 2 2 2" xfId="31542" xr:uid="{00000000-0005-0000-0000-000056600000}"/>
    <cellStyle name="표준 5 2 4 3 7 2 2 3" xfId="39753" xr:uid="{00000000-0005-0000-0000-000057600000}"/>
    <cellStyle name="표준 5 2 4 3 7 2 2 4" xfId="47946" xr:uid="{00000000-0005-0000-0000-000058600000}"/>
    <cellStyle name="표준 5 2 4 3 7 2 3" xfId="19188" xr:uid="{00000000-0005-0000-0000-000059600000}"/>
    <cellStyle name="표준 5 2 4 3 7 2 4" xfId="23350" xr:uid="{00000000-0005-0000-0000-00005A600000}"/>
    <cellStyle name="표준 5 2 4 3 7 2 5" xfId="27446" xr:uid="{00000000-0005-0000-0000-00005B600000}"/>
    <cellStyle name="표준 5 2 4 3 7 2 6" xfId="35657" xr:uid="{00000000-0005-0000-0000-00005C600000}"/>
    <cellStyle name="표준 5 2 4 3 7 2 7" xfId="43850" xr:uid="{00000000-0005-0000-0000-00005D600000}"/>
    <cellStyle name="표준 5 2 4 3 7 3" xfId="8788" xr:uid="{00000000-0005-0000-0000-00005E600000}"/>
    <cellStyle name="표준 5 2 4 3 7 3 2" xfId="29494" xr:uid="{00000000-0005-0000-0000-00005F600000}"/>
    <cellStyle name="표준 5 2 4 3 7 3 3" xfId="37705" xr:uid="{00000000-0005-0000-0000-000060600000}"/>
    <cellStyle name="표준 5 2 4 3 7 3 4" xfId="45898" xr:uid="{00000000-0005-0000-0000-000061600000}"/>
    <cellStyle name="표준 5 2 4 3 7 4" xfId="12900" xr:uid="{00000000-0005-0000-0000-000062600000}"/>
    <cellStyle name="표준 5 2 4 3 7 5" xfId="17140" xr:uid="{00000000-0005-0000-0000-000063600000}"/>
    <cellStyle name="표준 5 2 4 3 7 6" xfId="21302" xr:uid="{00000000-0005-0000-0000-000064600000}"/>
    <cellStyle name="표준 5 2 4 3 7 7" xfId="25398" xr:uid="{00000000-0005-0000-0000-000065600000}"/>
    <cellStyle name="표준 5 2 4 3 7 8" xfId="33609" xr:uid="{00000000-0005-0000-0000-000066600000}"/>
    <cellStyle name="표준 5 2 4 3 7 9" xfId="41802" xr:uid="{00000000-0005-0000-0000-000067600000}"/>
    <cellStyle name="표준 5 2 4 3 8" xfId="397" xr:uid="{00000000-0005-0000-0000-000068600000}"/>
    <cellStyle name="표준 5 2 4 3 8 2" xfId="9300" xr:uid="{00000000-0005-0000-0000-000069600000}"/>
    <cellStyle name="표준 5 2 4 3 8 2 2" xfId="30006" xr:uid="{00000000-0005-0000-0000-00006A600000}"/>
    <cellStyle name="표준 5 2 4 3 8 2 3" xfId="38217" xr:uid="{00000000-0005-0000-0000-00006B600000}"/>
    <cellStyle name="표준 5 2 4 3 8 2 4" xfId="46410" xr:uid="{00000000-0005-0000-0000-00006C600000}"/>
    <cellStyle name="표준 5 2 4 3 8 3" xfId="13412" xr:uid="{00000000-0005-0000-0000-00006D600000}"/>
    <cellStyle name="표준 5 2 4 3 8 4" xfId="17652" xr:uid="{00000000-0005-0000-0000-00006E600000}"/>
    <cellStyle name="표준 5 2 4 3 8 5" xfId="21814" xr:uid="{00000000-0005-0000-0000-00006F600000}"/>
    <cellStyle name="표준 5 2 4 3 8 6" xfId="25910" xr:uid="{00000000-0005-0000-0000-000070600000}"/>
    <cellStyle name="표준 5 2 4 3 8 7" xfId="34121" xr:uid="{00000000-0005-0000-0000-000071600000}"/>
    <cellStyle name="표준 5 2 4 3 8 8" xfId="42314" xr:uid="{00000000-0005-0000-0000-000072600000}"/>
    <cellStyle name="표준 5 2 4 3 9" xfId="6999" xr:uid="{00000000-0005-0000-0000-000073600000}"/>
    <cellStyle name="표준 5 2 4 3 9 2" xfId="27958" xr:uid="{00000000-0005-0000-0000-000074600000}"/>
    <cellStyle name="표준 5 2 4 3 9 3" xfId="36169" xr:uid="{00000000-0005-0000-0000-000075600000}"/>
    <cellStyle name="표준 5 2 4 3 9 4" xfId="44362" xr:uid="{00000000-0005-0000-0000-000076600000}"/>
    <cellStyle name="표준 5 2 4 30" xfId="32024" xr:uid="{00000000-0005-0000-0000-000077600000}"/>
    <cellStyle name="표준 5 2 4 31" xfId="32041" xr:uid="{00000000-0005-0000-0000-000078600000}"/>
    <cellStyle name="표준 5 2 4 32" xfId="40234" xr:uid="{00000000-0005-0000-0000-000079600000}"/>
    <cellStyle name="표준 5 2 4 33" xfId="48436" xr:uid="{00000000-0005-0000-0000-00007A600000}"/>
    <cellStyle name="표준 5 2 4 4" xfId="429" xr:uid="{00000000-0005-0000-0000-00007B600000}"/>
    <cellStyle name="표준 5 2 4 4 10" xfId="11396" xr:uid="{00000000-0005-0000-0000-00007C600000}"/>
    <cellStyle name="표준 5 2 4 4 11" xfId="15508" xr:uid="{00000000-0005-0000-0000-00007D600000}"/>
    <cellStyle name="표준 5 2 4 4 12" xfId="15636" xr:uid="{00000000-0005-0000-0000-00007E600000}"/>
    <cellStyle name="표준 5 2 4 4 13" xfId="19798" xr:uid="{00000000-0005-0000-0000-00007F600000}"/>
    <cellStyle name="표준 5 2 4 4 14" xfId="23894" xr:uid="{00000000-0005-0000-0000-000080600000}"/>
    <cellStyle name="표준 5 2 4 4 15" xfId="32105" xr:uid="{00000000-0005-0000-0000-000081600000}"/>
    <cellStyle name="표준 5 2 4 4 16" xfId="40298" xr:uid="{00000000-0005-0000-0000-000082600000}"/>
    <cellStyle name="표준 5 2 4 4 2" xfId="557" xr:uid="{00000000-0005-0000-0000-000083600000}"/>
    <cellStyle name="표준 5 2 4 4 2 10" xfId="19926" xr:uid="{00000000-0005-0000-0000-000084600000}"/>
    <cellStyle name="표준 5 2 4 4 2 11" xfId="24022" xr:uid="{00000000-0005-0000-0000-000085600000}"/>
    <cellStyle name="표준 5 2 4 4 2 12" xfId="32233" xr:uid="{00000000-0005-0000-0000-000086600000}"/>
    <cellStyle name="표준 5 2 4 4 2 13" xfId="40426" xr:uid="{00000000-0005-0000-0000-000087600000}"/>
    <cellStyle name="표준 5 2 4 4 2 2" xfId="813" xr:uid="{00000000-0005-0000-0000-000088600000}"/>
    <cellStyle name="표준 5 2 4 4 2 2 10" xfId="24278" xr:uid="{00000000-0005-0000-0000-000089600000}"/>
    <cellStyle name="표준 5 2 4 4 2 2 11" xfId="32489" xr:uid="{00000000-0005-0000-0000-00008A600000}"/>
    <cellStyle name="표준 5 2 4 4 2 2 12" xfId="40682" xr:uid="{00000000-0005-0000-0000-00008B600000}"/>
    <cellStyle name="표준 5 2 4 4 2 2 2" xfId="1325" xr:uid="{00000000-0005-0000-0000-00008C600000}"/>
    <cellStyle name="표준 5 2 4 4 2 2 2 2" xfId="10228" xr:uid="{00000000-0005-0000-0000-00008D600000}"/>
    <cellStyle name="표준 5 2 4 4 2 2 2 2 2" xfId="14340" xr:uid="{00000000-0005-0000-0000-00008E600000}"/>
    <cellStyle name="표준 5 2 4 4 2 2 2 2 2 2" xfId="30934" xr:uid="{00000000-0005-0000-0000-00008F600000}"/>
    <cellStyle name="표준 5 2 4 4 2 2 2 2 2 3" xfId="39145" xr:uid="{00000000-0005-0000-0000-000090600000}"/>
    <cellStyle name="표준 5 2 4 4 2 2 2 2 2 4" xfId="47338" xr:uid="{00000000-0005-0000-0000-000091600000}"/>
    <cellStyle name="표준 5 2 4 4 2 2 2 2 3" xfId="18580" xr:uid="{00000000-0005-0000-0000-000092600000}"/>
    <cellStyle name="표준 5 2 4 4 2 2 2 2 4" xfId="22742" xr:uid="{00000000-0005-0000-0000-000093600000}"/>
    <cellStyle name="표준 5 2 4 4 2 2 2 2 5" xfId="26838" xr:uid="{00000000-0005-0000-0000-000094600000}"/>
    <cellStyle name="표준 5 2 4 4 2 2 2 2 6" xfId="35049" xr:uid="{00000000-0005-0000-0000-000095600000}"/>
    <cellStyle name="표준 5 2 4 4 2 2 2 2 7" xfId="43242" xr:uid="{00000000-0005-0000-0000-000096600000}"/>
    <cellStyle name="표준 5 2 4 4 2 2 2 3" xfId="8180" xr:uid="{00000000-0005-0000-0000-000097600000}"/>
    <cellStyle name="표준 5 2 4 4 2 2 2 3 2" xfId="28886" xr:uid="{00000000-0005-0000-0000-000098600000}"/>
    <cellStyle name="표준 5 2 4 4 2 2 2 3 3" xfId="37097" xr:uid="{00000000-0005-0000-0000-000099600000}"/>
    <cellStyle name="표준 5 2 4 4 2 2 2 3 4" xfId="45290" xr:uid="{00000000-0005-0000-0000-00009A600000}"/>
    <cellStyle name="표준 5 2 4 4 2 2 2 4" xfId="12292" xr:uid="{00000000-0005-0000-0000-00009B600000}"/>
    <cellStyle name="표준 5 2 4 4 2 2 2 5" xfId="16532" xr:uid="{00000000-0005-0000-0000-00009C600000}"/>
    <cellStyle name="표준 5 2 4 4 2 2 2 6" xfId="20694" xr:uid="{00000000-0005-0000-0000-00009D600000}"/>
    <cellStyle name="표준 5 2 4 4 2 2 2 7" xfId="24790" xr:uid="{00000000-0005-0000-0000-00009E600000}"/>
    <cellStyle name="표준 5 2 4 4 2 2 2 8" xfId="33001" xr:uid="{00000000-0005-0000-0000-00009F600000}"/>
    <cellStyle name="표준 5 2 4 4 2 2 2 9" xfId="41194" xr:uid="{00000000-0005-0000-0000-0000A0600000}"/>
    <cellStyle name="표준 5 2 4 4 2 2 3" xfId="1837" xr:uid="{00000000-0005-0000-0000-0000A1600000}"/>
    <cellStyle name="표준 5 2 4 4 2 2 3 2" xfId="10740" xr:uid="{00000000-0005-0000-0000-0000A2600000}"/>
    <cellStyle name="표준 5 2 4 4 2 2 3 2 2" xfId="14852" xr:uid="{00000000-0005-0000-0000-0000A3600000}"/>
    <cellStyle name="표준 5 2 4 4 2 2 3 2 2 2" xfId="31446" xr:uid="{00000000-0005-0000-0000-0000A4600000}"/>
    <cellStyle name="표준 5 2 4 4 2 2 3 2 2 3" xfId="39657" xr:uid="{00000000-0005-0000-0000-0000A5600000}"/>
    <cellStyle name="표준 5 2 4 4 2 2 3 2 2 4" xfId="47850" xr:uid="{00000000-0005-0000-0000-0000A6600000}"/>
    <cellStyle name="표준 5 2 4 4 2 2 3 2 3" xfId="19092" xr:uid="{00000000-0005-0000-0000-0000A7600000}"/>
    <cellStyle name="표준 5 2 4 4 2 2 3 2 4" xfId="23254" xr:uid="{00000000-0005-0000-0000-0000A8600000}"/>
    <cellStyle name="표준 5 2 4 4 2 2 3 2 5" xfId="27350" xr:uid="{00000000-0005-0000-0000-0000A9600000}"/>
    <cellStyle name="표준 5 2 4 4 2 2 3 2 6" xfId="35561" xr:uid="{00000000-0005-0000-0000-0000AA600000}"/>
    <cellStyle name="표준 5 2 4 4 2 2 3 2 7" xfId="43754" xr:uid="{00000000-0005-0000-0000-0000AB600000}"/>
    <cellStyle name="표준 5 2 4 4 2 2 3 3" xfId="8692" xr:uid="{00000000-0005-0000-0000-0000AC600000}"/>
    <cellStyle name="표준 5 2 4 4 2 2 3 3 2" xfId="29398" xr:uid="{00000000-0005-0000-0000-0000AD600000}"/>
    <cellStyle name="표준 5 2 4 4 2 2 3 3 3" xfId="37609" xr:uid="{00000000-0005-0000-0000-0000AE600000}"/>
    <cellStyle name="표준 5 2 4 4 2 2 3 3 4" xfId="45802" xr:uid="{00000000-0005-0000-0000-0000AF600000}"/>
    <cellStyle name="표준 5 2 4 4 2 2 3 4" xfId="12804" xr:uid="{00000000-0005-0000-0000-0000B0600000}"/>
    <cellStyle name="표준 5 2 4 4 2 2 3 5" xfId="17044" xr:uid="{00000000-0005-0000-0000-0000B1600000}"/>
    <cellStyle name="표준 5 2 4 4 2 2 3 6" xfId="21206" xr:uid="{00000000-0005-0000-0000-0000B2600000}"/>
    <cellStyle name="표준 5 2 4 4 2 2 3 7" xfId="25302" xr:uid="{00000000-0005-0000-0000-0000B3600000}"/>
    <cellStyle name="표준 5 2 4 4 2 2 3 8" xfId="33513" xr:uid="{00000000-0005-0000-0000-0000B4600000}"/>
    <cellStyle name="표준 5 2 4 4 2 2 3 9" xfId="41706" xr:uid="{00000000-0005-0000-0000-0000B5600000}"/>
    <cellStyle name="표준 5 2 4 4 2 2 4" xfId="2349" xr:uid="{00000000-0005-0000-0000-0000B6600000}"/>
    <cellStyle name="표준 5 2 4 4 2 2 4 2" xfId="11252" xr:uid="{00000000-0005-0000-0000-0000B7600000}"/>
    <cellStyle name="표준 5 2 4 4 2 2 4 2 2" xfId="15364" xr:uid="{00000000-0005-0000-0000-0000B8600000}"/>
    <cellStyle name="표준 5 2 4 4 2 2 4 2 2 2" xfId="31958" xr:uid="{00000000-0005-0000-0000-0000B9600000}"/>
    <cellStyle name="표준 5 2 4 4 2 2 4 2 2 3" xfId="40169" xr:uid="{00000000-0005-0000-0000-0000BA600000}"/>
    <cellStyle name="표준 5 2 4 4 2 2 4 2 2 4" xfId="48362" xr:uid="{00000000-0005-0000-0000-0000BB600000}"/>
    <cellStyle name="표준 5 2 4 4 2 2 4 2 3" xfId="19604" xr:uid="{00000000-0005-0000-0000-0000BC600000}"/>
    <cellStyle name="표준 5 2 4 4 2 2 4 2 4" xfId="23766" xr:uid="{00000000-0005-0000-0000-0000BD600000}"/>
    <cellStyle name="표준 5 2 4 4 2 2 4 2 5" xfId="27862" xr:uid="{00000000-0005-0000-0000-0000BE600000}"/>
    <cellStyle name="표준 5 2 4 4 2 2 4 2 6" xfId="36073" xr:uid="{00000000-0005-0000-0000-0000BF600000}"/>
    <cellStyle name="표준 5 2 4 4 2 2 4 2 7" xfId="44266" xr:uid="{00000000-0005-0000-0000-0000C0600000}"/>
    <cellStyle name="표준 5 2 4 4 2 2 4 3" xfId="9204" xr:uid="{00000000-0005-0000-0000-0000C1600000}"/>
    <cellStyle name="표준 5 2 4 4 2 2 4 3 2" xfId="29910" xr:uid="{00000000-0005-0000-0000-0000C2600000}"/>
    <cellStyle name="표준 5 2 4 4 2 2 4 3 3" xfId="38121" xr:uid="{00000000-0005-0000-0000-0000C3600000}"/>
    <cellStyle name="표준 5 2 4 4 2 2 4 3 4" xfId="46314" xr:uid="{00000000-0005-0000-0000-0000C4600000}"/>
    <cellStyle name="표준 5 2 4 4 2 2 4 4" xfId="13316" xr:uid="{00000000-0005-0000-0000-0000C5600000}"/>
    <cellStyle name="표준 5 2 4 4 2 2 4 5" xfId="17556" xr:uid="{00000000-0005-0000-0000-0000C6600000}"/>
    <cellStyle name="표준 5 2 4 4 2 2 4 6" xfId="21718" xr:uid="{00000000-0005-0000-0000-0000C7600000}"/>
    <cellStyle name="표준 5 2 4 4 2 2 4 7" xfId="25814" xr:uid="{00000000-0005-0000-0000-0000C8600000}"/>
    <cellStyle name="표준 5 2 4 4 2 2 4 8" xfId="34025" xr:uid="{00000000-0005-0000-0000-0000C9600000}"/>
    <cellStyle name="표준 5 2 4 4 2 2 4 9" xfId="42218" xr:uid="{00000000-0005-0000-0000-0000CA600000}"/>
    <cellStyle name="표준 5 2 4 4 2 2 5" xfId="9716" xr:uid="{00000000-0005-0000-0000-0000CB600000}"/>
    <cellStyle name="표준 5 2 4 4 2 2 5 2" xfId="13828" xr:uid="{00000000-0005-0000-0000-0000CC600000}"/>
    <cellStyle name="표준 5 2 4 4 2 2 5 2 2" xfId="30422" xr:uid="{00000000-0005-0000-0000-0000CD600000}"/>
    <cellStyle name="표준 5 2 4 4 2 2 5 2 3" xfId="38633" xr:uid="{00000000-0005-0000-0000-0000CE600000}"/>
    <cellStyle name="표준 5 2 4 4 2 2 5 2 4" xfId="46826" xr:uid="{00000000-0005-0000-0000-0000CF600000}"/>
    <cellStyle name="표준 5 2 4 4 2 2 5 3" xfId="18068" xr:uid="{00000000-0005-0000-0000-0000D0600000}"/>
    <cellStyle name="표준 5 2 4 4 2 2 5 4" xfId="22230" xr:uid="{00000000-0005-0000-0000-0000D1600000}"/>
    <cellStyle name="표준 5 2 4 4 2 2 5 5" xfId="26326" xr:uid="{00000000-0005-0000-0000-0000D2600000}"/>
    <cellStyle name="표준 5 2 4 4 2 2 5 6" xfId="34537" xr:uid="{00000000-0005-0000-0000-0000D3600000}"/>
    <cellStyle name="표준 5 2 4 4 2 2 5 7" xfId="42730" xr:uid="{00000000-0005-0000-0000-0000D4600000}"/>
    <cellStyle name="표준 5 2 4 4 2 2 6" xfId="7668" xr:uid="{00000000-0005-0000-0000-0000D5600000}"/>
    <cellStyle name="표준 5 2 4 4 2 2 6 2" xfId="28374" xr:uid="{00000000-0005-0000-0000-0000D6600000}"/>
    <cellStyle name="표준 5 2 4 4 2 2 6 3" xfId="36585" xr:uid="{00000000-0005-0000-0000-0000D7600000}"/>
    <cellStyle name="표준 5 2 4 4 2 2 6 4" xfId="44778" xr:uid="{00000000-0005-0000-0000-0000D8600000}"/>
    <cellStyle name="표준 5 2 4 4 2 2 7" xfId="11780" xr:uid="{00000000-0005-0000-0000-0000D9600000}"/>
    <cellStyle name="표준 5 2 4 4 2 2 8" xfId="16020" xr:uid="{00000000-0005-0000-0000-0000DA600000}"/>
    <cellStyle name="표준 5 2 4 4 2 2 9" xfId="20182" xr:uid="{00000000-0005-0000-0000-0000DB600000}"/>
    <cellStyle name="표준 5 2 4 4 2 3" xfId="1069" xr:uid="{00000000-0005-0000-0000-0000DC600000}"/>
    <cellStyle name="표준 5 2 4 4 2 3 2" xfId="9972" xr:uid="{00000000-0005-0000-0000-0000DD600000}"/>
    <cellStyle name="표준 5 2 4 4 2 3 2 2" xfId="14084" xr:uid="{00000000-0005-0000-0000-0000DE600000}"/>
    <cellStyle name="표준 5 2 4 4 2 3 2 2 2" xfId="30678" xr:uid="{00000000-0005-0000-0000-0000DF600000}"/>
    <cellStyle name="표준 5 2 4 4 2 3 2 2 3" xfId="38889" xr:uid="{00000000-0005-0000-0000-0000E0600000}"/>
    <cellStyle name="표준 5 2 4 4 2 3 2 2 4" xfId="47082" xr:uid="{00000000-0005-0000-0000-0000E1600000}"/>
    <cellStyle name="표준 5 2 4 4 2 3 2 3" xfId="18324" xr:uid="{00000000-0005-0000-0000-0000E2600000}"/>
    <cellStyle name="표준 5 2 4 4 2 3 2 4" xfId="22486" xr:uid="{00000000-0005-0000-0000-0000E3600000}"/>
    <cellStyle name="표준 5 2 4 4 2 3 2 5" xfId="26582" xr:uid="{00000000-0005-0000-0000-0000E4600000}"/>
    <cellStyle name="표준 5 2 4 4 2 3 2 6" xfId="34793" xr:uid="{00000000-0005-0000-0000-0000E5600000}"/>
    <cellStyle name="표준 5 2 4 4 2 3 2 7" xfId="42986" xr:uid="{00000000-0005-0000-0000-0000E6600000}"/>
    <cellStyle name="표준 5 2 4 4 2 3 3" xfId="7924" xr:uid="{00000000-0005-0000-0000-0000E7600000}"/>
    <cellStyle name="표준 5 2 4 4 2 3 3 2" xfId="28630" xr:uid="{00000000-0005-0000-0000-0000E8600000}"/>
    <cellStyle name="표준 5 2 4 4 2 3 3 3" xfId="36841" xr:uid="{00000000-0005-0000-0000-0000E9600000}"/>
    <cellStyle name="표준 5 2 4 4 2 3 3 4" xfId="45034" xr:uid="{00000000-0005-0000-0000-0000EA600000}"/>
    <cellStyle name="표준 5 2 4 4 2 3 4" xfId="12036" xr:uid="{00000000-0005-0000-0000-0000EB600000}"/>
    <cellStyle name="표준 5 2 4 4 2 3 5" xfId="16276" xr:uid="{00000000-0005-0000-0000-0000EC600000}"/>
    <cellStyle name="표준 5 2 4 4 2 3 6" xfId="20438" xr:uid="{00000000-0005-0000-0000-0000ED600000}"/>
    <cellStyle name="표준 5 2 4 4 2 3 7" xfId="24534" xr:uid="{00000000-0005-0000-0000-0000EE600000}"/>
    <cellStyle name="표준 5 2 4 4 2 3 8" xfId="32745" xr:uid="{00000000-0005-0000-0000-0000EF600000}"/>
    <cellStyle name="표준 5 2 4 4 2 3 9" xfId="40938" xr:uid="{00000000-0005-0000-0000-0000F0600000}"/>
    <cellStyle name="표준 5 2 4 4 2 4" xfId="1581" xr:uid="{00000000-0005-0000-0000-0000F1600000}"/>
    <cellStyle name="표준 5 2 4 4 2 4 2" xfId="10484" xr:uid="{00000000-0005-0000-0000-0000F2600000}"/>
    <cellStyle name="표준 5 2 4 4 2 4 2 2" xfId="14596" xr:uid="{00000000-0005-0000-0000-0000F3600000}"/>
    <cellStyle name="표준 5 2 4 4 2 4 2 2 2" xfId="31190" xr:uid="{00000000-0005-0000-0000-0000F4600000}"/>
    <cellStyle name="표준 5 2 4 4 2 4 2 2 3" xfId="39401" xr:uid="{00000000-0005-0000-0000-0000F5600000}"/>
    <cellStyle name="표준 5 2 4 4 2 4 2 2 4" xfId="47594" xr:uid="{00000000-0005-0000-0000-0000F6600000}"/>
    <cellStyle name="표준 5 2 4 4 2 4 2 3" xfId="18836" xr:uid="{00000000-0005-0000-0000-0000F7600000}"/>
    <cellStyle name="표준 5 2 4 4 2 4 2 4" xfId="22998" xr:uid="{00000000-0005-0000-0000-0000F8600000}"/>
    <cellStyle name="표준 5 2 4 4 2 4 2 5" xfId="27094" xr:uid="{00000000-0005-0000-0000-0000F9600000}"/>
    <cellStyle name="표준 5 2 4 4 2 4 2 6" xfId="35305" xr:uid="{00000000-0005-0000-0000-0000FA600000}"/>
    <cellStyle name="표준 5 2 4 4 2 4 2 7" xfId="43498" xr:uid="{00000000-0005-0000-0000-0000FB600000}"/>
    <cellStyle name="표준 5 2 4 4 2 4 3" xfId="8436" xr:uid="{00000000-0005-0000-0000-0000FC600000}"/>
    <cellStyle name="표준 5 2 4 4 2 4 3 2" xfId="29142" xr:uid="{00000000-0005-0000-0000-0000FD600000}"/>
    <cellStyle name="표준 5 2 4 4 2 4 3 3" xfId="37353" xr:uid="{00000000-0005-0000-0000-0000FE600000}"/>
    <cellStyle name="표준 5 2 4 4 2 4 3 4" xfId="45546" xr:uid="{00000000-0005-0000-0000-0000FF600000}"/>
    <cellStyle name="표준 5 2 4 4 2 4 4" xfId="12548" xr:uid="{00000000-0005-0000-0000-000000610000}"/>
    <cellStyle name="표준 5 2 4 4 2 4 5" xfId="16788" xr:uid="{00000000-0005-0000-0000-000001610000}"/>
    <cellStyle name="표준 5 2 4 4 2 4 6" xfId="20950" xr:uid="{00000000-0005-0000-0000-000002610000}"/>
    <cellStyle name="표준 5 2 4 4 2 4 7" xfId="25046" xr:uid="{00000000-0005-0000-0000-000003610000}"/>
    <cellStyle name="표준 5 2 4 4 2 4 8" xfId="33257" xr:uid="{00000000-0005-0000-0000-000004610000}"/>
    <cellStyle name="표준 5 2 4 4 2 4 9" xfId="41450" xr:uid="{00000000-0005-0000-0000-000005610000}"/>
    <cellStyle name="표준 5 2 4 4 2 5" xfId="2093" xr:uid="{00000000-0005-0000-0000-000006610000}"/>
    <cellStyle name="표준 5 2 4 4 2 5 2" xfId="10996" xr:uid="{00000000-0005-0000-0000-000007610000}"/>
    <cellStyle name="표준 5 2 4 4 2 5 2 2" xfId="15108" xr:uid="{00000000-0005-0000-0000-000008610000}"/>
    <cellStyle name="표준 5 2 4 4 2 5 2 2 2" xfId="31702" xr:uid="{00000000-0005-0000-0000-000009610000}"/>
    <cellStyle name="표준 5 2 4 4 2 5 2 2 3" xfId="39913" xr:uid="{00000000-0005-0000-0000-00000A610000}"/>
    <cellStyle name="표준 5 2 4 4 2 5 2 2 4" xfId="48106" xr:uid="{00000000-0005-0000-0000-00000B610000}"/>
    <cellStyle name="표준 5 2 4 4 2 5 2 3" xfId="19348" xr:uid="{00000000-0005-0000-0000-00000C610000}"/>
    <cellStyle name="표준 5 2 4 4 2 5 2 4" xfId="23510" xr:uid="{00000000-0005-0000-0000-00000D610000}"/>
    <cellStyle name="표준 5 2 4 4 2 5 2 5" xfId="27606" xr:uid="{00000000-0005-0000-0000-00000E610000}"/>
    <cellStyle name="표준 5 2 4 4 2 5 2 6" xfId="35817" xr:uid="{00000000-0005-0000-0000-00000F610000}"/>
    <cellStyle name="표준 5 2 4 4 2 5 2 7" xfId="44010" xr:uid="{00000000-0005-0000-0000-000010610000}"/>
    <cellStyle name="표준 5 2 4 4 2 5 3" xfId="8948" xr:uid="{00000000-0005-0000-0000-000011610000}"/>
    <cellStyle name="표준 5 2 4 4 2 5 3 2" xfId="29654" xr:uid="{00000000-0005-0000-0000-000012610000}"/>
    <cellStyle name="표준 5 2 4 4 2 5 3 3" xfId="37865" xr:uid="{00000000-0005-0000-0000-000013610000}"/>
    <cellStyle name="표준 5 2 4 4 2 5 3 4" xfId="46058" xr:uid="{00000000-0005-0000-0000-000014610000}"/>
    <cellStyle name="표준 5 2 4 4 2 5 4" xfId="13060" xr:uid="{00000000-0005-0000-0000-000015610000}"/>
    <cellStyle name="표준 5 2 4 4 2 5 5" xfId="17300" xr:uid="{00000000-0005-0000-0000-000016610000}"/>
    <cellStyle name="표준 5 2 4 4 2 5 6" xfId="21462" xr:uid="{00000000-0005-0000-0000-000017610000}"/>
    <cellStyle name="표준 5 2 4 4 2 5 7" xfId="25558" xr:uid="{00000000-0005-0000-0000-000018610000}"/>
    <cellStyle name="표준 5 2 4 4 2 5 8" xfId="33769" xr:uid="{00000000-0005-0000-0000-000019610000}"/>
    <cellStyle name="표준 5 2 4 4 2 5 9" xfId="41962" xr:uid="{00000000-0005-0000-0000-00001A610000}"/>
    <cellStyle name="표준 5 2 4 4 2 6" xfId="9460" xr:uid="{00000000-0005-0000-0000-00001B610000}"/>
    <cellStyle name="표준 5 2 4 4 2 6 2" xfId="13572" xr:uid="{00000000-0005-0000-0000-00001C610000}"/>
    <cellStyle name="표준 5 2 4 4 2 6 2 2" xfId="30166" xr:uid="{00000000-0005-0000-0000-00001D610000}"/>
    <cellStyle name="표준 5 2 4 4 2 6 2 3" xfId="38377" xr:uid="{00000000-0005-0000-0000-00001E610000}"/>
    <cellStyle name="표준 5 2 4 4 2 6 2 4" xfId="46570" xr:uid="{00000000-0005-0000-0000-00001F610000}"/>
    <cellStyle name="표준 5 2 4 4 2 6 3" xfId="17812" xr:uid="{00000000-0005-0000-0000-000020610000}"/>
    <cellStyle name="표준 5 2 4 4 2 6 4" xfId="21974" xr:uid="{00000000-0005-0000-0000-000021610000}"/>
    <cellStyle name="표준 5 2 4 4 2 6 5" xfId="26070" xr:uid="{00000000-0005-0000-0000-000022610000}"/>
    <cellStyle name="표준 5 2 4 4 2 6 6" xfId="34281" xr:uid="{00000000-0005-0000-0000-000023610000}"/>
    <cellStyle name="표준 5 2 4 4 2 6 7" xfId="42474" xr:uid="{00000000-0005-0000-0000-000024610000}"/>
    <cellStyle name="표준 5 2 4 4 2 7" xfId="7412" xr:uid="{00000000-0005-0000-0000-000025610000}"/>
    <cellStyle name="표준 5 2 4 4 2 7 2" xfId="28118" xr:uid="{00000000-0005-0000-0000-000026610000}"/>
    <cellStyle name="표준 5 2 4 4 2 7 3" xfId="36329" xr:uid="{00000000-0005-0000-0000-000027610000}"/>
    <cellStyle name="표준 5 2 4 4 2 7 4" xfId="44522" xr:uid="{00000000-0005-0000-0000-000028610000}"/>
    <cellStyle name="표준 5 2 4 4 2 8" xfId="11524" xr:uid="{00000000-0005-0000-0000-000029610000}"/>
    <cellStyle name="표준 5 2 4 4 2 9" xfId="15764" xr:uid="{00000000-0005-0000-0000-00002A610000}"/>
    <cellStyle name="표준 5 2 4 4 3" xfId="685" xr:uid="{00000000-0005-0000-0000-00002B610000}"/>
    <cellStyle name="표준 5 2 4 4 3 10" xfId="24150" xr:uid="{00000000-0005-0000-0000-00002C610000}"/>
    <cellStyle name="표준 5 2 4 4 3 11" xfId="32361" xr:uid="{00000000-0005-0000-0000-00002D610000}"/>
    <cellStyle name="표준 5 2 4 4 3 12" xfId="40554" xr:uid="{00000000-0005-0000-0000-00002E610000}"/>
    <cellStyle name="표준 5 2 4 4 3 2" xfId="1197" xr:uid="{00000000-0005-0000-0000-00002F610000}"/>
    <cellStyle name="표준 5 2 4 4 3 2 2" xfId="10100" xr:uid="{00000000-0005-0000-0000-000030610000}"/>
    <cellStyle name="표준 5 2 4 4 3 2 2 2" xfId="14212" xr:uid="{00000000-0005-0000-0000-000031610000}"/>
    <cellStyle name="표준 5 2 4 4 3 2 2 2 2" xfId="30806" xr:uid="{00000000-0005-0000-0000-000032610000}"/>
    <cellStyle name="표준 5 2 4 4 3 2 2 2 3" xfId="39017" xr:uid="{00000000-0005-0000-0000-000033610000}"/>
    <cellStyle name="표준 5 2 4 4 3 2 2 2 4" xfId="47210" xr:uid="{00000000-0005-0000-0000-000034610000}"/>
    <cellStyle name="표준 5 2 4 4 3 2 2 3" xfId="18452" xr:uid="{00000000-0005-0000-0000-000035610000}"/>
    <cellStyle name="표준 5 2 4 4 3 2 2 4" xfId="22614" xr:uid="{00000000-0005-0000-0000-000036610000}"/>
    <cellStyle name="표준 5 2 4 4 3 2 2 5" xfId="26710" xr:uid="{00000000-0005-0000-0000-000037610000}"/>
    <cellStyle name="표준 5 2 4 4 3 2 2 6" xfId="34921" xr:uid="{00000000-0005-0000-0000-000038610000}"/>
    <cellStyle name="표준 5 2 4 4 3 2 2 7" xfId="43114" xr:uid="{00000000-0005-0000-0000-000039610000}"/>
    <cellStyle name="표준 5 2 4 4 3 2 3" xfId="8052" xr:uid="{00000000-0005-0000-0000-00003A610000}"/>
    <cellStyle name="표준 5 2 4 4 3 2 3 2" xfId="28758" xr:uid="{00000000-0005-0000-0000-00003B610000}"/>
    <cellStyle name="표준 5 2 4 4 3 2 3 3" xfId="36969" xr:uid="{00000000-0005-0000-0000-00003C610000}"/>
    <cellStyle name="표준 5 2 4 4 3 2 3 4" xfId="45162" xr:uid="{00000000-0005-0000-0000-00003D610000}"/>
    <cellStyle name="표준 5 2 4 4 3 2 4" xfId="12164" xr:uid="{00000000-0005-0000-0000-00003E610000}"/>
    <cellStyle name="표준 5 2 4 4 3 2 5" xfId="16404" xr:uid="{00000000-0005-0000-0000-00003F610000}"/>
    <cellStyle name="표준 5 2 4 4 3 2 6" xfId="20566" xr:uid="{00000000-0005-0000-0000-000040610000}"/>
    <cellStyle name="표준 5 2 4 4 3 2 7" xfId="24662" xr:uid="{00000000-0005-0000-0000-000041610000}"/>
    <cellStyle name="표준 5 2 4 4 3 2 8" xfId="32873" xr:uid="{00000000-0005-0000-0000-000042610000}"/>
    <cellStyle name="표준 5 2 4 4 3 2 9" xfId="41066" xr:uid="{00000000-0005-0000-0000-000043610000}"/>
    <cellStyle name="표준 5 2 4 4 3 3" xfId="1709" xr:uid="{00000000-0005-0000-0000-000044610000}"/>
    <cellStyle name="표준 5 2 4 4 3 3 2" xfId="10612" xr:uid="{00000000-0005-0000-0000-000045610000}"/>
    <cellStyle name="표준 5 2 4 4 3 3 2 2" xfId="14724" xr:uid="{00000000-0005-0000-0000-000046610000}"/>
    <cellStyle name="표준 5 2 4 4 3 3 2 2 2" xfId="31318" xr:uid="{00000000-0005-0000-0000-000047610000}"/>
    <cellStyle name="표준 5 2 4 4 3 3 2 2 3" xfId="39529" xr:uid="{00000000-0005-0000-0000-000048610000}"/>
    <cellStyle name="표준 5 2 4 4 3 3 2 2 4" xfId="47722" xr:uid="{00000000-0005-0000-0000-000049610000}"/>
    <cellStyle name="표준 5 2 4 4 3 3 2 3" xfId="18964" xr:uid="{00000000-0005-0000-0000-00004A610000}"/>
    <cellStyle name="표준 5 2 4 4 3 3 2 4" xfId="23126" xr:uid="{00000000-0005-0000-0000-00004B610000}"/>
    <cellStyle name="표준 5 2 4 4 3 3 2 5" xfId="27222" xr:uid="{00000000-0005-0000-0000-00004C610000}"/>
    <cellStyle name="표준 5 2 4 4 3 3 2 6" xfId="35433" xr:uid="{00000000-0005-0000-0000-00004D610000}"/>
    <cellStyle name="표준 5 2 4 4 3 3 2 7" xfId="43626" xr:uid="{00000000-0005-0000-0000-00004E610000}"/>
    <cellStyle name="표준 5 2 4 4 3 3 3" xfId="8564" xr:uid="{00000000-0005-0000-0000-00004F610000}"/>
    <cellStyle name="표준 5 2 4 4 3 3 3 2" xfId="29270" xr:uid="{00000000-0005-0000-0000-000050610000}"/>
    <cellStyle name="표준 5 2 4 4 3 3 3 3" xfId="37481" xr:uid="{00000000-0005-0000-0000-000051610000}"/>
    <cellStyle name="표준 5 2 4 4 3 3 3 4" xfId="45674" xr:uid="{00000000-0005-0000-0000-000052610000}"/>
    <cellStyle name="표준 5 2 4 4 3 3 4" xfId="12676" xr:uid="{00000000-0005-0000-0000-000053610000}"/>
    <cellStyle name="표준 5 2 4 4 3 3 5" xfId="16916" xr:uid="{00000000-0005-0000-0000-000054610000}"/>
    <cellStyle name="표준 5 2 4 4 3 3 6" xfId="21078" xr:uid="{00000000-0005-0000-0000-000055610000}"/>
    <cellStyle name="표준 5 2 4 4 3 3 7" xfId="25174" xr:uid="{00000000-0005-0000-0000-000056610000}"/>
    <cellStyle name="표준 5 2 4 4 3 3 8" xfId="33385" xr:uid="{00000000-0005-0000-0000-000057610000}"/>
    <cellStyle name="표준 5 2 4 4 3 3 9" xfId="41578" xr:uid="{00000000-0005-0000-0000-000058610000}"/>
    <cellStyle name="표준 5 2 4 4 3 4" xfId="2221" xr:uid="{00000000-0005-0000-0000-000059610000}"/>
    <cellStyle name="표준 5 2 4 4 3 4 2" xfId="11124" xr:uid="{00000000-0005-0000-0000-00005A610000}"/>
    <cellStyle name="표준 5 2 4 4 3 4 2 2" xfId="15236" xr:uid="{00000000-0005-0000-0000-00005B610000}"/>
    <cellStyle name="표준 5 2 4 4 3 4 2 2 2" xfId="31830" xr:uid="{00000000-0005-0000-0000-00005C610000}"/>
    <cellStyle name="표준 5 2 4 4 3 4 2 2 3" xfId="40041" xr:uid="{00000000-0005-0000-0000-00005D610000}"/>
    <cellStyle name="표준 5 2 4 4 3 4 2 2 4" xfId="48234" xr:uid="{00000000-0005-0000-0000-00005E610000}"/>
    <cellStyle name="표준 5 2 4 4 3 4 2 3" xfId="19476" xr:uid="{00000000-0005-0000-0000-00005F610000}"/>
    <cellStyle name="표준 5 2 4 4 3 4 2 4" xfId="23638" xr:uid="{00000000-0005-0000-0000-000060610000}"/>
    <cellStyle name="표준 5 2 4 4 3 4 2 5" xfId="27734" xr:uid="{00000000-0005-0000-0000-000061610000}"/>
    <cellStyle name="표준 5 2 4 4 3 4 2 6" xfId="35945" xr:uid="{00000000-0005-0000-0000-000062610000}"/>
    <cellStyle name="표준 5 2 4 4 3 4 2 7" xfId="44138" xr:uid="{00000000-0005-0000-0000-000063610000}"/>
    <cellStyle name="표준 5 2 4 4 3 4 3" xfId="9076" xr:uid="{00000000-0005-0000-0000-000064610000}"/>
    <cellStyle name="표준 5 2 4 4 3 4 3 2" xfId="29782" xr:uid="{00000000-0005-0000-0000-000065610000}"/>
    <cellStyle name="표준 5 2 4 4 3 4 3 3" xfId="37993" xr:uid="{00000000-0005-0000-0000-000066610000}"/>
    <cellStyle name="표준 5 2 4 4 3 4 3 4" xfId="46186" xr:uid="{00000000-0005-0000-0000-000067610000}"/>
    <cellStyle name="표준 5 2 4 4 3 4 4" xfId="13188" xr:uid="{00000000-0005-0000-0000-000068610000}"/>
    <cellStyle name="표준 5 2 4 4 3 4 5" xfId="17428" xr:uid="{00000000-0005-0000-0000-000069610000}"/>
    <cellStyle name="표준 5 2 4 4 3 4 6" xfId="21590" xr:uid="{00000000-0005-0000-0000-00006A610000}"/>
    <cellStyle name="표준 5 2 4 4 3 4 7" xfId="25686" xr:uid="{00000000-0005-0000-0000-00006B610000}"/>
    <cellStyle name="표준 5 2 4 4 3 4 8" xfId="33897" xr:uid="{00000000-0005-0000-0000-00006C610000}"/>
    <cellStyle name="표준 5 2 4 4 3 4 9" xfId="42090" xr:uid="{00000000-0005-0000-0000-00006D610000}"/>
    <cellStyle name="표준 5 2 4 4 3 5" xfId="9588" xr:uid="{00000000-0005-0000-0000-00006E610000}"/>
    <cellStyle name="표준 5 2 4 4 3 5 2" xfId="13700" xr:uid="{00000000-0005-0000-0000-00006F610000}"/>
    <cellStyle name="표준 5 2 4 4 3 5 2 2" xfId="30294" xr:uid="{00000000-0005-0000-0000-000070610000}"/>
    <cellStyle name="표준 5 2 4 4 3 5 2 3" xfId="38505" xr:uid="{00000000-0005-0000-0000-000071610000}"/>
    <cellStyle name="표준 5 2 4 4 3 5 2 4" xfId="46698" xr:uid="{00000000-0005-0000-0000-000072610000}"/>
    <cellStyle name="표준 5 2 4 4 3 5 3" xfId="17940" xr:uid="{00000000-0005-0000-0000-000073610000}"/>
    <cellStyle name="표준 5 2 4 4 3 5 4" xfId="22102" xr:uid="{00000000-0005-0000-0000-000074610000}"/>
    <cellStyle name="표준 5 2 4 4 3 5 5" xfId="26198" xr:uid="{00000000-0005-0000-0000-000075610000}"/>
    <cellStyle name="표준 5 2 4 4 3 5 6" xfId="34409" xr:uid="{00000000-0005-0000-0000-000076610000}"/>
    <cellStyle name="표준 5 2 4 4 3 5 7" xfId="42602" xr:uid="{00000000-0005-0000-0000-000077610000}"/>
    <cellStyle name="표준 5 2 4 4 3 6" xfId="7540" xr:uid="{00000000-0005-0000-0000-000078610000}"/>
    <cellStyle name="표준 5 2 4 4 3 6 2" xfId="28246" xr:uid="{00000000-0005-0000-0000-000079610000}"/>
    <cellStyle name="표준 5 2 4 4 3 6 3" xfId="36457" xr:uid="{00000000-0005-0000-0000-00007A610000}"/>
    <cellStyle name="표준 5 2 4 4 3 6 4" xfId="44650" xr:uid="{00000000-0005-0000-0000-00007B610000}"/>
    <cellStyle name="표준 5 2 4 4 3 7" xfId="11652" xr:uid="{00000000-0005-0000-0000-00007C610000}"/>
    <cellStyle name="표준 5 2 4 4 3 8" xfId="15892" xr:uid="{00000000-0005-0000-0000-00007D610000}"/>
    <cellStyle name="표준 5 2 4 4 3 9" xfId="20054" xr:uid="{00000000-0005-0000-0000-00007E610000}"/>
    <cellStyle name="표준 5 2 4 4 4" xfId="941" xr:uid="{00000000-0005-0000-0000-00007F610000}"/>
    <cellStyle name="표준 5 2 4 4 4 2" xfId="9844" xr:uid="{00000000-0005-0000-0000-000080610000}"/>
    <cellStyle name="표준 5 2 4 4 4 2 2" xfId="13956" xr:uid="{00000000-0005-0000-0000-000081610000}"/>
    <cellStyle name="표준 5 2 4 4 4 2 2 2" xfId="30550" xr:uid="{00000000-0005-0000-0000-000082610000}"/>
    <cellStyle name="표준 5 2 4 4 4 2 2 3" xfId="38761" xr:uid="{00000000-0005-0000-0000-000083610000}"/>
    <cellStyle name="표준 5 2 4 4 4 2 2 4" xfId="46954" xr:uid="{00000000-0005-0000-0000-000084610000}"/>
    <cellStyle name="표준 5 2 4 4 4 2 3" xfId="18196" xr:uid="{00000000-0005-0000-0000-000085610000}"/>
    <cellStyle name="표준 5 2 4 4 4 2 4" xfId="22358" xr:uid="{00000000-0005-0000-0000-000086610000}"/>
    <cellStyle name="표준 5 2 4 4 4 2 5" xfId="26454" xr:uid="{00000000-0005-0000-0000-000087610000}"/>
    <cellStyle name="표준 5 2 4 4 4 2 6" xfId="34665" xr:uid="{00000000-0005-0000-0000-000088610000}"/>
    <cellStyle name="표준 5 2 4 4 4 2 7" xfId="42858" xr:uid="{00000000-0005-0000-0000-000089610000}"/>
    <cellStyle name="표준 5 2 4 4 4 3" xfId="7796" xr:uid="{00000000-0005-0000-0000-00008A610000}"/>
    <cellStyle name="표준 5 2 4 4 4 3 2" xfId="28502" xr:uid="{00000000-0005-0000-0000-00008B610000}"/>
    <cellStyle name="표준 5 2 4 4 4 3 3" xfId="36713" xr:uid="{00000000-0005-0000-0000-00008C610000}"/>
    <cellStyle name="표준 5 2 4 4 4 3 4" xfId="44906" xr:uid="{00000000-0005-0000-0000-00008D610000}"/>
    <cellStyle name="표준 5 2 4 4 4 4" xfId="11908" xr:uid="{00000000-0005-0000-0000-00008E610000}"/>
    <cellStyle name="표준 5 2 4 4 4 5" xfId="16148" xr:uid="{00000000-0005-0000-0000-00008F610000}"/>
    <cellStyle name="표준 5 2 4 4 4 6" xfId="20310" xr:uid="{00000000-0005-0000-0000-000090610000}"/>
    <cellStyle name="표준 5 2 4 4 4 7" xfId="24406" xr:uid="{00000000-0005-0000-0000-000091610000}"/>
    <cellStyle name="표준 5 2 4 4 4 8" xfId="32617" xr:uid="{00000000-0005-0000-0000-000092610000}"/>
    <cellStyle name="표준 5 2 4 4 4 9" xfId="40810" xr:uid="{00000000-0005-0000-0000-000093610000}"/>
    <cellStyle name="표준 5 2 4 4 5" xfId="1453" xr:uid="{00000000-0005-0000-0000-000094610000}"/>
    <cellStyle name="표준 5 2 4 4 5 2" xfId="10356" xr:uid="{00000000-0005-0000-0000-000095610000}"/>
    <cellStyle name="표준 5 2 4 4 5 2 2" xfId="14468" xr:uid="{00000000-0005-0000-0000-000096610000}"/>
    <cellStyle name="표준 5 2 4 4 5 2 2 2" xfId="31062" xr:uid="{00000000-0005-0000-0000-000097610000}"/>
    <cellStyle name="표준 5 2 4 4 5 2 2 3" xfId="39273" xr:uid="{00000000-0005-0000-0000-000098610000}"/>
    <cellStyle name="표준 5 2 4 4 5 2 2 4" xfId="47466" xr:uid="{00000000-0005-0000-0000-000099610000}"/>
    <cellStyle name="표준 5 2 4 4 5 2 3" xfId="18708" xr:uid="{00000000-0005-0000-0000-00009A610000}"/>
    <cellStyle name="표준 5 2 4 4 5 2 4" xfId="22870" xr:uid="{00000000-0005-0000-0000-00009B610000}"/>
    <cellStyle name="표준 5 2 4 4 5 2 5" xfId="26966" xr:uid="{00000000-0005-0000-0000-00009C610000}"/>
    <cellStyle name="표준 5 2 4 4 5 2 6" xfId="35177" xr:uid="{00000000-0005-0000-0000-00009D610000}"/>
    <cellStyle name="표준 5 2 4 4 5 2 7" xfId="43370" xr:uid="{00000000-0005-0000-0000-00009E610000}"/>
    <cellStyle name="표준 5 2 4 4 5 3" xfId="8308" xr:uid="{00000000-0005-0000-0000-00009F610000}"/>
    <cellStyle name="표준 5 2 4 4 5 3 2" xfId="29014" xr:uid="{00000000-0005-0000-0000-0000A0610000}"/>
    <cellStyle name="표준 5 2 4 4 5 3 3" xfId="37225" xr:uid="{00000000-0005-0000-0000-0000A1610000}"/>
    <cellStyle name="표준 5 2 4 4 5 3 4" xfId="45418" xr:uid="{00000000-0005-0000-0000-0000A2610000}"/>
    <cellStyle name="표준 5 2 4 4 5 4" xfId="12420" xr:uid="{00000000-0005-0000-0000-0000A3610000}"/>
    <cellStyle name="표준 5 2 4 4 5 5" xfId="16660" xr:uid="{00000000-0005-0000-0000-0000A4610000}"/>
    <cellStyle name="표준 5 2 4 4 5 6" xfId="20822" xr:uid="{00000000-0005-0000-0000-0000A5610000}"/>
    <cellStyle name="표준 5 2 4 4 5 7" xfId="24918" xr:uid="{00000000-0005-0000-0000-0000A6610000}"/>
    <cellStyle name="표준 5 2 4 4 5 8" xfId="33129" xr:uid="{00000000-0005-0000-0000-0000A7610000}"/>
    <cellStyle name="표준 5 2 4 4 5 9" xfId="41322" xr:uid="{00000000-0005-0000-0000-0000A8610000}"/>
    <cellStyle name="표준 5 2 4 4 6" xfId="1965" xr:uid="{00000000-0005-0000-0000-0000A9610000}"/>
    <cellStyle name="표준 5 2 4 4 6 2" xfId="10868" xr:uid="{00000000-0005-0000-0000-0000AA610000}"/>
    <cellStyle name="표준 5 2 4 4 6 2 2" xfId="14980" xr:uid="{00000000-0005-0000-0000-0000AB610000}"/>
    <cellStyle name="표준 5 2 4 4 6 2 2 2" xfId="31574" xr:uid="{00000000-0005-0000-0000-0000AC610000}"/>
    <cellStyle name="표준 5 2 4 4 6 2 2 3" xfId="39785" xr:uid="{00000000-0005-0000-0000-0000AD610000}"/>
    <cellStyle name="표준 5 2 4 4 6 2 2 4" xfId="47978" xr:uid="{00000000-0005-0000-0000-0000AE610000}"/>
    <cellStyle name="표준 5 2 4 4 6 2 3" xfId="19220" xr:uid="{00000000-0005-0000-0000-0000AF610000}"/>
    <cellStyle name="표준 5 2 4 4 6 2 4" xfId="23382" xr:uid="{00000000-0005-0000-0000-0000B0610000}"/>
    <cellStyle name="표준 5 2 4 4 6 2 5" xfId="27478" xr:uid="{00000000-0005-0000-0000-0000B1610000}"/>
    <cellStyle name="표준 5 2 4 4 6 2 6" xfId="35689" xr:uid="{00000000-0005-0000-0000-0000B2610000}"/>
    <cellStyle name="표준 5 2 4 4 6 2 7" xfId="43882" xr:uid="{00000000-0005-0000-0000-0000B3610000}"/>
    <cellStyle name="표준 5 2 4 4 6 3" xfId="8820" xr:uid="{00000000-0005-0000-0000-0000B4610000}"/>
    <cellStyle name="표준 5 2 4 4 6 3 2" xfId="29526" xr:uid="{00000000-0005-0000-0000-0000B5610000}"/>
    <cellStyle name="표준 5 2 4 4 6 3 3" xfId="37737" xr:uid="{00000000-0005-0000-0000-0000B6610000}"/>
    <cellStyle name="표준 5 2 4 4 6 3 4" xfId="45930" xr:uid="{00000000-0005-0000-0000-0000B7610000}"/>
    <cellStyle name="표준 5 2 4 4 6 4" xfId="12932" xr:uid="{00000000-0005-0000-0000-0000B8610000}"/>
    <cellStyle name="표준 5 2 4 4 6 5" xfId="17172" xr:uid="{00000000-0005-0000-0000-0000B9610000}"/>
    <cellStyle name="표준 5 2 4 4 6 6" xfId="21334" xr:uid="{00000000-0005-0000-0000-0000BA610000}"/>
    <cellStyle name="표준 5 2 4 4 6 7" xfId="25430" xr:uid="{00000000-0005-0000-0000-0000BB610000}"/>
    <cellStyle name="표준 5 2 4 4 6 8" xfId="33641" xr:uid="{00000000-0005-0000-0000-0000BC610000}"/>
    <cellStyle name="표준 5 2 4 4 6 9" xfId="41834" xr:uid="{00000000-0005-0000-0000-0000BD610000}"/>
    <cellStyle name="표준 5 2 4 4 7" xfId="7025" xr:uid="{00000000-0005-0000-0000-0000BE610000}"/>
    <cellStyle name="표준 5 2 4 4 7 2" xfId="9332" xr:uid="{00000000-0005-0000-0000-0000BF610000}"/>
    <cellStyle name="표준 5 2 4 4 7 2 2" xfId="30038" xr:uid="{00000000-0005-0000-0000-0000C0610000}"/>
    <cellStyle name="표준 5 2 4 4 7 2 3" xfId="38249" xr:uid="{00000000-0005-0000-0000-0000C1610000}"/>
    <cellStyle name="표준 5 2 4 4 7 2 4" xfId="46442" xr:uid="{00000000-0005-0000-0000-0000C2610000}"/>
    <cellStyle name="표준 5 2 4 4 7 3" xfId="13444" xr:uid="{00000000-0005-0000-0000-0000C3610000}"/>
    <cellStyle name="표준 5 2 4 4 7 4" xfId="17684" xr:uid="{00000000-0005-0000-0000-0000C4610000}"/>
    <cellStyle name="표준 5 2 4 4 7 5" xfId="21846" xr:uid="{00000000-0005-0000-0000-0000C5610000}"/>
    <cellStyle name="표준 5 2 4 4 7 6" xfId="25942" xr:uid="{00000000-0005-0000-0000-0000C6610000}"/>
    <cellStyle name="표준 5 2 4 4 7 7" xfId="34153" xr:uid="{00000000-0005-0000-0000-0000C7610000}"/>
    <cellStyle name="표준 5 2 4 4 7 8" xfId="42346" xr:uid="{00000000-0005-0000-0000-0000C8610000}"/>
    <cellStyle name="표준 5 2 4 4 8" xfId="7153" xr:uid="{00000000-0005-0000-0000-0000C9610000}"/>
    <cellStyle name="표준 5 2 4 4 8 2" xfId="27990" xr:uid="{00000000-0005-0000-0000-0000CA610000}"/>
    <cellStyle name="표준 5 2 4 4 8 3" xfId="36201" xr:uid="{00000000-0005-0000-0000-0000CB610000}"/>
    <cellStyle name="표준 5 2 4 4 8 4" xfId="44394" xr:uid="{00000000-0005-0000-0000-0000CC610000}"/>
    <cellStyle name="표준 5 2 4 4 9" xfId="7284" xr:uid="{00000000-0005-0000-0000-0000CD610000}"/>
    <cellStyle name="표준 5 2 4 5" xfId="493" xr:uid="{00000000-0005-0000-0000-0000CE610000}"/>
    <cellStyle name="표준 5 2 4 5 10" xfId="19862" xr:uid="{00000000-0005-0000-0000-0000CF610000}"/>
    <cellStyle name="표준 5 2 4 5 11" xfId="23958" xr:uid="{00000000-0005-0000-0000-0000D0610000}"/>
    <cellStyle name="표준 5 2 4 5 12" xfId="32169" xr:uid="{00000000-0005-0000-0000-0000D1610000}"/>
    <cellStyle name="표준 5 2 4 5 13" xfId="40362" xr:uid="{00000000-0005-0000-0000-0000D2610000}"/>
    <cellStyle name="표준 5 2 4 5 2" xfId="749" xr:uid="{00000000-0005-0000-0000-0000D3610000}"/>
    <cellStyle name="표준 5 2 4 5 2 10" xfId="24214" xr:uid="{00000000-0005-0000-0000-0000D4610000}"/>
    <cellStyle name="표준 5 2 4 5 2 11" xfId="32425" xr:uid="{00000000-0005-0000-0000-0000D5610000}"/>
    <cellStyle name="표준 5 2 4 5 2 12" xfId="40618" xr:uid="{00000000-0005-0000-0000-0000D6610000}"/>
    <cellStyle name="표준 5 2 4 5 2 2" xfId="1261" xr:uid="{00000000-0005-0000-0000-0000D7610000}"/>
    <cellStyle name="표준 5 2 4 5 2 2 2" xfId="10164" xr:uid="{00000000-0005-0000-0000-0000D8610000}"/>
    <cellStyle name="표준 5 2 4 5 2 2 2 2" xfId="14276" xr:uid="{00000000-0005-0000-0000-0000D9610000}"/>
    <cellStyle name="표준 5 2 4 5 2 2 2 2 2" xfId="30870" xr:uid="{00000000-0005-0000-0000-0000DA610000}"/>
    <cellStyle name="표준 5 2 4 5 2 2 2 2 3" xfId="39081" xr:uid="{00000000-0005-0000-0000-0000DB610000}"/>
    <cellStyle name="표준 5 2 4 5 2 2 2 2 4" xfId="47274" xr:uid="{00000000-0005-0000-0000-0000DC610000}"/>
    <cellStyle name="표준 5 2 4 5 2 2 2 3" xfId="18516" xr:uid="{00000000-0005-0000-0000-0000DD610000}"/>
    <cellStyle name="표준 5 2 4 5 2 2 2 4" xfId="22678" xr:uid="{00000000-0005-0000-0000-0000DE610000}"/>
    <cellStyle name="표준 5 2 4 5 2 2 2 5" xfId="26774" xr:uid="{00000000-0005-0000-0000-0000DF610000}"/>
    <cellStyle name="표준 5 2 4 5 2 2 2 6" xfId="34985" xr:uid="{00000000-0005-0000-0000-0000E0610000}"/>
    <cellStyle name="표준 5 2 4 5 2 2 2 7" xfId="43178" xr:uid="{00000000-0005-0000-0000-0000E1610000}"/>
    <cellStyle name="표준 5 2 4 5 2 2 3" xfId="8116" xr:uid="{00000000-0005-0000-0000-0000E2610000}"/>
    <cellStyle name="표준 5 2 4 5 2 2 3 2" xfId="28822" xr:uid="{00000000-0005-0000-0000-0000E3610000}"/>
    <cellStyle name="표준 5 2 4 5 2 2 3 3" xfId="37033" xr:uid="{00000000-0005-0000-0000-0000E4610000}"/>
    <cellStyle name="표준 5 2 4 5 2 2 3 4" xfId="45226" xr:uid="{00000000-0005-0000-0000-0000E5610000}"/>
    <cellStyle name="표준 5 2 4 5 2 2 4" xfId="12228" xr:uid="{00000000-0005-0000-0000-0000E6610000}"/>
    <cellStyle name="표준 5 2 4 5 2 2 5" xfId="16468" xr:uid="{00000000-0005-0000-0000-0000E7610000}"/>
    <cellStyle name="표준 5 2 4 5 2 2 6" xfId="20630" xr:uid="{00000000-0005-0000-0000-0000E8610000}"/>
    <cellStyle name="표준 5 2 4 5 2 2 7" xfId="24726" xr:uid="{00000000-0005-0000-0000-0000E9610000}"/>
    <cellStyle name="표준 5 2 4 5 2 2 8" xfId="32937" xr:uid="{00000000-0005-0000-0000-0000EA610000}"/>
    <cellStyle name="표준 5 2 4 5 2 2 9" xfId="41130" xr:uid="{00000000-0005-0000-0000-0000EB610000}"/>
    <cellStyle name="표준 5 2 4 5 2 3" xfId="1773" xr:uid="{00000000-0005-0000-0000-0000EC610000}"/>
    <cellStyle name="표준 5 2 4 5 2 3 2" xfId="10676" xr:uid="{00000000-0005-0000-0000-0000ED610000}"/>
    <cellStyle name="표준 5 2 4 5 2 3 2 2" xfId="14788" xr:uid="{00000000-0005-0000-0000-0000EE610000}"/>
    <cellStyle name="표준 5 2 4 5 2 3 2 2 2" xfId="31382" xr:uid="{00000000-0005-0000-0000-0000EF610000}"/>
    <cellStyle name="표준 5 2 4 5 2 3 2 2 3" xfId="39593" xr:uid="{00000000-0005-0000-0000-0000F0610000}"/>
    <cellStyle name="표준 5 2 4 5 2 3 2 2 4" xfId="47786" xr:uid="{00000000-0005-0000-0000-0000F1610000}"/>
    <cellStyle name="표준 5 2 4 5 2 3 2 3" xfId="19028" xr:uid="{00000000-0005-0000-0000-0000F2610000}"/>
    <cellStyle name="표준 5 2 4 5 2 3 2 4" xfId="23190" xr:uid="{00000000-0005-0000-0000-0000F3610000}"/>
    <cellStyle name="표준 5 2 4 5 2 3 2 5" xfId="27286" xr:uid="{00000000-0005-0000-0000-0000F4610000}"/>
    <cellStyle name="표준 5 2 4 5 2 3 2 6" xfId="35497" xr:uid="{00000000-0005-0000-0000-0000F5610000}"/>
    <cellStyle name="표준 5 2 4 5 2 3 2 7" xfId="43690" xr:uid="{00000000-0005-0000-0000-0000F6610000}"/>
    <cellStyle name="표준 5 2 4 5 2 3 3" xfId="8628" xr:uid="{00000000-0005-0000-0000-0000F7610000}"/>
    <cellStyle name="표준 5 2 4 5 2 3 3 2" xfId="29334" xr:uid="{00000000-0005-0000-0000-0000F8610000}"/>
    <cellStyle name="표준 5 2 4 5 2 3 3 3" xfId="37545" xr:uid="{00000000-0005-0000-0000-0000F9610000}"/>
    <cellStyle name="표준 5 2 4 5 2 3 3 4" xfId="45738" xr:uid="{00000000-0005-0000-0000-0000FA610000}"/>
    <cellStyle name="표준 5 2 4 5 2 3 4" xfId="12740" xr:uid="{00000000-0005-0000-0000-0000FB610000}"/>
    <cellStyle name="표준 5 2 4 5 2 3 5" xfId="16980" xr:uid="{00000000-0005-0000-0000-0000FC610000}"/>
    <cellStyle name="표준 5 2 4 5 2 3 6" xfId="21142" xr:uid="{00000000-0005-0000-0000-0000FD610000}"/>
    <cellStyle name="표준 5 2 4 5 2 3 7" xfId="25238" xr:uid="{00000000-0005-0000-0000-0000FE610000}"/>
    <cellStyle name="표준 5 2 4 5 2 3 8" xfId="33449" xr:uid="{00000000-0005-0000-0000-0000FF610000}"/>
    <cellStyle name="표준 5 2 4 5 2 3 9" xfId="41642" xr:uid="{00000000-0005-0000-0000-000000620000}"/>
    <cellStyle name="표준 5 2 4 5 2 4" xfId="2285" xr:uid="{00000000-0005-0000-0000-000001620000}"/>
    <cellStyle name="표준 5 2 4 5 2 4 2" xfId="11188" xr:uid="{00000000-0005-0000-0000-000002620000}"/>
    <cellStyle name="표준 5 2 4 5 2 4 2 2" xfId="15300" xr:uid="{00000000-0005-0000-0000-000003620000}"/>
    <cellStyle name="표준 5 2 4 5 2 4 2 2 2" xfId="31894" xr:uid="{00000000-0005-0000-0000-000004620000}"/>
    <cellStyle name="표준 5 2 4 5 2 4 2 2 3" xfId="40105" xr:uid="{00000000-0005-0000-0000-000005620000}"/>
    <cellStyle name="표준 5 2 4 5 2 4 2 2 4" xfId="48298" xr:uid="{00000000-0005-0000-0000-000006620000}"/>
    <cellStyle name="표준 5 2 4 5 2 4 2 3" xfId="19540" xr:uid="{00000000-0005-0000-0000-000007620000}"/>
    <cellStyle name="표준 5 2 4 5 2 4 2 4" xfId="23702" xr:uid="{00000000-0005-0000-0000-000008620000}"/>
    <cellStyle name="표준 5 2 4 5 2 4 2 5" xfId="27798" xr:uid="{00000000-0005-0000-0000-000009620000}"/>
    <cellStyle name="표준 5 2 4 5 2 4 2 6" xfId="36009" xr:uid="{00000000-0005-0000-0000-00000A620000}"/>
    <cellStyle name="표준 5 2 4 5 2 4 2 7" xfId="44202" xr:uid="{00000000-0005-0000-0000-00000B620000}"/>
    <cellStyle name="표준 5 2 4 5 2 4 3" xfId="9140" xr:uid="{00000000-0005-0000-0000-00000C620000}"/>
    <cellStyle name="표준 5 2 4 5 2 4 3 2" xfId="29846" xr:uid="{00000000-0005-0000-0000-00000D620000}"/>
    <cellStyle name="표준 5 2 4 5 2 4 3 3" xfId="38057" xr:uid="{00000000-0005-0000-0000-00000E620000}"/>
    <cellStyle name="표준 5 2 4 5 2 4 3 4" xfId="46250" xr:uid="{00000000-0005-0000-0000-00000F620000}"/>
    <cellStyle name="표준 5 2 4 5 2 4 4" xfId="13252" xr:uid="{00000000-0005-0000-0000-000010620000}"/>
    <cellStyle name="표준 5 2 4 5 2 4 5" xfId="17492" xr:uid="{00000000-0005-0000-0000-000011620000}"/>
    <cellStyle name="표준 5 2 4 5 2 4 6" xfId="21654" xr:uid="{00000000-0005-0000-0000-000012620000}"/>
    <cellStyle name="표준 5 2 4 5 2 4 7" xfId="25750" xr:uid="{00000000-0005-0000-0000-000013620000}"/>
    <cellStyle name="표준 5 2 4 5 2 4 8" xfId="33961" xr:uid="{00000000-0005-0000-0000-000014620000}"/>
    <cellStyle name="표준 5 2 4 5 2 4 9" xfId="42154" xr:uid="{00000000-0005-0000-0000-000015620000}"/>
    <cellStyle name="표준 5 2 4 5 2 5" xfId="9652" xr:uid="{00000000-0005-0000-0000-000016620000}"/>
    <cellStyle name="표준 5 2 4 5 2 5 2" xfId="13764" xr:uid="{00000000-0005-0000-0000-000017620000}"/>
    <cellStyle name="표준 5 2 4 5 2 5 2 2" xfId="30358" xr:uid="{00000000-0005-0000-0000-000018620000}"/>
    <cellStyle name="표준 5 2 4 5 2 5 2 3" xfId="38569" xr:uid="{00000000-0005-0000-0000-000019620000}"/>
    <cellStyle name="표준 5 2 4 5 2 5 2 4" xfId="46762" xr:uid="{00000000-0005-0000-0000-00001A620000}"/>
    <cellStyle name="표준 5 2 4 5 2 5 3" xfId="18004" xr:uid="{00000000-0005-0000-0000-00001B620000}"/>
    <cellStyle name="표준 5 2 4 5 2 5 4" xfId="22166" xr:uid="{00000000-0005-0000-0000-00001C620000}"/>
    <cellStyle name="표준 5 2 4 5 2 5 5" xfId="26262" xr:uid="{00000000-0005-0000-0000-00001D620000}"/>
    <cellStyle name="표준 5 2 4 5 2 5 6" xfId="34473" xr:uid="{00000000-0005-0000-0000-00001E620000}"/>
    <cellStyle name="표준 5 2 4 5 2 5 7" xfId="42666" xr:uid="{00000000-0005-0000-0000-00001F620000}"/>
    <cellStyle name="표준 5 2 4 5 2 6" xfId="7604" xr:uid="{00000000-0005-0000-0000-000020620000}"/>
    <cellStyle name="표준 5 2 4 5 2 6 2" xfId="28310" xr:uid="{00000000-0005-0000-0000-000021620000}"/>
    <cellStyle name="표준 5 2 4 5 2 6 3" xfId="36521" xr:uid="{00000000-0005-0000-0000-000022620000}"/>
    <cellStyle name="표준 5 2 4 5 2 6 4" xfId="44714" xr:uid="{00000000-0005-0000-0000-000023620000}"/>
    <cellStyle name="표준 5 2 4 5 2 7" xfId="11716" xr:uid="{00000000-0005-0000-0000-000024620000}"/>
    <cellStyle name="표준 5 2 4 5 2 8" xfId="15956" xr:uid="{00000000-0005-0000-0000-000025620000}"/>
    <cellStyle name="표준 5 2 4 5 2 9" xfId="20118" xr:uid="{00000000-0005-0000-0000-000026620000}"/>
    <cellStyle name="표준 5 2 4 5 3" xfId="1005" xr:uid="{00000000-0005-0000-0000-000027620000}"/>
    <cellStyle name="표준 5 2 4 5 3 2" xfId="9908" xr:uid="{00000000-0005-0000-0000-000028620000}"/>
    <cellStyle name="표준 5 2 4 5 3 2 2" xfId="14020" xr:uid="{00000000-0005-0000-0000-000029620000}"/>
    <cellStyle name="표준 5 2 4 5 3 2 2 2" xfId="30614" xr:uid="{00000000-0005-0000-0000-00002A620000}"/>
    <cellStyle name="표준 5 2 4 5 3 2 2 3" xfId="38825" xr:uid="{00000000-0005-0000-0000-00002B620000}"/>
    <cellStyle name="표준 5 2 4 5 3 2 2 4" xfId="47018" xr:uid="{00000000-0005-0000-0000-00002C620000}"/>
    <cellStyle name="표준 5 2 4 5 3 2 3" xfId="18260" xr:uid="{00000000-0005-0000-0000-00002D620000}"/>
    <cellStyle name="표준 5 2 4 5 3 2 4" xfId="22422" xr:uid="{00000000-0005-0000-0000-00002E620000}"/>
    <cellStyle name="표준 5 2 4 5 3 2 5" xfId="26518" xr:uid="{00000000-0005-0000-0000-00002F620000}"/>
    <cellStyle name="표준 5 2 4 5 3 2 6" xfId="34729" xr:uid="{00000000-0005-0000-0000-000030620000}"/>
    <cellStyle name="표준 5 2 4 5 3 2 7" xfId="42922" xr:uid="{00000000-0005-0000-0000-000031620000}"/>
    <cellStyle name="표준 5 2 4 5 3 3" xfId="7860" xr:uid="{00000000-0005-0000-0000-000032620000}"/>
    <cellStyle name="표준 5 2 4 5 3 3 2" xfId="28566" xr:uid="{00000000-0005-0000-0000-000033620000}"/>
    <cellStyle name="표준 5 2 4 5 3 3 3" xfId="36777" xr:uid="{00000000-0005-0000-0000-000034620000}"/>
    <cellStyle name="표준 5 2 4 5 3 3 4" xfId="44970" xr:uid="{00000000-0005-0000-0000-000035620000}"/>
    <cellStyle name="표준 5 2 4 5 3 4" xfId="11972" xr:uid="{00000000-0005-0000-0000-000036620000}"/>
    <cellStyle name="표준 5 2 4 5 3 5" xfId="16212" xr:uid="{00000000-0005-0000-0000-000037620000}"/>
    <cellStyle name="표준 5 2 4 5 3 6" xfId="20374" xr:uid="{00000000-0005-0000-0000-000038620000}"/>
    <cellStyle name="표준 5 2 4 5 3 7" xfId="24470" xr:uid="{00000000-0005-0000-0000-000039620000}"/>
    <cellStyle name="표준 5 2 4 5 3 8" xfId="32681" xr:uid="{00000000-0005-0000-0000-00003A620000}"/>
    <cellStyle name="표준 5 2 4 5 3 9" xfId="40874" xr:uid="{00000000-0005-0000-0000-00003B620000}"/>
    <cellStyle name="표준 5 2 4 5 4" xfId="1517" xr:uid="{00000000-0005-0000-0000-00003C620000}"/>
    <cellStyle name="표준 5 2 4 5 4 2" xfId="10420" xr:uid="{00000000-0005-0000-0000-00003D620000}"/>
    <cellStyle name="표준 5 2 4 5 4 2 2" xfId="14532" xr:uid="{00000000-0005-0000-0000-00003E620000}"/>
    <cellStyle name="표준 5 2 4 5 4 2 2 2" xfId="31126" xr:uid="{00000000-0005-0000-0000-00003F620000}"/>
    <cellStyle name="표준 5 2 4 5 4 2 2 3" xfId="39337" xr:uid="{00000000-0005-0000-0000-000040620000}"/>
    <cellStyle name="표준 5 2 4 5 4 2 2 4" xfId="47530" xr:uid="{00000000-0005-0000-0000-000041620000}"/>
    <cellStyle name="표준 5 2 4 5 4 2 3" xfId="18772" xr:uid="{00000000-0005-0000-0000-000042620000}"/>
    <cellStyle name="표준 5 2 4 5 4 2 4" xfId="22934" xr:uid="{00000000-0005-0000-0000-000043620000}"/>
    <cellStyle name="표준 5 2 4 5 4 2 5" xfId="27030" xr:uid="{00000000-0005-0000-0000-000044620000}"/>
    <cellStyle name="표준 5 2 4 5 4 2 6" xfId="35241" xr:uid="{00000000-0005-0000-0000-000045620000}"/>
    <cellStyle name="표준 5 2 4 5 4 2 7" xfId="43434" xr:uid="{00000000-0005-0000-0000-000046620000}"/>
    <cellStyle name="표준 5 2 4 5 4 3" xfId="8372" xr:uid="{00000000-0005-0000-0000-000047620000}"/>
    <cellStyle name="표준 5 2 4 5 4 3 2" xfId="29078" xr:uid="{00000000-0005-0000-0000-000048620000}"/>
    <cellStyle name="표준 5 2 4 5 4 3 3" xfId="37289" xr:uid="{00000000-0005-0000-0000-000049620000}"/>
    <cellStyle name="표준 5 2 4 5 4 3 4" xfId="45482" xr:uid="{00000000-0005-0000-0000-00004A620000}"/>
    <cellStyle name="표준 5 2 4 5 4 4" xfId="12484" xr:uid="{00000000-0005-0000-0000-00004B620000}"/>
    <cellStyle name="표준 5 2 4 5 4 5" xfId="16724" xr:uid="{00000000-0005-0000-0000-00004C620000}"/>
    <cellStyle name="표준 5 2 4 5 4 6" xfId="20886" xr:uid="{00000000-0005-0000-0000-00004D620000}"/>
    <cellStyle name="표준 5 2 4 5 4 7" xfId="24982" xr:uid="{00000000-0005-0000-0000-00004E620000}"/>
    <cellStyle name="표준 5 2 4 5 4 8" xfId="33193" xr:uid="{00000000-0005-0000-0000-00004F620000}"/>
    <cellStyle name="표준 5 2 4 5 4 9" xfId="41386" xr:uid="{00000000-0005-0000-0000-000050620000}"/>
    <cellStyle name="표준 5 2 4 5 5" xfId="2029" xr:uid="{00000000-0005-0000-0000-000051620000}"/>
    <cellStyle name="표준 5 2 4 5 5 2" xfId="10932" xr:uid="{00000000-0005-0000-0000-000052620000}"/>
    <cellStyle name="표준 5 2 4 5 5 2 2" xfId="15044" xr:uid="{00000000-0005-0000-0000-000053620000}"/>
    <cellStyle name="표준 5 2 4 5 5 2 2 2" xfId="31638" xr:uid="{00000000-0005-0000-0000-000054620000}"/>
    <cellStyle name="표준 5 2 4 5 5 2 2 3" xfId="39849" xr:uid="{00000000-0005-0000-0000-000055620000}"/>
    <cellStyle name="표준 5 2 4 5 5 2 2 4" xfId="48042" xr:uid="{00000000-0005-0000-0000-000056620000}"/>
    <cellStyle name="표준 5 2 4 5 5 2 3" xfId="19284" xr:uid="{00000000-0005-0000-0000-000057620000}"/>
    <cellStyle name="표준 5 2 4 5 5 2 4" xfId="23446" xr:uid="{00000000-0005-0000-0000-000058620000}"/>
    <cellStyle name="표준 5 2 4 5 5 2 5" xfId="27542" xr:uid="{00000000-0005-0000-0000-000059620000}"/>
    <cellStyle name="표준 5 2 4 5 5 2 6" xfId="35753" xr:uid="{00000000-0005-0000-0000-00005A620000}"/>
    <cellStyle name="표준 5 2 4 5 5 2 7" xfId="43946" xr:uid="{00000000-0005-0000-0000-00005B620000}"/>
    <cellStyle name="표준 5 2 4 5 5 3" xfId="8884" xr:uid="{00000000-0005-0000-0000-00005C620000}"/>
    <cellStyle name="표준 5 2 4 5 5 3 2" xfId="29590" xr:uid="{00000000-0005-0000-0000-00005D620000}"/>
    <cellStyle name="표준 5 2 4 5 5 3 3" xfId="37801" xr:uid="{00000000-0005-0000-0000-00005E620000}"/>
    <cellStyle name="표준 5 2 4 5 5 3 4" xfId="45994" xr:uid="{00000000-0005-0000-0000-00005F620000}"/>
    <cellStyle name="표준 5 2 4 5 5 4" xfId="12996" xr:uid="{00000000-0005-0000-0000-000060620000}"/>
    <cellStyle name="표준 5 2 4 5 5 5" xfId="17236" xr:uid="{00000000-0005-0000-0000-000061620000}"/>
    <cellStyle name="표준 5 2 4 5 5 6" xfId="21398" xr:uid="{00000000-0005-0000-0000-000062620000}"/>
    <cellStyle name="표준 5 2 4 5 5 7" xfId="25494" xr:uid="{00000000-0005-0000-0000-000063620000}"/>
    <cellStyle name="표준 5 2 4 5 5 8" xfId="33705" xr:uid="{00000000-0005-0000-0000-000064620000}"/>
    <cellStyle name="표준 5 2 4 5 5 9" xfId="41898" xr:uid="{00000000-0005-0000-0000-000065620000}"/>
    <cellStyle name="표준 5 2 4 5 6" xfId="9396" xr:uid="{00000000-0005-0000-0000-000066620000}"/>
    <cellStyle name="표준 5 2 4 5 6 2" xfId="13508" xr:uid="{00000000-0005-0000-0000-000067620000}"/>
    <cellStyle name="표준 5 2 4 5 6 2 2" xfId="30102" xr:uid="{00000000-0005-0000-0000-000068620000}"/>
    <cellStyle name="표준 5 2 4 5 6 2 3" xfId="38313" xr:uid="{00000000-0005-0000-0000-000069620000}"/>
    <cellStyle name="표준 5 2 4 5 6 2 4" xfId="46506" xr:uid="{00000000-0005-0000-0000-00006A620000}"/>
    <cellStyle name="표준 5 2 4 5 6 3" xfId="17748" xr:uid="{00000000-0005-0000-0000-00006B620000}"/>
    <cellStyle name="표준 5 2 4 5 6 4" xfId="21910" xr:uid="{00000000-0005-0000-0000-00006C620000}"/>
    <cellStyle name="표준 5 2 4 5 6 5" xfId="26006" xr:uid="{00000000-0005-0000-0000-00006D620000}"/>
    <cellStyle name="표준 5 2 4 5 6 6" xfId="34217" xr:uid="{00000000-0005-0000-0000-00006E620000}"/>
    <cellStyle name="표준 5 2 4 5 6 7" xfId="42410" xr:uid="{00000000-0005-0000-0000-00006F620000}"/>
    <cellStyle name="표준 5 2 4 5 7" xfId="7348" xr:uid="{00000000-0005-0000-0000-000070620000}"/>
    <cellStyle name="표준 5 2 4 5 7 2" xfId="28054" xr:uid="{00000000-0005-0000-0000-000071620000}"/>
    <cellStyle name="표준 5 2 4 5 7 3" xfId="36265" xr:uid="{00000000-0005-0000-0000-000072620000}"/>
    <cellStyle name="표준 5 2 4 5 7 4" xfId="44458" xr:uid="{00000000-0005-0000-0000-000073620000}"/>
    <cellStyle name="표준 5 2 4 5 8" xfId="11460" xr:uid="{00000000-0005-0000-0000-000074620000}"/>
    <cellStyle name="표준 5 2 4 5 9" xfId="15700" xr:uid="{00000000-0005-0000-0000-000075620000}"/>
    <cellStyle name="표준 5 2 4 6" xfId="621" xr:uid="{00000000-0005-0000-0000-000076620000}"/>
    <cellStyle name="표준 5 2 4 6 10" xfId="24086" xr:uid="{00000000-0005-0000-0000-000077620000}"/>
    <cellStyle name="표준 5 2 4 6 11" xfId="32297" xr:uid="{00000000-0005-0000-0000-000078620000}"/>
    <cellStyle name="표준 5 2 4 6 12" xfId="40490" xr:uid="{00000000-0005-0000-0000-000079620000}"/>
    <cellStyle name="표준 5 2 4 6 2" xfId="1133" xr:uid="{00000000-0005-0000-0000-00007A620000}"/>
    <cellStyle name="표준 5 2 4 6 2 2" xfId="10036" xr:uid="{00000000-0005-0000-0000-00007B620000}"/>
    <cellStyle name="표준 5 2 4 6 2 2 2" xfId="14148" xr:uid="{00000000-0005-0000-0000-00007C620000}"/>
    <cellStyle name="표준 5 2 4 6 2 2 2 2" xfId="30742" xr:uid="{00000000-0005-0000-0000-00007D620000}"/>
    <cellStyle name="표준 5 2 4 6 2 2 2 3" xfId="38953" xr:uid="{00000000-0005-0000-0000-00007E620000}"/>
    <cellStyle name="표준 5 2 4 6 2 2 2 4" xfId="47146" xr:uid="{00000000-0005-0000-0000-00007F620000}"/>
    <cellStyle name="표준 5 2 4 6 2 2 3" xfId="18388" xr:uid="{00000000-0005-0000-0000-000080620000}"/>
    <cellStyle name="표준 5 2 4 6 2 2 4" xfId="22550" xr:uid="{00000000-0005-0000-0000-000081620000}"/>
    <cellStyle name="표준 5 2 4 6 2 2 5" xfId="26646" xr:uid="{00000000-0005-0000-0000-000082620000}"/>
    <cellStyle name="표준 5 2 4 6 2 2 6" xfId="34857" xr:uid="{00000000-0005-0000-0000-000083620000}"/>
    <cellStyle name="표준 5 2 4 6 2 2 7" xfId="43050" xr:uid="{00000000-0005-0000-0000-000084620000}"/>
    <cellStyle name="표준 5 2 4 6 2 3" xfId="7988" xr:uid="{00000000-0005-0000-0000-000085620000}"/>
    <cellStyle name="표준 5 2 4 6 2 3 2" xfId="28694" xr:uid="{00000000-0005-0000-0000-000086620000}"/>
    <cellStyle name="표준 5 2 4 6 2 3 3" xfId="36905" xr:uid="{00000000-0005-0000-0000-000087620000}"/>
    <cellStyle name="표준 5 2 4 6 2 3 4" xfId="45098" xr:uid="{00000000-0005-0000-0000-000088620000}"/>
    <cellStyle name="표준 5 2 4 6 2 4" xfId="12100" xr:uid="{00000000-0005-0000-0000-000089620000}"/>
    <cellStyle name="표준 5 2 4 6 2 5" xfId="16340" xr:uid="{00000000-0005-0000-0000-00008A620000}"/>
    <cellStyle name="표준 5 2 4 6 2 6" xfId="20502" xr:uid="{00000000-0005-0000-0000-00008B620000}"/>
    <cellStyle name="표준 5 2 4 6 2 7" xfId="24598" xr:uid="{00000000-0005-0000-0000-00008C620000}"/>
    <cellStyle name="표준 5 2 4 6 2 8" xfId="32809" xr:uid="{00000000-0005-0000-0000-00008D620000}"/>
    <cellStyle name="표준 5 2 4 6 2 9" xfId="41002" xr:uid="{00000000-0005-0000-0000-00008E620000}"/>
    <cellStyle name="표준 5 2 4 6 3" xfId="1645" xr:uid="{00000000-0005-0000-0000-00008F620000}"/>
    <cellStyle name="표준 5 2 4 6 3 2" xfId="10548" xr:uid="{00000000-0005-0000-0000-000090620000}"/>
    <cellStyle name="표준 5 2 4 6 3 2 2" xfId="14660" xr:uid="{00000000-0005-0000-0000-000091620000}"/>
    <cellStyle name="표준 5 2 4 6 3 2 2 2" xfId="31254" xr:uid="{00000000-0005-0000-0000-000092620000}"/>
    <cellStyle name="표준 5 2 4 6 3 2 2 3" xfId="39465" xr:uid="{00000000-0005-0000-0000-000093620000}"/>
    <cellStyle name="표준 5 2 4 6 3 2 2 4" xfId="47658" xr:uid="{00000000-0005-0000-0000-000094620000}"/>
    <cellStyle name="표준 5 2 4 6 3 2 3" xfId="18900" xr:uid="{00000000-0005-0000-0000-000095620000}"/>
    <cellStyle name="표준 5 2 4 6 3 2 4" xfId="23062" xr:uid="{00000000-0005-0000-0000-000096620000}"/>
    <cellStyle name="표준 5 2 4 6 3 2 5" xfId="27158" xr:uid="{00000000-0005-0000-0000-000097620000}"/>
    <cellStyle name="표준 5 2 4 6 3 2 6" xfId="35369" xr:uid="{00000000-0005-0000-0000-000098620000}"/>
    <cellStyle name="표준 5 2 4 6 3 2 7" xfId="43562" xr:uid="{00000000-0005-0000-0000-000099620000}"/>
    <cellStyle name="표준 5 2 4 6 3 3" xfId="8500" xr:uid="{00000000-0005-0000-0000-00009A620000}"/>
    <cellStyle name="표준 5 2 4 6 3 3 2" xfId="29206" xr:uid="{00000000-0005-0000-0000-00009B620000}"/>
    <cellStyle name="표준 5 2 4 6 3 3 3" xfId="37417" xr:uid="{00000000-0005-0000-0000-00009C620000}"/>
    <cellStyle name="표준 5 2 4 6 3 3 4" xfId="45610" xr:uid="{00000000-0005-0000-0000-00009D620000}"/>
    <cellStyle name="표준 5 2 4 6 3 4" xfId="12612" xr:uid="{00000000-0005-0000-0000-00009E620000}"/>
    <cellStyle name="표준 5 2 4 6 3 5" xfId="16852" xr:uid="{00000000-0005-0000-0000-00009F620000}"/>
    <cellStyle name="표준 5 2 4 6 3 6" xfId="21014" xr:uid="{00000000-0005-0000-0000-0000A0620000}"/>
    <cellStyle name="표준 5 2 4 6 3 7" xfId="25110" xr:uid="{00000000-0005-0000-0000-0000A1620000}"/>
    <cellStyle name="표준 5 2 4 6 3 8" xfId="33321" xr:uid="{00000000-0005-0000-0000-0000A2620000}"/>
    <cellStyle name="표준 5 2 4 6 3 9" xfId="41514" xr:uid="{00000000-0005-0000-0000-0000A3620000}"/>
    <cellStyle name="표준 5 2 4 6 4" xfId="2157" xr:uid="{00000000-0005-0000-0000-0000A4620000}"/>
    <cellStyle name="표준 5 2 4 6 4 2" xfId="11060" xr:uid="{00000000-0005-0000-0000-0000A5620000}"/>
    <cellStyle name="표준 5 2 4 6 4 2 2" xfId="15172" xr:uid="{00000000-0005-0000-0000-0000A6620000}"/>
    <cellStyle name="표준 5 2 4 6 4 2 2 2" xfId="31766" xr:uid="{00000000-0005-0000-0000-0000A7620000}"/>
    <cellStyle name="표준 5 2 4 6 4 2 2 3" xfId="39977" xr:uid="{00000000-0005-0000-0000-0000A8620000}"/>
    <cellStyle name="표준 5 2 4 6 4 2 2 4" xfId="48170" xr:uid="{00000000-0005-0000-0000-0000A9620000}"/>
    <cellStyle name="표준 5 2 4 6 4 2 3" xfId="19412" xr:uid="{00000000-0005-0000-0000-0000AA620000}"/>
    <cellStyle name="표준 5 2 4 6 4 2 4" xfId="23574" xr:uid="{00000000-0005-0000-0000-0000AB620000}"/>
    <cellStyle name="표준 5 2 4 6 4 2 5" xfId="27670" xr:uid="{00000000-0005-0000-0000-0000AC620000}"/>
    <cellStyle name="표준 5 2 4 6 4 2 6" xfId="35881" xr:uid="{00000000-0005-0000-0000-0000AD620000}"/>
    <cellStyle name="표준 5 2 4 6 4 2 7" xfId="44074" xr:uid="{00000000-0005-0000-0000-0000AE620000}"/>
    <cellStyle name="표준 5 2 4 6 4 3" xfId="9012" xr:uid="{00000000-0005-0000-0000-0000AF620000}"/>
    <cellStyle name="표준 5 2 4 6 4 3 2" xfId="29718" xr:uid="{00000000-0005-0000-0000-0000B0620000}"/>
    <cellStyle name="표준 5 2 4 6 4 3 3" xfId="37929" xr:uid="{00000000-0005-0000-0000-0000B1620000}"/>
    <cellStyle name="표준 5 2 4 6 4 3 4" xfId="46122" xr:uid="{00000000-0005-0000-0000-0000B2620000}"/>
    <cellStyle name="표준 5 2 4 6 4 4" xfId="13124" xr:uid="{00000000-0005-0000-0000-0000B3620000}"/>
    <cellStyle name="표준 5 2 4 6 4 5" xfId="17364" xr:uid="{00000000-0005-0000-0000-0000B4620000}"/>
    <cellStyle name="표준 5 2 4 6 4 6" xfId="21526" xr:uid="{00000000-0005-0000-0000-0000B5620000}"/>
    <cellStyle name="표준 5 2 4 6 4 7" xfId="25622" xr:uid="{00000000-0005-0000-0000-0000B6620000}"/>
    <cellStyle name="표준 5 2 4 6 4 8" xfId="33833" xr:uid="{00000000-0005-0000-0000-0000B7620000}"/>
    <cellStyle name="표준 5 2 4 6 4 9" xfId="42026" xr:uid="{00000000-0005-0000-0000-0000B8620000}"/>
    <cellStyle name="표준 5 2 4 6 5" xfId="9524" xr:uid="{00000000-0005-0000-0000-0000B9620000}"/>
    <cellStyle name="표준 5 2 4 6 5 2" xfId="13636" xr:uid="{00000000-0005-0000-0000-0000BA620000}"/>
    <cellStyle name="표준 5 2 4 6 5 2 2" xfId="30230" xr:uid="{00000000-0005-0000-0000-0000BB620000}"/>
    <cellStyle name="표준 5 2 4 6 5 2 3" xfId="38441" xr:uid="{00000000-0005-0000-0000-0000BC620000}"/>
    <cellStyle name="표준 5 2 4 6 5 2 4" xfId="46634" xr:uid="{00000000-0005-0000-0000-0000BD620000}"/>
    <cellStyle name="표준 5 2 4 6 5 3" xfId="17876" xr:uid="{00000000-0005-0000-0000-0000BE620000}"/>
    <cellStyle name="표준 5 2 4 6 5 4" xfId="22038" xr:uid="{00000000-0005-0000-0000-0000BF620000}"/>
    <cellStyle name="표준 5 2 4 6 5 5" xfId="26134" xr:uid="{00000000-0005-0000-0000-0000C0620000}"/>
    <cellStyle name="표준 5 2 4 6 5 6" xfId="34345" xr:uid="{00000000-0005-0000-0000-0000C1620000}"/>
    <cellStyle name="표준 5 2 4 6 5 7" xfId="42538" xr:uid="{00000000-0005-0000-0000-0000C2620000}"/>
    <cellStyle name="표준 5 2 4 6 6" xfId="7476" xr:uid="{00000000-0005-0000-0000-0000C3620000}"/>
    <cellStyle name="표준 5 2 4 6 6 2" xfId="28182" xr:uid="{00000000-0005-0000-0000-0000C4620000}"/>
    <cellStyle name="표준 5 2 4 6 6 3" xfId="36393" xr:uid="{00000000-0005-0000-0000-0000C5620000}"/>
    <cellStyle name="표준 5 2 4 6 6 4" xfId="44586" xr:uid="{00000000-0005-0000-0000-0000C6620000}"/>
    <cellStyle name="표준 5 2 4 6 7" xfId="11588" xr:uid="{00000000-0005-0000-0000-0000C7620000}"/>
    <cellStyle name="표준 5 2 4 6 8" xfId="15828" xr:uid="{00000000-0005-0000-0000-0000C8620000}"/>
    <cellStyle name="표준 5 2 4 6 9" xfId="19990" xr:uid="{00000000-0005-0000-0000-0000C9620000}"/>
    <cellStyle name="표준 5 2 4 7" xfId="877" xr:uid="{00000000-0005-0000-0000-0000CA620000}"/>
    <cellStyle name="표준 5 2 4 7 2" xfId="9780" xr:uid="{00000000-0005-0000-0000-0000CB620000}"/>
    <cellStyle name="표준 5 2 4 7 2 2" xfId="13892" xr:uid="{00000000-0005-0000-0000-0000CC620000}"/>
    <cellStyle name="표준 5 2 4 7 2 2 2" xfId="30486" xr:uid="{00000000-0005-0000-0000-0000CD620000}"/>
    <cellStyle name="표준 5 2 4 7 2 2 3" xfId="38697" xr:uid="{00000000-0005-0000-0000-0000CE620000}"/>
    <cellStyle name="표준 5 2 4 7 2 2 4" xfId="46890" xr:uid="{00000000-0005-0000-0000-0000CF620000}"/>
    <cellStyle name="표준 5 2 4 7 2 3" xfId="18132" xr:uid="{00000000-0005-0000-0000-0000D0620000}"/>
    <cellStyle name="표준 5 2 4 7 2 4" xfId="22294" xr:uid="{00000000-0005-0000-0000-0000D1620000}"/>
    <cellStyle name="표준 5 2 4 7 2 5" xfId="26390" xr:uid="{00000000-0005-0000-0000-0000D2620000}"/>
    <cellStyle name="표준 5 2 4 7 2 6" xfId="34601" xr:uid="{00000000-0005-0000-0000-0000D3620000}"/>
    <cellStyle name="표준 5 2 4 7 2 7" xfId="42794" xr:uid="{00000000-0005-0000-0000-0000D4620000}"/>
    <cellStyle name="표준 5 2 4 7 3" xfId="7732" xr:uid="{00000000-0005-0000-0000-0000D5620000}"/>
    <cellStyle name="표준 5 2 4 7 3 2" xfId="28438" xr:uid="{00000000-0005-0000-0000-0000D6620000}"/>
    <cellStyle name="표준 5 2 4 7 3 3" xfId="36649" xr:uid="{00000000-0005-0000-0000-0000D7620000}"/>
    <cellStyle name="표준 5 2 4 7 3 4" xfId="44842" xr:uid="{00000000-0005-0000-0000-0000D8620000}"/>
    <cellStyle name="표준 5 2 4 7 4" xfId="11844" xr:uid="{00000000-0005-0000-0000-0000D9620000}"/>
    <cellStyle name="표준 5 2 4 7 5" xfId="16084" xr:uid="{00000000-0005-0000-0000-0000DA620000}"/>
    <cellStyle name="표준 5 2 4 7 6" xfId="20246" xr:uid="{00000000-0005-0000-0000-0000DB620000}"/>
    <cellStyle name="표준 5 2 4 7 7" xfId="24342" xr:uid="{00000000-0005-0000-0000-0000DC620000}"/>
    <cellStyle name="표준 5 2 4 7 8" xfId="32553" xr:uid="{00000000-0005-0000-0000-0000DD620000}"/>
    <cellStyle name="표준 5 2 4 7 9" xfId="40746" xr:uid="{00000000-0005-0000-0000-0000DE620000}"/>
    <cellStyle name="표준 5 2 4 8" xfId="1389" xr:uid="{00000000-0005-0000-0000-0000DF620000}"/>
    <cellStyle name="표준 5 2 4 8 2" xfId="10292" xr:uid="{00000000-0005-0000-0000-0000E0620000}"/>
    <cellStyle name="표준 5 2 4 8 2 2" xfId="14404" xr:uid="{00000000-0005-0000-0000-0000E1620000}"/>
    <cellStyle name="표준 5 2 4 8 2 2 2" xfId="30998" xr:uid="{00000000-0005-0000-0000-0000E2620000}"/>
    <cellStyle name="표준 5 2 4 8 2 2 3" xfId="39209" xr:uid="{00000000-0005-0000-0000-0000E3620000}"/>
    <cellStyle name="표준 5 2 4 8 2 2 4" xfId="47402" xr:uid="{00000000-0005-0000-0000-0000E4620000}"/>
    <cellStyle name="표준 5 2 4 8 2 3" xfId="18644" xr:uid="{00000000-0005-0000-0000-0000E5620000}"/>
    <cellStyle name="표준 5 2 4 8 2 4" xfId="22806" xr:uid="{00000000-0005-0000-0000-0000E6620000}"/>
    <cellStyle name="표준 5 2 4 8 2 5" xfId="26902" xr:uid="{00000000-0005-0000-0000-0000E7620000}"/>
    <cellStyle name="표준 5 2 4 8 2 6" xfId="35113" xr:uid="{00000000-0005-0000-0000-0000E8620000}"/>
    <cellStyle name="표준 5 2 4 8 2 7" xfId="43306" xr:uid="{00000000-0005-0000-0000-0000E9620000}"/>
    <cellStyle name="표준 5 2 4 8 3" xfId="8244" xr:uid="{00000000-0005-0000-0000-0000EA620000}"/>
    <cellStyle name="표준 5 2 4 8 3 2" xfId="28950" xr:uid="{00000000-0005-0000-0000-0000EB620000}"/>
    <cellStyle name="표준 5 2 4 8 3 3" xfId="37161" xr:uid="{00000000-0005-0000-0000-0000EC620000}"/>
    <cellStyle name="표준 5 2 4 8 3 4" xfId="45354" xr:uid="{00000000-0005-0000-0000-0000ED620000}"/>
    <cellStyle name="표준 5 2 4 8 4" xfId="12356" xr:uid="{00000000-0005-0000-0000-0000EE620000}"/>
    <cellStyle name="표준 5 2 4 8 5" xfId="16596" xr:uid="{00000000-0005-0000-0000-0000EF620000}"/>
    <cellStyle name="표준 5 2 4 8 6" xfId="20758" xr:uid="{00000000-0005-0000-0000-0000F0620000}"/>
    <cellStyle name="표준 5 2 4 8 7" xfId="24854" xr:uid="{00000000-0005-0000-0000-0000F1620000}"/>
    <cellStyle name="표준 5 2 4 8 8" xfId="33065" xr:uid="{00000000-0005-0000-0000-0000F2620000}"/>
    <cellStyle name="표준 5 2 4 8 9" xfId="41258" xr:uid="{00000000-0005-0000-0000-0000F3620000}"/>
    <cellStyle name="표준 5 2 4 9" xfId="1901" xr:uid="{00000000-0005-0000-0000-0000F4620000}"/>
    <cellStyle name="표준 5 2 4 9 2" xfId="10804" xr:uid="{00000000-0005-0000-0000-0000F5620000}"/>
    <cellStyle name="표준 5 2 4 9 2 2" xfId="14916" xr:uid="{00000000-0005-0000-0000-0000F6620000}"/>
    <cellStyle name="표준 5 2 4 9 2 2 2" xfId="31510" xr:uid="{00000000-0005-0000-0000-0000F7620000}"/>
    <cellStyle name="표준 5 2 4 9 2 2 3" xfId="39721" xr:uid="{00000000-0005-0000-0000-0000F8620000}"/>
    <cellStyle name="표준 5 2 4 9 2 2 4" xfId="47914" xr:uid="{00000000-0005-0000-0000-0000F9620000}"/>
    <cellStyle name="표준 5 2 4 9 2 3" xfId="19156" xr:uid="{00000000-0005-0000-0000-0000FA620000}"/>
    <cellStyle name="표준 5 2 4 9 2 4" xfId="23318" xr:uid="{00000000-0005-0000-0000-0000FB620000}"/>
    <cellStyle name="표준 5 2 4 9 2 5" xfId="27414" xr:uid="{00000000-0005-0000-0000-0000FC620000}"/>
    <cellStyle name="표준 5 2 4 9 2 6" xfId="35625" xr:uid="{00000000-0005-0000-0000-0000FD620000}"/>
    <cellStyle name="표준 5 2 4 9 2 7" xfId="43818" xr:uid="{00000000-0005-0000-0000-0000FE620000}"/>
    <cellStyle name="표준 5 2 4 9 3" xfId="8756" xr:uid="{00000000-0005-0000-0000-0000FF620000}"/>
    <cellStyle name="표준 5 2 4 9 3 2" xfId="29462" xr:uid="{00000000-0005-0000-0000-000000630000}"/>
    <cellStyle name="표준 5 2 4 9 3 3" xfId="37673" xr:uid="{00000000-0005-0000-0000-000001630000}"/>
    <cellStyle name="표준 5 2 4 9 3 4" xfId="45866" xr:uid="{00000000-0005-0000-0000-000002630000}"/>
    <cellStyle name="표준 5 2 4 9 4" xfId="12868" xr:uid="{00000000-0005-0000-0000-000003630000}"/>
    <cellStyle name="표준 5 2 4 9 5" xfId="17108" xr:uid="{00000000-0005-0000-0000-000004630000}"/>
    <cellStyle name="표준 5 2 4 9 6" xfId="21270" xr:uid="{00000000-0005-0000-0000-000005630000}"/>
    <cellStyle name="표준 5 2 4 9 7" xfId="25366" xr:uid="{00000000-0005-0000-0000-000006630000}"/>
    <cellStyle name="표준 5 2 4 9 8" xfId="33577" xr:uid="{00000000-0005-0000-0000-000007630000}"/>
    <cellStyle name="표준 5 2 4 9 9" xfId="41770" xr:uid="{00000000-0005-0000-0000-000008630000}"/>
    <cellStyle name="표준 5 2 5" xfId="117" xr:uid="{00000000-0005-0000-0000-000009630000}"/>
    <cellStyle name="표준 5 2 5 10" xfId="6965" xr:uid="{00000000-0005-0000-0000-00000A630000}"/>
    <cellStyle name="표준 5 2 5 10 2" xfId="27934" xr:uid="{00000000-0005-0000-0000-00000B630000}"/>
    <cellStyle name="표준 5 2 5 10 3" xfId="36145" xr:uid="{00000000-0005-0000-0000-00000C630000}"/>
    <cellStyle name="표준 5 2 5 10 4" xfId="44338" xr:uid="{00000000-0005-0000-0000-00000D630000}"/>
    <cellStyle name="표준 5 2 5 11" xfId="7193" xr:uid="{00000000-0005-0000-0000-00000E630000}"/>
    <cellStyle name="표준 5 2 5 12" xfId="7228" xr:uid="{00000000-0005-0000-0000-00000F630000}"/>
    <cellStyle name="표준 5 2 5 13" xfId="11340" xr:uid="{00000000-0005-0000-0000-000010630000}"/>
    <cellStyle name="표준 5 2 5 14" xfId="15468" xr:uid="{00000000-0005-0000-0000-000011630000}"/>
    <cellStyle name="표준 5 2 5 15" xfId="15580" xr:uid="{00000000-0005-0000-0000-000012630000}"/>
    <cellStyle name="표준 5 2 5 16" xfId="19742" xr:uid="{00000000-0005-0000-0000-000013630000}"/>
    <cellStyle name="표준 5 2 5 17" xfId="23838" xr:uid="{00000000-0005-0000-0000-000014630000}"/>
    <cellStyle name="표준 5 2 5 18" xfId="32049" xr:uid="{00000000-0005-0000-0000-000015630000}"/>
    <cellStyle name="표준 5 2 5 19" xfId="40242" xr:uid="{00000000-0005-0000-0000-000016630000}"/>
    <cellStyle name="표준 5 2 5 2" xfId="405" xr:uid="{00000000-0005-0000-0000-000017630000}"/>
    <cellStyle name="표준 5 2 5 2 10" xfId="7260" xr:uid="{00000000-0005-0000-0000-000018630000}"/>
    <cellStyle name="표준 5 2 5 2 11" xfId="11372" xr:uid="{00000000-0005-0000-0000-000019630000}"/>
    <cellStyle name="표준 5 2 5 2 12" xfId="15516" xr:uid="{00000000-0005-0000-0000-00001A630000}"/>
    <cellStyle name="표준 5 2 5 2 13" xfId="15612" xr:uid="{00000000-0005-0000-0000-00001B630000}"/>
    <cellStyle name="표준 5 2 5 2 14" xfId="19774" xr:uid="{00000000-0005-0000-0000-00001C630000}"/>
    <cellStyle name="표준 5 2 5 2 15" xfId="23870" xr:uid="{00000000-0005-0000-0000-00001D630000}"/>
    <cellStyle name="표준 5 2 5 2 16" xfId="32081" xr:uid="{00000000-0005-0000-0000-00001E630000}"/>
    <cellStyle name="표준 5 2 5 2 17" xfId="40274" xr:uid="{00000000-0005-0000-0000-00001F630000}"/>
    <cellStyle name="표준 5 2 5 2 18" xfId="49717" xr:uid="{00000000-0005-0000-0000-000020630000}"/>
    <cellStyle name="표준 5 2 5 2 2" xfId="469" xr:uid="{00000000-0005-0000-0000-000021630000}"/>
    <cellStyle name="표준 5 2 5 2 2 10" xfId="15676" xr:uid="{00000000-0005-0000-0000-000022630000}"/>
    <cellStyle name="표준 5 2 5 2 2 11" xfId="19838" xr:uid="{00000000-0005-0000-0000-000023630000}"/>
    <cellStyle name="표준 5 2 5 2 2 12" xfId="23934" xr:uid="{00000000-0005-0000-0000-000024630000}"/>
    <cellStyle name="표준 5 2 5 2 2 13" xfId="32145" xr:uid="{00000000-0005-0000-0000-000025630000}"/>
    <cellStyle name="표준 5 2 5 2 2 14" xfId="40338" xr:uid="{00000000-0005-0000-0000-000026630000}"/>
    <cellStyle name="표준 5 2 5 2 2 2" xfId="597" xr:uid="{00000000-0005-0000-0000-000027630000}"/>
    <cellStyle name="표준 5 2 5 2 2 2 10" xfId="19966" xr:uid="{00000000-0005-0000-0000-000028630000}"/>
    <cellStyle name="표준 5 2 5 2 2 2 11" xfId="24062" xr:uid="{00000000-0005-0000-0000-000029630000}"/>
    <cellStyle name="표준 5 2 5 2 2 2 12" xfId="32273" xr:uid="{00000000-0005-0000-0000-00002A630000}"/>
    <cellStyle name="표준 5 2 5 2 2 2 13" xfId="40466" xr:uid="{00000000-0005-0000-0000-00002B630000}"/>
    <cellStyle name="표준 5 2 5 2 2 2 2" xfId="853" xr:uid="{00000000-0005-0000-0000-00002C630000}"/>
    <cellStyle name="표준 5 2 5 2 2 2 2 10" xfId="24318" xr:uid="{00000000-0005-0000-0000-00002D630000}"/>
    <cellStyle name="표준 5 2 5 2 2 2 2 11" xfId="32529" xr:uid="{00000000-0005-0000-0000-00002E630000}"/>
    <cellStyle name="표준 5 2 5 2 2 2 2 12" xfId="40722" xr:uid="{00000000-0005-0000-0000-00002F630000}"/>
    <cellStyle name="표준 5 2 5 2 2 2 2 2" xfId="1365" xr:uid="{00000000-0005-0000-0000-000030630000}"/>
    <cellStyle name="표준 5 2 5 2 2 2 2 2 2" xfId="10268" xr:uid="{00000000-0005-0000-0000-000031630000}"/>
    <cellStyle name="표준 5 2 5 2 2 2 2 2 2 2" xfId="14380" xr:uid="{00000000-0005-0000-0000-000032630000}"/>
    <cellStyle name="표준 5 2 5 2 2 2 2 2 2 2 2" xfId="30974" xr:uid="{00000000-0005-0000-0000-000033630000}"/>
    <cellStyle name="표준 5 2 5 2 2 2 2 2 2 2 3" xfId="39185" xr:uid="{00000000-0005-0000-0000-000034630000}"/>
    <cellStyle name="표준 5 2 5 2 2 2 2 2 2 2 4" xfId="47378" xr:uid="{00000000-0005-0000-0000-000035630000}"/>
    <cellStyle name="표준 5 2 5 2 2 2 2 2 2 3" xfId="18620" xr:uid="{00000000-0005-0000-0000-000036630000}"/>
    <cellStyle name="표준 5 2 5 2 2 2 2 2 2 4" xfId="22782" xr:uid="{00000000-0005-0000-0000-000037630000}"/>
    <cellStyle name="표준 5 2 5 2 2 2 2 2 2 5" xfId="26878" xr:uid="{00000000-0005-0000-0000-000038630000}"/>
    <cellStyle name="표준 5 2 5 2 2 2 2 2 2 6" xfId="35089" xr:uid="{00000000-0005-0000-0000-000039630000}"/>
    <cellStyle name="표준 5 2 5 2 2 2 2 2 2 7" xfId="43282" xr:uid="{00000000-0005-0000-0000-00003A630000}"/>
    <cellStyle name="표준 5 2 5 2 2 2 2 2 3" xfId="8220" xr:uid="{00000000-0005-0000-0000-00003B630000}"/>
    <cellStyle name="표준 5 2 5 2 2 2 2 2 3 2" xfId="28926" xr:uid="{00000000-0005-0000-0000-00003C630000}"/>
    <cellStyle name="표준 5 2 5 2 2 2 2 2 3 3" xfId="37137" xr:uid="{00000000-0005-0000-0000-00003D630000}"/>
    <cellStyle name="표준 5 2 5 2 2 2 2 2 3 4" xfId="45330" xr:uid="{00000000-0005-0000-0000-00003E630000}"/>
    <cellStyle name="표준 5 2 5 2 2 2 2 2 4" xfId="12332" xr:uid="{00000000-0005-0000-0000-00003F630000}"/>
    <cellStyle name="표준 5 2 5 2 2 2 2 2 5" xfId="16572" xr:uid="{00000000-0005-0000-0000-000040630000}"/>
    <cellStyle name="표준 5 2 5 2 2 2 2 2 6" xfId="20734" xr:uid="{00000000-0005-0000-0000-000041630000}"/>
    <cellStyle name="표준 5 2 5 2 2 2 2 2 7" xfId="24830" xr:uid="{00000000-0005-0000-0000-000042630000}"/>
    <cellStyle name="표준 5 2 5 2 2 2 2 2 8" xfId="33041" xr:uid="{00000000-0005-0000-0000-000043630000}"/>
    <cellStyle name="표준 5 2 5 2 2 2 2 2 9" xfId="41234" xr:uid="{00000000-0005-0000-0000-000044630000}"/>
    <cellStyle name="표준 5 2 5 2 2 2 2 3" xfId="1877" xr:uid="{00000000-0005-0000-0000-000045630000}"/>
    <cellStyle name="표준 5 2 5 2 2 2 2 3 2" xfId="10780" xr:uid="{00000000-0005-0000-0000-000046630000}"/>
    <cellStyle name="표준 5 2 5 2 2 2 2 3 2 2" xfId="14892" xr:uid="{00000000-0005-0000-0000-000047630000}"/>
    <cellStyle name="표준 5 2 5 2 2 2 2 3 2 2 2" xfId="31486" xr:uid="{00000000-0005-0000-0000-000048630000}"/>
    <cellStyle name="표준 5 2 5 2 2 2 2 3 2 2 3" xfId="39697" xr:uid="{00000000-0005-0000-0000-000049630000}"/>
    <cellStyle name="표준 5 2 5 2 2 2 2 3 2 2 4" xfId="47890" xr:uid="{00000000-0005-0000-0000-00004A630000}"/>
    <cellStyle name="표준 5 2 5 2 2 2 2 3 2 3" xfId="19132" xr:uid="{00000000-0005-0000-0000-00004B630000}"/>
    <cellStyle name="표준 5 2 5 2 2 2 2 3 2 4" xfId="23294" xr:uid="{00000000-0005-0000-0000-00004C630000}"/>
    <cellStyle name="표준 5 2 5 2 2 2 2 3 2 5" xfId="27390" xr:uid="{00000000-0005-0000-0000-00004D630000}"/>
    <cellStyle name="표준 5 2 5 2 2 2 2 3 2 6" xfId="35601" xr:uid="{00000000-0005-0000-0000-00004E630000}"/>
    <cellStyle name="표준 5 2 5 2 2 2 2 3 2 7" xfId="43794" xr:uid="{00000000-0005-0000-0000-00004F630000}"/>
    <cellStyle name="표준 5 2 5 2 2 2 2 3 3" xfId="8732" xr:uid="{00000000-0005-0000-0000-000050630000}"/>
    <cellStyle name="표준 5 2 5 2 2 2 2 3 3 2" xfId="29438" xr:uid="{00000000-0005-0000-0000-000051630000}"/>
    <cellStyle name="표준 5 2 5 2 2 2 2 3 3 3" xfId="37649" xr:uid="{00000000-0005-0000-0000-000052630000}"/>
    <cellStyle name="표준 5 2 5 2 2 2 2 3 3 4" xfId="45842" xr:uid="{00000000-0005-0000-0000-000053630000}"/>
    <cellStyle name="표준 5 2 5 2 2 2 2 3 4" xfId="12844" xr:uid="{00000000-0005-0000-0000-000054630000}"/>
    <cellStyle name="표준 5 2 5 2 2 2 2 3 5" xfId="17084" xr:uid="{00000000-0005-0000-0000-000055630000}"/>
    <cellStyle name="표준 5 2 5 2 2 2 2 3 6" xfId="21246" xr:uid="{00000000-0005-0000-0000-000056630000}"/>
    <cellStyle name="표준 5 2 5 2 2 2 2 3 7" xfId="25342" xr:uid="{00000000-0005-0000-0000-000057630000}"/>
    <cellStyle name="표준 5 2 5 2 2 2 2 3 8" xfId="33553" xr:uid="{00000000-0005-0000-0000-000058630000}"/>
    <cellStyle name="표준 5 2 5 2 2 2 2 3 9" xfId="41746" xr:uid="{00000000-0005-0000-0000-000059630000}"/>
    <cellStyle name="표준 5 2 5 2 2 2 2 4" xfId="2389" xr:uid="{00000000-0005-0000-0000-00005A630000}"/>
    <cellStyle name="표준 5 2 5 2 2 2 2 4 2" xfId="11292" xr:uid="{00000000-0005-0000-0000-00005B630000}"/>
    <cellStyle name="표준 5 2 5 2 2 2 2 4 2 2" xfId="15404" xr:uid="{00000000-0005-0000-0000-00005C630000}"/>
    <cellStyle name="표준 5 2 5 2 2 2 2 4 2 2 2" xfId="31998" xr:uid="{00000000-0005-0000-0000-00005D630000}"/>
    <cellStyle name="표준 5 2 5 2 2 2 2 4 2 2 3" xfId="40209" xr:uid="{00000000-0005-0000-0000-00005E630000}"/>
    <cellStyle name="표준 5 2 5 2 2 2 2 4 2 2 4" xfId="48402" xr:uid="{00000000-0005-0000-0000-00005F630000}"/>
    <cellStyle name="표준 5 2 5 2 2 2 2 4 2 3" xfId="19644" xr:uid="{00000000-0005-0000-0000-000060630000}"/>
    <cellStyle name="표준 5 2 5 2 2 2 2 4 2 4" xfId="23806" xr:uid="{00000000-0005-0000-0000-000061630000}"/>
    <cellStyle name="표준 5 2 5 2 2 2 2 4 2 5" xfId="27902" xr:uid="{00000000-0005-0000-0000-000062630000}"/>
    <cellStyle name="표준 5 2 5 2 2 2 2 4 2 6" xfId="36113" xr:uid="{00000000-0005-0000-0000-000063630000}"/>
    <cellStyle name="표준 5 2 5 2 2 2 2 4 2 7" xfId="44306" xr:uid="{00000000-0005-0000-0000-000064630000}"/>
    <cellStyle name="표준 5 2 5 2 2 2 2 4 3" xfId="9244" xr:uid="{00000000-0005-0000-0000-000065630000}"/>
    <cellStyle name="표준 5 2 5 2 2 2 2 4 3 2" xfId="29950" xr:uid="{00000000-0005-0000-0000-000066630000}"/>
    <cellStyle name="표준 5 2 5 2 2 2 2 4 3 3" xfId="38161" xr:uid="{00000000-0005-0000-0000-000067630000}"/>
    <cellStyle name="표준 5 2 5 2 2 2 2 4 3 4" xfId="46354" xr:uid="{00000000-0005-0000-0000-000068630000}"/>
    <cellStyle name="표준 5 2 5 2 2 2 2 4 4" xfId="13356" xr:uid="{00000000-0005-0000-0000-000069630000}"/>
    <cellStyle name="표준 5 2 5 2 2 2 2 4 5" xfId="17596" xr:uid="{00000000-0005-0000-0000-00006A630000}"/>
    <cellStyle name="표준 5 2 5 2 2 2 2 4 6" xfId="21758" xr:uid="{00000000-0005-0000-0000-00006B630000}"/>
    <cellStyle name="표준 5 2 5 2 2 2 2 4 7" xfId="25854" xr:uid="{00000000-0005-0000-0000-00006C630000}"/>
    <cellStyle name="표준 5 2 5 2 2 2 2 4 8" xfId="34065" xr:uid="{00000000-0005-0000-0000-00006D630000}"/>
    <cellStyle name="표준 5 2 5 2 2 2 2 4 9" xfId="42258" xr:uid="{00000000-0005-0000-0000-00006E630000}"/>
    <cellStyle name="표준 5 2 5 2 2 2 2 5" xfId="9756" xr:uid="{00000000-0005-0000-0000-00006F630000}"/>
    <cellStyle name="표준 5 2 5 2 2 2 2 5 2" xfId="13868" xr:uid="{00000000-0005-0000-0000-000070630000}"/>
    <cellStyle name="표준 5 2 5 2 2 2 2 5 2 2" xfId="30462" xr:uid="{00000000-0005-0000-0000-000071630000}"/>
    <cellStyle name="표준 5 2 5 2 2 2 2 5 2 3" xfId="38673" xr:uid="{00000000-0005-0000-0000-000072630000}"/>
    <cellStyle name="표준 5 2 5 2 2 2 2 5 2 4" xfId="46866" xr:uid="{00000000-0005-0000-0000-000073630000}"/>
    <cellStyle name="표준 5 2 5 2 2 2 2 5 3" xfId="18108" xr:uid="{00000000-0005-0000-0000-000074630000}"/>
    <cellStyle name="표준 5 2 5 2 2 2 2 5 4" xfId="22270" xr:uid="{00000000-0005-0000-0000-000075630000}"/>
    <cellStyle name="표준 5 2 5 2 2 2 2 5 5" xfId="26366" xr:uid="{00000000-0005-0000-0000-000076630000}"/>
    <cellStyle name="표준 5 2 5 2 2 2 2 5 6" xfId="34577" xr:uid="{00000000-0005-0000-0000-000077630000}"/>
    <cellStyle name="표준 5 2 5 2 2 2 2 5 7" xfId="42770" xr:uid="{00000000-0005-0000-0000-000078630000}"/>
    <cellStyle name="표준 5 2 5 2 2 2 2 6" xfId="7708" xr:uid="{00000000-0005-0000-0000-000079630000}"/>
    <cellStyle name="표준 5 2 5 2 2 2 2 6 2" xfId="28414" xr:uid="{00000000-0005-0000-0000-00007A630000}"/>
    <cellStyle name="표준 5 2 5 2 2 2 2 6 3" xfId="36625" xr:uid="{00000000-0005-0000-0000-00007B630000}"/>
    <cellStyle name="표준 5 2 5 2 2 2 2 6 4" xfId="44818" xr:uid="{00000000-0005-0000-0000-00007C630000}"/>
    <cellStyle name="표준 5 2 5 2 2 2 2 7" xfId="11820" xr:uid="{00000000-0005-0000-0000-00007D630000}"/>
    <cellStyle name="표준 5 2 5 2 2 2 2 8" xfId="16060" xr:uid="{00000000-0005-0000-0000-00007E630000}"/>
    <cellStyle name="표준 5 2 5 2 2 2 2 9" xfId="20222" xr:uid="{00000000-0005-0000-0000-00007F630000}"/>
    <cellStyle name="표준 5 2 5 2 2 2 3" xfId="1109" xr:uid="{00000000-0005-0000-0000-000080630000}"/>
    <cellStyle name="표준 5 2 5 2 2 2 3 2" xfId="10012" xr:uid="{00000000-0005-0000-0000-000081630000}"/>
    <cellStyle name="표준 5 2 5 2 2 2 3 2 2" xfId="14124" xr:uid="{00000000-0005-0000-0000-000082630000}"/>
    <cellStyle name="표준 5 2 5 2 2 2 3 2 2 2" xfId="30718" xr:uid="{00000000-0005-0000-0000-000083630000}"/>
    <cellStyle name="표준 5 2 5 2 2 2 3 2 2 3" xfId="38929" xr:uid="{00000000-0005-0000-0000-000084630000}"/>
    <cellStyle name="표준 5 2 5 2 2 2 3 2 2 4" xfId="47122" xr:uid="{00000000-0005-0000-0000-000085630000}"/>
    <cellStyle name="표준 5 2 5 2 2 2 3 2 3" xfId="18364" xr:uid="{00000000-0005-0000-0000-000086630000}"/>
    <cellStyle name="표준 5 2 5 2 2 2 3 2 4" xfId="22526" xr:uid="{00000000-0005-0000-0000-000087630000}"/>
    <cellStyle name="표준 5 2 5 2 2 2 3 2 5" xfId="26622" xr:uid="{00000000-0005-0000-0000-000088630000}"/>
    <cellStyle name="표준 5 2 5 2 2 2 3 2 6" xfId="34833" xr:uid="{00000000-0005-0000-0000-000089630000}"/>
    <cellStyle name="표준 5 2 5 2 2 2 3 2 7" xfId="43026" xr:uid="{00000000-0005-0000-0000-00008A630000}"/>
    <cellStyle name="표준 5 2 5 2 2 2 3 3" xfId="7964" xr:uid="{00000000-0005-0000-0000-00008B630000}"/>
    <cellStyle name="표준 5 2 5 2 2 2 3 3 2" xfId="28670" xr:uid="{00000000-0005-0000-0000-00008C630000}"/>
    <cellStyle name="표준 5 2 5 2 2 2 3 3 3" xfId="36881" xr:uid="{00000000-0005-0000-0000-00008D630000}"/>
    <cellStyle name="표준 5 2 5 2 2 2 3 3 4" xfId="45074" xr:uid="{00000000-0005-0000-0000-00008E630000}"/>
    <cellStyle name="표준 5 2 5 2 2 2 3 4" xfId="12076" xr:uid="{00000000-0005-0000-0000-00008F630000}"/>
    <cellStyle name="표준 5 2 5 2 2 2 3 5" xfId="16316" xr:uid="{00000000-0005-0000-0000-000090630000}"/>
    <cellStyle name="표준 5 2 5 2 2 2 3 6" xfId="20478" xr:uid="{00000000-0005-0000-0000-000091630000}"/>
    <cellStyle name="표준 5 2 5 2 2 2 3 7" xfId="24574" xr:uid="{00000000-0005-0000-0000-000092630000}"/>
    <cellStyle name="표준 5 2 5 2 2 2 3 8" xfId="32785" xr:uid="{00000000-0005-0000-0000-000093630000}"/>
    <cellStyle name="표준 5 2 5 2 2 2 3 9" xfId="40978" xr:uid="{00000000-0005-0000-0000-000094630000}"/>
    <cellStyle name="표준 5 2 5 2 2 2 4" xfId="1621" xr:uid="{00000000-0005-0000-0000-000095630000}"/>
    <cellStyle name="표준 5 2 5 2 2 2 4 2" xfId="10524" xr:uid="{00000000-0005-0000-0000-000096630000}"/>
    <cellStyle name="표준 5 2 5 2 2 2 4 2 2" xfId="14636" xr:uid="{00000000-0005-0000-0000-000097630000}"/>
    <cellStyle name="표준 5 2 5 2 2 2 4 2 2 2" xfId="31230" xr:uid="{00000000-0005-0000-0000-000098630000}"/>
    <cellStyle name="표준 5 2 5 2 2 2 4 2 2 3" xfId="39441" xr:uid="{00000000-0005-0000-0000-000099630000}"/>
    <cellStyle name="표준 5 2 5 2 2 2 4 2 2 4" xfId="47634" xr:uid="{00000000-0005-0000-0000-00009A630000}"/>
    <cellStyle name="표준 5 2 5 2 2 2 4 2 3" xfId="18876" xr:uid="{00000000-0005-0000-0000-00009B630000}"/>
    <cellStyle name="표준 5 2 5 2 2 2 4 2 4" xfId="23038" xr:uid="{00000000-0005-0000-0000-00009C630000}"/>
    <cellStyle name="표준 5 2 5 2 2 2 4 2 5" xfId="27134" xr:uid="{00000000-0005-0000-0000-00009D630000}"/>
    <cellStyle name="표준 5 2 5 2 2 2 4 2 6" xfId="35345" xr:uid="{00000000-0005-0000-0000-00009E630000}"/>
    <cellStyle name="표준 5 2 5 2 2 2 4 2 7" xfId="43538" xr:uid="{00000000-0005-0000-0000-00009F630000}"/>
    <cellStyle name="표준 5 2 5 2 2 2 4 3" xfId="8476" xr:uid="{00000000-0005-0000-0000-0000A0630000}"/>
    <cellStyle name="표준 5 2 5 2 2 2 4 3 2" xfId="29182" xr:uid="{00000000-0005-0000-0000-0000A1630000}"/>
    <cellStyle name="표준 5 2 5 2 2 2 4 3 3" xfId="37393" xr:uid="{00000000-0005-0000-0000-0000A2630000}"/>
    <cellStyle name="표준 5 2 5 2 2 2 4 3 4" xfId="45586" xr:uid="{00000000-0005-0000-0000-0000A3630000}"/>
    <cellStyle name="표준 5 2 5 2 2 2 4 4" xfId="12588" xr:uid="{00000000-0005-0000-0000-0000A4630000}"/>
    <cellStyle name="표준 5 2 5 2 2 2 4 5" xfId="16828" xr:uid="{00000000-0005-0000-0000-0000A5630000}"/>
    <cellStyle name="표준 5 2 5 2 2 2 4 6" xfId="20990" xr:uid="{00000000-0005-0000-0000-0000A6630000}"/>
    <cellStyle name="표준 5 2 5 2 2 2 4 7" xfId="25086" xr:uid="{00000000-0005-0000-0000-0000A7630000}"/>
    <cellStyle name="표준 5 2 5 2 2 2 4 8" xfId="33297" xr:uid="{00000000-0005-0000-0000-0000A8630000}"/>
    <cellStyle name="표준 5 2 5 2 2 2 4 9" xfId="41490" xr:uid="{00000000-0005-0000-0000-0000A9630000}"/>
    <cellStyle name="표준 5 2 5 2 2 2 5" xfId="2133" xr:uid="{00000000-0005-0000-0000-0000AA630000}"/>
    <cellStyle name="표준 5 2 5 2 2 2 5 2" xfId="11036" xr:uid="{00000000-0005-0000-0000-0000AB630000}"/>
    <cellStyle name="표준 5 2 5 2 2 2 5 2 2" xfId="15148" xr:uid="{00000000-0005-0000-0000-0000AC630000}"/>
    <cellStyle name="표준 5 2 5 2 2 2 5 2 2 2" xfId="31742" xr:uid="{00000000-0005-0000-0000-0000AD630000}"/>
    <cellStyle name="표준 5 2 5 2 2 2 5 2 2 3" xfId="39953" xr:uid="{00000000-0005-0000-0000-0000AE630000}"/>
    <cellStyle name="표준 5 2 5 2 2 2 5 2 2 4" xfId="48146" xr:uid="{00000000-0005-0000-0000-0000AF630000}"/>
    <cellStyle name="표준 5 2 5 2 2 2 5 2 3" xfId="19388" xr:uid="{00000000-0005-0000-0000-0000B0630000}"/>
    <cellStyle name="표준 5 2 5 2 2 2 5 2 4" xfId="23550" xr:uid="{00000000-0005-0000-0000-0000B1630000}"/>
    <cellStyle name="표준 5 2 5 2 2 2 5 2 5" xfId="27646" xr:uid="{00000000-0005-0000-0000-0000B2630000}"/>
    <cellStyle name="표준 5 2 5 2 2 2 5 2 6" xfId="35857" xr:uid="{00000000-0005-0000-0000-0000B3630000}"/>
    <cellStyle name="표준 5 2 5 2 2 2 5 2 7" xfId="44050" xr:uid="{00000000-0005-0000-0000-0000B4630000}"/>
    <cellStyle name="표준 5 2 5 2 2 2 5 3" xfId="8988" xr:uid="{00000000-0005-0000-0000-0000B5630000}"/>
    <cellStyle name="표준 5 2 5 2 2 2 5 3 2" xfId="29694" xr:uid="{00000000-0005-0000-0000-0000B6630000}"/>
    <cellStyle name="표준 5 2 5 2 2 2 5 3 3" xfId="37905" xr:uid="{00000000-0005-0000-0000-0000B7630000}"/>
    <cellStyle name="표준 5 2 5 2 2 2 5 3 4" xfId="46098" xr:uid="{00000000-0005-0000-0000-0000B8630000}"/>
    <cellStyle name="표준 5 2 5 2 2 2 5 4" xfId="13100" xr:uid="{00000000-0005-0000-0000-0000B9630000}"/>
    <cellStyle name="표준 5 2 5 2 2 2 5 5" xfId="17340" xr:uid="{00000000-0005-0000-0000-0000BA630000}"/>
    <cellStyle name="표준 5 2 5 2 2 2 5 6" xfId="21502" xr:uid="{00000000-0005-0000-0000-0000BB630000}"/>
    <cellStyle name="표준 5 2 5 2 2 2 5 7" xfId="25598" xr:uid="{00000000-0005-0000-0000-0000BC630000}"/>
    <cellStyle name="표준 5 2 5 2 2 2 5 8" xfId="33809" xr:uid="{00000000-0005-0000-0000-0000BD630000}"/>
    <cellStyle name="표준 5 2 5 2 2 2 5 9" xfId="42002" xr:uid="{00000000-0005-0000-0000-0000BE630000}"/>
    <cellStyle name="표준 5 2 5 2 2 2 6" xfId="9500" xr:uid="{00000000-0005-0000-0000-0000BF630000}"/>
    <cellStyle name="표준 5 2 5 2 2 2 6 2" xfId="13612" xr:uid="{00000000-0005-0000-0000-0000C0630000}"/>
    <cellStyle name="표준 5 2 5 2 2 2 6 2 2" xfId="30206" xr:uid="{00000000-0005-0000-0000-0000C1630000}"/>
    <cellStyle name="표준 5 2 5 2 2 2 6 2 3" xfId="38417" xr:uid="{00000000-0005-0000-0000-0000C2630000}"/>
    <cellStyle name="표준 5 2 5 2 2 2 6 2 4" xfId="46610" xr:uid="{00000000-0005-0000-0000-0000C3630000}"/>
    <cellStyle name="표준 5 2 5 2 2 2 6 3" xfId="17852" xr:uid="{00000000-0005-0000-0000-0000C4630000}"/>
    <cellStyle name="표준 5 2 5 2 2 2 6 4" xfId="22014" xr:uid="{00000000-0005-0000-0000-0000C5630000}"/>
    <cellStyle name="표준 5 2 5 2 2 2 6 5" xfId="26110" xr:uid="{00000000-0005-0000-0000-0000C6630000}"/>
    <cellStyle name="표준 5 2 5 2 2 2 6 6" xfId="34321" xr:uid="{00000000-0005-0000-0000-0000C7630000}"/>
    <cellStyle name="표준 5 2 5 2 2 2 6 7" xfId="42514" xr:uid="{00000000-0005-0000-0000-0000C8630000}"/>
    <cellStyle name="표준 5 2 5 2 2 2 7" xfId="7452" xr:uid="{00000000-0005-0000-0000-0000C9630000}"/>
    <cellStyle name="표준 5 2 5 2 2 2 7 2" xfId="28158" xr:uid="{00000000-0005-0000-0000-0000CA630000}"/>
    <cellStyle name="표준 5 2 5 2 2 2 7 3" xfId="36369" xr:uid="{00000000-0005-0000-0000-0000CB630000}"/>
    <cellStyle name="표준 5 2 5 2 2 2 7 4" xfId="44562" xr:uid="{00000000-0005-0000-0000-0000CC630000}"/>
    <cellStyle name="표준 5 2 5 2 2 2 8" xfId="11564" xr:uid="{00000000-0005-0000-0000-0000CD630000}"/>
    <cellStyle name="표준 5 2 5 2 2 2 9" xfId="15804" xr:uid="{00000000-0005-0000-0000-0000CE630000}"/>
    <cellStyle name="표준 5 2 5 2 2 3" xfId="725" xr:uid="{00000000-0005-0000-0000-0000CF630000}"/>
    <cellStyle name="표준 5 2 5 2 2 3 10" xfId="24190" xr:uid="{00000000-0005-0000-0000-0000D0630000}"/>
    <cellStyle name="표준 5 2 5 2 2 3 11" xfId="32401" xr:uid="{00000000-0005-0000-0000-0000D1630000}"/>
    <cellStyle name="표준 5 2 5 2 2 3 12" xfId="40594" xr:uid="{00000000-0005-0000-0000-0000D2630000}"/>
    <cellStyle name="표준 5 2 5 2 2 3 2" xfId="1237" xr:uid="{00000000-0005-0000-0000-0000D3630000}"/>
    <cellStyle name="표준 5 2 5 2 2 3 2 2" xfId="10140" xr:uid="{00000000-0005-0000-0000-0000D4630000}"/>
    <cellStyle name="표준 5 2 5 2 2 3 2 2 2" xfId="14252" xr:uid="{00000000-0005-0000-0000-0000D5630000}"/>
    <cellStyle name="표준 5 2 5 2 2 3 2 2 2 2" xfId="30846" xr:uid="{00000000-0005-0000-0000-0000D6630000}"/>
    <cellStyle name="표준 5 2 5 2 2 3 2 2 2 3" xfId="39057" xr:uid="{00000000-0005-0000-0000-0000D7630000}"/>
    <cellStyle name="표준 5 2 5 2 2 3 2 2 2 4" xfId="47250" xr:uid="{00000000-0005-0000-0000-0000D8630000}"/>
    <cellStyle name="표준 5 2 5 2 2 3 2 2 3" xfId="18492" xr:uid="{00000000-0005-0000-0000-0000D9630000}"/>
    <cellStyle name="표준 5 2 5 2 2 3 2 2 4" xfId="22654" xr:uid="{00000000-0005-0000-0000-0000DA630000}"/>
    <cellStyle name="표준 5 2 5 2 2 3 2 2 5" xfId="26750" xr:uid="{00000000-0005-0000-0000-0000DB630000}"/>
    <cellStyle name="표준 5 2 5 2 2 3 2 2 6" xfId="34961" xr:uid="{00000000-0005-0000-0000-0000DC630000}"/>
    <cellStyle name="표준 5 2 5 2 2 3 2 2 7" xfId="43154" xr:uid="{00000000-0005-0000-0000-0000DD630000}"/>
    <cellStyle name="표준 5 2 5 2 2 3 2 3" xfId="8092" xr:uid="{00000000-0005-0000-0000-0000DE630000}"/>
    <cellStyle name="표준 5 2 5 2 2 3 2 3 2" xfId="28798" xr:uid="{00000000-0005-0000-0000-0000DF630000}"/>
    <cellStyle name="표준 5 2 5 2 2 3 2 3 3" xfId="37009" xr:uid="{00000000-0005-0000-0000-0000E0630000}"/>
    <cellStyle name="표준 5 2 5 2 2 3 2 3 4" xfId="45202" xr:uid="{00000000-0005-0000-0000-0000E1630000}"/>
    <cellStyle name="표준 5 2 5 2 2 3 2 4" xfId="12204" xr:uid="{00000000-0005-0000-0000-0000E2630000}"/>
    <cellStyle name="표준 5 2 5 2 2 3 2 5" xfId="16444" xr:uid="{00000000-0005-0000-0000-0000E3630000}"/>
    <cellStyle name="표준 5 2 5 2 2 3 2 6" xfId="20606" xr:uid="{00000000-0005-0000-0000-0000E4630000}"/>
    <cellStyle name="표준 5 2 5 2 2 3 2 7" xfId="24702" xr:uid="{00000000-0005-0000-0000-0000E5630000}"/>
    <cellStyle name="표준 5 2 5 2 2 3 2 8" xfId="32913" xr:uid="{00000000-0005-0000-0000-0000E6630000}"/>
    <cellStyle name="표준 5 2 5 2 2 3 2 9" xfId="41106" xr:uid="{00000000-0005-0000-0000-0000E7630000}"/>
    <cellStyle name="표준 5 2 5 2 2 3 3" xfId="1749" xr:uid="{00000000-0005-0000-0000-0000E8630000}"/>
    <cellStyle name="표준 5 2 5 2 2 3 3 2" xfId="10652" xr:uid="{00000000-0005-0000-0000-0000E9630000}"/>
    <cellStyle name="표준 5 2 5 2 2 3 3 2 2" xfId="14764" xr:uid="{00000000-0005-0000-0000-0000EA630000}"/>
    <cellStyle name="표준 5 2 5 2 2 3 3 2 2 2" xfId="31358" xr:uid="{00000000-0005-0000-0000-0000EB630000}"/>
    <cellStyle name="표준 5 2 5 2 2 3 3 2 2 3" xfId="39569" xr:uid="{00000000-0005-0000-0000-0000EC630000}"/>
    <cellStyle name="표준 5 2 5 2 2 3 3 2 2 4" xfId="47762" xr:uid="{00000000-0005-0000-0000-0000ED630000}"/>
    <cellStyle name="표준 5 2 5 2 2 3 3 2 3" xfId="19004" xr:uid="{00000000-0005-0000-0000-0000EE630000}"/>
    <cellStyle name="표준 5 2 5 2 2 3 3 2 4" xfId="23166" xr:uid="{00000000-0005-0000-0000-0000EF630000}"/>
    <cellStyle name="표준 5 2 5 2 2 3 3 2 5" xfId="27262" xr:uid="{00000000-0005-0000-0000-0000F0630000}"/>
    <cellStyle name="표준 5 2 5 2 2 3 3 2 6" xfId="35473" xr:uid="{00000000-0005-0000-0000-0000F1630000}"/>
    <cellStyle name="표준 5 2 5 2 2 3 3 2 7" xfId="43666" xr:uid="{00000000-0005-0000-0000-0000F2630000}"/>
    <cellStyle name="표준 5 2 5 2 2 3 3 3" xfId="8604" xr:uid="{00000000-0005-0000-0000-0000F3630000}"/>
    <cellStyle name="표준 5 2 5 2 2 3 3 3 2" xfId="29310" xr:uid="{00000000-0005-0000-0000-0000F4630000}"/>
    <cellStyle name="표준 5 2 5 2 2 3 3 3 3" xfId="37521" xr:uid="{00000000-0005-0000-0000-0000F5630000}"/>
    <cellStyle name="표준 5 2 5 2 2 3 3 3 4" xfId="45714" xr:uid="{00000000-0005-0000-0000-0000F6630000}"/>
    <cellStyle name="표준 5 2 5 2 2 3 3 4" xfId="12716" xr:uid="{00000000-0005-0000-0000-0000F7630000}"/>
    <cellStyle name="표준 5 2 5 2 2 3 3 5" xfId="16956" xr:uid="{00000000-0005-0000-0000-0000F8630000}"/>
    <cellStyle name="표준 5 2 5 2 2 3 3 6" xfId="21118" xr:uid="{00000000-0005-0000-0000-0000F9630000}"/>
    <cellStyle name="표준 5 2 5 2 2 3 3 7" xfId="25214" xr:uid="{00000000-0005-0000-0000-0000FA630000}"/>
    <cellStyle name="표준 5 2 5 2 2 3 3 8" xfId="33425" xr:uid="{00000000-0005-0000-0000-0000FB630000}"/>
    <cellStyle name="표준 5 2 5 2 2 3 3 9" xfId="41618" xr:uid="{00000000-0005-0000-0000-0000FC630000}"/>
    <cellStyle name="표준 5 2 5 2 2 3 4" xfId="2261" xr:uid="{00000000-0005-0000-0000-0000FD630000}"/>
    <cellStyle name="표준 5 2 5 2 2 3 4 2" xfId="11164" xr:uid="{00000000-0005-0000-0000-0000FE630000}"/>
    <cellStyle name="표준 5 2 5 2 2 3 4 2 2" xfId="15276" xr:uid="{00000000-0005-0000-0000-0000FF630000}"/>
    <cellStyle name="표준 5 2 5 2 2 3 4 2 2 2" xfId="31870" xr:uid="{00000000-0005-0000-0000-000000640000}"/>
    <cellStyle name="표준 5 2 5 2 2 3 4 2 2 3" xfId="40081" xr:uid="{00000000-0005-0000-0000-000001640000}"/>
    <cellStyle name="표준 5 2 5 2 2 3 4 2 2 4" xfId="48274" xr:uid="{00000000-0005-0000-0000-000002640000}"/>
    <cellStyle name="표준 5 2 5 2 2 3 4 2 3" xfId="19516" xr:uid="{00000000-0005-0000-0000-000003640000}"/>
    <cellStyle name="표준 5 2 5 2 2 3 4 2 4" xfId="23678" xr:uid="{00000000-0005-0000-0000-000004640000}"/>
    <cellStyle name="표준 5 2 5 2 2 3 4 2 5" xfId="27774" xr:uid="{00000000-0005-0000-0000-000005640000}"/>
    <cellStyle name="표준 5 2 5 2 2 3 4 2 6" xfId="35985" xr:uid="{00000000-0005-0000-0000-000006640000}"/>
    <cellStyle name="표준 5 2 5 2 2 3 4 2 7" xfId="44178" xr:uid="{00000000-0005-0000-0000-000007640000}"/>
    <cellStyle name="표준 5 2 5 2 2 3 4 3" xfId="9116" xr:uid="{00000000-0005-0000-0000-000008640000}"/>
    <cellStyle name="표준 5 2 5 2 2 3 4 3 2" xfId="29822" xr:uid="{00000000-0005-0000-0000-000009640000}"/>
    <cellStyle name="표준 5 2 5 2 2 3 4 3 3" xfId="38033" xr:uid="{00000000-0005-0000-0000-00000A640000}"/>
    <cellStyle name="표준 5 2 5 2 2 3 4 3 4" xfId="46226" xr:uid="{00000000-0005-0000-0000-00000B640000}"/>
    <cellStyle name="표준 5 2 5 2 2 3 4 4" xfId="13228" xr:uid="{00000000-0005-0000-0000-00000C640000}"/>
    <cellStyle name="표준 5 2 5 2 2 3 4 5" xfId="17468" xr:uid="{00000000-0005-0000-0000-00000D640000}"/>
    <cellStyle name="표준 5 2 5 2 2 3 4 6" xfId="21630" xr:uid="{00000000-0005-0000-0000-00000E640000}"/>
    <cellStyle name="표준 5 2 5 2 2 3 4 7" xfId="25726" xr:uid="{00000000-0005-0000-0000-00000F640000}"/>
    <cellStyle name="표준 5 2 5 2 2 3 4 8" xfId="33937" xr:uid="{00000000-0005-0000-0000-000010640000}"/>
    <cellStyle name="표준 5 2 5 2 2 3 4 9" xfId="42130" xr:uid="{00000000-0005-0000-0000-000011640000}"/>
    <cellStyle name="표준 5 2 5 2 2 3 5" xfId="9628" xr:uid="{00000000-0005-0000-0000-000012640000}"/>
    <cellStyle name="표준 5 2 5 2 2 3 5 2" xfId="13740" xr:uid="{00000000-0005-0000-0000-000013640000}"/>
    <cellStyle name="표준 5 2 5 2 2 3 5 2 2" xfId="30334" xr:uid="{00000000-0005-0000-0000-000014640000}"/>
    <cellStyle name="표준 5 2 5 2 2 3 5 2 3" xfId="38545" xr:uid="{00000000-0005-0000-0000-000015640000}"/>
    <cellStyle name="표준 5 2 5 2 2 3 5 2 4" xfId="46738" xr:uid="{00000000-0005-0000-0000-000016640000}"/>
    <cellStyle name="표준 5 2 5 2 2 3 5 3" xfId="17980" xr:uid="{00000000-0005-0000-0000-000017640000}"/>
    <cellStyle name="표준 5 2 5 2 2 3 5 4" xfId="22142" xr:uid="{00000000-0005-0000-0000-000018640000}"/>
    <cellStyle name="표준 5 2 5 2 2 3 5 5" xfId="26238" xr:uid="{00000000-0005-0000-0000-000019640000}"/>
    <cellStyle name="표준 5 2 5 2 2 3 5 6" xfId="34449" xr:uid="{00000000-0005-0000-0000-00001A640000}"/>
    <cellStyle name="표준 5 2 5 2 2 3 5 7" xfId="42642" xr:uid="{00000000-0005-0000-0000-00001B640000}"/>
    <cellStyle name="표준 5 2 5 2 2 3 6" xfId="7580" xr:uid="{00000000-0005-0000-0000-00001C640000}"/>
    <cellStyle name="표준 5 2 5 2 2 3 6 2" xfId="28286" xr:uid="{00000000-0005-0000-0000-00001D640000}"/>
    <cellStyle name="표준 5 2 5 2 2 3 6 3" xfId="36497" xr:uid="{00000000-0005-0000-0000-00001E640000}"/>
    <cellStyle name="표준 5 2 5 2 2 3 6 4" xfId="44690" xr:uid="{00000000-0005-0000-0000-00001F640000}"/>
    <cellStyle name="표준 5 2 5 2 2 3 7" xfId="11692" xr:uid="{00000000-0005-0000-0000-000020640000}"/>
    <cellStyle name="표준 5 2 5 2 2 3 8" xfId="15932" xr:uid="{00000000-0005-0000-0000-000021640000}"/>
    <cellStyle name="표준 5 2 5 2 2 3 9" xfId="20094" xr:uid="{00000000-0005-0000-0000-000022640000}"/>
    <cellStyle name="표준 5 2 5 2 2 4" xfId="981" xr:uid="{00000000-0005-0000-0000-000023640000}"/>
    <cellStyle name="표준 5 2 5 2 2 4 2" xfId="9884" xr:uid="{00000000-0005-0000-0000-000024640000}"/>
    <cellStyle name="표준 5 2 5 2 2 4 2 2" xfId="13996" xr:uid="{00000000-0005-0000-0000-000025640000}"/>
    <cellStyle name="표준 5 2 5 2 2 4 2 2 2" xfId="30590" xr:uid="{00000000-0005-0000-0000-000026640000}"/>
    <cellStyle name="표준 5 2 5 2 2 4 2 2 3" xfId="38801" xr:uid="{00000000-0005-0000-0000-000027640000}"/>
    <cellStyle name="표준 5 2 5 2 2 4 2 2 4" xfId="46994" xr:uid="{00000000-0005-0000-0000-000028640000}"/>
    <cellStyle name="표준 5 2 5 2 2 4 2 3" xfId="18236" xr:uid="{00000000-0005-0000-0000-000029640000}"/>
    <cellStyle name="표준 5 2 5 2 2 4 2 4" xfId="22398" xr:uid="{00000000-0005-0000-0000-00002A640000}"/>
    <cellStyle name="표준 5 2 5 2 2 4 2 5" xfId="26494" xr:uid="{00000000-0005-0000-0000-00002B640000}"/>
    <cellStyle name="표준 5 2 5 2 2 4 2 6" xfId="34705" xr:uid="{00000000-0005-0000-0000-00002C640000}"/>
    <cellStyle name="표준 5 2 5 2 2 4 2 7" xfId="42898" xr:uid="{00000000-0005-0000-0000-00002D640000}"/>
    <cellStyle name="표준 5 2 5 2 2 4 3" xfId="7836" xr:uid="{00000000-0005-0000-0000-00002E640000}"/>
    <cellStyle name="표준 5 2 5 2 2 4 3 2" xfId="28542" xr:uid="{00000000-0005-0000-0000-00002F640000}"/>
    <cellStyle name="표준 5 2 5 2 2 4 3 3" xfId="36753" xr:uid="{00000000-0005-0000-0000-000030640000}"/>
    <cellStyle name="표준 5 2 5 2 2 4 3 4" xfId="44946" xr:uid="{00000000-0005-0000-0000-000031640000}"/>
    <cellStyle name="표준 5 2 5 2 2 4 4" xfId="11948" xr:uid="{00000000-0005-0000-0000-000032640000}"/>
    <cellStyle name="표준 5 2 5 2 2 4 5" xfId="16188" xr:uid="{00000000-0005-0000-0000-000033640000}"/>
    <cellStyle name="표준 5 2 5 2 2 4 6" xfId="20350" xr:uid="{00000000-0005-0000-0000-000034640000}"/>
    <cellStyle name="표준 5 2 5 2 2 4 7" xfId="24446" xr:uid="{00000000-0005-0000-0000-000035640000}"/>
    <cellStyle name="표준 5 2 5 2 2 4 8" xfId="32657" xr:uid="{00000000-0005-0000-0000-000036640000}"/>
    <cellStyle name="표준 5 2 5 2 2 4 9" xfId="40850" xr:uid="{00000000-0005-0000-0000-000037640000}"/>
    <cellStyle name="표준 5 2 5 2 2 5" xfId="1493" xr:uid="{00000000-0005-0000-0000-000038640000}"/>
    <cellStyle name="표준 5 2 5 2 2 5 2" xfId="10396" xr:uid="{00000000-0005-0000-0000-000039640000}"/>
    <cellStyle name="표준 5 2 5 2 2 5 2 2" xfId="14508" xr:uid="{00000000-0005-0000-0000-00003A640000}"/>
    <cellStyle name="표준 5 2 5 2 2 5 2 2 2" xfId="31102" xr:uid="{00000000-0005-0000-0000-00003B640000}"/>
    <cellStyle name="표준 5 2 5 2 2 5 2 2 3" xfId="39313" xr:uid="{00000000-0005-0000-0000-00003C640000}"/>
    <cellStyle name="표준 5 2 5 2 2 5 2 2 4" xfId="47506" xr:uid="{00000000-0005-0000-0000-00003D640000}"/>
    <cellStyle name="표준 5 2 5 2 2 5 2 3" xfId="18748" xr:uid="{00000000-0005-0000-0000-00003E640000}"/>
    <cellStyle name="표준 5 2 5 2 2 5 2 4" xfId="22910" xr:uid="{00000000-0005-0000-0000-00003F640000}"/>
    <cellStyle name="표준 5 2 5 2 2 5 2 5" xfId="27006" xr:uid="{00000000-0005-0000-0000-000040640000}"/>
    <cellStyle name="표준 5 2 5 2 2 5 2 6" xfId="35217" xr:uid="{00000000-0005-0000-0000-000041640000}"/>
    <cellStyle name="표준 5 2 5 2 2 5 2 7" xfId="43410" xr:uid="{00000000-0005-0000-0000-000042640000}"/>
    <cellStyle name="표준 5 2 5 2 2 5 3" xfId="8348" xr:uid="{00000000-0005-0000-0000-000043640000}"/>
    <cellStyle name="표준 5 2 5 2 2 5 3 2" xfId="29054" xr:uid="{00000000-0005-0000-0000-000044640000}"/>
    <cellStyle name="표준 5 2 5 2 2 5 3 3" xfId="37265" xr:uid="{00000000-0005-0000-0000-000045640000}"/>
    <cellStyle name="표준 5 2 5 2 2 5 3 4" xfId="45458" xr:uid="{00000000-0005-0000-0000-000046640000}"/>
    <cellStyle name="표준 5 2 5 2 2 5 4" xfId="12460" xr:uid="{00000000-0005-0000-0000-000047640000}"/>
    <cellStyle name="표준 5 2 5 2 2 5 5" xfId="16700" xr:uid="{00000000-0005-0000-0000-000048640000}"/>
    <cellStyle name="표준 5 2 5 2 2 5 6" xfId="20862" xr:uid="{00000000-0005-0000-0000-000049640000}"/>
    <cellStyle name="표준 5 2 5 2 2 5 7" xfId="24958" xr:uid="{00000000-0005-0000-0000-00004A640000}"/>
    <cellStyle name="표준 5 2 5 2 2 5 8" xfId="33169" xr:uid="{00000000-0005-0000-0000-00004B640000}"/>
    <cellStyle name="표준 5 2 5 2 2 5 9" xfId="41362" xr:uid="{00000000-0005-0000-0000-00004C640000}"/>
    <cellStyle name="표준 5 2 5 2 2 6" xfId="2005" xr:uid="{00000000-0005-0000-0000-00004D640000}"/>
    <cellStyle name="표준 5 2 5 2 2 6 2" xfId="10908" xr:uid="{00000000-0005-0000-0000-00004E640000}"/>
    <cellStyle name="표준 5 2 5 2 2 6 2 2" xfId="15020" xr:uid="{00000000-0005-0000-0000-00004F640000}"/>
    <cellStyle name="표준 5 2 5 2 2 6 2 2 2" xfId="31614" xr:uid="{00000000-0005-0000-0000-000050640000}"/>
    <cellStyle name="표준 5 2 5 2 2 6 2 2 3" xfId="39825" xr:uid="{00000000-0005-0000-0000-000051640000}"/>
    <cellStyle name="표준 5 2 5 2 2 6 2 2 4" xfId="48018" xr:uid="{00000000-0005-0000-0000-000052640000}"/>
    <cellStyle name="표준 5 2 5 2 2 6 2 3" xfId="19260" xr:uid="{00000000-0005-0000-0000-000053640000}"/>
    <cellStyle name="표준 5 2 5 2 2 6 2 4" xfId="23422" xr:uid="{00000000-0005-0000-0000-000054640000}"/>
    <cellStyle name="표준 5 2 5 2 2 6 2 5" xfId="27518" xr:uid="{00000000-0005-0000-0000-000055640000}"/>
    <cellStyle name="표준 5 2 5 2 2 6 2 6" xfId="35729" xr:uid="{00000000-0005-0000-0000-000056640000}"/>
    <cellStyle name="표준 5 2 5 2 2 6 2 7" xfId="43922" xr:uid="{00000000-0005-0000-0000-000057640000}"/>
    <cellStyle name="표준 5 2 5 2 2 6 3" xfId="8860" xr:uid="{00000000-0005-0000-0000-000058640000}"/>
    <cellStyle name="표준 5 2 5 2 2 6 3 2" xfId="29566" xr:uid="{00000000-0005-0000-0000-000059640000}"/>
    <cellStyle name="표준 5 2 5 2 2 6 3 3" xfId="37777" xr:uid="{00000000-0005-0000-0000-00005A640000}"/>
    <cellStyle name="표준 5 2 5 2 2 6 3 4" xfId="45970" xr:uid="{00000000-0005-0000-0000-00005B640000}"/>
    <cellStyle name="표준 5 2 5 2 2 6 4" xfId="12972" xr:uid="{00000000-0005-0000-0000-00005C640000}"/>
    <cellStyle name="표준 5 2 5 2 2 6 5" xfId="17212" xr:uid="{00000000-0005-0000-0000-00005D640000}"/>
    <cellStyle name="표준 5 2 5 2 2 6 6" xfId="21374" xr:uid="{00000000-0005-0000-0000-00005E640000}"/>
    <cellStyle name="표준 5 2 5 2 2 6 7" xfId="25470" xr:uid="{00000000-0005-0000-0000-00005F640000}"/>
    <cellStyle name="표준 5 2 5 2 2 6 8" xfId="33681" xr:uid="{00000000-0005-0000-0000-000060640000}"/>
    <cellStyle name="표준 5 2 5 2 2 6 9" xfId="41874" xr:uid="{00000000-0005-0000-0000-000061640000}"/>
    <cellStyle name="표준 5 2 5 2 2 7" xfId="9372" xr:uid="{00000000-0005-0000-0000-000062640000}"/>
    <cellStyle name="표준 5 2 5 2 2 7 2" xfId="13484" xr:uid="{00000000-0005-0000-0000-000063640000}"/>
    <cellStyle name="표준 5 2 5 2 2 7 2 2" xfId="30078" xr:uid="{00000000-0005-0000-0000-000064640000}"/>
    <cellStyle name="표준 5 2 5 2 2 7 2 3" xfId="38289" xr:uid="{00000000-0005-0000-0000-000065640000}"/>
    <cellStyle name="표준 5 2 5 2 2 7 2 4" xfId="46482" xr:uid="{00000000-0005-0000-0000-000066640000}"/>
    <cellStyle name="표준 5 2 5 2 2 7 3" xfId="17724" xr:uid="{00000000-0005-0000-0000-000067640000}"/>
    <cellStyle name="표준 5 2 5 2 2 7 4" xfId="21886" xr:uid="{00000000-0005-0000-0000-000068640000}"/>
    <cellStyle name="표준 5 2 5 2 2 7 5" xfId="25982" xr:uid="{00000000-0005-0000-0000-000069640000}"/>
    <cellStyle name="표준 5 2 5 2 2 7 6" xfId="34193" xr:uid="{00000000-0005-0000-0000-00006A640000}"/>
    <cellStyle name="표준 5 2 5 2 2 7 7" xfId="42386" xr:uid="{00000000-0005-0000-0000-00006B640000}"/>
    <cellStyle name="표준 5 2 5 2 2 8" xfId="7324" xr:uid="{00000000-0005-0000-0000-00006C640000}"/>
    <cellStyle name="표준 5 2 5 2 2 8 2" xfId="28030" xr:uid="{00000000-0005-0000-0000-00006D640000}"/>
    <cellStyle name="표준 5 2 5 2 2 8 3" xfId="36241" xr:uid="{00000000-0005-0000-0000-00006E640000}"/>
    <cellStyle name="표준 5 2 5 2 2 8 4" xfId="44434" xr:uid="{00000000-0005-0000-0000-00006F640000}"/>
    <cellStyle name="표준 5 2 5 2 2 9" xfId="11436" xr:uid="{00000000-0005-0000-0000-000070640000}"/>
    <cellStyle name="표준 5 2 5 2 3" xfId="533" xr:uid="{00000000-0005-0000-0000-000071640000}"/>
    <cellStyle name="표준 5 2 5 2 3 10" xfId="19902" xr:uid="{00000000-0005-0000-0000-000072640000}"/>
    <cellStyle name="표준 5 2 5 2 3 11" xfId="23998" xr:uid="{00000000-0005-0000-0000-000073640000}"/>
    <cellStyle name="표준 5 2 5 2 3 12" xfId="32209" xr:uid="{00000000-0005-0000-0000-000074640000}"/>
    <cellStyle name="표준 5 2 5 2 3 13" xfId="40402" xr:uid="{00000000-0005-0000-0000-000075640000}"/>
    <cellStyle name="표준 5 2 5 2 3 2" xfId="789" xr:uid="{00000000-0005-0000-0000-000076640000}"/>
    <cellStyle name="표준 5 2 5 2 3 2 10" xfId="24254" xr:uid="{00000000-0005-0000-0000-000077640000}"/>
    <cellStyle name="표준 5 2 5 2 3 2 11" xfId="32465" xr:uid="{00000000-0005-0000-0000-000078640000}"/>
    <cellStyle name="표준 5 2 5 2 3 2 12" xfId="40658" xr:uid="{00000000-0005-0000-0000-000079640000}"/>
    <cellStyle name="표준 5 2 5 2 3 2 2" xfId="1301" xr:uid="{00000000-0005-0000-0000-00007A640000}"/>
    <cellStyle name="표준 5 2 5 2 3 2 2 2" xfId="10204" xr:uid="{00000000-0005-0000-0000-00007B640000}"/>
    <cellStyle name="표준 5 2 5 2 3 2 2 2 2" xfId="14316" xr:uid="{00000000-0005-0000-0000-00007C640000}"/>
    <cellStyle name="표준 5 2 5 2 3 2 2 2 2 2" xfId="30910" xr:uid="{00000000-0005-0000-0000-00007D640000}"/>
    <cellStyle name="표준 5 2 5 2 3 2 2 2 2 3" xfId="39121" xr:uid="{00000000-0005-0000-0000-00007E640000}"/>
    <cellStyle name="표준 5 2 5 2 3 2 2 2 2 4" xfId="47314" xr:uid="{00000000-0005-0000-0000-00007F640000}"/>
    <cellStyle name="표준 5 2 5 2 3 2 2 2 3" xfId="18556" xr:uid="{00000000-0005-0000-0000-000080640000}"/>
    <cellStyle name="표준 5 2 5 2 3 2 2 2 4" xfId="22718" xr:uid="{00000000-0005-0000-0000-000081640000}"/>
    <cellStyle name="표준 5 2 5 2 3 2 2 2 5" xfId="26814" xr:uid="{00000000-0005-0000-0000-000082640000}"/>
    <cellStyle name="표준 5 2 5 2 3 2 2 2 6" xfId="35025" xr:uid="{00000000-0005-0000-0000-000083640000}"/>
    <cellStyle name="표준 5 2 5 2 3 2 2 2 7" xfId="43218" xr:uid="{00000000-0005-0000-0000-000084640000}"/>
    <cellStyle name="표준 5 2 5 2 3 2 2 3" xfId="8156" xr:uid="{00000000-0005-0000-0000-000085640000}"/>
    <cellStyle name="표준 5 2 5 2 3 2 2 3 2" xfId="28862" xr:uid="{00000000-0005-0000-0000-000086640000}"/>
    <cellStyle name="표준 5 2 5 2 3 2 2 3 3" xfId="37073" xr:uid="{00000000-0005-0000-0000-000087640000}"/>
    <cellStyle name="표준 5 2 5 2 3 2 2 3 4" xfId="45266" xr:uid="{00000000-0005-0000-0000-000088640000}"/>
    <cellStyle name="표준 5 2 5 2 3 2 2 4" xfId="12268" xr:uid="{00000000-0005-0000-0000-000089640000}"/>
    <cellStyle name="표준 5 2 5 2 3 2 2 5" xfId="16508" xr:uid="{00000000-0005-0000-0000-00008A640000}"/>
    <cellStyle name="표준 5 2 5 2 3 2 2 6" xfId="20670" xr:uid="{00000000-0005-0000-0000-00008B640000}"/>
    <cellStyle name="표준 5 2 5 2 3 2 2 7" xfId="24766" xr:uid="{00000000-0005-0000-0000-00008C640000}"/>
    <cellStyle name="표준 5 2 5 2 3 2 2 8" xfId="32977" xr:uid="{00000000-0005-0000-0000-00008D640000}"/>
    <cellStyle name="표준 5 2 5 2 3 2 2 9" xfId="41170" xr:uid="{00000000-0005-0000-0000-00008E640000}"/>
    <cellStyle name="표준 5 2 5 2 3 2 3" xfId="1813" xr:uid="{00000000-0005-0000-0000-00008F640000}"/>
    <cellStyle name="표준 5 2 5 2 3 2 3 2" xfId="10716" xr:uid="{00000000-0005-0000-0000-000090640000}"/>
    <cellStyle name="표준 5 2 5 2 3 2 3 2 2" xfId="14828" xr:uid="{00000000-0005-0000-0000-000091640000}"/>
    <cellStyle name="표준 5 2 5 2 3 2 3 2 2 2" xfId="31422" xr:uid="{00000000-0005-0000-0000-000092640000}"/>
    <cellStyle name="표준 5 2 5 2 3 2 3 2 2 3" xfId="39633" xr:uid="{00000000-0005-0000-0000-000093640000}"/>
    <cellStyle name="표준 5 2 5 2 3 2 3 2 2 4" xfId="47826" xr:uid="{00000000-0005-0000-0000-000094640000}"/>
    <cellStyle name="표준 5 2 5 2 3 2 3 2 3" xfId="19068" xr:uid="{00000000-0005-0000-0000-000095640000}"/>
    <cellStyle name="표준 5 2 5 2 3 2 3 2 4" xfId="23230" xr:uid="{00000000-0005-0000-0000-000096640000}"/>
    <cellStyle name="표준 5 2 5 2 3 2 3 2 5" xfId="27326" xr:uid="{00000000-0005-0000-0000-000097640000}"/>
    <cellStyle name="표준 5 2 5 2 3 2 3 2 6" xfId="35537" xr:uid="{00000000-0005-0000-0000-000098640000}"/>
    <cellStyle name="표준 5 2 5 2 3 2 3 2 7" xfId="43730" xr:uid="{00000000-0005-0000-0000-000099640000}"/>
    <cellStyle name="표준 5 2 5 2 3 2 3 3" xfId="8668" xr:uid="{00000000-0005-0000-0000-00009A640000}"/>
    <cellStyle name="표준 5 2 5 2 3 2 3 3 2" xfId="29374" xr:uid="{00000000-0005-0000-0000-00009B640000}"/>
    <cellStyle name="표준 5 2 5 2 3 2 3 3 3" xfId="37585" xr:uid="{00000000-0005-0000-0000-00009C640000}"/>
    <cellStyle name="표준 5 2 5 2 3 2 3 3 4" xfId="45778" xr:uid="{00000000-0005-0000-0000-00009D640000}"/>
    <cellStyle name="표준 5 2 5 2 3 2 3 4" xfId="12780" xr:uid="{00000000-0005-0000-0000-00009E640000}"/>
    <cellStyle name="표준 5 2 5 2 3 2 3 5" xfId="17020" xr:uid="{00000000-0005-0000-0000-00009F640000}"/>
    <cellStyle name="표준 5 2 5 2 3 2 3 6" xfId="21182" xr:uid="{00000000-0005-0000-0000-0000A0640000}"/>
    <cellStyle name="표준 5 2 5 2 3 2 3 7" xfId="25278" xr:uid="{00000000-0005-0000-0000-0000A1640000}"/>
    <cellStyle name="표준 5 2 5 2 3 2 3 8" xfId="33489" xr:uid="{00000000-0005-0000-0000-0000A2640000}"/>
    <cellStyle name="표준 5 2 5 2 3 2 3 9" xfId="41682" xr:uid="{00000000-0005-0000-0000-0000A3640000}"/>
    <cellStyle name="표준 5 2 5 2 3 2 4" xfId="2325" xr:uid="{00000000-0005-0000-0000-0000A4640000}"/>
    <cellStyle name="표준 5 2 5 2 3 2 4 2" xfId="11228" xr:uid="{00000000-0005-0000-0000-0000A5640000}"/>
    <cellStyle name="표준 5 2 5 2 3 2 4 2 2" xfId="15340" xr:uid="{00000000-0005-0000-0000-0000A6640000}"/>
    <cellStyle name="표준 5 2 5 2 3 2 4 2 2 2" xfId="31934" xr:uid="{00000000-0005-0000-0000-0000A7640000}"/>
    <cellStyle name="표준 5 2 5 2 3 2 4 2 2 3" xfId="40145" xr:uid="{00000000-0005-0000-0000-0000A8640000}"/>
    <cellStyle name="표준 5 2 5 2 3 2 4 2 2 4" xfId="48338" xr:uid="{00000000-0005-0000-0000-0000A9640000}"/>
    <cellStyle name="표준 5 2 5 2 3 2 4 2 3" xfId="19580" xr:uid="{00000000-0005-0000-0000-0000AA640000}"/>
    <cellStyle name="표준 5 2 5 2 3 2 4 2 4" xfId="23742" xr:uid="{00000000-0005-0000-0000-0000AB640000}"/>
    <cellStyle name="표준 5 2 5 2 3 2 4 2 5" xfId="27838" xr:uid="{00000000-0005-0000-0000-0000AC640000}"/>
    <cellStyle name="표준 5 2 5 2 3 2 4 2 6" xfId="36049" xr:uid="{00000000-0005-0000-0000-0000AD640000}"/>
    <cellStyle name="표준 5 2 5 2 3 2 4 2 7" xfId="44242" xr:uid="{00000000-0005-0000-0000-0000AE640000}"/>
    <cellStyle name="표준 5 2 5 2 3 2 4 3" xfId="9180" xr:uid="{00000000-0005-0000-0000-0000AF640000}"/>
    <cellStyle name="표준 5 2 5 2 3 2 4 3 2" xfId="29886" xr:uid="{00000000-0005-0000-0000-0000B0640000}"/>
    <cellStyle name="표준 5 2 5 2 3 2 4 3 3" xfId="38097" xr:uid="{00000000-0005-0000-0000-0000B1640000}"/>
    <cellStyle name="표준 5 2 5 2 3 2 4 3 4" xfId="46290" xr:uid="{00000000-0005-0000-0000-0000B2640000}"/>
    <cellStyle name="표준 5 2 5 2 3 2 4 4" xfId="13292" xr:uid="{00000000-0005-0000-0000-0000B3640000}"/>
    <cellStyle name="표준 5 2 5 2 3 2 4 5" xfId="17532" xr:uid="{00000000-0005-0000-0000-0000B4640000}"/>
    <cellStyle name="표준 5 2 5 2 3 2 4 6" xfId="21694" xr:uid="{00000000-0005-0000-0000-0000B5640000}"/>
    <cellStyle name="표준 5 2 5 2 3 2 4 7" xfId="25790" xr:uid="{00000000-0005-0000-0000-0000B6640000}"/>
    <cellStyle name="표준 5 2 5 2 3 2 4 8" xfId="34001" xr:uid="{00000000-0005-0000-0000-0000B7640000}"/>
    <cellStyle name="표준 5 2 5 2 3 2 4 9" xfId="42194" xr:uid="{00000000-0005-0000-0000-0000B8640000}"/>
    <cellStyle name="표준 5 2 5 2 3 2 5" xfId="9692" xr:uid="{00000000-0005-0000-0000-0000B9640000}"/>
    <cellStyle name="표준 5 2 5 2 3 2 5 2" xfId="13804" xr:uid="{00000000-0005-0000-0000-0000BA640000}"/>
    <cellStyle name="표준 5 2 5 2 3 2 5 2 2" xfId="30398" xr:uid="{00000000-0005-0000-0000-0000BB640000}"/>
    <cellStyle name="표준 5 2 5 2 3 2 5 2 3" xfId="38609" xr:uid="{00000000-0005-0000-0000-0000BC640000}"/>
    <cellStyle name="표준 5 2 5 2 3 2 5 2 4" xfId="46802" xr:uid="{00000000-0005-0000-0000-0000BD640000}"/>
    <cellStyle name="표준 5 2 5 2 3 2 5 3" xfId="18044" xr:uid="{00000000-0005-0000-0000-0000BE640000}"/>
    <cellStyle name="표준 5 2 5 2 3 2 5 4" xfId="22206" xr:uid="{00000000-0005-0000-0000-0000BF640000}"/>
    <cellStyle name="표준 5 2 5 2 3 2 5 5" xfId="26302" xr:uid="{00000000-0005-0000-0000-0000C0640000}"/>
    <cellStyle name="표준 5 2 5 2 3 2 5 6" xfId="34513" xr:uid="{00000000-0005-0000-0000-0000C1640000}"/>
    <cellStyle name="표준 5 2 5 2 3 2 5 7" xfId="42706" xr:uid="{00000000-0005-0000-0000-0000C2640000}"/>
    <cellStyle name="표준 5 2 5 2 3 2 6" xfId="7644" xr:uid="{00000000-0005-0000-0000-0000C3640000}"/>
    <cellStyle name="표준 5 2 5 2 3 2 6 2" xfId="28350" xr:uid="{00000000-0005-0000-0000-0000C4640000}"/>
    <cellStyle name="표준 5 2 5 2 3 2 6 3" xfId="36561" xr:uid="{00000000-0005-0000-0000-0000C5640000}"/>
    <cellStyle name="표준 5 2 5 2 3 2 6 4" xfId="44754" xr:uid="{00000000-0005-0000-0000-0000C6640000}"/>
    <cellStyle name="표준 5 2 5 2 3 2 7" xfId="11756" xr:uid="{00000000-0005-0000-0000-0000C7640000}"/>
    <cellStyle name="표준 5 2 5 2 3 2 8" xfId="15996" xr:uid="{00000000-0005-0000-0000-0000C8640000}"/>
    <cellStyle name="표준 5 2 5 2 3 2 9" xfId="20158" xr:uid="{00000000-0005-0000-0000-0000C9640000}"/>
    <cellStyle name="표준 5 2 5 2 3 3" xfId="1045" xr:uid="{00000000-0005-0000-0000-0000CA640000}"/>
    <cellStyle name="표준 5 2 5 2 3 3 2" xfId="9948" xr:uid="{00000000-0005-0000-0000-0000CB640000}"/>
    <cellStyle name="표준 5 2 5 2 3 3 2 2" xfId="14060" xr:uid="{00000000-0005-0000-0000-0000CC640000}"/>
    <cellStyle name="표준 5 2 5 2 3 3 2 2 2" xfId="30654" xr:uid="{00000000-0005-0000-0000-0000CD640000}"/>
    <cellStyle name="표준 5 2 5 2 3 3 2 2 3" xfId="38865" xr:uid="{00000000-0005-0000-0000-0000CE640000}"/>
    <cellStyle name="표준 5 2 5 2 3 3 2 2 4" xfId="47058" xr:uid="{00000000-0005-0000-0000-0000CF640000}"/>
    <cellStyle name="표준 5 2 5 2 3 3 2 3" xfId="18300" xr:uid="{00000000-0005-0000-0000-0000D0640000}"/>
    <cellStyle name="표준 5 2 5 2 3 3 2 4" xfId="22462" xr:uid="{00000000-0005-0000-0000-0000D1640000}"/>
    <cellStyle name="표준 5 2 5 2 3 3 2 5" xfId="26558" xr:uid="{00000000-0005-0000-0000-0000D2640000}"/>
    <cellStyle name="표준 5 2 5 2 3 3 2 6" xfId="34769" xr:uid="{00000000-0005-0000-0000-0000D3640000}"/>
    <cellStyle name="표준 5 2 5 2 3 3 2 7" xfId="42962" xr:uid="{00000000-0005-0000-0000-0000D4640000}"/>
    <cellStyle name="표준 5 2 5 2 3 3 3" xfId="7900" xr:uid="{00000000-0005-0000-0000-0000D5640000}"/>
    <cellStyle name="표준 5 2 5 2 3 3 3 2" xfId="28606" xr:uid="{00000000-0005-0000-0000-0000D6640000}"/>
    <cellStyle name="표준 5 2 5 2 3 3 3 3" xfId="36817" xr:uid="{00000000-0005-0000-0000-0000D7640000}"/>
    <cellStyle name="표준 5 2 5 2 3 3 3 4" xfId="45010" xr:uid="{00000000-0005-0000-0000-0000D8640000}"/>
    <cellStyle name="표준 5 2 5 2 3 3 4" xfId="12012" xr:uid="{00000000-0005-0000-0000-0000D9640000}"/>
    <cellStyle name="표준 5 2 5 2 3 3 5" xfId="16252" xr:uid="{00000000-0005-0000-0000-0000DA640000}"/>
    <cellStyle name="표준 5 2 5 2 3 3 6" xfId="20414" xr:uid="{00000000-0005-0000-0000-0000DB640000}"/>
    <cellStyle name="표준 5 2 5 2 3 3 7" xfId="24510" xr:uid="{00000000-0005-0000-0000-0000DC640000}"/>
    <cellStyle name="표준 5 2 5 2 3 3 8" xfId="32721" xr:uid="{00000000-0005-0000-0000-0000DD640000}"/>
    <cellStyle name="표준 5 2 5 2 3 3 9" xfId="40914" xr:uid="{00000000-0005-0000-0000-0000DE640000}"/>
    <cellStyle name="표준 5 2 5 2 3 4" xfId="1557" xr:uid="{00000000-0005-0000-0000-0000DF640000}"/>
    <cellStyle name="표준 5 2 5 2 3 4 2" xfId="10460" xr:uid="{00000000-0005-0000-0000-0000E0640000}"/>
    <cellStyle name="표준 5 2 5 2 3 4 2 2" xfId="14572" xr:uid="{00000000-0005-0000-0000-0000E1640000}"/>
    <cellStyle name="표준 5 2 5 2 3 4 2 2 2" xfId="31166" xr:uid="{00000000-0005-0000-0000-0000E2640000}"/>
    <cellStyle name="표준 5 2 5 2 3 4 2 2 3" xfId="39377" xr:uid="{00000000-0005-0000-0000-0000E3640000}"/>
    <cellStyle name="표준 5 2 5 2 3 4 2 2 4" xfId="47570" xr:uid="{00000000-0005-0000-0000-0000E4640000}"/>
    <cellStyle name="표준 5 2 5 2 3 4 2 3" xfId="18812" xr:uid="{00000000-0005-0000-0000-0000E5640000}"/>
    <cellStyle name="표준 5 2 5 2 3 4 2 4" xfId="22974" xr:uid="{00000000-0005-0000-0000-0000E6640000}"/>
    <cellStyle name="표준 5 2 5 2 3 4 2 5" xfId="27070" xr:uid="{00000000-0005-0000-0000-0000E7640000}"/>
    <cellStyle name="표준 5 2 5 2 3 4 2 6" xfId="35281" xr:uid="{00000000-0005-0000-0000-0000E8640000}"/>
    <cellStyle name="표준 5 2 5 2 3 4 2 7" xfId="43474" xr:uid="{00000000-0005-0000-0000-0000E9640000}"/>
    <cellStyle name="표준 5 2 5 2 3 4 3" xfId="8412" xr:uid="{00000000-0005-0000-0000-0000EA640000}"/>
    <cellStyle name="표준 5 2 5 2 3 4 3 2" xfId="29118" xr:uid="{00000000-0005-0000-0000-0000EB640000}"/>
    <cellStyle name="표준 5 2 5 2 3 4 3 3" xfId="37329" xr:uid="{00000000-0005-0000-0000-0000EC640000}"/>
    <cellStyle name="표준 5 2 5 2 3 4 3 4" xfId="45522" xr:uid="{00000000-0005-0000-0000-0000ED640000}"/>
    <cellStyle name="표준 5 2 5 2 3 4 4" xfId="12524" xr:uid="{00000000-0005-0000-0000-0000EE640000}"/>
    <cellStyle name="표준 5 2 5 2 3 4 5" xfId="16764" xr:uid="{00000000-0005-0000-0000-0000EF640000}"/>
    <cellStyle name="표준 5 2 5 2 3 4 6" xfId="20926" xr:uid="{00000000-0005-0000-0000-0000F0640000}"/>
    <cellStyle name="표준 5 2 5 2 3 4 7" xfId="25022" xr:uid="{00000000-0005-0000-0000-0000F1640000}"/>
    <cellStyle name="표준 5 2 5 2 3 4 8" xfId="33233" xr:uid="{00000000-0005-0000-0000-0000F2640000}"/>
    <cellStyle name="표준 5 2 5 2 3 4 9" xfId="41426" xr:uid="{00000000-0005-0000-0000-0000F3640000}"/>
    <cellStyle name="표준 5 2 5 2 3 5" xfId="2069" xr:uid="{00000000-0005-0000-0000-0000F4640000}"/>
    <cellStyle name="표준 5 2 5 2 3 5 2" xfId="10972" xr:uid="{00000000-0005-0000-0000-0000F5640000}"/>
    <cellStyle name="표준 5 2 5 2 3 5 2 2" xfId="15084" xr:uid="{00000000-0005-0000-0000-0000F6640000}"/>
    <cellStyle name="표준 5 2 5 2 3 5 2 2 2" xfId="31678" xr:uid="{00000000-0005-0000-0000-0000F7640000}"/>
    <cellStyle name="표준 5 2 5 2 3 5 2 2 3" xfId="39889" xr:uid="{00000000-0005-0000-0000-0000F8640000}"/>
    <cellStyle name="표준 5 2 5 2 3 5 2 2 4" xfId="48082" xr:uid="{00000000-0005-0000-0000-0000F9640000}"/>
    <cellStyle name="표준 5 2 5 2 3 5 2 3" xfId="19324" xr:uid="{00000000-0005-0000-0000-0000FA640000}"/>
    <cellStyle name="표준 5 2 5 2 3 5 2 4" xfId="23486" xr:uid="{00000000-0005-0000-0000-0000FB640000}"/>
    <cellStyle name="표준 5 2 5 2 3 5 2 5" xfId="27582" xr:uid="{00000000-0005-0000-0000-0000FC640000}"/>
    <cellStyle name="표준 5 2 5 2 3 5 2 6" xfId="35793" xr:uid="{00000000-0005-0000-0000-0000FD640000}"/>
    <cellStyle name="표준 5 2 5 2 3 5 2 7" xfId="43986" xr:uid="{00000000-0005-0000-0000-0000FE640000}"/>
    <cellStyle name="표준 5 2 5 2 3 5 3" xfId="8924" xr:uid="{00000000-0005-0000-0000-0000FF640000}"/>
    <cellStyle name="표준 5 2 5 2 3 5 3 2" xfId="29630" xr:uid="{00000000-0005-0000-0000-000000650000}"/>
    <cellStyle name="표준 5 2 5 2 3 5 3 3" xfId="37841" xr:uid="{00000000-0005-0000-0000-000001650000}"/>
    <cellStyle name="표준 5 2 5 2 3 5 3 4" xfId="46034" xr:uid="{00000000-0005-0000-0000-000002650000}"/>
    <cellStyle name="표준 5 2 5 2 3 5 4" xfId="13036" xr:uid="{00000000-0005-0000-0000-000003650000}"/>
    <cellStyle name="표준 5 2 5 2 3 5 5" xfId="17276" xr:uid="{00000000-0005-0000-0000-000004650000}"/>
    <cellStyle name="표준 5 2 5 2 3 5 6" xfId="21438" xr:uid="{00000000-0005-0000-0000-000005650000}"/>
    <cellStyle name="표준 5 2 5 2 3 5 7" xfId="25534" xr:uid="{00000000-0005-0000-0000-000006650000}"/>
    <cellStyle name="표준 5 2 5 2 3 5 8" xfId="33745" xr:uid="{00000000-0005-0000-0000-000007650000}"/>
    <cellStyle name="표준 5 2 5 2 3 5 9" xfId="41938" xr:uid="{00000000-0005-0000-0000-000008650000}"/>
    <cellStyle name="표준 5 2 5 2 3 6" xfId="9436" xr:uid="{00000000-0005-0000-0000-000009650000}"/>
    <cellStyle name="표준 5 2 5 2 3 6 2" xfId="13548" xr:uid="{00000000-0005-0000-0000-00000A650000}"/>
    <cellStyle name="표준 5 2 5 2 3 6 2 2" xfId="30142" xr:uid="{00000000-0005-0000-0000-00000B650000}"/>
    <cellStyle name="표준 5 2 5 2 3 6 2 3" xfId="38353" xr:uid="{00000000-0005-0000-0000-00000C650000}"/>
    <cellStyle name="표준 5 2 5 2 3 6 2 4" xfId="46546" xr:uid="{00000000-0005-0000-0000-00000D650000}"/>
    <cellStyle name="표준 5 2 5 2 3 6 3" xfId="17788" xr:uid="{00000000-0005-0000-0000-00000E650000}"/>
    <cellStyle name="표준 5 2 5 2 3 6 4" xfId="21950" xr:uid="{00000000-0005-0000-0000-00000F650000}"/>
    <cellStyle name="표준 5 2 5 2 3 6 5" xfId="26046" xr:uid="{00000000-0005-0000-0000-000010650000}"/>
    <cellStyle name="표준 5 2 5 2 3 6 6" xfId="34257" xr:uid="{00000000-0005-0000-0000-000011650000}"/>
    <cellStyle name="표준 5 2 5 2 3 6 7" xfId="42450" xr:uid="{00000000-0005-0000-0000-000012650000}"/>
    <cellStyle name="표준 5 2 5 2 3 7" xfId="7388" xr:uid="{00000000-0005-0000-0000-000013650000}"/>
    <cellStyle name="표준 5 2 5 2 3 7 2" xfId="28094" xr:uid="{00000000-0005-0000-0000-000014650000}"/>
    <cellStyle name="표준 5 2 5 2 3 7 3" xfId="36305" xr:uid="{00000000-0005-0000-0000-000015650000}"/>
    <cellStyle name="표준 5 2 5 2 3 7 4" xfId="44498" xr:uid="{00000000-0005-0000-0000-000016650000}"/>
    <cellStyle name="표준 5 2 5 2 3 8" xfId="11500" xr:uid="{00000000-0005-0000-0000-000017650000}"/>
    <cellStyle name="표준 5 2 5 2 3 9" xfId="15740" xr:uid="{00000000-0005-0000-0000-000018650000}"/>
    <cellStyle name="표준 5 2 5 2 4" xfId="661" xr:uid="{00000000-0005-0000-0000-000019650000}"/>
    <cellStyle name="표준 5 2 5 2 4 10" xfId="24126" xr:uid="{00000000-0005-0000-0000-00001A650000}"/>
    <cellStyle name="표준 5 2 5 2 4 11" xfId="32337" xr:uid="{00000000-0005-0000-0000-00001B650000}"/>
    <cellStyle name="표준 5 2 5 2 4 12" xfId="40530" xr:uid="{00000000-0005-0000-0000-00001C650000}"/>
    <cellStyle name="표준 5 2 5 2 4 2" xfId="1173" xr:uid="{00000000-0005-0000-0000-00001D650000}"/>
    <cellStyle name="표준 5 2 5 2 4 2 2" xfId="10076" xr:uid="{00000000-0005-0000-0000-00001E650000}"/>
    <cellStyle name="표준 5 2 5 2 4 2 2 2" xfId="14188" xr:uid="{00000000-0005-0000-0000-00001F650000}"/>
    <cellStyle name="표준 5 2 5 2 4 2 2 2 2" xfId="30782" xr:uid="{00000000-0005-0000-0000-000020650000}"/>
    <cellStyle name="표준 5 2 5 2 4 2 2 2 3" xfId="38993" xr:uid="{00000000-0005-0000-0000-000021650000}"/>
    <cellStyle name="표준 5 2 5 2 4 2 2 2 4" xfId="47186" xr:uid="{00000000-0005-0000-0000-000022650000}"/>
    <cellStyle name="표준 5 2 5 2 4 2 2 3" xfId="18428" xr:uid="{00000000-0005-0000-0000-000023650000}"/>
    <cellStyle name="표준 5 2 5 2 4 2 2 4" xfId="22590" xr:uid="{00000000-0005-0000-0000-000024650000}"/>
    <cellStyle name="표준 5 2 5 2 4 2 2 5" xfId="26686" xr:uid="{00000000-0005-0000-0000-000025650000}"/>
    <cellStyle name="표준 5 2 5 2 4 2 2 6" xfId="34897" xr:uid="{00000000-0005-0000-0000-000026650000}"/>
    <cellStyle name="표준 5 2 5 2 4 2 2 7" xfId="43090" xr:uid="{00000000-0005-0000-0000-000027650000}"/>
    <cellStyle name="표준 5 2 5 2 4 2 3" xfId="8028" xr:uid="{00000000-0005-0000-0000-000028650000}"/>
    <cellStyle name="표준 5 2 5 2 4 2 3 2" xfId="28734" xr:uid="{00000000-0005-0000-0000-000029650000}"/>
    <cellStyle name="표준 5 2 5 2 4 2 3 3" xfId="36945" xr:uid="{00000000-0005-0000-0000-00002A650000}"/>
    <cellStyle name="표준 5 2 5 2 4 2 3 4" xfId="45138" xr:uid="{00000000-0005-0000-0000-00002B650000}"/>
    <cellStyle name="표준 5 2 5 2 4 2 4" xfId="12140" xr:uid="{00000000-0005-0000-0000-00002C650000}"/>
    <cellStyle name="표준 5 2 5 2 4 2 5" xfId="16380" xr:uid="{00000000-0005-0000-0000-00002D650000}"/>
    <cellStyle name="표준 5 2 5 2 4 2 6" xfId="20542" xr:uid="{00000000-0005-0000-0000-00002E650000}"/>
    <cellStyle name="표준 5 2 5 2 4 2 7" xfId="24638" xr:uid="{00000000-0005-0000-0000-00002F650000}"/>
    <cellStyle name="표준 5 2 5 2 4 2 8" xfId="32849" xr:uid="{00000000-0005-0000-0000-000030650000}"/>
    <cellStyle name="표준 5 2 5 2 4 2 9" xfId="41042" xr:uid="{00000000-0005-0000-0000-000031650000}"/>
    <cellStyle name="표준 5 2 5 2 4 3" xfId="1685" xr:uid="{00000000-0005-0000-0000-000032650000}"/>
    <cellStyle name="표준 5 2 5 2 4 3 2" xfId="10588" xr:uid="{00000000-0005-0000-0000-000033650000}"/>
    <cellStyle name="표준 5 2 5 2 4 3 2 2" xfId="14700" xr:uid="{00000000-0005-0000-0000-000034650000}"/>
    <cellStyle name="표준 5 2 5 2 4 3 2 2 2" xfId="31294" xr:uid="{00000000-0005-0000-0000-000035650000}"/>
    <cellStyle name="표준 5 2 5 2 4 3 2 2 3" xfId="39505" xr:uid="{00000000-0005-0000-0000-000036650000}"/>
    <cellStyle name="표준 5 2 5 2 4 3 2 2 4" xfId="47698" xr:uid="{00000000-0005-0000-0000-000037650000}"/>
    <cellStyle name="표준 5 2 5 2 4 3 2 3" xfId="18940" xr:uid="{00000000-0005-0000-0000-000038650000}"/>
    <cellStyle name="표준 5 2 5 2 4 3 2 4" xfId="23102" xr:uid="{00000000-0005-0000-0000-000039650000}"/>
    <cellStyle name="표준 5 2 5 2 4 3 2 5" xfId="27198" xr:uid="{00000000-0005-0000-0000-00003A650000}"/>
    <cellStyle name="표준 5 2 5 2 4 3 2 6" xfId="35409" xr:uid="{00000000-0005-0000-0000-00003B650000}"/>
    <cellStyle name="표준 5 2 5 2 4 3 2 7" xfId="43602" xr:uid="{00000000-0005-0000-0000-00003C650000}"/>
    <cellStyle name="표준 5 2 5 2 4 3 3" xfId="8540" xr:uid="{00000000-0005-0000-0000-00003D650000}"/>
    <cellStyle name="표준 5 2 5 2 4 3 3 2" xfId="29246" xr:uid="{00000000-0005-0000-0000-00003E650000}"/>
    <cellStyle name="표준 5 2 5 2 4 3 3 3" xfId="37457" xr:uid="{00000000-0005-0000-0000-00003F650000}"/>
    <cellStyle name="표준 5 2 5 2 4 3 3 4" xfId="45650" xr:uid="{00000000-0005-0000-0000-000040650000}"/>
    <cellStyle name="표준 5 2 5 2 4 3 4" xfId="12652" xr:uid="{00000000-0005-0000-0000-000041650000}"/>
    <cellStyle name="표준 5 2 5 2 4 3 5" xfId="16892" xr:uid="{00000000-0005-0000-0000-000042650000}"/>
    <cellStyle name="표준 5 2 5 2 4 3 6" xfId="21054" xr:uid="{00000000-0005-0000-0000-000043650000}"/>
    <cellStyle name="표준 5 2 5 2 4 3 7" xfId="25150" xr:uid="{00000000-0005-0000-0000-000044650000}"/>
    <cellStyle name="표준 5 2 5 2 4 3 8" xfId="33361" xr:uid="{00000000-0005-0000-0000-000045650000}"/>
    <cellStyle name="표준 5 2 5 2 4 3 9" xfId="41554" xr:uid="{00000000-0005-0000-0000-000046650000}"/>
    <cellStyle name="표준 5 2 5 2 4 4" xfId="2197" xr:uid="{00000000-0005-0000-0000-000047650000}"/>
    <cellStyle name="표준 5 2 5 2 4 4 2" xfId="11100" xr:uid="{00000000-0005-0000-0000-000048650000}"/>
    <cellStyle name="표준 5 2 5 2 4 4 2 2" xfId="15212" xr:uid="{00000000-0005-0000-0000-000049650000}"/>
    <cellStyle name="표준 5 2 5 2 4 4 2 2 2" xfId="31806" xr:uid="{00000000-0005-0000-0000-00004A650000}"/>
    <cellStyle name="표준 5 2 5 2 4 4 2 2 3" xfId="40017" xr:uid="{00000000-0005-0000-0000-00004B650000}"/>
    <cellStyle name="표준 5 2 5 2 4 4 2 2 4" xfId="48210" xr:uid="{00000000-0005-0000-0000-00004C650000}"/>
    <cellStyle name="표준 5 2 5 2 4 4 2 3" xfId="19452" xr:uid="{00000000-0005-0000-0000-00004D650000}"/>
    <cellStyle name="표준 5 2 5 2 4 4 2 4" xfId="23614" xr:uid="{00000000-0005-0000-0000-00004E650000}"/>
    <cellStyle name="표준 5 2 5 2 4 4 2 5" xfId="27710" xr:uid="{00000000-0005-0000-0000-00004F650000}"/>
    <cellStyle name="표준 5 2 5 2 4 4 2 6" xfId="35921" xr:uid="{00000000-0005-0000-0000-000050650000}"/>
    <cellStyle name="표준 5 2 5 2 4 4 2 7" xfId="44114" xr:uid="{00000000-0005-0000-0000-000051650000}"/>
    <cellStyle name="표준 5 2 5 2 4 4 3" xfId="9052" xr:uid="{00000000-0005-0000-0000-000052650000}"/>
    <cellStyle name="표준 5 2 5 2 4 4 3 2" xfId="29758" xr:uid="{00000000-0005-0000-0000-000053650000}"/>
    <cellStyle name="표준 5 2 5 2 4 4 3 3" xfId="37969" xr:uid="{00000000-0005-0000-0000-000054650000}"/>
    <cellStyle name="표준 5 2 5 2 4 4 3 4" xfId="46162" xr:uid="{00000000-0005-0000-0000-000055650000}"/>
    <cellStyle name="표준 5 2 5 2 4 4 4" xfId="13164" xr:uid="{00000000-0005-0000-0000-000056650000}"/>
    <cellStyle name="표준 5 2 5 2 4 4 5" xfId="17404" xr:uid="{00000000-0005-0000-0000-000057650000}"/>
    <cellStyle name="표준 5 2 5 2 4 4 6" xfId="21566" xr:uid="{00000000-0005-0000-0000-000058650000}"/>
    <cellStyle name="표준 5 2 5 2 4 4 7" xfId="25662" xr:uid="{00000000-0005-0000-0000-000059650000}"/>
    <cellStyle name="표준 5 2 5 2 4 4 8" xfId="33873" xr:uid="{00000000-0005-0000-0000-00005A650000}"/>
    <cellStyle name="표준 5 2 5 2 4 4 9" xfId="42066" xr:uid="{00000000-0005-0000-0000-00005B650000}"/>
    <cellStyle name="표준 5 2 5 2 4 5" xfId="9564" xr:uid="{00000000-0005-0000-0000-00005C650000}"/>
    <cellStyle name="표준 5 2 5 2 4 5 2" xfId="13676" xr:uid="{00000000-0005-0000-0000-00005D650000}"/>
    <cellStyle name="표준 5 2 5 2 4 5 2 2" xfId="30270" xr:uid="{00000000-0005-0000-0000-00005E650000}"/>
    <cellStyle name="표준 5 2 5 2 4 5 2 3" xfId="38481" xr:uid="{00000000-0005-0000-0000-00005F650000}"/>
    <cellStyle name="표준 5 2 5 2 4 5 2 4" xfId="46674" xr:uid="{00000000-0005-0000-0000-000060650000}"/>
    <cellStyle name="표준 5 2 5 2 4 5 3" xfId="17916" xr:uid="{00000000-0005-0000-0000-000061650000}"/>
    <cellStyle name="표준 5 2 5 2 4 5 4" xfId="22078" xr:uid="{00000000-0005-0000-0000-000062650000}"/>
    <cellStyle name="표준 5 2 5 2 4 5 5" xfId="26174" xr:uid="{00000000-0005-0000-0000-000063650000}"/>
    <cellStyle name="표준 5 2 5 2 4 5 6" xfId="34385" xr:uid="{00000000-0005-0000-0000-000064650000}"/>
    <cellStyle name="표준 5 2 5 2 4 5 7" xfId="42578" xr:uid="{00000000-0005-0000-0000-000065650000}"/>
    <cellStyle name="표준 5 2 5 2 4 6" xfId="7516" xr:uid="{00000000-0005-0000-0000-000066650000}"/>
    <cellStyle name="표준 5 2 5 2 4 6 2" xfId="28222" xr:uid="{00000000-0005-0000-0000-000067650000}"/>
    <cellStyle name="표준 5 2 5 2 4 6 3" xfId="36433" xr:uid="{00000000-0005-0000-0000-000068650000}"/>
    <cellStyle name="표준 5 2 5 2 4 6 4" xfId="44626" xr:uid="{00000000-0005-0000-0000-000069650000}"/>
    <cellStyle name="표준 5 2 5 2 4 7" xfId="11628" xr:uid="{00000000-0005-0000-0000-00006A650000}"/>
    <cellStyle name="표준 5 2 5 2 4 8" xfId="15868" xr:uid="{00000000-0005-0000-0000-00006B650000}"/>
    <cellStyle name="표준 5 2 5 2 4 9" xfId="20030" xr:uid="{00000000-0005-0000-0000-00006C650000}"/>
    <cellStyle name="표준 5 2 5 2 5" xfId="917" xr:uid="{00000000-0005-0000-0000-00006D650000}"/>
    <cellStyle name="표준 5 2 5 2 5 2" xfId="9820" xr:uid="{00000000-0005-0000-0000-00006E650000}"/>
    <cellStyle name="표준 5 2 5 2 5 2 2" xfId="13932" xr:uid="{00000000-0005-0000-0000-00006F650000}"/>
    <cellStyle name="표준 5 2 5 2 5 2 2 2" xfId="30526" xr:uid="{00000000-0005-0000-0000-000070650000}"/>
    <cellStyle name="표준 5 2 5 2 5 2 2 3" xfId="38737" xr:uid="{00000000-0005-0000-0000-000071650000}"/>
    <cellStyle name="표준 5 2 5 2 5 2 2 4" xfId="46930" xr:uid="{00000000-0005-0000-0000-000072650000}"/>
    <cellStyle name="표준 5 2 5 2 5 2 3" xfId="18172" xr:uid="{00000000-0005-0000-0000-000073650000}"/>
    <cellStyle name="표준 5 2 5 2 5 2 4" xfId="22334" xr:uid="{00000000-0005-0000-0000-000074650000}"/>
    <cellStyle name="표준 5 2 5 2 5 2 5" xfId="26430" xr:uid="{00000000-0005-0000-0000-000075650000}"/>
    <cellStyle name="표준 5 2 5 2 5 2 6" xfId="34641" xr:uid="{00000000-0005-0000-0000-000076650000}"/>
    <cellStyle name="표준 5 2 5 2 5 2 7" xfId="42834" xr:uid="{00000000-0005-0000-0000-000077650000}"/>
    <cellStyle name="표준 5 2 5 2 5 3" xfId="7772" xr:uid="{00000000-0005-0000-0000-000078650000}"/>
    <cellStyle name="표준 5 2 5 2 5 3 2" xfId="28478" xr:uid="{00000000-0005-0000-0000-000079650000}"/>
    <cellStyle name="표준 5 2 5 2 5 3 3" xfId="36689" xr:uid="{00000000-0005-0000-0000-00007A650000}"/>
    <cellStyle name="표준 5 2 5 2 5 3 4" xfId="44882" xr:uid="{00000000-0005-0000-0000-00007B650000}"/>
    <cellStyle name="표준 5 2 5 2 5 4" xfId="11884" xr:uid="{00000000-0005-0000-0000-00007C650000}"/>
    <cellStyle name="표준 5 2 5 2 5 5" xfId="16124" xr:uid="{00000000-0005-0000-0000-00007D650000}"/>
    <cellStyle name="표준 5 2 5 2 5 6" xfId="20286" xr:uid="{00000000-0005-0000-0000-00007E650000}"/>
    <cellStyle name="표준 5 2 5 2 5 7" xfId="24382" xr:uid="{00000000-0005-0000-0000-00007F650000}"/>
    <cellStyle name="표준 5 2 5 2 5 8" xfId="32593" xr:uid="{00000000-0005-0000-0000-000080650000}"/>
    <cellStyle name="표준 5 2 5 2 5 9" xfId="40786" xr:uid="{00000000-0005-0000-0000-000081650000}"/>
    <cellStyle name="표준 5 2 5 2 6" xfId="1429" xr:uid="{00000000-0005-0000-0000-000082650000}"/>
    <cellStyle name="표준 5 2 5 2 6 2" xfId="10332" xr:uid="{00000000-0005-0000-0000-000083650000}"/>
    <cellStyle name="표준 5 2 5 2 6 2 2" xfId="14444" xr:uid="{00000000-0005-0000-0000-000084650000}"/>
    <cellStyle name="표준 5 2 5 2 6 2 2 2" xfId="31038" xr:uid="{00000000-0005-0000-0000-000085650000}"/>
    <cellStyle name="표준 5 2 5 2 6 2 2 3" xfId="39249" xr:uid="{00000000-0005-0000-0000-000086650000}"/>
    <cellStyle name="표준 5 2 5 2 6 2 2 4" xfId="47442" xr:uid="{00000000-0005-0000-0000-000087650000}"/>
    <cellStyle name="표준 5 2 5 2 6 2 3" xfId="18684" xr:uid="{00000000-0005-0000-0000-000088650000}"/>
    <cellStyle name="표준 5 2 5 2 6 2 4" xfId="22846" xr:uid="{00000000-0005-0000-0000-000089650000}"/>
    <cellStyle name="표준 5 2 5 2 6 2 5" xfId="26942" xr:uid="{00000000-0005-0000-0000-00008A650000}"/>
    <cellStyle name="표준 5 2 5 2 6 2 6" xfId="35153" xr:uid="{00000000-0005-0000-0000-00008B650000}"/>
    <cellStyle name="표준 5 2 5 2 6 2 7" xfId="43346" xr:uid="{00000000-0005-0000-0000-00008C650000}"/>
    <cellStyle name="표준 5 2 5 2 6 3" xfId="8284" xr:uid="{00000000-0005-0000-0000-00008D650000}"/>
    <cellStyle name="표준 5 2 5 2 6 3 2" xfId="28990" xr:uid="{00000000-0005-0000-0000-00008E650000}"/>
    <cellStyle name="표준 5 2 5 2 6 3 3" xfId="37201" xr:uid="{00000000-0005-0000-0000-00008F650000}"/>
    <cellStyle name="표준 5 2 5 2 6 3 4" xfId="45394" xr:uid="{00000000-0005-0000-0000-000090650000}"/>
    <cellStyle name="표준 5 2 5 2 6 4" xfId="12396" xr:uid="{00000000-0005-0000-0000-000091650000}"/>
    <cellStyle name="표준 5 2 5 2 6 5" xfId="16636" xr:uid="{00000000-0005-0000-0000-000092650000}"/>
    <cellStyle name="표준 5 2 5 2 6 6" xfId="20798" xr:uid="{00000000-0005-0000-0000-000093650000}"/>
    <cellStyle name="표준 5 2 5 2 6 7" xfId="24894" xr:uid="{00000000-0005-0000-0000-000094650000}"/>
    <cellStyle name="표준 5 2 5 2 6 8" xfId="33105" xr:uid="{00000000-0005-0000-0000-000095650000}"/>
    <cellStyle name="표준 5 2 5 2 6 9" xfId="41298" xr:uid="{00000000-0005-0000-0000-000096650000}"/>
    <cellStyle name="표준 5 2 5 2 7" xfId="1941" xr:uid="{00000000-0005-0000-0000-000097650000}"/>
    <cellStyle name="표준 5 2 5 2 7 2" xfId="10844" xr:uid="{00000000-0005-0000-0000-000098650000}"/>
    <cellStyle name="표준 5 2 5 2 7 2 2" xfId="14956" xr:uid="{00000000-0005-0000-0000-000099650000}"/>
    <cellStyle name="표준 5 2 5 2 7 2 2 2" xfId="31550" xr:uid="{00000000-0005-0000-0000-00009A650000}"/>
    <cellStyle name="표준 5 2 5 2 7 2 2 3" xfId="39761" xr:uid="{00000000-0005-0000-0000-00009B650000}"/>
    <cellStyle name="표준 5 2 5 2 7 2 2 4" xfId="47954" xr:uid="{00000000-0005-0000-0000-00009C650000}"/>
    <cellStyle name="표준 5 2 5 2 7 2 3" xfId="19196" xr:uid="{00000000-0005-0000-0000-00009D650000}"/>
    <cellStyle name="표준 5 2 5 2 7 2 4" xfId="23358" xr:uid="{00000000-0005-0000-0000-00009E650000}"/>
    <cellStyle name="표준 5 2 5 2 7 2 5" xfId="27454" xr:uid="{00000000-0005-0000-0000-00009F650000}"/>
    <cellStyle name="표준 5 2 5 2 7 2 6" xfId="35665" xr:uid="{00000000-0005-0000-0000-0000A0650000}"/>
    <cellStyle name="표준 5 2 5 2 7 2 7" xfId="43858" xr:uid="{00000000-0005-0000-0000-0000A1650000}"/>
    <cellStyle name="표준 5 2 5 2 7 3" xfId="8796" xr:uid="{00000000-0005-0000-0000-0000A2650000}"/>
    <cellStyle name="표준 5 2 5 2 7 3 2" xfId="29502" xr:uid="{00000000-0005-0000-0000-0000A3650000}"/>
    <cellStyle name="표준 5 2 5 2 7 3 3" xfId="37713" xr:uid="{00000000-0005-0000-0000-0000A4650000}"/>
    <cellStyle name="표준 5 2 5 2 7 3 4" xfId="45906" xr:uid="{00000000-0005-0000-0000-0000A5650000}"/>
    <cellStyle name="표준 5 2 5 2 7 4" xfId="12908" xr:uid="{00000000-0005-0000-0000-0000A6650000}"/>
    <cellStyle name="표준 5 2 5 2 7 5" xfId="17148" xr:uid="{00000000-0005-0000-0000-0000A7650000}"/>
    <cellStyle name="표준 5 2 5 2 7 6" xfId="21310" xr:uid="{00000000-0005-0000-0000-0000A8650000}"/>
    <cellStyle name="표준 5 2 5 2 7 7" xfId="25406" xr:uid="{00000000-0005-0000-0000-0000A9650000}"/>
    <cellStyle name="표준 5 2 5 2 7 8" xfId="33617" xr:uid="{00000000-0005-0000-0000-0000AA650000}"/>
    <cellStyle name="표준 5 2 5 2 7 9" xfId="41810" xr:uid="{00000000-0005-0000-0000-0000AB650000}"/>
    <cellStyle name="표준 5 2 5 2 8" xfId="7033" xr:uid="{00000000-0005-0000-0000-0000AC650000}"/>
    <cellStyle name="표준 5 2 5 2 8 2" xfId="9308" xr:uid="{00000000-0005-0000-0000-0000AD650000}"/>
    <cellStyle name="표준 5 2 5 2 8 2 2" xfId="30014" xr:uid="{00000000-0005-0000-0000-0000AE650000}"/>
    <cellStyle name="표준 5 2 5 2 8 2 3" xfId="38225" xr:uid="{00000000-0005-0000-0000-0000AF650000}"/>
    <cellStyle name="표준 5 2 5 2 8 2 4" xfId="46418" xr:uid="{00000000-0005-0000-0000-0000B0650000}"/>
    <cellStyle name="표준 5 2 5 2 8 3" xfId="13420" xr:uid="{00000000-0005-0000-0000-0000B1650000}"/>
    <cellStyle name="표준 5 2 5 2 8 4" xfId="17660" xr:uid="{00000000-0005-0000-0000-0000B2650000}"/>
    <cellStyle name="표준 5 2 5 2 8 5" xfId="21822" xr:uid="{00000000-0005-0000-0000-0000B3650000}"/>
    <cellStyle name="표준 5 2 5 2 8 6" xfId="25918" xr:uid="{00000000-0005-0000-0000-0000B4650000}"/>
    <cellStyle name="표준 5 2 5 2 8 7" xfId="34129" xr:uid="{00000000-0005-0000-0000-0000B5650000}"/>
    <cellStyle name="표준 5 2 5 2 8 8" xfId="42322" xr:uid="{00000000-0005-0000-0000-0000B6650000}"/>
    <cellStyle name="표준 5 2 5 2 9" xfId="7145" xr:uid="{00000000-0005-0000-0000-0000B7650000}"/>
    <cellStyle name="표준 5 2 5 2 9 2" xfId="27966" xr:uid="{00000000-0005-0000-0000-0000B8650000}"/>
    <cellStyle name="표준 5 2 5 2 9 3" xfId="36177" xr:uid="{00000000-0005-0000-0000-0000B9650000}"/>
    <cellStyle name="표준 5 2 5 2 9 4" xfId="44370" xr:uid="{00000000-0005-0000-0000-0000BA650000}"/>
    <cellStyle name="표준 5 2 5 20" xfId="49651" xr:uid="{00000000-0005-0000-0000-0000BB650000}"/>
    <cellStyle name="표준 5 2 5 3" xfId="437" xr:uid="{00000000-0005-0000-0000-0000BC650000}"/>
    <cellStyle name="표준 5 2 5 3 10" xfId="15644" xr:uid="{00000000-0005-0000-0000-0000BD650000}"/>
    <cellStyle name="표준 5 2 5 3 11" xfId="19806" xr:uid="{00000000-0005-0000-0000-0000BE650000}"/>
    <cellStyle name="표준 5 2 5 3 12" xfId="23902" xr:uid="{00000000-0005-0000-0000-0000BF650000}"/>
    <cellStyle name="표준 5 2 5 3 13" xfId="32113" xr:uid="{00000000-0005-0000-0000-0000C0650000}"/>
    <cellStyle name="표준 5 2 5 3 14" xfId="40306" xr:uid="{00000000-0005-0000-0000-0000C1650000}"/>
    <cellStyle name="표준 5 2 5 3 2" xfId="565" xr:uid="{00000000-0005-0000-0000-0000C2650000}"/>
    <cellStyle name="표준 5 2 5 3 2 10" xfId="19934" xr:uid="{00000000-0005-0000-0000-0000C3650000}"/>
    <cellStyle name="표준 5 2 5 3 2 11" xfId="24030" xr:uid="{00000000-0005-0000-0000-0000C4650000}"/>
    <cellStyle name="표준 5 2 5 3 2 12" xfId="32241" xr:uid="{00000000-0005-0000-0000-0000C5650000}"/>
    <cellStyle name="표준 5 2 5 3 2 13" xfId="40434" xr:uid="{00000000-0005-0000-0000-0000C6650000}"/>
    <cellStyle name="표준 5 2 5 3 2 2" xfId="821" xr:uid="{00000000-0005-0000-0000-0000C7650000}"/>
    <cellStyle name="표준 5 2 5 3 2 2 10" xfId="24286" xr:uid="{00000000-0005-0000-0000-0000C8650000}"/>
    <cellStyle name="표준 5 2 5 3 2 2 11" xfId="32497" xr:uid="{00000000-0005-0000-0000-0000C9650000}"/>
    <cellStyle name="표준 5 2 5 3 2 2 12" xfId="40690" xr:uid="{00000000-0005-0000-0000-0000CA650000}"/>
    <cellStyle name="표준 5 2 5 3 2 2 2" xfId="1333" xr:uid="{00000000-0005-0000-0000-0000CB650000}"/>
    <cellStyle name="표준 5 2 5 3 2 2 2 2" xfId="10236" xr:uid="{00000000-0005-0000-0000-0000CC650000}"/>
    <cellStyle name="표준 5 2 5 3 2 2 2 2 2" xfId="14348" xr:uid="{00000000-0005-0000-0000-0000CD650000}"/>
    <cellStyle name="표준 5 2 5 3 2 2 2 2 2 2" xfId="30942" xr:uid="{00000000-0005-0000-0000-0000CE650000}"/>
    <cellStyle name="표준 5 2 5 3 2 2 2 2 2 3" xfId="39153" xr:uid="{00000000-0005-0000-0000-0000CF650000}"/>
    <cellStyle name="표준 5 2 5 3 2 2 2 2 2 4" xfId="47346" xr:uid="{00000000-0005-0000-0000-0000D0650000}"/>
    <cellStyle name="표준 5 2 5 3 2 2 2 2 3" xfId="18588" xr:uid="{00000000-0005-0000-0000-0000D1650000}"/>
    <cellStyle name="표준 5 2 5 3 2 2 2 2 4" xfId="22750" xr:uid="{00000000-0005-0000-0000-0000D2650000}"/>
    <cellStyle name="표준 5 2 5 3 2 2 2 2 5" xfId="26846" xr:uid="{00000000-0005-0000-0000-0000D3650000}"/>
    <cellStyle name="표준 5 2 5 3 2 2 2 2 6" xfId="35057" xr:uid="{00000000-0005-0000-0000-0000D4650000}"/>
    <cellStyle name="표준 5 2 5 3 2 2 2 2 7" xfId="43250" xr:uid="{00000000-0005-0000-0000-0000D5650000}"/>
    <cellStyle name="표준 5 2 5 3 2 2 2 3" xfId="8188" xr:uid="{00000000-0005-0000-0000-0000D6650000}"/>
    <cellStyle name="표준 5 2 5 3 2 2 2 3 2" xfId="28894" xr:uid="{00000000-0005-0000-0000-0000D7650000}"/>
    <cellStyle name="표준 5 2 5 3 2 2 2 3 3" xfId="37105" xr:uid="{00000000-0005-0000-0000-0000D8650000}"/>
    <cellStyle name="표준 5 2 5 3 2 2 2 3 4" xfId="45298" xr:uid="{00000000-0005-0000-0000-0000D9650000}"/>
    <cellStyle name="표준 5 2 5 3 2 2 2 4" xfId="12300" xr:uid="{00000000-0005-0000-0000-0000DA650000}"/>
    <cellStyle name="표준 5 2 5 3 2 2 2 5" xfId="16540" xr:uid="{00000000-0005-0000-0000-0000DB650000}"/>
    <cellStyle name="표준 5 2 5 3 2 2 2 6" xfId="20702" xr:uid="{00000000-0005-0000-0000-0000DC650000}"/>
    <cellStyle name="표준 5 2 5 3 2 2 2 7" xfId="24798" xr:uid="{00000000-0005-0000-0000-0000DD650000}"/>
    <cellStyle name="표준 5 2 5 3 2 2 2 8" xfId="33009" xr:uid="{00000000-0005-0000-0000-0000DE650000}"/>
    <cellStyle name="표준 5 2 5 3 2 2 2 9" xfId="41202" xr:uid="{00000000-0005-0000-0000-0000DF650000}"/>
    <cellStyle name="표준 5 2 5 3 2 2 3" xfId="1845" xr:uid="{00000000-0005-0000-0000-0000E0650000}"/>
    <cellStyle name="표준 5 2 5 3 2 2 3 2" xfId="10748" xr:uid="{00000000-0005-0000-0000-0000E1650000}"/>
    <cellStyle name="표준 5 2 5 3 2 2 3 2 2" xfId="14860" xr:uid="{00000000-0005-0000-0000-0000E2650000}"/>
    <cellStyle name="표준 5 2 5 3 2 2 3 2 2 2" xfId="31454" xr:uid="{00000000-0005-0000-0000-0000E3650000}"/>
    <cellStyle name="표준 5 2 5 3 2 2 3 2 2 3" xfId="39665" xr:uid="{00000000-0005-0000-0000-0000E4650000}"/>
    <cellStyle name="표준 5 2 5 3 2 2 3 2 2 4" xfId="47858" xr:uid="{00000000-0005-0000-0000-0000E5650000}"/>
    <cellStyle name="표준 5 2 5 3 2 2 3 2 3" xfId="19100" xr:uid="{00000000-0005-0000-0000-0000E6650000}"/>
    <cellStyle name="표준 5 2 5 3 2 2 3 2 4" xfId="23262" xr:uid="{00000000-0005-0000-0000-0000E7650000}"/>
    <cellStyle name="표준 5 2 5 3 2 2 3 2 5" xfId="27358" xr:uid="{00000000-0005-0000-0000-0000E8650000}"/>
    <cellStyle name="표준 5 2 5 3 2 2 3 2 6" xfId="35569" xr:uid="{00000000-0005-0000-0000-0000E9650000}"/>
    <cellStyle name="표준 5 2 5 3 2 2 3 2 7" xfId="43762" xr:uid="{00000000-0005-0000-0000-0000EA650000}"/>
    <cellStyle name="표준 5 2 5 3 2 2 3 3" xfId="8700" xr:uid="{00000000-0005-0000-0000-0000EB650000}"/>
    <cellStyle name="표준 5 2 5 3 2 2 3 3 2" xfId="29406" xr:uid="{00000000-0005-0000-0000-0000EC650000}"/>
    <cellStyle name="표준 5 2 5 3 2 2 3 3 3" xfId="37617" xr:uid="{00000000-0005-0000-0000-0000ED650000}"/>
    <cellStyle name="표준 5 2 5 3 2 2 3 3 4" xfId="45810" xr:uid="{00000000-0005-0000-0000-0000EE650000}"/>
    <cellStyle name="표준 5 2 5 3 2 2 3 4" xfId="12812" xr:uid="{00000000-0005-0000-0000-0000EF650000}"/>
    <cellStyle name="표준 5 2 5 3 2 2 3 5" xfId="17052" xr:uid="{00000000-0005-0000-0000-0000F0650000}"/>
    <cellStyle name="표준 5 2 5 3 2 2 3 6" xfId="21214" xr:uid="{00000000-0005-0000-0000-0000F1650000}"/>
    <cellStyle name="표준 5 2 5 3 2 2 3 7" xfId="25310" xr:uid="{00000000-0005-0000-0000-0000F2650000}"/>
    <cellStyle name="표준 5 2 5 3 2 2 3 8" xfId="33521" xr:uid="{00000000-0005-0000-0000-0000F3650000}"/>
    <cellStyle name="표준 5 2 5 3 2 2 3 9" xfId="41714" xr:uid="{00000000-0005-0000-0000-0000F4650000}"/>
    <cellStyle name="표준 5 2 5 3 2 2 4" xfId="2357" xr:uid="{00000000-0005-0000-0000-0000F5650000}"/>
    <cellStyle name="표준 5 2 5 3 2 2 4 2" xfId="11260" xr:uid="{00000000-0005-0000-0000-0000F6650000}"/>
    <cellStyle name="표준 5 2 5 3 2 2 4 2 2" xfId="15372" xr:uid="{00000000-0005-0000-0000-0000F7650000}"/>
    <cellStyle name="표준 5 2 5 3 2 2 4 2 2 2" xfId="31966" xr:uid="{00000000-0005-0000-0000-0000F8650000}"/>
    <cellStyle name="표준 5 2 5 3 2 2 4 2 2 3" xfId="40177" xr:uid="{00000000-0005-0000-0000-0000F9650000}"/>
    <cellStyle name="표준 5 2 5 3 2 2 4 2 2 4" xfId="48370" xr:uid="{00000000-0005-0000-0000-0000FA650000}"/>
    <cellStyle name="표준 5 2 5 3 2 2 4 2 3" xfId="19612" xr:uid="{00000000-0005-0000-0000-0000FB650000}"/>
    <cellStyle name="표준 5 2 5 3 2 2 4 2 4" xfId="23774" xr:uid="{00000000-0005-0000-0000-0000FC650000}"/>
    <cellStyle name="표준 5 2 5 3 2 2 4 2 5" xfId="27870" xr:uid="{00000000-0005-0000-0000-0000FD650000}"/>
    <cellStyle name="표준 5 2 5 3 2 2 4 2 6" xfId="36081" xr:uid="{00000000-0005-0000-0000-0000FE650000}"/>
    <cellStyle name="표준 5 2 5 3 2 2 4 2 7" xfId="44274" xr:uid="{00000000-0005-0000-0000-0000FF650000}"/>
    <cellStyle name="표준 5 2 5 3 2 2 4 3" xfId="9212" xr:uid="{00000000-0005-0000-0000-000000660000}"/>
    <cellStyle name="표준 5 2 5 3 2 2 4 3 2" xfId="29918" xr:uid="{00000000-0005-0000-0000-000001660000}"/>
    <cellStyle name="표준 5 2 5 3 2 2 4 3 3" xfId="38129" xr:uid="{00000000-0005-0000-0000-000002660000}"/>
    <cellStyle name="표준 5 2 5 3 2 2 4 3 4" xfId="46322" xr:uid="{00000000-0005-0000-0000-000003660000}"/>
    <cellStyle name="표준 5 2 5 3 2 2 4 4" xfId="13324" xr:uid="{00000000-0005-0000-0000-000004660000}"/>
    <cellStyle name="표준 5 2 5 3 2 2 4 5" xfId="17564" xr:uid="{00000000-0005-0000-0000-000005660000}"/>
    <cellStyle name="표준 5 2 5 3 2 2 4 6" xfId="21726" xr:uid="{00000000-0005-0000-0000-000006660000}"/>
    <cellStyle name="표준 5 2 5 3 2 2 4 7" xfId="25822" xr:uid="{00000000-0005-0000-0000-000007660000}"/>
    <cellStyle name="표준 5 2 5 3 2 2 4 8" xfId="34033" xr:uid="{00000000-0005-0000-0000-000008660000}"/>
    <cellStyle name="표준 5 2 5 3 2 2 4 9" xfId="42226" xr:uid="{00000000-0005-0000-0000-000009660000}"/>
    <cellStyle name="표준 5 2 5 3 2 2 5" xfId="9724" xr:uid="{00000000-0005-0000-0000-00000A660000}"/>
    <cellStyle name="표준 5 2 5 3 2 2 5 2" xfId="13836" xr:uid="{00000000-0005-0000-0000-00000B660000}"/>
    <cellStyle name="표준 5 2 5 3 2 2 5 2 2" xfId="30430" xr:uid="{00000000-0005-0000-0000-00000C660000}"/>
    <cellStyle name="표준 5 2 5 3 2 2 5 2 3" xfId="38641" xr:uid="{00000000-0005-0000-0000-00000D660000}"/>
    <cellStyle name="표준 5 2 5 3 2 2 5 2 4" xfId="46834" xr:uid="{00000000-0005-0000-0000-00000E660000}"/>
    <cellStyle name="표준 5 2 5 3 2 2 5 3" xfId="18076" xr:uid="{00000000-0005-0000-0000-00000F660000}"/>
    <cellStyle name="표준 5 2 5 3 2 2 5 4" xfId="22238" xr:uid="{00000000-0005-0000-0000-000010660000}"/>
    <cellStyle name="표준 5 2 5 3 2 2 5 5" xfId="26334" xr:uid="{00000000-0005-0000-0000-000011660000}"/>
    <cellStyle name="표준 5 2 5 3 2 2 5 6" xfId="34545" xr:uid="{00000000-0005-0000-0000-000012660000}"/>
    <cellStyle name="표준 5 2 5 3 2 2 5 7" xfId="42738" xr:uid="{00000000-0005-0000-0000-000013660000}"/>
    <cellStyle name="표준 5 2 5 3 2 2 6" xfId="7676" xr:uid="{00000000-0005-0000-0000-000014660000}"/>
    <cellStyle name="표준 5 2 5 3 2 2 6 2" xfId="28382" xr:uid="{00000000-0005-0000-0000-000015660000}"/>
    <cellStyle name="표준 5 2 5 3 2 2 6 3" xfId="36593" xr:uid="{00000000-0005-0000-0000-000016660000}"/>
    <cellStyle name="표준 5 2 5 3 2 2 6 4" xfId="44786" xr:uid="{00000000-0005-0000-0000-000017660000}"/>
    <cellStyle name="표준 5 2 5 3 2 2 7" xfId="11788" xr:uid="{00000000-0005-0000-0000-000018660000}"/>
    <cellStyle name="표준 5 2 5 3 2 2 8" xfId="16028" xr:uid="{00000000-0005-0000-0000-000019660000}"/>
    <cellStyle name="표준 5 2 5 3 2 2 9" xfId="20190" xr:uid="{00000000-0005-0000-0000-00001A660000}"/>
    <cellStyle name="표준 5 2 5 3 2 3" xfId="1077" xr:uid="{00000000-0005-0000-0000-00001B660000}"/>
    <cellStyle name="표준 5 2 5 3 2 3 2" xfId="9980" xr:uid="{00000000-0005-0000-0000-00001C660000}"/>
    <cellStyle name="표준 5 2 5 3 2 3 2 2" xfId="14092" xr:uid="{00000000-0005-0000-0000-00001D660000}"/>
    <cellStyle name="표준 5 2 5 3 2 3 2 2 2" xfId="30686" xr:uid="{00000000-0005-0000-0000-00001E660000}"/>
    <cellStyle name="표준 5 2 5 3 2 3 2 2 3" xfId="38897" xr:uid="{00000000-0005-0000-0000-00001F660000}"/>
    <cellStyle name="표준 5 2 5 3 2 3 2 2 4" xfId="47090" xr:uid="{00000000-0005-0000-0000-000020660000}"/>
    <cellStyle name="표준 5 2 5 3 2 3 2 3" xfId="18332" xr:uid="{00000000-0005-0000-0000-000021660000}"/>
    <cellStyle name="표준 5 2 5 3 2 3 2 4" xfId="22494" xr:uid="{00000000-0005-0000-0000-000022660000}"/>
    <cellStyle name="표준 5 2 5 3 2 3 2 5" xfId="26590" xr:uid="{00000000-0005-0000-0000-000023660000}"/>
    <cellStyle name="표준 5 2 5 3 2 3 2 6" xfId="34801" xr:uid="{00000000-0005-0000-0000-000024660000}"/>
    <cellStyle name="표준 5 2 5 3 2 3 2 7" xfId="42994" xr:uid="{00000000-0005-0000-0000-000025660000}"/>
    <cellStyle name="표준 5 2 5 3 2 3 3" xfId="7932" xr:uid="{00000000-0005-0000-0000-000026660000}"/>
    <cellStyle name="표준 5 2 5 3 2 3 3 2" xfId="28638" xr:uid="{00000000-0005-0000-0000-000027660000}"/>
    <cellStyle name="표준 5 2 5 3 2 3 3 3" xfId="36849" xr:uid="{00000000-0005-0000-0000-000028660000}"/>
    <cellStyle name="표준 5 2 5 3 2 3 3 4" xfId="45042" xr:uid="{00000000-0005-0000-0000-000029660000}"/>
    <cellStyle name="표준 5 2 5 3 2 3 4" xfId="12044" xr:uid="{00000000-0005-0000-0000-00002A660000}"/>
    <cellStyle name="표준 5 2 5 3 2 3 5" xfId="16284" xr:uid="{00000000-0005-0000-0000-00002B660000}"/>
    <cellStyle name="표준 5 2 5 3 2 3 6" xfId="20446" xr:uid="{00000000-0005-0000-0000-00002C660000}"/>
    <cellStyle name="표준 5 2 5 3 2 3 7" xfId="24542" xr:uid="{00000000-0005-0000-0000-00002D660000}"/>
    <cellStyle name="표준 5 2 5 3 2 3 8" xfId="32753" xr:uid="{00000000-0005-0000-0000-00002E660000}"/>
    <cellStyle name="표준 5 2 5 3 2 3 9" xfId="40946" xr:uid="{00000000-0005-0000-0000-00002F660000}"/>
    <cellStyle name="표준 5 2 5 3 2 4" xfId="1589" xr:uid="{00000000-0005-0000-0000-000030660000}"/>
    <cellStyle name="표준 5 2 5 3 2 4 2" xfId="10492" xr:uid="{00000000-0005-0000-0000-000031660000}"/>
    <cellStyle name="표준 5 2 5 3 2 4 2 2" xfId="14604" xr:uid="{00000000-0005-0000-0000-000032660000}"/>
    <cellStyle name="표준 5 2 5 3 2 4 2 2 2" xfId="31198" xr:uid="{00000000-0005-0000-0000-000033660000}"/>
    <cellStyle name="표준 5 2 5 3 2 4 2 2 3" xfId="39409" xr:uid="{00000000-0005-0000-0000-000034660000}"/>
    <cellStyle name="표준 5 2 5 3 2 4 2 2 4" xfId="47602" xr:uid="{00000000-0005-0000-0000-000035660000}"/>
    <cellStyle name="표준 5 2 5 3 2 4 2 3" xfId="18844" xr:uid="{00000000-0005-0000-0000-000036660000}"/>
    <cellStyle name="표준 5 2 5 3 2 4 2 4" xfId="23006" xr:uid="{00000000-0005-0000-0000-000037660000}"/>
    <cellStyle name="표준 5 2 5 3 2 4 2 5" xfId="27102" xr:uid="{00000000-0005-0000-0000-000038660000}"/>
    <cellStyle name="표준 5 2 5 3 2 4 2 6" xfId="35313" xr:uid="{00000000-0005-0000-0000-000039660000}"/>
    <cellStyle name="표준 5 2 5 3 2 4 2 7" xfId="43506" xr:uid="{00000000-0005-0000-0000-00003A660000}"/>
    <cellStyle name="표준 5 2 5 3 2 4 3" xfId="8444" xr:uid="{00000000-0005-0000-0000-00003B660000}"/>
    <cellStyle name="표준 5 2 5 3 2 4 3 2" xfId="29150" xr:uid="{00000000-0005-0000-0000-00003C660000}"/>
    <cellStyle name="표준 5 2 5 3 2 4 3 3" xfId="37361" xr:uid="{00000000-0005-0000-0000-00003D660000}"/>
    <cellStyle name="표준 5 2 5 3 2 4 3 4" xfId="45554" xr:uid="{00000000-0005-0000-0000-00003E660000}"/>
    <cellStyle name="표준 5 2 5 3 2 4 4" xfId="12556" xr:uid="{00000000-0005-0000-0000-00003F660000}"/>
    <cellStyle name="표준 5 2 5 3 2 4 5" xfId="16796" xr:uid="{00000000-0005-0000-0000-000040660000}"/>
    <cellStyle name="표준 5 2 5 3 2 4 6" xfId="20958" xr:uid="{00000000-0005-0000-0000-000041660000}"/>
    <cellStyle name="표준 5 2 5 3 2 4 7" xfId="25054" xr:uid="{00000000-0005-0000-0000-000042660000}"/>
    <cellStyle name="표준 5 2 5 3 2 4 8" xfId="33265" xr:uid="{00000000-0005-0000-0000-000043660000}"/>
    <cellStyle name="표준 5 2 5 3 2 4 9" xfId="41458" xr:uid="{00000000-0005-0000-0000-000044660000}"/>
    <cellStyle name="표준 5 2 5 3 2 5" xfId="2101" xr:uid="{00000000-0005-0000-0000-000045660000}"/>
    <cellStyle name="표준 5 2 5 3 2 5 2" xfId="11004" xr:uid="{00000000-0005-0000-0000-000046660000}"/>
    <cellStyle name="표준 5 2 5 3 2 5 2 2" xfId="15116" xr:uid="{00000000-0005-0000-0000-000047660000}"/>
    <cellStyle name="표준 5 2 5 3 2 5 2 2 2" xfId="31710" xr:uid="{00000000-0005-0000-0000-000048660000}"/>
    <cellStyle name="표준 5 2 5 3 2 5 2 2 3" xfId="39921" xr:uid="{00000000-0005-0000-0000-000049660000}"/>
    <cellStyle name="표준 5 2 5 3 2 5 2 2 4" xfId="48114" xr:uid="{00000000-0005-0000-0000-00004A660000}"/>
    <cellStyle name="표준 5 2 5 3 2 5 2 3" xfId="19356" xr:uid="{00000000-0005-0000-0000-00004B660000}"/>
    <cellStyle name="표준 5 2 5 3 2 5 2 4" xfId="23518" xr:uid="{00000000-0005-0000-0000-00004C660000}"/>
    <cellStyle name="표준 5 2 5 3 2 5 2 5" xfId="27614" xr:uid="{00000000-0005-0000-0000-00004D660000}"/>
    <cellStyle name="표준 5 2 5 3 2 5 2 6" xfId="35825" xr:uid="{00000000-0005-0000-0000-00004E660000}"/>
    <cellStyle name="표준 5 2 5 3 2 5 2 7" xfId="44018" xr:uid="{00000000-0005-0000-0000-00004F660000}"/>
    <cellStyle name="표준 5 2 5 3 2 5 3" xfId="8956" xr:uid="{00000000-0005-0000-0000-000050660000}"/>
    <cellStyle name="표준 5 2 5 3 2 5 3 2" xfId="29662" xr:uid="{00000000-0005-0000-0000-000051660000}"/>
    <cellStyle name="표준 5 2 5 3 2 5 3 3" xfId="37873" xr:uid="{00000000-0005-0000-0000-000052660000}"/>
    <cellStyle name="표준 5 2 5 3 2 5 3 4" xfId="46066" xr:uid="{00000000-0005-0000-0000-000053660000}"/>
    <cellStyle name="표준 5 2 5 3 2 5 4" xfId="13068" xr:uid="{00000000-0005-0000-0000-000054660000}"/>
    <cellStyle name="표준 5 2 5 3 2 5 5" xfId="17308" xr:uid="{00000000-0005-0000-0000-000055660000}"/>
    <cellStyle name="표준 5 2 5 3 2 5 6" xfId="21470" xr:uid="{00000000-0005-0000-0000-000056660000}"/>
    <cellStyle name="표준 5 2 5 3 2 5 7" xfId="25566" xr:uid="{00000000-0005-0000-0000-000057660000}"/>
    <cellStyle name="표준 5 2 5 3 2 5 8" xfId="33777" xr:uid="{00000000-0005-0000-0000-000058660000}"/>
    <cellStyle name="표준 5 2 5 3 2 5 9" xfId="41970" xr:uid="{00000000-0005-0000-0000-000059660000}"/>
    <cellStyle name="표준 5 2 5 3 2 6" xfId="9468" xr:uid="{00000000-0005-0000-0000-00005A660000}"/>
    <cellStyle name="표준 5 2 5 3 2 6 2" xfId="13580" xr:uid="{00000000-0005-0000-0000-00005B660000}"/>
    <cellStyle name="표준 5 2 5 3 2 6 2 2" xfId="30174" xr:uid="{00000000-0005-0000-0000-00005C660000}"/>
    <cellStyle name="표준 5 2 5 3 2 6 2 3" xfId="38385" xr:uid="{00000000-0005-0000-0000-00005D660000}"/>
    <cellStyle name="표준 5 2 5 3 2 6 2 4" xfId="46578" xr:uid="{00000000-0005-0000-0000-00005E660000}"/>
    <cellStyle name="표준 5 2 5 3 2 6 3" xfId="17820" xr:uid="{00000000-0005-0000-0000-00005F660000}"/>
    <cellStyle name="표준 5 2 5 3 2 6 4" xfId="21982" xr:uid="{00000000-0005-0000-0000-000060660000}"/>
    <cellStyle name="표준 5 2 5 3 2 6 5" xfId="26078" xr:uid="{00000000-0005-0000-0000-000061660000}"/>
    <cellStyle name="표준 5 2 5 3 2 6 6" xfId="34289" xr:uid="{00000000-0005-0000-0000-000062660000}"/>
    <cellStyle name="표준 5 2 5 3 2 6 7" xfId="42482" xr:uid="{00000000-0005-0000-0000-000063660000}"/>
    <cellStyle name="표준 5 2 5 3 2 7" xfId="7420" xr:uid="{00000000-0005-0000-0000-000064660000}"/>
    <cellStyle name="표준 5 2 5 3 2 7 2" xfId="28126" xr:uid="{00000000-0005-0000-0000-000065660000}"/>
    <cellStyle name="표준 5 2 5 3 2 7 3" xfId="36337" xr:uid="{00000000-0005-0000-0000-000066660000}"/>
    <cellStyle name="표준 5 2 5 3 2 7 4" xfId="44530" xr:uid="{00000000-0005-0000-0000-000067660000}"/>
    <cellStyle name="표준 5 2 5 3 2 8" xfId="11532" xr:uid="{00000000-0005-0000-0000-000068660000}"/>
    <cellStyle name="표준 5 2 5 3 2 9" xfId="15772" xr:uid="{00000000-0005-0000-0000-000069660000}"/>
    <cellStyle name="표준 5 2 5 3 3" xfId="693" xr:uid="{00000000-0005-0000-0000-00006A660000}"/>
    <cellStyle name="표준 5 2 5 3 3 10" xfId="24158" xr:uid="{00000000-0005-0000-0000-00006B660000}"/>
    <cellStyle name="표준 5 2 5 3 3 11" xfId="32369" xr:uid="{00000000-0005-0000-0000-00006C660000}"/>
    <cellStyle name="표준 5 2 5 3 3 12" xfId="40562" xr:uid="{00000000-0005-0000-0000-00006D660000}"/>
    <cellStyle name="표준 5 2 5 3 3 2" xfId="1205" xr:uid="{00000000-0005-0000-0000-00006E660000}"/>
    <cellStyle name="표준 5 2 5 3 3 2 2" xfId="10108" xr:uid="{00000000-0005-0000-0000-00006F660000}"/>
    <cellStyle name="표준 5 2 5 3 3 2 2 2" xfId="14220" xr:uid="{00000000-0005-0000-0000-000070660000}"/>
    <cellStyle name="표준 5 2 5 3 3 2 2 2 2" xfId="30814" xr:uid="{00000000-0005-0000-0000-000071660000}"/>
    <cellStyle name="표준 5 2 5 3 3 2 2 2 3" xfId="39025" xr:uid="{00000000-0005-0000-0000-000072660000}"/>
    <cellStyle name="표준 5 2 5 3 3 2 2 2 4" xfId="47218" xr:uid="{00000000-0005-0000-0000-000073660000}"/>
    <cellStyle name="표준 5 2 5 3 3 2 2 3" xfId="18460" xr:uid="{00000000-0005-0000-0000-000074660000}"/>
    <cellStyle name="표준 5 2 5 3 3 2 2 4" xfId="22622" xr:uid="{00000000-0005-0000-0000-000075660000}"/>
    <cellStyle name="표준 5 2 5 3 3 2 2 5" xfId="26718" xr:uid="{00000000-0005-0000-0000-000076660000}"/>
    <cellStyle name="표준 5 2 5 3 3 2 2 6" xfId="34929" xr:uid="{00000000-0005-0000-0000-000077660000}"/>
    <cellStyle name="표준 5 2 5 3 3 2 2 7" xfId="43122" xr:uid="{00000000-0005-0000-0000-000078660000}"/>
    <cellStyle name="표준 5 2 5 3 3 2 3" xfId="8060" xr:uid="{00000000-0005-0000-0000-000079660000}"/>
    <cellStyle name="표준 5 2 5 3 3 2 3 2" xfId="28766" xr:uid="{00000000-0005-0000-0000-00007A660000}"/>
    <cellStyle name="표준 5 2 5 3 3 2 3 3" xfId="36977" xr:uid="{00000000-0005-0000-0000-00007B660000}"/>
    <cellStyle name="표준 5 2 5 3 3 2 3 4" xfId="45170" xr:uid="{00000000-0005-0000-0000-00007C660000}"/>
    <cellStyle name="표준 5 2 5 3 3 2 4" xfId="12172" xr:uid="{00000000-0005-0000-0000-00007D660000}"/>
    <cellStyle name="표준 5 2 5 3 3 2 5" xfId="16412" xr:uid="{00000000-0005-0000-0000-00007E660000}"/>
    <cellStyle name="표준 5 2 5 3 3 2 6" xfId="20574" xr:uid="{00000000-0005-0000-0000-00007F660000}"/>
    <cellStyle name="표준 5 2 5 3 3 2 7" xfId="24670" xr:uid="{00000000-0005-0000-0000-000080660000}"/>
    <cellStyle name="표준 5 2 5 3 3 2 8" xfId="32881" xr:uid="{00000000-0005-0000-0000-000081660000}"/>
    <cellStyle name="표준 5 2 5 3 3 2 9" xfId="41074" xr:uid="{00000000-0005-0000-0000-000082660000}"/>
    <cellStyle name="표준 5 2 5 3 3 3" xfId="1717" xr:uid="{00000000-0005-0000-0000-000083660000}"/>
    <cellStyle name="표준 5 2 5 3 3 3 2" xfId="10620" xr:uid="{00000000-0005-0000-0000-000084660000}"/>
    <cellStyle name="표준 5 2 5 3 3 3 2 2" xfId="14732" xr:uid="{00000000-0005-0000-0000-000085660000}"/>
    <cellStyle name="표준 5 2 5 3 3 3 2 2 2" xfId="31326" xr:uid="{00000000-0005-0000-0000-000086660000}"/>
    <cellStyle name="표준 5 2 5 3 3 3 2 2 3" xfId="39537" xr:uid="{00000000-0005-0000-0000-000087660000}"/>
    <cellStyle name="표준 5 2 5 3 3 3 2 2 4" xfId="47730" xr:uid="{00000000-0005-0000-0000-000088660000}"/>
    <cellStyle name="표준 5 2 5 3 3 3 2 3" xfId="18972" xr:uid="{00000000-0005-0000-0000-000089660000}"/>
    <cellStyle name="표준 5 2 5 3 3 3 2 4" xfId="23134" xr:uid="{00000000-0005-0000-0000-00008A660000}"/>
    <cellStyle name="표준 5 2 5 3 3 3 2 5" xfId="27230" xr:uid="{00000000-0005-0000-0000-00008B660000}"/>
    <cellStyle name="표준 5 2 5 3 3 3 2 6" xfId="35441" xr:uid="{00000000-0005-0000-0000-00008C660000}"/>
    <cellStyle name="표준 5 2 5 3 3 3 2 7" xfId="43634" xr:uid="{00000000-0005-0000-0000-00008D660000}"/>
    <cellStyle name="표준 5 2 5 3 3 3 3" xfId="8572" xr:uid="{00000000-0005-0000-0000-00008E660000}"/>
    <cellStyle name="표준 5 2 5 3 3 3 3 2" xfId="29278" xr:uid="{00000000-0005-0000-0000-00008F660000}"/>
    <cellStyle name="표준 5 2 5 3 3 3 3 3" xfId="37489" xr:uid="{00000000-0005-0000-0000-000090660000}"/>
    <cellStyle name="표준 5 2 5 3 3 3 3 4" xfId="45682" xr:uid="{00000000-0005-0000-0000-000091660000}"/>
    <cellStyle name="표준 5 2 5 3 3 3 4" xfId="12684" xr:uid="{00000000-0005-0000-0000-000092660000}"/>
    <cellStyle name="표준 5 2 5 3 3 3 5" xfId="16924" xr:uid="{00000000-0005-0000-0000-000093660000}"/>
    <cellStyle name="표준 5 2 5 3 3 3 6" xfId="21086" xr:uid="{00000000-0005-0000-0000-000094660000}"/>
    <cellStyle name="표준 5 2 5 3 3 3 7" xfId="25182" xr:uid="{00000000-0005-0000-0000-000095660000}"/>
    <cellStyle name="표준 5 2 5 3 3 3 8" xfId="33393" xr:uid="{00000000-0005-0000-0000-000096660000}"/>
    <cellStyle name="표준 5 2 5 3 3 3 9" xfId="41586" xr:uid="{00000000-0005-0000-0000-000097660000}"/>
    <cellStyle name="표준 5 2 5 3 3 4" xfId="2229" xr:uid="{00000000-0005-0000-0000-000098660000}"/>
    <cellStyle name="표준 5 2 5 3 3 4 2" xfId="11132" xr:uid="{00000000-0005-0000-0000-000099660000}"/>
    <cellStyle name="표준 5 2 5 3 3 4 2 2" xfId="15244" xr:uid="{00000000-0005-0000-0000-00009A660000}"/>
    <cellStyle name="표준 5 2 5 3 3 4 2 2 2" xfId="31838" xr:uid="{00000000-0005-0000-0000-00009B660000}"/>
    <cellStyle name="표준 5 2 5 3 3 4 2 2 3" xfId="40049" xr:uid="{00000000-0005-0000-0000-00009C660000}"/>
    <cellStyle name="표준 5 2 5 3 3 4 2 2 4" xfId="48242" xr:uid="{00000000-0005-0000-0000-00009D660000}"/>
    <cellStyle name="표준 5 2 5 3 3 4 2 3" xfId="19484" xr:uid="{00000000-0005-0000-0000-00009E660000}"/>
    <cellStyle name="표준 5 2 5 3 3 4 2 4" xfId="23646" xr:uid="{00000000-0005-0000-0000-00009F660000}"/>
    <cellStyle name="표준 5 2 5 3 3 4 2 5" xfId="27742" xr:uid="{00000000-0005-0000-0000-0000A0660000}"/>
    <cellStyle name="표준 5 2 5 3 3 4 2 6" xfId="35953" xr:uid="{00000000-0005-0000-0000-0000A1660000}"/>
    <cellStyle name="표준 5 2 5 3 3 4 2 7" xfId="44146" xr:uid="{00000000-0005-0000-0000-0000A2660000}"/>
    <cellStyle name="표준 5 2 5 3 3 4 3" xfId="9084" xr:uid="{00000000-0005-0000-0000-0000A3660000}"/>
    <cellStyle name="표준 5 2 5 3 3 4 3 2" xfId="29790" xr:uid="{00000000-0005-0000-0000-0000A4660000}"/>
    <cellStyle name="표준 5 2 5 3 3 4 3 3" xfId="38001" xr:uid="{00000000-0005-0000-0000-0000A5660000}"/>
    <cellStyle name="표준 5 2 5 3 3 4 3 4" xfId="46194" xr:uid="{00000000-0005-0000-0000-0000A6660000}"/>
    <cellStyle name="표준 5 2 5 3 3 4 4" xfId="13196" xr:uid="{00000000-0005-0000-0000-0000A7660000}"/>
    <cellStyle name="표준 5 2 5 3 3 4 5" xfId="17436" xr:uid="{00000000-0005-0000-0000-0000A8660000}"/>
    <cellStyle name="표준 5 2 5 3 3 4 6" xfId="21598" xr:uid="{00000000-0005-0000-0000-0000A9660000}"/>
    <cellStyle name="표준 5 2 5 3 3 4 7" xfId="25694" xr:uid="{00000000-0005-0000-0000-0000AA660000}"/>
    <cellStyle name="표준 5 2 5 3 3 4 8" xfId="33905" xr:uid="{00000000-0005-0000-0000-0000AB660000}"/>
    <cellStyle name="표준 5 2 5 3 3 4 9" xfId="42098" xr:uid="{00000000-0005-0000-0000-0000AC660000}"/>
    <cellStyle name="표준 5 2 5 3 3 5" xfId="9596" xr:uid="{00000000-0005-0000-0000-0000AD660000}"/>
    <cellStyle name="표준 5 2 5 3 3 5 2" xfId="13708" xr:uid="{00000000-0005-0000-0000-0000AE660000}"/>
    <cellStyle name="표준 5 2 5 3 3 5 2 2" xfId="30302" xr:uid="{00000000-0005-0000-0000-0000AF660000}"/>
    <cellStyle name="표준 5 2 5 3 3 5 2 3" xfId="38513" xr:uid="{00000000-0005-0000-0000-0000B0660000}"/>
    <cellStyle name="표준 5 2 5 3 3 5 2 4" xfId="46706" xr:uid="{00000000-0005-0000-0000-0000B1660000}"/>
    <cellStyle name="표준 5 2 5 3 3 5 3" xfId="17948" xr:uid="{00000000-0005-0000-0000-0000B2660000}"/>
    <cellStyle name="표준 5 2 5 3 3 5 4" xfId="22110" xr:uid="{00000000-0005-0000-0000-0000B3660000}"/>
    <cellStyle name="표준 5 2 5 3 3 5 5" xfId="26206" xr:uid="{00000000-0005-0000-0000-0000B4660000}"/>
    <cellStyle name="표준 5 2 5 3 3 5 6" xfId="34417" xr:uid="{00000000-0005-0000-0000-0000B5660000}"/>
    <cellStyle name="표준 5 2 5 3 3 5 7" xfId="42610" xr:uid="{00000000-0005-0000-0000-0000B6660000}"/>
    <cellStyle name="표준 5 2 5 3 3 6" xfId="7548" xr:uid="{00000000-0005-0000-0000-0000B7660000}"/>
    <cellStyle name="표준 5 2 5 3 3 6 2" xfId="28254" xr:uid="{00000000-0005-0000-0000-0000B8660000}"/>
    <cellStyle name="표준 5 2 5 3 3 6 3" xfId="36465" xr:uid="{00000000-0005-0000-0000-0000B9660000}"/>
    <cellStyle name="표준 5 2 5 3 3 6 4" xfId="44658" xr:uid="{00000000-0005-0000-0000-0000BA660000}"/>
    <cellStyle name="표준 5 2 5 3 3 7" xfId="11660" xr:uid="{00000000-0005-0000-0000-0000BB660000}"/>
    <cellStyle name="표준 5 2 5 3 3 8" xfId="15900" xr:uid="{00000000-0005-0000-0000-0000BC660000}"/>
    <cellStyle name="표준 5 2 5 3 3 9" xfId="20062" xr:uid="{00000000-0005-0000-0000-0000BD660000}"/>
    <cellStyle name="표준 5 2 5 3 4" xfId="949" xr:uid="{00000000-0005-0000-0000-0000BE660000}"/>
    <cellStyle name="표준 5 2 5 3 4 2" xfId="9852" xr:uid="{00000000-0005-0000-0000-0000BF660000}"/>
    <cellStyle name="표준 5 2 5 3 4 2 2" xfId="13964" xr:uid="{00000000-0005-0000-0000-0000C0660000}"/>
    <cellStyle name="표준 5 2 5 3 4 2 2 2" xfId="30558" xr:uid="{00000000-0005-0000-0000-0000C1660000}"/>
    <cellStyle name="표준 5 2 5 3 4 2 2 3" xfId="38769" xr:uid="{00000000-0005-0000-0000-0000C2660000}"/>
    <cellStyle name="표준 5 2 5 3 4 2 2 4" xfId="46962" xr:uid="{00000000-0005-0000-0000-0000C3660000}"/>
    <cellStyle name="표준 5 2 5 3 4 2 3" xfId="18204" xr:uid="{00000000-0005-0000-0000-0000C4660000}"/>
    <cellStyle name="표준 5 2 5 3 4 2 4" xfId="22366" xr:uid="{00000000-0005-0000-0000-0000C5660000}"/>
    <cellStyle name="표준 5 2 5 3 4 2 5" xfId="26462" xr:uid="{00000000-0005-0000-0000-0000C6660000}"/>
    <cellStyle name="표준 5 2 5 3 4 2 6" xfId="34673" xr:uid="{00000000-0005-0000-0000-0000C7660000}"/>
    <cellStyle name="표준 5 2 5 3 4 2 7" xfId="42866" xr:uid="{00000000-0005-0000-0000-0000C8660000}"/>
    <cellStyle name="표준 5 2 5 3 4 3" xfId="7804" xr:uid="{00000000-0005-0000-0000-0000C9660000}"/>
    <cellStyle name="표준 5 2 5 3 4 3 2" xfId="28510" xr:uid="{00000000-0005-0000-0000-0000CA660000}"/>
    <cellStyle name="표준 5 2 5 3 4 3 3" xfId="36721" xr:uid="{00000000-0005-0000-0000-0000CB660000}"/>
    <cellStyle name="표준 5 2 5 3 4 3 4" xfId="44914" xr:uid="{00000000-0005-0000-0000-0000CC660000}"/>
    <cellStyle name="표준 5 2 5 3 4 4" xfId="11916" xr:uid="{00000000-0005-0000-0000-0000CD660000}"/>
    <cellStyle name="표준 5 2 5 3 4 5" xfId="16156" xr:uid="{00000000-0005-0000-0000-0000CE660000}"/>
    <cellStyle name="표준 5 2 5 3 4 6" xfId="20318" xr:uid="{00000000-0005-0000-0000-0000CF660000}"/>
    <cellStyle name="표준 5 2 5 3 4 7" xfId="24414" xr:uid="{00000000-0005-0000-0000-0000D0660000}"/>
    <cellStyle name="표준 5 2 5 3 4 8" xfId="32625" xr:uid="{00000000-0005-0000-0000-0000D1660000}"/>
    <cellStyle name="표준 5 2 5 3 4 9" xfId="40818" xr:uid="{00000000-0005-0000-0000-0000D2660000}"/>
    <cellStyle name="표준 5 2 5 3 5" xfId="1461" xr:uid="{00000000-0005-0000-0000-0000D3660000}"/>
    <cellStyle name="표준 5 2 5 3 5 2" xfId="10364" xr:uid="{00000000-0005-0000-0000-0000D4660000}"/>
    <cellStyle name="표준 5 2 5 3 5 2 2" xfId="14476" xr:uid="{00000000-0005-0000-0000-0000D5660000}"/>
    <cellStyle name="표준 5 2 5 3 5 2 2 2" xfId="31070" xr:uid="{00000000-0005-0000-0000-0000D6660000}"/>
    <cellStyle name="표준 5 2 5 3 5 2 2 3" xfId="39281" xr:uid="{00000000-0005-0000-0000-0000D7660000}"/>
    <cellStyle name="표준 5 2 5 3 5 2 2 4" xfId="47474" xr:uid="{00000000-0005-0000-0000-0000D8660000}"/>
    <cellStyle name="표준 5 2 5 3 5 2 3" xfId="18716" xr:uid="{00000000-0005-0000-0000-0000D9660000}"/>
    <cellStyle name="표준 5 2 5 3 5 2 4" xfId="22878" xr:uid="{00000000-0005-0000-0000-0000DA660000}"/>
    <cellStyle name="표준 5 2 5 3 5 2 5" xfId="26974" xr:uid="{00000000-0005-0000-0000-0000DB660000}"/>
    <cellStyle name="표준 5 2 5 3 5 2 6" xfId="35185" xr:uid="{00000000-0005-0000-0000-0000DC660000}"/>
    <cellStyle name="표준 5 2 5 3 5 2 7" xfId="43378" xr:uid="{00000000-0005-0000-0000-0000DD660000}"/>
    <cellStyle name="표준 5 2 5 3 5 3" xfId="8316" xr:uid="{00000000-0005-0000-0000-0000DE660000}"/>
    <cellStyle name="표준 5 2 5 3 5 3 2" xfId="29022" xr:uid="{00000000-0005-0000-0000-0000DF660000}"/>
    <cellStyle name="표준 5 2 5 3 5 3 3" xfId="37233" xr:uid="{00000000-0005-0000-0000-0000E0660000}"/>
    <cellStyle name="표준 5 2 5 3 5 3 4" xfId="45426" xr:uid="{00000000-0005-0000-0000-0000E1660000}"/>
    <cellStyle name="표준 5 2 5 3 5 4" xfId="12428" xr:uid="{00000000-0005-0000-0000-0000E2660000}"/>
    <cellStyle name="표준 5 2 5 3 5 5" xfId="16668" xr:uid="{00000000-0005-0000-0000-0000E3660000}"/>
    <cellStyle name="표준 5 2 5 3 5 6" xfId="20830" xr:uid="{00000000-0005-0000-0000-0000E4660000}"/>
    <cellStyle name="표준 5 2 5 3 5 7" xfId="24926" xr:uid="{00000000-0005-0000-0000-0000E5660000}"/>
    <cellStyle name="표준 5 2 5 3 5 8" xfId="33137" xr:uid="{00000000-0005-0000-0000-0000E6660000}"/>
    <cellStyle name="표준 5 2 5 3 5 9" xfId="41330" xr:uid="{00000000-0005-0000-0000-0000E7660000}"/>
    <cellStyle name="표준 5 2 5 3 6" xfId="1973" xr:uid="{00000000-0005-0000-0000-0000E8660000}"/>
    <cellStyle name="표준 5 2 5 3 6 2" xfId="10876" xr:uid="{00000000-0005-0000-0000-0000E9660000}"/>
    <cellStyle name="표준 5 2 5 3 6 2 2" xfId="14988" xr:uid="{00000000-0005-0000-0000-0000EA660000}"/>
    <cellStyle name="표준 5 2 5 3 6 2 2 2" xfId="31582" xr:uid="{00000000-0005-0000-0000-0000EB660000}"/>
    <cellStyle name="표준 5 2 5 3 6 2 2 3" xfId="39793" xr:uid="{00000000-0005-0000-0000-0000EC660000}"/>
    <cellStyle name="표준 5 2 5 3 6 2 2 4" xfId="47986" xr:uid="{00000000-0005-0000-0000-0000ED660000}"/>
    <cellStyle name="표준 5 2 5 3 6 2 3" xfId="19228" xr:uid="{00000000-0005-0000-0000-0000EE660000}"/>
    <cellStyle name="표준 5 2 5 3 6 2 4" xfId="23390" xr:uid="{00000000-0005-0000-0000-0000EF660000}"/>
    <cellStyle name="표준 5 2 5 3 6 2 5" xfId="27486" xr:uid="{00000000-0005-0000-0000-0000F0660000}"/>
    <cellStyle name="표준 5 2 5 3 6 2 6" xfId="35697" xr:uid="{00000000-0005-0000-0000-0000F1660000}"/>
    <cellStyle name="표준 5 2 5 3 6 2 7" xfId="43890" xr:uid="{00000000-0005-0000-0000-0000F2660000}"/>
    <cellStyle name="표준 5 2 5 3 6 3" xfId="8828" xr:uid="{00000000-0005-0000-0000-0000F3660000}"/>
    <cellStyle name="표준 5 2 5 3 6 3 2" xfId="29534" xr:uid="{00000000-0005-0000-0000-0000F4660000}"/>
    <cellStyle name="표준 5 2 5 3 6 3 3" xfId="37745" xr:uid="{00000000-0005-0000-0000-0000F5660000}"/>
    <cellStyle name="표준 5 2 5 3 6 3 4" xfId="45938" xr:uid="{00000000-0005-0000-0000-0000F6660000}"/>
    <cellStyle name="표준 5 2 5 3 6 4" xfId="12940" xr:uid="{00000000-0005-0000-0000-0000F7660000}"/>
    <cellStyle name="표준 5 2 5 3 6 5" xfId="17180" xr:uid="{00000000-0005-0000-0000-0000F8660000}"/>
    <cellStyle name="표준 5 2 5 3 6 6" xfId="21342" xr:uid="{00000000-0005-0000-0000-0000F9660000}"/>
    <cellStyle name="표준 5 2 5 3 6 7" xfId="25438" xr:uid="{00000000-0005-0000-0000-0000FA660000}"/>
    <cellStyle name="표준 5 2 5 3 6 8" xfId="33649" xr:uid="{00000000-0005-0000-0000-0000FB660000}"/>
    <cellStyle name="표준 5 2 5 3 6 9" xfId="41842" xr:uid="{00000000-0005-0000-0000-0000FC660000}"/>
    <cellStyle name="표준 5 2 5 3 7" xfId="9340" xr:uid="{00000000-0005-0000-0000-0000FD660000}"/>
    <cellStyle name="표준 5 2 5 3 7 2" xfId="13452" xr:uid="{00000000-0005-0000-0000-0000FE660000}"/>
    <cellStyle name="표준 5 2 5 3 7 2 2" xfId="30046" xr:uid="{00000000-0005-0000-0000-0000FF660000}"/>
    <cellStyle name="표준 5 2 5 3 7 2 3" xfId="38257" xr:uid="{00000000-0005-0000-0000-000000670000}"/>
    <cellStyle name="표준 5 2 5 3 7 2 4" xfId="46450" xr:uid="{00000000-0005-0000-0000-000001670000}"/>
    <cellStyle name="표준 5 2 5 3 7 3" xfId="17692" xr:uid="{00000000-0005-0000-0000-000002670000}"/>
    <cellStyle name="표준 5 2 5 3 7 4" xfId="21854" xr:uid="{00000000-0005-0000-0000-000003670000}"/>
    <cellStyle name="표준 5 2 5 3 7 5" xfId="25950" xr:uid="{00000000-0005-0000-0000-000004670000}"/>
    <cellStyle name="표준 5 2 5 3 7 6" xfId="34161" xr:uid="{00000000-0005-0000-0000-000005670000}"/>
    <cellStyle name="표준 5 2 5 3 7 7" xfId="42354" xr:uid="{00000000-0005-0000-0000-000006670000}"/>
    <cellStyle name="표준 5 2 5 3 8" xfId="7292" xr:uid="{00000000-0005-0000-0000-000007670000}"/>
    <cellStyle name="표준 5 2 5 3 8 2" xfId="27998" xr:uid="{00000000-0005-0000-0000-000008670000}"/>
    <cellStyle name="표준 5 2 5 3 8 3" xfId="36209" xr:uid="{00000000-0005-0000-0000-000009670000}"/>
    <cellStyle name="표준 5 2 5 3 8 4" xfId="44402" xr:uid="{00000000-0005-0000-0000-00000A670000}"/>
    <cellStyle name="표준 5 2 5 3 9" xfId="11404" xr:uid="{00000000-0005-0000-0000-00000B670000}"/>
    <cellStyle name="표준 5 2 5 4" xfId="501" xr:uid="{00000000-0005-0000-0000-00000C670000}"/>
    <cellStyle name="표준 5 2 5 4 10" xfId="19870" xr:uid="{00000000-0005-0000-0000-00000D670000}"/>
    <cellStyle name="표준 5 2 5 4 11" xfId="23966" xr:uid="{00000000-0005-0000-0000-00000E670000}"/>
    <cellStyle name="표준 5 2 5 4 12" xfId="32177" xr:uid="{00000000-0005-0000-0000-00000F670000}"/>
    <cellStyle name="표준 5 2 5 4 13" xfId="40370" xr:uid="{00000000-0005-0000-0000-000010670000}"/>
    <cellStyle name="표준 5 2 5 4 2" xfId="757" xr:uid="{00000000-0005-0000-0000-000011670000}"/>
    <cellStyle name="표준 5 2 5 4 2 10" xfId="24222" xr:uid="{00000000-0005-0000-0000-000012670000}"/>
    <cellStyle name="표준 5 2 5 4 2 11" xfId="32433" xr:uid="{00000000-0005-0000-0000-000013670000}"/>
    <cellStyle name="표준 5 2 5 4 2 12" xfId="40626" xr:uid="{00000000-0005-0000-0000-000014670000}"/>
    <cellStyle name="표준 5 2 5 4 2 2" xfId="1269" xr:uid="{00000000-0005-0000-0000-000015670000}"/>
    <cellStyle name="표준 5 2 5 4 2 2 2" xfId="10172" xr:uid="{00000000-0005-0000-0000-000016670000}"/>
    <cellStyle name="표준 5 2 5 4 2 2 2 2" xfId="14284" xr:uid="{00000000-0005-0000-0000-000017670000}"/>
    <cellStyle name="표준 5 2 5 4 2 2 2 2 2" xfId="30878" xr:uid="{00000000-0005-0000-0000-000018670000}"/>
    <cellStyle name="표준 5 2 5 4 2 2 2 2 3" xfId="39089" xr:uid="{00000000-0005-0000-0000-000019670000}"/>
    <cellStyle name="표준 5 2 5 4 2 2 2 2 4" xfId="47282" xr:uid="{00000000-0005-0000-0000-00001A670000}"/>
    <cellStyle name="표준 5 2 5 4 2 2 2 3" xfId="18524" xr:uid="{00000000-0005-0000-0000-00001B670000}"/>
    <cellStyle name="표준 5 2 5 4 2 2 2 4" xfId="22686" xr:uid="{00000000-0005-0000-0000-00001C670000}"/>
    <cellStyle name="표준 5 2 5 4 2 2 2 5" xfId="26782" xr:uid="{00000000-0005-0000-0000-00001D670000}"/>
    <cellStyle name="표준 5 2 5 4 2 2 2 6" xfId="34993" xr:uid="{00000000-0005-0000-0000-00001E670000}"/>
    <cellStyle name="표준 5 2 5 4 2 2 2 7" xfId="43186" xr:uid="{00000000-0005-0000-0000-00001F670000}"/>
    <cellStyle name="표준 5 2 5 4 2 2 3" xfId="8124" xr:uid="{00000000-0005-0000-0000-000020670000}"/>
    <cellStyle name="표준 5 2 5 4 2 2 3 2" xfId="28830" xr:uid="{00000000-0005-0000-0000-000021670000}"/>
    <cellStyle name="표준 5 2 5 4 2 2 3 3" xfId="37041" xr:uid="{00000000-0005-0000-0000-000022670000}"/>
    <cellStyle name="표준 5 2 5 4 2 2 3 4" xfId="45234" xr:uid="{00000000-0005-0000-0000-000023670000}"/>
    <cellStyle name="표준 5 2 5 4 2 2 4" xfId="12236" xr:uid="{00000000-0005-0000-0000-000024670000}"/>
    <cellStyle name="표준 5 2 5 4 2 2 5" xfId="16476" xr:uid="{00000000-0005-0000-0000-000025670000}"/>
    <cellStyle name="표준 5 2 5 4 2 2 6" xfId="20638" xr:uid="{00000000-0005-0000-0000-000026670000}"/>
    <cellStyle name="표준 5 2 5 4 2 2 7" xfId="24734" xr:uid="{00000000-0005-0000-0000-000027670000}"/>
    <cellStyle name="표준 5 2 5 4 2 2 8" xfId="32945" xr:uid="{00000000-0005-0000-0000-000028670000}"/>
    <cellStyle name="표준 5 2 5 4 2 2 9" xfId="41138" xr:uid="{00000000-0005-0000-0000-000029670000}"/>
    <cellStyle name="표준 5 2 5 4 2 3" xfId="1781" xr:uid="{00000000-0005-0000-0000-00002A670000}"/>
    <cellStyle name="표준 5 2 5 4 2 3 2" xfId="10684" xr:uid="{00000000-0005-0000-0000-00002B670000}"/>
    <cellStyle name="표준 5 2 5 4 2 3 2 2" xfId="14796" xr:uid="{00000000-0005-0000-0000-00002C670000}"/>
    <cellStyle name="표준 5 2 5 4 2 3 2 2 2" xfId="31390" xr:uid="{00000000-0005-0000-0000-00002D670000}"/>
    <cellStyle name="표준 5 2 5 4 2 3 2 2 3" xfId="39601" xr:uid="{00000000-0005-0000-0000-00002E670000}"/>
    <cellStyle name="표준 5 2 5 4 2 3 2 2 4" xfId="47794" xr:uid="{00000000-0005-0000-0000-00002F670000}"/>
    <cellStyle name="표준 5 2 5 4 2 3 2 3" xfId="19036" xr:uid="{00000000-0005-0000-0000-000030670000}"/>
    <cellStyle name="표준 5 2 5 4 2 3 2 4" xfId="23198" xr:uid="{00000000-0005-0000-0000-000031670000}"/>
    <cellStyle name="표준 5 2 5 4 2 3 2 5" xfId="27294" xr:uid="{00000000-0005-0000-0000-000032670000}"/>
    <cellStyle name="표준 5 2 5 4 2 3 2 6" xfId="35505" xr:uid="{00000000-0005-0000-0000-000033670000}"/>
    <cellStyle name="표준 5 2 5 4 2 3 2 7" xfId="43698" xr:uid="{00000000-0005-0000-0000-000034670000}"/>
    <cellStyle name="표준 5 2 5 4 2 3 3" xfId="8636" xr:uid="{00000000-0005-0000-0000-000035670000}"/>
    <cellStyle name="표준 5 2 5 4 2 3 3 2" xfId="29342" xr:uid="{00000000-0005-0000-0000-000036670000}"/>
    <cellStyle name="표준 5 2 5 4 2 3 3 3" xfId="37553" xr:uid="{00000000-0005-0000-0000-000037670000}"/>
    <cellStyle name="표준 5 2 5 4 2 3 3 4" xfId="45746" xr:uid="{00000000-0005-0000-0000-000038670000}"/>
    <cellStyle name="표준 5 2 5 4 2 3 4" xfId="12748" xr:uid="{00000000-0005-0000-0000-000039670000}"/>
    <cellStyle name="표준 5 2 5 4 2 3 5" xfId="16988" xr:uid="{00000000-0005-0000-0000-00003A670000}"/>
    <cellStyle name="표준 5 2 5 4 2 3 6" xfId="21150" xr:uid="{00000000-0005-0000-0000-00003B670000}"/>
    <cellStyle name="표준 5 2 5 4 2 3 7" xfId="25246" xr:uid="{00000000-0005-0000-0000-00003C670000}"/>
    <cellStyle name="표준 5 2 5 4 2 3 8" xfId="33457" xr:uid="{00000000-0005-0000-0000-00003D670000}"/>
    <cellStyle name="표준 5 2 5 4 2 3 9" xfId="41650" xr:uid="{00000000-0005-0000-0000-00003E670000}"/>
    <cellStyle name="표준 5 2 5 4 2 4" xfId="2293" xr:uid="{00000000-0005-0000-0000-00003F670000}"/>
    <cellStyle name="표준 5 2 5 4 2 4 2" xfId="11196" xr:uid="{00000000-0005-0000-0000-000040670000}"/>
    <cellStyle name="표준 5 2 5 4 2 4 2 2" xfId="15308" xr:uid="{00000000-0005-0000-0000-000041670000}"/>
    <cellStyle name="표준 5 2 5 4 2 4 2 2 2" xfId="31902" xr:uid="{00000000-0005-0000-0000-000042670000}"/>
    <cellStyle name="표준 5 2 5 4 2 4 2 2 3" xfId="40113" xr:uid="{00000000-0005-0000-0000-000043670000}"/>
    <cellStyle name="표준 5 2 5 4 2 4 2 2 4" xfId="48306" xr:uid="{00000000-0005-0000-0000-000044670000}"/>
    <cellStyle name="표준 5 2 5 4 2 4 2 3" xfId="19548" xr:uid="{00000000-0005-0000-0000-000045670000}"/>
    <cellStyle name="표준 5 2 5 4 2 4 2 4" xfId="23710" xr:uid="{00000000-0005-0000-0000-000046670000}"/>
    <cellStyle name="표준 5 2 5 4 2 4 2 5" xfId="27806" xr:uid="{00000000-0005-0000-0000-000047670000}"/>
    <cellStyle name="표준 5 2 5 4 2 4 2 6" xfId="36017" xr:uid="{00000000-0005-0000-0000-000048670000}"/>
    <cellStyle name="표준 5 2 5 4 2 4 2 7" xfId="44210" xr:uid="{00000000-0005-0000-0000-000049670000}"/>
    <cellStyle name="표준 5 2 5 4 2 4 3" xfId="9148" xr:uid="{00000000-0005-0000-0000-00004A670000}"/>
    <cellStyle name="표준 5 2 5 4 2 4 3 2" xfId="29854" xr:uid="{00000000-0005-0000-0000-00004B670000}"/>
    <cellStyle name="표준 5 2 5 4 2 4 3 3" xfId="38065" xr:uid="{00000000-0005-0000-0000-00004C670000}"/>
    <cellStyle name="표준 5 2 5 4 2 4 3 4" xfId="46258" xr:uid="{00000000-0005-0000-0000-00004D670000}"/>
    <cellStyle name="표준 5 2 5 4 2 4 4" xfId="13260" xr:uid="{00000000-0005-0000-0000-00004E670000}"/>
    <cellStyle name="표준 5 2 5 4 2 4 5" xfId="17500" xr:uid="{00000000-0005-0000-0000-00004F670000}"/>
    <cellStyle name="표준 5 2 5 4 2 4 6" xfId="21662" xr:uid="{00000000-0005-0000-0000-000050670000}"/>
    <cellStyle name="표준 5 2 5 4 2 4 7" xfId="25758" xr:uid="{00000000-0005-0000-0000-000051670000}"/>
    <cellStyle name="표준 5 2 5 4 2 4 8" xfId="33969" xr:uid="{00000000-0005-0000-0000-000052670000}"/>
    <cellStyle name="표준 5 2 5 4 2 4 9" xfId="42162" xr:uid="{00000000-0005-0000-0000-000053670000}"/>
    <cellStyle name="표준 5 2 5 4 2 5" xfId="9660" xr:uid="{00000000-0005-0000-0000-000054670000}"/>
    <cellStyle name="표준 5 2 5 4 2 5 2" xfId="13772" xr:uid="{00000000-0005-0000-0000-000055670000}"/>
    <cellStyle name="표준 5 2 5 4 2 5 2 2" xfId="30366" xr:uid="{00000000-0005-0000-0000-000056670000}"/>
    <cellStyle name="표준 5 2 5 4 2 5 2 3" xfId="38577" xr:uid="{00000000-0005-0000-0000-000057670000}"/>
    <cellStyle name="표준 5 2 5 4 2 5 2 4" xfId="46770" xr:uid="{00000000-0005-0000-0000-000058670000}"/>
    <cellStyle name="표준 5 2 5 4 2 5 3" xfId="18012" xr:uid="{00000000-0005-0000-0000-000059670000}"/>
    <cellStyle name="표준 5 2 5 4 2 5 4" xfId="22174" xr:uid="{00000000-0005-0000-0000-00005A670000}"/>
    <cellStyle name="표준 5 2 5 4 2 5 5" xfId="26270" xr:uid="{00000000-0005-0000-0000-00005B670000}"/>
    <cellStyle name="표준 5 2 5 4 2 5 6" xfId="34481" xr:uid="{00000000-0005-0000-0000-00005C670000}"/>
    <cellStyle name="표준 5 2 5 4 2 5 7" xfId="42674" xr:uid="{00000000-0005-0000-0000-00005D670000}"/>
    <cellStyle name="표준 5 2 5 4 2 6" xfId="7612" xr:uid="{00000000-0005-0000-0000-00005E670000}"/>
    <cellStyle name="표준 5 2 5 4 2 6 2" xfId="28318" xr:uid="{00000000-0005-0000-0000-00005F670000}"/>
    <cellStyle name="표준 5 2 5 4 2 6 3" xfId="36529" xr:uid="{00000000-0005-0000-0000-000060670000}"/>
    <cellStyle name="표준 5 2 5 4 2 6 4" xfId="44722" xr:uid="{00000000-0005-0000-0000-000061670000}"/>
    <cellStyle name="표준 5 2 5 4 2 7" xfId="11724" xr:uid="{00000000-0005-0000-0000-000062670000}"/>
    <cellStyle name="표준 5 2 5 4 2 8" xfId="15964" xr:uid="{00000000-0005-0000-0000-000063670000}"/>
    <cellStyle name="표준 5 2 5 4 2 9" xfId="20126" xr:uid="{00000000-0005-0000-0000-000064670000}"/>
    <cellStyle name="표준 5 2 5 4 3" xfId="1013" xr:uid="{00000000-0005-0000-0000-000065670000}"/>
    <cellStyle name="표준 5 2 5 4 3 2" xfId="9916" xr:uid="{00000000-0005-0000-0000-000066670000}"/>
    <cellStyle name="표준 5 2 5 4 3 2 2" xfId="14028" xr:uid="{00000000-0005-0000-0000-000067670000}"/>
    <cellStyle name="표준 5 2 5 4 3 2 2 2" xfId="30622" xr:uid="{00000000-0005-0000-0000-000068670000}"/>
    <cellStyle name="표준 5 2 5 4 3 2 2 3" xfId="38833" xr:uid="{00000000-0005-0000-0000-000069670000}"/>
    <cellStyle name="표준 5 2 5 4 3 2 2 4" xfId="47026" xr:uid="{00000000-0005-0000-0000-00006A670000}"/>
    <cellStyle name="표준 5 2 5 4 3 2 3" xfId="18268" xr:uid="{00000000-0005-0000-0000-00006B670000}"/>
    <cellStyle name="표준 5 2 5 4 3 2 4" xfId="22430" xr:uid="{00000000-0005-0000-0000-00006C670000}"/>
    <cellStyle name="표준 5 2 5 4 3 2 5" xfId="26526" xr:uid="{00000000-0005-0000-0000-00006D670000}"/>
    <cellStyle name="표준 5 2 5 4 3 2 6" xfId="34737" xr:uid="{00000000-0005-0000-0000-00006E670000}"/>
    <cellStyle name="표준 5 2 5 4 3 2 7" xfId="42930" xr:uid="{00000000-0005-0000-0000-00006F670000}"/>
    <cellStyle name="표준 5 2 5 4 3 3" xfId="7868" xr:uid="{00000000-0005-0000-0000-000070670000}"/>
    <cellStyle name="표준 5 2 5 4 3 3 2" xfId="28574" xr:uid="{00000000-0005-0000-0000-000071670000}"/>
    <cellStyle name="표준 5 2 5 4 3 3 3" xfId="36785" xr:uid="{00000000-0005-0000-0000-000072670000}"/>
    <cellStyle name="표준 5 2 5 4 3 3 4" xfId="44978" xr:uid="{00000000-0005-0000-0000-000073670000}"/>
    <cellStyle name="표준 5 2 5 4 3 4" xfId="11980" xr:uid="{00000000-0005-0000-0000-000074670000}"/>
    <cellStyle name="표준 5 2 5 4 3 5" xfId="16220" xr:uid="{00000000-0005-0000-0000-000075670000}"/>
    <cellStyle name="표준 5 2 5 4 3 6" xfId="20382" xr:uid="{00000000-0005-0000-0000-000076670000}"/>
    <cellStyle name="표준 5 2 5 4 3 7" xfId="24478" xr:uid="{00000000-0005-0000-0000-000077670000}"/>
    <cellStyle name="표준 5 2 5 4 3 8" xfId="32689" xr:uid="{00000000-0005-0000-0000-000078670000}"/>
    <cellStyle name="표준 5 2 5 4 3 9" xfId="40882" xr:uid="{00000000-0005-0000-0000-000079670000}"/>
    <cellStyle name="표준 5 2 5 4 4" xfId="1525" xr:uid="{00000000-0005-0000-0000-00007A670000}"/>
    <cellStyle name="표준 5 2 5 4 4 2" xfId="10428" xr:uid="{00000000-0005-0000-0000-00007B670000}"/>
    <cellStyle name="표준 5 2 5 4 4 2 2" xfId="14540" xr:uid="{00000000-0005-0000-0000-00007C670000}"/>
    <cellStyle name="표준 5 2 5 4 4 2 2 2" xfId="31134" xr:uid="{00000000-0005-0000-0000-00007D670000}"/>
    <cellStyle name="표준 5 2 5 4 4 2 2 3" xfId="39345" xr:uid="{00000000-0005-0000-0000-00007E670000}"/>
    <cellStyle name="표준 5 2 5 4 4 2 2 4" xfId="47538" xr:uid="{00000000-0005-0000-0000-00007F670000}"/>
    <cellStyle name="표준 5 2 5 4 4 2 3" xfId="18780" xr:uid="{00000000-0005-0000-0000-000080670000}"/>
    <cellStyle name="표준 5 2 5 4 4 2 4" xfId="22942" xr:uid="{00000000-0005-0000-0000-000081670000}"/>
    <cellStyle name="표준 5 2 5 4 4 2 5" xfId="27038" xr:uid="{00000000-0005-0000-0000-000082670000}"/>
    <cellStyle name="표준 5 2 5 4 4 2 6" xfId="35249" xr:uid="{00000000-0005-0000-0000-000083670000}"/>
    <cellStyle name="표준 5 2 5 4 4 2 7" xfId="43442" xr:uid="{00000000-0005-0000-0000-000084670000}"/>
    <cellStyle name="표준 5 2 5 4 4 3" xfId="8380" xr:uid="{00000000-0005-0000-0000-000085670000}"/>
    <cellStyle name="표준 5 2 5 4 4 3 2" xfId="29086" xr:uid="{00000000-0005-0000-0000-000086670000}"/>
    <cellStyle name="표준 5 2 5 4 4 3 3" xfId="37297" xr:uid="{00000000-0005-0000-0000-000087670000}"/>
    <cellStyle name="표준 5 2 5 4 4 3 4" xfId="45490" xr:uid="{00000000-0005-0000-0000-000088670000}"/>
    <cellStyle name="표준 5 2 5 4 4 4" xfId="12492" xr:uid="{00000000-0005-0000-0000-000089670000}"/>
    <cellStyle name="표준 5 2 5 4 4 5" xfId="16732" xr:uid="{00000000-0005-0000-0000-00008A670000}"/>
    <cellStyle name="표준 5 2 5 4 4 6" xfId="20894" xr:uid="{00000000-0005-0000-0000-00008B670000}"/>
    <cellStyle name="표준 5 2 5 4 4 7" xfId="24990" xr:uid="{00000000-0005-0000-0000-00008C670000}"/>
    <cellStyle name="표준 5 2 5 4 4 8" xfId="33201" xr:uid="{00000000-0005-0000-0000-00008D670000}"/>
    <cellStyle name="표준 5 2 5 4 4 9" xfId="41394" xr:uid="{00000000-0005-0000-0000-00008E670000}"/>
    <cellStyle name="표준 5 2 5 4 5" xfId="2037" xr:uid="{00000000-0005-0000-0000-00008F670000}"/>
    <cellStyle name="표준 5 2 5 4 5 2" xfId="10940" xr:uid="{00000000-0005-0000-0000-000090670000}"/>
    <cellStyle name="표준 5 2 5 4 5 2 2" xfId="15052" xr:uid="{00000000-0005-0000-0000-000091670000}"/>
    <cellStyle name="표준 5 2 5 4 5 2 2 2" xfId="31646" xr:uid="{00000000-0005-0000-0000-000092670000}"/>
    <cellStyle name="표준 5 2 5 4 5 2 2 3" xfId="39857" xr:uid="{00000000-0005-0000-0000-000093670000}"/>
    <cellStyle name="표준 5 2 5 4 5 2 2 4" xfId="48050" xr:uid="{00000000-0005-0000-0000-000094670000}"/>
    <cellStyle name="표준 5 2 5 4 5 2 3" xfId="19292" xr:uid="{00000000-0005-0000-0000-000095670000}"/>
    <cellStyle name="표준 5 2 5 4 5 2 4" xfId="23454" xr:uid="{00000000-0005-0000-0000-000096670000}"/>
    <cellStyle name="표준 5 2 5 4 5 2 5" xfId="27550" xr:uid="{00000000-0005-0000-0000-000097670000}"/>
    <cellStyle name="표준 5 2 5 4 5 2 6" xfId="35761" xr:uid="{00000000-0005-0000-0000-000098670000}"/>
    <cellStyle name="표준 5 2 5 4 5 2 7" xfId="43954" xr:uid="{00000000-0005-0000-0000-000099670000}"/>
    <cellStyle name="표준 5 2 5 4 5 3" xfId="8892" xr:uid="{00000000-0005-0000-0000-00009A670000}"/>
    <cellStyle name="표준 5 2 5 4 5 3 2" xfId="29598" xr:uid="{00000000-0005-0000-0000-00009B670000}"/>
    <cellStyle name="표준 5 2 5 4 5 3 3" xfId="37809" xr:uid="{00000000-0005-0000-0000-00009C670000}"/>
    <cellStyle name="표준 5 2 5 4 5 3 4" xfId="46002" xr:uid="{00000000-0005-0000-0000-00009D670000}"/>
    <cellStyle name="표준 5 2 5 4 5 4" xfId="13004" xr:uid="{00000000-0005-0000-0000-00009E670000}"/>
    <cellStyle name="표준 5 2 5 4 5 5" xfId="17244" xr:uid="{00000000-0005-0000-0000-00009F670000}"/>
    <cellStyle name="표준 5 2 5 4 5 6" xfId="21406" xr:uid="{00000000-0005-0000-0000-0000A0670000}"/>
    <cellStyle name="표준 5 2 5 4 5 7" xfId="25502" xr:uid="{00000000-0005-0000-0000-0000A1670000}"/>
    <cellStyle name="표준 5 2 5 4 5 8" xfId="33713" xr:uid="{00000000-0005-0000-0000-0000A2670000}"/>
    <cellStyle name="표준 5 2 5 4 5 9" xfId="41906" xr:uid="{00000000-0005-0000-0000-0000A3670000}"/>
    <cellStyle name="표준 5 2 5 4 6" xfId="9404" xr:uid="{00000000-0005-0000-0000-0000A4670000}"/>
    <cellStyle name="표준 5 2 5 4 6 2" xfId="13516" xr:uid="{00000000-0005-0000-0000-0000A5670000}"/>
    <cellStyle name="표준 5 2 5 4 6 2 2" xfId="30110" xr:uid="{00000000-0005-0000-0000-0000A6670000}"/>
    <cellStyle name="표준 5 2 5 4 6 2 3" xfId="38321" xr:uid="{00000000-0005-0000-0000-0000A7670000}"/>
    <cellStyle name="표준 5 2 5 4 6 2 4" xfId="46514" xr:uid="{00000000-0005-0000-0000-0000A8670000}"/>
    <cellStyle name="표준 5 2 5 4 6 3" xfId="17756" xr:uid="{00000000-0005-0000-0000-0000A9670000}"/>
    <cellStyle name="표준 5 2 5 4 6 4" xfId="21918" xr:uid="{00000000-0005-0000-0000-0000AA670000}"/>
    <cellStyle name="표준 5 2 5 4 6 5" xfId="26014" xr:uid="{00000000-0005-0000-0000-0000AB670000}"/>
    <cellStyle name="표준 5 2 5 4 6 6" xfId="34225" xr:uid="{00000000-0005-0000-0000-0000AC670000}"/>
    <cellStyle name="표준 5 2 5 4 6 7" xfId="42418" xr:uid="{00000000-0005-0000-0000-0000AD670000}"/>
    <cellStyle name="표준 5 2 5 4 7" xfId="7356" xr:uid="{00000000-0005-0000-0000-0000AE670000}"/>
    <cellStyle name="표준 5 2 5 4 7 2" xfId="28062" xr:uid="{00000000-0005-0000-0000-0000AF670000}"/>
    <cellStyle name="표준 5 2 5 4 7 3" xfId="36273" xr:uid="{00000000-0005-0000-0000-0000B0670000}"/>
    <cellStyle name="표준 5 2 5 4 7 4" xfId="44466" xr:uid="{00000000-0005-0000-0000-0000B1670000}"/>
    <cellStyle name="표준 5 2 5 4 8" xfId="11468" xr:uid="{00000000-0005-0000-0000-0000B2670000}"/>
    <cellStyle name="표준 5 2 5 4 9" xfId="15708" xr:uid="{00000000-0005-0000-0000-0000B3670000}"/>
    <cellStyle name="표준 5 2 5 5" xfId="629" xr:uid="{00000000-0005-0000-0000-0000B4670000}"/>
    <cellStyle name="표준 5 2 5 5 10" xfId="24094" xr:uid="{00000000-0005-0000-0000-0000B5670000}"/>
    <cellStyle name="표준 5 2 5 5 11" xfId="32305" xr:uid="{00000000-0005-0000-0000-0000B6670000}"/>
    <cellStyle name="표준 5 2 5 5 12" xfId="40498" xr:uid="{00000000-0005-0000-0000-0000B7670000}"/>
    <cellStyle name="표준 5 2 5 5 2" xfId="1141" xr:uid="{00000000-0005-0000-0000-0000B8670000}"/>
    <cellStyle name="표준 5 2 5 5 2 2" xfId="10044" xr:uid="{00000000-0005-0000-0000-0000B9670000}"/>
    <cellStyle name="표준 5 2 5 5 2 2 2" xfId="14156" xr:uid="{00000000-0005-0000-0000-0000BA670000}"/>
    <cellStyle name="표준 5 2 5 5 2 2 2 2" xfId="30750" xr:uid="{00000000-0005-0000-0000-0000BB670000}"/>
    <cellStyle name="표준 5 2 5 5 2 2 2 3" xfId="38961" xr:uid="{00000000-0005-0000-0000-0000BC670000}"/>
    <cellStyle name="표준 5 2 5 5 2 2 2 4" xfId="47154" xr:uid="{00000000-0005-0000-0000-0000BD670000}"/>
    <cellStyle name="표준 5 2 5 5 2 2 3" xfId="18396" xr:uid="{00000000-0005-0000-0000-0000BE670000}"/>
    <cellStyle name="표준 5 2 5 5 2 2 4" xfId="22558" xr:uid="{00000000-0005-0000-0000-0000BF670000}"/>
    <cellStyle name="표준 5 2 5 5 2 2 5" xfId="26654" xr:uid="{00000000-0005-0000-0000-0000C0670000}"/>
    <cellStyle name="표준 5 2 5 5 2 2 6" xfId="34865" xr:uid="{00000000-0005-0000-0000-0000C1670000}"/>
    <cellStyle name="표준 5 2 5 5 2 2 7" xfId="43058" xr:uid="{00000000-0005-0000-0000-0000C2670000}"/>
    <cellStyle name="표준 5 2 5 5 2 3" xfId="7996" xr:uid="{00000000-0005-0000-0000-0000C3670000}"/>
    <cellStyle name="표준 5 2 5 5 2 3 2" xfId="28702" xr:uid="{00000000-0005-0000-0000-0000C4670000}"/>
    <cellStyle name="표준 5 2 5 5 2 3 3" xfId="36913" xr:uid="{00000000-0005-0000-0000-0000C5670000}"/>
    <cellStyle name="표준 5 2 5 5 2 3 4" xfId="45106" xr:uid="{00000000-0005-0000-0000-0000C6670000}"/>
    <cellStyle name="표준 5 2 5 5 2 4" xfId="12108" xr:uid="{00000000-0005-0000-0000-0000C7670000}"/>
    <cellStyle name="표준 5 2 5 5 2 5" xfId="16348" xr:uid="{00000000-0005-0000-0000-0000C8670000}"/>
    <cellStyle name="표준 5 2 5 5 2 6" xfId="20510" xr:uid="{00000000-0005-0000-0000-0000C9670000}"/>
    <cellStyle name="표준 5 2 5 5 2 7" xfId="24606" xr:uid="{00000000-0005-0000-0000-0000CA670000}"/>
    <cellStyle name="표준 5 2 5 5 2 8" xfId="32817" xr:uid="{00000000-0005-0000-0000-0000CB670000}"/>
    <cellStyle name="표준 5 2 5 5 2 9" xfId="41010" xr:uid="{00000000-0005-0000-0000-0000CC670000}"/>
    <cellStyle name="표준 5 2 5 5 3" xfId="1653" xr:uid="{00000000-0005-0000-0000-0000CD670000}"/>
    <cellStyle name="표준 5 2 5 5 3 2" xfId="10556" xr:uid="{00000000-0005-0000-0000-0000CE670000}"/>
    <cellStyle name="표준 5 2 5 5 3 2 2" xfId="14668" xr:uid="{00000000-0005-0000-0000-0000CF670000}"/>
    <cellStyle name="표준 5 2 5 5 3 2 2 2" xfId="31262" xr:uid="{00000000-0005-0000-0000-0000D0670000}"/>
    <cellStyle name="표준 5 2 5 5 3 2 2 3" xfId="39473" xr:uid="{00000000-0005-0000-0000-0000D1670000}"/>
    <cellStyle name="표준 5 2 5 5 3 2 2 4" xfId="47666" xr:uid="{00000000-0005-0000-0000-0000D2670000}"/>
    <cellStyle name="표준 5 2 5 5 3 2 3" xfId="18908" xr:uid="{00000000-0005-0000-0000-0000D3670000}"/>
    <cellStyle name="표준 5 2 5 5 3 2 4" xfId="23070" xr:uid="{00000000-0005-0000-0000-0000D4670000}"/>
    <cellStyle name="표준 5 2 5 5 3 2 5" xfId="27166" xr:uid="{00000000-0005-0000-0000-0000D5670000}"/>
    <cellStyle name="표준 5 2 5 5 3 2 6" xfId="35377" xr:uid="{00000000-0005-0000-0000-0000D6670000}"/>
    <cellStyle name="표준 5 2 5 5 3 2 7" xfId="43570" xr:uid="{00000000-0005-0000-0000-0000D7670000}"/>
    <cellStyle name="표준 5 2 5 5 3 3" xfId="8508" xr:uid="{00000000-0005-0000-0000-0000D8670000}"/>
    <cellStyle name="표준 5 2 5 5 3 3 2" xfId="29214" xr:uid="{00000000-0005-0000-0000-0000D9670000}"/>
    <cellStyle name="표준 5 2 5 5 3 3 3" xfId="37425" xr:uid="{00000000-0005-0000-0000-0000DA670000}"/>
    <cellStyle name="표준 5 2 5 5 3 3 4" xfId="45618" xr:uid="{00000000-0005-0000-0000-0000DB670000}"/>
    <cellStyle name="표준 5 2 5 5 3 4" xfId="12620" xr:uid="{00000000-0005-0000-0000-0000DC670000}"/>
    <cellStyle name="표준 5 2 5 5 3 5" xfId="16860" xr:uid="{00000000-0005-0000-0000-0000DD670000}"/>
    <cellStyle name="표준 5 2 5 5 3 6" xfId="21022" xr:uid="{00000000-0005-0000-0000-0000DE670000}"/>
    <cellStyle name="표준 5 2 5 5 3 7" xfId="25118" xr:uid="{00000000-0005-0000-0000-0000DF670000}"/>
    <cellStyle name="표준 5 2 5 5 3 8" xfId="33329" xr:uid="{00000000-0005-0000-0000-0000E0670000}"/>
    <cellStyle name="표준 5 2 5 5 3 9" xfId="41522" xr:uid="{00000000-0005-0000-0000-0000E1670000}"/>
    <cellStyle name="표준 5 2 5 5 4" xfId="2165" xr:uid="{00000000-0005-0000-0000-0000E2670000}"/>
    <cellStyle name="표준 5 2 5 5 4 2" xfId="11068" xr:uid="{00000000-0005-0000-0000-0000E3670000}"/>
    <cellStyle name="표준 5 2 5 5 4 2 2" xfId="15180" xr:uid="{00000000-0005-0000-0000-0000E4670000}"/>
    <cellStyle name="표준 5 2 5 5 4 2 2 2" xfId="31774" xr:uid="{00000000-0005-0000-0000-0000E5670000}"/>
    <cellStyle name="표준 5 2 5 5 4 2 2 3" xfId="39985" xr:uid="{00000000-0005-0000-0000-0000E6670000}"/>
    <cellStyle name="표준 5 2 5 5 4 2 2 4" xfId="48178" xr:uid="{00000000-0005-0000-0000-0000E7670000}"/>
    <cellStyle name="표준 5 2 5 5 4 2 3" xfId="19420" xr:uid="{00000000-0005-0000-0000-0000E8670000}"/>
    <cellStyle name="표준 5 2 5 5 4 2 4" xfId="23582" xr:uid="{00000000-0005-0000-0000-0000E9670000}"/>
    <cellStyle name="표준 5 2 5 5 4 2 5" xfId="27678" xr:uid="{00000000-0005-0000-0000-0000EA670000}"/>
    <cellStyle name="표준 5 2 5 5 4 2 6" xfId="35889" xr:uid="{00000000-0005-0000-0000-0000EB670000}"/>
    <cellStyle name="표준 5 2 5 5 4 2 7" xfId="44082" xr:uid="{00000000-0005-0000-0000-0000EC670000}"/>
    <cellStyle name="표준 5 2 5 5 4 3" xfId="9020" xr:uid="{00000000-0005-0000-0000-0000ED670000}"/>
    <cellStyle name="표준 5 2 5 5 4 3 2" xfId="29726" xr:uid="{00000000-0005-0000-0000-0000EE670000}"/>
    <cellStyle name="표준 5 2 5 5 4 3 3" xfId="37937" xr:uid="{00000000-0005-0000-0000-0000EF670000}"/>
    <cellStyle name="표준 5 2 5 5 4 3 4" xfId="46130" xr:uid="{00000000-0005-0000-0000-0000F0670000}"/>
    <cellStyle name="표준 5 2 5 5 4 4" xfId="13132" xr:uid="{00000000-0005-0000-0000-0000F1670000}"/>
    <cellStyle name="표준 5 2 5 5 4 5" xfId="17372" xr:uid="{00000000-0005-0000-0000-0000F2670000}"/>
    <cellStyle name="표준 5 2 5 5 4 6" xfId="21534" xr:uid="{00000000-0005-0000-0000-0000F3670000}"/>
    <cellStyle name="표준 5 2 5 5 4 7" xfId="25630" xr:uid="{00000000-0005-0000-0000-0000F4670000}"/>
    <cellStyle name="표준 5 2 5 5 4 8" xfId="33841" xr:uid="{00000000-0005-0000-0000-0000F5670000}"/>
    <cellStyle name="표준 5 2 5 5 4 9" xfId="42034" xr:uid="{00000000-0005-0000-0000-0000F6670000}"/>
    <cellStyle name="표준 5 2 5 5 5" xfId="9532" xr:uid="{00000000-0005-0000-0000-0000F7670000}"/>
    <cellStyle name="표준 5 2 5 5 5 2" xfId="13644" xr:uid="{00000000-0005-0000-0000-0000F8670000}"/>
    <cellStyle name="표준 5 2 5 5 5 2 2" xfId="30238" xr:uid="{00000000-0005-0000-0000-0000F9670000}"/>
    <cellStyle name="표준 5 2 5 5 5 2 3" xfId="38449" xr:uid="{00000000-0005-0000-0000-0000FA670000}"/>
    <cellStyle name="표준 5 2 5 5 5 2 4" xfId="46642" xr:uid="{00000000-0005-0000-0000-0000FB670000}"/>
    <cellStyle name="표준 5 2 5 5 5 3" xfId="17884" xr:uid="{00000000-0005-0000-0000-0000FC670000}"/>
    <cellStyle name="표준 5 2 5 5 5 4" xfId="22046" xr:uid="{00000000-0005-0000-0000-0000FD670000}"/>
    <cellStyle name="표준 5 2 5 5 5 5" xfId="26142" xr:uid="{00000000-0005-0000-0000-0000FE670000}"/>
    <cellStyle name="표준 5 2 5 5 5 6" xfId="34353" xr:uid="{00000000-0005-0000-0000-0000FF670000}"/>
    <cellStyle name="표준 5 2 5 5 5 7" xfId="42546" xr:uid="{00000000-0005-0000-0000-000000680000}"/>
    <cellStyle name="표준 5 2 5 5 6" xfId="7484" xr:uid="{00000000-0005-0000-0000-000001680000}"/>
    <cellStyle name="표준 5 2 5 5 6 2" xfId="28190" xr:uid="{00000000-0005-0000-0000-000002680000}"/>
    <cellStyle name="표준 5 2 5 5 6 3" xfId="36401" xr:uid="{00000000-0005-0000-0000-000003680000}"/>
    <cellStyle name="표준 5 2 5 5 6 4" xfId="44594" xr:uid="{00000000-0005-0000-0000-000004680000}"/>
    <cellStyle name="표준 5 2 5 5 7" xfId="11596" xr:uid="{00000000-0005-0000-0000-000005680000}"/>
    <cellStyle name="표준 5 2 5 5 8" xfId="15836" xr:uid="{00000000-0005-0000-0000-000006680000}"/>
    <cellStyle name="표준 5 2 5 5 9" xfId="19998" xr:uid="{00000000-0005-0000-0000-000007680000}"/>
    <cellStyle name="표준 5 2 5 6" xfId="885" xr:uid="{00000000-0005-0000-0000-000008680000}"/>
    <cellStyle name="표준 5 2 5 6 2" xfId="9788" xr:uid="{00000000-0005-0000-0000-000009680000}"/>
    <cellStyle name="표준 5 2 5 6 2 2" xfId="13900" xr:uid="{00000000-0005-0000-0000-00000A680000}"/>
    <cellStyle name="표준 5 2 5 6 2 2 2" xfId="30494" xr:uid="{00000000-0005-0000-0000-00000B680000}"/>
    <cellStyle name="표준 5 2 5 6 2 2 3" xfId="38705" xr:uid="{00000000-0005-0000-0000-00000C680000}"/>
    <cellStyle name="표준 5 2 5 6 2 2 4" xfId="46898" xr:uid="{00000000-0005-0000-0000-00000D680000}"/>
    <cellStyle name="표준 5 2 5 6 2 3" xfId="18140" xr:uid="{00000000-0005-0000-0000-00000E680000}"/>
    <cellStyle name="표준 5 2 5 6 2 4" xfId="22302" xr:uid="{00000000-0005-0000-0000-00000F680000}"/>
    <cellStyle name="표준 5 2 5 6 2 5" xfId="26398" xr:uid="{00000000-0005-0000-0000-000010680000}"/>
    <cellStyle name="표준 5 2 5 6 2 6" xfId="34609" xr:uid="{00000000-0005-0000-0000-000011680000}"/>
    <cellStyle name="표준 5 2 5 6 2 7" xfId="42802" xr:uid="{00000000-0005-0000-0000-000012680000}"/>
    <cellStyle name="표준 5 2 5 6 3" xfId="7740" xr:uid="{00000000-0005-0000-0000-000013680000}"/>
    <cellStyle name="표준 5 2 5 6 3 2" xfId="28446" xr:uid="{00000000-0005-0000-0000-000014680000}"/>
    <cellStyle name="표준 5 2 5 6 3 3" xfId="36657" xr:uid="{00000000-0005-0000-0000-000015680000}"/>
    <cellStyle name="표준 5 2 5 6 3 4" xfId="44850" xr:uid="{00000000-0005-0000-0000-000016680000}"/>
    <cellStyle name="표준 5 2 5 6 4" xfId="11852" xr:uid="{00000000-0005-0000-0000-000017680000}"/>
    <cellStyle name="표준 5 2 5 6 5" xfId="16092" xr:uid="{00000000-0005-0000-0000-000018680000}"/>
    <cellStyle name="표준 5 2 5 6 6" xfId="20254" xr:uid="{00000000-0005-0000-0000-000019680000}"/>
    <cellStyle name="표준 5 2 5 6 7" xfId="24350" xr:uid="{00000000-0005-0000-0000-00001A680000}"/>
    <cellStyle name="표준 5 2 5 6 8" xfId="32561" xr:uid="{00000000-0005-0000-0000-00001B680000}"/>
    <cellStyle name="표준 5 2 5 6 9" xfId="40754" xr:uid="{00000000-0005-0000-0000-00001C680000}"/>
    <cellStyle name="표준 5 2 5 7" xfId="1397" xr:uid="{00000000-0005-0000-0000-00001D680000}"/>
    <cellStyle name="표준 5 2 5 7 2" xfId="10300" xr:uid="{00000000-0005-0000-0000-00001E680000}"/>
    <cellStyle name="표준 5 2 5 7 2 2" xfId="14412" xr:uid="{00000000-0005-0000-0000-00001F680000}"/>
    <cellStyle name="표준 5 2 5 7 2 2 2" xfId="31006" xr:uid="{00000000-0005-0000-0000-000020680000}"/>
    <cellStyle name="표준 5 2 5 7 2 2 3" xfId="39217" xr:uid="{00000000-0005-0000-0000-000021680000}"/>
    <cellStyle name="표준 5 2 5 7 2 2 4" xfId="47410" xr:uid="{00000000-0005-0000-0000-000022680000}"/>
    <cellStyle name="표준 5 2 5 7 2 3" xfId="18652" xr:uid="{00000000-0005-0000-0000-000023680000}"/>
    <cellStyle name="표준 5 2 5 7 2 4" xfId="22814" xr:uid="{00000000-0005-0000-0000-000024680000}"/>
    <cellStyle name="표준 5 2 5 7 2 5" xfId="26910" xr:uid="{00000000-0005-0000-0000-000025680000}"/>
    <cellStyle name="표준 5 2 5 7 2 6" xfId="35121" xr:uid="{00000000-0005-0000-0000-000026680000}"/>
    <cellStyle name="표준 5 2 5 7 2 7" xfId="43314" xr:uid="{00000000-0005-0000-0000-000027680000}"/>
    <cellStyle name="표준 5 2 5 7 3" xfId="8252" xr:uid="{00000000-0005-0000-0000-000028680000}"/>
    <cellStyle name="표준 5 2 5 7 3 2" xfId="28958" xr:uid="{00000000-0005-0000-0000-000029680000}"/>
    <cellStyle name="표준 5 2 5 7 3 3" xfId="37169" xr:uid="{00000000-0005-0000-0000-00002A680000}"/>
    <cellStyle name="표준 5 2 5 7 3 4" xfId="45362" xr:uid="{00000000-0005-0000-0000-00002B680000}"/>
    <cellStyle name="표준 5 2 5 7 4" xfId="12364" xr:uid="{00000000-0005-0000-0000-00002C680000}"/>
    <cellStyle name="표준 5 2 5 7 5" xfId="16604" xr:uid="{00000000-0005-0000-0000-00002D680000}"/>
    <cellStyle name="표준 5 2 5 7 6" xfId="20766" xr:uid="{00000000-0005-0000-0000-00002E680000}"/>
    <cellStyle name="표준 5 2 5 7 7" xfId="24862" xr:uid="{00000000-0005-0000-0000-00002F680000}"/>
    <cellStyle name="표준 5 2 5 7 8" xfId="33073" xr:uid="{00000000-0005-0000-0000-000030680000}"/>
    <cellStyle name="표준 5 2 5 7 9" xfId="41266" xr:uid="{00000000-0005-0000-0000-000031680000}"/>
    <cellStyle name="표준 5 2 5 8" xfId="1909" xr:uid="{00000000-0005-0000-0000-000032680000}"/>
    <cellStyle name="표준 5 2 5 8 2" xfId="10812" xr:uid="{00000000-0005-0000-0000-000033680000}"/>
    <cellStyle name="표준 5 2 5 8 2 2" xfId="14924" xr:uid="{00000000-0005-0000-0000-000034680000}"/>
    <cellStyle name="표준 5 2 5 8 2 2 2" xfId="31518" xr:uid="{00000000-0005-0000-0000-000035680000}"/>
    <cellStyle name="표준 5 2 5 8 2 2 3" xfId="39729" xr:uid="{00000000-0005-0000-0000-000036680000}"/>
    <cellStyle name="표준 5 2 5 8 2 2 4" xfId="47922" xr:uid="{00000000-0005-0000-0000-000037680000}"/>
    <cellStyle name="표준 5 2 5 8 2 3" xfId="19164" xr:uid="{00000000-0005-0000-0000-000038680000}"/>
    <cellStyle name="표준 5 2 5 8 2 4" xfId="23326" xr:uid="{00000000-0005-0000-0000-000039680000}"/>
    <cellStyle name="표준 5 2 5 8 2 5" xfId="27422" xr:uid="{00000000-0005-0000-0000-00003A680000}"/>
    <cellStyle name="표준 5 2 5 8 2 6" xfId="35633" xr:uid="{00000000-0005-0000-0000-00003B680000}"/>
    <cellStyle name="표준 5 2 5 8 2 7" xfId="43826" xr:uid="{00000000-0005-0000-0000-00003C680000}"/>
    <cellStyle name="표준 5 2 5 8 3" xfId="8764" xr:uid="{00000000-0005-0000-0000-00003D680000}"/>
    <cellStyle name="표준 5 2 5 8 3 2" xfId="29470" xr:uid="{00000000-0005-0000-0000-00003E680000}"/>
    <cellStyle name="표준 5 2 5 8 3 3" xfId="37681" xr:uid="{00000000-0005-0000-0000-00003F680000}"/>
    <cellStyle name="표준 5 2 5 8 3 4" xfId="45874" xr:uid="{00000000-0005-0000-0000-000040680000}"/>
    <cellStyle name="표준 5 2 5 8 4" xfId="12876" xr:uid="{00000000-0005-0000-0000-000041680000}"/>
    <cellStyle name="표준 5 2 5 8 5" xfId="17116" xr:uid="{00000000-0005-0000-0000-000042680000}"/>
    <cellStyle name="표준 5 2 5 8 6" xfId="21278" xr:uid="{00000000-0005-0000-0000-000043680000}"/>
    <cellStyle name="표준 5 2 5 8 7" xfId="25374" xr:uid="{00000000-0005-0000-0000-000044680000}"/>
    <cellStyle name="표준 5 2 5 8 8" xfId="33585" xr:uid="{00000000-0005-0000-0000-000045680000}"/>
    <cellStyle name="표준 5 2 5 8 9" xfId="41778" xr:uid="{00000000-0005-0000-0000-000046680000}"/>
    <cellStyle name="표준 5 2 5 9" xfId="6226" xr:uid="{00000000-0005-0000-0000-000047680000}"/>
    <cellStyle name="표준 5 2 5 9 2" xfId="9276" xr:uid="{00000000-0005-0000-0000-000048680000}"/>
    <cellStyle name="표준 5 2 5 9 2 2" xfId="29982" xr:uid="{00000000-0005-0000-0000-000049680000}"/>
    <cellStyle name="표준 5 2 5 9 2 3" xfId="38193" xr:uid="{00000000-0005-0000-0000-00004A680000}"/>
    <cellStyle name="표준 5 2 5 9 2 4" xfId="46386" xr:uid="{00000000-0005-0000-0000-00004B680000}"/>
    <cellStyle name="표준 5 2 5 9 3" xfId="13388" xr:uid="{00000000-0005-0000-0000-00004C680000}"/>
    <cellStyle name="표준 5 2 5 9 4" xfId="17628" xr:uid="{00000000-0005-0000-0000-00004D680000}"/>
    <cellStyle name="표준 5 2 5 9 5" xfId="21790" xr:uid="{00000000-0005-0000-0000-00004E680000}"/>
    <cellStyle name="표준 5 2 5 9 6" xfId="25886" xr:uid="{00000000-0005-0000-0000-00004F680000}"/>
    <cellStyle name="표준 5 2 5 9 7" xfId="34097" xr:uid="{00000000-0005-0000-0000-000050680000}"/>
    <cellStyle name="표준 5 2 5 9 8" xfId="42290" xr:uid="{00000000-0005-0000-0000-000051680000}"/>
    <cellStyle name="표준 5 2 6" xfId="290" xr:uid="{00000000-0005-0000-0000-000052680000}"/>
    <cellStyle name="표준 5 2 6 10" xfId="6991" xr:uid="{00000000-0005-0000-0000-000053680000}"/>
    <cellStyle name="표준 5 2 6 11" xfId="7177" xr:uid="{00000000-0005-0000-0000-000054680000}"/>
    <cellStyle name="표준 5 2 6 12" xfId="7244" xr:uid="{00000000-0005-0000-0000-000055680000}"/>
    <cellStyle name="표준 5 2 6 13" xfId="11356" xr:uid="{00000000-0005-0000-0000-000056680000}"/>
    <cellStyle name="표준 5 2 6 14" xfId="15484" xr:uid="{00000000-0005-0000-0000-000057680000}"/>
    <cellStyle name="표준 5 2 6 15" xfId="15596" xr:uid="{00000000-0005-0000-0000-000058680000}"/>
    <cellStyle name="표준 5 2 6 16" xfId="19758" xr:uid="{00000000-0005-0000-0000-000059680000}"/>
    <cellStyle name="표준 5 2 6 17" xfId="23854" xr:uid="{00000000-0005-0000-0000-00005A680000}"/>
    <cellStyle name="표준 5 2 6 18" xfId="32065" xr:uid="{00000000-0005-0000-0000-00005B680000}"/>
    <cellStyle name="표준 5 2 6 19" xfId="40258" xr:uid="{00000000-0005-0000-0000-00005C680000}"/>
    <cellStyle name="표준 5 2 6 2" xfId="453" xr:uid="{00000000-0005-0000-0000-00005D680000}"/>
    <cellStyle name="표준 5 2 6 2 10" xfId="11420" xr:uid="{00000000-0005-0000-0000-00005E680000}"/>
    <cellStyle name="표준 5 2 6 2 11" xfId="15532" xr:uid="{00000000-0005-0000-0000-00005F680000}"/>
    <cellStyle name="표준 5 2 6 2 12" xfId="15660" xr:uid="{00000000-0005-0000-0000-000060680000}"/>
    <cellStyle name="표준 5 2 6 2 13" xfId="19822" xr:uid="{00000000-0005-0000-0000-000061680000}"/>
    <cellStyle name="표준 5 2 6 2 14" xfId="23918" xr:uid="{00000000-0005-0000-0000-000062680000}"/>
    <cellStyle name="표준 5 2 6 2 15" xfId="32129" xr:uid="{00000000-0005-0000-0000-000063680000}"/>
    <cellStyle name="표준 5 2 6 2 16" xfId="40322" xr:uid="{00000000-0005-0000-0000-000064680000}"/>
    <cellStyle name="표준 5 2 6 2 2" xfId="581" xr:uid="{00000000-0005-0000-0000-000065680000}"/>
    <cellStyle name="표준 5 2 6 2 2 10" xfId="19950" xr:uid="{00000000-0005-0000-0000-000066680000}"/>
    <cellStyle name="표준 5 2 6 2 2 11" xfId="24046" xr:uid="{00000000-0005-0000-0000-000067680000}"/>
    <cellStyle name="표준 5 2 6 2 2 12" xfId="32257" xr:uid="{00000000-0005-0000-0000-000068680000}"/>
    <cellStyle name="표준 5 2 6 2 2 13" xfId="40450" xr:uid="{00000000-0005-0000-0000-000069680000}"/>
    <cellStyle name="표준 5 2 6 2 2 2" xfId="837" xr:uid="{00000000-0005-0000-0000-00006A680000}"/>
    <cellStyle name="표준 5 2 6 2 2 2 10" xfId="24302" xr:uid="{00000000-0005-0000-0000-00006B680000}"/>
    <cellStyle name="표준 5 2 6 2 2 2 11" xfId="32513" xr:uid="{00000000-0005-0000-0000-00006C680000}"/>
    <cellStyle name="표준 5 2 6 2 2 2 12" xfId="40706" xr:uid="{00000000-0005-0000-0000-00006D680000}"/>
    <cellStyle name="표준 5 2 6 2 2 2 2" xfId="1349" xr:uid="{00000000-0005-0000-0000-00006E680000}"/>
    <cellStyle name="표준 5 2 6 2 2 2 2 2" xfId="10252" xr:uid="{00000000-0005-0000-0000-00006F680000}"/>
    <cellStyle name="표준 5 2 6 2 2 2 2 2 2" xfId="14364" xr:uid="{00000000-0005-0000-0000-000070680000}"/>
    <cellStyle name="표준 5 2 6 2 2 2 2 2 2 2" xfId="30958" xr:uid="{00000000-0005-0000-0000-000071680000}"/>
    <cellStyle name="표준 5 2 6 2 2 2 2 2 2 3" xfId="39169" xr:uid="{00000000-0005-0000-0000-000072680000}"/>
    <cellStyle name="표준 5 2 6 2 2 2 2 2 2 4" xfId="47362" xr:uid="{00000000-0005-0000-0000-000073680000}"/>
    <cellStyle name="표준 5 2 6 2 2 2 2 2 3" xfId="18604" xr:uid="{00000000-0005-0000-0000-000074680000}"/>
    <cellStyle name="표준 5 2 6 2 2 2 2 2 4" xfId="22766" xr:uid="{00000000-0005-0000-0000-000075680000}"/>
    <cellStyle name="표준 5 2 6 2 2 2 2 2 5" xfId="26862" xr:uid="{00000000-0005-0000-0000-000076680000}"/>
    <cellStyle name="표준 5 2 6 2 2 2 2 2 6" xfId="35073" xr:uid="{00000000-0005-0000-0000-000077680000}"/>
    <cellStyle name="표준 5 2 6 2 2 2 2 2 7" xfId="43266" xr:uid="{00000000-0005-0000-0000-000078680000}"/>
    <cellStyle name="표준 5 2 6 2 2 2 2 3" xfId="8204" xr:uid="{00000000-0005-0000-0000-000079680000}"/>
    <cellStyle name="표준 5 2 6 2 2 2 2 3 2" xfId="28910" xr:uid="{00000000-0005-0000-0000-00007A680000}"/>
    <cellStyle name="표준 5 2 6 2 2 2 2 3 3" xfId="37121" xr:uid="{00000000-0005-0000-0000-00007B680000}"/>
    <cellStyle name="표준 5 2 6 2 2 2 2 3 4" xfId="45314" xr:uid="{00000000-0005-0000-0000-00007C680000}"/>
    <cellStyle name="표준 5 2 6 2 2 2 2 4" xfId="12316" xr:uid="{00000000-0005-0000-0000-00007D680000}"/>
    <cellStyle name="표준 5 2 6 2 2 2 2 5" xfId="16556" xr:uid="{00000000-0005-0000-0000-00007E680000}"/>
    <cellStyle name="표준 5 2 6 2 2 2 2 6" xfId="20718" xr:uid="{00000000-0005-0000-0000-00007F680000}"/>
    <cellStyle name="표준 5 2 6 2 2 2 2 7" xfId="24814" xr:uid="{00000000-0005-0000-0000-000080680000}"/>
    <cellStyle name="표준 5 2 6 2 2 2 2 8" xfId="33025" xr:uid="{00000000-0005-0000-0000-000081680000}"/>
    <cellStyle name="표준 5 2 6 2 2 2 2 9" xfId="41218" xr:uid="{00000000-0005-0000-0000-000082680000}"/>
    <cellStyle name="표준 5 2 6 2 2 2 3" xfId="1861" xr:uid="{00000000-0005-0000-0000-000083680000}"/>
    <cellStyle name="표준 5 2 6 2 2 2 3 2" xfId="10764" xr:uid="{00000000-0005-0000-0000-000084680000}"/>
    <cellStyle name="표준 5 2 6 2 2 2 3 2 2" xfId="14876" xr:uid="{00000000-0005-0000-0000-000085680000}"/>
    <cellStyle name="표준 5 2 6 2 2 2 3 2 2 2" xfId="31470" xr:uid="{00000000-0005-0000-0000-000086680000}"/>
    <cellStyle name="표준 5 2 6 2 2 2 3 2 2 3" xfId="39681" xr:uid="{00000000-0005-0000-0000-000087680000}"/>
    <cellStyle name="표준 5 2 6 2 2 2 3 2 2 4" xfId="47874" xr:uid="{00000000-0005-0000-0000-000088680000}"/>
    <cellStyle name="표준 5 2 6 2 2 2 3 2 3" xfId="19116" xr:uid="{00000000-0005-0000-0000-000089680000}"/>
    <cellStyle name="표준 5 2 6 2 2 2 3 2 4" xfId="23278" xr:uid="{00000000-0005-0000-0000-00008A680000}"/>
    <cellStyle name="표준 5 2 6 2 2 2 3 2 5" xfId="27374" xr:uid="{00000000-0005-0000-0000-00008B680000}"/>
    <cellStyle name="표준 5 2 6 2 2 2 3 2 6" xfId="35585" xr:uid="{00000000-0005-0000-0000-00008C680000}"/>
    <cellStyle name="표준 5 2 6 2 2 2 3 2 7" xfId="43778" xr:uid="{00000000-0005-0000-0000-00008D680000}"/>
    <cellStyle name="표준 5 2 6 2 2 2 3 3" xfId="8716" xr:uid="{00000000-0005-0000-0000-00008E680000}"/>
    <cellStyle name="표준 5 2 6 2 2 2 3 3 2" xfId="29422" xr:uid="{00000000-0005-0000-0000-00008F680000}"/>
    <cellStyle name="표준 5 2 6 2 2 2 3 3 3" xfId="37633" xr:uid="{00000000-0005-0000-0000-000090680000}"/>
    <cellStyle name="표준 5 2 6 2 2 2 3 3 4" xfId="45826" xr:uid="{00000000-0005-0000-0000-000091680000}"/>
    <cellStyle name="표준 5 2 6 2 2 2 3 4" xfId="12828" xr:uid="{00000000-0005-0000-0000-000092680000}"/>
    <cellStyle name="표준 5 2 6 2 2 2 3 5" xfId="17068" xr:uid="{00000000-0005-0000-0000-000093680000}"/>
    <cellStyle name="표준 5 2 6 2 2 2 3 6" xfId="21230" xr:uid="{00000000-0005-0000-0000-000094680000}"/>
    <cellStyle name="표준 5 2 6 2 2 2 3 7" xfId="25326" xr:uid="{00000000-0005-0000-0000-000095680000}"/>
    <cellStyle name="표준 5 2 6 2 2 2 3 8" xfId="33537" xr:uid="{00000000-0005-0000-0000-000096680000}"/>
    <cellStyle name="표준 5 2 6 2 2 2 3 9" xfId="41730" xr:uid="{00000000-0005-0000-0000-000097680000}"/>
    <cellStyle name="표준 5 2 6 2 2 2 4" xfId="2373" xr:uid="{00000000-0005-0000-0000-000098680000}"/>
    <cellStyle name="표준 5 2 6 2 2 2 4 2" xfId="11276" xr:uid="{00000000-0005-0000-0000-000099680000}"/>
    <cellStyle name="표준 5 2 6 2 2 2 4 2 2" xfId="15388" xr:uid="{00000000-0005-0000-0000-00009A680000}"/>
    <cellStyle name="표준 5 2 6 2 2 2 4 2 2 2" xfId="31982" xr:uid="{00000000-0005-0000-0000-00009B680000}"/>
    <cellStyle name="표준 5 2 6 2 2 2 4 2 2 3" xfId="40193" xr:uid="{00000000-0005-0000-0000-00009C680000}"/>
    <cellStyle name="표준 5 2 6 2 2 2 4 2 2 4" xfId="48386" xr:uid="{00000000-0005-0000-0000-00009D680000}"/>
    <cellStyle name="표준 5 2 6 2 2 2 4 2 3" xfId="19628" xr:uid="{00000000-0005-0000-0000-00009E680000}"/>
    <cellStyle name="표준 5 2 6 2 2 2 4 2 4" xfId="23790" xr:uid="{00000000-0005-0000-0000-00009F680000}"/>
    <cellStyle name="표준 5 2 6 2 2 2 4 2 5" xfId="27886" xr:uid="{00000000-0005-0000-0000-0000A0680000}"/>
    <cellStyle name="표준 5 2 6 2 2 2 4 2 6" xfId="36097" xr:uid="{00000000-0005-0000-0000-0000A1680000}"/>
    <cellStyle name="표준 5 2 6 2 2 2 4 2 7" xfId="44290" xr:uid="{00000000-0005-0000-0000-0000A2680000}"/>
    <cellStyle name="표준 5 2 6 2 2 2 4 3" xfId="9228" xr:uid="{00000000-0005-0000-0000-0000A3680000}"/>
    <cellStyle name="표준 5 2 6 2 2 2 4 3 2" xfId="29934" xr:uid="{00000000-0005-0000-0000-0000A4680000}"/>
    <cellStyle name="표준 5 2 6 2 2 2 4 3 3" xfId="38145" xr:uid="{00000000-0005-0000-0000-0000A5680000}"/>
    <cellStyle name="표준 5 2 6 2 2 2 4 3 4" xfId="46338" xr:uid="{00000000-0005-0000-0000-0000A6680000}"/>
    <cellStyle name="표준 5 2 6 2 2 2 4 4" xfId="13340" xr:uid="{00000000-0005-0000-0000-0000A7680000}"/>
    <cellStyle name="표준 5 2 6 2 2 2 4 5" xfId="17580" xr:uid="{00000000-0005-0000-0000-0000A8680000}"/>
    <cellStyle name="표준 5 2 6 2 2 2 4 6" xfId="21742" xr:uid="{00000000-0005-0000-0000-0000A9680000}"/>
    <cellStyle name="표준 5 2 6 2 2 2 4 7" xfId="25838" xr:uid="{00000000-0005-0000-0000-0000AA680000}"/>
    <cellStyle name="표준 5 2 6 2 2 2 4 8" xfId="34049" xr:uid="{00000000-0005-0000-0000-0000AB680000}"/>
    <cellStyle name="표준 5 2 6 2 2 2 4 9" xfId="42242" xr:uid="{00000000-0005-0000-0000-0000AC680000}"/>
    <cellStyle name="표준 5 2 6 2 2 2 5" xfId="9740" xr:uid="{00000000-0005-0000-0000-0000AD680000}"/>
    <cellStyle name="표준 5 2 6 2 2 2 5 2" xfId="13852" xr:uid="{00000000-0005-0000-0000-0000AE680000}"/>
    <cellStyle name="표준 5 2 6 2 2 2 5 2 2" xfId="30446" xr:uid="{00000000-0005-0000-0000-0000AF680000}"/>
    <cellStyle name="표준 5 2 6 2 2 2 5 2 3" xfId="38657" xr:uid="{00000000-0005-0000-0000-0000B0680000}"/>
    <cellStyle name="표준 5 2 6 2 2 2 5 2 4" xfId="46850" xr:uid="{00000000-0005-0000-0000-0000B1680000}"/>
    <cellStyle name="표준 5 2 6 2 2 2 5 3" xfId="18092" xr:uid="{00000000-0005-0000-0000-0000B2680000}"/>
    <cellStyle name="표준 5 2 6 2 2 2 5 4" xfId="22254" xr:uid="{00000000-0005-0000-0000-0000B3680000}"/>
    <cellStyle name="표준 5 2 6 2 2 2 5 5" xfId="26350" xr:uid="{00000000-0005-0000-0000-0000B4680000}"/>
    <cellStyle name="표준 5 2 6 2 2 2 5 6" xfId="34561" xr:uid="{00000000-0005-0000-0000-0000B5680000}"/>
    <cellStyle name="표준 5 2 6 2 2 2 5 7" xfId="42754" xr:uid="{00000000-0005-0000-0000-0000B6680000}"/>
    <cellStyle name="표준 5 2 6 2 2 2 6" xfId="7692" xr:uid="{00000000-0005-0000-0000-0000B7680000}"/>
    <cellStyle name="표준 5 2 6 2 2 2 6 2" xfId="28398" xr:uid="{00000000-0005-0000-0000-0000B8680000}"/>
    <cellStyle name="표준 5 2 6 2 2 2 6 3" xfId="36609" xr:uid="{00000000-0005-0000-0000-0000B9680000}"/>
    <cellStyle name="표준 5 2 6 2 2 2 6 4" xfId="44802" xr:uid="{00000000-0005-0000-0000-0000BA680000}"/>
    <cellStyle name="표준 5 2 6 2 2 2 7" xfId="11804" xr:uid="{00000000-0005-0000-0000-0000BB680000}"/>
    <cellStyle name="표준 5 2 6 2 2 2 8" xfId="16044" xr:uid="{00000000-0005-0000-0000-0000BC680000}"/>
    <cellStyle name="표준 5 2 6 2 2 2 9" xfId="20206" xr:uid="{00000000-0005-0000-0000-0000BD680000}"/>
    <cellStyle name="표준 5 2 6 2 2 3" xfId="1093" xr:uid="{00000000-0005-0000-0000-0000BE680000}"/>
    <cellStyle name="표준 5 2 6 2 2 3 2" xfId="9996" xr:uid="{00000000-0005-0000-0000-0000BF680000}"/>
    <cellStyle name="표준 5 2 6 2 2 3 2 2" xfId="14108" xr:uid="{00000000-0005-0000-0000-0000C0680000}"/>
    <cellStyle name="표준 5 2 6 2 2 3 2 2 2" xfId="30702" xr:uid="{00000000-0005-0000-0000-0000C1680000}"/>
    <cellStyle name="표준 5 2 6 2 2 3 2 2 3" xfId="38913" xr:uid="{00000000-0005-0000-0000-0000C2680000}"/>
    <cellStyle name="표준 5 2 6 2 2 3 2 2 4" xfId="47106" xr:uid="{00000000-0005-0000-0000-0000C3680000}"/>
    <cellStyle name="표준 5 2 6 2 2 3 2 3" xfId="18348" xr:uid="{00000000-0005-0000-0000-0000C4680000}"/>
    <cellStyle name="표준 5 2 6 2 2 3 2 4" xfId="22510" xr:uid="{00000000-0005-0000-0000-0000C5680000}"/>
    <cellStyle name="표준 5 2 6 2 2 3 2 5" xfId="26606" xr:uid="{00000000-0005-0000-0000-0000C6680000}"/>
    <cellStyle name="표준 5 2 6 2 2 3 2 6" xfId="34817" xr:uid="{00000000-0005-0000-0000-0000C7680000}"/>
    <cellStyle name="표준 5 2 6 2 2 3 2 7" xfId="43010" xr:uid="{00000000-0005-0000-0000-0000C8680000}"/>
    <cellStyle name="표준 5 2 6 2 2 3 3" xfId="7948" xr:uid="{00000000-0005-0000-0000-0000C9680000}"/>
    <cellStyle name="표준 5 2 6 2 2 3 3 2" xfId="28654" xr:uid="{00000000-0005-0000-0000-0000CA680000}"/>
    <cellStyle name="표준 5 2 6 2 2 3 3 3" xfId="36865" xr:uid="{00000000-0005-0000-0000-0000CB680000}"/>
    <cellStyle name="표준 5 2 6 2 2 3 3 4" xfId="45058" xr:uid="{00000000-0005-0000-0000-0000CC680000}"/>
    <cellStyle name="표준 5 2 6 2 2 3 4" xfId="12060" xr:uid="{00000000-0005-0000-0000-0000CD680000}"/>
    <cellStyle name="표준 5 2 6 2 2 3 5" xfId="16300" xr:uid="{00000000-0005-0000-0000-0000CE680000}"/>
    <cellStyle name="표준 5 2 6 2 2 3 6" xfId="20462" xr:uid="{00000000-0005-0000-0000-0000CF680000}"/>
    <cellStyle name="표준 5 2 6 2 2 3 7" xfId="24558" xr:uid="{00000000-0005-0000-0000-0000D0680000}"/>
    <cellStyle name="표준 5 2 6 2 2 3 8" xfId="32769" xr:uid="{00000000-0005-0000-0000-0000D1680000}"/>
    <cellStyle name="표준 5 2 6 2 2 3 9" xfId="40962" xr:uid="{00000000-0005-0000-0000-0000D2680000}"/>
    <cellStyle name="표준 5 2 6 2 2 4" xfId="1605" xr:uid="{00000000-0005-0000-0000-0000D3680000}"/>
    <cellStyle name="표준 5 2 6 2 2 4 2" xfId="10508" xr:uid="{00000000-0005-0000-0000-0000D4680000}"/>
    <cellStyle name="표준 5 2 6 2 2 4 2 2" xfId="14620" xr:uid="{00000000-0005-0000-0000-0000D5680000}"/>
    <cellStyle name="표준 5 2 6 2 2 4 2 2 2" xfId="31214" xr:uid="{00000000-0005-0000-0000-0000D6680000}"/>
    <cellStyle name="표준 5 2 6 2 2 4 2 2 3" xfId="39425" xr:uid="{00000000-0005-0000-0000-0000D7680000}"/>
    <cellStyle name="표준 5 2 6 2 2 4 2 2 4" xfId="47618" xr:uid="{00000000-0005-0000-0000-0000D8680000}"/>
    <cellStyle name="표준 5 2 6 2 2 4 2 3" xfId="18860" xr:uid="{00000000-0005-0000-0000-0000D9680000}"/>
    <cellStyle name="표준 5 2 6 2 2 4 2 4" xfId="23022" xr:uid="{00000000-0005-0000-0000-0000DA680000}"/>
    <cellStyle name="표준 5 2 6 2 2 4 2 5" xfId="27118" xr:uid="{00000000-0005-0000-0000-0000DB680000}"/>
    <cellStyle name="표준 5 2 6 2 2 4 2 6" xfId="35329" xr:uid="{00000000-0005-0000-0000-0000DC680000}"/>
    <cellStyle name="표준 5 2 6 2 2 4 2 7" xfId="43522" xr:uid="{00000000-0005-0000-0000-0000DD680000}"/>
    <cellStyle name="표준 5 2 6 2 2 4 3" xfId="8460" xr:uid="{00000000-0005-0000-0000-0000DE680000}"/>
    <cellStyle name="표준 5 2 6 2 2 4 3 2" xfId="29166" xr:uid="{00000000-0005-0000-0000-0000DF680000}"/>
    <cellStyle name="표준 5 2 6 2 2 4 3 3" xfId="37377" xr:uid="{00000000-0005-0000-0000-0000E0680000}"/>
    <cellStyle name="표준 5 2 6 2 2 4 3 4" xfId="45570" xr:uid="{00000000-0005-0000-0000-0000E1680000}"/>
    <cellStyle name="표준 5 2 6 2 2 4 4" xfId="12572" xr:uid="{00000000-0005-0000-0000-0000E2680000}"/>
    <cellStyle name="표준 5 2 6 2 2 4 5" xfId="16812" xr:uid="{00000000-0005-0000-0000-0000E3680000}"/>
    <cellStyle name="표준 5 2 6 2 2 4 6" xfId="20974" xr:uid="{00000000-0005-0000-0000-0000E4680000}"/>
    <cellStyle name="표준 5 2 6 2 2 4 7" xfId="25070" xr:uid="{00000000-0005-0000-0000-0000E5680000}"/>
    <cellStyle name="표준 5 2 6 2 2 4 8" xfId="33281" xr:uid="{00000000-0005-0000-0000-0000E6680000}"/>
    <cellStyle name="표준 5 2 6 2 2 4 9" xfId="41474" xr:uid="{00000000-0005-0000-0000-0000E7680000}"/>
    <cellStyle name="표준 5 2 6 2 2 5" xfId="2117" xr:uid="{00000000-0005-0000-0000-0000E8680000}"/>
    <cellStyle name="표준 5 2 6 2 2 5 2" xfId="11020" xr:uid="{00000000-0005-0000-0000-0000E9680000}"/>
    <cellStyle name="표준 5 2 6 2 2 5 2 2" xfId="15132" xr:uid="{00000000-0005-0000-0000-0000EA680000}"/>
    <cellStyle name="표준 5 2 6 2 2 5 2 2 2" xfId="31726" xr:uid="{00000000-0005-0000-0000-0000EB680000}"/>
    <cellStyle name="표준 5 2 6 2 2 5 2 2 3" xfId="39937" xr:uid="{00000000-0005-0000-0000-0000EC680000}"/>
    <cellStyle name="표준 5 2 6 2 2 5 2 2 4" xfId="48130" xr:uid="{00000000-0005-0000-0000-0000ED680000}"/>
    <cellStyle name="표준 5 2 6 2 2 5 2 3" xfId="19372" xr:uid="{00000000-0005-0000-0000-0000EE680000}"/>
    <cellStyle name="표준 5 2 6 2 2 5 2 4" xfId="23534" xr:uid="{00000000-0005-0000-0000-0000EF680000}"/>
    <cellStyle name="표준 5 2 6 2 2 5 2 5" xfId="27630" xr:uid="{00000000-0005-0000-0000-0000F0680000}"/>
    <cellStyle name="표준 5 2 6 2 2 5 2 6" xfId="35841" xr:uid="{00000000-0005-0000-0000-0000F1680000}"/>
    <cellStyle name="표준 5 2 6 2 2 5 2 7" xfId="44034" xr:uid="{00000000-0005-0000-0000-0000F2680000}"/>
    <cellStyle name="표준 5 2 6 2 2 5 3" xfId="8972" xr:uid="{00000000-0005-0000-0000-0000F3680000}"/>
    <cellStyle name="표준 5 2 6 2 2 5 3 2" xfId="29678" xr:uid="{00000000-0005-0000-0000-0000F4680000}"/>
    <cellStyle name="표준 5 2 6 2 2 5 3 3" xfId="37889" xr:uid="{00000000-0005-0000-0000-0000F5680000}"/>
    <cellStyle name="표준 5 2 6 2 2 5 3 4" xfId="46082" xr:uid="{00000000-0005-0000-0000-0000F6680000}"/>
    <cellStyle name="표준 5 2 6 2 2 5 4" xfId="13084" xr:uid="{00000000-0005-0000-0000-0000F7680000}"/>
    <cellStyle name="표준 5 2 6 2 2 5 5" xfId="17324" xr:uid="{00000000-0005-0000-0000-0000F8680000}"/>
    <cellStyle name="표준 5 2 6 2 2 5 6" xfId="21486" xr:uid="{00000000-0005-0000-0000-0000F9680000}"/>
    <cellStyle name="표준 5 2 6 2 2 5 7" xfId="25582" xr:uid="{00000000-0005-0000-0000-0000FA680000}"/>
    <cellStyle name="표준 5 2 6 2 2 5 8" xfId="33793" xr:uid="{00000000-0005-0000-0000-0000FB680000}"/>
    <cellStyle name="표준 5 2 6 2 2 5 9" xfId="41986" xr:uid="{00000000-0005-0000-0000-0000FC680000}"/>
    <cellStyle name="표준 5 2 6 2 2 6" xfId="9484" xr:uid="{00000000-0005-0000-0000-0000FD680000}"/>
    <cellStyle name="표준 5 2 6 2 2 6 2" xfId="13596" xr:uid="{00000000-0005-0000-0000-0000FE680000}"/>
    <cellStyle name="표준 5 2 6 2 2 6 2 2" xfId="30190" xr:uid="{00000000-0005-0000-0000-0000FF680000}"/>
    <cellStyle name="표준 5 2 6 2 2 6 2 3" xfId="38401" xr:uid="{00000000-0005-0000-0000-000000690000}"/>
    <cellStyle name="표준 5 2 6 2 2 6 2 4" xfId="46594" xr:uid="{00000000-0005-0000-0000-000001690000}"/>
    <cellStyle name="표준 5 2 6 2 2 6 3" xfId="17836" xr:uid="{00000000-0005-0000-0000-000002690000}"/>
    <cellStyle name="표준 5 2 6 2 2 6 4" xfId="21998" xr:uid="{00000000-0005-0000-0000-000003690000}"/>
    <cellStyle name="표준 5 2 6 2 2 6 5" xfId="26094" xr:uid="{00000000-0005-0000-0000-000004690000}"/>
    <cellStyle name="표준 5 2 6 2 2 6 6" xfId="34305" xr:uid="{00000000-0005-0000-0000-000005690000}"/>
    <cellStyle name="표준 5 2 6 2 2 6 7" xfId="42498" xr:uid="{00000000-0005-0000-0000-000006690000}"/>
    <cellStyle name="표준 5 2 6 2 2 7" xfId="7436" xr:uid="{00000000-0005-0000-0000-000007690000}"/>
    <cellStyle name="표준 5 2 6 2 2 7 2" xfId="28142" xr:uid="{00000000-0005-0000-0000-000008690000}"/>
    <cellStyle name="표준 5 2 6 2 2 7 3" xfId="36353" xr:uid="{00000000-0005-0000-0000-000009690000}"/>
    <cellStyle name="표준 5 2 6 2 2 7 4" xfId="44546" xr:uid="{00000000-0005-0000-0000-00000A690000}"/>
    <cellStyle name="표준 5 2 6 2 2 8" xfId="11548" xr:uid="{00000000-0005-0000-0000-00000B690000}"/>
    <cellStyle name="표준 5 2 6 2 2 9" xfId="15788" xr:uid="{00000000-0005-0000-0000-00000C690000}"/>
    <cellStyle name="표준 5 2 6 2 3" xfId="709" xr:uid="{00000000-0005-0000-0000-00000D690000}"/>
    <cellStyle name="표준 5 2 6 2 3 10" xfId="24174" xr:uid="{00000000-0005-0000-0000-00000E690000}"/>
    <cellStyle name="표준 5 2 6 2 3 11" xfId="32385" xr:uid="{00000000-0005-0000-0000-00000F690000}"/>
    <cellStyle name="표준 5 2 6 2 3 12" xfId="40578" xr:uid="{00000000-0005-0000-0000-000010690000}"/>
    <cellStyle name="표준 5 2 6 2 3 2" xfId="1221" xr:uid="{00000000-0005-0000-0000-000011690000}"/>
    <cellStyle name="표준 5 2 6 2 3 2 2" xfId="10124" xr:uid="{00000000-0005-0000-0000-000012690000}"/>
    <cellStyle name="표준 5 2 6 2 3 2 2 2" xfId="14236" xr:uid="{00000000-0005-0000-0000-000013690000}"/>
    <cellStyle name="표준 5 2 6 2 3 2 2 2 2" xfId="30830" xr:uid="{00000000-0005-0000-0000-000014690000}"/>
    <cellStyle name="표준 5 2 6 2 3 2 2 2 3" xfId="39041" xr:uid="{00000000-0005-0000-0000-000015690000}"/>
    <cellStyle name="표준 5 2 6 2 3 2 2 2 4" xfId="47234" xr:uid="{00000000-0005-0000-0000-000016690000}"/>
    <cellStyle name="표준 5 2 6 2 3 2 2 3" xfId="18476" xr:uid="{00000000-0005-0000-0000-000017690000}"/>
    <cellStyle name="표준 5 2 6 2 3 2 2 4" xfId="22638" xr:uid="{00000000-0005-0000-0000-000018690000}"/>
    <cellStyle name="표준 5 2 6 2 3 2 2 5" xfId="26734" xr:uid="{00000000-0005-0000-0000-000019690000}"/>
    <cellStyle name="표준 5 2 6 2 3 2 2 6" xfId="34945" xr:uid="{00000000-0005-0000-0000-00001A690000}"/>
    <cellStyle name="표준 5 2 6 2 3 2 2 7" xfId="43138" xr:uid="{00000000-0005-0000-0000-00001B690000}"/>
    <cellStyle name="표준 5 2 6 2 3 2 3" xfId="8076" xr:uid="{00000000-0005-0000-0000-00001C690000}"/>
    <cellStyle name="표준 5 2 6 2 3 2 3 2" xfId="28782" xr:uid="{00000000-0005-0000-0000-00001D690000}"/>
    <cellStyle name="표준 5 2 6 2 3 2 3 3" xfId="36993" xr:uid="{00000000-0005-0000-0000-00001E690000}"/>
    <cellStyle name="표준 5 2 6 2 3 2 3 4" xfId="45186" xr:uid="{00000000-0005-0000-0000-00001F690000}"/>
    <cellStyle name="표준 5 2 6 2 3 2 4" xfId="12188" xr:uid="{00000000-0005-0000-0000-000020690000}"/>
    <cellStyle name="표준 5 2 6 2 3 2 5" xfId="16428" xr:uid="{00000000-0005-0000-0000-000021690000}"/>
    <cellStyle name="표준 5 2 6 2 3 2 6" xfId="20590" xr:uid="{00000000-0005-0000-0000-000022690000}"/>
    <cellStyle name="표준 5 2 6 2 3 2 7" xfId="24686" xr:uid="{00000000-0005-0000-0000-000023690000}"/>
    <cellStyle name="표준 5 2 6 2 3 2 8" xfId="32897" xr:uid="{00000000-0005-0000-0000-000024690000}"/>
    <cellStyle name="표준 5 2 6 2 3 2 9" xfId="41090" xr:uid="{00000000-0005-0000-0000-000025690000}"/>
    <cellStyle name="표준 5 2 6 2 3 3" xfId="1733" xr:uid="{00000000-0005-0000-0000-000026690000}"/>
    <cellStyle name="표준 5 2 6 2 3 3 2" xfId="10636" xr:uid="{00000000-0005-0000-0000-000027690000}"/>
    <cellStyle name="표준 5 2 6 2 3 3 2 2" xfId="14748" xr:uid="{00000000-0005-0000-0000-000028690000}"/>
    <cellStyle name="표준 5 2 6 2 3 3 2 2 2" xfId="31342" xr:uid="{00000000-0005-0000-0000-000029690000}"/>
    <cellStyle name="표준 5 2 6 2 3 3 2 2 3" xfId="39553" xr:uid="{00000000-0005-0000-0000-00002A690000}"/>
    <cellStyle name="표준 5 2 6 2 3 3 2 2 4" xfId="47746" xr:uid="{00000000-0005-0000-0000-00002B690000}"/>
    <cellStyle name="표준 5 2 6 2 3 3 2 3" xfId="18988" xr:uid="{00000000-0005-0000-0000-00002C690000}"/>
    <cellStyle name="표준 5 2 6 2 3 3 2 4" xfId="23150" xr:uid="{00000000-0005-0000-0000-00002D690000}"/>
    <cellStyle name="표준 5 2 6 2 3 3 2 5" xfId="27246" xr:uid="{00000000-0005-0000-0000-00002E690000}"/>
    <cellStyle name="표준 5 2 6 2 3 3 2 6" xfId="35457" xr:uid="{00000000-0005-0000-0000-00002F690000}"/>
    <cellStyle name="표준 5 2 6 2 3 3 2 7" xfId="43650" xr:uid="{00000000-0005-0000-0000-000030690000}"/>
    <cellStyle name="표준 5 2 6 2 3 3 3" xfId="8588" xr:uid="{00000000-0005-0000-0000-000031690000}"/>
    <cellStyle name="표준 5 2 6 2 3 3 3 2" xfId="29294" xr:uid="{00000000-0005-0000-0000-000032690000}"/>
    <cellStyle name="표준 5 2 6 2 3 3 3 3" xfId="37505" xr:uid="{00000000-0005-0000-0000-000033690000}"/>
    <cellStyle name="표준 5 2 6 2 3 3 3 4" xfId="45698" xr:uid="{00000000-0005-0000-0000-000034690000}"/>
    <cellStyle name="표준 5 2 6 2 3 3 4" xfId="12700" xr:uid="{00000000-0005-0000-0000-000035690000}"/>
    <cellStyle name="표준 5 2 6 2 3 3 5" xfId="16940" xr:uid="{00000000-0005-0000-0000-000036690000}"/>
    <cellStyle name="표준 5 2 6 2 3 3 6" xfId="21102" xr:uid="{00000000-0005-0000-0000-000037690000}"/>
    <cellStyle name="표준 5 2 6 2 3 3 7" xfId="25198" xr:uid="{00000000-0005-0000-0000-000038690000}"/>
    <cellStyle name="표준 5 2 6 2 3 3 8" xfId="33409" xr:uid="{00000000-0005-0000-0000-000039690000}"/>
    <cellStyle name="표준 5 2 6 2 3 3 9" xfId="41602" xr:uid="{00000000-0005-0000-0000-00003A690000}"/>
    <cellStyle name="표준 5 2 6 2 3 4" xfId="2245" xr:uid="{00000000-0005-0000-0000-00003B690000}"/>
    <cellStyle name="표준 5 2 6 2 3 4 2" xfId="11148" xr:uid="{00000000-0005-0000-0000-00003C690000}"/>
    <cellStyle name="표준 5 2 6 2 3 4 2 2" xfId="15260" xr:uid="{00000000-0005-0000-0000-00003D690000}"/>
    <cellStyle name="표준 5 2 6 2 3 4 2 2 2" xfId="31854" xr:uid="{00000000-0005-0000-0000-00003E690000}"/>
    <cellStyle name="표준 5 2 6 2 3 4 2 2 3" xfId="40065" xr:uid="{00000000-0005-0000-0000-00003F690000}"/>
    <cellStyle name="표준 5 2 6 2 3 4 2 2 4" xfId="48258" xr:uid="{00000000-0005-0000-0000-000040690000}"/>
    <cellStyle name="표준 5 2 6 2 3 4 2 3" xfId="19500" xr:uid="{00000000-0005-0000-0000-000041690000}"/>
    <cellStyle name="표준 5 2 6 2 3 4 2 4" xfId="23662" xr:uid="{00000000-0005-0000-0000-000042690000}"/>
    <cellStyle name="표준 5 2 6 2 3 4 2 5" xfId="27758" xr:uid="{00000000-0005-0000-0000-000043690000}"/>
    <cellStyle name="표준 5 2 6 2 3 4 2 6" xfId="35969" xr:uid="{00000000-0005-0000-0000-000044690000}"/>
    <cellStyle name="표준 5 2 6 2 3 4 2 7" xfId="44162" xr:uid="{00000000-0005-0000-0000-000045690000}"/>
    <cellStyle name="표준 5 2 6 2 3 4 3" xfId="9100" xr:uid="{00000000-0005-0000-0000-000046690000}"/>
    <cellStyle name="표준 5 2 6 2 3 4 3 2" xfId="29806" xr:uid="{00000000-0005-0000-0000-000047690000}"/>
    <cellStyle name="표준 5 2 6 2 3 4 3 3" xfId="38017" xr:uid="{00000000-0005-0000-0000-000048690000}"/>
    <cellStyle name="표준 5 2 6 2 3 4 3 4" xfId="46210" xr:uid="{00000000-0005-0000-0000-000049690000}"/>
    <cellStyle name="표준 5 2 6 2 3 4 4" xfId="13212" xr:uid="{00000000-0005-0000-0000-00004A690000}"/>
    <cellStyle name="표준 5 2 6 2 3 4 5" xfId="17452" xr:uid="{00000000-0005-0000-0000-00004B690000}"/>
    <cellStyle name="표준 5 2 6 2 3 4 6" xfId="21614" xr:uid="{00000000-0005-0000-0000-00004C690000}"/>
    <cellStyle name="표준 5 2 6 2 3 4 7" xfId="25710" xr:uid="{00000000-0005-0000-0000-00004D690000}"/>
    <cellStyle name="표준 5 2 6 2 3 4 8" xfId="33921" xr:uid="{00000000-0005-0000-0000-00004E690000}"/>
    <cellStyle name="표준 5 2 6 2 3 4 9" xfId="42114" xr:uid="{00000000-0005-0000-0000-00004F690000}"/>
    <cellStyle name="표준 5 2 6 2 3 5" xfId="9612" xr:uid="{00000000-0005-0000-0000-000050690000}"/>
    <cellStyle name="표준 5 2 6 2 3 5 2" xfId="13724" xr:uid="{00000000-0005-0000-0000-000051690000}"/>
    <cellStyle name="표준 5 2 6 2 3 5 2 2" xfId="30318" xr:uid="{00000000-0005-0000-0000-000052690000}"/>
    <cellStyle name="표준 5 2 6 2 3 5 2 3" xfId="38529" xr:uid="{00000000-0005-0000-0000-000053690000}"/>
    <cellStyle name="표준 5 2 6 2 3 5 2 4" xfId="46722" xr:uid="{00000000-0005-0000-0000-000054690000}"/>
    <cellStyle name="표준 5 2 6 2 3 5 3" xfId="17964" xr:uid="{00000000-0005-0000-0000-000055690000}"/>
    <cellStyle name="표준 5 2 6 2 3 5 4" xfId="22126" xr:uid="{00000000-0005-0000-0000-000056690000}"/>
    <cellStyle name="표준 5 2 6 2 3 5 5" xfId="26222" xr:uid="{00000000-0005-0000-0000-000057690000}"/>
    <cellStyle name="표준 5 2 6 2 3 5 6" xfId="34433" xr:uid="{00000000-0005-0000-0000-000058690000}"/>
    <cellStyle name="표준 5 2 6 2 3 5 7" xfId="42626" xr:uid="{00000000-0005-0000-0000-000059690000}"/>
    <cellStyle name="표준 5 2 6 2 3 6" xfId="7564" xr:uid="{00000000-0005-0000-0000-00005A690000}"/>
    <cellStyle name="표준 5 2 6 2 3 6 2" xfId="28270" xr:uid="{00000000-0005-0000-0000-00005B690000}"/>
    <cellStyle name="표준 5 2 6 2 3 6 3" xfId="36481" xr:uid="{00000000-0005-0000-0000-00005C690000}"/>
    <cellStyle name="표준 5 2 6 2 3 6 4" xfId="44674" xr:uid="{00000000-0005-0000-0000-00005D690000}"/>
    <cellStyle name="표준 5 2 6 2 3 7" xfId="11676" xr:uid="{00000000-0005-0000-0000-00005E690000}"/>
    <cellStyle name="표준 5 2 6 2 3 8" xfId="15916" xr:uid="{00000000-0005-0000-0000-00005F690000}"/>
    <cellStyle name="표준 5 2 6 2 3 9" xfId="20078" xr:uid="{00000000-0005-0000-0000-000060690000}"/>
    <cellStyle name="표준 5 2 6 2 4" xfId="965" xr:uid="{00000000-0005-0000-0000-000061690000}"/>
    <cellStyle name="표준 5 2 6 2 4 2" xfId="9868" xr:uid="{00000000-0005-0000-0000-000062690000}"/>
    <cellStyle name="표준 5 2 6 2 4 2 2" xfId="13980" xr:uid="{00000000-0005-0000-0000-000063690000}"/>
    <cellStyle name="표준 5 2 6 2 4 2 2 2" xfId="30574" xr:uid="{00000000-0005-0000-0000-000064690000}"/>
    <cellStyle name="표준 5 2 6 2 4 2 2 3" xfId="38785" xr:uid="{00000000-0005-0000-0000-000065690000}"/>
    <cellStyle name="표준 5 2 6 2 4 2 2 4" xfId="46978" xr:uid="{00000000-0005-0000-0000-000066690000}"/>
    <cellStyle name="표준 5 2 6 2 4 2 3" xfId="18220" xr:uid="{00000000-0005-0000-0000-000067690000}"/>
    <cellStyle name="표준 5 2 6 2 4 2 4" xfId="22382" xr:uid="{00000000-0005-0000-0000-000068690000}"/>
    <cellStyle name="표준 5 2 6 2 4 2 5" xfId="26478" xr:uid="{00000000-0005-0000-0000-000069690000}"/>
    <cellStyle name="표준 5 2 6 2 4 2 6" xfId="34689" xr:uid="{00000000-0005-0000-0000-00006A690000}"/>
    <cellStyle name="표준 5 2 6 2 4 2 7" xfId="42882" xr:uid="{00000000-0005-0000-0000-00006B690000}"/>
    <cellStyle name="표준 5 2 6 2 4 3" xfId="7820" xr:uid="{00000000-0005-0000-0000-00006C690000}"/>
    <cellStyle name="표준 5 2 6 2 4 3 2" xfId="28526" xr:uid="{00000000-0005-0000-0000-00006D690000}"/>
    <cellStyle name="표준 5 2 6 2 4 3 3" xfId="36737" xr:uid="{00000000-0005-0000-0000-00006E690000}"/>
    <cellStyle name="표준 5 2 6 2 4 3 4" xfId="44930" xr:uid="{00000000-0005-0000-0000-00006F690000}"/>
    <cellStyle name="표준 5 2 6 2 4 4" xfId="11932" xr:uid="{00000000-0005-0000-0000-000070690000}"/>
    <cellStyle name="표준 5 2 6 2 4 5" xfId="16172" xr:uid="{00000000-0005-0000-0000-000071690000}"/>
    <cellStyle name="표준 5 2 6 2 4 6" xfId="20334" xr:uid="{00000000-0005-0000-0000-000072690000}"/>
    <cellStyle name="표준 5 2 6 2 4 7" xfId="24430" xr:uid="{00000000-0005-0000-0000-000073690000}"/>
    <cellStyle name="표준 5 2 6 2 4 8" xfId="32641" xr:uid="{00000000-0005-0000-0000-000074690000}"/>
    <cellStyle name="표준 5 2 6 2 4 9" xfId="40834" xr:uid="{00000000-0005-0000-0000-000075690000}"/>
    <cellStyle name="표준 5 2 6 2 5" xfId="1477" xr:uid="{00000000-0005-0000-0000-000076690000}"/>
    <cellStyle name="표준 5 2 6 2 5 2" xfId="10380" xr:uid="{00000000-0005-0000-0000-000077690000}"/>
    <cellStyle name="표준 5 2 6 2 5 2 2" xfId="14492" xr:uid="{00000000-0005-0000-0000-000078690000}"/>
    <cellStyle name="표준 5 2 6 2 5 2 2 2" xfId="31086" xr:uid="{00000000-0005-0000-0000-000079690000}"/>
    <cellStyle name="표준 5 2 6 2 5 2 2 3" xfId="39297" xr:uid="{00000000-0005-0000-0000-00007A690000}"/>
    <cellStyle name="표준 5 2 6 2 5 2 2 4" xfId="47490" xr:uid="{00000000-0005-0000-0000-00007B690000}"/>
    <cellStyle name="표준 5 2 6 2 5 2 3" xfId="18732" xr:uid="{00000000-0005-0000-0000-00007C690000}"/>
    <cellStyle name="표준 5 2 6 2 5 2 4" xfId="22894" xr:uid="{00000000-0005-0000-0000-00007D690000}"/>
    <cellStyle name="표준 5 2 6 2 5 2 5" xfId="26990" xr:uid="{00000000-0005-0000-0000-00007E690000}"/>
    <cellStyle name="표준 5 2 6 2 5 2 6" xfId="35201" xr:uid="{00000000-0005-0000-0000-00007F690000}"/>
    <cellStyle name="표준 5 2 6 2 5 2 7" xfId="43394" xr:uid="{00000000-0005-0000-0000-000080690000}"/>
    <cellStyle name="표준 5 2 6 2 5 3" xfId="8332" xr:uid="{00000000-0005-0000-0000-000081690000}"/>
    <cellStyle name="표준 5 2 6 2 5 3 2" xfId="29038" xr:uid="{00000000-0005-0000-0000-000082690000}"/>
    <cellStyle name="표준 5 2 6 2 5 3 3" xfId="37249" xr:uid="{00000000-0005-0000-0000-000083690000}"/>
    <cellStyle name="표준 5 2 6 2 5 3 4" xfId="45442" xr:uid="{00000000-0005-0000-0000-000084690000}"/>
    <cellStyle name="표준 5 2 6 2 5 4" xfId="12444" xr:uid="{00000000-0005-0000-0000-000085690000}"/>
    <cellStyle name="표준 5 2 6 2 5 5" xfId="16684" xr:uid="{00000000-0005-0000-0000-000086690000}"/>
    <cellStyle name="표준 5 2 6 2 5 6" xfId="20846" xr:uid="{00000000-0005-0000-0000-000087690000}"/>
    <cellStyle name="표준 5 2 6 2 5 7" xfId="24942" xr:uid="{00000000-0005-0000-0000-000088690000}"/>
    <cellStyle name="표준 5 2 6 2 5 8" xfId="33153" xr:uid="{00000000-0005-0000-0000-000089690000}"/>
    <cellStyle name="표준 5 2 6 2 5 9" xfId="41346" xr:uid="{00000000-0005-0000-0000-00008A690000}"/>
    <cellStyle name="표준 5 2 6 2 6" xfId="1989" xr:uid="{00000000-0005-0000-0000-00008B690000}"/>
    <cellStyle name="표준 5 2 6 2 6 2" xfId="10892" xr:uid="{00000000-0005-0000-0000-00008C690000}"/>
    <cellStyle name="표준 5 2 6 2 6 2 2" xfId="15004" xr:uid="{00000000-0005-0000-0000-00008D690000}"/>
    <cellStyle name="표준 5 2 6 2 6 2 2 2" xfId="31598" xr:uid="{00000000-0005-0000-0000-00008E690000}"/>
    <cellStyle name="표준 5 2 6 2 6 2 2 3" xfId="39809" xr:uid="{00000000-0005-0000-0000-00008F690000}"/>
    <cellStyle name="표준 5 2 6 2 6 2 2 4" xfId="48002" xr:uid="{00000000-0005-0000-0000-000090690000}"/>
    <cellStyle name="표준 5 2 6 2 6 2 3" xfId="19244" xr:uid="{00000000-0005-0000-0000-000091690000}"/>
    <cellStyle name="표준 5 2 6 2 6 2 4" xfId="23406" xr:uid="{00000000-0005-0000-0000-000092690000}"/>
    <cellStyle name="표준 5 2 6 2 6 2 5" xfId="27502" xr:uid="{00000000-0005-0000-0000-000093690000}"/>
    <cellStyle name="표준 5 2 6 2 6 2 6" xfId="35713" xr:uid="{00000000-0005-0000-0000-000094690000}"/>
    <cellStyle name="표준 5 2 6 2 6 2 7" xfId="43906" xr:uid="{00000000-0005-0000-0000-000095690000}"/>
    <cellStyle name="표준 5 2 6 2 6 3" xfId="8844" xr:uid="{00000000-0005-0000-0000-000096690000}"/>
    <cellStyle name="표준 5 2 6 2 6 3 2" xfId="29550" xr:uid="{00000000-0005-0000-0000-000097690000}"/>
    <cellStyle name="표준 5 2 6 2 6 3 3" xfId="37761" xr:uid="{00000000-0005-0000-0000-000098690000}"/>
    <cellStyle name="표준 5 2 6 2 6 3 4" xfId="45954" xr:uid="{00000000-0005-0000-0000-000099690000}"/>
    <cellStyle name="표준 5 2 6 2 6 4" xfId="12956" xr:uid="{00000000-0005-0000-0000-00009A690000}"/>
    <cellStyle name="표준 5 2 6 2 6 5" xfId="17196" xr:uid="{00000000-0005-0000-0000-00009B690000}"/>
    <cellStyle name="표준 5 2 6 2 6 6" xfId="21358" xr:uid="{00000000-0005-0000-0000-00009C690000}"/>
    <cellStyle name="표준 5 2 6 2 6 7" xfId="25454" xr:uid="{00000000-0005-0000-0000-00009D690000}"/>
    <cellStyle name="표준 5 2 6 2 6 8" xfId="33665" xr:uid="{00000000-0005-0000-0000-00009E690000}"/>
    <cellStyle name="표준 5 2 6 2 6 9" xfId="41858" xr:uid="{00000000-0005-0000-0000-00009F690000}"/>
    <cellStyle name="표준 5 2 6 2 7" xfId="7049" xr:uid="{00000000-0005-0000-0000-0000A0690000}"/>
    <cellStyle name="표준 5 2 6 2 7 2" xfId="9356" xr:uid="{00000000-0005-0000-0000-0000A1690000}"/>
    <cellStyle name="표준 5 2 6 2 7 2 2" xfId="30062" xr:uid="{00000000-0005-0000-0000-0000A2690000}"/>
    <cellStyle name="표준 5 2 6 2 7 2 3" xfId="38273" xr:uid="{00000000-0005-0000-0000-0000A3690000}"/>
    <cellStyle name="표준 5 2 6 2 7 2 4" xfId="46466" xr:uid="{00000000-0005-0000-0000-0000A4690000}"/>
    <cellStyle name="표준 5 2 6 2 7 3" xfId="13468" xr:uid="{00000000-0005-0000-0000-0000A5690000}"/>
    <cellStyle name="표준 5 2 6 2 7 4" xfId="17708" xr:uid="{00000000-0005-0000-0000-0000A6690000}"/>
    <cellStyle name="표준 5 2 6 2 7 5" xfId="21870" xr:uid="{00000000-0005-0000-0000-0000A7690000}"/>
    <cellStyle name="표준 5 2 6 2 7 6" xfId="25966" xr:uid="{00000000-0005-0000-0000-0000A8690000}"/>
    <cellStyle name="표준 5 2 6 2 7 7" xfId="34177" xr:uid="{00000000-0005-0000-0000-0000A9690000}"/>
    <cellStyle name="표준 5 2 6 2 7 8" xfId="42370" xr:uid="{00000000-0005-0000-0000-0000AA690000}"/>
    <cellStyle name="표준 5 2 6 2 8" xfId="7129" xr:uid="{00000000-0005-0000-0000-0000AB690000}"/>
    <cellStyle name="표준 5 2 6 2 8 2" xfId="28014" xr:uid="{00000000-0005-0000-0000-0000AC690000}"/>
    <cellStyle name="표준 5 2 6 2 8 3" xfId="36225" xr:uid="{00000000-0005-0000-0000-0000AD690000}"/>
    <cellStyle name="표준 5 2 6 2 8 4" xfId="44418" xr:uid="{00000000-0005-0000-0000-0000AE690000}"/>
    <cellStyle name="표준 5 2 6 2 9" xfId="7308" xr:uid="{00000000-0005-0000-0000-0000AF690000}"/>
    <cellStyle name="표준 5 2 6 20" xfId="49688" xr:uid="{00000000-0005-0000-0000-0000B0690000}"/>
    <cellStyle name="표준 5 2 6 3" xfId="517" xr:uid="{00000000-0005-0000-0000-0000B1690000}"/>
    <cellStyle name="표준 5 2 6 3 10" xfId="19886" xr:uid="{00000000-0005-0000-0000-0000B2690000}"/>
    <cellStyle name="표준 5 2 6 3 11" xfId="23982" xr:uid="{00000000-0005-0000-0000-0000B3690000}"/>
    <cellStyle name="표준 5 2 6 3 12" xfId="32193" xr:uid="{00000000-0005-0000-0000-0000B4690000}"/>
    <cellStyle name="표준 5 2 6 3 13" xfId="40386" xr:uid="{00000000-0005-0000-0000-0000B5690000}"/>
    <cellStyle name="표준 5 2 6 3 2" xfId="773" xr:uid="{00000000-0005-0000-0000-0000B6690000}"/>
    <cellStyle name="표준 5 2 6 3 2 10" xfId="24238" xr:uid="{00000000-0005-0000-0000-0000B7690000}"/>
    <cellStyle name="표준 5 2 6 3 2 11" xfId="32449" xr:uid="{00000000-0005-0000-0000-0000B8690000}"/>
    <cellStyle name="표준 5 2 6 3 2 12" xfId="40642" xr:uid="{00000000-0005-0000-0000-0000B9690000}"/>
    <cellStyle name="표준 5 2 6 3 2 2" xfId="1285" xr:uid="{00000000-0005-0000-0000-0000BA690000}"/>
    <cellStyle name="표준 5 2 6 3 2 2 2" xfId="10188" xr:uid="{00000000-0005-0000-0000-0000BB690000}"/>
    <cellStyle name="표준 5 2 6 3 2 2 2 2" xfId="14300" xr:uid="{00000000-0005-0000-0000-0000BC690000}"/>
    <cellStyle name="표준 5 2 6 3 2 2 2 2 2" xfId="30894" xr:uid="{00000000-0005-0000-0000-0000BD690000}"/>
    <cellStyle name="표준 5 2 6 3 2 2 2 2 3" xfId="39105" xr:uid="{00000000-0005-0000-0000-0000BE690000}"/>
    <cellStyle name="표준 5 2 6 3 2 2 2 2 4" xfId="47298" xr:uid="{00000000-0005-0000-0000-0000BF690000}"/>
    <cellStyle name="표준 5 2 6 3 2 2 2 3" xfId="18540" xr:uid="{00000000-0005-0000-0000-0000C0690000}"/>
    <cellStyle name="표준 5 2 6 3 2 2 2 4" xfId="22702" xr:uid="{00000000-0005-0000-0000-0000C1690000}"/>
    <cellStyle name="표준 5 2 6 3 2 2 2 5" xfId="26798" xr:uid="{00000000-0005-0000-0000-0000C2690000}"/>
    <cellStyle name="표준 5 2 6 3 2 2 2 6" xfId="35009" xr:uid="{00000000-0005-0000-0000-0000C3690000}"/>
    <cellStyle name="표준 5 2 6 3 2 2 2 7" xfId="43202" xr:uid="{00000000-0005-0000-0000-0000C4690000}"/>
    <cellStyle name="표준 5 2 6 3 2 2 3" xfId="8140" xr:uid="{00000000-0005-0000-0000-0000C5690000}"/>
    <cellStyle name="표준 5 2 6 3 2 2 3 2" xfId="28846" xr:uid="{00000000-0005-0000-0000-0000C6690000}"/>
    <cellStyle name="표준 5 2 6 3 2 2 3 3" xfId="37057" xr:uid="{00000000-0005-0000-0000-0000C7690000}"/>
    <cellStyle name="표준 5 2 6 3 2 2 3 4" xfId="45250" xr:uid="{00000000-0005-0000-0000-0000C8690000}"/>
    <cellStyle name="표준 5 2 6 3 2 2 4" xfId="12252" xr:uid="{00000000-0005-0000-0000-0000C9690000}"/>
    <cellStyle name="표준 5 2 6 3 2 2 5" xfId="16492" xr:uid="{00000000-0005-0000-0000-0000CA690000}"/>
    <cellStyle name="표준 5 2 6 3 2 2 6" xfId="20654" xr:uid="{00000000-0005-0000-0000-0000CB690000}"/>
    <cellStyle name="표준 5 2 6 3 2 2 7" xfId="24750" xr:uid="{00000000-0005-0000-0000-0000CC690000}"/>
    <cellStyle name="표준 5 2 6 3 2 2 8" xfId="32961" xr:uid="{00000000-0005-0000-0000-0000CD690000}"/>
    <cellStyle name="표준 5 2 6 3 2 2 9" xfId="41154" xr:uid="{00000000-0005-0000-0000-0000CE690000}"/>
    <cellStyle name="표준 5 2 6 3 2 3" xfId="1797" xr:uid="{00000000-0005-0000-0000-0000CF690000}"/>
    <cellStyle name="표준 5 2 6 3 2 3 2" xfId="10700" xr:uid="{00000000-0005-0000-0000-0000D0690000}"/>
    <cellStyle name="표준 5 2 6 3 2 3 2 2" xfId="14812" xr:uid="{00000000-0005-0000-0000-0000D1690000}"/>
    <cellStyle name="표준 5 2 6 3 2 3 2 2 2" xfId="31406" xr:uid="{00000000-0005-0000-0000-0000D2690000}"/>
    <cellStyle name="표준 5 2 6 3 2 3 2 2 3" xfId="39617" xr:uid="{00000000-0005-0000-0000-0000D3690000}"/>
    <cellStyle name="표준 5 2 6 3 2 3 2 2 4" xfId="47810" xr:uid="{00000000-0005-0000-0000-0000D4690000}"/>
    <cellStyle name="표준 5 2 6 3 2 3 2 3" xfId="19052" xr:uid="{00000000-0005-0000-0000-0000D5690000}"/>
    <cellStyle name="표준 5 2 6 3 2 3 2 4" xfId="23214" xr:uid="{00000000-0005-0000-0000-0000D6690000}"/>
    <cellStyle name="표준 5 2 6 3 2 3 2 5" xfId="27310" xr:uid="{00000000-0005-0000-0000-0000D7690000}"/>
    <cellStyle name="표준 5 2 6 3 2 3 2 6" xfId="35521" xr:uid="{00000000-0005-0000-0000-0000D8690000}"/>
    <cellStyle name="표준 5 2 6 3 2 3 2 7" xfId="43714" xr:uid="{00000000-0005-0000-0000-0000D9690000}"/>
    <cellStyle name="표준 5 2 6 3 2 3 3" xfId="8652" xr:uid="{00000000-0005-0000-0000-0000DA690000}"/>
    <cellStyle name="표준 5 2 6 3 2 3 3 2" xfId="29358" xr:uid="{00000000-0005-0000-0000-0000DB690000}"/>
    <cellStyle name="표준 5 2 6 3 2 3 3 3" xfId="37569" xr:uid="{00000000-0005-0000-0000-0000DC690000}"/>
    <cellStyle name="표준 5 2 6 3 2 3 3 4" xfId="45762" xr:uid="{00000000-0005-0000-0000-0000DD690000}"/>
    <cellStyle name="표준 5 2 6 3 2 3 4" xfId="12764" xr:uid="{00000000-0005-0000-0000-0000DE690000}"/>
    <cellStyle name="표준 5 2 6 3 2 3 5" xfId="17004" xr:uid="{00000000-0005-0000-0000-0000DF690000}"/>
    <cellStyle name="표준 5 2 6 3 2 3 6" xfId="21166" xr:uid="{00000000-0005-0000-0000-0000E0690000}"/>
    <cellStyle name="표준 5 2 6 3 2 3 7" xfId="25262" xr:uid="{00000000-0005-0000-0000-0000E1690000}"/>
    <cellStyle name="표준 5 2 6 3 2 3 8" xfId="33473" xr:uid="{00000000-0005-0000-0000-0000E2690000}"/>
    <cellStyle name="표준 5 2 6 3 2 3 9" xfId="41666" xr:uid="{00000000-0005-0000-0000-0000E3690000}"/>
    <cellStyle name="표준 5 2 6 3 2 4" xfId="2309" xr:uid="{00000000-0005-0000-0000-0000E4690000}"/>
    <cellStyle name="표준 5 2 6 3 2 4 2" xfId="11212" xr:uid="{00000000-0005-0000-0000-0000E5690000}"/>
    <cellStyle name="표준 5 2 6 3 2 4 2 2" xfId="15324" xr:uid="{00000000-0005-0000-0000-0000E6690000}"/>
    <cellStyle name="표준 5 2 6 3 2 4 2 2 2" xfId="31918" xr:uid="{00000000-0005-0000-0000-0000E7690000}"/>
    <cellStyle name="표준 5 2 6 3 2 4 2 2 3" xfId="40129" xr:uid="{00000000-0005-0000-0000-0000E8690000}"/>
    <cellStyle name="표준 5 2 6 3 2 4 2 2 4" xfId="48322" xr:uid="{00000000-0005-0000-0000-0000E9690000}"/>
    <cellStyle name="표준 5 2 6 3 2 4 2 3" xfId="19564" xr:uid="{00000000-0005-0000-0000-0000EA690000}"/>
    <cellStyle name="표준 5 2 6 3 2 4 2 4" xfId="23726" xr:uid="{00000000-0005-0000-0000-0000EB690000}"/>
    <cellStyle name="표준 5 2 6 3 2 4 2 5" xfId="27822" xr:uid="{00000000-0005-0000-0000-0000EC690000}"/>
    <cellStyle name="표준 5 2 6 3 2 4 2 6" xfId="36033" xr:uid="{00000000-0005-0000-0000-0000ED690000}"/>
    <cellStyle name="표준 5 2 6 3 2 4 2 7" xfId="44226" xr:uid="{00000000-0005-0000-0000-0000EE690000}"/>
    <cellStyle name="표준 5 2 6 3 2 4 3" xfId="9164" xr:uid="{00000000-0005-0000-0000-0000EF690000}"/>
    <cellStyle name="표준 5 2 6 3 2 4 3 2" xfId="29870" xr:uid="{00000000-0005-0000-0000-0000F0690000}"/>
    <cellStyle name="표준 5 2 6 3 2 4 3 3" xfId="38081" xr:uid="{00000000-0005-0000-0000-0000F1690000}"/>
    <cellStyle name="표준 5 2 6 3 2 4 3 4" xfId="46274" xr:uid="{00000000-0005-0000-0000-0000F2690000}"/>
    <cellStyle name="표준 5 2 6 3 2 4 4" xfId="13276" xr:uid="{00000000-0005-0000-0000-0000F3690000}"/>
    <cellStyle name="표준 5 2 6 3 2 4 5" xfId="17516" xr:uid="{00000000-0005-0000-0000-0000F4690000}"/>
    <cellStyle name="표준 5 2 6 3 2 4 6" xfId="21678" xr:uid="{00000000-0005-0000-0000-0000F5690000}"/>
    <cellStyle name="표준 5 2 6 3 2 4 7" xfId="25774" xr:uid="{00000000-0005-0000-0000-0000F6690000}"/>
    <cellStyle name="표준 5 2 6 3 2 4 8" xfId="33985" xr:uid="{00000000-0005-0000-0000-0000F7690000}"/>
    <cellStyle name="표준 5 2 6 3 2 4 9" xfId="42178" xr:uid="{00000000-0005-0000-0000-0000F8690000}"/>
    <cellStyle name="표준 5 2 6 3 2 5" xfId="9676" xr:uid="{00000000-0005-0000-0000-0000F9690000}"/>
    <cellStyle name="표준 5 2 6 3 2 5 2" xfId="13788" xr:uid="{00000000-0005-0000-0000-0000FA690000}"/>
    <cellStyle name="표준 5 2 6 3 2 5 2 2" xfId="30382" xr:uid="{00000000-0005-0000-0000-0000FB690000}"/>
    <cellStyle name="표준 5 2 6 3 2 5 2 3" xfId="38593" xr:uid="{00000000-0005-0000-0000-0000FC690000}"/>
    <cellStyle name="표준 5 2 6 3 2 5 2 4" xfId="46786" xr:uid="{00000000-0005-0000-0000-0000FD690000}"/>
    <cellStyle name="표준 5 2 6 3 2 5 3" xfId="18028" xr:uid="{00000000-0005-0000-0000-0000FE690000}"/>
    <cellStyle name="표준 5 2 6 3 2 5 4" xfId="22190" xr:uid="{00000000-0005-0000-0000-0000FF690000}"/>
    <cellStyle name="표준 5 2 6 3 2 5 5" xfId="26286" xr:uid="{00000000-0005-0000-0000-0000006A0000}"/>
    <cellStyle name="표준 5 2 6 3 2 5 6" xfId="34497" xr:uid="{00000000-0005-0000-0000-0000016A0000}"/>
    <cellStyle name="표준 5 2 6 3 2 5 7" xfId="42690" xr:uid="{00000000-0005-0000-0000-0000026A0000}"/>
    <cellStyle name="표준 5 2 6 3 2 6" xfId="7628" xr:uid="{00000000-0005-0000-0000-0000036A0000}"/>
    <cellStyle name="표준 5 2 6 3 2 6 2" xfId="28334" xr:uid="{00000000-0005-0000-0000-0000046A0000}"/>
    <cellStyle name="표준 5 2 6 3 2 6 3" xfId="36545" xr:uid="{00000000-0005-0000-0000-0000056A0000}"/>
    <cellStyle name="표준 5 2 6 3 2 6 4" xfId="44738" xr:uid="{00000000-0005-0000-0000-0000066A0000}"/>
    <cellStyle name="표준 5 2 6 3 2 7" xfId="11740" xr:uid="{00000000-0005-0000-0000-0000076A0000}"/>
    <cellStyle name="표준 5 2 6 3 2 8" xfId="15980" xr:uid="{00000000-0005-0000-0000-0000086A0000}"/>
    <cellStyle name="표준 5 2 6 3 2 9" xfId="20142" xr:uid="{00000000-0005-0000-0000-0000096A0000}"/>
    <cellStyle name="표준 5 2 6 3 3" xfId="1029" xr:uid="{00000000-0005-0000-0000-00000A6A0000}"/>
    <cellStyle name="표준 5 2 6 3 3 2" xfId="9932" xr:uid="{00000000-0005-0000-0000-00000B6A0000}"/>
    <cellStyle name="표준 5 2 6 3 3 2 2" xfId="14044" xr:uid="{00000000-0005-0000-0000-00000C6A0000}"/>
    <cellStyle name="표준 5 2 6 3 3 2 2 2" xfId="30638" xr:uid="{00000000-0005-0000-0000-00000D6A0000}"/>
    <cellStyle name="표준 5 2 6 3 3 2 2 3" xfId="38849" xr:uid="{00000000-0005-0000-0000-00000E6A0000}"/>
    <cellStyle name="표준 5 2 6 3 3 2 2 4" xfId="47042" xr:uid="{00000000-0005-0000-0000-00000F6A0000}"/>
    <cellStyle name="표준 5 2 6 3 3 2 3" xfId="18284" xr:uid="{00000000-0005-0000-0000-0000106A0000}"/>
    <cellStyle name="표준 5 2 6 3 3 2 4" xfId="22446" xr:uid="{00000000-0005-0000-0000-0000116A0000}"/>
    <cellStyle name="표준 5 2 6 3 3 2 5" xfId="26542" xr:uid="{00000000-0005-0000-0000-0000126A0000}"/>
    <cellStyle name="표준 5 2 6 3 3 2 6" xfId="34753" xr:uid="{00000000-0005-0000-0000-0000136A0000}"/>
    <cellStyle name="표준 5 2 6 3 3 2 7" xfId="42946" xr:uid="{00000000-0005-0000-0000-0000146A0000}"/>
    <cellStyle name="표준 5 2 6 3 3 3" xfId="7884" xr:uid="{00000000-0005-0000-0000-0000156A0000}"/>
    <cellStyle name="표준 5 2 6 3 3 3 2" xfId="28590" xr:uid="{00000000-0005-0000-0000-0000166A0000}"/>
    <cellStyle name="표준 5 2 6 3 3 3 3" xfId="36801" xr:uid="{00000000-0005-0000-0000-0000176A0000}"/>
    <cellStyle name="표준 5 2 6 3 3 3 4" xfId="44994" xr:uid="{00000000-0005-0000-0000-0000186A0000}"/>
    <cellStyle name="표준 5 2 6 3 3 4" xfId="11996" xr:uid="{00000000-0005-0000-0000-0000196A0000}"/>
    <cellStyle name="표준 5 2 6 3 3 5" xfId="16236" xr:uid="{00000000-0005-0000-0000-00001A6A0000}"/>
    <cellStyle name="표준 5 2 6 3 3 6" xfId="20398" xr:uid="{00000000-0005-0000-0000-00001B6A0000}"/>
    <cellStyle name="표준 5 2 6 3 3 7" xfId="24494" xr:uid="{00000000-0005-0000-0000-00001C6A0000}"/>
    <cellStyle name="표준 5 2 6 3 3 8" xfId="32705" xr:uid="{00000000-0005-0000-0000-00001D6A0000}"/>
    <cellStyle name="표준 5 2 6 3 3 9" xfId="40898" xr:uid="{00000000-0005-0000-0000-00001E6A0000}"/>
    <cellStyle name="표준 5 2 6 3 4" xfId="1541" xr:uid="{00000000-0005-0000-0000-00001F6A0000}"/>
    <cellStyle name="표준 5 2 6 3 4 2" xfId="10444" xr:uid="{00000000-0005-0000-0000-0000206A0000}"/>
    <cellStyle name="표준 5 2 6 3 4 2 2" xfId="14556" xr:uid="{00000000-0005-0000-0000-0000216A0000}"/>
    <cellStyle name="표준 5 2 6 3 4 2 2 2" xfId="31150" xr:uid="{00000000-0005-0000-0000-0000226A0000}"/>
    <cellStyle name="표준 5 2 6 3 4 2 2 3" xfId="39361" xr:uid="{00000000-0005-0000-0000-0000236A0000}"/>
    <cellStyle name="표준 5 2 6 3 4 2 2 4" xfId="47554" xr:uid="{00000000-0005-0000-0000-0000246A0000}"/>
    <cellStyle name="표준 5 2 6 3 4 2 3" xfId="18796" xr:uid="{00000000-0005-0000-0000-0000256A0000}"/>
    <cellStyle name="표준 5 2 6 3 4 2 4" xfId="22958" xr:uid="{00000000-0005-0000-0000-0000266A0000}"/>
    <cellStyle name="표준 5 2 6 3 4 2 5" xfId="27054" xr:uid="{00000000-0005-0000-0000-0000276A0000}"/>
    <cellStyle name="표준 5 2 6 3 4 2 6" xfId="35265" xr:uid="{00000000-0005-0000-0000-0000286A0000}"/>
    <cellStyle name="표준 5 2 6 3 4 2 7" xfId="43458" xr:uid="{00000000-0005-0000-0000-0000296A0000}"/>
    <cellStyle name="표준 5 2 6 3 4 3" xfId="8396" xr:uid="{00000000-0005-0000-0000-00002A6A0000}"/>
    <cellStyle name="표준 5 2 6 3 4 3 2" xfId="29102" xr:uid="{00000000-0005-0000-0000-00002B6A0000}"/>
    <cellStyle name="표준 5 2 6 3 4 3 3" xfId="37313" xr:uid="{00000000-0005-0000-0000-00002C6A0000}"/>
    <cellStyle name="표준 5 2 6 3 4 3 4" xfId="45506" xr:uid="{00000000-0005-0000-0000-00002D6A0000}"/>
    <cellStyle name="표준 5 2 6 3 4 4" xfId="12508" xr:uid="{00000000-0005-0000-0000-00002E6A0000}"/>
    <cellStyle name="표준 5 2 6 3 4 5" xfId="16748" xr:uid="{00000000-0005-0000-0000-00002F6A0000}"/>
    <cellStyle name="표준 5 2 6 3 4 6" xfId="20910" xr:uid="{00000000-0005-0000-0000-0000306A0000}"/>
    <cellStyle name="표준 5 2 6 3 4 7" xfId="25006" xr:uid="{00000000-0005-0000-0000-0000316A0000}"/>
    <cellStyle name="표준 5 2 6 3 4 8" xfId="33217" xr:uid="{00000000-0005-0000-0000-0000326A0000}"/>
    <cellStyle name="표준 5 2 6 3 4 9" xfId="41410" xr:uid="{00000000-0005-0000-0000-0000336A0000}"/>
    <cellStyle name="표준 5 2 6 3 5" xfId="2053" xr:uid="{00000000-0005-0000-0000-0000346A0000}"/>
    <cellStyle name="표준 5 2 6 3 5 2" xfId="10956" xr:uid="{00000000-0005-0000-0000-0000356A0000}"/>
    <cellStyle name="표준 5 2 6 3 5 2 2" xfId="15068" xr:uid="{00000000-0005-0000-0000-0000366A0000}"/>
    <cellStyle name="표준 5 2 6 3 5 2 2 2" xfId="31662" xr:uid="{00000000-0005-0000-0000-0000376A0000}"/>
    <cellStyle name="표준 5 2 6 3 5 2 2 3" xfId="39873" xr:uid="{00000000-0005-0000-0000-0000386A0000}"/>
    <cellStyle name="표준 5 2 6 3 5 2 2 4" xfId="48066" xr:uid="{00000000-0005-0000-0000-0000396A0000}"/>
    <cellStyle name="표준 5 2 6 3 5 2 3" xfId="19308" xr:uid="{00000000-0005-0000-0000-00003A6A0000}"/>
    <cellStyle name="표준 5 2 6 3 5 2 4" xfId="23470" xr:uid="{00000000-0005-0000-0000-00003B6A0000}"/>
    <cellStyle name="표준 5 2 6 3 5 2 5" xfId="27566" xr:uid="{00000000-0005-0000-0000-00003C6A0000}"/>
    <cellStyle name="표준 5 2 6 3 5 2 6" xfId="35777" xr:uid="{00000000-0005-0000-0000-00003D6A0000}"/>
    <cellStyle name="표준 5 2 6 3 5 2 7" xfId="43970" xr:uid="{00000000-0005-0000-0000-00003E6A0000}"/>
    <cellStyle name="표준 5 2 6 3 5 3" xfId="8908" xr:uid="{00000000-0005-0000-0000-00003F6A0000}"/>
    <cellStyle name="표준 5 2 6 3 5 3 2" xfId="29614" xr:uid="{00000000-0005-0000-0000-0000406A0000}"/>
    <cellStyle name="표준 5 2 6 3 5 3 3" xfId="37825" xr:uid="{00000000-0005-0000-0000-0000416A0000}"/>
    <cellStyle name="표준 5 2 6 3 5 3 4" xfId="46018" xr:uid="{00000000-0005-0000-0000-0000426A0000}"/>
    <cellStyle name="표준 5 2 6 3 5 4" xfId="13020" xr:uid="{00000000-0005-0000-0000-0000436A0000}"/>
    <cellStyle name="표준 5 2 6 3 5 5" xfId="17260" xr:uid="{00000000-0005-0000-0000-0000446A0000}"/>
    <cellStyle name="표준 5 2 6 3 5 6" xfId="21422" xr:uid="{00000000-0005-0000-0000-0000456A0000}"/>
    <cellStyle name="표준 5 2 6 3 5 7" xfId="25518" xr:uid="{00000000-0005-0000-0000-0000466A0000}"/>
    <cellStyle name="표준 5 2 6 3 5 8" xfId="33729" xr:uid="{00000000-0005-0000-0000-0000476A0000}"/>
    <cellStyle name="표준 5 2 6 3 5 9" xfId="41922" xr:uid="{00000000-0005-0000-0000-0000486A0000}"/>
    <cellStyle name="표준 5 2 6 3 6" xfId="9420" xr:uid="{00000000-0005-0000-0000-0000496A0000}"/>
    <cellStyle name="표준 5 2 6 3 6 2" xfId="13532" xr:uid="{00000000-0005-0000-0000-00004A6A0000}"/>
    <cellStyle name="표준 5 2 6 3 6 2 2" xfId="30126" xr:uid="{00000000-0005-0000-0000-00004B6A0000}"/>
    <cellStyle name="표준 5 2 6 3 6 2 3" xfId="38337" xr:uid="{00000000-0005-0000-0000-00004C6A0000}"/>
    <cellStyle name="표준 5 2 6 3 6 2 4" xfId="46530" xr:uid="{00000000-0005-0000-0000-00004D6A0000}"/>
    <cellStyle name="표준 5 2 6 3 6 3" xfId="17772" xr:uid="{00000000-0005-0000-0000-00004E6A0000}"/>
    <cellStyle name="표준 5 2 6 3 6 4" xfId="21934" xr:uid="{00000000-0005-0000-0000-00004F6A0000}"/>
    <cellStyle name="표준 5 2 6 3 6 5" xfId="26030" xr:uid="{00000000-0005-0000-0000-0000506A0000}"/>
    <cellStyle name="표준 5 2 6 3 6 6" xfId="34241" xr:uid="{00000000-0005-0000-0000-0000516A0000}"/>
    <cellStyle name="표준 5 2 6 3 6 7" xfId="42434" xr:uid="{00000000-0005-0000-0000-0000526A0000}"/>
    <cellStyle name="표준 5 2 6 3 7" xfId="7372" xr:uid="{00000000-0005-0000-0000-0000536A0000}"/>
    <cellStyle name="표준 5 2 6 3 7 2" xfId="28078" xr:uid="{00000000-0005-0000-0000-0000546A0000}"/>
    <cellStyle name="표준 5 2 6 3 7 3" xfId="36289" xr:uid="{00000000-0005-0000-0000-0000556A0000}"/>
    <cellStyle name="표준 5 2 6 3 7 4" xfId="44482" xr:uid="{00000000-0005-0000-0000-0000566A0000}"/>
    <cellStyle name="표준 5 2 6 3 8" xfId="11484" xr:uid="{00000000-0005-0000-0000-0000576A0000}"/>
    <cellStyle name="표준 5 2 6 3 9" xfId="15724" xr:uid="{00000000-0005-0000-0000-0000586A0000}"/>
    <cellStyle name="표준 5 2 6 4" xfId="645" xr:uid="{00000000-0005-0000-0000-0000596A0000}"/>
    <cellStyle name="표준 5 2 6 4 10" xfId="24110" xr:uid="{00000000-0005-0000-0000-00005A6A0000}"/>
    <cellStyle name="표준 5 2 6 4 11" xfId="32321" xr:uid="{00000000-0005-0000-0000-00005B6A0000}"/>
    <cellStyle name="표준 5 2 6 4 12" xfId="40514" xr:uid="{00000000-0005-0000-0000-00005C6A0000}"/>
    <cellStyle name="표준 5 2 6 4 2" xfId="1157" xr:uid="{00000000-0005-0000-0000-00005D6A0000}"/>
    <cellStyle name="표준 5 2 6 4 2 2" xfId="10060" xr:uid="{00000000-0005-0000-0000-00005E6A0000}"/>
    <cellStyle name="표준 5 2 6 4 2 2 2" xfId="14172" xr:uid="{00000000-0005-0000-0000-00005F6A0000}"/>
    <cellStyle name="표준 5 2 6 4 2 2 2 2" xfId="30766" xr:uid="{00000000-0005-0000-0000-0000606A0000}"/>
    <cellStyle name="표준 5 2 6 4 2 2 2 3" xfId="38977" xr:uid="{00000000-0005-0000-0000-0000616A0000}"/>
    <cellStyle name="표준 5 2 6 4 2 2 2 4" xfId="47170" xr:uid="{00000000-0005-0000-0000-0000626A0000}"/>
    <cellStyle name="표준 5 2 6 4 2 2 3" xfId="18412" xr:uid="{00000000-0005-0000-0000-0000636A0000}"/>
    <cellStyle name="표준 5 2 6 4 2 2 4" xfId="22574" xr:uid="{00000000-0005-0000-0000-0000646A0000}"/>
    <cellStyle name="표준 5 2 6 4 2 2 5" xfId="26670" xr:uid="{00000000-0005-0000-0000-0000656A0000}"/>
    <cellStyle name="표준 5 2 6 4 2 2 6" xfId="34881" xr:uid="{00000000-0005-0000-0000-0000666A0000}"/>
    <cellStyle name="표준 5 2 6 4 2 2 7" xfId="43074" xr:uid="{00000000-0005-0000-0000-0000676A0000}"/>
    <cellStyle name="표준 5 2 6 4 2 3" xfId="8012" xr:uid="{00000000-0005-0000-0000-0000686A0000}"/>
    <cellStyle name="표준 5 2 6 4 2 3 2" xfId="28718" xr:uid="{00000000-0005-0000-0000-0000696A0000}"/>
    <cellStyle name="표준 5 2 6 4 2 3 3" xfId="36929" xr:uid="{00000000-0005-0000-0000-00006A6A0000}"/>
    <cellStyle name="표준 5 2 6 4 2 3 4" xfId="45122" xr:uid="{00000000-0005-0000-0000-00006B6A0000}"/>
    <cellStyle name="표준 5 2 6 4 2 4" xfId="12124" xr:uid="{00000000-0005-0000-0000-00006C6A0000}"/>
    <cellStyle name="표준 5 2 6 4 2 5" xfId="16364" xr:uid="{00000000-0005-0000-0000-00006D6A0000}"/>
    <cellStyle name="표준 5 2 6 4 2 6" xfId="20526" xr:uid="{00000000-0005-0000-0000-00006E6A0000}"/>
    <cellStyle name="표준 5 2 6 4 2 7" xfId="24622" xr:uid="{00000000-0005-0000-0000-00006F6A0000}"/>
    <cellStyle name="표준 5 2 6 4 2 8" xfId="32833" xr:uid="{00000000-0005-0000-0000-0000706A0000}"/>
    <cellStyle name="표준 5 2 6 4 2 9" xfId="41026" xr:uid="{00000000-0005-0000-0000-0000716A0000}"/>
    <cellStyle name="표준 5 2 6 4 3" xfId="1669" xr:uid="{00000000-0005-0000-0000-0000726A0000}"/>
    <cellStyle name="표준 5 2 6 4 3 2" xfId="10572" xr:uid="{00000000-0005-0000-0000-0000736A0000}"/>
    <cellStyle name="표준 5 2 6 4 3 2 2" xfId="14684" xr:uid="{00000000-0005-0000-0000-0000746A0000}"/>
    <cellStyle name="표준 5 2 6 4 3 2 2 2" xfId="31278" xr:uid="{00000000-0005-0000-0000-0000756A0000}"/>
    <cellStyle name="표준 5 2 6 4 3 2 2 3" xfId="39489" xr:uid="{00000000-0005-0000-0000-0000766A0000}"/>
    <cellStyle name="표준 5 2 6 4 3 2 2 4" xfId="47682" xr:uid="{00000000-0005-0000-0000-0000776A0000}"/>
    <cellStyle name="표준 5 2 6 4 3 2 3" xfId="18924" xr:uid="{00000000-0005-0000-0000-0000786A0000}"/>
    <cellStyle name="표준 5 2 6 4 3 2 4" xfId="23086" xr:uid="{00000000-0005-0000-0000-0000796A0000}"/>
    <cellStyle name="표준 5 2 6 4 3 2 5" xfId="27182" xr:uid="{00000000-0005-0000-0000-00007A6A0000}"/>
    <cellStyle name="표준 5 2 6 4 3 2 6" xfId="35393" xr:uid="{00000000-0005-0000-0000-00007B6A0000}"/>
    <cellStyle name="표준 5 2 6 4 3 2 7" xfId="43586" xr:uid="{00000000-0005-0000-0000-00007C6A0000}"/>
    <cellStyle name="표준 5 2 6 4 3 3" xfId="8524" xr:uid="{00000000-0005-0000-0000-00007D6A0000}"/>
    <cellStyle name="표준 5 2 6 4 3 3 2" xfId="29230" xr:uid="{00000000-0005-0000-0000-00007E6A0000}"/>
    <cellStyle name="표준 5 2 6 4 3 3 3" xfId="37441" xr:uid="{00000000-0005-0000-0000-00007F6A0000}"/>
    <cellStyle name="표준 5 2 6 4 3 3 4" xfId="45634" xr:uid="{00000000-0005-0000-0000-0000806A0000}"/>
    <cellStyle name="표준 5 2 6 4 3 4" xfId="12636" xr:uid="{00000000-0005-0000-0000-0000816A0000}"/>
    <cellStyle name="표준 5 2 6 4 3 5" xfId="16876" xr:uid="{00000000-0005-0000-0000-0000826A0000}"/>
    <cellStyle name="표준 5 2 6 4 3 6" xfId="21038" xr:uid="{00000000-0005-0000-0000-0000836A0000}"/>
    <cellStyle name="표준 5 2 6 4 3 7" xfId="25134" xr:uid="{00000000-0005-0000-0000-0000846A0000}"/>
    <cellStyle name="표준 5 2 6 4 3 8" xfId="33345" xr:uid="{00000000-0005-0000-0000-0000856A0000}"/>
    <cellStyle name="표준 5 2 6 4 3 9" xfId="41538" xr:uid="{00000000-0005-0000-0000-0000866A0000}"/>
    <cellStyle name="표준 5 2 6 4 4" xfId="2181" xr:uid="{00000000-0005-0000-0000-0000876A0000}"/>
    <cellStyle name="표준 5 2 6 4 4 2" xfId="11084" xr:uid="{00000000-0005-0000-0000-0000886A0000}"/>
    <cellStyle name="표준 5 2 6 4 4 2 2" xfId="15196" xr:uid="{00000000-0005-0000-0000-0000896A0000}"/>
    <cellStyle name="표준 5 2 6 4 4 2 2 2" xfId="31790" xr:uid="{00000000-0005-0000-0000-00008A6A0000}"/>
    <cellStyle name="표준 5 2 6 4 4 2 2 3" xfId="40001" xr:uid="{00000000-0005-0000-0000-00008B6A0000}"/>
    <cellStyle name="표준 5 2 6 4 4 2 2 4" xfId="48194" xr:uid="{00000000-0005-0000-0000-00008C6A0000}"/>
    <cellStyle name="표준 5 2 6 4 4 2 3" xfId="19436" xr:uid="{00000000-0005-0000-0000-00008D6A0000}"/>
    <cellStyle name="표준 5 2 6 4 4 2 4" xfId="23598" xr:uid="{00000000-0005-0000-0000-00008E6A0000}"/>
    <cellStyle name="표준 5 2 6 4 4 2 5" xfId="27694" xr:uid="{00000000-0005-0000-0000-00008F6A0000}"/>
    <cellStyle name="표준 5 2 6 4 4 2 6" xfId="35905" xr:uid="{00000000-0005-0000-0000-0000906A0000}"/>
    <cellStyle name="표준 5 2 6 4 4 2 7" xfId="44098" xr:uid="{00000000-0005-0000-0000-0000916A0000}"/>
    <cellStyle name="표준 5 2 6 4 4 3" xfId="9036" xr:uid="{00000000-0005-0000-0000-0000926A0000}"/>
    <cellStyle name="표준 5 2 6 4 4 3 2" xfId="29742" xr:uid="{00000000-0005-0000-0000-0000936A0000}"/>
    <cellStyle name="표준 5 2 6 4 4 3 3" xfId="37953" xr:uid="{00000000-0005-0000-0000-0000946A0000}"/>
    <cellStyle name="표준 5 2 6 4 4 3 4" xfId="46146" xr:uid="{00000000-0005-0000-0000-0000956A0000}"/>
    <cellStyle name="표준 5 2 6 4 4 4" xfId="13148" xr:uid="{00000000-0005-0000-0000-0000966A0000}"/>
    <cellStyle name="표준 5 2 6 4 4 5" xfId="17388" xr:uid="{00000000-0005-0000-0000-0000976A0000}"/>
    <cellStyle name="표준 5 2 6 4 4 6" xfId="21550" xr:uid="{00000000-0005-0000-0000-0000986A0000}"/>
    <cellStyle name="표준 5 2 6 4 4 7" xfId="25646" xr:uid="{00000000-0005-0000-0000-0000996A0000}"/>
    <cellStyle name="표준 5 2 6 4 4 8" xfId="33857" xr:uid="{00000000-0005-0000-0000-00009A6A0000}"/>
    <cellStyle name="표준 5 2 6 4 4 9" xfId="42050" xr:uid="{00000000-0005-0000-0000-00009B6A0000}"/>
    <cellStyle name="표준 5 2 6 4 5" xfId="9548" xr:uid="{00000000-0005-0000-0000-00009C6A0000}"/>
    <cellStyle name="표준 5 2 6 4 5 2" xfId="13660" xr:uid="{00000000-0005-0000-0000-00009D6A0000}"/>
    <cellStyle name="표준 5 2 6 4 5 2 2" xfId="30254" xr:uid="{00000000-0005-0000-0000-00009E6A0000}"/>
    <cellStyle name="표준 5 2 6 4 5 2 3" xfId="38465" xr:uid="{00000000-0005-0000-0000-00009F6A0000}"/>
    <cellStyle name="표준 5 2 6 4 5 2 4" xfId="46658" xr:uid="{00000000-0005-0000-0000-0000A06A0000}"/>
    <cellStyle name="표준 5 2 6 4 5 3" xfId="17900" xr:uid="{00000000-0005-0000-0000-0000A16A0000}"/>
    <cellStyle name="표준 5 2 6 4 5 4" xfId="22062" xr:uid="{00000000-0005-0000-0000-0000A26A0000}"/>
    <cellStyle name="표준 5 2 6 4 5 5" xfId="26158" xr:uid="{00000000-0005-0000-0000-0000A36A0000}"/>
    <cellStyle name="표준 5 2 6 4 5 6" xfId="34369" xr:uid="{00000000-0005-0000-0000-0000A46A0000}"/>
    <cellStyle name="표준 5 2 6 4 5 7" xfId="42562" xr:uid="{00000000-0005-0000-0000-0000A56A0000}"/>
    <cellStyle name="표준 5 2 6 4 6" xfId="7500" xr:uid="{00000000-0005-0000-0000-0000A66A0000}"/>
    <cellStyle name="표준 5 2 6 4 6 2" xfId="28206" xr:uid="{00000000-0005-0000-0000-0000A76A0000}"/>
    <cellStyle name="표준 5 2 6 4 6 3" xfId="36417" xr:uid="{00000000-0005-0000-0000-0000A86A0000}"/>
    <cellStyle name="표준 5 2 6 4 6 4" xfId="44610" xr:uid="{00000000-0005-0000-0000-0000A96A0000}"/>
    <cellStyle name="표준 5 2 6 4 7" xfId="11612" xr:uid="{00000000-0005-0000-0000-0000AA6A0000}"/>
    <cellStyle name="표준 5 2 6 4 8" xfId="15852" xr:uid="{00000000-0005-0000-0000-0000AB6A0000}"/>
    <cellStyle name="표준 5 2 6 4 9" xfId="20014" xr:uid="{00000000-0005-0000-0000-0000AC6A0000}"/>
    <cellStyle name="표준 5 2 6 5" xfId="901" xr:uid="{00000000-0005-0000-0000-0000AD6A0000}"/>
    <cellStyle name="표준 5 2 6 5 2" xfId="9804" xr:uid="{00000000-0005-0000-0000-0000AE6A0000}"/>
    <cellStyle name="표준 5 2 6 5 2 2" xfId="13916" xr:uid="{00000000-0005-0000-0000-0000AF6A0000}"/>
    <cellStyle name="표준 5 2 6 5 2 2 2" xfId="30510" xr:uid="{00000000-0005-0000-0000-0000B06A0000}"/>
    <cellStyle name="표준 5 2 6 5 2 2 3" xfId="38721" xr:uid="{00000000-0005-0000-0000-0000B16A0000}"/>
    <cellStyle name="표준 5 2 6 5 2 2 4" xfId="46914" xr:uid="{00000000-0005-0000-0000-0000B26A0000}"/>
    <cellStyle name="표준 5 2 6 5 2 3" xfId="18156" xr:uid="{00000000-0005-0000-0000-0000B36A0000}"/>
    <cellStyle name="표준 5 2 6 5 2 4" xfId="22318" xr:uid="{00000000-0005-0000-0000-0000B46A0000}"/>
    <cellStyle name="표준 5 2 6 5 2 5" xfId="26414" xr:uid="{00000000-0005-0000-0000-0000B56A0000}"/>
    <cellStyle name="표준 5 2 6 5 2 6" xfId="34625" xr:uid="{00000000-0005-0000-0000-0000B66A0000}"/>
    <cellStyle name="표준 5 2 6 5 2 7" xfId="42818" xr:uid="{00000000-0005-0000-0000-0000B76A0000}"/>
    <cellStyle name="표준 5 2 6 5 3" xfId="7756" xr:uid="{00000000-0005-0000-0000-0000B86A0000}"/>
    <cellStyle name="표준 5 2 6 5 3 2" xfId="28462" xr:uid="{00000000-0005-0000-0000-0000B96A0000}"/>
    <cellStyle name="표준 5 2 6 5 3 3" xfId="36673" xr:uid="{00000000-0005-0000-0000-0000BA6A0000}"/>
    <cellStyle name="표준 5 2 6 5 3 4" xfId="44866" xr:uid="{00000000-0005-0000-0000-0000BB6A0000}"/>
    <cellStyle name="표준 5 2 6 5 4" xfId="11868" xr:uid="{00000000-0005-0000-0000-0000BC6A0000}"/>
    <cellStyle name="표준 5 2 6 5 5" xfId="16108" xr:uid="{00000000-0005-0000-0000-0000BD6A0000}"/>
    <cellStyle name="표준 5 2 6 5 6" xfId="20270" xr:uid="{00000000-0005-0000-0000-0000BE6A0000}"/>
    <cellStyle name="표준 5 2 6 5 7" xfId="24366" xr:uid="{00000000-0005-0000-0000-0000BF6A0000}"/>
    <cellStyle name="표준 5 2 6 5 8" xfId="32577" xr:uid="{00000000-0005-0000-0000-0000C06A0000}"/>
    <cellStyle name="표준 5 2 6 5 9" xfId="40770" xr:uid="{00000000-0005-0000-0000-0000C16A0000}"/>
    <cellStyle name="표준 5 2 6 6" xfId="1413" xr:uid="{00000000-0005-0000-0000-0000C26A0000}"/>
    <cellStyle name="표준 5 2 6 6 2" xfId="10316" xr:uid="{00000000-0005-0000-0000-0000C36A0000}"/>
    <cellStyle name="표준 5 2 6 6 2 2" xfId="14428" xr:uid="{00000000-0005-0000-0000-0000C46A0000}"/>
    <cellStyle name="표준 5 2 6 6 2 2 2" xfId="31022" xr:uid="{00000000-0005-0000-0000-0000C56A0000}"/>
    <cellStyle name="표준 5 2 6 6 2 2 3" xfId="39233" xr:uid="{00000000-0005-0000-0000-0000C66A0000}"/>
    <cellStyle name="표준 5 2 6 6 2 2 4" xfId="47426" xr:uid="{00000000-0005-0000-0000-0000C76A0000}"/>
    <cellStyle name="표준 5 2 6 6 2 3" xfId="18668" xr:uid="{00000000-0005-0000-0000-0000C86A0000}"/>
    <cellStyle name="표준 5 2 6 6 2 4" xfId="22830" xr:uid="{00000000-0005-0000-0000-0000C96A0000}"/>
    <cellStyle name="표준 5 2 6 6 2 5" xfId="26926" xr:uid="{00000000-0005-0000-0000-0000CA6A0000}"/>
    <cellStyle name="표준 5 2 6 6 2 6" xfId="35137" xr:uid="{00000000-0005-0000-0000-0000CB6A0000}"/>
    <cellStyle name="표준 5 2 6 6 2 7" xfId="43330" xr:uid="{00000000-0005-0000-0000-0000CC6A0000}"/>
    <cellStyle name="표준 5 2 6 6 3" xfId="8268" xr:uid="{00000000-0005-0000-0000-0000CD6A0000}"/>
    <cellStyle name="표준 5 2 6 6 3 2" xfId="28974" xr:uid="{00000000-0005-0000-0000-0000CE6A0000}"/>
    <cellStyle name="표준 5 2 6 6 3 3" xfId="37185" xr:uid="{00000000-0005-0000-0000-0000CF6A0000}"/>
    <cellStyle name="표준 5 2 6 6 3 4" xfId="45378" xr:uid="{00000000-0005-0000-0000-0000D06A0000}"/>
    <cellStyle name="표준 5 2 6 6 4" xfId="12380" xr:uid="{00000000-0005-0000-0000-0000D16A0000}"/>
    <cellStyle name="표준 5 2 6 6 5" xfId="16620" xr:uid="{00000000-0005-0000-0000-0000D26A0000}"/>
    <cellStyle name="표준 5 2 6 6 6" xfId="20782" xr:uid="{00000000-0005-0000-0000-0000D36A0000}"/>
    <cellStyle name="표준 5 2 6 6 7" xfId="24878" xr:uid="{00000000-0005-0000-0000-0000D46A0000}"/>
    <cellStyle name="표준 5 2 6 6 8" xfId="33089" xr:uid="{00000000-0005-0000-0000-0000D56A0000}"/>
    <cellStyle name="표준 5 2 6 6 9" xfId="41282" xr:uid="{00000000-0005-0000-0000-0000D66A0000}"/>
    <cellStyle name="표준 5 2 6 7" xfId="1925" xr:uid="{00000000-0005-0000-0000-0000D76A0000}"/>
    <cellStyle name="표준 5 2 6 7 2" xfId="10828" xr:uid="{00000000-0005-0000-0000-0000D86A0000}"/>
    <cellStyle name="표준 5 2 6 7 2 2" xfId="14940" xr:uid="{00000000-0005-0000-0000-0000D96A0000}"/>
    <cellStyle name="표준 5 2 6 7 2 2 2" xfId="31534" xr:uid="{00000000-0005-0000-0000-0000DA6A0000}"/>
    <cellStyle name="표준 5 2 6 7 2 2 3" xfId="39745" xr:uid="{00000000-0005-0000-0000-0000DB6A0000}"/>
    <cellStyle name="표준 5 2 6 7 2 2 4" xfId="47938" xr:uid="{00000000-0005-0000-0000-0000DC6A0000}"/>
    <cellStyle name="표준 5 2 6 7 2 3" xfId="19180" xr:uid="{00000000-0005-0000-0000-0000DD6A0000}"/>
    <cellStyle name="표준 5 2 6 7 2 4" xfId="23342" xr:uid="{00000000-0005-0000-0000-0000DE6A0000}"/>
    <cellStyle name="표준 5 2 6 7 2 5" xfId="27438" xr:uid="{00000000-0005-0000-0000-0000DF6A0000}"/>
    <cellStyle name="표준 5 2 6 7 2 6" xfId="35649" xr:uid="{00000000-0005-0000-0000-0000E06A0000}"/>
    <cellStyle name="표준 5 2 6 7 2 7" xfId="43842" xr:uid="{00000000-0005-0000-0000-0000E16A0000}"/>
    <cellStyle name="표준 5 2 6 7 3" xfId="8780" xr:uid="{00000000-0005-0000-0000-0000E26A0000}"/>
    <cellStyle name="표준 5 2 6 7 3 2" xfId="29486" xr:uid="{00000000-0005-0000-0000-0000E36A0000}"/>
    <cellStyle name="표준 5 2 6 7 3 3" xfId="37697" xr:uid="{00000000-0005-0000-0000-0000E46A0000}"/>
    <cellStyle name="표준 5 2 6 7 3 4" xfId="45890" xr:uid="{00000000-0005-0000-0000-0000E56A0000}"/>
    <cellStyle name="표준 5 2 6 7 4" xfId="12892" xr:uid="{00000000-0005-0000-0000-0000E66A0000}"/>
    <cellStyle name="표준 5 2 6 7 5" xfId="17132" xr:uid="{00000000-0005-0000-0000-0000E76A0000}"/>
    <cellStyle name="표준 5 2 6 7 6" xfId="21294" xr:uid="{00000000-0005-0000-0000-0000E86A0000}"/>
    <cellStyle name="표준 5 2 6 7 7" xfId="25390" xr:uid="{00000000-0005-0000-0000-0000E96A0000}"/>
    <cellStyle name="표준 5 2 6 7 8" xfId="33601" xr:uid="{00000000-0005-0000-0000-0000EA6A0000}"/>
    <cellStyle name="표준 5 2 6 7 9" xfId="41794" xr:uid="{00000000-0005-0000-0000-0000EB6A0000}"/>
    <cellStyle name="표준 5 2 6 8" xfId="389" xr:uid="{00000000-0005-0000-0000-0000EC6A0000}"/>
    <cellStyle name="표준 5 2 6 8 2" xfId="9292" xr:uid="{00000000-0005-0000-0000-0000ED6A0000}"/>
    <cellStyle name="표준 5 2 6 8 2 2" xfId="29998" xr:uid="{00000000-0005-0000-0000-0000EE6A0000}"/>
    <cellStyle name="표준 5 2 6 8 2 3" xfId="38209" xr:uid="{00000000-0005-0000-0000-0000EF6A0000}"/>
    <cellStyle name="표준 5 2 6 8 2 4" xfId="46402" xr:uid="{00000000-0005-0000-0000-0000F06A0000}"/>
    <cellStyle name="표준 5 2 6 8 3" xfId="13404" xr:uid="{00000000-0005-0000-0000-0000F16A0000}"/>
    <cellStyle name="표준 5 2 6 8 4" xfId="17644" xr:uid="{00000000-0005-0000-0000-0000F26A0000}"/>
    <cellStyle name="표준 5 2 6 8 5" xfId="21806" xr:uid="{00000000-0005-0000-0000-0000F36A0000}"/>
    <cellStyle name="표준 5 2 6 8 6" xfId="25902" xr:uid="{00000000-0005-0000-0000-0000F46A0000}"/>
    <cellStyle name="표준 5 2 6 8 7" xfId="34113" xr:uid="{00000000-0005-0000-0000-0000F56A0000}"/>
    <cellStyle name="표준 5 2 6 8 8" xfId="42306" xr:uid="{00000000-0005-0000-0000-0000F66A0000}"/>
    <cellStyle name="표준 5 2 6 9" xfId="6538" xr:uid="{00000000-0005-0000-0000-0000F76A0000}"/>
    <cellStyle name="표준 5 2 6 9 2" xfId="27950" xr:uid="{00000000-0005-0000-0000-0000F86A0000}"/>
    <cellStyle name="표준 5 2 6 9 3" xfId="36161" xr:uid="{00000000-0005-0000-0000-0000F96A0000}"/>
    <cellStyle name="표준 5 2 6 9 4" xfId="44354" xr:uid="{00000000-0005-0000-0000-0000FA6A0000}"/>
    <cellStyle name="표준 5 2 7" xfId="421" xr:uid="{00000000-0005-0000-0000-0000FB6A0000}"/>
    <cellStyle name="표준 5 2 7 10" xfId="7276" xr:uid="{00000000-0005-0000-0000-0000FC6A0000}"/>
    <cellStyle name="표준 5 2 7 11" xfId="11388" xr:uid="{00000000-0005-0000-0000-0000FD6A0000}"/>
    <cellStyle name="표준 5 2 7 12" xfId="15500" xr:uid="{00000000-0005-0000-0000-0000FE6A0000}"/>
    <cellStyle name="표준 5 2 7 13" xfId="15628" xr:uid="{00000000-0005-0000-0000-0000FF6A0000}"/>
    <cellStyle name="표준 5 2 7 14" xfId="19790" xr:uid="{00000000-0005-0000-0000-0000006B0000}"/>
    <cellStyle name="표준 5 2 7 15" xfId="23886" xr:uid="{00000000-0005-0000-0000-0000016B0000}"/>
    <cellStyle name="표준 5 2 7 16" xfId="32097" xr:uid="{00000000-0005-0000-0000-0000026B0000}"/>
    <cellStyle name="표준 5 2 7 17" xfId="40290" xr:uid="{00000000-0005-0000-0000-0000036B0000}"/>
    <cellStyle name="표준 5 2 7 2" xfId="549" xr:uid="{00000000-0005-0000-0000-0000046B0000}"/>
    <cellStyle name="표준 5 2 7 2 10" xfId="19918" xr:uid="{00000000-0005-0000-0000-0000056B0000}"/>
    <cellStyle name="표준 5 2 7 2 11" xfId="24014" xr:uid="{00000000-0005-0000-0000-0000066B0000}"/>
    <cellStyle name="표준 5 2 7 2 12" xfId="32225" xr:uid="{00000000-0005-0000-0000-0000076B0000}"/>
    <cellStyle name="표준 5 2 7 2 13" xfId="40418" xr:uid="{00000000-0005-0000-0000-0000086B0000}"/>
    <cellStyle name="표준 5 2 7 2 2" xfId="805" xr:uid="{00000000-0005-0000-0000-0000096B0000}"/>
    <cellStyle name="표준 5 2 7 2 2 10" xfId="24270" xr:uid="{00000000-0005-0000-0000-00000A6B0000}"/>
    <cellStyle name="표준 5 2 7 2 2 11" xfId="32481" xr:uid="{00000000-0005-0000-0000-00000B6B0000}"/>
    <cellStyle name="표준 5 2 7 2 2 12" xfId="40674" xr:uid="{00000000-0005-0000-0000-00000C6B0000}"/>
    <cellStyle name="표준 5 2 7 2 2 2" xfId="1317" xr:uid="{00000000-0005-0000-0000-00000D6B0000}"/>
    <cellStyle name="표준 5 2 7 2 2 2 2" xfId="10220" xr:uid="{00000000-0005-0000-0000-00000E6B0000}"/>
    <cellStyle name="표준 5 2 7 2 2 2 2 2" xfId="14332" xr:uid="{00000000-0005-0000-0000-00000F6B0000}"/>
    <cellStyle name="표준 5 2 7 2 2 2 2 2 2" xfId="30926" xr:uid="{00000000-0005-0000-0000-0000106B0000}"/>
    <cellStyle name="표준 5 2 7 2 2 2 2 2 3" xfId="39137" xr:uid="{00000000-0005-0000-0000-0000116B0000}"/>
    <cellStyle name="표준 5 2 7 2 2 2 2 2 4" xfId="47330" xr:uid="{00000000-0005-0000-0000-0000126B0000}"/>
    <cellStyle name="표준 5 2 7 2 2 2 2 3" xfId="18572" xr:uid="{00000000-0005-0000-0000-0000136B0000}"/>
    <cellStyle name="표준 5 2 7 2 2 2 2 4" xfId="22734" xr:uid="{00000000-0005-0000-0000-0000146B0000}"/>
    <cellStyle name="표준 5 2 7 2 2 2 2 5" xfId="26830" xr:uid="{00000000-0005-0000-0000-0000156B0000}"/>
    <cellStyle name="표준 5 2 7 2 2 2 2 6" xfId="35041" xr:uid="{00000000-0005-0000-0000-0000166B0000}"/>
    <cellStyle name="표준 5 2 7 2 2 2 2 7" xfId="43234" xr:uid="{00000000-0005-0000-0000-0000176B0000}"/>
    <cellStyle name="표준 5 2 7 2 2 2 3" xfId="8172" xr:uid="{00000000-0005-0000-0000-0000186B0000}"/>
    <cellStyle name="표준 5 2 7 2 2 2 3 2" xfId="28878" xr:uid="{00000000-0005-0000-0000-0000196B0000}"/>
    <cellStyle name="표준 5 2 7 2 2 2 3 3" xfId="37089" xr:uid="{00000000-0005-0000-0000-00001A6B0000}"/>
    <cellStyle name="표준 5 2 7 2 2 2 3 4" xfId="45282" xr:uid="{00000000-0005-0000-0000-00001B6B0000}"/>
    <cellStyle name="표준 5 2 7 2 2 2 4" xfId="12284" xr:uid="{00000000-0005-0000-0000-00001C6B0000}"/>
    <cellStyle name="표준 5 2 7 2 2 2 5" xfId="16524" xr:uid="{00000000-0005-0000-0000-00001D6B0000}"/>
    <cellStyle name="표준 5 2 7 2 2 2 6" xfId="20686" xr:uid="{00000000-0005-0000-0000-00001E6B0000}"/>
    <cellStyle name="표준 5 2 7 2 2 2 7" xfId="24782" xr:uid="{00000000-0005-0000-0000-00001F6B0000}"/>
    <cellStyle name="표준 5 2 7 2 2 2 8" xfId="32993" xr:uid="{00000000-0005-0000-0000-0000206B0000}"/>
    <cellStyle name="표준 5 2 7 2 2 2 9" xfId="41186" xr:uid="{00000000-0005-0000-0000-0000216B0000}"/>
    <cellStyle name="표준 5 2 7 2 2 3" xfId="1829" xr:uid="{00000000-0005-0000-0000-0000226B0000}"/>
    <cellStyle name="표준 5 2 7 2 2 3 2" xfId="10732" xr:uid="{00000000-0005-0000-0000-0000236B0000}"/>
    <cellStyle name="표준 5 2 7 2 2 3 2 2" xfId="14844" xr:uid="{00000000-0005-0000-0000-0000246B0000}"/>
    <cellStyle name="표준 5 2 7 2 2 3 2 2 2" xfId="31438" xr:uid="{00000000-0005-0000-0000-0000256B0000}"/>
    <cellStyle name="표준 5 2 7 2 2 3 2 2 3" xfId="39649" xr:uid="{00000000-0005-0000-0000-0000266B0000}"/>
    <cellStyle name="표준 5 2 7 2 2 3 2 2 4" xfId="47842" xr:uid="{00000000-0005-0000-0000-0000276B0000}"/>
    <cellStyle name="표준 5 2 7 2 2 3 2 3" xfId="19084" xr:uid="{00000000-0005-0000-0000-0000286B0000}"/>
    <cellStyle name="표준 5 2 7 2 2 3 2 4" xfId="23246" xr:uid="{00000000-0005-0000-0000-0000296B0000}"/>
    <cellStyle name="표준 5 2 7 2 2 3 2 5" xfId="27342" xr:uid="{00000000-0005-0000-0000-00002A6B0000}"/>
    <cellStyle name="표준 5 2 7 2 2 3 2 6" xfId="35553" xr:uid="{00000000-0005-0000-0000-00002B6B0000}"/>
    <cellStyle name="표준 5 2 7 2 2 3 2 7" xfId="43746" xr:uid="{00000000-0005-0000-0000-00002C6B0000}"/>
    <cellStyle name="표준 5 2 7 2 2 3 3" xfId="8684" xr:uid="{00000000-0005-0000-0000-00002D6B0000}"/>
    <cellStyle name="표준 5 2 7 2 2 3 3 2" xfId="29390" xr:uid="{00000000-0005-0000-0000-00002E6B0000}"/>
    <cellStyle name="표준 5 2 7 2 2 3 3 3" xfId="37601" xr:uid="{00000000-0005-0000-0000-00002F6B0000}"/>
    <cellStyle name="표준 5 2 7 2 2 3 3 4" xfId="45794" xr:uid="{00000000-0005-0000-0000-0000306B0000}"/>
    <cellStyle name="표준 5 2 7 2 2 3 4" xfId="12796" xr:uid="{00000000-0005-0000-0000-0000316B0000}"/>
    <cellStyle name="표준 5 2 7 2 2 3 5" xfId="17036" xr:uid="{00000000-0005-0000-0000-0000326B0000}"/>
    <cellStyle name="표준 5 2 7 2 2 3 6" xfId="21198" xr:uid="{00000000-0005-0000-0000-0000336B0000}"/>
    <cellStyle name="표준 5 2 7 2 2 3 7" xfId="25294" xr:uid="{00000000-0005-0000-0000-0000346B0000}"/>
    <cellStyle name="표준 5 2 7 2 2 3 8" xfId="33505" xr:uid="{00000000-0005-0000-0000-0000356B0000}"/>
    <cellStyle name="표준 5 2 7 2 2 3 9" xfId="41698" xr:uid="{00000000-0005-0000-0000-0000366B0000}"/>
    <cellStyle name="표준 5 2 7 2 2 4" xfId="2341" xr:uid="{00000000-0005-0000-0000-0000376B0000}"/>
    <cellStyle name="표준 5 2 7 2 2 4 2" xfId="11244" xr:uid="{00000000-0005-0000-0000-0000386B0000}"/>
    <cellStyle name="표준 5 2 7 2 2 4 2 2" xfId="15356" xr:uid="{00000000-0005-0000-0000-0000396B0000}"/>
    <cellStyle name="표준 5 2 7 2 2 4 2 2 2" xfId="31950" xr:uid="{00000000-0005-0000-0000-00003A6B0000}"/>
    <cellStyle name="표준 5 2 7 2 2 4 2 2 3" xfId="40161" xr:uid="{00000000-0005-0000-0000-00003B6B0000}"/>
    <cellStyle name="표준 5 2 7 2 2 4 2 2 4" xfId="48354" xr:uid="{00000000-0005-0000-0000-00003C6B0000}"/>
    <cellStyle name="표준 5 2 7 2 2 4 2 3" xfId="19596" xr:uid="{00000000-0005-0000-0000-00003D6B0000}"/>
    <cellStyle name="표준 5 2 7 2 2 4 2 4" xfId="23758" xr:uid="{00000000-0005-0000-0000-00003E6B0000}"/>
    <cellStyle name="표준 5 2 7 2 2 4 2 5" xfId="27854" xr:uid="{00000000-0005-0000-0000-00003F6B0000}"/>
    <cellStyle name="표준 5 2 7 2 2 4 2 6" xfId="36065" xr:uid="{00000000-0005-0000-0000-0000406B0000}"/>
    <cellStyle name="표준 5 2 7 2 2 4 2 7" xfId="44258" xr:uid="{00000000-0005-0000-0000-0000416B0000}"/>
    <cellStyle name="표준 5 2 7 2 2 4 3" xfId="9196" xr:uid="{00000000-0005-0000-0000-0000426B0000}"/>
    <cellStyle name="표준 5 2 7 2 2 4 3 2" xfId="29902" xr:uid="{00000000-0005-0000-0000-0000436B0000}"/>
    <cellStyle name="표준 5 2 7 2 2 4 3 3" xfId="38113" xr:uid="{00000000-0005-0000-0000-0000446B0000}"/>
    <cellStyle name="표준 5 2 7 2 2 4 3 4" xfId="46306" xr:uid="{00000000-0005-0000-0000-0000456B0000}"/>
    <cellStyle name="표준 5 2 7 2 2 4 4" xfId="13308" xr:uid="{00000000-0005-0000-0000-0000466B0000}"/>
    <cellStyle name="표준 5 2 7 2 2 4 5" xfId="17548" xr:uid="{00000000-0005-0000-0000-0000476B0000}"/>
    <cellStyle name="표준 5 2 7 2 2 4 6" xfId="21710" xr:uid="{00000000-0005-0000-0000-0000486B0000}"/>
    <cellStyle name="표준 5 2 7 2 2 4 7" xfId="25806" xr:uid="{00000000-0005-0000-0000-0000496B0000}"/>
    <cellStyle name="표준 5 2 7 2 2 4 8" xfId="34017" xr:uid="{00000000-0005-0000-0000-00004A6B0000}"/>
    <cellStyle name="표준 5 2 7 2 2 4 9" xfId="42210" xr:uid="{00000000-0005-0000-0000-00004B6B0000}"/>
    <cellStyle name="표준 5 2 7 2 2 5" xfId="9708" xr:uid="{00000000-0005-0000-0000-00004C6B0000}"/>
    <cellStyle name="표준 5 2 7 2 2 5 2" xfId="13820" xr:uid="{00000000-0005-0000-0000-00004D6B0000}"/>
    <cellStyle name="표준 5 2 7 2 2 5 2 2" xfId="30414" xr:uid="{00000000-0005-0000-0000-00004E6B0000}"/>
    <cellStyle name="표준 5 2 7 2 2 5 2 3" xfId="38625" xr:uid="{00000000-0005-0000-0000-00004F6B0000}"/>
    <cellStyle name="표준 5 2 7 2 2 5 2 4" xfId="46818" xr:uid="{00000000-0005-0000-0000-0000506B0000}"/>
    <cellStyle name="표준 5 2 7 2 2 5 3" xfId="18060" xr:uid="{00000000-0005-0000-0000-0000516B0000}"/>
    <cellStyle name="표준 5 2 7 2 2 5 4" xfId="22222" xr:uid="{00000000-0005-0000-0000-0000526B0000}"/>
    <cellStyle name="표준 5 2 7 2 2 5 5" xfId="26318" xr:uid="{00000000-0005-0000-0000-0000536B0000}"/>
    <cellStyle name="표준 5 2 7 2 2 5 6" xfId="34529" xr:uid="{00000000-0005-0000-0000-0000546B0000}"/>
    <cellStyle name="표준 5 2 7 2 2 5 7" xfId="42722" xr:uid="{00000000-0005-0000-0000-0000556B0000}"/>
    <cellStyle name="표준 5 2 7 2 2 6" xfId="7660" xr:uid="{00000000-0005-0000-0000-0000566B0000}"/>
    <cellStyle name="표준 5 2 7 2 2 6 2" xfId="28366" xr:uid="{00000000-0005-0000-0000-0000576B0000}"/>
    <cellStyle name="표준 5 2 7 2 2 6 3" xfId="36577" xr:uid="{00000000-0005-0000-0000-0000586B0000}"/>
    <cellStyle name="표준 5 2 7 2 2 6 4" xfId="44770" xr:uid="{00000000-0005-0000-0000-0000596B0000}"/>
    <cellStyle name="표준 5 2 7 2 2 7" xfId="11772" xr:uid="{00000000-0005-0000-0000-00005A6B0000}"/>
    <cellStyle name="표준 5 2 7 2 2 8" xfId="16012" xr:uid="{00000000-0005-0000-0000-00005B6B0000}"/>
    <cellStyle name="표준 5 2 7 2 2 9" xfId="20174" xr:uid="{00000000-0005-0000-0000-00005C6B0000}"/>
    <cellStyle name="표준 5 2 7 2 3" xfId="1061" xr:uid="{00000000-0005-0000-0000-00005D6B0000}"/>
    <cellStyle name="표준 5 2 7 2 3 2" xfId="9964" xr:uid="{00000000-0005-0000-0000-00005E6B0000}"/>
    <cellStyle name="표준 5 2 7 2 3 2 2" xfId="14076" xr:uid="{00000000-0005-0000-0000-00005F6B0000}"/>
    <cellStyle name="표준 5 2 7 2 3 2 2 2" xfId="30670" xr:uid="{00000000-0005-0000-0000-0000606B0000}"/>
    <cellStyle name="표준 5 2 7 2 3 2 2 3" xfId="38881" xr:uid="{00000000-0005-0000-0000-0000616B0000}"/>
    <cellStyle name="표준 5 2 7 2 3 2 2 4" xfId="47074" xr:uid="{00000000-0005-0000-0000-0000626B0000}"/>
    <cellStyle name="표준 5 2 7 2 3 2 3" xfId="18316" xr:uid="{00000000-0005-0000-0000-0000636B0000}"/>
    <cellStyle name="표준 5 2 7 2 3 2 4" xfId="22478" xr:uid="{00000000-0005-0000-0000-0000646B0000}"/>
    <cellStyle name="표준 5 2 7 2 3 2 5" xfId="26574" xr:uid="{00000000-0005-0000-0000-0000656B0000}"/>
    <cellStyle name="표준 5 2 7 2 3 2 6" xfId="34785" xr:uid="{00000000-0005-0000-0000-0000666B0000}"/>
    <cellStyle name="표준 5 2 7 2 3 2 7" xfId="42978" xr:uid="{00000000-0005-0000-0000-0000676B0000}"/>
    <cellStyle name="표준 5 2 7 2 3 3" xfId="7916" xr:uid="{00000000-0005-0000-0000-0000686B0000}"/>
    <cellStyle name="표준 5 2 7 2 3 3 2" xfId="28622" xr:uid="{00000000-0005-0000-0000-0000696B0000}"/>
    <cellStyle name="표준 5 2 7 2 3 3 3" xfId="36833" xr:uid="{00000000-0005-0000-0000-00006A6B0000}"/>
    <cellStyle name="표준 5 2 7 2 3 3 4" xfId="45026" xr:uid="{00000000-0005-0000-0000-00006B6B0000}"/>
    <cellStyle name="표준 5 2 7 2 3 4" xfId="12028" xr:uid="{00000000-0005-0000-0000-00006C6B0000}"/>
    <cellStyle name="표준 5 2 7 2 3 5" xfId="16268" xr:uid="{00000000-0005-0000-0000-00006D6B0000}"/>
    <cellStyle name="표준 5 2 7 2 3 6" xfId="20430" xr:uid="{00000000-0005-0000-0000-00006E6B0000}"/>
    <cellStyle name="표준 5 2 7 2 3 7" xfId="24526" xr:uid="{00000000-0005-0000-0000-00006F6B0000}"/>
    <cellStyle name="표준 5 2 7 2 3 8" xfId="32737" xr:uid="{00000000-0005-0000-0000-0000706B0000}"/>
    <cellStyle name="표준 5 2 7 2 3 9" xfId="40930" xr:uid="{00000000-0005-0000-0000-0000716B0000}"/>
    <cellStyle name="표준 5 2 7 2 4" xfId="1573" xr:uid="{00000000-0005-0000-0000-0000726B0000}"/>
    <cellStyle name="표준 5 2 7 2 4 2" xfId="10476" xr:uid="{00000000-0005-0000-0000-0000736B0000}"/>
    <cellStyle name="표준 5 2 7 2 4 2 2" xfId="14588" xr:uid="{00000000-0005-0000-0000-0000746B0000}"/>
    <cellStyle name="표준 5 2 7 2 4 2 2 2" xfId="31182" xr:uid="{00000000-0005-0000-0000-0000756B0000}"/>
    <cellStyle name="표준 5 2 7 2 4 2 2 3" xfId="39393" xr:uid="{00000000-0005-0000-0000-0000766B0000}"/>
    <cellStyle name="표준 5 2 7 2 4 2 2 4" xfId="47586" xr:uid="{00000000-0005-0000-0000-0000776B0000}"/>
    <cellStyle name="표준 5 2 7 2 4 2 3" xfId="18828" xr:uid="{00000000-0005-0000-0000-0000786B0000}"/>
    <cellStyle name="표준 5 2 7 2 4 2 4" xfId="22990" xr:uid="{00000000-0005-0000-0000-0000796B0000}"/>
    <cellStyle name="표준 5 2 7 2 4 2 5" xfId="27086" xr:uid="{00000000-0005-0000-0000-00007A6B0000}"/>
    <cellStyle name="표준 5 2 7 2 4 2 6" xfId="35297" xr:uid="{00000000-0005-0000-0000-00007B6B0000}"/>
    <cellStyle name="표준 5 2 7 2 4 2 7" xfId="43490" xr:uid="{00000000-0005-0000-0000-00007C6B0000}"/>
    <cellStyle name="표준 5 2 7 2 4 3" xfId="8428" xr:uid="{00000000-0005-0000-0000-00007D6B0000}"/>
    <cellStyle name="표준 5 2 7 2 4 3 2" xfId="29134" xr:uid="{00000000-0005-0000-0000-00007E6B0000}"/>
    <cellStyle name="표준 5 2 7 2 4 3 3" xfId="37345" xr:uid="{00000000-0005-0000-0000-00007F6B0000}"/>
    <cellStyle name="표준 5 2 7 2 4 3 4" xfId="45538" xr:uid="{00000000-0005-0000-0000-0000806B0000}"/>
    <cellStyle name="표준 5 2 7 2 4 4" xfId="12540" xr:uid="{00000000-0005-0000-0000-0000816B0000}"/>
    <cellStyle name="표준 5 2 7 2 4 5" xfId="16780" xr:uid="{00000000-0005-0000-0000-0000826B0000}"/>
    <cellStyle name="표준 5 2 7 2 4 6" xfId="20942" xr:uid="{00000000-0005-0000-0000-0000836B0000}"/>
    <cellStyle name="표준 5 2 7 2 4 7" xfId="25038" xr:uid="{00000000-0005-0000-0000-0000846B0000}"/>
    <cellStyle name="표준 5 2 7 2 4 8" xfId="33249" xr:uid="{00000000-0005-0000-0000-0000856B0000}"/>
    <cellStyle name="표준 5 2 7 2 4 9" xfId="41442" xr:uid="{00000000-0005-0000-0000-0000866B0000}"/>
    <cellStyle name="표준 5 2 7 2 5" xfId="2085" xr:uid="{00000000-0005-0000-0000-0000876B0000}"/>
    <cellStyle name="표준 5 2 7 2 5 2" xfId="10988" xr:uid="{00000000-0005-0000-0000-0000886B0000}"/>
    <cellStyle name="표준 5 2 7 2 5 2 2" xfId="15100" xr:uid="{00000000-0005-0000-0000-0000896B0000}"/>
    <cellStyle name="표준 5 2 7 2 5 2 2 2" xfId="31694" xr:uid="{00000000-0005-0000-0000-00008A6B0000}"/>
    <cellStyle name="표준 5 2 7 2 5 2 2 3" xfId="39905" xr:uid="{00000000-0005-0000-0000-00008B6B0000}"/>
    <cellStyle name="표준 5 2 7 2 5 2 2 4" xfId="48098" xr:uid="{00000000-0005-0000-0000-00008C6B0000}"/>
    <cellStyle name="표준 5 2 7 2 5 2 3" xfId="19340" xr:uid="{00000000-0005-0000-0000-00008D6B0000}"/>
    <cellStyle name="표준 5 2 7 2 5 2 4" xfId="23502" xr:uid="{00000000-0005-0000-0000-00008E6B0000}"/>
    <cellStyle name="표준 5 2 7 2 5 2 5" xfId="27598" xr:uid="{00000000-0005-0000-0000-00008F6B0000}"/>
    <cellStyle name="표준 5 2 7 2 5 2 6" xfId="35809" xr:uid="{00000000-0005-0000-0000-0000906B0000}"/>
    <cellStyle name="표준 5 2 7 2 5 2 7" xfId="44002" xr:uid="{00000000-0005-0000-0000-0000916B0000}"/>
    <cellStyle name="표준 5 2 7 2 5 3" xfId="8940" xr:uid="{00000000-0005-0000-0000-0000926B0000}"/>
    <cellStyle name="표준 5 2 7 2 5 3 2" xfId="29646" xr:uid="{00000000-0005-0000-0000-0000936B0000}"/>
    <cellStyle name="표준 5 2 7 2 5 3 3" xfId="37857" xr:uid="{00000000-0005-0000-0000-0000946B0000}"/>
    <cellStyle name="표준 5 2 7 2 5 3 4" xfId="46050" xr:uid="{00000000-0005-0000-0000-0000956B0000}"/>
    <cellStyle name="표준 5 2 7 2 5 4" xfId="13052" xr:uid="{00000000-0005-0000-0000-0000966B0000}"/>
    <cellStyle name="표준 5 2 7 2 5 5" xfId="17292" xr:uid="{00000000-0005-0000-0000-0000976B0000}"/>
    <cellStyle name="표준 5 2 7 2 5 6" xfId="21454" xr:uid="{00000000-0005-0000-0000-0000986B0000}"/>
    <cellStyle name="표준 5 2 7 2 5 7" xfId="25550" xr:uid="{00000000-0005-0000-0000-0000996B0000}"/>
    <cellStyle name="표준 5 2 7 2 5 8" xfId="33761" xr:uid="{00000000-0005-0000-0000-00009A6B0000}"/>
    <cellStyle name="표준 5 2 7 2 5 9" xfId="41954" xr:uid="{00000000-0005-0000-0000-00009B6B0000}"/>
    <cellStyle name="표준 5 2 7 2 6" xfId="9452" xr:uid="{00000000-0005-0000-0000-00009C6B0000}"/>
    <cellStyle name="표준 5 2 7 2 6 2" xfId="13564" xr:uid="{00000000-0005-0000-0000-00009D6B0000}"/>
    <cellStyle name="표준 5 2 7 2 6 2 2" xfId="30158" xr:uid="{00000000-0005-0000-0000-00009E6B0000}"/>
    <cellStyle name="표준 5 2 7 2 6 2 3" xfId="38369" xr:uid="{00000000-0005-0000-0000-00009F6B0000}"/>
    <cellStyle name="표준 5 2 7 2 6 2 4" xfId="46562" xr:uid="{00000000-0005-0000-0000-0000A06B0000}"/>
    <cellStyle name="표준 5 2 7 2 6 3" xfId="17804" xr:uid="{00000000-0005-0000-0000-0000A16B0000}"/>
    <cellStyle name="표준 5 2 7 2 6 4" xfId="21966" xr:uid="{00000000-0005-0000-0000-0000A26B0000}"/>
    <cellStyle name="표준 5 2 7 2 6 5" xfId="26062" xr:uid="{00000000-0005-0000-0000-0000A36B0000}"/>
    <cellStyle name="표준 5 2 7 2 6 6" xfId="34273" xr:uid="{00000000-0005-0000-0000-0000A46B0000}"/>
    <cellStyle name="표준 5 2 7 2 6 7" xfId="42466" xr:uid="{00000000-0005-0000-0000-0000A56B0000}"/>
    <cellStyle name="표준 5 2 7 2 7" xfId="7404" xr:uid="{00000000-0005-0000-0000-0000A66B0000}"/>
    <cellStyle name="표준 5 2 7 2 7 2" xfId="28110" xr:uid="{00000000-0005-0000-0000-0000A76B0000}"/>
    <cellStyle name="표준 5 2 7 2 7 3" xfId="36321" xr:uid="{00000000-0005-0000-0000-0000A86B0000}"/>
    <cellStyle name="표준 5 2 7 2 7 4" xfId="44514" xr:uid="{00000000-0005-0000-0000-0000A96B0000}"/>
    <cellStyle name="표준 5 2 7 2 8" xfId="11516" xr:uid="{00000000-0005-0000-0000-0000AA6B0000}"/>
    <cellStyle name="표준 5 2 7 2 9" xfId="15756" xr:uid="{00000000-0005-0000-0000-0000AB6B0000}"/>
    <cellStyle name="표준 5 2 7 3" xfId="677" xr:uid="{00000000-0005-0000-0000-0000AC6B0000}"/>
    <cellStyle name="표준 5 2 7 3 10" xfId="24142" xr:uid="{00000000-0005-0000-0000-0000AD6B0000}"/>
    <cellStyle name="표준 5 2 7 3 11" xfId="32353" xr:uid="{00000000-0005-0000-0000-0000AE6B0000}"/>
    <cellStyle name="표준 5 2 7 3 12" xfId="40546" xr:uid="{00000000-0005-0000-0000-0000AF6B0000}"/>
    <cellStyle name="표준 5 2 7 3 2" xfId="1189" xr:uid="{00000000-0005-0000-0000-0000B06B0000}"/>
    <cellStyle name="표준 5 2 7 3 2 2" xfId="10092" xr:uid="{00000000-0005-0000-0000-0000B16B0000}"/>
    <cellStyle name="표준 5 2 7 3 2 2 2" xfId="14204" xr:uid="{00000000-0005-0000-0000-0000B26B0000}"/>
    <cellStyle name="표준 5 2 7 3 2 2 2 2" xfId="30798" xr:uid="{00000000-0005-0000-0000-0000B36B0000}"/>
    <cellStyle name="표준 5 2 7 3 2 2 2 3" xfId="39009" xr:uid="{00000000-0005-0000-0000-0000B46B0000}"/>
    <cellStyle name="표준 5 2 7 3 2 2 2 4" xfId="47202" xr:uid="{00000000-0005-0000-0000-0000B56B0000}"/>
    <cellStyle name="표준 5 2 7 3 2 2 3" xfId="18444" xr:uid="{00000000-0005-0000-0000-0000B66B0000}"/>
    <cellStyle name="표준 5 2 7 3 2 2 4" xfId="22606" xr:uid="{00000000-0005-0000-0000-0000B76B0000}"/>
    <cellStyle name="표준 5 2 7 3 2 2 5" xfId="26702" xr:uid="{00000000-0005-0000-0000-0000B86B0000}"/>
    <cellStyle name="표준 5 2 7 3 2 2 6" xfId="34913" xr:uid="{00000000-0005-0000-0000-0000B96B0000}"/>
    <cellStyle name="표준 5 2 7 3 2 2 7" xfId="43106" xr:uid="{00000000-0005-0000-0000-0000BA6B0000}"/>
    <cellStyle name="표준 5 2 7 3 2 3" xfId="8044" xr:uid="{00000000-0005-0000-0000-0000BB6B0000}"/>
    <cellStyle name="표준 5 2 7 3 2 3 2" xfId="28750" xr:uid="{00000000-0005-0000-0000-0000BC6B0000}"/>
    <cellStyle name="표준 5 2 7 3 2 3 3" xfId="36961" xr:uid="{00000000-0005-0000-0000-0000BD6B0000}"/>
    <cellStyle name="표준 5 2 7 3 2 3 4" xfId="45154" xr:uid="{00000000-0005-0000-0000-0000BE6B0000}"/>
    <cellStyle name="표준 5 2 7 3 2 4" xfId="12156" xr:uid="{00000000-0005-0000-0000-0000BF6B0000}"/>
    <cellStyle name="표준 5 2 7 3 2 5" xfId="16396" xr:uid="{00000000-0005-0000-0000-0000C06B0000}"/>
    <cellStyle name="표준 5 2 7 3 2 6" xfId="20558" xr:uid="{00000000-0005-0000-0000-0000C16B0000}"/>
    <cellStyle name="표준 5 2 7 3 2 7" xfId="24654" xr:uid="{00000000-0005-0000-0000-0000C26B0000}"/>
    <cellStyle name="표준 5 2 7 3 2 8" xfId="32865" xr:uid="{00000000-0005-0000-0000-0000C36B0000}"/>
    <cellStyle name="표준 5 2 7 3 2 9" xfId="41058" xr:uid="{00000000-0005-0000-0000-0000C46B0000}"/>
    <cellStyle name="표준 5 2 7 3 3" xfId="1701" xr:uid="{00000000-0005-0000-0000-0000C56B0000}"/>
    <cellStyle name="표준 5 2 7 3 3 2" xfId="10604" xr:uid="{00000000-0005-0000-0000-0000C66B0000}"/>
    <cellStyle name="표준 5 2 7 3 3 2 2" xfId="14716" xr:uid="{00000000-0005-0000-0000-0000C76B0000}"/>
    <cellStyle name="표준 5 2 7 3 3 2 2 2" xfId="31310" xr:uid="{00000000-0005-0000-0000-0000C86B0000}"/>
    <cellStyle name="표준 5 2 7 3 3 2 2 3" xfId="39521" xr:uid="{00000000-0005-0000-0000-0000C96B0000}"/>
    <cellStyle name="표준 5 2 7 3 3 2 2 4" xfId="47714" xr:uid="{00000000-0005-0000-0000-0000CA6B0000}"/>
    <cellStyle name="표준 5 2 7 3 3 2 3" xfId="18956" xr:uid="{00000000-0005-0000-0000-0000CB6B0000}"/>
    <cellStyle name="표준 5 2 7 3 3 2 4" xfId="23118" xr:uid="{00000000-0005-0000-0000-0000CC6B0000}"/>
    <cellStyle name="표준 5 2 7 3 3 2 5" xfId="27214" xr:uid="{00000000-0005-0000-0000-0000CD6B0000}"/>
    <cellStyle name="표준 5 2 7 3 3 2 6" xfId="35425" xr:uid="{00000000-0005-0000-0000-0000CE6B0000}"/>
    <cellStyle name="표준 5 2 7 3 3 2 7" xfId="43618" xr:uid="{00000000-0005-0000-0000-0000CF6B0000}"/>
    <cellStyle name="표준 5 2 7 3 3 3" xfId="8556" xr:uid="{00000000-0005-0000-0000-0000D06B0000}"/>
    <cellStyle name="표준 5 2 7 3 3 3 2" xfId="29262" xr:uid="{00000000-0005-0000-0000-0000D16B0000}"/>
    <cellStyle name="표준 5 2 7 3 3 3 3" xfId="37473" xr:uid="{00000000-0005-0000-0000-0000D26B0000}"/>
    <cellStyle name="표준 5 2 7 3 3 3 4" xfId="45666" xr:uid="{00000000-0005-0000-0000-0000D36B0000}"/>
    <cellStyle name="표준 5 2 7 3 3 4" xfId="12668" xr:uid="{00000000-0005-0000-0000-0000D46B0000}"/>
    <cellStyle name="표준 5 2 7 3 3 5" xfId="16908" xr:uid="{00000000-0005-0000-0000-0000D56B0000}"/>
    <cellStyle name="표준 5 2 7 3 3 6" xfId="21070" xr:uid="{00000000-0005-0000-0000-0000D66B0000}"/>
    <cellStyle name="표준 5 2 7 3 3 7" xfId="25166" xr:uid="{00000000-0005-0000-0000-0000D76B0000}"/>
    <cellStyle name="표준 5 2 7 3 3 8" xfId="33377" xr:uid="{00000000-0005-0000-0000-0000D86B0000}"/>
    <cellStyle name="표준 5 2 7 3 3 9" xfId="41570" xr:uid="{00000000-0005-0000-0000-0000D96B0000}"/>
    <cellStyle name="표준 5 2 7 3 4" xfId="2213" xr:uid="{00000000-0005-0000-0000-0000DA6B0000}"/>
    <cellStyle name="표준 5 2 7 3 4 2" xfId="11116" xr:uid="{00000000-0005-0000-0000-0000DB6B0000}"/>
    <cellStyle name="표준 5 2 7 3 4 2 2" xfId="15228" xr:uid="{00000000-0005-0000-0000-0000DC6B0000}"/>
    <cellStyle name="표준 5 2 7 3 4 2 2 2" xfId="31822" xr:uid="{00000000-0005-0000-0000-0000DD6B0000}"/>
    <cellStyle name="표준 5 2 7 3 4 2 2 3" xfId="40033" xr:uid="{00000000-0005-0000-0000-0000DE6B0000}"/>
    <cellStyle name="표준 5 2 7 3 4 2 2 4" xfId="48226" xr:uid="{00000000-0005-0000-0000-0000DF6B0000}"/>
    <cellStyle name="표준 5 2 7 3 4 2 3" xfId="19468" xr:uid="{00000000-0005-0000-0000-0000E06B0000}"/>
    <cellStyle name="표준 5 2 7 3 4 2 4" xfId="23630" xr:uid="{00000000-0005-0000-0000-0000E16B0000}"/>
    <cellStyle name="표준 5 2 7 3 4 2 5" xfId="27726" xr:uid="{00000000-0005-0000-0000-0000E26B0000}"/>
    <cellStyle name="표준 5 2 7 3 4 2 6" xfId="35937" xr:uid="{00000000-0005-0000-0000-0000E36B0000}"/>
    <cellStyle name="표준 5 2 7 3 4 2 7" xfId="44130" xr:uid="{00000000-0005-0000-0000-0000E46B0000}"/>
    <cellStyle name="표준 5 2 7 3 4 3" xfId="9068" xr:uid="{00000000-0005-0000-0000-0000E56B0000}"/>
    <cellStyle name="표준 5 2 7 3 4 3 2" xfId="29774" xr:uid="{00000000-0005-0000-0000-0000E66B0000}"/>
    <cellStyle name="표준 5 2 7 3 4 3 3" xfId="37985" xr:uid="{00000000-0005-0000-0000-0000E76B0000}"/>
    <cellStyle name="표준 5 2 7 3 4 3 4" xfId="46178" xr:uid="{00000000-0005-0000-0000-0000E86B0000}"/>
    <cellStyle name="표준 5 2 7 3 4 4" xfId="13180" xr:uid="{00000000-0005-0000-0000-0000E96B0000}"/>
    <cellStyle name="표준 5 2 7 3 4 5" xfId="17420" xr:uid="{00000000-0005-0000-0000-0000EA6B0000}"/>
    <cellStyle name="표준 5 2 7 3 4 6" xfId="21582" xr:uid="{00000000-0005-0000-0000-0000EB6B0000}"/>
    <cellStyle name="표준 5 2 7 3 4 7" xfId="25678" xr:uid="{00000000-0005-0000-0000-0000EC6B0000}"/>
    <cellStyle name="표준 5 2 7 3 4 8" xfId="33889" xr:uid="{00000000-0005-0000-0000-0000ED6B0000}"/>
    <cellStyle name="표준 5 2 7 3 4 9" xfId="42082" xr:uid="{00000000-0005-0000-0000-0000EE6B0000}"/>
    <cellStyle name="표준 5 2 7 3 5" xfId="9580" xr:uid="{00000000-0005-0000-0000-0000EF6B0000}"/>
    <cellStyle name="표준 5 2 7 3 5 2" xfId="13692" xr:uid="{00000000-0005-0000-0000-0000F06B0000}"/>
    <cellStyle name="표준 5 2 7 3 5 2 2" xfId="30286" xr:uid="{00000000-0005-0000-0000-0000F16B0000}"/>
    <cellStyle name="표준 5 2 7 3 5 2 3" xfId="38497" xr:uid="{00000000-0005-0000-0000-0000F26B0000}"/>
    <cellStyle name="표준 5 2 7 3 5 2 4" xfId="46690" xr:uid="{00000000-0005-0000-0000-0000F36B0000}"/>
    <cellStyle name="표준 5 2 7 3 5 3" xfId="17932" xr:uid="{00000000-0005-0000-0000-0000F46B0000}"/>
    <cellStyle name="표준 5 2 7 3 5 4" xfId="22094" xr:uid="{00000000-0005-0000-0000-0000F56B0000}"/>
    <cellStyle name="표준 5 2 7 3 5 5" xfId="26190" xr:uid="{00000000-0005-0000-0000-0000F66B0000}"/>
    <cellStyle name="표준 5 2 7 3 5 6" xfId="34401" xr:uid="{00000000-0005-0000-0000-0000F76B0000}"/>
    <cellStyle name="표준 5 2 7 3 5 7" xfId="42594" xr:uid="{00000000-0005-0000-0000-0000F86B0000}"/>
    <cellStyle name="표준 5 2 7 3 6" xfId="7532" xr:uid="{00000000-0005-0000-0000-0000F96B0000}"/>
    <cellStyle name="표준 5 2 7 3 6 2" xfId="28238" xr:uid="{00000000-0005-0000-0000-0000FA6B0000}"/>
    <cellStyle name="표준 5 2 7 3 6 3" xfId="36449" xr:uid="{00000000-0005-0000-0000-0000FB6B0000}"/>
    <cellStyle name="표준 5 2 7 3 6 4" xfId="44642" xr:uid="{00000000-0005-0000-0000-0000FC6B0000}"/>
    <cellStyle name="표준 5 2 7 3 7" xfId="11644" xr:uid="{00000000-0005-0000-0000-0000FD6B0000}"/>
    <cellStyle name="표준 5 2 7 3 8" xfId="15884" xr:uid="{00000000-0005-0000-0000-0000FE6B0000}"/>
    <cellStyle name="표준 5 2 7 3 9" xfId="20046" xr:uid="{00000000-0005-0000-0000-0000FF6B0000}"/>
    <cellStyle name="표준 5 2 7 4" xfId="933" xr:uid="{00000000-0005-0000-0000-0000006C0000}"/>
    <cellStyle name="표준 5 2 7 4 2" xfId="9836" xr:uid="{00000000-0005-0000-0000-0000016C0000}"/>
    <cellStyle name="표준 5 2 7 4 2 2" xfId="13948" xr:uid="{00000000-0005-0000-0000-0000026C0000}"/>
    <cellStyle name="표준 5 2 7 4 2 2 2" xfId="30542" xr:uid="{00000000-0005-0000-0000-0000036C0000}"/>
    <cellStyle name="표준 5 2 7 4 2 2 3" xfId="38753" xr:uid="{00000000-0005-0000-0000-0000046C0000}"/>
    <cellStyle name="표준 5 2 7 4 2 2 4" xfId="46946" xr:uid="{00000000-0005-0000-0000-0000056C0000}"/>
    <cellStyle name="표준 5 2 7 4 2 3" xfId="18188" xr:uid="{00000000-0005-0000-0000-0000066C0000}"/>
    <cellStyle name="표준 5 2 7 4 2 4" xfId="22350" xr:uid="{00000000-0005-0000-0000-0000076C0000}"/>
    <cellStyle name="표준 5 2 7 4 2 5" xfId="26446" xr:uid="{00000000-0005-0000-0000-0000086C0000}"/>
    <cellStyle name="표준 5 2 7 4 2 6" xfId="34657" xr:uid="{00000000-0005-0000-0000-0000096C0000}"/>
    <cellStyle name="표준 5 2 7 4 2 7" xfId="42850" xr:uid="{00000000-0005-0000-0000-00000A6C0000}"/>
    <cellStyle name="표준 5 2 7 4 3" xfId="7788" xr:uid="{00000000-0005-0000-0000-00000B6C0000}"/>
    <cellStyle name="표준 5 2 7 4 3 2" xfId="28494" xr:uid="{00000000-0005-0000-0000-00000C6C0000}"/>
    <cellStyle name="표준 5 2 7 4 3 3" xfId="36705" xr:uid="{00000000-0005-0000-0000-00000D6C0000}"/>
    <cellStyle name="표준 5 2 7 4 3 4" xfId="44898" xr:uid="{00000000-0005-0000-0000-00000E6C0000}"/>
    <cellStyle name="표준 5 2 7 4 4" xfId="11900" xr:uid="{00000000-0005-0000-0000-00000F6C0000}"/>
    <cellStyle name="표준 5 2 7 4 5" xfId="16140" xr:uid="{00000000-0005-0000-0000-0000106C0000}"/>
    <cellStyle name="표준 5 2 7 4 6" xfId="20302" xr:uid="{00000000-0005-0000-0000-0000116C0000}"/>
    <cellStyle name="표준 5 2 7 4 7" xfId="24398" xr:uid="{00000000-0005-0000-0000-0000126C0000}"/>
    <cellStyle name="표준 5 2 7 4 8" xfId="32609" xr:uid="{00000000-0005-0000-0000-0000136C0000}"/>
    <cellStyle name="표준 5 2 7 4 9" xfId="40802" xr:uid="{00000000-0005-0000-0000-0000146C0000}"/>
    <cellStyle name="표준 5 2 7 5" xfId="1445" xr:uid="{00000000-0005-0000-0000-0000156C0000}"/>
    <cellStyle name="표준 5 2 7 5 2" xfId="10348" xr:uid="{00000000-0005-0000-0000-0000166C0000}"/>
    <cellStyle name="표준 5 2 7 5 2 2" xfId="14460" xr:uid="{00000000-0005-0000-0000-0000176C0000}"/>
    <cellStyle name="표준 5 2 7 5 2 2 2" xfId="31054" xr:uid="{00000000-0005-0000-0000-0000186C0000}"/>
    <cellStyle name="표준 5 2 7 5 2 2 3" xfId="39265" xr:uid="{00000000-0005-0000-0000-0000196C0000}"/>
    <cellStyle name="표준 5 2 7 5 2 2 4" xfId="47458" xr:uid="{00000000-0005-0000-0000-00001A6C0000}"/>
    <cellStyle name="표준 5 2 7 5 2 3" xfId="18700" xr:uid="{00000000-0005-0000-0000-00001B6C0000}"/>
    <cellStyle name="표준 5 2 7 5 2 4" xfId="22862" xr:uid="{00000000-0005-0000-0000-00001C6C0000}"/>
    <cellStyle name="표준 5 2 7 5 2 5" xfId="26958" xr:uid="{00000000-0005-0000-0000-00001D6C0000}"/>
    <cellStyle name="표준 5 2 7 5 2 6" xfId="35169" xr:uid="{00000000-0005-0000-0000-00001E6C0000}"/>
    <cellStyle name="표준 5 2 7 5 2 7" xfId="43362" xr:uid="{00000000-0005-0000-0000-00001F6C0000}"/>
    <cellStyle name="표준 5 2 7 5 3" xfId="8300" xr:uid="{00000000-0005-0000-0000-0000206C0000}"/>
    <cellStyle name="표준 5 2 7 5 3 2" xfId="29006" xr:uid="{00000000-0005-0000-0000-0000216C0000}"/>
    <cellStyle name="표준 5 2 7 5 3 3" xfId="37217" xr:uid="{00000000-0005-0000-0000-0000226C0000}"/>
    <cellStyle name="표준 5 2 7 5 3 4" xfId="45410" xr:uid="{00000000-0005-0000-0000-0000236C0000}"/>
    <cellStyle name="표준 5 2 7 5 4" xfId="12412" xr:uid="{00000000-0005-0000-0000-0000246C0000}"/>
    <cellStyle name="표준 5 2 7 5 5" xfId="16652" xr:uid="{00000000-0005-0000-0000-0000256C0000}"/>
    <cellStyle name="표준 5 2 7 5 6" xfId="20814" xr:uid="{00000000-0005-0000-0000-0000266C0000}"/>
    <cellStyle name="표준 5 2 7 5 7" xfId="24910" xr:uid="{00000000-0005-0000-0000-0000276C0000}"/>
    <cellStyle name="표준 5 2 7 5 8" xfId="33121" xr:uid="{00000000-0005-0000-0000-0000286C0000}"/>
    <cellStyle name="표준 5 2 7 5 9" xfId="41314" xr:uid="{00000000-0005-0000-0000-0000296C0000}"/>
    <cellStyle name="표준 5 2 7 6" xfId="1957" xr:uid="{00000000-0005-0000-0000-00002A6C0000}"/>
    <cellStyle name="표준 5 2 7 6 2" xfId="10860" xr:uid="{00000000-0005-0000-0000-00002B6C0000}"/>
    <cellStyle name="표준 5 2 7 6 2 2" xfId="14972" xr:uid="{00000000-0005-0000-0000-00002C6C0000}"/>
    <cellStyle name="표준 5 2 7 6 2 2 2" xfId="31566" xr:uid="{00000000-0005-0000-0000-00002D6C0000}"/>
    <cellStyle name="표준 5 2 7 6 2 2 3" xfId="39777" xr:uid="{00000000-0005-0000-0000-00002E6C0000}"/>
    <cellStyle name="표준 5 2 7 6 2 2 4" xfId="47970" xr:uid="{00000000-0005-0000-0000-00002F6C0000}"/>
    <cellStyle name="표준 5 2 7 6 2 3" xfId="19212" xr:uid="{00000000-0005-0000-0000-0000306C0000}"/>
    <cellStyle name="표준 5 2 7 6 2 4" xfId="23374" xr:uid="{00000000-0005-0000-0000-0000316C0000}"/>
    <cellStyle name="표준 5 2 7 6 2 5" xfId="27470" xr:uid="{00000000-0005-0000-0000-0000326C0000}"/>
    <cellStyle name="표준 5 2 7 6 2 6" xfId="35681" xr:uid="{00000000-0005-0000-0000-0000336C0000}"/>
    <cellStyle name="표준 5 2 7 6 2 7" xfId="43874" xr:uid="{00000000-0005-0000-0000-0000346C0000}"/>
    <cellStyle name="표준 5 2 7 6 3" xfId="8812" xr:uid="{00000000-0005-0000-0000-0000356C0000}"/>
    <cellStyle name="표준 5 2 7 6 3 2" xfId="29518" xr:uid="{00000000-0005-0000-0000-0000366C0000}"/>
    <cellStyle name="표준 5 2 7 6 3 3" xfId="37729" xr:uid="{00000000-0005-0000-0000-0000376C0000}"/>
    <cellStyle name="표준 5 2 7 6 3 4" xfId="45922" xr:uid="{00000000-0005-0000-0000-0000386C0000}"/>
    <cellStyle name="표준 5 2 7 6 4" xfId="12924" xr:uid="{00000000-0005-0000-0000-0000396C0000}"/>
    <cellStyle name="표준 5 2 7 6 5" xfId="17164" xr:uid="{00000000-0005-0000-0000-00003A6C0000}"/>
    <cellStyle name="표준 5 2 7 6 6" xfId="21326" xr:uid="{00000000-0005-0000-0000-00003B6C0000}"/>
    <cellStyle name="표준 5 2 7 6 7" xfId="25422" xr:uid="{00000000-0005-0000-0000-00003C6C0000}"/>
    <cellStyle name="표준 5 2 7 6 8" xfId="33633" xr:uid="{00000000-0005-0000-0000-00003D6C0000}"/>
    <cellStyle name="표준 5 2 7 6 9" xfId="41826" xr:uid="{00000000-0005-0000-0000-00003E6C0000}"/>
    <cellStyle name="표준 5 2 7 7" xfId="6577" xr:uid="{00000000-0005-0000-0000-00003F6C0000}"/>
    <cellStyle name="표준 5 2 7 7 2" xfId="9324" xr:uid="{00000000-0005-0000-0000-0000406C0000}"/>
    <cellStyle name="표준 5 2 7 7 2 2" xfId="30030" xr:uid="{00000000-0005-0000-0000-0000416C0000}"/>
    <cellStyle name="표준 5 2 7 7 2 3" xfId="38241" xr:uid="{00000000-0005-0000-0000-0000426C0000}"/>
    <cellStyle name="표준 5 2 7 7 2 4" xfId="46434" xr:uid="{00000000-0005-0000-0000-0000436C0000}"/>
    <cellStyle name="표준 5 2 7 7 3" xfId="13436" xr:uid="{00000000-0005-0000-0000-0000446C0000}"/>
    <cellStyle name="표준 5 2 7 7 4" xfId="17676" xr:uid="{00000000-0005-0000-0000-0000456C0000}"/>
    <cellStyle name="표준 5 2 7 7 5" xfId="21838" xr:uid="{00000000-0005-0000-0000-0000466C0000}"/>
    <cellStyle name="표준 5 2 7 7 6" xfId="25934" xr:uid="{00000000-0005-0000-0000-0000476C0000}"/>
    <cellStyle name="표준 5 2 7 7 7" xfId="34145" xr:uid="{00000000-0005-0000-0000-0000486C0000}"/>
    <cellStyle name="표준 5 2 7 7 8" xfId="42338" xr:uid="{00000000-0005-0000-0000-0000496C0000}"/>
    <cellStyle name="표준 5 2 7 8" xfId="7017" xr:uid="{00000000-0005-0000-0000-00004A6C0000}"/>
    <cellStyle name="표준 5 2 7 8 2" xfId="27982" xr:uid="{00000000-0005-0000-0000-00004B6C0000}"/>
    <cellStyle name="표준 5 2 7 8 3" xfId="36193" xr:uid="{00000000-0005-0000-0000-00004C6C0000}"/>
    <cellStyle name="표준 5 2 7 8 4" xfId="44386" xr:uid="{00000000-0005-0000-0000-00004D6C0000}"/>
    <cellStyle name="표준 5 2 7 9" xfId="7161" xr:uid="{00000000-0005-0000-0000-00004E6C0000}"/>
    <cellStyle name="표준 5 2 8" xfId="485" xr:uid="{00000000-0005-0000-0000-00004F6C0000}"/>
    <cellStyle name="표준 5 2 8 10" xfId="19854" xr:uid="{00000000-0005-0000-0000-0000506C0000}"/>
    <cellStyle name="표준 5 2 8 11" xfId="23950" xr:uid="{00000000-0005-0000-0000-0000516C0000}"/>
    <cellStyle name="표준 5 2 8 12" xfId="32161" xr:uid="{00000000-0005-0000-0000-0000526C0000}"/>
    <cellStyle name="표준 5 2 8 13" xfId="40354" xr:uid="{00000000-0005-0000-0000-0000536C0000}"/>
    <cellStyle name="표준 5 2 8 2" xfId="741" xr:uid="{00000000-0005-0000-0000-0000546C0000}"/>
    <cellStyle name="표준 5 2 8 2 10" xfId="24206" xr:uid="{00000000-0005-0000-0000-0000556C0000}"/>
    <cellStyle name="표준 5 2 8 2 11" xfId="32417" xr:uid="{00000000-0005-0000-0000-0000566C0000}"/>
    <cellStyle name="표준 5 2 8 2 12" xfId="40610" xr:uid="{00000000-0005-0000-0000-0000576C0000}"/>
    <cellStyle name="표준 5 2 8 2 2" xfId="1253" xr:uid="{00000000-0005-0000-0000-0000586C0000}"/>
    <cellStyle name="표준 5 2 8 2 2 2" xfId="10156" xr:uid="{00000000-0005-0000-0000-0000596C0000}"/>
    <cellStyle name="표준 5 2 8 2 2 2 2" xfId="14268" xr:uid="{00000000-0005-0000-0000-00005A6C0000}"/>
    <cellStyle name="표준 5 2 8 2 2 2 2 2" xfId="30862" xr:uid="{00000000-0005-0000-0000-00005B6C0000}"/>
    <cellStyle name="표준 5 2 8 2 2 2 2 3" xfId="39073" xr:uid="{00000000-0005-0000-0000-00005C6C0000}"/>
    <cellStyle name="표준 5 2 8 2 2 2 2 4" xfId="47266" xr:uid="{00000000-0005-0000-0000-00005D6C0000}"/>
    <cellStyle name="표준 5 2 8 2 2 2 3" xfId="18508" xr:uid="{00000000-0005-0000-0000-00005E6C0000}"/>
    <cellStyle name="표준 5 2 8 2 2 2 4" xfId="22670" xr:uid="{00000000-0005-0000-0000-00005F6C0000}"/>
    <cellStyle name="표준 5 2 8 2 2 2 5" xfId="26766" xr:uid="{00000000-0005-0000-0000-0000606C0000}"/>
    <cellStyle name="표준 5 2 8 2 2 2 6" xfId="34977" xr:uid="{00000000-0005-0000-0000-0000616C0000}"/>
    <cellStyle name="표준 5 2 8 2 2 2 7" xfId="43170" xr:uid="{00000000-0005-0000-0000-0000626C0000}"/>
    <cellStyle name="표준 5 2 8 2 2 3" xfId="8108" xr:uid="{00000000-0005-0000-0000-0000636C0000}"/>
    <cellStyle name="표준 5 2 8 2 2 3 2" xfId="28814" xr:uid="{00000000-0005-0000-0000-0000646C0000}"/>
    <cellStyle name="표준 5 2 8 2 2 3 3" xfId="37025" xr:uid="{00000000-0005-0000-0000-0000656C0000}"/>
    <cellStyle name="표준 5 2 8 2 2 3 4" xfId="45218" xr:uid="{00000000-0005-0000-0000-0000666C0000}"/>
    <cellStyle name="표준 5 2 8 2 2 4" xfId="12220" xr:uid="{00000000-0005-0000-0000-0000676C0000}"/>
    <cellStyle name="표준 5 2 8 2 2 5" xfId="16460" xr:uid="{00000000-0005-0000-0000-0000686C0000}"/>
    <cellStyle name="표준 5 2 8 2 2 6" xfId="20622" xr:uid="{00000000-0005-0000-0000-0000696C0000}"/>
    <cellStyle name="표준 5 2 8 2 2 7" xfId="24718" xr:uid="{00000000-0005-0000-0000-00006A6C0000}"/>
    <cellStyle name="표준 5 2 8 2 2 8" xfId="32929" xr:uid="{00000000-0005-0000-0000-00006B6C0000}"/>
    <cellStyle name="표준 5 2 8 2 2 9" xfId="41122" xr:uid="{00000000-0005-0000-0000-00006C6C0000}"/>
    <cellStyle name="표준 5 2 8 2 3" xfId="1765" xr:uid="{00000000-0005-0000-0000-00006D6C0000}"/>
    <cellStyle name="표준 5 2 8 2 3 2" xfId="10668" xr:uid="{00000000-0005-0000-0000-00006E6C0000}"/>
    <cellStyle name="표준 5 2 8 2 3 2 2" xfId="14780" xr:uid="{00000000-0005-0000-0000-00006F6C0000}"/>
    <cellStyle name="표준 5 2 8 2 3 2 2 2" xfId="31374" xr:uid="{00000000-0005-0000-0000-0000706C0000}"/>
    <cellStyle name="표준 5 2 8 2 3 2 2 3" xfId="39585" xr:uid="{00000000-0005-0000-0000-0000716C0000}"/>
    <cellStyle name="표준 5 2 8 2 3 2 2 4" xfId="47778" xr:uid="{00000000-0005-0000-0000-0000726C0000}"/>
    <cellStyle name="표준 5 2 8 2 3 2 3" xfId="19020" xr:uid="{00000000-0005-0000-0000-0000736C0000}"/>
    <cellStyle name="표준 5 2 8 2 3 2 4" xfId="23182" xr:uid="{00000000-0005-0000-0000-0000746C0000}"/>
    <cellStyle name="표준 5 2 8 2 3 2 5" xfId="27278" xr:uid="{00000000-0005-0000-0000-0000756C0000}"/>
    <cellStyle name="표준 5 2 8 2 3 2 6" xfId="35489" xr:uid="{00000000-0005-0000-0000-0000766C0000}"/>
    <cellStyle name="표준 5 2 8 2 3 2 7" xfId="43682" xr:uid="{00000000-0005-0000-0000-0000776C0000}"/>
    <cellStyle name="표준 5 2 8 2 3 3" xfId="8620" xr:uid="{00000000-0005-0000-0000-0000786C0000}"/>
    <cellStyle name="표준 5 2 8 2 3 3 2" xfId="29326" xr:uid="{00000000-0005-0000-0000-0000796C0000}"/>
    <cellStyle name="표준 5 2 8 2 3 3 3" xfId="37537" xr:uid="{00000000-0005-0000-0000-00007A6C0000}"/>
    <cellStyle name="표준 5 2 8 2 3 3 4" xfId="45730" xr:uid="{00000000-0005-0000-0000-00007B6C0000}"/>
    <cellStyle name="표준 5 2 8 2 3 4" xfId="12732" xr:uid="{00000000-0005-0000-0000-00007C6C0000}"/>
    <cellStyle name="표준 5 2 8 2 3 5" xfId="16972" xr:uid="{00000000-0005-0000-0000-00007D6C0000}"/>
    <cellStyle name="표준 5 2 8 2 3 6" xfId="21134" xr:uid="{00000000-0005-0000-0000-00007E6C0000}"/>
    <cellStyle name="표준 5 2 8 2 3 7" xfId="25230" xr:uid="{00000000-0005-0000-0000-00007F6C0000}"/>
    <cellStyle name="표준 5 2 8 2 3 8" xfId="33441" xr:uid="{00000000-0005-0000-0000-0000806C0000}"/>
    <cellStyle name="표준 5 2 8 2 3 9" xfId="41634" xr:uid="{00000000-0005-0000-0000-0000816C0000}"/>
    <cellStyle name="표준 5 2 8 2 4" xfId="2277" xr:uid="{00000000-0005-0000-0000-0000826C0000}"/>
    <cellStyle name="표준 5 2 8 2 4 2" xfId="11180" xr:uid="{00000000-0005-0000-0000-0000836C0000}"/>
    <cellStyle name="표준 5 2 8 2 4 2 2" xfId="15292" xr:uid="{00000000-0005-0000-0000-0000846C0000}"/>
    <cellStyle name="표준 5 2 8 2 4 2 2 2" xfId="31886" xr:uid="{00000000-0005-0000-0000-0000856C0000}"/>
    <cellStyle name="표준 5 2 8 2 4 2 2 3" xfId="40097" xr:uid="{00000000-0005-0000-0000-0000866C0000}"/>
    <cellStyle name="표준 5 2 8 2 4 2 2 4" xfId="48290" xr:uid="{00000000-0005-0000-0000-0000876C0000}"/>
    <cellStyle name="표준 5 2 8 2 4 2 3" xfId="19532" xr:uid="{00000000-0005-0000-0000-0000886C0000}"/>
    <cellStyle name="표준 5 2 8 2 4 2 4" xfId="23694" xr:uid="{00000000-0005-0000-0000-0000896C0000}"/>
    <cellStyle name="표준 5 2 8 2 4 2 5" xfId="27790" xr:uid="{00000000-0005-0000-0000-00008A6C0000}"/>
    <cellStyle name="표준 5 2 8 2 4 2 6" xfId="36001" xr:uid="{00000000-0005-0000-0000-00008B6C0000}"/>
    <cellStyle name="표준 5 2 8 2 4 2 7" xfId="44194" xr:uid="{00000000-0005-0000-0000-00008C6C0000}"/>
    <cellStyle name="표준 5 2 8 2 4 3" xfId="9132" xr:uid="{00000000-0005-0000-0000-00008D6C0000}"/>
    <cellStyle name="표준 5 2 8 2 4 3 2" xfId="29838" xr:uid="{00000000-0005-0000-0000-00008E6C0000}"/>
    <cellStyle name="표준 5 2 8 2 4 3 3" xfId="38049" xr:uid="{00000000-0005-0000-0000-00008F6C0000}"/>
    <cellStyle name="표준 5 2 8 2 4 3 4" xfId="46242" xr:uid="{00000000-0005-0000-0000-0000906C0000}"/>
    <cellStyle name="표준 5 2 8 2 4 4" xfId="13244" xr:uid="{00000000-0005-0000-0000-0000916C0000}"/>
    <cellStyle name="표준 5 2 8 2 4 5" xfId="17484" xr:uid="{00000000-0005-0000-0000-0000926C0000}"/>
    <cellStyle name="표준 5 2 8 2 4 6" xfId="21646" xr:uid="{00000000-0005-0000-0000-0000936C0000}"/>
    <cellStyle name="표준 5 2 8 2 4 7" xfId="25742" xr:uid="{00000000-0005-0000-0000-0000946C0000}"/>
    <cellStyle name="표준 5 2 8 2 4 8" xfId="33953" xr:uid="{00000000-0005-0000-0000-0000956C0000}"/>
    <cellStyle name="표준 5 2 8 2 4 9" xfId="42146" xr:uid="{00000000-0005-0000-0000-0000966C0000}"/>
    <cellStyle name="표준 5 2 8 2 5" xfId="9644" xr:uid="{00000000-0005-0000-0000-0000976C0000}"/>
    <cellStyle name="표준 5 2 8 2 5 2" xfId="13756" xr:uid="{00000000-0005-0000-0000-0000986C0000}"/>
    <cellStyle name="표준 5 2 8 2 5 2 2" xfId="30350" xr:uid="{00000000-0005-0000-0000-0000996C0000}"/>
    <cellStyle name="표준 5 2 8 2 5 2 3" xfId="38561" xr:uid="{00000000-0005-0000-0000-00009A6C0000}"/>
    <cellStyle name="표준 5 2 8 2 5 2 4" xfId="46754" xr:uid="{00000000-0005-0000-0000-00009B6C0000}"/>
    <cellStyle name="표준 5 2 8 2 5 3" xfId="17996" xr:uid="{00000000-0005-0000-0000-00009C6C0000}"/>
    <cellStyle name="표준 5 2 8 2 5 4" xfId="22158" xr:uid="{00000000-0005-0000-0000-00009D6C0000}"/>
    <cellStyle name="표준 5 2 8 2 5 5" xfId="26254" xr:uid="{00000000-0005-0000-0000-00009E6C0000}"/>
    <cellStyle name="표준 5 2 8 2 5 6" xfId="34465" xr:uid="{00000000-0005-0000-0000-00009F6C0000}"/>
    <cellStyle name="표준 5 2 8 2 5 7" xfId="42658" xr:uid="{00000000-0005-0000-0000-0000A06C0000}"/>
    <cellStyle name="표준 5 2 8 2 6" xfId="7596" xr:uid="{00000000-0005-0000-0000-0000A16C0000}"/>
    <cellStyle name="표준 5 2 8 2 6 2" xfId="28302" xr:uid="{00000000-0005-0000-0000-0000A26C0000}"/>
    <cellStyle name="표준 5 2 8 2 6 3" xfId="36513" xr:uid="{00000000-0005-0000-0000-0000A36C0000}"/>
    <cellStyle name="표준 5 2 8 2 6 4" xfId="44706" xr:uid="{00000000-0005-0000-0000-0000A46C0000}"/>
    <cellStyle name="표준 5 2 8 2 7" xfId="11708" xr:uid="{00000000-0005-0000-0000-0000A56C0000}"/>
    <cellStyle name="표준 5 2 8 2 8" xfId="15948" xr:uid="{00000000-0005-0000-0000-0000A66C0000}"/>
    <cellStyle name="표준 5 2 8 2 9" xfId="20110" xr:uid="{00000000-0005-0000-0000-0000A76C0000}"/>
    <cellStyle name="표준 5 2 8 3" xfId="997" xr:uid="{00000000-0005-0000-0000-0000A86C0000}"/>
    <cellStyle name="표준 5 2 8 3 2" xfId="9900" xr:uid="{00000000-0005-0000-0000-0000A96C0000}"/>
    <cellStyle name="표준 5 2 8 3 2 2" xfId="14012" xr:uid="{00000000-0005-0000-0000-0000AA6C0000}"/>
    <cellStyle name="표준 5 2 8 3 2 2 2" xfId="30606" xr:uid="{00000000-0005-0000-0000-0000AB6C0000}"/>
    <cellStyle name="표준 5 2 8 3 2 2 3" xfId="38817" xr:uid="{00000000-0005-0000-0000-0000AC6C0000}"/>
    <cellStyle name="표준 5 2 8 3 2 2 4" xfId="47010" xr:uid="{00000000-0005-0000-0000-0000AD6C0000}"/>
    <cellStyle name="표준 5 2 8 3 2 3" xfId="18252" xr:uid="{00000000-0005-0000-0000-0000AE6C0000}"/>
    <cellStyle name="표준 5 2 8 3 2 4" xfId="22414" xr:uid="{00000000-0005-0000-0000-0000AF6C0000}"/>
    <cellStyle name="표준 5 2 8 3 2 5" xfId="26510" xr:uid="{00000000-0005-0000-0000-0000B06C0000}"/>
    <cellStyle name="표준 5 2 8 3 2 6" xfId="34721" xr:uid="{00000000-0005-0000-0000-0000B16C0000}"/>
    <cellStyle name="표준 5 2 8 3 2 7" xfId="42914" xr:uid="{00000000-0005-0000-0000-0000B26C0000}"/>
    <cellStyle name="표준 5 2 8 3 3" xfId="7852" xr:uid="{00000000-0005-0000-0000-0000B36C0000}"/>
    <cellStyle name="표준 5 2 8 3 3 2" xfId="28558" xr:uid="{00000000-0005-0000-0000-0000B46C0000}"/>
    <cellStyle name="표준 5 2 8 3 3 3" xfId="36769" xr:uid="{00000000-0005-0000-0000-0000B56C0000}"/>
    <cellStyle name="표준 5 2 8 3 3 4" xfId="44962" xr:uid="{00000000-0005-0000-0000-0000B66C0000}"/>
    <cellStyle name="표준 5 2 8 3 4" xfId="11964" xr:uid="{00000000-0005-0000-0000-0000B76C0000}"/>
    <cellStyle name="표준 5 2 8 3 5" xfId="16204" xr:uid="{00000000-0005-0000-0000-0000B86C0000}"/>
    <cellStyle name="표준 5 2 8 3 6" xfId="20366" xr:uid="{00000000-0005-0000-0000-0000B96C0000}"/>
    <cellStyle name="표준 5 2 8 3 7" xfId="24462" xr:uid="{00000000-0005-0000-0000-0000BA6C0000}"/>
    <cellStyle name="표준 5 2 8 3 8" xfId="32673" xr:uid="{00000000-0005-0000-0000-0000BB6C0000}"/>
    <cellStyle name="표준 5 2 8 3 9" xfId="40866" xr:uid="{00000000-0005-0000-0000-0000BC6C0000}"/>
    <cellStyle name="표준 5 2 8 4" xfId="1509" xr:uid="{00000000-0005-0000-0000-0000BD6C0000}"/>
    <cellStyle name="표준 5 2 8 4 2" xfId="10412" xr:uid="{00000000-0005-0000-0000-0000BE6C0000}"/>
    <cellStyle name="표준 5 2 8 4 2 2" xfId="14524" xr:uid="{00000000-0005-0000-0000-0000BF6C0000}"/>
    <cellStyle name="표준 5 2 8 4 2 2 2" xfId="31118" xr:uid="{00000000-0005-0000-0000-0000C06C0000}"/>
    <cellStyle name="표준 5 2 8 4 2 2 3" xfId="39329" xr:uid="{00000000-0005-0000-0000-0000C16C0000}"/>
    <cellStyle name="표준 5 2 8 4 2 2 4" xfId="47522" xr:uid="{00000000-0005-0000-0000-0000C26C0000}"/>
    <cellStyle name="표준 5 2 8 4 2 3" xfId="18764" xr:uid="{00000000-0005-0000-0000-0000C36C0000}"/>
    <cellStyle name="표준 5 2 8 4 2 4" xfId="22926" xr:uid="{00000000-0005-0000-0000-0000C46C0000}"/>
    <cellStyle name="표준 5 2 8 4 2 5" xfId="27022" xr:uid="{00000000-0005-0000-0000-0000C56C0000}"/>
    <cellStyle name="표준 5 2 8 4 2 6" xfId="35233" xr:uid="{00000000-0005-0000-0000-0000C66C0000}"/>
    <cellStyle name="표준 5 2 8 4 2 7" xfId="43426" xr:uid="{00000000-0005-0000-0000-0000C76C0000}"/>
    <cellStyle name="표준 5 2 8 4 3" xfId="8364" xr:uid="{00000000-0005-0000-0000-0000C86C0000}"/>
    <cellStyle name="표준 5 2 8 4 3 2" xfId="29070" xr:uid="{00000000-0005-0000-0000-0000C96C0000}"/>
    <cellStyle name="표준 5 2 8 4 3 3" xfId="37281" xr:uid="{00000000-0005-0000-0000-0000CA6C0000}"/>
    <cellStyle name="표준 5 2 8 4 3 4" xfId="45474" xr:uid="{00000000-0005-0000-0000-0000CB6C0000}"/>
    <cellStyle name="표준 5 2 8 4 4" xfId="12476" xr:uid="{00000000-0005-0000-0000-0000CC6C0000}"/>
    <cellStyle name="표준 5 2 8 4 5" xfId="16716" xr:uid="{00000000-0005-0000-0000-0000CD6C0000}"/>
    <cellStyle name="표준 5 2 8 4 6" xfId="20878" xr:uid="{00000000-0005-0000-0000-0000CE6C0000}"/>
    <cellStyle name="표준 5 2 8 4 7" xfId="24974" xr:uid="{00000000-0005-0000-0000-0000CF6C0000}"/>
    <cellStyle name="표준 5 2 8 4 8" xfId="33185" xr:uid="{00000000-0005-0000-0000-0000D06C0000}"/>
    <cellStyle name="표준 5 2 8 4 9" xfId="41378" xr:uid="{00000000-0005-0000-0000-0000D16C0000}"/>
    <cellStyle name="표준 5 2 8 5" xfId="2021" xr:uid="{00000000-0005-0000-0000-0000D26C0000}"/>
    <cellStyle name="표준 5 2 8 5 2" xfId="10924" xr:uid="{00000000-0005-0000-0000-0000D36C0000}"/>
    <cellStyle name="표준 5 2 8 5 2 2" xfId="15036" xr:uid="{00000000-0005-0000-0000-0000D46C0000}"/>
    <cellStyle name="표준 5 2 8 5 2 2 2" xfId="31630" xr:uid="{00000000-0005-0000-0000-0000D56C0000}"/>
    <cellStyle name="표준 5 2 8 5 2 2 3" xfId="39841" xr:uid="{00000000-0005-0000-0000-0000D66C0000}"/>
    <cellStyle name="표준 5 2 8 5 2 2 4" xfId="48034" xr:uid="{00000000-0005-0000-0000-0000D76C0000}"/>
    <cellStyle name="표준 5 2 8 5 2 3" xfId="19276" xr:uid="{00000000-0005-0000-0000-0000D86C0000}"/>
    <cellStyle name="표준 5 2 8 5 2 4" xfId="23438" xr:uid="{00000000-0005-0000-0000-0000D96C0000}"/>
    <cellStyle name="표준 5 2 8 5 2 5" xfId="27534" xr:uid="{00000000-0005-0000-0000-0000DA6C0000}"/>
    <cellStyle name="표준 5 2 8 5 2 6" xfId="35745" xr:uid="{00000000-0005-0000-0000-0000DB6C0000}"/>
    <cellStyle name="표준 5 2 8 5 2 7" xfId="43938" xr:uid="{00000000-0005-0000-0000-0000DC6C0000}"/>
    <cellStyle name="표준 5 2 8 5 3" xfId="8876" xr:uid="{00000000-0005-0000-0000-0000DD6C0000}"/>
    <cellStyle name="표준 5 2 8 5 3 2" xfId="29582" xr:uid="{00000000-0005-0000-0000-0000DE6C0000}"/>
    <cellStyle name="표준 5 2 8 5 3 3" xfId="37793" xr:uid="{00000000-0005-0000-0000-0000DF6C0000}"/>
    <cellStyle name="표준 5 2 8 5 3 4" xfId="45986" xr:uid="{00000000-0005-0000-0000-0000E06C0000}"/>
    <cellStyle name="표준 5 2 8 5 4" xfId="12988" xr:uid="{00000000-0005-0000-0000-0000E16C0000}"/>
    <cellStyle name="표준 5 2 8 5 5" xfId="17228" xr:uid="{00000000-0005-0000-0000-0000E26C0000}"/>
    <cellStyle name="표준 5 2 8 5 6" xfId="21390" xr:uid="{00000000-0005-0000-0000-0000E36C0000}"/>
    <cellStyle name="표준 5 2 8 5 7" xfId="25486" xr:uid="{00000000-0005-0000-0000-0000E46C0000}"/>
    <cellStyle name="표준 5 2 8 5 8" xfId="33697" xr:uid="{00000000-0005-0000-0000-0000E56C0000}"/>
    <cellStyle name="표준 5 2 8 5 9" xfId="41890" xr:uid="{00000000-0005-0000-0000-0000E66C0000}"/>
    <cellStyle name="표준 5 2 8 6" xfId="6616" xr:uid="{00000000-0005-0000-0000-0000E76C0000}"/>
    <cellStyle name="표준 5 2 8 6 2" xfId="9388" xr:uid="{00000000-0005-0000-0000-0000E86C0000}"/>
    <cellStyle name="표준 5 2 8 6 2 2" xfId="30094" xr:uid="{00000000-0005-0000-0000-0000E96C0000}"/>
    <cellStyle name="표준 5 2 8 6 2 3" xfId="38305" xr:uid="{00000000-0005-0000-0000-0000EA6C0000}"/>
    <cellStyle name="표준 5 2 8 6 2 4" xfId="46498" xr:uid="{00000000-0005-0000-0000-0000EB6C0000}"/>
    <cellStyle name="표준 5 2 8 6 3" xfId="13500" xr:uid="{00000000-0005-0000-0000-0000EC6C0000}"/>
    <cellStyle name="표준 5 2 8 6 4" xfId="17740" xr:uid="{00000000-0005-0000-0000-0000ED6C0000}"/>
    <cellStyle name="표준 5 2 8 6 5" xfId="21902" xr:uid="{00000000-0005-0000-0000-0000EE6C0000}"/>
    <cellStyle name="표준 5 2 8 6 6" xfId="25998" xr:uid="{00000000-0005-0000-0000-0000EF6C0000}"/>
    <cellStyle name="표준 5 2 8 6 7" xfId="34209" xr:uid="{00000000-0005-0000-0000-0000F06C0000}"/>
    <cellStyle name="표준 5 2 8 6 8" xfId="42402" xr:uid="{00000000-0005-0000-0000-0000F16C0000}"/>
    <cellStyle name="표준 5 2 8 7" xfId="7340" xr:uid="{00000000-0005-0000-0000-0000F26C0000}"/>
    <cellStyle name="표준 5 2 8 7 2" xfId="28046" xr:uid="{00000000-0005-0000-0000-0000F36C0000}"/>
    <cellStyle name="표준 5 2 8 7 3" xfId="36257" xr:uid="{00000000-0005-0000-0000-0000F46C0000}"/>
    <cellStyle name="표준 5 2 8 7 4" xfId="44450" xr:uid="{00000000-0005-0000-0000-0000F56C0000}"/>
    <cellStyle name="표준 5 2 8 8" xfId="11452" xr:uid="{00000000-0005-0000-0000-0000F66C0000}"/>
    <cellStyle name="표준 5 2 8 9" xfId="15692" xr:uid="{00000000-0005-0000-0000-0000F76C0000}"/>
    <cellStyle name="표준 5 2 9" xfId="613" xr:uid="{00000000-0005-0000-0000-0000F86C0000}"/>
    <cellStyle name="표준 5 2 9 10" xfId="24078" xr:uid="{00000000-0005-0000-0000-0000F96C0000}"/>
    <cellStyle name="표준 5 2 9 11" xfId="32289" xr:uid="{00000000-0005-0000-0000-0000FA6C0000}"/>
    <cellStyle name="표준 5 2 9 12" xfId="40482" xr:uid="{00000000-0005-0000-0000-0000FB6C0000}"/>
    <cellStyle name="표준 5 2 9 2" xfId="1125" xr:uid="{00000000-0005-0000-0000-0000FC6C0000}"/>
    <cellStyle name="표준 5 2 9 2 2" xfId="10028" xr:uid="{00000000-0005-0000-0000-0000FD6C0000}"/>
    <cellStyle name="표준 5 2 9 2 2 2" xfId="14140" xr:uid="{00000000-0005-0000-0000-0000FE6C0000}"/>
    <cellStyle name="표준 5 2 9 2 2 2 2" xfId="30734" xr:uid="{00000000-0005-0000-0000-0000FF6C0000}"/>
    <cellStyle name="표준 5 2 9 2 2 2 3" xfId="38945" xr:uid="{00000000-0005-0000-0000-0000006D0000}"/>
    <cellStyle name="표준 5 2 9 2 2 2 4" xfId="47138" xr:uid="{00000000-0005-0000-0000-0000016D0000}"/>
    <cellStyle name="표준 5 2 9 2 2 3" xfId="18380" xr:uid="{00000000-0005-0000-0000-0000026D0000}"/>
    <cellStyle name="표준 5 2 9 2 2 4" xfId="22542" xr:uid="{00000000-0005-0000-0000-0000036D0000}"/>
    <cellStyle name="표준 5 2 9 2 2 5" xfId="26638" xr:uid="{00000000-0005-0000-0000-0000046D0000}"/>
    <cellStyle name="표준 5 2 9 2 2 6" xfId="34849" xr:uid="{00000000-0005-0000-0000-0000056D0000}"/>
    <cellStyle name="표준 5 2 9 2 2 7" xfId="43042" xr:uid="{00000000-0005-0000-0000-0000066D0000}"/>
    <cellStyle name="표준 5 2 9 2 3" xfId="7980" xr:uid="{00000000-0005-0000-0000-0000076D0000}"/>
    <cellStyle name="표준 5 2 9 2 3 2" xfId="28686" xr:uid="{00000000-0005-0000-0000-0000086D0000}"/>
    <cellStyle name="표준 5 2 9 2 3 3" xfId="36897" xr:uid="{00000000-0005-0000-0000-0000096D0000}"/>
    <cellStyle name="표준 5 2 9 2 3 4" xfId="45090" xr:uid="{00000000-0005-0000-0000-00000A6D0000}"/>
    <cellStyle name="표준 5 2 9 2 4" xfId="12092" xr:uid="{00000000-0005-0000-0000-00000B6D0000}"/>
    <cellStyle name="표준 5 2 9 2 5" xfId="16332" xr:uid="{00000000-0005-0000-0000-00000C6D0000}"/>
    <cellStyle name="표준 5 2 9 2 6" xfId="20494" xr:uid="{00000000-0005-0000-0000-00000D6D0000}"/>
    <cellStyle name="표준 5 2 9 2 7" xfId="24590" xr:uid="{00000000-0005-0000-0000-00000E6D0000}"/>
    <cellStyle name="표준 5 2 9 2 8" xfId="32801" xr:uid="{00000000-0005-0000-0000-00000F6D0000}"/>
    <cellStyle name="표준 5 2 9 2 9" xfId="40994" xr:uid="{00000000-0005-0000-0000-0000106D0000}"/>
    <cellStyle name="표준 5 2 9 3" xfId="1637" xr:uid="{00000000-0005-0000-0000-0000116D0000}"/>
    <cellStyle name="표준 5 2 9 3 2" xfId="10540" xr:uid="{00000000-0005-0000-0000-0000126D0000}"/>
    <cellStyle name="표준 5 2 9 3 2 2" xfId="14652" xr:uid="{00000000-0005-0000-0000-0000136D0000}"/>
    <cellStyle name="표준 5 2 9 3 2 2 2" xfId="31246" xr:uid="{00000000-0005-0000-0000-0000146D0000}"/>
    <cellStyle name="표준 5 2 9 3 2 2 3" xfId="39457" xr:uid="{00000000-0005-0000-0000-0000156D0000}"/>
    <cellStyle name="표준 5 2 9 3 2 2 4" xfId="47650" xr:uid="{00000000-0005-0000-0000-0000166D0000}"/>
    <cellStyle name="표준 5 2 9 3 2 3" xfId="18892" xr:uid="{00000000-0005-0000-0000-0000176D0000}"/>
    <cellStyle name="표준 5 2 9 3 2 4" xfId="23054" xr:uid="{00000000-0005-0000-0000-0000186D0000}"/>
    <cellStyle name="표준 5 2 9 3 2 5" xfId="27150" xr:uid="{00000000-0005-0000-0000-0000196D0000}"/>
    <cellStyle name="표준 5 2 9 3 2 6" xfId="35361" xr:uid="{00000000-0005-0000-0000-00001A6D0000}"/>
    <cellStyle name="표준 5 2 9 3 2 7" xfId="43554" xr:uid="{00000000-0005-0000-0000-00001B6D0000}"/>
    <cellStyle name="표준 5 2 9 3 3" xfId="8492" xr:uid="{00000000-0005-0000-0000-00001C6D0000}"/>
    <cellStyle name="표준 5 2 9 3 3 2" xfId="29198" xr:uid="{00000000-0005-0000-0000-00001D6D0000}"/>
    <cellStyle name="표준 5 2 9 3 3 3" xfId="37409" xr:uid="{00000000-0005-0000-0000-00001E6D0000}"/>
    <cellStyle name="표준 5 2 9 3 3 4" xfId="45602" xr:uid="{00000000-0005-0000-0000-00001F6D0000}"/>
    <cellStyle name="표준 5 2 9 3 4" xfId="12604" xr:uid="{00000000-0005-0000-0000-0000206D0000}"/>
    <cellStyle name="표준 5 2 9 3 5" xfId="16844" xr:uid="{00000000-0005-0000-0000-0000216D0000}"/>
    <cellStyle name="표준 5 2 9 3 6" xfId="21006" xr:uid="{00000000-0005-0000-0000-0000226D0000}"/>
    <cellStyle name="표준 5 2 9 3 7" xfId="25102" xr:uid="{00000000-0005-0000-0000-0000236D0000}"/>
    <cellStyle name="표준 5 2 9 3 8" xfId="33313" xr:uid="{00000000-0005-0000-0000-0000246D0000}"/>
    <cellStyle name="표준 5 2 9 3 9" xfId="41506" xr:uid="{00000000-0005-0000-0000-0000256D0000}"/>
    <cellStyle name="표준 5 2 9 4" xfId="2149" xr:uid="{00000000-0005-0000-0000-0000266D0000}"/>
    <cellStyle name="표준 5 2 9 4 2" xfId="11052" xr:uid="{00000000-0005-0000-0000-0000276D0000}"/>
    <cellStyle name="표준 5 2 9 4 2 2" xfId="15164" xr:uid="{00000000-0005-0000-0000-0000286D0000}"/>
    <cellStyle name="표준 5 2 9 4 2 2 2" xfId="31758" xr:uid="{00000000-0005-0000-0000-0000296D0000}"/>
    <cellStyle name="표준 5 2 9 4 2 2 3" xfId="39969" xr:uid="{00000000-0005-0000-0000-00002A6D0000}"/>
    <cellStyle name="표준 5 2 9 4 2 2 4" xfId="48162" xr:uid="{00000000-0005-0000-0000-00002B6D0000}"/>
    <cellStyle name="표준 5 2 9 4 2 3" xfId="19404" xr:uid="{00000000-0005-0000-0000-00002C6D0000}"/>
    <cellStyle name="표준 5 2 9 4 2 4" xfId="23566" xr:uid="{00000000-0005-0000-0000-00002D6D0000}"/>
    <cellStyle name="표준 5 2 9 4 2 5" xfId="27662" xr:uid="{00000000-0005-0000-0000-00002E6D0000}"/>
    <cellStyle name="표준 5 2 9 4 2 6" xfId="35873" xr:uid="{00000000-0005-0000-0000-00002F6D0000}"/>
    <cellStyle name="표준 5 2 9 4 2 7" xfId="44066" xr:uid="{00000000-0005-0000-0000-0000306D0000}"/>
    <cellStyle name="표준 5 2 9 4 3" xfId="9004" xr:uid="{00000000-0005-0000-0000-0000316D0000}"/>
    <cellStyle name="표준 5 2 9 4 3 2" xfId="29710" xr:uid="{00000000-0005-0000-0000-0000326D0000}"/>
    <cellStyle name="표준 5 2 9 4 3 3" xfId="37921" xr:uid="{00000000-0005-0000-0000-0000336D0000}"/>
    <cellStyle name="표준 5 2 9 4 3 4" xfId="46114" xr:uid="{00000000-0005-0000-0000-0000346D0000}"/>
    <cellStyle name="표준 5 2 9 4 4" xfId="13116" xr:uid="{00000000-0005-0000-0000-0000356D0000}"/>
    <cellStyle name="표준 5 2 9 4 5" xfId="17356" xr:uid="{00000000-0005-0000-0000-0000366D0000}"/>
    <cellStyle name="표준 5 2 9 4 6" xfId="21518" xr:uid="{00000000-0005-0000-0000-0000376D0000}"/>
    <cellStyle name="표준 5 2 9 4 7" xfId="25614" xr:uid="{00000000-0005-0000-0000-0000386D0000}"/>
    <cellStyle name="표준 5 2 9 4 8" xfId="33825" xr:uid="{00000000-0005-0000-0000-0000396D0000}"/>
    <cellStyle name="표준 5 2 9 4 9" xfId="42018" xr:uid="{00000000-0005-0000-0000-00003A6D0000}"/>
    <cellStyle name="표준 5 2 9 5" xfId="6665" xr:uid="{00000000-0005-0000-0000-00003B6D0000}"/>
    <cellStyle name="표준 5 2 9 5 2" xfId="9516" xr:uid="{00000000-0005-0000-0000-00003C6D0000}"/>
    <cellStyle name="표준 5 2 9 5 2 2" xfId="30222" xr:uid="{00000000-0005-0000-0000-00003D6D0000}"/>
    <cellStyle name="표준 5 2 9 5 2 3" xfId="38433" xr:uid="{00000000-0005-0000-0000-00003E6D0000}"/>
    <cellStyle name="표준 5 2 9 5 2 4" xfId="46626" xr:uid="{00000000-0005-0000-0000-00003F6D0000}"/>
    <cellStyle name="표준 5 2 9 5 3" xfId="13628" xr:uid="{00000000-0005-0000-0000-0000406D0000}"/>
    <cellStyle name="표준 5 2 9 5 4" xfId="17868" xr:uid="{00000000-0005-0000-0000-0000416D0000}"/>
    <cellStyle name="표준 5 2 9 5 5" xfId="22030" xr:uid="{00000000-0005-0000-0000-0000426D0000}"/>
    <cellStyle name="표준 5 2 9 5 6" xfId="26126" xr:uid="{00000000-0005-0000-0000-0000436D0000}"/>
    <cellStyle name="표준 5 2 9 5 7" xfId="34337" xr:uid="{00000000-0005-0000-0000-0000446D0000}"/>
    <cellStyle name="표준 5 2 9 5 8" xfId="42530" xr:uid="{00000000-0005-0000-0000-0000456D0000}"/>
    <cellStyle name="표준 5 2 9 6" xfId="7468" xr:uid="{00000000-0005-0000-0000-0000466D0000}"/>
    <cellStyle name="표준 5 2 9 6 2" xfId="28174" xr:uid="{00000000-0005-0000-0000-0000476D0000}"/>
    <cellStyle name="표준 5 2 9 6 3" xfId="36385" xr:uid="{00000000-0005-0000-0000-0000486D0000}"/>
    <cellStyle name="표준 5 2 9 6 4" xfId="44578" xr:uid="{00000000-0005-0000-0000-0000496D0000}"/>
    <cellStyle name="표준 5 2 9 7" xfId="11580" xr:uid="{00000000-0005-0000-0000-00004A6D0000}"/>
    <cellStyle name="표준 5 2 9 8" xfId="15820" xr:uid="{00000000-0005-0000-0000-00004B6D0000}"/>
    <cellStyle name="표준 5 2 9 9" xfId="19982" xr:uid="{00000000-0005-0000-0000-00004C6D0000}"/>
    <cellStyle name="표준 5 20" xfId="7096" xr:uid="{00000000-0005-0000-0000-00004D6D0000}"/>
    <cellStyle name="표준 5 21" xfId="7210" xr:uid="{00000000-0005-0000-0000-00004E6D0000}"/>
    <cellStyle name="표준 5 22" xfId="7211" xr:uid="{00000000-0005-0000-0000-00004F6D0000}"/>
    <cellStyle name="표준 5 23" xfId="11307" xr:uid="{00000000-0005-0000-0000-0000506D0000}"/>
    <cellStyle name="표준 5 24" xfId="11323" xr:uid="{00000000-0005-0000-0000-0000516D0000}"/>
    <cellStyle name="표준 5 25" xfId="15419" xr:uid="{00000000-0005-0000-0000-0000526D0000}"/>
    <cellStyle name="표준 5 26" xfId="15435" xr:uid="{00000000-0005-0000-0000-0000536D0000}"/>
    <cellStyle name="표준 5 27" xfId="15451" xr:uid="{00000000-0005-0000-0000-0000546D0000}"/>
    <cellStyle name="표준 5 28" xfId="15547" xr:uid="{00000000-0005-0000-0000-0000556D0000}"/>
    <cellStyle name="표준 5 29" xfId="15563" xr:uid="{00000000-0005-0000-0000-0000566D0000}"/>
    <cellStyle name="표준 5 3" xfId="35" xr:uid="{00000000-0005-0000-0000-0000576D0000}"/>
    <cellStyle name="표준 5 3 10" xfId="1382" xr:uid="{00000000-0005-0000-0000-0000586D0000}"/>
    <cellStyle name="표준 5 3 10 2" xfId="10285" xr:uid="{00000000-0005-0000-0000-0000596D0000}"/>
    <cellStyle name="표준 5 3 10 2 2" xfId="14397" xr:uid="{00000000-0005-0000-0000-00005A6D0000}"/>
    <cellStyle name="표준 5 3 10 2 2 2" xfId="30991" xr:uid="{00000000-0005-0000-0000-00005B6D0000}"/>
    <cellStyle name="표준 5 3 10 2 2 3" xfId="39202" xr:uid="{00000000-0005-0000-0000-00005C6D0000}"/>
    <cellStyle name="표준 5 3 10 2 2 4" xfId="47395" xr:uid="{00000000-0005-0000-0000-00005D6D0000}"/>
    <cellStyle name="표준 5 3 10 2 3" xfId="18637" xr:uid="{00000000-0005-0000-0000-00005E6D0000}"/>
    <cellStyle name="표준 5 3 10 2 4" xfId="22799" xr:uid="{00000000-0005-0000-0000-00005F6D0000}"/>
    <cellStyle name="표준 5 3 10 2 5" xfId="26895" xr:uid="{00000000-0005-0000-0000-0000606D0000}"/>
    <cellStyle name="표준 5 3 10 2 6" xfId="35106" xr:uid="{00000000-0005-0000-0000-0000616D0000}"/>
    <cellStyle name="표준 5 3 10 2 7" xfId="43299" xr:uid="{00000000-0005-0000-0000-0000626D0000}"/>
    <cellStyle name="표준 5 3 10 3" xfId="8237" xr:uid="{00000000-0005-0000-0000-0000636D0000}"/>
    <cellStyle name="표준 5 3 10 3 2" xfId="28943" xr:uid="{00000000-0005-0000-0000-0000646D0000}"/>
    <cellStyle name="표준 5 3 10 3 3" xfId="37154" xr:uid="{00000000-0005-0000-0000-0000656D0000}"/>
    <cellStyle name="표준 5 3 10 3 4" xfId="45347" xr:uid="{00000000-0005-0000-0000-0000666D0000}"/>
    <cellStyle name="표준 5 3 10 4" xfId="12349" xr:uid="{00000000-0005-0000-0000-0000676D0000}"/>
    <cellStyle name="표준 5 3 10 5" xfId="16589" xr:uid="{00000000-0005-0000-0000-0000686D0000}"/>
    <cellStyle name="표준 5 3 10 6" xfId="20751" xr:uid="{00000000-0005-0000-0000-0000696D0000}"/>
    <cellStyle name="표준 5 3 10 7" xfId="24847" xr:uid="{00000000-0005-0000-0000-00006A6D0000}"/>
    <cellStyle name="표준 5 3 10 8" xfId="33058" xr:uid="{00000000-0005-0000-0000-00006B6D0000}"/>
    <cellStyle name="표준 5 3 10 9" xfId="41251" xr:uid="{00000000-0005-0000-0000-00006C6D0000}"/>
    <cellStyle name="표준 5 3 11" xfId="1894" xr:uid="{00000000-0005-0000-0000-00006D6D0000}"/>
    <cellStyle name="표준 5 3 11 2" xfId="10797" xr:uid="{00000000-0005-0000-0000-00006E6D0000}"/>
    <cellStyle name="표준 5 3 11 2 2" xfId="14909" xr:uid="{00000000-0005-0000-0000-00006F6D0000}"/>
    <cellStyle name="표준 5 3 11 2 2 2" xfId="31503" xr:uid="{00000000-0005-0000-0000-0000706D0000}"/>
    <cellStyle name="표준 5 3 11 2 2 3" xfId="39714" xr:uid="{00000000-0005-0000-0000-0000716D0000}"/>
    <cellStyle name="표준 5 3 11 2 2 4" xfId="47907" xr:uid="{00000000-0005-0000-0000-0000726D0000}"/>
    <cellStyle name="표준 5 3 11 2 3" xfId="19149" xr:uid="{00000000-0005-0000-0000-0000736D0000}"/>
    <cellStyle name="표준 5 3 11 2 4" xfId="23311" xr:uid="{00000000-0005-0000-0000-0000746D0000}"/>
    <cellStyle name="표준 5 3 11 2 5" xfId="27407" xr:uid="{00000000-0005-0000-0000-0000756D0000}"/>
    <cellStyle name="표준 5 3 11 2 6" xfId="35618" xr:uid="{00000000-0005-0000-0000-0000766D0000}"/>
    <cellStyle name="표준 5 3 11 2 7" xfId="43811" xr:uid="{00000000-0005-0000-0000-0000776D0000}"/>
    <cellStyle name="표준 5 3 11 3" xfId="8749" xr:uid="{00000000-0005-0000-0000-0000786D0000}"/>
    <cellStyle name="표준 5 3 11 3 2" xfId="29455" xr:uid="{00000000-0005-0000-0000-0000796D0000}"/>
    <cellStyle name="표준 5 3 11 3 3" xfId="37666" xr:uid="{00000000-0005-0000-0000-00007A6D0000}"/>
    <cellStyle name="표준 5 3 11 3 4" xfId="45859" xr:uid="{00000000-0005-0000-0000-00007B6D0000}"/>
    <cellStyle name="표준 5 3 11 4" xfId="12861" xr:uid="{00000000-0005-0000-0000-00007C6D0000}"/>
    <cellStyle name="표준 5 3 11 5" xfId="17101" xr:uid="{00000000-0005-0000-0000-00007D6D0000}"/>
    <cellStyle name="표준 5 3 11 6" xfId="21263" xr:uid="{00000000-0005-0000-0000-00007E6D0000}"/>
    <cellStyle name="표준 5 3 11 7" xfId="25359" xr:uid="{00000000-0005-0000-0000-00007F6D0000}"/>
    <cellStyle name="표준 5 3 11 8" xfId="33570" xr:uid="{00000000-0005-0000-0000-0000806D0000}"/>
    <cellStyle name="표준 5 3 11 9" xfId="41763" xr:uid="{00000000-0005-0000-0000-0000816D0000}"/>
    <cellStyle name="표준 5 3 12" xfId="4338" xr:uid="{00000000-0005-0000-0000-0000826D0000}"/>
    <cellStyle name="표준 5 3 12 2" xfId="9261" xr:uid="{00000000-0005-0000-0000-0000836D0000}"/>
    <cellStyle name="표준 5 3 12 2 2" xfId="29967" xr:uid="{00000000-0005-0000-0000-0000846D0000}"/>
    <cellStyle name="표준 5 3 12 2 3" xfId="38178" xr:uid="{00000000-0005-0000-0000-0000856D0000}"/>
    <cellStyle name="표준 5 3 12 2 4" xfId="46371" xr:uid="{00000000-0005-0000-0000-0000866D0000}"/>
    <cellStyle name="표준 5 3 12 3" xfId="13373" xr:uid="{00000000-0005-0000-0000-0000876D0000}"/>
    <cellStyle name="표준 5 3 12 4" xfId="17613" xr:uid="{00000000-0005-0000-0000-0000886D0000}"/>
    <cellStyle name="표준 5 3 12 5" xfId="21775" xr:uid="{00000000-0005-0000-0000-0000896D0000}"/>
    <cellStyle name="표준 5 3 12 6" xfId="25871" xr:uid="{00000000-0005-0000-0000-00008A6D0000}"/>
    <cellStyle name="표준 5 3 12 7" xfId="34082" xr:uid="{00000000-0005-0000-0000-00008B6D0000}"/>
    <cellStyle name="표준 5 3 12 8" xfId="42275" xr:uid="{00000000-0005-0000-0000-00008C6D0000}"/>
    <cellStyle name="표준 5 3 13" xfId="4391" xr:uid="{00000000-0005-0000-0000-00008D6D0000}"/>
    <cellStyle name="표준 5 3 13 2" xfId="27919" xr:uid="{00000000-0005-0000-0000-00008E6D0000}"/>
    <cellStyle name="표준 5 3 13 3" xfId="36130" xr:uid="{00000000-0005-0000-0000-00008F6D0000}"/>
    <cellStyle name="표준 5 3 13 4" xfId="44323" xr:uid="{00000000-0005-0000-0000-0000906D0000}"/>
    <cellStyle name="표준 5 3 14" xfId="6947" xr:uid="{00000000-0005-0000-0000-0000916D0000}"/>
    <cellStyle name="표준 5 3 15" xfId="7066" xr:uid="{00000000-0005-0000-0000-0000926D0000}"/>
    <cellStyle name="표준 5 3 16" xfId="7082" xr:uid="{00000000-0005-0000-0000-0000936D0000}"/>
    <cellStyle name="표준 5 3 17" xfId="7098" xr:uid="{00000000-0005-0000-0000-0000946D0000}"/>
    <cellStyle name="표준 5 3 18" xfId="7208" xr:uid="{00000000-0005-0000-0000-0000956D0000}"/>
    <cellStyle name="표준 5 3 19" xfId="7213" xr:uid="{00000000-0005-0000-0000-0000966D0000}"/>
    <cellStyle name="표준 5 3 2" xfId="59" xr:uid="{00000000-0005-0000-0000-0000976D0000}"/>
    <cellStyle name="표준 5 3 2 10" xfId="1898" xr:uid="{00000000-0005-0000-0000-0000986D0000}"/>
    <cellStyle name="표준 5 3 2 10 2" xfId="10801" xr:uid="{00000000-0005-0000-0000-0000996D0000}"/>
    <cellStyle name="표준 5 3 2 10 2 2" xfId="14913" xr:uid="{00000000-0005-0000-0000-00009A6D0000}"/>
    <cellStyle name="표준 5 3 2 10 2 2 2" xfId="31507" xr:uid="{00000000-0005-0000-0000-00009B6D0000}"/>
    <cellStyle name="표준 5 3 2 10 2 2 3" xfId="39718" xr:uid="{00000000-0005-0000-0000-00009C6D0000}"/>
    <cellStyle name="표준 5 3 2 10 2 2 4" xfId="47911" xr:uid="{00000000-0005-0000-0000-00009D6D0000}"/>
    <cellStyle name="표준 5 3 2 10 2 3" xfId="19153" xr:uid="{00000000-0005-0000-0000-00009E6D0000}"/>
    <cellStyle name="표준 5 3 2 10 2 4" xfId="23315" xr:uid="{00000000-0005-0000-0000-00009F6D0000}"/>
    <cellStyle name="표준 5 3 2 10 2 5" xfId="27411" xr:uid="{00000000-0005-0000-0000-0000A06D0000}"/>
    <cellStyle name="표준 5 3 2 10 2 6" xfId="35622" xr:uid="{00000000-0005-0000-0000-0000A16D0000}"/>
    <cellStyle name="표준 5 3 2 10 2 7" xfId="43815" xr:uid="{00000000-0005-0000-0000-0000A26D0000}"/>
    <cellStyle name="표준 5 3 2 10 3" xfId="8753" xr:uid="{00000000-0005-0000-0000-0000A36D0000}"/>
    <cellStyle name="표준 5 3 2 10 3 2" xfId="29459" xr:uid="{00000000-0005-0000-0000-0000A46D0000}"/>
    <cellStyle name="표준 5 3 2 10 3 3" xfId="37670" xr:uid="{00000000-0005-0000-0000-0000A56D0000}"/>
    <cellStyle name="표준 5 3 2 10 3 4" xfId="45863" xr:uid="{00000000-0005-0000-0000-0000A66D0000}"/>
    <cellStyle name="표준 5 3 2 10 4" xfId="12865" xr:uid="{00000000-0005-0000-0000-0000A76D0000}"/>
    <cellStyle name="표준 5 3 2 10 5" xfId="17105" xr:uid="{00000000-0005-0000-0000-0000A86D0000}"/>
    <cellStyle name="표준 5 3 2 10 6" xfId="21267" xr:uid="{00000000-0005-0000-0000-0000A96D0000}"/>
    <cellStyle name="표준 5 3 2 10 7" xfId="25363" xr:uid="{00000000-0005-0000-0000-0000AA6D0000}"/>
    <cellStyle name="표준 5 3 2 10 8" xfId="33574" xr:uid="{00000000-0005-0000-0000-0000AB6D0000}"/>
    <cellStyle name="표준 5 3 2 10 9" xfId="41767" xr:uid="{00000000-0005-0000-0000-0000AC6D0000}"/>
    <cellStyle name="표준 5 3 2 11" xfId="4395" xr:uid="{00000000-0005-0000-0000-0000AD6D0000}"/>
    <cellStyle name="표준 5 3 2 11 2" xfId="9265" xr:uid="{00000000-0005-0000-0000-0000AE6D0000}"/>
    <cellStyle name="표준 5 3 2 11 2 2" xfId="29971" xr:uid="{00000000-0005-0000-0000-0000AF6D0000}"/>
    <cellStyle name="표준 5 3 2 11 2 3" xfId="38182" xr:uid="{00000000-0005-0000-0000-0000B06D0000}"/>
    <cellStyle name="표준 5 3 2 11 2 4" xfId="46375" xr:uid="{00000000-0005-0000-0000-0000B16D0000}"/>
    <cellStyle name="표준 5 3 2 11 3" xfId="13377" xr:uid="{00000000-0005-0000-0000-0000B26D0000}"/>
    <cellStyle name="표준 5 3 2 11 4" xfId="17617" xr:uid="{00000000-0005-0000-0000-0000B36D0000}"/>
    <cellStyle name="표준 5 3 2 11 5" xfId="21779" xr:uid="{00000000-0005-0000-0000-0000B46D0000}"/>
    <cellStyle name="표준 5 3 2 11 6" xfId="25875" xr:uid="{00000000-0005-0000-0000-0000B56D0000}"/>
    <cellStyle name="표준 5 3 2 11 7" xfId="34086" xr:uid="{00000000-0005-0000-0000-0000B66D0000}"/>
    <cellStyle name="표준 5 3 2 11 8" xfId="42279" xr:uid="{00000000-0005-0000-0000-0000B76D0000}"/>
    <cellStyle name="표준 5 3 2 12" xfId="6952" xr:uid="{00000000-0005-0000-0000-0000B86D0000}"/>
    <cellStyle name="표준 5 3 2 12 2" xfId="27923" xr:uid="{00000000-0005-0000-0000-0000B96D0000}"/>
    <cellStyle name="표준 5 3 2 12 3" xfId="36134" xr:uid="{00000000-0005-0000-0000-0000BA6D0000}"/>
    <cellStyle name="표준 5 3 2 12 4" xfId="44327" xr:uid="{00000000-0005-0000-0000-0000BB6D0000}"/>
    <cellStyle name="표준 5 3 2 13" xfId="7070" xr:uid="{00000000-0005-0000-0000-0000BC6D0000}"/>
    <cellStyle name="표준 5 3 2 14" xfId="7086" xr:uid="{00000000-0005-0000-0000-0000BD6D0000}"/>
    <cellStyle name="표준 5 3 2 15" xfId="7102" xr:uid="{00000000-0005-0000-0000-0000BE6D0000}"/>
    <cellStyle name="표준 5 3 2 16" xfId="7204" xr:uid="{00000000-0005-0000-0000-0000BF6D0000}"/>
    <cellStyle name="표준 5 3 2 17" xfId="7217" xr:uid="{00000000-0005-0000-0000-0000C06D0000}"/>
    <cellStyle name="표준 5 3 2 18" xfId="11313" xr:uid="{00000000-0005-0000-0000-0000C16D0000}"/>
    <cellStyle name="표준 5 3 2 19" xfId="11329" xr:uid="{00000000-0005-0000-0000-0000C26D0000}"/>
    <cellStyle name="표준 5 3 2 2" xfId="77" xr:uid="{00000000-0005-0000-0000-0000C36D0000}"/>
    <cellStyle name="표준 5 3 2 2 10" xfId="4403" xr:uid="{00000000-0005-0000-0000-0000C46D0000}"/>
    <cellStyle name="표준 5 3 2 2 10 2" xfId="9273" xr:uid="{00000000-0005-0000-0000-0000C56D0000}"/>
    <cellStyle name="표준 5 3 2 2 10 2 2" xfId="29979" xr:uid="{00000000-0005-0000-0000-0000C66D0000}"/>
    <cellStyle name="표준 5 3 2 2 10 2 3" xfId="38190" xr:uid="{00000000-0005-0000-0000-0000C76D0000}"/>
    <cellStyle name="표준 5 3 2 2 10 2 4" xfId="46383" xr:uid="{00000000-0005-0000-0000-0000C86D0000}"/>
    <cellStyle name="표준 5 3 2 2 10 3" xfId="13385" xr:uid="{00000000-0005-0000-0000-0000C96D0000}"/>
    <cellStyle name="표준 5 3 2 2 10 4" xfId="17625" xr:uid="{00000000-0005-0000-0000-0000CA6D0000}"/>
    <cellStyle name="표준 5 3 2 2 10 5" xfId="21787" xr:uid="{00000000-0005-0000-0000-0000CB6D0000}"/>
    <cellStyle name="표준 5 3 2 2 10 6" xfId="25883" xr:uid="{00000000-0005-0000-0000-0000CC6D0000}"/>
    <cellStyle name="표준 5 3 2 2 10 7" xfId="34094" xr:uid="{00000000-0005-0000-0000-0000CD6D0000}"/>
    <cellStyle name="표준 5 3 2 2 10 8" xfId="42287" xr:uid="{00000000-0005-0000-0000-0000CE6D0000}"/>
    <cellStyle name="표준 5 3 2 2 11" xfId="6960" xr:uid="{00000000-0005-0000-0000-0000CF6D0000}"/>
    <cellStyle name="표준 5 3 2 2 11 2" xfId="27931" xr:uid="{00000000-0005-0000-0000-0000D06D0000}"/>
    <cellStyle name="표준 5 3 2 2 11 3" xfId="36142" xr:uid="{00000000-0005-0000-0000-0000D16D0000}"/>
    <cellStyle name="표준 5 3 2 2 11 4" xfId="44335" xr:uid="{00000000-0005-0000-0000-0000D26D0000}"/>
    <cellStyle name="표준 5 3 2 2 12" xfId="7078" xr:uid="{00000000-0005-0000-0000-0000D36D0000}"/>
    <cellStyle name="표준 5 3 2 2 13" xfId="7094" xr:uid="{00000000-0005-0000-0000-0000D46D0000}"/>
    <cellStyle name="표준 5 3 2 2 14" xfId="7110" xr:uid="{00000000-0005-0000-0000-0000D56D0000}"/>
    <cellStyle name="표준 5 3 2 2 15" xfId="7196" xr:uid="{00000000-0005-0000-0000-0000D66D0000}"/>
    <cellStyle name="표준 5 3 2 2 16" xfId="7225" xr:uid="{00000000-0005-0000-0000-0000D76D0000}"/>
    <cellStyle name="표준 5 3 2 2 17" xfId="11321" xr:uid="{00000000-0005-0000-0000-0000D86D0000}"/>
    <cellStyle name="표준 5 3 2 2 18" xfId="11337" xr:uid="{00000000-0005-0000-0000-0000D96D0000}"/>
    <cellStyle name="표준 5 3 2 2 19" xfId="15433" xr:uid="{00000000-0005-0000-0000-0000DA6D0000}"/>
    <cellStyle name="표준 5 3 2 2 2" xfId="171" xr:uid="{00000000-0005-0000-0000-0000DB6D0000}"/>
    <cellStyle name="표준 5 3 2 2 2 10" xfId="7180" xr:uid="{00000000-0005-0000-0000-0000DC6D0000}"/>
    <cellStyle name="표준 5 3 2 2 2 10 2" xfId="27947" xr:uid="{00000000-0005-0000-0000-0000DD6D0000}"/>
    <cellStyle name="표준 5 3 2 2 2 10 3" xfId="36158" xr:uid="{00000000-0005-0000-0000-0000DE6D0000}"/>
    <cellStyle name="표준 5 3 2 2 2 10 4" xfId="44351" xr:uid="{00000000-0005-0000-0000-0000DF6D0000}"/>
    <cellStyle name="표준 5 3 2 2 2 11" xfId="7241" xr:uid="{00000000-0005-0000-0000-0000E06D0000}"/>
    <cellStyle name="표준 5 3 2 2 2 12" xfId="11353" xr:uid="{00000000-0005-0000-0000-0000E16D0000}"/>
    <cellStyle name="표준 5 3 2 2 2 13" xfId="15481" xr:uid="{00000000-0005-0000-0000-0000E26D0000}"/>
    <cellStyle name="표준 5 3 2 2 2 14" xfId="15593" xr:uid="{00000000-0005-0000-0000-0000E36D0000}"/>
    <cellStyle name="표준 5 3 2 2 2 15" xfId="19755" xr:uid="{00000000-0005-0000-0000-0000E46D0000}"/>
    <cellStyle name="표준 5 3 2 2 2 16" xfId="23851" xr:uid="{00000000-0005-0000-0000-0000E56D0000}"/>
    <cellStyle name="표준 5 3 2 2 2 17" xfId="32062" xr:uid="{00000000-0005-0000-0000-0000E66D0000}"/>
    <cellStyle name="표준 5 3 2 2 2 18" xfId="40255" xr:uid="{00000000-0005-0000-0000-0000E76D0000}"/>
    <cellStyle name="표준 5 3 2 2 2 19" xfId="49638" xr:uid="{00000000-0005-0000-0000-0000E86D0000}"/>
    <cellStyle name="표준 5 3 2 2 2 2" xfId="418" xr:uid="{00000000-0005-0000-0000-0000E96D0000}"/>
    <cellStyle name="표준 5 3 2 2 2 2 10" xfId="7273" xr:uid="{00000000-0005-0000-0000-0000EA6D0000}"/>
    <cellStyle name="표준 5 3 2 2 2 2 11" xfId="11385" xr:uid="{00000000-0005-0000-0000-0000EB6D0000}"/>
    <cellStyle name="표준 5 3 2 2 2 2 12" xfId="15529" xr:uid="{00000000-0005-0000-0000-0000EC6D0000}"/>
    <cellStyle name="표준 5 3 2 2 2 2 13" xfId="15625" xr:uid="{00000000-0005-0000-0000-0000ED6D0000}"/>
    <cellStyle name="표준 5 3 2 2 2 2 14" xfId="19787" xr:uid="{00000000-0005-0000-0000-0000EE6D0000}"/>
    <cellStyle name="표준 5 3 2 2 2 2 15" xfId="23883" xr:uid="{00000000-0005-0000-0000-0000EF6D0000}"/>
    <cellStyle name="표준 5 3 2 2 2 2 16" xfId="32094" xr:uid="{00000000-0005-0000-0000-0000F06D0000}"/>
    <cellStyle name="표준 5 3 2 2 2 2 17" xfId="40287" xr:uid="{00000000-0005-0000-0000-0000F16D0000}"/>
    <cellStyle name="표준 5 3 2 2 2 2 18" xfId="49704" xr:uid="{00000000-0005-0000-0000-0000F26D0000}"/>
    <cellStyle name="표준 5 3 2 2 2 2 2" xfId="482" xr:uid="{00000000-0005-0000-0000-0000F36D0000}"/>
    <cellStyle name="표준 5 3 2 2 2 2 2 10" xfId="15689" xr:uid="{00000000-0005-0000-0000-0000F46D0000}"/>
    <cellStyle name="표준 5 3 2 2 2 2 2 11" xfId="19851" xr:uid="{00000000-0005-0000-0000-0000F56D0000}"/>
    <cellStyle name="표준 5 3 2 2 2 2 2 12" xfId="23947" xr:uid="{00000000-0005-0000-0000-0000F66D0000}"/>
    <cellStyle name="표준 5 3 2 2 2 2 2 13" xfId="32158" xr:uid="{00000000-0005-0000-0000-0000F76D0000}"/>
    <cellStyle name="표준 5 3 2 2 2 2 2 14" xfId="40351" xr:uid="{00000000-0005-0000-0000-0000F86D0000}"/>
    <cellStyle name="표준 5 3 2 2 2 2 2 2" xfId="610" xr:uid="{00000000-0005-0000-0000-0000F96D0000}"/>
    <cellStyle name="표준 5 3 2 2 2 2 2 2 10" xfId="19979" xr:uid="{00000000-0005-0000-0000-0000FA6D0000}"/>
    <cellStyle name="표준 5 3 2 2 2 2 2 2 11" xfId="24075" xr:uid="{00000000-0005-0000-0000-0000FB6D0000}"/>
    <cellStyle name="표준 5 3 2 2 2 2 2 2 12" xfId="32286" xr:uid="{00000000-0005-0000-0000-0000FC6D0000}"/>
    <cellStyle name="표준 5 3 2 2 2 2 2 2 13" xfId="40479" xr:uid="{00000000-0005-0000-0000-0000FD6D0000}"/>
    <cellStyle name="표준 5 3 2 2 2 2 2 2 2" xfId="866" xr:uid="{00000000-0005-0000-0000-0000FE6D0000}"/>
    <cellStyle name="표준 5 3 2 2 2 2 2 2 2 10" xfId="24331" xr:uid="{00000000-0005-0000-0000-0000FF6D0000}"/>
    <cellStyle name="표준 5 3 2 2 2 2 2 2 2 11" xfId="32542" xr:uid="{00000000-0005-0000-0000-0000006E0000}"/>
    <cellStyle name="표준 5 3 2 2 2 2 2 2 2 12" xfId="40735" xr:uid="{00000000-0005-0000-0000-0000016E0000}"/>
    <cellStyle name="표준 5 3 2 2 2 2 2 2 2 2" xfId="1378" xr:uid="{00000000-0005-0000-0000-0000026E0000}"/>
    <cellStyle name="표준 5 3 2 2 2 2 2 2 2 2 2" xfId="10281" xr:uid="{00000000-0005-0000-0000-0000036E0000}"/>
    <cellStyle name="표준 5 3 2 2 2 2 2 2 2 2 2 2" xfId="14393" xr:uid="{00000000-0005-0000-0000-0000046E0000}"/>
    <cellStyle name="표준 5 3 2 2 2 2 2 2 2 2 2 2 2" xfId="30987" xr:uid="{00000000-0005-0000-0000-0000056E0000}"/>
    <cellStyle name="표준 5 3 2 2 2 2 2 2 2 2 2 2 3" xfId="39198" xr:uid="{00000000-0005-0000-0000-0000066E0000}"/>
    <cellStyle name="표준 5 3 2 2 2 2 2 2 2 2 2 2 4" xfId="47391" xr:uid="{00000000-0005-0000-0000-0000076E0000}"/>
    <cellStyle name="표준 5 3 2 2 2 2 2 2 2 2 2 3" xfId="18633" xr:uid="{00000000-0005-0000-0000-0000086E0000}"/>
    <cellStyle name="표준 5 3 2 2 2 2 2 2 2 2 2 4" xfId="22795" xr:uid="{00000000-0005-0000-0000-0000096E0000}"/>
    <cellStyle name="표준 5 3 2 2 2 2 2 2 2 2 2 5" xfId="26891" xr:uid="{00000000-0005-0000-0000-00000A6E0000}"/>
    <cellStyle name="표준 5 3 2 2 2 2 2 2 2 2 2 6" xfId="35102" xr:uid="{00000000-0005-0000-0000-00000B6E0000}"/>
    <cellStyle name="표준 5 3 2 2 2 2 2 2 2 2 2 7" xfId="43295" xr:uid="{00000000-0005-0000-0000-00000C6E0000}"/>
    <cellStyle name="표준 5 3 2 2 2 2 2 2 2 2 3" xfId="8233" xr:uid="{00000000-0005-0000-0000-00000D6E0000}"/>
    <cellStyle name="표준 5 3 2 2 2 2 2 2 2 2 3 2" xfId="28939" xr:uid="{00000000-0005-0000-0000-00000E6E0000}"/>
    <cellStyle name="표준 5 3 2 2 2 2 2 2 2 2 3 3" xfId="37150" xr:uid="{00000000-0005-0000-0000-00000F6E0000}"/>
    <cellStyle name="표준 5 3 2 2 2 2 2 2 2 2 3 4" xfId="45343" xr:uid="{00000000-0005-0000-0000-0000106E0000}"/>
    <cellStyle name="표준 5 3 2 2 2 2 2 2 2 2 4" xfId="12345" xr:uid="{00000000-0005-0000-0000-0000116E0000}"/>
    <cellStyle name="표준 5 3 2 2 2 2 2 2 2 2 5" xfId="16585" xr:uid="{00000000-0005-0000-0000-0000126E0000}"/>
    <cellStyle name="표준 5 3 2 2 2 2 2 2 2 2 6" xfId="20747" xr:uid="{00000000-0005-0000-0000-0000136E0000}"/>
    <cellStyle name="표준 5 3 2 2 2 2 2 2 2 2 7" xfId="24843" xr:uid="{00000000-0005-0000-0000-0000146E0000}"/>
    <cellStyle name="표준 5 3 2 2 2 2 2 2 2 2 8" xfId="33054" xr:uid="{00000000-0005-0000-0000-0000156E0000}"/>
    <cellStyle name="표준 5 3 2 2 2 2 2 2 2 2 9" xfId="41247" xr:uid="{00000000-0005-0000-0000-0000166E0000}"/>
    <cellStyle name="표준 5 3 2 2 2 2 2 2 2 3" xfId="1890" xr:uid="{00000000-0005-0000-0000-0000176E0000}"/>
    <cellStyle name="표준 5 3 2 2 2 2 2 2 2 3 2" xfId="10793" xr:uid="{00000000-0005-0000-0000-0000186E0000}"/>
    <cellStyle name="표준 5 3 2 2 2 2 2 2 2 3 2 2" xfId="14905" xr:uid="{00000000-0005-0000-0000-0000196E0000}"/>
    <cellStyle name="표준 5 3 2 2 2 2 2 2 2 3 2 2 2" xfId="31499" xr:uid="{00000000-0005-0000-0000-00001A6E0000}"/>
    <cellStyle name="표준 5 3 2 2 2 2 2 2 2 3 2 2 3" xfId="39710" xr:uid="{00000000-0005-0000-0000-00001B6E0000}"/>
    <cellStyle name="표준 5 3 2 2 2 2 2 2 2 3 2 2 4" xfId="47903" xr:uid="{00000000-0005-0000-0000-00001C6E0000}"/>
    <cellStyle name="표준 5 3 2 2 2 2 2 2 2 3 2 3" xfId="19145" xr:uid="{00000000-0005-0000-0000-00001D6E0000}"/>
    <cellStyle name="표준 5 3 2 2 2 2 2 2 2 3 2 4" xfId="23307" xr:uid="{00000000-0005-0000-0000-00001E6E0000}"/>
    <cellStyle name="표준 5 3 2 2 2 2 2 2 2 3 2 5" xfId="27403" xr:uid="{00000000-0005-0000-0000-00001F6E0000}"/>
    <cellStyle name="표준 5 3 2 2 2 2 2 2 2 3 2 6" xfId="35614" xr:uid="{00000000-0005-0000-0000-0000206E0000}"/>
    <cellStyle name="표준 5 3 2 2 2 2 2 2 2 3 2 7" xfId="43807" xr:uid="{00000000-0005-0000-0000-0000216E0000}"/>
    <cellStyle name="표준 5 3 2 2 2 2 2 2 2 3 3" xfId="8745" xr:uid="{00000000-0005-0000-0000-0000226E0000}"/>
    <cellStyle name="표준 5 3 2 2 2 2 2 2 2 3 3 2" xfId="29451" xr:uid="{00000000-0005-0000-0000-0000236E0000}"/>
    <cellStyle name="표준 5 3 2 2 2 2 2 2 2 3 3 3" xfId="37662" xr:uid="{00000000-0005-0000-0000-0000246E0000}"/>
    <cellStyle name="표준 5 3 2 2 2 2 2 2 2 3 3 4" xfId="45855" xr:uid="{00000000-0005-0000-0000-0000256E0000}"/>
    <cellStyle name="표준 5 3 2 2 2 2 2 2 2 3 4" xfId="12857" xr:uid="{00000000-0005-0000-0000-0000266E0000}"/>
    <cellStyle name="표준 5 3 2 2 2 2 2 2 2 3 5" xfId="17097" xr:uid="{00000000-0005-0000-0000-0000276E0000}"/>
    <cellStyle name="표준 5 3 2 2 2 2 2 2 2 3 6" xfId="21259" xr:uid="{00000000-0005-0000-0000-0000286E0000}"/>
    <cellStyle name="표준 5 3 2 2 2 2 2 2 2 3 7" xfId="25355" xr:uid="{00000000-0005-0000-0000-0000296E0000}"/>
    <cellStyle name="표준 5 3 2 2 2 2 2 2 2 3 8" xfId="33566" xr:uid="{00000000-0005-0000-0000-00002A6E0000}"/>
    <cellStyle name="표준 5 3 2 2 2 2 2 2 2 3 9" xfId="41759" xr:uid="{00000000-0005-0000-0000-00002B6E0000}"/>
    <cellStyle name="표준 5 3 2 2 2 2 2 2 2 4" xfId="2402" xr:uid="{00000000-0005-0000-0000-00002C6E0000}"/>
    <cellStyle name="표준 5 3 2 2 2 2 2 2 2 4 2" xfId="11305" xr:uid="{00000000-0005-0000-0000-00002D6E0000}"/>
    <cellStyle name="표준 5 3 2 2 2 2 2 2 2 4 2 2" xfId="15417" xr:uid="{00000000-0005-0000-0000-00002E6E0000}"/>
    <cellStyle name="표준 5 3 2 2 2 2 2 2 2 4 2 2 2" xfId="32011" xr:uid="{00000000-0005-0000-0000-00002F6E0000}"/>
    <cellStyle name="표준 5 3 2 2 2 2 2 2 2 4 2 2 3" xfId="40222" xr:uid="{00000000-0005-0000-0000-0000306E0000}"/>
    <cellStyle name="표준 5 3 2 2 2 2 2 2 2 4 2 2 4" xfId="48415" xr:uid="{00000000-0005-0000-0000-0000316E0000}"/>
    <cellStyle name="표준 5 3 2 2 2 2 2 2 2 4 2 3" xfId="19657" xr:uid="{00000000-0005-0000-0000-0000326E0000}"/>
    <cellStyle name="표준 5 3 2 2 2 2 2 2 2 4 2 4" xfId="23819" xr:uid="{00000000-0005-0000-0000-0000336E0000}"/>
    <cellStyle name="표준 5 3 2 2 2 2 2 2 2 4 2 5" xfId="27915" xr:uid="{00000000-0005-0000-0000-0000346E0000}"/>
    <cellStyle name="표준 5 3 2 2 2 2 2 2 2 4 2 6" xfId="36126" xr:uid="{00000000-0005-0000-0000-0000356E0000}"/>
    <cellStyle name="표준 5 3 2 2 2 2 2 2 2 4 2 7" xfId="44319" xr:uid="{00000000-0005-0000-0000-0000366E0000}"/>
    <cellStyle name="표준 5 3 2 2 2 2 2 2 2 4 3" xfId="9257" xr:uid="{00000000-0005-0000-0000-0000376E0000}"/>
    <cellStyle name="표준 5 3 2 2 2 2 2 2 2 4 3 2" xfId="29963" xr:uid="{00000000-0005-0000-0000-0000386E0000}"/>
    <cellStyle name="표준 5 3 2 2 2 2 2 2 2 4 3 3" xfId="38174" xr:uid="{00000000-0005-0000-0000-0000396E0000}"/>
    <cellStyle name="표준 5 3 2 2 2 2 2 2 2 4 3 4" xfId="46367" xr:uid="{00000000-0005-0000-0000-00003A6E0000}"/>
    <cellStyle name="표준 5 3 2 2 2 2 2 2 2 4 4" xfId="13369" xr:uid="{00000000-0005-0000-0000-00003B6E0000}"/>
    <cellStyle name="표준 5 3 2 2 2 2 2 2 2 4 5" xfId="17609" xr:uid="{00000000-0005-0000-0000-00003C6E0000}"/>
    <cellStyle name="표준 5 3 2 2 2 2 2 2 2 4 6" xfId="21771" xr:uid="{00000000-0005-0000-0000-00003D6E0000}"/>
    <cellStyle name="표준 5 3 2 2 2 2 2 2 2 4 7" xfId="25867" xr:uid="{00000000-0005-0000-0000-00003E6E0000}"/>
    <cellStyle name="표준 5 3 2 2 2 2 2 2 2 4 8" xfId="34078" xr:uid="{00000000-0005-0000-0000-00003F6E0000}"/>
    <cellStyle name="표준 5 3 2 2 2 2 2 2 2 4 9" xfId="42271" xr:uid="{00000000-0005-0000-0000-0000406E0000}"/>
    <cellStyle name="표준 5 3 2 2 2 2 2 2 2 5" xfId="9769" xr:uid="{00000000-0005-0000-0000-0000416E0000}"/>
    <cellStyle name="표준 5 3 2 2 2 2 2 2 2 5 2" xfId="13881" xr:uid="{00000000-0005-0000-0000-0000426E0000}"/>
    <cellStyle name="표준 5 3 2 2 2 2 2 2 2 5 2 2" xfId="30475" xr:uid="{00000000-0005-0000-0000-0000436E0000}"/>
    <cellStyle name="표준 5 3 2 2 2 2 2 2 2 5 2 3" xfId="38686" xr:uid="{00000000-0005-0000-0000-0000446E0000}"/>
    <cellStyle name="표준 5 3 2 2 2 2 2 2 2 5 2 4" xfId="46879" xr:uid="{00000000-0005-0000-0000-0000456E0000}"/>
    <cellStyle name="표준 5 3 2 2 2 2 2 2 2 5 3" xfId="18121" xr:uid="{00000000-0005-0000-0000-0000466E0000}"/>
    <cellStyle name="표준 5 3 2 2 2 2 2 2 2 5 4" xfId="22283" xr:uid="{00000000-0005-0000-0000-0000476E0000}"/>
    <cellStyle name="표준 5 3 2 2 2 2 2 2 2 5 5" xfId="26379" xr:uid="{00000000-0005-0000-0000-0000486E0000}"/>
    <cellStyle name="표준 5 3 2 2 2 2 2 2 2 5 6" xfId="34590" xr:uid="{00000000-0005-0000-0000-0000496E0000}"/>
    <cellStyle name="표준 5 3 2 2 2 2 2 2 2 5 7" xfId="42783" xr:uid="{00000000-0005-0000-0000-00004A6E0000}"/>
    <cellStyle name="표준 5 3 2 2 2 2 2 2 2 6" xfId="7721" xr:uid="{00000000-0005-0000-0000-00004B6E0000}"/>
    <cellStyle name="표준 5 3 2 2 2 2 2 2 2 6 2" xfId="28427" xr:uid="{00000000-0005-0000-0000-00004C6E0000}"/>
    <cellStyle name="표준 5 3 2 2 2 2 2 2 2 6 3" xfId="36638" xr:uid="{00000000-0005-0000-0000-00004D6E0000}"/>
    <cellStyle name="표준 5 3 2 2 2 2 2 2 2 6 4" xfId="44831" xr:uid="{00000000-0005-0000-0000-00004E6E0000}"/>
    <cellStyle name="표준 5 3 2 2 2 2 2 2 2 7" xfId="11833" xr:uid="{00000000-0005-0000-0000-00004F6E0000}"/>
    <cellStyle name="표준 5 3 2 2 2 2 2 2 2 8" xfId="16073" xr:uid="{00000000-0005-0000-0000-0000506E0000}"/>
    <cellStyle name="표준 5 3 2 2 2 2 2 2 2 9" xfId="20235" xr:uid="{00000000-0005-0000-0000-0000516E0000}"/>
    <cellStyle name="표준 5 3 2 2 2 2 2 2 3" xfId="1122" xr:uid="{00000000-0005-0000-0000-0000526E0000}"/>
    <cellStyle name="표준 5 3 2 2 2 2 2 2 3 2" xfId="10025" xr:uid="{00000000-0005-0000-0000-0000536E0000}"/>
    <cellStyle name="표준 5 3 2 2 2 2 2 2 3 2 2" xfId="14137" xr:uid="{00000000-0005-0000-0000-0000546E0000}"/>
    <cellStyle name="표준 5 3 2 2 2 2 2 2 3 2 2 2" xfId="30731" xr:uid="{00000000-0005-0000-0000-0000556E0000}"/>
    <cellStyle name="표준 5 3 2 2 2 2 2 2 3 2 2 3" xfId="38942" xr:uid="{00000000-0005-0000-0000-0000566E0000}"/>
    <cellStyle name="표준 5 3 2 2 2 2 2 2 3 2 2 4" xfId="47135" xr:uid="{00000000-0005-0000-0000-0000576E0000}"/>
    <cellStyle name="표준 5 3 2 2 2 2 2 2 3 2 3" xfId="18377" xr:uid="{00000000-0005-0000-0000-0000586E0000}"/>
    <cellStyle name="표준 5 3 2 2 2 2 2 2 3 2 4" xfId="22539" xr:uid="{00000000-0005-0000-0000-0000596E0000}"/>
    <cellStyle name="표준 5 3 2 2 2 2 2 2 3 2 5" xfId="26635" xr:uid="{00000000-0005-0000-0000-00005A6E0000}"/>
    <cellStyle name="표준 5 3 2 2 2 2 2 2 3 2 6" xfId="34846" xr:uid="{00000000-0005-0000-0000-00005B6E0000}"/>
    <cellStyle name="표준 5 3 2 2 2 2 2 2 3 2 7" xfId="43039" xr:uid="{00000000-0005-0000-0000-00005C6E0000}"/>
    <cellStyle name="표준 5 3 2 2 2 2 2 2 3 3" xfId="7977" xr:uid="{00000000-0005-0000-0000-00005D6E0000}"/>
    <cellStyle name="표준 5 3 2 2 2 2 2 2 3 3 2" xfId="28683" xr:uid="{00000000-0005-0000-0000-00005E6E0000}"/>
    <cellStyle name="표준 5 3 2 2 2 2 2 2 3 3 3" xfId="36894" xr:uid="{00000000-0005-0000-0000-00005F6E0000}"/>
    <cellStyle name="표준 5 3 2 2 2 2 2 2 3 3 4" xfId="45087" xr:uid="{00000000-0005-0000-0000-0000606E0000}"/>
    <cellStyle name="표준 5 3 2 2 2 2 2 2 3 4" xfId="12089" xr:uid="{00000000-0005-0000-0000-0000616E0000}"/>
    <cellStyle name="표준 5 3 2 2 2 2 2 2 3 5" xfId="16329" xr:uid="{00000000-0005-0000-0000-0000626E0000}"/>
    <cellStyle name="표준 5 3 2 2 2 2 2 2 3 6" xfId="20491" xr:uid="{00000000-0005-0000-0000-0000636E0000}"/>
    <cellStyle name="표준 5 3 2 2 2 2 2 2 3 7" xfId="24587" xr:uid="{00000000-0005-0000-0000-0000646E0000}"/>
    <cellStyle name="표준 5 3 2 2 2 2 2 2 3 8" xfId="32798" xr:uid="{00000000-0005-0000-0000-0000656E0000}"/>
    <cellStyle name="표준 5 3 2 2 2 2 2 2 3 9" xfId="40991" xr:uid="{00000000-0005-0000-0000-0000666E0000}"/>
    <cellStyle name="표준 5 3 2 2 2 2 2 2 4" xfId="1634" xr:uid="{00000000-0005-0000-0000-0000676E0000}"/>
    <cellStyle name="표준 5 3 2 2 2 2 2 2 4 2" xfId="10537" xr:uid="{00000000-0005-0000-0000-0000686E0000}"/>
    <cellStyle name="표준 5 3 2 2 2 2 2 2 4 2 2" xfId="14649" xr:uid="{00000000-0005-0000-0000-0000696E0000}"/>
    <cellStyle name="표준 5 3 2 2 2 2 2 2 4 2 2 2" xfId="31243" xr:uid="{00000000-0005-0000-0000-00006A6E0000}"/>
    <cellStyle name="표준 5 3 2 2 2 2 2 2 4 2 2 3" xfId="39454" xr:uid="{00000000-0005-0000-0000-00006B6E0000}"/>
    <cellStyle name="표준 5 3 2 2 2 2 2 2 4 2 2 4" xfId="47647" xr:uid="{00000000-0005-0000-0000-00006C6E0000}"/>
    <cellStyle name="표준 5 3 2 2 2 2 2 2 4 2 3" xfId="18889" xr:uid="{00000000-0005-0000-0000-00006D6E0000}"/>
    <cellStyle name="표준 5 3 2 2 2 2 2 2 4 2 4" xfId="23051" xr:uid="{00000000-0005-0000-0000-00006E6E0000}"/>
    <cellStyle name="표준 5 3 2 2 2 2 2 2 4 2 5" xfId="27147" xr:uid="{00000000-0005-0000-0000-00006F6E0000}"/>
    <cellStyle name="표준 5 3 2 2 2 2 2 2 4 2 6" xfId="35358" xr:uid="{00000000-0005-0000-0000-0000706E0000}"/>
    <cellStyle name="표준 5 3 2 2 2 2 2 2 4 2 7" xfId="43551" xr:uid="{00000000-0005-0000-0000-0000716E0000}"/>
    <cellStyle name="표준 5 3 2 2 2 2 2 2 4 3" xfId="8489" xr:uid="{00000000-0005-0000-0000-0000726E0000}"/>
    <cellStyle name="표준 5 3 2 2 2 2 2 2 4 3 2" xfId="29195" xr:uid="{00000000-0005-0000-0000-0000736E0000}"/>
    <cellStyle name="표준 5 3 2 2 2 2 2 2 4 3 3" xfId="37406" xr:uid="{00000000-0005-0000-0000-0000746E0000}"/>
    <cellStyle name="표준 5 3 2 2 2 2 2 2 4 3 4" xfId="45599" xr:uid="{00000000-0005-0000-0000-0000756E0000}"/>
    <cellStyle name="표준 5 3 2 2 2 2 2 2 4 4" xfId="12601" xr:uid="{00000000-0005-0000-0000-0000766E0000}"/>
    <cellStyle name="표준 5 3 2 2 2 2 2 2 4 5" xfId="16841" xr:uid="{00000000-0005-0000-0000-0000776E0000}"/>
    <cellStyle name="표준 5 3 2 2 2 2 2 2 4 6" xfId="21003" xr:uid="{00000000-0005-0000-0000-0000786E0000}"/>
    <cellStyle name="표준 5 3 2 2 2 2 2 2 4 7" xfId="25099" xr:uid="{00000000-0005-0000-0000-0000796E0000}"/>
    <cellStyle name="표준 5 3 2 2 2 2 2 2 4 8" xfId="33310" xr:uid="{00000000-0005-0000-0000-00007A6E0000}"/>
    <cellStyle name="표준 5 3 2 2 2 2 2 2 4 9" xfId="41503" xr:uid="{00000000-0005-0000-0000-00007B6E0000}"/>
    <cellStyle name="표준 5 3 2 2 2 2 2 2 5" xfId="2146" xr:uid="{00000000-0005-0000-0000-00007C6E0000}"/>
    <cellStyle name="표준 5 3 2 2 2 2 2 2 5 2" xfId="11049" xr:uid="{00000000-0005-0000-0000-00007D6E0000}"/>
    <cellStyle name="표준 5 3 2 2 2 2 2 2 5 2 2" xfId="15161" xr:uid="{00000000-0005-0000-0000-00007E6E0000}"/>
    <cellStyle name="표준 5 3 2 2 2 2 2 2 5 2 2 2" xfId="31755" xr:uid="{00000000-0005-0000-0000-00007F6E0000}"/>
    <cellStyle name="표준 5 3 2 2 2 2 2 2 5 2 2 3" xfId="39966" xr:uid="{00000000-0005-0000-0000-0000806E0000}"/>
    <cellStyle name="표준 5 3 2 2 2 2 2 2 5 2 2 4" xfId="48159" xr:uid="{00000000-0005-0000-0000-0000816E0000}"/>
    <cellStyle name="표준 5 3 2 2 2 2 2 2 5 2 3" xfId="19401" xr:uid="{00000000-0005-0000-0000-0000826E0000}"/>
    <cellStyle name="표준 5 3 2 2 2 2 2 2 5 2 4" xfId="23563" xr:uid="{00000000-0005-0000-0000-0000836E0000}"/>
    <cellStyle name="표준 5 3 2 2 2 2 2 2 5 2 5" xfId="27659" xr:uid="{00000000-0005-0000-0000-0000846E0000}"/>
    <cellStyle name="표준 5 3 2 2 2 2 2 2 5 2 6" xfId="35870" xr:uid="{00000000-0005-0000-0000-0000856E0000}"/>
    <cellStyle name="표준 5 3 2 2 2 2 2 2 5 2 7" xfId="44063" xr:uid="{00000000-0005-0000-0000-0000866E0000}"/>
    <cellStyle name="표준 5 3 2 2 2 2 2 2 5 3" xfId="9001" xr:uid="{00000000-0005-0000-0000-0000876E0000}"/>
    <cellStyle name="표준 5 3 2 2 2 2 2 2 5 3 2" xfId="29707" xr:uid="{00000000-0005-0000-0000-0000886E0000}"/>
    <cellStyle name="표준 5 3 2 2 2 2 2 2 5 3 3" xfId="37918" xr:uid="{00000000-0005-0000-0000-0000896E0000}"/>
    <cellStyle name="표준 5 3 2 2 2 2 2 2 5 3 4" xfId="46111" xr:uid="{00000000-0005-0000-0000-00008A6E0000}"/>
    <cellStyle name="표준 5 3 2 2 2 2 2 2 5 4" xfId="13113" xr:uid="{00000000-0005-0000-0000-00008B6E0000}"/>
    <cellStyle name="표준 5 3 2 2 2 2 2 2 5 5" xfId="17353" xr:uid="{00000000-0005-0000-0000-00008C6E0000}"/>
    <cellStyle name="표준 5 3 2 2 2 2 2 2 5 6" xfId="21515" xr:uid="{00000000-0005-0000-0000-00008D6E0000}"/>
    <cellStyle name="표준 5 3 2 2 2 2 2 2 5 7" xfId="25611" xr:uid="{00000000-0005-0000-0000-00008E6E0000}"/>
    <cellStyle name="표준 5 3 2 2 2 2 2 2 5 8" xfId="33822" xr:uid="{00000000-0005-0000-0000-00008F6E0000}"/>
    <cellStyle name="표준 5 3 2 2 2 2 2 2 5 9" xfId="42015" xr:uid="{00000000-0005-0000-0000-0000906E0000}"/>
    <cellStyle name="표준 5 3 2 2 2 2 2 2 6" xfId="9513" xr:uid="{00000000-0005-0000-0000-0000916E0000}"/>
    <cellStyle name="표준 5 3 2 2 2 2 2 2 6 2" xfId="13625" xr:uid="{00000000-0005-0000-0000-0000926E0000}"/>
    <cellStyle name="표준 5 3 2 2 2 2 2 2 6 2 2" xfId="30219" xr:uid="{00000000-0005-0000-0000-0000936E0000}"/>
    <cellStyle name="표준 5 3 2 2 2 2 2 2 6 2 3" xfId="38430" xr:uid="{00000000-0005-0000-0000-0000946E0000}"/>
    <cellStyle name="표준 5 3 2 2 2 2 2 2 6 2 4" xfId="46623" xr:uid="{00000000-0005-0000-0000-0000956E0000}"/>
    <cellStyle name="표준 5 3 2 2 2 2 2 2 6 3" xfId="17865" xr:uid="{00000000-0005-0000-0000-0000966E0000}"/>
    <cellStyle name="표준 5 3 2 2 2 2 2 2 6 4" xfId="22027" xr:uid="{00000000-0005-0000-0000-0000976E0000}"/>
    <cellStyle name="표준 5 3 2 2 2 2 2 2 6 5" xfId="26123" xr:uid="{00000000-0005-0000-0000-0000986E0000}"/>
    <cellStyle name="표준 5 3 2 2 2 2 2 2 6 6" xfId="34334" xr:uid="{00000000-0005-0000-0000-0000996E0000}"/>
    <cellStyle name="표준 5 3 2 2 2 2 2 2 6 7" xfId="42527" xr:uid="{00000000-0005-0000-0000-00009A6E0000}"/>
    <cellStyle name="표준 5 3 2 2 2 2 2 2 7" xfId="7465" xr:uid="{00000000-0005-0000-0000-00009B6E0000}"/>
    <cellStyle name="표준 5 3 2 2 2 2 2 2 7 2" xfId="28171" xr:uid="{00000000-0005-0000-0000-00009C6E0000}"/>
    <cellStyle name="표준 5 3 2 2 2 2 2 2 7 3" xfId="36382" xr:uid="{00000000-0005-0000-0000-00009D6E0000}"/>
    <cellStyle name="표준 5 3 2 2 2 2 2 2 7 4" xfId="44575" xr:uid="{00000000-0005-0000-0000-00009E6E0000}"/>
    <cellStyle name="표준 5 3 2 2 2 2 2 2 8" xfId="11577" xr:uid="{00000000-0005-0000-0000-00009F6E0000}"/>
    <cellStyle name="표준 5 3 2 2 2 2 2 2 9" xfId="15817" xr:uid="{00000000-0005-0000-0000-0000A06E0000}"/>
    <cellStyle name="표준 5 3 2 2 2 2 2 3" xfId="738" xr:uid="{00000000-0005-0000-0000-0000A16E0000}"/>
    <cellStyle name="표준 5 3 2 2 2 2 2 3 10" xfId="24203" xr:uid="{00000000-0005-0000-0000-0000A26E0000}"/>
    <cellStyle name="표준 5 3 2 2 2 2 2 3 11" xfId="32414" xr:uid="{00000000-0005-0000-0000-0000A36E0000}"/>
    <cellStyle name="표준 5 3 2 2 2 2 2 3 12" xfId="40607" xr:uid="{00000000-0005-0000-0000-0000A46E0000}"/>
    <cellStyle name="표준 5 3 2 2 2 2 2 3 2" xfId="1250" xr:uid="{00000000-0005-0000-0000-0000A56E0000}"/>
    <cellStyle name="표준 5 3 2 2 2 2 2 3 2 2" xfId="10153" xr:uid="{00000000-0005-0000-0000-0000A66E0000}"/>
    <cellStyle name="표준 5 3 2 2 2 2 2 3 2 2 2" xfId="14265" xr:uid="{00000000-0005-0000-0000-0000A76E0000}"/>
    <cellStyle name="표준 5 3 2 2 2 2 2 3 2 2 2 2" xfId="30859" xr:uid="{00000000-0005-0000-0000-0000A86E0000}"/>
    <cellStyle name="표준 5 3 2 2 2 2 2 3 2 2 2 3" xfId="39070" xr:uid="{00000000-0005-0000-0000-0000A96E0000}"/>
    <cellStyle name="표준 5 3 2 2 2 2 2 3 2 2 2 4" xfId="47263" xr:uid="{00000000-0005-0000-0000-0000AA6E0000}"/>
    <cellStyle name="표준 5 3 2 2 2 2 2 3 2 2 3" xfId="18505" xr:uid="{00000000-0005-0000-0000-0000AB6E0000}"/>
    <cellStyle name="표준 5 3 2 2 2 2 2 3 2 2 4" xfId="22667" xr:uid="{00000000-0005-0000-0000-0000AC6E0000}"/>
    <cellStyle name="표준 5 3 2 2 2 2 2 3 2 2 5" xfId="26763" xr:uid="{00000000-0005-0000-0000-0000AD6E0000}"/>
    <cellStyle name="표준 5 3 2 2 2 2 2 3 2 2 6" xfId="34974" xr:uid="{00000000-0005-0000-0000-0000AE6E0000}"/>
    <cellStyle name="표준 5 3 2 2 2 2 2 3 2 2 7" xfId="43167" xr:uid="{00000000-0005-0000-0000-0000AF6E0000}"/>
    <cellStyle name="표준 5 3 2 2 2 2 2 3 2 3" xfId="8105" xr:uid="{00000000-0005-0000-0000-0000B06E0000}"/>
    <cellStyle name="표준 5 3 2 2 2 2 2 3 2 3 2" xfId="28811" xr:uid="{00000000-0005-0000-0000-0000B16E0000}"/>
    <cellStyle name="표준 5 3 2 2 2 2 2 3 2 3 3" xfId="37022" xr:uid="{00000000-0005-0000-0000-0000B26E0000}"/>
    <cellStyle name="표준 5 3 2 2 2 2 2 3 2 3 4" xfId="45215" xr:uid="{00000000-0005-0000-0000-0000B36E0000}"/>
    <cellStyle name="표준 5 3 2 2 2 2 2 3 2 4" xfId="12217" xr:uid="{00000000-0005-0000-0000-0000B46E0000}"/>
    <cellStyle name="표준 5 3 2 2 2 2 2 3 2 5" xfId="16457" xr:uid="{00000000-0005-0000-0000-0000B56E0000}"/>
    <cellStyle name="표준 5 3 2 2 2 2 2 3 2 6" xfId="20619" xr:uid="{00000000-0005-0000-0000-0000B66E0000}"/>
    <cellStyle name="표준 5 3 2 2 2 2 2 3 2 7" xfId="24715" xr:uid="{00000000-0005-0000-0000-0000B76E0000}"/>
    <cellStyle name="표준 5 3 2 2 2 2 2 3 2 8" xfId="32926" xr:uid="{00000000-0005-0000-0000-0000B86E0000}"/>
    <cellStyle name="표준 5 3 2 2 2 2 2 3 2 9" xfId="41119" xr:uid="{00000000-0005-0000-0000-0000B96E0000}"/>
    <cellStyle name="표준 5 3 2 2 2 2 2 3 3" xfId="1762" xr:uid="{00000000-0005-0000-0000-0000BA6E0000}"/>
    <cellStyle name="표준 5 3 2 2 2 2 2 3 3 2" xfId="10665" xr:uid="{00000000-0005-0000-0000-0000BB6E0000}"/>
    <cellStyle name="표준 5 3 2 2 2 2 2 3 3 2 2" xfId="14777" xr:uid="{00000000-0005-0000-0000-0000BC6E0000}"/>
    <cellStyle name="표준 5 3 2 2 2 2 2 3 3 2 2 2" xfId="31371" xr:uid="{00000000-0005-0000-0000-0000BD6E0000}"/>
    <cellStyle name="표준 5 3 2 2 2 2 2 3 3 2 2 3" xfId="39582" xr:uid="{00000000-0005-0000-0000-0000BE6E0000}"/>
    <cellStyle name="표준 5 3 2 2 2 2 2 3 3 2 2 4" xfId="47775" xr:uid="{00000000-0005-0000-0000-0000BF6E0000}"/>
    <cellStyle name="표준 5 3 2 2 2 2 2 3 3 2 3" xfId="19017" xr:uid="{00000000-0005-0000-0000-0000C06E0000}"/>
    <cellStyle name="표준 5 3 2 2 2 2 2 3 3 2 4" xfId="23179" xr:uid="{00000000-0005-0000-0000-0000C16E0000}"/>
    <cellStyle name="표준 5 3 2 2 2 2 2 3 3 2 5" xfId="27275" xr:uid="{00000000-0005-0000-0000-0000C26E0000}"/>
    <cellStyle name="표준 5 3 2 2 2 2 2 3 3 2 6" xfId="35486" xr:uid="{00000000-0005-0000-0000-0000C36E0000}"/>
    <cellStyle name="표준 5 3 2 2 2 2 2 3 3 2 7" xfId="43679" xr:uid="{00000000-0005-0000-0000-0000C46E0000}"/>
    <cellStyle name="표준 5 3 2 2 2 2 2 3 3 3" xfId="8617" xr:uid="{00000000-0005-0000-0000-0000C56E0000}"/>
    <cellStyle name="표준 5 3 2 2 2 2 2 3 3 3 2" xfId="29323" xr:uid="{00000000-0005-0000-0000-0000C66E0000}"/>
    <cellStyle name="표준 5 3 2 2 2 2 2 3 3 3 3" xfId="37534" xr:uid="{00000000-0005-0000-0000-0000C76E0000}"/>
    <cellStyle name="표준 5 3 2 2 2 2 2 3 3 3 4" xfId="45727" xr:uid="{00000000-0005-0000-0000-0000C86E0000}"/>
    <cellStyle name="표준 5 3 2 2 2 2 2 3 3 4" xfId="12729" xr:uid="{00000000-0005-0000-0000-0000C96E0000}"/>
    <cellStyle name="표준 5 3 2 2 2 2 2 3 3 5" xfId="16969" xr:uid="{00000000-0005-0000-0000-0000CA6E0000}"/>
    <cellStyle name="표준 5 3 2 2 2 2 2 3 3 6" xfId="21131" xr:uid="{00000000-0005-0000-0000-0000CB6E0000}"/>
    <cellStyle name="표준 5 3 2 2 2 2 2 3 3 7" xfId="25227" xr:uid="{00000000-0005-0000-0000-0000CC6E0000}"/>
    <cellStyle name="표준 5 3 2 2 2 2 2 3 3 8" xfId="33438" xr:uid="{00000000-0005-0000-0000-0000CD6E0000}"/>
    <cellStyle name="표준 5 3 2 2 2 2 2 3 3 9" xfId="41631" xr:uid="{00000000-0005-0000-0000-0000CE6E0000}"/>
    <cellStyle name="표준 5 3 2 2 2 2 2 3 4" xfId="2274" xr:uid="{00000000-0005-0000-0000-0000CF6E0000}"/>
    <cellStyle name="표준 5 3 2 2 2 2 2 3 4 2" xfId="11177" xr:uid="{00000000-0005-0000-0000-0000D06E0000}"/>
    <cellStyle name="표준 5 3 2 2 2 2 2 3 4 2 2" xfId="15289" xr:uid="{00000000-0005-0000-0000-0000D16E0000}"/>
    <cellStyle name="표준 5 3 2 2 2 2 2 3 4 2 2 2" xfId="31883" xr:uid="{00000000-0005-0000-0000-0000D26E0000}"/>
    <cellStyle name="표준 5 3 2 2 2 2 2 3 4 2 2 3" xfId="40094" xr:uid="{00000000-0005-0000-0000-0000D36E0000}"/>
    <cellStyle name="표준 5 3 2 2 2 2 2 3 4 2 2 4" xfId="48287" xr:uid="{00000000-0005-0000-0000-0000D46E0000}"/>
    <cellStyle name="표준 5 3 2 2 2 2 2 3 4 2 3" xfId="19529" xr:uid="{00000000-0005-0000-0000-0000D56E0000}"/>
    <cellStyle name="표준 5 3 2 2 2 2 2 3 4 2 4" xfId="23691" xr:uid="{00000000-0005-0000-0000-0000D66E0000}"/>
    <cellStyle name="표준 5 3 2 2 2 2 2 3 4 2 5" xfId="27787" xr:uid="{00000000-0005-0000-0000-0000D76E0000}"/>
    <cellStyle name="표준 5 3 2 2 2 2 2 3 4 2 6" xfId="35998" xr:uid="{00000000-0005-0000-0000-0000D86E0000}"/>
    <cellStyle name="표준 5 3 2 2 2 2 2 3 4 2 7" xfId="44191" xr:uid="{00000000-0005-0000-0000-0000D96E0000}"/>
    <cellStyle name="표준 5 3 2 2 2 2 2 3 4 3" xfId="9129" xr:uid="{00000000-0005-0000-0000-0000DA6E0000}"/>
    <cellStyle name="표준 5 3 2 2 2 2 2 3 4 3 2" xfId="29835" xr:uid="{00000000-0005-0000-0000-0000DB6E0000}"/>
    <cellStyle name="표준 5 3 2 2 2 2 2 3 4 3 3" xfId="38046" xr:uid="{00000000-0005-0000-0000-0000DC6E0000}"/>
    <cellStyle name="표준 5 3 2 2 2 2 2 3 4 3 4" xfId="46239" xr:uid="{00000000-0005-0000-0000-0000DD6E0000}"/>
    <cellStyle name="표준 5 3 2 2 2 2 2 3 4 4" xfId="13241" xr:uid="{00000000-0005-0000-0000-0000DE6E0000}"/>
    <cellStyle name="표준 5 3 2 2 2 2 2 3 4 5" xfId="17481" xr:uid="{00000000-0005-0000-0000-0000DF6E0000}"/>
    <cellStyle name="표준 5 3 2 2 2 2 2 3 4 6" xfId="21643" xr:uid="{00000000-0005-0000-0000-0000E06E0000}"/>
    <cellStyle name="표준 5 3 2 2 2 2 2 3 4 7" xfId="25739" xr:uid="{00000000-0005-0000-0000-0000E16E0000}"/>
    <cellStyle name="표준 5 3 2 2 2 2 2 3 4 8" xfId="33950" xr:uid="{00000000-0005-0000-0000-0000E26E0000}"/>
    <cellStyle name="표준 5 3 2 2 2 2 2 3 4 9" xfId="42143" xr:uid="{00000000-0005-0000-0000-0000E36E0000}"/>
    <cellStyle name="표준 5 3 2 2 2 2 2 3 5" xfId="9641" xr:uid="{00000000-0005-0000-0000-0000E46E0000}"/>
    <cellStyle name="표준 5 3 2 2 2 2 2 3 5 2" xfId="13753" xr:uid="{00000000-0005-0000-0000-0000E56E0000}"/>
    <cellStyle name="표준 5 3 2 2 2 2 2 3 5 2 2" xfId="30347" xr:uid="{00000000-0005-0000-0000-0000E66E0000}"/>
    <cellStyle name="표준 5 3 2 2 2 2 2 3 5 2 3" xfId="38558" xr:uid="{00000000-0005-0000-0000-0000E76E0000}"/>
    <cellStyle name="표준 5 3 2 2 2 2 2 3 5 2 4" xfId="46751" xr:uid="{00000000-0005-0000-0000-0000E86E0000}"/>
    <cellStyle name="표준 5 3 2 2 2 2 2 3 5 3" xfId="17993" xr:uid="{00000000-0005-0000-0000-0000E96E0000}"/>
    <cellStyle name="표준 5 3 2 2 2 2 2 3 5 4" xfId="22155" xr:uid="{00000000-0005-0000-0000-0000EA6E0000}"/>
    <cellStyle name="표준 5 3 2 2 2 2 2 3 5 5" xfId="26251" xr:uid="{00000000-0005-0000-0000-0000EB6E0000}"/>
    <cellStyle name="표준 5 3 2 2 2 2 2 3 5 6" xfId="34462" xr:uid="{00000000-0005-0000-0000-0000EC6E0000}"/>
    <cellStyle name="표준 5 3 2 2 2 2 2 3 5 7" xfId="42655" xr:uid="{00000000-0005-0000-0000-0000ED6E0000}"/>
    <cellStyle name="표준 5 3 2 2 2 2 2 3 6" xfId="7593" xr:uid="{00000000-0005-0000-0000-0000EE6E0000}"/>
    <cellStyle name="표준 5 3 2 2 2 2 2 3 6 2" xfId="28299" xr:uid="{00000000-0005-0000-0000-0000EF6E0000}"/>
    <cellStyle name="표준 5 3 2 2 2 2 2 3 6 3" xfId="36510" xr:uid="{00000000-0005-0000-0000-0000F06E0000}"/>
    <cellStyle name="표준 5 3 2 2 2 2 2 3 6 4" xfId="44703" xr:uid="{00000000-0005-0000-0000-0000F16E0000}"/>
    <cellStyle name="표준 5 3 2 2 2 2 2 3 7" xfId="11705" xr:uid="{00000000-0005-0000-0000-0000F26E0000}"/>
    <cellStyle name="표준 5 3 2 2 2 2 2 3 8" xfId="15945" xr:uid="{00000000-0005-0000-0000-0000F36E0000}"/>
    <cellStyle name="표준 5 3 2 2 2 2 2 3 9" xfId="20107" xr:uid="{00000000-0005-0000-0000-0000F46E0000}"/>
    <cellStyle name="표준 5 3 2 2 2 2 2 4" xfId="994" xr:uid="{00000000-0005-0000-0000-0000F56E0000}"/>
    <cellStyle name="표준 5 3 2 2 2 2 2 4 2" xfId="9897" xr:uid="{00000000-0005-0000-0000-0000F66E0000}"/>
    <cellStyle name="표준 5 3 2 2 2 2 2 4 2 2" xfId="14009" xr:uid="{00000000-0005-0000-0000-0000F76E0000}"/>
    <cellStyle name="표준 5 3 2 2 2 2 2 4 2 2 2" xfId="30603" xr:uid="{00000000-0005-0000-0000-0000F86E0000}"/>
    <cellStyle name="표준 5 3 2 2 2 2 2 4 2 2 3" xfId="38814" xr:uid="{00000000-0005-0000-0000-0000F96E0000}"/>
    <cellStyle name="표준 5 3 2 2 2 2 2 4 2 2 4" xfId="47007" xr:uid="{00000000-0005-0000-0000-0000FA6E0000}"/>
    <cellStyle name="표준 5 3 2 2 2 2 2 4 2 3" xfId="18249" xr:uid="{00000000-0005-0000-0000-0000FB6E0000}"/>
    <cellStyle name="표준 5 3 2 2 2 2 2 4 2 4" xfId="22411" xr:uid="{00000000-0005-0000-0000-0000FC6E0000}"/>
    <cellStyle name="표준 5 3 2 2 2 2 2 4 2 5" xfId="26507" xr:uid="{00000000-0005-0000-0000-0000FD6E0000}"/>
    <cellStyle name="표준 5 3 2 2 2 2 2 4 2 6" xfId="34718" xr:uid="{00000000-0005-0000-0000-0000FE6E0000}"/>
    <cellStyle name="표준 5 3 2 2 2 2 2 4 2 7" xfId="42911" xr:uid="{00000000-0005-0000-0000-0000FF6E0000}"/>
    <cellStyle name="표준 5 3 2 2 2 2 2 4 3" xfId="7849" xr:uid="{00000000-0005-0000-0000-0000006F0000}"/>
    <cellStyle name="표준 5 3 2 2 2 2 2 4 3 2" xfId="28555" xr:uid="{00000000-0005-0000-0000-0000016F0000}"/>
    <cellStyle name="표준 5 3 2 2 2 2 2 4 3 3" xfId="36766" xr:uid="{00000000-0005-0000-0000-0000026F0000}"/>
    <cellStyle name="표준 5 3 2 2 2 2 2 4 3 4" xfId="44959" xr:uid="{00000000-0005-0000-0000-0000036F0000}"/>
    <cellStyle name="표준 5 3 2 2 2 2 2 4 4" xfId="11961" xr:uid="{00000000-0005-0000-0000-0000046F0000}"/>
    <cellStyle name="표준 5 3 2 2 2 2 2 4 5" xfId="16201" xr:uid="{00000000-0005-0000-0000-0000056F0000}"/>
    <cellStyle name="표준 5 3 2 2 2 2 2 4 6" xfId="20363" xr:uid="{00000000-0005-0000-0000-0000066F0000}"/>
    <cellStyle name="표준 5 3 2 2 2 2 2 4 7" xfId="24459" xr:uid="{00000000-0005-0000-0000-0000076F0000}"/>
    <cellStyle name="표준 5 3 2 2 2 2 2 4 8" xfId="32670" xr:uid="{00000000-0005-0000-0000-0000086F0000}"/>
    <cellStyle name="표준 5 3 2 2 2 2 2 4 9" xfId="40863" xr:uid="{00000000-0005-0000-0000-0000096F0000}"/>
    <cellStyle name="표준 5 3 2 2 2 2 2 5" xfId="1506" xr:uid="{00000000-0005-0000-0000-00000A6F0000}"/>
    <cellStyle name="표준 5 3 2 2 2 2 2 5 2" xfId="10409" xr:uid="{00000000-0005-0000-0000-00000B6F0000}"/>
    <cellStyle name="표준 5 3 2 2 2 2 2 5 2 2" xfId="14521" xr:uid="{00000000-0005-0000-0000-00000C6F0000}"/>
    <cellStyle name="표준 5 3 2 2 2 2 2 5 2 2 2" xfId="31115" xr:uid="{00000000-0005-0000-0000-00000D6F0000}"/>
    <cellStyle name="표준 5 3 2 2 2 2 2 5 2 2 3" xfId="39326" xr:uid="{00000000-0005-0000-0000-00000E6F0000}"/>
    <cellStyle name="표준 5 3 2 2 2 2 2 5 2 2 4" xfId="47519" xr:uid="{00000000-0005-0000-0000-00000F6F0000}"/>
    <cellStyle name="표준 5 3 2 2 2 2 2 5 2 3" xfId="18761" xr:uid="{00000000-0005-0000-0000-0000106F0000}"/>
    <cellStyle name="표준 5 3 2 2 2 2 2 5 2 4" xfId="22923" xr:uid="{00000000-0005-0000-0000-0000116F0000}"/>
    <cellStyle name="표준 5 3 2 2 2 2 2 5 2 5" xfId="27019" xr:uid="{00000000-0005-0000-0000-0000126F0000}"/>
    <cellStyle name="표준 5 3 2 2 2 2 2 5 2 6" xfId="35230" xr:uid="{00000000-0005-0000-0000-0000136F0000}"/>
    <cellStyle name="표준 5 3 2 2 2 2 2 5 2 7" xfId="43423" xr:uid="{00000000-0005-0000-0000-0000146F0000}"/>
    <cellStyle name="표준 5 3 2 2 2 2 2 5 3" xfId="8361" xr:uid="{00000000-0005-0000-0000-0000156F0000}"/>
    <cellStyle name="표준 5 3 2 2 2 2 2 5 3 2" xfId="29067" xr:uid="{00000000-0005-0000-0000-0000166F0000}"/>
    <cellStyle name="표준 5 3 2 2 2 2 2 5 3 3" xfId="37278" xr:uid="{00000000-0005-0000-0000-0000176F0000}"/>
    <cellStyle name="표준 5 3 2 2 2 2 2 5 3 4" xfId="45471" xr:uid="{00000000-0005-0000-0000-0000186F0000}"/>
    <cellStyle name="표준 5 3 2 2 2 2 2 5 4" xfId="12473" xr:uid="{00000000-0005-0000-0000-0000196F0000}"/>
    <cellStyle name="표준 5 3 2 2 2 2 2 5 5" xfId="16713" xr:uid="{00000000-0005-0000-0000-00001A6F0000}"/>
    <cellStyle name="표준 5 3 2 2 2 2 2 5 6" xfId="20875" xr:uid="{00000000-0005-0000-0000-00001B6F0000}"/>
    <cellStyle name="표준 5 3 2 2 2 2 2 5 7" xfId="24971" xr:uid="{00000000-0005-0000-0000-00001C6F0000}"/>
    <cellStyle name="표준 5 3 2 2 2 2 2 5 8" xfId="33182" xr:uid="{00000000-0005-0000-0000-00001D6F0000}"/>
    <cellStyle name="표준 5 3 2 2 2 2 2 5 9" xfId="41375" xr:uid="{00000000-0005-0000-0000-00001E6F0000}"/>
    <cellStyle name="표준 5 3 2 2 2 2 2 6" xfId="2018" xr:uid="{00000000-0005-0000-0000-00001F6F0000}"/>
    <cellStyle name="표준 5 3 2 2 2 2 2 6 2" xfId="10921" xr:uid="{00000000-0005-0000-0000-0000206F0000}"/>
    <cellStyle name="표준 5 3 2 2 2 2 2 6 2 2" xfId="15033" xr:uid="{00000000-0005-0000-0000-0000216F0000}"/>
    <cellStyle name="표준 5 3 2 2 2 2 2 6 2 2 2" xfId="31627" xr:uid="{00000000-0005-0000-0000-0000226F0000}"/>
    <cellStyle name="표준 5 3 2 2 2 2 2 6 2 2 3" xfId="39838" xr:uid="{00000000-0005-0000-0000-0000236F0000}"/>
    <cellStyle name="표준 5 3 2 2 2 2 2 6 2 2 4" xfId="48031" xr:uid="{00000000-0005-0000-0000-0000246F0000}"/>
    <cellStyle name="표준 5 3 2 2 2 2 2 6 2 3" xfId="19273" xr:uid="{00000000-0005-0000-0000-0000256F0000}"/>
    <cellStyle name="표준 5 3 2 2 2 2 2 6 2 4" xfId="23435" xr:uid="{00000000-0005-0000-0000-0000266F0000}"/>
    <cellStyle name="표준 5 3 2 2 2 2 2 6 2 5" xfId="27531" xr:uid="{00000000-0005-0000-0000-0000276F0000}"/>
    <cellStyle name="표준 5 3 2 2 2 2 2 6 2 6" xfId="35742" xr:uid="{00000000-0005-0000-0000-0000286F0000}"/>
    <cellStyle name="표준 5 3 2 2 2 2 2 6 2 7" xfId="43935" xr:uid="{00000000-0005-0000-0000-0000296F0000}"/>
    <cellStyle name="표준 5 3 2 2 2 2 2 6 3" xfId="8873" xr:uid="{00000000-0005-0000-0000-00002A6F0000}"/>
    <cellStyle name="표준 5 3 2 2 2 2 2 6 3 2" xfId="29579" xr:uid="{00000000-0005-0000-0000-00002B6F0000}"/>
    <cellStyle name="표준 5 3 2 2 2 2 2 6 3 3" xfId="37790" xr:uid="{00000000-0005-0000-0000-00002C6F0000}"/>
    <cellStyle name="표준 5 3 2 2 2 2 2 6 3 4" xfId="45983" xr:uid="{00000000-0005-0000-0000-00002D6F0000}"/>
    <cellStyle name="표준 5 3 2 2 2 2 2 6 4" xfId="12985" xr:uid="{00000000-0005-0000-0000-00002E6F0000}"/>
    <cellStyle name="표준 5 3 2 2 2 2 2 6 5" xfId="17225" xr:uid="{00000000-0005-0000-0000-00002F6F0000}"/>
    <cellStyle name="표준 5 3 2 2 2 2 2 6 6" xfId="21387" xr:uid="{00000000-0005-0000-0000-0000306F0000}"/>
    <cellStyle name="표준 5 3 2 2 2 2 2 6 7" xfId="25483" xr:uid="{00000000-0005-0000-0000-0000316F0000}"/>
    <cellStyle name="표준 5 3 2 2 2 2 2 6 8" xfId="33694" xr:uid="{00000000-0005-0000-0000-0000326F0000}"/>
    <cellStyle name="표준 5 3 2 2 2 2 2 6 9" xfId="41887" xr:uid="{00000000-0005-0000-0000-0000336F0000}"/>
    <cellStyle name="표준 5 3 2 2 2 2 2 7" xfId="9385" xr:uid="{00000000-0005-0000-0000-0000346F0000}"/>
    <cellStyle name="표준 5 3 2 2 2 2 2 7 2" xfId="13497" xr:uid="{00000000-0005-0000-0000-0000356F0000}"/>
    <cellStyle name="표준 5 3 2 2 2 2 2 7 2 2" xfId="30091" xr:uid="{00000000-0005-0000-0000-0000366F0000}"/>
    <cellStyle name="표준 5 3 2 2 2 2 2 7 2 3" xfId="38302" xr:uid="{00000000-0005-0000-0000-0000376F0000}"/>
    <cellStyle name="표준 5 3 2 2 2 2 2 7 2 4" xfId="46495" xr:uid="{00000000-0005-0000-0000-0000386F0000}"/>
    <cellStyle name="표준 5 3 2 2 2 2 2 7 3" xfId="17737" xr:uid="{00000000-0005-0000-0000-0000396F0000}"/>
    <cellStyle name="표준 5 3 2 2 2 2 2 7 4" xfId="21899" xr:uid="{00000000-0005-0000-0000-00003A6F0000}"/>
    <cellStyle name="표준 5 3 2 2 2 2 2 7 5" xfId="25995" xr:uid="{00000000-0005-0000-0000-00003B6F0000}"/>
    <cellStyle name="표준 5 3 2 2 2 2 2 7 6" xfId="34206" xr:uid="{00000000-0005-0000-0000-00003C6F0000}"/>
    <cellStyle name="표준 5 3 2 2 2 2 2 7 7" xfId="42399" xr:uid="{00000000-0005-0000-0000-00003D6F0000}"/>
    <cellStyle name="표준 5 3 2 2 2 2 2 8" xfId="7337" xr:uid="{00000000-0005-0000-0000-00003E6F0000}"/>
    <cellStyle name="표준 5 3 2 2 2 2 2 8 2" xfId="28043" xr:uid="{00000000-0005-0000-0000-00003F6F0000}"/>
    <cellStyle name="표준 5 3 2 2 2 2 2 8 3" xfId="36254" xr:uid="{00000000-0005-0000-0000-0000406F0000}"/>
    <cellStyle name="표준 5 3 2 2 2 2 2 8 4" xfId="44447" xr:uid="{00000000-0005-0000-0000-0000416F0000}"/>
    <cellStyle name="표준 5 3 2 2 2 2 2 9" xfId="11449" xr:uid="{00000000-0005-0000-0000-0000426F0000}"/>
    <cellStyle name="표준 5 3 2 2 2 2 3" xfId="546" xr:uid="{00000000-0005-0000-0000-0000436F0000}"/>
    <cellStyle name="표준 5 3 2 2 2 2 3 10" xfId="19915" xr:uid="{00000000-0005-0000-0000-0000446F0000}"/>
    <cellStyle name="표준 5 3 2 2 2 2 3 11" xfId="24011" xr:uid="{00000000-0005-0000-0000-0000456F0000}"/>
    <cellStyle name="표준 5 3 2 2 2 2 3 12" xfId="32222" xr:uid="{00000000-0005-0000-0000-0000466F0000}"/>
    <cellStyle name="표준 5 3 2 2 2 2 3 13" xfId="40415" xr:uid="{00000000-0005-0000-0000-0000476F0000}"/>
    <cellStyle name="표준 5 3 2 2 2 2 3 2" xfId="802" xr:uid="{00000000-0005-0000-0000-0000486F0000}"/>
    <cellStyle name="표준 5 3 2 2 2 2 3 2 10" xfId="24267" xr:uid="{00000000-0005-0000-0000-0000496F0000}"/>
    <cellStyle name="표준 5 3 2 2 2 2 3 2 11" xfId="32478" xr:uid="{00000000-0005-0000-0000-00004A6F0000}"/>
    <cellStyle name="표준 5 3 2 2 2 2 3 2 12" xfId="40671" xr:uid="{00000000-0005-0000-0000-00004B6F0000}"/>
    <cellStyle name="표준 5 3 2 2 2 2 3 2 2" xfId="1314" xr:uid="{00000000-0005-0000-0000-00004C6F0000}"/>
    <cellStyle name="표준 5 3 2 2 2 2 3 2 2 2" xfId="10217" xr:uid="{00000000-0005-0000-0000-00004D6F0000}"/>
    <cellStyle name="표준 5 3 2 2 2 2 3 2 2 2 2" xfId="14329" xr:uid="{00000000-0005-0000-0000-00004E6F0000}"/>
    <cellStyle name="표준 5 3 2 2 2 2 3 2 2 2 2 2" xfId="30923" xr:uid="{00000000-0005-0000-0000-00004F6F0000}"/>
    <cellStyle name="표준 5 3 2 2 2 2 3 2 2 2 2 3" xfId="39134" xr:uid="{00000000-0005-0000-0000-0000506F0000}"/>
    <cellStyle name="표준 5 3 2 2 2 2 3 2 2 2 2 4" xfId="47327" xr:uid="{00000000-0005-0000-0000-0000516F0000}"/>
    <cellStyle name="표준 5 3 2 2 2 2 3 2 2 2 3" xfId="18569" xr:uid="{00000000-0005-0000-0000-0000526F0000}"/>
    <cellStyle name="표준 5 3 2 2 2 2 3 2 2 2 4" xfId="22731" xr:uid="{00000000-0005-0000-0000-0000536F0000}"/>
    <cellStyle name="표준 5 3 2 2 2 2 3 2 2 2 5" xfId="26827" xr:uid="{00000000-0005-0000-0000-0000546F0000}"/>
    <cellStyle name="표준 5 3 2 2 2 2 3 2 2 2 6" xfId="35038" xr:uid="{00000000-0005-0000-0000-0000556F0000}"/>
    <cellStyle name="표준 5 3 2 2 2 2 3 2 2 2 7" xfId="43231" xr:uid="{00000000-0005-0000-0000-0000566F0000}"/>
    <cellStyle name="표준 5 3 2 2 2 2 3 2 2 3" xfId="8169" xr:uid="{00000000-0005-0000-0000-0000576F0000}"/>
    <cellStyle name="표준 5 3 2 2 2 2 3 2 2 3 2" xfId="28875" xr:uid="{00000000-0005-0000-0000-0000586F0000}"/>
    <cellStyle name="표준 5 3 2 2 2 2 3 2 2 3 3" xfId="37086" xr:uid="{00000000-0005-0000-0000-0000596F0000}"/>
    <cellStyle name="표준 5 3 2 2 2 2 3 2 2 3 4" xfId="45279" xr:uid="{00000000-0005-0000-0000-00005A6F0000}"/>
    <cellStyle name="표준 5 3 2 2 2 2 3 2 2 4" xfId="12281" xr:uid="{00000000-0005-0000-0000-00005B6F0000}"/>
    <cellStyle name="표준 5 3 2 2 2 2 3 2 2 5" xfId="16521" xr:uid="{00000000-0005-0000-0000-00005C6F0000}"/>
    <cellStyle name="표준 5 3 2 2 2 2 3 2 2 6" xfId="20683" xr:uid="{00000000-0005-0000-0000-00005D6F0000}"/>
    <cellStyle name="표준 5 3 2 2 2 2 3 2 2 7" xfId="24779" xr:uid="{00000000-0005-0000-0000-00005E6F0000}"/>
    <cellStyle name="표준 5 3 2 2 2 2 3 2 2 8" xfId="32990" xr:uid="{00000000-0005-0000-0000-00005F6F0000}"/>
    <cellStyle name="표준 5 3 2 2 2 2 3 2 2 9" xfId="41183" xr:uid="{00000000-0005-0000-0000-0000606F0000}"/>
    <cellStyle name="표준 5 3 2 2 2 2 3 2 3" xfId="1826" xr:uid="{00000000-0005-0000-0000-0000616F0000}"/>
    <cellStyle name="표준 5 3 2 2 2 2 3 2 3 2" xfId="10729" xr:uid="{00000000-0005-0000-0000-0000626F0000}"/>
    <cellStyle name="표준 5 3 2 2 2 2 3 2 3 2 2" xfId="14841" xr:uid="{00000000-0005-0000-0000-0000636F0000}"/>
    <cellStyle name="표준 5 3 2 2 2 2 3 2 3 2 2 2" xfId="31435" xr:uid="{00000000-0005-0000-0000-0000646F0000}"/>
    <cellStyle name="표준 5 3 2 2 2 2 3 2 3 2 2 3" xfId="39646" xr:uid="{00000000-0005-0000-0000-0000656F0000}"/>
    <cellStyle name="표준 5 3 2 2 2 2 3 2 3 2 2 4" xfId="47839" xr:uid="{00000000-0005-0000-0000-0000666F0000}"/>
    <cellStyle name="표준 5 3 2 2 2 2 3 2 3 2 3" xfId="19081" xr:uid="{00000000-0005-0000-0000-0000676F0000}"/>
    <cellStyle name="표준 5 3 2 2 2 2 3 2 3 2 4" xfId="23243" xr:uid="{00000000-0005-0000-0000-0000686F0000}"/>
    <cellStyle name="표준 5 3 2 2 2 2 3 2 3 2 5" xfId="27339" xr:uid="{00000000-0005-0000-0000-0000696F0000}"/>
    <cellStyle name="표준 5 3 2 2 2 2 3 2 3 2 6" xfId="35550" xr:uid="{00000000-0005-0000-0000-00006A6F0000}"/>
    <cellStyle name="표준 5 3 2 2 2 2 3 2 3 2 7" xfId="43743" xr:uid="{00000000-0005-0000-0000-00006B6F0000}"/>
    <cellStyle name="표준 5 3 2 2 2 2 3 2 3 3" xfId="8681" xr:uid="{00000000-0005-0000-0000-00006C6F0000}"/>
    <cellStyle name="표준 5 3 2 2 2 2 3 2 3 3 2" xfId="29387" xr:uid="{00000000-0005-0000-0000-00006D6F0000}"/>
    <cellStyle name="표준 5 3 2 2 2 2 3 2 3 3 3" xfId="37598" xr:uid="{00000000-0005-0000-0000-00006E6F0000}"/>
    <cellStyle name="표준 5 3 2 2 2 2 3 2 3 3 4" xfId="45791" xr:uid="{00000000-0005-0000-0000-00006F6F0000}"/>
    <cellStyle name="표준 5 3 2 2 2 2 3 2 3 4" xfId="12793" xr:uid="{00000000-0005-0000-0000-0000706F0000}"/>
    <cellStyle name="표준 5 3 2 2 2 2 3 2 3 5" xfId="17033" xr:uid="{00000000-0005-0000-0000-0000716F0000}"/>
    <cellStyle name="표준 5 3 2 2 2 2 3 2 3 6" xfId="21195" xr:uid="{00000000-0005-0000-0000-0000726F0000}"/>
    <cellStyle name="표준 5 3 2 2 2 2 3 2 3 7" xfId="25291" xr:uid="{00000000-0005-0000-0000-0000736F0000}"/>
    <cellStyle name="표준 5 3 2 2 2 2 3 2 3 8" xfId="33502" xr:uid="{00000000-0005-0000-0000-0000746F0000}"/>
    <cellStyle name="표준 5 3 2 2 2 2 3 2 3 9" xfId="41695" xr:uid="{00000000-0005-0000-0000-0000756F0000}"/>
    <cellStyle name="표준 5 3 2 2 2 2 3 2 4" xfId="2338" xr:uid="{00000000-0005-0000-0000-0000766F0000}"/>
    <cellStyle name="표준 5 3 2 2 2 2 3 2 4 2" xfId="11241" xr:uid="{00000000-0005-0000-0000-0000776F0000}"/>
    <cellStyle name="표준 5 3 2 2 2 2 3 2 4 2 2" xfId="15353" xr:uid="{00000000-0005-0000-0000-0000786F0000}"/>
    <cellStyle name="표준 5 3 2 2 2 2 3 2 4 2 2 2" xfId="31947" xr:uid="{00000000-0005-0000-0000-0000796F0000}"/>
    <cellStyle name="표준 5 3 2 2 2 2 3 2 4 2 2 3" xfId="40158" xr:uid="{00000000-0005-0000-0000-00007A6F0000}"/>
    <cellStyle name="표준 5 3 2 2 2 2 3 2 4 2 2 4" xfId="48351" xr:uid="{00000000-0005-0000-0000-00007B6F0000}"/>
    <cellStyle name="표준 5 3 2 2 2 2 3 2 4 2 3" xfId="19593" xr:uid="{00000000-0005-0000-0000-00007C6F0000}"/>
    <cellStyle name="표준 5 3 2 2 2 2 3 2 4 2 4" xfId="23755" xr:uid="{00000000-0005-0000-0000-00007D6F0000}"/>
    <cellStyle name="표준 5 3 2 2 2 2 3 2 4 2 5" xfId="27851" xr:uid="{00000000-0005-0000-0000-00007E6F0000}"/>
    <cellStyle name="표준 5 3 2 2 2 2 3 2 4 2 6" xfId="36062" xr:uid="{00000000-0005-0000-0000-00007F6F0000}"/>
    <cellStyle name="표준 5 3 2 2 2 2 3 2 4 2 7" xfId="44255" xr:uid="{00000000-0005-0000-0000-0000806F0000}"/>
    <cellStyle name="표준 5 3 2 2 2 2 3 2 4 3" xfId="9193" xr:uid="{00000000-0005-0000-0000-0000816F0000}"/>
    <cellStyle name="표준 5 3 2 2 2 2 3 2 4 3 2" xfId="29899" xr:uid="{00000000-0005-0000-0000-0000826F0000}"/>
    <cellStyle name="표준 5 3 2 2 2 2 3 2 4 3 3" xfId="38110" xr:uid="{00000000-0005-0000-0000-0000836F0000}"/>
    <cellStyle name="표준 5 3 2 2 2 2 3 2 4 3 4" xfId="46303" xr:uid="{00000000-0005-0000-0000-0000846F0000}"/>
    <cellStyle name="표준 5 3 2 2 2 2 3 2 4 4" xfId="13305" xr:uid="{00000000-0005-0000-0000-0000856F0000}"/>
    <cellStyle name="표준 5 3 2 2 2 2 3 2 4 5" xfId="17545" xr:uid="{00000000-0005-0000-0000-0000866F0000}"/>
    <cellStyle name="표준 5 3 2 2 2 2 3 2 4 6" xfId="21707" xr:uid="{00000000-0005-0000-0000-0000876F0000}"/>
    <cellStyle name="표준 5 3 2 2 2 2 3 2 4 7" xfId="25803" xr:uid="{00000000-0005-0000-0000-0000886F0000}"/>
    <cellStyle name="표준 5 3 2 2 2 2 3 2 4 8" xfId="34014" xr:uid="{00000000-0005-0000-0000-0000896F0000}"/>
    <cellStyle name="표준 5 3 2 2 2 2 3 2 4 9" xfId="42207" xr:uid="{00000000-0005-0000-0000-00008A6F0000}"/>
    <cellStyle name="표준 5 3 2 2 2 2 3 2 5" xfId="9705" xr:uid="{00000000-0005-0000-0000-00008B6F0000}"/>
    <cellStyle name="표준 5 3 2 2 2 2 3 2 5 2" xfId="13817" xr:uid="{00000000-0005-0000-0000-00008C6F0000}"/>
    <cellStyle name="표준 5 3 2 2 2 2 3 2 5 2 2" xfId="30411" xr:uid="{00000000-0005-0000-0000-00008D6F0000}"/>
    <cellStyle name="표준 5 3 2 2 2 2 3 2 5 2 3" xfId="38622" xr:uid="{00000000-0005-0000-0000-00008E6F0000}"/>
    <cellStyle name="표준 5 3 2 2 2 2 3 2 5 2 4" xfId="46815" xr:uid="{00000000-0005-0000-0000-00008F6F0000}"/>
    <cellStyle name="표준 5 3 2 2 2 2 3 2 5 3" xfId="18057" xr:uid="{00000000-0005-0000-0000-0000906F0000}"/>
    <cellStyle name="표준 5 3 2 2 2 2 3 2 5 4" xfId="22219" xr:uid="{00000000-0005-0000-0000-0000916F0000}"/>
    <cellStyle name="표준 5 3 2 2 2 2 3 2 5 5" xfId="26315" xr:uid="{00000000-0005-0000-0000-0000926F0000}"/>
    <cellStyle name="표준 5 3 2 2 2 2 3 2 5 6" xfId="34526" xr:uid="{00000000-0005-0000-0000-0000936F0000}"/>
    <cellStyle name="표준 5 3 2 2 2 2 3 2 5 7" xfId="42719" xr:uid="{00000000-0005-0000-0000-0000946F0000}"/>
    <cellStyle name="표준 5 3 2 2 2 2 3 2 6" xfId="7657" xr:uid="{00000000-0005-0000-0000-0000956F0000}"/>
    <cellStyle name="표준 5 3 2 2 2 2 3 2 6 2" xfId="28363" xr:uid="{00000000-0005-0000-0000-0000966F0000}"/>
    <cellStyle name="표준 5 3 2 2 2 2 3 2 6 3" xfId="36574" xr:uid="{00000000-0005-0000-0000-0000976F0000}"/>
    <cellStyle name="표준 5 3 2 2 2 2 3 2 6 4" xfId="44767" xr:uid="{00000000-0005-0000-0000-0000986F0000}"/>
    <cellStyle name="표준 5 3 2 2 2 2 3 2 7" xfId="11769" xr:uid="{00000000-0005-0000-0000-0000996F0000}"/>
    <cellStyle name="표준 5 3 2 2 2 2 3 2 8" xfId="16009" xr:uid="{00000000-0005-0000-0000-00009A6F0000}"/>
    <cellStyle name="표준 5 3 2 2 2 2 3 2 9" xfId="20171" xr:uid="{00000000-0005-0000-0000-00009B6F0000}"/>
    <cellStyle name="표준 5 3 2 2 2 2 3 3" xfId="1058" xr:uid="{00000000-0005-0000-0000-00009C6F0000}"/>
    <cellStyle name="표준 5 3 2 2 2 2 3 3 2" xfId="9961" xr:uid="{00000000-0005-0000-0000-00009D6F0000}"/>
    <cellStyle name="표준 5 3 2 2 2 2 3 3 2 2" xfId="14073" xr:uid="{00000000-0005-0000-0000-00009E6F0000}"/>
    <cellStyle name="표준 5 3 2 2 2 2 3 3 2 2 2" xfId="30667" xr:uid="{00000000-0005-0000-0000-00009F6F0000}"/>
    <cellStyle name="표준 5 3 2 2 2 2 3 3 2 2 3" xfId="38878" xr:uid="{00000000-0005-0000-0000-0000A06F0000}"/>
    <cellStyle name="표준 5 3 2 2 2 2 3 3 2 2 4" xfId="47071" xr:uid="{00000000-0005-0000-0000-0000A16F0000}"/>
    <cellStyle name="표준 5 3 2 2 2 2 3 3 2 3" xfId="18313" xr:uid="{00000000-0005-0000-0000-0000A26F0000}"/>
    <cellStyle name="표준 5 3 2 2 2 2 3 3 2 4" xfId="22475" xr:uid="{00000000-0005-0000-0000-0000A36F0000}"/>
    <cellStyle name="표준 5 3 2 2 2 2 3 3 2 5" xfId="26571" xr:uid="{00000000-0005-0000-0000-0000A46F0000}"/>
    <cellStyle name="표준 5 3 2 2 2 2 3 3 2 6" xfId="34782" xr:uid="{00000000-0005-0000-0000-0000A56F0000}"/>
    <cellStyle name="표준 5 3 2 2 2 2 3 3 2 7" xfId="42975" xr:uid="{00000000-0005-0000-0000-0000A66F0000}"/>
    <cellStyle name="표준 5 3 2 2 2 2 3 3 3" xfId="7913" xr:uid="{00000000-0005-0000-0000-0000A76F0000}"/>
    <cellStyle name="표준 5 3 2 2 2 2 3 3 3 2" xfId="28619" xr:uid="{00000000-0005-0000-0000-0000A86F0000}"/>
    <cellStyle name="표준 5 3 2 2 2 2 3 3 3 3" xfId="36830" xr:uid="{00000000-0005-0000-0000-0000A96F0000}"/>
    <cellStyle name="표준 5 3 2 2 2 2 3 3 3 4" xfId="45023" xr:uid="{00000000-0005-0000-0000-0000AA6F0000}"/>
    <cellStyle name="표준 5 3 2 2 2 2 3 3 4" xfId="12025" xr:uid="{00000000-0005-0000-0000-0000AB6F0000}"/>
    <cellStyle name="표준 5 3 2 2 2 2 3 3 5" xfId="16265" xr:uid="{00000000-0005-0000-0000-0000AC6F0000}"/>
    <cellStyle name="표준 5 3 2 2 2 2 3 3 6" xfId="20427" xr:uid="{00000000-0005-0000-0000-0000AD6F0000}"/>
    <cellStyle name="표준 5 3 2 2 2 2 3 3 7" xfId="24523" xr:uid="{00000000-0005-0000-0000-0000AE6F0000}"/>
    <cellStyle name="표준 5 3 2 2 2 2 3 3 8" xfId="32734" xr:uid="{00000000-0005-0000-0000-0000AF6F0000}"/>
    <cellStyle name="표준 5 3 2 2 2 2 3 3 9" xfId="40927" xr:uid="{00000000-0005-0000-0000-0000B06F0000}"/>
    <cellStyle name="표준 5 3 2 2 2 2 3 4" xfId="1570" xr:uid="{00000000-0005-0000-0000-0000B16F0000}"/>
    <cellStyle name="표준 5 3 2 2 2 2 3 4 2" xfId="10473" xr:uid="{00000000-0005-0000-0000-0000B26F0000}"/>
    <cellStyle name="표준 5 3 2 2 2 2 3 4 2 2" xfId="14585" xr:uid="{00000000-0005-0000-0000-0000B36F0000}"/>
    <cellStyle name="표준 5 3 2 2 2 2 3 4 2 2 2" xfId="31179" xr:uid="{00000000-0005-0000-0000-0000B46F0000}"/>
    <cellStyle name="표준 5 3 2 2 2 2 3 4 2 2 3" xfId="39390" xr:uid="{00000000-0005-0000-0000-0000B56F0000}"/>
    <cellStyle name="표준 5 3 2 2 2 2 3 4 2 2 4" xfId="47583" xr:uid="{00000000-0005-0000-0000-0000B66F0000}"/>
    <cellStyle name="표준 5 3 2 2 2 2 3 4 2 3" xfId="18825" xr:uid="{00000000-0005-0000-0000-0000B76F0000}"/>
    <cellStyle name="표준 5 3 2 2 2 2 3 4 2 4" xfId="22987" xr:uid="{00000000-0005-0000-0000-0000B86F0000}"/>
    <cellStyle name="표준 5 3 2 2 2 2 3 4 2 5" xfId="27083" xr:uid="{00000000-0005-0000-0000-0000B96F0000}"/>
    <cellStyle name="표준 5 3 2 2 2 2 3 4 2 6" xfId="35294" xr:uid="{00000000-0005-0000-0000-0000BA6F0000}"/>
    <cellStyle name="표준 5 3 2 2 2 2 3 4 2 7" xfId="43487" xr:uid="{00000000-0005-0000-0000-0000BB6F0000}"/>
    <cellStyle name="표준 5 3 2 2 2 2 3 4 3" xfId="8425" xr:uid="{00000000-0005-0000-0000-0000BC6F0000}"/>
    <cellStyle name="표준 5 3 2 2 2 2 3 4 3 2" xfId="29131" xr:uid="{00000000-0005-0000-0000-0000BD6F0000}"/>
    <cellStyle name="표준 5 3 2 2 2 2 3 4 3 3" xfId="37342" xr:uid="{00000000-0005-0000-0000-0000BE6F0000}"/>
    <cellStyle name="표준 5 3 2 2 2 2 3 4 3 4" xfId="45535" xr:uid="{00000000-0005-0000-0000-0000BF6F0000}"/>
    <cellStyle name="표준 5 3 2 2 2 2 3 4 4" xfId="12537" xr:uid="{00000000-0005-0000-0000-0000C06F0000}"/>
    <cellStyle name="표준 5 3 2 2 2 2 3 4 5" xfId="16777" xr:uid="{00000000-0005-0000-0000-0000C16F0000}"/>
    <cellStyle name="표준 5 3 2 2 2 2 3 4 6" xfId="20939" xr:uid="{00000000-0005-0000-0000-0000C26F0000}"/>
    <cellStyle name="표준 5 3 2 2 2 2 3 4 7" xfId="25035" xr:uid="{00000000-0005-0000-0000-0000C36F0000}"/>
    <cellStyle name="표준 5 3 2 2 2 2 3 4 8" xfId="33246" xr:uid="{00000000-0005-0000-0000-0000C46F0000}"/>
    <cellStyle name="표준 5 3 2 2 2 2 3 4 9" xfId="41439" xr:uid="{00000000-0005-0000-0000-0000C56F0000}"/>
    <cellStyle name="표준 5 3 2 2 2 2 3 5" xfId="2082" xr:uid="{00000000-0005-0000-0000-0000C66F0000}"/>
    <cellStyle name="표준 5 3 2 2 2 2 3 5 2" xfId="10985" xr:uid="{00000000-0005-0000-0000-0000C76F0000}"/>
    <cellStyle name="표준 5 3 2 2 2 2 3 5 2 2" xfId="15097" xr:uid="{00000000-0005-0000-0000-0000C86F0000}"/>
    <cellStyle name="표준 5 3 2 2 2 2 3 5 2 2 2" xfId="31691" xr:uid="{00000000-0005-0000-0000-0000C96F0000}"/>
    <cellStyle name="표준 5 3 2 2 2 2 3 5 2 2 3" xfId="39902" xr:uid="{00000000-0005-0000-0000-0000CA6F0000}"/>
    <cellStyle name="표준 5 3 2 2 2 2 3 5 2 2 4" xfId="48095" xr:uid="{00000000-0005-0000-0000-0000CB6F0000}"/>
    <cellStyle name="표준 5 3 2 2 2 2 3 5 2 3" xfId="19337" xr:uid="{00000000-0005-0000-0000-0000CC6F0000}"/>
    <cellStyle name="표준 5 3 2 2 2 2 3 5 2 4" xfId="23499" xr:uid="{00000000-0005-0000-0000-0000CD6F0000}"/>
    <cellStyle name="표준 5 3 2 2 2 2 3 5 2 5" xfId="27595" xr:uid="{00000000-0005-0000-0000-0000CE6F0000}"/>
    <cellStyle name="표준 5 3 2 2 2 2 3 5 2 6" xfId="35806" xr:uid="{00000000-0005-0000-0000-0000CF6F0000}"/>
    <cellStyle name="표준 5 3 2 2 2 2 3 5 2 7" xfId="43999" xr:uid="{00000000-0005-0000-0000-0000D06F0000}"/>
    <cellStyle name="표준 5 3 2 2 2 2 3 5 3" xfId="8937" xr:uid="{00000000-0005-0000-0000-0000D16F0000}"/>
    <cellStyle name="표준 5 3 2 2 2 2 3 5 3 2" xfId="29643" xr:uid="{00000000-0005-0000-0000-0000D26F0000}"/>
    <cellStyle name="표준 5 3 2 2 2 2 3 5 3 3" xfId="37854" xr:uid="{00000000-0005-0000-0000-0000D36F0000}"/>
    <cellStyle name="표준 5 3 2 2 2 2 3 5 3 4" xfId="46047" xr:uid="{00000000-0005-0000-0000-0000D46F0000}"/>
    <cellStyle name="표준 5 3 2 2 2 2 3 5 4" xfId="13049" xr:uid="{00000000-0005-0000-0000-0000D56F0000}"/>
    <cellStyle name="표준 5 3 2 2 2 2 3 5 5" xfId="17289" xr:uid="{00000000-0005-0000-0000-0000D66F0000}"/>
    <cellStyle name="표준 5 3 2 2 2 2 3 5 6" xfId="21451" xr:uid="{00000000-0005-0000-0000-0000D76F0000}"/>
    <cellStyle name="표준 5 3 2 2 2 2 3 5 7" xfId="25547" xr:uid="{00000000-0005-0000-0000-0000D86F0000}"/>
    <cellStyle name="표준 5 3 2 2 2 2 3 5 8" xfId="33758" xr:uid="{00000000-0005-0000-0000-0000D96F0000}"/>
    <cellStyle name="표준 5 3 2 2 2 2 3 5 9" xfId="41951" xr:uid="{00000000-0005-0000-0000-0000DA6F0000}"/>
    <cellStyle name="표준 5 3 2 2 2 2 3 6" xfId="9449" xr:uid="{00000000-0005-0000-0000-0000DB6F0000}"/>
    <cellStyle name="표준 5 3 2 2 2 2 3 6 2" xfId="13561" xr:uid="{00000000-0005-0000-0000-0000DC6F0000}"/>
    <cellStyle name="표준 5 3 2 2 2 2 3 6 2 2" xfId="30155" xr:uid="{00000000-0005-0000-0000-0000DD6F0000}"/>
    <cellStyle name="표준 5 3 2 2 2 2 3 6 2 3" xfId="38366" xr:uid="{00000000-0005-0000-0000-0000DE6F0000}"/>
    <cellStyle name="표준 5 3 2 2 2 2 3 6 2 4" xfId="46559" xr:uid="{00000000-0005-0000-0000-0000DF6F0000}"/>
    <cellStyle name="표준 5 3 2 2 2 2 3 6 3" xfId="17801" xr:uid="{00000000-0005-0000-0000-0000E06F0000}"/>
    <cellStyle name="표준 5 3 2 2 2 2 3 6 4" xfId="21963" xr:uid="{00000000-0005-0000-0000-0000E16F0000}"/>
    <cellStyle name="표준 5 3 2 2 2 2 3 6 5" xfId="26059" xr:uid="{00000000-0005-0000-0000-0000E26F0000}"/>
    <cellStyle name="표준 5 3 2 2 2 2 3 6 6" xfId="34270" xr:uid="{00000000-0005-0000-0000-0000E36F0000}"/>
    <cellStyle name="표준 5 3 2 2 2 2 3 6 7" xfId="42463" xr:uid="{00000000-0005-0000-0000-0000E46F0000}"/>
    <cellStyle name="표준 5 3 2 2 2 2 3 7" xfId="7401" xr:uid="{00000000-0005-0000-0000-0000E56F0000}"/>
    <cellStyle name="표준 5 3 2 2 2 2 3 7 2" xfId="28107" xr:uid="{00000000-0005-0000-0000-0000E66F0000}"/>
    <cellStyle name="표준 5 3 2 2 2 2 3 7 3" xfId="36318" xr:uid="{00000000-0005-0000-0000-0000E76F0000}"/>
    <cellStyle name="표준 5 3 2 2 2 2 3 7 4" xfId="44511" xr:uid="{00000000-0005-0000-0000-0000E86F0000}"/>
    <cellStyle name="표준 5 3 2 2 2 2 3 8" xfId="11513" xr:uid="{00000000-0005-0000-0000-0000E96F0000}"/>
    <cellStyle name="표준 5 3 2 2 2 2 3 9" xfId="15753" xr:uid="{00000000-0005-0000-0000-0000EA6F0000}"/>
    <cellStyle name="표준 5 3 2 2 2 2 4" xfId="674" xr:uid="{00000000-0005-0000-0000-0000EB6F0000}"/>
    <cellStyle name="표준 5 3 2 2 2 2 4 10" xfId="24139" xr:uid="{00000000-0005-0000-0000-0000EC6F0000}"/>
    <cellStyle name="표준 5 3 2 2 2 2 4 11" xfId="32350" xr:uid="{00000000-0005-0000-0000-0000ED6F0000}"/>
    <cellStyle name="표준 5 3 2 2 2 2 4 12" xfId="40543" xr:uid="{00000000-0005-0000-0000-0000EE6F0000}"/>
    <cellStyle name="표준 5 3 2 2 2 2 4 2" xfId="1186" xr:uid="{00000000-0005-0000-0000-0000EF6F0000}"/>
    <cellStyle name="표준 5 3 2 2 2 2 4 2 2" xfId="10089" xr:uid="{00000000-0005-0000-0000-0000F06F0000}"/>
    <cellStyle name="표준 5 3 2 2 2 2 4 2 2 2" xfId="14201" xr:uid="{00000000-0005-0000-0000-0000F16F0000}"/>
    <cellStyle name="표준 5 3 2 2 2 2 4 2 2 2 2" xfId="30795" xr:uid="{00000000-0005-0000-0000-0000F26F0000}"/>
    <cellStyle name="표준 5 3 2 2 2 2 4 2 2 2 3" xfId="39006" xr:uid="{00000000-0005-0000-0000-0000F36F0000}"/>
    <cellStyle name="표준 5 3 2 2 2 2 4 2 2 2 4" xfId="47199" xr:uid="{00000000-0005-0000-0000-0000F46F0000}"/>
    <cellStyle name="표준 5 3 2 2 2 2 4 2 2 3" xfId="18441" xr:uid="{00000000-0005-0000-0000-0000F56F0000}"/>
    <cellStyle name="표준 5 3 2 2 2 2 4 2 2 4" xfId="22603" xr:uid="{00000000-0005-0000-0000-0000F66F0000}"/>
    <cellStyle name="표준 5 3 2 2 2 2 4 2 2 5" xfId="26699" xr:uid="{00000000-0005-0000-0000-0000F76F0000}"/>
    <cellStyle name="표준 5 3 2 2 2 2 4 2 2 6" xfId="34910" xr:uid="{00000000-0005-0000-0000-0000F86F0000}"/>
    <cellStyle name="표준 5 3 2 2 2 2 4 2 2 7" xfId="43103" xr:uid="{00000000-0005-0000-0000-0000F96F0000}"/>
    <cellStyle name="표준 5 3 2 2 2 2 4 2 3" xfId="8041" xr:uid="{00000000-0005-0000-0000-0000FA6F0000}"/>
    <cellStyle name="표준 5 3 2 2 2 2 4 2 3 2" xfId="28747" xr:uid="{00000000-0005-0000-0000-0000FB6F0000}"/>
    <cellStyle name="표준 5 3 2 2 2 2 4 2 3 3" xfId="36958" xr:uid="{00000000-0005-0000-0000-0000FC6F0000}"/>
    <cellStyle name="표준 5 3 2 2 2 2 4 2 3 4" xfId="45151" xr:uid="{00000000-0005-0000-0000-0000FD6F0000}"/>
    <cellStyle name="표준 5 3 2 2 2 2 4 2 4" xfId="12153" xr:uid="{00000000-0005-0000-0000-0000FE6F0000}"/>
    <cellStyle name="표준 5 3 2 2 2 2 4 2 5" xfId="16393" xr:uid="{00000000-0005-0000-0000-0000FF6F0000}"/>
    <cellStyle name="표준 5 3 2 2 2 2 4 2 6" xfId="20555" xr:uid="{00000000-0005-0000-0000-000000700000}"/>
    <cellStyle name="표준 5 3 2 2 2 2 4 2 7" xfId="24651" xr:uid="{00000000-0005-0000-0000-000001700000}"/>
    <cellStyle name="표준 5 3 2 2 2 2 4 2 8" xfId="32862" xr:uid="{00000000-0005-0000-0000-000002700000}"/>
    <cellStyle name="표준 5 3 2 2 2 2 4 2 9" xfId="41055" xr:uid="{00000000-0005-0000-0000-000003700000}"/>
    <cellStyle name="표준 5 3 2 2 2 2 4 3" xfId="1698" xr:uid="{00000000-0005-0000-0000-000004700000}"/>
    <cellStyle name="표준 5 3 2 2 2 2 4 3 2" xfId="10601" xr:uid="{00000000-0005-0000-0000-000005700000}"/>
    <cellStyle name="표준 5 3 2 2 2 2 4 3 2 2" xfId="14713" xr:uid="{00000000-0005-0000-0000-000006700000}"/>
    <cellStyle name="표준 5 3 2 2 2 2 4 3 2 2 2" xfId="31307" xr:uid="{00000000-0005-0000-0000-000007700000}"/>
    <cellStyle name="표준 5 3 2 2 2 2 4 3 2 2 3" xfId="39518" xr:uid="{00000000-0005-0000-0000-000008700000}"/>
    <cellStyle name="표준 5 3 2 2 2 2 4 3 2 2 4" xfId="47711" xr:uid="{00000000-0005-0000-0000-000009700000}"/>
    <cellStyle name="표준 5 3 2 2 2 2 4 3 2 3" xfId="18953" xr:uid="{00000000-0005-0000-0000-00000A700000}"/>
    <cellStyle name="표준 5 3 2 2 2 2 4 3 2 4" xfId="23115" xr:uid="{00000000-0005-0000-0000-00000B700000}"/>
    <cellStyle name="표준 5 3 2 2 2 2 4 3 2 5" xfId="27211" xr:uid="{00000000-0005-0000-0000-00000C700000}"/>
    <cellStyle name="표준 5 3 2 2 2 2 4 3 2 6" xfId="35422" xr:uid="{00000000-0005-0000-0000-00000D700000}"/>
    <cellStyle name="표준 5 3 2 2 2 2 4 3 2 7" xfId="43615" xr:uid="{00000000-0005-0000-0000-00000E700000}"/>
    <cellStyle name="표준 5 3 2 2 2 2 4 3 3" xfId="8553" xr:uid="{00000000-0005-0000-0000-00000F700000}"/>
    <cellStyle name="표준 5 3 2 2 2 2 4 3 3 2" xfId="29259" xr:uid="{00000000-0005-0000-0000-000010700000}"/>
    <cellStyle name="표준 5 3 2 2 2 2 4 3 3 3" xfId="37470" xr:uid="{00000000-0005-0000-0000-000011700000}"/>
    <cellStyle name="표준 5 3 2 2 2 2 4 3 3 4" xfId="45663" xr:uid="{00000000-0005-0000-0000-000012700000}"/>
    <cellStyle name="표준 5 3 2 2 2 2 4 3 4" xfId="12665" xr:uid="{00000000-0005-0000-0000-000013700000}"/>
    <cellStyle name="표준 5 3 2 2 2 2 4 3 5" xfId="16905" xr:uid="{00000000-0005-0000-0000-000014700000}"/>
    <cellStyle name="표준 5 3 2 2 2 2 4 3 6" xfId="21067" xr:uid="{00000000-0005-0000-0000-000015700000}"/>
    <cellStyle name="표준 5 3 2 2 2 2 4 3 7" xfId="25163" xr:uid="{00000000-0005-0000-0000-000016700000}"/>
    <cellStyle name="표준 5 3 2 2 2 2 4 3 8" xfId="33374" xr:uid="{00000000-0005-0000-0000-000017700000}"/>
    <cellStyle name="표준 5 3 2 2 2 2 4 3 9" xfId="41567" xr:uid="{00000000-0005-0000-0000-000018700000}"/>
    <cellStyle name="표준 5 3 2 2 2 2 4 4" xfId="2210" xr:uid="{00000000-0005-0000-0000-000019700000}"/>
    <cellStyle name="표준 5 3 2 2 2 2 4 4 2" xfId="11113" xr:uid="{00000000-0005-0000-0000-00001A700000}"/>
    <cellStyle name="표준 5 3 2 2 2 2 4 4 2 2" xfId="15225" xr:uid="{00000000-0005-0000-0000-00001B700000}"/>
    <cellStyle name="표준 5 3 2 2 2 2 4 4 2 2 2" xfId="31819" xr:uid="{00000000-0005-0000-0000-00001C700000}"/>
    <cellStyle name="표준 5 3 2 2 2 2 4 4 2 2 3" xfId="40030" xr:uid="{00000000-0005-0000-0000-00001D700000}"/>
    <cellStyle name="표준 5 3 2 2 2 2 4 4 2 2 4" xfId="48223" xr:uid="{00000000-0005-0000-0000-00001E700000}"/>
    <cellStyle name="표준 5 3 2 2 2 2 4 4 2 3" xfId="19465" xr:uid="{00000000-0005-0000-0000-00001F700000}"/>
    <cellStyle name="표준 5 3 2 2 2 2 4 4 2 4" xfId="23627" xr:uid="{00000000-0005-0000-0000-000020700000}"/>
    <cellStyle name="표준 5 3 2 2 2 2 4 4 2 5" xfId="27723" xr:uid="{00000000-0005-0000-0000-000021700000}"/>
    <cellStyle name="표준 5 3 2 2 2 2 4 4 2 6" xfId="35934" xr:uid="{00000000-0005-0000-0000-000022700000}"/>
    <cellStyle name="표준 5 3 2 2 2 2 4 4 2 7" xfId="44127" xr:uid="{00000000-0005-0000-0000-000023700000}"/>
    <cellStyle name="표준 5 3 2 2 2 2 4 4 3" xfId="9065" xr:uid="{00000000-0005-0000-0000-000024700000}"/>
    <cellStyle name="표준 5 3 2 2 2 2 4 4 3 2" xfId="29771" xr:uid="{00000000-0005-0000-0000-000025700000}"/>
    <cellStyle name="표준 5 3 2 2 2 2 4 4 3 3" xfId="37982" xr:uid="{00000000-0005-0000-0000-000026700000}"/>
    <cellStyle name="표준 5 3 2 2 2 2 4 4 3 4" xfId="46175" xr:uid="{00000000-0005-0000-0000-000027700000}"/>
    <cellStyle name="표준 5 3 2 2 2 2 4 4 4" xfId="13177" xr:uid="{00000000-0005-0000-0000-000028700000}"/>
    <cellStyle name="표준 5 3 2 2 2 2 4 4 5" xfId="17417" xr:uid="{00000000-0005-0000-0000-000029700000}"/>
    <cellStyle name="표준 5 3 2 2 2 2 4 4 6" xfId="21579" xr:uid="{00000000-0005-0000-0000-00002A700000}"/>
    <cellStyle name="표준 5 3 2 2 2 2 4 4 7" xfId="25675" xr:uid="{00000000-0005-0000-0000-00002B700000}"/>
    <cellStyle name="표준 5 3 2 2 2 2 4 4 8" xfId="33886" xr:uid="{00000000-0005-0000-0000-00002C700000}"/>
    <cellStyle name="표준 5 3 2 2 2 2 4 4 9" xfId="42079" xr:uid="{00000000-0005-0000-0000-00002D700000}"/>
    <cellStyle name="표준 5 3 2 2 2 2 4 5" xfId="9577" xr:uid="{00000000-0005-0000-0000-00002E700000}"/>
    <cellStyle name="표준 5 3 2 2 2 2 4 5 2" xfId="13689" xr:uid="{00000000-0005-0000-0000-00002F700000}"/>
    <cellStyle name="표준 5 3 2 2 2 2 4 5 2 2" xfId="30283" xr:uid="{00000000-0005-0000-0000-000030700000}"/>
    <cellStyle name="표준 5 3 2 2 2 2 4 5 2 3" xfId="38494" xr:uid="{00000000-0005-0000-0000-000031700000}"/>
    <cellStyle name="표준 5 3 2 2 2 2 4 5 2 4" xfId="46687" xr:uid="{00000000-0005-0000-0000-000032700000}"/>
    <cellStyle name="표준 5 3 2 2 2 2 4 5 3" xfId="17929" xr:uid="{00000000-0005-0000-0000-000033700000}"/>
    <cellStyle name="표준 5 3 2 2 2 2 4 5 4" xfId="22091" xr:uid="{00000000-0005-0000-0000-000034700000}"/>
    <cellStyle name="표준 5 3 2 2 2 2 4 5 5" xfId="26187" xr:uid="{00000000-0005-0000-0000-000035700000}"/>
    <cellStyle name="표준 5 3 2 2 2 2 4 5 6" xfId="34398" xr:uid="{00000000-0005-0000-0000-000036700000}"/>
    <cellStyle name="표준 5 3 2 2 2 2 4 5 7" xfId="42591" xr:uid="{00000000-0005-0000-0000-000037700000}"/>
    <cellStyle name="표준 5 3 2 2 2 2 4 6" xfId="7529" xr:uid="{00000000-0005-0000-0000-000038700000}"/>
    <cellStyle name="표준 5 3 2 2 2 2 4 6 2" xfId="28235" xr:uid="{00000000-0005-0000-0000-000039700000}"/>
    <cellStyle name="표준 5 3 2 2 2 2 4 6 3" xfId="36446" xr:uid="{00000000-0005-0000-0000-00003A700000}"/>
    <cellStyle name="표준 5 3 2 2 2 2 4 6 4" xfId="44639" xr:uid="{00000000-0005-0000-0000-00003B700000}"/>
    <cellStyle name="표준 5 3 2 2 2 2 4 7" xfId="11641" xr:uid="{00000000-0005-0000-0000-00003C700000}"/>
    <cellStyle name="표준 5 3 2 2 2 2 4 8" xfId="15881" xr:uid="{00000000-0005-0000-0000-00003D700000}"/>
    <cellStyle name="표준 5 3 2 2 2 2 4 9" xfId="20043" xr:uid="{00000000-0005-0000-0000-00003E700000}"/>
    <cellStyle name="표준 5 3 2 2 2 2 5" xfId="930" xr:uid="{00000000-0005-0000-0000-00003F700000}"/>
    <cellStyle name="표준 5 3 2 2 2 2 5 2" xfId="9833" xr:uid="{00000000-0005-0000-0000-000040700000}"/>
    <cellStyle name="표준 5 3 2 2 2 2 5 2 2" xfId="13945" xr:uid="{00000000-0005-0000-0000-000041700000}"/>
    <cellStyle name="표준 5 3 2 2 2 2 5 2 2 2" xfId="30539" xr:uid="{00000000-0005-0000-0000-000042700000}"/>
    <cellStyle name="표준 5 3 2 2 2 2 5 2 2 3" xfId="38750" xr:uid="{00000000-0005-0000-0000-000043700000}"/>
    <cellStyle name="표준 5 3 2 2 2 2 5 2 2 4" xfId="46943" xr:uid="{00000000-0005-0000-0000-000044700000}"/>
    <cellStyle name="표준 5 3 2 2 2 2 5 2 3" xfId="18185" xr:uid="{00000000-0005-0000-0000-000045700000}"/>
    <cellStyle name="표준 5 3 2 2 2 2 5 2 4" xfId="22347" xr:uid="{00000000-0005-0000-0000-000046700000}"/>
    <cellStyle name="표준 5 3 2 2 2 2 5 2 5" xfId="26443" xr:uid="{00000000-0005-0000-0000-000047700000}"/>
    <cellStyle name="표준 5 3 2 2 2 2 5 2 6" xfId="34654" xr:uid="{00000000-0005-0000-0000-000048700000}"/>
    <cellStyle name="표준 5 3 2 2 2 2 5 2 7" xfId="42847" xr:uid="{00000000-0005-0000-0000-000049700000}"/>
    <cellStyle name="표준 5 3 2 2 2 2 5 3" xfId="7785" xr:uid="{00000000-0005-0000-0000-00004A700000}"/>
    <cellStyle name="표준 5 3 2 2 2 2 5 3 2" xfId="28491" xr:uid="{00000000-0005-0000-0000-00004B700000}"/>
    <cellStyle name="표준 5 3 2 2 2 2 5 3 3" xfId="36702" xr:uid="{00000000-0005-0000-0000-00004C700000}"/>
    <cellStyle name="표준 5 3 2 2 2 2 5 3 4" xfId="44895" xr:uid="{00000000-0005-0000-0000-00004D700000}"/>
    <cellStyle name="표준 5 3 2 2 2 2 5 4" xfId="11897" xr:uid="{00000000-0005-0000-0000-00004E700000}"/>
    <cellStyle name="표준 5 3 2 2 2 2 5 5" xfId="16137" xr:uid="{00000000-0005-0000-0000-00004F700000}"/>
    <cellStyle name="표준 5 3 2 2 2 2 5 6" xfId="20299" xr:uid="{00000000-0005-0000-0000-000050700000}"/>
    <cellStyle name="표준 5 3 2 2 2 2 5 7" xfId="24395" xr:uid="{00000000-0005-0000-0000-000051700000}"/>
    <cellStyle name="표준 5 3 2 2 2 2 5 8" xfId="32606" xr:uid="{00000000-0005-0000-0000-000052700000}"/>
    <cellStyle name="표준 5 3 2 2 2 2 5 9" xfId="40799" xr:uid="{00000000-0005-0000-0000-000053700000}"/>
    <cellStyle name="표준 5 3 2 2 2 2 6" xfId="1442" xr:uid="{00000000-0005-0000-0000-000054700000}"/>
    <cellStyle name="표준 5 3 2 2 2 2 6 2" xfId="10345" xr:uid="{00000000-0005-0000-0000-000055700000}"/>
    <cellStyle name="표준 5 3 2 2 2 2 6 2 2" xfId="14457" xr:uid="{00000000-0005-0000-0000-000056700000}"/>
    <cellStyle name="표준 5 3 2 2 2 2 6 2 2 2" xfId="31051" xr:uid="{00000000-0005-0000-0000-000057700000}"/>
    <cellStyle name="표준 5 3 2 2 2 2 6 2 2 3" xfId="39262" xr:uid="{00000000-0005-0000-0000-000058700000}"/>
    <cellStyle name="표준 5 3 2 2 2 2 6 2 2 4" xfId="47455" xr:uid="{00000000-0005-0000-0000-000059700000}"/>
    <cellStyle name="표준 5 3 2 2 2 2 6 2 3" xfId="18697" xr:uid="{00000000-0005-0000-0000-00005A700000}"/>
    <cellStyle name="표준 5 3 2 2 2 2 6 2 4" xfId="22859" xr:uid="{00000000-0005-0000-0000-00005B700000}"/>
    <cellStyle name="표준 5 3 2 2 2 2 6 2 5" xfId="26955" xr:uid="{00000000-0005-0000-0000-00005C700000}"/>
    <cellStyle name="표준 5 3 2 2 2 2 6 2 6" xfId="35166" xr:uid="{00000000-0005-0000-0000-00005D700000}"/>
    <cellStyle name="표준 5 3 2 2 2 2 6 2 7" xfId="43359" xr:uid="{00000000-0005-0000-0000-00005E700000}"/>
    <cellStyle name="표준 5 3 2 2 2 2 6 3" xfId="8297" xr:uid="{00000000-0005-0000-0000-00005F700000}"/>
    <cellStyle name="표준 5 3 2 2 2 2 6 3 2" xfId="29003" xr:uid="{00000000-0005-0000-0000-000060700000}"/>
    <cellStyle name="표준 5 3 2 2 2 2 6 3 3" xfId="37214" xr:uid="{00000000-0005-0000-0000-000061700000}"/>
    <cellStyle name="표준 5 3 2 2 2 2 6 3 4" xfId="45407" xr:uid="{00000000-0005-0000-0000-000062700000}"/>
    <cellStyle name="표준 5 3 2 2 2 2 6 4" xfId="12409" xr:uid="{00000000-0005-0000-0000-000063700000}"/>
    <cellStyle name="표준 5 3 2 2 2 2 6 5" xfId="16649" xr:uid="{00000000-0005-0000-0000-000064700000}"/>
    <cellStyle name="표준 5 3 2 2 2 2 6 6" xfId="20811" xr:uid="{00000000-0005-0000-0000-000065700000}"/>
    <cellStyle name="표준 5 3 2 2 2 2 6 7" xfId="24907" xr:uid="{00000000-0005-0000-0000-000066700000}"/>
    <cellStyle name="표준 5 3 2 2 2 2 6 8" xfId="33118" xr:uid="{00000000-0005-0000-0000-000067700000}"/>
    <cellStyle name="표준 5 3 2 2 2 2 6 9" xfId="41311" xr:uid="{00000000-0005-0000-0000-000068700000}"/>
    <cellStyle name="표준 5 3 2 2 2 2 7" xfId="1954" xr:uid="{00000000-0005-0000-0000-000069700000}"/>
    <cellStyle name="표준 5 3 2 2 2 2 7 2" xfId="10857" xr:uid="{00000000-0005-0000-0000-00006A700000}"/>
    <cellStyle name="표준 5 3 2 2 2 2 7 2 2" xfId="14969" xr:uid="{00000000-0005-0000-0000-00006B700000}"/>
    <cellStyle name="표준 5 3 2 2 2 2 7 2 2 2" xfId="31563" xr:uid="{00000000-0005-0000-0000-00006C700000}"/>
    <cellStyle name="표준 5 3 2 2 2 2 7 2 2 3" xfId="39774" xr:uid="{00000000-0005-0000-0000-00006D700000}"/>
    <cellStyle name="표준 5 3 2 2 2 2 7 2 2 4" xfId="47967" xr:uid="{00000000-0005-0000-0000-00006E700000}"/>
    <cellStyle name="표준 5 3 2 2 2 2 7 2 3" xfId="19209" xr:uid="{00000000-0005-0000-0000-00006F700000}"/>
    <cellStyle name="표준 5 3 2 2 2 2 7 2 4" xfId="23371" xr:uid="{00000000-0005-0000-0000-000070700000}"/>
    <cellStyle name="표준 5 3 2 2 2 2 7 2 5" xfId="27467" xr:uid="{00000000-0005-0000-0000-000071700000}"/>
    <cellStyle name="표준 5 3 2 2 2 2 7 2 6" xfId="35678" xr:uid="{00000000-0005-0000-0000-000072700000}"/>
    <cellStyle name="표준 5 3 2 2 2 2 7 2 7" xfId="43871" xr:uid="{00000000-0005-0000-0000-000073700000}"/>
    <cellStyle name="표준 5 3 2 2 2 2 7 3" xfId="8809" xr:uid="{00000000-0005-0000-0000-000074700000}"/>
    <cellStyle name="표준 5 3 2 2 2 2 7 3 2" xfId="29515" xr:uid="{00000000-0005-0000-0000-000075700000}"/>
    <cellStyle name="표준 5 3 2 2 2 2 7 3 3" xfId="37726" xr:uid="{00000000-0005-0000-0000-000076700000}"/>
    <cellStyle name="표준 5 3 2 2 2 2 7 3 4" xfId="45919" xr:uid="{00000000-0005-0000-0000-000077700000}"/>
    <cellStyle name="표준 5 3 2 2 2 2 7 4" xfId="12921" xr:uid="{00000000-0005-0000-0000-000078700000}"/>
    <cellStyle name="표준 5 3 2 2 2 2 7 5" xfId="17161" xr:uid="{00000000-0005-0000-0000-000079700000}"/>
    <cellStyle name="표준 5 3 2 2 2 2 7 6" xfId="21323" xr:uid="{00000000-0005-0000-0000-00007A700000}"/>
    <cellStyle name="표준 5 3 2 2 2 2 7 7" xfId="25419" xr:uid="{00000000-0005-0000-0000-00007B700000}"/>
    <cellStyle name="표준 5 3 2 2 2 2 7 8" xfId="33630" xr:uid="{00000000-0005-0000-0000-00007C700000}"/>
    <cellStyle name="표준 5 3 2 2 2 2 7 9" xfId="41823" xr:uid="{00000000-0005-0000-0000-00007D700000}"/>
    <cellStyle name="표준 5 3 2 2 2 2 8" xfId="7046" xr:uid="{00000000-0005-0000-0000-00007E700000}"/>
    <cellStyle name="표준 5 3 2 2 2 2 8 2" xfId="9321" xr:uid="{00000000-0005-0000-0000-00007F700000}"/>
    <cellStyle name="표준 5 3 2 2 2 2 8 2 2" xfId="30027" xr:uid="{00000000-0005-0000-0000-000080700000}"/>
    <cellStyle name="표준 5 3 2 2 2 2 8 2 3" xfId="38238" xr:uid="{00000000-0005-0000-0000-000081700000}"/>
    <cellStyle name="표준 5 3 2 2 2 2 8 2 4" xfId="46431" xr:uid="{00000000-0005-0000-0000-000082700000}"/>
    <cellStyle name="표준 5 3 2 2 2 2 8 3" xfId="13433" xr:uid="{00000000-0005-0000-0000-000083700000}"/>
    <cellStyle name="표준 5 3 2 2 2 2 8 4" xfId="17673" xr:uid="{00000000-0005-0000-0000-000084700000}"/>
    <cellStyle name="표준 5 3 2 2 2 2 8 5" xfId="21835" xr:uid="{00000000-0005-0000-0000-000085700000}"/>
    <cellStyle name="표준 5 3 2 2 2 2 8 6" xfId="25931" xr:uid="{00000000-0005-0000-0000-000086700000}"/>
    <cellStyle name="표준 5 3 2 2 2 2 8 7" xfId="34142" xr:uid="{00000000-0005-0000-0000-000087700000}"/>
    <cellStyle name="표준 5 3 2 2 2 2 8 8" xfId="42335" xr:uid="{00000000-0005-0000-0000-000088700000}"/>
    <cellStyle name="표준 5 3 2 2 2 2 9" xfId="7132" xr:uid="{00000000-0005-0000-0000-000089700000}"/>
    <cellStyle name="표준 5 3 2 2 2 2 9 2" xfId="27979" xr:uid="{00000000-0005-0000-0000-00008A700000}"/>
    <cellStyle name="표준 5 3 2 2 2 2 9 3" xfId="36190" xr:uid="{00000000-0005-0000-0000-00008B700000}"/>
    <cellStyle name="표준 5 3 2 2 2 2 9 4" xfId="44383" xr:uid="{00000000-0005-0000-0000-00008C700000}"/>
    <cellStyle name="표준 5 3 2 2 2 3" xfId="450" xr:uid="{00000000-0005-0000-0000-00008D700000}"/>
    <cellStyle name="표준 5 3 2 2 2 3 10" xfId="15657" xr:uid="{00000000-0005-0000-0000-00008E700000}"/>
    <cellStyle name="표준 5 3 2 2 2 3 11" xfId="19819" xr:uid="{00000000-0005-0000-0000-00008F700000}"/>
    <cellStyle name="표준 5 3 2 2 2 3 12" xfId="23915" xr:uid="{00000000-0005-0000-0000-000090700000}"/>
    <cellStyle name="표준 5 3 2 2 2 3 13" xfId="32126" xr:uid="{00000000-0005-0000-0000-000091700000}"/>
    <cellStyle name="표준 5 3 2 2 2 3 14" xfId="40319" xr:uid="{00000000-0005-0000-0000-000092700000}"/>
    <cellStyle name="표준 5 3 2 2 2 3 2" xfId="578" xr:uid="{00000000-0005-0000-0000-000093700000}"/>
    <cellStyle name="표준 5 3 2 2 2 3 2 10" xfId="19947" xr:uid="{00000000-0005-0000-0000-000094700000}"/>
    <cellStyle name="표준 5 3 2 2 2 3 2 11" xfId="24043" xr:uid="{00000000-0005-0000-0000-000095700000}"/>
    <cellStyle name="표준 5 3 2 2 2 3 2 12" xfId="32254" xr:uid="{00000000-0005-0000-0000-000096700000}"/>
    <cellStyle name="표준 5 3 2 2 2 3 2 13" xfId="40447" xr:uid="{00000000-0005-0000-0000-000097700000}"/>
    <cellStyle name="표준 5 3 2 2 2 3 2 2" xfId="834" xr:uid="{00000000-0005-0000-0000-000098700000}"/>
    <cellStyle name="표준 5 3 2 2 2 3 2 2 10" xfId="24299" xr:uid="{00000000-0005-0000-0000-000099700000}"/>
    <cellStyle name="표준 5 3 2 2 2 3 2 2 11" xfId="32510" xr:uid="{00000000-0005-0000-0000-00009A700000}"/>
    <cellStyle name="표준 5 3 2 2 2 3 2 2 12" xfId="40703" xr:uid="{00000000-0005-0000-0000-00009B700000}"/>
    <cellStyle name="표준 5 3 2 2 2 3 2 2 2" xfId="1346" xr:uid="{00000000-0005-0000-0000-00009C700000}"/>
    <cellStyle name="표준 5 3 2 2 2 3 2 2 2 2" xfId="10249" xr:uid="{00000000-0005-0000-0000-00009D700000}"/>
    <cellStyle name="표준 5 3 2 2 2 3 2 2 2 2 2" xfId="14361" xr:uid="{00000000-0005-0000-0000-00009E700000}"/>
    <cellStyle name="표준 5 3 2 2 2 3 2 2 2 2 2 2" xfId="30955" xr:uid="{00000000-0005-0000-0000-00009F700000}"/>
    <cellStyle name="표준 5 3 2 2 2 3 2 2 2 2 2 3" xfId="39166" xr:uid="{00000000-0005-0000-0000-0000A0700000}"/>
    <cellStyle name="표준 5 3 2 2 2 3 2 2 2 2 2 4" xfId="47359" xr:uid="{00000000-0005-0000-0000-0000A1700000}"/>
    <cellStyle name="표준 5 3 2 2 2 3 2 2 2 2 3" xfId="18601" xr:uid="{00000000-0005-0000-0000-0000A2700000}"/>
    <cellStyle name="표준 5 3 2 2 2 3 2 2 2 2 4" xfId="22763" xr:uid="{00000000-0005-0000-0000-0000A3700000}"/>
    <cellStyle name="표준 5 3 2 2 2 3 2 2 2 2 5" xfId="26859" xr:uid="{00000000-0005-0000-0000-0000A4700000}"/>
    <cellStyle name="표준 5 3 2 2 2 3 2 2 2 2 6" xfId="35070" xr:uid="{00000000-0005-0000-0000-0000A5700000}"/>
    <cellStyle name="표준 5 3 2 2 2 3 2 2 2 2 7" xfId="43263" xr:uid="{00000000-0005-0000-0000-0000A6700000}"/>
    <cellStyle name="표준 5 3 2 2 2 3 2 2 2 3" xfId="8201" xr:uid="{00000000-0005-0000-0000-0000A7700000}"/>
    <cellStyle name="표준 5 3 2 2 2 3 2 2 2 3 2" xfId="28907" xr:uid="{00000000-0005-0000-0000-0000A8700000}"/>
    <cellStyle name="표준 5 3 2 2 2 3 2 2 2 3 3" xfId="37118" xr:uid="{00000000-0005-0000-0000-0000A9700000}"/>
    <cellStyle name="표준 5 3 2 2 2 3 2 2 2 3 4" xfId="45311" xr:uid="{00000000-0005-0000-0000-0000AA700000}"/>
    <cellStyle name="표준 5 3 2 2 2 3 2 2 2 4" xfId="12313" xr:uid="{00000000-0005-0000-0000-0000AB700000}"/>
    <cellStyle name="표준 5 3 2 2 2 3 2 2 2 5" xfId="16553" xr:uid="{00000000-0005-0000-0000-0000AC700000}"/>
    <cellStyle name="표준 5 3 2 2 2 3 2 2 2 6" xfId="20715" xr:uid="{00000000-0005-0000-0000-0000AD700000}"/>
    <cellStyle name="표준 5 3 2 2 2 3 2 2 2 7" xfId="24811" xr:uid="{00000000-0005-0000-0000-0000AE700000}"/>
    <cellStyle name="표준 5 3 2 2 2 3 2 2 2 8" xfId="33022" xr:uid="{00000000-0005-0000-0000-0000AF700000}"/>
    <cellStyle name="표준 5 3 2 2 2 3 2 2 2 9" xfId="41215" xr:uid="{00000000-0005-0000-0000-0000B0700000}"/>
    <cellStyle name="표준 5 3 2 2 2 3 2 2 3" xfId="1858" xr:uid="{00000000-0005-0000-0000-0000B1700000}"/>
    <cellStyle name="표준 5 3 2 2 2 3 2 2 3 2" xfId="10761" xr:uid="{00000000-0005-0000-0000-0000B2700000}"/>
    <cellStyle name="표준 5 3 2 2 2 3 2 2 3 2 2" xfId="14873" xr:uid="{00000000-0005-0000-0000-0000B3700000}"/>
    <cellStyle name="표준 5 3 2 2 2 3 2 2 3 2 2 2" xfId="31467" xr:uid="{00000000-0005-0000-0000-0000B4700000}"/>
    <cellStyle name="표준 5 3 2 2 2 3 2 2 3 2 2 3" xfId="39678" xr:uid="{00000000-0005-0000-0000-0000B5700000}"/>
    <cellStyle name="표준 5 3 2 2 2 3 2 2 3 2 2 4" xfId="47871" xr:uid="{00000000-0005-0000-0000-0000B6700000}"/>
    <cellStyle name="표준 5 3 2 2 2 3 2 2 3 2 3" xfId="19113" xr:uid="{00000000-0005-0000-0000-0000B7700000}"/>
    <cellStyle name="표준 5 3 2 2 2 3 2 2 3 2 4" xfId="23275" xr:uid="{00000000-0005-0000-0000-0000B8700000}"/>
    <cellStyle name="표준 5 3 2 2 2 3 2 2 3 2 5" xfId="27371" xr:uid="{00000000-0005-0000-0000-0000B9700000}"/>
    <cellStyle name="표준 5 3 2 2 2 3 2 2 3 2 6" xfId="35582" xr:uid="{00000000-0005-0000-0000-0000BA700000}"/>
    <cellStyle name="표준 5 3 2 2 2 3 2 2 3 2 7" xfId="43775" xr:uid="{00000000-0005-0000-0000-0000BB700000}"/>
    <cellStyle name="표준 5 3 2 2 2 3 2 2 3 3" xfId="8713" xr:uid="{00000000-0005-0000-0000-0000BC700000}"/>
    <cellStyle name="표준 5 3 2 2 2 3 2 2 3 3 2" xfId="29419" xr:uid="{00000000-0005-0000-0000-0000BD700000}"/>
    <cellStyle name="표준 5 3 2 2 2 3 2 2 3 3 3" xfId="37630" xr:uid="{00000000-0005-0000-0000-0000BE700000}"/>
    <cellStyle name="표준 5 3 2 2 2 3 2 2 3 3 4" xfId="45823" xr:uid="{00000000-0005-0000-0000-0000BF700000}"/>
    <cellStyle name="표준 5 3 2 2 2 3 2 2 3 4" xfId="12825" xr:uid="{00000000-0005-0000-0000-0000C0700000}"/>
    <cellStyle name="표준 5 3 2 2 2 3 2 2 3 5" xfId="17065" xr:uid="{00000000-0005-0000-0000-0000C1700000}"/>
    <cellStyle name="표준 5 3 2 2 2 3 2 2 3 6" xfId="21227" xr:uid="{00000000-0005-0000-0000-0000C2700000}"/>
    <cellStyle name="표준 5 3 2 2 2 3 2 2 3 7" xfId="25323" xr:uid="{00000000-0005-0000-0000-0000C3700000}"/>
    <cellStyle name="표준 5 3 2 2 2 3 2 2 3 8" xfId="33534" xr:uid="{00000000-0005-0000-0000-0000C4700000}"/>
    <cellStyle name="표준 5 3 2 2 2 3 2 2 3 9" xfId="41727" xr:uid="{00000000-0005-0000-0000-0000C5700000}"/>
    <cellStyle name="표준 5 3 2 2 2 3 2 2 4" xfId="2370" xr:uid="{00000000-0005-0000-0000-0000C6700000}"/>
    <cellStyle name="표준 5 3 2 2 2 3 2 2 4 2" xfId="11273" xr:uid="{00000000-0005-0000-0000-0000C7700000}"/>
    <cellStyle name="표준 5 3 2 2 2 3 2 2 4 2 2" xfId="15385" xr:uid="{00000000-0005-0000-0000-0000C8700000}"/>
    <cellStyle name="표준 5 3 2 2 2 3 2 2 4 2 2 2" xfId="31979" xr:uid="{00000000-0005-0000-0000-0000C9700000}"/>
    <cellStyle name="표준 5 3 2 2 2 3 2 2 4 2 2 3" xfId="40190" xr:uid="{00000000-0005-0000-0000-0000CA700000}"/>
    <cellStyle name="표준 5 3 2 2 2 3 2 2 4 2 2 4" xfId="48383" xr:uid="{00000000-0005-0000-0000-0000CB700000}"/>
    <cellStyle name="표준 5 3 2 2 2 3 2 2 4 2 3" xfId="19625" xr:uid="{00000000-0005-0000-0000-0000CC700000}"/>
    <cellStyle name="표준 5 3 2 2 2 3 2 2 4 2 4" xfId="23787" xr:uid="{00000000-0005-0000-0000-0000CD700000}"/>
    <cellStyle name="표준 5 3 2 2 2 3 2 2 4 2 5" xfId="27883" xr:uid="{00000000-0005-0000-0000-0000CE700000}"/>
    <cellStyle name="표준 5 3 2 2 2 3 2 2 4 2 6" xfId="36094" xr:uid="{00000000-0005-0000-0000-0000CF700000}"/>
    <cellStyle name="표준 5 3 2 2 2 3 2 2 4 2 7" xfId="44287" xr:uid="{00000000-0005-0000-0000-0000D0700000}"/>
    <cellStyle name="표준 5 3 2 2 2 3 2 2 4 3" xfId="9225" xr:uid="{00000000-0005-0000-0000-0000D1700000}"/>
    <cellStyle name="표준 5 3 2 2 2 3 2 2 4 3 2" xfId="29931" xr:uid="{00000000-0005-0000-0000-0000D2700000}"/>
    <cellStyle name="표준 5 3 2 2 2 3 2 2 4 3 3" xfId="38142" xr:uid="{00000000-0005-0000-0000-0000D3700000}"/>
    <cellStyle name="표준 5 3 2 2 2 3 2 2 4 3 4" xfId="46335" xr:uid="{00000000-0005-0000-0000-0000D4700000}"/>
    <cellStyle name="표준 5 3 2 2 2 3 2 2 4 4" xfId="13337" xr:uid="{00000000-0005-0000-0000-0000D5700000}"/>
    <cellStyle name="표준 5 3 2 2 2 3 2 2 4 5" xfId="17577" xr:uid="{00000000-0005-0000-0000-0000D6700000}"/>
    <cellStyle name="표준 5 3 2 2 2 3 2 2 4 6" xfId="21739" xr:uid="{00000000-0005-0000-0000-0000D7700000}"/>
    <cellStyle name="표준 5 3 2 2 2 3 2 2 4 7" xfId="25835" xr:uid="{00000000-0005-0000-0000-0000D8700000}"/>
    <cellStyle name="표준 5 3 2 2 2 3 2 2 4 8" xfId="34046" xr:uid="{00000000-0005-0000-0000-0000D9700000}"/>
    <cellStyle name="표준 5 3 2 2 2 3 2 2 4 9" xfId="42239" xr:uid="{00000000-0005-0000-0000-0000DA700000}"/>
    <cellStyle name="표준 5 3 2 2 2 3 2 2 5" xfId="9737" xr:uid="{00000000-0005-0000-0000-0000DB700000}"/>
    <cellStyle name="표준 5 3 2 2 2 3 2 2 5 2" xfId="13849" xr:uid="{00000000-0005-0000-0000-0000DC700000}"/>
    <cellStyle name="표준 5 3 2 2 2 3 2 2 5 2 2" xfId="30443" xr:uid="{00000000-0005-0000-0000-0000DD700000}"/>
    <cellStyle name="표준 5 3 2 2 2 3 2 2 5 2 3" xfId="38654" xr:uid="{00000000-0005-0000-0000-0000DE700000}"/>
    <cellStyle name="표준 5 3 2 2 2 3 2 2 5 2 4" xfId="46847" xr:uid="{00000000-0005-0000-0000-0000DF700000}"/>
    <cellStyle name="표준 5 3 2 2 2 3 2 2 5 3" xfId="18089" xr:uid="{00000000-0005-0000-0000-0000E0700000}"/>
    <cellStyle name="표준 5 3 2 2 2 3 2 2 5 4" xfId="22251" xr:uid="{00000000-0005-0000-0000-0000E1700000}"/>
    <cellStyle name="표준 5 3 2 2 2 3 2 2 5 5" xfId="26347" xr:uid="{00000000-0005-0000-0000-0000E2700000}"/>
    <cellStyle name="표준 5 3 2 2 2 3 2 2 5 6" xfId="34558" xr:uid="{00000000-0005-0000-0000-0000E3700000}"/>
    <cellStyle name="표준 5 3 2 2 2 3 2 2 5 7" xfId="42751" xr:uid="{00000000-0005-0000-0000-0000E4700000}"/>
    <cellStyle name="표준 5 3 2 2 2 3 2 2 6" xfId="7689" xr:uid="{00000000-0005-0000-0000-0000E5700000}"/>
    <cellStyle name="표준 5 3 2 2 2 3 2 2 6 2" xfId="28395" xr:uid="{00000000-0005-0000-0000-0000E6700000}"/>
    <cellStyle name="표준 5 3 2 2 2 3 2 2 6 3" xfId="36606" xr:uid="{00000000-0005-0000-0000-0000E7700000}"/>
    <cellStyle name="표준 5 3 2 2 2 3 2 2 6 4" xfId="44799" xr:uid="{00000000-0005-0000-0000-0000E8700000}"/>
    <cellStyle name="표준 5 3 2 2 2 3 2 2 7" xfId="11801" xr:uid="{00000000-0005-0000-0000-0000E9700000}"/>
    <cellStyle name="표준 5 3 2 2 2 3 2 2 8" xfId="16041" xr:uid="{00000000-0005-0000-0000-0000EA700000}"/>
    <cellStyle name="표준 5 3 2 2 2 3 2 2 9" xfId="20203" xr:uid="{00000000-0005-0000-0000-0000EB700000}"/>
    <cellStyle name="표준 5 3 2 2 2 3 2 3" xfId="1090" xr:uid="{00000000-0005-0000-0000-0000EC700000}"/>
    <cellStyle name="표준 5 3 2 2 2 3 2 3 2" xfId="9993" xr:uid="{00000000-0005-0000-0000-0000ED700000}"/>
    <cellStyle name="표준 5 3 2 2 2 3 2 3 2 2" xfId="14105" xr:uid="{00000000-0005-0000-0000-0000EE700000}"/>
    <cellStyle name="표준 5 3 2 2 2 3 2 3 2 2 2" xfId="30699" xr:uid="{00000000-0005-0000-0000-0000EF700000}"/>
    <cellStyle name="표준 5 3 2 2 2 3 2 3 2 2 3" xfId="38910" xr:uid="{00000000-0005-0000-0000-0000F0700000}"/>
    <cellStyle name="표준 5 3 2 2 2 3 2 3 2 2 4" xfId="47103" xr:uid="{00000000-0005-0000-0000-0000F1700000}"/>
    <cellStyle name="표준 5 3 2 2 2 3 2 3 2 3" xfId="18345" xr:uid="{00000000-0005-0000-0000-0000F2700000}"/>
    <cellStyle name="표준 5 3 2 2 2 3 2 3 2 4" xfId="22507" xr:uid="{00000000-0005-0000-0000-0000F3700000}"/>
    <cellStyle name="표준 5 3 2 2 2 3 2 3 2 5" xfId="26603" xr:uid="{00000000-0005-0000-0000-0000F4700000}"/>
    <cellStyle name="표준 5 3 2 2 2 3 2 3 2 6" xfId="34814" xr:uid="{00000000-0005-0000-0000-0000F5700000}"/>
    <cellStyle name="표준 5 3 2 2 2 3 2 3 2 7" xfId="43007" xr:uid="{00000000-0005-0000-0000-0000F6700000}"/>
    <cellStyle name="표준 5 3 2 2 2 3 2 3 3" xfId="7945" xr:uid="{00000000-0005-0000-0000-0000F7700000}"/>
    <cellStyle name="표준 5 3 2 2 2 3 2 3 3 2" xfId="28651" xr:uid="{00000000-0005-0000-0000-0000F8700000}"/>
    <cellStyle name="표준 5 3 2 2 2 3 2 3 3 3" xfId="36862" xr:uid="{00000000-0005-0000-0000-0000F9700000}"/>
    <cellStyle name="표준 5 3 2 2 2 3 2 3 3 4" xfId="45055" xr:uid="{00000000-0005-0000-0000-0000FA700000}"/>
    <cellStyle name="표준 5 3 2 2 2 3 2 3 4" xfId="12057" xr:uid="{00000000-0005-0000-0000-0000FB700000}"/>
    <cellStyle name="표준 5 3 2 2 2 3 2 3 5" xfId="16297" xr:uid="{00000000-0005-0000-0000-0000FC700000}"/>
    <cellStyle name="표준 5 3 2 2 2 3 2 3 6" xfId="20459" xr:uid="{00000000-0005-0000-0000-0000FD700000}"/>
    <cellStyle name="표준 5 3 2 2 2 3 2 3 7" xfId="24555" xr:uid="{00000000-0005-0000-0000-0000FE700000}"/>
    <cellStyle name="표준 5 3 2 2 2 3 2 3 8" xfId="32766" xr:uid="{00000000-0005-0000-0000-0000FF700000}"/>
    <cellStyle name="표준 5 3 2 2 2 3 2 3 9" xfId="40959" xr:uid="{00000000-0005-0000-0000-000000710000}"/>
    <cellStyle name="표준 5 3 2 2 2 3 2 4" xfId="1602" xr:uid="{00000000-0005-0000-0000-000001710000}"/>
    <cellStyle name="표준 5 3 2 2 2 3 2 4 2" xfId="10505" xr:uid="{00000000-0005-0000-0000-000002710000}"/>
    <cellStyle name="표준 5 3 2 2 2 3 2 4 2 2" xfId="14617" xr:uid="{00000000-0005-0000-0000-000003710000}"/>
    <cellStyle name="표준 5 3 2 2 2 3 2 4 2 2 2" xfId="31211" xr:uid="{00000000-0005-0000-0000-000004710000}"/>
    <cellStyle name="표준 5 3 2 2 2 3 2 4 2 2 3" xfId="39422" xr:uid="{00000000-0005-0000-0000-000005710000}"/>
    <cellStyle name="표준 5 3 2 2 2 3 2 4 2 2 4" xfId="47615" xr:uid="{00000000-0005-0000-0000-000006710000}"/>
    <cellStyle name="표준 5 3 2 2 2 3 2 4 2 3" xfId="18857" xr:uid="{00000000-0005-0000-0000-000007710000}"/>
    <cellStyle name="표준 5 3 2 2 2 3 2 4 2 4" xfId="23019" xr:uid="{00000000-0005-0000-0000-000008710000}"/>
    <cellStyle name="표준 5 3 2 2 2 3 2 4 2 5" xfId="27115" xr:uid="{00000000-0005-0000-0000-000009710000}"/>
    <cellStyle name="표준 5 3 2 2 2 3 2 4 2 6" xfId="35326" xr:uid="{00000000-0005-0000-0000-00000A710000}"/>
    <cellStyle name="표준 5 3 2 2 2 3 2 4 2 7" xfId="43519" xr:uid="{00000000-0005-0000-0000-00000B710000}"/>
    <cellStyle name="표준 5 3 2 2 2 3 2 4 3" xfId="8457" xr:uid="{00000000-0005-0000-0000-00000C710000}"/>
    <cellStyle name="표준 5 3 2 2 2 3 2 4 3 2" xfId="29163" xr:uid="{00000000-0005-0000-0000-00000D710000}"/>
    <cellStyle name="표준 5 3 2 2 2 3 2 4 3 3" xfId="37374" xr:uid="{00000000-0005-0000-0000-00000E710000}"/>
    <cellStyle name="표준 5 3 2 2 2 3 2 4 3 4" xfId="45567" xr:uid="{00000000-0005-0000-0000-00000F710000}"/>
    <cellStyle name="표준 5 3 2 2 2 3 2 4 4" xfId="12569" xr:uid="{00000000-0005-0000-0000-000010710000}"/>
    <cellStyle name="표준 5 3 2 2 2 3 2 4 5" xfId="16809" xr:uid="{00000000-0005-0000-0000-000011710000}"/>
    <cellStyle name="표준 5 3 2 2 2 3 2 4 6" xfId="20971" xr:uid="{00000000-0005-0000-0000-000012710000}"/>
    <cellStyle name="표준 5 3 2 2 2 3 2 4 7" xfId="25067" xr:uid="{00000000-0005-0000-0000-000013710000}"/>
    <cellStyle name="표준 5 3 2 2 2 3 2 4 8" xfId="33278" xr:uid="{00000000-0005-0000-0000-000014710000}"/>
    <cellStyle name="표준 5 3 2 2 2 3 2 4 9" xfId="41471" xr:uid="{00000000-0005-0000-0000-000015710000}"/>
    <cellStyle name="표준 5 3 2 2 2 3 2 5" xfId="2114" xr:uid="{00000000-0005-0000-0000-000016710000}"/>
    <cellStyle name="표준 5 3 2 2 2 3 2 5 2" xfId="11017" xr:uid="{00000000-0005-0000-0000-000017710000}"/>
    <cellStyle name="표준 5 3 2 2 2 3 2 5 2 2" xfId="15129" xr:uid="{00000000-0005-0000-0000-000018710000}"/>
    <cellStyle name="표준 5 3 2 2 2 3 2 5 2 2 2" xfId="31723" xr:uid="{00000000-0005-0000-0000-000019710000}"/>
    <cellStyle name="표준 5 3 2 2 2 3 2 5 2 2 3" xfId="39934" xr:uid="{00000000-0005-0000-0000-00001A710000}"/>
    <cellStyle name="표준 5 3 2 2 2 3 2 5 2 2 4" xfId="48127" xr:uid="{00000000-0005-0000-0000-00001B710000}"/>
    <cellStyle name="표준 5 3 2 2 2 3 2 5 2 3" xfId="19369" xr:uid="{00000000-0005-0000-0000-00001C710000}"/>
    <cellStyle name="표준 5 3 2 2 2 3 2 5 2 4" xfId="23531" xr:uid="{00000000-0005-0000-0000-00001D710000}"/>
    <cellStyle name="표준 5 3 2 2 2 3 2 5 2 5" xfId="27627" xr:uid="{00000000-0005-0000-0000-00001E710000}"/>
    <cellStyle name="표준 5 3 2 2 2 3 2 5 2 6" xfId="35838" xr:uid="{00000000-0005-0000-0000-00001F710000}"/>
    <cellStyle name="표준 5 3 2 2 2 3 2 5 2 7" xfId="44031" xr:uid="{00000000-0005-0000-0000-000020710000}"/>
    <cellStyle name="표준 5 3 2 2 2 3 2 5 3" xfId="8969" xr:uid="{00000000-0005-0000-0000-000021710000}"/>
    <cellStyle name="표준 5 3 2 2 2 3 2 5 3 2" xfId="29675" xr:uid="{00000000-0005-0000-0000-000022710000}"/>
    <cellStyle name="표준 5 3 2 2 2 3 2 5 3 3" xfId="37886" xr:uid="{00000000-0005-0000-0000-000023710000}"/>
    <cellStyle name="표준 5 3 2 2 2 3 2 5 3 4" xfId="46079" xr:uid="{00000000-0005-0000-0000-000024710000}"/>
    <cellStyle name="표준 5 3 2 2 2 3 2 5 4" xfId="13081" xr:uid="{00000000-0005-0000-0000-000025710000}"/>
    <cellStyle name="표준 5 3 2 2 2 3 2 5 5" xfId="17321" xr:uid="{00000000-0005-0000-0000-000026710000}"/>
    <cellStyle name="표준 5 3 2 2 2 3 2 5 6" xfId="21483" xr:uid="{00000000-0005-0000-0000-000027710000}"/>
    <cellStyle name="표준 5 3 2 2 2 3 2 5 7" xfId="25579" xr:uid="{00000000-0005-0000-0000-000028710000}"/>
    <cellStyle name="표준 5 3 2 2 2 3 2 5 8" xfId="33790" xr:uid="{00000000-0005-0000-0000-000029710000}"/>
    <cellStyle name="표준 5 3 2 2 2 3 2 5 9" xfId="41983" xr:uid="{00000000-0005-0000-0000-00002A710000}"/>
    <cellStyle name="표준 5 3 2 2 2 3 2 6" xfId="9481" xr:uid="{00000000-0005-0000-0000-00002B710000}"/>
    <cellStyle name="표준 5 3 2 2 2 3 2 6 2" xfId="13593" xr:uid="{00000000-0005-0000-0000-00002C710000}"/>
    <cellStyle name="표준 5 3 2 2 2 3 2 6 2 2" xfId="30187" xr:uid="{00000000-0005-0000-0000-00002D710000}"/>
    <cellStyle name="표준 5 3 2 2 2 3 2 6 2 3" xfId="38398" xr:uid="{00000000-0005-0000-0000-00002E710000}"/>
    <cellStyle name="표준 5 3 2 2 2 3 2 6 2 4" xfId="46591" xr:uid="{00000000-0005-0000-0000-00002F710000}"/>
    <cellStyle name="표준 5 3 2 2 2 3 2 6 3" xfId="17833" xr:uid="{00000000-0005-0000-0000-000030710000}"/>
    <cellStyle name="표준 5 3 2 2 2 3 2 6 4" xfId="21995" xr:uid="{00000000-0005-0000-0000-000031710000}"/>
    <cellStyle name="표준 5 3 2 2 2 3 2 6 5" xfId="26091" xr:uid="{00000000-0005-0000-0000-000032710000}"/>
    <cellStyle name="표준 5 3 2 2 2 3 2 6 6" xfId="34302" xr:uid="{00000000-0005-0000-0000-000033710000}"/>
    <cellStyle name="표준 5 3 2 2 2 3 2 6 7" xfId="42495" xr:uid="{00000000-0005-0000-0000-000034710000}"/>
    <cellStyle name="표준 5 3 2 2 2 3 2 7" xfId="7433" xr:uid="{00000000-0005-0000-0000-000035710000}"/>
    <cellStyle name="표준 5 3 2 2 2 3 2 7 2" xfId="28139" xr:uid="{00000000-0005-0000-0000-000036710000}"/>
    <cellStyle name="표준 5 3 2 2 2 3 2 7 3" xfId="36350" xr:uid="{00000000-0005-0000-0000-000037710000}"/>
    <cellStyle name="표준 5 3 2 2 2 3 2 7 4" xfId="44543" xr:uid="{00000000-0005-0000-0000-000038710000}"/>
    <cellStyle name="표준 5 3 2 2 2 3 2 8" xfId="11545" xr:uid="{00000000-0005-0000-0000-000039710000}"/>
    <cellStyle name="표준 5 3 2 2 2 3 2 9" xfId="15785" xr:uid="{00000000-0005-0000-0000-00003A710000}"/>
    <cellStyle name="표준 5 3 2 2 2 3 3" xfId="706" xr:uid="{00000000-0005-0000-0000-00003B710000}"/>
    <cellStyle name="표준 5 3 2 2 2 3 3 10" xfId="24171" xr:uid="{00000000-0005-0000-0000-00003C710000}"/>
    <cellStyle name="표준 5 3 2 2 2 3 3 11" xfId="32382" xr:uid="{00000000-0005-0000-0000-00003D710000}"/>
    <cellStyle name="표준 5 3 2 2 2 3 3 12" xfId="40575" xr:uid="{00000000-0005-0000-0000-00003E710000}"/>
    <cellStyle name="표준 5 3 2 2 2 3 3 2" xfId="1218" xr:uid="{00000000-0005-0000-0000-00003F710000}"/>
    <cellStyle name="표준 5 3 2 2 2 3 3 2 2" xfId="10121" xr:uid="{00000000-0005-0000-0000-000040710000}"/>
    <cellStyle name="표준 5 3 2 2 2 3 3 2 2 2" xfId="14233" xr:uid="{00000000-0005-0000-0000-000041710000}"/>
    <cellStyle name="표준 5 3 2 2 2 3 3 2 2 2 2" xfId="30827" xr:uid="{00000000-0005-0000-0000-000042710000}"/>
    <cellStyle name="표준 5 3 2 2 2 3 3 2 2 2 3" xfId="39038" xr:uid="{00000000-0005-0000-0000-000043710000}"/>
    <cellStyle name="표준 5 3 2 2 2 3 3 2 2 2 4" xfId="47231" xr:uid="{00000000-0005-0000-0000-000044710000}"/>
    <cellStyle name="표준 5 3 2 2 2 3 3 2 2 3" xfId="18473" xr:uid="{00000000-0005-0000-0000-000045710000}"/>
    <cellStyle name="표준 5 3 2 2 2 3 3 2 2 4" xfId="22635" xr:uid="{00000000-0005-0000-0000-000046710000}"/>
    <cellStyle name="표준 5 3 2 2 2 3 3 2 2 5" xfId="26731" xr:uid="{00000000-0005-0000-0000-000047710000}"/>
    <cellStyle name="표준 5 3 2 2 2 3 3 2 2 6" xfId="34942" xr:uid="{00000000-0005-0000-0000-000048710000}"/>
    <cellStyle name="표준 5 3 2 2 2 3 3 2 2 7" xfId="43135" xr:uid="{00000000-0005-0000-0000-000049710000}"/>
    <cellStyle name="표준 5 3 2 2 2 3 3 2 3" xfId="8073" xr:uid="{00000000-0005-0000-0000-00004A710000}"/>
    <cellStyle name="표준 5 3 2 2 2 3 3 2 3 2" xfId="28779" xr:uid="{00000000-0005-0000-0000-00004B710000}"/>
    <cellStyle name="표준 5 3 2 2 2 3 3 2 3 3" xfId="36990" xr:uid="{00000000-0005-0000-0000-00004C710000}"/>
    <cellStyle name="표준 5 3 2 2 2 3 3 2 3 4" xfId="45183" xr:uid="{00000000-0005-0000-0000-00004D710000}"/>
    <cellStyle name="표준 5 3 2 2 2 3 3 2 4" xfId="12185" xr:uid="{00000000-0005-0000-0000-00004E710000}"/>
    <cellStyle name="표준 5 3 2 2 2 3 3 2 5" xfId="16425" xr:uid="{00000000-0005-0000-0000-00004F710000}"/>
    <cellStyle name="표준 5 3 2 2 2 3 3 2 6" xfId="20587" xr:uid="{00000000-0005-0000-0000-000050710000}"/>
    <cellStyle name="표준 5 3 2 2 2 3 3 2 7" xfId="24683" xr:uid="{00000000-0005-0000-0000-000051710000}"/>
    <cellStyle name="표준 5 3 2 2 2 3 3 2 8" xfId="32894" xr:uid="{00000000-0005-0000-0000-000052710000}"/>
    <cellStyle name="표준 5 3 2 2 2 3 3 2 9" xfId="41087" xr:uid="{00000000-0005-0000-0000-000053710000}"/>
    <cellStyle name="표준 5 3 2 2 2 3 3 3" xfId="1730" xr:uid="{00000000-0005-0000-0000-000054710000}"/>
    <cellStyle name="표준 5 3 2 2 2 3 3 3 2" xfId="10633" xr:uid="{00000000-0005-0000-0000-000055710000}"/>
    <cellStyle name="표준 5 3 2 2 2 3 3 3 2 2" xfId="14745" xr:uid="{00000000-0005-0000-0000-000056710000}"/>
    <cellStyle name="표준 5 3 2 2 2 3 3 3 2 2 2" xfId="31339" xr:uid="{00000000-0005-0000-0000-000057710000}"/>
    <cellStyle name="표준 5 3 2 2 2 3 3 3 2 2 3" xfId="39550" xr:uid="{00000000-0005-0000-0000-000058710000}"/>
    <cellStyle name="표준 5 3 2 2 2 3 3 3 2 2 4" xfId="47743" xr:uid="{00000000-0005-0000-0000-000059710000}"/>
    <cellStyle name="표준 5 3 2 2 2 3 3 3 2 3" xfId="18985" xr:uid="{00000000-0005-0000-0000-00005A710000}"/>
    <cellStyle name="표준 5 3 2 2 2 3 3 3 2 4" xfId="23147" xr:uid="{00000000-0005-0000-0000-00005B710000}"/>
    <cellStyle name="표준 5 3 2 2 2 3 3 3 2 5" xfId="27243" xr:uid="{00000000-0005-0000-0000-00005C710000}"/>
    <cellStyle name="표준 5 3 2 2 2 3 3 3 2 6" xfId="35454" xr:uid="{00000000-0005-0000-0000-00005D710000}"/>
    <cellStyle name="표준 5 3 2 2 2 3 3 3 2 7" xfId="43647" xr:uid="{00000000-0005-0000-0000-00005E710000}"/>
    <cellStyle name="표준 5 3 2 2 2 3 3 3 3" xfId="8585" xr:uid="{00000000-0005-0000-0000-00005F710000}"/>
    <cellStyle name="표준 5 3 2 2 2 3 3 3 3 2" xfId="29291" xr:uid="{00000000-0005-0000-0000-000060710000}"/>
    <cellStyle name="표준 5 3 2 2 2 3 3 3 3 3" xfId="37502" xr:uid="{00000000-0005-0000-0000-000061710000}"/>
    <cellStyle name="표준 5 3 2 2 2 3 3 3 3 4" xfId="45695" xr:uid="{00000000-0005-0000-0000-000062710000}"/>
    <cellStyle name="표준 5 3 2 2 2 3 3 3 4" xfId="12697" xr:uid="{00000000-0005-0000-0000-000063710000}"/>
    <cellStyle name="표준 5 3 2 2 2 3 3 3 5" xfId="16937" xr:uid="{00000000-0005-0000-0000-000064710000}"/>
    <cellStyle name="표준 5 3 2 2 2 3 3 3 6" xfId="21099" xr:uid="{00000000-0005-0000-0000-000065710000}"/>
    <cellStyle name="표준 5 3 2 2 2 3 3 3 7" xfId="25195" xr:uid="{00000000-0005-0000-0000-000066710000}"/>
    <cellStyle name="표준 5 3 2 2 2 3 3 3 8" xfId="33406" xr:uid="{00000000-0005-0000-0000-000067710000}"/>
    <cellStyle name="표준 5 3 2 2 2 3 3 3 9" xfId="41599" xr:uid="{00000000-0005-0000-0000-000068710000}"/>
    <cellStyle name="표준 5 3 2 2 2 3 3 4" xfId="2242" xr:uid="{00000000-0005-0000-0000-000069710000}"/>
    <cellStyle name="표준 5 3 2 2 2 3 3 4 2" xfId="11145" xr:uid="{00000000-0005-0000-0000-00006A710000}"/>
    <cellStyle name="표준 5 3 2 2 2 3 3 4 2 2" xfId="15257" xr:uid="{00000000-0005-0000-0000-00006B710000}"/>
    <cellStyle name="표준 5 3 2 2 2 3 3 4 2 2 2" xfId="31851" xr:uid="{00000000-0005-0000-0000-00006C710000}"/>
    <cellStyle name="표준 5 3 2 2 2 3 3 4 2 2 3" xfId="40062" xr:uid="{00000000-0005-0000-0000-00006D710000}"/>
    <cellStyle name="표준 5 3 2 2 2 3 3 4 2 2 4" xfId="48255" xr:uid="{00000000-0005-0000-0000-00006E710000}"/>
    <cellStyle name="표준 5 3 2 2 2 3 3 4 2 3" xfId="19497" xr:uid="{00000000-0005-0000-0000-00006F710000}"/>
    <cellStyle name="표준 5 3 2 2 2 3 3 4 2 4" xfId="23659" xr:uid="{00000000-0005-0000-0000-000070710000}"/>
    <cellStyle name="표준 5 3 2 2 2 3 3 4 2 5" xfId="27755" xr:uid="{00000000-0005-0000-0000-000071710000}"/>
    <cellStyle name="표준 5 3 2 2 2 3 3 4 2 6" xfId="35966" xr:uid="{00000000-0005-0000-0000-000072710000}"/>
    <cellStyle name="표준 5 3 2 2 2 3 3 4 2 7" xfId="44159" xr:uid="{00000000-0005-0000-0000-000073710000}"/>
    <cellStyle name="표준 5 3 2 2 2 3 3 4 3" xfId="9097" xr:uid="{00000000-0005-0000-0000-000074710000}"/>
    <cellStyle name="표준 5 3 2 2 2 3 3 4 3 2" xfId="29803" xr:uid="{00000000-0005-0000-0000-000075710000}"/>
    <cellStyle name="표준 5 3 2 2 2 3 3 4 3 3" xfId="38014" xr:uid="{00000000-0005-0000-0000-000076710000}"/>
    <cellStyle name="표준 5 3 2 2 2 3 3 4 3 4" xfId="46207" xr:uid="{00000000-0005-0000-0000-000077710000}"/>
    <cellStyle name="표준 5 3 2 2 2 3 3 4 4" xfId="13209" xr:uid="{00000000-0005-0000-0000-000078710000}"/>
    <cellStyle name="표준 5 3 2 2 2 3 3 4 5" xfId="17449" xr:uid="{00000000-0005-0000-0000-000079710000}"/>
    <cellStyle name="표준 5 3 2 2 2 3 3 4 6" xfId="21611" xr:uid="{00000000-0005-0000-0000-00007A710000}"/>
    <cellStyle name="표준 5 3 2 2 2 3 3 4 7" xfId="25707" xr:uid="{00000000-0005-0000-0000-00007B710000}"/>
    <cellStyle name="표준 5 3 2 2 2 3 3 4 8" xfId="33918" xr:uid="{00000000-0005-0000-0000-00007C710000}"/>
    <cellStyle name="표준 5 3 2 2 2 3 3 4 9" xfId="42111" xr:uid="{00000000-0005-0000-0000-00007D710000}"/>
    <cellStyle name="표준 5 3 2 2 2 3 3 5" xfId="9609" xr:uid="{00000000-0005-0000-0000-00007E710000}"/>
    <cellStyle name="표준 5 3 2 2 2 3 3 5 2" xfId="13721" xr:uid="{00000000-0005-0000-0000-00007F710000}"/>
    <cellStyle name="표준 5 3 2 2 2 3 3 5 2 2" xfId="30315" xr:uid="{00000000-0005-0000-0000-000080710000}"/>
    <cellStyle name="표준 5 3 2 2 2 3 3 5 2 3" xfId="38526" xr:uid="{00000000-0005-0000-0000-000081710000}"/>
    <cellStyle name="표준 5 3 2 2 2 3 3 5 2 4" xfId="46719" xr:uid="{00000000-0005-0000-0000-000082710000}"/>
    <cellStyle name="표준 5 3 2 2 2 3 3 5 3" xfId="17961" xr:uid="{00000000-0005-0000-0000-000083710000}"/>
    <cellStyle name="표준 5 3 2 2 2 3 3 5 4" xfId="22123" xr:uid="{00000000-0005-0000-0000-000084710000}"/>
    <cellStyle name="표준 5 3 2 2 2 3 3 5 5" xfId="26219" xr:uid="{00000000-0005-0000-0000-000085710000}"/>
    <cellStyle name="표준 5 3 2 2 2 3 3 5 6" xfId="34430" xr:uid="{00000000-0005-0000-0000-000086710000}"/>
    <cellStyle name="표준 5 3 2 2 2 3 3 5 7" xfId="42623" xr:uid="{00000000-0005-0000-0000-000087710000}"/>
    <cellStyle name="표준 5 3 2 2 2 3 3 6" xfId="7561" xr:uid="{00000000-0005-0000-0000-000088710000}"/>
    <cellStyle name="표준 5 3 2 2 2 3 3 6 2" xfId="28267" xr:uid="{00000000-0005-0000-0000-000089710000}"/>
    <cellStyle name="표준 5 3 2 2 2 3 3 6 3" xfId="36478" xr:uid="{00000000-0005-0000-0000-00008A710000}"/>
    <cellStyle name="표준 5 3 2 2 2 3 3 6 4" xfId="44671" xr:uid="{00000000-0005-0000-0000-00008B710000}"/>
    <cellStyle name="표준 5 3 2 2 2 3 3 7" xfId="11673" xr:uid="{00000000-0005-0000-0000-00008C710000}"/>
    <cellStyle name="표준 5 3 2 2 2 3 3 8" xfId="15913" xr:uid="{00000000-0005-0000-0000-00008D710000}"/>
    <cellStyle name="표준 5 3 2 2 2 3 3 9" xfId="20075" xr:uid="{00000000-0005-0000-0000-00008E710000}"/>
    <cellStyle name="표준 5 3 2 2 2 3 4" xfId="962" xr:uid="{00000000-0005-0000-0000-00008F710000}"/>
    <cellStyle name="표준 5 3 2 2 2 3 4 2" xfId="9865" xr:uid="{00000000-0005-0000-0000-000090710000}"/>
    <cellStyle name="표준 5 3 2 2 2 3 4 2 2" xfId="13977" xr:uid="{00000000-0005-0000-0000-000091710000}"/>
    <cellStyle name="표준 5 3 2 2 2 3 4 2 2 2" xfId="30571" xr:uid="{00000000-0005-0000-0000-000092710000}"/>
    <cellStyle name="표준 5 3 2 2 2 3 4 2 2 3" xfId="38782" xr:uid="{00000000-0005-0000-0000-000093710000}"/>
    <cellStyle name="표준 5 3 2 2 2 3 4 2 2 4" xfId="46975" xr:uid="{00000000-0005-0000-0000-000094710000}"/>
    <cellStyle name="표준 5 3 2 2 2 3 4 2 3" xfId="18217" xr:uid="{00000000-0005-0000-0000-000095710000}"/>
    <cellStyle name="표준 5 3 2 2 2 3 4 2 4" xfId="22379" xr:uid="{00000000-0005-0000-0000-000096710000}"/>
    <cellStyle name="표준 5 3 2 2 2 3 4 2 5" xfId="26475" xr:uid="{00000000-0005-0000-0000-000097710000}"/>
    <cellStyle name="표준 5 3 2 2 2 3 4 2 6" xfId="34686" xr:uid="{00000000-0005-0000-0000-000098710000}"/>
    <cellStyle name="표준 5 3 2 2 2 3 4 2 7" xfId="42879" xr:uid="{00000000-0005-0000-0000-000099710000}"/>
    <cellStyle name="표준 5 3 2 2 2 3 4 3" xfId="7817" xr:uid="{00000000-0005-0000-0000-00009A710000}"/>
    <cellStyle name="표준 5 3 2 2 2 3 4 3 2" xfId="28523" xr:uid="{00000000-0005-0000-0000-00009B710000}"/>
    <cellStyle name="표준 5 3 2 2 2 3 4 3 3" xfId="36734" xr:uid="{00000000-0005-0000-0000-00009C710000}"/>
    <cellStyle name="표준 5 3 2 2 2 3 4 3 4" xfId="44927" xr:uid="{00000000-0005-0000-0000-00009D710000}"/>
    <cellStyle name="표준 5 3 2 2 2 3 4 4" xfId="11929" xr:uid="{00000000-0005-0000-0000-00009E710000}"/>
    <cellStyle name="표준 5 3 2 2 2 3 4 5" xfId="16169" xr:uid="{00000000-0005-0000-0000-00009F710000}"/>
    <cellStyle name="표준 5 3 2 2 2 3 4 6" xfId="20331" xr:uid="{00000000-0005-0000-0000-0000A0710000}"/>
    <cellStyle name="표준 5 3 2 2 2 3 4 7" xfId="24427" xr:uid="{00000000-0005-0000-0000-0000A1710000}"/>
    <cellStyle name="표준 5 3 2 2 2 3 4 8" xfId="32638" xr:uid="{00000000-0005-0000-0000-0000A2710000}"/>
    <cellStyle name="표준 5 3 2 2 2 3 4 9" xfId="40831" xr:uid="{00000000-0005-0000-0000-0000A3710000}"/>
    <cellStyle name="표준 5 3 2 2 2 3 5" xfId="1474" xr:uid="{00000000-0005-0000-0000-0000A4710000}"/>
    <cellStyle name="표준 5 3 2 2 2 3 5 2" xfId="10377" xr:uid="{00000000-0005-0000-0000-0000A5710000}"/>
    <cellStyle name="표준 5 3 2 2 2 3 5 2 2" xfId="14489" xr:uid="{00000000-0005-0000-0000-0000A6710000}"/>
    <cellStyle name="표준 5 3 2 2 2 3 5 2 2 2" xfId="31083" xr:uid="{00000000-0005-0000-0000-0000A7710000}"/>
    <cellStyle name="표준 5 3 2 2 2 3 5 2 2 3" xfId="39294" xr:uid="{00000000-0005-0000-0000-0000A8710000}"/>
    <cellStyle name="표준 5 3 2 2 2 3 5 2 2 4" xfId="47487" xr:uid="{00000000-0005-0000-0000-0000A9710000}"/>
    <cellStyle name="표준 5 3 2 2 2 3 5 2 3" xfId="18729" xr:uid="{00000000-0005-0000-0000-0000AA710000}"/>
    <cellStyle name="표준 5 3 2 2 2 3 5 2 4" xfId="22891" xr:uid="{00000000-0005-0000-0000-0000AB710000}"/>
    <cellStyle name="표준 5 3 2 2 2 3 5 2 5" xfId="26987" xr:uid="{00000000-0005-0000-0000-0000AC710000}"/>
    <cellStyle name="표준 5 3 2 2 2 3 5 2 6" xfId="35198" xr:uid="{00000000-0005-0000-0000-0000AD710000}"/>
    <cellStyle name="표준 5 3 2 2 2 3 5 2 7" xfId="43391" xr:uid="{00000000-0005-0000-0000-0000AE710000}"/>
    <cellStyle name="표준 5 3 2 2 2 3 5 3" xfId="8329" xr:uid="{00000000-0005-0000-0000-0000AF710000}"/>
    <cellStyle name="표준 5 3 2 2 2 3 5 3 2" xfId="29035" xr:uid="{00000000-0005-0000-0000-0000B0710000}"/>
    <cellStyle name="표준 5 3 2 2 2 3 5 3 3" xfId="37246" xr:uid="{00000000-0005-0000-0000-0000B1710000}"/>
    <cellStyle name="표준 5 3 2 2 2 3 5 3 4" xfId="45439" xr:uid="{00000000-0005-0000-0000-0000B2710000}"/>
    <cellStyle name="표준 5 3 2 2 2 3 5 4" xfId="12441" xr:uid="{00000000-0005-0000-0000-0000B3710000}"/>
    <cellStyle name="표준 5 3 2 2 2 3 5 5" xfId="16681" xr:uid="{00000000-0005-0000-0000-0000B4710000}"/>
    <cellStyle name="표준 5 3 2 2 2 3 5 6" xfId="20843" xr:uid="{00000000-0005-0000-0000-0000B5710000}"/>
    <cellStyle name="표준 5 3 2 2 2 3 5 7" xfId="24939" xr:uid="{00000000-0005-0000-0000-0000B6710000}"/>
    <cellStyle name="표준 5 3 2 2 2 3 5 8" xfId="33150" xr:uid="{00000000-0005-0000-0000-0000B7710000}"/>
    <cellStyle name="표준 5 3 2 2 2 3 5 9" xfId="41343" xr:uid="{00000000-0005-0000-0000-0000B8710000}"/>
    <cellStyle name="표준 5 3 2 2 2 3 6" xfId="1986" xr:uid="{00000000-0005-0000-0000-0000B9710000}"/>
    <cellStyle name="표준 5 3 2 2 2 3 6 2" xfId="10889" xr:uid="{00000000-0005-0000-0000-0000BA710000}"/>
    <cellStyle name="표준 5 3 2 2 2 3 6 2 2" xfId="15001" xr:uid="{00000000-0005-0000-0000-0000BB710000}"/>
    <cellStyle name="표준 5 3 2 2 2 3 6 2 2 2" xfId="31595" xr:uid="{00000000-0005-0000-0000-0000BC710000}"/>
    <cellStyle name="표준 5 3 2 2 2 3 6 2 2 3" xfId="39806" xr:uid="{00000000-0005-0000-0000-0000BD710000}"/>
    <cellStyle name="표준 5 3 2 2 2 3 6 2 2 4" xfId="47999" xr:uid="{00000000-0005-0000-0000-0000BE710000}"/>
    <cellStyle name="표준 5 3 2 2 2 3 6 2 3" xfId="19241" xr:uid="{00000000-0005-0000-0000-0000BF710000}"/>
    <cellStyle name="표준 5 3 2 2 2 3 6 2 4" xfId="23403" xr:uid="{00000000-0005-0000-0000-0000C0710000}"/>
    <cellStyle name="표준 5 3 2 2 2 3 6 2 5" xfId="27499" xr:uid="{00000000-0005-0000-0000-0000C1710000}"/>
    <cellStyle name="표준 5 3 2 2 2 3 6 2 6" xfId="35710" xr:uid="{00000000-0005-0000-0000-0000C2710000}"/>
    <cellStyle name="표준 5 3 2 2 2 3 6 2 7" xfId="43903" xr:uid="{00000000-0005-0000-0000-0000C3710000}"/>
    <cellStyle name="표준 5 3 2 2 2 3 6 3" xfId="8841" xr:uid="{00000000-0005-0000-0000-0000C4710000}"/>
    <cellStyle name="표준 5 3 2 2 2 3 6 3 2" xfId="29547" xr:uid="{00000000-0005-0000-0000-0000C5710000}"/>
    <cellStyle name="표준 5 3 2 2 2 3 6 3 3" xfId="37758" xr:uid="{00000000-0005-0000-0000-0000C6710000}"/>
    <cellStyle name="표준 5 3 2 2 2 3 6 3 4" xfId="45951" xr:uid="{00000000-0005-0000-0000-0000C7710000}"/>
    <cellStyle name="표준 5 3 2 2 2 3 6 4" xfId="12953" xr:uid="{00000000-0005-0000-0000-0000C8710000}"/>
    <cellStyle name="표준 5 3 2 2 2 3 6 5" xfId="17193" xr:uid="{00000000-0005-0000-0000-0000C9710000}"/>
    <cellStyle name="표준 5 3 2 2 2 3 6 6" xfId="21355" xr:uid="{00000000-0005-0000-0000-0000CA710000}"/>
    <cellStyle name="표준 5 3 2 2 2 3 6 7" xfId="25451" xr:uid="{00000000-0005-0000-0000-0000CB710000}"/>
    <cellStyle name="표준 5 3 2 2 2 3 6 8" xfId="33662" xr:uid="{00000000-0005-0000-0000-0000CC710000}"/>
    <cellStyle name="표준 5 3 2 2 2 3 6 9" xfId="41855" xr:uid="{00000000-0005-0000-0000-0000CD710000}"/>
    <cellStyle name="표준 5 3 2 2 2 3 7" xfId="9353" xr:uid="{00000000-0005-0000-0000-0000CE710000}"/>
    <cellStyle name="표준 5 3 2 2 2 3 7 2" xfId="13465" xr:uid="{00000000-0005-0000-0000-0000CF710000}"/>
    <cellStyle name="표준 5 3 2 2 2 3 7 2 2" xfId="30059" xr:uid="{00000000-0005-0000-0000-0000D0710000}"/>
    <cellStyle name="표준 5 3 2 2 2 3 7 2 3" xfId="38270" xr:uid="{00000000-0005-0000-0000-0000D1710000}"/>
    <cellStyle name="표준 5 3 2 2 2 3 7 2 4" xfId="46463" xr:uid="{00000000-0005-0000-0000-0000D2710000}"/>
    <cellStyle name="표준 5 3 2 2 2 3 7 3" xfId="17705" xr:uid="{00000000-0005-0000-0000-0000D3710000}"/>
    <cellStyle name="표준 5 3 2 2 2 3 7 4" xfId="21867" xr:uid="{00000000-0005-0000-0000-0000D4710000}"/>
    <cellStyle name="표준 5 3 2 2 2 3 7 5" xfId="25963" xr:uid="{00000000-0005-0000-0000-0000D5710000}"/>
    <cellStyle name="표준 5 3 2 2 2 3 7 6" xfId="34174" xr:uid="{00000000-0005-0000-0000-0000D6710000}"/>
    <cellStyle name="표준 5 3 2 2 2 3 7 7" xfId="42367" xr:uid="{00000000-0005-0000-0000-0000D7710000}"/>
    <cellStyle name="표준 5 3 2 2 2 3 8" xfId="7305" xr:uid="{00000000-0005-0000-0000-0000D8710000}"/>
    <cellStyle name="표준 5 3 2 2 2 3 8 2" xfId="28011" xr:uid="{00000000-0005-0000-0000-0000D9710000}"/>
    <cellStyle name="표준 5 3 2 2 2 3 8 3" xfId="36222" xr:uid="{00000000-0005-0000-0000-0000DA710000}"/>
    <cellStyle name="표준 5 3 2 2 2 3 8 4" xfId="44415" xr:uid="{00000000-0005-0000-0000-0000DB710000}"/>
    <cellStyle name="표준 5 3 2 2 2 3 9" xfId="11417" xr:uid="{00000000-0005-0000-0000-0000DC710000}"/>
    <cellStyle name="표준 5 3 2 2 2 4" xfId="514" xr:uid="{00000000-0005-0000-0000-0000DD710000}"/>
    <cellStyle name="표준 5 3 2 2 2 4 10" xfId="19883" xr:uid="{00000000-0005-0000-0000-0000DE710000}"/>
    <cellStyle name="표준 5 3 2 2 2 4 11" xfId="23979" xr:uid="{00000000-0005-0000-0000-0000DF710000}"/>
    <cellStyle name="표준 5 3 2 2 2 4 12" xfId="32190" xr:uid="{00000000-0005-0000-0000-0000E0710000}"/>
    <cellStyle name="표준 5 3 2 2 2 4 13" xfId="40383" xr:uid="{00000000-0005-0000-0000-0000E1710000}"/>
    <cellStyle name="표준 5 3 2 2 2 4 2" xfId="770" xr:uid="{00000000-0005-0000-0000-0000E2710000}"/>
    <cellStyle name="표준 5 3 2 2 2 4 2 10" xfId="24235" xr:uid="{00000000-0005-0000-0000-0000E3710000}"/>
    <cellStyle name="표준 5 3 2 2 2 4 2 11" xfId="32446" xr:uid="{00000000-0005-0000-0000-0000E4710000}"/>
    <cellStyle name="표준 5 3 2 2 2 4 2 12" xfId="40639" xr:uid="{00000000-0005-0000-0000-0000E5710000}"/>
    <cellStyle name="표준 5 3 2 2 2 4 2 2" xfId="1282" xr:uid="{00000000-0005-0000-0000-0000E6710000}"/>
    <cellStyle name="표준 5 3 2 2 2 4 2 2 2" xfId="10185" xr:uid="{00000000-0005-0000-0000-0000E7710000}"/>
    <cellStyle name="표준 5 3 2 2 2 4 2 2 2 2" xfId="14297" xr:uid="{00000000-0005-0000-0000-0000E8710000}"/>
    <cellStyle name="표준 5 3 2 2 2 4 2 2 2 2 2" xfId="30891" xr:uid="{00000000-0005-0000-0000-0000E9710000}"/>
    <cellStyle name="표준 5 3 2 2 2 4 2 2 2 2 3" xfId="39102" xr:uid="{00000000-0005-0000-0000-0000EA710000}"/>
    <cellStyle name="표준 5 3 2 2 2 4 2 2 2 2 4" xfId="47295" xr:uid="{00000000-0005-0000-0000-0000EB710000}"/>
    <cellStyle name="표준 5 3 2 2 2 4 2 2 2 3" xfId="18537" xr:uid="{00000000-0005-0000-0000-0000EC710000}"/>
    <cellStyle name="표준 5 3 2 2 2 4 2 2 2 4" xfId="22699" xr:uid="{00000000-0005-0000-0000-0000ED710000}"/>
    <cellStyle name="표준 5 3 2 2 2 4 2 2 2 5" xfId="26795" xr:uid="{00000000-0005-0000-0000-0000EE710000}"/>
    <cellStyle name="표준 5 3 2 2 2 4 2 2 2 6" xfId="35006" xr:uid="{00000000-0005-0000-0000-0000EF710000}"/>
    <cellStyle name="표준 5 3 2 2 2 4 2 2 2 7" xfId="43199" xr:uid="{00000000-0005-0000-0000-0000F0710000}"/>
    <cellStyle name="표준 5 3 2 2 2 4 2 2 3" xfId="8137" xr:uid="{00000000-0005-0000-0000-0000F1710000}"/>
    <cellStyle name="표준 5 3 2 2 2 4 2 2 3 2" xfId="28843" xr:uid="{00000000-0005-0000-0000-0000F2710000}"/>
    <cellStyle name="표준 5 3 2 2 2 4 2 2 3 3" xfId="37054" xr:uid="{00000000-0005-0000-0000-0000F3710000}"/>
    <cellStyle name="표준 5 3 2 2 2 4 2 2 3 4" xfId="45247" xr:uid="{00000000-0005-0000-0000-0000F4710000}"/>
    <cellStyle name="표준 5 3 2 2 2 4 2 2 4" xfId="12249" xr:uid="{00000000-0005-0000-0000-0000F5710000}"/>
    <cellStyle name="표준 5 3 2 2 2 4 2 2 5" xfId="16489" xr:uid="{00000000-0005-0000-0000-0000F6710000}"/>
    <cellStyle name="표준 5 3 2 2 2 4 2 2 6" xfId="20651" xr:uid="{00000000-0005-0000-0000-0000F7710000}"/>
    <cellStyle name="표준 5 3 2 2 2 4 2 2 7" xfId="24747" xr:uid="{00000000-0005-0000-0000-0000F8710000}"/>
    <cellStyle name="표준 5 3 2 2 2 4 2 2 8" xfId="32958" xr:uid="{00000000-0005-0000-0000-0000F9710000}"/>
    <cellStyle name="표준 5 3 2 2 2 4 2 2 9" xfId="41151" xr:uid="{00000000-0005-0000-0000-0000FA710000}"/>
    <cellStyle name="표준 5 3 2 2 2 4 2 3" xfId="1794" xr:uid="{00000000-0005-0000-0000-0000FB710000}"/>
    <cellStyle name="표준 5 3 2 2 2 4 2 3 2" xfId="10697" xr:uid="{00000000-0005-0000-0000-0000FC710000}"/>
    <cellStyle name="표준 5 3 2 2 2 4 2 3 2 2" xfId="14809" xr:uid="{00000000-0005-0000-0000-0000FD710000}"/>
    <cellStyle name="표준 5 3 2 2 2 4 2 3 2 2 2" xfId="31403" xr:uid="{00000000-0005-0000-0000-0000FE710000}"/>
    <cellStyle name="표준 5 3 2 2 2 4 2 3 2 2 3" xfId="39614" xr:uid="{00000000-0005-0000-0000-0000FF710000}"/>
    <cellStyle name="표준 5 3 2 2 2 4 2 3 2 2 4" xfId="47807" xr:uid="{00000000-0005-0000-0000-000000720000}"/>
    <cellStyle name="표준 5 3 2 2 2 4 2 3 2 3" xfId="19049" xr:uid="{00000000-0005-0000-0000-000001720000}"/>
    <cellStyle name="표준 5 3 2 2 2 4 2 3 2 4" xfId="23211" xr:uid="{00000000-0005-0000-0000-000002720000}"/>
    <cellStyle name="표준 5 3 2 2 2 4 2 3 2 5" xfId="27307" xr:uid="{00000000-0005-0000-0000-000003720000}"/>
    <cellStyle name="표준 5 3 2 2 2 4 2 3 2 6" xfId="35518" xr:uid="{00000000-0005-0000-0000-000004720000}"/>
    <cellStyle name="표준 5 3 2 2 2 4 2 3 2 7" xfId="43711" xr:uid="{00000000-0005-0000-0000-000005720000}"/>
    <cellStyle name="표준 5 3 2 2 2 4 2 3 3" xfId="8649" xr:uid="{00000000-0005-0000-0000-000006720000}"/>
    <cellStyle name="표준 5 3 2 2 2 4 2 3 3 2" xfId="29355" xr:uid="{00000000-0005-0000-0000-000007720000}"/>
    <cellStyle name="표준 5 3 2 2 2 4 2 3 3 3" xfId="37566" xr:uid="{00000000-0005-0000-0000-000008720000}"/>
    <cellStyle name="표준 5 3 2 2 2 4 2 3 3 4" xfId="45759" xr:uid="{00000000-0005-0000-0000-000009720000}"/>
    <cellStyle name="표준 5 3 2 2 2 4 2 3 4" xfId="12761" xr:uid="{00000000-0005-0000-0000-00000A720000}"/>
    <cellStyle name="표준 5 3 2 2 2 4 2 3 5" xfId="17001" xr:uid="{00000000-0005-0000-0000-00000B720000}"/>
    <cellStyle name="표준 5 3 2 2 2 4 2 3 6" xfId="21163" xr:uid="{00000000-0005-0000-0000-00000C720000}"/>
    <cellStyle name="표준 5 3 2 2 2 4 2 3 7" xfId="25259" xr:uid="{00000000-0005-0000-0000-00000D720000}"/>
    <cellStyle name="표준 5 3 2 2 2 4 2 3 8" xfId="33470" xr:uid="{00000000-0005-0000-0000-00000E720000}"/>
    <cellStyle name="표준 5 3 2 2 2 4 2 3 9" xfId="41663" xr:uid="{00000000-0005-0000-0000-00000F720000}"/>
    <cellStyle name="표준 5 3 2 2 2 4 2 4" xfId="2306" xr:uid="{00000000-0005-0000-0000-000010720000}"/>
    <cellStyle name="표준 5 3 2 2 2 4 2 4 2" xfId="11209" xr:uid="{00000000-0005-0000-0000-000011720000}"/>
    <cellStyle name="표준 5 3 2 2 2 4 2 4 2 2" xfId="15321" xr:uid="{00000000-0005-0000-0000-000012720000}"/>
    <cellStyle name="표준 5 3 2 2 2 4 2 4 2 2 2" xfId="31915" xr:uid="{00000000-0005-0000-0000-000013720000}"/>
    <cellStyle name="표준 5 3 2 2 2 4 2 4 2 2 3" xfId="40126" xr:uid="{00000000-0005-0000-0000-000014720000}"/>
    <cellStyle name="표준 5 3 2 2 2 4 2 4 2 2 4" xfId="48319" xr:uid="{00000000-0005-0000-0000-000015720000}"/>
    <cellStyle name="표준 5 3 2 2 2 4 2 4 2 3" xfId="19561" xr:uid="{00000000-0005-0000-0000-000016720000}"/>
    <cellStyle name="표준 5 3 2 2 2 4 2 4 2 4" xfId="23723" xr:uid="{00000000-0005-0000-0000-000017720000}"/>
    <cellStyle name="표준 5 3 2 2 2 4 2 4 2 5" xfId="27819" xr:uid="{00000000-0005-0000-0000-000018720000}"/>
    <cellStyle name="표준 5 3 2 2 2 4 2 4 2 6" xfId="36030" xr:uid="{00000000-0005-0000-0000-000019720000}"/>
    <cellStyle name="표준 5 3 2 2 2 4 2 4 2 7" xfId="44223" xr:uid="{00000000-0005-0000-0000-00001A720000}"/>
    <cellStyle name="표준 5 3 2 2 2 4 2 4 3" xfId="9161" xr:uid="{00000000-0005-0000-0000-00001B720000}"/>
    <cellStyle name="표준 5 3 2 2 2 4 2 4 3 2" xfId="29867" xr:uid="{00000000-0005-0000-0000-00001C720000}"/>
    <cellStyle name="표준 5 3 2 2 2 4 2 4 3 3" xfId="38078" xr:uid="{00000000-0005-0000-0000-00001D720000}"/>
    <cellStyle name="표준 5 3 2 2 2 4 2 4 3 4" xfId="46271" xr:uid="{00000000-0005-0000-0000-00001E720000}"/>
    <cellStyle name="표준 5 3 2 2 2 4 2 4 4" xfId="13273" xr:uid="{00000000-0005-0000-0000-00001F720000}"/>
    <cellStyle name="표준 5 3 2 2 2 4 2 4 5" xfId="17513" xr:uid="{00000000-0005-0000-0000-000020720000}"/>
    <cellStyle name="표준 5 3 2 2 2 4 2 4 6" xfId="21675" xr:uid="{00000000-0005-0000-0000-000021720000}"/>
    <cellStyle name="표준 5 3 2 2 2 4 2 4 7" xfId="25771" xr:uid="{00000000-0005-0000-0000-000022720000}"/>
    <cellStyle name="표준 5 3 2 2 2 4 2 4 8" xfId="33982" xr:uid="{00000000-0005-0000-0000-000023720000}"/>
    <cellStyle name="표준 5 3 2 2 2 4 2 4 9" xfId="42175" xr:uid="{00000000-0005-0000-0000-000024720000}"/>
    <cellStyle name="표준 5 3 2 2 2 4 2 5" xfId="9673" xr:uid="{00000000-0005-0000-0000-000025720000}"/>
    <cellStyle name="표준 5 3 2 2 2 4 2 5 2" xfId="13785" xr:uid="{00000000-0005-0000-0000-000026720000}"/>
    <cellStyle name="표준 5 3 2 2 2 4 2 5 2 2" xfId="30379" xr:uid="{00000000-0005-0000-0000-000027720000}"/>
    <cellStyle name="표준 5 3 2 2 2 4 2 5 2 3" xfId="38590" xr:uid="{00000000-0005-0000-0000-000028720000}"/>
    <cellStyle name="표준 5 3 2 2 2 4 2 5 2 4" xfId="46783" xr:uid="{00000000-0005-0000-0000-000029720000}"/>
    <cellStyle name="표준 5 3 2 2 2 4 2 5 3" xfId="18025" xr:uid="{00000000-0005-0000-0000-00002A720000}"/>
    <cellStyle name="표준 5 3 2 2 2 4 2 5 4" xfId="22187" xr:uid="{00000000-0005-0000-0000-00002B720000}"/>
    <cellStyle name="표준 5 3 2 2 2 4 2 5 5" xfId="26283" xr:uid="{00000000-0005-0000-0000-00002C720000}"/>
    <cellStyle name="표준 5 3 2 2 2 4 2 5 6" xfId="34494" xr:uid="{00000000-0005-0000-0000-00002D720000}"/>
    <cellStyle name="표준 5 3 2 2 2 4 2 5 7" xfId="42687" xr:uid="{00000000-0005-0000-0000-00002E720000}"/>
    <cellStyle name="표준 5 3 2 2 2 4 2 6" xfId="7625" xr:uid="{00000000-0005-0000-0000-00002F720000}"/>
    <cellStyle name="표준 5 3 2 2 2 4 2 6 2" xfId="28331" xr:uid="{00000000-0005-0000-0000-000030720000}"/>
    <cellStyle name="표준 5 3 2 2 2 4 2 6 3" xfId="36542" xr:uid="{00000000-0005-0000-0000-000031720000}"/>
    <cellStyle name="표준 5 3 2 2 2 4 2 6 4" xfId="44735" xr:uid="{00000000-0005-0000-0000-000032720000}"/>
    <cellStyle name="표준 5 3 2 2 2 4 2 7" xfId="11737" xr:uid="{00000000-0005-0000-0000-000033720000}"/>
    <cellStyle name="표준 5 3 2 2 2 4 2 8" xfId="15977" xr:uid="{00000000-0005-0000-0000-000034720000}"/>
    <cellStyle name="표준 5 3 2 2 2 4 2 9" xfId="20139" xr:uid="{00000000-0005-0000-0000-000035720000}"/>
    <cellStyle name="표준 5 3 2 2 2 4 3" xfId="1026" xr:uid="{00000000-0005-0000-0000-000036720000}"/>
    <cellStyle name="표준 5 3 2 2 2 4 3 2" xfId="9929" xr:uid="{00000000-0005-0000-0000-000037720000}"/>
    <cellStyle name="표준 5 3 2 2 2 4 3 2 2" xfId="14041" xr:uid="{00000000-0005-0000-0000-000038720000}"/>
    <cellStyle name="표준 5 3 2 2 2 4 3 2 2 2" xfId="30635" xr:uid="{00000000-0005-0000-0000-000039720000}"/>
    <cellStyle name="표준 5 3 2 2 2 4 3 2 2 3" xfId="38846" xr:uid="{00000000-0005-0000-0000-00003A720000}"/>
    <cellStyle name="표준 5 3 2 2 2 4 3 2 2 4" xfId="47039" xr:uid="{00000000-0005-0000-0000-00003B720000}"/>
    <cellStyle name="표준 5 3 2 2 2 4 3 2 3" xfId="18281" xr:uid="{00000000-0005-0000-0000-00003C720000}"/>
    <cellStyle name="표준 5 3 2 2 2 4 3 2 4" xfId="22443" xr:uid="{00000000-0005-0000-0000-00003D720000}"/>
    <cellStyle name="표준 5 3 2 2 2 4 3 2 5" xfId="26539" xr:uid="{00000000-0005-0000-0000-00003E720000}"/>
    <cellStyle name="표준 5 3 2 2 2 4 3 2 6" xfId="34750" xr:uid="{00000000-0005-0000-0000-00003F720000}"/>
    <cellStyle name="표준 5 3 2 2 2 4 3 2 7" xfId="42943" xr:uid="{00000000-0005-0000-0000-000040720000}"/>
    <cellStyle name="표준 5 3 2 2 2 4 3 3" xfId="7881" xr:uid="{00000000-0005-0000-0000-000041720000}"/>
    <cellStyle name="표준 5 3 2 2 2 4 3 3 2" xfId="28587" xr:uid="{00000000-0005-0000-0000-000042720000}"/>
    <cellStyle name="표준 5 3 2 2 2 4 3 3 3" xfId="36798" xr:uid="{00000000-0005-0000-0000-000043720000}"/>
    <cellStyle name="표준 5 3 2 2 2 4 3 3 4" xfId="44991" xr:uid="{00000000-0005-0000-0000-000044720000}"/>
    <cellStyle name="표준 5 3 2 2 2 4 3 4" xfId="11993" xr:uid="{00000000-0005-0000-0000-000045720000}"/>
    <cellStyle name="표준 5 3 2 2 2 4 3 5" xfId="16233" xr:uid="{00000000-0005-0000-0000-000046720000}"/>
    <cellStyle name="표준 5 3 2 2 2 4 3 6" xfId="20395" xr:uid="{00000000-0005-0000-0000-000047720000}"/>
    <cellStyle name="표준 5 3 2 2 2 4 3 7" xfId="24491" xr:uid="{00000000-0005-0000-0000-000048720000}"/>
    <cellStyle name="표준 5 3 2 2 2 4 3 8" xfId="32702" xr:uid="{00000000-0005-0000-0000-000049720000}"/>
    <cellStyle name="표준 5 3 2 2 2 4 3 9" xfId="40895" xr:uid="{00000000-0005-0000-0000-00004A720000}"/>
    <cellStyle name="표준 5 3 2 2 2 4 4" xfId="1538" xr:uid="{00000000-0005-0000-0000-00004B720000}"/>
    <cellStyle name="표준 5 3 2 2 2 4 4 2" xfId="10441" xr:uid="{00000000-0005-0000-0000-00004C720000}"/>
    <cellStyle name="표준 5 3 2 2 2 4 4 2 2" xfId="14553" xr:uid="{00000000-0005-0000-0000-00004D720000}"/>
    <cellStyle name="표준 5 3 2 2 2 4 4 2 2 2" xfId="31147" xr:uid="{00000000-0005-0000-0000-00004E720000}"/>
    <cellStyle name="표준 5 3 2 2 2 4 4 2 2 3" xfId="39358" xr:uid="{00000000-0005-0000-0000-00004F720000}"/>
    <cellStyle name="표준 5 3 2 2 2 4 4 2 2 4" xfId="47551" xr:uid="{00000000-0005-0000-0000-000050720000}"/>
    <cellStyle name="표준 5 3 2 2 2 4 4 2 3" xfId="18793" xr:uid="{00000000-0005-0000-0000-000051720000}"/>
    <cellStyle name="표준 5 3 2 2 2 4 4 2 4" xfId="22955" xr:uid="{00000000-0005-0000-0000-000052720000}"/>
    <cellStyle name="표준 5 3 2 2 2 4 4 2 5" xfId="27051" xr:uid="{00000000-0005-0000-0000-000053720000}"/>
    <cellStyle name="표준 5 3 2 2 2 4 4 2 6" xfId="35262" xr:uid="{00000000-0005-0000-0000-000054720000}"/>
    <cellStyle name="표준 5 3 2 2 2 4 4 2 7" xfId="43455" xr:uid="{00000000-0005-0000-0000-000055720000}"/>
    <cellStyle name="표준 5 3 2 2 2 4 4 3" xfId="8393" xr:uid="{00000000-0005-0000-0000-000056720000}"/>
    <cellStyle name="표준 5 3 2 2 2 4 4 3 2" xfId="29099" xr:uid="{00000000-0005-0000-0000-000057720000}"/>
    <cellStyle name="표준 5 3 2 2 2 4 4 3 3" xfId="37310" xr:uid="{00000000-0005-0000-0000-000058720000}"/>
    <cellStyle name="표준 5 3 2 2 2 4 4 3 4" xfId="45503" xr:uid="{00000000-0005-0000-0000-000059720000}"/>
    <cellStyle name="표준 5 3 2 2 2 4 4 4" xfId="12505" xr:uid="{00000000-0005-0000-0000-00005A720000}"/>
    <cellStyle name="표준 5 3 2 2 2 4 4 5" xfId="16745" xr:uid="{00000000-0005-0000-0000-00005B720000}"/>
    <cellStyle name="표준 5 3 2 2 2 4 4 6" xfId="20907" xr:uid="{00000000-0005-0000-0000-00005C720000}"/>
    <cellStyle name="표준 5 3 2 2 2 4 4 7" xfId="25003" xr:uid="{00000000-0005-0000-0000-00005D720000}"/>
    <cellStyle name="표준 5 3 2 2 2 4 4 8" xfId="33214" xr:uid="{00000000-0005-0000-0000-00005E720000}"/>
    <cellStyle name="표준 5 3 2 2 2 4 4 9" xfId="41407" xr:uid="{00000000-0005-0000-0000-00005F720000}"/>
    <cellStyle name="표준 5 3 2 2 2 4 5" xfId="2050" xr:uid="{00000000-0005-0000-0000-000060720000}"/>
    <cellStyle name="표준 5 3 2 2 2 4 5 2" xfId="10953" xr:uid="{00000000-0005-0000-0000-000061720000}"/>
    <cellStyle name="표준 5 3 2 2 2 4 5 2 2" xfId="15065" xr:uid="{00000000-0005-0000-0000-000062720000}"/>
    <cellStyle name="표준 5 3 2 2 2 4 5 2 2 2" xfId="31659" xr:uid="{00000000-0005-0000-0000-000063720000}"/>
    <cellStyle name="표준 5 3 2 2 2 4 5 2 2 3" xfId="39870" xr:uid="{00000000-0005-0000-0000-000064720000}"/>
    <cellStyle name="표준 5 3 2 2 2 4 5 2 2 4" xfId="48063" xr:uid="{00000000-0005-0000-0000-000065720000}"/>
    <cellStyle name="표준 5 3 2 2 2 4 5 2 3" xfId="19305" xr:uid="{00000000-0005-0000-0000-000066720000}"/>
    <cellStyle name="표준 5 3 2 2 2 4 5 2 4" xfId="23467" xr:uid="{00000000-0005-0000-0000-000067720000}"/>
    <cellStyle name="표준 5 3 2 2 2 4 5 2 5" xfId="27563" xr:uid="{00000000-0005-0000-0000-000068720000}"/>
    <cellStyle name="표준 5 3 2 2 2 4 5 2 6" xfId="35774" xr:uid="{00000000-0005-0000-0000-000069720000}"/>
    <cellStyle name="표준 5 3 2 2 2 4 5 2 7" xfId="43967" xr:uid="{00000000-0005-0000-0000-00006A720000}"/>
    <cellStyle name="표준 5 3 2 2 2 4 5 3" xfId="8905" xr:uid="{00000000-0005-0000-0000-00006B720000}"/>
    <cellStyle name="표준 5 3 2 2 2 4 5 3 2" xfId="29611" xr:uid="{00000000-0005-0000-0000-00006C720000}"/>
    <cellStyle name="표준 5 3 2 2 2 4 5 3 3" xfId="37822" xr:uid="{00000000-0005-0000-0000-00006D720000}"/>
    <cellStyle name="표준 5 3 2 2 2 4 5 3 4" xfId="46015" xr:uid="{00000000-0005-0000-0000-00006E720000}"/>
    <cellStyle name="표준 5 3 2 2 2 4 5 4" xfId="13017" xr:uid="{00000000-0005-0000-0000-00006F720000}"/>
    <cellStyle name="표준 5 3 2 2 2 4 5 5" xfId="17257" xr:uid="{00000000-0005-0000-0000-000070720000}"/>
    <cellStyle name="표준 5 3 2 2 2 4 5 6" xfId="21419" xr:uid="{00000000-0005-0000-0000-000071720000}"/>
    <cellStyle name="표준 5 3 2 2 2 4 5 7" xfId="25515" xr:uid="{00000000-0005-0000-0000-000072720000}"/>
    <cellStyle name="표준 5 3 2 2 2 4 5 8" xfId="33726" xr:uid="{00000000-0005-0000-0000-000073720000}"/>
    <cellStyle name="표준 5 3 2 2 2 4 5 9" xfId="41919" xr:uid="{00000000-0005-0000-0000-000074720000}"/>
    <cellStyle name="표준 5 3 2 2 2 4 6" xfId="9417" xr:uid="{00000000-0005-0000-0000-000075720000}"/>
    <cellStyle name="표준 5 3 2 2 2 4 6 2" xfId="13529" xr:uid="{00000000-0005-0000-0000-000076720000}"/>
    <cellStyle name="표준 5 3 2 2 2 4 6 2 2" xfId="30123" xr:uid="{00000000-0005-0000-0000-000077720000}"/>
    <cellStyle name="표준 5 3 2 2 2 4 6 2 3" xfId="38334" xr:uid="{00000000-0005-0000-0000-000078720000}"/>
    <cellStyle name="표준 5 3 2 2 2 4 6 2 4" xfId="46527" xr:uid="{00000000-0005-0000-0000-000079720000}"/>
    <cellStyle name="표준 5 3 2 2 2 4 6 3" xfId="17769" xr:uid="{00000000-0005-0000-0000-00007A720000}"/>
    <cellStyle name="표준 5 3 2 2 2 4 6 4" xfId="21931" xr:uid="{00000000-0005-0000-0000-00007B720000}"/>
    <cellStyle name="표준 5 3 2 2 2 4 6 5" xfId="26027" xr:uid="{00000000-0005-0000-0000-00007C720000}"/>
    <cellStyle name="표준 5 3 2 2 2 4 6 6" xfId="34238" xr:uid="{00000000-0005-0000-0000-00007D720000}"/>
    <cellStyle name="표준 5 3 2 2 2 4 6 7" xfId="42431" xr:uid="{00000000-0005-0000-0000-00007E720000}"/>
    <cellStyle name="표준 5 3 2 2 2 4 7" xfId="7369" xr:uid="{00000000-0005-0000-0000-00007F720000}"/>
    <cellStyle name="표준 5 3 2 2 2 4 7 2" xfId="28075" xr:uid="{00000000-0005-0000-0000-000080720000}"/>
    <cellStyle name="표준 5 3 2 2 2 4 7 3" xfId="36286" xr:uid="{00000000-0005-0000-0000-000081720000}"/>
    <cellStyle name="표준 5 3 2 2 2 4 7 4" xfId="44479" xr:uid="{00000000-0005-0000-0000-000082720000}"/>
    <cellStyle name="표준 5 3 2 2 2 4 8" xfId="11481" xr:uid="{00000000-0005-0000-0000-000083720000}"/>
    <cellStyle name="표준 5 3 2 2 2 4 9" xfId="15721" xr:uid="{00000000-0005-0000-0000-000084720000}"/>
    <cellStyle name="표준 5 3 2 2 2 5" xfId="642" xr:uid="{00000000-0005-0000-0000-000085720000}"/>
    <cellStyle name="표준 5 3 2 2 2 5 10" xfId="24107" xr:uid="{00000000-0005-0000-0000-000086720000}"/>
    <cellStyle name="표준 5 3 2 2 2 5 11" xfId="32318" xr:uid="{00000000-0005-0000-0000-000087720000}"/>
    <cellStyle name="표준 5 3 2 2 2 5 12" xfId="40511" xr:uid="{00000000-0005-0000-0000-000088720000}"/>
    <cellStyle name="표준 5 3 2 2 2 5 2" xfId="1154" xr:uid="{00000000-0005-0000-0000-000089720000}"/>
    <cellStyle name="표준 5 3 2 2 2 5 2 2" xfId="10057" xr:uid="{00000000-0005-0000-0000-00008A720000}"/>
    <cellStyle name="표준 5 3 2 2 2 5 2 2 2" xfId="14169" xr:uid="{00000000-0005-0000-0000-00008B720000}"/>
    <cellStyle name="표준 5 3 2 2 2 5 2 2 2 2" xfId="30763" xr:uid="{00000000-0005-0000-0000-00008C720000}"/>
    <cellStyle name="표준 5 3 2 2 2 5 2 2 2 3" xfId="38974" xr:uid="{00000000-0005-0000-0000-00008D720000}"/>
    <cellStyle name="표준 5 3 2 2 2 5 2 2 2 4" xfId="47167" xr:uid="{00000000-0005-0000-0000-00008E720000}"/>
    <cellStyle name="표준 5 3 2 2 2 5 2 2 3" xfId="18409" xr:uid="{00000000-0005-0000-0000-00008F720000}"/>
    <cellStyle name="표준 5 3 2 2 2 5 2 2 4" xfId="22571" xr:uid="{00000000-0005-0000-0000-000090720000}"/>
    <cellStyle name="표준 5 3 2 2 2 5 2 2 5" xfId="26667" xr:uid="{00000000-0005-0000-0000-000091720000}"/>
    <cellStyle name="표준 5 3 2 2 2 5 2 2 6" xfId="34878" xr:uid="{00000000-0005-0000-0000-000092720000}"/>
    <cellStyle name="표준 5 3 2 2 2 5 2 2 7" xfId="43071" xr:uid="{00000000-0005-0000-0000-000093720000}"/>
    <cellStyle name="표준 5 3 2 2 2 5 2 3" xfId="8009" xr:uid="{00000000-0005-0000-0000-000094720000}"/>
    <cellStyle name="표준 5 3 2 2 2 5 2 3 2" xfId="28715" xr:uid="{00000000-0005-0000-0000-000095720000}"/>
    <cellStyle name="표준 5 3 2 2 2 5 2 3 3" xfId="36926" xr:uid="{00000000-0005-0000-0000-000096720000}"/>
    <cellStyle name="표준 5 3 2 2 2 5 2 3 4" xfId="45119" xr:uid="{00000000-0005-0000-0000-000097720000}"/>
    <cellStyle name="표준 5 3 2 2 2 5 2 4" xfId="12121" xr:uid="{00000000-0005-0000-0000-000098720000}"/>
    <cellStyle name="표준 5 3 2 2 2 5 2 5" xfId="16361" xr:uid="{00000000-0005-0000-0000-000099720000}"/>
    <cellStyle name="표준 5 3 2 2 2 5 2 6" xfId="20523" xr:uid="{00000000-0005-0000-0000-00009A720000}"/>
    <cellStyle name="표준 5 3 2 2 2 5 2 7" xfId="24619" xr:uid="{00000000-0005-0000-0000-00009B720000}"/>
    <cellStyle name="표준 5 3 2 2 2 5 2 8" xfId="32830" xr:uid="{00000000-0005-0000-0000-00009C720000}"/>
    <cellStyle name="표준 5 3 2 2 2 5 2 9" xfId="41023" xr:uid="{00000000-0005-0000-0000-00009D720000}"/>
    <cellStyle name="표준 5 3 2 2 2 5 3" xfId="1666" xr:uid="{00000000-0005-0000-0000-00009E720000}"/>
    <cellStyle name="표준 5 3 2 2 2 5 3 2" xfId="10569" xr:uid="{00000000-0005-0000-0000-00009F720000}"/>
    <cellStyle name="표준 5 3 2 2 2 5 3 2 2" xfId="14681" xr:uid="{00000000-0005-0000-0000-0000A0720000}"/>
    <cellStyle name="표준 5 3 2 2 2 5 3 2 2 2" xfId="31275" xr:uid="{00000000-0005-0000-0000-0000A1720000}"/>
    <cellStyle name="표준 5 3 2 2 2 5 3 2 2 3" xfId="39486" xr:uid="{00000000-0005-0000-0000-0000A2720000}"/>
    <cellStyle name="표준 5 3 2 2 2 5 3 2 2 4" xfId="47679" xr:uid="{00000000-0005-0000-0000-0000A3720000}"/>
    <cellStyle name="표준 5 3 2 2 2 5 3 2 3" xfId="18921" xr:uid="{00000000-0005-0000-0000-0000A4720000}"/>
    <cellStyle name="표준 5 3 2 2 2 5 3 2 4" xfId="23083" xr:uid="{00000000-0005-0000-0000-0000A5720000}"/>
    <cellStyle name="표준 5 3 2 2 2 5 3 2 5" xfId="27179" xr:uid="{00000000-0005-0000-0000-0000A6720000}"/>
    <cellStyle name="표준 5 3 2 2 2 5 3 2 6" xfId="35390" xr:uid="{00000000-0005-0000-0000-0000A7720000}"/>
    <cellStyle name="표준 5 3 2 2 2 5 3 2 7" xfId="43583" xr:uid="{00000000-0005-0000-0000-0000A8720000}"/>
    <cellStyle name="표준 5 3 2 2 2 5 3 3" xfId="8521" xr:uid="{00000000-0005-0000-0000-0000A9720000}"/>
    <cellStyle name="표준 5 3 2 2 2 5 3 3 2" xfId="29227" xr:uid="{00000000-0005-0000-0000-0000AA720000}"/>
    <cellStyle name="표준 5 3 2 2 2 5 3 3 3" xfId="37438" xr:uid="{00000000-0005-0000-0000-0000AB720000}"/>
    <cellStyle name="표준 5 3 2 2 2 5 3 3 4" xfId="45631" xr:uid="{00000000-0005-0000-0000-0000AC720000}"/>
    <cellStyle name="표준 5 3 2 2 2 5 3 4" xfId="12633" xr:uid="{00000000-0005-0000-0000-0000AD720000}"/>
    <cellStyle name="표준 5 3 2 2 2 5 3 5" xfId="16873" xr:uid="{00000000-0005-0000-0000-0000AE720000}"/>
    <cellStyle name="표준 5 3 2 2 2 5 3 6" xfId="21035" xr:uid="{00000000-0005-0000-0000-0000AF720000}"/>
    <cellStyle name="표준 5 3 2 2 2 5 3 7" xfId="25131" xr:uid="{00000000-0005-0000-0000-0000B0720000}"/>
    <cellStyle name="표준 5 3 2 2 2 5 3 8" xfId="33342" xr:uid="{00000000-0005-0000-0000-0000B1720000}"/>
    <cellStyle name="표준 5 3 2 2 2 5 3 9" xfId="41535" xr:uid="{00000000-0005-0000-0000-0000B2720000}"/>
    <cellStyle name="표준 5 3 2 2 2 5 4" xfId="2178" xr:uid="{00000000-0005-0000-0000-0000B3720000}"/>
    <cellStyle name="표준 5 3 2 2 2 5 4 2" xfId="11081" xr:uid="{00000000-0005-0000-0000-0000B4720000}"/>
    <cellStyle name="표준 5 3 2 2 2 5 4 2 2" xfId="15193" xr:uid="{00000000-0005-0000-0000-0000B5720000}"/>
    <cellStyle name="표준 5 3 2 2 2 5 4 2 2 2" xfId="31787" xr:uid="{00000000-0005-0000-0000-0000B6720000}"/>
    <cellStyle name="표준 5 3 2 2 2 5 4 2 2 3" xfId="39998" xr:uid="{00000000-0005-0000-0000-0000B7720000}"/>
    <cellStyle name="표준 5 3 2 2 2 5 4 2 2 4" xfId="48191" xr:uid="{00000000-0005-0000-0000-0000B8720000}"/>
    <cellStyle name="표준 5 3 2 2 2 5 4 2 3" xfId="19433" xr:uid="{00000000-0005-0000-0000-0000B9720000}"/>
    <cellStyle name="표준 5 3 2 2 2 5 4 2 4" xfId="23595" xr:uid="{00000000-0005-0000-0000-0000BA720000}"/>
    <cellStyle name="표준 5 3 2 2 2 5 4 2 5" xfId="27691" xr:uid="{00000000-0005-0000-0000-0000BB720000}"/>
    <cellStyle name="표준 5 3 2 2 2 5 4 2 6" xfId="35902" xr:uid="{00000000-0005-0000-0000-0000BC720000}"/>
    <cellStyle name="표준 5 3 2 2 2 5 4 2 7" xfId="44095" xr:uid="{00000000-0005-0000-0000-0000BD720000}"/>
    <cellStyle name="표준 5 3 2 2 2 5 4 3" xfId="9033" xr:uid="{00000000-0005-0000-0000-0000BE720000}"/>
    <cellStyle name="표준 5 3 2 2 2 5 4 3 2" xfId="29739" xr:uid="{00000000-0005-0000-0000-0000BF720000}"/>
    <cellStyle name="표준 5 3 2 2 2 5 4 3 3" xfId="37950" xr:uid="{00000000-0005-0000-0000-0000C0720000}"/>
    <cellStyle name="표준 5 3 2 2 2 5 4 3 4" xfId="46143" xr:uid="{00000000-0005-0000-0000-0000C1720000}"/>
    <cellStyle name="표준 5 3 2 2 2 5 4 4" xfId="13145" xr:uid="{00000000-0005-0000-0000-0000C2720000}"/>
    <cellStyle name="표준 5 3 2 2 2 5 4 5" xfId="17385" xr:uid="{00000000-0005-0000-0000-0000C3720000}"/>
    <cellStyle name="표준 5 3 2 2 2 5 4 6" xfId="21547" xr:uid="{00000000-0005-0000-0000-0000C4720000}"/>
    <cellStyle name="표준 5 3 2 2 2 5 4 7" xfId="25643" xr:uid="{00000000-0005-0000-0000-0000C5720000}"/>
    <cellStyle name="표준 5 3 2 2 2 5 4 8" xfId="33854" xr:uid="{00000000-0005-0000-0000-0000C6720000}"/>
    <cellStyle name="표준 5 3 2 2 2 5 4 9" xfId="42047" xr:uid="{00000000-0005-0000-0000-0000C7720000}"/>
    <cellStyle name="표준 5 3 2 2 2 5 5" xfId="9545" xr:uid="{00000000-0005-0000-0000-0000C8720000}"/>
    <cellStyle name="표준 5 3 2 2 2 5 5 2" xfId="13657" xr:uid="{00000000-0005-0000-0000-0000C9720000}"/>
    <cellStyle name="표준 5 3 2 2 2 5 5 2 2" xfId="30251" xr:uid="{00000000-0005-0000-0000-0000CA720000}"/>
    <cellStyle name="표준 5 3 2 2 2 5 5 2 3" xfId="38462" xr:uid="{00000000-0005-0000-0000-0000CB720000}"/>
    <cellStyle name="표준 5 3 2 2 2 5 5 2 4" xfId="46655" xr:uid="{00000000-0005-0000-0000-0000CC720000}"/>
    <cellStyle name="표준 5 3 2 2 2 5 5 3" xfId="17897" xr:uid="{00000000-0005-0000-0000-0000CD720000}"/>
    <cellStyle name="표준 5 3 2 2 2 5 5 4" xfId="22059" xr:uid="{00000000-0005-0000-0000-0000CE720000}"/>
    <cellStyle name="표준 5 3 2 2 2 5 5 5" xfId="26155" xr:uid="{00000000-0005-0000-0000-0000CF720000}"/>
    <cellStyle name="표준 5 3 2 2 2 5 5 6" xfId="34366" xr:uid="{00000000-0005-0000-0000-0000D0720000}"/>
    <cellStyle name="표준 5 3 2 2 2 5 5 7" xfId="42559" xr:uid="{00000000-0005-0000-0000-0000D1720000}"/>
    <cellStyle name="표준 5 3 2 2 2 5 6" xfId="7497" xr:uid="{00000000-0005-0000-0000-0000D2720000}"/>
    <cellStyle name="표준 5 3 2 2 2 5 6 2" xfId="28203" xr:uid="{00000000-0005-0000-0000-0000D3720000}"/>
    <cellStyle name="표준 5 3 2 2 2 5 6 3" xfId="36414" xr:uid="{00000000-0005-0000-0000-0000D4720000}"/>
    <cellStyle name="표준 5 3 2 2 2 5 6 4" xfId="44607" xr:uid="{00000000-0005-0000-0000-0000D5720000}"/>
    <cellStyle name="표준 5 3 2 2 2 5 7" xfId="11609" xr:uid="{00000000-0005-0000-0000-0000D6720000}"/>
    <cellStyle name="표준 5 3 2 2 2 5 8" xfId="15849" xr:uid="{00000000-0005-0000-0000-0000D7720000}"/>
    <cellStyle name="표준 5 3 2 2 2 5 9" xfId="20011" xr:uid="{00000000-0005-0000-0000-0000D8720000}"/>
    <cellStyle name="표준 5 3 2 2 2 6" xfId="898" xr:uid="{00000000-0005-0000-0000-0000D9720000}"/>
    <cellStyle name="표준 5 3 2 2 2 6 2" xfId="9801" xr:uid="{00000000-0005-0000-0000-0000DA720000}"/>
    <cellStyle name="표준 5 3 2 2 2 6 2 2" xfId="13913" xr:uid="{00000000-0005-0000-0000-0000DB720000}"/>
    <cellStyle name="표준 5 3 2 2 2 6 2 2 2" xfId="30507" xr:uid="{00000000-0005-0000-0000-0000DC720000}"/>
    <cellStyle name="표준 5 3 2 2 2 6 2 2 3" xfId="38718" xr:uid="{00000000-0005-0000-0000-0000DD720000}"/>
    <cellStyle name="표준 5 3 2 2 2 6 2 2 4" xfId="46911" xr:uid="{00000000-0005-0000-0000-0000DE720000}"/>
    <cellStyle name="표준 5 3 2 2 2 6 2 3" xfId="18153" xr:uid="{00000000-0005-0000-0000-0000DF720000}"/>
    <cellStyle name="표준 5 3 2 2 2 6 2 4" xfId="22315" xr:uid="{00000000-0005-0000-0000-0000E0720000}"/>
    <cellStyle name="표준 5 3 2 2 2 6 2 5" xfId="26411" xr:uid="{00000000-0005-0000-0000-0000E1720000}"/>
    <cellStyle name="표준 5 3 2 2 2 6 2 6" xfId="34622" xr:uid="{00000000-0005-0000-0000-0000E2720000}"/>
    <cellStyle name="표준 5 3 2 2 2 6 2 7" xfId="42815" xr:uid="{00000000-0005-0000-0000-0000E3720000}"/>
    <cellStyle name="표준 5 3 2 2 2 6 3" xfId="7753" xr:uid="{00000000-0005-0000-0000-0000E4720000}"/>
    <cellStyle name="표준 5 3 2 2 2 6 3 2" xfId="28459" xr:uid="{00000000-0005-0000-0000-0000E5720000}"/>
    <cellStyle name="표준 5 3 2 2 2 6 3 3" xfId="36670" xr:uid="{00000000-0005-0000-0000-0000E6720000}"/>
    <cellStyle name="표준 5 3 2 2 2 6 3 4" xfId="44863" xr:uid="{00000000-0005-0000-0000-0000E7720000}"/>
    <cellStyle name="표준 5 3 2 2 2 6 4" xfId="11865" xr:uid="{00000000-0005-0000-0000-0000E8720000}"/>
    <cellStyle name="표준 5 3 2 2 2 6 5" xfId="16105" xr:uid="{00000000-0005-0000-0000-0000E9720000}"/>
    <cellStyle name="표준 5 3 2 2 2 6 6" xfId="20267" xr:uid="{00000000-0005-0000-0000-0000EA720000}"/>
    <cellStyle name="표준 5 3 2 2 2 6 7" xfId="24363" xr:uid="{00000000-0005-0000-0000-0000EB720000}"/>
    <cellStyle name="표준 5 3 2 2 2 6 8" xfId="32574" xr:uid="{00000000-0005-0000-0000-0000EC720000}"/>
    <cellStyle name="표준 5 3 2 2 2 6 9" xfId="40767" xr:uid="{00000000-0005-0000-0000-0000ED720000}"/>
    <cellStyle name="표준 5 3 2 2 2 7" xfId="1410" xr:uid="{00000000-0005-0000-0000-0000EE720000}"/>
    <cellStyle name="표준 5 3 2 2 2 7 2" xfId="10313" xr:uid="{00000000-0005-0000-0000-0000EF720000}"/>
    <cellStyle name="표준 5 3 2 2 2 7 2 2" xfId="14425" xr:uid="{00000000-0005-0000-0000-0000F0720000}"/>
    <cellStyle name="표준 5 3 2 2 2 7 2 2 2" xfId="31019" xr:uid="{00000000-0005-0000-0000-0000F1720000}"/>
    <cellStyle name="표준 5 3 2 2 2 7 2 2 3" xfId="39230" xr:uid="{00000000-0005-0000-0000-0000F2720000}"/>
    <cellStyle name="표준 5 3 2 2 2 7 2 2 4" xfId="47423" xr:uid="{00000000-0005-0000-0000-0000F3720000}"/>
    <cellStyle name="표준 5 3 2 2 2 7 2 3" xfId="18665" xr:uid="{00000000-0005-0000-0000-0000F4720000}"/>
    <cellStyle name="표준 5 3 2 2 2 7 2 4" xfId="22827" xr:uid="{00000000-0005-0000-0000-0000F5720000}"/>
    <cellStyle name="표준 5 3 2 2 2 7 2 5" xfId="26923" xr:uid="{00000000-0005-0000-0000-0000F6720000}"/>
    <cellStyle name="표준 5 3 2 2 2 7 2 6" xfId="35134" xr:uid="{00000000-0005-0000-0000-0000F7720000}"/>
    <cellStyle name="표준 5 3 2 2 2 7 2 7" xfId="43327" xr:uid="{00000000-0005-0000-0000-0000F8720000}"/>
    <cellStyle name="표준 5 3 2 2 2 7 3" xfId="8265" xr:uid="{00000000-0005-0000-0000-0000F9720000}"/>
    <cellStyle name="표준 5 3 2 2 2 7 3 2" xfId="28971" xr:uid="{00000000-0005-0000-0000-0000FA720000}"/>
    <cellStyle name="표준 5 3 2 2 2 7 3 3" xfId="37182" xr:uid="{00000000-0005-0000-0000-0000FB720000}"/>
    <cellStyle name="표준 5 3 2 2 2 7 3 4" xfId="45375" xr:uid="{00000000-0005-0000-0000-0000FC720000}"/>
    <cellStyle name="표준 5 3 2 2 2 7 4" xfId="12377" xr:uid="{00000000-0005-0000-0000-0000FD720000}"/>
    <cellStyle name="표준 5 3 2 2 2 7 5" xfId="16617" xr:uid="{00000000-0005-0000-0000-0000FE720000}"/>
    <cellStyle name="표준 5 3 2 2 2 7 6" xfId="20779" xr:uid="{00000000-0005-0000-0000-0000FF720000}"/>
    <cellStyle name="표준 5 3 2 2 2 7 7" xfId="24875" xr:uid="{00000000-0005-0000-0000-000000730000}"/>
    <cellStyle name="표준 5 3 2 2 2 7 8" xfId="33086" xr:uid="{00000000-0005-0000-0000-000001730000}"/>
    <cellStyle name="표준 5 3 2 2 2 7 9" xfId="41279" xr:uid="{00000000-0005-0000-0000-000002730000}"/>
    <cellStyle name="표준 5 3 2 2 2 8" xfId="1922" xr:uid="{00000000-0005-0000-0000-000003730000}"/>
    <cellStyle name="표준 5 3 2 2 2 8 2" xfId="10825" xr:uid="{00000000-0005-0000-0000-000004730000}"/>
    <cellStyle name="표준 5 3 2 2 2 8 2 2" xfId="14937" xr:uid="{00000000-0005-0000-0000-000005730000}"/>
    <cellStyle name="표준 5 3 2 2 2 8 2 2 2" xfId="31531" xr:uid="{00000000-0005-0000-0000-000006730000}"/>
    <cellStyle name="표준 5 3 2 2 2 8 2 2 3" xfId="39742" xr:uid="{00000000-0005-0000-0000-000007730000}"/>
    <cellStyle name="표준 5 3 2 2 2 8 2 2 4" xfId="47935" xr:uid="{00000000-0005-0000-0000-000008730000}"/>
    <cellStyle name="표준 5 3 2 2 2 8 2 3" xfId="19177" xr:uid="{00000000-0005-0000-0000-000009730000}"/>
    <cellStyle name="표준 5 3 2 2 2 8 2 4" xfId="23339" xr:uid="{00000000-0005-0000-0000-00000A730000}"/>
    <cellStyle name="표준 5 3 2 2 2 8 2 5" xfId="27435" xr:uid="{00000000-0005-0000-0000-00000B730000}"/>
    <cellStyle name="표준 5 3 2 2 2 8 2 6" xfId="35646" xr:uid="{00000000-0005-0000-0000-00000C730000}"/>
    <cellStyle name="표준 5 3 2 2 2 8 2 7" xfId="43839" xr:uid="{00000000-0005-0000-0000-00000D730000}"/>
    <cellStyle name="표준 5 3 2 2 2 8 3" xfId="8777" xr:uid="{00000000-0005-0000-0000-00000E730000}"/>
    <cellStyle name="표준 5 3 2 2 2 8 3 2" xfId="29483" xr:uid="{00000000-0005-0000-0000-00000F730000}"/>
    <cellStyle name="표준 5 3 2 2 2 8 3 3" xfId="37694" xr:uid="{00000000-0005-0000-0000-000010730000}"/>
    <cellStyle name="표준 5 3 2 2 2 8 3 4" xfId="45887" xr:uid="{00000000-0005-0000-0000-000011730000}"/>
    <cellStyle name="표준 5 3 2 2 2 8 4" xfId="12889" xr:uid="{00000000-0005-0000-0000-000012730000}"/>
    <cellStyle name="표준 5 3 2 2 2 8 5" xfId="17129" xr:uid="{00000000-0005-0000-0000-000013730000}"/>
    <cellStyle name="표준 5 3 2 2 2 8 6" xfId="21291" xr:uid="{00000000-0005-0000-0000-000014730000}"/>
    <cellStyle name="표준 5 3 2 2 2 8 7" xfId="25387" xr:uid="{00000000-0005-0000-0000-000015730000}"/>
    <cellStyle name="표준 5 3 2 2 2 8 8" xfId="33598" xr:uid="{00000000-0005-0000-0000-000016730000}"/>
    <cellStyle name="표준 5 3 2 2 2 8 9" xfId="41791" xr:uid="{00000000-0005-0000-0000-000017730000}"/>
    <cellStyle name="표준 5 3 2 2 2 9" xfId="6978" xr:uid="{00000000-0005-0000-0000-000018730000}"/>
    <cellStyle name="표준 5 3 2 2 2 9 2" xfId="9289" xr:uid="{00000000-0005-0000-0000-000019730000}"/>
    <cellStyle name="표준 5 3 2 2 2 9 2 2" xfId="29995" xr:uid="{00000000-0005-0000-0000-00001A730000}"/>
    <cellStyle name="표준 5 3 2 2 2 9 2 3" xfId="38206" xr:uid="{00000000-0005-0000-0000-00001B730000}"/>
    <cellStyle name="표준 5 3 2 2 2 9 2 4" xfId="46399" xr:uid="{00000000-0005-0000-0000-00001C730000}"/>
    <cellStyle name="표준 5 3 2 2 2 9 3" xfId="13401" xr:uid="{00000000-0005-0000-0000-00001D730000}"/>
    <cellStyle name="표준 5 3 2 2 2 9 4" xfId="17641" xr:uid="{00000000-0005-0000-0000-00001E730000}"/>
    <cellStyle name="표준 5 3 2 2 2 9 5" xfId="21803" xr:uid="{00000000-0005-0000-0000-00001F730000}"/>
    <cellStyle name="표준 5 3 2 2 2 9 6" xfId="25899" xr:uid="{00000000-0005-0000-0000-000020730000}"/>
    <cellStyle name="표준 5 3 2 2 2 9 7" xfId="34110" xr:uid="{00000000-0005-0000-0000-000021730000}"/>
    <cellStyle name="표준 5 3 2 2 2 9 8" xfId="42303" xr:uid="{00000000-0005-0000-0000-000022730000}"/>
    <cellStyle name="표준 5 3 2 2 20" xfId="15449" xr:uid="{00000000-0005-0000-0000-000023730000}"/>
    <cellStyle name="표준 5 3 2 2 21" xfId="15465" xr:uid="{00000000-0005-0000-0000-000024730000}"/>
    <cellStyle name="표준 5 3 2 2 22" xfId="15561" xr:uid="{00000000-0005-0000-0000-000025730000}"/>
    <cellStyle name="표준 5 3 2 2 23" xfId="15577" xr:uid="{00000000-0005-0000-0000-000026730000}"/>
    <cellStyle name="표준 5 3 2 2 24" xfId="19673" xr:uid="{00000000-0005-0000-0000-000027730000}"/>
    <cellStyle name="표준 5 3 2 2 25" xfId="19689" xr:uid="{00000000-0005-0000-0000-000028730000}"/>
    <cellStyle name="표준 5 3 2 2 26" xfId="19705" xr:uid="{00000000-0005-0000-0000-000029730000}"/>
    <cellStyle name="표준 5 3 2 2 27" xfId="19721" xr:uid="{00000000-0005-0000-0000-00002A730000}"/>
    <cellStyle name="표준 5 3 2 2 28" xfId="19726" xr:uid="{00000000-0005-0000-0000-00002B730000}"/>
    <cellStyle name="표준 5 3 2 2 29" xfId="23835" xr:uid="{00000000-0005-0000-0000-00002C730000}"/>
    <cellStyle name="표준 5 3 2 2 3" xfId="300" xr:uid="{00000000-0005-0000-0000-00002D730000}"/>
    <cellStyle name="표준 5 3 2 2 3 10" xfId="7164" xr:uid="{00000000-0005-0000-0000-00002E730000}"/>
    <cellStyle name="표준 5 3 2 2 3 11" xfId="7257" xr:uid="{00000000-0005-0000-0000-00002F730000}"/>
    <cellStyle name="표준 5 3 2 2 3 12" xfId="11369" xr:uid="{00000000-0005-0000-0000-000030730000}"/>
    <cellStyle name="표준 5 3 2 2 3 13" xfId="15497" xr:uid="{00000000-0005-0000-0000-000031730000}"/>
    <cellStyle name="표준 5 3 2 2 3 14" xfId="15609" xr:uid="{00000000-0005-0000-0000-000032730000}"/>
    <cellStyle name="표준 5 3 2 2 3 15" xfId="19771" xr:uid="{00000000-0005-0000-0000-000033730000}"/>
    <cellStyle name="표준 5 3 2 2 3 16" xfId="23867" xr:uid="{00000000-0005-0000-0000-000034730000}"/>
    <cellStyle name="표준 5 3 2 2 3 17" xfId="32078" xr:uid="{00000000-0005-0000-0000-000035730000}"/>
    <cellStyle name="표준 5 3 2 2 3 18" xfId="40271" xr:uid="{00000000-0005-0000-0000-000036730000}"/>
    <cellStyle name="표준 5 3 2 2 3 19" xfId="49701" xr:uid="{00000000-0005-0000-0000-000037730000}"/>
    <cellStyle name="표준 5 3 2 2 3 2" xfId="466" xr:uid="{00000000-0005-0000-0000-000038730000}"/>
    <cellStyle name="표준 5 3 2 2 3 2 10" xfId="11433" xr:uid="{00000000-0005-0000-0000-000039730000}"/>
    <cellStyle name="표준 5 3 2 2 3 2 11" xfId="15545" xr:uid="{00000000-0005-0000-0000-00003A730000}"/>
    <cellStyle name="표준 5 3 2 2 3 2 12" xfId="15673" xr:uid="{00000000-0005-0000-0000-00003B730000}"/>
    <cellStyle name="표준 5 3 2 2 3 2 13" xfId="19835" xr:uid="{00000000-0005-0000-0000-00003C730000}"/>
    <cellStyle name="표준 5 3 2 2 3 2 14" xfId="23931" xr:uid="{00000000-0005-0000-0000-00003D730000}"/>
    <cellStyle name="표준 5 3 2 2 3 2 15" xfId="32142" xr:uid="{00000000-0005-0000-0000-00003E730000}"/>
    <cellStyle name="표준 5 3 2 2 3 2 16" xfId="40335" xr:uid="{00000000-0005-0000-0000-00003F730000}"/>
    <cellStyle name="표준 5 3 2 2 3 2 2" xfId="594" xr:uid="{00000000-0005-0000-0000-000040730000}"/>
    <cellStyle name="표준 5 3 2 2 3 2 2 10" xfId="19963" xr:uid="{00000000-0005-0000-0000-000041730000}"/>
    <cellStyle name="표준 5 3 2 2 3 2 2 11" xfId="24059" xr:uid="{00000000-0005-0000-0000-000042730000}"/>
    <cellStyle name="표준 5 3 2 2 3 2 2 12" xfId="32270" xr:uid="{00000000-0005-0000-0000-000043730000}"/>
    <cellStyle name="표준 5 3 2 2 3 2 2 13" xfId="40463" xr:uid="{00000000-0005-0000-0000-000044730000}"/>
    <cellStyle name="표준 5 3 2 2 3 2 2 2" xfId="850" xr:uid="{00000000-0005-0000-0000-000045730000}"/>
    <cellStyle name="표준 5 3 2 2 3 2 2 2 10" xfId="24315" xr:uid="{00000000-0005-0000-0000-000046730000}"/>
    <cellStyle name="표준 5 3 2 2 3 2 2 2 11" xfId="32526" xr:uid="{00000000-0005-0000-0000-000047730000}"/>
    <cellStyle name="표준 5 3 2 2 3 2 2 2 12" xfId="40719" xr:uid="{00000000-0005-0000-0000-000048730000}"/>
    <cellStyle name="표준 5 3 2 2 3 2 2 2 2" xfId="1362" xr:uid="{00000000-0005-0000-0000-000049730000}"/>
    <cellStyle name="표준 5 3 2 2 3 2 2 2 2 2" xfId="10265" xr:uid="{00000000-0005-0000-0000-00004A730000}"/>
    <cellStyle name="표준 5 3 2 2 3 2 2 2 2 2 2" xfId="14377" xr:uid="{00000000-0005-0000-0000-00004B730000}"/>
    <cellStyle name="표준 5 3 2 2 3 2 2 2 2 2 2 2" xfId="30971" xr:uid="{00000000-0005-0000-0000-00004C730000}"/>
    <cellStyle name="표준 5 3 2 2 3 2 2 2 2 2 2 3" xfId="39182" xr:uid="{00000000-0005-0000-0000-00004D730000}"/>
    <cellStyle name="표준 5 3 2 2 3 2 2 2 2 2 2 4" xfId="47375" xr:uid="{00000000-0005-0000-0000-00004E730000}"/>
    <cellStyle name="표준 5 3 2 2 3 2 2 2 2 2 3" xfId="18617" xr:uid="{00000000-0005-0000-0000-00004F730000}"/>
    <cellStyle name="표준 5 3 2 2 3 2 2 2 2 2 4" xfId="22779" xr:uid="{00000000-0005-0000-0000-000050730000}"/>
    <cellStyle name="표준 5 3 2 2 3 2 2 2 2 2 5" xfId="26875" xr:uid="{00000000-0005-0000-0000-000051730000}"/>
    <cellStyle name="표준 5 3 2 2 3 2 2 2 2 2 6" xfId="35086" xr:uid="{00000000-0005-0000-0000-000052730000}"/>
    <cellStyle name="표준 5 3 2 2 3 2 2 2 2 2 7" xfId="43279" xr:uid="{00000000-0005-0000-0000-000053730000}"/>
    <cellStyle name="표준 5 3 2 2 3 2 2 2 2 3" xfId="8217" xr:uid="{00000000-0005-0000-0000-000054730000}"/>
    <cellStyle name="표준 5 3 2 2 3 2 2 2 2 3 2" xfId="28923" xr:uid="{00000000-0005-0000-0000-000055730000}"/>
    <cellStyle name="표준 5 3 2 2 3 2 2 2 2 3 3" xfId="37134" xr:uid="{00000000-0005-0000-0000-000056730000}"/>
    <cellStyle name="표준 5 3 2 2 3 2 2 2 2 3 4" xfId="45327" xr:uid="{00000000-0005-0000-0000-000057730000}"/>
    <cellStyle name="표준 5 3 2 2 3 2 2 2 2 4" xfId="12329" xr:uid="{00000000-0005-0000-0000-000058730000}"/>
    <cellStyle name="표준 5 3 2 2 3 2 2 2 2 5" xfId="16569" xr:uid="{00000000-0005-0000-0000-000059730000}"/>
    <cellStyle name="표준 5 3 2 2 3 2 2 2 2 6" xfId="20731" xr:uid="{00000000-0005-0000-0000-00005A730000}"/>
    <cellStyle name="표준 5 3 2 2 3 2 2 2 2 7" xfId="24827" xr:uid="{00000000-0005-0000-0000-00005B730000}"/>
    <cellStyle name="표준 5 3 2 2 3 2 2 2 2 8" xfId="33038" xr:uid="{00000000-0005-0000-0000-00005C730000}"/>
    <cellStyle name="표준 5 3 2 2 3 2 2 2 2 9" xfId="41231" xr:uid="{00000000-0005-0000-0000-00005D730000}"/>
    <cellStyle name="표준 5 3 2 2 3 2 2 2 3" xfId="1874" xr:uid="{00000000-0005-0000-0000-00005E730000}"/>
    <cellStyle name="표준 5 3 2 2 3 2 2 2 3 2" xfId="10777" xr:uid="{00000000-0005-0000-0000-00005F730000}"/>
    <cellStyle name="표준 5 3 2 2 3 2 2 2 3 2 2" xfId="14889" xr:uid="{00000000-0005-0000-0000-000060730000}"/>
    <cellStyle name="표준 5 3 2 2 3 2 2 2 3 2 2 2" xfId="31483" xr:uid="{00000000-0005-0000-0000-000061730000}"/>
    <cellStyle name="표준 5 3 2 2 3 2 2 2 3 2 2 3" xfId="39694" xr:uid="{00000000-0005-0000-0000-000062730000}"/>
    <cellStyle name="표준 5 3 2 2 3 2 2 2 3 2 2 4" xfId="47887" xr:uid="{00000000-0005-0000-0000-000063730000}"/>
    <cellStyle name="표준 5 3 2 2 3 2 2 2 3 2 3" xfId="19129" xr:uid="{00000000-0005-0000-0000-000064730000}"/>
    <cellStyle name="표준 5 3 2 2 3 2 2 2 3 2 4" xfId="23291" xr:uid="{00000000-0005-0000-0000-000065730000}"/>
    <cellStyle name="표준 5 3 2 2 3 2 2 2 3 2 5" xfId="27387" xr:uid="{00000000-0005-0000-0000-000066730000}"/>
    <cellStyle name="표준 5 3 2 2 3 2 2 2 3 2 6" xfId="35598" xr:uid="{00000000-0005-0000-0000-000067730000}"/>
    <cellStyle name="표준 5 3 2 2 3 2 2 2 3 2 7" xfId="43791" xr:uid="{00000000-0005-0000-0000-000068730000}"/>
    <cellStyle name="표준 5 3 2 2 3 2 2 2 3 3" xfId="8729" xr:uid="{00000000-0005-0000-0000-000069730000}"/>
    <cellStyle name="표준 5 3 2 2 3 2 2 2 3 3 2" xfId="29435" xr:uid="{00000000-0005-0000-0000-00006A730000}"/>
    <cellStyle name="표준 5 3 2 2 3 2 2 2 3 3 3" xfId="37646" xr:uid="{00000000-0005-0000-0000-00006B730000}"/>
    <cellStyle name="표준 5 3 2 2 3 2 2 2 3 3 4" xfId="45839" xr:uid="{00000000-0005-0000-0000-00006C730000}"/>
    <cellStyle name="표준 5 3 2 2 3 2 2 2 3 4" xfId="12841" xr:uid="{00000000-0005-0000-0000-00006D730000}"/>
    <cellStyle name="표준 5 3 2 2 3 2 2 2 3 5" xfId="17081" xr:uid="{00000000-0005-0000-0000-00006E730000}"/>
    <cellStyle name="표준 5 3 2 2 3 2 2 2 3 6" xfId="21243" xr:uid="{00000000-0005-0000-0000-00006F730000}"/>
    <cellStyle name="표준 5 3 2 2 3 2 2 2 3 7" xfId="25339" xr:uid="{00000000-0005-0000-0000-000070730000}"/>
    <cellStyle name="표준 5 3 2 2 3 2 2 2 3 8" xfId="33550" xr:uid="{00000000-0005-0000-0000-000071730000}"/>
    <cellStyle name="표준 5 3 2 2 3 2 2 2 3 9" xfId="41743" xr:uid="{00000000-0005-0000-0000-000072730000}"/>
    <cellStyle name="표준 5 3 2 2 3 2 2 2 4" xfId="2386" xr:uid="{00000000-0005-0000-0000-000073730000}"/>
    <cellStyle name="표준 5 3 2 2 3 2 2 2 4 2" xfId="11289" xr:uid="{00000000-0005-0000-0000-000074730000}"/>
    <cellStyle name="표준 5 3 2 2 3 2 2 2 4 2 2" xfId="15401" xr:uid="{00000000-0005-0000-0000-000075730000}"/>
    <cellStyle name="표준 5 3 2 2 3 2 2 2 4 2 2 2" xfId="31995" xr:uid="{00000000-0005-0000-0000-000076730000}"/>
    <cellStyle name="표준 5 3 2 2 3 2 2 2 4 2 2 3" xfId="40206" xr:uid="{00000000-0005-0000-0000-000077730000}"/>
    <cellStyle name="표준 5 3 2 2 3 2 2 2 4 2 2 4" xfId="48399" xr:uid="{00000000-0005-0000-0000-000078730000}"/>
    <cellStyle name="표준 5 3 2 2 3 2 2 2 4 2 3" xfId="19641" xr:uid="{00000000-0005-0000-0000-000079730000}"/>
    <cellStyle name="표준 5 3 2 2 3 2 2 2 4 2 4" xfId="23803" xr:uid="{00000000-0005-0000-0000-00007A730000}"/>
    <cellStyle name="표준 5 3 2 2 3 2 2 2 4 2 5" xfId="27899" xr:uid="{00000000-0005-0000-0000-00007B730000}"/>
    <cellStyle name="표준 5 3 2 2 3 2 2 2 4 2 6" xfId="36110" xr:uid="{00000000-0005-0000-0000-00007C730000}"/>
    <cellStyle name="표준 5 3 2 2 3 2 2 2 4 2 7" xfId="44303" xr:uid="{00000000-0005-0000-0000-00007D730000}"/>
    <cellStyle name="표준 5 3 2 2 3 2 2 2 4 3" xfId="9241" xr:uid="{00000000-0005-0000-0000-00007E730000}"/>
    <cellStyle name="표준 5 3 2 2 3 2 2 2 4 3 2" xfId="29947" xr:uid="{00000000-0005-0000-0000-00007F730000}"/>
    <cellStyle name="표준 5 3 2 2 3 2 2 2 4 3 3" xfId="38158" xr:uid="{00000000-0005-0000-0000-000080730000}"/>
    <cellStyle name="표준 5 3 2 2 3 2 2 2 4 3 4" xfId="46351" xr:uid="{00000000-0005-0000-0000-000081730000}"/>
    <cellStyle name="표준 5 3 2 2 3 2 2 2 4 4" xfId="13353" xr:uid="{00000000-0005-0000-0000-000082730000}"/>
    <cellStyle name="표준 5 3 2 2 3 2 2 2 4 5" xfId="17593" xr:uid="{00000000-0005-0000-0000-000083730000}"/>
    <cellStyle name="표준 5 3 2 2 3 2 2 2 4 6" xfId="21755" xr:uid="{00000000-0005-0000-0000-000084730000}"/>
    <cellStyle name="표준 5 3 2 2 3 2 2 2 4 7" xfId="25851" xr:uid="{00000000-0005-0000-0000-000085730000}"/>
    <cellStyle name="표준 5 3 2 2 3 2 2 2 4 8" xfId="34062" xr:uid="{00000000-0005-0000-0000-000086730000}"/>
    <cellStyle name="표준 5 3 2 2 3 2 2 2 4 9" xfId="42255" xr:uid="{00000000-0005-0000-0000-000087730000}"/>
    <cellStyle name="표준 5 3 2 2 3 2 2 2 5" xfId="9753" xr:uid="{00000000-0005-0000-0000-000088730000}"/>
    <cellStyle name="표준 5 3 2 2 3 2 2 2 5 2" xfId="13865" xr:uid="{00000000-0005-0000-0000-000089730000}"/>
    <cellStyle name="표준 5 3 2 2 3 2 2 2 5 2 2" xfId="30459" xr:uid="{00000000-0005-0000-0000-00008A730000}"/>
    <cellStyle name="표준 5 3 2 2 3 2 2 2 5 2 3" xfId="38670" xr:uid="{00000000-0005-0000-0000-00008B730000}"/>
    <cellStyle name="표준 5 3 2 2 3 2 2 2 5 2 4" xfId="46863" xr:uid="{00000000-0005-0000-0000-00008C730000}"/>
    <cellStyle name="표준 5 3 2 2 3 2 2 2 5 3" xfId="18105" xr:uid="{00000000-0005-0000-0000-00008D730000}"/>
    <cellStyle name="표준 5 3 2 2 3 2 2 2 5 4" xfId="22267" xr:uid="{00000000-0005-0000-0000-00008E730000}"/>
    <cellStyle name="표준 5 3 2 2 3 2 2 2 5 5" xfId="26363" xr:uid="{00000000-0005-0000-0000-00008F730000}"/>
    <cellStyle name="표준 5 3 2 2 3 2 2 2 5 6" xfId="34574" xr:uid="{00000000-0005-0000-0000-000090730000}"/>
    <cellStyle name="표준 5 3 2 2 3 2 2 2 5 7" xfId="42767" xr:uid="{00000000-0005-0000-0000-000091730000}"/>
    <cellStyle name="표준 5 3 2 2 3 2 2 2 6" xfId="7705" xr:uid="{00000000-0005-0000-0000-000092730000}"/>
    <cellStyle name="표준 5 3 2 2 3 2 2 2 6 2" xfId="28411" xr:uid="{00000000-0005-0000-0000-000093730000}"/>
    <cellStyle name="표준 5 3 2 2 3 2 2 2 6 3" xfId="36622" xr:uid="{00000000-0005-0000-0000-000094730000}"/>
    <cellStyle name="표준 5 3 2 2 3 2 2 2 6 4" xfId="44815" xr:uid="{00000000-0005-0000-0000-000095730000}"/>
    <cellStyle name="표준 5 3 2 2 3 2 2 2 7" xfId="11817" xr:uid="{00000000-0005-0000-0000-000096730000}"/>
    <cellStyle name="표준 5 3 2 2 3 2 2 2 8" xfId="16057" xr:uid="{00000000-0005-0000-0000-000097730000}"/>
    <cellStyle name="표준 5 3 2 2 3 2 2 2 9" xfId="20219" xr:uid="{00000000-0005-0000-0000-000098730000}"/>
    <cellStyle name="표준 5 3 2 2 3 2 2 3" xfId="1106" xr:uid="{00000000-0005-0000-0000-000099730000}"/>
    <cellStyle name="표준 5 3 2 2 3 2 2 3 2" xfId="10009" xr:uid="{00000000-0005-0000-0000-00009A730000}"/>
    <cellStyle name="표준 5 3 2 2 3 2 2 3 2 2" xfId="14121" xr:uid="{00000000-0005-0000-0000-00009B730000}"/>
    <cellStyle name="표준 5 3 2 2 3 2 2 3 2 2 2" xfId="30715" xr:uid="{00000000-0005-0000-0000-00009C730000}"/>
    <cellStyle name="표준 5 3 2 2 3 2 2 3 2 2 3" xfId="38926" xr:uid="{00000000-0005-0000-0000-00009D730000}"/>
    <cellStyle name="표준 5 3 2 2 3 2 2 3 2 2 4" xfId="47119" xr:uid="{00000000-0005-0000-0000-00009E730000}"/>
    <cellStyle name="표준 5 3 2 2 3 2 2 3 2 3" xfId="18361" xr:uid="{00000000-0005-0000-0000-00009F730000}"/>
    <cellStyle name="표준 5 3 2 2 3 2 2 3 2 4" xfId="22523" xr:uid="{00000000-0005-0000-0000-0000A0730000}"/>
    <cellStyle name="표준 5 3 2 2 3 2 2 3 2 5" xfId="26619" xr:uid="{00000000-0005-0000-0000-0000A1730000}"/>
    <cellStyle name="표준 5 3 2 2 3 2 2 3 2 6" xfId="34830" xr:uid="{00000000-0005-0000-0000-0000A2730000}"/>
    <cellStyle name="표준 5 3 2 2 3 2 2 3 2 7" xfId="43023" xr:uid="{00000000-0005-0000-0000-0000A3730000}"/>
    <cellStyle name="표준 5 3 2 2 3 2 2 3 3" xfId="7961" xr:uid="{00000000-0005-0000-0000-0000A4730000}"/>
    <cellStyle name="표준 5 3 2 2 3 2 2 3 3 2" xfId="28667" xr:uid="{00000000-0005-0000-0000-0000A5730000}"/>
    <cellStyle name="표준 5 3 2 2 3 2 2 3 3 3" xfId="36878" xr:uid="{00000000-0005-0000-0000-0000A6730000}"/>
    <cellStyle name="표준 5 3 2 2 3 2 2 3 3 4" xfId="45071" xr:uid="{00000000-0005-0000-0000-0000A7730000}"/>
    <cellStyle name="표준 5 3 2 2 3 2 2 3 4" xfId="12073" xr:uid="{00000000-0005-0000-0000-0000A8730000}"/>
    <cellStyle name="표준 5 3 2 2 3 2 2 3 5" xfId="16313" xr:uid="{00000000-0005-0000-0000-0000A9730000}"/>
    <cellStyle name="표준 5 3 2 2 3 2 2 3 6" xfId="20475" xr:uid="{00000000-0005-0000-0000-0000AA730000}"/>
    <cellStyle name="표준 5 3 2 2 3 2 2 3 7" xfId="24571" xr:uid="{00000000-0005-0000-0000-0000AB730000}"/>
    <cellStyle name="표준 5 3 2 2 3 2 2 3 8" xfId="32782" xr:uid="{00000000-0005-0000-0000-0000AC730000}"/>
    <cellStyle name="표준 5 3 2 2 3 2 2 3 9" xfId="40975" xr:uid="{00000000-0005-0000-0000-0000AD730000}"/>
    <cellStyle name="표준 5 3 2 2 3 2 2 4" xfId="1618" xr:uid="{00000000-0005-0000-0000-0000AE730000}"/>
    <cellStyle name="표준 5 3 2 2 3 2 2 4 2" xfId="10521" xr:uid="{00000000-0005-0000-0000-0000AF730000}"/>
    <cellStyle name="표준 5 3 2 2 3 2 2 4 2 2" xfId="14633" xr:uid="{00000000-0005-0000-0000-0000B0730000}"/>
    <cellStyle name="표준 5 3 2 2 3 2 2 4 2 2 2" xfId="31227" xr:uid="{00000000-0005-0000-0000-0000B1730000}"/>
    <cellStyle name="표준 5 3 2 2 3 2 2 4 2 2 3" xfId="39438" xr:uid="{00000000-0005-0000-0000-0000B2730000}"/>
    <cellStyle name="표준 5 3 2 2 3 2 2 4 2 2 4" xfId="47631" xr:uid="{00000000-0005-0000-0000-0000B3730000}"/>
    <cellStyle name="표준 5 3 2 2 3 2 2 4 2 3" xfId="18873" xr:uid="{00000000-0005-0000-0000-0000B4730000}"/>
    <cellStyle name="표준 5 3 2 2 3 2 2 4 2 4" xfId="23035" xr:uid="{00000000-0005-0000-0000-0000B5730000}"/>
    <cellStyle name="표준 5 3 2 2 3 2 2 4 2 5" xfId="27131" xr:uid="{00000000-0005-0000-0000-0000B6730000}"/>
    <cellStyle name="표준 5 3 2 2 3 2 2 4 2 6" xfId="35342" xr:uid="{00000000-0005-0000-0000-0000B7730000}"/>
    <cellStyle name="표준 5 3 2 2 3 2 2 4 2 7" xfId="43535" xr:uid="{00000000-0005-0000-0000-0000B8730000}"/>
    <cellStyle name="표준 5 3 2 2 3 2 2 4 3" xfId="8473" xr:uid="{00000000-0005-0000-0000-0000B9730000}"/>
    <cellStyle name="표준 5 3 2 2 3 2 2 4 3 2" xfId="29179" xr:uid="{00000000-0005-0000-0000-0000BA730000}"/>
    <cellStyle name="표준 5 3 2 2 3 2 2 4 3 3" xfId="37390" xr:uid="{00000000-0005-0000-0000-0000BB730000}"/>
    <cellStyle name="표준 5 3 2 2 3 2 2 4 3 4" xfId="45583" xr:uid="{00000000-0005-0000-0000-0000BC730000}"/>
    <cellStyle name="표준 5 3 2 2 3 2 2 4 4" xfId="12585" xr:uid="{00000000-0005-0000-0000-0000BD730000}"/>
    <cellStyle name="표준 5 3 2 2 3 2 2 4 5" xfId="16825" xr:uid="{00000000-0005-0000-0000-0000BE730000}"/>
    <cellStyle name="표준 5 3 2 2 3 2 2 4 6" xfId="20987" xr:uid="{00000000-0005-0000-0000-0000BF730000}"/>
    <cellStyle name="표준 5 3 2 2 3 2 2 4 7" xfId="25083" xr:uid="{00000000-0005-0000-0000-0000C0730000}"/>
    <cellStyle name="표준 5 3 2 2 3 2 2 4 8" xfId="33294" xr:uid="{00000000-0005-0000-0000-0000C1730000}"/>
    <cellStyle name="표준 5 3 2 2 3 2 2 4 9" xfId="41487" xr:uid="{00000000-0005-0000-0000-0000C2730000}"/>
    <cellStyle name="표준 5 3 2 2 3 2 2 5" xfId="2130" xr:uid="{00000000-0005-0000-0000-0000C3730000}"/>
    <cellStyle name="표준 5 3 2 2 3 2 2 5 2" xfId="11033" xr:uid="{00000000-0005-0000-0000-0000C4730000}"/>
    <cellStyle name="표준 5 3 2 2 3 2 2 5 2 2" xfId="15145" xr:uid="{00000000-0005-0000-0000-0000C5730000}"/>
    <cellStyle name="표준 5 3 2 2 3 2 2 5 2 2 2" xfId="31739" xr:uid="{00000000-0005-0000-0000-0000C6730000}"/>
    <cellStyle name="표준 5 3 2 2 3 2 2 5 2 2 3" xfId="39950" xr:uid="{00000000-0005-0000-0000-0000C7730000}"/>
    <cellStyle name="표준 5 3 2 2 3 2 2 5 2 2 4" xfId="48143" xr:uid="{00000000-0005-0000-0000-0000C8730000}"/>
    <cellStyle name="표준 5 3 2 2 3 2 2 5 2 3" xfId="19385" xr:uid="{00000000-0005-0000-0000-0000C9730000}"/>
    <cellStyle name="표준 5 3 2 2 3 2 2 5 2 4" xfId="23547" xr:uid="{00000000-0005-0000-0000-0000CA730000}"/>
    <cellStyle name="표준 5 3 2 2 3 2 2 5 2 5" xfId="27643" xr:uid="{00000000-0005-0000-0000-0000CB730000}"/>
    <cellStyle name="표준 5 3 2 2 3 2 2 5 2 6" xfId="35854" xr:uid="{00000000-0005-0000-0000-0000CC730000}"/>
    <cellStyle name="표준 5 3 2 2 3 2 2 5 2 7" xfId="44047" xr:uid="{00000000-0005-0000-0000-0000CD730000}"/>
    <cellStyle name="표준 5 3 2 2 3 2 2 5 3" xfId="8985" xr:uid="{00000000-0005-0000-0000-0000CE730000}"/>
    <cellStyle name="표준 5 3 2 2 3 2 2 5 3 2" xfId="29691" xr:uid="{00000000-0005-0000-0000-0000CF730000}"/>
    <cellStyle name="표준 5 3 2 2 3 2 2 5 3 3" xfId="37902" xr:uid="{00000000-0005-0000-0000-0000D0730000}"/>
    <cellStyle name="표준 5 3 2 2 3 2 2 5 3 4" xfId="46095" xr:uid="{00000000-0005-0000-0000-0000D1730000}"/>
    <cellStyle name="표준 5 3 2 2 3 2 2 5 4" xfId="13097" xr:uid="{00000000-0005-0000-0000-0000D2730000}"/>
    <cellStyle name="표준 5 3 2 2 3 2 2 5 5" xfId="17337" xr:uid="{00000000-0005-0000-0000-0000D3730000}"/>
    <cellStyle name="표준 5 3 2 2 3 2 2 5 6" xfId="21499" xr:uid="{00000000-0005-0000-0000-0000D4730000}"/>
    <cellStyle name="표준 5 3 2 2 3 2 2 5 7" xfId="25595" xr:uid="{00000000-0005-0000-0000-0000D5730000}"/>
    <cellStyle name="표준 5 3 2 2 3 2 2 5 8" xfId="33806" xr:uid="{00000000-0005-0000-0000-0000D6730000}"/>
    <cellStyle name="표준 5 3 2 2 3 2 2 5 9" xfId="41999" xr:uid="{00000000-0005-0000-0000-0000D7730000}"/>
    <cellStyle name="표준 5 3 2 2 3 2 2 6" xfId="9497" xr:uid="{00000000-0005-0000-0000-0000D8730000}"/>
    <cellStyle name="표준 5 3 2 2 3 2 2 6 2" xfId="13609" xr:uid="{00000000-0005-0000-0000-0000D9730000}"/>
    <cellStyle name="표준 5 3 2 2 3 2 2 6 2 2" xfId="30203" xr:uid="{00000000-0005-0000-0000-0000DA730000}"/>
    <cellStyle name="표준 5 3 2 2 3 2 2 6 2 3" xfId="38414" xr:uid="{00000000-0005-0000-0000-0000DB730000}"/>
    <cellStyle name="표준 5 3 2 2 3 2 2 6 2 4" xfId="46607" xr:uid="{00000000-0005-0000-0000-0000DC730000}"/>
    <cellStyle name="표준 5 3 2 2 3 2 2 6 3" xfId="17849" xr:uid="{00000000-0005-0000-0000-0000DD730000}"/>
    <cellStyle name="표준 5 3 2 2 3 2 2 6 4" xfId="22011" xr:uid="{00000000-0005-0000-0000-0000DE730000}"/>
    <cellStyle name="표준 5 3 2 2 3 2 2 6 5" xfId="26107" xr:uid="{00000000-0005-0000-0000-0000DF730000}"/>
    <cellStyle name="표준 5 3 2 2 3 2 2 6 6" xfId="34318" xr:uid="{00000000-0005-0000-0000-0000E0730000}"/>
    <cellStyle name="표준 5 3 2 2 3 2 2 6 7" xfId="42511" xr:uid="{00000000-0005-0000-0000-0000E1730000}"/>
    <cellStyle name="표준 5 3 2 2 3 2 2 7" xfId="7449" xr:uid="{00000000-0005-0000-0000-0000E2730000}"/>
    <cellStyle name="표준 5 3 2 2 3 2 2 7 2" xfId="28155" xr:uid="{00000000-0005-0000-0000-0000E3730000}"/>
    <cellStyle name="표준 5 3 2 2 3 2 2 7 3" xfId="36366" xr:uid="{00000000-0005-0000-0000-0000E4730000}"/>
    <cellStyle name="표준 5 3 2 2 3 2 2 7 4" xfId="44559" xr:uid="{00000000-0005-0000-0000-0000E5730000}"/>
    <cellStyle name="표준 5 3 2 2 3 2 2 8" xfId="11561" xr:uid="{00000000-0005-0000-0000-0000E6730000}"/>
    <cellStyle name="표준 5 3 2 2 3 2 2 9" xfId="15801" xr:uid="{00000000-0005-0000-0000-0000E7730000}"/>
    <cellStyle name="표준 5 3 2 2 3 2 3" xfId="722" xr:uid="{00000000-0005-0000-0000-0000E8730000}"/>
    <cellStyle name="표준 5 3 2 2 3 2 3 10" xfId="24187" xr:uid="{00000000-0005-0000-0000-0000E9730000}"/>
    <cellStyle name="표준 5 3 2 2 3 2 3 11" xfId="32398" xr:uid="{00000000-0005-0000-0000-0000EA730000}"/>
    <cellStyle name="표준 5 3 2 2 3 2 3 12" xfId="40591" xr:uid="{00000000-0005-0000-0000-0000EB730000}"/>
    <cellStyle name="표준 5 3 2 2 3 2 3 2" xfId="1234" xr:uid="{00000000-0005-0000-0000-0000EC730000}"/>
    <cellStyle name="표준 5 3 2 2 3 2 3 2 2" xfId="10137" xr:uid="{00000000-0005-0000-0000-0000ED730000}"/>
    <cellStyle name="표준 5 3 2 2 3 2 3 2 2 2" xfId="14249" xr:uid="{00000000-0005-0000-0000-0000EE730000}"/>
    <cellStyle name="표준 5 3 2 2 3 2 3 2 2 2 2" xfId="30843" xr:uid="{00000000-0005-0000-0000-0000EF730000}"/>
    <cellStyle name="표준 5 3 2 2 3 2 3 2 2 2 3" xfId="39054" xr:uid="{00000000-0005-0000-0000-0000F0730000}"/>
    <cellStyle name="표준 5 3 2 2 3 2 3 2 2 2 4" xfId="47247" xr:uid="{00000000-0005-0000-0000-0000F1730000}"/>
    <cellStyle name="표준 5 3 2 2 3 2 3 2 2 3" xfId="18489" xr:uid="{00000000-0005-0000-0000-0000F2730000}"/>
    <cellStyle name="표준 5 3 2 2 3 2 3 2 2 4" xfId="22651" xr:uid="{00000000-0005-0000-0000-0000F3730000}"/>
    <cellStyle name="표준 5 3 2 2 3 2 3 2 2 5" xfId="26747" xr:uid="{00000000-0005-0000-0000-0000F4730000}"/>
    <cellStyle name="표준 5 3 2 2 3 2 3 2 2 6" xfId="34958" xr:uid="{00000000-0005-0000-0000-0000F5730000}"/>
    <cellStyle name="표준 5 3 2 2 3 2 3 2 2 7" xfId="43151" xr:uid="{00000000-0005-0000-0000-0000F6730000}"/>
    <cellStyle name="표준 5 3 2 2 3 2 3 2 3" xfId="8089" xr:uid="{00000000-0005-0000-0000-0000F7730000}"/>
    <cellStyle name="표준 5 3 2 2 3 2 3 2 3 2" xfId="28795" xr:uid="{00000000-0005-0000-0000-0000F8730000}"/>
    <cellStyle name="표준 5 3 2 2 3 2 3 2 3 3" xfId="37006" xr:uid="{00000000-0005-0000-0000-0000F9730000}"/>
    <cellStyle name="표준 5 3 2 2 3 2 3 2 3 4" xfId="45199" xr:uid="{00000000-0005-0000-0000-0000FA730000}"/>
    <cellStyle name="표준 5 3 2 2 3 2 3 2 4" xfId="12201" xr:uid="{00000000-0005-0000-0000-0000FB730000}"/>
    <cellStyle name="표준 5 3 2 2 3 2 3 2 5" xfId="16441" xr:uid="{00000000-0005-0000-0000-0000FC730000}"/>
    <cellStyle name="표준 5 3 2 2 3 2 3 2 6" xfId="20603" xr:uid="{00000000-0005-0000-0000-0000FD730000}"/>
    <cellStyle name="표준 5 3 2 2 3 2 3 2 7" xfId="24699" xr:uid="{00000000-0005-0000-0000-0000FE730000}"/>
    <cellStyle name="표준 5 3 2 2 3 2 3 2 8" xfId="32910" xr:uid="{00000000-0005-0000-0000-0000FF730000}"/>
    <cellStyle name="표준 5 3 2 2 3 2 3 2 9" xfId="41103" xr:uid="{00000000-0005-0000-0000-000000740000}"/>
    <cellStyle name="표준 5 3 2 2 3 2 3 3" xfId="1746" xr:uid="{00000000-0005-0000-0000-000001740000}"/>
    <cellStyle name="표준 5 3 2 2 3 2 3 3 2" xfId="10649" xr:uid="{00000000-0005-0000-0000-000002740000}"/>
    <cellStyle name="표준 5 3 2 2 3 2 3 3 2 2" xfId="14761" xr:uid="{00000000-0005-0000-0000-000003740000}"/>
    <cellStyle name="표준 5 3 2 2 3 2 3 3 2 2 2" xfId="31355" xr:uid="{00000000-0005-0000-0000-000004740000}"/>
    <cellStyle name="표준 5 3 2 2 3 2 3 3 2 2 3" xfId="39566" xr:uid="{00000000-0005-0000-0000-000005740000}"/>
    <cellStyle name="표준 5 3 2 2 3 2 3 3 2 2 4" xfId="47759" xr:uid="{00000000-0005-0000-0000-000006740000}"/>
    <cellStyle name="표준 5 3 2 2 3 2 3 3 2 3" xfId="19001" xr:uid="{00000000-0005-0000-0000-000007740000}"/>
    <cellStyle name="표준 5 3 2 2 3 2 3 3 2 4" xfId="23163" xr:uid="{00000000-0005-0000-0000-000008740000}"/>
    <cellStyle name="표준 5 3 2 2 3 2 3 3 2 5" xfId="27259" xr:uid="{00000000-0005-0000-0000-000009740000}"/>
    <cellStyle name="표준 5 3 2 2 3 2 3 3 2 6" xfId="35470" xr:uid="{00000000-0005-0000-0000-00000A740000}"/>
    <cellStyle name="표준 5 3 2 2 3 2 3 3 2 7" xfId="43663" xr:uid="{00000000-0005-0000-0000-00000B740000}"/>
    <cellStyle name="표준 5 3 2 2 3 2 3 3 3" xfId="8601" xr:uid="{00000000-0005-0000-0000-00000C740000}"/>
    <cellStyle name="표준 5 3 2 2 3 2 3 3 3 2" xfId="29307" xr:uid="{00000000-0005-0000-0000-00000D740000}"/>
    <cellStyle name="표준 5 3 2 2 3 2 3 3 3 3" xfId="37518" xr:uid="{00000000-0005-0000-0000-00000E740000}"/>
    <cellStyle name="표준 5 3 2 2 3 2 3 3 3 4" xfId="45711" xr:uid="{00000000-0005-0000-0000-00000F740000}"/>
    <cellStyle name="표준 5 3 2 2 3 2 3 3 4" xfId="12713" xr:uid="{00000000-0005-0000-0000-000010740000}"/>
    <cellStyle name="표준 5 3 2 2 3 2 3 3 5" xfId="16953" xr:uid="{00000000-0005-0000-0000-000011740000}"/>
    <cellStyle name="표준 5 3 2 2 3 2 3 3 6" xfId="21115" xr:uid="{00000000-0005-0000-0000-000012740000}"/>
    <cellStyle name="표준 5 3 2 2 3 2 3 3 7" xfId="25211" xr:uid="{00000000-0005-0000-0000-000013740000}"/>
    <cellStyle name="표준 5 3 2 2 3 2 3 3 8" xfId="33422" xr:uid="{00000000-0005-0000-0000-000014740000}"/>
    <cellStyle name="표준 5 3 2 2 3 2 3 3 9" xfId="41615" xr:uid="{00000000-0005-0000-0000-000015740000}"/>
    <cellStyle name="표준 5 3 2 2 3 2 3 4" xfId="2258" xr:uid="{00000000-0005-0000-0000-000016740000}"/>
    <cellStyle name="표준 5 3 2 2 3 2 3 4 2" xfId="11161" xr:uid="{00000000-0005-0000-0000-000017740000}"/>
    <cellStyle name="표준 5 3 2 2 3 2 3 4 2 2" xfId="15273" xr:uid="{00000000-0005-0000-0000-000018740000}"/>
    <cellStyle name="표준 5 3 2 2 3 2 3 4 2 2 2" xfId="31867" xr:uid="{00000000-0005-0000-0000-000019740000}"/>
    <cellStyle name="표준 5 3 2 2 3 2 3 4 2 2 3" xfId="40078" xr:uid="{00000000-0005-0000-0000-00001A740000}"/>
    <cellStyle name="표준 5 3 2 2 3 2 3 4 2 2 4" xfId="48271" xr:uid="{00000000-0005-0000-0000-00001B740000}"/>
    <cellStyle name="표준 5 3 2 2 3 2 3 4 2 3" xfId="19513" xr:uid="{00000000-0005-0000-0000-00001C740000}"/>
    <cellStyle name="표준 5 3 2 2 3 2 3 4 2 4" xfId="23675" xr:uid="{00000000-0005-0000-0000-00001D740000}"/>
    <cellStyle name="표준 5 3 2 2 3 2 3 4 2 5" xfId="27771" xr:uid="{00000000-0005-0000-0000-00001E740000}"/>
    <cellStyle name="표준 5 3 2 2 3 2 3 4 2 6" xfId="35982" xr:uid="{00000000-0005-0000-0000-00001F740000}"/>
    <cellStyle name="표준 5 3 2 2 3 2 3 4 2 7" xfId="44175" xr:uid="{00000000-0005-0000-0000-000020740000}"/>
    <cellStyle name="표준 5 3 2 2 3 2 3 4 3" xfId="9113" xr:uid="{00000000-0005-0000-0000-000021740000}"/>
    <cellStyle name="표준 5 3 2 2 3 2 3 4 3 2" xfId="29819" xr:uid="{00000000-0005-0000-0000-000022740000}"/>
    <cellStyle name="표준 5 3 2 2 3 2 3 4 3 3" xfId="38030" xr:uid="{00000000-0005-0000-0000-000023740000}"/>
    <cellStyle name="표준 5 3 2 2 3 2 3 4 3 4" xfId="46223" xr:uid="{00000000-0005-0000-0000-000024740000}"/>
    <cellStyle name="표준 5 3 2 2 3 2 3 4 4" xfId="13225" xr:uid="{00000000-0005-0000-0000-000025740000}"/>
    <cellStyle name="표준 5 3 2 2 3 2 3 4 5" xfId="17465" xr:uid="{00000000-0005-0000-0000-000026740000}"/>
    <cellStyle name="표준 5 3 2 2 3 2 3 4 6" xfId="21627" xr:uid="{00000000-0005-0000-0000-000027740000}"/>
    <cellStyle name="표준 5 3 2 2 3 2 3 4 7" xfId="25723" xr:uid="{00000000-0005-0000-0000-000028740000}"/>
    <cellStyle name="표준 5 3 2 2 3 2 3 4 8" xfId="33934" xr:uid="{00000000-0005-0000-0000-000029740000}"/>
    <cellStyle name="표준 5 3 2 2 3 2 3 4 9" xfId="42127" xr:uid="{00000000-0005-0000-0000-00002A740000}"/>
    <cellStyle name="표준 5 3 2 2 3 2 3 5" xfId="9625" xr:uid="{00000000-0005-0000-0000-00002B740000}"/>
    <cellStyle name="표준 5 3 2 2 3 2 3 5 2" xfId="13737" xr:uid="{00000000-0005-0000-0000-00002C740000}"/>
    <cellStyle name="표준 5 3 2 2 3 2 3 5 2 2" xfId="30331" xr:uid="{00000000-0005-0000-0000-00002D740000}"/>
    <cellStyle name="표준 5 3 2 2 3 2 3 5 2 3" xfId="38542" xr:uid="{00000000-0005-0000-0000-00002E740000}"/>
    <cellStyle name="표준 5 3 2 2 3 2 3 5 2 4" xfId="46735" xr:uid="{00000000-0005-0000-0000-00002F740000}"/>
    <cellStyle name="표준 5 3 2 2 3 2 3 5 3" xfId="17977" xr:uid="{00000000-0005-0000-0000-000030740000}"/>
    <cellStyle name="표준 5 3 2 2 3 2 3 5 4" xfId="22139" xr:uid="{00000000-0005-0000-0000-000031740000}"/>
    <cellStyle name="표준 5 3 2 2 3 2 3 5 5" xfId="26235" xr:uid="{00000000-0005-0000-0000-000032740000}"/>
    <cellStyle name="표준 5 3 2 2 3 2 3 5 6" xfId="34446" xr:uid="{00000000-0005-0000-0000-000033740000}"/>
    <cellStyle name="표준 5 3 2 2 3 2 3 5 7" xfId="42639" xr:uid="{00000000-0005-0000-0000-000034740000}"/>
    <cellStyle name="표준 5 3 2 2 3 2 3 6" xfId="7577" xr:uid="{00000000-0005-0000-0000-000035740000}"/>
    <cellStyle name="표준 5 3 2 2 3 2 3 6 2" xfId="28283" xr:uid="{00000000-0005-0000-0000-000036740000}"/>
    <cellStyle name="표준 5 3 2 2 3 2 3 6 3" xfId="36494" xr:uid="{00000000-0005-0000-0000-000037740000}"/>
    <cellStyle name="표준 5 3 2 2 3 2 3 6 4" xfId="44687" xr:uid="{00000000-0005-0000-0000-000038740000}"/>
    <cellStyle name="표준 5 3 2 2 3 2 3 7" xfId="11689" xr:uid="{00000000-0005-0000-0000-000039740000}"/>
    <cellStyle name="표준 5 3 2 2 3 2 3 8" xfId="15929" xr:uid="{00000000-0005-0000-0000-00003A740000}"/>
    <cellStyle name="표준 5 3 2 2 3 2 3 9" xfId="20091" xr:uid="{00000000-0005-0000-0000-00003B740000}"/>
    <cellStyle name="표준 5 3 2 2 3 2 4" xfId="978" xr:uid="{00000000-0005-0000-0000-00003C740000}"/>
    <cellStyle name="표준 5 3 2 2 3 2 4 2" xfId="9881" xr:uid="{00000000-0005-0000-0000-00003D740000}"/>
    <cellStyle name="표준 5 3 2 2 3 2 4 2 2" xfId="13993" xr:uid="{00000000-0005-0000-0000-00003E740000}"/>
    <cellStyle name="표준 5 3 2 2 3 2 4 2 2 2" xfId="30587" xr:uid="{00000000-0005-0000-0000-00003F740000}"/>
    <cellStyle name="표준 5 3 2 2 3 2 4 2 2 3" xfId="38798" xr:uid="{00000000-0005-0000-0000-000040740000}"/>
    <cellStyle name="표준 5 3 2 2 3 2 4 2 2 4" xfId="46991" xr:uid="{00000000-0005-0000-0000-000041740000}"/>
    <cellStyle name="표준 5 3 2 2 3 2 4 2 3" xfId="18233" xr:uid="{00000000-0005-0000-0000-000042740000}"/>
    <cellStyle name="표준 5 3 2 2 3 2 4 2 4" xfId="22395" xr:uid="{00000000-0005-0000-0000-000043740000}"/>
    <cellStyle name="표준 5 3 2 2 3 2 4 2 5" xfId="26491" xr:uid="{00000000-0005-0000-0000-000044740000}"/>
    <cellStyle name="표준 5 3 2 2 3 2 4 2 6" xfId="34702" xr:uid="{00000000-0005-0000-0000-000045740000}"/>
    <cellStyle name="표준 5 3 2 2 3 2 4 2 7" xfId="42895" xr:uid="{00000000-0005-0000-0000-000046740000}"/>
    <cellStyle name="표준 5 3 2 2 3 2 4 3" xfId="7833" xr:uid="{00000000-0005-0000-0000-000047740000}"/>
    <cellStyle name="표준 5 3 2 2 3 2 4 3 2" xfId="28539" xr:uid="{00000000-0005-0000-0000-000048740000}"/>
    <cellStyle name="표준 5 3 2 2 3 2 4 3 3" xfId="36750" xr:uid="{00000000-0005-0000-0000-000049740000}"/>
    <cellStyle name="표준 5 3 2 2 3 2 4 3 4" xfId="44943" xr:uid="{00000000-0005-0000-0000-00004A740000}"/>
    <cellStyle name="표준 5 3 2 2 3 2 4 4" xfId="11945" xr:uid="{00000000-0005-0000-0000-00004B740000}"/>
    <cellStyle name="표준 5 3 2 2 3 2 4 5" xfId="16185" xr:uid="{00000000-0005-0000-0000-00004C740000}"/>
    <cellStyle name="표준 5 3 2 2 3 2 4 6" xfId="20347" xr:uid="{00000000-0005-0000-0000-00004D740000}"/>
    <cellStyle name="표준 5 3 2 2 3 2 4 7" xfId="24443" xr:uid="{00000000-0005-0000-0000-00004E740000}"/>
    <cellStyle name="표준 5 3 2 2 3 2 4 8" xfId="32654" xr:uid="{00000000-0005-0000-0000-00004F740000}"/>
    <cellStyle name="표준 5 3 2 2 3 2 4 9" xfId="40847" xr:uid="{00000000-0005-0000-0000-000050740000}"/>
    <cellStyle name="표준 5 3 2 2 3 2 5" xfId="1490" xr:uid="{00000000-0005-0000-0000-000051740000}"/>
    <cellStyle name="표준 5 3 2 2 3 2 5 2" xfId="10393" xr:uid="{00000000-0005-0000-0000-000052740000}"/>
    <cellStyle name="표준 5 3 2 2 3 2 5 2 2" xfId="14505" xr:uid="{00000000-0005-0000-0000-000053740000}"/>
    <cellStyle name="표준 5 3 2 2 3 2 5 2 2 2" xfId="31099" xr:uid="{00000000-0005-0000-0000-000054740000}"/>
    <cellStyle name="표준 5 3 2 2 3 2 5 2 2 3" xfId="39310" xr:uid="{00000000-0005-0000-0000-000055740000}"/>
    <cellStyle name="표준 5 3 2 2 3 2 5 2 2 4" xfId="47503" xr:uid="{00000000-0005-0000-0000-000056740000}"/>
    <cellStyle name="표준 5 3 2 2 3 2 5 2 3" xfId="18745" xr:uid="{00000000-0005-0000-0000-000057740000}"/>
    <cellStyle name="표준 5 3 2 2 3 2 5 2 4" xfId="22907" xr:uid="{00000000-0005-0000-0000-000058740000}"/>
    <cellStyle name="표준 5 3 2 2 3 2 5 2 5" xfId="27003" xr:uid="{00000000-0005-0000-0000-000059740000}"/>
    <cellStyle name="표준 5 3 2 2 3 2 5 2 6" xfId="35214" xr:uid="{00000000-0005-0000-0000-00005A740000}"/>
    <cellStyle name="표준 5 3 2 2 3 2 5 2 7" xfId="43407" xr:uid="{00000000-0005-0000-0000-00005B740000}"/>
    <cellStyle name="표준 5 3 2 2 3 2 5 3" xfId="8345" xr:uid="{00000000-0005-0000-0000-00005C740000}"/>
    <cellStyle name="표준 5 3 2 2 3 2 5 3 2" xfId="29051" xr:uid="{00000000-0005-0000-0000-00005D740000}"/>
    <cellStyle name="표준 5 3 2 2 3 2 5 3 3" xfId="37262" xr:uid="{00000000-0005-0000-0000-00005E740000}"/>
    <cellStyle name="표준 5 3 2 2 3 2 5 3 4" xfId="45455" xr:uid="{00000000-0005-0000-0000-00005F740000}"/>
    <cellStyle name="표준 5 3 2 2 3 2 5 4" xfId="12457" xr:uid="{00000000-0005-0000-0000-000060740000}"/>
    <cellStyle name="표준 5 3 2 2 3 2 5 5" xfId="16697" xr:uid="{00000000-0005-0000-0000-000061740000}"/>
    <cellStyle name="표준 5 3 2 2 3 2 5 6" xfId="20859" xr:uid="{00000000-0005-0000-0000-000062740000}"/>
    <cellStyle name="표준 5 3 2 2 3 2 5 7" xfId="24955" xr:uid="{00000000-0005-0000-0000-000063740000}"/>
    <cellStyle name="표준 5 3 2 2 3 2 5 8" xfId="33166" xr:uid="{00000000-0005-0000-0000-000064740000}"/>
    <cellStyle name="표준 5 3 2 2 3 2 5 9" xfId="41359" xr:uid="{00000000-0005-0000-0000-000065740000}"/>
    <cellStyle name="표준 5 3 2 2 3 2 6" xfId="2002" xr:uid="{00000000-0005-0000-0000-000066740000}"/>
    <cellStyle name="표준 5 3 2 2 3 2 6 2" xfId="10905" xr:uid="{00000000-0005-0000-0000-000067740000}"/>
    <cellStyle name="표준 5 3 2 2 3 2 6 2 2" xfId="15017" xr:uid="{00000000-0005-0000-0000-000068740000}"/>
    <cellStyle name="표준 5 3 2 2 3 2 6 2 2 2" xfId="31611" xr:uid="{00000000-0005-0000-0000-000069740000}"/>
    <cellStyle name="표준 5 3 2 2 3 2 6 2 2 3" xfId="39822" xr:uid="{00000000-0005-0000-0000-00006A740000}"/>
    <cellStyle name="표준 5 3 2 2 3 2 6 2 2 4" xfId="48015" xr:uid="{00000000-0005-0000-0000-00006B740000}"/>
    <cellStyle name="표준 5 3 2 2 3 2 6 2 3" xfId="19257" xr:uid="{00000000-0005-0000-0000-00006C740000}"/>
    <cellStyle name="표준 5 3 2 2 3 2 6 2 4" xfId="23419" xr:uid="{00000000-0005-0000-0000-00006D740000}"/>
    <cellStyle name="표준 5 3 2 2 3 2 6 2 5" xfId="27515" xr:uid="{00000000-0005-0000-0000-00006E740000}"/>
    <cellStyle name="표준 5 3 2 2 3 2 6 2 6" xfId="35726" xr:uid="{00000000-0005-0000-0000-00006F740000}"/>
    <cellStyle name="표준 5 3 2 2 3 2 6 2 7" xfId="43919" xr:uid="{00000000-0005-0000-0000-000070740000}"/>
    <cellStyle name="표준 5 3 2 2 3 2 6 3" xfId="8857" xr:uid="{00000000-0005-0000-0000-000071740000}"/>
    <cellStyle name="표준 5 3 2 2 3 2 6 3 2" xfId="29563" xr:uid="{00000000-0005-0000-0000-000072740000}"/>
    <cellStyle name="표준 5 3 2 2 3 2 6 3 3" xfId="37774" xr:uid="{00000000-0005-0000-0000-000073740000}"/>
    <cellStyle name="표준 5 3 2 2 3 2 6 3 4" xfId="45967" xr:uid="{00000000-0005-0000-0000-000074740000}"/>
    <cellStyle name="표준 5 3 2 2 3 2 6 4" xfId="12969" xr:uid="{00000000-0005-0000-0000-000075740000}"/>
    <cellStyle name="표준 5 3 2 2 3 2 6 5" xfId="17209" xr:uid="{00000000-0005-0000-0000-000076740000}"/>
    <cellStyle name="표준 5 3 2 2 3 2 6 6" xfId="21371" xr:uid="{00000000-0005-0000-0000-000077740000}"/>
    <cellStyle name="표준 5 3 2 2 3 2 6 7" xfId="25467" xr:uid="{00000000-0005-0000-0000-000078740000}"/>
    <cellStyle name="표준 5 3 2 2 3 2 6 8" xfId="33678" xr:uid="{00000000-0005-0000-0000-000079740000}"/>
    <cellStyle name="표준 5 3 2 2 3 2 6 9" xfId="41871" xr:uid="{00000000-0005-0000-0000-00007A740000}"/>
    <cellStyle name="표준 5 3 2 2 3 2 7" xfId="7062" xr:uid="{00000000-0005-0000-0000-00007B740000}"/>
    <cellStyle name="표준 5 3 2 2 3 2 7 2" xfId="9369" xr:uid="{00000000-0005-0000-0000-00007C740000}"/>
    <cellStyle name="표준 5 3 2 2 3 2 7 2 2" xfId="30075" xr:uid="{00000000-0005-0000-0000-00007D740000}"/>
    <cellStyle name="표준 5 3 2 2 3 2 7 2 3" xfId="38286" xr:uid="{00000000-0005-0000-0000-00007E740000}"/>
    <cellStyle name="표준 5 3 2 2 3 2 7 2 4" xfId="46479" xr:uid="{00000000-0005-0000-0000-00007F740000}"/>
    <cellStyle name="표준 5 3 2 2 3 2 7 3" xfId="13481" xr:uid="{00000000-0005-0000-0000-000080740000}"/>
    <cellStyle name="표준 5 3 2 2 3 2 7 4" xfId="17721" xr:uid="{00000000-0005-0000-0000-000081740000}"/>
    <cellStyle name="표준 5 3 2 2 3 2 7 5" xfId="21883" xr:uid="{00000000-0005-0000-0000-000082740000}"/>
    <cellStyle name="표준 5 3 2 2 3 2 7 6" xfId="25979" xr:uid="{00000000-0005-0000-0000-000083740000}"/>
    <cellStyle name="표준 5 3 2 2 3 2 7 7" xfId="34190" xr:uid="{00000000-0005-0000-0000-000084740000}"/>
    <cellStyle name="표준 5 3 2 2 3 2 7 8" xfId="42383" xr:uid="{00000000-0005-0000-0000-000085740000}"/>
    <cellStyle name="표준 5 3 2 2 3 2 8" xfId="7116" xr:uid="{00000000-0005-0000-0000-000086740000}"/>
    <cellStyle name="표준 5 3 2 2 3 2 8 2" xfId="28027" xr:uid="{00000000-0005-0000-0000-000087740000}"/>
    <cellStyle name="표준 5 3 2 2 3 2 8 3" xfId="36238" xr:uid="{00000000-0005-0000-0000-000088740000}"/>
    <cellStyle name="표준 5 3 2 2 3 2 8 4" xfId="44431" xr:uid="{00000000-0005-0000-0000-000089740000}"/>
    <cellStyle name="표준 5 3 2 2 3 2 9" xfId="7321" xr:uid="{00000000-0005-0000-0000-00008A740000}"/>
    <cellStyle name="표준 5 3 2 2 3 3" xfId="530" xr:uid="{00000000-0005-0000-0000-00008B740000}"/>
    <cellStyle name="표준 5 3 2 2 3 3 10" xfId="19899" xr:uid="{00000000-0005-0000-0000-00008C740000}"/>
    <cellStyle name="표준 5 3 2 2 3 3 11" xfId="23995" xr:uid="{00000000-0005-0000-0000-00008D740000}"/>
    <cellStyle name="표준 5 3 2 2 3 3 12" xfId="32206" xr:uid="{00000000-0005-0000-0000-00008E740000}"/>
    <cellStyle name="표준 5 3 2 2 3 3 13" xfId="40399" xr:uid="{00000000-0005-0000-0000-00008F740000}"/>
    <cellStyle name="표준 5 3 2 2 3 3 2" xfId="786" xr:uid="{00000000-0005-0000-0000-000090740000}"/>
    <cellStyle name="표준 5 3 2 2 3 3 2 10" xfId="24251" xr:uid="{00000000-0005-0000-0000-000091740000}"/>
    <cellStyle name="표준 5 3 2 2 3 3 2 11" xfId="32462" xr:uid="{00000000-0005-0000-0000-000092740000}"/>
    <cellStyle name="표준 5 3 2 2 3 3 2 12" xfId="40655" xr:uid="{00000000-0005-0000-0000-000093740000}"/>
    <cellStyle name="표준 5 3 2 2 3 3 2 2" xfId="1298" xr:uid="{00000000-0005-0000-0000-000094740000}"/>
    <cellStyle name="표준 5 3 2 2 3 3 2 2 2" xfId="10201" xr:uid="{00000000-0005-0000-0000-000095740000}"/>
    <cellStyle name="표준 5 3 2 2 3 3 2 2 2 2" xfId="14313" xr:uid="{00000000-0005-0000-0000-000096740000}"/>
    <cellStyle name="표준 5 3 2 2 3 3 2 2 2 2 2" xfId="30907" xr:uid="{00000000-0005-0000-0000-000097740000}"/>
    <cellStyle name="표준 5 3 2 2 3 3 2 2 2 2 3" xfId="39118" xr:uid="{00000000-0005-0000-0000-000098740000}"/>
    <cellStyle name="표준 5 3 2 2 3 3 2 2 2 2 4" xfId="47311" xr:uid="{00000000-0005-0000-0000-000099740000}"/>
    <cellStyle name="표준 5 3 2 2 3 3 2 2 2 3" xfId="18553" xr:uid="{00000000-0005-0000-0000-00009A740000}"/>
    <cellStyle name="표준 5 3 2 2 3 3 2 2 2 4" xfId="22715" xr:uid="{00000000-0005-0000-0000-00009B740000}"/>
    <cellStyle name="표준 5 3 2 2 3 3 2 2 2 5" xfId="26811" xr:uid="{00000000-0005-0000-0000-00009C740000}"/>
    <cellStyle name="표준 5 3 2 2 3 3 2 2 2 6" xfId="35022" xr:uid="{00000000-0005-0000-0000-00009D740000}"/>
    <cellStyle name="표준 5 3 2 2 3 3 2 2 2 7" xfId="43215" xr:uid="{00000000-0005-0000-0000-00009E740000}"/>
    <cellStyle name="표준 5 3 2 2 3 3 2 2 3" xfId="8153" xr:uid="{00000000-0005-0000-0000-00009F740000}"/>
    <cellStyle name="표준 5 3 2 2 3 3 2 2 3 2" xfId="28859" xr:uid="{00000000-0005-0000-0000-0000A0740000}"/>
    <cellStyle name="표준 5 3 2 2 3 3 2 2 3 3" xfId="37070" xr:uid="{00000000-0005-0000-0000-0000A1740000}"/>
    <cellStyle name="표준 5 3 2 2 3 3 2 2 3 4" xfId="45263" xr:uid="{00000000-0005-0000-0000-0000A2740000}"/>
    <cellStyle name="표준 5 3 2 2 3 3 2 2 4" xfId="12265" xr:uid="{00000000-0005-0000-0000-0000A3740000}"/>
    <cellStyle name="표준 5 3 2 2 3 3 2 2 5" xfId="16505" xr:uid="{00000000-0005-0000-0000-0000A4740000}"/>
    <cellStyle name="표준 5 3 2 2 3 3 2 2 6" xfId="20667" xr:uid="{00000000-0005-0000-0000-0000A5740000}"/>
    <cellStyle name="표준 5 3 2 2 3 3 2 2 7" xfId="24763" xr:uid="{00000000-0005-0000-0000-0000A6740000}"/>
    <cellStyle name="표준 5 3 2 2 3 3 2 2 8" xfId="32974" xr:uid="{00000000-0005-0000-0000-0000A7740000}"/>
    <cellStyle name="표준 5 3 2 2 3 3 2 2 9" xfId="41167" xr:uid="{00000000-0005-0000-0000-0000A8740000}"/>
    <cellStyle name="표준 5 3 2 2 3 3 2 3" xfId="1810" xr:uid="{00000000-0005-0000-0000-0000A9740000}"/>
    <cellStyle name="표준 5 3 2 2 3 3 2 3 2" xfId="10713" xr:uid="{00000000-0005-0000-0000-0000AA740000}"/>
    <cellStyle name="표준 5 3 2 2 3 3 2 3 2 2" xfId="14825" xr:uid="{00000000-0005-0000-0000-0000AB740000}"/>
    <cellStyle name="표준 5 3 2 2 3 3 2 3 2 2 2" xfId="31419" xr:uid="{00000000-0005-0000-0000-0000AC740000}"/>
    <cellStyle name="표준 5 3 2 2 3 3 2 3 2 2 3" xfId="39630" xr:uid="{00000000-0005-0000-0000-0000AD740000}"/>
    <cellStyle name="표준 5 3 2 2 3 3 2 3 2 2 4" xfId="47823" xr:uid="{00000000-0005-0000-0000-0000AE740000}"/>
    <cellStyle name="표준 5 3 2 2 3 3 2 3 2 3" xfId="19065" xr:uid="{00000000-0005-0000-0000-0000AF740000}"/>
    <cellStyle name="표준 5 3 2 2 3 3 2 3 2 4" xfId="23227" xr:uid="{00000000-0005-0000-0000-0000B0740000}"/>
    <cellStyle name="표준 5 3 2 2 3 3 2 3 2 5" xfId="27323" xr:uid="{00000000-0005-0000-0000-0000B1740000}"/>
    <cellStyle name="표준 5 3 2 2 3 3 2 3 2 6" xfId="35534" xr:uid="{00000000-0005-0000-0000-0000B2740000}"/>
    <cellStyle name="표준 5 3 2 2 3 3 2 3 2 7" xfId="43727" xr:uid="{00000000-0005-0000-0000-0000B3740000}"/>
    <cellStyle name="표준 5 3 2 2 3 3 2 3 3" xfId="8665" xr:uid="{00000000-0005-0000-0000-0000B4740000}"/>
    <cellStyle name="표준 5 3 2 2 3 3 2 3 3 2" xfId="29371" xr:uid="{00000000-0005-0000-0000-0000B5740000}"/>
    <cellStyle name="표준 5 3 2 2 3 3 2 3 3 3" xfId="37582" xr:uid="{00000000-0005-0000-0000-0000B6740000}"/>
    <cellStyle name="표준 5 3 2 2 3 3 2 3 3 4" xfId="45775" xr:uid="{00000000-0005-0000-0000-0000B7740000}"/>
    <cellStyle name="표준 5 3 2 2 3 3 2 3 4" xfId="12777" xr:uid="{00000000-0005-0000-0000-0000B8740000}"/>
    <cellStyle name="표준 5 3 2 2 3 3 2 3 5" xfId="17017" xr:uid="{00000000-0005-0000-0000-0000B9740000}"/>
    <cellStyle name="표준 5 3 2 2 3 3 2 3 6" xfId="21179" xr:uid="{00000000-0005-0000-0000-0000BA740000}"/>
    <cellStyle name="표준 5 3 2 2 3 3 2 3 7" xfId="25275" xr:uid="{00000000-0005-0000-0000-0000BB740000}"/>
    <cellStyle name="표준 5 3 2 2 3 3 2 3 8" xfId="33486" xr:uid="{00000000-0005-0000-0000-0000BC740000}"/>
    <cellStyle name="표준 5 3 2 2 3 3 2 3 9" xfId="41679" xr:uid="{00000000-0005-0000-0000-0000BD740000}"/>
    <cellStyle name="표준 5 3 2 2 3 3 2 4" xfId="2322" xr:uid="{00000000-0005-0000-0000-0000BE740000}"/>
    <cellStyle name="표준 5 3 2 2 3 3 2 4 2" xfId="11225" xr:uid="{00000000-0005-0000-0000-0000BF740000}"/>
    <cellStyle name="표준 5 3 2 2 3 3 2 4 2 2" xfId="15337" xr:uid="{00000000-0005-0000-0000-0000C0740000}"/>
    <cellStyle name="표준 5 3 2 2 3 3 2 4 2 2 2" xfId="31931" xr:uid="{00000000-0005-0000-0000-0000C1740000}"/>
    <cellStyle name="표준 5 3 2 2 3 3 2 4 2 2 3" xfId="40142" xr:uid="{00000000-0005-0000-0000-0000C2740000}"/>
    <cellStyle name="표준 5 3 2 2 3 3 2 4 2 2 4" xfId="48335" xr:uid="{00000000-0005-0000-0000-0000C3740000}"/>
    <cellStyle name="표준 5 3 2 2 3 3 2 4 2 3" xfId="19577" xr:uid="{00000000-0005-0000-0000-0000C4740000}"/>
    <cellStyle name="표준 5 3 2 2 3 3 2 4 2 4" xfId="23739" xr:uid="{00000000-0005-0000-0000-0000C5740000}"/>
    <cellStyle name="표준 5 3 2 2 3 3 2 4 2 5" xfId="27835" xr:uid="{00000000-0005-0000-0000-0000C6740000}"/>
    <cellStyle name="표준 5 3 2 2 3 3 2 4 2 6" xfId="36046" xr:uid="{00000000-0005-0000-0000-0000C7740000}"/>
    <cellStyle name="표준 5 3 2 2 3 3 2 4 2 7" xfId="44239" xr:uid="{00000000-0005-0000-0000-0000C8740000}"/>
    <cellStyle name="표준 5 3 2 2 3 3 2 4 3" xfId="9177" xr:uid="{00000000-0005-0000-0000-0000C9740000}"/>
    <cellStyle name="표준 5 3 2 2 3 3 2 4 3 2" xfId="29883" xr:uid="{00000000-0005-0000-0000-0000CA740000}"/>
    <cellStyle name="표준 5 3 2 2 3 3 2 4 3 3" xfId="38094" xr:uid="{00000000-0005-0000-0000-0000CB740000}"/>
    <cellStyle name="표준 5 3 2 2 3 3 2 4 3 4" xfId="46287" xr:uid="{00000000-0005-0000-0000-0000CC740000}"/>
    <cellStyle name="표준 5 3 2 2 3 3 2 4 4" xfId="13289" xr:uid="{00000000-0005-0000-0000-0000CD740000}"/>
    <cellStyle name="표준 5 3 2 2 3 3 2 4 5" xfId="17529" xr:uid="{00000000-0005-0000-0000-0000CE740000}"/>
    <cellStyle name="표준 5 3 2 2 3 3 2 4 6" xfId="21691" xr:uid="{00000000-0005-0000-0000-0000CF740000}"/>
    <cellStyle name="표준 5 3 2 2 3 3 2 4 7" xfId="25787" xr:uid="{00000000-0005-0000-0000-0000D0740000}"/>
    <cellStyle name="표준 5 3 2 2 3 3 2 4 8" xfId="33998" xr:uid="{00000000-0005-0000-0000-0000D1740000}"/>
    <cellStyle name="표준 5 3 2 2 3 3 2 4 9" xfId="42191" xr:uid="{00000000-0005-0000-0000-0000D2740000}"/>
    <cellStyle name="표준 5 3 2 2 3 3 2 5" xfId="9689" xr:uid="{00000000-0005-0000-0000-0000D3740000}"/>
    <cellStyle name="표준 5 3 2 2 3 3 2 5 2" xfId="13801" xr:uid="{00000000-0005-0000-0000-0000D4740000}"/>
    <cellStyle name="표준 5 3 2 2 3 3 2 5 2 2" xfId="30395" xr:uid="{00000000-0005-0000-0000-0000D5740000}"/>
    <cellStyle name="표준 5 3 2 2 3 3 2 5 2 3" xfId="38606" xr:uid="{00000000-0005-0000-0000-0000D6740000}"/>
    <cellStyle name="표준 5 3 2 2 3 3 2 5 2 4" xfId="46799" xr:uid="{00000000-0005-0000-0000-0000D7740000}"/>
    <cellStyle name="표준 5 3 2 2 3 3 2 5 3" xfId="18041" xr:uid="{00000000-0005-0000-0000-0000D8740000}"/>
    <cellStyle name="표준 5 3 2 2 3 3 2 5 4" xfId="22203" xr:uid="{00000000-0005-0000-0000-0000D9740000}"/>
    <cellStyle name="표준 5 3 2 2 3 3 2 5 5" xfId="26299" xr:uid="{00000000-0005-0000-0000-0000DA740000}"/>
    <cellStyle name="표준 5 3 2 2 3 3 2 5 6" xfId="34510" xr:uid="{00000000-0005-0000-0000-0000DB740000}"/>
    <cellStyle name="표준 5 3 2 2 3 3 2 5 7" xfId="42703" xr:uid="{00000000-0005-0000-0000-0000DC740000}"/>
    <cellStyle name="표준 5 3 2 2 3 3 2 6" xfId="7641" xr:uid="{00000000-0005-0000-0000-0000DD740000}"/>
    <cellStyle name="표준 5 3 2 2 3 3 2 6 2" xfId="28347" xr:uid="{00000000-0005-0000-0000-0000DE740000}"/>
    <cellStyle name="표준 5 3 2 2 3 3 2 6 3" xfId="36558" xr:uid="{00000000-0005-0000-0000-0000DF740000}"/>
    <cellStyle name="표준 5 3 2 2 3 3 2 6 4" xfId="44751" xr:uid="{00000000-0005-0000-0000-0000E0740000}"/>
    <cellStyle name="표준 5 3 2 2 3 3 2 7" xfId="11753" xr:uid="{00000000-0005-0000-0000-0000E1740000}"/>
    <cellStyle name="표준 5 3 2 2 3 3 2 8" xfId="15993" xr:uid="{00000000-0005-0000-0000-0000E2740000}"/>
    <cellStyle name="표준 5 3 2 2 3 3 2 9" xfId="20155" xr:uid="{00000000-0005-0000-0000-0000E3740000}"/>
    <cellStyle name="표준 5 3 2 2 3 3 3" xfId="1042" xr:uid="{00000000-0005-0000-0000-0000E4740000}"/>
    <cellStyle name="표준 5 3 2 2 3 3 3 2" xfId="9945" xr:uid="{00000000-0005-0000-0000-0000E5740000}"/>
    <cellStyle name="표준 5 3 2 2 3 3 3 2 2" xfId="14057" xr:uid="{00000000-0005-0000-0000-0000E6740000}"/>
    <cellStyle name="표준 5 3 2 2 3 3 3 2 2 2" xfId="30651" xr:uid="{00000000-0005-0000-0000-0000E7740000}"/>
    <cellStyle name="표준 5 3 2 2 3 3 3 2 2 3" xfId="38862" xr:uid="{00000000-0005-0000-0000-0000E8740000}"/>
    <cellStyle name="표준 5 3 2 2 3 3 3 2 2 4" xfId="47055" xr:uid="{00000000-0005-0000-0000-0000E9740000}"/>
    <cellStyle name="표준 5 3 2 2 3 3 3 2 3" xfId="18297" xr:uid="{00000000-0005-0000-0000-0000EA740000}"/>
    <cellStyle name="표준 5 3 2 2 3 3 3 2 4" xfId="22459" xr:uid="{00000000-0005-0000-0000-0000EB740000}"/>
    <cellStyle name="표준 5 3 2 2 3 3 3 2 5" xfId="26555" xr:uid="{00000000-0005-0000-0000-0000EC740000}"/>
    <cellStyle name="표준 5 3 2 2 3 3 3 2 6" xfId="34766" xr:uid="{00000000-0005-0000-0000-0000ED740000}"/>
    <cellStyle name="표준 5 3 2 2 3 3 3 2 7" xfId="42959" xr:uid="{00000000-0005-0000-0000-0000EE740000}"/>
    <cellStyle name="표준 5 3 2 2 3 3 3 3" xfId="7897" xr:uid="{00000000-0005-0000-0000-0000EF740000}"/>
    <cellStyle name="표준 5 3 2 2 3 3 3 3 2" xfId="28603" xr:uid="{00000000-0005-0000-0000-0000F0740000}"/>
    <cellStyle name="표준 5 3 2 2 3 3 3 3 3" xfId="36814" xr:uid="{00000000-0005-0000-0000-0000F1740000}"/>
    <cellStyle name="표준 5 3 2 2 3 3 3 3 4" xfId="45007" xr:uid="{00000000-0005-0000-0000-0000F2740000}"/>
    <cellStyle name="표준 5 3 2 2 3 3 3 4" xfId="12009" xr:uid="{00000000-0005-0000-0000-0000F3740000}"/>
    <cellStyle name="표준 5 3 2 2 3 3 3 5" xfId="16249" xr:uid="{00000000-0005-0000-0000-0000F4740000}"/>
    <cellStyle name="표준 5 3 2 2 3 3 3 6" xfId="20411" xr:uid="{00000000-0005-0000-0000-0000F5740000}"/>
    <cellStyle name="표준 5 3 2 2 3 3 3 7" xfId="24507" xr:uid="{00000000-0005-0000-0000-0000F6740000}"/>
    <cellStyle name="표준 5 3 2 2 3 3 3 8" xfId="32718" xr:uid="{00000000-0005-0000-0000-0000F7740000}"/>
    <cellStyle name="표준 5 3 2 2 3 3 3 9" xfId="40911" xr:uid="{00000000-0005-0000-0000-0000F8740000}"/>
    <cellStyle name="표준 5 3 2 2 3 3 4" xfId="1554" xr:uid="{00000000-0005-0000-0000-0000F9740000}"/>
    <cellStyle name="표준 5 3 2 2 3 3 4 2" xfId="10457" xr:uid="{00000000-0005-0000-0000-0000FA740000}"/>
    <cellStyle name="표준 5 3 2 2 3 3 4 2 2" xfId="14569" xr:uid="{00000000-0005-0000-0000-0000FB740000}"/>
    <cellStyle name="표준 5 3 2 2 3 3 4 2 2 2" xfId="31163" xr:uid="{00000000-0005-0000-0000-0000FC740000}"/>
    <cellStyle name="표준 5 3 2 2 3 3 4 2 2 3" xfId="39374" xr:uid="{00000000-0005-0000-0000-0000FD740000}"/>
    <cellStyle name="표준 5 3 2 2 3 3 4 2 2 4" xfId="47567" xr:uid="{00000000-0005-0000-0000-0000FE740000}"/>
    <cellStyle name="표준 5 3 2 2 3 3 4 2 3" xfId="18809" xr:uid="{00000000-0005-0000-0000-0000FF740000}"/>
    <cellStyle name="표준 5 3 2 2 3 3 4 2 4" xfId="22971" xr:uid="{00000000-0005-0000-0000-000000750000}"/>
    <cellStyle name="표준 5 3 2 2 3 3 4 2 5" xfId="27067" xr:uid="{00000000-0005-0000-0000-000001750000}"/>
    <cellStyle name="표준 5 3 2 2 3 3 4 2 6" xfId="35278" xr:uid="{00000000-0005-0000-0000-000002750000}"/>
    <cellStyle name="표준 5 3 2 2 3 3 4 2 7" xfId="43471" xr:uid="{00000000-0005-0000-0000-000003750000}"/>
    <cellStyle name="표준 5 3 2 2 3 3 4 3" xfId="8409" xr:uid="{00000000-0005-0000-0000-000004750000}"/>
    <cellStyle name="표준 5 3 2 2 3 3 4 3 2" xfId="29115" xr:uid="{00000000-0005-0000-0000-000005750000}"/>
    <cellStyle name="표준 5 3 2 2 3 3 4 3 3" xfId="37326" xr:uid="{00000000-0005-0000-0000-000006750000}"/>
    <cellStyle name="표준 5 3 2 2 3 3 4 3 4" xfId="45519" xr:uid="{00000000-0005-0000-0000-000007750000}"/>
    <cellStyle name="표준 5 3 2 2 3 3 4 4" xfId="12521" xr:uid="{00000000-0005-0000-0000-000008750000}"/>
    <cellStyle name="표준 5 3 2 2 3 3 4 5" xfId="16761" xr:uid="{00000000-0005-0000-0000-000009750000}"/>
    <cellStyle name="표준 5 3 2 2 3 3 4 6" xfId="20923" xr:uid="{00000000-0005-0000-0000-00000A750000}"/>
    <cellStyle name="표준 5 3 2 2 3 3 4 7" xfId="25019" xr:uid="{00000000-0005-0000-0000-00000B750000}"/>
    <cellStyle name="표준 5 3 2 2 3 3 4 8" xfId="33230" xr:uid="{00000000-0005-0000-0000-00000C750000}"/>
    <cellStyle name="표준 5 3 2 2 3 3 4 9" xfId="41423" xr:uid="{00000000-0005-0000-0000-00000D750000}"/>
    <cellStyle name="표준 5 3 2 2 3 3 5" xfId="2066" xr:uid="{00000000-0005-0000-0000-00000E750000}"/>
    <cellStyle name="표준 5 3 2 2 3 3 5 2" xfId="10969" xr:uid="{00000000-0005-0000-0000-00000F750000}"/>
    <cellStyle name="표준 5 3 2 2 3 3 5 2 2" xfId="15081" xr:uid="{00000000-0005-0000-0000-000010750000}"/>
    <cellStyle name="표준 5 3 2 2 3 3 5 2 2 2" xfId="31675" xr:uid="{00000000-0005-0000-0000-000011750000}"/>
    <cellStyle name="표준 5 3 2 2 3 3 5 2 2 3" xfId="39886" xr:uid="{00000000-0005-0000-0000-000012750000}"/>
    <cellStyle name="표준 5 3 2 2 3 3 5 2 2 4" xfId="48079" xr:uid="{00000000-0005-0000-0000-000013750000}"/>
    <cellStyle name="표준 5 3 2 2 3 3 5 2 3" xfId="19321" xr:uid="{00000000-0005-0000-0000-000014750000}"/>
    <cellStyle name="표준 5 3 2 2 3 3 5 2 4" xfId="23483" xr:uid="{00000000-0005-0000-0000-000015750000}"/>
    <cellStyle name="표준 5 3 2 2 3 3 5 2 5" xfId="27579" xr:uid="{00000000-0005-0000-0000-000016750000}"/>
    <cellStyle name="표준 5 3 2 2 3 3 5 2 6" xfId="35790" xr:uid="{00000000-0005-0000-0000-000017750000}"/>
    <cellStyle name="표준 5 3 2 2 3 3 5 2 7" xfId="43983" xr:uid="{00000000-0005-0000-0000-000018750000}"/>
    <cellStyle name="표준 5 3 2 2 3 3 5 3" xfId="8921" xr:uid="{00000000-0005-0000-0000-000019750000}"/>
    <cellStyle name="표준 5 3 2 2 3 3 5 3 2" xfId="29627" xr:uid="{00000000-0005-0000-0000-00001A750000}"/>
    <cellStyle name="표준 5 3 2 2 3 3 5 3 3" xfId="37838" xr:uid="{00000000-0005-0000-0000-00001B750000}"/>
    <cellStyle name="표준 5 3 2 2 3 3 5 3 4" xfId="46031" xr:uid="{00000000-0005-0000-0000-00001C750000}"/>
    <cellStyle name="표준 5 3 2 2 3 3 5 4" xfId="13033" xr:uid="{00000000-0005-0000-0000-00001D750000}"/>
    <cellStyle name="표준 5 3 2 2 3 3 5 5" xfId="17273" xr:uid="{00000000-0005-0000-0000-00001E750000}"/>
    <cellStyle name="표준 5 3 2 2 3 3 5 6" xfId="21435" xr:uid="{00000000-0005-0000-0000-00001F750000}"/>
    <cellStyle name="표준 5 3 2 2 3 3 5 7" xfId="25531" xr:uid="{00000000-0005-0000-0000-000020750000}"/>
    <cellStyle name="표준 5 3 2 2 3 3 5 8" xfId="33742" xr:uid="{00000000-0005-0000-0000-000021750000}"/>
    <cellStyle name="표준 5 3 2 2 3 3 5 9" xfId="41935" xr:uid="{00000000-0005-0000-0000-000022750000}"/>
    <cellStyle name="표준 5 3 2 2 3 3 6" xfId="9433" xr:uid="{00000000-0005-0000-0000-000023750000}"/>
    <cellStyle name="표준 5 3 2 2 3 3 6 2" xfId="13545" xr:uid="{00000000-0005-0000-0000-000024750000}"/>
    <cellStyle name="표준 5 3 2 2 3 3 6 2 2" xfId="30139" xr:uid="{00000000-0005-0000-0000-000025750000}"/>
    <cellStyle name="표준 5 3 2 2 3 3 6 2 3" xfId="38350" xr:uid="{00000000-0005-0000-0000-000026750000}"/>
    <cellStyle name="표준 5 3 2 2 3 3 6 2 4" xfId="46543" xr:uid="{00000000-0005-0000-0000-000027750000}"/>
    <cellStyle name="표준 5 3 2 2 3 3 6 3" xfId="17785" xr:uid="{00000000-0005-0000-0000-000028750000}"/>
    <cellStyle name="표준 5 3 2 2 3 3 6 4" xfId="21947" xr:uid="{00000000-0005-0000-0000-000029750000}"/>
    <cellStyle name="표준 5 3 2 2 3 3 6 5" xfId="26043" xr:uid="{00000000-0005-0000-0000-00002A750000}"/>
    <cellStyle name="표준 5 3 2 2 3 3 6 6" xfId="34254" xr:uid="{00000000-0005-0000-0000-00002B750000}"/>
    <cellStyle name="표준 5 3 2 2 3 3 6 7" xfId="42447" xr:uid="{00000000-0005-0000-0000-00002C750000}"/>
    <cellStyle name="표준 5 3 2 2 3 3 7" xfId="7385" xr:uid="{00000000-0005-0000-0000-00002D750000}"/>
    <cellStyle name="표준 5 3 2 2 3 3 7 2" xfId="28091" xr:uid="{00000000-0005-0000-0000-00002E750000}"/>
    <cellStyle name="표준 5 3 2 2 3 3 7 3" xfId="36302" xr:uid="{00000000-0005-0000-0000-00002F750000}"/>
    <cellStyle name="표준 5 3 2 2 3 3 7 4" xfId="44495" xr:uid="{00000000-0005-0000-0000-000030750000}"/>
    <cellStyle name="표준 5 3 2 2 3 3 8" xfId="11497" xr:uid="{00000000-0005-0000-0000-000031750000}"/>
    <cellStyle name="표준 5 3 2 2 3 3 9" xfId="15737" xr:uid="{00000000-0005-0000-0000-000032750000}"/>
    <cellStyle name="표준 5 3 2 2 3 4" xfId="658" xr:uid="{00000000-0005-0000-0000-000033750000}"/>
    <cellStyle name="표준 5 3 2 2 3 4 10" xfId="24123" xr:uid="{00000000-0005-0000-0000-000034750000}"/>
    <cellStyle name="표준 5 3 2 2 3 4 11" xfId="32334" xr:uid="{00000000-0005-0000-0000-000035750000}"/>
    <cellStyle name="표준 5 3 2 2 3 4 12" xfId="40527" xr:uid="{00000000-0005-0000-0000-000036750000}"/>
    <cellStyle name="표준 5 3 2 2 3 4 2" xfId="1170" xr:uid="{00000000-0005-0000-0000-000037750000}"/>
    <cellStyle name="표준 5 3 2 2 3 4 2 2" xfId="10073" xr:uid="{00000000-0005-0000-0000-000038750000}"/>
    <cellStyle name="표준 5 3 2 2 3 4 2 2 2" xfId="14185" xr:uid="{00000000-0005-0000-0000-000039750000}"/>
    <cellStyle name="표준 5 3 2 2 3 4 2 2 2 2" xfId="30779" xr:uid="{00000000-0005-0000-0000-00003A750000}"/>
    <cellStyle name="표준 5 3 2 2 3 4 2 2 2 3" xfId="38990" xr:uid="{00000000-0005-0000-0000-00003B750000}"/>
    <cellStyle name="표준 5 3 2 2 3 4 2 2 2 4" xfId="47183" xr:uid="{00000000-0005-0000-0000-00003C750000}"/>
    <cellStyle name="표준 5 3 2 2 3 4 2 2 3" xfId="18425" xr:uid="{00000000-0005-0000-0000-00003D750000}"/>
    <cellStyle name="표준 5 3 2 2 3 4 2 2 4" xfId="22587" xr:uid="{00000000-0005-0000-0000-00003E750000}"/>
    <cellStyle name="표준 5 3 2 2 3 4 2 2 5" xfId="26683" xr:uid="{00000000-0005-0000-0000-00003F750000}"/>
    <cellStyle name="표준 5 3 2 2 3 4 2 2 6" xfId="34894" xr:uid="{00000000-0005-0000-0000-000040750000}"/>
    <cellStyle name="표준 5 3 2 2 3 4 2 2 7" xfId="43087" xr:uid="{00000000-0005-0000-0000-000041750000}"/>
    <cellStyle name="표준 5 3 2 2 3 4 2 3" xfId="8025" xr:uid="{00000000-0005-0000-0000-000042750000}"/>
    <cellStyle name="표준 5 3 2 2 3 4 2 3 2" xfId="28731" xr:uid="{00000000-0005-0000-0000-000043750000}"/>
    <cellStyle name="표준 5 3 2 2 3 4 2 3 3" xfId="36942" xr:uid="{00000000-0005-0000-0000-000044750000}"/>
    <cellStyle name="표준 5 3 2 2 3 4 2 3 4" xfId="45135" xr:uid="{00000000-0005-0000-0000-000045750000}"/>
    <cellStyle name="표준 5 3 2 2 3 4 2 4" xfId="12137" xr:uid="{00000000-0005-0000-0000-000046750000}"/>
    <cellStyle name="표준 5 3 2 2 3 4 2 5" xfId="16377" xr:uid="{00000000-0005-0000-0000-000047750000}"/>
    <cellStyle name="표준 5 3 2 2 3 4 2 6" xfId="20539" xr:uid="{00000000-0005-0000-0000-000048750000}"/>
    <cellStyle name="표준 5 3 2 2 3 4 2 7" xfId="24635" xr:uid="{00000000-0005-0000-0000-000049750000}"/>
    <cellStyle name="표준 5 3 2 2 3 4 2 8" xfId="32846" xr:uid="{00000000-0005-0000-0000-00004A750000}"/>
    <cellStyle name="표준 5 3 2 2 3 4 2 9" xfId="41039" xr:uid="{00000000-0005-0000-0000-00004B750000}"/>
    <cellStyle name="표준 5 3 2 2 3 4 3" xfId="1682" xr:uid="{00000000-0005-0000-0000-00004C750000}"/>
    <cellStyle name="표준 5 3 2 2 3 4 3 2" xfId="10585" xr:uid="{00000000-0005-0000-0000-00004D750000}"/>
    <cellStyle name="표준 5 3 2 2 3 4 3 2 2" xfId="14697" xr:uid="{00000000-0005-0000-0000-00004E750000}"/>
    <cellStyle name="표준 5 3 2 2 3 4 3 2 2 2" xfId="31291" xr:uid="{00000000-0005-0000-0000-00004F750000}"/>
    <cellStyle name="표준 5 3 2 2 3 4 3 2 2 3" xfId="39502" xr:uid="{00000000-0005-0000-0000-000050750000}"/>
    <cellStyle name="표준 5 3 2 2 3 4 3 2 2 4" xfId="47695" xr:uid="{00000000-0005-0000-0000-000051750000}"/>
    <cellStyle name="표준 5 3 2 2 3 4 3 2 3" xfId="18937" xr:uid="{00000000-0005-0000-0000-000052750000}"/>
    <cellStyle name="표준 5 3 2 2 3 4 3 2 4" xfId="23099" xr:uid="{00000000-0005-0000-0000-000053750000}"/>
    <cellStyle name="표준 5 3 2 2 3 4 3 2 5" xfId="27195" xr:uid="{00000000-0005-0000-0000-000054750000}"/>
    <cellStyle name="표준 5 3 2 2 3 4 3 2 6" xfId="35406" xr:uid="{00000000-0005-0000-0000-000055750000}"/>
    <cellStyle name="표준 5 3 2 2 3 4 3 2 7" xfId="43599" xr:uid="{00000000-0005-0000-0000-000056750000}"/>
    <cellStyle name="표준 5 3 2 2 3 4 3 3" xfId="8537" xr:uid="{00000000-0005-0000-0000-000057750000}"/>
    <cellStyle name="표준 5 3 2 2 3 4 3 3 2" xfId="29243" xr:uid="{00000000-0005-0000-0000-000058750000}"/>
    <cellStyle name="표준 5 3 2 2 3 4 3 3 3" xfId="37454" xr:uid="{00000000-0005-0000-0000-000059750000}"/>
    <cellStyle name="표준 5 3 2 2 3 4 3 3 4" xfId="45647" xr:uid="{00000000-0005-0000-0000-00005A750000}"/>
    <cellStyle name="표준 5 3 2 2 3 4 3 4" xfId="12649" xr:uid="{00000000-0005-0000-0000-00005B750000}"/>
    <cellStyle name="표준 5 3 2 2 3 4 3 5" xfId="16889" xr:uid="{00000000-0005-0000-0000-00005C750000}"/>
    <cellStyle name="표준 5 3 2 2 3 4 3 6" xfId="21051" xr:uid="{00000000-0005-0000-0000-00005D750000}"/>
    <cellStyle name="표준 5 3 2 2 3 4 3 7" xfId="25147" xr:uid="{00000000-0005-0000-0000-00005E750000}"/>
    <cellStyle name="표준 5 3 2 2 3 4 3 8" xfId="33358" xr:uid="{00000000-0005-0000-0000-00005F750000}"/>
    <cellStyle name="표준 5 3 2 2 3 4 3 9" xfId="41551" xr:uid="{00000000-0005-0000-0000-000060750000}"/>
    <cellStyle name="표준 5 3 2 2 3 4 4" xfId="2194" xr:uid="{00000000-0005-0000-0000-000061750000}"/>
    <cellStyle name="표준 5 3 2 2 3 4 4 2" xfId="11097" xr:uid="{00000000-0005-0000-0000-000062750000}"/>
    <cellStyle name="표준 5 3 2 2 3 4 4 2 2" xfId="15209" xr:uid="{00000000-0005-0000-0000-000063750000}"/>
    <cellStyle name="표준 5 3 2 2 3 4 4 2 2 2" xfId="31803" xr:uid="{00000000-0005-0000-0000-000064750000}"/>
    <cellStyle name="표준 5 3 2 2 3 4 4 2 2 3" xfId="40014" xr:uid="{00000000-0005-0000-0000-000065750000}"/>
    <cellStyle name="표준 5 3 2 2 3 4 4 2 2 4" xfId="48207" xr:uid="{00000000-0005-0000-0000-000066750000}"/>
    <cellStyle name="표준 5 3 2 2 3 4 4 2 3" xfId="19449" xr:uid="{00000000-0005-0000-0000-000067750000}"/>
    <cellStyle name="표준 5 3 2 2 3 4 4 2 4" xfId="23611" xr:uid="{00000000-0005-0000-0000-000068750000}"/>
    <cellStyle name="표준 5 3 2 2 3 4 4 2 5" xfId="27707" xr:uid="{00000000-0005-0000-0000-000069750000}"/>
    <cellStyle name="표준 5 3 2 2 3 4 4 2 6" xfId="35918" xr:uid="{00000000-0005-0000-0000-00006A750000}"/>
    <cellStyle name="표준 5 3 2 2 3 4 4 2 7" xfId="44111" xr:uid="{00000000-0005-0000-0000-00006B750000}"/>
    <cellStyle name="표준 5 3 2 2 3 4 4 3" xfId="9049" xr:uid="{00000000-0005-0000-0000-00006C750000}"/>
    <cellStyle name="표준 5 3 2 2 3 4 4 3 2" xfId="29755" xr:uid="{00000000-0005-0000-0000-00006D750000}"/>
    <cellStyle name="표준 5 3 2 2 3 4 4 3 3" xfId="37966" xr:uid="{00000000-0005-0000-0000-00006E750000}"/>
    <cellStyle name="표준 5 3 2 2 3 4 4 3 4" xfId="46159" xr:uid="{00000000-0005-0000-0000-00006F750000}"/>
    <cellStyle name="표준 5 3 2 2 3 4 4 4" xfId="13161" xr:uid="{00000000-0005-0000-0000-000070750000}"/>
    <cellStyle name="표준 5 3 2 2 3 4 4 5" xfId="17401" xr:uid="{00000000-0005-0000-0000-000071750000}"/>
    <cellStyle name="표준 5 3 2 2 3 4 4 6" xfId="21563" xr:uid="{00000000-0005-0000-0000-000072750000}"/>
    <cellStyle name="표준 5 3 2 2 3 4 4 7" xfId="25659" xr:uid="{00000000-0005-0000-0000-000073750000}"/>
    <cellStyle name="표준 5 3 2 2 3 4 4 8" xfId="33870" xr:uid="{00000000-0005-0000-0000-000074750000}"/>
    <cellStyle name="표준 5 3 2 2 3 4 4 9" xfId="42063" xr:uid="{00000000-0005-0000-0000-000075750000}"/>
    <cellStyle name="표준 5 3 2 2 3 4 5" xfId="9561" xr:uid="{00000000-0005-0000-0000-000076750000}"/>
    <cellStyle name="표준 5 3 2 2 3 4 5 2" xfId="13673" xr:uid="{00000000-0005-0000-0000-000077750000}"/>
    <cellStyle name="표준 5 3 2 2 3 4 5 2 2" xfId="30267" xr:uid="{00000000-0005-0000-0000-000078750000}"/>
    <cellStyle name="표준 5 3 2 2 3 4 5 2 3" xfId="38478" xr:uid="{00000000-0005-0000-0000-000079750000}"/>
    <cellStyle name="표준 5 3 2 2 3 4 5 2 4" xfId="46671" xr:uid="{00000000-0005-0000-0000-00007A750000}"/>
    <cellStyle name="표준 5 3 2 2 3 4 5 3" xfId="17913" xr:uid="{00000000-0005-0000-0000-00007B750000}"/>
    <cellStyle name="표준 5 3 2 2 3 4 5 4" xfId="22075" xr:uid="{00000000-0005-0000-0000-00007C750000}"/>
    <cellStyle name="표준 5 3 2 2 3 4 5 5" xfId="26171" xr:uid="{00000000-0005-0000-0000-00007D750000}"/>
    <cellStyle name="표준 5 3 2 2 3 4 5 6" xfId="34382" xr:uid="{00000000-0005-0000-0000-00007E750000}"/>
    <cellStyle name="표준 5 3 2 2 3 4 5 7" xfId="42575" xr:uid="{00000000-0005-0000-0000-00007F750000}"/>
    <cellStyle name="표준 5 3 2 2 3 4 6" xfId="7513" xr:uid="{00000000-0005-0000-0000-000080750000}"/>
    <cellStyle name="표준 5 3 2 2 3 4 6 2" xfId="28219" xr:uid="{00000000-0005-0000-0000-000081750000}"/>
    <cellStyle name="표준 5 3 2 2 3 4 6 3" xfId="36430" xr:uid="{00000000-0005-0000-0000-000082750000}"/>
    <cellStyle name="표준 5 3 2 2 3 4 6 4" xfId="44623" xr:uid="{00000000-0005-0000-0000-000083750000}"/>
    <cellStyle name="표준 5 3 2 2 3 4 7" xfId="11625" xr:uid="{00000000-0005-0000-0000-000084750000}"/>
    <cellStyle name="표준 5 3 2 2 3 4 8" xfId="15865" xr:uid="{00000000-0005-0000-0000-000085750000}"/>
    <cellStyle name="표준 5 3 2 2 3 4 9" xfId="20027" xr:uid="{00000000-0005-0000-0000-000086750000}"/>
    <cellStyle name="표준 5 3 2 2 3 5" xfId="914" xr:uid="{00000000-0005-0000-0000-000087750000}"/>
    <cellStyle name="표준 5 3 2 2 3 5 2" xfId="9817" xr:uid="{00000000-0005-0000-0000-000088750000}"/>
    <cellStyle name="표준 5 3 2 2 3 5 2 2" xfId="13929" xr:uid="{00000000-0005-0000-0000-000089750000}"/>
    <cellStyle name="표준 5 3 2 2 3 5 2 2 2" xfId="30523" xr:uid="{00000000-0005-0000-0000-00008A750000}"/>
    <cellStyle name="표준 5 3 2 2 3 5 2 2 3" xfId="38734" xr:uid="{00000000-0005-0000-0000-00008B750000}"/>
    <cellStyle name="표준 5 3 2 2 3 5 2 2 4" xfId="46927" xr:uid="{00000000-0005-0000-0000-00008C750000}"/>
    <cellStyle name="표준 5 3 2 2 3 5 2 3" xfId="18169" xr:uid="{00000000-0005-0000-0000-00008D750000}"/>
    <cellStyle name="표준 5 3 2 2 3 5 2 4" xfId="22331" xr:uid="{00000000-0005-0000-0000-00008E750000}"/>
    <cellStyle name="표준 5 3 2 2 3 5 2 5" xfId="26427" xr:uid="{00000000-0005-0000-0000-00008F750000}"/>
    <cellStyle name="표준 5 3 2 2 3 5 2 6" xfId="34638" xr:uid="{00000000-0005-0000-0000-000090750000}"/>
    <cellStyle name="표준 5 3 2 2 3 5 2 7" xfId="42831" xr:uid="{00000000-0005-0000-0000-000091750000}"/>
    <cellStyle name="표준 5 3 2 2 3 5 3" xfId="7769" xr:uid="{00000000-0005-0000-0000-000092750000}"/>
    <cellStyle name="표준 5 3 2 2 3 5 3 2" xfId="28475" xr:uid="{00000000-0005-0000-0000-000093750000}"/>
    <cellStyle name="표준 5 3 2 2 3 5 3 3" xfId="36686" xr:uid="{00000000-0005-0000-0000-000094750000}"/>
    <cellStyle name="표준 5 3 2 2 3 5 3 4" xfId="44879" xr:uid="{00000000-0005-0000-0000-000095750000}"/>
    <cellStyle name="표준 5 3 2 2 3 5 4" xfId="11881" xr:uid="{00000000-0005-0000-0000-000096750000}"/>
    <cellStyle name="표준 5 3 2 2 3 5 5" xfId="16121" xr:uid="{00000000-0005-0000-0000-000097750000}"/>
    <cellStyle name="표준 5 3 2 2 3 5 6" xfId="20283" xr:uid="{00000000-0005-0000-0000-000098750000}"/>
    <cellStyle name="표준 5 3 2 2 3 5 7" xfId="24379" xr:uid="{00000000-0005-0000-0000-000099750000}"/>
    <cellStyle name="표준 5 3 2 2 3 5 8" xfId="32590" xr:uid="{00000000-0005-0000-0000-00009A750000}"/>
    <cellStyle name="표준 5 3 2 2 3 5 9" xfId="40783" xr:uid="{00000000-0005-0000-0000-00009B750000}"/>
    <cellStyle name="표준 5 3 2 2 3 6" xfId="1426" xr:uid="{00000000-0005-0000-0000-00009C750000}"/>
    <cellStyle name="표준 5 3 2 2 3 6 2" xfId="10329" xr:uid="{00000000-0005-0000-0000-00009D750000}"/>
    <cellStyle name="표준 5 3 2 2 3 6 2 2" xfId="14441" xr:uid="{00000000-0005-0000-0000-00009E750000}"/>
    <cellStyle name="표준 5 3 2 2 3 6 2 2 2" xfId="31035" xr:uid="{00000000-0005-0000-0000-00009F750000}"/>
    <cellStyle name="표준 5 3 2 2 3 6 2 2 3" xfId="39246" xr:uid="{00000000-0005-0000-0000-0000A0750000}"/>
    <cellStyle name="표준 5 3 2 2 3 6 2 2 4" xfId="47439" xr:uid="{00000000-0005-0000-0000-0000A1750000}"/>
    <cellStyle name="표준 5 3 2 2 3 6 2 3" xfId="18681" xr:uid="{00000000-0005-0000-0000-0000A2750000}"/>
    <cellStyle name="표준 5 3 2 2 3 6 2 4" xfId="22843" xr:uid="{00000000-0005-0000-0000-0000A3750000}"/>
    <cellStyle name="표준 5 3 2 2 3 6 2 5" xfId="26939" xr:uid="{00000000-0005-0000-0000-0000A4750000}"/>
    <cellStyle name="표준 5 3 2 2 3 6 2 6" xfId="35150" xr:uid="{00000000-0005-0000-0000-0000A5750000}"/>
    <cellStyle name="표준 5 3 2 2 3 6 2 7" xfId="43343" xr:uid="{00000000-0005-0000-0000-0000A6750000}"/>
    <cellStyle name="표준 5 3 2 2 3 6 3" xfId="8281" xr:uid="{00000000-0005-0000-0000-0000A7750000}"/>
    <cellStyle name="표준 5 3 2 2 3 6 3 2" xfId="28987" xr:uid="{00000000-0005-0000-0000-0000A8750000}"/>
    <cellStyle name="표준 5 3 2 2 3 6 3 3" xfId="37198" xr:uid="{00000000-0005-0000-0000-0000A9750000}"/>
    <cellStyle name="표준 5 3 2 2 3 6 3 4" xfId="45391" xr:uid="{00000000-0005-0000-0000-0000AA750000}"/>
    <cellStyle name="표준 5 3 2 2 3 6 4" xfId="12393" xr:uid="{00000000-0005-0000-0000-0000AB750000}"/>
    <cellStyle name="표준 5 3 2 2 3 6 5" xfId="16633" xr:uid="{00000000-0005-0000-0000-0000AC750000}"/>
    <cellStyle name="표준 5 3 2 2 3 6 6" xfId="20795" xr:uid="{00000000-0005-0000-0000-0000AD750000}"/>
    <cellStyle name="표준 5 3 2 2 3 6 7" xfId="24891" xr:uid="{00000000-0005-0000-0000-0000AE750000}"/>
    <cellStyle name="표준 5 3 2 2 3 6 8" xfId="33102" xr:uid="{00000000-0005-0000-0000-0000AF750000}"/>
    <cellStyle name="표준 5 3 2 2 3 6 9" xfId="41295" xr:uid="{00000000-0005-0000-0000-0000B0750000}"/>
    <cellStyle name="표준 5 3 2 2 3 7" xfId="1938" xr:uid="{00000000-0005-0000-0000-0000B1750000}"/>
    <cellStyle name="표준 5 3 2 2 3 7 2" xfId="10841" xr:uid="{00000000-0005-0000-0000-0000B2750000}"/>
    <cellStyle name="표준 5 3 2 2 3 7 2 2" xfId="14953" xr:uid="{00000000-0005-0000-0000-0000B3750000}"/>
    <cellStyle name="표준 5 3 2 2 3 7 2 2 2" xfId="31547" xr:uid="{00000000-0005-0000-0000-0000B4750000}"/>
    <cellStyle name="표준 5 3 2 2 3 7 2 2 3" xfId="39758" xr:uid="{00000000-0005-0000-0000-0000B5750000}"/>
    <cellStyle name="표준 5 3 2 2 3 7 2 2 4" xfId="47951" xr:uid="{00000000-0005-0000-0000-0000B6750000}"/>
    <cellStyle name="표준 5 3 2 2 3 7 2 3" xfId="19193" xr:uid="{00000000-0005-0000-0000-0000B7750000}"/>
    <cellStyle name="표준 5 3 2 2 3 7 2 4" xfId="23355" xr:uid="{00000000-0005-0000-0000-0000B8750000}"/>
    <cellStyle name="표준 5 3 2 2 3 7 2 5" xfId="27451" xr:uid="{00000000-0005-0000-0000-0000B9750000}"/>
    <cellStyle name="표준 5 3 2 2 3 7 2 6" xfId="35662" xr:uid="{00000000-0005-0000-0000-0000BA750000}"/>
    <cellStyle name="표준 5 3 2 2 3 7 2 7" xfId="43855" xr:uid="{00000000-0005-0000-0000-0000BB750000}"/>
    <cellStyle name="표준 5 3 2 2 3 7 3" xfId="8793" xr:uid="{00000000-0005-0000-0000-0000BC750000}"/>
    <cellStyle name="표준 5 3 2 2 3 7 3 2" xfId="29499" xr:uid="{00000000-0005-0000-0000-0000BD750000}"/>
    <cellStyle name="표준 5 3 2 2 3 7 3 3" xfId="37710" xr:uid="{00000000-0005-0000-0000-0000BE750000}"/>
    <cellStyle name="표준 5 3 2 2 3 7 3 4" xfId="45903" xr:uid="{00000000-0005-0000-0000-0000BF750000}"/>
    <cellStyle name="표준 5 3 2 2 3 7 4" xfId="12905" xr:uid="{00000000-0005-0000-0000-0000C0750000}"/>
    <cellStyle name="표준 5 3 2 2 3 7 5" xfId="17145" xr:uid="{00000000-0005-0000-0000-0000C1750000}"/>
    <cellStyle name="표준 5 3 2 2 3 7 6" xfId="21307" xr:uid="{00000000-0005-0000-0000-0000C2750000}"/>
    <cellStyle name="표준 5 3 2 2 3 7 7" xfId="25403" xr:uid="{00000000-0005-0000-0000-0000C3750000}"/>
    <cellStyle name="표준 5 3 2 2 3 7 8" xfId="33614" xr:uid="{00000000-0005-0000-0000-0000C4750000}"/>
    <cellStyle name="표준 5 3 2 2 3 7 9" xfId="41807" xr:uid="{00000000-0005-0000-0000-0000C5750000}"/>
    <cellStyle name="표준 5 3 2 2 3 8" xfId="402" xr:uid="{00000000-0005-0000-0000-0000C6750000}"/>
    <cellStyle name="표준 5 3 2 2 3 8 2" xfId="9305" xr:uid="{00000000-0005-0000-0000-0000C7750000}"/>
    <cellStyle name="표준 5 3 2 2 3 8 2 2" xfId="30011" xr:uid="{00000000-0005-0000-0000-0000C8750000}"/>
    <cellStyle name="표준 5 3 2 2 3 8 2 3" xfId="38222" xr:uid="{00000000-0005-0000-0000-0000C9750000}"/>
    <cellStyle name="표준 5 3 2 2 3 8 2 4" xfId="46415" xr:uid="{00000000-0005-0000-0000-0000CA750000}"/>
    <cellStyle name="표준 5 3 2 2 3 8 3" xfId="13417" xr:uid="{00000000-0005-0000-0000-0000CB750000}"/>
    <cellStyle name="표준 5 3 2 2 3 8 4" xfId="17657" xr:uid="{00000000-0005-0000-0000-0000CC750000}"/>
    <cellStyle name="표준 5 3 2 2 3 8 5" xfId="21819" xr:uid="{00000000-0005-0000-0000-0000CD750000}"/>
    <cellStyle name="표준 5 3 2 2 3 8 6" xfId="25915" xr:uid="{00000000-0005-0000-0000-0000CE750000}"/>
    <cellStyle name="표준 5 3 2 2 3 8 7" xfId="34126" xr:uid="{00000000-0005-0000-0000-0000CF750000}"/>
    <cellStyle name="표준 5 3 2 2 3 8 8" xfId="42319" xr:uid="{00000000-0005-0000-0000-0000D0750000}"/>
    <cellStyle name="표준 5 3 2 2 3 9" xfId="7004" xr:uid="{00000000-0005-0000-0000-0000D1750000}"/>
    <cellStyle name="표준 5 3 2 2 3 9 2" xfId="27963" xr:uid="{00000000-0005-0000-0000-0000D2750000}"/>
    <cellStyle name="표준 5 3 2 2 3 9 3" xfId="36174" xr:uid="{00000000-0005-0000-0000-0000D3750000}"/>
    <cellStyle name="표준 5 3 2 2 3 9 4" xfId="44367" xr:uid="{00000000-0005-0000-0000-0000D4750000}"/>
    <cellStyle name="표준 5 3 2 2 30" xfId="32029" xr:uid="{00000000-0005-0000-0000-0000D5750000}"/>
    <cellStyle name="표준 5 3 2 2 31" xfId="32046" xr:uid="{00000000-0005-0000-0000-0000D6750000}"/>
    <cellStyle name="표준 5 3 2 2 32" xfId="40239" xr:uid="{00000000-0005-0000-0000-0000D7750000}"/>
    <cellStyle name="표준 5 3 2 2 33" xfId="48441" xr:uid="{00000000-0005-0000-0000-0000D8750000}"/>
    <cellStyle name="표준 5 3 2 2 4" xfId="434" xr:uid="{00000000-0005-0000-0000-0000D9750000}"/>
    <cellStyle name="표준 5 3 2 2 4 10" xfId="11401" xr:uid="{00000000-0005-0000-0000-0000DA750000}"/>
    <cellStyle name="표준 5 3 2 2 4 11" xfId="15513" xr:uid="{00000000-0005-0000-0000-0000DB750000}"/>
    <cellStyle name="표준 5 3 2 2 4 12" xfId="15641" xr:uid="{00000000-0005-0000-0000-0000DC750000}"/>
    <cellStyle name="표준 5 3 2 2 4 13" xfId="19803" xr:uid="{00000000-0005-0000-0000-0000DD750000}"/>
    <cellStyle name="표준 5 3 2 2 4 14" xfId="23899" xr:uid="{00000000-0005-0000-0000-0000DE750000}"/>
    <cellStyle name="표준 5 3 2 2 4 15" xfId="32110" xr:uid="{00000000-0005-0000-0000-0000DF750000}"/>
    <cellStyle name="표준 5 3 2 2 4 16" xfId="40303" xr:uid="{00000000-0005-0000-0000-0000E0750000}"/>
    <cellStyle name="표준 5 3 2 2 4 2" xfId="562" xr:uid="{00000000-0005-0000-0000-0000E1750000}"/>
    <cellStyle name="표준 5 3 2 2 4 2 10" xfId="19931" xr:uid="{00000000-0005-0000-0000-0000E2750000}"/>
    <cellStyle name="표준 5 3 2 2 4 2 11" xfId="24027" xr:uid="{00000000-0005-0000-0000-0000E3750000}"/>
    <cellStyle name="표준 5 3 2 2 4 2 12" xfId="32238" xr:uid="{00000000-0005-0000-0000-0000E4750000}"/>
    <cellStyle name="표준 5 3 2 2 4 2 13" xfId="40431" xr:uid="{00000000-0005-0000-0000-0000E5750000}"/>
    <cellStyle name="표준 5 3 2 2 4 2 2" xfId="818" xr:uid="{00000000-0005-0000-0000-0000E6750000}"/>
    <cellStyle name="표준 5 3 2 2 4 2 2 10" xfId="24283" xr:uid="{00000000-0005-0000-0000-0000E7750000}"/>
    <cellStyle name="표준 5 3 2 2 4 2 2 11" xfId="32494" xr:uid="{00000000-0005-0000-0000-0000E8750000}"/>
    <cellStyle name="표준 5 3 2 2 4 2 2 12" xfId="40687" xr:uid="{00000000-0005-0000-0000-0000E9750000}"/>
    <cellStyle name="표준 5 3 2 2 4 2 2 2" xfId="1330" xr:uid="{00000000-0005-0000-0000-0000EA750000}"/>
    <cellStyle name="표준 5 3 2 2 4 2 2 2 2" xfId="10233" xr:uid="{00000000-0005-0000-0000-0000EB750000}"/>
    <cellStyle name="표준 5 3 2 2 4 2 2 2 2 2" xfId="14345" xr:uid="{00000000-0005-0000-0000-0000EC750000}"/>
    <cellStyle name="표준 5 3 2 2 4 2 2 2 2 2 2" xfId="30939" xr:uid="{00000000-0005-0000-0000-0000ED750000}"/>
    <cellStyle name="표준 5 3 2 2 4 2 2 2 2 2 3" xfId="39150" xr:uid="{00000000-0005-0000-0000-0000EE750000}"/>
    <cellStyle name="표준 5 3 2 2 4 2 2 2 2 2 4" xfId="47343" xr:uid="{00000000-0005-0000-0000-0000EF750000}"/>
    <cellStyle name="표준 5 3 2 2 4 2 2 2 2 3" xfId="18585" xr:uid="{00000000-0005-0000-0000-0000F0750000}"/>
    <cellStyle name="표준 5 3 2 2 4 2 2 2 2 4" xfId="22747" xr:uid="{00000000-0005-0000-0000-0000F1750000}"/>
    <cellStyle name="표준 5 3 2 2 4 2 2 2 2 5" xfId="26843" xr:uid="{00000000-0005-0000-0000-0000F2750000}"/>
    <cellStyle name="표준 5 3 2 2 4 2 2 2 2 6" xfId="35054" xr:uid="{00000000-0005-0000-0000-0000F3750000}"/>
    <cellStyle name="표준 5 3 2 2 4 2 2 2 2 7" xfId="43247" xr:uid="{00000000-0005-0000-0000-0000F4750000}"/>
    <cellStyle name="표준 5 3 2 2 4 2 2 2 3" xfId="8185" xr:uid="{00000000-0005-0000-0000-0000F5750000}"/>
    <cellStyle name="표준 5 3 2 2 4 2 2 2 3 2" xfId="28891" xr:uid="{00000000-0005-0000-0000-0000F6750000}"/>
    <cellStyle name="표준 5 3 2 2 4 2 2 2 3 3" xfId="37102" xr:uid="{00000000-0005-0000-0000-0000F7750000}"/>
    <cellStyle name="표준 5 3 2 2 4 2 2 2 3 4" xfId="45295" xr:uid="{00000000-0005-0000-0000-0000F8750000}"/>
    <cellStyle name="표준 5 3 2 2 4 2 2 2 4" xfId="12297" xr:uid="{00000000-0005-0000-0000-0000F9750000}"/>
    <cellStyle name="표준 5 3 2 2 4 2 2 2 5" xfId="16537" xr:uid="{00000000-0005-0000-0000-0000FA750000}"/>
    <cellStyle name="표준 5 3 2 2 4 2 2 2 6" xfId="20699" xr:uid="{00000000-0005-0000-0000-0000FB750000}"/>
    <cellStyle name="표준 5 3 2 2 4 2 2 2 7" xfId="24795" xr:uid="{00000000-0005-0000-0000-0000FC750000}"/>
    <cellStyle name="표준 5 3 2 2 4 2 2 2 8" xfId="33006" xr:uid="{00000000-0005-0000-0000-0000FD750000}"/>
    <cellStyle name="표준 5 3 2 2 4 2 2 2 9" xfId="41199" xr:uid="{00000000-0005-0000-0000-0000FE750000}"/>
    <cellStyle name="표준 5 3 2 2 4 2 2 3" xfId="1842" xr:uid="{00000000-0005-0000-0000-0000FF750000}"/>
    <cellStyle name="표준 5 3 2 2 4 2 2 3 2" xfId="10745" xr:uid="{00000000-0005-0000-0000-000000760000}"/>
    <cellStyle name="표준 5 3 2 2 4 2 2 3 2 2" xfId="14857" xr:uid="{00000000-0005-0000-0000-000001760000}"/>
    <cellStyle name="표준 5 3 2 2 4 2 2 3 2 2 2" xfId="31451" xr:uid="{00000000-0005-0000-0000-000002760000}"/>
    <cellStyle name="표준 5 3 2 2 4 2 2 3 2 2 3" xfId="39662" xr:uid="{00000000-0005-0000-0000-000003760000}"/>
    <cellStyle name="표준 5 3 2 2 4 2 2 3 2 2 4" xfId="47855" xr:uid="{00000000-0005-0000-0000-000004760000}"/>
    <cellStyle name="표준 5 3 2 2 4 2 2 3 2 3" xfId="19097" xr:uid="{00000000-0005-0000-0000-000005760000}"/>
    <cellStyle name="표준 5 3 2 2 4 2 2 3 2 4" xfId="23259" xr:uid="{00000000-0005-0000-0000-000006760000}"/>
    <cellStyle name="표준 5 3 2 2 4 2 2 3 2 5" xfId="27355" xr:uid="{00000000-0005-0000-0000-000007760000}"/>
    <cellStyle name="표준 5 3 2 2 4 2 2 3 2 6" xfId="35566" xr:uid="{00000000-0005-0000-0000-000008760000}"/>
    <cellStyle name="표준 5 3 2 2 4 2 2 3 2 7" xfId="43759" xr:uid="{00000000-0005-0000-0000-000009760000}"/>
    <cellStyle name="표준 5 3 2 2 4 2 2 3 3" xfId="8697" xr:uid="{00000000-0005-0000-0000-00000A760000}"/>
    <cellStyle name="표준 5 3 2 2 4 2 2 3 3 2" xfId="29403" xr:uid="{00000000-0005-0000-0000-00000B760000}"/>
    <cellStyle name="표준 5 3 2 2 4 2 2 3 3 3" xfId="37614" xr:uid="{00000000-0005-0000-0000-00000C760000}"/>
    <cellStyle name="표준 5 3 2 2 4 2 2 3 3 4" xfId="45807" xr:uid="{00000000-0005-0000-0000-00000D760000}"/>
    <cellStyle name="표준 5 3 2 2 4 2 2 3 4" xfId="12809" xr:uid="{00000000-0005-0000-0000-00000E760000}"/>
    <cellStyle name="표준 5 3 2 2 4 2 2 3 5" xfId="17049" xr:uid="{00000000-0005-0000-0000-00000F760000}"/>
    <cellStyle name="표준 5 3 2 2 4 2 2 3 6" xfId="21211" xr:uid="{00000000-0005-0000-0000-000010760000}"/>
    <cellStyle name="표준 5 3 2 2 4 2 2 3 7" xfId="25307" xr:uid="{00000000-0005-0000-0000-000011760000}"/>
    <cellStyle name="표준 5 3 2 2 4 2 2 3 8" xfId="33518" xr:uid="{00000000-0005-0000-0000-000012760000}"/>
    <cellStyle name="표준 5 3 2 2 4 2 2 3 9" xfId="41711" xr:uid="{00000000-0005-0000-0000-000013760000}"/>
    <cellStyle name="표준 5 3 2 2 4 2 2 4" xfId="2354" xr:uid="{00000000-0005-0000-0000-000014760000}"/>
    <cellStyle name="표준 5 3 2 2 4 2 2 4 2" xfId="11257" xr:uid="{00000000-0005-0000-0000-000015760000}"/>
    <cellStyle name="표준 5 3 2 2 4 2 2 4 2 2" xfId="15369" xr:uid="{00000000-0005-0000-0000-000016760000}"/>
    <cellStyle name="표준 5 3 2 2 4 2 2 4 2 2 2" xfId="31963" xr:uid="{00000000-0005-0000-0000-000017760000}"/>
    <cellStyle name="표준 5 3 2 2 4 2 2 4 2 2 3" xfId="40174" xr:uid="{00000000-0005-0000-0000-000018760000}"/>
    <cellStyle name="표준 5 3 2 2 4 2 2 4 2 2 4" xfId="48367" xr:uid="{00000000-0005-0000-0000-000019760000}"/>
    <cellStyle name="표준 5 3 2 2 4 2 2 4 2 3" xfId="19609" xr:uid="{00000000-0005-0000-0000-00001A760000}"/>
    <cellStyle name="표준 5 3 2 2 4 2 2 4 2 4" xfId="23771" xr:uid="{00000000-0005-0000-0000-00001B760000}"/>
    <cellStyle name="표준 5 3 2 2 4 2 2 4 2 5" xfId="27867" xr:uid="{00000000-0005-0000-0000-00001C760000}"/>
    <cellStyle name="표준 5 3 2 2 4 2 2 4 2 6" xfId="36078" xr:uid="{00000000-0005-0000-0000-00001D760000}"/>
    <cellStyle name="표준 5 3 2 2 4 2 2 4 2 7" xfId="44271" xr:uid="{00000000-0005-0000-0000-00001E760000}"/>
    <cellStyle name="표준 5 3 2 2 4 2 2 4 3" xfId="9209" xr:uid="{00000000-0005-0000-0000-00001F760000}"/>
    <cellStyle name="표준 5 3 2 2 4 2 2 4 3 2" xfId="29915" xr:uid="{00000000-0005-0000-0000-000020760000}"/>
    <cellStyle name="표준 5 3 2 2 4 2 2 4 3 3" xfId="38126" xr:uid="{00000000-0005-0000-0000-000021760000}"/>
    <cellStyle name="표준 5 3 2 2 4 2 2 4 3 4" xfId="46319" xr:uid="{00000000-0005-0000-0000-000022760000}"/>
    <cellStyle name="표준 5 3 2 2 4 2 2 4 4" xfId="13321" xr:uid="{00000000-0005-0000-0000-000023760000}"/>
    <cellStyle name="표준 5 3 2 2 4 2 2 4 5" xfId="17561" xr:uid="{00000000-0005-0000-0000-000024760000}"/>
    <cellStyle name="표준 5 3 2 2 4 2 2 4 6" xfId="21723" xr:uid="{00000000-0005-0000-0000-000025760000}"/>
    <cellStyle name="표준 5 3 2 2 4 2 2 4 7" xfId="25819" xr:uid="{00000000-0005-0000-0000-000026760000}"/>
    <cellStyle name="표준 5 3 2 2 4 2 2 4 8" xfId="34030" xr:uid="{00000000-0005-0000-0000-000027760000}"/>
    <cellStyle name="표준 5 3 2 2 4 2 2 4 9" xfId="42223" xr:uid="{00000000-0005-0000-0000-000028760000}"/>
    <cellStyle name="표준 5 3 2 2 4 2 2 5" xfId="9721" xr:uid="{00000000-0005-0000-0000-000029760000}"/>
    <cellStyle name="표준 5 3 2 2 4 2 2 5 2" xfId="13833" xr:uid="{00000000-0005-0000-0000-00002A760000}"/>
    <cellStyle name="표준 5 3 2 2 4 2 2 5 2 2" xfId="30427" xr:uid="{00000000-0005-0000-0000-00002B760000}"/>
    <cellStyle name="표준 5 3 2 2 4 2 2 5 2 3" xfId="38638" xr:uid="{00000000-0005-0000-0000-00002C760000}"/>
    <cellStyle name="표준 5 3 2 2 4 2 2 5 2 4" xfId="46831" xr:uid="{00000000-0005-0000-0000-00002D760000}"/>
    <cellStyle name="표준 5 3 2 2 4 2 2 5 3" xfId="18073" xr:uid="{00000000-0005-0000-0000-00002E760000}"/>
    <cellStyle name="표준 5 3 2 2 4 2 2 5 4" xfId="22235" xr:uid="{00000000-0005-0000-0000-00002F760000}"/>
    <cellStyle name="표준 5 3 2 2 4 2 2 5 5" xfId="26331" xr:uid="{00000000-0005-0000-0000-000030760000}"/>
    <cellStyle name="표준 5 3 2 2 4 2 2 5 6" xfId="34542" xr:uid="{00000000-0005-0000-0000-000031760000}"/>
    <cellStyle name="표준 5 3 2 2 4 2 2 5 7" xfId="42735" xr:uid="{00000000-0005-0000-0000-000032760000}"/>
    <cellStyle name="표준 5 3 2 2 4 2 2 6" xfId="7673" xr:uid="{00000000-0005-0000-0000-000033760000}"/>
    <cellStyle name="표준 5 3 2 2 4 2 2 6 2" xfId="28379" xr:uid="{00000000-0005-0000-0000-000034760000}"/>
    <cellStyle name="표준 5 3 2 2 4 2 2 6 3" xfId="36590" xr:uid="{00000000-0005-0000-0000-000035760000}"/>
    <cellStyle name="표준 5 3 2 2 4 2 2 6 4" xfId="44783" xr:uid="{00000000-0005-0000-0000-000036760000}"/>
    <cellStyle name="표준 5 3 2 2 4 2 2 7" xfId="11785" xr:uid="{00000000-0005-0000-0000-000037760000}"/>
    <cellStyle name="표준 5 3 2 2 4 2 2 8" xfId="16025" xr:uid="{00000000-0005-0000-0000-000038760000}"/>
    <cellStyle name="표준 5 3 2 2 4 2 2 9" xfId="20187" xr:uid="{00000000-0005-0000-0000-000039760000}"/>
    <cellStyle name="표준 5 3 2 2 4 2 3" xfId="1074" xr:uid="{00000000-0005-0000-0000-00003A760000}"/>
    <cellStyle name="표준 5 3 2 2 4 2 3 2" xfId="9977" xr:uid="{00000000-0005-0000-0000-00003B760000}"/>
    <cellStyle name="표준 5 3 2 2 4 2 3 2 2" xfId="14089" xr:uid="{00000000-0005-0000-0000-00003C760000}"/>
    <cellStyle name="표준 5 3 2 2 4 2 3 2 2 2" xfId="30683" xr:uid="{00000000-0005-0000-0000-00003D760000}"/>
    <cellStyle name="표준 5 3 2 2 4 2 3 2 2 3" xfId="38894" xr:uid="{00000000-0005-0000-0000-00003E760000}"/>
    <cellStyle name="표준 5 3 2 2 4 2 3 2 2 4" xfId="47087" xr:uid="{00000000-0005-0000-0000-00003F760000}"/>
    <cellStyle name="표준 5 3 2 2 4 2 3 2 3" xfId="18329" xr:uid="{00000000-0005-0000-0000-000040760000}"/>
    <cellStyle name="표준 5 3 2 2 4 2 3 2 4" xfId="22491" xr:uid="{00000000-0005-0000-0000-000041760000}"/>
    <cellStyle name="표준 5 3 2 2 4 2 3 2 5" xfId="26587" xr:uid="{00000000-0005-0000-0000-000042760000}"/>
    <cellStyle name="표준 5 3 2 2 4 2 3 2 6" xfId="34798" xr:uid="{00000000-0005-0000-0000-000043760000}"/>
    <cellStyle name="표준 5 3 2 2 4 2 3 2 7" xfId="42991" xr:uid="{00000000-0005-0000-0000-000044760000}"/>
    <cellStyle name="표준 5 3 2 2 4 2 3 3" xfId="7929" xr:uid="{00000000-0005-0000-0000-000045760000}"/>
    <cellStyle name="표준 5 3 2 2 4 2 3 3 2" xfId="28635" xr:uid="{00000000-0005-0000-0000-000046760000}"/>
    <cellStyle name="표준 5 3 2 2 4 2 3 3 3" xfId="36846" xr:uid="{00000000-0005-0000-0000-000047760000}"/>
    <cellStyle name="표준 5 3 2 2 4 2 3 3 4" xfId="45039" xr:uid="{00000000-0005-0000-0000-000048760000}"/>
    <cellStyle name="표준 5 3 2 2 4 2 3 4" xfId="12041" xr:uid="{00000000-0005-0000-0000-000049760000}"/>
    <cellStyle name="표준 5 3 2 2 4 2 3 5" xfId="16281" xr:uid="{00000000-0005-0000-0000-00004A760000}"/>
    <cellStyle name="표준 5 3 2 2 4 2 3 6" xfId="20443" xr:uid="{00000000-0005-0000-0000-00004B760000}"/>
    <cellStyle name="표준 5 3 2 2 4 2 3 7" xfId="24539" xr:uid="{00000000-0005-0000-0000-00004C760000}"/>
    <cellStyle name="표준 5 3 2 2 4 2 3 8" xfId="32750" xr:uid="{00000000-0005-0000-0000-00004D760000}"/>
    <cellStyle name="표준 5 3 2 2 4 2 3 9" xfId="40943" xr:uid="{00000000-0005-0000-0000-00004E760000}"/>
    <cellStyle name="표준 5 3 2 2 4 2 4" xfId="1586" xr:uid="{00000000-0005-0000-0000-00004F760000}"/>
    <cellStyle name="표준 5 3 2 2 4 2 4 2" xfId="10489" xr:uid="{00000000-0005-0000-0000-000050760000}"/>
    <cellStyle name="표준 5 3 2 2 4 2 4 2 2" xfId="14601" xr:uid="{00000000-0005-0000-0000-000051760000}"/>
    <cellStyle name="표준 5 3 2 2 4 2 4 2 2 2" xfId="31195" xr:uid="{00000000-0005-0000-0000-000052760000}"/>
    <cellStyle name="표준 5 3 2 2 4 2 4 2 2 3" xfId="39406" xr:uid="{00000000-0005-0000-0000-000053760000}"/>
    <cellStyle name="표준 5 3 2 2 4 2 4 2 2 4" xfId="47599" xr:uid="{00000000-0005-0000-0000-000054760000}"/>
    <cellStyle name="표준 5 3 2 2 4 2 4 2 3" xfId="18841" xr:uid="{00000000-0005-0000-0000-000055760000}"/>
    <cellStyle name="표준 5 3 2 2 4 2 4 2 4" xfId="23003" xr:uid="{00000000-0005-0000-0000-000056760000}"/>
    <cellStyle name="표준 5 3 2 2 4 2 4 2 5" xfId="27099" xr:uid="{00000000-0005-0000-0000-000057760000}"/>
    <cellStyle name="표준 5 3 2 2 4 2 4 2 6" xfId="35310" xr:uid="{00000000-0005-0000-0000-000058760000}"/>
    <cellStyle name="표준 5 3 2 2 4 2 4 2 7" xfId="43503" xr:uid="{00000000-0005-0000-0000-000059760000}"/>
    <cellStyle name="표준 5 3 2 2 4 2 4 3" xfId="8441" xr:uid="{00000000-0005-0000-0000-00005A760000}"/>
    <cellStyle name="표준 5 3 2 2 4 2 4 3 2" xfId="29147" xr:uid="{00000000-0005-0000-0000-00005B760000}"/>
    <cellStyle name="표준 5 3 2 2 4 2 4 3 3" xfId="37358" xr:uid="{00000000-0005-0000-0000-00005C760000}"/>
    <cellStyle name="표준 5 3 2 2 4 2 4 3 4" xfId="45551" xr:uid="{00000000-0005-0000-0000-00005D760000}"/>
    <cellStyle name="표준 5 3 2 2 4 2 4 4" xfId="12553" xr:uid="{00000000-0005-0000-0000-00005E760000}"/>
    <cellStyle name="표준 5 3 2 2 4 2 4 5" xfId="16793" xr:uid="{00000000-0005-0000-0000-00005F760000}"/>
    <cellStyle name="표준 5 3 2 2 4 2 4 6" xfId="20955" xr:uid="{00000000-0005-0000-0000-000060760000}"/>
    <cellStyle name="표준 5 3 2 2 4 2 4 7" xfId="25051" xr:uid="{00000000-0005-0000-0000-000061760000}"/>
    <cellStyle name="표준 5 3 2 2 4 2 4 8" xfId="33262" xr:uid="{00000000-0005-0000-0000-000062760000}"/>
    <cellStyle name="표준 5 3 2 2 4 2 4 9" xfId="41455" xr:uid="{00000000-0005-0000-0000-000063760000}"/>
    <cellStyle name="표준 5 3 2 2 4 2 5" xfId="2098" xr:uid="{00000000-0005-0000-0000-000064760000}"/>
    <cellStyle name="표준 5 3 2 2 4 2 5 2" xfId="11001" xr:uid="{00000000-0005-0000-0000-000065760000}"/>
    <cellStyle name="표준 5 3 2 2 4 2 5 2 2" xfId="15113" xr:uid="{00000000-0005-0000-0000-000066760000}"/>
    <cellStyle name="표준 5 3 2 2 4 2 5 2 2 2" xfId="31707" xr:uid="{00000000-0005-0000-0000-000067760000}"/>
    <cellStyle name="표준 5 3 2 2 4 2 5 2 2 3" xfId="39918" xr:uid="{00000000-0005-0000-0000-000068760000}"/>
    <cellStyle name="표준 5 3 2 2 4 2 5 2 2 4" xfId="48111" xr:uid="{00000000-0005-0000-0000-000069760000}"/>
    <cellStyle name="표준 5 3 2 2 4 2 5 2 3" xfId="19353" xr:uid="{00000000-0005-0000-0000-00006A760000}"/>
    <cellStyle name="표준 5 3 2 2 4 2 5 2 4" xfId="23515" xr:uid="{00000000-0005-0000-0000-00006B760000}"/>
    <cellStyle name="표준 5 3 2 2 4 2 5 2 5" xfId="27611" xr:uid="{00000000-0005-0000-0000-00006C760000}"/>
    <cellStyle name="표준 5 3 2 2 4 2 5 2 6" xfId="35822" xr:uid="{00000000-0005-0000-0000-00006D760000}"/>
    <cellStyle name="표준 5 3 2 2 4 2 5 2 7" xfId="44015" xr:uid="{00000000-0005-0000-0000-00006E760000}"/>
    <cellStyle name="표준 5 3 2 2 4 2 5 3" xfId="8953" xr:uid="{00000000-0005-0000-0000-00006F760000}"/>
    <cellStyle name="표준 5 3 2 2 4 2 5 3 2" xfId="29659" xr:uid="{00000000-0005-0000-0000-000070760000}"/>
    <cellStyle name="표준 5 3 2 2 4 2 5 3 3" xfId="37870" xr:uid="{00000000-0005-0000-0000-000071760000}"/>
    <cellStyle name="표준 5 3 2 2 4 2 5 3 4" xfId="46063" xr:uid="{00000000-0005-0000-0000-000072760000}"/>
    <cellStyle name="표준 5 3 2 2 4 2 5 4" xfId="13065" xr:uid="{00000000-0005-0000-0000-000073760000}"/>
    <cellStyle name="표준 5 3 2 2 4 2 5 5" xfId="17305" xr:uid="{00000000-0005-0000-0000-000074760000}"/>
    <cellStyle name="표준 5 3 2 2 4 2 5 6" xfId="21467" xr:uid="{00000000-0005-0000-0000-000075760000}"/>
    <cellStyle name="표준 5 3 2 2 4 2 5 7" xfId="25563" xr:uid="{00000000-0005-0000-0000-000076760000}"/>
    <cellStyle name="표준 5 3 2 2 4 2 5 8" xfId="33774" xr:uid="{00000000-0005-0000-0000-000077760000}"/>
    <cellStyle name="표준 5 3 2 2 4 2 5 9" xfId="41967" xr:uid="{00000000-0005-0000-0000-000078760000}"/>
    <cellStyle name="표준 5 3 2 2 4 2 6" xfId="9465" xr:uid="{00000000-0005-0000-0000-000079760000}"/>
    <cellStyle name="표준 5 3 2 2 4 2 6 2" xfId="13577" xr:uid="{00000000-0005-0000-0000-00007A760000}"/>
    <cellStyle name="표준 5 3 2 2 4 2 6 2 2" xfId="30171" xr:uid="{00000000-0005-0000-0000-00007B760000}"/>
    <cellStyle name="표준 5 3 2 2 4 2 6 2 3" xfId="38382" xr:uid="{00000000-0005-0000-0000-00007C760000}"/>
    <cellStyle name="표준 5 3 2 2 4 2 6 2 4" xfId="46575" xr:uid="{00000000-0005-0000-0000-00007D760000}"/>
    <cellStyle name="표준 5 3 2 2 4 2 6 3" xfId="17817" xr:uid="{00000000-0005-0000-0000-00007E760000}"/>
    <cellStyle name="표준 5 3 2 2 4 2 6 4" xfId="21979" xr:uid="{00000000-0005-0000-0000-00007F760000}"/>
    <cellStyle name="표준 5 3 2 2 4 2 6 5" xfId="26075" xr:uid="{00000000-0005-0000-0000-000080760000}"/>
    <cellStyle name="표준 5 3 2 2 4 2 6 6" xfId="34286" xr:uid="{00000000-0005-0000-0000-000081760000}"/>
    <cellStyle name="표준 5 3 2 2 4 2 6 7" xfId="42479" xr:uid="{00000000-0005-0000-0000-000082760000}"/>
    <cellStyle name="표준 5 3 2 2 4 2 7" xfId="7417" xr:uid="{00000000-0005-0000-0000-000083760000}"/>
    <cellStyle name="표준 5 3 2 2 4 2 7 2" xfId="28123" xr:uid="{00000000-0005-0000-0000-000084760000}"/>
    <cellStyle name="표준 5 3 2 2 4 2 7 3" xfId="36334" xr:uid="{00000000-0005-0000-0000-000085760000}"/>
    <cellStyle name="표준 5 3 2 2 4 2 7 4" xfId="44527" xr:uid="{00000000-0005-0000-0000-000086760000}"/>
    <cellStyle name="표준 5 3 2 2 4 2 8" xfId="11529" xr:uid="{00000000-0005-0000-0000-000087760000}"/>
    <cellStyle name="표준 5 3 2 2 4 2 9" xfId="15769" xr:uid="{00000000-0005-0000-0000-000088760000}"/>
    <cellStyle name="표준 5 3 2 2 4 3" xfId="690" xr:uid="{00000000-0005-0000-0000-000089760000}"/>
    <cellStyle name="표준 5 3 2 2 4 3 10" xfId="24155" xr:uid="{00000000-0005-0000-0000-00008A760000}"/>
    <cellStyle name="표준 5 3 2 2 4 3 11" xfId="32366" xr:uid="{00000000-0005-0000-0000-00008B760000}"/>
    <cellStyle name="표준 5 3 2 2 4 3 12" xfId="40559" xr:uid="{00000000-0005-0000-0000-00008C760000}"/>
    <cellStyle name="표준 5 3 2 2 4 3 2" xfId="1202" xr:uid="{00000000-0005-0000-0000-00008D760000}"/>
    <cellStyle name="표준 5 3 2 2 4 3 2 2" xfId="10105" xr:uid="{00000000-0005-0000-0000-00008E760000}"/>
    <cellStyle name="표준 5 3 2 2 4 3 2 2 2" xfId="14217" xr:uid="{00000000-0005-0000-0000-00008F760000}"/>
    <cellStyle name="표준 5 3 2 2 4 3 2 2 2 2" xfId="30811" xr:uid="{00000000-0005-0000-0000-000090760000}"/>
    <cellStyle name="표준 5 3 2 2 4 3 2 2 2 3" xfId="39022" xr:uid="{00000000-0005-0000-0000-000091760000}"/>
    <cellStyle name="표준 5 3 2 2 4 3 2 2 2 4" xfId="47215" xr:uid="{00000000-0005-0000-0000-000092760000}"/>
    <cellStyle name="표준 5 3 2 2 4 3 2 2 3" xfId="18457" xr:uid="{00000000-0005-0000-0000-000093760000}"/>
    <cellStyle name="표준 5 3 2 2 4 3 2 2 4" xfId="22619" xr:uid="{00000000-0005-0000-0000-000094760000}"/>
    <cellStyle name="표준 5 3 2 2 4 3 2 2 5" xfId="26715" xr:uid="{00000000-0005-0000-0000-000095760000}"/>
    <cellStyle name="표준 5 3 2 2 4 3 2 2 6" xfId="34926" xr:uid="{00000000-0005-0000-0000-000096760000}"/>
    <cellStyle name="표준 5 3 2 2 4 3 2 2 7" xfId="43119" xr:uid="{00000000-0005-0000-0000-000097760000}"/>
    <cellStyle name="표준 5 3 2 2 4 3 2 3" xfId="8057" xr:uid="{00000000-0005-0000-0000-000098760000}"/>
    <cellStyle name="표준 5 3 2 2 4 3 2 3 2" xfId="28763" xr:uid="{00000000-0005-0000-0000-000099760000}"/>
    <cellStyle name="표준 5 3 2 2 4 3 2 3 3" xfId="36974" xr:uid="{00000000-0005-0000-0000-00009A760000}"/>
    <cellStyle name="표준 5 3 2 2 4 3 2 3 4" xfId="45167" xr:uid="{00000000-0005-0000-0000-00009B760000}"/>
    <cellStyle name="표준 5 3 2 2 4 3 2 4" xfId="12169" xr:uid="{00000000-0005-0000-0000-00009C760000}"/>
    <cellStyle name="표준 5 3 2 2 4 3 2 5" xfId="16409" xr:uid="{00000000-0005-0000-0000-00009D760000}"/>
    <cellStyle name="표준 5 3 2 2 4 3 2 6" xfId="20571" xr:uid="{00000000-0005-0000-0000-00009E760000}"/>
    <cellStyle name="표준 5 3 2 2 4 3 2 7" xfId="24667" xr:uid="{00000000-0005-0000-0000-00009F760000}"/>
    <cellStyle name="표준 5 3 2 2 4 3 2 8" xfId="32878" xr:uid="{00000000-0005-0000-0000-0000A0760000}"/>
    <cellStyle name="표준 5 3 2 2 4 3 2 9" xfId="41071" xr:uid="{00000000-0005-0000-0000-0000A1760000}"/>
    <cellStyle name="표준 5 3 2 2 4 3 3" xfId="1714" xr:uid="{00000000-0005-0000-0000-0000A2760000}"/>
    <cellStyle name="표준 5 3 2 2 4 3 3 2" xfId="10617" xr:uid="{00000000-0005-0000-0000-0000A3760000}"/>
    <cellStyle name="표준 5 3 2 2 4 3 3 2 2" xfId="14729" xr:uid="{00000000-0005-0000-0000-0000A4760000}"/>
    <cellStyle name="표준 5 3 2 2 4 3 3 2 2 2" xfId="31323" xr:uid="{00000000-0005-0000-0000-0000A5760000}"/>
    <cellStyle name="표준 5 3 2 2 4 3 3 2 2 3" xfId="39534" xr:uid="{00000000-0005-0000-0000-0000A6760000}"/>
    <cellStyle name="표준 5 3 2 2 4 3 3 2 2 4" xfId="47727" xr:uid="{00000000-0005-0000-0000-0000A7760000}"/>
    <cellStyle name="표준 5 3 2 2 4 3 3 2 3" xfId="18969" xr:uid="{00000000-0005-0000-0000-0000A8760000}"/>
    <cellStyle name="표준 5 3 2 2 4 3 3 2 4" xfId="23131" xr:uid="{00000000-0005-0000-0000-0000A9760000}"/>
    <cellStyle name="표준 5 3 2 2 4 3 3 2 5" xfId="27227" xr:uid="{00000000-0005-0000-0000-0000AA760000}"/>
    <cellStyle name="표준 5 3 2 2 4 3 3 2 6" xfId="35438" xr:uid="{00000000-0005-0000-0000-0000AB760000}"/>
    <cellStyle name="표준 5 3 2 2 4 3 3 2 7" xfId="43631" xr:uid="{00000000-0005-0000-0000-0000AC760000}"/>
    <cellStyle name="표준 5 3 2 2 4 3 3 3" xfId="8569" xr:uid="{00000000-0005-0000-0000-0000AD760000}"/>
    <cellStyle name="표준 5 3 2 2 4 3 3 3 2" xfId="29275" xr:uid="{00000000-0005-0000-0000-0000AE760000}"/>
    <cellStyle name="표준 5 3 2 2 4 3 3 3 3" xfId="37486" xr:uid="{00000000-0005-0000-0000-0000AF760000}"/>
    <cellStyle name="표준 5 3 2 2 4 3 3 3 4" xfId="45679" xr:uid="{00000000-0005-0000-0000-0000B0760000}"/>
    <cellStyle name="표준 5 3 2 2 4 3 3 4" xfId="12681" xr:uid="{00000000-0005-0000-0000-0000B1760000}"/>
    <cellStyle name="표준 5 3 2 2 4 3 3 5" xfId="16921" xr:uid="{00000000-0005-0000-0000-0000B2760000}"/>
    <cellStyle name="표준 5 3 2 2 4 3 3 6" xfId="21083" xr:uid="{00000000-0005-0000-0000-0000B3760000}"/>
    <cellStyle name="표준 5 3 2 2 4 3 3 7" xfId="25179" xr:uid="{00000000-0005-0000-0000-0000B4760000}"/>
    <cellStyle name="표준 5 3 2 2 4 3 3 8" xfId="33390" xr:uid="{00000000-0005-0000-0000-0000B5760000}"/>
    <cellStyle name="표준 5 3 2 2 4 3 3 9" xfId="41583" xr:uid="{00000000-0005-0000-0000-0000B6760000}"/>
    <cellStyle name="표준 5 3 2 2 4 3 4" xfId="2226" xr:uid="{00000000-0005-0000-0000-0000B7760000}"/>
    <cellStyle name="표준 5 3 2 2 4 3 4 2" xfId="11129" xr:uid="{00000000-0005-0000-0000-0000B8760000}"/>
    <cellStyle name="표준 5 3 2 2 4 3 4 2 2" xfId="15241" xr:uid="{00000000-0005-0000-0000-0000B9760000}"/>
    <cellStyle name="표준 5 3 2 2 4 3 4 2 2 2" xfId="31835" xr:uid="{00000000-0005-0000-0000-0000BA760000}"/>
    <cellStyle name="표준 5 3 2 2 4 3 4 2 2 3" xfId="40046" xr:uid="{00000000-0005-0000-0000-0000BB760000}"/>
    <cellStyle name="표준 5 3 2 2 4 3 4 2 2 4" xfId="48239" xr:uid="{00000000-0005-0000-0000-0000BC760000}"/>
    <cellStyle name="표준 5 3 2 2 4 3 4 2 3" xfId="19481" xr:uid="{00000000-0005-0000-0000-0000BD760000}"/>
    <cellStyle name="표준 5 3 2 2 4 3 4 2 4" xfId="23643" xr:uid="{00000000-0005-0000-0000-0000BE760000}"/>
    <cellStyle name="표준 5 3 2 2 4 3 4 2 5" xfId="27739" xr:uid="{00000000-0005-0000-0000-0000BF760000}"/>
    <cellStyle name="표준 5 3 2 2 4 3 4 2 6" xfId="35950" xr:uid="{00000000-0005-0000-0000-0000C0760000}"/>
    <cellStyle name="표준 5 3 2 2 4 3 4 2 7" xfId="44143" xr:uid="{00000000-0005-0000-0000-0000C1760000}"/>
    <cellStyle name="표준 5 3 2 2 4 3 4 3" xfId="9081" xr:uid="{00000000-0005-0000-0000-0000C2760000}"/>
    <cellStyle name="표준 5 3 2 2 4 3 4 3 2" xfId="29787" xr:uid="{00000000-0005-0000-0000-0000C3760000}"/>
    <cellStyle name="표준 5 3 2 2 4 3 4 3 3" xfId="37998" xr:uid="{00000000-0005-0000-0000-0000C4760000}"/>
    <cellStyle name="표준 5 3 2 2 4 3 4 3 4" xfId="46191" xr:uid="{00000000-0005-0000-0000-0000C5760000}"/>
    <cellStyle name="표준 5 3 2 2 4 3 4 4" xfId="13193" xr:uid="{00000000-0005-0000-0000-0000C6760000}"/>
    <cellStyle name="표준 5 3 2 2 4 3 4 5" xfId="17433" xr:uid="{00000000-0005-0000-0000-0000C7760000}"/>
    <cellStyle name="표준 5 3 2 2 4 3 4 6" xfId="21595" xr:uid="{00000000-0005-0000-0000-0000C8760000}"/>
    <cellStyle name="표준 5 3 2 2 4 3 4 7" xfId="25691" xr:uid="{00000000-0005-0000-0000-0000C9760000}"/>
    <cellStyle name="표준 5 3 2 2 4 3 4 8" xfId="33902" xr:uid="{00000000-0005-0000-0000-0000CA760000}"/>
    <cellStyle name="표준 5 3 2 2 4 3 4 9" xfId="42095" xr:uid="{00000000-0005-0000-0000-0000CB760000}"/>
    <cellStyle name="표준 5 3 2 2 4 3 5" xfId="9593" xr:uid="{00000000-0005-0000-0000-0000CC760000}"/>
    <cellStyle name="표준 5 3 2 2 4 3 5 2" xfId="13705" xr:uid="{00000000-0005-0000-0000-0000CD760000}"/>
    <cellStyle name="표준 5 3 2 2 4 3 5 2 2" xfId="30299" xr:uid="{00000000-0005-0000-0000-0000CE760000}"/>
    <cellStyle name="표준 5 3 2 2 4 3 5 2 3" xfId="38510" xr:uid="{00000000-0005-0000-0000-0000CF760000}"/>
    <cellStyle name="표준 5 3 2 2 4 3 5 2 4" xfId="46703" xr:uid="{00000000-0005-0000-0000-0000D0760000}"/>
    <cellStyle name="표준 5 3 2 2 4 3 5 3" xfId="17945" xr:uid="{00000000-0005-0000-0000-0000D1760000}"/>
    <cellStyle name="표준 5 3 2 2 4 3 5 4" xfId="22107" xr:uid="{00000000-0005-0000-0000-0000D2760000}"/>
    <cellStyle name="표준 5 3 2 2 4 3 5 5" xfId="26203" xr:uid="{00000000-0005-0000-0000-0000D3760000}"/>
    <cellStyle name="표준 5 3 2 2 4 3 5 6" xfId="34414" xr:uid="{00000000-0005-0000-0000-0000D4760000}"/>
    <cellStyle name="표준 5 3 2 2 4 3 5 7" xfId="42607" xr:uid="{00000000-0005-0000-0000-0000D5760000}"/>
    <cellStyle name="표준 5 3 2 2 4 3 6" xfId="7545" xr:uid="{00000000-0005-0000-0000-0000D6760000}"/>
    <cellStyle name="표준 5 3 2 2 4 3 6 2" xfId="28251" xr:uid="{00000000-0005-0000-0000-0000D7760000}"/>
    <cellStyle name="표준 5 3 2 2 4 3 6 3" xfId="36462" xr:uid="{00000000-0005-0000-0000-0000D8760000}"/>
    <cellStyle name="표준 5 3 2 2 4 3 6 4" xfId="44655" xr:uid="{00000000-0005-0000-0000-0000D9760000}"/>
    <cellStyle name="표준 5 3 2 2 4 3 7" xfId="11657" xr:uid="{00000000-0005-0000-0000-0000DA760000}"/>
    <cellStyle name="표준 5 3 2 2 4 3 8" xfId="15897" xr:uid="{00000000-0005-0000-0000-0000DB760000}"/>
    <cellStyle name="표준 5 3 2 2 4 3 9" xfId="20059" xr:uid="{00000000-0005-0000-0000-0000DC760000}"/>
    <cellStyle name="표준 5 3 2 2 4 4" xfId="946" xr:uid="{00000000-0005-0000-0000-0000DD760000}"/>
    <cellStyle name="표준 5 3 2 2 4 4 2" xfId="9849" xr:uid="{00000000-0005-0000-0000-0000DE760000}"/>
    <cellStyle name="표준 5 3 2 2 4 4 2 2" xfId="13961" xr:uid="{00000000-0005-0000-0000-0000DF760000}"/>
    <cellStyle name="표준 5 3 2 2 4 4 2 2 2" xfId="30555" xr:uid="{00000000-0005-0000-0000-0000E0760000}"/>
    <cellStyle name="표준 5 3 2 2 4 4 2 2 3" xfId="38766" xr:uid="{00000000-0005-0000-0000-0000E1760000}"/>
    <cellStyle name="표준 5 3 2 2 4 4 2 2 4" xfId="46959" xr:uid="{00000000-0005-0000-0000-0000E2760000}"/>
    <cellStyle name="표준 5 3 2 2 4 4 2 3" xfId="18201" xr:uid="{00000000-0005-0000-0000-0000E3760000}"/>
    <cellStyle name="표준 5 3 2 2 4 4 2 4" xfId="22363" xr:uid="{00000000-0005-0000-0000-0000E4760000}"/>
    <cellStyle name="표준 5 3 2 2 4 4 2 5" xfId="26459" xr:uid="{00000000-0005-0000-0000-0000E5760000}"/>
    <cellStyle name="표준 5 3 2 2 4 4 2 6" xfId="34670" xr:uid="{00000000-0005-0000-0000-0000E6760000}"/>
    <cellStyle name="표준 5 3 2 2 4 4 2 7" xfId="42863" xr:uid="{00000000-0005-0000-0000-0000E7760000}"/>
    <cellStyle name="표준 5 3 2 2 4 4 3" xfId="7801" xr:uid="{00000000-0005-0000-0000-0000E8760000}"/>
    <cellStyle name="표준 5 3 2 2 4 4 3 2" xfId="28507" xr:uid="{00000000-0005-0000-0000-0000E9760000}"/>
    <cellStyle name="표준 5 3 2 2 4 4 3 3" xfId="36718" xr:uid="{00000000-0005-0000-0000-0000EA760000}"/>
    <cellStyle name="표준 5 3 2 2 4 4 3 4" xfId="44911" xr:uid="{00000000-0005-0000-0000-0000EB760000}"/>
    <cellStyle name="표준 5 3 2 2 4 4 4" xfId="11913" xr:uid="{00000000-0005-0000-0000-0000EC760000}"/>
    <cellStyle name="표준 5 3 2 2 4 4 5" xfId="16153" xr:uid="{00000000-0005-0000-0000-0000ED760000}"/>
    <cellStyle name="표준 5 3 2 2 4 4 6" xfId="20315" xr:uid="{00000000-0005-0000-0000-0000EE760000}"/>
    <cellStyle name="표준 5 3 2 2 4 4 7" xfId="24411" xr:uid="{00000000-0005-0000-0000-0000EF760000}"/>
    <cellStyle name="표준 5 3 2 2 4 4 8" xfId="32622" xr:uid="{00000000-0005-0000-0000-0000F0760000}"/>
    <cellStyle name="표준 5 3 2 2 4 4 9" xfId="40815" xr:uid="{00000000-0005-0000-0000-0000F1760000}"/>
    <cellStyle name="표준 5 3 2 2 4 5" xfId="1458" xr:uid="{00000000-0005-0000-0000-0000F2760000}"/>
    <cellStyle name="표준 5 3 2 2 4 5 2" xfId="10361" xr:uid="{00000000-0005-0000-0000-0000F3760000}"/>
    <cellStyle name="표준 5 3 2 2 4 5 2 2" xfId="14473" xr:uid="{00000000-0005-0000-0000-0000F4760000}"/>
    <cellStyle name="표준 5 3 2 2 4 5 2 2 2" xfId="31067" xr:uid="{00000000-0005-0000-0000-0000F5760000}"/>
    <cellStyle name="표준 5 3 2 2 4 5 2 2 3" xfId="39278" xr:uid="{00000000-0005-0000-0000-0000F6760000}"/>
    <cellStyle name="표준 5 3 2 2 4 5 2 2 4" xfId="47471" xr:uid="{00000000-0005-0000-0000-0000F7760000}"/>
    <cellStyle name="표준 5 3 2 2 4 5 2 3" xfId="18713" xr:uid="{00000000-0005-0000-0000-0000F8760000}"/>
    <cellStyle name="표준 5 3 2 2 4 5 2 4" xfId="22875" xr:uid="{00000000-0005-0000-0000-0000F9760000}"/>
    <cellStyle name="표준 5 3 2 2 4 5 2 5" xfId="26971" xr:uid="{00000000-0005-0000-0000-0000FA760000}"/>
    <cellStyle name="표준 5 3 2 2 4 5 2 6" xfId="35182" xr:uid="{00000000-0005-0000-0000-0000FB760000}"/>
    <cellStyle name="표준 5 3 2 2 4 5 2 7" xfId="43375" xr:uid="{00000000-0005-0000-0000-0000FC760000}"/>
    <cellStyle name="표준 5 3 2 2 4 5 3" xfId="8313" xr:uid="{00000000-0005-0000-0000-0000FD760000}"/>
    <cellStyle name="표준 5 3 2 2 4 5 3 2" xfId="29019" xr:uid="{00000000-0005-0000-0000-0000FE760000}"/>
    <cellStyle name="표준 5 3 2 2 4 5 3 3" xfId="37230" xr:uid="{00000000-0005-0000-0000-0000FF760000}"/>
    <cellStyle name="표준 5 3 2 2 4 5 3 4" xfId="45423" xr:uid="{00000000-0005-0000-0000-000000770000}"/>
    <cellStyle name="표준 5 3 2 2 4 5 4" xfId="12425" xr:uid="{00000000-0005-0000-0000-000001770000}"/>
    <cellStyle name="표준 5 3 2 2 4 5 5" xfId="16665" xr:uid="{00000000-0005-0000-0000-000002770000}"/>
    <cellStyle name="표준 5 3 2 2 4 5 6" xfId="20827" xr:uid="{00000000-0005-0000-0000-000003770000}"/>
    <cellStyle name="표준 5 3 2 2 4 5 7" xfId="24923" xr:uid="{00000000-0005-0000-0000-000004770000}"/>
    <cellStyle name="표준 5 3 2 2 4 5 8" xfId="33134" xr:uid="{00000000-0005-0000-0000-000005770000}"/>
    <cellStyle name="표준 5 3 2 2 4 5 9" xfId="41327" xr:uid="{00000000-0005-0000-0000-000006770000}"/>
    <cellStyle name="표준 5 3 2 2 4 6" xfId="1970" xr:uid="{00000000-0005-0000-0000-000007770000}"/>
    <cellStyle name="표준 5 3 2 2 4 6 2" xfId="10873" xr:uid="{00000000-0005-0000-0000-000008770000}"/>
    <cellStyle name="표준 5 3 2 2 4 6 2 2" xfId="14985" xr:uid="{00000000-0005-0000-0000-000009770000}"/>
    <cellStyle name="표준 5 3 2 2 4 6 2 2 2" xfId="31579" xr:uid="{00000000-0005-0000-0000-00000A770000}"/>
    <cellStyle name="표준 5 3 2 2 4 6 2 2 3" xfId="39790" xr:uid="{00000000-0005-0000-0000-00000B770000}"/>
    <cellStyle name="표준 5 3 2 2 4 6 2 2 4" xfId="47983" xr:uid="{00000000-0005-0000-0000-00000C770000}"/>
    <cellStyle name="표준 5 3 2 2 4 6 2 3" xfId="19225" xr:uid="{00000000-0005-0000-0000-00000D770000}"/>
    <cellStyle name="표준 5 3 2 2 4 6 2 4" xfId="23387" xr:uid="{00000000-0005-0000-0000-00000E770000}"/>
    <cellStyle name="표준 5 3 2 2 4 6 2 5" xfId="27483" xr:uid="{00000000-0005-0000-0000-00000F770000}"/>
    <cellStyle name="표준 5 3 2 2 4 6 2 6" xfId="35694" xr:uid="{00000000-0005-0000-0000-000010770000}"/>
    <cellStyle name="표준 5 3 2 2 4 6 2 7" xfId="43887" xr:uid="{00000000-0005-0000-0000-000011770000}"/>
    <cellStyle name="표준 5 3 2 2 4 6 3" xfId="8825" xr:uid="{00000000-0005-0000-0000-000012770000}"/>
    <cellStyle name="표준 5 3 2 2 4 6 3 2" xfId="29531" xr:uid="{00000000-0005-0000-0000-000013770000}"/>
    <cellStyle name="표준 5 3 2 2 4 6 3 3" xfId="37742" xr:uid="{00000000-0005-0000-0000-000014770000}"/>
    <cellStyle name="표준 5 3 2 2 4 6 3 4" xfId="45935" xr:uid="{00000000-0005-0000-0000-000015770000}"/>
    <cellStyle name="표준 5 3 2 2 4 6 4" xfId="12937" xr:uid="{00000000-0005-0000-0000-000016770000}"/>
    <cellStyle name="표준 5 3 2 2 4 6 5" xfId="17177" xr:uid="{00000000-0005-0000-0000-000017770000}"/>
    <cellStyle name="표준 5 3 2 2 4 6 6" xfId="21339" xr:uid="{00000000-0005-0000-0000-000018770000}"/>
    <cellStyle name="표준 5 3 2 2 4 6 7" xfId="25435" xr:uid="{00000000-0005-0000-0000-000019770000}"/>
    <cellStyle name="표준 5 3 2 2 4 6 8" xfId="33646" xr:uid="{00000000-0005-0000-0000-00001A770000}"/>
    <cellStyle name="표준 5 3 2 2 4 6 9" xfId="41839" xr:uid="{00000000-0005-0000-0000-00001B770000}"/>
    <cellStyle name="표준 5 3 2 2 4 7" xfId="7030" xr:uid="{00000000-0005-0000-0000-00001C770000}"/>
    <cellStyle name="표준 5 3 2 2 4 7 2" xfId="9337" xr:uid="{00000000-0005-0000-0000-00001D770000}"/>
    <cellStyle name="표준 5 3 2 2 4 7 2 2" xfId="30043" xr:uid="{00000000-0005-0000-0000-00001E770000}"/>
    <cellStyle name="표준 5 3 2 2 4 7 2 3" xfId="38254" xr:uid="{00000000-0005-0000-0000-00001F770000}"/>
    <cellStyle name="표준 5 3 2 2 4 7 2 4" xfId="46447" xr:uid="{00000000-0005-0000-0000-000020770000}"/>
    <cellStyle name="표준 5 3 2 2 4 7 3" xfId="13449" xr:uid="{00000000-0005-0000-0000-000021770000}"/>
    <cellStyle name="표준 5 3 2 2 4 7 4" xfId="17689" xr:uid="{00000000-0005-0000-0000-000022770000}"/>
    <cellStyle name="표준 5 3 2 2 4 7 5" xfId="21851" xr:uid="{00000000-0005-0000-0000-000023770000}"/>
    <cellStyle name="표준 5 3 2 2 4 7 6" xfId="25947" xr:uid="{00000000-0005-0000-0000-000024770000}"/>
    <cellStyle name="표준 5 3 2 2 4 7 7" xfId="34158" xr:uid="{00000000-0005-0000-0000-000025770000}"/>
    <cellStyle name="표준 5 3 2 2 4 7 8" xfId="42351" xr:uid="{00000000-0005-0000-0000-000026770000}"/>
    <cellStyle name="표준 5 3 2 2 4 8" xfId="7148" xr:uid="{00000000-0005-0000-0000-000027770000}"/>
    <cellStyle name="표준 5 3 2 2 4 8 2" xfId="27995" xr:uid="{00000000-0005-0000-0000-000028770000}"/>
    <cellStyle name="표준 5 3 2 2 4 8 3" xfId="36206" xr:uid="{00000000-0005-0000-0000-000029770000}"/>
    <cellStyle name="표준 5 3 2 2 4 8 4" xfId="44399" xr:uid="{00000000-0005-0000-0000-00002A770000}"/>
    <cellStyle name="표준 5 3 2 2 4 9" xfId="7289" xr:uid="{00000000-0005-0000-0000-00002B770000}"/>
    <cellStyle name="표준 5 3 2 2 5" xfId="498" xr:uid="{00000000-0005-0000-0000-00002C770000}"/>
    <cellStyle name="표준 5 3 2 2 5 10" xfId="19867" xr:uid="{00000000-0005-0000-0000-00002D770000}"/>
    <cellStyle name="표준 5 3 2 2 5 11" xfId="23963" xr:uid="{00000000-0005-0000-0000-00002E770000}"/>
    <cellStyle name="표준 5 3 2 2 5 12" xfId="32174" xr:uid="{00000000-0005-0000-0000-00002F770000}"/>
    <cellStyle name="표준 5 3 2 2 5 13" xfId="40367" xr:uid="{00000000-0005-0000-0000-000030770000}"/>
    <cellStyle name="표준 5 3 2 2 5 2" xfId="754" xr:uid="{00000000-0005-0000-0000-000031770000}"/>
    <cellStyle name="표준 5 3 2 2 5 2 10" xfId="24219" xr:uid="{00000000-0005-0000-0000-000032770000}"/>
    <cellStyle name="표준 5 3 2 2 5 2 11" xfId="32430" xr:uid="{00000000-0005-0000-0000-000033770000}"/>
    <cellStyle name="표준 5 3 2 2 5 2 12" xfId="40623" xr:uid="{00000000-0005-0000-0000-000034770000}"/>
    <cellStyle name="표준 5 3 2 2 5 2 2" xfId="1266" xr:uid="{00000000-0005-0000-0000-000035770000}"/>
    <cellStyle name="표준 5 3 2 2 5 2 2 2" xfId="10169" xr:uid="{00000000-0005-0000-0000-000036770000}"/>
    <cellStyle name="표준 5 3 2 2 5 2 2 2 2" xfId="14281" xr:uid="{00000000-0005-0000-0000-000037770000}"/>
    <cellStyle name="표준 5 3 2 2 5 2 2 2 2 2" xfId="30875" xr:uid="{00000000-0005-0000-0000-000038770000}"/>
    <cellStyle name="표준 5 3 2 2 5 2 2 2 2 3" xfId="39086" xr:uid="{00000000-0005-0000-0000-000039770000}"/>
    <cellStyle name="표준 5 3 2 2 5 2 2 2 2 4" xfId="47279" xr:uid="{00000000-0005-0000-0000-00003A770000}"/>
    <cellStyle name="표준 5 3 2 2 5 2 2 2 3" xfId="18521" xr:uid="{00000000-0005-0000-0000-00003B770000}"/>
    <cellStyle name="표준 5 3 2 2 5 2 2 2 4" xfId="22683" xr:uid="{00000000-0005-0000-0000-00003C770000}"/>
    <cellStyle name="표준 5 3 2 2 5 2 2 2 5" xfId="26779" xr:uid="{00000000-0005-0000-0000-00003D770000}"/>
    <cellStyle name="표준 5 3 2 2 5 2 2 2 6" xfId="34990" xr:uid="{00000000-0005-0000-0000-00003E770000}"/>
    <cellStyle name="표준 5 3 2 2 5 2 2 2 7" xfId="43183" xr:uid="{00000000-0005-0000-0000-00003F770000}"/>
    <cellStyle name="표준 5 3 2 2 5 2 2 3" xfId="8121" xr:uid="{00000000-0005-0000-0000-000040770000}"/>
    <cellStyle name="표준 5 3 2 2 5 2 2 3 2" xfId="28827" xr:uid="{00000000-0005-0000-0000-000041770000}"/>
    <cellStyle name="표준 5 3 2 2 5 2 2 3 3" xfId="37038" xr:uid="{00000000-0005-0000-0000-000042770000}"/>
    <cellStyle name="표준 5 3 2 2 5 2 2 3 4" xfId="45231" xr:uid="{00000000-0005-0000-0000-000043770000}"/>
    <cellStyle name="표준 5 3 2 2 5 2 2 4" xfId="12233" xr:uid="{00000000-0005-0000-0000-000044770000}"/>
    <cellStyle name="표준 5 3 2 2 5 2 2 5" xfId="16473" xr:uid="{00000000-0005-0000-0000-000045770000}"/>
    <cellStyle name="표준 5 3 2 2 5 2 2 6" xfId="20635" xr:uid="{00000000-0005-0000-0000-000046770000}"/>
    <cellStyle name="표준 5 3 2 2 5 2 2 7" xfId="24731" xr:uid="{00000000-0005-0000-0000-000047770000}"/>
    <cellStyle name="표준 5 3 2 2 5 2 2 8" xfId="32942" xr:uid="{00000000-0005-0000-0000-000048770000}"/>
    <cellStyle name="표준 5 3 2 2 5 2 2 9" xfId="41135" xr:uid="{00000000-0005-0000-0000-000049770000}"/>
    <cellStyle name="표준 5 3 2 2 5 2 3" xfId="1778" xr:uid="{00000000-0005-0000-0000-00004A770000}"/>
    <cellStyle name="표준 5 3 2 2 5 2 3 2" xfId="10681" xr:uid="{00000000-0005-0000-0000-00004B770000}"/>
    <cellStyle name="표준 5 3 2 2 5 2 3 2 2" xfId="14793" xr:uid="{00000000-0005-0000-0000-00004C770000}"/>
    <cellStyle name="표준 5 3 2 2 5 2 3 2 2 2" xfId="31387" xr:uid="{00000000-0005-0000-0000-00004D770000}"/>
    <cellStyle name="표준 5 3 2 2 5 2 3 2 2 3" xfId="39598" xr:uid="{00000000-0005-0000-0000-00004E770000}"/>
    <cellStyle name="표준 5 3 2 2 5 2 3 2 2 4" xfId="47791" xr:uid="{00000000-0005-0000-0000-00004F770000}"/>
    <cellStyle name="표준 5 3 2 2 5 2 3 2 3" xfId="19033" xr:uid="{00000000-0005-0000-0000-000050770000}"/>
    <cellStyle name="표준 5 3 2 2 5 2 3 2 4" xfId="23195" xr:uid="{00000000-0005-0000-0000-000051770000}"/>
    <cellStyle name="표준 5 3 2 2 5 2 3 2 5" xfId="27291" xr:uid="{00000000-0005-0000-0000-000052770000}"/>
    <cellStyle name="표준 5 3 2 2 5 2 3 2 6" xfId="35502" xr:uid="{00000000-0005-0000-0000-000053770000}"/>
    <cellStyle name="표준 5 3 2 2 5 2 3 2 7" xfId="43695" xr:uid="{00000000-0005-0000-0000-000054770000}"/>
    <cellStyle name="표준 5 3 2 2 5 2 3 3" xfId="8633" xr:uid="{00000000-0005-0000-0000-000055770000}"/>
    <cellStyle name="표준 5 3 2 2 5 2 3 3 2" xfId="29339" xr:uid="{00000000-0005-0000-0000-000056770000}"/>
    <cellStyle name="표준 5 3 2 2 5 2 3 3 3" xfId="37550" xr:uid="{00000000-0005-0000-0000-000057770000}"/>
    <cellStyle name="표준 5 3 2 2 5 2 3 3 4" xfId="45743" xr:uid="{00000000-0005-0000-0000-000058770000}"/>
    <cellStyle name="표준 5 3 2 2 5 2 3 4" xfId="12745" xr:uid="{00000000-0005-0000-0000-000059770000}"/>
    <cellStyle name="표준 5 3 2 2 5 2 3 5" xfId="16985" xr:uid="{00000000-0005-0000-0000-00005A770000}"/>
    <cellStyle name="표준 5 3 2 2 5 2 3 6" xfId="21147" xr:uid="{00000000-0005-0000-0000-00005B770000}"/>
    <cellStyle name="표준 5 3 2 2 5 2 3 7" xfId="25243" xr:uid="{00000000-0005-0000-0000-00005C770000}"/>
    <cellStyle name="표준 5 3 2 2 5 2 3 8" xfId="33454" xr:uid="{00000000-0005-0000-0000-00005D770000}"/>
    <cellStyle name="표준 5 3 2 2 5 2 3 9" xfId="41647" xr:uid="{00000000-0005-0000-0000-00005E770000}"/>
    <cellStyle name="표준 5 3 2 2 5 2 4" xfId="2290" xr:uid="{00000000-0005-0000-0000-00005F770000}"/>
    <cellStyle name="표준 5 3 2 2 5 2 4 2" xfId="11193" xr:uid="{00000000-0005-0000-0000-000060770000}"/>
    <cellStyle name="표준 5 3 2 2 5 2 4 2 2" xfId="15305" xr:uid="{00000000-0005-0000-0000-000061770000}"/>
    <cellStyle name="표준 5 3 2 2 5 2 4 2 2 2" xfId="31899" xr:uid="{00000000-0005-0000-0000-000062770000}"/>
    <cellStyle name="표준 5 3 2 2 5 2 4 2 2 3" xfId="40110" xr:uid="{00000000-0005-0000-0000-000063770000}"/>
    <cellStyle name="표준 5 3 2 2 5 2 4 2 2 4" xfId="48303" xr:uid="{00000000-0005-0000-0000-000064770000}"/>
    <cellStyle name="표준 5 3 2 2 5 2 4 2 3" xfId="19545" xr:uid="{00000000-0005-0000-0000-000065770000}"/>
    <cellStyle name="표준 5 3 2 2 5 2 4 2 4" xfId="23707" xr:uid="{00000000-0005-0000-0000-000066770000}"/>
    <cellStyle name="표준 5 3 2 2 5 2 4 2 5" xfId="27803" xr:uid="{00000000-0005-0000-0000-000067770000}"/>
    <cellStyle name="표준 5 3 2 2 5 2 4 2 6" xfId="36014" xr:uid="{00000000-0005-0000-0000-000068770000}"/>
    <cellStyle name="표준 5 3 2 2 5 2 4 2 7" xfId="44207" xr:uid="{00000000-0005-0000-0000-000069770000}"/>
    <cellStyle name="표준 5 3 2 2 5 2 4 3" xfId="9145" xr:uid="{00000000-0005-0000-0000-00006A770000}"/>
    <cellStyle name="표준 5 3 2 2 5 2 4 3 2" xfId="29851" xr:uid="{00000000-0005-0000-0000-00006B770000}"/>
    <cellStyle name="표준 5 3 2 2 5 2 4 3 3" xfId="38062" xr:uid="{00000000-0005-0000-0000-00006C770000}"/>
    <cellStyle name="표준 5 3 2 2 5 2 4 3 4" xfId="46255" xr:uid="{00000000-0005-0000-0000-00006D770000}"/>
    <cellStyle name="표준 5 3 2 2 5 2 4 4" xfId="13257" xr:uid="{00000000-0005-0000-0000-00006E770000}"/>
    <cellStyle name="표준 5 3 2 2 5 2 4 5" xfId="17497" xr:uid="{00000000-0005-0000-0000-00006F770000}"/>
    <cellStyle name="표준 5 3 2 2 5 2 4 6" xfId="21659" xr:uid="{00000000-0005-0000-0000-000070770000}"/>
    <cellStyle name="표준 5 3 2 2 5 2 4 7" xfId="25755" xr:uid="{00000000-0005-0000-0000-000071770000}"/>
    <cellStyle name="표준 5 3 2 2 5 2 4 8" xfId="33966" xr:uid="{00000000-0005-0000-0000-000072770000}"/>
    <cellStyle name="표준 5 3 2 2 5 2 4 9" xfId="42159" xr:uid="{00000000-0005-0000-0000-000073770000}"/>
    <cellStyle name="표준 5 3 2 2 5 2 5" xfId="9657" xr:uid="{00000000-0005-0000-0000-000074770000}"/>
    <cellStyle name="표준 5 3 2 2 5 2 5 2" xfId="13769" xr:uid="{00000000-0005-0000-0000-000075770000}"/>
    <cellStyle name="표준 5 3 2 2 5 2 5 2 2" xfId="30363" xr:uid="{00000000-0005-0000-0000-000076770000}"/>
    <cellStyle name="표준 5 3 2 2 5 2 5 2 3" xfId="38574" xr:uid="{00000000-0005-0000-0000-000077770000}"/>
    <cellStyle name="표준 5 3 2 2 5 2 5 2 4" xfId="46767" xr:uid="{00000000-0005-0000-0000-000078770000}"/>
    <cellStyle name="표준 5 3 2 2 5 2 5 3" xfId="18009" xr:uid="{00000000-0005-0000-0000-000079770000}"/>
    <cellStyle name="표준 5 3 2 2 5 2 5 4" xfId="22171" xr:uid="{00000000-0005-0000-0000-00007A770000}"/>
    <cellStyle name="표준 5 3 2 2 5 2 5 5" xfId="26267" xr:uid="{00000000-0005-0000-0000-00007B770000}"/>
    <cellStyle name="표준 5 3 2 2 5 2 5 6" xfId="34478" xr:uid="{00000000-0005-0000-0000-00007C770000}"/>
    <cellStyle name="표준 5 3 2 2 5 2 5 7" xfId="42671" xr:uid="{00000000-0005-0000-0000-00007D770000}"/>
    <cellStyle name="표준 5 3 2 2 5 2 6" xfId="7609" xr:uid="{00000000-0005-0000-0000-00007E770000}"/>
    <cellStyle name="표준 5 3 2 2 5 2 6 2" xfId="28315" xr:uid="{00000000-0005-0000-0000-00007F770000}"/>
    <cellStyle name="표준 5 3 2 2 5 2 6 3" xfId="36526" xr:uid="{00000000-0005-0000-0000-000080770000}"/>
    <cellStyle name="표준 5 3 2 2 5 2 6 4" xfId="44719" xr:uid="{00000000-0005-0000-0000-000081770000}"/>
    <cellStyle name="표준 5 3 2 2 5 2 7" xfId="11721" xr:uid="{00000000-0005-0000-0000-000082770000}"/>
    <cellStyle name="표준 5 3 2 2 5 2 8" xfId="15961" xr:uid="{00000000-0005-0000-0000-000083770000}"/>
    <cellStyle name="표준 5 3 2 2 5 2 9" xfId="20123" xr:uid="{00000000-0005-0000-0000-000084770000}"/>
    <cellStyle name="표준 5 3 2 2 5 3" xfId="1010" xr:uid="{00000000-0005-0000-0000-000085770000}"/>
    <cellStyle name="표준 5 3 2 2 5 3 2" xfId="9913" xr:uid="{00000000-0005-0000-0000-000086770000}"/>
    <cellStyle name="표준 5 3 2 2 5 3 2 2" xfId="14025" xr:uid="{00000000-0005-0000-0000-000087770000}"/>
    <cellStyle name="표준 5 3 2 2 5 3 2 2 2" xfId="30619" xr:uid="{00000000-0005-0000-0000-000088770000}"/>
    <cellStyle name="표준 5 3 2 2 5 3 2 2 3" xfId="38830" xr:uid="{00000000-0005-0000-0000-000089770000}"/>
    <cellStyle name="표준 5 3 2 2 5 3 2 2 4" xfId="47023" xr:uid="{00000000-0005-0000-0000-00008A770000}"/>
    <cellStyle name="표준 5 3 2 2 5 3 2 3" xfId="18265" xr:uid="{00000000-0005-0000-0000-00008B770000}"/>
    <cellStyle name="표준 5 3 2 2 5 3 2 4" xfId="22427" xr:uid="{00000000-0005-0000-0000-00008C770000}"/>
    <cellStyle name="표준 5 3 2 2 5 3 2 5" xfId="26523" xr:uid="{00000000-0005-0000-0000-00008D770000}"/>
    <cellStyle name="표준 5 3 2 2 5 3 2 6" xfId="34734" xr:uid="{00000000-0005-0000-0000-00008E770000}"/>
    <cellStyle name="표준 5 3 2 2 5 3 2 7" xfId="42927" xr:uid="{00000000-0005-0000-0000-00008F770000}"/>
    <cellStyle name="표준 5 3 2 2 5 3 3" xfId="7865" xr:uid="{00000000-0005-0000-0000-000090770000}"/>
    <cellStyle name="표준 5 3 2 2 5 3 3 2" xfId="28571" xr:uid="{00000000-0005-0000-0000-000091770000}"/>
    <cellStyle name="표준 5 3 2 2 5 3 3 3" xfId="36782" xr:uid="{00000000-0005-0000-0000-000092770000}"/>
    <cellStyle name="표준 5 3 2 2 5 3 3 4" xfId="44975" xr:uid="{00000000-0005-0000-0000-000093770000}"/>
    <cellStyle name="표준 5 3 2 2 5 3 4" xfId="11977" xr:uid="{00000000-0005-0000-0000-000094770000}"/>
    <cellStyle name="표준 5 3 2 2 5 3 5" xfId="16217" xr:uid="{00000000-0005-0000-0000-000095770000}"/>
    <cellStyle name="표준 5 3 2 2 5 3 6" xfId="20379" xr:uid="{00000000-0005-0000-0000-000096770000}"/>
    <cellStyle name="표준 5 3 2 2 5 3 7" xfId="24475" xr:uid="{00000000-0005-0000-0000-000097770000}"/>
    <cellStyle name="표준 5 3 2 2 5 3 8" xfId="32686" xr:uid="{00000000-0005-0000-0000-000098770000}"/>
    <cellStyle name="표준 5 3 2 2 5 3 9" xfId="40879" xr:uid="{00000000-0005-0000-0000-000099770000}"/>
    <cellStyle name="표준 5 3 2 2 5 4" xfId="1522" xr:uid="{00000000-0005-0000-0000-00009A770000}"/>
    <cellStyle name="표준 5 3 2 2 5 4 2" xfId="10425" xr:uid="{00000000-0005-0000-0000-00009B770000}"/>
    <cellStyle name="표준 5 3 2 2 5 4 2 2" xfId="14537" xr:uid="{00000000-0005-0000-0000-00009C770000}"/>
    <cellStyle name="표준 5 3 2 2 5 4 2 2 2" xfId="31131" xr:uid="{00000000-0005-0000-0000-00009D770000}"/>
    <cellStyle name="표준 5 3 2 2 5 4 2 2 3" xfId="39342" xr:uid="{00000000-0005-0000-0000-00009E770000}"/>
    <cellStyle name="표준 5 3 2 2 5 4 2 2 4" xfId="47535" xr:uid="{00000000-0005-0000-0000-00009F770000}"/>
    <cellStyle name="표준 5 3 2 2 5 4 2 3" xfId="18777" xr:uid="{00000000-0005-0000-0000-0000A0770000}"/>
    <cellStyle name="표준 5 3 2 2 5 4 2 4" xfId="22939" xr:uid="{00000000-0005-0000-0000-0000A1770000}"/>
    <cellStyle name="표준 5 3 2 2 5 4 2 5" xfId="27035" xr:uid="{00000000-0005-0000-0000-0000A2770000}"/>
    <cellStyle name="표준 5 3 2 2 5 4 2 6" xfId="35246" xr:uid="{00000000-0005-0000-0000-0000A3770000}"/>
    <cellStyle name="표준 5 3 2 2 5 4 2 7" xfId="43439" xr:uid="{00000000-0005-0000-0000-0000A4770000}"/>
    <cellStyle name="표준 5 3 2 2 5 4 3" xfId="8377" xr:uid="{00000000-0005-0000-0000-0000A5770000}"/>
    <cellStyle name="표준 5 3 2 2 5 4 3 2" xfId="29083" xr:uid="{00000000-0005-0000-0000-0000A6770000}"/>
    <cellStyle name="표준 5 3 2 2 5 4 3 3" xfId="37294" xr:uid="{00000000-0005-0000-0000-0000A7770000}"/>
    <cellStyle name="표준 5 3 2 2 5 4 3 4" xfId="45487" xr:uid="{00000000-0005-0000-0000-0000A8770000}"/>
    <cellStyle name="표준 5 3 2 2 5 4 4" xfId="12489" xr:uid="{00000000-0005-0000-0000-0000A9770000}"/>
    <cellStyle name="표준 5 3 2 2 5 4 5" xfId="16729" xr:uid="{00000000-0005-0000-0000-0000AA770000}"/>
    <cellStyle name="표준 5 3 2 2 5 4 6" xfId="20891" xr:uid="{00000000-0005-0000-0000-0000AB770000}"/>
    <cellStyle name="표준 5 3 2 2 5 4 7" xfId="24987" xr:uid="{00000000-0005-0000-0000-0000AC770000}"/>
    <cellStyle name="표준 5 3 2 2 5 4 8" xfId="33198" xr:uid="{00000000-0005-0000-0000-0000AD770000}"/>
    <cellStyle name="표준 5 3 2 2 5 4 9" xfId="41391" xr:uid="{00000000-0005-0000-0000-0000AE770000}"/>
    <cellStyle name="표준 5 3 2 2 5 5" xfId="2034" xr:uid="{00000000-0005-0000-0000-0000AF770000}"/>
    <cellStyle name="표준 5 3 2 2 5 5 2" xfId="10937" xr:uid="{00000000-0005-0000-0000-0000B0770000}"/>
    <cellStyle name="표준 5 3 2 2 5 5 2 2" xfId="15049" xr:uid="{00000000-0005-0000-0000-0000B1770000}"/>
    <cellStyle name="표준 5 3 2 2 5 5 2 2 2" xfId="31643" xr:uid="{00000000-0005-0000-0000-0000B2770000}"/>
    <cellStyle name="표준 5 3 2 2 5 5 2 2 3" xfId="39854" xr:uid="{00000000-0005-0000-0000-0000B3770000}"/>
    <cellStyle name="표준 5 3 2 2 5 5 2 2 4" xfId="48047" xr:uid="{00000000-0005-0000-0000-0000B4770000}"/>
    <cellStyle name="표준 5 3 2 2 5 5 2 3" xfId="19289" xr:uid="{00000000-0005-0000-0000-0000B5770000}"/>
    <cellStyle name="표준 5 3 2 2 5 5 2 4" xfId="23451" xr:uid="{00000000-0005-0000-0000-0000B6770000}"/>
    <cellStyle name="표준 5 3 2 2 5 5 2 5" xfId="27547" xr:uid="{00000000-0005-0000-0000-0000B7770000}"/>
    <cellStyle name="표준 5 3 2 2 5 5 2 6" xfId="35758" xr:uid="{00000000-0005-0000-0000-0000B8770000}"/>
    <cellStyle name="표준 5 3 2 2 5 5 2 7" xfId="43951" xr:uid="{00000000-0005-0000-0000-0000B9770000}"/>
    <cellStyle name="표준 5 3 2 2 5 5 3" xfId="8889" xr:uid="{00000000-0005-0000-0000-0000BA770000}"/>
    <cellStyle name="표준 5 3 2 2 5 5 3 2" xfId="29595" xr:uid="{00000000-0005-0000-0000-0000BB770000}"/>
    <cellStyle name="표준 5 3 2 2 5 5 3 3" xfId="37806" xr:uid="{00000000-0005-0000-0000-0000BC770000}"/>
    <cellStyle name="표준 5 3 2 2 5 5 3 4" xfId="45999" xr:uid="{00000000-0005-0000-0000-0000BD770000}"/>
    <cellStyle name="표준 5 3 2 2 5 5 4" xfId="13001" xr:uid="{00000000-0005-0000-0000-0000BE770000}"/>
    <cellStyle name="표준 5 3 2 2 5 5 5" xfId="17241" xr:uid="{00000000-0005-0000-0000-0000BF770000}"/>
    <cellStyle name="표준 5 3 2 2 5 5 6" xfId="21403" xr:uid="{00000000-0005-0000-0000-0000C0770000}"/>
    <cellStyle name="표준 5 3 2 2 5 5 7" xfId="25499" xr:uid="{00000000-0005-0000-0000-0000C1770000}"/>
    <cellStyle name="표준 5 3 2 2 5 5 8" xfId="33710" xr:uid="{00000000-0005-0000-0000-0000C2770000}"/>
    <cellStyle name="표준 5 3 2 2 5 5 9" xfId="41903" xr:uid="{00000000-0005-0000-0000-0000C3770000}"/>
    <cellStyle name="표준 5 3 2 2 5 6" xfId="9401" xr:uid="{00000000-0005-0000-0000-0000C4770000}"/>
    <cellStyle name="표준 5 3 2 2 5 6 2" xfId="13513" xr:uid="{00000000-0005-0000-0000-0000C5770000}"/>
    <cellStyle name="표준 5 3 2 2 5 6 2 2" xfId="30107" xr:uid="{00000000-0005-0000-0000-0000C6770000}"/>
    <cellStyle name="표준 5 3 2 2 5 6 2 3" xfId="38318" xr:uid="{00000000-0005-0000-0000-0000C7770000}"/>
    <cellStyle name="표준 5 3 2 2 5 6 2 4" xfId="46511" xr:uid="{00000000-0005-0000-0000-0000C8770000}"/>
    <cellStyle name="표준 5 3 2 2 5 6 3" xfId="17753" xr:uid="{00000000-0005-0000-0000-0000C9770000}"/>
    <cellStyle name="표준 5 3 2 2 5 6 4" xfId="21915" xr:uid="{00000000-0005-0000-0000-0000CA770000}"/>
    <cellStyle name="표준 5 3 2 2 5 6 5" xfId="26011" xr:uid="{00000000-0005-0000-0000-0000CB770000}"/>
    <cellStyle name="표준 5 3 2 2 5 6 6" xfId="34222" xr:uid="{00000000-0005-0000-0000-0000CC770000}"/>
    <cellStyle name="표준 5 3 2 2 5 6 7" xfId="42415" xr:uid="{00000000-0005-0000-0000-0000CD770000}"/>
    <cellStyle name="표준 5 3 2 2 5 7" xfId="7353" xr:uid="{00000000-0005-0000-0000-0000CE770000}"/>
    <cellStyle name="표준 5 3 2 2 5 7 2" xfId="28059" xr:uid="{00000000-0005-0000-0000-0000CF770000}"/>
    <cellStyle name="표준 5 3 2 2 5 7 3" xfId="36270" xr:uid="{00000000-0005-0000-0000-0000D0770000}"/>
    <cellStyle name="표준 5 3 2 2 5 7 4" xfId="44463" xr:uid="{00000000-0005-0000-0000-0000D1770000}"/>
    <cellStyle name="표준 5 3 2 2 5 8" xfId="11465" xr:uid="{00000000-0005-0000-0000-0000D2770000}"/>
    <cellStyle name="표준 5 3 2 2 5 9" xfId="15705" xr:uid="{00000000-0005-0000-0000-0000D3770000}"/>
    <cellStyle name="표준 5 3 2 2 6" xfId="626" xr:uid="{00000000-0005-0000-0000-0000D4770000}"/>
    <cellStyle name="표준 5 3 2 2 6 10" xfId="24091" xr:uid="{00000000-0005-0000-0000-0000D5770000}"/>
    <cellStyle name="표준 5 3 2 2 6 11" xfId="32302" xr:uid="{00000000-0005-0000-0000-0000D6770000}"/>
    <cellStyle name="표준 5 3 2 2 6 12" xfId="40495" xr:uid="{00000000-0005-0000-0000-0000D7770000}"/>
    <cellStyle name="표준 5 3 2 2 6 2" xfId="1138" xr:uid="{00000000-0005-0000-0000-0000D8770000}"/>
    <cellStyle name="표준 5 3 2 2 6 2 2" xfId="10041" xr:uid="{00000000-0005-0000-0000-0000D9770000}"/>
    <cellStyle name="표준 5 3 2 2 6 2 2 2" xfId="14153" xr:uid="{00000000-0005-0000-0000-0000DA770000}"/>
    <cellStyle name="표준 5 3 2 2 6 2 2 2 2" xfId="30747" xr:uid="{00000000-0005-0000-0000-0000DB770000}"/>
    <cellStyle name="표준 5 3 2 2 6 2 2 2 3" xfId="38958" xr:uid="{00000000-0005-0000-0000-0000DC770000}"/>
    <cellStyle name="표준 5 3 2 2 6 2 2 2 4" xfId="47151" xr:uid="{00000000-0005-0000-0000-0000DD770000}"/>
    <cellStyle name="표준 5 3 2 2 6 2 2 3" xfId="18393" xr:uid="{00000000-0005-0000-0000-0000DE770000}"/>
    <cellStyle name="표준 5 3 2 2 6 2 2 4" xfId="22555" xr:uid="{00000000-0005-0000-0000-0000DF770000}"/>
    <cellStyle name="표준 5 3 2 2 6 2 2 5" xfId="26651" xr:uid="{00000000-0005-0000-0000-0000E0770000}"/>
    <cellStyle name="표준 5 3 2 2 6 2 2 6" xfId="34862" xr:uid="{00000000-0005-0000-0000-0000E1770000}"/>
    <cellStyle name="표준 5 3 2 2 6 2 2 7" xfId="43055" xr:uid="{00000000-0005-0000-0000-0000E2770000}"/>
    <cellStyle name="표준 5 3 2 2 6 2 3" xfId="7993" xr:uid="{00000000-0005-0000-0000-0000E3770000}"/>
    <cellStyle name="표준 5 3 2 2 6 2 3 2" xfId="28699" xr:uid="{00000000-0005-0000-0000-0000E4770000}"/>
    <cellStyle name="표준 5 3 2 2 6 2 3 3" xfId="36910" xr:uid="{00000000-0005-0000-0000-0000E5770000}"/>
    <cellStyle name="표준 5 3 2 2 6 2 3 4" xfId="45103" xr:uid="{00000000-0005-0000-0000-0000E6770000}"/>
    <cellStyle name="표준 5 3 2 2 6 2 4" xfId="12105" xr:uid="{00000000-0005-0000-0000-0000E7770000}"/>
    <cellStyle name="표준 5 3 2 2 6 2 5" xfId="16345" xr:uid="{00000000-0005-0000-0000-0000E8770000}"/>
    <cellStyle name="표준 5 3 2 2 6 2 6" xfId="20507" xr:uid="{00000000-0005-0000-0000-0000E9770000}"/>
    <cellStyle name="표준 5 3 2 2 6 2 7" xfId="24603" xr:uid="{00000000-0005-0000-0000-0000EA770000}"/>
    <cellStyle name="표준 5 3 2 2 6 2 8" xfId="32814" xr:uid="{00000000-0005-0000-0000-0000EB770000}"/>
    <cellStyle name="표준 5 3 2 2 6 2 9" xfId="41007" xr:uid="{00000000-0005-0000-0000-0000EC770000}"/>
    <cellStyle name="표준 5 3 2 2 6 3" xfId="1650" xr:uid="{00000000-0005-0000-0000-0000ED770000}"/>
    <cellStyle name="표준 5 3 2 2 6 3 2" xfId="10553" xr:uid="{00000000-0005-0000-0000-0000EE770000}"/>
    <cellStyle name="표준 5 3 2 2 6 3 2 2" xfId="14665" xr:uid="{00000000-0005-0000-0000-0000EF770000}"/>
    <cellStyle name="표준 5 3 2 2 6 3 2 2 2" xfId="31259" xr:uid="{00000000-0005-0000-0000-0000F0770000}"/>
    <cellStyle name="표준 5 3 2 2 6 3 2 2 3" xfId="39470" xr:uid="{00000000-0005-0000-0000-0000F1770000}"/>
    <cellStyle name="표준 5 3 2 2 6 3 2 2 4" xfId="47663" xr:uid="{00000000-0005-0000-0000-0000F2770000}"/>
    <cellStyle name="표준 5 3 2 2 6 3 2 3" xfId="18905" xr:uid="{00000000-0005-0000-0000-0000F3770000}"/>
    <cellStyle name="표준 5 3 2 2 6 3 2 4" xfId="23067" xr:uid="{00000000-0005-0000-0000-0000F4770000}"/>
    <cellStyle name="표준 5 3 2 2 6 3 2 5" xfId="27163" xr:uid="{00000000-0005-0000-0000-0000F5770000}"/>
    <cellStyle name="표준 5 3 2 2 6 3 2 6" xfId="35374" xr:uid="{00000000-0005-0000-0000-0000F6770000}"/>
    <cellStyle name="표준 5 3 2 2 6 3 2 7" xfId="43567" xr:uid="{00000000-0005-0000-0000-0000F7770000}"/>
    <cellStyle name="표준 5 3 2 2 6 3 3" xfId="8505" xr:uid="{00000000-0005-0000-0000-0000F8770000}"/>
    <cellStyle name="표준 5 3 2 2 6 3 3 2" xfId="29211" xr:uid="{00000000-0005-0000-0000-0000F9770000}"/>
    <cellStyle name="표준 5 3 2 2 6 3 3 3" xfId="37422" xr:uid="{00000000-0005-0000-0000-0000FA770000}"/>
    <cellStyle name="표준 5 3 2 2 6 3 3 4" xfId="45615" xr:uid="{00000000-0005-0000-0000-0000FB770000}"/>
    <cellStyle name="표준 5 3 2 2 6 3 4" xfId="12617" xr:uid="{00000000-0005-0000-0000-0000FC770000}"/>
    <cellStyle name="표준 5 3 2 2 6 3 5" xfId="16857" xr:uid="{00000000-0005-0000-0000-0000FD770000}"/>
    <cellStyle name="표준 5 3 2 2 6 3 6" xfId="21019" xr:uid="{00000000-0005-0000-0000-0000FE770000}"/>
    <cellStyle name="표준 5 3 2 2 6 3 7" xfId="25115" xr:uid="{00000000-0005-0000-0000-0000FF770000}"/>
    <cellStyle name="표준 5 3 2 2 6 3 8" xfId="33326" xr:uid="{00000000-0005-0000-0000-000000780000}"/>
    <cellStyle name="표준 5 3 2 2 6 3 9" xfId="41519" xr:uid="{00000000-0005-0000-0000-000001780000}"/>
    <cellStyle name="표준 5 3 2 2 6 4" xfId="2162" xr:uid="{00000000-0005-0000-0000-000002780000}"/>
    <cellStyle name="표준 5 3 2 2 6 4 2" xfId="11065" xr:uid="{00000000-0005-0000-0000-000003780000}"/>
    <cellStyle name="표준 5 3 2 2 6 4 2 2" xfId="15177" xr:uid="{00000000-0005-0000-0000-000004780000}"/>
    <cellStyle name="표준 5 3 2 2 6 4 2 2 2" xfId="31771" xr:uid="{00000000-0005-0000-0000-000005780000}"/>
    <cellStyle name="표준 5 3 2 2 6 4 2 2 3" xfId="39982" xr:uid="{00000000-0005-0000-0000-000006780000}"/>
    <cellStyle name="표준 5 3 2 2 6 4 2 2 4" xfId="48175" xr:uid="{00000000-0005-0000-0000-000007780000}"/>
    <cellStyle name="표준 5 3 2 2 6 4 2 3" xfId="19417" xr:uid="{00000000-0005-0000-0000-000008780000}"/>
    <cellStyle name="표준 5 3 2 2 6 4 2 4" xfId="23579" xr:uid="{00000000-0005-0000-0000-000009780000}"/>
    <cellStyle name="표준 5 3 2 2 6 4 2 5" xfId="27675" xr:uid="{00000000-0005-0000-0000-00000A780000}"/>
    <cellStyle name="표준 5 3 2 2 6 4 2 6" xfId="35886" xr:uid="{00000000-0005-0000-0000-00000B780000}"/>
    <cellStyle name="표준 5 3 2 2 6 4 2 7" xfId="44079" xr:uid="{00000000-0005-0000-0000-00000C780000}"/>
    <cellStyle name="표준 5 3 2 2 6 4 3" xfId="9017" xr:uid="{00000000-0005-0000-0000-00000D780000}"/>
    <cellStyle name="표준 5 3 2 2 6 4 3 2" xfId="29723" xr:uid="{00000000-0005-0000-0000-00000E780000}"/>
    <cellStyle name="표준 5 3 2 2 6 4 3 3" xfId="37934" xr:uid="{00000000-0005-0000-0000-00000F780000}"/>
    <cellStyle name="표준 5 3 2 2 6 4 3 4" xfId="46127" xr:uid="{00000000-0005-0000-0000-000010780000}"/>
    <cellStyle name="표준 5 3 2 2 6 4 4" xfId="13129" xr:uid="{00000000-0005-0000-0000-000011780000}"/>
    <cellStyle name="표준 5 3 2 2 6 4 5" xfId="17369" xr:uid="{00000000-0005-0000-0000-000012780000}"/>
    <cellStyle name="표준 5 3 2 2 6 4 6" xfId="21531" xr:uid="{00000000-0005-0000-0000-000013780000}"/>
    <cellStyle name="표준 5 3 2 2 6 4 7" xfId="25627" xr:uid="{00000000-0005-0000-0000-000014780000}"/>
    <cellStyle name="표준 5 3 2 2 6 4 8" xfId="33838" xr:uid="{00000000-0005-0000-0000-000015780000}"/>
    <cellStyle name="표준 5 3 2 2 6 4 9" xfId="42031" xr:uid="{00000000-0005-0000-0000-000016780000}"/>
    <cellStyle name="표준 5 3 2 2 6 5" xfId="9529" xr:uid="{00000000-0005-0000-0000-000017780000}"/>
    <cellStyle name="표준 5 3 2 2 6 5 2" xfId="13641" xr:uid="{00000000-0005-0000-0000-000018780000}"/>
    <cellStyle name="표준 5 3 2 2 6 5 2 2" xfId="30235" xr:uid="{00000000-0005-0000-0000-000019780000}"/>
    <cellStyle name="표준 5 3 2 2 6 5 2 3" xfId="38446" xr:uid="{00000000-0005-0000-0000-00001A780000}"/>
    <cellStyle name="표준 5 3 2 2 6 5 2 4" xfId="46639" xr:uid="{00000000-0005-0000-0000-00001B780000}"/>
    <cellStyle name="표준 5 3 2 2 6 5 3" xfId="17881" xr:uid="{00000000-0005-0000-0000-00001C780000}"/>
    <cellStyle name="표준 5 3 2 2 6 5 4" xfId="22043" xr:uid="{00000000-0005-0000-0000-00001D780000}"/>
    <cellStyle name="표준 5 3 2 2 6 5 5" xfId="26139" xr:uid="{00000000-0005-0000-0000-00001E780000}"/>
    <cellStyle name="표준 5 3 2 2 6 5 6" xfId="34350" xr:uid="{00000000-0005-0000-0000-00001F780000}"/>
    <cellStyle name="표준 5 3 2 2 6 5 7" xfId="42543" xr:uid="{00000000-0005-0000-0000-000020780000}"/>
    <cellStyle name="표준 5 3 2 2 6 6" xfId="7481" xr:uid="{00000000-0005-0000-0000-000021780000}"/>
    <cellStyle name="표준 5 3 2 2 6 6 2" xfId="28187" xr:uid="{00000000-0005-0000-0000-000022780000}"/>
    <cellStyle name="표준 5 3 2 2 6 6 3" xfId="36398" xr:uid="{00000000-0005-0000-0000-000023780000}"/>
    <cellStyle name="표준 5 3 2 2 6 6 4" xfId="44591" xr:uid="{00000000-0005-0000-0000-000024780000}"/>
    <cellStyle name="표준 5 3 2 2 6 7" xfId="11593" xr:uid="{00000000-0005-0000-0000-000025780000}"/>
    <cellStyle name="표준 5 3 2 2 6 8" xfId="15833" xr:uid="{00000000-0005-0000-0000-000026780000}"/>
    <cellStyle name="표준 5 3 2 2 6 9" xfId="19995" xr:uid="{00000000-0005-0000-0000-000027780000}"/>
    <cellStyle name="표준 5 3 2 2 7" xfId="882" xr:uid="{00000000-0005-0000-0000-000028780000}"/>
    <cellStyle name="표준 5 3 2 2 7 2" xfId="9785" xr:uid="{00000000-0005-0000-0000-000029780000}"/>
    <cellStyle name="표준 5 3 2 2 7 2 2" xfId="13897" xr:uid="{00000000-0005-0000-0000-00002A780000}"/>
    <cellStyle name="표준 5 3 2 2 7 2 2 2" xfId="30491" xr:uid="{00000000-0005-0000-0000-00002B780000}"/>
    <cellStyle name="표준 5 3 2 2 7 2 2 3" xfId="38702" xr:uid="{00000000-0005-0000-0000-00002C780000}"/>
    <cellStyle name="표준 5 3 2 2 7 2 2 4" xfId="46895" xr:uid="{00000000-0005-0000-0000-00002D780000}"/>
    <cellStyle name="표준 5 3 2 2 7 2 3" xfId="18137" xr:uid="{00000000-0005-0000-0000-00002E780000}"/>
    <cellStyle name="표준 5 3 2 2 7 2 4" xfId="22299" xr:uid="{00000000-0005-0000-0000-00002F780000}"/>
    <cellStyle name="표준 5 3 2 2 7 2 5" xfId="26395" xr:uid="{00000000-0005-0000-0000-000030780000}"/>
    <cellStyle name="표준 5 3 2 2 7 2 6" xfId="34606" xr:uid="{00000000-0005-0000-0000-000031780000}"/>
    <cellStyle name="표준 5 3 2 2 7 2 7" xfId="42799" xr:uid="{00000000-0005-0000-0000-000032780000}"/>
    <cellStyle name="표준 5 3 2 2 7 3" xfId="7737" xr:uid="{00000000-0005-0000-0000-000033780000}"/>
    <cellStyle name="표준 5 3 2 2 7 3 2" xfId="28443" xr:uid="{00000000-0005-0000-0000-000034780000}"/>
    <cellStyle name="표준 5 3 2 2 7 3 3" xfId="36654" xr:uid="{00000000-0005-0000-0000-000035780000}"/>
    <cellStyle name="표준 5 3 2 2 7 3 4" xfId="44847" xr:uid="{00000000-0005-0000-0000-000036780000}"/>
    <cellStyle name="표준 5 3 2 2 7 4" xfId="11849" xr:uid="{00000000-0005-0000-0000-000037780000}"/>
    <cellStyle name="표준 5 3 2 2 7 5" xfId="16089" xr:uid="{00000000-0005-0000-0000-000038780000}"/>
    <cellStyle name="표준 5 3 2 2 7 6" xfId="20251" xr:uid="{00000000-0005-0000-0000-000039780000}"/>
    <cellStyle name="표준 5 3 2 2 7 7" xfId="24347" xr:uid="{00000000-0005-0000-0000-00003A780000}"/>
    <cellStyle name="표준 5 3 2 2 7 8" xfId="32558" xr:uid="{00000000-0005-0000-0000-00003B780000}"/>
    <cellStyle name="표준 5 3 2 2 7 9" xfId="40751" xr:uid="{00000000-0005-0000-0000-00003C780000}"/>
    <cellStyle name="표준 5 3 2 2 8" xfId="1394" xr:uid="{00000000-0005-0000-0000-00003D780000}"/>
    <cellStyle name="표준 5 3 2 2 8 2" xfId="10297" xr:uid="{00000000-0005-0000-0000-00003E780000}"/>
    <cellStyle name="표준 5 3 2 2 8 2 2" xfId="14409" xr:uid="{00000000-0005-0000-0000-00003F780000}"/>
    <cellStyle name="표준 5 3 2 2 8 2 2 2" xfId="31003" xr:uid="{00000000-0005-0000-0000-000040780000}"/>
    <cellStyle name="표준 5 3 2 2 8 2 2 3" xfId="39214" xr:uid="{00000000-0005-0000-0000-000041780000}"/>
    <cellStyle name="표준 5 3 2 2 8 2 2 4" xfId="47407" xr:uid="{00000000-0005-0000-0000-000042780000}"/>
    <cellStyle name="표준 5 3 2 2 8 2 3" xfId="18649" xr:uid="{00000000-0005-0000-0000-000043780000}"/>
    <cellStyle name="표준 5 3 2 2 8 2 4" xfId="22811" xr:uid="{00000000-0005-0000-0000-000044780000}"/>
    <cellStyle name="표준 5 3 2 2 8 2 5" xfId="26907" xr:uid="{00000000-0005-0000-0000-000045780000}"/>
    <cellStyle name="표준 5 3 2 2 8 2 6" xfId="35118" xr:uid="{00000000-0005-0000-0000-000046780000}"/>
    <cellStyle name="표준 5 3 2 2 8 2 7" xfId="43311" xr:uid="{00000000-0005-0000-0000-000047780000}"/>
    <cellStyle name="표준 5 3 2 2 8 3" xfId="8249" xr:uid="{00000000-0005-0000-0000-000048780000}"/>
    <cellStyle name="표준 5 3 2 2 8 3 2" xfId="28955" xr:uid="{00000000-0005-0000-0000-000049780000}"/>
    <cellStyle name="표준 5 3 2 2 8 3 3" xfId="37166" xr:uid="{00000000-0005-0000-0000-00004A780000}"/>
    <cellStyle name="표준 5 3 2 2 8 3 4" xfId="45359" xr:uid="{00000000-0005-0000-0000-00004B780000}"/>
    <cellStyle name="표준 5 3 2 2 8 4" xfId="12361" xr:uid="{00000000-0005-0000-0000-00004C780000}"/>
    <cellStyle name="표준 5 3 2 2 8 5" xfId="16601" xr:uid="{00000000-0005-0000-0000-00004D780000}"/>
    <cellStyle name="표준 5 3 2 2 8 6" xfId="20763" xr:uid="{00000000-0005-0000-0000-00004E780000}"/>
    <cellStyle name="표준 5 3 2 2 8 7" xfId="24859" xr:uid="{00000000-0005-0000-0000-00004F780000}"/>
    <cellStyle name="표준 5 3 2 2 8 8" xfId="33070" xr:uid="{00000000-0005-0000-0000-000050780000}"/>
    <cellStyle name="표준 5 3 2 2 8 9" xfId="41263" xr:uid="{00000000-0005-0000-0000-000051780000}"/>
    <cellStyle name="표준 5 3 2 2 9" xfId="1906" xr:uid="{00000000-0005-0000-0000-000052780000}"/>
    <cellStyle name="표준 5 3 2 2 9 2" xfId="10809" xr:uid="{00000000-0005-0000-0000-000053780000}"/>
    <cellStyle name="표준 5 3 2 2 9 2 2" xfId="14921" xr:uid="{00000000-0005-0000-0000-000054780000}"/>
    <cellStyle name="표준 5 3 2 2 9 2 2 2" xfId="31515" xr:uid="{00000000-0005-0000-0000-000055780000}"/>
    <cellStyle name="표준 5 3 2 2 9 2 2 3" xfId="39726" xr:uid="{00000000-0005-0000-0000-000056780000}"/>
    <cellStyle name="표준 5 3 2 2 9 2 2 4" xfId="47919" xr:uid="{00000000-0005-0000-0000-000057780000}"/>
    <cellStyle name="표준 5 3 2 2 9 2 3" xfId="19161" xr:uid="{00000000-0005-0000-0000-000058780000}"/>
    <cellStyle name="표준 5 3 2 2 9 2 4" xfId="23323" xr:uid="{00000000-0005-0000-0000-000059780000}"/>
    <cellStyle name="표준 5 3 2 2 9 2 5" xfId="27419" xr:uid="{00000000-0005-0000-0000-00005A780000}"/>
    <cellStyle name="표준 5 3 2 2 9 2 6" xfId="35630" xr:uid="{00000000-0005-0000-0000-00005B780000}"/>
    <cellStyle name="표준 5 3 2 2 9 2 7" xfId="43823" xr:uid="{00000000-0005-0000-0000-00005C780000}"/>
    <cellStyle name="표준 5 3 2 2 9 3" xfId="8761" xr:uid="{00000000-0005-0000-0000-00005D780000}"/>
    <cellStyle name="표준 5 3 2 2 9 3 2" xfId="29467" xr:uid="{00000000-0005-0000-0000-00005E780000}"/>
    <cellStyle name="표준 5 3 2 2 9 3 3" xfId="37678" xr:uid="{00000000-0005-0000-0000-00005F780000}"/>
    <cellStyle name="표준 5 3 2 2 9 3 4" xfId="45871" xr:uid="{00000000-0005-0000-0000-000060780000}"/>
    <cellStyle name="표준 5 3 2 2 9 4" xfId="12873" xr:uid="{00000000-0005-0000-0000-000061780000}"/>
    <cellStyle name="표준 5 3 2 2 9 5" xfId="17113" xr:uid="{00000000-0005-0000-0000-000062780000}"/>
    <cellStyle name="표준 5 3 2 2 9 6" xfId="21275" xr:uid="{00000000-0005-0000-0000-000063780000}"/>
    <cellStyle name="표준 5 3 2 2 9 7" xfId="25371" xr:uid="{00000000-0005-0000-0000-000064780000}"/>
    <cellStyle name="표준 5 3 2 2 9 8" xfId="33582" xr:uid="{00000000-0005-0000-0000-000065780000}"/>
    <cellStyle name="표준 5 3 2 2 9 9" xfId="41775" xr:uid="{00000000-0005-0000-0000-000066780000}"/>
    <cellStyle name="표준 5 3 2 20" xfId="15425" xr:uid="{00000000-0005-0000-0000-000067780000}"/>
    <cellStyle name="표준 5 3 2 21" xfId="15441" xr:uid="{00000000-0005-0000-0000-000068780000}"/>
    <cellStyle name="표준 5 3 2 22" xfId="15457" xr:uid="{00000000-0005-0000-0000-000069780000}"/>
    <cellStyle name="표준 5 3 2 23" xfId="15553" xr:uid="{00000000-0005-0000-0000-00006A780000}"/>
    <cellStyle name="표준 5 3 2 24" xfId="15569" xr:uid="{00000000-0005-0000-0000-00006B780000}"/>
    <cellStyle name="표준 5 3 2 25" xfId="19665" xr:uid="{00000000-0005-0000-0000-00006C780000}"/>
    <cellStyle name="표준 5 3 2 26" xfId="19681" xr:uid="{00000000-0005-0000-0000-00006D780000}"/>
    <cellStyle name="표준 5 3 2 27" xfId="19697" xr:uid="{00000000-0005-0000-0000-00006E780000}"/>
    <cellStyle name="표준 5 3 2 28" xfId="19713" xr:uid="{00000000-0005-0000-0000-00006F780000}"/>
    <cellStyle name="표준 5 3 2 29" xfId="19733" xr:uid="{00000000-0005-0000-0000-000070780000}"/>
    <cellStyle name="표준 5 3 2 3" xfId="153" xr:uid="{00000000-0005-0000-0000-000071780000}"/>
    <cellStyle name="표준 5 3 2 3 10" xfId="7188" xr:uid="{00000000-0005-0000-0000-000072780000}"/>
    <cellStyle name="표준 5 3 2 3 10 2" xfId="27939" xr:uid="{00000000-0005-0000-0000-000073780000}"/>
    <cellStyle name="표준 5 3 2 3 10 3" xfId="36150" xr:uid="{00000000-0005-0000-0000-000074780000}"/>
    <cellStyle name="표준 5 3 2 3 10 4" xfId="44343" xr:uid="{00000000-0005-0000-0000-000075780000}"/>
    <cellStyle name="표준 5 3 2 3 11" xfId="7233" xr:uid="{00000000-0005-0000-0000-000076780000}"/>
    <cellStyle name="표준 5 3 2 3 12" xfId="11345" xr:uid="{00000000-0005-0000-0000-000077780000}"/>
    <cellStyle name="표준 5 3 2 3 13" xfId="15473" xr:uid="{00000000-0005-0000-0000-000078780000}"/>
    <cellStyle name="표준 5 3 2 3 14" xfId="15585" xr:uid="{00000000-0005-0000-0000-000079780000}"/>
    <cellStyle name="표준 5 3 2 3 15" xfId="19747" xr:uid="{00000000-0005-0000-0000-00007A780000}"/>
    <cellStyle name="표준 5 3 2 3 16" xfId="23843" xr:uid="{00000000-0005-0000-0000-00007B780000}"/>
    <cellStyle name="표준 5 3 2 3 17" xfId="32054" xr:uid="{00000000-0005-0000-0000-00007C780000}"/>
    <cellStyle name="표준 5 3 2 3 18" xfId="40247" xr:uid="{00000000-0005-0000-0000-00007D780000}"/>
    <cellStyle name="표준 5 3 2 3 19" xfId="49646" xr:uid="{00000000-0005-0000-0000-00007E780000}"/>
    <cellStyle name="표준 5 3 2 3 2" xfId="410" xr:uid="{00000000-0005-0000-0000-00007F780000}"/>
    <cellStyle name="표준 5 3 2 3 2 10" xfId="7265" xr:uid="{00000000-0005-0000-0000-000080780000}"/>
    <cellStyle name="표준 5 3 2 3 2 11" xfId="11377" xr:uid="{00000000-0005-0000-0000-000081780000}"/>
    <cellStyle name="표준 5 3 2 3 2 12" xfId="15521" xr:uid="{00000000-0005-0000-0000-000082780000}"/>
    <cellStyle name="표준 5 3 2 3 2 13" xfId="15617" xr:uid="{00000000-0005-0000-0000-000083780000}"/>
    <cellStyle name="표준 5 3 2 3 2 14" xfId="19779" xr:uid="{00000000-0005-0000-0000-000084780000}"/>
    <cellStyle name="표준 5 3 2 3 2 15" xfId="23875" xr:uid="{00000000-0005-0000-0000-000085780000}"/>
    <cellStyle name="표준 5 3 2 3 2 16" xfId="32086" xr:uid="{00000000-0005-0000-0000-000086780000}"/>
    <cellStyle name="표준 5 3 2 3 2 17" xfId="40279" xr:uid="{00000000-0005-0000-0000-000087780000}"/>
    <cellStyle name="표준 5 3 2 3 2 18" xfId="49712" xr:uid="{00000000-0005-0000-0000-000088780000}"/>
    <cellStyle name="표준 5 3 2 3 2 2" xfId="474" xr:uid="{00000000-0005-0000-0000-000089780000}"/>
    <cellStyle name="표준 5 3 2 3 2 2 10" xfId="15681" xr:uid="{00000000-0005-0000-0000-00008A780000}"/>
    <cellStyle name="표준 5 3 2 3 2 2 11" xfId="19843" xr:uid="{00000000-0005-0000-0000-00008B780000}"/>
    <cellStyle name="표준 5 3 2 3 2 2 12" xfId="23939" xr:uid="{00000000-0005-0000-0000-00008C780000}"/>
    <cellStyle name="표준 5 3 2 3 2 2 13" xfId="32150" xr:uid="{00000000-0005-0000-0000-00008D780000}"/>
    <cellStyle name="표준 5 3 2 3 2 2 14" xfId="40343" xr:uid="{00000000-0005-0000-0000-00008E780000}"/>
    <cellStyle name="표준 5 3 2 3 2 2 2" xfId="602" xr:uid="{00000000-0005-0000-0000-00008F780000}"/>
    <cellStyle name="표준 5 3 2 3 2 2 2 10" xfId="19971" xr:uid="{00000000-0005-0000-0000-000090780000}"/>
    <cellStyle name="표준 5 3 2 3 2 2 2 11" xfId="24067" xr:uid="{00000000-0005-0000-0000-000091780000}"/>
    <cellStyle name="표준 5 3 2 3 2 2 2 12" xfId="32278" xr:uid="{00000000-0005-0000-0000-000092780000}"/>
    <cellStyle name="표준 5 3 2 3 2 2 2 13" xfId="40471" xr:uid="{00000000-0005-0000-0000-000093780000}"/>
    <cellStyle name="표준 5 3 2 3 2 2 2 2" xfId="858" xr:uid="{00000000-0005-0000-0000-000094780000}"/>
    <cellStyle name="표준 5 3 2 3 2 2 2 2 10" xfId="24323" xr:uid="{00000000-0005-0000-0000-000095780000}"/>
    <cellStyle name="표준 5 3 2 3 2 2 2 2 11" xfId="32534" xr:uid="{00000000-0005-0000-0000-000096780000}"/>
    <cellStyle name="표준 5 3 2 3 2 2 2 2 12" xfId="40727" xr:uid="{00000000-0005-0000-0000-000097780000}"/>
    <cellStyle name="표준 5 3 2 3 2 2 2 2 2" xfId="1370" xr:uid="{00000000-0005-0000-0000-000098780000}"/>
    <cellStyle name="표준 5 3 2 3 2 2 2 2 2 2" xfId="10273" xr:uid="{00000000-0005-0000-0000-000099780000}"/>
    <cellStyle name="표준 5 3 2 3 2 2 2 2 2 2 2" xfId="14385" xr:uid="{00000000-0005-0000-0000-00009A780000}"/>
    <cellStyle name="표준 5 3 2 3 2 2 2 2 2 2 2 2" xfId="30979" xr:uid="{00000000-0005-0000-0000-00009B780000}"/>
    <cellStyle name="표준 5 3 2 3 2 2 2 2 2 2 2 3" xfId="39190" xr:uid="{00000000-0005-0000-0000-00009C780000}"/>
    <cellStyle name="표준 5 3 2 3 2 2 2 2 2 2 2 4" xfId="47383" xr:uid="{00000000-0005-0000-0000-00009D780000}"/>
    <cellStyle name="표준 5 3 2 3 2 2 2 2 2 2 3" xfId="18625" xr:uid="{00000000-0005-0000-0000-00009E780000}"/>
    <cellStyle name="표준 5 3 2 3 2 2 2 2 2 2 4" xfId="22787" xr:uid="{00000000-0005-0000-0000-00009F780000}"/>
    <cellStyle name="표준 5 3 2 3 2 2 2 2 2 2 5" xfId="26883" xr:uid="{00000000-0005-0000-0000-0000A0780000}"/>
    <cellStyle name="표준 5 3 2 3 2 2 2 2 2 2 6" xfId="35094" xr:uid="{00000000-0005-0000-0000-0000A1780000}"/>
    <cellStyle name="표준 5 3 2 3 2 2 2 2 2 2 7" xfId="43287" xr:uid="{00000000-0005-0000-0000-0000A2780000}"/>
    <cellStyle name="표준 5 3 2 3 2 2 2 2 2 3" xfId="8225" xr:uid="{00000000-0005-0000-0000-0000A3780000}"/>
    <cellStyle name="표준 5 3 2 3 2 2 2 2 2 3 2" xfId="28931" xr:uid="{00000000-0005-0000-0000-0000A4780000}"/>
    <cellStyle name="표준 5 3 2 3 2 2 2 2 2 3 3" xfId="37142" xr:uid="{00000000-0005-0000-0000-0000A5780000}"/>
    <cellStyle name="표준 5 3 2 3 2 2 2 2 2 3 4" xfId="45335" xr:uid="{00000000-0005-0000-0000-0000A6780000}"/>
    <cellStyle name="표준 5 3 2 3 2 2 2 2 2 4" xfId="12337" xr:uid="{00000000-0005-0000-0000-0000A7780000}"/>
    <cellStyle name="표준 5 3 2 3 2 2 2 2 2 5" xfId="16577" xr:uid="{00000000-0005-0000-0000-0000A8780000}"/>
    <cellStyle name="표준 5 3 2 3 2 2 2 2 2 6" xfId="20739" xr:uid="{00000000-0005-0000-0000-0000A9780000}"/>
    <cellStyle name="표준 5 3 2 3 2 2 2 2 2 7" xfId="24835" xr:uid="{00000000-0005-0000-0000-0000AA780000}"/>
    <cellStyle name="표준 5 3 2 3 2 2 2 2 2 8" xfId="33046" xr:uid="{00000000-0005-0000-0000-0000AB780000}"/>
    <cellStyle name="표준 5 3 2 3 2 2 2 2 2 9" xfId="41239" xr:uid="{00000000-0005-0000-0000-0000AC780000}"/>
    <cellStyle name="표준 5 3 2 3 2 2 2 2 3" xfId="1882" xr:uid="{00000000-0005-0000-0000-0000AD780000}"/>
    <cellStyle name="표준 5 3 2 3 2 2 2 2 3 2" xfId="10785" xr:uid="{00000000-0005-0000-0000-0000AE780000}"/>
    <cellStyle name="표준 5 3 2 3 2 2 2 2 3 2 2" xfId="14897" xr:uid="{00000000-0005-0000-0000-0000AF780000}"/>
    <cellStyle name="표준 5 3 2 3 2 2 2 2 3 2 2 2" xfId="31491" xr:uid="{00000000-0005-0000-0000-0000B0780000}"/>
    <cellStyle name="표준 5 3 2 3 2 2 2 2 3 2 2 3" xfId="39702" xr:uid="{00000000-0005-0000-0000-0000B1780000}"/>
    <cellStyle name="표준 5 3 2 3 2 2 2 2 3 2 2 4" xfId="47895" xr:uid="{00000000-0005-0000-0000-0000B2780000}"/>
    <cellStyle name="표준 5 3 2 3 2 2 2 2 3 2 3" xfId="19137" xr:uid="{00000000-0005-0000-0000-0000B3780000}"/>
    <cellStyle name="표준 5 3 2 3 2 2 2 2 3 2 4" xfId="23299" xr:uid="{00000000-0005-0000-0000-0000B4780000}"/>
    <cellStyle name="표준 5 3 2 3 2 2 2 2 3 2 5" xfId="27395" xr:uid="{00000000-0005-0000-0000-0000B5780000}"/>
    <cellStyle name="표준 5 3 2 3 2 2 2 2 3 2 6" xfId="35606" xr:uid="{00000000-0005-0000-0000-0000B6780000}"/>
    <cellStyle name="표준 5 3 2 3 2 2 2 2 3 2 7" xfId="43799" xr:uid="{00000000-0005-0000-0000-0000B7780000}"/>
    <cellStyle name="표준 5 3 2 3 2 2 2 2 3 3" xfId="8737" xr:uid="{00000000-0005-0000-0000-0000B8780000}"/>
    <cellStyle name="표준 5 3 2 3 2 2 2 2 3 3 2" xfId="29443" xr:uid="{00000000-0005-0000-0000-0000B9780000}"/>
    <cellStyle name="표준 5 3 2 3 2 2 2 2 3 3 3" xfId="37654" xr:uid="{00000000-0005-0000-0000-0000BA780000}"/>
    <cellStyle name="표준 5 3 2 3 2 2 2 2 3 3 4" xfId="45847" xr:uid="{00000000-0005-0000-0000-0000BB780000}"/>
    <cellStyle name="표준 5 3 2 3 2 2 2 2 3 4" xfId="12849" xr:uid="{00000000-0005-0000-0000-0000BC780000}"/>
    <cellStyle name="표준 5 3 2 3 2 2 2 2 3 5" xfId="17089" xr:uid="{00000000-0005-0000-0000-0000BD780000}"/>
    <cellStyle name="표준 5 3 2 3 2 2 2 2 3 6" xfId="21251" xr:uid="{00000000-0005-0000-0000-0000BE780000}"/>
    <cellStyle name="표준 5 3 2 3 2 2 2 2 3 7" xfId="25347" xr:uid="{00000000-0005-0000-0000-0000BF780000}"/>
    <cellStyle name="표준 5 3 2 3 2 2 2 2 3 8" xfId="33558" xr:uid="{00000000-0005-0000-0000-0000C0780000}"/>
    <cellStyle name="표준 5 3 2 3 2 2 2 2 3 9" xfId="41751" xr:uid="{00000000-0005-0000-0000-0000C1780000}"/>
    <cellStyle name="표준 5 3 2 3 2 2 2 2 4" xfId="2394" xr:uid="{00000000-0005-0000-0000-0000C2780000}"/>
    <cellStyle name="표준 5 3 2 3 2 2 2 2 4 2" xfId="11297" xr:uid="{00000000-0005-0000-0000-0000C3780000}"/>
    <cellStyle name="표준 5 3 2 3 2 2 2 2 4 2 2" xfId="15409" xr:uid="{00000000-0005-0000-0000-0000C4780000}"/>
    <cellStyle name="표준 5 3 2 3 2 2 2 2 4 2 2 2" xfId="32003" xr:uid="{00000000-0005-0000-0000-0000C5780000}"/>
    <cellStyle name="표준 5 3 2 3 2 2 2 2 4 2 2 3" xfId="40214" xr:uid="{00000000-0005-0000-0000-0000C6780000}"/>
    <cellStyle name="표준 5 3 2 3 2 2 2 2 4 2 2 4" xfId="48407" xr:uid="{00000000-0005-0000-0000-0000C7780000}"/>
    <cellStyle name="표준 5 3 2 3 2 2 2 2 4 2 3" xfId="19649" xr:uid="{00000000-0005-0000-0000-0000C8780000}"/>
    <cellStyle name="표준 5 3 2 3 2 2 2 2 4 2 4" xfId="23811" xr:uid="{00000000-0005-0000-0000-0000C9780000}"/>
    <cellStyle name="표준 5 3 2 3 2 2 2 2 4 2 5" xfId="27907" xr:uid="{00000000-0005-0000-0000-0000CA780000}"/>
    <cellStyle name="표준 5 3 2 3 2 2 2 2 4 2 6" xfId="36118" xr:uid="{00000000-0005-0000-0000-0000CB780000}"/>
    <cellStyle name="표준 5 3 2 3 2 2 2 2 4 2 7" xfId="44311" xr:uid="{00000000-0005-0000-0000-0000CC780000}"/>
    <cellStyle name="표준 5 3 2 3 2 2 2 2 4 3" xfId="9249" xr:uid="{00000000-0005-0000-0000-0000CD780000}"/>
    <cellStyle name="표준 5 3 2 3 2 2 2 2 4 3 2" xfId="29955" xr:uid="{00000000-0005-0000-0000-0000CE780000}"/>
    <cellStyle name="표준 5 3 2 3 2 2 2 2 4 3 3" xfId="38166" xr:uid="{00000000-0005-0000-0000-0000CF780000}"/>
    <cellStyle name="표준 5 3 2 3 2 2 2 2 4 3 4" xfId="46359" xr:uid="{00000000-0005-0000-0000-0000D0780000}"/>
    <cellStyle name="표준 5 3 2 3 2 2 2 2 4 4" xfId="13361" xr:uid="{00000000-0005-0000-0000-0000D1780000}"/>
    <cellStyle name="표준 5 3 2 3 2 2 2 2 4 5" xfId="17601" xr:uid="{00000000-0005-0000-0000-0000D2780000}"/>
    <cellStyle name="표준 5 3 2 3 2 2 2 2 4 6" xfId="21763" xr:uid="{00000000-0005-0000-0000-0000D3780000}"/>
    <cellStyle name="표준 5 3 2 3 2 2 2 2 4 7" xfId="25859" xr:uid="{00000000-0005-0000-0000-0000D4780000}"/>
    <cellStyle name="표준 5 3 2 3 2 2 2 2 4 8" xfId="34070" xr:uid="{00000000-0005-0000-0000-0000D5780000}"/>
    <cellStyle name="표준 5 3 2 3 2 2 2 2 4 9" xfId="42263" xr:uid="{00000000-0005-0000-0000-0000D6780000}"/>
    <cellStyle name="표준 5 3 2 3 2 2 2 2 5" xfId="9761" xr:uid="{00000000-0005-0000-0000-0000D7780000}"/>
    <cellStyle name="표준 5 3 2 3 2 2 2 2 5 2" xfId="13873" xr:uid="{00000000-0005-0000-0000-0000D8780000}"/>
    <cellStyle name="표준 5 3 2 3 2 2 2 2 5 2 2" xfId="30467" xr:uid="{00000000-0005-0000-0000-0000D9780000}"/>
    <cellStyle name="표준 5 3 2 3 2 2 2 2 5 2 3" xfId="38678" xr:uid="{00000000-0005-0000-0000-0000DA780000}"/>
    <cellStyle name="표준 5 3 2 3 2 2 2 2 5 2 4" xfId="46871" xr:uid="{00000000-0005-0000-0000-0000DB780000}"/>
    <cellStyle name="표준 5 3 2 3 2 2 2 2 5 3" xfId="18113" xr:uid="{00000000-0005-0000-0000-0000DC780000}"/>
    <cellStyle name="표준 5 3 2 3 2 2 2 2 5 4" xfId="22275" xr:uid="{00000000-0005-0000-0000-0000DD780000}"/>
    <cellStyle name="표준 5 3 2 3 2 2 2 2 5 5" xfId="26371" xr:uid="{00000000-0005-0000-0000-0000DE780000}"/>
    <cellStyle name="표준 5 3 2 3 2 2 2 2 5 6" xfId="34582" xr:uid="{00000000-0005-0000-0000-0000DF780000}"/>
    <cellStyle name="표준 5 3 2 3 2 2 2 2 5 7" xfId="42775" xr:uid="{00000000-0005-0000-0000-0000E0780000}"/>
    <cellStyle name="표준 5 3 2 3 2 2 2 2 6" xfId="7713" xr:uid="{00000000-0005-0000-0000-0000E1780000}"/>
    <cellStyle name="표준 5 3 2 3 2 2 2 2 6 2" xfId="28419" xr:uid="{00000000-0005-0000-0000-0000E2780000}"/>
    <cellStyle name="표준 5 3 2 3 2 2 2 2 6 3" xfId="36630" xr:uid="{00000000-0005-0000-0000-0000E3780000}"/>
    <cellStyle name="표준 5 3 2 3 2 2 2 2 6 4" xfId="44823" xr:uid="{00000000-0005-0000-0000-0000E4780000}"/>
    <cellStyle name="표준 5 3 2 3 2 2 2 2 7" xfId="11825" xr:uid="{00000000-0005-0000-0000-0000E5780000}"/>
    <cellStyle name="표준 5 3 2 3 2 2 2 2 8" xfId="16065" xr:uid="{00000000-0005-0000-0000-0000E6780000}"/>
    <cellStyle name="표준 5 3 2 3 2 2 2 2 9" xfId="20227" xr:uid="{00000000-0005-0000-0000-0000E7780000}"/>
    <cellStyle name="표준 5 3 2 3 2 2 2 3" xfId="1114" xr:uid="{00000000-0005-0000-0000-0000E8780000}"/>
    <cellStyle name="표준 5 3 2 3 2 2 2 3 2" xfId="10017" xr:uid="{00000000-0005-0000-0000-0000E9780000}"/>
    <cellStyle name="표준 5 3 2 3 2 2 2 3 2 2" xfId="14129" xr:uid="{00000000-0005-0000-0000-0000EA780000}"/>
    <cellStyle name="표준 5 3 2 3 2 2 2 3 2 2 2" xfId="30723" xr:uid="{00000000-0005-0000-0000-0000EB780000}"/>
    <cellStyle name="표준 5 3 2 3 2 2 2 3 2 2 3" xfId="38934" xr:uid="{00000000-0005-0000-0000-0000EC780000}"/>
    <cellStyle name="표준 5 3 2 3 2 2 2 3 2 2 4" xfId="47127" xr:uid="{00000000-0005-0000-0000-0000ED780000}"/>
    <cellStyle name="표준 5 3 2 3 2 2 2 3 2 3" xfId="18369" xr:uid="{00000000-0005-0000-0000-0000EE780000}"/>
    <cellStyle name="표준 5 3 2 3 2 2 2 3 2 4" xfId="22531" xr:uid="{00000000-0005-0000-0000-0000EF780000}"/>
    <cellStyle name="표준 5 3 2 3 2 2 2 3 2 5" xfId="26627" xr:uid="{00000000-0005-0000-0000-0000F0780000}"/>
    <cellStyle name="표준 5 3 2 3 2 2 2 3 2 6" xfId="34838" xr:uid="{00000000-0005-0000-0000-0000F1780000}"/>
    <cellStyle name="표준 5 3 2 3 2 2 2 3 2 7" xfId="43031" xr:uid="{00000000-0005-0000-0000-0000F2780000}"/>
    <cellStyle name="표준 5 3 2 3 2 2 2 3 3" xfId="7969" xr:uid="{00000000-0005-0000-0000-0000F3780000}"/>
    <cellStyle name="표준 5 3 2 3 2 2 2 3 3 2" xfId="28675" xr:uid="{00000000-0005-0000-0000-0000F4780000}"/>
    <cellStyle name="표준 5 3 2 3 2 2 2 3 3 3" xfId="36886" xr:uid="{00000000-0005-0000-0000-0000F5780000}"/>
    <cellStyle name="표준 5 3 2 3 2 2 2 3 3 4" xfId="45079" xr:uid="{00000000-0005-0000-0000-0000F6780000}"/>
    <cellStyle name="표준 5 3 2 3 2 2 2 3 4" xfId="12081" xr:uid="{00000000-0005-0000-0000-0000F7780000}"/>
    <cellStyle name="표준 5 3 2 3 2 2 2 3 5" xfId="16321" xr:uid="{00000000-0005-0000-0000-0000F8780000}"/>
    <cellStyle name="표준 5 3 2 3 2 2 2 3 6" xfId="20483" xr:uid="{00000000-0005-0000-0000-0000F9780000}"/>
    <cellStyle name="표준 5 3 2 3 2 2 2 3 7" xfId="24579" xr:uid="{00000000-0005-0000-0000-0000FA780000}"/>
    <cellStyle name="표준 5 3 2 3 2 2 2 3 8" xfId="32790" xr:uid="{00000000-0005-0000-0000-0000FB780000}"/>
    <cellStyle name="표준 5 3 2 3 2 2 2 3 9" xfId="40983" xr:uid="{00000000-0005-0000-0000-0000FC780000}"/>
    <cellStyle name="표준 5 3 2 3 2 2 2 4" xfId="1626" xr:uid="{00000000-0005-0000-0000-0000FD780000}"/>
    <cellStyle name="표준 5 3 2 3 2 2 2 4 2" xfId="10529" xr:uid="{00000000-0005-0000-0000-0000FE780000}"/>
    <cellStyle name="표준 5 3 2 3 2 2 2 4 2 2" xfId="14641" xr:uid="{00000000-0005-0000-0000-0000FF780000}"/>
    <cellStyle name="표준 5 3 2 3 2 2 2 4 2 2 2" xfId="31235" xr:uid="{00000000-0005-0000-0000-000000790000}"/>
    <cellStyle name="표준 5 3 2 3 2 2 2 4 2 2 3" xfId="39446" xr:uid="{00000000-0005-0000-0000-000001790000}"/>
    <cellStyle name="표준 5 3 2 3 2 2 2 4 2 2 4" xfId="47639" xr:uid="{00000000-0005-0000-0000-000002790000}"/>
    <cellStyle name="표준 5 3 2 3 2 2 2 4 2 3" xfId="18881" xr:uid="{00000000-0005-0000-0000-000003790000}"/>
    <cellStyle name="표준 5 3 2 3 2 2 2 4 2 4" xfId="23043" xr:uid="{00000000-0005-0000-0000-000004790000}"/>
    <cellStyle name="표준 5 3 2 3 2 2 2 4 2 5" xfId="27139" xr:uid="{00000000-0005-0000-0000-000005790000}"/>
    <cellStyle name="표준 5 3 2 3 2 2 2 4 2 6" xfId="35350" xr:uid="{00000000-0005-0000-0000-000006790000}"/>
    <cellStyle name="표준 5 3 2 3 2 2 2 4 2 7" xfId="43543" xr:uid="{00000000-0005-0000-0000-000007790000}"/>
    <cellStyle name="표준 5 3 2 3 2 2 2 4 3" xfId="8481" xr:uid="{00000000-0005-0000-0000-000008790000}"/>
    <cellStyle name="표준 5 3 2 3 2 2 2 4 3 2" xfId="29187" xr:uid="{00000000-0005-0000-0000-000009790000}"/>
    <cellStyle name="표준 5 3 2 3 2 2 2 4 3 3" xfId="37398" xr:uid="{00000000-0005-0000-0000-00000A790000}"/>
    <cellStyle name="표준 5 3 2 3 2 2 2 4 3 4" xfId="45591" xr:uid="{00000000-0005-0000-0000-00000B790000}"/>
    <cellStyle name="표준 5 3 2 3 2 2 2 4 4" xfId="12593" xr:uid="{00000000-0005-0000-0000-00000C790000}"/>
    <cellStyle name="표준 5 3 2 3 2 2 2 4 5" xfId="16833" xr:uid="{00000000-0005-0000-0000-00000D790000}"/>
    <cellStyle name="표준 5 3 2 3 2 2 2 4 6" xfId="20995" xr:uid="{00000000-0005-0000-0000-00000E790000}"/>
    <cellStyle name="표준 5 3 2 3 2 2 2 4 7" xfId="25091" xr:uid="{00000000-0005-0000-0000-00000F790000}"/>
    <cellStyle name="표준 5 3 2 3 2 2 2 4 8" xfId="33302" xr:uid="{00000000-0005-0000-0000-000010790000}"/>
    <cellStyle name="표준 5 3 2 3 2 2 2 4 9" xfId="41495" xr:uid="{00000000-0005-0000-0000-000011790000}"/>
    <cellStyle name="표준 5 3 2 3 2 2 2 5" xfId="2138" xr:uid="{00000000-0005-0000-0000-000012790000}"/>
    <cellStyle name="표준 5 3 2 3 2 2 2 5 2" xfId="11041" xr:uid="{00000000-0005-0000-0000-000013790000}"/>
    <cellStyle name="표준 5 3 2 3 2 2 2 5 2 2" xfId="15153" xr:uid="{00000000-0005-0000-0000-000014790000}"/>
    <cellStyle name="표준 5 3 2 3 2 2 2 5 2 2 2" xfId="31747" xr:uid="{00000000-0005-0000-0000-000015790000}"/>
    <cellStyle name="표준 5 3 2 3 2 2 2 5 2 2 3" xfId="39958" xr:uid="{00000000-0005-0000-0000-000016790000}"/>
    <cellStyle name="표준 5 3 2 3 2 2 2 5 2 2 4" xfId="48151" xr:uid="{00000000-0005-0000-0000-000017790000}"/>
    <cellStyle name="표준 5 3 2 3 2 2 2 5 2 3" xfId="19393" xr:uid="{00000000-0005-0000-0000-000018790000}"/>
    <cellStyle name="표준 5 3 2 3 2 2 2 5 2 4" xfId="23555" xr:uid="{00000000-0005-0000-0000-000019790000}"/>
    <cellStyle name="표준 5 3 2 3 2 2 2 5 2 5" xfId="27651" xr:uid="{00000000-0005-0000-0000-00001A790000}"/>
    <cellStyle name="표준 5 3 2 3 2 2 2 5 2 6" xfId="35862" xr:uid="{00000000-0005-0000-0000-00001B790000}"/>
    <cellStyle name="표준 5 3 2 3 2 2 2 5 2 7" xfId="44055" xr:uid="{00000000-0005-0000-0000-00001C790000}"/>
    <cellStyle name="표준 5 3 2 3 2 2 2 5 3" xfId="8993" xr:uid="{00000000-0005-0000-0000-00001D790000}"/>
    <cellStyle name="표준 5 3 2 3 2 2 2 5 3 2" xfId="29699" xr:uid="{00000000-0005-0000-0000-00001E790000}"/>
    <cellStyle name="표준 5 3 2 3 2 2 2 5 3 3" xfId="37910" xr:uid="{00000000-0005-0000-0000-00001F790000}"/>
    <cellStyle name="표준 5 3 2 3 2 2 2 5 3 4" xfId="46103" xr:uid="{00000000-0005-0000-0000-000020790000}"/>
    <cellStyle name="표준 5 3 2 3 2 2 2 5 4" xfId="13105" xr:uid="{00000000-0005-0000-0000-000021790000}"/>
    <cellStyle name="표준 5 3 2 3 2 2 2 5 5" xfId="17345" xr:uid="{00000000-0005-0000-0000-000022790000}"/>
    <cellStyle name="표준 5 3 2 3 2 2 2 5 6" xfId="21507" xr:uid="{00000000-0005-0000-0000-000023790000}"/>
    <cellStyle name="표준 5 3 2 3 2 2 2 5 7" xfId="25603" xr:uid="{00000000-0005-0000-0000-000024790000}"/>
    <cellStyle name="표준 5 3 2 3 2 2 2 5 8" xfId="33814" xr:uid="{00000000-0005-0000-0000-000025790000}"/>
    <cellStyle name="표준 5 3 2 3 2 2 2 5 9" xfId="42007" xr:uid="{00000000-0005-0000-0000-000026790000}"/>
    <cellStyle name="표준 5 3 2 3 2 2 2 6" xfId="9505" xr:uid="{00000000-0005-0000-0000-000027790000}"/>
    <cellStyle name="표준 5 3 2 3 2 2 2 6 2" xfId="13617" xr:uid="{00000000-0005-0000-0000-000028790000}"/>
    <cellStyle name="표준 5 3 2 3 2 2 2 6 2 2" xfId="30211" xr:uid="{00000000-0005-0000-0000-000029790000}"/>
    <cellStyle name="표준 5 3 2 3 2 2 2 6 2 3" xfId="38422" xr:uid="{00000000-0005-0000-0000-00002A790000}"/>
    <cellStyle name="표준 5 3 2 3 2 2 2 6 2 4" xfId="46615" xr:uid="{00000000-0005-0000-0000-00002B790000}"/>
    <cellStyle name="표준 5 3 2 3 2 2 2 6 3" xfId="17857" xr:uid="{00000000-0005-0000-0000-00002C790000}"/>
    <cellStyle name="표준 5 3 2 3 2 2 2 6 4" xfId="22019" xr:uid="{00000000-0005-0000-0000-00002D790000}"/>
    <cellStyle name="표준 5 3 2 3 2 2 2 6 5" xfId="26115" xr:uid="{00000000-0005-0000-0000-00002E790000}"/>
    <cellStyle name="표준 5 3 2 3 2 2 2 6 6" xfId="34326" xr:uid="{00000000-0005-0000-0000-00002F790000}"/>
    <cellStyle name="표준 5 3 2 3 2 2 2 6 7" xfId="42519" xr:uid="{00000000-0005-0000-0000-000030790000}"/>
    <cellStyle name="표준 5 3 2 3 2 2 2 7" xfId="7457" xr:uid="{00000000-0005-0000-0000-000031790000}"/>
    <cellStyle name="표준 5 3 2 3 2 2 2 7 2" xfId="28163" xr:uid="{00000000-0005-0000-0000-000032790000}"/>
    <cellStyle name="표준 5 3 2 3 2 2 2 7 3" xfId="36374" xr:uid="{00000000-0005-0000-0000-000033790000}"/>
    <cellStyle name="표준 5 3 2 3 2 2 2 7 4" xfId="44567" xr:uid="{00000000-0005-0000-0000-000034790000}"/>
    <cellStyle name="표준 5 3 2 3 2 2 2 8" xfId="11569" xr:uid="{00000000-0005-0000-0000-000035790000}"/>
    <cellStyle name="표준 5 3 2 3 2 2 2 9" xfId="15809" xr:uid="{00000000-0005-0000-0000-000036790000}"/>
    <cellStyle name="표준 5 3 2 3 2 2 3" xfId="730" xr:uid="{00000000-0005-0000-0000-000037790000}"/>
    <cellStyle name="표준 5 3 2 3 2 2 3 10" xfId="24195" xr:uid="{00000000-0005-0000-0000-000038790000}"/>
    <cellStyle name="표준 5 3 2 3 2 2 3 11" xfId="32406" xr:uid="{00000000-0005-0000-0000-000039790000}"/>
    <cellStyle name="표준 5 3 2 3 2 2 3 12" xfId="40599" xr:uid="{00000000-0005-0000-0000-00003A790000}"/>
    <cellStyle name="표준 5 3 2 3 2 2 3 2" xfId="1242" xr:uid="{00000000-0005-0000-0000-00003B790000}"/>
    <cellStyle name="표준 5 3 2 3 2 2 3 2 2" xfId="10145" xr:uid="{00000000-0005-0000-0000-00003C790000}"/>
    <cellStyle name="표준 5 3 2 3 2 2 3 2 2 2" xfId="14257" xr:uid="{00000000-0005-0000-0000-00003D790000}"/>
    <cellStyle name="표준 5 3 2 3 2 2 3 2 2 2 2" xfId="30851" xr:uid="{00000000-0005-0000-0000-00003E790000}"/>
    <cellStyle name="표준 5 3 2 3 2 2 3 2 2 2 3" xfId="39062" xr:uid="{00000000-0005-0000-0000-00003F790000}"/>
    <cellStyle name="표준 5 3 2 3 2 2 3 2 2 2 4" xfId="47255" xr:uid="{00000000-0005-0000-0000-000040790000}"/>
    <cellStyle name="표준 5 3 2 3 2 2 3 2 2 3" xfId="18497" xr:uid="{00000000-0005-0000-0000-000041790000}"/>
    <cellStyle name="표준 5 3 2 3 2 2 3 2 2 4" xfId="22659" xr:uid="{00000000-0005-0000-0000-000042790000}"/>
    <cellStyle name="표준 5 3 2 3 2 2 3 2 2 5" xfId="26755" xr:uid="{00000000-0005-0000-0000-000043790000}"/>
    <cellStyle name="표준 5 3 2 3 2 2 3 2 2 6" xfId="34966" xr:uid="{00000000-0005-0000-0000-000044790000}"/>
    <cellStyle name="표준 5 3 2 3 2 2 3 2 2 7" xfId="43159" xr:uid="{00000000-0005-0000-0000-000045790000}"/>
    <cellStyle name="표준 5 3 2 3 2 2 3 2 3" xfId="8097" xr:uid="{00000000-0005-0000-0000-000046790000}"/>
    <cellStyle name="표준 5 3 2 3 2 2 3 2 3 2" xfId="28803" xr:uid="{00000000-0005-0000-0000-000047790000}"/>
    <cellStyle name="표준 5 3 2 3 2 2 3 2 3 3" xfId="37014" xr:uid="{00000000-0005-0000-0000-000048790000}"/>
    <cellStyle name="표준 5 3 2 3 2 2 3 2 3 4" xfId="45207" xr:uid="{00000000-0005-0000-0000-000049790000}"/>
    <cellStyle name="표준 5 3 2 3 2 2 3 2 4" xfId="12209" xr:uid="{00000000-0005-0000-0000-00004A790000}"/>
    <cellStyle name="표준 5 3 2 3 2 2 3 2 5" xfId="16449" xr:uid="{00000000-0005-0000-0000-00004B790000}"/>
    <cellStyle name="표준 5 3 2 3 2 2 3 2 6" xfId="20611" xr:uid="{00000000-0005-0000-0000-00004C790000}"/>
    <cellStyle name="표준 5 3 2 3 2 2 3 2 7" xfId="24707" xr:uid="{00000000-0005-0000-0000-00004D790000}"/>
    <cellStyle name="표준 5 3 2 3 2 2 3 2 8" xfId="32918" xr:uid="{00000000-0005-0000-0000-00004E790000}"/>
    <cellStyle name="표준 5 3 2 3 2 2 3 2 9" xfId="41111" xr:uid="{00000000-0005-0000-0000-00004F790000}"/>
    <cellStyle name="표준 5 3 2 3 2 2 3 3" xfId="1754" xr:uid="{00000000-0005-0000-0000-000050790000}"/>
    <cellStyle name="표준 5 3 2 3 2 2 3 3 2" xfId="10657" xr:uid="{00000000-0005-0000-0000-000051790000}"/>
    <cellStyle name="표준 5 3 2 3 2 2 3 3 2 2" xfId="14769" xr:uid="{00000000-0005-0000-0000-000052790000}"/>
    <cellStyle name="표준 5 3 2 3 2 2 3 3 2 2 2" xfId="31363" xr:uid="{00000000-0005-0000-0000-000053790000}"/>
    <cellStyle name="표준 5 3 2 3 2 2 3 3 2 2 3" xfId="39574" xr:uid="{00000000-0005-0000-0000-000054790000}"/>
    <cellStyle name="표준 5 3 2 3 2 2 3 3 2 2 4" xfId="47767" xr:uid="{00000000-0005-0000-0000-000055790000}"/>
    <cellStyle name="표준 5 3 2 3 2 2 3 3 2 3" xfId="19009" xr:uid="{00000000-0005-0000-0000-000056790000}"/>
    <cellStyle name="표준 5 3 2 3 2 2 3 3 2 4" xfId="23171" xr:uid="{00000000-0005-0000-0000-000057790000}"/>
    <cellStyle name="표준 5 3 2 3 2 2 3 3 2 5" xfId="27267" xr:uid="{00000000-0005-0000-0000-000058790000}"/>
    <cellStyle name="표준 5 3 2 3 2 2 3 3 2 6" xfId="35478" xr:uid="{00000000-0005-0000-0000-000059790000}"/>
    <cellStyle name="표준 5 3 2 3 2 2 3 3 2 7" xfId="43671" xr:uid="{00000000-0005-0000-0000-00005A790000}"/>
    <cellStyle name="표준 5 3 2 3 2 2 3 3 3" xfId="8609" xr:uid="{00000000-0005-0000-0000-00005B790000}"/>
    <cellStyle name="표준 5 3 2 3 2 2 3 3 3 2" xfId="29315" xr:uid="{00000000-0005-0000-0000-00005C790000}"/>
    <cellStyle name="표준 5 3 2 3 2 2 3 3 3 3" xfId="37526" xr:uid="{00000000-0005-0000-0000-00005D790000}"/>
    <cellStyle name="표준 5 3 2 3 2 2 3 3 3 4" xfId="45719" xr:uid="{00000000-0005-0000-0000-00005E790000}"/>
    <cellStyle name="표준 5 3 2 3 2 2 3 3 4" xfId="12721" xr:uid="{00000000-0005-0000-0000-00005F790000}"/>
    <cellStyle name="표준 5 3 2 3 2 2 3 3 5" xfId="16961" xr:uid="{00000000-0005-0000-0000-000060790000}"/>
    <cellStyle name="표준 5 3 2 3 2 2 3 3 6" xfId="21123" xr:uid="{00000000-0005-0000-0000-000061790000}"/>
    <cellStyle name="표준 5 3 2 3 2 2 3 3 7" xfId="25219" xr:uid="{00000000-0005-0000-0000-000062790000}"/>
    <cellStyle name="표준 5 3 2 3 2 2 3 3 8" xfId="33430" xr:uid="{00000000-0005-0000-0000-000063790000}"/>
    <cellStyle name="표준 5 3 2 3 2 2 3 3 9" xfId="41623" xr:uid="{00000000-0005-0000-0000-000064790000}"/>
    <cellStyle name="표준 5 3 2 3 2 2 3 4" xfId="2266" xr:uid="{00000000-0005-0000-0000-000065790000}"/>
    <cellStyle name="표준 5 3 2 3 2 2 3 4 2" xfId="11169" xr:uid="{00000000-0005-0000-0000-000066790000}"/>
    <cellStyle name="표준 5 3 2 3 2 2 3 4 2 2" xfId="15281" xr:uid="{00000000-0005-0000-0000-000067790000}"/>
    <cellStyle name="표준 5 3 2 3 2 2 3 4 2 2 2" xfId="31875" xr:uid="{00000000-0005-0000-0000-000068790000}"/>
    <cellStyle name="표준 5 3 2 3 2 2 3 4 2 2 3" xfId="40086" xr:uid="{00000000-0005-0000-0000-000069790000}"/>
    <cellStyle name="표준 5 3 2 3 2 2 3 4 2 2 4" xfId="48279" xr:uid="{00000000-0005-0000-0000-00006A790000}"/>
    <cellStyle name="표준 5 3 2 3 2 2 3 4 2 3" xfId="19521" xr:uid="{00000000-0005-0000-0000-00006B790000}"/>
    <cellStyle name="표준 5 3 2 3 2 2 3 4 2 4" xfId="23683" xr:uid="{00000000-0005-0000-0000-00006C790000}"/>
    <cellStyle name="표준 5 3 2 3 2 2 3 4 2 5" xfId="27779" xr:uid="{00000000-0005-0000-0000-00006D790000}"/>
    <cellStyle name="표준 5 3 2 3 2 2 3 4 2 6" xfId="35990" xr:uid="{00000000-0005-0000-0000-00006E790000}"/>
    <cellStyle name="표준 5 3 2 3 2 2 3 4 2 7" xfId="44183" xr:uid="{00000000-0005-0000-0000-00006F790000}"/>
    <cellStyle name="표준 5 3 2 3 2 2 3 4 3" xfId="9121" xr:uid="{00000000-0005-0000-0000-000070790000}"/>
    <cellStyle name="표준 5 3 2 3 2 2 3 4 3 2" xfId="29827" xr:uid="{00000000-0005-0000-0000-000071790000}"/>
    <cellStyle name="표준 5 3 2 3 2 2 3 4 3 3" xfId="38038" xr:uid="{00000000-0005-0000-0000-000072790000}"/>
    <cellStyle name="표준 5 3 2 3 2 2 3 4 3 4" xfId="46231" xr:uid="{00000000-0005-0000-0000-000073790000}"/>
    <cellStyle name="표준 5 3 2 3 2 2 3 4 4" xfId="13233" xr:uid="{00000000-0005-0000-0000-000074790000}"/>
    <cellStyle name="표준 5 3 2 3 2 2 3 4 5" xfId="17473" xr:uid="{00000000-0005-0000-0000-000075790000}"/>
    <cellStyle name="표준 5 3 2 3 2 2 3 4 6" xfId="21635" xr:uid="{00000000-0005-0000-0000-000076790000}"/>
    <cellStyle name="표준 5 3 2 3 2 2 3 4 7" xfId="25731" xr:uid="{00000000-0005-0000-0000-000077790000}"/>
    <cellStyle name="표준 5 3 2 3 2 2 3 4 8" xfId="33942" xr:uid="{00000000-0005-0000-0000-000078790000}"/>
    <cellStyle name="표준 5 3 2 3 2 2 3 4 9" xfId="42135" xr:uid="{00000000-0005-0000-0000-000079790000}"/>
    <cellStyle name="표준 5 3 2 3 2 2 3 5" xfId="9633" xr:uid="{00000000-0005-0000-0000-00007A790000}"/>
    <cellStyle name="표준 5 3 2 3 2 2 3 5 2" xfId="13745" xr:uid="{00000000-0005-0000-0000-00007B790000}"/>
    <cellStyle name="표준 5 3 2 3 2 2 3 5 2 2" xfId="30339" xr:uid="{00000000-0005-0000-0000-00007C790000}"/>
    <cellStyle name="표준 5 3 2 3 2 2 3 5 2 3" xfId="38550" xr:uid="{00000000-0005-0000-0000-00007D790000}"/>
    <cellStyle name="표준 5 3 2 3 2 2 3 5 2 4" xfId="46743" xr:uid="{00000000-0005-0000-0000-00007E790000}"/>
    <cellStyle name="표준 5 3 2 3 2 2 3 5 3" xfId="17985" xr:uid="{00000000-0005-0000-0000-00007F790000}"/>
    <cellStyle name="표준 5 3 2 3 2 2 3 5 4" xfId="22147" xr:uid="{00000000-0005-0000-0000-000080790000}"/>
    <cellStyle name="표준 5 3 2 3 2 2 3 5 5" xfId="26243" xr:uid="{00000000-0005-0000-0000-000081790000}"/>
    <cellStyle name="표준 5 3 2 3 2 2 3 5 6" xfId="34454" xr:uid="{00000000-0005-0000-0000-000082790000}"/>
    <cellStyle name="표준 5 3 2 3 2 2 3 5 7" xfId="42647" xr:uid="{00000000-0005-0000-0000-000083790000}"/>
    <cellStyle name="표준 5 3 2 3 2 2 3 6" xfId="7585" xr:uid="{00000000-0005-0000-0000-000084790000}"/>
    <cellStyle name="표준 5 3 2 3 2 2 3 6 2" xfId="28291" xr:uid="{00000000-0005-0000-0000-000085790000}"/>
    <cellStyle name="표준 5 3 2 3 2 2 3 6 3" xfId="36502" xr:uid="{00000000-0005-0000-0000-000086790000}"/>
    <cellStyle name="표준 5 3 2 3 2 2 3 6 4" xfId="44695" xr:uid="{00000000-0005-0000-0000-000087790000}"/>
    <cellStyle name="표준 5 3 2 3 2 2 3 7" xfId="11697" xr:uid="{00000000-0005-0000-0000-000088790000}"/>
    <cellStyle name="표준 5 3 2 3 2 2 3 8" xfId="15937" xr:uid="{00000000-0005-0000-0000-000089790000}"/>
    <cellStyle name="표준 5 3 2 3 2 2 3 9" xfId="20099" xr:uid="{00000000-0005-0000-0000-00008A790000}"/>
    <cellStyle name="표준 5 3 2 3 2 2 4" xfId="986" xr:uid="{00000000-0005-0000-0000-00008B790000}"/>
    <cellStyle name="표준 5 3 2 3 2 2 4 2" xfId="9889" xr:uid="{00000000-0005-0000-0000-00008C790000}"/>
    <cellStyle name="표준 5 3 2 3 2 2 4 2 2" xfId="14001" xr:uid="{00000000-0005-0000-0000-00008D790000}"/>
    <cellStyle name="표준 5 3 2 3 2 2 4 2 2 2" xfId="30595" xr:uid="{00000000-0005-0000-0000-00008E790000}"/>
    <cellStyle name="표준 5 3 2 3 2 2 4 2 2 3" xfId="38806" xr:uid="{00000000-0005-0000-0000-00008F790000}"/>
    <cellStyle name="표준 5 3 2 3 2 2 4 2 2 4" xfId="46999" xr:uid="{00000000-0005-0000-0000-000090790000}"/>
    <cellStyle name="표준 5 3 2 3 2 2 4 2 3" xfId="18241" xr:uid="{00000000-0005-0000-0000-000091790000}"/>
    <cellStyle name="표준 5 3 2 3 2 2 4 2 4" xfId="22403" xr:uid="{00000000-0005-0000-0000-000092790000}"/>
    <cellStyle name="표준 5 3 2 3 2 2 4 2 5" xfId="26499" xr:uid="{00000000-0005-0000-0000-000093790000}"/>
    <cellStyle name="표준 5 3 2 3 2 2 4 2 6" xfId="34710" xr:uid="{00000000-0005-0000-0000-000094790000}"/>
    <cellStyle name="표준 5 3 2 3 2 2 4 2 7" xfId="42903" xr:uid="{00000000-0005-0000-0000-000095790000}"/>
    <cellStyle name="표준 5 3 2 3 2 2 4 3" xfId="7841" xr:uid="{00000000-0005-0000-0000-000096790000}"/>
    <cellStyle name="표준 5 3 2 3 2 2 4 3 2" xfId="28547" xr:uid="{00000000-0005-0000-0000-000097790000}"/>
    <cellStyle name="표준 5 3 2 3 2 2 4 3 3" xfId="36758" xr:uid="{00000000-0005-0000-0000-000098790000}"/>
    <cellStyle name="표준 5 3 2 3 2 2 4 3 4" xfId="44951" xr:uid="{00000000-0005-0000-0000-000099790000}"/>
    <cellStyle name="표준 5 3 2 3 2 2 4 4" xfId="11953" xr:uid="{00000000-0005-0000-0000-00009A790000}"/>
    <cellStyle name="표준 5 3 2 3 2 2 4 5" xfId="16193" xr:uid="{00000000-0005-0000-0000-00009B790000}"/>
    <cellStyle name="표준 5 3 2 3 2 2 4 6" xfId="20355" xr:uid="{00000000-0005-0000-0000-00009C790000}"/>
    <cellStyle name="표준 5 3 2 3 2 2 4 7" xfId="24451" xr:uid="{00000000-0005-0000-0000-00009D790000}"/>
    <cellStyle name="표준 5 3 2 3 2 2 4 8" xfId="32662" xr:uid="{00000000-0005-0000-0000-00009E790000}"/>
    <cellStyle name="표준 5 3 2 3 2 2 4 9" xfId="40855" xr:uid="{00000000-0005-0000-0000-00009F790000}"/>
    <cellStyle name="표준 5 3 2 3 2 2 5" xfId="1498" xr:uid="{00000000-0005-0000-0000-0000A0790000}"/>
    <cellStyle name="표준 5 3 2 3 2 2 5 2" xfId="10401" xr:uid="{00000000-0005-0000-0000-0000A1790000}"/>
    <cellStyle name="표준 5 3 2 3 2 2 5 2 2" xfId="14513" xr:uid="{00000000-0005-0000-0000-0000A2790000}"/>
    <cellStyle name="표준 5 3 2 3 2 2 5 2 2 2" xfId="31107" xr:uid="{00000000-0005-0000-0000-0000A3790000}"/>
    <cellStyle name="표준 5 3 2 3 2 2 5 2 2 3" xfId="39318" xr:uid="{00000000-0005-0000-0000-0000A4790000}"/>
    <cellStyle name="표준 5 3 2 3 2 2 5 2 2 4" xfId="47511" xr:uid="{00000000-0005-0000-0000-0000A5790000}"/>
    <cellStyle name="표준 5 3 2 3 2 2 5 2 3" xfId="18753" xr:uid="{00000000-0005-0000-0000-0000A6790000}"/>
    <cellStyle name="표준 5 3 2 3 2 2 5 2 4" xfId="22915" xr:uid="{00000000-0005-0000-0000-0000A7790000}"/>
    <cellStyle name="표준 5 3 2 3 2 2 5 2 5" xfId="27011" xr:uid="{00000000-0005-0000-0000-0000A8790000}"/>
    <cellStyle name="표준 5 3 2 3 2 2 5 2 6" xfId="35222" xr:uid="{00000000-0005-0000-0000-0000A9790000}"/>
    <cellStyle name="표준 5 3 2 3 2 2 5 2 7" xfId="43415" xr:uid="{00000000-0005-0000-0000-0000AA790000}"/>
    <cellStyle name="표준 5 3 2 3 2 2 5 3" xfId="8353" xr:uid="{00000000-0005-0000-0000-0000AB790000}"/>
    <cellStyle name="표준 5 3 2 3 2 2 5 3 2" xfId="29059" xr:uid="{00000000-0005-0000-0000-0000AC790000}"/>
    <cellStyle name="표준 5 3 2 3 2 2 5 3 3" xfId="37270" xr:uid="{00000000-0005-0000-0000-0000AD790000}"/>
    <cellStyle name="표준 5 3 2 3 2 2 5 3 4" xfId="45463" xr:uid="{00000000-0005-0000-0000-0000AE790000}"/>
    <cellStyle name="표준 5 3 2 3 2 2 5 4" xfId="12465" xr:uid="{00000000-0005-0000-0000-0000AF790000}"/>
    <cellStyle name="표준 5 3 2 3 2 2 5 5" xfId="16705" xr:uid="{00000000-0005-0000-0000-0000B0790000}"/>
    <cellStyle name="표준 5 3 2 3 2 2 5 6" xfId="20867" xr:uid="{00000000-0005-0000-0000-0000B1790000}"/>
    <cellStyle name="표준 5 3 2 3 2 2 5 7" xfId="24963" xr:uid="{00000000-0005-0000-0000-0000B2790000}"/>
    <cellStyle name="표준 5 3 2 3 2 2 5 8" xfId="33174" xr:uid="{00000000-0005-0000-0000-0000B3790000}"/>
    <cellStyle name="표준 5 3 2 3 2 2 5 9" xfId="41367" xr:uid="{00000000-0005-0000-0000-0000B4790000}"/>
    <cellStyle name="표준 5 3 2 3 2 2 6" xfId="2010" xr:uid="{00000000-0005-0000-0000-0000B5790000}"/>
    <cellStyle name="표준 5 3 2 3 2 2 6 2" xfId="10913" xr:uid="{00000000-0005-0000-0000-0000B6790000}"/>
    <cellStyle name="표준 5 3 2 3 2 2 6 2 2" xfId="15025" xr:uid="{00000000-0005-0000-0000-0000B7790000}"/>
    <cellStyle name="표준 5 3 2 3 2 2 6 2 2 2" xfId="31619" xr:uid="{00000000-0005-0000-0000-0000B8790000}"/>
    <cellStyle name="표준 5 3 2 3 2 2 6 2 2 3" xfId="39830" xr:uid="{00000000-0005-0000-0000-0000B9790000}"/>
    <cellStyle name="표준 5 3 2 3 2 2 6 2 2 4" xfId="48023" xr:uid="{00000000-0005-0000-0000-0000BA790000}"/>
    <cellStyle name="표준 5 3 2 3 2 2 6 2 3" xfId="19265" xr:uid="{00000000-0005-0000-0000-0000BB790000}"/>
    <cellStyle name="표준 5 3 2 3 2 2 6 2 4" xfId="23427" xr:uid="{00000000-0005-0000-0000-0000BC790000}"/>
    <cellStyle name="표준 5 3 2 3 2 2 6 2 5" xfId="27523" xr:uid="{00000000-0005-0000-0000-0000BD790000}"/>
    <cellStyle name="표준 5 3 2 3 2 2 6 2 6" xfId="35734" xr:uid="{00000000-0005-0000-0000-0000BE790000}"/>
    <cellStyle name="표준 5 3 2 3 2 2 6 2 7" xfId="43927" xr:uid="{00000000-0005-0000-0000-0000BF790000}"/>
    <cellStyle name="표준 5 3 2 3 2 2 6 3" xfId="8865" xr:uid="{00000000-0005-0000-0000-0000C0790000}"/>
    <cellStyle name="표준 5 3 2 3 2 2 6 3 2" xfId="29571" xr:uid="{00000000-0005-0000-0000-0000C1790000}"/>
    <cellStyle name="표준 5 3 2 3 2 2 6 3 3" xfId="37782" xr:uid="{00000000-0005-0000-0000-0000C2790000}"/>
    <cellStyle name="표준 5 3 2 3 2 2 6 3 4" xfId="45975" xr:uid="{00000000-0005-0000-0000-0000C3790000}"/>
    <cellStyle name="표준 5 3 2 3 2 2 6 4" xfId="12977" xr:uid="{00000000-0005-0000-0000-0000C4790000}"/>
    <cellStyle name="표준 5 3 2 3 2 2 6 5" xfId="17217" xr:uid="{00000000-0005-0000-0000-0000C5790000}"/>
    <cellStyle name="표준 5 3 2 3 2 2 6 6" xfId="21379" xr:uid="{00000000-0005-0000-0000-0000C6790000}"/>
    <cellStyle name="표준 5 3 2 3 2 2 6 7" xfId="25475" xr:uid="{00000000-0005-0000-0000-0000C7790000}"/>
    <cellStyle name="표준 5 3 2 3 2 2 6 8" xfId="33686" xr:uid="{00000000-0005-0000-0000-0000C8790000}"/>
    <cellStyle name="표준 5 3 2 3 2 2 6 9" xfId="41879" xr:uid="{00000000-0005-0000-0000-0000C9790000}"/>
    <cellStyle name="표준 5 3 2 3 2 2 7" xfId="9377" xr:uid="{00000000-0005-0000-0000-0000CA790000}"/>
    <cellStyle name="표준 5 3 2 3 2 2 7 2" xfId="13489" xr:uid="{00000000-0005-0000-0000-0000CB790000}"/>
    <cellStyle name="표준 5 3 2 3 2 2 7 2 2" xfId="30083" xr:uid="{00000000-0005-0000-0000-0000CC790000}"/>
    <cellStyle name="표준 5 3 2 3 2 2 7 2 3" xfId="38294" xr:uid="{00000000-0005-0000-0000-0000CD790000}"/>
    <cellStyle name="표준 5 3 2 3 2 2 7 2 4" xfId="46487" xr:uid="{00000000-0005-0000-0000-0000CE790000}"/>
    <cellStyle name="표준 5 3 2 3 2 2 7 3" xfId="17729" xr:uid="{00000000-0005-0000-0000-0000CF790000}"/>
    <cellStyle name="표준 5 3 2 3 2 2 7 4" xfId="21891" xr:uid="{00000000-0005-0000-0000-0000D0790000}"/>
    <cellStyle name="표준 5 3 2 3 2 2 7 5" xfId="25987" xr:uid="{00000000-0005-0000-0000-0000D1790000}"/>
    <cellStyle name="표준 5 3 2 3 2 2 7 6" xfId="34198" xr:uid="{00000000-0005-0000-0000-0000D2790000}"/>
    <cellStyle name="표준 5 3 2 3 2 2 7 7" xfId="42391" xr:uid="{00000000-0005-0000-0000-0000D3790000}"/>
    <cellStyle name="표준 5 3 2 3 2 2 8" xfId="7329" xr:uid="{00000000-0005-0000-0000-0000D4790000}"/>
    <cellStyle name="표준 5 3 2 3 2 2 8 2" xfId="28035" xr:uid="{00000000-0005-0000-0000-0000D5790000}"/>
    <cellStyle name="표준 5 3 2 3 2 2 8 3" xfId="36246" xr:uid="{00000000-0005-0000-0000-0000D6790000}"/>
    <cellStyle name="표준 5 3 2 3 2 2 8 4" xfId="44439" xr:uid="{00000000-0005-0000-0000-0000D7790000}"/>
    <cellStyle name="표준 5 3 2 3 2 2 9" xfId="11441" xr:uid="{00000000-0005-0000-0000-0000D8790000}"/>
    <cellStyle name="표준 5 3 2 3 2 3" xfId="538" xr:uid="{00000000-0005-0000-0000-0000D9790000}"/>
    <cellStyle name="표준 5 3 2 3 2 3 10" xfId="19907" xr:uid="{00000000-0005-0000-0000-0000DA790000}"/>
    <cellStyle name="표준 5 3 2 3 2 3 11" xfId="24003" xr:uid="{00000000-0005-0000-0000-0000DB790000}"/>
    <cellStyle name="표준 5 3 2 3 2 3 12" xfId="32214" xr:uid="{00000000-0005-0000-0000-0000DC790000}"/>
    <cellStyle name="표준 5 3 2 3 2 3 13" xfId="40407" xr:uid="{00000000-0005-0000-0000-0000DD790000}"/>
    <cellStyle name="표준 5 3 2 3 2 3 2" xfId="794" xr:uid="{00000000-0005-0000-0000-0000DE790000}"/>
    <cellStyle name="표준 5 3 2 3 2 3 2 10" xfId="24259" xr:uid="{00000000-0005-0000-0000-0000DF790000}"/>
    <cellStyle name="표준 5 3 2 3 2 3 2 11" xfId="32470" xr:uid="{00000000-0005-0000-0000-0000E0790000}"/>
    <cellStyle name="표준 5 3 2 3 2 3 2 12" xfId="40663" xr:uid="{00000000-0005-0000-0000-0000E1790000}"/>
    <cellStyle name="표준 5 3 2 3 2 3 2 2" xfId="1306" xr:uid="{00000000-0005-0000-0000-0000E2790000}"/>
    <cellStyle name="표준 5 3 2 3 2 3 2 2 2" xfId="10209" xr:uid="{00000000-0005-0000-0000-0000E3790000}"/>
    <cellStyle name="표준 5 3 2 3 2 3 2 2 2 2" xfId="14321" xr:uid="{00000000-0005-0000-0000-0000E4790000}"/>
    <cellStyle name="표준 5 3 2 3 2 3 2 2 2 2 2" xfId="30915" xr:uid="{00000000-0005-0000-0000-0000E5790000}"/>
    <cellStyle name="표준 5 3 2 3 2 3 2 2 2 2 3" xfId="39126" xr:uid="{00000000-0005-0000-0000-0000E6790000}"/>
    <cellStyle name="표준 5 3 2 3 2 3 2 2 2 2 4" xfId="47319" xr:uid="{00000000-0005-0000-0000-0000E7790000}"/>
    <cellStyle name="표준 5 3 2 3 2 3 2 2 2 3" xfId="18561" xr:uid="{00000000-0005-0000-0000-0000E8790000}"/>
    <cellStyle name="표준 5 3 2 3 2 3 2 2 2 4" xfId="22723" xr:uid="{00000000-0005-0000-0000-0000E9790000}"/>
    <cellStyle name="표준 5 3 2 3 2 3 2 2 2 5" xfId="26819" xr:uid="{00000000-0005-0000-0000-0000EA790000}"/>
    <cellStyle name="표준 5 3 2 3 2 3 2 2 2 6" xfId="35030" xr:uid="{00000000-0005-0000-0000-0000EB790000}"/>
    <cellStyle name="표준 5 3 2 3 2 3 2 2 2 7" xfId="43223" xr:uid="{00000000-0005-0000-0000-0000EC790000}"/>
    <cellStyle name="표준 5 3 2 3 2 3 2 2 3" xfId="8161" xr:uid="{00000000-0005-0000-0000-0000ED790000}"/>
    <cellStyle name="표준 5 3 2 3 2 3 2 2 3 2" xfId="28867" xr:uid="{00000000-0005-0000-0000-0000EE790000}"/>
    <cellStyle name="표준 5 3 2 3 2 3 2 2 3 3" xfId="37078" xr:uid="{00000000-0005-0000-0000-0000EF790000}"/>
    <cellStyle name="표준 5 3 2 3 2 3 2 2 3 4" xfId="45271" xr:uid="{00000000-0005-0000-0000-0000F0790000}"/>
    <cellStyle name="표준 5 3 2 3 2 3 2 2 4" xfId="12273" xr:uid="{00000000-0005-0000-0000-0000F1790000}"/>
    <cellStyle name="표준 5 3 2 3 2 3 2 2 5" xfId="16513" xr:uid="{00000000-0005-0000-0000-0000F2790000}"/>
    <cellStyle name="표준 5 3 2 3 2 3 2 2 6" xfId="20675" xr:uid="{00000000-0005-0000-0000-0000F3790000}"/>
    <cellStyle name="표준 5 3 2 3 2 3 2 2 7" xfId="24771" xr:uid="{00000000-0005-0000-0000-0000F4790000}"/>
    <cellStyle name="표준 5 3 2 3 2 3 2 2 8" xfId="32982" xr:uid="{00000000-0005-0000-0000-0000F5790000}"/>
    <cellStyle name="표준 5 3 2 3 2 3 2 2 9" xfId="41175" xr:uid="{00000000-0005-0000-0000-0000F6790000}"/>
    <cellStyle name="표준 5 3 2 3 2 3 2 3" xfId="1818" xr:uid="{00000000-0005-0000-0000-0000F7790000}"/>
    <cellStyle name="표준 5 3 2 3 2 3 2 3 2" xfId="10721" xr:uid="{00000000-0005-0000-0000-0000F8790000}"/>
    <cellStyle name="표준 5 3 2 3 2 3 2 3 2 2" xfId="14833" xr:uid="{00000000-0005-0000-0000-0000F9790000}"/>
    <cellStyle name="표준 5 3 2 3 2 3 2 3 2 2 2" xfId="31427" xr:uid="{00000000-0005-0000-0000-0000FA790000}"/>
    <cellStyle name="표준 5 3 2 3 2 3 2 3 2 2 3" xfId="39638" xr:uid="{00000000-0005-0000-0000-0000FB790000}"/>
    <cellStyle name="표준 5 3 2 3 2 3 2 3 2 2 4" xfId="47831" xr:uid="{00000000-0005-0000-0000-0000FC790000}"/>
    <cellStyle name="표준 5 3 2 3 2 3 2 3 2 3" xfId="19073" xr:uid="{00000000-0005-0000-0000-0000FD790000}"/>
    <cellStyle name="표준 5 3 2 3 2 3 2 3 2 4" xfId="23235" xr:uid="{00000000-0005-0000-0000-0000FE790000}"/>
    <cellStyle name="표준 5 3 2 3 2 3 2 3 2 5" xfId="27331" xr:uid="{00000000-0005-0000-0000-0000FF790000}"/>
    <cellStyle name="표준 5 3 2 3 2 3 2 3 2 6" xfId="35542" xr:uid="{00000000-0005-0000-0000-0000007A0000}"/>
    <cellStyle name="표준 5 3 2 3 2 3 2 3 2 7" xfId="43735" xr:uid="{00000000-0005-0000-0000-0000017A0000}"/>
    <cellStyle name="표준 5 3 2 3 2 3 2 3 3" xfId="8673" xr:uid="{00000000-0005-0000-0000-0000027A0000}"/>
    <cellStyle name="표준 5 3 2 3 2 3 2 3 3 2" xfId="29379" xr:uid="{00000000-0005-0000-0000-0000037A0000}"/>
    <cellStyle name="표준 5 3 2 3 2 3 2 3 3 3" xfId="37590" xr:uid="{00000000-0005-0000-0000-0000047A0000}"/>
    <cellStyle name="표준 5 3 2 3 2 3 2 3 3 4" xfId="45783" xr:uid="{00000000-0005-0000-0000-0000057A0000}"/>
    <cellStyle name="표준 5 3 2 3 2 3 2 3 4" xfId="12785" xr:uid="{00000000-0005-0000-0000-0000067A0000}"/>
    <cellStyle name="표준 5 3 2 3 2 3 2 3 5" xfId="17025" xr:uid="{00000000-0005-0000-0000-0000077A0000}"/>
    <cellStyle name="표준 5 3 2 3 2 3 2 3 6" xfId="21187" xr:uid="{00000000-0005-0000-0000-0000087A0000}"/>
    <cellStyle name="표준 5 3 2 3 2 3 2 3 7" xfId="25283" xr:uid="{00000000-0005-0000-0000-0000097A0000}"/>
    <cellStyle name="표준 5 3 2 3 2 3 2 3 8" xfId="33494" xr:uid="{00000000-0005-0000-0000-00000A7A0000}"/>
    <cellStyle name="표준 5 3 2 3 2 3 2 3 9" xfId="41687" xr:uid="{00000000-0005-0000-0000-00000B7A0000}"/>
    <cellStyle name="표준 5 3 2 3 2 3 2 4" xfId="2330" xr:uid="{00000000-0005-0000-0000-00000C7A0000}"/>
    <cellStyle name="표준 5 3 2 3 2 3 2 4 2" xfId="11233" xr:uid="{00000000-0005-0000-0000-00000D7A0000}"/>
    <cellStyle name="표준 5 3 2 3 2 3 2 4 2 2" xfId="15345" xr:uid="{00000000-0005-0000-0000-00000E7A0000}"/>
    <cellStyle name="표준 5 3 2 3 2 3 2 4 2 2 2" xfId="31939" xr:uid="{00000000-0005-0000-0000-00000F7A0000}"/>
    <cellStyle name="표준 5 3 2 3 2 3 2 4 2 2 3" xfId="40150" xr:uid="{00000000-0005-0000-0000-0000107A0000}"/>
    <cellStyle name="표준 5 3 2 3 2 3 2 4 2 2 4" xfId="48343" xr:uid="{00000000-0005-0000-0000-0000117A0000}"/>
    <cellStyle name="표준 5 3 2 3 2 3 2 4 2 3" xfId="19585" xr:uid="{00000000-0005-0000-0000-0000127A0000}"/>
    <cellStyle name="표준 5 3 2 3 2 3 2 4 2 4" xfId="23747" xr:uid="{00000000-0005-0000-0000-0000137A0000}"/>
    <cellStyle name="표준 5 3 2 3 2 3 2 4 2 5" xfId="27843" xr:uid="{00000000-0005-0000-0000-0000147A0000}"/>
    <cellStyle name="표준 5 3 2 3 2 3 2 4 2 6" xfId="36054" xr:uid="{00000000-0005-0000-0000-0000157A0000}"/>
    <cellStyle name="표준 5 3 2 3 2 3 2 4 2 7" xfId="44247" xr:uid="{00000000-0005-0000-0000-0000167A0000}"/>
    <cellStyle name="표준 5 3 2 3 2 3 2 4 3" xfId="9185" xr:uid="{00000000-0005-0000-0000-0000177A0000}"/>
    <cellStyle name="표준 5 3 2 3 2 3 2 4 3 2" xfId="29891" xr:uid="{00000000-0005-0000-0000-0000187A0000}"/>
    <cellStyle name="표준 5 3 2 3 2 3 2 4 3 3" xfId="38102" xr:uid="{00000000-0005-0000-0000-0000197A0000}"/>
    <cellStyle name="표준 5 3 2 3 2 3 2 4 3 4" xfId="46295" xr:uid="{00000000-0005-0000-0000-00001A7A0000}"/>
    <cellStyle name="표준 5 3 2 3 2 3 2 4 4" xfId="13297" xr:uid="{00000000-0005-0000-0000-00001B7A0000}"/>
    <cellStyle name="표준 5 3 2 3 2 3 2 4 5" xfId="17537" xr:uid="{00000000-0005-0000-0000-00001C7A0000}"/>
    <cellStyle name="표준 5 3 2 3 2 3 2 4 6" xfId="21699" xr:uid="{00000000-0005-0000-0000-00001D7A0000}"/>
    <cellStyle name="표준 5 3 2 3 2 3 2 4 7" xfId="25795" xr:uid="{00000000-0005-0000-0000-00001E7A0000}"/>
    <cellStyle name="표준 5 3 2 3 2 3 2 4 8" xfId="34006" xr:uid="{00000000-0005-0000-0000-00001F7A0000}"/>
    <cellStyle name="표준 5 3 2 3 2 3 2 4 9" xfId="42199" xr:uid="{00000000-0005-0000-0000-0000207A0000}"/>
    <cellStyle name="표준 5 3 2 3 2 3 2 5" xfId="9697" xr:uid="{00000000-0005-0000-0000-0000217A0000}"/>
    <cellStyle name="표준 5 3 2 3 2 3 2 5 2" xfId="13809" xr:uid="{00000000-0005-0000-0000-0000227A0000}"/>
    <cellStyle name="표준 5 3 2 3 2 3 2 5 2 2" xfId="30403" xr:uid="{00000000-0005-0000-0000-0000237A0000}"/>
    <cellStyle name="표준 5 3 2 3 2 3 2 5 2 3" xfId="38614" xr:uid="{00000000-0005-0000-0000-0000247A0000}"/>
    <cellStyle name="표준 5 3 2 3 2 3 2 5 2 4" xfId="46807" xr:uid="{00000000-0005-0000-0000-0000257A0000}"/>
    <cellStyle name="표준 5 3 2 3 2 3 2 5 3" xfId="18049" xr:uid="{00000000-0005-0000-0000-0000267A0000}"/>
    <cellStyle name="표준 5 3 2 3 2 3 2 5 4" xfId="22211" xr:uid="{00000000-0005-0000-0000-0000277A0000}"/>
    <cellStyle name="표준 5 3 2 3 2 3 2 5 5" xfId="26307" xr:uid="{00000000-0005-0000-0000-0000287A0000}"/>
    <cellStyle name="표준 5 3 2 3 2 3 2 5 6" xfId="34518" xr:uid="{00000000-0005-0000-0000-0000297A0000}"/>
    <cellStyle name="표준 5 3 2 3 2 3 2 5 7" xfId="42711" xr:uid="{00000000-0005-0000-0000-00002A7A0000}"/>
    <cellStyle name="표준 5 3 2 3 2 3 2 6" xfId="7649" xr:uid="{00000000-0005-0000-0000-00002B7A0000}"/>
    <cellStyle name="표준 5 3 2 3 2 3 2 6 2" xfId="28355" xr:uid="{00000000-0005-0000-0000-00002C7A0000}"/>
    <cellStyle name="표준 5 3 2 3 2 3 2 6 3" xfId="36566" xr:uid="{00000000-0005-0000-0000-00002D7A0000}"/>
    <cellStyle name="표준 5 3 2 3 2 3 2 6 4" xfId="44759" xr:uid="{00000000-0005-0000-0000-00002E7A0000}"/>
    <cellStyle name="표준 5 3 2 3 2 3 2 7" xfId="11761" xr:uid="{00000000-0005-0000-0000-00002F7A0000}"/>
    <cellStyle name="표준 5 3 2 3 2 3 2 8" xfId="16001" xr:uid="{00000000-0005-0000-0000-0000307A0000}"/>
    <cellStyle name="표준 5 3 2 3 2 3 2 9" xfId="20163" xr:uid="{00000000-0005-0000-0000-0000317A0000}"/>
    <cellStyle name="표준 5 3 2 3 2 3 3" xfId="1050" xr:uid="{00000000-0005-0000-0000-0000327A0000}"/>
    <cellStyle name="표준 5 3 2 3 2 3 3 2" xfId="9953" xr:uid="{00000000-0005-0000-0000-0000337A0000}"/>
    <cellStyle name="표준 5 3 2 3 2 3 3 2 2" xfId="14065" xr:uid="{00000000-0005-0000-0000-0000347A0000}"/>
    <cellStyle name="표준 5 3 2 3 2 3 3 2 2 2" xfId="30659" xr:uid="{00000000-0005-0000-0000-0000357A0000}"/>
    <cellStyle name="표준 5 3 2 3 2 3 3 2 2 3" xfId="38870" xr:uid="{00000000-0005-0000-0000-0000367A0000}"/>
    <cellStyle name="표준 5 3 2 3 2 3 3 2 2 4" xfId="47063" xr:uid="{00000000-0005-0000-0000-0000377A0000}"/>
    <cellStyle name="표준 5 3 2 3 2 3 3 2 3" xfId="18305" xr:uid="{00000000-0005-0000-0000-0000387A0000}"/>
    <cellStyle name="표준 5 3 2 3 2 3 3 2 4" xfId="22467" xr:uid="{00000000-0005-0000-0000-0000397A0000}"/>
    <cellStyle name="표준 5 3 2 3 2 3 3 2 5" xfId="26563" xr:uid="{00000000-0005-0000-0000-00003A7A0000}"/>
    <cellStyle name="표준 5 3 2 3 2 3 3 2 6" xfId="34774" xr:uid="{00000000-0005-0000-0000-00003B7A0000}"/>
    <cellStyle name="표준 5 3 2 3 2 3 3 2 7" xfId="42967" xr:uid="{00000000-0005-0000-0000-00003C7A0000}"/>
    <cellStyle name="표준 5 3 2 3 2 3 3 3" xfId="7905" xr:uid="{00000000-0005-0000-0000-00003D7A0000}"/>
    <cellStyle name="표준 5 3 2 3 2 3 3 3 2" xfId="28611" xr:uid="{00000000-0005-0000-0000-00003E7A0000}"/>
    <cellStyle name="표준 5 3 2 3 2 3 3 3 3" xfId="36822" xr:uid="{00000000-0005-0000-0000-00003F7A0000}"/>
    <cellStyle name="표준 5 3 2 3 2 3 3 3 4" xfId="45015" xr:uid="{00000000-0005-0000-0000-0000407A0000}"/>
    <cellStyle name="표준 5 3 2 3 2 3 3 4" xfId="12017" xr:uid="{00000000-0005-0000-0000-0000417A0000}"/>
    <cellStyle name="표준 5 3 2 3 2 3 3 5" xfId="16257" xr:uid="{00000000-0005-0000-0000-0000427A0000}"/>
    <cellStyle name="표준 5 3 2 3 2 3 3 6" xfId="20419" xr:uid="{00000000-0005-0000-0000-0000437A0000}"/>
    <cellStyle name="표준 5 3 2 3 2 3 3 7" xfId="24515" xr:uid="{00000000-0005-0000-0000-0000447A0000}"/>
    <cellStyle name="표준 5 3 2 3 2 3 3 8" xfId="32726" xr:uid="{00000000-0005-0000-0000-0000457A0000}"/>
    <cellStyle name="표준 5 3 2 3 2 3 3 9" xfId="40919" xr:uid="{00000000-0005-0000-0000-0000467A0000}"/>
    <cellStyle name="표준 5 3 2 3 2 3 4" xfId="1562" xr:uid="{00000000-0005-0000-0000-0000477A0000}"/>
    <cellStyle name="표준 5 3 2 3 2 3 4 2" xfId="10465" xr:uid="{00000000-0005-0000-0000-0000487A0000}"/>
    <cellStyle name="표준 5 3 2 3 2 3 4 2 2" xfId="14577" xr:uid="{00000000-0005-0000-0000-0000497A0000}"/>
    <cellStyle name="표준 5 3 2 3 2 3 4 2 2 2" xfId="31171" xr:uid="{00000000-0005-0000-0000-00004A7A0000}"/>
    <cellStyle name="표준 5 3 2 3 2 3 4 2 2 3" xfId="39382" xr:uid="{00000000-0005-0000-0000-00004B7A0000}"/>
    <cellStyle name="표준 5 3 2 3 2 3 4 2 2 4" xfId="47575" xr:uid="{00000000-0005-0000-0000-00004C7A0000}"/>
    <cellStyle name="표준 5 3 2 3 2 3 4 2 3" xfId="18817" xr:uid="{00000000-0005-0000-0000-00004D7A0000}"/>
    <cellStyle name="표준 5 3 2 3 2 3 4 2 4" xfId="22979" xr:uid="{00000000-0005-0000-0000-00004E7A0000}"/>
    <cellStyle name="표준 5 3 2 3 2 3 4 2 5" xfId="27075" xr:uid="{00000000-0005-0000-0000-00004F7A0000}"/>
    <cellStyle name="표준 5 3 2 3 2 3 4 2 6" xfId="35286" xr:uid="{00000000-0005-0000-0000-0000507A0000}"/>
    <cellStyle name="표준 5 3 2 3 2 3 4 2 7" xfId="43479" xr:uid="{00000000-0005-0000-0000-0000517A0000}"/>
    <cellStyle name="표준 5 3 2 3 2 3 4 3" xfId="8417" xr:uid="{00000000-0005-0000-0000-0000527A0000}"/>
    <cellStyle name="표준 5 3 2 3 2 3 4 3 2" xfId="29123" xr:uid="{00000000-0005-0000-0000-0000537A0000}"/>
    <cellStyle name="표준 5 3 2 3 2 3 4 3 3" xfId="37334" xr:uid="{00000000-0005-0000-0000-0000547A0000}"/>
    <cellStyle name="표준 5 3 2 3 2 3 4 3 4" xfId="45527" xr:uid="{00000000-0005-0000-0000-0000557A0000}"/>
    <cellStyle name="표준 5 3 2 3 2 3 4 4" xfId="12529" xr:uid="{00000000-0005-0000-0000-0000567A0000}"/>
    <cellStyle name="표준 5 3 2 3 2 3 4 5" xfId="16769" xr:uid="{00000000-0005-0000-0000-0000577A0000}"/>
    <cellStyle name="표준 5 3 2 3 2 3 4 6" xfId="20931" xr:uid="{00000000-0005-0000-0000-0000587A0000}"/>
    <cellStyle name="표준 5 3 2 3 2 3 4 7" xfId="25027" xr:uid="{00000000-0005-0000-0000-0000597A0000}"/>
    <cellStyle name="표준 5 3 2 3 2 3 4 8" xfId="33238" xr:uid="{00000000-0005-0000-0000-00005A7A0000}"/>
    <cellStyle name="표준 5 3 2 3 2 3 4 9" xfId="41431" xr:uid="{00000000-0005-0000-0000-00005B7A0000}"/>
    <cellStyle name="표준 5 3 2 3 2 3 5" xfId="2074" xr:uid="{00000000-0005-0000-0000-00005C7A0000}"/>
    <cellStyle name="표준 5 3 2 3 2 3 5 2" xfId="10977" xr:uid="{00000000-0005-0000-0000-00005D7A0000}"/>
    <cellStyle name="표준 5 3 2 3 2 3 5 2 2" xfId="15089" xr:uid="{00000000-0005-0000-0000-00005E7A0000}"/>
    <cellStyle name="표준 5 3 2 3 2 3 5 2 2 2" xfId="31683" xr:uid="{00000000-0005-0000-0000-00005F7A0000}"/>
    <cellStyle name="표준 5 3 2 3 2 3 5 2 2 3" xfId="39894" xr:uid="{00000000-0005-0000-0000-0000607A0000}"/>
    <cellStyle name="표준 5 3 2 3 2 3 5 2 2 4" xfId="48087" xr:uid="{00000000-0005-0000-0000-0000617A0000}"/>
    <cellStyle name="표준 5 3 2 3 2 3 5 2 3" xfId="19329" xr:uid="{00000000-0005-0000-0000-0000627A0000}"/>
    <cellStyle name="표준 5 3 2 3 2 3 5 2 4" xfId="23491" xr:uid="{00000000-0005-0000-0000-0000637A0000}"/>
    <cellStyle name="표준 5 3 2 3 2 3 5 2 5" xfId="27587" xr:uid="{00000000-0005-0000-0000-0000647A0000}"/>
    <cellStyle name="표준 5 3 2 3 2 3 5 2 6" xfId="35798" xr:uid="{00000000-0005-0000-0000-0000657A0000}"/>
    <cellStyle name="표준 5 3 2 3 2 3 5 2 7" xfId="43991" xr:uid="{00000000-0005-0000-0000-0000667A0000}"/>
    <cellStyle name="표준 5 3 2 3 2 3 5 3" xfId="8929" xr:uid="{00000000-0005-0000-0000-0000677A0000}"/>
    <cellStyle name="표준 5 3 2 3 2 3 5 3 2" xfId="29635" xr:uid="{00000000-0005-0000-0000-0000687A0000}"/>
    <cellStyle name="표준 5 3 2 3 2 3 5 3 3" xfId="37846" xr:uid="{00000000-0005-0000-0000-0000697A0000}"/>
    <cellStyle name="표준 5 3 2 3 2 3 5 3 4" xfId="46039" xr:uid="{00000000-0005-0000-0000-00006A7A0000}"/>
    <cellStyle name="표준 5 3 2 3 2 3 5 4" xfId="13041" xr:uid="{00000000-0005-0000-0000-00006B7A0000}"/>
    <cellStyle name="표준 5 3 2 3 2 3 5 5" xfId="17281" xr:uid="{00000000-0005-0000-0000-00006C7A0000}"/>
    <cellStyle name="표준 5 3 2 3 2 3 5 6" xfId="21443" xr:uid="{00000000-0005-0000-0000-00006D7A0000}"/>
    <cellStyle name="표준 5 3 2 3 2 3 5 7" xfId="25539" xr:uid="{00000000-0005-0000-0000-00006E7A0000}"/>
    <cellStyle name="표준 5 3 2 3 2 3 5 8" xfId="33750" xr:uid="{00000000-0005-0000-0000-00006F7A0000}"/>
    <cellStyle name="표준 5 3 2 3 2 3 5 9" xfId="41943" xr:uid="{00000000-0005-0000-0000-0000707A0000}"/>
    <cellStyle name="표준 5 3 2 3 2 3 6" xfId="9441" xr:uid="{00000000-0005-0000-0000-0000717A0000}"/>
    <cellStyle name="표준 5 3 2 3 2 3 6 2" xfId="13553" xr:uid="{00000000-0005-0000-0000-0000727A0000}"/>
    <cellStyle name="표준 5 3 2 3 2 3 6 2 2" xfId="30147" xr:uid="{00000000-0005-0000-0000-0000737A0000}"/>
    <cellStyle name="표준 5 3 2 3 2 3 6 2 3" xfId="38358" xr:uid="{00000000-0005-0000-0000-0000747A0000}"/>
    <cellStyle name="표준 5 3 2 3 2 3 6 2 4" xfId="46551" xr:uid="{00000000-0005-0000-0000-0000757A0000}"/>
    <cellStyle name="표준 5 3 2 3 2 3 6 3" xfId="17793" xr:uid="{00000000-0005-0000-0000-0000767A0000}"/>
    <cellStyle name="표준 5 3 2 3 2 3 6 4" xfId="21955" xr:uid="{00000000-0005-0000-0000-0000777A0000}"/>
    <cellStyle name="표준 5 3 2 3 2 3 6 5" xfId="26051" xr:uid="{00000000-0005-0000-0000-0000787A0000}"/>
    <cellStyle name="표준 5 3 2 3 2 3 6 6" xfId="34262" xr:uid="{00000000-0005-0000-0000-0000797A0000}"/>
    <cellStyle name="표준 5 3 2 3 2 3 6 7" xfId="42455" xr:uid="{00000000-0005-0000-0000-00007A7A0000}"/>
    <cellStyle name="표준 5 3 2 3 2 3 7" xfId="7393" xr:uid="{00000000-0005-0000-0000-00007B7A0000}"/>
    <cellStyle name="표준 5 3 2 3 2 3 7 2" xfId="28099" xr:uid="{00000000-0005-0000-0000-00007C7A0000}"/>
    <cellStyle name="표준 5 3 2 3 2 3 7 3" xfId="36310" xr:uid="{00000000-0005-0000-0000-00007D7A0000}"/>
    <cellStyle name="표준 5 3 2 3 2 3 7 4" xfId="44503" xr:uid="{00000000-0005-0000-0000-00007E7A0000}"/>
    <cellStyle name="표준 5 3 2 3 2 3 8" xfId="11505" xr:uid="{00000000-0005-0000-0000-00007F7A0000}"/>
    <cellStyle name="표준 5 3 2 3 2 3 9" xfId="15745" xr:uid="{00000000-0005-0000-0000-0000807A0000}"/>
    <cellStyle name="표준 5 3 2 3 2 4" xfId="666" xr:uid="{00000000-0005-0000-0000-0000817A0000}"/>
    <cellStyle name="표준 5 3 2 3 2 4 10" xfId="24131" xr:uid="{00000000-0005-0000-0000-0000827A0000}"/>
    <cellStyle name="표준 5 3 2 3 2 4 11" xfId="32342" xr:uid="{00000000-0005-0000-0000-0000837A0000}"/>
    <cellStyle name="표준 5 3 2 3 2 4 12" xfId="40535" xr:uid="{00000000-0005-0000-0000-0000847A0000}"/>
    <cellStyle name="표준 5 3 2 3 2 4 2" xfId="1178" xr:uid="{00000000-0005-0000-0000-0000857A0000}"/>
    <cellStyle name="표준 5 3 2 3 2 4 2 2" xfId="10081" xr:uid="{00000000-0005-0000-0000-0000867A0000}"/>
    <cellStyle name="표준 5 3 2 3 2 4 2 2 2" xfId="14193" xr:uid="{00000000-0005-0000-0000-0000877A0000}"/>
    <cellStyle name="표준 5 3 2 3 2 4 2 2 2 2" xfId="30787" xr:uid="{00000000-0005-0000-0000-0000887A0000}"/>
    <cellStyle name="표준 5 3 2 3 2 4 2 2 2 3" xfId="38998" xr:uid="{00000000-0005-0000-0000-0000897A0000}"/>
    <cellStyle name="표준 5 3 2 3 2 4 2 2 2 4" xfId="47191" xr:uid="{00000000-0005-0000-0000-00008A7A0000}"/>
    <cellStyle name="표준 5 3 2 3 2 4 2 2 3" xfId="18433" xr:uid="{00000000-0005-0000-0000-00008B7A0000}"/>
    <cellStyle name="표준 5 3 2 3 2 4 2 2 4" xfId="22595" xr:uid="{00000000-0005-0000-0000-00008C7A0000}"/>
    <cellStyle name="표준 5 3 2 3 2 4 2 2 5" xfId="26691" xr:uid="{00000000-0005-0000-0000-00008D7A0000}"/>
    <cellStyle name="표준 5 3 2 3 2 4 2 2 6" xfId="34902" xr:uid="{00000000-0005-0000-0000-00008E7A0000}"/>
    <cellStyle name="표준 5 3 2 3 2 4 2 2 7" xfId="43095" xr:uid="{00000000-0005-0000-0000-00008F7A0000}"/>
    <cellStyle name="표준 5 3 2 3 2 4 2 3" xfId="8033" xr:uid="{00000000-0005-0000-0000-0000907A0000}"/>
    <cellStyle name="표준 5 3 2 3 2 4 2 3 2" xfId="28739" xr:uid="{00000000-0005-0000-0000-0000917A0000}"/>
    <cellStyle name="표준 5 3 2 3 2 4 2 3 3" xfId="36950" xr:uid="{00000000-0005-0000-0000-0000927A0000}"/>
    <cellStyle name="표준 5 3 2 3 2 4 2 3 4" xfId="45143" xr:uid="{00000000-0005-0000-0000-0000937A0000}"/>
    <cellStyle name="표준 5 3 2 3 2 4 2 4" xfId="12145" xr:uid="{00000000-0005-0000-0000-0000947A0000}"/>
    <cellStyle name="표준 5 3 2 3 2 4 2 5" xfId="16385" xr:uid="{00000000-0005-0000-0000-0000957A0000}"/>
    <cellStyle name="표준 5 3 2 3 2 4 2 6" xfId="20547" xr:uid="{00000000-0005-0000-0000-0000967A0000}"/>
    <cellStyle name="표준 5 3 2 3 2 4 2 7" xfId="24643" xr:uid="{00000000-0005-0000-0000-0000977A0000}"/>
    <cellStyle name="표준 5 3 2 3 2 4 2 8" xfId="32854" xr:uid="{00000000-0005-0000-0000-0000987A0000}"/>
    <cellStyle name="표준 5 3 2 3 2 4 2 9" xfId="41047" xr:uid="{00000000-0005-0000-0000-0000997A0000}"/>
    <cellStyle name="표준 5 3 2 3 2 4 3" xfId="1690" xr:uid="{00000000-0005-0000-0000-00009A7A0000}"/>
    <cellStyle name="표준 5 3 2 3 2 4 3 2" xfId="10593" xr:uid="{00000000-0005-0000-0000-00009B7A0000}"/>
    <cellStyle name="표준 5 3 2 3 2 4 3 2 2" xfId="14705" xr:uid="{00000000-0005-0000-0000-00009C7A0000}"/>
    <cellStyle name="표준 5 3 2 3 2 4 3 2 2 2" xfId="31299" xr:uid="{00000000-0005-0000-0000-00009D7A0000}"/>
    <cellStyle name="표준 5 3 2 3 2 4 3 2 2 3" xfId="39510" xr:uid="{00000000-0005-0000-0000-00009E7A0000}"/>
    <cellStyle name="표준 5 3 2 3 2 4 3 2 2 4" xfId="47703" xr:uid="{00000000-0005-0000-0000-00009F7A0000}"/>
    <cellStyle name="표준 5 3 2 3 2 4 3 2 3" xfId="18945" xr:uid="{00000000-0005-0000-0000-0000A07A0000}"/>
    <cellStyle name="표준 5 3 2 3 2 4 3 2 4" xfId="23107" xr:uid="{00000000-0005-0000-0000-0000A17A0000}"/>
    <cellStyle name="표준 5 3 2 3 2 4 3 2 5" xfId="27203" xr:uid="{00000000-0005-0000-0000-0000A27A0000}"/>
    <cellStyle name="표준 5 3 2 3 2 4 3 2 6" xfId="35414" xr:uid="{00000000-0005-0000-0000-0000A37A0000}"/>
    <cellStyle name="표준 5 3 2 3 2 4 3 2 7" xfId="43607" xr:uid="{00000000-0005-0000-0000-0000A47A0000}"/>
    <cellStyle name="표준 5 3 2 3 2 4 3 3" xfId="8545" xr:uid="{00000000-0005-0000-0000-0000A57A0000}"/>
    <cellStyle name="표준 5 3 2 3 2 4 3 3 2" xfId="29251" xr:uid="{00000000-0005-0000-0000-0000A67A0000}"/>
    <cellStyle name="표준 5 3 2 3 2 4 3 3 3" xfId="37462" xr:uid="{00000000-0005-0000-0000-0000A77A0000}"/>
    <cellStyle name="표준 5 3 2 3 2 4 3 3 4" xfId="45655" xr:uid="{00000000-0005-0000-0000-0000A87A0000}"/>
    <cellStyle name="표준 5 3 2 3 2 4 3 4" xfId="12657" xr:uid="{00000000-0005-0000-0000-0000A97A0000}"/>
    <cellStyle name="표준 5 3 2 3 2 4 3 5" xfId="16897" xr:uid="{00000000-0005-0000-0000-0000AA7A0000}"/>
    <cellStyle name="표준 5 3 2 3 2 4 3 6" xfId="21059" xr:uid="{00000000-0005-0000-0000-0000AB7A0000}"/>
    <cellStyle name="표준 5 3 2 3 2 4 3 7" xfId="25155" xr:uid="{00000000-0005-0000-0000-0000AC7A0000}"/>
    <cellStyle name="표준 5 3 2 3 2 4 3 8" xfId="33366" xr:uid="{00000000-0005-0000-0000-0000AD7A0000}"/>
    <cellStyle name="표준 5 3 2 3 2 4 3 9" xfId="41559" xr:uid="{00000000-0005-0000-0000-0000AE7A0000}"/>
    <cellStyle name="표준 5 3 2 3 2 4 4" xfId="2202" xr:uid="{00000000-0005-0000-0000-0000AF7A0000}"/>
    <cellStyle name="표준 5 3 2 3 2 4 4 2" xfId="11105" xr:uid="{00000000-0005-0000-0000-0000B07A0000}"/>
    <cellStyle name="표준 5 3 2 3 2 4 4 2 2" xfId="15217" xr:uid="{00000000-0005-0000-0000-0000B17A0000}"/>
    <cellStyle name="표준 5 3 2 3 2 4 4 2 2 2" xfId="31811" xr:uid="{00000000-0005-0000-0000-0000B27A0000}"/>
    <cellStyle name="표준 5 3 2 3 2 4 4 2 2 3" xfId="40022" xr:uid="{00000000-0005-0000-0000-0000B37A0000}"/>
    <cellStyle name="표준 5 3 2 3 2 4 4 2 2 4" xfId="48215" xr:uid="{00000000-0005-0000-0000-0000B47A0000}"/>
    <cellStyle name="표준 5 3 2 3 2 4 4 2 3" xfId="19457" xr:uid="{00000000-0005-0000-0000-0000B57A0000}"/>
    <cellStyle name="표준 5 3 2 3 2 4 4 2 4" xfId="23619" xr:uid="{00000000-0005-0000-0000-0000B67A0000}"/>
    <cellStyle name="표준 5 3 2 3 2 4 4 2 5" xfId="27715" xr:uid="{00000000-0005-0000-0000-0000B77A0000}"/>
    <cellStyle name="표준 5 3 2 3 2 4 4 2 6" xfId="35926" xr:uid="{00000000-0005-0000-0000-0000B87A0000}"/>
    <cellStyle name="표준 5 3 2 3 2 4 4 2 7" xfId="44119" xr:uid="{00000000-0005-0000-0000-0000B97A0000}"/>
    <cellStyle name="표준 5 3 2 3 2 4 4 3" xfId="9057" xr:uid="{00000000-0005-0000-0000-0000BA7A0000}"/>
    <cellStyle name="표준 5 3 2 3 2 4 4 3 2" xfId="29763" xr:uid="{00000000-0005-0000-0000-0000BB7A0000}"/>
    <cellStyle name="표준 5 3 2 3 2 4 4 3 3" xfId="37974" xr:uid="{00000000-0005-0000-0000-0000BC7A0000}"/>
    <cellStyle name="표준 5 3 2 3 2 4 4 3 4" xfId="46167" xr:uid="{00000000-0005-0000-0000-0000BD7A0000}"/>
    <cellStyle name="표준 5 3 2 3 2 4 4 4" xfId="13169" xr:uid="{00000000-0005-0000-0000-0000BE7A0000}"/>
    <cellStyle name="표준 5 3 2 3 2 4 4 5" xfId="17409" xr:uid="{00000000-0005-0000-0000-0000BF7A0000}"/>
    <cellStyle name="표준 5 3 2 3 2 4 4 6" xfId="21571" xr:uid="{00000000-0005-0000-0000-0000C07A0000}"/>
    <cellStyle name="표준 5 3 2 3 2 4 4 7" xfId="25667" xr:uid="{00000000-0005-0000-0000-0000C17A0000}"/>
    <cellStyle name="표준 5 3 2 3 2 4 4 8" xfId="33878" xr:uid="{00000000-0005-0000-0000-0000C27A0000}"/>
    <cellStyle name="표준 5 3 2 3 2 4 4 9" xfId="42071" xr:uid="{00000000-0005-0000-0000-0000C37A0000}"/>
    <cellStyle name="표준 5 3 2 3 2 4 5" xfId="9569" xr:uid="{00000000-0005-0000-0000-0000C47A0000}"/>
    <cellStyle name="표준 5 3 2 3 2 4 5 2" xfId="13681" xr:uid="{00000000-0005-0000-0000-0000C57A0000}"/>
    <cellStyle name="표준 5 3 2 3 2 4 5 2 2" xfId="30275" xr:uid="{00000000-0005-0000-0000-0000C67A0000}"/>
    <cellStyle name="표준 5 3 2 3 2 4 5 2 3" xfId="38486" xr:uid="{00000000-0005-0000-0000-0000C77A0000}"/>
    <cellStyle name="표준 5 3 2 3 2 4 5 2 4" xfId="46679" xr:uid="{00000000-0005-0000-0000-0000C87A0000}"/>
    <cellStyle name="표준 5 3 2 3 2 4 5 3" xfId="17921" xr:uid="{00000000-0005-0000-0000-0000C97A0000}"/>
    <cellStyle name="표준 5 3 2 3 2 4 5 4" xfId="22083" xr:uid="{00000000-0005-0000-0000-0000CA7A0000}"/>
    <cellStyle name="표준 5 3 2 3 2 4 5 5" xfId="26179" xr:uid="{00000000-0005-0000-0000-0000CB7A0000}"/>
    <cellStyle name="표준 5 3 2 3 2 4 5 6" xfId="34390" xr:uid="{00000000-0005-0000-0000-0000CC7A0000}"/>
    <cellStyle name="표준 5 3 2 3 2 4 5 7" xfId="42583" xr:uid="{00000000-0005-0000-0000-0000CD7A0000}"/>
    <cellStyle name="표준 5 3 2 3 2 4 6" xfId="7521" xr:uid="{00000000-0005-0000-0000-0000CE7A0000}"/>
    <cellStyle name="표준 5 3 2 3 2 4 6 2" xfId="28227" xr:uid="{00000000-0005-0000-0000-0000CF7A0000}"/>
    <cellStyle name="표준 5 3 2 3 2 4 6 3" xfId="36438" xr:uid="{00000000-0005-0000-0000-0000D07A0000}"/>
    <cellStyle name="표준 5 3 2 3 2 4 6 4" xfId="44631" xr:uid="{00000000-0005-0000-0000-0000D17A0000}"/>
    <cellStyle name="표준 5 3 2 3 2 4 7" xfId="11633" xr:uid="{00000000-0005-0000-0000-0000D27A0000}"/>
    <cellStyle name="표준 5 3 2 3 2 4 8" xfId="15873" xr:uid="{00000000-0005-0000-0000-0000D37A0000}"/>
    <cellStyle name="표준 5 3 2 3 2 4 9" xfId="20035" xr:uid="{00000000-0005-0000-0000-0000D47A0000}"/>
    <cellStyle name="표준 5 3 2 3 2 5" xfId="922" xr:uid="{00000000-0005-0000-0000-0000D57A0000}"/>
    <cellStyle name="표준 5 3 2 3 2 5 2" xfId="9825" xr:uid="{00000000-0005-0000-0000-0000D67A0000}"/>
    <cellStyle name="표준 5 3 2 3 2 5 2 2" xfId="13937" xr:uid="{00000000-0005-0000-0000-0000D77A0000}"/>
    <cellStyle name="표준 5 3 2 3 2 5 2 2 2" xfId="30531" xr:uid="{00000000-0005-0000-0000-0000D87A0000}"/>
    <cellStyle name="표준 5 3 2 3 2 5 2 2 3" xfId="38742" xr:uid="{00000000-0005-0000-0000-0000D97A0000}"/>
    <cellStyle name="표준 5 3 2 3 2 5 2 2 4" xfId="46935" xr:uid="{00000000-0005-0000-0000-0000DA7A0000}"/>
    <cellStyle name="표준 5 3 2 3 2 5 2 3" xfId="18177" xr:uid="{00000000-0005-0000-0000-0000DB7A0000}"/>
    <cellStyle name="표준 5 3 2 3 2 5 2 4" xfId="22339" xr:uid="{00000000-0005-0000-0000-0000DC7A0000}"/>
    <cellStyle name="표준 5 3 2 3 2 5 2 5" xfId="26435" xr:uid="{00000000-0005-0000-0000-0000DD7A0000}"/>
    <cellStyle name="표준 5 3 2 3 2 5 2 6" xfId="34646" xr:uid="{00000000-0005-0000-0000-0000DE7A0000}"/>
    <cellStyle name="표준 5 3 2 3 2 5 2 7" xfId="42839" xr:uid="{00000000-0005-0000-0000-0000DF7A0000}"/>
    <cellStyle name="표준 5 3 2 3 2 5 3" xfId="7777" xr:uid="{00000000-0005-0000-0000-0000E07A0000}"/>
    <cellStyle name="표준 5 3 2 3 2 5 3 2" xfId="28483" xr:uid="{00000000-0005-0000-0000-0000E17A0000}"/>
    <cellStyle name="표준 5 3 2 3 2 5 3 3" xfId="36694" xr:uid="{00000000-0005-0000-0000-0000E27A0000}"/>
    <cellStyle name="표준 5 3 2 3 2 5 3 4" xfId="44887" xr:uid="{00000000-0005-0000-0000-0000E37A0000}"/>
    <cellStyle name="표준 5 3 2 3 2 5 4" xfId="11889" xr:uid="{00000000-0005-0000-0000-0000E47A0000}"/>
    <cellStyle name="표준 5 3 2 3 2 5 5" xfId="16129" xr:uid="{00000000-0005-0000-0000-0000E57A0000}"/>
    <cellStyle name="표준 5 3 2 3 2 5 6" xfId="20291" xr:uid="{00000000-0005-0000-0000-0000E67A0000}"/>
    <cellStyle name="표준 5 3 2 3 2 5 7" xfId="24387" xr:uid="{00000000-0005-0000-0000-0000E77A0000}"/>
    <cellStyle name="표준 5 3 2 3 2 5 8" xfId="32598" xr:uid="{00000000-0005-0000-0000-0000E87A0000}"/>
    <cellStyle name="표준 5 3 2 3 2 5 9" xfId="40791" xr:uid="{00000000-0005-0000-0000-0000E97A0000}"/>
    <cellStyle name="표준 5 3 2 3 2 6" xfId="1434" xr:uid="{00000000-0005-0000-0000-0000EA7A0000}"/>
    <cellStyle name="표준 5 3 2 3 2 6 2" xfId="10337" xr:uid="{00000000-0005-0000-0000-0000EB7A0000}"/>
    <cellStyle name="표준 5 3 2 3 2 6 2 2" xfId="14449" xr:uid="{00000000-0005-0000-0000-0000EC7A0000}"/>
    <cellStyle name="표준 5 3 2 3 2 6 2 2 2" xfId="31043" xr:uid="{00000000-0005-0000-0000-0000ED7A0000}"/>
    <cellStyle name="표준 5 3 2 3 2 6 2 2 3" xfId="39254" xr:uid="{00000000-0005-0000-0000-0000EE7A0000}"/>
    <cellStyle name="표준 5 3 2 3 2 6 2 2 4" xfId="47447" xr:uid="{00000000-0005-0000-0000-0000EF7A0000}"/>
    <cellStyle name="표준 5 3 2 3 2 6 2 3" xfId="18689" xr:uid="{00000000-0005-0000-0000-0000F07A0000}"/>
    <cellStyle name="표준 5 3 2 3 2 6 2 4" xfId="22851" xr:uid="{00000000-0005-0000-0000-0000F17A0000}"/>
    <cellStyle name="표준 5 3 2 3 2 6 2 5" xfId="26947" xr:uid="{00000000-0005-0000-0000-0000F27A0000}"/>
    <cellStyle name="표준 5 3 2 3 2 6 2 6" xfId="35158" xr:uid="{00000000-0005-0000-0000-0000F37A0000}"/>
    <cellStyle name="표준 5 3 2 3 2 6 2 7" xfId="43351" xr:uid="{00000000-0005-0000-0000-0000F47A0000}"/>
    <cellStyle name="표준 5 3 2 3 2 6 3" xfId="8289" xr:uid="{00000000-0005-0000-0000-0000F57A0000}"/>
    <cellStyle name="표준 5 3 2 3 2 6 3 2" xfId="28995" xr:uid="{00000000-0005-0000-0000-0000F67A0000}"/>
    <cellStyle name="표준 5 3 2 3 2 6 3 3" xfId="37206" xr:uid="{00000000-0005-0000-0000-0000F77A0000}"/>
    <cellStyle name="표준 5 3 2 3 2 6 3 4" xfId="45399" xr:uid="{00000000-0005-0000-0000-0000F87A0000}"/>
    <cellStyle name="표준 5 3 2 3 2 6 4" xfId="12401" xr:uid="{00000000-0005-0000-0000-0000F97A0000}"/>
    <cellStyle name="표준 5 3 2 3 2 6 5" xfId="16641" xr:uid="{00000000-0005-0000-0000-0000FA7A0000}"/>
    <cellStyle name="표준 5 3 2 3 2 6 6" xfId="20803" xr:uid="{00000000-0005-0000-0000-0000FB7A0000}"/>
    <cellStyle name="표준 5 3 2 3 2 6 7" xfId="24899" xr:uid="{00000000-0005-0000-0000-0000FC7A0000}"/>
    <cellStyle name="표준 5 3 2 3 2 6 8" xfId="33110" xr:uid="{00000000-0005-0000-0000-0000FD7A0000}"/>
    <cellStyle name="표준 5 3 2 3 2 6 9" xfId="41303" xr:uid="{00000000-0005-0000-0000-0000FE7A0000}"/>
    <cellStyle name="표준 5 3 2 3 2 7" xfId="1946" xr:uid="{00000000-0005-0000-0000-0000FF7A0000}"/>
    <cellStyle name="표준 5 3 2 3 2 7 2" xfId="10849" xr:uid="{00000000-0005-0000-0000-0000007B0000}"/>
    <cellStyle name="표준 5 3 2 3 2 7 2 2" xfId="14961" xr:uid="{00000000-0005-0000-0000-0000017B0000}"/>
    <cellStyle name="표준 5 3 2 3 2 7 2 2 2" xfId="31555" xr:uid="{00000000-0005-0000-0000-0000027B0000}"/>
    <cellStyle name="표준 5 3 2 3 2 7 2 2 3" xfId="39766" xr:uid="{00000000-0005-0000-0000-0000037B0000}"/>
    <cellStyle name="표준 5 3 2 3 2 7 2 2 4" xfId="47959" xr:uid="{00000000-0005-0000-0000-0000047B0000}"/>
    <cellStyle name="표준 5 3 2 3 2 7 2 3" xfId="19201" xr:uid="{00000000-0005-0000-0000-0000057B0000}"/>
    <cellStyle name="표준 5 3 2 3 2 7 2 4" xfId="23363" xr:uid="{00000000-0005-0000-0000-0000067B0000}"/>
    <cellStyle name="표준 5 3 2 3 2 7 2 5" xfId="27459" xr:uid="{00000000-0005-0000-0000-0000077B0000}"/>
    <cellStyle name="표준 5 3 2 3 2 7 2 6" xfId="35670" xr:uid="{00000000-0005-0000-0000-0000087B0000}"/>
    <cellStyle name="표준 5 3 2 3 2 7 2 7" xfId="43863" xr:uid="{00000000-0005-0000-0000-0000097B0000}"/>
    <cellStyle name="표준 5 3 2 3 2 7 3" xfId="8801" xr:uid="{00000000-0005-0000-0000-00000A7B0000}"/>
    <cellStyle name="표준 5 3 2 3 2 7 3 2" xfId="29507" xr:uid="{00000000-0005-0000-0000-00000B7B0000}"/>
    <cellStyle name="표준 5 3 2 3 2 7 3 3" xfId="37718" xr:uid="{00000000-0005-0000-0000-00000C7B0000}"/>
    <cellStyle name="표준 5 3 2 3 2 7 3 4" xfId="45911" xr:uid="{00000000-0005-0000-0000-00000D7B0000}"/>
    <cellStyle name="표준 5 3 2 3 2 7 4" xfId="12913" xr:uid="{00000000-0005-0000-0000-00000E7B0000}"/>
    <cellStyle name="표준 5 3 2 3 2 7 5" xfId="17153" xr:uid="{00000000-0005-0000-0000-00000F7B0000}"/>
    <cellStyle name="표준 5 3 2 3 2 7 6" xfId="21315" xr:uid="{00000000-0005-0000-0000-0000107B0000}"/>
    <cellStyle name="표준 5 3 2 3 2 7 7" xfId="25411" xr:uid="{00000000-0005-0000-0000-0000117B0000}"/>
    <cellStyle name="표준 5 3 2 3 2 7 8" xfId="33622" xr:uid="{00000000-0005-0000-0000-0000127B0000}"/>
    <cellStyle name="표준 5 3 2 3 2 7 9" xfId="41815" xr:uid="{00000000-0005-0000-0000-0000137B0000}"/>
    <cellStyle name="표준 5 3 2 3 2 8" xfId="7038" xr:uid="{00000000-0005-0000-0000-0000147B0000}"/>
    <cellStyle name="표준 5 3 2 3 2 8 2" xfId="9313" xr:uid="{00000000-0005-0000-0000-0000157B0000}"/>
    <cellStyle name="표준 5 3 2 3 2 8 2 2" xfId="30019" xr:uid="{00000000-0005-0000-0000-0000167B0000}"/>
    <cellStyle name="표준 5 3 2 3 2 8 2 3" xfId="38230" xr:uid="{00000000-0005-0000-0000-0000177B0000}"/>
    <cellStyle name="표준 5 3 2 3 2 8 2 4" xfId="46423" xr:uid="{00000000-0005-0000-0000-0000187B0000}"/>
    <cellStyle name="표준 5 3 2 3 2 8 3" xfId="13425" xr:uid="{00000000-0005-0000-0000-0000197B0000}"/>
    <cellStyle name="표준 5 3 2 3 2 8 4" xfId="17665" xr:uid="{00000000-0005-0000-0000-00001A7B0000}"/>
    <cellStyle name="표준 5 3 2 3 2 8 5" xfId="21827" xr:uid="{00000000-0005-0000-0000-00001B7B0000}"/>
    <cellStyle name="표준 5 3 2 3 2 8 6" xfId="25923" xr:uid="{00000000-0005-0000-0000-00001C7B0000}"/>
    <cellStyle name="표준 5 3 2 3 2 8 7" xfId="34134" xr:uid="{00000000-0005-0000-0000-00001D7B0000}"/>
    <cellStyle name="표준 5 3 2 3 2 8 8" xfId="42327" xr:uid="{00000000-0005-0000-0000-00001E7B0000}"/>
    <cellStyle name="표준 5 3 2 3 2 9" xfId="7140" xr:uid="{00000000-0005-0000-0000-00001F7B0000}"/>
    <cellStyle name="표준 5 3 2 3 2 9 2" xfId="27971" xr:uid="{00000000-0005-0000-0000-0000207B0000}"/>
    <cellStyle name="표준 5 3 2 3 2 9 3" xfId="36182" xr:uid="{00000000-0005-0000-0000-0000217B0000}"/>
    <cellStyle name="표준 5 3 2 3 2 9 4" xfId="44375" xr:uid="{00000000-0005-0000-0000-0000227B0000}"/>
    <cellStyle name="표준 5 3 2 3 3" xfId="442" xr:uid="{00000000-0005-0000-0000-0000237B0000}"/>
    <cellStyle name="표준 5 3 2 3 3 10" xfId="15649" xr:uid="{00000000-0005-0000-0000-0000247B0000}"/>
    <cellStyle name="표준 5 3 2 3 3 11" xfId="19811" xr:uid="{00000000-0005-0000-0000-0000257B0000}"/>
    <cellStyle name="표준 5 3 2 3 3 12" xfId="23907" xr:uid="{00000000-0005-0000-0000-0000267B0000}"/>
    <cellStyle name="표준 5 3 2 3 3 13" xfId="32118" xr:uid="{00000000-0005-0000-0000-0000277B0000}"/>
    <cellStyle name="표준 5 3 2 3 3 14" xfId="40311" xr:uid="{00000000-0005-0000-0000-0000287B0000}"/>
    <cellStyle name="표준 5 3 2 3 3 2" xfId="570" xr:uid="{00000000-0005-0000-0000-0000297B0000}"/>
    <cellStyle name="표준 5 3 2 3 3 2 10" xfId="19939" xr:uid="{00000000-0005-0000-0000-00002A7B0000}"/>
    <cellStyle name="표준 5 3 2 3 3 2 11" xfId="24035" xr:uid="{00000000-0005-0000-0000-00002B7B0000}"/>
    <cellStyle name="표준 5 3 2 3 3 2 12" xfId="32246" xr:uid="{00000000-0005-0000-0000-00002C7B0000}"/>
    <cellStyle name="표준 5 3 2 3 3 2 13" xfId="40439" xr:uid="{00000000-0005-0000-0000-00002D7B0000}"/>
    <cellStyle name="표준 5 3 2 3 3 2 2" xfId="826" xr:uid="{00000000-0005-0000-0000-00002E7B0000}"/>
    <cellStyle name="표준 5 3 2 3 3 2 2 10" xfId="24291" xr:uid="{00000000-0005-0000-0000-00002F7B0000}"/>
    <cellStyle name="표준 5 3 2 3 3 2 2 11" xfId="32502" xr:uid="{00000000-0005-0000-0000-0000307B0000}"/>
    <cellStyle name="표준 5 3 2 3 3 2 2 12" xfId="40695" xr:uid="{00000000-0005-0000-0000-0000317B0000}"/>
    <cellStyle name="표준 5 3 2 3 3 2 2 2" xfId="1338" xr:uid="{00000000-0005-0000-0000-0000327B0000}"/>
    <cellStyle name="표준 5 3 2 3 3 2 2 2 2" xfId="10241" xr:uid="{00000000-0005-0000-0000-0000337B0000}"/>
    <cellStyle name="표준 5 3 2 3 3 2 2 2 2 2" xfId="14353" xr:uid="{00000000-0005-0000-0000-0000347B0000}"/>
    <cellStyle name="표준 5 3 2 3 3 2 2 2 2 2 2" xfId="30947" xr:uid="{00000000-0005-0000-0000-0000357B0000}"/>
    <cellStyle name="표준 5 3 2 3 3 2 2 2 2 2 3" xfId="39158" xr:uid="{00000000-0005-0000-0000-0000367B0000}"/>
    <cellStyle name="표준 5 3 2 3 3 2 2 2 2 2 4" xfId="47351" xr:uid="{00000000-0005-0000-0000-0000377B0000}"/>
    <cellStyle name="표준 5 3 2 3 3 2 2 2 2 3" xfId="18593" xr:uid="{00000000-0005-0000-0000-0000387B0000}"/>
    <cellStyle name="표준 5 3 2 3 3 2 2 2 2 4" xfId="22755" xr:uid="{00000000-0005-0000-0000-0000397B0000}"/>
    <cellStyle name="표준 5 3 2 3 3 2 2 2 2 5" xfId="26851" xr:uid="{00000000-0005-0000-0000-00003A7B0000}"/>
    <cellStyle name="표준 5 3 2 3 3 2 2 2 2 6" xfId="35062" xr:uid="{00000000-0005-0000-0000-00003B7B0000}"/>
    <cellStyle name="표준 5 3 2 3 3 2 2 2 2 7" xfId="43255" xr:uid="{00000000-0005-0000-0000-00003C7B0000}"/>
    <cellStyle name="표준 5 3 2 3 3 2 2 2 3" xfId="8193" xr:uid="{00000000-0005-0000-0000-00003D7B0000}"/>
    <cellStyle name="표준 5 3 2 3 3 2 2 2 3 2" xfId="28899" xr:uid="{00000000-0005-0000-0000-00003E7B0000}"/>
    <cellStyle name="표준 5 3 2 3 3 2 2 2 3 3" xfId="37110" xr:uid="{00000000-0005-0000-0000-00003F7B0000}"/>
    <cellStyle name="표준 5 3 2 3 3 2 2 2 3 4" xfId="45303" xr:uid="{00000000-0005-0000-0000-0000407B0000}"/>
    <cellStyle name="표준 5 3 2 3 3 2 2 2 4" xfId="12305" xr:uid="{00000000-0005-0000-0000-0000417B0000}"/>
    <cellStyle name="표준 5 3 2 3 3 2 2 2 5" xfId="16545" xr:uid="{00000000-0005-0000-0000-0000427B0000}"/>
    <cellStyle name="표준 5 3 2 3 3 2 2 2 6" xfId="20707" xr:uid="{00000000-0005-0000-0000-0000437B0000}"/>
    <cellStyle name="표준 5 3 2 3 3 2 2 2 7" xfId="24803" xr:uid="{00000000-0005-0000-0000-0000447B0000}"/>
    <cellStyle name="표준 5 3 2 3 3 2 2 2 8" xfId="33014" xr:uid="{00000000-0005-0000-0000-0000457B0000}"/>
    <cellStyle name="표준 5 3 2 3 3 2 2 2 9" xfId="41207" xr:uid="{00000000-0005-0000-0000-0000467B0000}"/>
    <cellStyle name="표준 5 3 2 3 3 2 2 3" xfId="1850" xr:uid="{00000000-0005-0000-0000-0000477B0000}"/>
    <cellStyle name="표준 5 3 2 3 3 2 2 3 2" xfId="10753" xr:uid="{00000000-0005-0000-0000-0000487B0000}"/>
    <cellStyle name="표준 5 3 2 3 3 2 2 3 2 2" xfId="14865" xr:uid="{00000000-0005-0000-0000-0000497B0000}"/>
    <cellStyle name="표준 5 3 2 3 3 2 2 3 2 2 2" xfId="31459" xr:uid="{00000000-0005-0000-0000-00004A7B0000}"/>
    <cellStyle name="표준 5 3 2 3 3 2 2 3 2 2 3" xfId="39670" xr:uid="{00000000-0005-0000-0000-00004B7B0000}"/>
    <cellStyle name="표준 5 3 2 3 3 2 2 3 2 2 4" xfId="47863" xr:uid="{00000000-0005-0000-0000-00004C7B0000}"/>
    <cellStyle name="표준 5 3 2 3 3 2 2 3 2 3" xfId="19105" xr:uid="{00000000-0005-0000-0000-00004D7B0000}"/>
    <cellStyle name="표준 5 3 2 3 3 2 2 3 2 4" xfId="23267" xr:uid="{00000000-0005-0000-0000-00004E7B0000}"/>
    <cellStyle name="표준 5 3 2 3 3 2 2 3 2 5" xfId="27363" xr:uid="{00000000-0005-0000-0000-00004F7B0000}"/>
    <cellStyle name="표준 5 3 2 3 3 2 2 3 2 6" xfId="35574" xr:uid="{00000000-0005-0000-0000-0000507B0000}"/>
    <cellStyle name="표준 5 3 2 3 3 2 2 3 2 7" xfId="43767" xr:uid="{00000000-0005-0000-0000-0000517B0000}"/>
    <cellStyle name="표준 5 3 2 3 3 2 2 3 3" xfId="8705" xr:uid="{00000000-0005-0000-0000-0000527B0000}"/>
    <cellStyle name="표준 5 3 2 3 3 2 2 3 3 2" xfId="29411" xr:uid="{00000000-0005-0000-0000-0000537B0000}"/>
    <cellStyle name="표준 5 3 2 3 3 2 2 3 3 3" xfId="37622" xr:uid="{00000000-0005-0000-0000-0000547B0000}"/>
    <cellStyle name="표준 5 3 2 3 3 2 2 3 3 4" xfId="45815" xr:uid="{00000000-0005-0000-0000-0000557B0000}"/>
    <cellStyle name="표준 5 3 2 3 3 2 2 3 4" xfId="12817" xr:uid="{00000000-0005-0000-0000-0000567B0000}"/>
    <cellStyle name="표준 5 3 2 3 3 2 2 3 5" xfId="17057" xr:uid="{00000000-0005-0000-0000-0000577B0000}"/>
    <cellStyle name="표준 5 3 2 3 3 2 2 3 6" xfId="21219" xr:uid="{00000000-0005-0000-0000-0000587B0000}"/>
    <cellStyle name="표준 5 3 2 3 3 2 2 3 7" xfId="25315" xr:uid="{00000000-0005-0000-0000-0000597B0000}"/>
    <cellStyle name="표준 5 3 2 3 3 2 2 3 8" xfId="33526" xr:uid="{00000000-0005-0000-0000-00005A7B0000}"/>
    <cellStyle name="표준 5 3 2 3 3 2 2 3 9" xfId="41719" xr:uid="{00000000-0005-0000-0000-00005B7B0000}"/>
    <cellStyle name="표준 5 3 2 3 3 2 2 4" xfId="2362" xr:uid="{00000000-0005-0000-0000-00005C7B0000}"/>
    <cellStyle name="표준 5 3 2 3 3 2 2 4 2" xfId="11265" xr:uid="{00000000-0005-0000-0000-00005D7B0000}"/>
    <cellStyle name="표준 5 3 2 3 3 2 2 4 2 2" xfId="15377" xr:uid="{00000000-0005-0000-0000-00005E7B0000}"/>
    <cellStyle name="표준 5 3 2 3 3 2 2 4 2 2 2" xfId="31971" xr:uid="{00000000-0005-0000-0000-00005F7B0000}"/>
    <cellStyle name="표준 5 3 2 3 3 2 2 4 2 2 3" xfId="40182" xr:uid="{00000000-0005-0000-0000-0000607B0000}"/>
    <cellStyle name="표준 5 3 2 3 3 2 2 4 2 2 4" xfId="48375" xr:uid="{00000000-0005-0000-0000-0000617B0000}"/>
    <cellStyle name="표준 5 3 2 3 3 2 2 4 2 3" xfId="19617" xr:uid="{00000000-0005-0000-0000-0000627B0000}"/>
    <cellStyle name="표준 5 3 2 3 3 2 2 4 2 4" xfId="23779" xr:uid="{00000000-0005-0000-0000-0000637B0000}"/>
    <cellStyle name="표준 5 3 2 3 3 2 2 4 2 5" xfId="27875" xr:uid="{00000000-0005-0000-0000-0000647B0000}"/>
    <cellStyle name="표준 5 3 2 3 3 2 2 4 2 6" xfId="36086" xr:uid="{00000000-0005-0000-0000-0000657B0000}"/>
    <cellStyle name="표준 5 3 2 3 3 2 2 4 2 7" xfId="44279" xr:uid="{00000000-0005-0000-0000-0000667B0000}"/>
    <cellStyle name="표준 5 3 2 3 3 2 2 4 3" xfId="9217" xr:uid="{00000000-0005-0000-0000-0000677B0000}"/>
    <cellStyle name="표준 5 3 2 3 3 2 2 4 3 2" xfId="29923" xr:uid="{00000000-0005-0000-0000-0000687B0000}"/>
    <cellStyle name="표준 5 3 2 3 3 2 2 4 3 3" xfId="38134" xr:uid="{00000000-0005-0000-0000-0000697B0000}"/>
    <cellStyle name="표준 5 3 2 3 3 2 2 4 3 4" xfId="46327" xr:uid="{00000000-0005-0000-0000-00006A7B0000}"/>
    <cellStyle name="표준 5 3 2 3 3 2 2 4 4" xfId="13329" xr:uid="{00000000-0005-0000-0000-00006B7B0000}"/>
    <cellStyle name="표준 5 3 2 3 3 2 2 4 5" xfId="17569" xr:uid="{00000000-0005-0000-0000-00006C7B0000}"/>
    <cellStyle name="표준 5 3 2 3 3 2 2 4 6" xfId="21731" xr:uid="{00000000-0005-0000-0000-00006D7B0000}"/>
    <cellStyle name="표준 5 3 2 3 3 2 2 4 7" xfId="25827" xr:uid="{00000000-0005-0000-0000-00006E7B0000}"/>
    <cellStyle name="표준 5 3 2 3 3 2 2 4 8" xfId="34038" xr:uid="{00000000-0005-0000-0000-00006F7B0000}"/>
    <cellStyle name="표준 5 3 2 3 3 2 2 4 9" xfId="42231" xr:uid="{00000000-0005-0000-0000-0000707B0000}"/>
    <cellStyle name="표준 5 3 2 3 3 2 2 5" xfId="9729" xr:uid="{00000000-0005-0000-0000-0000717B0000}"/>
    <cellStyle name="표준 5 3 2 3 3 2 2 5 2" xfId="13841" xr:uid="{00000000-0005-0000-0000-0000727B0000}"/>
    <cellStyle name="표준 5 3 2 3 3 2 2 5 2 2" xfId="30435" xr:uid="{00000000-0005-0000-0000-0000737B0000}"/>
    <cellStyle name="표준 5 3 2 3 3 2 2 5 2 3" xfId="38646" xr:uid="{00000000-0005-0000-0000-0000747B0000}"/>
    <cellStyle name="표준 5 3 2 3 3 2 2 5 2 4" xfId="46839" xr:uid="{00000000-0005-0000-0000-0000757B0000}"/>
    <cellStyle name="표준 5 3 2 3 3 2 2 5 3" xfId="18081" xr:uid="{00000000-0005-0000-0000-0000767B0000}"/>
    <cellStyle name="표준 5 3 2 3 3 2 2 5 4" xfId="22243" xr:uid="{00000000-0005-0000-0000-0000777B0000}"/>
    <cellStyle name="표준 5 3 2 3 3 2 2 5 5" xfId="26339" xr:uid="{00000000-0005-0000-0000-0000787B0000}"/>
    <cellStyle name="표준 5 3 2 3 3 2 2 5 6" xfId="34550" xr:uid="{00000000-0005-0000-0000-0000797B0000}"/>
    <cellStyle name="표준 5 3 2 3 3 2 2 5 7" xfId="42743" xr:uid="{00000000-0005-0000-0000-00007A7B0000}"/>
    <cellStyle name="표준 5 3 2 3 3 2 2 6" xfId="7681" xr:uid="{00000000-0005-0000-0000-00007B7B0000}"/>
    <cellStyle name="표준 5 3 2 3 3 2 2 6 2" xfId="28387" xr:uid="{00000000-0005-0000-0000-00007C7B0000}"/>
    <cellStyle name="표준 5 3 2 3 3 2 2 6 3" xfId="36598" xr:uid="{00000000-0005-0000-0000-00007D7B0000}"/>
    <cellStyle name="표준 5 3 2 3 3 2 2 6 4" xfId="44791" xr:uid="{00000000-0005-0000-0000-00007E7B0000}"/>
    <cellStyle name="표준 5 3 2 3 3 2 2 7" xfId="11793" xr:uid="{00000000-0005-0000-0000-00007F7B0000}"/>
    <cellStyle name="표준 5 3 2 3 3 2 2 8" xfId="16033" xr:uid="{00000000-0005-0000-0000-0000807B0000}"/>
    <cellStyle name="표준 5 3 2 3 3 2 2 9" xfId="20195" xr:uid="{00000000-0005-0000-0000-0000817B0000}"/>
    <cellStyle name="표준 5 3 2 3 3 2 3" xfId="1082" xr:uid="{00000000-0005-0000-0000-0000827B0000}"/>
    <cellStyle name="표준 5 3 2 3 3 2 3 2" xfId="9985" xr:uid="{00000000-0005-0000-0000-0000837B0000}"/>
    <cellStyle name="표준 5 3 2 3 3 2 3 2 2" xfId="14097" xr:uid="{00000000-0005-0000-0000-0000847B0000}"/>
    <cellStyle name="표준 5 3 2 3 3 2 3 2 2 2" xfId="30691" xr:uid="{00000000-0005-0000-0000-0000857B0000}"/>
    <cellStyle name="표준 5 3 2 3 3 2 3 2 2 3" xfId="38902" xr:uid="{00000000-0005-0000-0000-0000867B0000}"/>
    <cellStyle name="표준 5 3 2 3 3 2 3 2 2 4" xfId="47095" xr:uid="{00000000-0005-0000-0000-0000877B0000}"/>
    <cellStyle name="표준 5 3 2 3 3 2 3 2 3" xfId="18337" xr:uid="{00000000-0005-0000-0000-0000887B0000}"/>
    <cellStyle name="표준 5 3 2 3 3 2 3 2 4" xfId="22499" xr:uid="{00000000-0005-0000-0000-0000897B0000}"/>
    <cellStyle name="표준 5 3 2 3 3 2 3 2 5" xfId="26595" xr:uid="{00000000-0005-0000-0000-00008A7B0000}"/>
    <cellStyle name="표준 5 3 2 3 3 2 3 2 6" xfId="34806" xr:uid="{00000000-0005-0000-0000-00008B7B0000}"/>
    <cellStyle name="표준 5 3 2 3 3 2 3 2 7" xfId="42999" xr:uid="{00000000-0005-0000-0000-00008C7B0000}"/>
    <cellStyle name="표준 5 3 2 3 3 2 3 3" xfId="7937" xr:uid="{00000000-0005-0000-0000-00008D7B0000}"/>
    <cellStyle name="표준 5 3 2 3 3 2 3 3 2" xfId="28643" xr:uid="{00000000-0005-0000-0000-00008E7B0000}"/>
    <cellStyle name="표준 5 3 2 3 3 2 3 3 3" xfId="36854" xr:uid="{00000000-0005-0000-0000-00008F7B0000}"/>
    <cellStyle name="표준 5 3 2 3 3 2 3 3 4" xfId="45047" xr:uid="{00000000-0005-0000-0000-0000907B0000}"/>
    <cellStyle name="표준 5 3 2 3 3 2 3 4" xfId="12049" xr:uid="{00000000-0005-0000-0000-0000917B0000}"/>
    <cellStyle name="표준 5 3 2 3 3 2 3 5" xfId="16289" xr:uid="{00000000-0005-0000-0000-0000927B0000}"/>
    <cellStyle name="표준 5 3 2 3 3 2 3 6" xfId="20451" xr:uid="{00000000-0005-0000-0000-0000937B0000}"/>
    <cellStyle name="표준 5 3 2 3 3 2 3 7" xfId="24547" xr:uid="{00000000-0005-0000-0000-0000947B0000}"/>
    <cellStyle name="표준 5 3 2 3 3 2 3 8" xfId="32758" xr:uid="{00000000-0005-0000-0000-0000957B0000}"/>
    <cellStyle name="표준 5 3 2 3 3 2 3 9" xfId="40951" xr:uid="{00000000-0005-0000-0000-0000967B0000}"/>
    <cellStyle name="표준 5 3 2 3 3 2 4" xfId="1594" xr:uid="{00000000-0005-0000-0000-0000977B0000}"/>
    <cellStyle name="표준 5 3 2 3 3 2 4 2" xfId="10497" xr:uid="{00000000-0005-0000-0000-0000987B0000}"/>
    <cellStyle name="표준 5 3 2 3 3 2 4 2 2" xfId="14609" xr:uid="{00000000-0005-0000-0000-0000997B0000}"/>
    <cellStyle name="표준 5 3 2 3 3 2 4 2 2 2" xfId="31203" xr:uid="{00000000-0005-0000-0000-00009A7B0000}"/>
    <cellStyle name="표준 5 3 2 3 3 2 4 2 2 3" xfId="39414" xr:uid="{00000000-0005-0000-0000-00009B7B0000}"/>
    <cellStyle name="표준 5 3 2 3 3 2 4 2 2 4" xfId="47607" xr:uid="{00000000-0005-0000-0000-00009C7B0000}"/>
    <cellStyle name="표준 5 3 2 3 3 2 4 2 3" xfId="18849" xr:uid="{00000000-0005-0000-0000-00009D7B0000}"/>
    <cellStyle name="표준 5 3 2 3 3 2 4 2 4" xfId="23011" xr:uid="{00000000-0005-0000-0000-00009E7B0000}"/>
    <cellStyle name="표준 5 3 2 3 3 2 4 2 5" xfId="27107" xr:uid="{00000000-0005-0000-0000-00009F7B0000}"/>
    <cellStyle name="표준 5 3 2 3 3 2 4 2 6" xfId="35318" xr:uid="{00000000-0005-0000-0000-0000A07B0000}"/>
    <cellStyle name="표준 5 3 2 3 3 2 4 2 7" xfId="43511" xr:uid="{00000000-0005-0000-0000-0000A17B0000}"/>
    <cellStyle name="표준 5 3 2 3 3 2 4 3" xfId="8449" xr:uid="{00000000-0005-0000-0000-0000A27B0000}"/>
    <cellStyle name="표준 5 3 2 3 3 2 4 3 2" xfId="29155" xr:uid="{00000000-0005-0000-0000-0000A37B0000}"/>
    <cellStyle name="표준 5 3 2 3 3 2 4 3 3" xfId="37366" xr:uid="{00000000-0005-0000-0000-0000A47B0000}"/>
    <cellStyle name="표준 5 3 2 3 3 2 4 3 4" xfId="45559" xr:uid="{00000000-0005-0000-0000-0000A57B0000}"/>
    <cellStyle name="표준 5 3 2 3 3 2 4 4" xfId="12561" xr:uid="{00000000-0005-0000-0000-0000A67B0000}"/>
    <cellStyle name="표준 5 3 2 3 3 2 4 5" xfId="16801" xr:uid="{00000000-0005-0000-0000-0000A77B0000}"/>
    <cellStyle name="표준 5 3 2 3 3 2 4 6" xfId="20963" xr:uid="{00000000-0005-0000-0000-0000A87B0000}"/>
    <cellStyle name="표준 5 3 2 3 3 2 4 7" xfId="25059" xr:uid="{00000000-0005-0000-0000-0000A97B0000}"/>
    <cellStyle name="표준 5 3 2 3 3 2 4 8" xfId="33270" xr:uid="{00000000-0005-0000-0000-0000AA7B0000}"/>
    <cellStyle name="표준 5 3 2 3 3 2 4 9" xfId="41463" xr:uid="{00000000-0005-0000-0000-0000AB7B0000}"/>
    <cellStyle name="표준 5 3 2 3 3 2 5" xfId="2106" xr:uid="{00000000-0005-0000-0000-0000AC7B0000}"/>
    <cellStyle name="표준 5 3 2 3 3 2 5 2" xfId="11009" xr:uid="{00000000-0005-0000-0000-0000AD7B0000}"/>
    <cellStyle name="표준 5 3 2 3 3 2 5 2 2" xfId="15121" xr:uid="{00000000-0005-0000-0000-0000AE7B0000}"/>
    <cellStyle name="표준 5 3 2 3 3 2 5 2 2 2" xfId="31715" xr:uid="{00000000-0005-0000-0000-0000AF7B0000}"/>
    <cellStyle name="표준 5 3 2 3 3 2 5 2 2 3" xfId="39926" xr:uid="{00000000-0005-0000-0000-0000B07B0000}"/>
    <cellStyle name="표준 5 3 2 3 3 2 5 2 2 4" xfId="48119" xr:uid="{00000000-0005-0000-0000-0000B17B0000}"/>
    <cellStyle name="표준 5 3 2 3 3 2 5 2 3" xfId="19361" xr:uid="{00000000-0005-0000-0000-0000B27B0000}"/>
    <cellStyle name="표준 5 3 2 3 3 2 5 2 4" xfId="23523" xr:uid="{00000000-0005-0000-0000-0000B37B0000}"/>
    <cellStyle name="표준 5 3 2 3 3 2 5 2 5" xfId="27619" xr:uid="{00000000-0005-0000-0000-0000B47B0000}"/>
    <cellStyle name="표준 5 3 2 3 3 2 5 2 6" xfId="35830" xr:uid="{00000000-0005-0000-0000-0000B57B0000}"/>
    <cellStyle name="표준 5 3 2 3 3 2 5 2 7" xfId="44023" xr:uid="{00000000-0005-0000-0000-0000B67B0000}"/>
    <cellStyle name="표준 5 3 2 3 3 2 5 3" xfId="8961" xr:uid="{00000000-0005-0000-0000-0000B77B0000}"/>
    <cellStyle name="표준 5 3 2 3 3 2 5 3 2" xfId="29667" xr:uid="{00000000-0005-0000-0000-0000B87B0000}"/>
    <cellStyle name="표준 5 3 2 3 3 2 5 3 3" xfId="37878" xr:uid="{00000000-0005-0000-0000-0000B97B0000}"/>
    <cellStyle name="표준 5 3 2 3 3 2 5 3 4" xfId="46071" xr:uid="{00000000-0005-0000-0000-0000BA7B0000}"/>
    <cellStyle name="표준 5 3 2 3 3 2 5 4" xfId="13073" xr:uid="{00000000-0005-0000-0000-0000BB7B0000}"/>
    <cellStyle name="표준 5 3 2 3 3 2 5 5" xfId="17313" xr:uid="{00000000-0005-0000-0000-0000BC7B0000}"/>
    <cellStyle name="표준 5 3 2 3 3 2 5 6" xfId="21475" xr:uid="{00000000-0005-0000-0000-0000BD7B0000}"/>
    <cellStyle name="표준 5 3 2 3 3 2 5 7" xfId="25571" xr:uid="{00000000-0005-0000-0000-0000BE7B0000}"/>
    <cellStyle name="표준 5 3 2 3 3 2 5 8" xfId="33782" xr:uid="{00000000-0005-0000-0000-0000BF7B0000}"/>
    <cellStyle name="표준 5 3 2 3 3 2 5 9" xfId="41975" xr:uid="{00000000-0005-0000-0000-0000C07B0000}"/>
    <cellStyle name="표준 5 3 2 3 3 2 6" xfId="9473" xr:uid="{00000000-0005-0000-0000-0000C17B0000}"/>
    <cellStyle name="표준 5 3 2 3 3 2 6 2" xfId="13585" xr:uid="{00000000-0005-0000-0000-0000C27B0000}"/>
    <cellStyle name="표준 5 3 2 3 3 2 6 2 2" xfId="30179" xr:uid="{00000000-0005-0000-0000-0000C37B0000}"/>
    <cellStyle name="표준 5 3 2 3 3 2 6 2 3" xfId="38390" xr:uid="{00000000-0005-0000-0000-0000C47B0000}"/>
    <cellStyle name="표준 5 3 2 3 3 2 6 2 4" xfId="46583" xr:uid="{00000000-0005-0000-0000-0000C57B0000}"/>
    <cellStyle name="표준 5 3 2 3 3 2 6 3" xfId="17825" xr:uid="{00000000-0005-0000-0000-0000C67B0000}"/>
    <cellStyle name="표준 5 3 2 3 3 2 6 4" xfId="21987" xr:uid="{00000000-0005-0000-0000-0000C77B0000}"/>
    <cellStyle name="표준 5 3 2 3 3 2 6 5" xfId="26083" xr:uid="{00000000-0005-0000-0000-0000C87B0000}"/>
    <cellStyle name="표준 5 3 2 3 3 2 6 6" xfId="34294" xr:uid="{00000000-0005-0000-0000-0000C97B0000}"/>
    <cellStyle name="표준 5 3 2 3 3 2 6 7" xfId="42487" xr:uid="{00000000-0005-0000-0000-0000CA7B0000}"/>
    <cellStyle name="표준 5 3 2 3 3 2 7" xfId="7425" xr:uid="{00000000-0005-0000-0000-0000CB7B0000}"/>
    <cellStyle name="표준 5 3 2 3 3 2 7 2" xfId="28131" xr:uid="{00000000-0005-0000-0000-0000CC7B0000}"/>
    <cellStyle name="표준 5 3 2 3 3 2 7 3" xfId="36342" xr:uid="{00000000-0005-0000-0000-0000CD7B0000}"/>
    <cellStyle name="표준 5 3 2 3 3 2 7 4" xfId="44535" xr:uid="{00000000-0005-0000-0000-0000CE7B0000}"/>
    <cellStyle name="표준 5 3 2 3 3 2 8" xfId="11537" xr:uid="{00000000-0005-0000-0000-0000CF7B0000}"/>
    <cellStyle name="표준 5 3 2 3 3 2 9" xfId="15777" xr:uid="{00000000-0005-0000-0000-0000D07B0000}"/>
    <cellStyle name="표준 5 3 2 3 3 3" xfId="698" xr:uid="{00000000-0005-0000-0000-0000D17B0000}"/>
    <cellStyle name="표준 5 3 2 3 3 3 10" xfId="24163" xr:uid="{00000000-0005-0000-0000-0000D27B0000}"/>
    <cellStyle name="표준 5 3 2 3 3 3 11" xfId="32374" xr:uid="{00000000-0005-0000-0000-0000D37B0000}"/>
    <cellStyle name="표준 5 3 2 3 3 3 12" xfId="40567" xr:uid="{00000000-0005-0000-0000-0000D47B0000}"/>
    <cellStyle name="표준 5 3 2 3 3 3 2" xfId="1210" xr:uid="{00000000-0005-0000-0000-0000D57B0000}"/>
    <cellStyle name="표준 5 3 2 3 3 3 2 2" xfId="10113" xr:uid="{00000000-0005-0000-0000-0000D67B0000}"/>
    <cellStyle name="표준 5 3 2 3 3 3 2 2 2" xfId="14225" xr:uid="{00000000-0005-0000-0000-0000D77B0000}"/>
    <cellStyle name="표준 5 3 2 3 3 3 2 2 2 2" xfId="30819" xr:uid="{00000000-0005-0000-0000-0000D87B0000}"/>
    <cellStyle name="표준 5 3 2 3 3 3 2 2 2 3" xfId="39030" xr:uid="{00000000-0005-0000-0000-0000D97B0000}"/>
    <cellStyle name="표준 5 3 2 3 3 3 2 2 2 4" xfId="47223" xr:uid="{00000000-0005-0000-0000-0000DA7B0000}"/>
    <cellStyle name="표준 5 3 2 3 3 3 2 2 3" xfId="18465" xr:uid="{00000000-0005-0000-0000-0000DB7B0000}"/>
    <cellStyle name="표준 5 3 2 3 3 3 2 2 4" xfId="22627" xr:uid="{00000000-0005-0000-0000-0000DC7B0000}"/>
    <cellStyle name="표준 5 3 2 3 3 3 2 2 5" xfId="26723" xr:uid="{00000000-0005-0000-0000-0000DD7B0000}"/>
    <cellStyle name="표준 5 3 2 3 3 3 2 2 6" xfId="34934" xr:uid="{00000000-0005-0000-0000-0000DE7B0000}"/>
    <cellStyle name="표준 5 3 2 3 3 3 2 2 7" xfId="43127" xr:uid="{00000000-0005-0000-0000-0000DF7B0000}"/>
    <cellStyle name="표준 5 3 2 3 3 3 2 3" xfId="8065" xr:uid="{00000000-0005-0000-0000-0000E07B0000}"/>
    <cellStyle name="표준 5 3 2 3 3 3 2 3 2" xfId="28771" xr:uid="{00000000-0005-0000-0000-0000E17B0000}"/>
    <cellStyle name="표준 5 3 2 3 3 3 2 3 3" xfId="36982" xr:uid="{00000000-0005-0000-0000-0000E27B0000}"/>
    <cellStyle name="표준 5 3 2 3 3 3 2 3 4" xfId="45175" xr:uid="{00000000-0005-0000-0000-0000E37B0000}"/>
    <cellStyle name="표준 5 3 2 3 3 3 2 4" xfId="12177" xr:uid="{00000000-0005-0000-0000-0000E47B0000}"/>
    <cellStyle name="표준 5 3 2 3 3 3 2 5" xfId="16417" xr:uid="{00000000-0005-0000-0000-0000E57B0000}"/>
    <cellStyle name="표준 5 3 2 3 3 3 2 6" xfId="20579" xr:uid="{00000000-0005-0000-0000-0000E67B0000}"/>
    <cellStyle name="표준 5 3 2 3 3 3 2 7" xfId="24675" xr:uid="{00000000-0005-0000-0000-0000E77B0000}"/>
    <cellStyle name="표준 5 3 2 3 3 3 2 8" xfId="32886" xr:uid="{00000000-0005-0000-0000-0000E87B0000}"/>
    <cellStyle name="표준 5 3 2 3 3 3 2 9" xfId="41079" xr:uid="{00000000-0005-0000-0000-0000E97B0000}"/>
    <cellStyle name="표준 5 3 2 3 3 3 3" xfId="1722" xr:uid="{00000000-0005-0000-0000-0000EA7B0000}"/>
    <cellStyle name="표준 5 3 2 3 3 3 3 2" xfId="10625" xr:uid="{00000000-0005-0000-0000-0000EB7B0000}"/>
    <cellStyle name="표준 5 3 2 3 3 3 3 2 2" xfId="14737" xr:uid="{00000000-0005-0000-0000-0000EC7B0000}"/>
    <cellStyle name="표준 5 3 2 3 3 3 3 2 2 2" xfId="31331" xr:uid="{00000000-0005-0000-0000-0000ED7B0000}"/>
    <cellStyle name="표준 5 3 2 3 3 3 3 2 2 3" xfId="39542" xr:uid="{00000000-0005-0000-0000-0000EE7B0000}"/>
    <cellStyle name="표준 5 3 2 3 3 3 3 2 2 4" xfId="47735" xr:uid="{00000000-0005-0000-0000-0000EF7B0000}"/>
    <cellStyle name="표준 5 3 2 3 3 3 3 2 3" xfId="18977" xr:uid="{00000000-0005-0000-0000-0000F07B0000}"/>
    <cellStyle name="표준 5 3 2 3 3 3 3 2 4" xfId="23139" xr:uid="{00000000-0005-0000-0000-0000F17B0000}"/>
    <cellStyle name="표준 5 3 2 3 3 3 3 2 5" xfId="27235" xr:uid="{00000000-0005-0000-0000-0000F27B0000}"/>
    <cellStyle name="표준 5 3 2 3 3 3 3 2 6" xfId="35446" xr:uid="{00000000-0005-0000-0000-0000F37B0000}"/>
    <cellStyle name="표준 5 3 2 3 3 3 3 2 7" xfId="43639" xr:uid="{00000000-0005-0000-0000-0000F47B0000}"/>
    <cellStyle name="표준 5 3 2 3 3 3 3 3" xfId="8577" xr:uid="{00000000-0005-0000-0000-0000F57B0000}"/>
    <cellStyle name="표준 5 3 2 3 3 3 3 3 2" xfId="29283" xr:uid="{00000000-0005-0000-0000-0000F67B0000}"/>
    <cellStyle name="표준 5 3 2 3 3 3 3 3 3" xfId="37494" xr:uid="{00000000-0005-0000-0000-0000F77B0000}"/>
    <cellStyle name="표준 5 3 2 3 3 3 3 3 4" xfId="45687" xr:uid="{00000000-0005-0000-0000-0000F87B0000}"/>
    <cellStyle name="표준 5 3 2 3 3 3 3 4" xfId="12689" xr:uid="{00000000-0005-0000-0000-0000F97B0000}"/>
    <cellStyle name="표준 5 3 2 3 3 3 3 5" xfId="16929" xr:uid="{00000000-0005-0000-0000-0000FA7B0000}"/>
    <cellStyle name="표준 5 3 2 3 3 3 3 6" xfId="21091" xr:uid="{00000000-0005-0000-0000-0000FB7B0000}"/>
    <cellStyle name="표준 5 3 2 3 3 3 3 7" xfId="25187" xr:uid="{00000000-0005-0000-0000-0000FC7B0000}"/>
    <cellStyle name="표준 5 3 2 3 3 3 3 8" xfId="33398" xr:uid="{00000000-0005-0000-0000-0000FD7B0000}"/>
    <cellStyle name="표준 5 3 2 3 3 3 3 9" xfId="41591" xr:uid="{00000000-0005-0000-0000-0000FE7B0000}"/>
    <cellStyle name="표준 5 3 2 3 3 3 4" xfId="2234" xr:uid="{00000000-0005-0000-0000-0000FF7B0000}"/>
    <cellStyle name="표준 5 3 2 3 3 3 4 2" xfId="11137" xr:uid="{00000000-0005-0000-0000-0000007C0000}"/>
    <cellStyle name="표준 5 3 2 3 3 3 4 2 2" xfId="15249" xr:uid="{00000000-0005-0000-0000-0000017C0000}"/>
    <cellStyle name="표준 5 3 2 3 3 3 4 2 2 2" xfId="31843" xr:uid="{00000000-0005-0000-0000-0000027C0000}"/>
    <cellStyle name="표준 5 3 2 3 3 3 4 2 2 3" xfId="40054" xr:uid="{00000000-0005-0000-0000-0000037C0000}"/>
    <cellStyle name="표준 5 3 2 3 3 3 4 2 2 4" xfId="48247" xr:uid="{00000000-0005-0000-0000-0000047C0000}"/>
    <cellStyle name="표준 5 3 2 3 3 3 4 2 3" xfId="19489" xr:uid="{00000000-0005-0000-0000-0000057C0000}"/>
    <cellStyle name="표준 5 3 2 3 3 3 4 2 4" xfId="23651" xr:uid="{00000000-0005-0000-0000-0000067C0000}"/>
    <cellStyle name="표준 5 3 2 3 3 3 4 2 5" xfId="27747" xr:uid="{00000000-0005-0000-0000-0000077C0000}"/>
    <cellStyle name="표준 5 3 2 3 3 3 4 2 6" xfId="35958" xr:uid="{00000000-0005-0000-0000-0000087C0000}"/>
    <cellStyle name="표준 5 3 2 3 3 3 4 2 7" xfId="44151" xr:uid="{00000000-0005-0000-0000-0000097C0000}"/>
    <cellStyle name="표준 5 3 2 3 3 3 4 3" xfId="9089" xr:uid="{00000000-0005-0000-0000-00000A7C0000}"/>
    <cellStyle name="표준 5 3 2 3 3 3 4 3 2" xfId="29795" xr:uid="{00000000-0005-0000-0000-00000B7C0000}"/>
    <cellStyle name="표준 5 3 2 3 3 3 4 3 3" xfId="38006" xr:uid="{00000000-0005-0000-0000-00000C7C0000}"/>
    <cellStyle name="표준 5 3 2 3 3 3 4 3 4" xfId="46199" xr:uid="{00000000-0005-0000-0000-00000D7C0000}"/>
    <cellStyle name="표준 5 3 2 3 3 3 4 4" xfId="13201" xr:uid="{00000000-0005-0000-0000-00000E7C0000}"/>
    <cellStyle name="표준 5 3 2 3 3 3 4 5" xfId="17441" xr:uid="{00000000-0005-0000-0000-00000F7C0000}"/>
    <cellStyle name="표준 5 3 2 3 3 3 4 6" xfId="21603" xr:uid="{00000000-0005-0000-0000-0000107C0000}"/>
    <cellStyle name="표준 5 3 2 3 3 3 4 7" xfId="25699" xr:uid="{00000000-0005-0000-0000-0000117C0000}"/>
    <cellStyle name="표준 5 3 2 3 3 3 4 8" xfId="33910" xr:uid="{00000000-0005-0000-0000-0000127C0000}"/>
    <cellStyle name="표준 5 3 2 3 3 3 4 9" xfId="42103" xr:uid="{00000000-0005-0000-0000-0000137C0000}"/>
    <cellStyle name="표준 5 3 2 3 3 3 5" xfId="9601" xr:uid="{00000000-0005-0000-0000-0000147C0000}"/>
    <cellStyle name="표준 5 3 2 3 3 3 5 2" xfId="13713" xr:uid="{00000000-0005-0000-0000-0000157C0000}"/>
    <cellStyle name="표준 5 3 2 3 3 3 5 2 2" xfId="30307" xr:uid="{00000000-0005-0000-0000-0000167C0000}"/>
    <cellStyle name="표준 5 3 2 3 3 3 5 2 3" xfId="38518" xr:uid="{00000000-0005-0000-0000-0000177C0000}"/>
    <cellStyle name="표준 5 3 2 3 3 3 5 2 4" xfId="46711" xr:uid="{00000000-0005-0000-0000-0000187C0000}"/>
    <cellStyle name="표준 5 3 2 3 3 3 5 3" xfId="17953" xr:uid="{00000000-0005-0000-0000-0000197C0000}"/>
    <cellStyle name="표준 5 3 2 3 3 3 5 4" xfId="22115" xr:uid="{00000000-0005-0000-0000-00001A7C0000}"/>
    <cellStyle name="표준 5 3 2 3 3 3 5 5" xfId="26211" xr:uid="{00000000-0005-0000-0000-00001B7C0000}"/>
    <cellStyle name="표준 5 3 2 3 3 3 5 6" xfId="34422" xr:uid="{00000000-0005-0000-0000-00001C7C0000}"/>
    <cellStyle name="표준 5 3 2 3 3 3 5 7" xfId="42615" xr:uid="{00000000-0005-0000-0000-00001D7C0000}"/>
    <cellStyle name="표준 5 3 2 3 3 3 6" xfId="7553" xr:uid="{00000000-0005-0000-0000-00001E7C0000}"/>
    <cellStyle name="표준 5 3 2 3 3 3 6 2" xfId="28259" xr:uid="{00000000-0005-0000-0000-00001F7C0000}"/>
    <cellStyle name="표준 5 3 2 3 3 3 6 3" xfId="36470" xr:uid="{00000000-0005-0000-0000-0000207C0000}"/>
    <cellStyle name="표준 5 3 2 3 3 3 6 4" xfId="44663" xr:uid="{00000000-0005-0000-0000-0000217C0000}"/>
    <cellStyle name="표준 5 3 2 3 3 3 7" xfId="11665" xr:uid="{00000000-0005-0000-0000-0000227C0000}"/>
    <cellStyle name="표준 5 3 2 3 3 3 8" xfId="15905" xr:uid="{00000000-0005-0000-0000-0000237C0000}"/>
    <cellStyle name="표준 5 3 2 3 3 3 9" xfId="20067" xr:uid="{00000000-0005-0000-0000-0000247C0000}"/>
    <cellStyle name="표준 5 3 2 3 3 4" xfId="954" xr:uid="{00000000-0005-0000-0000-0000257C0000}"/>
    <cellStyle name="표준 5 3 2 3 3 4 2" xfId="9857" xr:uid="{00000000-0005-0000-0000-0000267C0000}"/>
    <cellStyle name="표준 5 3 2 3 3 4 2 2" xfId="13969" xr:uid="{00000000-0005-0000-0000-0000277C0000}"/>
    <cellStyle name="표준 5 3 2 3 3 4 2 2 2" xfId="30563" xr:uid="{00000000-0005-0000-0000-0000287C0000}"/>
    <cellStyle name="표준 5 3 2 3 3 4 2 2 3" xfId="38774" xr:uid="{00000000-0005-0000-0000-0000297C0000}"/>
    <cellStyle name="표준 5 3 2 3 3 4 2 2 4" xfId="46967" xr:uid="{00000000-0005-0000-0000-00002A7C0000}"/>
    <cellStyle name="표준 5 3 2 3 3 4 2 3" xfId="18209" xr:uid="{00000000-0005-0000-0000-00002B7C0000}"/>
    <cellStyle name="표준 5 3 2 3 3 4 2 4" xfId="22371" xr:uid="{00000000-0005-0000-0000-00002C7C0000}"/>
    <cellStyle name="표준 5 3 2 3 3 4 2 5" xfId="26467" xr:uid="{00000000-0005-0000-0000-00002D7C0000}"/>
    <cellStyle name="표준 5 3 2 3 3 4 2 6" xfId="34678" xr:uid="{00000000-0005-0000-0000-00002E7C0000}"/>
    <cellStyle name="표준 5 3 2 3 3 4 2 7" xfId="42871" xr:uid="{00000000-0005-0000-0000-00002F7C0000}"/>
    <cellStyle name="표준 5 3 2 3 3 4 3" xfId="7809" xr:uid="{00000000-0005-0000-0000-0000307C0000}"/>
    <cellStyle name="표준 5 3 2 3 3 4 3 2" xfId="28515" xr:uid="{00000000-0005-0000-0000-0000317C0000}"/>
    <cellStyle name="표준 5 3 2 3 3 4 3 3" xfId="36726" xr:uid="{00000000-0005-0000-0000-0000327C0000}"/>
    <cellStyle name="표준 5 3 2 3 3 4 3 4" xfId="44919" xr:uid="{00000000-0005-0000-0000-0000337C0000}"/>
    <cellStyle name="표준 5 3 2 3 3 4 4" xfId="11921" xr:uid="{00000000-0005-0000-0000-0000347C0000}"/>
    <cellStyle name="표준 5 3 2 3 3 4 5" xfId="16161" xr:uid="{00000000-0005-0000-0000-0000357C0000}"/>
    <cellStyle name="표준 5 3 2 3 3 4 6" xfId="20323" xr:uid="{00000000-0005-0000-0000-0000367C0000}"/>
    <cellStyle name="표준 5 3 2 3 3 4 7" xfId="24419" xr:uid="{00000000-0005-0000-0000-0000377C0000}"/>
    <cellStyle name="표준 5 3 2 3 3 4 8" xfId="32630" xr:uid="{00000000-0005-0000-0000-0000387C0000}"/>
    <cellStyle name="표준 5 3 2 3 3 4 9" xfId="40823" xr:uid="{00000000-0005-0000-0000-0000397C0000}"/>
    <cellStyle name="표준 5 3 2 3 3 5" xfId="1466" xr:uid="{00000000-0005-0000-0000-00003A7C0000}"/>
    <cellStyle name="표준 5 3 2 3 3 5 2" xfId="10369" xr:uid="{00000000-0005-0000-0000-00003B7C0000}"/>
    <cellStyle name="표준 5 3 2 3 3 5 2 2" xfId="14481" xr:uid="{00000000-0005-0000-0000-00003C7C0000}"/>
    <cellStyle name="표준 5 3 2 3 3 5 2 2 2" xfId="31075" xr:uid="{00000000-0005-0000-0000-00003D7C0000}"/>
    <cellStyle name="표준 5 3 2 3 3 5 2 2 3" xfId="39286" xr:uid="{00000000-0005-0000-0000-00003E7C0000}"/>
    <cellStyle name="표준 5 3 2 3 3 5 2 2 4" xfId="47479" xr:uid="{00000000-0005-0000-0000-00003F7C0000}"/>
    <cellStyle name="표준 5 3 2 3 3 5 2 3" xfId="18721" xr:uid="{00000000-0005-0000-0000-0000407C0000}"/>
    <cellStyle name="표준 5 3 2 3 3 5 2 4" xfId="22883" xr:uid="{00000000-0005-0000-0000-0000417C0000}"/>
    <cellStyle name="표준 5 3 2 3 3 5 2 5" xfId="26979" xr:uid="{00000000-0005-0000-0000-0000427C0000}"/>
    <cellStyle name="표준 5 3 2 3 3 5 2 6" xfId="35190" xr:uid="{00000000-0005-0000-0000-0000437C0000}"/>
    <cellStyle name="표준 5 3 2 3 3 5 2 7" xfId="43383" xr:uid="{00000000-0005-0000-0000-0000447C0000}"/>
    <cellStyle name="표준 5 3 2 3 3 5 3" xfId="8321" xr:uid="{00000000-0005-0000-0000-0000457C0000}"/>
    <cellStyle name="표준 5 3 2 3 3 5 3 2" xfId="29027" xr:uid="{00000000-0005-0000-0000-0000467C0000}"/>
    <cellStyle name="표준 5 3 2 3 3 5 3 3" xfId="37238" xr:uid="{00000000-0005-0000-0000-0000477C0000}"/>
    <cellStyle name="표준 5 3 2 3 3 5 3 4" xfId="45431" xr:uid="{00000000-0005-0000-0000-0000487C0000}"/>
    <cellStyle name="표준 5 3 2 3 3 5 4" xfId="12433" xr:uid="{00000000-0005-0000-0000-0000497C0000}"/>
    <cellStyle name="표준 5 3 2 3 3 5 5" xfId="16673" xr:uid="{00000000-0005-0000-0000-00004A7C0000}"/>
    <cellStyle name="표준 5 3 2 3 3 5 6" xfId="20835" xr:uid="{00000000-0005-0000-0000-00004B7C0000}"/>
    <cellStyle name="표준 5 3 2 3 3 5 7" xfId="24931" xr:uid="{00000000-0005-0000-0000-00004C7C0000}"/>
    <cellStyle name="표준 5 3 2 3 3 5 8" xfId="33142" xr:uid="{00000000-0005-0000-0000-00004D7C0000}"/>
    <cellStyle name="표준 5 3 2 3 3 5 9" xfId="41335" xr:uid="{00000000-0005-0000-0000-00004E7C0000}"/>
    <cellStyle name="표준 5 3 2 3 3 6" xfId="1978" xr:uid="{00000000-0005-0000-0000-00004F7C0000}"/>
    <cellStyle name="표준 5 3 2 3 3 6 2" xfId="10881" xr:uid="{00000000-0005-0000-0000-0000507C0000}"/>
    <cellStyle name="표준 5 3 2 3 3 6 2 2" xfId="14993" xr:uid="{00000000-0005-0000-0000-0000517C0000}"/>
    <cellStyle name="표준 5 3 2 3 3 6 2 2 2" xfId="31587" xr:uid="{00000000-0005-0000-0000-0000527C0000}"/>
    <cellStyle name="표준 5 3 2 3 3 6 2 2 3" xfId="39798" xr:uid="{00000000-0005-0000-0000-0000537C0000}"/>
    <cellStyle name="표준 5 3 2 3 3 6 2 2 4" xfId="47991" xr:uid="{00000000-0005-0000-0000-0000547C0000}"/>
    <cellStyle name="표준 5 3 2 3 3 6 2 3" xfId="19233" xr:uid="{00000000-0005-0000-0000-0000557C0000}"/>
    <cellStyle name="표준 5 3 2 3 3 6 2 4" xfId="23395" xr:uid="{00000000-0005-0000-0000-0000567C0000}"/>
    <cellStyle name="표준 5 3 2 3 3 6 2 5" xfId="27491" xr:uid="{00000000-0005-0000-0000-0000577C0000}"/>
    <cellStyle name="표준 5 3 2 3 3 6 2 6" xfId="35702" xr:uid="{00000000-0005-0000-0000-0000587C0000}"/>
    <cellStyle name="표준 5 3 2 3 3 6 2 7" xfId="43895" xr:uid="{00000000-0005-0000-0000-0000597C0000}"/>
    <cellStyle name="표준 5 3 2 3 3 6 3" xfId="8833" xr:uid="{00000000-0005-0000-0000-00005A7C0000}"/>
    <cellStyle name="표준 5 3 2 3 3 6 3 2" xfId="29539" xr:uid="{00000000-0005-0000-0000-00005B7C0000}"/>
    <cellStyle name="표준 5 3 2 3 3 6 3 3" xfId="37750" xr:uid="{00000000-0005-0000-0000-00005C7C0000}"/>
    <cellStyle name="표준 5 3 2 3 3 6 3 4" xfId="45943" xr:uid="{00000000-0005-0000-0000-00005D7C0000}"/>
    <cellStyle name="표준 5 3 2 3 3 6 4" xfId="12945" xr:uid="{00000000-0005-0000-0000-00005E7C0000}"/>
    <cellStyle name="표준 5 3 2 3 3 6 5" xfId="17185" xr:uid="{00000000-0005-0000-0000-00005F7C0000}"/>
    <cellStyle name="표준 5 3 2 3 3 6 6" xfId="21347" xr:uid="{00000000-0005-0000-0000-0000607C0000}"/>
    <cellStyle name="표준 5 3 2 3 3 6 7" xfId="25443" xr:uid="{00000000-0005-0000-0000-0000617C0000}"/>
    <cellStyle name="표준 5 3 2 3 3 6 8" xfId="33654" xr:uid="{00000000-0005-0000-0000-0000627C0000}"/>
    <cellStyle name="표준 5 3 2 3 3 6 9" xfId="41847" xr:uid="{00000000-0005-0000-0000-0000637C0000}"/>
    <cellStyle name="표준 5 3 2 3 3 7" xfId="9345" xr:uid="{00000000-0005-0000-0000-0000647C0000}"/>
    <cellStyle name="표준 5 3 2 3 3 7 2" xfId="13457" xr:uid="{00000000-0005-0000-0000-0000657C0000}"/>
    <cellStyle name="표준 5 3 2 3 3 7 2 2" xfId="30051" xr:uid="{00000000-0005-0000-0000-0000667C0000}"/>
    <cellStyle name="표준 5 3 2 3 3 7 2 3" xfId="38262" xr:uid="{00000000-0005-0000-0000-0000677C0000}"/>
    <cellStyle name="표준 5 3 2 3 3 7 2 4" xfId="46455" xr:uid="{00000000-0005-0000-0000-0000687C0000}"/>
    <cellStyle name="표준 5 3 2 3 3 7 3" xfId="17697" xr:uid="{00000000-0005-0000-0000-0000697C0000}"/>
    <cellStyle name="표준 5 3 2 3 3 7 4" xfId="21859" xr:uid="{00000000-0005-0000-0000-00006A7C0000}"/>
    <cellStyle name="표준 5 3 2 3 3 7 5" xfId="25955" xr:uid="{00000000-0005-0000-0000-00006B7C0000}"/>
    <cellStyle name="표준 5 3 2 3 3 7 6" xfId="34166" xr:uid="{00000000-0005-0000-0000-00006C7C0000}"/>
    <cellStyle name="표준 5 3 2 3 3 7 7" xfId="42359" xr:uid="{00000000-0005-0000-0000-00006D7C0000}"/>
    <cellStyle name="표준 5 3 2 3 3 8" xfId="7297" xr:uid="{00000000-0005-0000-0000-00006E7C0000}"/>
    <cellStyle name="표준 5 3 2 3 3 8 2" xfId="28003" xr:uid="{00000000-0005-0000-0000-00006F7C0000}"/>
    <cellStyle name="표준 5 3 2 3 3 8 3" xfId="36214" xr:uid="{00000000-0005-0000-0000-0000707C0000}"/>
    <cellStyle name="표준 5 3 2 3 3 8 4" xfId="44407" xr:uid="{00000000-0005-0000-0000-0000717C0000}"/>
    <cellStyle name="표준 5 3 2 3 3 9" xfId="11409" xr:uid="{00000000-0005-0000-0000-0000727C0000}"/>
    <cellStyle name="표준 5 3 2 3 4" xfId="506" xr:uid="{00000000-0005-0000-0000-0000737C0000}"/>
    <cellStyle name="표준 5 3 2 3 4 10" xfId="19875" xr:uid="{00000000-0005-0000-0000-0000747C0000}"/>
    <cellStyle name="표준 5 3 2 3 4 11" xfId="23971" xr:uid="{00000000-0005-0000-0000-0000757C0000}"/>
    <cellStyle name="표준 5 3 2 3 4 12" xfId="32182" xr:uid="{00000000-0005-0000-0000-0000767C0000}"/>
    <cellStyle name="표준 5 3 2 3 4 13" xfId="40375" xr:uid="{00000000-0005-0000-0000-0000777C0000}"/>
    <cellStyle name="표준 5 3 2 3 4 2" xfId="762" xr:uid="{00000000-0005-0000-0000-0000787C0000}"/>
    <cellStyle name="표준 5 3 2 3 4 2 10" xfId="24227" xr:uid="{00000000-0005-0000-0000-0000797C0000}"/>
    <cellStyle name="표준 5 3 2 3 4 2 11" xfId="32438" xr:uid="{00000000-0005-0000-0000-00007A7C0000}"/>
    <cellStyle name="표준 5 3 2 3 4 2 12" xfId="40631" xr:uid="{00000000-0005-0000-0000-00007B7C0000}"/>
    <cellStyle name="표준 5 3 2 3 4 2 2" xfId="1274" xr:uid="{00000000-0005-0000-0000-00007C7C0000}"/>
    <cellStyle name="표준 5 3 2 3 4 2 2 2" xfId="10177" xr:uid="{00000000-0005-0000-0000-00007D7C0000}"/>
    <cellStyle name="표준 5 3 2 3 4 2 2 2 2" xfId="14289" xr:uid="{00000000-0005-0000-0000-00007E7C0000}"/>
    <cellStyle name="표준 5 3 2 3 4 2 2 2 2 2" xfId="30883" xr:uid="{00000000-0005-0000-0000-00007F7C0000}"/>
    <cellStyle name="표준 5 3 2 3 4 2 2 2 2 3" xfId="39094" xr:uid="{00000000-0005-0000-0000-0000807C0000}"/>
    <cellStyle name="표준 5 3 2 3 4 2 2 2 2 4" xfId="47287" xr:uid="{00000000-0005-0000-0000-0000817C0000}"/>
    <cellStyle name="표준 5 3 2 3 4 2 2 2 3" xfId="18529" xr:uid="{00000000-0005-0000-0000-0000827C0000}"/>
    <cellStyle name="표준 5 3 2 3 4 2 2 2 4" xfId="22691" xr:uid="{00000000-0005-0000-0000-0000837C0000}"/>
    <cellStyle name="표준 5 3 2 3 4 2 2 2 5" xfId="26787" xr:uid="{00000000-0005-0000-0000-0000847C0000}"/>
    <cellStyle name="표준 5 3 2 3 4 2 2 2 6" xfId="34998" xr:uid="{00000000-0005-0000-0000-0000857C0000}"/>
    <cellStyle name="표준 5 3 2 3 4 2 2 2 7" xfId="43191" xr:uid="{00000000-0005-0000-0000-0000867C0000}"/>
    <cellStyle name="표준 5 3 2 3 4 2 2 3" xfId="8129" xr:uid="{00000000-0005-0000-0000-0000877C0000}"/>
    <cellStyle name="표준 5 3 2 3 4 2 2 3 2" xfId="28835" xr:uid="{00000000-0005-0000-0000-0000887C0000}"/>
    <cellStyle name="표준 5 3 2 3 4 2 2 3 3" xfId="37046" xr:uid="{00000000-0005-0000-0000-0000897C0000}"/>
    <cellStyle name="표준 5 3 2 3 4 2 2 3 4" xfId="45239" xr:uid="{00000000-0005-0000-0000-00008A7C0000}"/>
    <cellStyle name="표준 5 3 2 3 4 2 2 4" xfId="12241" xr:uid="{00000000-0005-0000-0000-00008B7C0000}"/>
    <cellStyle name="표준 5 3 2 3 4 2 2 5" xfId="16481" xr:uid="{00000000-0005-0000-0000-00008C7C0000}"/>
    <cellStyle name="표준 5 3 2 3 4 2 2 6" xfId="20643" xr:uid="{00000000-0005-0000-0000-00008D7C0000}"/>
    <cellStyle name="표준 5 3 2 3 4 2 2 7" xfId="24739" xr:uid="{00000000-0005-0000-0000-00008E7C0000}"/>
    <cellStyle name="표준 5 3 2 3 4 2 2 8" xfId="32950" xr:uid="{00000000-0005-0000-0000-00008F7C0000}"/>
    <cellStyle name="표준 5 3 2 3 4 2 2 9" xfId="41143" xr:uid="{00000000-0005-0000-0000-0000907C0000}"/>
    <cellStyle name="표준 5 3 2 3 4 2 3" xfId="1786" xr:uid="{00000000-0005-0000-0000-0000917C0000}"/>
    <cellStyle name="표준 5 3 2 3 4 2 3 2" xfId="10689" xr:uid="{00000000-0005-0000-0000-0000927C0000}"/>
    <cellStyle name="표준 5 3 2 3 4 2 3 2 2" xfId="14801" xr:uid="{00000000-0005-0000-0000-0000937C0000}"/>
    <cellStyle name="표준 5 3 2 3 4 2 3 2 2 2" xfId="31395" xr:uid="{00000000-0005-0000-0000-0000947C0000}"/>
    <cellStyle name="표준 5 3 2 3 4 2 3 2 2 3" xfId="39606" xr:uid="{00000000-0005-0000-0000-0000957C0000}"/>
    <cellStyle name="표준 5 3 2 3 4 2 3 2 2 4" xfId="47799" xr:uid="{00000000-0005-0000-0000-0000967C0000}"/>
    <cellStyle name="표준 5 3 2 3 4 2 3 2 3" xfId="19041" xr:uid="{00000000-0005-0000-0000-0000977C0000}"/>
    <cellStyle name="표준 5 3 2 3 4 2 3 2 4" xfId="23203" xr:uid="{00000000-0005-0000-0000-0000987C0000}"/>
    <cellStyle name="표준 5 3 2 3 4 2 3 2 5" xfId="27299" xr:uid="{00000000-0005-0000-0000-0000997C0000}"/>
    <cellStyle name="표준 5 3 2 3 4 2 3 2 6" xfId="35510" xr:uid="{00000000-0005-0000-0000-00009A7C0000}"/>
    <cellStyle name="표준 5 3 2 3 4 2 3 2 7" xfId="43703" xr:uid="{00000000-0005-0000-0000-00009B7C0000}"/>
    <cellStyle name="표준 5 3 2 3 4 2 3 3" xfId="8641" xr:uid="{00000000-0005-0000-0000-00009C7C0000}"/>
    <cellStyle name="표준 5 3 2 3 4 2 3 3 2" xfId="29347" xr:uid="{00000000-0005-0000-0000-00009D7C0000}"/>
    <cellStyle name="표준 5 3 2 3 4 2 3 3 3" xfId="37558" xr:uid="{00000000-0005-0000-0000-00009E7C0000}"/>
    <cellStyle name="표준 5 3 2 3 4 2 3 3 4" xfId="45751" xr:uid="{00000000-0005-0000-0000-00009F7C0000}"/>
    <cellStyle name="표준 5 3 2 3 4 2 3 4" xfId="12753" xr:uid="{00000000-0005-0000-0000-0000A07C0000}"/>
    <cellStyle name="표준 5 3 2 3 4 2 3 5" xfId="16993" xr:uid="{00000000-0005-0000-0000-0000A17C0000}"/>
    <cellStyle name="표준 5 3 2 3 4 2 3 6" xfId="21155" xr:uid="{00000000-0005-0000-0000-0000A27C0000}"/>
    <cellStyle name="표준 5 3 2 3 4 2 3 7" xfId="25251" xr:uid="{00000000-0005-0000-0000-0000A37C0000}"/>
    <cellStyle name="표준 5 3 2 3 4 2 3 8" xfId="33462" xr:uid="{00000000-0005-0000-0000-0000A47C0000}"/>
    <cellStyle name="표준 5 3 2 3 4 2 3 9" xfId="41655" xr:uid="{00000000-0005-0000-0000-0000A57C0000}"/>
    <cellStyle name="표준 5 3 2 3 4 2 4" xfId="2298" xr:uid="{00000000-0005-0000-0000-0000A67C0000}"/>
    <cellStyle name="표준 5 3 2 3 4 2 4 2" xfId="11201" xr:uid="{00000000-0005-0000-0000-0000A77C0000}"/>
    <cellStyle name="표준 5 3 2 3 4 2 4 2 2" xfId="15313" xr:uid="{00000000-0005-0000-0000-0000A87C0000}"/>
    <cellStyle name="표준 5 3 2 3 4 2 4 2 2 2" xfId="31907" xr:uid="{00000000-0005-0000-0000-0000A97C0000}"/>
    <cellStyle name="표준 5 3 2 3 4 2 4 2 2 3" xfId="40118" xr:uid="{00000000-0005-0000-0000-0000AA7C0000}"/>
    <cellStyle name="표준 5 3 2 3 4 2 4 2 2 4" xfId="48311" xr:uid="{00000000-0005-0000-0000-0000AB7C0000}"/>
    <cellStyle name="표준 5 3 2 3 4 2 4 2 3" xfId="19553" xr:uid="{00000000-0005-0000-0000-0000AC7C0000}"/>
    <cellStyle name="표준 5 3 2 3 4 2 4 2 4" xfId="23715" xr:uid="{00000000-0005-0000-0000-0000AD7C0000}"/>
    <cellStyle name="표준 5 3 2 3 4 2 4 2 5" xfId="27811" xr:uid="{00000000-0005-0000-0000-0000AE7C0000}"/>
    <cellStyle name="표준 5 3 2 3 4 2 4 2 6" xfId="36022" xr:uid="{00000000-0005-0000-0000-0000AF7C0000}"/>
    <cellStyle name="표준 5 3 2 3 4 2 4 2 7" xfId="44215" xr:uid="{00000000-0005-0000-0000-0000B07C0000}"/>
    <cellStyle name="표준 5 3 2 3 4 2 4 3" xfId="9153" xr:uid="{00000000-0005-0000-0000-0000B17C0000}"/>
    <cellStyle name="표준 5 3 2 3 4 2 4 3 2" xfId="29859" xr:uid="{00000000-0005-0000-0000-0000B27C0000}"/>
    <cellStyle name="표준 5 3 2 3 4 2 4 3 3" xfId="38070" xr:uid="{00000000-0005-0000-0000-0000B37C0000}"/>
    <cellStyle name="표준 5 3 2 3 4 2 4 3 4" xfId="46263" xr:uid="{00000000-0005-0000-0000-0000B47C0000}"/>
    <cellStyle name="표준 5 3 2 3 4 2 4 4" xfId="13265" xr:uid="{00000000-0005-0000-0000-0000B57C0000}"/>
    <cellStyle name="표준 5 3 2 3 4 2 4 5" xfId="17505" xr:uid="{00000000-0005-0000-0000-0000B67C0000}"/>
    <cellStyle name="표준 5 3 2 3 4 2 4 6" xfId="21667" xr:uid="{00000000-0005-0000-0000-0000B77C0000}"/>
    <cellStyle name="표준 5 3 2 3 4 2 4 7" xfId="25763" xr:uid="{00000000-0005-0000-0000-0000B87C0000}"/>
    <cellStyle name="표준 5 3 2 3 4 2 4 8" xfId="33974" xr:uid="{00000000-0005-0000-0000-0000B97C0000}"/>
    <cellStyle name="표준 5 3 2 3 4 2 4 9" xfId="42167" xr:uid="{00000000-0005-0000-0000-0000BA7C0000}"/>
    <cellStyle name="표준 5 3 2 3 4 2 5" xfId="9665" xr:uid="{00000000-0005-0000-0000-0000BB7C0000}"/>
    <cellStyle name="표준 5 3 2 3 4 2 5 2" xfId="13777" xr:uid="{00000000-0005-0000-0000-0000BC7C0000}"/>
    <cellStyle name="표준 5 3 2 3 4 2 5 2 2" xfId="30371" xr:uid="{00000000-0005-0000-0000-0000BD7C0000}"/>
    <cellStyle name="표준 5 3 2 3 4 2 5 2 3" xfId="38582" xr:uid="{00000000-0005-0000-0000-0000BE7C0000}"/>
    <cellStyle name="표준 5 3 2 3 4 2 5 2 4" xfId="46775" xr:uid="{00000000-0005-0000-0000-0000BF7C0000}"/>
    <cellStyle name="표준 5 3 2 3 4 2 5 3" xfId="18017" xr:uid="{00000000-0005-0000-0000-0000C07C0000}"/>
    <cellStyle name="표준 5 3 2 3 4 2 5 4" xfId="22179" xr:uid="{00000000-0005-0000-0000-0000C17C0000}"/>
    <cellStyle name="표준 5 3 2 3 4 2 5 5" xfId="26275" xr:uid="{00000000-0005-0000-0000-0000C27C0000}"/>
    <cellStyle name="표준 5 3 2 3 4 2 5 6" xfId="34486" xr:uid="{00000000-0005-0000-0000-0000C37C0000}"/>
    <cellStyle name="표준 5 3 2 3 4 2 5 7" xfId="42679" xr:uid="{00000000-0005-0000-0000-0000C47C0000}"/>
    <cellStyle name="표준 5 3 2 3 4 2 6" xfId="7617" xr:uid="{00000000-0005-0000-0000-0000C57C0000}"/>
    <cellStyle name="표준 5 3 2 3 4 2 6 2" xfId="28323" xr:uid="{00000000-0005-0000-0000-0000C67C0000}"/>
    <cellStyle name="표준 5 3 2 3 4 2 6 3" xfId="36534" xr:uid="{00000000-0005-0000-0000-0000C77C0000}"/>
    <cellStyle name="표준 5 3 2 3 4 2 6 4" xfId="44727" xr:uid="{00000000-0005-0000-0000-0000C87C0000}"/>
    <cellStyle name="표준 5 3 2 3 4 2 7" xfId="11729" xr:uid="{00000000-0005-0000-0000-0000C97C0000}"/>
    <cellStyle name="표준 5 3 2 3 4 2 8" xfId="15969" xr:uid="{00000000-0005-0000-0000-0000CA7C0000}"/>
    <cellStyle name="표준 5 3 2 3 4 2 9" xfId="20131" xr:uid="{00000000-0005-0000-0000-0000CB7C0000}"/>
    <cellStyle name="표준 5 3 2 3 4 3" xfId="1018" xr:uid="{00000000-0005-0000-0000-0000CC7C0000}"/>
    <cellStyle name="표준 5 3 2 3 4 3 2" xfId="9921" xr:uid="{00000000-0005-0000-0000-0000CD7C0000}"/>
    <cellStyle name="표준 5 3 2 3 4 3 2 2" xfId="14033" xr:uid="{00000000-0005-0000-0000-0000CE7C0000}"/>
    <cellStyle name="표준 5 3 2 3 4 3 2 2 2" xfId="30627" xr:uid="{00000000-0005-0000-0000-0000CF7C0000}"/>
    <cellStyle name="표준 5 3 2 3 4 3 2 2 3" xfId="38838" xr:uid="{00000000-0005-0000-0000-0000D07C0000}"/>
    <cellStyle name="표준 5 3 2 3 4 3 2 2 4" xfId="47031" xr:uid="{00000000-0005-0000-0000-0000D17C0000}"/>
    <cellStyle name="표준 5 3 2 3 4 3 2 3" xfId="18273" xr:uid="{00000000-0005-0000-0000-0000D27C0000}"/>
    <cellStyle name="표준 5 3 2 3 4 3 2 4" xfId="22435" xr:uid="{00000000-0005-0000-0000-0000D37C0000}"/>
    <cellStyle name="표준 5 3 2 3 4 3 2 5" xfId="26531" xr:uid="{00000000-0005-0000-0000-0000D47C0000}"/>
    <cellStyle name="표준 5 3 2 3 4 3 2 6" xfId="34742" xr:uid="{00000000-0005-0000-0000-0000D57C0000}"/>
    <cellStyle name="표준 5 3 2 3 4 3 2 7" xfId="42935" xr:uid="{00000000-0005-0000-0000-0000D67C0000}"/>
    <cellStyle name="표준 5 3 2 3 4 3 3" xfId="7873" xr:uid="{00000000-0005-0000-0000-0000D77C0000}"/>
    <cellStyle name="표준 5 3 2 3 4 3 3 2" xfId="28579" xr:uid="{00000000-0005-0000-0000-0000D87C0000}"/>
    <cellStyle name="표준 5 3 2 3 4 3 3 3" xfId="36790" xr:uid="{00000000-0005-0000-0000-0000D97C0000}"/>
    <cellStyle name="표준 5 3 2 3 4 3 3 4" xfId="44983" xr:uid="{00000000-0005-0000-0000-0000DA7C0000}"/>
    <cellStyle name="표준 5 3 2 3 4 3 4" xfId="11985" xr:uid="{00000000-0005-0000-0000-0000DB7C0000}"/>
    <cellStyle name="표준 5 3 2 3 4 3 5" xfId="16225" xr:uid="{00000000-0005-0000-0000-0000DC7C0000}"/>
    <cellStyle name="표준 5 3 2 3 4 3 6" xfId="20387" xr:uid="{00000000-0005-0000-0000-0000DD7C0000}"/>
    <cellStyle name="표준 5 3 2 3 4 3 7" xfId="24483" xr:uid="{00000000-0005-0000-0000-0000DE7C0000}"/>
    <cellStyle name="표준 5 3 2 3 4 3 8" xfId="32694" xr:uid="{00000000-0005-0000-0000-0000DF7C0000}"/>
    <cellStyle name="표준 5 3 2 3 4 3 9" xfId="40887" xr:uid="{00000000-0005-0000-0000-0000E07C0000}"/>
    <cellStyle name="표준 5 3 2 3 4 4" xfId="1530" xr:uid="{00000000-0005-0000-0000-0000E17C0000}"/>
    <cellStyle name="표준 5 3 2 3 4 4 2" xfId="10433" xr:uid="{00000000-0005-0000-0000-0000E27C0000}"/>
    <cellStyle name="표준 5 3 2 3 4 4 2 2" xfId="14545" xr:uid="{00000000-0005-0000-0000-0000E37C0000}"/>
    <cellStyle name="표준 5 3 2 3 4 4 2 2 2" xfId="31139" xr:uid="{00000000-0005-0000-0000-0000E47C0000}"/>
    <cellStyle name="표준 5 3 2 3 4 4 2 2 3" xfId="39350" xr:uid="{00000000-0005-0000-0000-0000E57C0000}"/>
    <cellStyle name="표준 5 3 2 3 4 4 2 2 4" xfId="47543" xr:uid="{00000000-0005-0000-0000-0000E67C0000}"/>
    <cellStyle name="표준 5 3 2 3 4 4 2 3" xfId="18785" xr:uid="{00000000-0005-0000-0000-0000E77C0000}"/>
    <cellStyle name="표준 5 3 2 3 4 4 2 4" xfId="22947" xr:uid="{00000000-0005-0000-0000-0000E87C0000}"/>
    <cellStyle name="표준 5 3 2 3 4 4 2 5" xfId="27043" xr:uid="{00000000-0005-0000-0000-0000E97C0000}"/>
    <cellStyle name="표준 5 3 2 3 4 4 2 6" xfId="35254" xr:uid="{00000000-0005-0000-0000-0000EA7C0000}"/>
    <cellStyle name="표준 5 3 2 3 4 4 2 7" xfId="43447" xr:uid="{00000000-0005-0000-0000-0000EB7C0000}"/>
    <cellStyle name="표준 5 3 2 3 4 4 3" xfId="8385" xr:uid="{00000000-0005-0000-0000-0000EC7C0000}"/>
    <cellStyle name="표준 5 3 2 3 4 4 3 2" xfId="29091" xr:uid="{00000000-0005-0000-0000-0000ED7C0000}"/>
    <cellStyle name="표준 5 3 2 3 4 4 3 3" xfId="37302" xr:uid="{00000000-0005-0000-0000-0000EE7C0000}"/>
    <cellStyle name="표준 5 3 2 3 4 4 3 4" xfId="45495" xr:uid="{00000000-0005-0000-0000-0000EF7C0000}"/>
    <cellStyle name="표준 5 3 2 3 4 4 4" xfId="12497" xr:uid="{00000000-0005-0000-0000-0000F07C0000}"/>
    <cellStyle name="표준 5 3 2 3 4 4 5" xfId="16737" xr:uid="{00000000-0005-0000-0000-0000F17C0000}"/>
    <cellStyle name="표준 5 3 2 3 4 4 6" xfId="20899" xr:uid="{00000000-0005-0000-0000-0000F27C0000}"/>
    <cellStyle name="표준 5 3 2 3 4 4 7" xfId="24995" xr:uid="{00000000-0005-0000-0000-0000F37C0000}"/>
    <cellStyle name="표준 5 3 2 3 4 4 8" xfId="33206" xr:uid="{00000000-0005-0000-0000-0000F47C0000}"/>
    <cellStyle name="표준 5 3 2 3 4 4 9" xfId="41399" xr:uid="{00000000-0005-0000-0000-0000F57C0000}"/>
    <cellStyle name="표준 5 3 2 3 4 5" xfId="2042" xr:uid="{00000000-0005-0000-0000-0000F67C0000}"/>
    <cellStyle name="표준 5 3 2 3 4 5 2" xfId="10945" xr:uid="{00000000-0005-0000-0000-0000F77C0000}"/>
    <cellStyle name="표준 5 3 2 3 4 5 2 2" xfId="15057" xr:uid="{00000000-0005-0000-0000-0000F87C0000}"/>
    <cellStyle name="표준 5 3 2 3 4 5 2 2 2" xfId="31651" xr:uid="{00000000-0005-0000-0000-0000F97C0000}"/>
    <cellStyle name="표준 5 3 2 3 4 5 2 2 3" xfId="39862" xr:uid="{00000000-0005-0000-0000-0000FA7C0000}"/>
    <cellStyle name="표준 5 3 2 3 4 5 2 2 4" xfId="48055" xr:uid="{00000000-0005-0000-0000-0000FB7C0000}"/>
    <cellStyle name="표준 5 3 2 3 4 5 2 3" xfId="19297" xr:uid="{00000000-0005-0000-0000-0000FC7C0000}"/>
    <cellStyle name="표준 5 3 2 3 4 5 2 4" xfId="23459" xr:uid="{00000000-0005-0000-0000-0000FD7C0000}"/>
    <cellStyle name="표준 5 3 2 3 4 5 2 5" xfId="27555" xr:uid="{00000000-0005-0000-0000-0000FE7C0000}"/>
    <cellStyle name="표준 5 3 2 3 4 5 2 6" xfId="35766" xr:uid="{00000000-0005-0000-0000-0000FF7C0000}"/>
    <cellStyle name="표준 5 3 2 3 4 5 2 7" xfId="43959" xr:uid="{00000000-0005-0000-0000-0000007D0000}"/>
    <cellStyle name="표준 5 3 2 3 4 5 3" xfId="8897" xr:uid="{00000000-0005-0000-0000-0000017D0000}"/>
    <cellStyle name="표준 5 3 2 3 4 5 3 2" xfId="29603" xr:uid="{00000000-0005-0000-0000-0000027D0000}"/>
    <cellStyle name="표준 5 3 2 3 4 5 3 3" xfId="37814" xr:uid="{00000000-0005-0000-0000-0000037D0000}"/>
    <cellStyle name="표준 5 3 2 3 4 5 3 4" xfId="46007" xr:uid="{00000000-0005-0000-0000-0000047D0000}"/>
    <cellStyle name="표준 5 3 2 3 4 5 4" xfId="13009" xr:uid="{00000000-0005-0000-0000-0000057D0000}"/>
    <cellStyle name="표준 5 3 2 3 4 5 5" xfId="17249" xr:uid="{00000000-0005-0000-0000-0000067D0000}"/>
    <cellStyle name="표준 5 3 2 3 4 5 6" xfId="21411" xr:uid="{00000000-0005-0000-0000-0000077D0000}"/>
    <cellStyle name="표준 5 3 2 3 4 5 7" xfId="25507" xr:uid="{00000000-0005-0000-0000-0000087D0000}"/>
    <cellStyle name="표준 5 3 2 3 4 5 8" xfId="33718" xr:uid="{00000000-0005-0000-0000-0000097D0000}"/>
    <cellStyle name="표준 5 3 2 3 4 5 9" xfId="41911" xr:uid="{00000000-0005-0000-0000-00000A7D0000}"/>
    <cellStyle name="표준 5 3 2 3 4 6" xfId="9409" xr:uid="{00000000-0005-0000-0000-00000B7D0000}"/>
    <cellStyle name="표준 5 3 2 3 4 6 2" xfId="13521" xr:uid="{00000000-0005-0000-0000-00000C7D0000}"/>
    <cellStyle name="표준 5 3 2 3 4 6 2 2" xfId="30115" xr:uid="{00000000-0005-0000-0000-00000D7D0000}"/>
    <cellStyle name="표준 5 3 2 3 4 6 2 3" xfId="38326" xr:uid="{00000000-0005-0000-0000-00000E7D0000}"/>
    <cellStyle name="표준 5 3 2 3 4 6 2 4" xfId="46519" xr:uid="{00000000-0005-0000-0000-00000F7D0000}"/>
    <cellStyle name="표준 5 3 2 3 4 6 3" xfId="17761" xr:uid="{00000000-0005-0000-0000-0000107D0000}"/>
    <cellStyle name="표준 5 3 2 3 4 6 4" xfId="21923" xr:uid="{00000000-0005-0000-0000-0000117D0000}"/>
    <cellStyle name="표준 5 3 2 3 4 6 5" xfId="26019" xr:uid="{00000000-0005-0000-0000-0000127D0000}"/>
    <cellStyle name="표준 5 3 2 3 4 6 6" xfId="34230" xr:uid="{00000000-0005-0000-0000-0000137D0000}"/>
    <cellStyle name="표준 5 3 2 3 4 6 7" xfId="42423" xr:uid="{00000000-0005-0000-0000-0000147D0000}"/>
    <cellStyle name="표준 5 3 2 3 4 7" xfId="7361" xr:uid="{00000000-0005-0000-0000-0000157D0000}"/>
    <cellStyle name="표준 5 3 2 3 4 7 2" xfId="28067" xr:uid="{00000000-0005-0000-0000-0000167D0000}"/>
    <cellStyle name="표준 5 3 2 3 4 7 3" xfId="36278" xr:uid="{00000000-0005-0000-0000-0000177D0000}"/>
    <cellStyle name="표준 5 3 2 3 4 7 4" xfId="44471" xr:uid="{00000000-0005-0000-0000-0000187D0000}"/>
    <cellStyle name="표준 5 3 2 3 4 8" xfId="11473" xr:uid="{00000000-0005-0000-0000-0000197D0000}"/>
    <cellStyle name="표준 5 3 2 3 4 9" xfId="15713" xr:uid="{00000000-0005-0000-0000-00001A7D0000}"/>
    <cellStyle name="표준 5 3 2 3 5" xfId="634" xr:uid="{00000000-0005-0000-0000-00001B7D0000}"/>
    <cellStyle name="표준 5 3 2 3 5 10" xfId="24099" xr:uid="{00000000-0005-0000-0000-00001C7D0000}"/>
    <cellStyle name="표준 5 3 2 3 5 11" xfId="32310" xr:uid="{00000000-0005-0000-0000-00001D7D0000}"/>
    <cellStyle name="표준 5 3 2 3 5 12" xfId="40503" xr:uid="{00000000-0005-0000-0000-00001E7D0000}"/>
    <cellStyle name="표준 5 3 2 3 5 2" xfId="1146" xr:uid="{00000000-0005-0000-0000-00001F7D0000}"/>
    <cellStyle name="표준 5 3 2 3 5 2 2" xfId="10049" xr:uid="{00000000-0005-0000-0000-0000207D0000}"/>
    <cellStyle name="표준 5 3 2 3 5 2 2 2" xfId="14161" xr:uid="{00000000-0005-0000-0000-0000217D0000}"/>
    <cellStyle name="표준 5 3 2 3 5 2 2 2 2" xfId="30755" xr:uid="{00000000-0005-0000-0000-0000227D0000}"/>
    <cellStyle name="표준 5 3 2 3 5 2 2 2 3" xfId="38966" xr:uid="{00000000-0005-0000-0000-0000237D0000}"/>
    <cellStyle name="표준 5 3 2 3 5 2 2 2 4" xfId="47159" xr:uid="{00000000-0005-0000-0000-0000247D0000}"/>
    <cellStyle name="표준 5 3 2 3 5 2 2 3" xfId="18401" xr:uid="{00000000-0005-0000-0000-0000257D0000}"/>
    <cellStyle name="표준 5 3 2 3 5 2 2 4" xfId="22563" xr:uid="{00000000-0005-0000-0000-0000267D0000}"/>
    <cellStyle name="표준 5 3 2 3 5 2 2 5" xfId="26659" xr:uid="{00000000-0005-0000-0000-0000277D0000}"/>
    <cellStyle name="표준 5 3 2 3 5 2 2 6" xfId="34870" xr:uid="{00000000-0005-0000-0000-0000287D0000}"/>
    <cellStyle name="표준 5 3 2 3 5 2 2 7" xfId="43063" xr:uid="{00000000-0005-0000-0000-0000297D0000}"/>
    <cellStyle name="표준 5 3 2 3 5 2 3" xfId="8001" xr:uid="{00000000-0005-0000-0000-00002A7D0000}"/>
    <cellStyle name="표준 5 3 2 3 5 2 3 2" xfId="28707" xr:uid="{00000000-0005-0000-0000-00002B7D0000}"/>
    <cellStyle name="표준 5 3 2 3 5 2 3 3" xfId="36918" xr:uid="{00000000-0005-0000-0000-00002C7D0000}"/>
    <cellStyle name="표준 5 3 2 3 5 2 3 4" xfId="45111" xr:uid="{00000000-0005-0000-0000-00002D7D0000}"/>
    <cellStyle name="표준 5 3 2 3 5 2 4" xfId="12113" xr:uid="{00000000-0005-0000-0000-00002E7D0000}"/>
    <cellStyle name="표준 5 3 2 3 5 2 5" xfId="16353" xr:uid="{00000000-0005-0000-0000-00002F7D0000}"/>
    <cellStyle name="표준 5 3 2 3 5 2 6" xfId="20515" xr:uid="{00000000-0005-0000-0000-0000307D0000}"/>
    <cellStyle name="표준 5 3 2 3 5 2 7" xfId="24611" xr:uid="{00000000-0005-0000-0000-0000317D0000}"/>
    <cellStyle name="표준 5 3 2 3 5 2 8" xfId="32822" xr:uid="{00000000-0005-0000-0000-0000327D0000}"/>
    <cellStyle name="표준 5 3 2 3 5 2 9" xfId="41015" xr:uid="{00000000-0005-0000-0000-0000337D0000}"/>
    <cellStyle name="표준 5 3 2 3 5 3" xfId="1658" xr:uid="{00000000-0005-0000-0000-0000347D0000}"/>
    <cellStyle name="표준 5 3 2 3 5 3 2" xfId="10561" xr:uid="{00000000-0005-0000-0000-0000357D0000}"/>
    <cellStyle name="표준 5 3 2 3 5 3 2 2" xfId="14673" xr:uid="{00000000-0005-0000-0000-0000367D0000}"/>
    <cellStyle name="표준 5 3 2 3 5 3 2 2 2" xfId="31267" xr:uid="{00000000-0005-0000-0000-0000377D0000}"/>
    <cellStyle name="표준 5 3 2 3 5 3 2 2 3" xfId="39478" xr:uid="{00000000-0005-0000-0000-0000387D0000}"/>
    <cellStyle name="표준 5 3 2 3 5 3 2 2 4" xfId="47671" xr:uid="{00000000-0005-0000-0000-0000397D0000}"/>
    <cellStyle name="표준 5 3 2 3 5 3 2 3" xfId="18913" xr:uid="{00000000-0005-0000-0000-00003A7D0000}"/>
    <cellStyle name="표준 5 3 2 3 5 3 2 4" xfId="23075" xr:uid="{00000000-0005-0000-0000-00003B7D0000}"/>
    <cellStyle name="표준 5 3 2 3 5 3 2 5" xfId="27171" xr:uid="{00000000-0005-0000-0000-00003C7D0000}"/>
    <cellStyle name="표준 5 3 2 3 5 3 2 6" xfId="35382" xr:uid="{00000000-0005-0000-0000-00003D7D0000}"/>
    <cellStyle name="표준 5 3 2 3 5 3 2 7" xfId="43575" xr:uid="{00000000-0005-0000-0000-00003E7D0000}"/>
    <cellStyle name="표준 5 3 2 3 5 3 3" xfId="8513" xr:uid="{00000000-0005-0000-0000-00003F7D0000}"/>
    <cellStyle name="표준 5 3 2 3 5 3 3 2" xfId="29219" xr:uid="{00000000-0005-0000-0000-0000407D0000}"/>
    <cellStyle name="표준 5 3 2 3 5 3 3 3" xfId="37430" xr:uid="{00000000-0005-0000-0000-0000417D0000}"/>
    <cellStyle name="표준 5 3 2 3 5 3 3 4" xfId="45623" xr:uid="{00000000-0005-0000-0000-0000427D0000}"/>
    <cellStyle name="표준 5 3 2 3 5 3 4" xfId="12625" xr:uid="{00000000-0005-0000-0000-0000437D0000}"/>
    <cellStyle name="표준 5 3 2 3 5 3 5" xfId="16865" xr:uid="{00000000-0005-0000-0000-0000447D0000}"/>
    <cellStyle name="표준 5 3 2 3 5 3 6" xfId="21027" xr:uid="{00000000-0005-0000-0000-0000457D0000}"/>
    <cellStyle name="표준 5 3 2 3 5 3 7" xfId="25123" xr:uid="{00000000-0005-0000-0000-0000467D0000}"/>
    <cellStyle name="표준 5 3 2 3 5 3 8" xfId="33334" xr:uid="{00000000-0005-0000-0000-0000477D0000}"/>
    <cellStyle name="표준 5 3 2 3 5 3 9" xfId="41527" xr:uid="{00000000-0005-0000-0000-0000487D0000}"/>
    <cellStyle name="표준 5 3 2 3 5 4" xfId="2170" xr:uid="{00000000-0005-0000-0000-0000497D0000}"/>
    <cellStyle name="표준 5 3 2 3 5 4 2" xfId="11073" xr:uid="{00000000-0005-0000-0000-00004A7D0000}"/>
    <cellStyle name="표준 5 3 2 3 5 4 2 2" xfId="15185" xr:uid="{00000000-0005-0000-0000-00004B7D0000}"/>
    <cellStyle name="표준 5 3 2 3 5 4 2 2 2" xfId="31779" xr:uid="{00000000-0005-0000-0000-00004C7D0000}"/>
    <cellStyle name="표준 5 3 2 3 5 4 2 2 3" xfId="39990" xr:uid="{00000000-0005-0000-0000-00004D7D0000}"/>
    <cellStyle name="표준 5 3 2 3 5 4 2 2 4" xfId="48183" xr:uid="{00000000-0005-0000-0000-00004E7D0000}"/>
    <cellStyle name="표준 5 3 2 3 5 4 2 3" xfId="19425" xr:uid="{00000000-0005-0000-0000-00004F7D0000}"/>
    <cellStyle name="표준 5 3 2 3 5 4 2 4" xfId="23587" xr:uid="{00000000-0005-0000-0000-0000507D0000}"/>
    <cellStyle name="표준 5 3 2 3 5 4 2 5" xfId="27683" xr:uid="{00000000-0005-0000-0000-0000517D0000}"/>
    <cellStyle name="표준 5 3 2 3 5 4 2 6" xfId="35894" xr:uid="{00000000-0005-0000-0000-0000527D0000}"/>
    <cellStyle name="표준 5 3 2 3 5 4 2 7" xfId="44087" xr:uid="{00000000-0005-0000-0000-0000537D0000}"/>
    <cellStyle name="표준 5 3 2 3 5 4 3" xfId="9025" xr:uid="{00000000-0005-0000-0000-0000547D0000}"/>
    <cellStyle name="표준 5 3 2 3 5 4 3 2" xfId="29731" xr:uid="{00000000-0005-0000-0000-0000557D0000}"/>
    <cellStyle name="표준 5 3 2 3 5 4 3 3" xfId="37942" xr:uid="{00000000-0005-0000-0000-0000567D0000}"/>
    <cellStyle name="표준 5 3 2 3 5 4 3 4" xfId="46135" xr:uid="{00000000-0005-0000-0000-0000577D0000}"/>
    <cellStyle name="표준 5 3 2 3 5 4 4" xfId="13137" xr:uid="{00000000-0005-0000-0000-0000587D0000}"/>
    <cellStyle name="표준 5 3 2 3 5 4 5" xfId="17377" xr:uid="{00000000-0005-0000-0000-0000597D0000}"/>
    <cellStyle name="표준 5 3 2 3 5 4 6" xfId="21539" xr:uid="{00000000-0005-0000-0000-00005A7D0000}"/>
    <cellStyle name="표준 5 3 2 3 5 4 7" xfId="25635" xr:uid="{00000000-0005-0000-0000-00005B7D0000}"/>
    <cellStyle name="표준 5 3 2 3 5 4 8" xfId="33846" xr:uid="{00000000-0005-0000-0000-00005C7D0000}"/>
    <cellStyle name="표준 5 3 2 3 5 4 9" xfId="42039" xr:uid="{00000000-0005-0000-0000-00005D7D0000}"/>
    <cellStyle name="표준 5 3 2 3 5 5" xfId="9537" xr:uid="{00000000-0005-0000-0000-00005E7D0000}"/>
    <cellStyle name="표준 5 3 2 3 5 5 2" xfId="13649" xr:uid="{00000000-0005-0000-0000-00005F7D0000}"/>
    <cellStyle name="표준 5 3 2 3 5 5 2 2" xfId="30243" xr:uid="{00000000-0005-0000-0000-0000607D0000}"/>
    <cellStyle name="표준 5 3 2 3 5 5 2 3" xfId="38454" xr:uid="{00000000-0005-0000-0000-0000617D0000}"/>
    <cellStyle name="표준 5 3 2 3 5 5 2 4" xfId="46647" xr:uid="{00000000-0005-0000-0000-0000627D0000}"/>
    <cellStyle name="표준 5 3 2 3 5 5 3" xfId="17889" xr:uid="{00000000-0005-0000-0000-0000637D0000}"/>
    <cellStyle name="표준 5 3 2 3 5 5 4" xfId="22051" xr:uid="{00000000-0005-0000-0000-0000647D0000}"/>
    <cellStyle name="표준 5 3 2 3 5 5 5" xfId="26147" xr:uid="{00000000-0005-0000-0000-0000657D0000}"/>
    <cellStyle name="표준 5 3 2 3 5 5 6" xfId="34358" xr:uid="{00000000-0005-0000-0000-0000667D0000}"/>
    <cellStyle name="표준 5 3 2 3 5 5 7" xfId="42551" xr:uid="{00000000-0005-0000-0000-0000677D0000}"/>
    <cellStyle name="표준 5 3 2 3 5 6" xfId="7489" xr:uid="{00000000-0005-0000-0000-0000687D0000}"/>
    <cellStyle name="표준 5 3 2 3 5 6 2" xfId="28195" xr:uid="{00000000-0005-0000-0000-0000697D0000}"/>
    <cellStyle name="표준 5 3 2 3 5 6 3" xfId="36406" xr:uid="{00000000-0005-0000-0000-00006A7D0000}"/>
    <cellStyle name="표준 5 3 2 3 5 6 4" xfId="44599" xr:uid="{00000000-0005-0000-0000-00006B7D0000}"/>
    <cellStyle name="표준 5 3 2 3 5 7" xfId="11601" xr:uid="{00000000-0005-0000-0000-00006C7D0000}"/>
    <cellStyle name="표준 5 3 2 3 5 8" xfId="15841" xr:uid="{00000000-0005-0000-0000-00006D7D0000}"/>
    <cellStyle name="표준 5 3 2 3 5 9" xfId="20003" xr:uid="{00000000-0005-0000-0000-00006E7D0000}"/>
    <cellStyle name="표준 5 3 2 3 6" xfId="890" xr:uid="{00000000-0005-0000-0000-00006F7D0000}"/>
    <cellStyle name="표준 5 3 2 3 6 2" xfId="9793" xr:uid="{00000000-0005-0000-0000-0000707D0000}"/>
    <cellStyle name="표준 5 3 2 3 6 2 2" xfId="13905" xr:uid="{00000000-0005-0000-0000-0000717D0000}"/>
    <cellStyle name="표준 5 3 2 3 6 2 2 2" xfId="30499" xr:uid="{00000000-0005-0000-0000-0000727D0000}"/>
    <cellStyle name="표준 5 3 2 3 6 2 2 3" xfId="38710" xr:uid="{00000000-0005-0000-0000-0000737D0000}"/>
    <cellStyle name="표준 5 3 2 3 6 2 2 4" xfId="46903" xr:uid="{00000000-0005-0000-0000-0000747D0000}"/>
    <cellStyle name="표준 5 3 2 3 6 2 3" xfId="18145" xr:uid="{00000000-0005-0000-0000-0000757D0000}"/>
    <cellStyle name="표준 5 3 2 3 6 2 4" xfId="22307" xr:uid="{00000000-0005-0000-0000-0000767D0000}"/>
    <cellStyle name="표준 5 3 2 3 6 2 5" xfId="26403" xr:uid="{00000000-0005-0000-0000-0000777D0000}"/>
    <cellStyle name="표준 5 3 2 3 6 2 6" xfId="34614" xr:uid="{00000000-0005-0000-0000-0000787D0000}"/>
    <cellStyle name="표준 5 3 2 3 6 2 7" xfId="42807" xr:uid="{00000000-0005-0000-0000-0000797D0000}"/>
    <cellStyle name="표준 5 3 2 3 6 3" xfId="7745" xr:uid="{00000000-0005-0000-0000-00007A7D0000}"/>
    <cellStyle name="표준 5 3 2 3 6 3 2" xfId="28451" xr:uid="{00000000-0005-0000-0000-00007B7D0000}"/>
    <cellStyle name="표준 5 3 2 3 6 3 3" xfId="36662" xr:uid="{00000000-0005-0000-0000-00007C7D0000}"/>
    <cellStyle name="표준 5 3 2 3 6 3 4" xfId="44855" xr:uid="{00000000-0005-0000-0000-00007D7D0000}"/>
    <cellStyle name="표준 5 3 2 3 6 4" xfId="11857" xr:uid="{00000000-0005-0000-0000-00007E7D0000}"/>
    <cellStyle name="표준 5 3 2 3 6 5" xfId="16097" xr:uid="{00000000-0005-0000-0000-00007F7D0000}"/>
    <cellStyle name="표준 5 3 2 3 6 6" xfId="20259" xr:uid="{00000000-0005-0000-0000-0000807D0000}"/>
    <cellStyle name="표준 5 3 2 3 6 7" xfId="24355" xr:uid="{00000000-0005-0000-0000-0000817D0000}"/>
    <cellStyle name="표준 5 3 2 3 6 8" xfId="32566" xr:uid="{00000000-0005-0000-0000-0000827D0000}"/>
    <cellStyle name="표준 5 3 2 3 6 9" xfId="40759" xr:uid="{00000000-0005-0000-0000-0000837D0000}"/>
    <cellStyle name="표준 5 3 2 3 7" xfId="1402" xr:uid="{00000000-0005-0000-0000-0000847D0000}"/>
    <cellStyle name="표준 5 3 2 3 7 2" xfId="10305" xr:uid="{00000000-0005-0000-0000-0000857D0000}"/>
    <cellStyle name="표준 5 3 2 3 7 2 2" xfId="14417" xr:uid="{00000000-0005-0000-0000-0000867D0000}"/>
    <cellStyle name="표준 5 3 2 3 7 2 2 2" xfId="31011" xr:uid="{00000000-0005-0000-0000-0000877D0000}"/>
    <cellStyle name="표준 5 3 2 3 7 2 2 3" xfId="39222" xr:uid="{00000000-0005-0000-0000-0000887D0000}"/>
    <cellStyle name="표준 5 3 2 3 7 2 2 4" xfId="47415" xr:uid="{00000000-0005-0000-0000-0000897D0000}"/>
    <cellStyle name="표준 5 3 2 3 7 2 3" xfId="18657" xr:uid="{00000000-0005-0000-0000-00008A7D0000}"/>
    <cellStyle name="표준 5 3 2 3 7 2 4" xfId="22819" xr:uid="{00000000-0005-0000-0000-00008B7D0000}"/>
    <cellStyle name="표준 5 3 2 3 7 2 5" xfId="26915" xr:uid="{00000000-0005-0000-0000-00008C7D0000}"/>
    <cellStyle name="표준 5 3 2 3 7 2 6" xfId="35126" xr:uid="{00000000-0005-0000-0000-00008D7D0000}"/>
    <cellStyle name="표준 5 3 2 3 7 2 7" xfId="43319" xr:uid="{00000000-0005-0000-0000-00008E7D0000}"/>
    <cellStyle name="표준 5 3 2 3 7 3" xfId="8257" xr:uid="{00000000-0005-0000-0000-00008F7D0000}"/>
    <cellStyle name="표준 5 3 2 3 7 3 2" xfId="28963" xr:uid="{00000000-0005-0000-0000-0000907D0000}"/>
    <cellStyle name="표준 5 3 2 3 7 3 3" xfId="37174" xr:uid="{00000000-0005-0000-0000-0000917D0000}"/>
    <cellStyle name="표준 5 3 2 3 7 3 4" xfId="45367" xr:uid="{00000000-0005-0000-0000-0000927D0000}"/>
    <cellStyle name="표준 5 3 2 3 7 4" xfId="12369" xr:uid="{00000000-0005-0000-0000-0000937D0000}"/>
    <cellStyle name="표준 5 3 2 3 7 5" xfId="16609" xr:uid="{00000000-0005-0000-0000-0000947D0000}"/>
    <cellStyle name="표준 5 3 2 3 7 6" xfId="20771" xr:uid="{00000000-0005-0000-0000-0000957D0000}"/>
    <cellStyle name="표준 5 3 2 3 7 7" xfId="24867" xr:uid="{00000000-0005-0000-0000-0000967D0000}"/>
    <cellStyle name="표준 5 3 2 3 7 8" xfId="33078" xr:uid="{00000000-0005-0000-0000-0000977D0000}"/>
    <cellStyle name="표준 5 3 2 3 7 9" xfId="41271" xr:uid="{00000000-0005-0000-0000-0000987D0000}"/>
    <cellStyle name="표준 5 3 2 3 8" xfId="1914" xr:uid="{00000000-0005-0000-0000-0000997D0000}"/>
    <cellStyle name="표준 5 3 2 3 8 2" xfId="10817" xr:uid="{00000000-0005-0000-0000-00009A7D0000}"/>
    <cellStyle name="표준 5 3 2 3 8 2 2" xfId="14929" xr:uid="{00000000-0005-0000-0000-00009B7D0000}"/>
    <cellStyle name="표준 5 3 2 3 8 2 2 2" xfId="31523" xr:uid="{00000000-0005-0000-0000-00009C7D0000}"/>
    <cellStyle name="표준 5 3 2 3 8 2 2 3" xfId="39734" xr:uid="{00000000-0005-0000-0000-00009D7D0000}"/>
    <cellStyle name="표준 5 3 2 3 8 2 2 4" xfId="47927" xr:uid="{00000000-0005-0000-0000-00009E7D0000}"/>
    <cellStyle name="표준 5 3 2 3 8 2 3" xfId="19169" xr:uid="{00000000-0005-0000-0000-00009F7D0000}"/>
    <cellStyle name="표준 5 3 2 3 8 2 4" xfId="23331" xr:uid="{00000000-0005-0000-0000-0000A07D0000}"/>
    <cellStyle name="표준 5 3 2 3 8 2 5" xfId="27427" xr:uid="{00000000-0005-0000-0000-0000A17D0000}"/>
    <cellStyle name="표준 5 3 2 3 8 2 6" xfId="35638" xr:uid="{00000000-0005-0000-0000-0000A27D0000}"/>
    <cellStyle name="표준 5 3 2 3 8 2 7" xfId="43831" xr:uid="{00000000-0005-0000-0000-0000A37D0000}"/>
    <cellStyle name="표준 5 3 2 3 8 3" xfId="8769" xr:uid="{00000000-0005-0000-0000-0000A47D0000}"/>
    <cellStyle name="표준 5 3 2 3 8 3 2" xfId="29475" xr:uid="{00000000-0005-0000-0000-0000A57D0000}"/>
    <cellStyle name="표준 5 3 2 3 8 3 3" xfId="37686" xr:uid="{00000000-0005-0000-0000-0000A67D0000}"/>
    <cellStyle name="표준 5 3 2 3 8 3 4" xfId="45879" xr:uid="{00000000-0005-0000-0000-0000A77D0000}"/>
    <cellStyle name="표준 5 3 2 3 8 4" xfId="12881" xr:uid="{00000000-0005-0000-0000-0000A87D0000}"/>
    <cellStyle name="표준 5 3 2 3 8 5" xfId="17121" xr:uid="{00000000-0005-0000-0000-0000A97D0000}"/>
    <cellStyle name="표준 5 3 2 3 8 6" xfId="21283" xr:uid="{00000000-0005-0000-0000-0000AA7D0000}"/>
    <cellStyle name="표준 5 3 2 3 8 7" xfId="25379" xr:uid="{00000000-0005-0000-0000-0000AB7D0000}"/>
    <cellStyle name="표준 5 3 2 3 8 8" xfId="33590" xr:uid="{00000000-0005-0000-0000-0000AC7D0000}"/>
    <cellStyle name="표준 5 3 2 3 8 9" xfId="41783" xr:uid="{00000000-0005-0000-0000-0000AD7D0000}"/>
    <cellStyle name="표준 5 3 2 3 9" xfId="6970" xr:uid="{00000000-0005-0000-0000-0000AE7D0000}"/>
    <cellStyle name="표준 5 3 2 3 9 2" xfId="9281" xr:uid="{00000000-0005-0000-0000-0000AF7D0000}"/>
    <cellStyle name="표준 5 3 2 3 9 2 2" xfId="29987" xr:uid="{00000000-0005-0000-0000-0000B07D0000}"/>
    <cellStyle name="표준 5 3 2 3 9 2 3" xfId="38198" xr:uid="{00000000-0005-0000-0000-0000B17D0000}"/>
    <cellStyle name="표준 5 3 2 3 9 2 4" xfId="46391" xr:uid="{00000000-0005-0000-0000-0000B27D0000}"/>
    <cellStyle name="표준 5 3 2 3 9 3" xfId="13393" xr:uid="{00000000-0005-0000-0000-0000B37D0000}"/>
    <cellStyle name="표준 5 3 2 3 9 4" xfId="17633" xr:uid="{00000000-0005-0000-0000-0000B47D0000}"/>
    <cellStyle name="표준 5 3 2 3 9 5" xfId="21795" xr:uid="{00000000-0005-0000-0000-0000B57D0000}"/>
    <cellStyle name="표준 5 3 2 3 9 6" xfId="25891" xr:uid="{00000000-0005-0000-0000-0000B67D0000}"/>
    <cellStyle name="표준 5 3 2 3 9 7" xfId="34102" xr:uid="{00000000-0005-0000-0000-0000B77D0000}"/>
    <cellStyle name="표준 5 3 2 3 9 8" xfId="42295" xr:uid="{00000000-0005-0000-0000-0000B87D0000}"/>
    <cellStyle name="표준 5 3 2 30" xfId="23827" xr:uid="{00000000-0005-0000-0000-0000B97D0000}"/>
    <cellStyle name="표준 5 3 2 31" xfId="32021" xr:uid="{00000000-0005-0000-0000-0000BA7D0000}"/>
    <cellStyle name="표준 5 3 2 32" xfId="32038" xr:uid="{00000000-0005-0000-0000-0000BB7D0000}"/>
    <cellStyle name="표준 5 3 2 33" xfId="40231" xr:uid="{00000000-0005-0000-0000-0000BC7D0000}"/>
    <cellStyle name="표준 5 3 2 34" xfId="48433" xr:uid="{00000000-0005-0000-0000-0000BD7D0000}"/>
    <cellStyle name="표준 5 3 2 4" xfId="299" xr:uid="{00000000-0005-0000-0000-0000BE7D0000}"/>
    <cellStyle name="표준 5 3 2 4 10" xfId="7172" xr:uid="{00000000-0005-0000-0000-0000BF7D0000}"/>
    <cellStyle name="표준 5 3 2 4 11" xfId="7249" xr:uid="{00000000-0005-0000-0000-0000C07D0000}"/>
    <cellStyle name="표준 5 3 2 4 12" xfId="11361" xr:uid="{00000000-0005-0000-0000-0000C17D0000}"/>
    <cellStyle name="표준 5 3 2 4 13" xfId="15489" xr:uid="{00000000-0005-0000-0000-0000C27D0000}"/>
    <cellStyle name="표준 5 3 2 4 14" xfId="15601" xr:uid="{00000000-0005-0000-0000-0000C37D0000}"/>
    <cellStyle name="표준 5 3 2 4 15" xfId="19763" xr:uid="{00000000-0005-0000-0000-0000C47D0000}"/>
    <cellStyle name="표준 5 3 2 4 16" xfId="23859" xr:uid="{00000000-0005-0000-0000-0000C57D0000}"/>
    <cellStyle name="표준 5 3 2 4 17" xfId="32070" xr:uid="{00000000-0005-0000-0000-0000C67D0000}"/>
    <cellStyle name="표준 5 3 2 4 18" xfId="40263" xr:uid="{00000000-0005-0000-0000-0000C77D0000}"/>
    <cellStyle name="표준 5 3 2 4 19" xfId="49693" xr:uid="{00000000-0005-0000-0000-0000C87D0000}"/>
    <cellStyle name="표준 5 3 2 4 2" xfId="458" xr:uid="{00000000-0005-0000-0000-0000C97D0000}"/>
    <cellStyle name="표준 5 3 2 4 2 10" xfId="11425" xr:uid="{00000000-0005-0000-0000-0000CA7D0000}"/>
    <cellStyle name="표준 5 3 2 4 2 11" xfId="15537" xr:uid="{00000000-0005-0000-0000-0000CB7D0000}"/>
    <cellStyle name="표준 5 3 2 4 2 12" xfId="15665" xr:uid="{00000000-0005-0000-0000-0000CC7D0000}"/>
    <cellStyle name="표준 5 3 2 4 2 13" xfId="19827" xr:uid="{00000000-0005-0000-0000-0000CD7D0000}"/>
    <cellStyle name="표준 5 3 2 4 2 14" xfId="23923" xr:uid="{00000000-0005-0000-0000-0000CE7D0000}"/>
    <cellStyle name="표준 5 3 2 4 2 15" xfId="32134" xr:uid="{00000000-0005-0000-0000-0000CF7D0000}"/>
    <cellStyle name="표준 5 3 2 4 2 16" xfId="40327" xr:uid="{00000000-0005-0000-0000-0000D07D0000}"/>
    <cellStyle name="표준 5 3 2 4 2 2" xfId="586" xr:uid="{00000000-0005-0000-0000-0000D17D0000}"/>
    <cellStyle name="표준 5 3 2 4 2 2 10" xfId="19955" xr:uid="{00000000-0005-0000-0000-0000D27D0000}"/>
    <cellStyle name="표준 5 3 2 4 2 2 11" xfId="24051" xr:uid="{00000000-0005-0000-0000-0000D37D0000}"/>
    <cellStyle name="표준 5 3 2 4 2 2 12" xfId="32262" xr:uid="{00000000-0005-0000-0000-0000D47D0000}"/>
    <cellStyle name="표준 5 3 2 4 2 2 13" xfId="40455" xr:uid="{00000000-0005-0000-0000-0000D57D0000}"/>
    <cellStyle name="표준 5 3 2 4 2 2 2" xfId="842" xr:uid="{00000000-0005-0000-0000-0000D67D0000}"/>
    <cellStyle name="표준 5 3 2 4 2 2 2 10" xfId="24307" xr:uid="{00000000-0005-0000-0000-0000D77D0000}"/>
    <cellStyle name="표준 5 3 2 4 2 2 2 11" xfId="32518" xr:uid="{00000000-0005-0000-0000-0000D87D0000}"/>
    <cellStyle name="표준 5 3 2 4 2 2 2 12" xfId="40711" xr:uid="{00000000-0005-0000-0000-0000D97D0000}"/>
    <cellStyle name="표준 5 3 2 4 2 2 2 2" xfId="1354" xr:uid="{00000000-0005-0000-0000-0000DA7D0000}"/>
    <cellStyle name="표준 5 3 2 4 2 2 2 2 2" xfId="10257" xr:uid="{00000000-0005-0000-0000-0000DB7D0000}"/>
    <cellStyle name="표준 5 3 2 4 2 2 2 2 2 2" xfId="14369" xr:uid="{00000000-0005-0000-0000-0000DC7D0000}"/>
    <cellStyle name="표준 5 3 2 4 2 2 2 2 2 2 2" xfId="30963" xr:uid="{00000000-0005-0000-0000-0000DD7D0000}"/>
    <cellStyle name="표준 5 3 2 4 2 2 2 2 2 2 3" xfId="39174" xr:uid="{00000000-0005-0000-0000-0000DE7D0000}"/>
    <cellStyle name="표준 5 3 2 4 2 2 2 2 2 2 4" xfId="47367" xr:uid="{00000000-0005-0000-0000-0000DF7D0000}"/>
    <cellStyle name="표준 5 3 2 4 2 2 2 2 2 3" xfId="18609" xr:uid="{00000000-0005-0000-0000-0000E07D0000}"/>
    <cellStyle name="표준 5 3 2 4 2 2 2 2 2 4" xfId="22771" xr:uid="{00000000-0005-0000-0000-0000E17D0000}"/>
    <cellStyle name="표준 5 3 2 4 2 2 2 2 2 5" xfId="26867" xr:uid="{00000000-0005-0000-0000-0000E27D0000}"/>
    <cellStyle name="표준 5 3 2 4 2 2 2 2 2 6" xfId="35078" xr:uid="{00000000-0005-0000-0000-0000E37D0000}"/>
    <cellStyle name="표준 5 3 2 4 2 2 2 2 2 7" xfId="43271" xr:uid="{00000000-0005-0000-0000-0000E47D0000}"/>
    <cellStyle name="표준 5 3 2 4 2 2 2 2 3" xfId="8209" xr:uid="{00000000-0005-0000-0000-0000E57D0000}"/>
    <cellStyle name="표준 5 3 2 4 2 2 2 2 3 2" xfId="28915" xr:uid="{00000000-0005-0000-0000-0000E67D0000}"/>
    <cellStyle name="표준 5 3 2 4 2 2 2 2 3 3" xfId="37126" xr:uid="{00000000-0005-0000-0000-0000E77D0000}"/>
    <cellStyle name="표준 5 3 2 4 2 2 2 2 3 4" xfId="45319" xr:uid="{00000000-0005-0000-0000-0000E87D0000}"/>
    <cellStyle name="표준 5 3 2 4 2 2 2 2 4" xfId="12321" xr:uid="{00000000-0005-0000-0000-0000E97D0000}"/>
    <cellStyle name="표준 5 3 2 4 2 2 2 2 5" xfId="16561" xr:uid="{00000000-0005-0000-0000-0000EA7D0000}"/>
    <cellStyle name="표준 5 3 2 4 2 2 2 2 6" xfId="20723" xr:uid="{00000000-0005-0000-0000-0000EB7D0000}"/>
    <cellStyle name="표준 5 3 2 4 2 2 2 2 7" xfId="24819" xr:uid="{00000000-0005-0000-0000-0000EC7D0000}"/>
    <cellStyle name="표준 5 3 2 4 2 2 2 2 8" xfId="33030" xr:uid="{00000000-0005-0000-0000-0000ED7D0000}"/>
    <cellStyle name="표준 5 3 2 4 2 2 2 2 9" xfId="41223" xr:uid="{00000000-0005-0000-0000-0000EE7D0000}"/>
    <cellStyle name="표준 5 3 2 4 2 2 2 3" xfId="1866" xr:uid="{00000000-0005-0000-0000-0000EF7D0000}"/>
    <cellStyle name="표준 5 3 2 4 2 2 2 3 2" xfId="10769" xr:uid="{00000000-0005-0000-0000-0000F07D0000}"/>
    <cellStyle name="표준 5 3 2 4 2 2 2 3 2 2" xfId="14881" xr:uid="{00000000-0005-0000-0000-0000F17D0000}"/>
    <cellStyle name="표준 5 3 2 4 2 2 2 3 2 2 2" xfId="31475" xr:uid="{00000000-0005-0000-0000-0000F27D0000}"/>
    <cellStyle name="표준 5 3 2 4 2 2 2 3 2 2 3" xfId="39686" xr:uid="{00000000-0005-0000-0000-0000F37D0000}"/>
    <cellStyle name="표준 5 3 2 4 2 2 2 3 2 2 4" xfId="47879" xr:uid="{00000000-0005-0000-0000-0000F47D0000}"/>
    <cellStyle name="표준 5 3 2 4 2 2 2 3 2 3" xfId="19121" xr:uid="{00000000-0005-0000-0000-0000F57D0000}"/>
    <cellStyle name="표준 5 3 2 4 2 2 2 3 2 4" xfId="23283" xr:uid="{00000000-0005-0000-0000-0000F67D0000}"/>
    <cellStyle name="표준 5 3 2 4 2 2 2 3 2 5" xfId="27379" xr:uid="{00000000-0005-0000-0000-0000F77D0000}"/>
    <cellStyle name="표준 5 3 2 4 2 2 2 3 2 6" xfId="35590" xr:uid="{00000000-0005-0000-0000-0000F87D0000}"/>
    <cellStyle name="표준 5 3 2 4 2 2 2 3 2 7" xfId="43783" xr:uid="{00000000-0005-0000-0000-0000F97D0000}"/>
    <cellStyle name="표준 5 3 2 4 2 2 2 3 3" xfId="8721" xr:uid="{00000000-0005-0000-0000-0000FA7D0000}"/>
    <cellStyle name="표준 5 3 2 4 2 2 2 3 3 2" xfId="29427" xr:uid="{00000000-0005-0000-0000-0000FB7D0000}"/>
    <cellStyle name="표준 5 3 2 4 2 2 2 3 3 3" xfId="37638" xr:uid="{00000000-0005-0000-0000-0000FC7D0000}"/>
    <cellStyle name="표준 5 3 2 4 2 2 2 3 3 4" xfId="45831" xr:uid="{00000000-0005-0000-0000-0000FD7D0000}"/>
    <cellStyle name="표준 5 3 2 4 2 2 2 3 4" xfId="12833" xr:uid="{00000000-0005-0000-0000-0000FE7D0000}"/>
    <cellStyle name="표준 5 3 2 4 2 2 2 3 5" xfId="17073" xr:uid="{00000000-0005-0000-0000-0000FF7D0000}"/>
    <cellStyle name="표준 5 3 2 4 2 2 2 3 6" xfId="21235" xr:uid="{00000000-0005-0000-0000-0000007E0000}"/>
    <cellStyle name="표준 5 3 2 4 2 2 2 3 7" xfId="25331" xr:uid="{00000000-0005-0000-0000-0000017E0000}"/>
    <cellStyle name="표준 5 3 2 4 2 2 2 3 8" xfId="33542" xr:uid="{00000000-0005-0000-0000-0000027E0000}"/>
    <cellStyle name="표준 5 3 2 4 2 2 2 3 9" xfId="41735" xr:uid="{00000000-0005-0000-0000-0000037E0000}"/>
    <cellStyle name="표준 5 3 2 4 2 2 2 4" xfId="2378" xr:uid="{00000000-0005-0000-0000-0000047E0000}"/>
    <cellStyle name="표준 5 3 2 4 2 2 2 4 2" xfId="11281" xr:uid="{00000000-0005-0000-0000-0000057E0000}"/>
    <cellStyle name="표준 5 3 2 4 2 2 2 4 2 2" xfId="15393" xr:uid="{00000000-0005-0000-0000-0000067E0000}"/>
    <cellStyle name="표준 5 3 2 4 2 2 2 4 2 2 2" xfId="31987" xr:uid="{00000000-0005-0000-0000-0000077E0000}"/>
    <cellStyle name="표준 5 3 2 4 2 2 2 4 2 2 3" xfId="40198" xr:uid="{00000000-0005-0000-0000-0000087E0000}"/>
    <cellStyle name="표준 5 3 2 4 2 2 2 4 2 2 4" xfId="48391" xr:uid="{00000000-0005-0000-0000-0000097E0000}"/>
    <cellStyle name="표준 5 3 2 4 2 2 2 4 2 3" xfId="19633" xr:uid="{00000000-0005-0000-0000-00000A7E0000}"/>
    <cellStyle name="표준 5 3 2 4 2 2 2 4 2 4" xfId="23795" xr:uid="{00000000-0005-0000-0000-00000B7E0000}"/>
    <cellStyle name="표준 5 3 2 4 2 2 2 4 2 5" xfId="27891" xr:uid="{00000000-0005-0000-0000-00000C7E0000}"/>
    <cellStyle name="표준 5 3 2 4 2 2 2 4 2 6" xfId="36102" xr:uid="{00000000-0005-0000-0000-00000D7E0000}"/>
    <cellStyle name="표준 5 3 2 4 2 2 2 4 2 7" xfId="44295" xr:uid="{00000000-0005-0000-0000-00000E7E0000}"/>
    <cellStyle name="표준 5 3 2 4 2 2 2 4 3" xfId="9233" xr:uid="{00000000-0005-0000-0000-00000F7E0000}"/>
    <cellStyle name="표준 5 3 2 4 2 2 2 4 3 2" xfId="29939" xr:uid="{00000000-0005-0000-0000-0000107E0000}"/>
    <cellStyle name="표준 5 3 2 4 2 2 2 4 3 3" xfId="38150" xr:uid="{00000000-0005-0000-0000-0000117E0000}"/>
    <cellStyle name="표준 5 3 2 4 2 2 2 4 3 4" xfId="46343" xr:uid="{00000000-0005-0000-0000-0000127E0000}"/>
    <cellStyle name="표준 5 3 2 4 2 2 2 4 4" xfId="13345" xr:uid="{00000000-0005-0000-0000-0000137E0000}"/>
    <cellStyle name="표준 5 3 2 4 2 2 2 4 5" xfId="17585" xr:uid="{00000000-0005-0000-0000-0000147E0000}"/>
    <cellStyle name="표준 5 3 2 4 2 2 2 4 6" xfId="21747" xr:uid="{00000000-0005-0000-0000-0000157E0000}"/>
    <cellStyle name="표준 5 3 2 4 2 2 2 4 7" xfId="25843" xr:uid="{00000000-0005-0000-0000-0000167E0000}"/>
    <cellStyle name="표준 5 3 2 4 2 2 2 4 8" xfId="34054" xr:uid="{00000000-0005-0000-0000-0000177E0000}"/>
    <cellStyle name="표준 5 3 2 4 2 2 2 4 9" xfId="42247" xr:uid="{00000000-0005-0000-0000-0000187E0000}"/>
    <cellStyle name="표준 5 3 2 4 2 2 2 5" xfId="9745" xr:uid="{00000000-0005-0000-0000-0000197E0000}"/>
    <cellStyle name="표준 5 3 2 4 2 2 2 5 2" xfId="13857" xr:uid="{00000000-0005-0000-0000-00001A7E0000}"/>
    <cellStyle name="표준 5 3 2 4 2 2 2 5 2 2" xfId="30451" xr:uid="{00000000-0005-0000-0000-00001B7E0000}"/>
    <cellStyle name="표준 5 3 2 4 2 2 2 5 2 3" xfId="38662" xr:uid="{00000000-0005-0000-0000-00001C7E0000}"/>
    <cellStyle name="표준 5 3 2 4 2 2 2 5 2 4" xfId="46855" xr:uid="{00000000-0005-0000-0000-00001D7E0000}"/>
    <cellStyle name="표준 5 3 2 4 2 2 2 5 3" xfId="18097" xr:uid="{00000000-0005-0000-0000-00001E7E0000}"/>
    <cellStyle name="표준 5 3 2 4 2 2 2 5 4" xfId="22259" xr:uid="{00000000-0005-0000-0000-00001F7E0000}"/>
    <cellStyle name="표준 5 3 2 4 2 2 2 5 5" xfId="26355" xr:uid="{00000000-0005-0000-0000-0000207E0000}"/>
    <cellStyle name="표준 5 3 2 4 2 2 2 5 6" xfId="34566" xr:uid="{00000000-0005-0000-0000-0000217E0000}"/>
    <cellStyle name="표준 5 3 2 4 2 2 2 5 7" xfId="42759" xr:uid="{00000000-0005-0000-0000-0000227E0000}"/>
    <cellStyle name="표준 5 3 2 4 2 2 2 6" xfId="7697" xr:uid="{00000000-0005-0000-0000-0000237E0000}"/>
    <cellStyle name="표준 5 3 2 4 2 2 2 6 2" xfId="28403" xr:uid="{00000000-0005-0000-0000-0000247E0000}"/>
    <cellStyle name="표준 5 3 2 4 2 2 2 6 3" xfId="36614" xr:uid="{00000000-0005-0000-0000-0000257E0000}"/>
    <cellStyle name="표준 5 3 2 4 2 2 2 6 4" xfId="44807" xr:uid="{00000000-0005-0000-0000-0000267E0000}"/>
    <cellStyle name="표준 5 3 2 4 2 2 2 7" xfId="11809" xr:uid="{00000000-0005-0000-0000-0000277E0000}"/>
    <cellStyle name="표준 5 3 2 4 2 2 2 8" xfId="16049" xr:uid="{00000000-0005-0000-0000-0000287E0000}"/>
    <cellStyle name="표준 5 3 2 4 2 2 2 9" xfId="20211" xr:uid="{00000000-0005-0000-0000-0000297E0000}"/>
    <cellStyle name="표준 5 3 2 4 2 2 3" xfId="1098" xr:uid="{00000000-0005-0000-0000-00002A7E0000}"/>
    <cellStyle name="표준 5 3 2 4 2 2 3 2" xfId="10001" xr:uid="{00000000-0005-0000-0000-00002B7E0000}"/>
    <cellStyle name="표준 5 3 2 4 2 2 3 2 2" xfId="14113" xr:uid="{00000000-0005-0000-0000-00002C7E0000}"/>
    <cellStyle name="표준 5 3 2 4 2 2 3 2 2 2" xfId="30707" xr:uid="{00000000-0005-0000-0000-00002D7E0000}"/>
    <cellStyle name="표준 5 3 2 4 2 2 3 2 2 3" xfId="38918" xr:uid="{00000000-0005-0000-0000-00002E7E0000}"/>
    <cellStyle name="표준 5 3 2 4 2 2 3 2 2 4" xfId="47111" xr:uid="{00000000-0005-0000-0000-00002F7E0000}"/>
    <cellStyle name="표준 5 3 2 4 2 2 3 2 3" xfId="18353" xr:uid="{00000000-0005-0000-0000-0000307E0000}"/>
    <cellStyle name="표준 5 3 2 4 2 2 3 2 4" xfId="22515" xr:uid="{00000000-0005-0000-0000-0000317E0000}"/>
    <cellStyle name="표준 5 3 2 4 2 2 3 2 5" xfId="26611" xr:uid="{00000000-0005-0000-0000-0000327E0000}"/>
    <cellStyle name="표준 5 3 2 4 2 2 3 2 6" xfId="34822" xr:uid="{00000000-0005-0000-0000-0000337E0000}"/>
    <cellStyle name="표준 5 3 2 4 2 2 3 2 7" xfId="43015" xr:uid="{00000000-0005-0000-0000-0000347E0000}"/>
    <cellStyle name="표준 5 3 2 4 2 2 3 3" xfId="7953" xr:uid="{00000000-0005-0000-0000-0000357E0000}"/>
    <cellStyle name="표준 5 3 2 4 2 2 3 3 2" xfId="28659" xr:uid="{00000000-0005-0000-0000-0000367E0000}"/>
    <cellStyle name="표준 5 3 2 4 2 2 3 3 3" xfId="36870" xr:uid="{00000000-0005-0000-0000-0000377E0000}"/>
    <cellStyle name="표준 5 3 2 4 2 2 3 3 4" xfId="45063" xr:uid="{00000000-0005-0000-0000-0000387E0000}"/>
    <cellStyle name="표준 5 3 2 4 2 2 3 4" xfId="12065" xr:uid="{00000000-0005-0000-0000-0000397E0000}"/>
    <cellStyle name="표준 5 3 2 4 2 2 3 5" xfId="16305" xr:uid="{00000000-0005-0000-0000-00003A7E0000}"/>
    <cellStyle name="표준 5 3 2 4 2 2 3 6" xfId="20467" xr:uid="{00000000-0005-0000-0000-00003B7E0000}"/>
    <cellStyle name="표준 5 3 2 4 2 2 3 7" xfId="24563" xr:uid="{00000000-0005-0000-0000-00003C7E0000}"/>
    <cellStyle name="표준 5 3 2 4 2 2 3 8" xfId="32774" xr:uid="{00000000-0005-0000-0000-00003D7E0000}"/>
    <cellStyle name="표준 5 3 2 4 2 2 3 9" xfId="40967" xr:uid="{00000000-0005-0000-0000-00003E7E0000}"/>
    <cellStyle name="표준 5 3 2 4 2 2 4" xfId="1610" xr:uid="{00000000-0005-0000-0000-00003F7E0000}"/>
    <cellStyle name="표준 5 3 2 4 2 2 4 2" xfId="10513" xr:uid="{00000000-0005-0000-0000-0000407E0000}"/>
    <cellStyle name="표준 5 3 2 4 2 2 4 2 2" xfId="14625" xr:uid="{00000000-0005-0000-0000-0000417E0000}"/>
    <cellStyle name="표준 5 3 2 4 2 2 4 2 2 2" xfId="31219" xr:uid="{00000000-0005-0000-0000-0000427E0000}"/>
    <cellStyle name="표준 5 3 2 4 2 2 4 2 2 3" xfId="39430" xr:uid="{00000000-0005-0000-0000-0000437E0000}"/>
    <cellStyle name="표준 5 3 2 4 2 2 4 2 2 4" xfId="47623" xr:uid="{00000000-0005-0000-0000-0000447E0000}"/>
    <cellStyle name="표준 5 3 2 4 2 2 4 2 3" xfId="18865" xr:uid="{00000000-0005-0000-0000-0000457E0000}"/>
    <cellStyle name="표준 5 3 2 4 2 2 4 2 4" xfId="23027" xr:uid="{00000000-0005-0000-0000-0000467E0000}"/>
    <cellStyle name="표준 5 3 2 4 2 2 4 2 5" xfId="27123" xr:uid="{00000000-0005-0000-0000-0000477E0000}"/>
    <cellStyle name="표준 5 3 2 4 2 2 4 2 6" xfId="35334" xr:uid="{00000000-0005-0000-0000-0000487E0000}"/>
    <cellStyle name="표준 5 3 2 4 2 2 4 2 7" xfId="43527" xr:uid="{00000000-0005-0000-0000-0000497E0000}"/>
    <cellStyle name="표준 5 3 2 4 2 2 4 3" xfId="8465" xr:uid="{00000000-0005-0000-0000-00004A7E0000}"/>
    <cellStyle name="표준 5 3 2 4 2 2 4 3 2" xfId="29171" xr:uid="{00000000-0005-0000-0000-00004B7E0000}"/>
    <cellStyle name="표준 5 3 2 4 2 2 4 3 3" xfId="37382" xr:uid="{00000000-0005-0000-0000-00004C7E0000}"/>
    <cellStyle name="표준 5 3 2 4 2 2 4 3 4" xfId="45575" xr:uid="{00000000-0005-0000-0000-00004D7E0000}"/>
    <cellStyle name="표준 5 3 2 4 2 2 4 4" xfId="12577" xr:uid="{00000000-0005-0000-0000-00004E7E0000}"/>
    <cellStyle name="표준 5 3 2 4 2 2 4 5" xfId="16817" xr:uid="{00000000-0005-0000-0000-00004F7E0000}"/>
    <cellStyle name="표준 5 3 2 4 2 2 4 6" xfId="20979" xr:uid="{00000000-0005-0000-0000-0000507E0000}"/>
    <cellStyle name="표준 5 3 2 4 2 2 4 7" xfId="25075" xr:uid="{00000000-0005-0000-0000-0000517E0000}"/>
    <cellStyle name="표준 5 3 2 4 2 2 4 8" xfId="33286" xr:uid="{00000000-0005-0000-0000-0000527E0000}"/>
    <cellStyle name="표준 5 3 2 4 2 2 4 9" xfId="41479" xr:uid="{00000000-0005-0000-0000-0000537E0000}"/>
    <cellStyle name="표준 5 3 2 4 2 2 5" xfId="2122" xr:uid="{00000000-0005-0000-0000-0000547E0000}"/>
    <cellStyle name="표준 5 3 2 4 2 2 5 2" xfId="11025" xr:uid="{00000000-0005-0000-0000-0000557E0000}"/>
    <cellStyle name="표준 5 3 2 4 2 2 5 2 2" xfId="15137" xr:uid="{00000000-0005-0000-0000-0000567E0000}"/>
    <cellStyle name="표준 5 3 2 4 2 2 5 2 2 2" xfId="31731" xr:uid="{00000000-0005-0000-0000-0000577E0000}"/>
    <cellStyle name="표준 5 3 2 4 2 2 5 2 2 3" xfId="39942" xr:uid="{00000000-0005-0000-0000-0000587E0000}"/>
    <cellStyle name="표준 5 3 2 4 2 2 5 2 2 4" xfId="48135" xr:uid="{00000000-0005-0000-0000-0000597E0000}"/>
    <cellStyle name="표준 5 3 2 4 2 2 5 2 3" xfId="19377" xr:uid="{00000000-0005-0000-0000-00005A7E0000}"/>
    <cellStyle name="표준 5 3 2 4 2 2 5 2 4" xfId="23539" xr:uid="{00000000-0005-0000-0000-00005B7E0000}"/>
    <cellStyle name="표준 5 3 2 4 2 2 5 2 5" xfId="27635" xr:uid="{00000000-0005-0000-0000-00005C7E0000}"/>
    <cellStyle name="표준 5 3 2 4 2 2 5 2 6" xfId="35846" xr:uid="{00000000-0005-0000-0000-00005D7E0000}"/>
    <cellStyle name="표준 5 3 2 4 2 2 5 2 7" xfId="44039" xr:uid="{00000000-0005-0000-0000-00005E7E0000}"/>
    <cellStyle name="표준 5 3 2 4 2 2 5 3" xfId="8977" xr:uid="{00000000-0005-0000-0000-00005F7E0000}"/>
    <cellStyle name="표준 5 3 2 4 2 2 5 3 2" xfId="29683" xr:uid="{00000000-0005-0000-0000-0000607E0000}"/>
    <cellStyle name="표준 5 3 2 4 2 2 5 3 3" xfId="37894" xr:uid="{00000000-0005-0000-0000-0000617E0000}"/>
    <cellStyle name="표준 5 3 2 4 2 2 5 3 4" xfId="46087" xr:uid="{00000000-0005-0000-0000-0000627E0000}"/>
    <cellStyle name="표준 5 3 2 4 2 2 5 4" xfId="13089" xr:uid="{00000000-0005-0000-0000-0000637E0000}"/>
    <cellStyle name="표준 5 3 2 4 2 2 5 5" xfId="17329" xr:uid="{00000000-0005-0000-0000-0000647E0000}"/>
    <cellStyle name="표준 5 3 2 4 2 2 5 6" xfId="21491" xr:uid="{00000000-0005-0000-0000-0000657E0000}"/>
    <cellStyle name="표준 5 3 2 4 2 2 5 7" xfId="25587" xr:uid="{00000000-0005-0000-0000-0000667E0000}"/>
    <cellStyle name="표준 5 3 2 4 2 2 5 8" xfId="33798" xr:uid="{00000000-0005-0000-0000-0000677E0000}"/>
    <cellStyle name="표준 5 3 2 4 2 2 5 9" xfId="41991" xr:uid="{00000000-0005-0000-0000-0000687E0000}"/>
    <cellStyle name="표준 5 3 2 4 2 2 6" xfId="9489" xr:uid="{00000000-0005-0000-0000-0000697E0000}"/>
    <cellStyle name="표준 5 3 2 4 2 2 6 2" xfId="13601" xr:uid="{00000000-0005-0000-0000-00006A7E0000}"/>
    <cellStyle name="표준 5 3 2 4 2 2 6 2 2" xfId="30195" xr:uid="{00000000-0005-0000-0000-00006B7E0000}"/>
    <cellStyle name="표준 5 3 2 4 2 2 6 2 3" xfId="38406" xr:uid="{00000000-0005-0000-0000-00006C7E0000}"/>
    <cellStyle name="표준 5 3 2 4 2 2 6 2 4" xfId="46599" xr:uid="{00000000-0005-0000-0000-00006D7E0000}"/>
    <cellStyle name="표준 5 3 2 4 2 2 6 3" xfId="17841" xr:uid="{00000000-0005-0000-0000-00006E7E0000}"/>
    <cellStyle name="표준 5 3 2 4 2 2 6 4" xfId="22003" xr:uid="{00000000-0005-0000-0000-00006F7E0000}"/>
    <cellStyle name="표준 5 3 2 4 2 2 6 5" xfId="26099" xr:uid="{00000000-0005-0000-0000-0000707E0000}"/>
    <cellStyle name="표준 5 3 2 4 2 2 6 6" xfId="34310" xr:uid="{00000000-0005-0000-0000-0000717E0000}"/>
    <cellStyle name="표준 5 3 2 4 2 2 6 7" xfId="42503" xr:uid="{00000000-0005-0000-0000-0000727E0000}"/>
    <cellStyle name="표준 5 3 2 4 2 2 7" xfId="7441" xr:uid="{00000000-0005-0000-0000-0000737E0000}"/>
    <cellStyle name="표준 5 3 2 4 2 2 7 2" xfId="28147" xr:uid="{00000000-0005-0000-0000-0000747E0000}"/>
    <cellStyle name="표준 5 3 2 4 2 2 7 3" xfId="36358" xr:uid="{00000000-0005-0000-0000-0000757E0000}"/>
    <cellStyle name="표준 5 3 2 4 2 2 7 4" xfId="44551" xr:uid="{00000000-0005-0000-0000-0000767E0000}"/>
    <cellStyle name="표준 5 3 2 4 2 2 8" xfId="11553" xr:uid="{00000000-0005-0000-0000-0000777E0000}"/>
    <cellStyle name="표준 5 3 2 4 2 2 9" xfId="15793" xr:uid="{00000000-0005-0000-0000-0000787E0000}"/>
    <cellStyle name="표준 5 3 2 4 2 3" xfId="714" xr:uid="{00000000-0005-0000-0000-0000797E0000}"/>
    <cellStyle name="표준 5 3 2 4 2 3 10" xfId="24179" xr:uid="{00000000-0005-0000-0000-00007A7E0000}"/>
    <cellStyle name="표준 5 3 2 4 2 3 11" xfId="32390" xr:uid="{00000000-0005-0000-0000-00007B7E0000}"/>
    <cellStyle name="표준 5 3 2 4 2 3 12" xfId="40583" xr:uid="{00000000-0005-0000-0000-00007C7E0000}"/>
    <cellStyle name="표준 5 3 2 4 2 3 2" xfId="1226" xr:uid="{00000000-0005-0000-0000-00007D7E0000}"/>
    <cellStyle name="표준 5 3 2 4 2 3 2 2" xfId="10129" xr:uid="{00000000-0005-0000-0000-00007E7E0000}"/>
    <cellStyle name="표준 5 3 2 4 2 3 2 2 2" xfId="14241" xr:uid="{00000000-0005-0000-0000-00007F7E0000}"/>
    <cellStyle name="표준 5 3 2 4 2 3 2 2 2 2" xfId="30835" xr:uid="{00000000-0005-0000-0000-0000807E0000}"/>
    <cellStyle name="표준 5 3 2 4 2 3 2 2 2 3" xfId="39046" xr:uid="{00000000-0005-0000-0000-0000817E0000}"/>
    <cellStyle name="표준 5 3 2 4 2 3 2 2 2 4" xfId="47239" xr:uid="{00000000-0005-0000-0000-0000827E0000}"/>
    <cellStyle name="표준 5 3 2 4 2 3 2 2 3" xfId="18481" xr:uid="{00000000-0005-0000-0000-0000837E0000}"/>
    <cellStyle name="표준 5 3 2 4 2 3 2 2 4" xfId="22643" xr:uid="{00000000-0005-0000-0000-0000847E0000}"/>
    <cellStyle name="표준 5 3 2 4 2 3 2 2 5" xfId="26739" xr:uid="{00000000-0005-0000-0000-0000857E0000}"/>
    <cellStyle name="표준 5 3 2 4 2 3 2 2 6" xfId="34950" xr:uid="{00000000-0005-0000-0000-0000867E0000}"/>
    <cellStyle name="표준 5 3 2 4 2 3 2 2 7" xfId="43143" xr:uid="{00000000-0005-0000-0000-0000877E0000}"/>
    <cellStyle name="표준 5 3 2 4 2 3 2 3" xfId="8081" xr:uid="{00000000-0005-0000-0000-0000887E0000}"/>
    <cellStyle name="표준 5 3 2 4 2 3 2 3 2" xfId="28787" xr:uid="{00000000-0005-0000-0000-0000897E0000}"/>
    <cellStyle name="표준 5 3 2 4 2 3 2 3 3" xfId="36998" xr:uid="{00000000-0005-0000-0000-00008A7E0000}"/>
    <cellStyle name="표준 5 3 2 4 2 3 2 3 4" xfId="45191" xr:uid="{00000000-0005-0000-0000-00008B7E0000}"/>
    <cellStyle name="표준 5 3 2 4 2 3 2 4" xfId="12193" xr:uid="{00000000-0005-0000-0000-00008C7E0000}"/>
    <cellStyle name="표준 5 3 2 4 2 3 2 5" xfId="16433" xr:uid="{00000000-0005-0000-0000-00008D7E0000}"/>
    <cellStyle name="표준 5 3 2 4 2 3 2 6" xfId="20595" xr:uid="{00000000-0005-0000-0000-00008E7E0000}"/>
    <cellStyle name="표준 5 3 2 4 2 3 2 7" xfId="24691" xr:uid="{00000000-0005-0000-0000-00008F7E0000}"/>
    <cellStyle name="표준 5 3 2 4 2 3 2 8" xfId="32902" xr:uid="{00000000-0005-0000-0000-0000907E0000}"/>
    <cellStyle name="표준 5 3 2 4 2 3 2 9" xfId="41095" xr:uid="{00000000-0005-0000-0000-0000917E0000}"/>
    <cellStyle name="표준 5 3 2 4 2 3 3" xfId="1738" xr:uid="{00000000-0005-0000-0000-0000927E0000}"/>
    <cellStyle name="표준 5 3 2 4 2 3 3 2" xfId="10641" xr:uid="{00000000-0005-0000-0000-0000937E0000}"/>
    <cellStyle name="표준 5 3 2 4 2 3 3 2 2" xfId="14753" xr:uid="{00000000-0005-0000-0000-0000947E0000}"/>
    <cellStyle name="표준 5 3 2 4 2 3 3 2 2 2" xfId="31347" xr:uid="{00000000-0005-0000-0000-0000957E0000}"/>
    <cellStyle name="표준 5 3 2 4 2 3 3 2 2 3" xfId="39558" xr:uid="{00000000-0005-0000-0000-0000967E0000}"/>
    <cellStyle name="표준 5 3 2 4 2 3 3 2 2 4" xfId="47751" xr:uid="{00000000-0005-0000-0000-0000977E0000}"/>
    <cellStyle name="표준 5 3 2 4 2 3 3 2 3" xfId="18993" xr:uid="{00000000-0005-0000-0000-0000987E0000}"/>
    <cellStyle name="표준 5 3 2 4 2 3 3 2 4" xfId="23155" xr:uid="{00000000-0005-0000-0000-0000997E0000}"/>
    <cellStyle name="표준 5 3 2 4 2 3 3 2 5" xfId="27251" xr:uid="{00000000-0005-0000-0000-00009A7E0000}"/>
    <cellStyle name="표준 5 3 2 4 2 3 3 2 6" xfId="35462" xr:uid="{00000000-0005-0000-0000-00009B7E0000}"/>
    <cellStyle name="표준 5 3 2 4 2 3 3 2 7" xfId="43655" xr:uid="{00000000-0005-0000-0000-00009C7E0000}"/>
    <cellStyle name="표준 5 3 2 4 2 3 3 3" xfId="8593" xr:uid="{00000000-0005-0000-0000-00009D7E0000}"/>
    <cellStyle name="표준 5 3 2 4 2 3 3 3 2" xfId="29299" xr:uid="{00000000-0005-0000-0000-00009E7E0000}"/>
    <cellStyle name="표준 5 3 2 4 2 3 3 3 3" xfId="37510" xr:uid="{00000000-0005-0000-0000-00009F7E0000}"/>
    <cellStyle name="표준 5 3 2 4 2 3 3 3 4" xfId="45703" xr:uid="{00000000-0005-0000-0000-0000A07E0000}"/>
    <cellStyle name="표준 5 3 2 4 2 3 3 4" xfId="12705" xr:uid="{00000000-0005-0000-0000-0000A17E0000}"/>
    <cellStyle name="표준 5 3 2 4 2 3 3 5" xfId="16945" xr:uid="{00000000-0005-0000-0000-0000A27E0000}"/>
    <cellStyle name="표준 5 3 2 4 2 3 3 6" xfId="21107" xr:uid="{00000000-0005-0000-0000-0000A37E0000}"/>
    <cellStyle name="표준 5 3 2 4 2 3 3 7" xfId="25203" xr:uid="{00000000-0005-0000-0000-0000A47E0000}"/>
    <cellStyle name="표준 5 3 2 4 2 3 3 8" xfId="33414" xr:uid="{00000000-0005-0000-0000-0000A57E0000}"/>
    <cellStyle name="표준 5 3 2 4 2 3 3 9" xfId="41607" xr:uid="{00000000-0005-0000-0000-0000A67E0000}"/>
    <cellStyle name="표준 5 3 2 4 2 3 4" xfId="2250" xr:uid="{00000000-0005-0000-0000-0000A77E0000}"/>
    <cellStyle name="표준 5 3 2 4 2 3 4 2" xfId="11153" xr:uid="{00000000-0005-0000-0000-0000A87E0000}"/>
    <cellStyle name="표준 5 3 2 4 2 3 4 2 2" xfId="15265" xr:uid="{00000000-0005-0000-0000-0000A97E0000}"/>
    <cellStyle name="표준 5 3 2 4 2 3 4 2 2 2" xfId="31859" xr:uid="{00000000-0005-0000-0000-0000AA7E0000}"/>
    <cellStyle name="표준 5 3 2 4 2 3 4 2 2 3" xfId="40070" xr:uid="{00000000-0005-0000-0000-0000AB7E0000}"/>
    <cellStyle name="표준 5 3 2 4 2 3 4 2 2 4" xfId="48263" xr:uid="{00000000-0005-0000-0000-0000AC7E0000}"/>
    <cellStyle name="표준 5 3 2 4 2 3 4 2 3" xfId="19505" xr:uid="{00000000-0005-0000-0000-0000AD7E0000}"/>
    <cellStyle name="표준 5 3 2 4 2 3 4 2 4" xfId="23667" xr:uid="{00000000-0005-0000-0000-0000AE7E0000}"/>
    <cellStyle name="표준 5 3 2 4 2 3 4 2 5" xfId="27763" xr:uid="{00000000-0005-0000-0000-0000AF7E0000}"/>
    <cellStyle name="표준 5 3 2 4 2 3 4 2 6" xfId="35974" xr:uid="{00000000-0005-0000-0000-0000B07E0000}"/>
    <cellStyle name="표준 5 3 2 4 2 3 4 2 7" xfId="44167" xr:uid="{00000000-0005-0000-0000-0000B17E0000}"/>
    <cellStyle name="표준 5 3 2 4 2 3 4 3" xfId="9105" xr:uid="{00000000-0005-0000-0000-0000B27E0000}"/>
    <cellStyle name="표준 5 3 2 4 2 3 4 3 2" xfId="29811" xr:uid="{00000000-0005-0000-0000-0000B37E0000}"/>
    <cellStyle name="표준 5 3 2 4 2 3 4 3 3" xfId="38022" xr:uid="{00000000-0005-0000-0000-0000B47E0000}"/>
    <cellStyle name="표준 5 3 2 4 2 3 4 3 4" xfId="46215" xr:uid="{00000000-0005-0000-0000-0000B57E0000}"/>
    <cellStyle name="표준 5 3 2 4 2 3 4 4" xfId="13217" xr:uid="{00000000-0005-0000-0000-0000B67E0000}"/>
    <cellStyle name="표준 5 3 2 4 2 3 4 5" xfId="17457" xr:uid="{00000000-0005-0000-0000-0000B77E0000}"/>
    <cellStyle name="표준 5 3 2 4 2 3 4 6" xfId="21619" xr:uid="{00000000-0005-0000-0000-0000B87E0000}"/>
    <cellStyle name="표준 5 3 2 4 2 3 4 7" xfId="25715" xr:uid="{00000000-0005-0000-0000-0000B97E0000}"/>
    <cellStyle name="표준 5 3 2 4 2 3 4 8" xfId="33926" xr:uid="{00000000-0005-0000-0000-0000BA7E0000}"/>
    <cellStyle name="표준 5 3 2 4 2 3 4 9" xfId="42119" xr:uid="{00000000-0005-0000-0000-0000BB7E0000}"/>
    <cellStyle name="표준 5 3 2 4 2 3 5" xfId="9617" xr:uid="{00000000-0005-0000-0000-0000BC7E0000}"/>
    <cellStyle name="표준 5 3 2 4 2 3 5 2" xfId="13729" xr:uid="{00000000-0005-0000-0000-0000BD7E0000}"/>
    <cellStyle name="표준 5 3 2 4 2 3 5 2 2" xfId="30323" xr:uid="{00000000-0005-0000-0000-0000BE7E0000}"/>
    <cellStyle name="표준 5 3 2 4 2 3 5 2 3" xfId="38534" xr:uid="{00000000-0005-0000-0000-0000BF7E0000}"/>
    <cellStyle name="표준 5 3 2 4 2 3 5 2 4" xfId="46727" xr:uid="{00000000-0005-0000-0000-0000C07E0000}"/>
    <cellStyle name="표준 5 3 2 4 2 3 5 3" xfId="17969" xr:uid="{00000000-0005-0000-0000-0000C17E0000}"/>
    <cellStyle name="표준 5 3 2 4 2 3 5 4" xfId="22131" xr:uid="{00000000-0005-0000-0000-0000C27E0000}"/>
    <cellStyle name="표준 5 3 2 4 2 3 5 5" xfId="26227" xr:uid="{00000000-0005-0000-0000-0000C37E0000}"/>
    <cellStyle name="표준 5 3 2 4 2 3 5 6" xfId="34438" xr:uid="{00000000-0005-0000-0000-0000C47E0000}"/>
    <cellStyle name="표준 5 3 2 4 2 3 5 7" xfId="42631" xr:uid="{00000000-0005-0000-0000-0000C57E0000}"/>
    <cellStyle name="표준 5 3 2 4 2 3 6" xfId="7569" xr:uid="{00000000-0005-0000-0000-0000C67E0000}"/>
    <cellStyle name="표준 5 3 2 4 2 3 6 2" xfId="28275" xr:uid="{00000000-0005-0000-0000-0000C77E0000}"/>
    <cellStyle name="표준 5 3 2 4 2 3 6 3" xfId="36486" xr:uid="{00000000-0005-0000-0000-0000C87E0000}"/>
    <cellStyle name="표준 5 3 2 4 2 3 6 4" xfId="44679" xr:uid="{00000000-0005-0000-0000-0000C97E0000}"/>
    <cellStyle name="표준 5 3 2 4 2 3 7" xfId="11681" xr:uid="{00000000-0005-0000-0000-0000CA7E0000}"/>
    <cellStyle name="표준 5 3 2 4 2 3 8" xfId="15921" xr:uid="{00000000-0005-0000-0000-0000CB7E0000}"/>
    <cellStyle name="표준 5 3 2 4 2 3 9" xfId="20083" xr:uid="{00000000-0005-0000-0000-0000CC7E0000}"/>
    <cellStyle name="표준 5 3 2 4 2 4" xfId="970" xr:uid="{00000000-0005-0000-0000-0000CD7E0000}"/>
    <cellStyle name="표준 5 3 2 4 2 4 2" xfId="9873" xr:uid="{00000000-0005-0000-0000-0000CE7E0000}"/>
    <cellStyle name="표준 5 3 2 4 2 4 2 2" xfId="13985" xr:uid="{00000000-0005-0000-0000-0000CF7E0000}"/>
    <cellStyle name="표준 5 3 2 4 2 4 2 2 2" xfId="30579" xr:uid="{00000000-0005-0000-0000-0000D07E0000}"/>
    <cellStyle name="표준 5 3 2 4 2 4 2 2 3" xfId="38790" xr:uid="{00000000-0005-0000-0000-0000D17E0000}"/>
    <cellStyle name="표준 5 3 2 4 2 4 2 2 4" xfId="46983" xr:uid="{00000000-0005-0000-0000-0000D27E0000}"/>
    <cellStyle name="표준 5 3 2 4 2 4 2 3" xfId="18225" xr:uid="{00000000-0005-0000-0000-0000D37E0000}"/>
    <cellStyle name="표준 5 3 2 4 2 4 2 4" xfId="22387" xr:uid="{00000000-0005-0000-0000-0000D47E0000}"/>
    <cellStyle name="표준 5 3 2 4 2 4 2 5" xfId="26483" xr:uid="{00000000-0005-0000-0000-0000D57E0000}"/>
    <cellStyle name="표준 5 3 2 4 2 4 2 6" xfId="34694" xr:uid="{00000000-0005-0000-0000-0000D67E0000}"/>
    <cellStyle name="표준 5 3 2 4 2 4 2 7" xfId="42887" xr:uid="{00000000-0005-0000-0000-0000D77E0000}"/>
    <cellStyle name="표준 5 3 2 4 2 4 3" xfId="7825" xr:uid="{00000000-0005-0000-0000-0000D87E0000}"/>
    <cellStyle name="표준 5 3 2 4 2 4 3 2" xfId="28531" xr:uid="{00000000-0005-0000-0000-0000D97E0000}"/>
    <cellStyle name="표준 5 3 2 4 2 4 3 3" xfId="36742" xr:uid="{00000000-0005-0000-0000-0000DA7E0000}"/>
    <cellStyle name="표준 5 3 2 4 2 4 3 4" xfId="44935" xr:uid="{00000000-0005-0000-0000-0000DB7E0000}"/>
    <cellStyle name="표준 5 3 2 4 2 4 4" xfId="11937" xr:uid="{00000000-0005-0000-0000-0000DC7E0000}"/>
    <cellStyle name="표준 5 3 2 4 2 4 5" xfId="16177" xr:uid="{00000000-0005-0000-0000-0000DD7E0000}"/>
    <cellStyle name="표준 5 3 2 4 2 4 6" xfId="20339" xr:uid="{00000000-0005-0000-0000-0000DE7E0000}"/>
    <cellStyle name="표준 5 3 2 4 2 4 7" xfId="24435" xr:uid="{00000000-0005-0000-0000-0000DF7E0000}"/>
    <cellStyle name="표준 5 3 2 4 2 4 8" xfId="32646" xr:uid="{00000000-0005-0000-0000-0000E07E0000}"/>
    <cellStyle name="표준 5 3 2 4 2 4 9" xfId="40839" xr:uid="{00000000-0005-0000-0000-0000E17E0000}"/>
    <cellStyle name="표준 5 3 2 4 2 5" xfId="1482" xr:uid="{00000000-0005-0000-0000-0000E27E0000}"/>
    <cellStyle name="표준 5 3 2 4 2 5 2" xfId="10385" xr:uid="{00000000-0005-0000-0000-0000E37E0000}"/>
    <cellStyle name="표준 5 3 2 4 2 5 2 2" xfId="14497" xr:uid="{00000000-0005-0000-0000-0000E47E0000}"/>
    <cellStyle name="표준 5 3 2 4 2 5 2 2 2" xfId="31091" xr:uid="{00000000-0005-0000-0000-0000E57E0000}"/>
    <cellStyle name="표준 5 3 2 4 2 5 2 2 3" xfId="39302" xr:uid="{00000000-0005-0000-0000-0000E67E0000}"/>
    <cellStyle name="표준 5 3 2 4 2 5 2 2 4" xfId="47495" xr:uid="{00000000-0005-0000-0000-0000E77E0000}"/>
    <cellStyle name="표준 5 3 2 4 2 5 2 3" xfId="18737" xr:uid="{00000000-0005-0000-0000-0000E87E0000}"/>
    <cellStyle name="표준 5 3 2 4 2 5 2 4" xfId="22899" xr:uid="{00000000-0005-0000-0000-0000E97E0000}"/>
    <cellStyle name="표준 5 3 2 4 2 5 2 5" xfId="26995" xr:uid="{00000000-0005-0000-0000-0000EA7E0000}"/>
    <cellStyle name="표준 5 3 2 4 2 5 2 6" xfId="35206" xr:uid="{00000000-0005-0000-0000-0000EB7E0000}"/>
    <cellStyle name="표준 5 3 2 4 2 5 2 7" xfId="43399" xr:uid="{00000000-0005-0000-0000-0000EC7E0000}"/>
    <cellStyle name="표준 5 3 2 4 2 5 3" xfId="8337" xr:uid="{00000000-0005-0000-0000-0000ED7E0000}"/>
    <cellStyle name="표준 5 3 2 4 2 5 3 2" xfId="29043" xr:uid="{00000000-0005-0000-0000-0000EE7E0000}"/>
    <cellStyle name="표준 5 3 2 4 2 5 3 3" xfId="37254" xr:uid="{00000000-0005-0000-0000-0000EF7E0000}"/>
    <cellStyle name="표준 5 3 2 4 2 5 3 4" xfId="45447" xr:uid="{00000000-0005-0000-0000-0000F07E0000}"/>
    <cellStyle name="표준 5 3 2 4 2 5 4" xfId="12449" xr:uid="{00000000-0005-0000-0000-0000F17E0000}"/>
    <cellStyle name="표준 5 3 2 4 2 5 5" xfId="16689" xr:uid="{00000000-0005-0000-0000-0000F27E0000}"/>
    <cellStyle name="표준 5 3 2 4 2 5 6" xfId="20851" xr:uid="{00000000-0005-0000-0000-0000F37E0000}"/>
    <cellStyle name="표준 5 3 2 4 2 5 7" xfId="24947" xr:uid="{00000000-0005-0000-0000-0000F47E0000}"/>
    <cellStyle name="표준 5 3 2 4 2 5 8" xfId="33158" xr:uid="{00000000-0005-0000-0000-0000F57E0000}"/>
    <cellStyle name="표준 5 3 2 4 2 5 9" xfId="41351" xr:uid="{00000000-0005-0000-0000-0000F67E0000}"/>
    <cellStyle name="표준 5 3 2 4 2 6" xfId="1994" xr:uid="{00000000-0005-0000-0000-0000F77E0000}"/>
    <cellStyle name="표준 5 3 2 4 2 6 2" xfId="10897" xr:uid="{00000000-0005-0000-0000-0000F87E0000}"/>
    <cellStyle name="표준 5 3 2 4 2 6 2 2" xfId="15009" xr:uid="{00000000-0005-0000-0000-0000F97E0000}"/>
    <cellStyle name="표준 5 3 2 4 2 6 2 2 2" xfId="31603" xr:uid="{00000000-0005-0000-0000-0000FA7E0000}"/>
    <cellStyle name="표준 5 3 2 4 2 6 2 2 3" xfId="39814" xr:uid="{00000000-0005-0000-0000-0000FB7E0000}"/>
    <cellStyle name="표준 5 3 2 4 2 6 2 2 4" xfId="48007" xr:uid="{00000000-0005-0000-0000-0000FC7E0000}"/>
    <cellStyle name="표준 5 3 2 4 2 6 2 3" xfId="19249" xr:uid="{00000000-0005-0000-0000-0000FD7E0000}"/>
    <cellStyle name="표준 5 3 2 4 2 6 2 4" xfId="23411" xr:uid="{00000000-0005-0000-0000-0000FE7E0000}"/>
    <cellStyle name="표준 5 3 2 4 2 6 2 5" xfId="27507" xr:uid="{00000000-0005-0000-0000-0000FF7E0000}"/>
    <cellStyle name="표준 5 3 2 4 2 6 2 6" xfId="35718" xr:uid="{00000000-0005-0000-0000-0000007F0000}"/>
    <cellStyle name="표준 5 3 2 4 2 6 2 7" xfId="43911" xr:uid="{00000000-0005-0000-0000-0000017F0000}"/>
    <cellStyle name="표준 5 3 2 4 2 6 3" xfId="8849" xr:uid="{00000000-0005-0000-0000-0000027F0000}"/>
    <cellStyle name="표준 5 3 2 4 2 6 3 2" xfId="29555" xr:uid="{00000000-0005-0000-0000-0000037F0000}"/>
    <cellStyle name="표준 5 3 2 4 2 6 3 3" xfId="37766" xr:uid="{00000000-0005-0000-0000-0000047F0000}"/>
    <cellStyle name="표준 5 3 2 4 2 6 3 4" xfId="45959" xr:uid="{00000000-0005-0000-0000-0000057F0000}"/>
    <cellStyle name="표준 5 3 2 4 2 6 4" xfId="12961" xr:uid="{00000000-0005-0000-0000-0000067F0000}"/>
    <cellStyle name="표준 5 3 2 4 2 6 5" xfId="17201" xr:uid="{00000000-0005-0000-0000-0000077F0000}"/>
    <cellStyle name="표준 5 3 2 4 2 6 6" xfId="21363" xr:uid="{00000000-0005-0000-0000-0000087F0000}"/>
    <cellStyle name="표준 5 3 2 4 2 6 7" xfId="25459" xr:uid="{00000000-0005-0000-0000-0000097F0000}"/>
    <cellStyle name="표준 5 3 2 4 2 6 8" xfId="33670" xr:uid="{00000000-0005-0000-0000-00000A7F0000}"/>
    <cellStyle name="표준 5 3 2 4 2 6 9" xfId="41863" xr:uid="{00000000-0005-0000-0000-00000B7F0000}"/>
    <cellStyle name="표준 5 3 2 4 2 7" xfId="7054" xr:uid="{00000000-0005-0000-0000-00000C7F0000}"/>
    <cellStyle name="표준 5 3 2 4 2 7 2" xfId="9361" xr:uid="{00000000-0005-0000-0000-00000D7F0000}"/>
    <cellStyle name="표준 5 3 2 4 2 7 2 2" xfId="30067" xr:uid="{00000000-0005-0000-0000-00000E7F0000}"/>
    <cellStyle name="표준 5 3 2 4 2 7 2 3" xfId="38278" xr:uid="{00000000-0005-0000-0000-00000F7F0000}"/>
    <cellStyle name="표준 5 3 2 4 2 7 2 4" xfId="46471" xr:uid="{00000000-0005-0000-0000-0000107F0000}"/>
    <cellStyle name="표준 5 3 2 4 2 7 3" xfId="13473" xr:uid="{00000000-0005-0000-0000-0000117F0000}"/>
    <cellStyle name="표준 5 3 2 4 2 7 4" xfId="17713" xr:uid="{00000000-0005-0000-0000-0000127F0000}"/>
    <cellStyle name="표준 5 3 2 4 2 7 5" xfId="21875" xr:uid="{00000000-0005-0000-0000-0000137F0000}"/>
    <cellStyle name="표준 5 3 2 4 2 7 6" xfId="25971" xr:uid="{00000000-0005-0000-0000-0000147F0000}"/>
    <cellStyle name="표준 5 3 2 4 2 7 7" xfId="34182" xr:uid="{00000000-0005-0000-0000-0000157F0000}"/>
    <cellStyle name="표준 5 3 2 4 2 7 8" xfId="42375" xr:uid="{00000000-0005-0000-0000-0000167F0000}"/>
    <cellStyle name="표준 5 3 2 4 2 8" xfId="7124" xr:uid="{00000000-0005-0000-0000-0000177F0000}"/>
    <cellStyle name="표준 5 3 2 4 2 8 2" xfId="28019" xr:uid="{00000000-0005-0000-0000-0000187F0000}"/>
    <cellStyle name="표준 5 3 2 4 2 8 3" xfId="36230" xr:uid="{00000000-0005-0000-0000-0000197F0000}"/>
    <cellStyle name="표준 5 3 2 4 2 8 4" xfId="44423" xr:uid="{00000000-0005-0000-0000-00001A7F0000}"/>
    <cellStyle name="표준 5 3 2 4 2 9" xfId="7313" xr:uid="{00000000-0005-0000-0000-00001B7F0000}"/>
    <cellStyle name="표준 5 3 2 4 3" xfId="522" xr:uid="{00000000-0005-0000-0000-00001C7F0000}"/>
    <cellStyle name="표준 5 3 2 4 3 10" xfId="19891" xr:uid="{00000000-0005-0000-0000-00001D7F0000}"/>
    <cellStyle name="표준 5 3 2 4 3 11" xfId="23987" xr:uid="{00000000-0005-0000-0000-00001E7F0000}"/>
    <cellStyle name="표준 5 3 2 4 3 12" xfId="32198" xr:uid="{00000000-0005-0000-0000-00001F7F0000}"/>
    <cellStyle name="표준 5 3 2 4 3 13" xfId="40391" xr:uid="{00000000-0005-0000-0000-0000207F0000}"/>
    <cellStyle name="표준 5 3 2 4 3 2" xfId="778" xr:uid="{00000000-0005-0000-0000-0000217F0000}"/>
    <cellStyle name="표준 5 3 2 4 3 2 10" xfId="24243" xr:uid="{00000000-0005-0000-0000-0000227F0000}"/>
    <cellStyle name="표준 5 3 2 4 3 2 11" xfId="32454" xr:uid="{00000000-0005-0000-0000-0000237F0000}"/>
    <cellStyle name="표준 5 3 2 4 3 2 12" xfId="40647" xr:uid="{00000000-0005-0000-0000-0000247F0000}"/>
    <cellStyle name="표준 5 3 2 4 3 2 2" xfId="1290" xr:uid="{00000000-0005-0000-0000-0000257F0000}"/>
    <cellStyle name="표준 5 3 2 4 3 2 2 2" xfId="10193" xr:uid="{00000000-0005-0000-0000-0000267F0000}"/>
    <cellStyle name="표준 5 3 2 4 3 2 2 2 2" xfId="14305" xr:uid="{00000000-0005-0000-0000-0000277F0000}"/>
    <cellStyle name="표준 5 3 2 4 3 2 2 2 2 2" xfId="30899" xr:uid="{00000000-0005-0000-0000-0000287F0000}"/>
    <cellStyle name="표준 5 3 2 4 3 2 2 2 2 3" xfId="39110" xr:uid="{00000000-0005-0000-0000-0000297F0000}"/>
    <cellStyle name="표준 5 3 2 4 3 2 2 2 2 4" xfId="47303" xr:uid="{00000000-0005-0000-0000-00002A7F0000}"/>
    <cellStyle name="표준 5 3 2 4 3 2 2 2 3" xfId="18545" xr:uid="{00000000-0005-0000-0000-00002B7F0000}"/>
    <cellStyle name="표준 5 3 2 4 3 2 2 2 4" xfId="22707" xr:uid="{00000000-0005-0000-0000-00002C7F0000}"/>
    <cellStyle name="표준 5 3 2 4 3 2 2 2 5" xfId="26803" xr:uid="{00000000-0005-0000-0000-00002D7F0000}"/>
    <cellStyle name="표준 5 3 2 4 3 2 2 2 6" xfId="35014" xr:uid="{00000000-0005-0000-0000-00002E7F0000}"/>
    <cellStyle name="표준 5 3 2 4 3 2 2 2 7" xfId="43207" xr:uid="{00000000-0005-0000-0000-00002F7F0000}"/>
    <cellStyle name="표준 5 3 2 4 3 2 2 3" xfId="8145" xr:uid="{00000000-0005-0000-0000-0000307F0000}"/>
    <cellStyle name="표준 5 3 2 4 3 2 2 3 2" xfId="28851" xr:uid="{00000000-0005-0000-0000-0000317F0000}"/>
    <cellStyle name="표준 5 3 2 4 3 2 2 3 3" xfId="37062" xr:uid="{00000000-0005-0000-0000-0000327F0000}"/>
    <cellStyle name="표준 5 3 2 4 3 2 2 3 4" xfId="45255" xr:uid="{00000000-0005-0000-0000-0000337F0000}"/>
    <cellStyle name="표준 5 3 2 4 3 2 2 4" xfId="12257" xr:uid="{00000000-0005-0000-0000-0000347F0000}"/>
    <cellStyle name="표준 5 3 2 4 3 2 2 5" xfId="16497" xr:uid="{00000000-0005-0000-0000-0000357F0000}"/>
    <cellStyle name="표준 5 3 2 4 3 2 2 6" xfId="20659" xr:uid="{00000000-0005-0000-0000-0000367F0000}"/>
    <cellStyle name="표준 5 3 2 4 3 2 2 7" xfId="24755" xr:uid="{00000000-0005-0000-0000-0000377F0000}"/>
    <cellStyle name="표준 5 3 2 4 3 2 2 8" xfId="32966" xr:uid="{00000000-0005-0000-0000-0000387F0000}"/>
    <cellStyle name="표준 5 3 2 4 3 2 2 9" xfId="41159" xr:uid="{00000000-0005-0000-0000-0000397F0000}"/>
    <cellStyle name="표준 5 3 2 4 3 2 3" xfId="1802" xr:uid="{00000000-0005-0000-0000-00003A7F0000}"/>
    <cellStyle name="표준 5 3 2 4 3 2 3 2" xfId="10705" xr:uid="{00000000-0005-0000-0000-00003B7F0000}"/>
    <cellStyle name="표준 5 3 2 4 3 2 3 2 2" xfId="14817" xr:uid="{00000000-0005-0000-0000-00003C7F0000}"/>
    <cellStyle name="표준 5 3 2 4 3 2 3 2 2 2" xfId="31411" xr:uid="{00000000-0005-0000-0000-00003D7F0000}"/>
    <cellStyle name="표준 5 3 2 4 3 2 3 2 2 3" xfId="39622" xr:uid="{00000000-0005-0000-0000-00003E7F0000}"/>
    <cellStyle name="표준 5 3 2 4 3 2 3 2 2 4" xfId="47815" xr:uid="{00000000-0005-0000-0000-00003F7F0000}"/>
    <cellStyle name="표준 5 3 2 4 3 2 3 2 3" xfId="19057" xr:uid="{00000000-0005-0000-0000-0000407F0000}"/>
    <cellStyle name="표준 5 3 2 4 3 2 3 2 4" xfId="23219" xr:uid="{00000000-0005-0000-0000-0000417F0000}"/>
    <cellStyle name="표준 5 3 2 4 3 2 3 2 5" xfId="27315" xr:uid="{00000000-0005-0000-0000-0000427F0000}"/>
    <cellStyle name="표준 5 3 2 4 3 2 3 2 6" xfId="35526" xr:uid="{00000000-0005-0000-0000-0000437F0000}"/>
    <cellStyle name="표준 5 3 2 4 3 2 3 2 7" xfId="43719" xr:uid="{00000000-0005-0000-0000-0000447F0000}"/>
    <cellStyle name="표준 5 3 2 4 3 2 3 3" xfId="8657" xr:uid="{00000000-0005-0000-0000-0000457F0000}"/>
    <cellStyle name="표준 5 3 2 4 3 2 3 3 2" xfId="29363" xr:uid="{00000000-0005-0000-0000-0000467F0000}"/>
    <cellStyle name="표준 5 3 2 4 3 2 3 3 3" xfId="37574" xr:uid="{00000000-0005-0000-0000-0000477F0000}"/>
    <cellStyle name="표준 5 3 2 4 3 2 3 3 4" xfId="45767" xr:uid="{00000000-0005-0000-0000-0000487F0000}"/>
    <cellStyle name="표준 5 3 2 4 3 2 3 4" xfId="12769" xr:uid="{00000000-0005-0000-0000-0000497F0000}"/>
    <cellStyle name="표준 5 3 2 4 3 2 3 5" xfId="17009" xr:uid="{00000000-0005-0000-0000-00004A7F0000}"/>
    <cellStyle name="표준 5 3 2 4 3 2 3 6" xfId="21171" xr:uid="{00000000-0005-0000-0000-00004B7F0000}"/>
    <cellStyle name="표준 5 3 2 4 3 2 3 7" xfId="25267" xr:uid="{00000000-0005-0000-0000-00004C7F0000}"/>
    <cellStyle name="표준 5 3 2 4 3 2 3 8" xfId="33478" xr:uid="{00000000-0005-0000-0000-00004D7F0000}"/>
    <cellStyle name="표준 5 3 2 4 3 2 3 9" xfId="41671" xr:uid="{00000000-0005-0000-0000-00004E7F0000}"/>
    <cellStyle name="표준 5 3 2 4 3 2 4" xfId="2314" xr:uid="{00000000-0005-0000-0000-00004F7F0000}"/>
    <cellStyle name="표준 5 3 2 4 3 2 4 2" xfId="11217" xr:uid="{00000000-0005-0000-0000-0000507F0000}"/>
    <cellStyle name="표준 5 3 2 4 3 2 4 2 2" xfId="15329" xr:uid="{00000000-0005-0000-0000-0000517F0000}"/>
    <cellStyle name="표준 5 3 2 4 3 2 4 2 2 2" xfId="31923" xr:uid="{00000000-0005-0000-0000-0000527F0000}"/>
    <cellStyle name="표준 5 3 2 4 3 2 4 2 2 3" xfId="40134" xr:uid="{00000000-0005-0000-0000-0000537F0000}"/>
    <cellStyle name="표준 5 3 2 4 3 2 4 2 2 4" xfId="48327" xr:uid="{00000000-0005-0000-0000-0000547F0000}"/>
    <cellStyle name="표준 5 3 2 4 3 2 4 2 3" xfId="19569" xr:uid="{00000000-0005-0000-0000-0000557F0000}"/>
    <cellStyle name="표준 5 3 2 4 3 2 4 2 4" xfId="23731" xr:uid="{00000000-0005-0000-0000-0000567F0000}"/>
    <cellStyle name="표준 5 3 2 4 3 2 4 2 5" xfId="27827" xr:uid="{00000000-0005-0000-0000-0000577F0000}"/>
    <cellStyle name="표준 5 3 2 4 3 2 4 2 6" xfId="36038" xr:uid="{00000000-0005-0000-0000-0000587F0000}"/>
    <cellStyle name="표준 5 3 2 4 3 2 4 2 7" xfId="44231" xr:uid="{00000000-0005-0000-0000-0000597F0000}"/>
    <cellStyle name="표준 5 3 2 4 3 2 4 3" xfId="9169" xr:uid="{00000000-0005-0000-0000-00005A7F0000}"/>
    <cellStyle name="표준 5 3 2 4 3 2 4 3 2" xfId="29875" xr:uid="{00000000-0005-0000-0000-00005B7F0000}"/>
    <cellStyle name="표준 5 3 2 4 3 2 4 3 3" xfId="38086" xr:uid="{00000000-0005-0000-0000-00005C7F0000}"/>
    <cellStyle name="표준 5 3 2 4 3 2 4 3 4" xfId="46279" xr:uid="{00000000-0005-0000-0000-00005D7F0000}"/>
    <cellStyle name="표준 5 3 2 4 3 2 4 4" xfId="13281" xr:uid="{00000000-0005-0000-0000-00005E7F0000}"/>
    <cellStyle name="표준 5 3 2 4 3 2 4 5" xfId="17521" xr:uid="{00000000-0005-0000-0000-00005F7F0000}"/>
    <cellStyle name="표준 5 3 2 4 3 2 4 6" xfId="21683" xr:uid="{00000000-0005-0000-0000-0000607F0000}"/>
    <cellStyle name="표준 5 3 2 4 3 2 4 7" xfId="25779" xr:uid="{00000000-0005-0000-0000-0000617F0000}"/>
    <cellStyle name="표준 5 3 2 4 3 2 4 8" xfId="33990" xr:uid="{00000000-0005-0000-0000-0000627F0000}"/>
    <cellStyle name="표준 5 3 2 4 3 2 4 9" xfId="42183" xr:uid="{00000000-0005-0000-0000-0000637F0000}"/>
    <cellStyle name="표준 5 3 2 4 3 2 5" xfId="9681" xr:uid="{00000000-0005-0000-0000-0000647F0000}"/>
    <cellStyle name="표준 5 3 2 4 3 2 5 2" xfId="13793" xr:uid="{00000000-0005-0000-0000-0000657F0000}"/>
    <cellStyle name="표준 5 3 2 4 3 2 5 2 2" xfId="30387" xr:uid="{00000000-0005-0000-0000-0000667F0000}"/>
    <cellStyle name="표준 5 3 2 4 3 2 5 2 3" xfId="38598" xr:uid="{00000000-0005-0000-0000-0000677F0000}"/>
    <cellStyle name="표준 5 3 2 4 3 2 5 2 4" xfId="46791" xr:uid="{00000000-0005-0000-0000-0000687F0000}"/>
    <cellStyle name="표준 5 3 2 4 3 2 5 3" xfId="18033" xr:uid="{00000000-0005-0000-0000-0000697F0000}"/>
    <cellStyle name="표준 5 3 2 4 3 2 5 4" xfId="22195" xr:uid="{00000000-0005-0000-0000-00006A7F0000}"/>
    <cellStyle name="표준 5 3 2 4 3 2 5 5" xfId="26291" xr:uid="{00000000-0005-0000-0000-00006B7F0000}"/>
    <cellStyle name="표준 5 3 2 4 3 2 5 6" xfId="34502" xr:uid="{00000000-0005-0000-0000-00006C7F0000}"/>
    <cellStyle name="표준 5 3 2 4 3 2 5 7" xfId="42695" xr:uid="{00000000-0005-0000-0000-00006D7F0000}"/>
    <cellStyle name="표준 5 3 2 4 3 2 6" xfId="7633" xr:uid="{00000000-0005-0000-0000-00006E7F0000}"/>
    <cellStyle name="표준 5 3 2 4 3 2 6 2" xfId="28339" xr:uid="{00000000-0005-0000-0000-00006F7F0000}"/>
    <cellStyle name="표준 5 3 2 4 3 2 6 3" xfId="36550" xr:uid="{00000000-0005-0000-0000-0000707F0000}"/>
    <cellStyle name="표준 5 3 2 4 3 2 6 4" xfId="44743" xr:uid="{00000000-0005-0000-0000-0000717F0000}"/>
    <cellStyle name="표준 5 3 2 4 3 2 7" xfId="11745" xr:uid="{00000000-0005-0000-0000-0000727F0000}"/>
    <cellStyle name="표준 5 3 2 4 3 2 8" xfId="15985" xr:uid="{00000000-0005-0000-0000-0000737F0000}"/>
    <cellStyle name="표준 5 3 2 4 3 2 9" xfId="20147" xr:uid="{00000000-0005-0000-0000-0000747F0000}"/>
    <cellStyle name="표준 5 3 2 4 3 3" xfId="1034" xr:uid="{00000000-0005-0000-0000-0000757F0000}"/>
    <cellStyle name="표준 5 3 2 4 3 3 2" xfId="9937" xr:uid="{00000000-0005-0000-0000-0000767F0000}"/>
    <cellStyle name="표준 5 3 2 4 3 3 2 2" xfId="14049" xr:uid="{00000000-0005-0000-0000-0000777F0000}"/>
    <cellStyle name="표준 5 3 2 4 3 3 2 2 2" xfId="30643" xr:uid="{00000000-0005-0000-0000-0000787F0000}"/>
    <cellStyle name="표준 5 3 2 4 3 3 2 2 3" xfId="38854" xr:uid="{00000000-0005-0000-0000-0000797F0000}"/>
    <cellStyle name="표준 5 3 2 4 3 3 2 2 4" xfId="47047" xr:uid="{00000000-0005-0000-0000-00007A7F0000}"/>
    <cellStyle name="표준 5 3 2 4 3 3 2 3" xfId="18289" xr:uid="{00000000-0005-0000-0000-00007B7F0000}"/>
    <cellStyle name="표준 5 3 2 4 3 3 2 4" xfId="22451" xr:uid="{00000000-0005-0000-0000-00007C7F0000}"/>
    <cellStyle name="표준 5 3 2 4 3 3 2 5" xfId="26547" xr:uid="{00000000-0005-0000-0000-00007D7F0000}"/>
    <cellStyle name="표준 5 3 2 4 3 3 2 6" xfId="34758" xr:uid="{00000000-0005-0000-0000-00007E7F0000}"/>
    <cellStyle name="표준 5 3 2 4 3 3 2 7" xfId="42951" xr:uid="{00000000-0005-0000-0000-00007F7F0000}"/>
    <cellStyle name="표준 5 3 2 4 3 3 3" xfId="7889" xr:uid="{00000000-0005-0000-0000-0000807F0000}"/>
    <cellStyle name="표준 5 3 2 4 3 3 3 2" xfId="28595" xr:uid="{00000000-0005-0000-0000-0000817F0000}"/>
    <cellStyle name="표준 5 3 2 4 3 3 3 3" xfId="36806" xr:uid="{00000000-0005-0000-0000-0000827F0000}"/>
    <cellStyle name="표준 5 3 2 4 3 3 3 4" xfId="44999" xr:uid="{00000000-0005-0000-0000-0000837F0000}"/>
    <cellStyle name="표준 5 3 2 4 3 3 4" xfId="12001" xr:uid="{00000000-0005-0000-0000-0000847F0000}"/>
    <cellStyle name="표준 5 3 2 4 3 3 5" xfId="16241" xr:uid="{00000000-0005-0000-0000-0000857F0000}"/>
    <cellStyle name="표준 5 3 2 4 3 3 6" xfId="20403" xr:uid="{00000000-0005-0000-0000-0000867F0000}"/>
    <cellStyle name="표준 5 3 2 4 3 3 7" xfId="24499" xr:uid="{00000000-0005-0000-0000-0000877F0000}"/>
    <cellStyle name="표준 5 3 2 4 3 3 8" xfId="32710" xr:uid="{00000000-0005-0000-0000-0000887F0000}"/>
    <cellStyle name="표준 5 3 2 4 3 3 9" xfId="40903" xr:uid="{00000000-0005-0000-0000-0000897F0000}"/>
    <cellStyle name="표준 5 3 2 4 3 4" xfId="1546" xr:uid="{00000000-0005-0000-0000-00008A7F0000}"/>
    <cellStyle name="표준 5 3 2 4 3 4 2" xfId="10449" xr:uid="{00000000-0005-0000-0000-00008B7F0000}"/>
    <cellStyle name="표준 5 3 2 4 3 4 2 2" xfId="14561" xr:uid="{00000000-0005-0000-0000-00008C7F0000}"/>
    <cellStyle name="표준 5 3 2 4 3 4 2 2 2" xfId="31155" xr:uid="{00000000-0005-0000-0000-00008D7F0000}"/>
    <cellStyle name="표준 5 3 2 4 3 4 2 2 3" xfId="39366" xr:uid="{00000000-0005-0000-0000-00008E7F0000}"/>
    <cellStyle name="표준 5 3 2 4 3 4 2 2 4" xfId="47559" xr:uid="{00000000-0005-0000-0000-00008F7F0000}"/>
    <cellStyle name="표준 5 3 2 4 3 4 2 3" xfId="18801" xr:uid="{00000000-0005-0000-0000-0000907F0000}"/>
    <cellStyle name="표준 5 3 2 4 3 4 2 4" xfId="22963" xr:uid="{00000000-0005-0000-0000-0000917F0000}"/>
    <cellStyle name="표준 5 3 2 4 3 4 2 5" xfId="27059" xr:uid="{00000000-0005-0000-0000-0000927F0000}"/>
    <cellStyle name="표준 5 3 2 4 3 4 2 6" xfId="35270" xr:uid="{00000000-0005-0000-0000-0000937F0000}"/>
    <cellStyle name="표준 5 3 2 4 3 4 2 7" xfId="43463" xr:uid="{00000000-0005-0000-0000-0000947F0000}"/>
    <cellStyle name="표준 5 3 2 4 3 4 3" xfId="8401" xr:uid="{00000000-0005-0000-0000-0000957F0000}"/>
    <cellStyle name="표준 5 3 2 4 3 4 3 2" xfId="29107" xr:uid="{00000000-0005-0000-0000-0000967F0000}"/>
    <cellStyle name="표준 5 3 2 4 3 4 3 3" xfId="37318" xr:uid="{00000000-0005-0000-0000-0000977F0000}"/>
    <cellStyle name="표준 5 3 2 4 3 4 3 4" xfId="45511" xr:uid="{00000000-0005-0000-0000-0000987F0000}"/>
    <cellStyle name="표준 5 3 2 4 3 4 4" xfId="12513" xr:uid="{00000000-0005-0000-0000-0000997F0000}"/>
    <cellStyle name="표준 5 3 2 4 3 4 5" xfId="16753" xr:uid="{00000000-0005-0000-0000-00009A7F0000}"/>
    <cellStyle name="표준 5 3 2 4 3 4 6" xfId="20915" xr:uid="{00000000-0005-0000-0000-00009B7F0000}"/>
    <cellStyle name="표준 5 3 2 4 3 4 7" xfId="25011" xr:uid="{00000000-0005-0000-0000-00009C7F0000}"/>
    <cellStyle name="표준 5 3 2 4 3 4 8" xfId="33222" xr:uid="{00000000-0005-0000-0000-00009D7F0000}"/>
    <cellStyle name="표준 5 3 2 4 3 4 9" xfId="41415" xr:uid="{00000000-0005-0000-0000-00009E7F0000}"/>
    <cellStyle name="표준 5 3 2 4 3 5" xfId="2058" xr:uid="{00000000-0005-0000-0000-00009F7F0000}"/>
    <cellStyle name="표준 5 3 2 4 3 5 2" xfId="10961" xr:uid="{00000000-0005-0000-0000-0000A07F0000}"/>
    <cellStyle name="표준 5 3 2 4 3 5 2 2" xfId="15073" xr:uid="{00000000-0005-0000-0000-0000A17F0000}"/>
    <cellStyle name="표준 5 3 2 4 3 5 2 2 2" xfId="31667" xr:uid="{00000000-0005-0000-0000-0000A27F0000}"/>
    <cellStyle name="표준 5 3 2 4 3 5 2 2 3" xfId="39878" xr:uid="{00000000-0005-0000-0000-0000A37F0000}"/>
    <cellStyle name="표준 5 3 2 4 3 5 2 2 4" xfId="48071" xr:uid="{00000000-0005-0000-0000-0000A47F0000}"/>
    <cellStyle name="표준 5 3 2 4 3 5 2 3" xfId="19313" xr:uid="{00000000-0005-0000-0000-0000A57F0000}"/>
    <cellStyle name="표준 5 3 2 4 3 5 2 4" xfId="23475" xr:uid="{00000000-0005-0000-0000-0000A67F0000}"/>
    <cellStyle name="표준 5 3 2 4 3 5 2 5" xfId="27571" xr:uid="{00000000-0005-0000-0000-0000A77F0000}"/>
    <cellStyle name="표준 5 3 2 4 3 5 2 6" xfId="35782" xr:uid="{00000000-0005-0000-0000-0000A87F0000}"/>
    <cellStyle name="표준 5 3 2 4 3 5 2 7" xfId="43975" xr:uid="{00000000-0005-0000-0000-0000A97F0000}"/>
    <cellStyle name="표준 5 3 2 4 3 5 3" xfId="8913" xr:uid="{00000000-0005-0000-0000-0000AA7F0000}"/>
    <cellStyle name="표준 5 3 2 4 3 5 3 2" xfId="29619" xr:uid="{00000000-0005-0000-0000-0000AB7F0000}"/>
    <cellStyle name="표준 5 3 2 4 3 5 3 3" xfId="37830" xr:uid="{00000000-0005-0000-0000-0000AC7F0000}"/>
    <cellStyle name="표준 5 3 2 4 3 5 3 4" xfId="46023" xr:uid="{00000000-0005-0000-0000-0000AD7F0000}"/>
    <cellStyle name="표준 5 3 2 4 3 5 4" xfId="13025" xr:uid="{00000000-0005-0000-0000-0000AE7F0000}"/>
    <cellStyle name="표준 5 3 2 4 3 5 5" xfId="17265" xr:uid="{00000000-0005-0000-0000-0000AF7F0000}"/>
    <cellStyle name="표준 5 3 2 4 3 5 6" xfId="21427" xr:uid="{00000000-0005-0000-0000-0000B07F0000}"/>
    <cellStyle name="표준 5 3 2 4 3 5 7" xfId="25523" xr:uid="{00000000-0005-0000-0000-0000B17F0000}"/>
    <cellStyle name="표준 5 3 2 4 3 5 8" xfId="33734" xr:uid="{00000000-0005-0000-0000-0000B27F0000}"/>
    <cellStyle name="표준 5 3 2 4 3 5 9" xfId="41927" xr:uid="{00000000-0005-0000-0000-0000B37F0000}"/>
    <cellStyle name="표준 5 3 2 4 3 6" xfId="9425" xr:uid="{00000000-0005-0000-0000-0000B47F0000}"/>
    <cellStyle name="표준 5 3 2 4 3 6 2" xfId="13537" xr:uid="{00000000-0005-0000-0000-0000B57F0000}"/>
    <cellStyle name="표준 5 3 2 4 3 6 2 2" xfId="30131" xr:uid="{00000000-0005-0000-0000-0000B67F0000}"/>
    <cellStyle name="표준 5 3 2 4 3 6 2 3" xfId="38342" xr:uid="{00000000-0005-0000-0000-0000B77F0000}"/>
    <cellStyle name="표준 5 3 2 4 3 6 2 4" xfId="46535" xr:uid="{00000000-0005-0000-0000-0000B87F0000}"/>
    <cellStyle name="표준 5 3 2 4 3 6 3" xfId="17777" xr:uid="{00000000-0005-0000-0000-0000B97F0000}"/>
    <cellStyle name="표준 5 3 2 4 3 6 4" xfId="21939" xr:uid="{00000000-0005-0000-0000-0000BA7F0000}"/>
    <cellStyle name="표준 5 3 2 4 3 6 5" xfId="26035" xr:uid="{00000000-0005-0000-0000-0000BB7F0000}"/>
    <cellStyle name="표준 5 3 2 4 3 6 6" xfId="34246" xr:uid="{00000000-0005-0000-0000-0000BC7F0000}"/>
    <cellStyle name="표준 5 3 2 4 3 6 7" xfId="42439" xr:uid="{00000000-0005-0000-0000-0000BD7F0000}"/>
    <cellStyle name="표준 5 3 2 4 3 7" xfId="7377" xr:uid="{00000000-0005-0000-0000-0000BE7F0000}"/>
    <cellStyle name="표준 5 3 2 4 3 7 2" xfId="28083" xr:uid="{00000000-0005-0000-0000-0000BF7F0000}"/>
    <cellStyle name="표준 5 3 2 4 3 7 3" xfId="36294" xr:uid="{00000000-0005-0000-0000-0000C07F0000}"/>
    <cellStyle name="표준 5 3 2 4 3 7 4" xfId="44487" xr:uid="{00000000-0005-0000-0000-0000C17F0000}"/>
    <cellStyle name="표준 5 3 2 4 3 8" xfId="11489" xr:uid="{00000000-0005-0000-0000-0000C27F0000}"/>
    <cellStyle name="표준 5 3 2 4 3 9" xfId="15729" xr:uid="{00000000-0005-0000-0000-0000C37F0000}"/>
    <cellStyle name="표준 5 3 2 4 4" xfId="650" xr:uid="{00000000-0005-0000-0000-0000C47F0000}"/>
    <cellStyle name="표준 5 3 2 4 4 10" xfId="24115" xr:uid="{00000000-0005-0000-0000-0000C57F0000}"/>
    <cellStyle name="표준 5 3 2 4 4 11" xfId="32326" xr:uid="{00000000-0005-0000-0000-0000C67F0000}"/>
    <cellStyle name="표준 5 3 2 4 4 12" xfId="40519" xr:uid="{00000000-0005-0000-0000-0000C77F0000}"/>
    <cellStyle name="표준 5 3 2 4 4 2" xfId="1162" xr:uid="{00000000-0005-0000-0000-0000C87F0000}"/>
    <cellStyle name="표준 5 3 2 4 4 2 2" xfId="10065" xr:uid="{00000000-0005-0000-0000-0000C97F0000}"/>
    <cellStyle name="표준 5 3 2 4 4 2 2 2" xfId="14177" xr:uid="{00000000-0005-0000-0000-0000CA7F0000}"/>
    <cellStyle name="표준 5 3 2 4 4 2 2 2 2" xfId="30771" xr:uid="{00000000-0005-0000-0000-0000CB7F0000}"/>
    <cellStyle name="표준 5 3 2 4 4 2 2 2 3" xfId="38982" xr:uid="{00000000-0005-0000-0000-0000CC7F0000}"/>
    <cellStyle name="표준 5 3 2 4 4 2 2 2 4" xfId="47175" xr:uid="{00000000-0005-0000-0000-0000CD7F0000}"/>
    <cellStyle name="표준 5 3 2 4 4 2 2 3" xfId="18417" xr:uid="{00000000-0005-0000-0000-0000CE7F0000}"/>
    <cellStyle name="표준 5 3 2 4 4 2 2 4" xfId="22579" xr:uid="{00000000-0005-0000-0000-0000CF7F0000}"/>
    <cellStyle name="표준 5 3 2 4 4 2 2 5" xfId="26675" xr:uid="{00000000-0005-0000-0000-0000D07F0000}"/>
    <cellStyle name="표준 5 3 2 4 4 2 2 6" xfId="34886" xr:uid="{00000000-0005-0000-0000-0000D17F0000}"/>
    <cellStyle name="표준 5 3 2 4 4 2 2 7" xfId="43079" xr:uid="{00000000-0005-0000-0000-0000D27F0000}"/>
    <cellStyle name="표준 5 3 2 4 4 2 3" xfId="8017" xr:uid="{00000000-0005-0000-0000-0000D37F0000}"/>
    <cellStyle name="표준 5 3 2 4 4 2 3 2" xfId="28723" xr:uid="{00000000-0005-0000-0000-0000D47F0000}"/>
    <cellStyle name="표준 5 3 2 4 4 2 3 3" xfId="36934" xr:uid="{00000000-0005-0000-0000-0000D57F0000}"/>
    <cellStyle name="표준 5 3 2 4 4 2 3 4" xfId="45127" xr:uid="{00000000-0005-0000-0000-0000D67F0000}"/>
    <cellStyle name="표준 5 3 2 4 4 2 4" xfId="12129" xr:uid="{00000000-0005-0000-0000-0000D77F0000}"/>
    <cellStyle name="표준 5 3 2 4 4 2 5" xfId="16369" xr:uid="{00000000-0005-0000-0000-0000D87F0000}"/>
    <cellStyle name="표준 5 3 2 4 4 2 6" xfId="20531" xr:uid="{00000000-0005-0000-0000-0000D97F0000}"/>
    <cellStyle name="표준 5 3 2 4 4 2 7" xfId="24627" xr:uid="{00000000-0005-0000-0000-0000DA7F0000}"/>
    <cellStyle name="표준 5 3 2 4 4 2 8" xfId="32838" xr:uid="{00000000-0005-0000-0000-0000DB7F0000}"/>
    <cellStyle name="표준 5 3 2 4 4 2 9" xfId="41031" xr:uid="{00000000-0005-0000-0000-0000DC7F0000}"/>
    <cellStyle name="표준 5 3 2 4 4 3" xfId="1674" xr:uid="{00000000-0005-0000-0000-0000DD7F0000}"/>
    <cellStyle name="표준 5 3 2 4 4 3 2" xfId="10577" xr:uid="{00000000-0005-0000-0000-0000DE7F0000}"/>
    <cellStyle name="표준 5 3 2 4 4 3 2 2" xfId="14689" xr:uid="{00000000-0005-0000-0000-0000DF7F0000}"/>
    <cellStyle name="표준 5 3 2 4 4 3 2 2 2" xfId="31283" xr:uid="{00000000-0005-0000-0000-0000E07F0000}"/>
    <cellStyle name="표준 5 3 2 4 4 3 2 2 3" xfId="39494" xr:uid="{00000000-0005-0000-0000-0000E17F0000}"/>
    <cellStyle name="표준 5 3 2 4 4 3 2 2 4" xfId="47687" xr:uid="{00000000-0005-0000-0000-0000E27F0000}"/>
    <cellStyle name="표준 5 3 2 4 4 3 2 3" xfId="18929" xr:uid="{00000000-0005-0000-0000-0000E37F0000}"/>
    <cellStyle name="표준 5 3 2 4 4 3 2 4" xfId="23091" xr:uid="{00000000-0005-0000-0000-0000E47F0000}"/>
    <cellStyle name="표준 5 3 2 4 4 3 2 5" xfId="27187" xr:uid="{00000000-0005-0000-0000-0000E57F0000}"/>
    <cellStyle name="표준 5 3 2 4 4 3 2 6" xfId="35398" xr:uid="{00000000-0005-0000-0000-0000E67F0000}"/>
    <cellStyle name="표준 5 3 2 4 4 3 2 7" xfId="43591" xr:uid="{00000000-0005-0000-0000-0000E77F0000}"/>
    <cellStyle name="표준 5 3 2 4 4 3 3" xfId="8529" xr:uid="{00000000-0005-0000-0000-0000E87F0000}"/>
    <cellStyle name="표준 5 3 2 4 4 3 3 2" xfId="29235" xr:uid="{00000000-0005-0000-0000-0000E97F0000}"/>
    <cellStyle name="표준 5 3 2 4 4 3 3 3" xfId="37446" xr:uid="{00000000-0005-0000-0000-0000EA7F0000}"/>
    <cellStyle name="표준 5 3 2 4 4 3 3 4" xfId="45639" xr:uid="{00000000-0005-0000-0000-0000EB7F0000}"/>
    <cellStyle name="표준 5 3 2 4 4 3 4" xfId="12641" xr:uid="{00000000-0005-0000-0000-0000EC7F0000}"/>
    <cellStyle name="표준 5 3 2 4 4 3 5" xfId="16881" xr:uid="{00000000-0005-0000-0000-0000ED7F0000}"/>
    <cellStyle name="표준 5 3 2 4 4 3 6" xfId="21043" xr:uid="{00000000-0005-0000-0000-0000EE7F0000}"/>
    <cellStyle name="표준 5 3 2 4 4 3 7" xfId="25139" xr:uid="{00000000-0005-0000-0000-0000EF7F0000}"/>
    <cellStyle name="표준 5 3 2 4 4 3 8" xfId="33350" xr:uid="{00000000-0005-0000-0000-0000F07F0000}"/>
    <cellStyle name="표준 5 3 2 4 4 3 9" xfId="41543" xr:uid="{00000000-0005-0000-0000-0000F17F0000}"/>
    <cellStyle name="표준 5 3 2 4 4 4" xfId="2186" xr:uid="{00000000-0005-0000-0000-0000F27F0000}"/>
    <cellStyle name="표준 5 3 2 4 4 4 2" xfId="11089" xr:uid="{00000000-0005-0000-0000-0000F37F0000}"/>
    <cellStyle name="표준 5 3 2 4 4 4 2 2" xfId="15201" xr:uid="{00000000-0005-0000-0000-0000F47F0000}"/>
    <cellStyle name="표준 5 3 2 4 4 4 2 2 2" xfId="31795" xr:uid="{00000000-0005-0000-0000-0000F57F0000}"/>
    <cellStyle name="표준 5 3 2 4 4 4 2 2 3" xfId="40006" xr:uid="{00000000-0005-0000-0000-0000F67F0000}"/>
    <cellStyle name="표준 5 3 2 4 4 4 2 2 4" xfId="48199" xr:uid="{00000000-0005-0000-0000-0000F77F0000}"/>
    <cellStyle name="표준 5 3 2 4 4 4 2 3" xfId="19441" xr:uid="{00000000-0005-0000-0000-0000F87F0000}"/>
    <cellStyle name="표준 5 3 2 4 4 4 2 4" xfId="23603" xr:uid="{00000000-0005-0000-0000-0000F97F0000}"/>
    <cellStyle name="표준 5 3 2 4 4 4 2 5" xfId="27699" xr:uid="{00000000-0005-0000-0000-0000FA7F0000}"/>
    <cellStyle name="표준 5 3 2 4 4 4 2 6" xfId="35910" xr:uid="{00000000-0005-0000-0000-0000FB7F0000}"/>
    <cellStyle name="표준 5 3 2 4 4 4 2 7" xfId="44103" xr:uid="{00000000-0005-0000-0000-0000FC7F0000}"/>
    <cellStyle name="표준 5 3 2 4 4 4 3" xfId="9041" xr:uid="{00000000-0005-0000-0000-0000FD7F0000}"/>
    <cellStyle name="표준 5 3 2 4 4 4 3 2" xfId="29747" xr:uid="{00000000-0005-0000-0000-0000FE7F0000}"/>
    <cellStyle name="표준 5 3 2 4 4 4 3 3" xfId="37958" xr:uid="{00000000-0005-0000-0000-0000FF7F0000}"/>
    <cellStyle name="표준 5 3 2 4 4 4 3 4" xfId="46151" xr:uid="{00000000-0005-0000-0000-000000800000}"/>
    <cellStyle name="표준 5 3 2 4 4 4 4" xfId="13153" xr:uid="{00000000-0005-0000-0000-000001800000}"/>
    <cellStyle name="표준 5 3 2 4 4 4 5" xfId="17393" xr:uid="{00000000-0005-0000-0000-000002800000}"/>
    <cellStyle name="표준 5 3 2 4 4 4 6" xfId="21555" xr:uid="{00000000-0005-0000-0000-000003800000}"/>
    <cellStyle name="표준 5 3 2 4 4 4 7" xfId="25651" xr:uid="{00000000-0005-0000-0000-000004800000}"/>
    <cellStyle name="표준 5 3 2 4 4 4 8" xfId="33862" xr:uid="{00000000-0005-0000-0000-000005800000}"/>
    <cellStyle name="표준 5 3 2 4 4 4 9" xfId="42055" xr:uid="{00000000-0005-0000-0000-000006800000}"/>
    <cellStyle name="표준 5 3 2 4 4 5" xfId="9553" xr:uid="{00000000-0005-0000-0000-000007800000}"/>
    <cellStyle name="표준 5 3 2 4 4 5 2" xfId="13665" xr:uid="{00000000-0005-0000-0000-000008800000}"/>
    <cellStyle name="표준 5 3 2 4 4 5 2 2" xfId="30259" xr:uid="{00000000-0005-0000-0000-000009800000}"/>
    <cellStyle name="표준 5 3 2 4 4 5 2 3" xfId="38470" xr:uid="{00000000-0005-0000-0000-00000A800000}"/>
    <cellStyle name="표준 5 3 2 4 4 5 2 4" xfId="46663" xr:uid="{00000000-0005-0000-0000-00000B800000}"/>
    <cellStyle name="표준 5 3 2 4 4 5 3" xfId="17905" xr:uid="{00000000-0005-0000-0000-00000C800000}"/>
    <cellStyle name="표준 5 3 2 4 4 5 4" xfId="22067" xr:uid="{00000000-0005-0000-0000-00000D800000}"/>
    <cellStyle name="표준 5 3 2 4 4 5 5" xfId="26163" xr:uid="{00000000-0005-0000-0000-00000E800000}"/>
    <cellStyle name="표준 5 3 2 4 4 5 6" xfId="34374" xr:uid="{00000000-0005-0000-0000-00000F800000}"/>
    <cellStyle name="표준 5 3 2 4 4 5 7" xfId="42567" xr:uid="{00000000-0005-0000-0000-000010800000}"/>
    <cellStyle name="표준 5 3 2 4 4 6" xfId="7505" xr:uid="{00000000-0005-0000-0000-000011800000}"/>
    <cellStyle name="표준 5 3 2 4 4 6 2" xfId="28211" xr:uid="{00000000-0005-0000-0000-000012800000}"/>
    <cellStyle name="표준 5 3 2 4 4 6 3" xfId="36422" xr:uid="{00000000-0005-0000-0000-000013800000}"/>
    <cellStyle name="표준 5 3 2 4 4 6 4" xfId="44615" xr:uid="{00000000-0005-0000-0000-000014800000}"/>
    <cellStyle name="표준 5 3 2 4 4 7" xfId="11617" xr:uid="{00000000-0005-0000-0000-000015800000}"/>
    <cellStyle name="표준 5 3 2 4 4 8" xfId="15857" xr:uid="{00000000-0005-0000-0000-000016800000}"/>
    <cellStyle name="표준 5 3 2 4 4 9" xfId="20019" xr:uid="{00000000-0005-0000-0000-000017800000}"/>
    <cellStyle name="표준 5 3 2 4 5" xfId="906" xr:uid="{00000000-0005-0000-0000-000018800000}"/>
    <cellStyle name="표준 5 3 2 4 5 2" xfId="9809" xr:uid="{00000000-0005-0000-0000-000019800000}"/>
    <cellStyle name="표준 5 3 2 4 5 2 2" xfId="13921" xr:uid="{00000000-0005-0000-0000-00001A800000}"/>
    <cellStyle name="표준 5 3 2 4 5 2 2 2" xfId="30515" xr:uid="{00000000-0005-0000-0000-00001B800000}"/>
    <cellStyle name="표준 5 3 2 4 5 2 2 3" xfId="38726" xr:uid="{00000000-0005-0000-0000-00001C800000}"/>
    <cellStyle name="표준 5 3 2 4 5 2 2 4" xfId="46919" xr:uid="{00000000-0005-0000-0000-00001D800000}"/>
    <cellStyle name="표준 5 3 2 4 5 2 3" xfId="18161" xr:uid="{00000000-0005-0000-0000-00001E800000}"/>
    <cellStyle name="표준 5 3 2 4 5 2 4" xfId="22323" xr:uid="{00000000-0005-0000-0000-00001F800000}"/>
    <cellStyle name="표준 5 3 2 4 5 2 5" xfId="26419" xr:uid="{00000000-0005-0000-0000-000020800000}"/>
    <cellStyle name="표준 5 3 2 4 5 2 6" xfId="34630" xr:uid="{00000000-0005-0000-0000-000021800000}"/>
    <cellStyle name="표준 5 3 2 4 5 2 7" xfId="42823" xr:uid="{00000000-0005-0000-0000-000022800000}"/>
    <cellStyle name="표준 5 3 2 4 5 3" xfId="7761" xr:uid="{00000000-0005-0000-0000-000023800000}"/>
    <cellStyle name="표준 5 3 2 4 5 3 2" xfId="28467" xr:uid="{00000000-0005-0000-0000-000024800000}"/>
    <cellStyle name="표준 5 3 2 4 5 3 3" xfId="36678" xr:uid="{00000000-0005-0000-0000-000025800000}"/>
    <cellStyle name="표준 5 3 2 4 5 3 4" xfId="44871" xr:uid="{00000000-0005-0000-0000-000026800000}"/>
    <cellStyle name="표준 5 3 2 4 5 4" xfId="11873" xr:uid="{00000000-0005-0000-0000-000027800000}"/>
    <cellStyle name="표준 5 3 2 4 5 5" xfId="16113" xr:uid="{00000000-0005-0000-0000-000028800000}"/>
    <cellStyle name="표준 5 3 2 4 5 6" xfId="20275" xr:uid="{00000000-0005-0000-0000-000029800000}"/>
    <cellStyle name="표준 5 3 2 4 5 7" xfId="24371" xr:uid="{00000000-0005-0000-0000-00002A800000}"/>
    <cellStyle name="표준 5 3 2 4 5 8" xfId="32582" xr:uid="{00000000-0005-0000-0000-00002B800000}"/>
    <cellStyle name="표준 5 3 2 4 5 9" xfId="40775" xr:uid="{00000000-0005-0000-0000-00002C800000}"/>
    <cellStyle name="표준 5 3 2 4 6" xfId="1418" xr:uid="{00000000-0005-0000-0000-00002D800000}"/>
    <cellStyle name="표준 5 3 2 4 6 2" xfId="10321" xr:uid="{00000000-0005-0000-0000-00002E800000}"/>
    <cellStyle name="표준 5 3 2 4 6 2 2" xfId="14433" xr:uid="{00000000-0005-0000-0000-00002F800000}"/>
    <cellStyle name="표준 5 3 2 4 6 2 2 2" xfId="31027" xr:uid="{00000000-0005-0000-0000-000030800000}"/>
    <cellStyle name="표준 5 3 2 4 6 2 2 3" xfId="39238" xr:uid="{00000000-0005-0000-0000-000031800000}"/>
    <cellStyle name="표준 5 3 2 4 6 2 2 4" xfId="47431" xr:uid="{00000000-0005-0000-0000-000032800000}"/>
    <cellStyle name="표준 5 3 2 4 6 2 3" xfId="18673" xr:uid="{00000000-0005-0000-0000-000033800000}"/>
    <cellStyle name="표준 5 3 2 4 6 2 4" xfId="22835" xr:uid="{00000000-0005-0000-0000-000034800000}"/>
    <cellStyle name="표준 5 3 2 4 6 2 5" xfId="26931" xr:uid="{00000000-0005-0000-0000-000035800000}"/>
    <cellStyle name="표준 5 3 2 4 6 2 6" xfId="35142" xr:uid="{00000000-0005-0000-0000-000036800000}"/>
    <cellStyle name="표준 5 3 2 4 6 2 7" xfId="43335" xr:uid="{00000000-0005-0000-0000-000037800000}"/>
    <cellStyle name="표준 5 3 2 4 6 3" xfId="8273" xr:uid="{00000000-0005-0000-0000-000038800000}"/>
    <cellStyle name="표준 5 3 2 4 6 3 2" xfId="28979" xr:uid="{00000000-0005-0000-0000-000039800000}"/>
    <cellStyle name="표준 5 3 2 4 6 3 3" xfId="37190" xr:uid="{00000000-0005-0000-0000-00003A800000}"/>
    <cellStyle name="표준 5 3 2 4 6 3 4" xfId="45383" xr:uid="{00000000-0005-0000-0000-00003B800000}"/>
    <cellStyle name="표준 5 3 2 4 6 4" xfId="12385" xr:uid="{00000000-0005-0000-0000-00003C800000}"/>
    <cellStyle name="표준 5 3 2 4 6 5" xfId="16625" xr:uid="{00000000-0005-0000-0000-00003D800000}"/>
    <cellStyle name="표준 5 3 2 4 6 6" xfId="20787" xr:uid="{00000000-0005-0000-0000-00003E800000}"/>
    <cellStyle name="표준 5 3 2 4 6 7" xfId="24883" xr:uid="{00000000-0005-0000-0000-00003F800000}"/>
    <cellStyle name="표준 5 3 2 4 6 8" xfId="33094" xr:uid="{00000000-0005-0000-0000-000040800000}"/>
    <cellStyle name="표준 5 3 2 4 6 9" xfId="41287" xr:uid="{00000000-0005-0000-0000-000041800000}"/>
    <cellStyle name="표준 5 3 2 4 7" xfId="1930" xr:uid="{00000000-0005-0000-0000-000042800000}"/>
    <cellStyle name="표준 5 3 2 4 7 2" xfId="10833" xr:uid="{00000000-0005-0000-0000-000043800000}"/>
    <cellStyle name="표준 5 3 2 4 7 2 2" xfId="14945" xr:uid="{00000000-0005-0000-0000-000044800000}"/>
    <cellStyle name="표준 5 3 2 4 7 2 2 2" xfId="31539" xr:uid="{00000000-0005-0000-0000-000045800000}"/>
    <cellStyle name="표준 5 3 2 4 7 2 2 3" xfId="39750" xr:uid="{00000000-0005-0000-0000-000046800000}"/>
    <cellStyle name="표준 5 3 2 4 7 2 2 4" xfId="47943" xr:uid="{00000000-0005-0000-0000-000047800000}"/>
    <cellStyle name="표준 5 3 2 4 7 2 3" xfId="19185" xr:uid="{00000000-0005-0000-0000-000048800000}"/>
    <cellStyle name="표준 5 3 2 4 7 2 4" xfId="23347" xr:uid="{00000000-0005-0000-0000-000049800000}"/>
    <cellStyle name="표준 5 3 2 4 7 2 5" xfId="27443" xr:uid="{00000000-0005-0000-0000-00004A800000}"/>
    <cellStyle name="표준 5 3 2 4 7 2 6" xfId="35654" xr:uid="{00000000-0005-0000-0000-00004B800000}"/>
    <cellStyle name="표준 5 3 2 4 7 2 7" xfId="43847" xr:uid="{00000000-0005-0000-0000-00004C800000}"/>
    <cellStyle name="표준 5 3 2 4 7 3" xfId="8785" xr:uid="{00000000-0005-0000-0000-00004D800000}"/>
    <cellStyle name="표준 5 3 2 4 7 3 2" xfId="29491" xr:uid="{00000000-0005-0000-0000-00004E800000}"/>
    <cellStyle name="표준 5 3 2 4 7 3 3" xfId="37702" xr:uid="{00000000-0005-0000-0000-00004F800000}"/>
    <cellStyle name="표준 5 3 2 4 7 3 4" xfId="45895" xr:uid="{00000000-0005-0000-0000-000050800000}"/>
    <cellStyle name="표준 5 3 2 4 7 4" xfId="12897" xr:uid="{00000000-0005-0000-0000-000051800000}"/>
    <cellStyle name="표준 5 3 2 4 7 5" xfId="17137" xr:uid="{00000000-0005-0000-0000-000052800000}"/>
    <cellStyle name="표준 5 3 2 4 7 6" xfId="21299" xr:uid="{00000000-0005-0000-0000-000053800000}"/>
    <cellStyle name="표준 5 3 2 4 7 7" xfId="25395" xr:uid="{00000000-0005-0000-0000-000054800000}"/>
    <cellStyle name="표준 5 3 2 4 7 8" xfId="33606" xr:uid="{00000000-0005-0000-0000-000055800000}"/>
    <cellStyle name="표준 5 3 2 4 7 9" xfId="41799" xr:uid="{00000000-0005-0000-0000-000056800000}"/>
    <cellStyle name="표준 5 3 2 4 8" xfId="394" xr:uid="{00000000-0005-0000-0000-000057800000}"/>
    <cellStyle name="표준 5 3 2 4 8 2" xfId="9297" xr:uid="{00000000-0005-0000-0000-000058800000}"/>
    <cellStyle name="표준 5 3 2 4 8 2 2" xfId="30003" xr:uid="{00000000-0005-0000-0000-000059800000}"/>
    <cellStyle name="표준 5 3 2 4 8 2 3" xfId="38214" xr:uid="{00000000-0005-0000-0000-00005A800000}"/>
    <cellStyle name="표준 5 3 2 4 8 2 4" xfId="46407" xr:uid="{00000000-0005-0000-0000-00005B800000}"/>
    <cellStyle name="표준 5 3 2 4 8 3" xfId="13409" xr:uid="{00000000-0005-0000-0000-00005C800000}"/>
    <cellStyle name="표준 5 3 2 4 8 4" xfId="17649" xr:uid="{00000000-0005-0000-0000-00005D800000}"/>
    <cellStyle name="표준 5 3 2 4 8 5" xfId="21811" xr:uid="{00000000-0005-0000-0000-00005E800000}"/>
    <cellStyle name="표준 5 3 2 4 8 6" xfId="25907" xr:uid="{00000000-0005-0000-0000-00005F800000}"/>
    <cellStyle name="표준 5 3 2 4 8 7" xfId="34118" xr:uid="{00000000-0005-0000-0000-000060800000}"/>
    <cellStyle name="표준 5 3 2 4 8 8" xfId="42311" xr:uid="{00000000-0005-0000-0000-000061800000}"/>
    <cellStyle name="표준 5 3 2 4 9" xfId="6996" xr:uid="{00000000-0005-0000-0000-000062800000}"/>
    <cellStyle name="표준 5 3 2 4 9 2" xfId="27955" xr:uid="{00000000-0005-0000-0000-000063800000}"/>
    <cellStyle name="표준 5 3 2 4 9 3" xfId="36166" xr:uid="{00000000-0005-0000-0000-000064800000}"/>
    <cellStyle name="표준 5 3 2 4 9 4" xfId="44359" xr:uid="{00000000-0005-0000-0000-000065800000}"/>
    <cellStyle name="표준 5 3 2 5" xfId="426" xr:uid="{00000000-0005-0000-0000-000066800000}"/>
    <cellStyle name="표준 5 3 2 5 10" xfId="11393" xr:uid="{00000000-0005-0000-0000-000067800000}"/>
    <cellStyle name="표준 5 3 2 5 11" xfId="15505" xr:uid="{00000000-0005-0000-0000-000068800000}"/>
    <cellStyle name="표준 5 3 2 5 12" xfId="15633" xr:uid="{00000000-0005-0000-0000-000069800000}"/>
    <cellStyle name="표준 5 3 2 5 13" xfId="19795" xr:uid="{00000000-0005-0000-0000-00006A800000}"/>
    <cellStyle name="표준 5 3 2 5 14" xfId="23891" xr:uid="{00000000-0005-0000-0000-00006B800000}"/>
    <cellStyle name="표준 5 3 2 5 15" xfId="32102" xr:uid="{00000000-0005-0000-0000-00006C800000}"/>
    <cellStyle name="표준 5 3 2 5 16" xfId="40295" xr:uid="{00000000-0005-0000-0000-00006D800000}"/>
    <cellStyle name="표준 5 3 2 5 2" xfId="554" xr:uid="{00000000-0005-0000-0000-00006E800000}"/>
    <cellStyle name="표준 5 3 2 5 2 10" xfId="19923" xr:uid="{00000000-0005-0000-0000-00006F800000}"/>
    <cellStyle name="표준 5 3 2 5 2 11" xfId="24019" xr:uid="{00000000-0005-0000-0000-000070800000}"/>
    <cellStyle name="표준 5 3 2 5 2 12" xfId="32230" xr:uid="{00000000-0005-0000-0000-000071800000}"/>
    <cellStyle name="표준 5 3 2 5 2 13" xfId="40423" xr:uid="{00000000-0005-0000-0000-000072800000}"/>
    <cellStyle name="표준 5 3 2 5 2 2" xfId="810" xr:uid="{00000000-0005-0000-0000-000073800000}"/>
    <cellStyle name="표준 5 3 2 5 2 2 10" xfId="24275" xr:uid="{00000000-0005-0000-0000-000074800000}"/>
    <cellStyle name="표준 5 3 2 5 2 2 11" xfId="32486" xr:uid="{00000000-0005-0000-0000-000075800000}"/>
    <cellStyle name="표준 5 3 2 5 2 2 12" xfId="40679" xr:uid="{00000000-0005-0000-0000-000076800000}"/>
    <cellStyle name="표준 5 3 2 5 2 2 2" xfId="1322" xr:uid="{00000000-0005-0000-0000-000077800000}"/>
    <cellStyle name="표준 5 3 2 5 2 2 2 2" xfId="10225" xr:uid="{00000000-0005-0000-0000-000078800000}"/>
    <cellStyle name="표준 5 3 2 5 2 2 2 2 2" xfId="14337" xr:uid="{00000000-0005-0000-0000-000079800000}"/>
    <cellStyle name="표준 5 3 2 5 2 2 2 2 2 2" xfId="30931" xr:uid="{00000000-0005-0000-0000-00007A800000}"/>
    <cellStyle name="표준 5 3 2 5 2 2 2 2 2 3" xfId="39142" xr:uid="{00000000-0005-0000-0000-00007B800000}"/>
    <cellStyle name="표준 5 3 2 5 2 2 2 2 2 4" xfId="47335" xr:uid="{00000000-0005-0000-0000-00007C800000}"/>
    <cellStyle name="표준 5 3 2 5 2 2 2 2 3" xfId="18577" xr:uid="{00000000-0005-0000-0000-00007D800000}"/>
    <cellStyle name="표준 5 3 2 5 2 2 2 2 4" xfId="22739" xr:uid="{00000000-0005-0000-0000-00007E800000}"/>
    <cellStyle name="표준 5 3 2 5 2 2 2 2 5" xfId="26835" xr:uid="{00000000-0005-0000-0000-00007F800000}"/>
    <cellStyle name="표준 5 3 2 5 2 2 2 2 6" xfId="35046" xr:uid="{00000000-0005-0000-0000-000080800000}"/>
    <cellStyle name="표준 5 3 2 5 2 2 2 2 7" xfId="43239" xr:uid="{00000000-0005-0000-0000-000081800000}"/>
    <cellStyle name="표준 5 3 2 5 2 2 2 3" xfId="8177" xr:uid="{00000000-0005-0000-0000-000082800000}"/>
    <cellStyle name="표준 5 3 2 5 2 2 2 3 2" xfId="28883" xr:uid="{00000000-0005-0000-0000-000083800000}"/>
    <cellStyle name="표준 5 3 2 5 2 2 2 3 3" xfId="37094" xr:uid="{00000000-0005-0000-0000-000084800000}"/>
    <cellStyle name="표준 5 3 2 5 2 2 2 3 4" xfId="45287" xr:uid="{00000000-0005-0000-0000-000085800000}"/>
    <cellStyle name="표준 5 3 2 5 2 2 2 4" xfId="12289" xr:uid="{00000000-0005-0000-0000-000086800000}"/>
    <cellStyle name="표준 5 3 2 5 2 2 2 5" xfId="16529" xr:uid="{00000000-0005-0000-0000-000087800000}"/>
    <cellStyle name="표준 5 3 2 5 2 2 2 6" xfId="20691" xr:uid="{00000000-0005-0000-0000-000088800000}"/>
    <cellStyle name="표준 5 3 2 5 2 2 2 7" xfId="24787" xr:uid="{00000000-0005-0000-0000-000089800000}"/>
    <cellStyle name="표준 5 3 2 5 2 2 2 8" xfId="32998" xr:uid="{00000000-0005-0000-0000-00008A800000}"/>
    <cellStyle name="표준 5 3 2 5 2 2 2 9" xfId="41191" xr:uid="{00000000-0005-0000-0000-00008B800000}"/>
    <cellStyle name="표준 5 3 2 5 2 2 3" xfId="1834" xr:uid="{00000000-0005-0000-0000-00008C800000}"/>
    <cellStyle name="표준 5 3 2 5 2 2 3 2" xfId="10737" xr:uid="{00000000-0005-0000-0000-00008D800000}"/>
    <cellStyle name="표준 5 3 2 5 2 2 3 2 2" xfId="14849" xr:uid="{00000000-0005-0000-0000-00008E800000}"/>
    <cellStyle name="표준 5 3 2 5 2 2 3 2 2 2" xfId="31443" xr:uid="{00000000-0005-0000-0000-00008F800000}"/>
    <cellStyle name="표준 5 3 2 5 2 2 3 2 2 3" xfId="39654" xr:uid="{00000000-0005-0000-0000-000090800000}"/>
    <cellStyle name="표준 5 3 2 5 2 2 3 2 2 4" xfId="47847" xr:uid="{00000000-0005-0000-0000-000091800000}"/>
    <cellStyle name="표준 5 3 2 5 2 2 3 2 3" xfId="19089" xr:uid="{00000000-0005-0000-0000-000092800000}"/>
    <cellStyle name="표준 5 3 2 5 2 2 3 2 4" xfId="23251" xr:uid="{00000000-0005-0000-0000-000093800000}"/>
    <cellStyle name="표준 5 3 2 5 2 2 3 2 5" xfId="27347" xr:uid="{00000000-0005-0000-0000-000094800000}"/>
    <cellStyle name="표준 5 3 2 5 2 2 3 2 6" xfId="35558" xr:uid="{00000000-0005-0000-0000-000095800000}"/>
    <cellStyle name="표준 5 3 2 5 2 2 3 2 7" xfId="43751" xr:uid="{00000000-0005-0000-0000-000096800000}"/>
    <cellStyle name="표준 5 3 2 5 2 2 3 3" xfId="8689" xr:uid="{00000000-0005-0000-0000-000097800000}"/>
    <cellStyle name="표준 5 3 2 5 2 2 3 3 2" xfId="29395" xr:uid="{00000000-0005-0000-0000-000098800000}"/>
    <cellStyle name="표준 5 3 2 5 2 2 3 3 3" xfId="37606" xr:uid="{00000000-0005-0000-0000-000099800000}"/>
    <cellStyle name="표준 5 3 2 5 2 2 3 3 4" xfId="45799" xr:uid="{00000000-0005-0000-0000-00009A800000}"/>
    <cellStyle name="표준 5 3 2 5 2 2 3 4" xfId="12801" xr:uid="{00000000-0005-0000-0000-00009B800000}"/>
    <cellStyle name="표준 5 3 2 5 2 2 3 5" xfId="17041" xr:uid="{00000000-0005-0000-0000-00009C800000}"/>
    <cellStyle name="표준 5 3 2 5 2 2 3 6" xfId="21203" xr:uid="{00000000-0005-0000-0000-00009D800000}"/>
    <cellStyle name="표준 5 3 2 5 2 2 3 7" xfId="25299" xr:uid="{00000000-0005-0000-0000-00009E800000}"/>
    <cellStyle name="표준 5 3 2 5 2 2 3 8" xfId="33510" xr:uid="{00000000-0005-0000-0000-00009F800000}"/>
    <cellStyle name="표준 5 3 2 5 2 2 3 9" xfId="41703" xr:uid="{00000000-0005-0000-0000-0000A0800000}"/>
    <cellStyle name="표준 5 3 2 5 2 2 4" xfId="2346" xr:uid="{00000000-0005-0000-0000-0000A1800000}"/>
    <cellStyle name="표준 5 3 2 5 2 2 4 2" xfId="11249" xr:uid="{00000000-0005-0000-0000-0000A2800000}"/>
    <cellStyle name="표준 5 3 2 5 2 2 4 2 2" xfId="15361" xr:uid="{00000000-0005-0000-0000-0000A3800000}"/>
    <cellStyle name="표준 5 3 2 5 2 2 4 2 2 2" xfId="31955" xr:uid="{00000000-0005-0000-0000-0000A4800000}"/>
    <cellStyle name="표준 5 3 2 5 2 2 4 2 2 3" xfId="40166" xr:uid="{00000000-0005-0000-0000-0000A5800000}"/>
    <cellStyle name="표준 5 3 2 5 2 2 4 2 2 4" xfId="48359" xr:uid="{00000000-0005-0000-0000-0000A6800000}"/>
    <cellStyle name="표준 5 3 2 5 2 2 4 2 3" xfId="19601" xr:uid="{00000000-0005-0000-0000-0000A7800000}"/>
    <cellStyle name="표준 5 3 2 5 2 2 4 2 4" xfId="23763" xr:uid="{00000000-0005-0000-0000-0000A8800000}"/>
    <cellStyle name="표준 5 3 2 5 2 2 4 2 5" xfId="27859" xr:uid="{00000000-0005-0000-0000-0000A9800000}"/>
    <cellStyle name="표준 5 3 2 5 2 2 4 2 6" xfId="36070" xr:uid="{00000000-0005-0000-0000-0000AA800000}"/>
    <cellStyle name="표준 5 3 2 5 2 2 4 2 7" xfId="44263" xr:uid="{00000000-0005-0000-0000-0000AB800000}"/>
    <cellStyle name="표준 5 3 2 5 2 2 4 3" xfId="9201" xr:uid="{00000000-0005-0000-0000-0000AC800000}"/>
    <cellStyle name="표준 5 3 2 5 2 2 4 3 2" xfId="29907" xr:uid="{00000000-0005-0000-0000-0000AD800000}"/>
    <cellStyle name="표준 5 3 2 5 2 2 4 3 3" xfId="38118" xr:uid="{00000000-0005-0000-0000-0000AE800000}"/>
    <cellStyle name="표준 5 3 2 5 2 2 4 3 4" xfId="46311" xr:uid="{00000000-0005-0000-0000-0000AF800000}"/>
    <cellStyle name="표준 5 3 2 5 2 2 4 4" xfId="13313" xr:uid="{00000000-0005-0000-0000-0000B0800000}"/>
    <cellStyle name="표준 5 3 2 5 2 2 4 5" xfId="17553" xr:uid="{00000000-0005-0000-0000-0000B1800000}"/>
    <cellStyle name="표준 5 3 2 5 2 2 4 6" xfId="21715" xr:uid="{00000000-0005-0000-0000-0000B2800000}"/>
    <cellStyle name="표준 5 3 2 5 2 2 4 7" xfId="25811" xr:uid="{00000000-0005-0000-0000-0000B3800000}"/>
    <cellStyle name="표준 5 3 2 5 2 2 4 8" xfId="34022" xr:uid="{00000000-0005-0000-0000-0000B4800000}"/>
    <cellStyle name="표준 5 3 2 5 2 2 4 9" xfId="42215" xr:uid="{00000000-0005-0000-0000-0000B5800000}"/>
    <cellStyle name="표준 5 3 2 5 2 2 5" xfId="9713" xr:uid="{00000000-0005-0000-0000-0000B6800000}"/>
    <cellStyle name="표준 5 3 2 5 2 2 5 2" xfId="13825" xr:uid="{00000000-0005-0000-0000-0000B7800000}"/>
    <cellStyle name="표준 5 3 2 5 2 2 5 2 2" xfId="30419" xr:uid="{00000000-0005-0000-0000-0000B8800000}"/>
    <cellStyle name="표준 5 3 2 5 2 2 5 2 3" xfId="38630" xr:uid="{00000000-0005-0000-0000-0000B9800000}"/>
    <cellStyle name="표준 5 3 2 5 2 2 5 2 4" xfId="46823" xr:uid="{00000000-0005-0000-0000-0000BA800000}"/>
    <cellStyle name="표준 5 3 2 5 2 2 5 3" xfId="18065" xr:uid="{00000000-0005-0000-0000-0000BB800000}"/>
    <cellStyle name="표준 5 3 2 5 2 2 5 4" xfId="22227" xr:uid="{00000000-0005-0000-0000-0000BC800000}"/>
    <cellStyle name="표준 5 3 2 5 2 2 5 5" xfId="26323" xr:uid="{00000000-0005-0000-0000-0000BD800000}"/>
    <cellStyle name="표준 5 3 2 5 2 2 5 6" xfId="34534" xr:uid="{00000000-0005-0000-0000-0000BE800000}"/>
    <cellStyle name="표준 5 3 2 5 2 2 5 7" xfId="42727" xr:uid="{00000000-0005-0000-0000-0000BF800000}"/>
    <cellStyle name="표준 5 3 2 5 2 2 6" xfId="7665" xr:uid="{00000000-0005-0000-0000-0000C0800000}"/>
    <cellStyle name="표준 5 3 2 5 2 2 6 2" xfId="28371" xr:uid="{00000000-0005-0000-0000-0000C1800000}"/>
    <cellStyle name="표준 5 3 2 5 2 2 6 3" xfId="36582" xr:uid="{00000000-0005-0000-0000-0000C2800000}"/>
    <cellStyle name="표준 5 3 2 5 2 2 6 4" xfId="44775" xr:uid="{00000000-0005-0000-0000-0000C3800000}"/>
    <cellStyle name="표준 5 3 2 5 2 2 7" xfId="11777" xr:uid="{00000000-0005-0000-0000-0000C4800000}"/>
    <cellStyle name="표준 5 3 2 5 2 2 8" xfId="16017" xr:uid="{00000000-0005-0000-0000-0000C5800000}"/>
    <cellStyle name="표준 5 3 2 5 2 2 9" xfId="20179" xr:uid="{00000000-0005-0000-0000-0000C6800000}"/>
    <cellStyle name="표준 5 3 2 5 2 3" xfId="1066" xr:uid="{00000000-0005-0000-0000-0000C7800000}"/>
    <cellStyle name="표준 5 3 2 5 2 3 2" xfId="9969" xr:uid="{00000000-0005-0000-0000-0000C8800000}"/>
    <cellStyle name="표준 5 3 2 5 2 3 2 2" xfId="14081" xr:uid="{00000000-0005-0000-0000-0000C9800000}"/>
    <cellStyle name="표준 5 3 2 5 2 3 2 2 2" xfId="30675" xr:uid="{00000000-0005-0000-0000-0000CA800000}"/>
    <cellStyle name="표준 5 3 2 5 2 3 2 2 3" xfId="38886" xr:uid="{00000000-0005-0000-0000-0000CB800000}"/>
    <cellStyle name="표준 5 3 2 5 2 3 2 2 4" xfId="47079" xr:uid="{00000000-0005-0000-0000-0000CC800000}"/>
    <cellStyle name="표준 5 3 2 5 2 3 2 3" xfId="18321" xr:uid="{00000000-0005-0000-0000-0000CD800000}"/>
    <cellStyle name="표준 5 3 2 5 2 3 2 4" xfId="22483" xr:uid="{00000000-0005-0000-0000-0000CE800000}"/>
    <cellStyle name="표준 5 3 2 5 2 3 2 5" xfId="26579" xr:uid="{00000000-0005-0000-0000-0000CF800000}"/>
    <cellStyle name="표준 5 3 2 5 2 3 2 6" xfId="34790" xr:uid="{00000000-0005-0000-0000-0000D0800000}"/>
    <cellStyle name="표준 5 3 2 5 2 3 2 7" xfId="42983" xr:uid="{00000000-0005-0000-0000-0000D1800000}"/>
    <cellStyle name="표준 5 3 2 5 2 3 3" xfId="7921" xr:uid="{00000000-0005-0000-0000-0000D2800000}"/>
    <cellStyle name="표준 5 3 2 5 2 3 3 2" xfId="28627" xr:uid="{00000000-0005-0000-0000-0000D3800000}"/>
    <cellStyle name="표준 5 3 2 5 2 3 3 3" xfId="36838" xr:uid="{00000000-0005-0000-0000-0000D4800000}"/>
    <cellStyle name="표준 5 3 2 5 2 3 3 4" xfId="45031" xr:uid="{00000000-0005-0000-0000-0000D5800000}"/>
    <cellStyle name="표준 5 3 2 5 2 3 4" xfId="12033" xr:uid="{00000000-0005-0000-0000-0000D6800000}"/>
    <cellStyle name="표준 5 3 2 5 2 3 5" xfId="16273" xr:uid="{00000000-0005-0000-0000-0000D7800000}"/>
    <cellStyle name="표준 5 3 2 5 2 3 6" xfId="20435" xr:uid="{00000000-0005-0000-0000-0000D8800000}"/>
    <cellStyle name="표준 5 3 2 5 2 3 7" xfId="24531" xr:uid="{00000000-0005-0000-0000-0000D9800000}"/>
    <cellStyle name="표준 5 3 2 5 2 3 8" xfId="32742" xr:uid="{00000000-0005-0000-0000-0000DA800000}"/>
    <cellStyle name="표준 5 3 2 5 2 3 9" xfId="40935" xr:uid="{00000000-0005-0000-0000-0000DB800000}"/>
    <cellStyle name="표준 5 3 2 5 2 4" xfId="1578" xr:uid="{00000000-0005-0000-0000-0000DC800000}"/>
    <cellStyle name="표준 5 3 2 5 2 4 2" xfId="10481" xr:uid="{00000000-0005-0000-0000-0000DD800000}"/>
    <cellStyle name="표준 5 3 2 5 2 4 2 2" xfId="14593" xr:uid="{00000000-0005-0000-0000-0000DE800000}"/>
    <cellStyle name="표준 5 3 2 5 2 4 2 2 2" xfId="31187" xr:uid="{00000000-0005-0000-0000-0000DF800000}"/>
    <cellStyle name="표준 5 3 2 5 2 4 2 2 3" xfId="39398" xr:uid="{00000000-0005-0000-0000-0000E0800000}"/>
    <cellStyle name="표준 5 3 2 5 2 4 2 2 4" xfId="47591" xr:uid="{00000000-0005-0000-0000-0000E1800000}"/>
    <cellStyle name="표준 5 3 2 5 2 4 2 3" xfId="18833" xr:uid="{00000000-0005-0000-0000-0000E2800000}"/>
    <cellStyle name="표준 5 3 2 5 2 4 2 4" xfId="22995" xr:uid="{00000000-0005-0000-0000-0000E3800000}"/>
    <cellStyle name="표준 5 3 2 5 2 4 2 5" xfId="27091" xr:uid="{00000000-0005-0000-0000-0000E4800000}"/>
    <cellStyle name="표준 5 3 2 5 2 4 2 6" xfId="35302" xr:uid="{00000000-0005-0000-0000-0000E5800000}"/>
    <cellStyle name="표준 5 3 2 5 2 4 2 7" xfId="43495" xr:uid="{00000000-0005-0000-0000-0000E6800000}"/>
    <cellStyle name="표준 5 3 2 5 2 4 3" xfId="8433" xr:uid="{00000000-0005-0000-0000-0000E7800000}"/>
    <cellStyle name="표준 5 3 2 5 2 4 3 2" xfId="29139" xr:uid="{00000000-0005-0000-0000-0000E8800000}"/>
    <cellStyle name="표준 5 3 2 5 2 4 3 3" xfId="37350" xr:uid="{00000000-0005-0000-0000-0000E9800000}"/>
    <cellStyle name="표준 5 3 2 5 2 4 3 4" xfId="45543" xr:uid="{00000000-0005-0000-0000-0000EA800000}"/>
    <cellStyle name="표준 5 3 2 5 2 4 4" xfId="12545" xr:uid="{00000000-0005-0000-0000-0000EB800000}"/>
    <cellStyle name="표준 5 3 2 5 2 4 5" xfId="16785" xr:uid="{00000000-0005-0000-0000-0000EC800000}"/>
    <cellStyle name="표준 5 3 2 5 2 4 6" xfId="20947" xr:uid="{00000000-0005-0000-0000-0000ED800000}"/>
    <cellStyle name="표준 5 3 2 5 2 4 7" xfId="25043" xr:uid="{00000000-0005-0000-0000-0000EE800000}"/>
    <cellStyle name="표준 5 3 2 5 2 4 8" xfId="33254" xr:uid="{00000000-0005-0000-0000-0000EF800000}"/>
    <cellStyle name="표준 5 3 2 5 2 4 9" xfId="41447" xr:uid="{00000000-0005-0000-0000-0000F0800000}"/>
    <cellStyle name="표준 5 3 2 5 2 5" xfId="2090" xr:uid="{00000000-0005-0000-0000-0000F1800000}"/>
    <cellStyle name="표준 5 3 2 5 2 5 2" xfId="10993" xr:uid="{00000000-0005-0000-0000-0000F2800000}"/>
    <cellStyle name="표준 5 3 2 5 2 5 2 2" xfId="15105" xr:uid="{00000000-0005-0000-0000-0000F3800000}"/>
    <cellStyle name="표준 5 3 2 5 2 5 2 2 2" xfId="31699" xr:uid="{00000000-0005-0000-0000-0000F4800000}"/>
    <cellStyle name="표준 5 3 2 5 2 5 2 2 3" xfId="39910" xr:uid="{00000000-0005-0000-0000-0000F5800000}"/>
    <cellStyle name="표준 5 3 2 5 2 5 2 2 4" xfId="48103" xr:uid="{00000000-0005-0000-0000-0000F6800000}"/>
    <cellStyle name="표준 5 3 2 5 2 5 2 3" xfId="19345" xr:uid="{00000000-0005-0000-0000-0000F7800000}"/>
    <cellStyle name="표준 5 3 2 5 2 5 2 4" xfId="23507" xr:uid="{00000000-0005-0000-0000-0000F8800000}"/>
    <cellStyle name="표준 5 3 2 5 2 5 2 5" xfId="27603" xr:uid="{00000000-0005-0000-0000-0000F9800000}"/>
    <cellStyle name="표준 5 3 2 5 2 5 2 6" xfId="35814" xr:uid="{00000000-0005-0000-0000-0000FA800000}"/>
    <cellStyle name="표준 5 3 2 5 2 5 2 7" xfId="44007" xr:uid="{00000000-0005-0000-0000-0000FB800000}"/>
    <cellStyle name="표준 5 3 2 5 2 5 3" xfId="8945" xr:uid="{00000000-0005-0000-0000-0000FC800000}"/>
    <cellStyle name="표준 5 3 2 5 2 5 3 2" xfId="29651" xr:uid="{00000000-0005-0000-0000-0000FD800000}"/>
    <cellStyle name="표준 5 3 2 5 2 5 3 3" xfId="37862" xr:uid="{00000000-0005-0000-0000-0000FE800000}"/>
    <cellStyle name="표준 5 3 2 5 2 5 3 4" xfId="46055" xr:uid="{00000000-0005-0000-0000-0000FF800000}"/>
    <cellStyle name="표준 5 3 2 5 2 5 4" xfId="13057" xr:uid="{00000000-0005-0000-0000-000000810000}"/>
    <cellStyle name="표준 5 3 2 5 2 5 5" xfId="17297" xr:uid="{00000000-0005-0000-0000-000001810000}"/>
    <cellStyle name="표준 5 3 2 5 2 5 6" xfId="21459" xr:uid="{00000000-0005-0000-0000-000002810000}"/>
    <cellStyle name="표준 5 3 2 5 2 5 7" xfId="25555" xr:uid="{00000000-0005-0000-0000-000003810000}"/>
    <cellStyle name="표준 5 3 2 5 2 5 8" xfId="33766" xr:uid="{00000000-0005-0000-0000-000004810000}"/>
    <cellStyle name="표준 5 3 2 5 2 5 9" xfId="41959" xr:uid="{00000000-0005-0000-0000-000005810000}"/>
    <cellStyle name="표준 5 3 2 5 2 6" xfId="9457" xr:uid="{00000000-0005-0000-0000-000006810000}"/>
    <cellStyle name="표준 5 3 2 5 2 6 2" xfId="13569" xr:uid="{00000000-0005-0000-0000-000007810000}"/>
    <cellStyle name="표준 5 3 2 5 2 6 2 2" xfId="30163" xr:uid="{00000000-0005-0000-0000-000008810000}"/>
    <cellStyle name="표준 5 3 2 5 2 6 2 3" xfId="38374" xr:uid="{00000000-0005-0000-0000-000009810000}"/>
    <cellStyle name="표준 5 3 2 5 2 6 2 4" xfId="46567" xr:uid="{00000000-0005-0000-0000-00000A810000}"/>
    <cellStyle name="표준 5 3 2 5 2 6 3" xfId="17809" xr:uid="{00000000-0005-0000-0000-00000B810000}"/>
    <cellStyle name="표준 5 3 2 5 2 6 4" xfId="21971" xr:uid="{00000000-0005-0000-0000-00000C810000}"/>
    <cellStyle name="표준 5 3 2 5 2 6 5" xfId="26067" xr:uid="{00000000-0005-0000-0000-00000D810000}"/>
    <cellStyle name="표준 5 3 2 5 2 6 6" xfId="34278" xr:uid="{00000000-0005-0000-0000-00000E810000}"/>
    <cellStyle name="표준 5 3 2 5 2 6 7" xfId="42471" xr:uid="{00000000-0005-0000-0000-00000F810000}"/>
    <cellStyle name="표준 5 3 2 5 2 7" xfId="7409" xr:uid="{00000000-0005-0000-0000-000010810000}"/>
    <cellStyle name="표준 5 3 2 5 2 7 2" xfId="28115" xr:uid="{00000000-0005-0000-0000-000011810000}"/>
    <cellStyle name="표준 5 3 2 5 2 7 3" xfId="36326" xr:uid="{00000000-0005-0000-0000-000012810000}"/>
    <cellStyle name="표준 5 3 2 5 2 7 4" xfId="44519" xr:uid="{00000000-0005-0000-0000-000013810000}"/>
    <cellStyle name="표준 5 3 2 5 2 8" xfId="11521" xr:uid="{00000000-0005-0000-0000-000014810000}"/>
    <cellStyle name="표준 5 3 2 5 2 9" xfId="15761" xr:uid="{00000000-0005-0000-0000-000015810000}"/>
    <cellStyle name="표준 5 3 2 5 3" xfId="682" xr:uid="{00000000-0005-0000-0000-000016810000}"/>
    <cellStyle name="표준 5 3 2 5 3 10" xfId="24147" xr:uid="{00000000-0005-0000-0000-000017810000}"/>
    <cellStyle name="표준 5 3 2 5 3 11" xfId="32358" xr:uid="{00000000-0005-0000-0000-000018810000}"/>
    <cellStyle name="표준 5 3 2 5 3 12" xfId="40551" xr:uid="{00000000-0005-0000-0000-000019810000}"/>
    <cellStyle name="표준 5 3 2 5 3 2" xfId="1194" xr:uid="{00000000-0005-0000-0000-00001A810000}"/>
    <cellStyle name="표준 5 3 2 5 3 2 2" xfId="10097" xr:uid="{00000000-0005-0000-0000-00001B810000}"/>
    <cellStyle name="표준 5 3 2 5 3 2 2 2" xfId="14209" xr:uid="{00000000-0005-0000-0000-00001C810000}"/>
    <cellStyle name="표준 5 3 2 5 3 2 2 2 2" xfId="30803" xr:uid="{00000000-0005-0000-0000-00001D810000}"/>
    <cellStyle name="표준 5 3 2 5 3 2 2 2 3" xfId="39014" xr:uid="{00000000-0005-0000-0000-00001E810000}"/>
    <cellStyle name="표준 5 3 2 5 3 2 2 2 4" xfId="47207" xr:uid="{00000000-0005-0000-0000-00001F810000}"/>
    <cellStyle name="표준 5 3 2 5 3 2 2 3" xfId="18449" xr:uid="{00000000-0005-0000-0000-000020810000}"/>
    <cellStyle name="표준 5 3 2 5 3 2 2 4" xfId="22611" xr:uid="{00000000-0005-0000-0000-000021810000}"/>
    <cellStyle name="표준 5 3 2 5 3 2 2 5" xfId="26707" xr:uid="{00000000-0005-0000-0000-000022810000}"/>
    <cellStyle name="표준 5 3 2 5 3 2 2 6" xfId="34918" xr:uid="{00000000-0005-0000-0000-000023810000}"/>
    <cellStyle name="표준 5 3 2 5 3 2 2 7" xfId="43111" xr:uid="{00000000-0005-0000-0000-000024810000}"/>
    <cellStyle name="표준 5 3 2 5 3 2 3" xfId="8049" xr:uid="{00000000-0005-0000-0000-000025810000}"/>
    <cellStyle name="표준 5 3 2 5 3 2 3 2" xfId="28755" xr:uid="{00000000-0005-0000-0000-000026810000}"/>
    <cellStyle name="표준 5 3 2 5 3 2 3 3" xfId="36966" xr:uid="{00000000-0005-0000-0000-000027810000}"/>
    <cellStyle name="표준 5 3 2 5 3 2 3 4" xfId="45159" xr:uid="{00000000-0005-0000-0000-000028810000}"/>
    <cellStyle name="표준 5 3 2 5 3 2 4" xfId="12161" xr:uid="{00000000-0005-0000-0000-000029810000}"/>
    <cellStyle name="표준 5 3 2 5 3 2 5" xfId="16401" xr:uid="{00000000-0005-0000-0000-00002A810000}"/>
    <cellStyle name="표준 5 3 2 5 3 2 6" xfId="20563" xr:uid="{00000000-0005-0000-0000-00002B810000}"/>
    <cellStyle name="표준 5 3 2 5 3 2 7" xfId="24659" xr:uid="{00000000-0005-0000-0000-00002C810000}"/>
    <cellStyle name="표준 5 3 2 5 3 2 8" xfId="32870" xr:uid="{00000000-0005-0000-0000-00002D810000}"/>
    <cellStyle name="표준 5 3 2 5 3 2 9" xfId="41063" xr:uid="{00000000-0005-0000-0000-00002E810000}"/>
    <cellStyle name="표준 5 3 2 5 3 3" xfId="1706" xr:uid="{00000000-0005-0000-0000-00002F810000}"/>
    <cellStyle name="표준 5 3 2 5 3 3 2" xfId="10609" xr:uid="{00000000-0005-0000-0000-000030810000}"/>
    <cellStyle name="표준 5 3 2 5 3 3 2 2" xfId="14721" xr:uid="{00000000-0005-0000-0000-000031810000}"/>
    <cellStyle name="표준 5 3 2 5 3 3 2 2 2" xfId="31315" xr:uid="{00000000-0005-0000-0000-000032810000}"/>
    <cellStyle name="표준 5 3 2 5 3 3 2 2 3" xfId="39526" xr:uid="{00000000-0005-0000-0000-000033810000}"/>
    <cellStyle name="표준 5 3 2 5 3 3 2 2 4" xfId="47719" xr:uid="{00000000-0005-0000-0000-000034810000}"/>
    <cellStyle name="표준 5 3 2 5 3 3 2 3" xfId="18961" xr:uid="{00000000-0005-0000-0000-000035810000}"/>
    <cellStyle name="표준 5 3 2 5 3 3 2 4" xfId="23123" xr:uid="{00000000-0005-0000-0000-000036810000}"/>
    <cellStyle name="표준 5 3 2 5 3 3 2 5" xfId="27219" xr:uid="{00000000-0005-0000-0000-000037810000}"/>
    <cellStyle name="표준 5 3 2 5 3 3 2 6" xfId="35430" xr:uid="{00000000-0005-0000-0000-000038810000}"/>
    <cellStyle name="표준 5 3 2 5 3 3 2 7" xfId="43623" xr:uid="{00000000-0005-0000-0000-000039810000}"/>
    <cellStyle name="표준 5 3 2 5 3 3 3" xfId="8561" xr:uid="{00000000-0005-0000-0000-00003A810000}"/>
    <cellStyle name="표준 5 3 2 5 3 3 3 2" xfId="29267" xr:uid="{00000000-0005-0000-0000-00003B810000}"/>
    <cellStyle name="표준 5 3 2 5 3 3 3 3" xfId="37478" xr:uid="{00000000-0005-0000-0000-00003C810000}"/>
    <cellStyle name="표준 5 3 2 5 3 3 3 4" xfId="45671" xr:uid="{00000000-0005-0000-0000-00003D810000}"/>
    <cellStyle name="표준 5 3 2 5 3 3 4" xfId="12673" xr:uid="{00000000-0005-0000-0000-00003E810000}"/>
    <cellStyle name="표준 5 3 2 5 3 3 5" xfId="16913" xr:uid="{00000000-0005-0000-0000-00003F810000}"/>
    <cellStyle name="표준 5 3 2 5 3 3 6" xfId="21075" xr:uid="{00000000-0005-0000-0000-000040810000}"/>
    <cellStyle name="표준 5 3 2 5 3 3 7" xfId="25171" xr:uid="{00000000-0005-0000-0000-000041810000}"/>
    <cellStyle name="표준 5 3 2 5 3 3 8" xfId="33382" xr:uid="{00000000-0005-0000-0000-000042810000}"/>
    <cellStyle name="표준 5 3 2 5 3 3 9" xfId="41575" xr:uid="{00000000-0005-0000-0000-000043810000}"/>
    <cellStyle name="표준 5 3 2 5 3 4" xfId="2218" xr:uid="{00000000-0005-0000-0000-000044810000}"/>
    <cellStyle name="표준 5 3 2 5 3 4 2" xfId="11121" xr:uid="{00000000-0005-0000-0000-000045810000}"/>
    <cellStyle name="표준 5 3 2 5 3 4 2 2" xfId="15233" xr:uid="{00000000-0005-0000-0000-000046810000}"/>
    <cellStyle name="표준 5 3 2 5 3 4 2 2 2" xfId="31827" xr:uid="{00000000-0005-0000-0000-000047810000}"/>
    <cellStyle name="표준 5 3 2 5 3 4 2 2 3" xfId="40038" xr:uid="{00000000-0005-0000-0000-000048810000}"/>
    <cellStyle name="표준 5 3 2 5 3 4 2 2 4" xfId="48231" xr:uid="{00000000-0005-0000-0000-000049810000}"/>
    <cellStyle name="표준 5 3 2 5 3 4 2 3" xfId="19473" xr:uid="{00000000-0005-0000-0000-00004A810000}"/>
    <cellStyle name="표준 5 3 2 5 3 4 2 4" xfId="23635" xr:uid="{00000000-0005-0000-0000-00004B810000}"/>
    <cellStyle name="표준 5 3 2 5 3 4 2 5" xfId="27731" xr:uid="{00000000-0005-0000-0000-00004C810000}"/>
    <cellStyle name="표준 5 3 2 5 3 4 2 6" xfId="35942" xr:uid="{00000000-0005-0000-0000-00004D810000}"/>
    <cellStyle name="표준 5 3 2 5 3 4 2 7" xfId="44135" xr:uid="{00000000-0005-0000-0000-00004E810000}"/>
    <cellStyle name="표준 5 3 2 5 3 4 3" xfId="9073" xr:uid="{00000000-0005-0000-0000-00004F810000}"/>
    <cellStyle name="표준 5 3 2 5 3 4 3 2" xfId="29779" xr:uid="{00000000-0005-0000-0000-000050810000}"/>
    <cellStyle name="표준 5 3 2 5 3 4 3 3" xfId="37990" xr:uid="{00000000-0005-0000-0000-000051810000}"/>
    <cellStyle name="표준 5 3 2 5 3 4 3 4" xfId="46183" xr:uid="{00000000-0005-0000-0000-000052810000}"/>
    <cellStyle name="표준 5 3 2 5 3 4 4" xfId="13185" xr:uid="{00000000-0005-0000-0000-000053810000}"/>
    <cellStyle name="표준 5 3 2 5 3 4 5" xfId="17425" xr:uid="{00000000-0005-0000-0000-000054810000}"/>
    <cellStyle name="표준 5 3 2 5 3 4 6" xfId="21587" xr:uid="{00000000-0005-0000-0000-000055810000}"/>
    <cellStyle name="표준 5 3 2 5 3 4 7" xfId="25683" xr:uid="{00000000-0005-0000-0000-000056810000}"/>
    <cellStyle name="표준 5 3 2 5 3 4 8" xfId="33894" xr:uid="{00000000-0005-0000-0000-000057810000}"/>
    <cellStyle name="표준 5 3 2 5 3 4 9" xfId="42087" xr:uid="{00000000-0005-0000-0000-000058810000}"/>
    <cellStyle name="표준 5 3 2 5 3 5" xfId="9585" xr:uid="{00000000-0005-0000-0000-000059810000}"/>
    <cellStyle name="표준 5 3 2 5 3 5 2" xfId="13697" xr:uid="{00000000-0005-0000-0000-00005A810000}"/>
    <cellStyle name="표준 5 3 2 5 3 5 2 2" xfId="30291" xr:uid="{00000000-0005-0000-0000-00005B810000}"/>
    <cellStyle name="표준 5 3 2 5 3 5 2 3" xfId="38502" xr:uid="{00000000-0005-0000-0000-00005C810000}"/>
    <cellStyle name="표준 5 3 2 5 3 5 2 4" xfId="46695" xr:uid="{00000000-0005-0000-0000-00005D810000}"/>
    <cellStyle name="표준 5 3 2 5 3 5 3" xfId="17937" xr:uid="{00000000-0005-0000-0000-00005E810000}"/>
    <cellStyle name="표준 5 3 2 5 3 5 4" xfId="22099" xr:uid="{00000000-0005-0000-0000-00005F810000}"/>
    <cellStyle name="표준 5 3 2 5 3 5 5" xfId="26195" xr:uid="{00000000-0005-0000-0000-000060810000}"/>
    <cellStyle name="표준 5 3 2 5 3 5 6" xfId="34406" xr:uid="{00000000-0005-0000-0000-000061810000}"/>
    <cellStyle name="표준 5 3 2 5 3 5 7" xfId="42599" xr:uid="{00000000-0005-0000-0000-000062810000}"/>
    <cellStyle name="표준 5 3 2 5 3 6" xfId="7537" xr:uid="{00000000-0005-0000-0000-000063810000}"/>
    <cellStyle name="표준 5 3 2 5 3 6 2" xfId="28243" xr:uid="{00000000-0005-0000-0000-000064810000}"/>
    <cellStyle name="표준 5 3 2 5 3 6 3" xfId="36454" xr:uid="{00000000-0005-0000-0000-000065810000}"/>
    <cellStyle name="표준 5 3 2 5 3 6 4" xfId="44647" xr:uid="{00000000-0005-0000-0000-000066810000}"/>
    <cellStyle name="표준 5 3 2 5 3 7" xfId="11649" xr:uid="{00000000-0005-0000-0000-000067810000}"/>
    <cellStyle name="표준 5 3 2 5 3 8" xfId="15889" xr:uid="{00000000-0005-0000-0000-000068810000}"/>
    <cellStyle name="표준 5 3 2 5 3 9" xfId="20051" xr:uid="{00000000-0005-0000-0000-000069810000}"/>
    <cellStyle name="표준 5 3 2 5 4" xfId="938" xr:uid="{00000000-0005-0000-0000-00006A810000}"/>
    <cellStyle name="표준 5 3 2 5 4 2" xfId="9841" xr:uid="{00000000-0005-0000-0000-00006B810000}"/>
    <cellStyle name="표준 5 3 2 5 4 2 2" xfId="13953" xr:uid="{00000000-0005-0000-0000-00006C810000}"/>
    <cellStyle name="표준 5 3 2 5 4 2 2 2" xfId="30547" xr:uid="{00000000-0005-0000-0000-00006D810000}"/>
    <cellStyle name="표준 5 3 2 5 4 2 2 3" xfId="38758" xr:uid="{00000000-0005-0000-0000-00006E810000}"/>
    <cellStyle name="표준 5 3 2 5 4 2 2 4" xfId="46951" xr:uid="{00000000-0005-0000-0000-00006F810000}"/>
    <cellStyle name="표준 5 3 2 5 4 2 3" xfId="18193" xr:uid="{00000000-0005-0000-0000-000070810000}"/>
    <cellStyle name="표준 5 3 2 5 4 2 4" xfId="22355" xr:uid="{00000000-0005-0000-0000-000071810000}"/>
    <cellStyle name="표준 5 3 2 5 4 2 5" xfId="26451" xr:uid="{00000000-0005-0000-0000-000072810000}"/>
    <cellStyle name="표준 5 3 2 5 4 2 6" xfId="34662" xr:uid="{00000000-0005-0000-0000-000073810000}"/>
    <cellStyle name="표준 5 3 2 5 4 2 7" xfId="42855" xr:uid="{00000000-0005-0000-0000-000074810000}"/>
    <cellStyle name="표준 5 3 2 5 4 3" xfId="7793" xr:uid="{00000000-0005-0000-0000-000075810000}"/>
    <cellStyle name="표준 5 3 2 5 4 3 2" xfId="28499" xr:uid="{00000000-0005-0000-0000-000076810000}"/>
    <cellStyle name="표준 5 3 2 5 4 3 3" xfId="36710" xr:uid="{00000000-0005-0000-0000-000077810000}"/>
    <cellStyle name="표준 5 3 2 5 4 3 4" xfId="44903" xr:uid="{00000000-0005-0000-0000-000078810000}"/>
    <cellStyle name="표준 5 3 2 5 4 4" xfId="11905" xr:uid="{00000000-0005-0000-0000-000079810000}"/>
    <cellStyle name="표준 5 3 2 5 4 5" xfId="16145" xr:uid="{00000000-0005-0000-0000-00007A810000}"/>
    <cellStyle name="표준 5 3 2 5 4 6" xfId="20307" xr:uid="{00000000-0005-0000-0000-00007B810000}"/>
    <cellStyle name="표준 5 3 2 5 4 7" xfId="24403" xr:uid="{00000000-0005-0000-0000-00007C810000}"/>
    <cellStyle name="표준 5 3 2 5 4 8" xfId="32614" xr:uid="{00000000-0005-0000-0000-00007D810000}"/>
    <cellStyle name="표준 5 3 2 5 4 9" xfId="40807" xr:uid="{00000000-0005-0000-0000-00007E810000}"/>
    <cellStyle name="표준 5 3 2 5 5" xfId="1450" xr:uid="{00000000-0005-0000-0000-00007F810000}"/>
    <cellStyle name="표준 5 3 2 5 5 2" xfId="10353" xr:uid="{00000000-0005-0000-0000-000080810000}"/>
    <cellStyle name="표준 5 3 2 5 5 2 2" xfId="14465" xr:uid="{00000000-0005-0000-0000-000081810000}"/>
    <cellStyle name="표준 5 3 2 5 5 2 2 2" xfId="31059" xr:uid="{00000000-0005-0000-0000-000082810000}"/>
    <cellStyle name="표준 5 3 2 5 5 2 2 3" xfId="39270" xr:uid="{00000000-0005-0000-0000-000083810000}"/>
    <cellStyle name="표준 5 3 2 5 5 2 2 4" xfId="47463" xr:uid="{00000000-0005-0000-0000-000084810000}"/>
    <cellStyle name="표준 5 3 2 5 5 2 3" xfId="18705" xr:uid="{00000000-0005-0000-0000-000085810000}"/>
    <cellStyle name="표준 5 3 2 5 5 2 4" xfId="22867" xr:uid="{00000000-0005-0000-0000-000086810000}"/>
    <cellStyle name="표준 5 3 2 5 5 2 5" xfId="26963" xr:uid="{00000000-0005-0000-0000-000087810000}"/>
    <cellStyle name="표준 5 3 2 5 5 2 6" xfId="35174" xr:uid="{00000000-0005-0000-0000-000088810000}"/>
    <cellStyle name="표준 5 3 2 5 5 2 7" xfId="43367" xr:uid="{00000000-0005-0000-0000-000089810000}"/>
    <cellStyle name="표준 5 3 2 5 5 3" xfId="8305" xr:uid="{00000000-0005-0000-0000-00008A810000}"/>
    <cellStyle name="표준 5 3 2 5 5 3 2" xfId="29011" xr:uid="{00000000-0005-0000-0000-00008B810000}"/>
    <cellStyle name="표준 5 3 2 5 5 3 3" xfId="37222" xr:uid="{00000000-0005-0000-0000-00008C810000}"/>
    <cellStyle name="표준 5 3 2 5 5 3 4" xfId="45415" xr:uid="{00000000-0005-0000-0000-00008D810000}"/>
    <cellStyle name="표준 5 3 2 5 5 4" xfId="12417" xr:uid="{00000000-0005-0000-0000-00008E810000}"/>
    <cellStyle name="표준 5 3 2 5 5 5" xfId="16657" xr:uid="{00000000-0005-0000-0000-00008F810000}"/>
    <cellStyle name="표준 5 3 2 5 5 6" xfId="20819" xr:uid="{00000000-0005-0000-0000-000090810000}"/>
    <cellStyle name="표준 5 3 2 5 5 7" xfId="24915" xr:uid="{00000000-0005-0000-0000-000091810000}"/>
    <cellStyle name="표준 5 3 2 5 5 8" xfId="33126" xr:uid="{00000000-0005-0000-0000-000092810000}"/>
    <cellStyle name="표준 5 3 2 5 5 9" xfId="41319" xr:uid="{00000000-0005-0000-0000-000093810000}"/>
    <cellStyle name="표준 5 3 2 5 6" xfId="1962" xr:uid="{00000000-0005-0000-0000-000094810000}"/>
    <cellStyle name="표준 5 3 2 5 6 2" xfId="10865" xr:uid="{00000000-0005-0000-0000-000095810000}"/>
    <cellStyle name="표준 5 3 2 5 6 2 2" xfId="14977" xr:uid="{00000000-0005-0000-0000-000096810000}"/>
    <cellStyle name="표준 5 3 2 5 6 2 2 2" xfId="31571" xr:uid="{00000000-0005-0000-0000-000097810000}"/>
    <cellStyle name="표준 5 3 2 5 6 2 2 3" xfId="39782" xr:uid="{00000000-0005-0000-0000-000098810000}"/>
    <cellStyle name="표준 5 3 2 5 6 2 2 4" xfId="47975" xr:uid="{00000000-0005-0000-0000-000099810000}"/>
    <cellStyle name="표준 5 3 2 5 6 2 3" xfId="19217" xr:uid="{00000000-0005-0000-0000-00009A810000}"/>
    <cellStyle name="표준 5 3 2 5 6 2 4" xfId="23379" xr:uid="{00000000-0005-0000-0000-00009B810000}"/>
    <cellStyle name="표준 5 3 2 5 6 2 5" xfId="27475" xr:uid="{00000000-0005-0000-0000-00009C810000}"/>
    <cellStyle name="표준 5 3 2 5 6 2 6" xfId="35686" xr:uid="{00000000-0005-0000-0000-00009D810000}"/>
    <cellStyle name="표준 5 3 2 5 6 2 7" xfId="43879" xr:uid="{00000000-0005-0000-0000-00009E810000}"/>
    <cellStyle name="표준 5 3 2 5 6 3" xfId="8817" xr:uid="{00000000-0005-0000-0000-00009F810000}"/>
    <cellStyle name="표준 5 3 2 5 6 3 2" xfId="29523" xr:uid="{00000000-0005-0000-0000-0000A0810000}"/>
    <cellStyle name="표준 5 3 2 5 6 3 3" xfId="37734" xr:uid="{00000000-0005-0000-0000-0000A1810000}"/>
    <cellStyle name="표준 5 3 2 5 6 3 4" xfId="45927" xr:uid="{00000000-0005-0000-0000-0000A2810000}"/>
    <cellStyle name="표준 5 3 2 5 6 4" xfId="12929" xr:uid="{00000000-0005-0000-0000-0000A3810000}"/>
    <cellStyle name="표준 5 3 2 5 6 5" xfId="17169" xr:uid="{00000000-0005-0000-0000-0000A4810000}"/>
    <cellStyle name="표준 5 3 2 5 6 6" xfId="21331" xr:uid="{00000000-0005-0000-0000-0000A5810000}"/>
    <cellStyle name="표준 5 3 2 5 6 7" xfId="25427" xr:uid="{00000000-0005-0000-0000-0000A6810000}"/>
    <cellStyle name="표준 5 3 2 5 6 8" xfId="33638" xr:uid="{00000000-0005-0000-0000-0000A7810000}"/>
    <cellStyle name="표준 5 3 2 5 6 9" xfId="41831" xr:uid="{00000000-0005-0000-0000-0000A8810000}"/>
    <cellStyle name="표준 5 3 2 5 7" xfId="7022" xr:uid="{00000000-0005-0000-0000-0000A9810000}"/>
    <cellStyle name="표준 5 3 2 5 7 2" xfId="9329" xr:uid="{00000000-0005-0000-0000-0000AA810000}"/>
    <cellStyle name="표준 5 3 2 5 7 2 2" xfId="30035" xr:uid="{00000000-0005-0000-0000-0000AB810000}"/>
    <cellStyle name="표준 5 3 2 5 7 2 3" xfId="38246" xr:uid="{00000000-0005-0000-0000-0000AC810000}"/>
    <cellStyle name="표준 5 3 2 5 7 2 4" xfId="46439" xr:uid="{00000000-0005-0000-0000-0000AD810000}"/>
    <cellStyle name="표준 5 3 2 5 7 3" xfId="13441" xr:uid="{00000000-0005-0000-0000-0000AE810000}"/>
    <cellStyle name="표준 5 3 2 5 7 4" xfId="17681" xr:uid="{00000000-0005-0000-0000-0000AF810000}"/>
    <cellStyle name="표준 5 3 2 5 7 5" xfId="21843" xr:uid="{00000000-0005-0000-0000-0000B0810000}"/>
    <cellStyle name="표준 5 3 2 5 7 6" xfId="25939" xr:uid="{00000000-0005-0000-0000-0000B1810000}"/>
    <cellStyle name="표준 5 3 2 5 7 7" xfId="34150" xr:uid="{00000000-0005-0000-0000-0000B2810000}"/>
    <cellStyle name="표준 5 3 2 5 7 8" xfId="42343" xr:uid="{00000000-0005-0000-0000-0000B3810000}"/>
    <cellStyle name="표준 5 3 2 5 8" xfId="7156" xr:uid="{00000000-0005-0000-0000-0000B4810000}"/>
    <cellStyle name="표준 5 3 2 5 8 2" xfId="27987" xr:uid="{00000000-0005-0000-0000-0000B5810000}"/>
    <cellStyle name="표준 5 3 2 5 8 3" xfId="36198" xr:uid="{00000000-0005-0000-0000-0000B6810000}"/>
    <cellStyle name="표준 5 3 2 5 8 4" xfId="44391" xr:uid="{00000000-0005-0000-0000-0000B7810000}"/>
    <cellStyle name="표준 5 3 2 5 9" xfId="7281" xr:uid="{00000000-0005-0000-0000-0000B8810000}"/>
    <cellStyle name="표준 5 3 2 6" xfId="490" xr:uid="{00000000-0005-0000-0000-0000B9810000}"/>
    <cellStyle name="표준 5 3 2 6 10" xfId="19859" xr:uid="{00000000-0005-0000-0000-0000BA810000}"/>
    <cellStyle name="표준 5 3 2 6 11" xfId="23955" xr:uid="{00000000-0005-0000-0000-0000BB810000}"/>
    <cellStyle name="표준 5 3 2 6 12" xfId="32166" xr:uid="{00000000-0005-0000-0000-0000BC810000}"/>
    <cellStyle name="표준 5 3 2 6 13" xfId="40359" xr:uid="{00000000-0005-0000-0000-0000BD810000}"/>
    <cellStyle name="표준 5 3 2 6 2" xfId="746" xr:uid="{00000000-0005-0000-0000-0000BE810000}"/>
    <cellStyle name="표준 5 3 2 6 2 10" xfId="24211" xr:uid="{00000000-0005-0000-0000-0000BF810000}"/>
    <cellStyle name="표준 5 3 2 6 2 11" xfId="32422" xr:uid="{00000000-0005-0000-0000-0000C0810000}"/>
    <cellStyle name="표준 5 3 2 6 2 12" xfId="40615" xr:uid="{00000000-0005-0000-0000-0000C1810000}"/>
    <cellStyle name="표준 5 3 2 6 2 2" xfId="1258" xr:uid="{00000000-0005-0000-0000-0000C2810000}"/>
    <cellStyle name="표준 5 3 2 6 2 2 2" xfId="10161" xr:uid="{00000000-0005-0000-0000-0000C3810000}"/>
    <cellStyle name="표준 5 3 2 6 2 2 2 2" xfId="14273" xr:uid="{00000000-0005-0000-0000-0000C4810000}"/>
    <cellStyle name="표준 5 3 2 6 2 2 2 2 2" xfId="30867" xr:uid="{00000000-0005-0000-0000-0000C5810000}"/>
    <cellStyle name="표준 5 3 2 6 2 2 2 2 3" xfId="39078" xr:uid="{00000000-0005-0000-0000-0000C6810000}"/>
    <cellStyle name="표준 5 3 2 6 2 2 2 2 4" xfId="47271" xr:uid="{00000000-0005-0000-0000-0000C7810000}"/>
    <cellStyle name="표준 5 3 2 6 2 2 2 3" xfId="18513" xr:uid="{00000000-0005-0000-0000-0000C8810000}"/>
    <cellStyle name="표준 5 3 2 6 2 2 2 4" xfId="22675" xr:uid="{00000000-0005-0000-0000-0000C9810000}"/>
    <cellStyle name="표준 5 3 2 6 2 2 2 5" xfId="26771" xr:uid="{00000000-0005-0000-0000-0000CA810000}"/>
    <cellStyle name="표준 5 3 2 6 2 2 2 6" xfId="34982" xr:uid="{00000000-0005-0000-0000-0000CB810000}"/>
    <cellStyle name="표준 5 3 2 6 2 2 2 7" xfId="43175" xr:uid="{00000000-0005-0000-0000-0000CC810000}"/>
    <cellStyle name="표준 5 3 2 6 2 2 3" xfId="8113" xr:uid="{00000000-0005-0000-0000-0000CD810000}"/>
    <cellStyle name="표준 5 3 2 6 2 2 3 2" xfId="28819" xr:uid="{00000000-0005-0000-0000-0000CE810000}"/>
    <cellStyle name="표준 5 3 2 6 2 2 3 3" xfId="37030" xr:uid="{00000000-0005-0000-0000-0000CF810000}"/>
    <cellStyle name="표준 5 3 2 6 2 2 3 4" xfId="45223" xr:uid="{00000000-0005-0000-0000-0000D0810000}"/>
    <cellStyle name="표준 5 3 2 6 2 2 4" xfId="12225" xr:uid="{00000000-0005-0000-0000-0000D1810000}"/>
    <cellStyle name="표준 5 3 2 6 2 2 5" xfId="16465" xr:uid="{00000000-0005-0000-0000-0000D2810000}"/>
    <cellStyle name="표준 5 3 2 6 2 2 6" xfId="20627" xr:uid="{00000000-0005-0000-0000-0000D3810000}"/>
    <cellStyle name="표준 5 3 2 6 2 2 7" xfId="24723" xr:uid="{00000000-0005-0000-0000-0000D4810000}"/>
    <cellStyle name="표준 5 3 2 6 2 2 8" xfId="32934" xr:uid="{00000000-0005-0000-0000-0000D5810000}"/>
    <cellStyle name="표준 5 3 2 6 2 2 9" xfId="41127" xr:uid="{00000000-0005-0000-0000-0000D6810000}"/>
    <cellStyle name="표준 5 3 2 6 2 3" xfId="1770" xr:uid="{00000000-0005-0000-0000-0000D7810000}"/>
    <cellStyle name="표준 5 3 2 6 2 3 2" xfId="10673" xr:uid="{00000000-0005-0000-0000-0000D8810000}"/>
    <cellStyle name="표준 5 3 2 6 2 3 2 2" xfId="14785" xr:uid="{00000000-0005-0000-0000-0000D9810000}"/>
    <cellStyle name="표준 5 3 2 6 2 3 2 2 2" xfId="31379" xr:uid="{00000000-0005-0000-0000-0000DA810000}"/>
    <cellStyle name="표준 5 3 2 6 2 3 2 2 3" xfId="39590" xr:uid="{00000000-0005-0000-0000-0000DB810000}"/>
    <cellStyle name="표준 5 3 2 6 2 3 2 2 4" xfId="47783" xr:uid="{00000000-0005-0000-0000-0000DC810000}"/>
    <cellStyle name="표준 5 3 2 6 2 3 2 3" xfId="19025" xr:uid="{00000000-0005-0000-0000-0000DD810000}"/>
    <cellStyle name="표준 5 3 2 6 2 3 2 4" xfId="23187" xr:uid="{00000000-0005-0000-0000-0000DE810000}"/>
    <cellStyle name="표준 5 3 2 6 2 3 2 5" xfId="27283" xr:uid="{00000000-0005-0000-0000-0000DF810000}"/>
    <cellStyle name="표준 5 3 2 6 2 3 2 6" xfId="35494" xr:uid="{00000000-0005-0000-0000-0000E0810000}"/>
    <cellStyle name="표준 5 3 2 6 2 3 2 7" xfId="43687" xr:uid="{00000000-0005-0000-0000-0000E1810000}"/>
    <cellStyle name="표준 5 3 2 6 2 3 3" xfId="8625" xr:uid="{00000000-0005-0000-0000-0000E2810000}"/>
    <cellStyle name="표준 5 3 2 6 2 3 3 2" xfId="29331" xr:uid="{00000000-0005-0000-0000-0000E3810000}"/>
    <cellStyle name="표준 5 3 2 6 2 3 3 3" xfId="37542" xr:uid="{00000000-0005-0000-0000-0000E4810000}"/>
    <cellStyle name="표준 5 3 2 6 2 3 3 4" xfId="45735" xr:uid="{00000000-0005-0000-0000-0000E5810000}"/>
    <cellStyle name="표준 5 3 2 6 2 3 4" xfId="12737" xr:uid="{00000000-0005-0000-0000-0000E6810000}"/>
    <cellStyle name="표준 5 3 2 6 2 3 5" xfId="16977" xr:uid="{00000000-0005-0000-0000-0000E7810000}"/>
    <cellStyle name="표준 5 3 2 6 2 3 6" xfId="21139" xr:uid="{00000000-0005-0000-0000-0000E8810000}"/>
    <cellStyle name="표준 5 3 2 6 2 3 7" xfId="25235" xr:uid="{00000000-0005-0000-0000-0000E9810000}"/>
    <cellStyle name="표준 5 3 2 6 2 3 8" xfId="33446" xr:uid="{00000000-0005-0000-0000-0000EA810000}"/>
    <cellStyle name="표준 5 3 2 6 2 3 9" xfId="41639" xr:uid="{00000000-0005-0000-0000-0000EB810000}"/>
    <cellStyle name="표준 5 3 2 6 2 4" xfId="2282" xr:uid="{00000000-0005-0000-0000-0000EC810000}"/>
    <cellStyle name="표준 5 3 2 6 2 4 2" xfId="11185" xr:uid="{00000000-0005-0000-0000-0000ED810000}"/>
    <cellStyle name="표준 5 3 2 6 2 4 2 2" xfId="15297" xr:uid="{00000000-0005-0000-0000-0000EE810000}"/>
    <cellStyle name="표준 5 3 2 6 2 4 2 2 2" xfId="31891" xr:uid="{00000000-0005-0000-0000-0000EF810000}"/>
    <cellStyle name="표준 5 3 2 6 2 4 2 2 3" xfId="40102" xr:uid="{00000000-0005-0000-0000-0000F0810000}"/>
    <cellStyle name="표준 5 3 2 6 2 4 2 2 4" xfId="48295" xr:uid="{00000000-0005-0000-0000-0000F1810000}"/>
    <cellStyle name="표준 5 3 2 6 2 4 2 3" xfId="19537" xr:uid="{00000000-0005-0000-0000-0000F2810000}"/>
    <cellStyle name="표준 5 3 2 6 2 4 2 4" xfId="23699" xr:uid="{00000000-0005-0000-0000-0000F3810000}"/>
    <cellStyle name="표준 5 3 2 6 2 4 2 5" xfId="27795" xr:uid="{00000000-0005-0000-0000-0000F4810000}"/>
    <cellStyle name="표준 5 3 2 6 2 4 2 6" xfId="36006" xr:uid="{00000000-0005-0000-0000-0000F5810000}"/>
    <cellStyle name="표준 5 3 2 6 2 4 2 7" xfId="44199" xr:uid="{00000000-0005-0000-0000-0000F6810000}"/>
    <cellStyle name="표준 5 3 2 6 2 4 3" xfId="9137" xr:uid="{00000000-0005-0000-0000-0000F7810000}"/>
    <cellStyle name="표준 5 3 2 6 2 4 3 2" xfId="29843" xr:uid="{00000000-0005-0000-0000-0000F8810000}"/>
    <cellStyle name="표준 5 3 2 6 2 4 3 3" xfId="38054" xr:uid="{00000000-0005-0000-0000-0000F9810000}"/>
    <cellStyle name="표준 5 3 2 6 2 4 3 4" xfId="46247" xr:uid="{00000000-0005-0000-0000-0000FA810000}"/>
    <cellStyle name="표준 5 3 2 6 2 4 4" xfId="13249" xr:uid="{00000000-0005-0000-0000-0000FB810000}"/>
    <cellStyle name="표준 5 3 2 6 2 4 5" xfId="17489" xr:uid="{00000000-0005-0000-0000-0000FC810000}"/>
    <cellStyle name="표준 5 3 2 6 2 4 6" xfId="21651" xr:uid="{00000000-0005-0000-0000-0000FD810000}"/>
    <cellStyle name="표준 5 3 2 6 2 4 7" xfId="25747" xr:uid="{00000000-0005-0000-0000-0000FE810000}"/>
    <cellStyle name="표준 5 3 2 6 2 4 8" xfId="33958" xr:uid="{00000000-0005-0000-0000-0000FF810000}"/>
    <cellStyle name="표준 5 3 2 6 2 4 9" xfId="42151" xr:uid="{00000000-0005-0000-0000-000000820000}"/>
    <cellStyle name="표준 5 3 2 6 2 5" xfId="9649" xr:uid="{00000000-0005-0000-0000-000001820000}"/>
    <cellStyle name="표준 5 3 2 6 2 5 2" xfId="13761" xr:uid="{00000000-0005-0000-0000-000002820000}"/>
    <cellStyle name="표준 5 3 2 6 2 5 2 2" xfId="30355" xr:uid="{00000000-0005-0000-0000-000003820000}"/>
    <cellStyle name="표준 5 3 2 6 2 5 2 3" xfId="38566" xr:uid="{00000000-0005-0000-0000-000004820000}"/>
    <cellStyle name="표준 5 3 2 6 2 5 2 4" xfId="46759" xr:uid="{00000000-0005-0000-0000-000005820000}"/>
    <cellStyle name="표준 5 3 2 6 2 5 3" xfId="18001" xr:uid="{00000000-0005-0000-0000-000006820000}"/>
    <cellStyle name="표준 5 3 2 6 2 5 4" xfId="22163" xr:uid="{00000000-0005-0000-0000-000007820000}"/>
    <cellStyle name="표준 5 3 2 6 2 5 5" xfId="26259" xr:uid="{00000000-0005-0000-0000-000008820000}"/>
    <cellStyle name="표준 5 3 2 6 2 5 6" xfId="34470" xr:uid="{00000000-0005-0000-0000-000009820000}"/>
    <cellStyle name="표준 5 3 2 6 2 5 7" xfId="42663" xr:uid="{00000000-0005-0000-0000-00000A820000}"/>
    <cellStyle name="표준 5 3 2 6 2 6" xfId="7601" xr:uid="{00000000-0005-0000-0000-00000B820000}"/>
    <cellStyle name="표준 5 3 2 6 2 6 2" xfId="28307" xr:uid="{00000000-0005-0000-0000-00000C820000}"/>
    <cellStyle name="표준 5 3 2 6 2 6 3" xfId="36518" xr:uid="{00000000-0005-0000-0000-00000D820000}"/>
    <cellStyle name="표준 5 3 2 6 2 6 4" xfId="44711" xr:uid="{00000000-0005-0000-0000-00000E820000}"/>
    <cellStyle name="표준 5 3 2 6 2 7" xfId="11713" xr:uid="{00000000-0005-0000-0000-00000F820000}"/>
    <cellStyle name="표준 5 3 2 6 2 8" xfId="15953" xr:uid="{00000000-0005-0000-0000-000010820000}"/>
    <cellStyle name="표준 5 3 2 6 2 9" xfId="20115" xr:uid="{00000000-0005-0000-0000-000011820000}"/>
    <cellStyle name="표준 5 3 2 6 3" xfId="1002" xr:uid="{00000000-0005-0000-0000-000012820000}"/>
    <cellStyle name="표준 5 3 2 6 3 2" xfId="9905" xr:uid="{00000000-0005-0000-0000-000013820000}"/>
    <cellStyle name="표준 5 3 2 6 3 2 2" xfId="14017" xr:uid="{00000000-0005-0000-0000-000014820000}"/>
    <cellStyle name="표준 5 3 2 6 3 2 2 2" xfId="30611" xr:uid="{00000000-0005-0000-0000-000015820000}"/>
    <cellStyle name="표준 5 3 2 6 3 2 2 3" xfId="38822" xr:uid="{00000000-0005-0000-0000-000016820000}"/>
    <cellStyle name="표준 5 3 2 6 3 2 2 4" xfId="47015" xr:uid="{00000000-0005-0000-0000-000017820000}"/>
    <cellStyle name="표준 5 3 2 6 3 2 3" xfId="18257" xr:uid="{00000000-0005-0000-0000-000018820000}"/>
    <cellStyle name="표준 5 3 2 6 3 2 4" xfId="22419" xr:uid="{00000000-0005-0000-0000-000019820000}"/>
    <cellStyle name="표준 5 3 2 6 3 2 5" xfId="26515" xr:uid="{00000000-0005-0000-0000-00001A820000}"/>
    <cellStyle name="표준 5 3 2 6 3 2 6" xfId="34726" xr:uid="{00000000-0005-0000-0000-00001B820000}"/>
    <cellStyle name="표준 5 3 2 6 3 2 7" xfId="42919" xr:uid="{00000000-0005-0000-0000-00001C820000}"/>
    <cellStyle name="표준 5 3 2 6 3 3" xfId="7857" xr:uid="{00000000-0005-0000-0000-00001D820000}"/>
    <cellStyle name="표준 5 3 2 6 3 3 2" xfId="28563" xr:uid="{00000000-0005-0000-0000-00001E820000}"/>
    <cellStyle name="표준 5 3 2 6 3 3 3" xfId="36774" xr:uid="{00000000-0005-0000-0000-00001F820000}"/>
    <cellStyle name="표준 5 3 2 6 3 3 4" xfId="44967" xr:uid="{00000000-0005-0000-0000-000020820000}"/>
    <cellStyle name="표준 5 3 2 6 3 4" xfId="11969" xr:uid="{00000000-0005-0000-0000-000021820000}"/>
    <cellStyle name="표준 5 3 2 6 3 5" xfId="16209" xr:uid="{00000000-0005-0000-0000-000022820000}"/>
    <cellStyle name="표준 5 3 2 6 3 6" xfId="20371" xr:uid="{00000000-0005-0000-0000-000023820000}"/>
    <cellStyle name="표준 5 3 2 6 3 7" xfId="24467" xr:uid="{00000000-0005-0000-0000-000024820000}"/>
    <cellStyle name="표준 5 3 2 6 3 8" xfId="32678" xr:uid="{00000000-0005-0000-0000-000025820000}"/>
    <cellStyle name="표준 5 3 2 6 3 9" xfId="40871" xr:uid="{00000000-0005-0000-0000-000026820000}"/>
    <cellStyle name="표준 5 3 2 6 4" xfId="1514" xr:uid="{00000000-0005-0000-0000-000027820000}"/>
    <cellStyle name="표준 5 3 2 6 4 2" xfId="10417" xr:uid="{00000000-0005-0000-0000-000028820000}"/>
    <cellStyle name="표준 5 3 2 6 4 2 2" xfId="14529" xr:uid="{00000000-0005-0000-0000-000029820000}"/>
    <cellStyle name="표준 5 3 2 6 4 2 2 2" xfId="31123" xr:uid="{00000000-0005-0000-0000-00002A820000}"/>
    <cellStyle name="표준 5 3 2 6 4 2 2 3" xfId="39334" xr:uid="{00000000-0005-0000-0000-00002B820000}"/>
    <cellStyle name="표준 5 3 2 6 4 2 2 4" xfId="47527" xr:uid="{00000000-0005-0000-0000-00002C820000}"/>
    <cellStyle name="표준 5 3 2 6 4 2 3" xfId="18769" xr:uid="{00000000-0005-0000-0000-00002D820000}"/>
    <cellStyle name="표준 5 3 2 6 4 2 4" xfId="22931" xr:uid="{00000000-0005-0000-0000-00002E820000}"/>
    <cellStyle name="표준 5 3 2 6 4 2 5" xfId="27027" xr:uid="{00000000-0005-0000-0000-00002F820000}"/>
    <cellStyle name="표준 5 3 2 6 4 2 6" xfId="35238" xr:uid="{00000000-0005-0000-0000-000030820000}"/>
    <cellStyle name="표준 5 3 2 6 4 2 7" xfId="43431" xr:uid="{00000000-0005-0000-0000-000031820000}"/>
    <cellStyle name="표준 5 3 2 6 4 3" xfId="8369" xr:uid="{00000000-0005-0000-0000-000032820000}"/>
    <cellStyle name="표준 5 3 2 6 4 3 2" xfId="29075" xr:uid="{00000000-0005-0000-0000-000033820000}"/>
    <cellStyle name="표준 5 3 2 6 4 3 3" xfId="37286" xr:uid="{00000000-0005-0000-0000-000034820000}"/>
    <cellStyle name="표준 5 3 2 6 4 3 4" xfId="45479" xr:uid="{00000000-0005-0000-0000-000035820000}"/>
    <cellStyle name="표준 5 3 2 6 4 4" xfId="12481" xr:uid="{00000000-0005-0000-0000-000036820000}"/>
    <cellStyle name="표준 5 3 2 6 4 5" xfId="16721" xr:uid="{00000000-0005-0000-0000-000037820000}"/>
    <cellStyle name="표준 5 3 2 6 4 6" xfId="20883" xr:uid="{00000000-0005-0000-0000-000038820000}"/>
    <cellStyle name="표준 5 3 2 6 4 7" xfId="24979" xr:uid="{00000000-0005-0000-0000-000039820000}"/>
    <cellStyle name="표준 5 3 2 6 4 8" xfId="33190" xr:uid="{00000000-0005-0000-0000-00003A820000}"/>
    <cellStyle name="표준 5 3 2 6 4 9" xfId="41383" xr:uid="{00000000-0005-0000-0000-00003B820000}"/>
    <cellStyle name="표준 5 3 2 6 5" xfId="2026" xr:uid="{00000000-0005-0000-0000-00003C820000}"/>
    <cellStyle name="표준 5 3 2 6 5 2" xfId="10929" xr:uid="{00000000-0005-0000-0000-00003D820000}"/>
    <cellStyle name="표준 5 3 2 6 5 2 2" xfId="15041" xr:uid="{00000000-0005-0000-0000-00003E820000}"/>
    <cellStyle name="표준 5 3 2 6 5 2 2 2" xfId="31635" xr:uid="{00000000-0005-0000-0000-00003F820000}"/>
    <cellStyle name="표준 5 3 2 6 5 2 2 3" xfId="39846" xr:uid="{00000000-0005-0000-0000-000040820000}"/>
    <cellStyle name="표준 5 3 2 6 5 2 2 4" xfId="48039" xr:uid="{00000000-0005-0000-0000-000041820000}"/>
    <cellStyle name="표준 5 3 2 6 5 2 3" xfId="19281" xr:uid="{00000000-0005-0000-0000-000042820000}"/>
    <cellStyle name="표준 5 3 2 6 5 2 4" xfId="23443" xr:uid="{00000000-0005-0000-0000-000043820000}"/>
    <cellStyle name="표준 5 3 2 6 5 2 5" xfId="27539" xr:uid="{00000000-0005-0000-0000-000044820000}"/>
    <cellStyle name="표준 5 3 2 6 5 2 6" xfId="35750" xr:uid="{00000000-0005-0000-0000-000045820000}"/>
    <cellStyle name="표준 5 3 2 6 5 2 7" xfId="43943" xr:uid="{00000000-0005-0000-0000-000046820000}"/>
    <cellStyle name="표준 5 3 2 6 5 3" xfId="8881" xr:uid="{00000000-0005-0000-0000-000047820000}"/>
    <cellStyle name="표준 5 3 2 6 5 3 2" xfId="29587" xr:uid="{00000000-0005-0000-0000-000048820000}"/>
    <cellStyle name="표준 5 3 2 6 5 3 3" xfId="37798" xr:uid="{00000000-0005-0000-0000-000049820000}"/>
    <cellStyle name="표준 5 3 2 6 5 3 4" xfId="45991" xr:uid="{00000000-0005-0000-0000-00004A820000}"/>
    <cellStyle name="표준 5 3 2 6 5 4" xfId="12993" xr:uid="{00000000-0005-0000-0000-00004B820000}"/>
    <cellStyle name="표준 5 3 2 6 5 5" xfId="17233" xr:uid="{00000000-0005-0000-0000-00004C820000}"/>
    <cellStyle name="표준 5 3 2 6 5 6" xfId="21395" xr:uid="{00000000-0005-0000-0000-00004D820000}"/>
    <cellStyle name="표준 5 3 2 6 5 7" xfId="25491" xr:uid="{00000000-0005-0000-0000-00004E820000}"/>
    <cellStyle name="표준 5 3 2 6 5 8" xfId="33702" xr:uid="{00000000-0005-0000-0000-00004F820000}"/>
    <cellStyle name="표준 5 3 2 6 5 9" xfId="41895" xr:uid="{00000000-0005-0000-0000-000050820000}"/>
    <cellStyle name="표준 5 3 2 6 6" xfId="9393" xr:uid="{00000000-0005-0000-0000-000051820000}"/>
    <cellStyle name="표준 5 3 2 6 6 2" xfId="13505" xr:uid="{00000000-0005-0000-0000-000052820000}"/>
    <cellStyle name="표준 5 3 2 6 6 2 2" xfId="30099" xr:uid="{00000000-0005-0000-0000-000053820000}"/>
    <cellStyle name="표준 5 3 2 6 6 2 3" xfId="38310" xr:uid="{00000000-0005-0000-0000-000054820000}"/>
    <cellStyle name="표준 5 3 2 6 6 2 4" xfId="46503" xr:uid="{00000000-0005-0000-0000-000055820000}"/>
    <cellStyle name="표준 5 3 2 6 6 3" xfId="17745" xr:uid="{00000000-0005-0000-0000-000056820000}"/>
    <cellStyle name="표준 5 3 2 6 6 4" xfId="21907" xr:uid="{00000000-0005-0000-0000-000057820000}"/>
    <cellStyle name="표준 5 3 2 6 6 5" xfId="26003" xr:uid="{00000000-0005-0000-0000-000058820000}"/>
    <cellStyle name="표준 5 3 2 6 6 6" xfId="34214" xr:uid="{00000000-0005-0000-0000-000059820000}"/>
    <cellStyle name="표준 5 3 2 6 6 7" xfId="42407" xr:uid="{00000000-0005-0000-0000-00005A820000}"/>
    <cellStyle name="표준 5 3 2 6 7" xfId="7345" xr:uid="{00000000-0005-0000-0000-00005B820000}"/>
    <cellStyle name="표준 5 3 2 6 7 2" xfId="28051" xr:uid="{00000000-0005-0000-0000-00005C820000}"/>
    <cellStyle name="표준 5 3 2 6 7 3" xfId="36262" xr:uid="{00000000-0005-0000-0000-00005D820000}"/>
    <cellStyle name="표준 5 3 2 6 7 4" xfId="44455" xr:uid="{00000000-0005-0000-0000-00005E820000}"/>
    <cellStyle name="표준 5 3 2 6 8" xfId="11457" xr:uid="{00000000-0005-0000-0000-00005F820000}"/>
    <cellStyle name="표준 5 3 2 6 9" xfId="15697" xr:uid="{00000000-0005-0000-0000-000060820000}"/>
    <cellStyle name="표준 5 3 2 7" xfId="618" xr:uid="{00000000-0005-0000-0000-000061820000}"/>
    <cellStyle name="표준 5 3 2 7 10" xfId="24083" xr:uid="{00000000-0005-0000-0000-000062820000}"/>
    <cellStyle name="표준 5 3 2 7 11" xfId="32294" xr:uid="{00000000-0005-0000-0000-000063820000}"/>
    <cellStyle name="표준 5 3 2 7 12" xfId="40487" xr:uid="{00000000-0005-0000-0000-000064820000}"/>
    <cellStyle name="표준 5 3 2 7 2" xfId="1130" xr:uid="{00000000-0005-0000-0000-000065820000}"/>
    <cellStyle name="표준 5 3 2 7 2 2" xfId="10033" xr:uid="{00000000-0005-0000-0000-000066820000}"/>
    <cellStyle name="표준 5 3 2 7 2 2 2" xfId="14145" xr:uid="{00000000-0005-0000-0000-000067820000}"/>
    <cellStyle name="표준 5 3 2 7 2 2 2 2" xfId="30739" xr:uid="{00000000-0005-0000-0000-000068820000}"/>
    <cellStyle name="표준 5 3 2 7 2 2 2 3" xfId="38950" xr:uid="{00000000-0005-0000-0000-000069820000}"/>
    <cellStyle name="표준 5 3 2 7 2 2 2 4" xfId="47143" xr:uid="{00000000-0005-0000-0000-00006A820000}"/>
    <cellStyle name="표준 5 3 2 7 2 2 3" xfId="18385" xr:uid="{00000000-0005-0000-0000-00006B820000}"/>
    <cellStyle name="표준 5 3 2 7 2 2 4" xfId="22547" xr:uid="{00000000-0005-0000-0000-00006C820000}"/>
    <cellStyle name="표준 5 3 2 7 2 2 5" xfId="26643" xr:uid="{00000000-0005-0000-0000-00006D820000}"/>
    <cellStyle name="표준 5 3 2 7 2 2 6" xfId="34854" xr:uid="{00000000-0005-0000-0000-00006E820000}"/>
    <cellStyle name="표준 5 3 2 7 2 2 7" xfId="43047" xr:uid="{00000000-0005-0000-0000-00006F820000}"/>
    <cellStyle name="표준 5 3 2 7 2 3" xfId="7985" xr:uid="{00000000-0005-0000-0000-000070820000}"/>
    <cellStyle name="표준 5 3 2 7 2 3 2" xfId="28691" xr:uid="{00000000-0005-0000-0000-000071820000}"/>
    <cellStyle name="표준 5 3 2 7 2 3 3" xfId="36902" xr:uid="{00000000-0005-0000-0000-000072820000}"/>
    <cellStyle name="표준 5 3 2 7 2 3 4" xfId="45095" xr:uid="{00000000-0005-0000-0000-000073820000}"/>
    <cellStyle name="표준 5 3 2 7 2 4" xfId="12097" xr:uid="{00000000-0005-0000-0000-000074820000}"/>
    <cellStyle name="표준 5 3 2 7 2 5" xfId="16337" xr:uid="{00000000-0005-0000-0000-000075820000}"/>
    <cellStyle name="표준 5 3 2 7 2 6" xfId="20499" xr:uid="{00000000-0005-0000-0000-000076820000}"/>
    <cellStyle name="표준 5 3 2 7 2 7" xfId="24595" xr:uid="{00000000-0005-0000-0000-000077820000}"/>
    <cellStyle name="표준 5 3 2 7 2 8" xfId="32806" xr:uid="{00000000-0005-0000-0000-000078820000}"/>
    <cellStyle name="표준 5 3 2 7 2 9" xfId="40999" xr:uid="{00000000-0005-0000-0000-000079820000}"/>
    <cellStyle name="표준 5 3 2 7 3" xfId="1642" xr:uid="{00000000-0005-0000-0000-00007A820000}"/>
    <cellStyle name="표준 5 3 2 7 3 2" xfId="10545" xr:uid="{00000000-0005-0000-0000-00007B820000}"/>
    <cellStyle name="표준 5 3 2 7 3 2 2" xfId="14657" xr:uid="{00000000-0005-0000-0000-00007C820000}"/>
    <cellStyle name="표준 5 3 2 7 3 2 2 2" xfId="31251" xr:uid="{00000000-0005-0000-0000-00007D820000}"/>
    <cellStyle name="표준 5 3 2 7 3 2 2 3" xfId="39462" xr:uid="{00000000-0005-0000-0000-00007E820000}"/>
    <cellStyle name="표준 5 3 2 7 3 2 2 4" xfId="47655" xr:uid="{00000000-0005-0000-0000-00007F820000}"/>
    <cellStyle name="표준 5 3 2 7 3 2 3" xfId="18897" xr:uid="{00000000-0005-0000-0000-000080820000}"/>
    <cellStyle name="표준 5 3 2 7 3 2 4" xfId="23059" xr:uid="{00000000-0005-0000-0000-000081820000}"/>
    <cellStyle name="표준 5 3 2 7 3 2 5" xfId="27155" xr:uid="{00000000-0005-0000-0000-000082820000}"/>
    <cellStyle name="표준 5 3 2 7 3 2 6" xfId="35366" xr:uid="{00000000-0005-0000-0000-000083820000}"/>
    <cellStyle name="표준 5 3 2 7 3 2 7" xfId="43559" xr:uid="{00000000-0005-0000-0000-000084820000}"/>
    <cellStyle name="표준 5 3 2 7 3 3" xfId="8497" xr:uid="{00000000-0005-0000-0000-000085820000}"/>
    <cellStyle name="표준 5 3 2 7 3 3 2" xfId="29203" xr:uid="{00000000-0005-0000-0000-000086820000}"/>
    <cellStyle name="표준 5 3 2 7 3 3 3" xfId="37414" xr:uid="{00000000-0005-0000-0000-000087820000}"/>
    <cellStyle name="표준 5 3 2 7 3 3 4" xfId="45607" xr:uid="{00000000-0005-0000-0000-000088820000}"/>
    <cellStyle name="표준 5 3 2 7 3 4" xfId="12609" xr:uid="{00000000-0005-0000-0000-000089820000}"/>
    <cellStyle name="표준 5 3 2 7 3 5" xfId="16849" xr:uid="{00000000-0005-0000-0000-00008A820000}"/>
    <cellStyle name="표준 5 3 2 7 3 6" xfId="21011" xr:uid="{00000000-0005-0000-0000-00008B820000}"/>
    <cellStyle name="표준 5 3 2 7 3 7" xfId="25107" xr:uid="{00000000-0005-0000-0000-00008C820000}"/>
    <cellStyle name="표준 5 3 2 7 3 8" xfId="33318" xr:uid="{00000000-0005-0000-0000-00008D820000}"/>
    <cellStyle name="표준 5 3 2 7 3 9" xfId="41511" xr:uid="{00000000-0005-0000-0000-00008E820000}"/>
    <cellStyle name="표준 5 3 2 7 4" xfId="2154" xr:uid="{00000000-0005-0000-0000-00008F820000}"/>
    <cellStyle name="표준 5 3 2 7 4 2" xfId="11057" xr:uid="{00000000-0005-0000-0000-000090820000}"/>
    <cellStyle name="표준 5 3 2 7 4 2 2" xfId="15169" xr:uid="{00000000-0005-0000-0000-000091820000}"/>
    <cellStyle name="표준 5 3 2 7 4 2 2 2" xfId="31763" xr:uid="{00000000-0005-0000-0000-000092820000}"/>
    <cellStyle name="표준 5 3 2 7 4 2 2 3" xfId="39974" xr:uid="{00000000-0005-0000-0000-000093820000}"/>
    <cellStyle name="표준 5 3 2 7 4 2 2 4" xfId="48167" xr:uid="{00000000-0005-0000-0000-000094820000}"/>
    <cellStyle name="표준 5 3 2 7 4 2 3" xfId="19409" xr:uid="{00000000-0005-0000-0000-000095820000}"/>
    <cellStyle name="표준 5 3 2 7 4 2 4" xfId="23571" xr:uid="{00000000-0005-0000-0000-000096820000}"/>
    <cellStyle name="표준 5 3 2 7 4 2 5" xfId="27667" xr:uid="{00000000-0005-0000-0000-000097820000}"/>
    <cellStyle name="표준 5 3 2 7 4 2 6" xfId="35878" xr:uid="{00000000-0005-0000-0000-000098820000}"/>
    <cellStyle name="표준 5 3 2 7 4 2 7" xfId="44071" xr:uid="{00000000-0005-0000-0000-000099820000}"/>
    <cellStyle name="표준 5 3 2 7 4 3" xfId="9009" xr:uid="{00000000-0005-0000-0000-00009A820000}"/>
    <cellStyle name="표준 5 3 2 7 4 3 2" xfId="29715" xr:uid="{00000000-0005-0000-0000-00009B820000}"/>
    <cellStyle name="표준 5 3 2 7 4 3 3" xfId="37926" xr:uid="{00000000-0005-0000-0000-00009C820000}"/>
    <cellStyle name="표준 5 3 2 7 4 3 4" xfId="46119" xr:uid="{00000000-0005-0000-0000-00009D820000}"/>
    <cellStyle name="표준 5 3 2 7 4 4" xfId="13121" xr:uid="{00000000-0005-0000-0000-00009E820000}"/>
    <cellStyle name="표준 5 3 2 7 4 5" xfId="17361" xr:uid="{00000000-0005-0000-0000-00009F820000}"/>
    <cellStyle name="표준 5 3 2 7 4 6" xfId="21523" xr:uid="{00000000-0005-0000-0000-0000A0820000}"/>
    <cellStyle name="표준 5 3 2 7 4 7" xfId="25619" xr:uid="{00000000-0005-0000-0000-0000A1820000}"/>
    <cellStyle name="표준 5 3 2 7 4 8" xfId="33830" xr:uid="{00000000-0005-0000-0000-0000A2820000}"/>
    <cellStyle name="표준 5 3 2 7 4 9" xfId="42023" xr:uid="{00000000-0005-0000-0000-0000A3820000}"/>
    <cellStyle name="표준 5 3 2 7 5" xfId="9521" xr:uid="{00000000-0005-0000-0000-0000A4820000}"/>
    <cellStyle name="표준 5 3 2 7 5 2" xfId="13633" xr:uid="{00000000-0005-0000-0000-0000A5820000}"/>
    <cellStyle name="표준 5 3 2 7 5 2 2" xfId="30227" xr:uid="{00000000-0005-0000-0000-0000A6820000}"/>
    <cellStyle name="표준 5 3 2 7 5 2 3" xfId="38438" xr:uid="{00000000-0005-0000-0000-0000A7820000}"/>
    <cellStyle name="표준 5 3 2 7 5 2 4" xfId="46631" xr:uid="{00000000-0005-0000-0000-0000A8820000}"/>
    <cellStyle name="표준 5 3 2 7 5 3" xfId="17873" xr:uid="{00000000-0005-0000-0000-0000A9820000}"/>
    <cellStyle name="표준 5 3 2 7 5 4" xfId="22035" xr:uid="{00000000-0005-0000-0000-0000AA820000}"/>
    <cellStyle name="표준 5 3 2 7 5 5" xfId="26131" xr:uid="{00000000-0005-0000-0000-0000AB820000}"/>
    <cellStyle name="표준 5 3 2 7 5 6" xfId="34342" xr:uid="{00000000-0005-0000-0000-0000AC820000}"/>
    <cellStyle name="표준 5 3 2 7 5 7" xfId="42535" xr:uid="{00000000-0005-0000-0000-0000AD820000}"/>
    <cellStyle name="표준 5 3 2 7 6" xfId="7473" xr:uid="{00000000-0005-0000-0000-0000AE820000}"/>
    <cellStyle name="표준 5 3 2 7 6 2" xfId="28179" xr:uid="{00000000-0005-0000-0000-0000AF820000}"/>
    <cellStyle name="표준 5 3 2 7 6 3" xfId="36390" xr:uid="{00000000-0005-0000-0000-0000B0820000}"/>
    <cellStyle name="표준 5 3 2 7 6 4" xfId="44583" xr:uid="{00000000-0005-0000-0000-0000B1820000}"/>
    <cellStyle name="표준 5 3 2 7 7" xfId="11585" xr:uid="{00000000-0005-0000-0000-0000B2820000}"/>
    <cellStyle name="표준 5 3 2 7 8" xfId="15825" xr:uid="{00000000-0005-0000-0000-0000B3820000}"/>
    <cellStyle name="표준 5 3 2 7 9" xfId="19987" xr:uid="{00000000-0005-0000-0000-0000B4820000}"/>
    <cellStyle name="표준 5 3 2 8" xfId="874" xr:uid="{00000000-0005-0000-0000-0000B5820000}"/>
    <cellStyle name="표준 5 3 2 8 2" xfId="9777" xr:uid="{00000000-0005-0000-0000-0000B6820000}"/>
    <cellStyle name="표준 5 3 2 8 2 2" xfId="13889" xr:uid="{00000000-0005-0000-0000-0000B7820000}"/>
    <cellStyle name="표준 5 3 2 8 2 2 2" xfId="30483" xr:uid="{00000000-0005-0000-0000-0000B8820000}"/>
    <cellStyle name="표준 5 3 2 8 2 2 3" xfId="38694" xr:uid="{00000000-0005-0000-0000-0000B9820000}"/>
    <cellStyle name="표준 5 3 2 8 2 2 4" xfId="46887" xr:uid="{00000000-0005-0000-0000-0000BA820000}"/>
    <cellStyle name="표준 5 3 2 8 2 3" xfId="18129" xr:uid="{00000000-0005-0000-0000-0000BB820000}"/>
    <cellStyle name="표준 5 3 2 8 2 4" xfId="22291" xr:uid="{00000000-0005-0000-0000-0000BC820000}"/>
    <cellStyle name="표준 5 3 2 8 2 5" xfId="26387" xr:uid="{00000000-0005-0000-0000-0000BD820000}"/>
    <cellStyle name="표준 5 3 2 8 2 6" xfId="34598" xr:uid="{00000000-0005-0000-0000-0000BE820000}"/>
    <cellStyle name="표준 5 3 2 8 2 7" xfId="42791" xr:uid="{00000000-0005-0000-0000-0000BF820000}"/>
    <cellStyle name="표준 5 3 2 8 3" xfId="7729" xr:uid="{00000000-0005-0000-0000-0000C0820000}"/>
    <cellStyle name="표준 5 3 2 8 3 2" xfId="28435" xr:uid="{00000000-0005-0000-0000-0000C1820000}"/>
    <cellStyle name="표준 5 3 2 8 3 3" xfId="36646" xr:uid="{00000000-0005-0000-0000-0000C2820000}"/>
    <cellStyle name="표준 5 3 2 8 3 4" xfId="44839" xr:uid="{00000000-0005-0000-0000-0000C3820000}"/>
    <cellStyle name="표준 5 3 2 8 4" xfId="11841" xr:uid="{00000000-0005-0000-0000-0000C4820000}"/>
    <cellStyle name="표준 5 3 2 8 5" xfId="16081" xr:uid="{00000000-0005-0000-0000-0000C5820000}"/>
    <cellStyle name="표준 5 3 2 8 6" xfId="20243" xr:uid="{00000000-0005-0000-0000-0000C6820000}"/>
    <cellStyle name="표준 5 3 2 8 7" xfId="24339" xr:uid="{00000000-0005-0000-0000-0000C7820000}"/>
    <cellStyle name="표준 5 3 2 8 8" xfId="32550" xr:uid="{00000000-0005-0000-0000-0000C8820000}"/>
    <cellStyle name="표준 5 3 2 8 9" xfId="40743" xr:uid="{00000000-0005-0000-0000-0000C9820000}"/>
    <cellStyle name="표준 5 3 2 9" xfId="1386" xr:uid="{00000000-0005-0000-0000-0000CA820000}"/>
    <cellStyle name="표준 5 3 2 9 2" xfId="10289" xr:uid="{00000000-0005-0000-0000-0000CB820000}"/>
    <cellStyle name="표준 5 3 2 9 2 2" xfId="14401" xr:uid="{00000000-0005-0000-0000-0000CC820000}"/>
    <cellStyle name="표준 5 3 2 9 2 2 2" xfId="30995" xr:uid="{00000000-0005-0000-0000-0000CD820000}"/>
    <cellStyle name="표준 5 3 2 9 2 2 3" xfId="39206" xr:uid="{00000000-0005-0000-0000-0000CE820000}"/>
    <cellStyle name="표준 5 3 2 9 2 2 4" xfId="47399" xr:uid="{00000000-0005-0000-0000-0000CF820000}"/>
    <cellStyle name="표준 5 3 2 9 2 3" xfId="18641" xr:uid="{00000000-0005-0000-0000-0000D0820000}"/>
    <cellStyle name="표준 5 3 2 9 2 4" xfId="22803" xr:uid="{00000000-0005-0000-0000-0000D1820000}"/>
    <cellStyle name="표준 5 3 2 9 2 5" xfId="26899" xr:uid="{00000000-0005-0000-0000-0000D2820000}"/>
    <cellStyle name="표준 5 3 2 9 2 6" xfId="35110" xr:uid="{00000000-0005-0000-0000-0000D3820000}"/>
    <cellStyle name="표준 5 3 2 9 2 7" xfId="43303" xr:uid="{00000000-0005-0000-0000-0000D4820000}"/>
    <cellStyle name="표준 5 3 2 9 3" xfId="8241" xr:uid="{00000000-0005-0000-0000-0000D5820000}"/>
    <cellStyle name="표준 5 3 2 9 3 2" xfId="28947" xr:uid="{00000000-0005-0000-0000-0000D6820000}"/>
    <cellStyle name="표준 5 3 2 9 3 3" xfId="37158" xr:uid="{00000000-0005-0000-0000-0000D7820000}"/>
    <cellStyle name="표준 5 3 2 9 3 4" xfId="45351" xr:uid="{00000000-0005-0000-0000-0000D8820000}"/>
    <cellStyle name="표준 5 3 2 9 4" xfId="12353" xr:uid="{00000000-0005-0000-0000-0000D9820000}"/>
    <cellStyle name="표준 5 3 2 9 5" xfId="16593" xr:uid="{00000000-0005-0000-0000-0000DA820000}"/>
    <cellStyle name="표준 5 3 2 9 6" xfId="20755" xr:uid="{00000000-0005-0000-0000-0000DB820000}"/>
    <cellStyle name="표준 5 3 2 9 7" xfId="24851" xr:uid="{00000000-0005-0000-0000-0000DC820000}"/>
    <cellStyle name="표준 5 3 2 9 8" xfId="33062" xr:uid="{00000000-0005-0000-0000-0000DD820000}"/>
    <cellStyle name="표준 5 3 2 9 9" xfId="41255" xr:uid="{00000000-0005-0000-0000-0000DE820000}"/>
    <cellStyle name="표준 5 3 20" xfId="11309" xr:uid="{00000000-0005-0000-0000-0000DF820000}"/>
    <cellStyle name="표준 5 3 21" xfId="11325" xr:uid="{00000000-0005-0000-0000-0000E0820000}"/>
    <cellStyle name="표준 5 3 22" xfId="15421" xr:uid="{00000000-0005-0000-0000-0000E1820000}"/>
    <cellStyle name="표준 5 3 23" xfId="15437" xr:uid="{00000000-0005-0000-0000-0000E2820000}"/>
    <cellStyle name="표준 5 3 24" xfId="15453" xr:uid="{00000000-0005-0000-0000-0000E3820000}"/>
    <cellStyle name="표준 5 3 25" xfId="15549" xr:uid="{00000000-0005-0000-0000-0000E4820000}"/>
    <cellStyle name="표준 5 3 26" xfId="15565" xr:uid="{00000000-0005-0000-0000-0000E5820000}"/>
    <cellStyle name="표준 5 3 27" xfId="19661" xr:uid="{00000000-0005-0000-0000-0000E6820000}"/>
    <cellStyle name="표준 5 3 28" xfId="19677" xr:uid="{00000000-0005-0000-0000-0000E7820000}"/>
    <cellStyle name="표준 5 3 29" xfId="19693" xr:uid="{00000000-0005-0000-0000-0000E8820000}"/>
    <cellStyle name="표준 5 3 3" xfId="73" xr:uid="{00000000-0005-0000-0000-0000E9820000}"/>
    <cellStyle name="표준 5 3 3 10" xfId="4399" xr:uid="{00000000-0005-0000-0000-0000EA820000}"/>
    <cellStyle name="표준 5 3 3 10 2" xfId="9269" xr:uid="{00000000-0005-0000-0000-0000EB820000}"/>
    <cellStyle name="표준 5 3 3 10 2 2" xfId="29975" xr:uid="{00000000-0005-0000-0000-0000EC820000}"/>
    <cellStyle name="표준 5 3 3 10 2 3" xfId="38186" xr:uid="{00000000-0005-0000-0000-0000ED820000}"/>
    <cellStyle name="표준 5 3 3 10 2 4" xfId="46379" xr:uid="{00000000-0005-0000-0000-0000EE820000}"/>
    <cellStyle name="표준 5 3 3 10 3" xfId="13381" xr:uid="{00000000-0005-0000-0000-0000EF820000}"/>
    <cellStyle name="표준 5 3 3 10 4" xfId="17621" xr:uid="{00000000-0005-0000-0000-0000F0820000}"/>
    <cellStyle name="표준 5 3 3 10 5" xfId="21783" xr:uid="{00000000-0005-0000-0000-0000F1820000}"/>
    <cellStyle name="표준 5 3 3 10 6" xfId="25879" xr:uid="{00000000-0005-0000-0000-0000F2820000}"/>
    <cellStyle name="표준 5 3 3 10 7" xfId="34090" xr:uid="{00000000-0005-0000-0000-0000F3820000}"/>
    <cellStyle name="표준 5 3 3 10 8" xfId="42283" xr:uid="{00000000-0005-0000-0000-0000F4820000}"/>
    <cellStyle name="표준 5 3 3 11" xfId="6956" xr:uid="{00000000-0005-0000-0000-0000F5820000}"/>
    <cellStyle name="표준 5 3 3 11 2" xfId="27927" xr:uid="{00000000-0005-0000-0000-0000F6820000}"/>
    <cellStyle name="표준 5 3 3 11 3" xfId="36138" xr:uid="{00000000-0005-0000-0000-0000F7820000}"/>
    <cellStyle name="표준 5 3 3 11 4" xfId="44331" xr:uid="{00000000-0005-0000-0000-0000F8820000}"/>
    <cellStyle name="표준 5 3 3 12" xfId="7074" xr:uid="{00000000-0005-0000-0000-0000F9820000}"/>
    <cellStyle name="표준 5 3 3 13" xfId="7090" xr:uid="{00000000-0005-0000-0000-0000FA820000}"/>
    <cellStyle name="표준 5 3 3 14" xfId="7106" xr:uid="{00000000-0005-0000-0000-0000FB820000}"/>
    <cellStyle name="표준 5 3 3 15" xfId="7200" xr:uid="{00000000-0005-0000-0000-0000FC820000}"/>
    <cellStyle name="표준 5 3 3 16" xfId="7221" xr:uid="{00000000-0005-0000-0000-0000FD820000}"/>
    <cellStyle name="표준 5 3 3 17" xfId="11317" xr:uid="{00000000-0005-0000-0000-0000FE820000}"/>
    <cellStyle name="표준 5 3 3 18" xfId="11333" xr:uid="{00000000-0005-0000-0000-0000FF820000}"/>
    <cellStyle name="표준 5 3 3 19" xfId="15429" xr:uid="{00000000-0005-0000-0000-000000830000}"/>
    <cellStyle name="표준 5 3 3 2" xfId="167" xr:uid="{00000000-0005-0000-0000-000001830000}"/>
    <cellStyle name="표준 5 3 3 2 10" xfId="7184" xr:uid="{00000000-0005-0000-0000-000002830000}"/>
    <cellStyle name="표준 5 3 3 2 10 2" xfId="27943" xr:uid="{00000000-0005-0000-0000-000003830000}"/>
    <cellStyle name="표준 5 3 3 2 10 3" xfId="36154" xr:uid="{00000000-0005-0000-0000-000004830000}"/>
    <cellStyle name="표준 5 3 3 2 10 4" xfId="44347" xr:uid="{00000000-0005-0000-0000-000005830000}"/>
    <cellStyle name="표준 5 3 3 2 11" xfId="7237" xr:uid="{00000000-0005-0000-0000-000006830000}"/>
    <cellStyle name="표준 5 3 3 2 12" xfId="11349" xr:uid="{00000000-0005-0000-0000-000007830000}"/>
    <cellStyle name="표준 5 3 3 2 13" xfId="15477" xr:uid="{00000000-0005-0000-0000-000008830000}"/>
    <cellStyle name="표준 5 3 3 2 14" xfId="15589" xr:uid="{00000000-0005-0000-0000-000009830000}"/>
    <cellStyle name="표준 5 3 3 2 15" xfId="19751" xr:uid="{00000000-0005-0000-0000-00000A830000}"/>
    <cellStyle name="표준 5 3 3 2 16" xfId="23847" xr:uid="{00000000-0005-0000-0000-00000B830000}"/>
    <cellStyle name="표준 5 3 3 2 17" xfId="32058" xr:uid="{00000000-0005-0000-0000-00000C830000}"/>
    <cellStyle name="표준 5 3 3 2 18" xfId="40251" xr:uid="{00000000-0005-0000-0000-00000D830000}"/>
    <cellStyle name="표준 5 3 3 2 19" xfId="49642" xr:uid="{00000000-0005-0000-0000-00000E830000}"/>
    <cellStyle name="표준 5 3 3 2 2" xfId="414" xr:uid="{00000000-0005-0000-0000-00000F830000}"/>
    <cellStyle name="표준 5 3 3 2 2 10" xfId="7269" xr:uid="{00000000-0005-0000-0000-000010830000}"/>
    <cellStyle name="표준 5 3 3 2 2 11" xfId="11381" xr:uid="{00000000-0005-0000-0000-000011830000}"/>
    <cellStyle name="표준 5 3 3 2 2 12" xfId="15525" xr:uid="{00000000-0005-0000-0000-000012830000}"/>
    <cellStyle name="표준 5 3 3 2 2 13" xfId="15621" xr:uid="{00000000-0005-0000-0000-000013830000}"/>
    <cellStyle name="표준 5 3 3 2 2 14" xfId="19783" xr:uid="{00000000-0005-0000-0000-000014830000}"/>
    <cellStyle name="표준 5 3 3 2 2 15" xfId="23879" xr:uid="{00000000-0005-0000-0000-000015830000}"/>
    <cellStyle name="표준 5 3 3 2 2 16" xfId="32090" xr:uid="{00000000-0005-0000-0000-000016830000}"/>
    <cellStyle name="표준 5 3 3 2 2 17" xfId="40283" xr:uid="{00000000-0005-0000-0000-000017830000}"/>
    <cellStyle name="표준 5 3 3 2 2 18" xfId="49708" xr:uid="{00000000-0005-0000-0000-000018830000}"/>
    <cellStyle name="표준 5 3 3 2 2 2" xfId="478" xr:uid="{00000000-0005-0000-0000-000019830000}"/>
    <cellStyle name="표준 5 3 3 2 2 2 10" xfId="15685" xr:uid="{00000000-0005-0000-0000-00001A830000}"/>
    <cellStyle name="표준 5 3 3 2 2 2 11" xfId="19847" xr:uid="{00000000-0005-0000-0000-00001B830000}"/>
    <cellStyle name="표준 5 3 3 2 2 2 12" xfId="23943" xr:uid="{00000000-0005-0000-0000-00001C830000}"/>
    <cellStyle name="표준 5 3 3 2 2 2 13" xfId="32154" xr:uid="{00000000-0005-0000-0000-00001D830000}"/>
    <cellStyle name="표준 5 3 3 2 2 2 14" xfId="40347" xr:uid="{00000000-0005-0000-0000-00001E830000}"/>
    <cellStyle name="표준 5 3 3 2 2 2 2" xfId="606" xr:uid="{00000000-0005-0000-0000-00001F830000}"/>
    <cellStyle name="표준 5 3 3 2 2 2 2 10" xfId="19975" xr:uid="{00000000-0005-0000-0000-000020830000}"/>
    <cellStyle name="표준 5 3 3 2 2 2 2 11" xfId="24071" xr:uid="{00000000-0005-0000-0000-000021830000}"/>
    <cellStyle name="표준 5 3 3 2 2 2 2 12" xfId="32282" xr:uid="{00000000-0005-0000-0000-000022830000}"/>
    <cellStyle name="표준 5 3 3 2 2 2 2 13" xfId="40475" xr:uid="{00000000-0005-0000-0000-000023830000}"/>
    <cellStyle name="표준 5 3 3 2 2 2 2 2" xfId="862" xr:uid="{00000000-0005-0000-0000-000024830000}"/>
    <cellStyle name="표준 5 3 3 2 2 2 2 2 10" xfId="24327" xr:uid="{00000000-0005-0000-0000-000025830000}"/>
    <cellStyle name="표준 5 3 3 2 2 2 2 2 11" xfId="32538" xr:uid="{00000000-0005-0000-0000-000026830000}"/>
    <cellStyle name="표준 5 3 3 2 2 2 2 2 12" xfId="40731" xr:uid="{00000000-0005-0000-0000-000027830000}"/>
    <cellStyle name="표준 5 3 3 2 2 2 2 2 2" xfId="1374" xr:uid="{00000000-0005-0000-0000-000028830000}"/>
    <cellStyle name="표준 5 3 3 2 2 2 2 2 2 2" xfId="10277" xr:uid="{00000000-0005-0000-0000-000029830000}"/>
    <cellStyle name="표준 5 3 3 2 2 2 2 2 2 2 2" xfId="14389" xr:uid="{00000000-0005-0000-0000-00002A830000}"/>
    <cellStyle name="표준 5 3 3 2 2 2 2 2 2 2 2 2" xfId="30983" xr:uid="{00000000-0005-0000-0000-00002B830000}"/>
    <cellStyle name="표준 5 3 3 2 2 2 2 2 2 2 2 3" xfId="39194" xr:uid="{00000000-0005-0000-0000-00002C830000}"/>
    <cellStyle name="표준 5 3 3 2 2 2 2 2 2 2 2 4" xfId="47387" xr:uid="{00000000-0005-0000-0000-00002D830000}"/>
    <cellStyle name="표준 5 3 3 2 2 2 2 2 2 2 3" xfId="18629" xr:uid="{00000000-0005-0000-0000-00002E830000}"/>
    <cellStyle name="표준 5 3 3 2 2 2 2 2 2 2 4" xfId="22791" xr:uid="{00000000-0005-0000-0000-00002F830000}"/>
    <cellStyle name="표준 5 3 3 2 2 2 2 2 2 2 5" xfId="26887" xr:uid="{00000000-0005-0000-0000-000030830000}"/>
    <cellStyle name="표준 5 3 3 2 2 2 2 2 2 2 6" xfId="35098" xr:uid="{00000000-0005-0000-0000-000031830000}"/>
    <cellStyle name="표준 5 3 3 2 2 2 2 2 2 2 7" xfId="43291" xr:uid="{00000000-0005-0000-0000-000032830000}"/>
    <cellStyle name="표준 5 3 3 2 2 2 2 2 2 3" xfId="8229" xr:uid="{00000000-0005-0000-0000-000033830000}"/>
    <cellStyle name="표준 5 3 3 2 2 2 2 2 2 3 2" xfId="28935" xr:uid="{00000000-0005-0000-0000-000034830000}"/>
    <cellStyle name="표준 5 3 3 2 2 2 2 2 2 3 3" xfId="37146" xr:uid="{00000000-0005-0000-0000-000035830000}"/>
    <cellStyle name="표준 5 3 3 2 2 2 2 2 2 3 4" xfId="45339" xr:uid="{00000000-0005-0000-0000-000036830000}"/>
    <cellStyle name="표준 5 3 3 2 2 2 2 2 2 4" xfId="12341" xr:uid="{00000000-0005-0000-0000-000037830000}"/>
    <cellStyle name="표준 5 3 3 2 2 2 2 2 2 5" xfId="16581" xr:uid="{00000000-0005-0000-0000-000038830000}"/>
    <cellStyle name="표준 5 3 3 2 2 2 2 2 2 6" xfId="20743" xr:uid="{00000000-0005-0000-0000-000039830000}"/>
    <cellStyle name="표준 5 3 3 2 2 2 2 2 2 7" xfId="24839" xr:uid="{00000000-0005-0000-0000-00003A830000}"/>
    <cellStyle name="표준 5 3 3 2 2 2 2 2 2 8" xfId="33050" xr:uid="{00000000-0005-0000-0000-00003B830000}"/>
    <cellStyle name="표준 5 3 3 2 2 2 2 2 2 9" xfId="41243" xr:uid="{00000000-0005-0000-0000-00003C830000}"/>
    <cellStyle name="표준 5 3 3 2 2 2 2 2 3" xfId="1886" xr:uid="{00000000-0005-0000-0000-00003D830000}"/>
    <cellStyle name="표준 5 3 3 2 2 2 2 2 3 2" xfId="10789" xr:uid="{00000000-0005-0000-0000-00003E830000}"/>
    <cellStyle name="표준 5 3 3 2 2 2 2 2 3 2 2" xfId="14901" xr:uid="{00000000-0005-0000-0000-00003F830000}"/>
    <cellStyle name="표준 5 3 3 2 2 2 2 2 3 2 2 2" xfId="31495" xr:uid="{00000000-0005-0000-0000-000040830000}"/>
    <cellStyle name="표준 5 3 3 2 2 2 2 2 3 2 2 3" xfId="39706" xr:uid="{00000000-0005-0000-0000-000041830000}"/>
    <cellStyle name="표준 5 3 3 2 2 2 2 2 3 2 2 4" xfId="47899" xr:uid="{00000000-0005-0000-0000-000042830000}"/>
    <cellStyle name="표준 5 3 3 2 2 2 2 2 3 2 3" xfId="19141" xr:uid="{00000000-0005-0000-0000-000043830000}"/>
    <cellStyle name="표준 5 3 3 2 2 2 2 2 3 2 4" xfId="23303" xr:uid="{00000000-0005-0000-0000-000044830000}"/>
    <cellStyle name="표준 5 3 3 2 2 2 2 2 3 2 5" xfId="27399" xr:uid="{00000000-0005-0000-0000-000045830000}"/>
    <cellStyle name="표준 5 3 3 2 2 2 2 2 3 2 6" xfId="35610" xr:uid="{00000000-0005-0000-0000-000046830000}"/>
    <cellStyle name="표준 5 3 3 2 2 2 2 2 3 2 7" xfId="43803" xr:uid="{00000000-0005-0000-0000-000047830000}"/>
    <cellStyle name="표준 5 3 3 2 2 2 2 2 3 3" xfId="8741" xr:uid="{00000000-0005-0000-0000-000048830000}"/>
    <cellStyle name="표준 5 3 3 2 2 2 2 2 3 3 2" xfId="29447" xr:uid="{00000000-0005-0000-0000-000049830000}"/>
    <cellStyle name="표준 5 3 3 2 2 2 2 2 3 3 3" xfId="37658" xr:uid="{00000000-0005-0000-0000-00004A830000}"/>
    <cellStyle name="표준 5 3 3 2 2 2 2 2 3 3 4" xfId="45851" xr:uid="{00000000-0005-0000-0000-00004B830000}"/>
    <cellStyle name="표준 5 3 3 2 2 2 2 2 3 4" xfId="12853" xr:uid="{00000000-0005-0000-0000-00004C830000}"/>
    <cellStyle name="표준 5 3 3 2 2 2 2 2 3 5" xfId="17093" xr:uid="{00000000-0005-0000-0000-00004D830000}"/>
    <cellStyle name="표준 5 3 3 2 2 2 2 2 3 6" xfId="21255" xr:uid="{00000000-0005-0000-0000-00004E830000}"/>
    <cellStyle name="표준 5 3 3 2 2 2 2 2 3 7" xfId="25351" xr:uid="{00000000-0005-0000-0000-00004F830000}"/>
    <cellStyle name="표준 5 3 3 2 2 2 2 2 3 8" xfId="33562" xr:uid="{00000000-0005-0000-0000-000050830000}"/>
    <cellStyle name="표준 5 3 3 2 2 2 2 2 3 9" xfId="41755" xr:uid="{00000000-0005-0000-0000-000051830000}"/>
    <cellStyle name="표준 5 3 3 2 2 2 2 2 4" xfId="2398" xr:uid="{00000000-0005-0000-0000-000052830000}"/>
    <cellStyle name="표준 5 3 3 2 2 2 2 2 4 2" xfId="11301" xr:uid="{00000000-0005-0000-0000-000053830000}"/>
    <cellStyle name="표준 5 3 3 2 2 2 2 2 4 2 2" xfId="15413" xr:uid="{00000000-0005-0000-0000-000054830000}"/>
    <cellStyle name="표준 5 3 3 2 2 2 2 2 4 2 2 2" xfId="32007" xr:uid="{00000000-0005-0000-0000-000055830000}"/>
    <cellStyle name="표준 5 3 3 2 2 2 2 2 4 2 2 3" xfId="40218" xr:uid="{00000000-0005-0000-0000-000056830000}"/>
    <cellStyle name="표준 5 3 3 2 2 2 2 2 4 2 2 4" xfId="48411" xr:uid="{00000000-0005-0000-0000-000057830000}"/>
    <cellStyle name="표준 5 3 3 2 2 2 2 2 4 2 3" xfId="19653" xr:uid="{00000000-0005-0000-0000-000058830000}"/>
    <cellStyle name="표준 5 3 3 2 2 2 2 2 4 2 4" xfId="23815" xr:uid="{00000000-0005-0000-0000-000059830000}"/>
    <cellStyle name="표준 5 3 3 2 2 2 2 2 4 2 5" xfId="27911" xr:uid="{00000000-0005-0000-0000-00005A830000}"/>
    <cellStyle name="표준 5 3 3 2 2 2 2 2 4 2 6" xfId="36122" xr:uid="{00000000-0005-0000-0000-00005B830000}"/>
    <cellStyle name="표준 5 3 3 2 2 2 2 2 4 2 7" xfId="44315" xr:uid="{00000000-0005-0000-0000-00005C830000}"/>
    <cellStyle name="표준 5 3 3 2 2 2 2 2 4 3" xfId="9253" xr:uid="{00000000-0005-0000-0000-00005D830000}"/>
    <cellStyle name="표준 5 3 3 2 2 2 2 2 4 3 2" xfId="29959" xr:uid="{00000000-0005-0000-0000-00005E830000}"/>
    <cellStyle name="표준 5 3 3 2 2 2 2 2 4 3 3" xfId="38170" xr:uid="{00000000-0005-0000-0000-00005F830000}"/>
    <cellStyle name="표준 5 3 3 2 2 2 2 2 4 3 4" xfId="46363" xr:uid="{00000000-0005-0000-0000-000060830000}"/>
    <cellStyle name="표준 5 3 3 2 2 2 2 2 4 4" xfId="13365" xr:uid="{00000000-0005-0000-0000-000061830000}"/>
    <cellStyle name="표준 5 3 3 2 2 2 2 2 4 5" xfId="17605" xr:uid="{00000000-0005-0000-0000-000062830000}"/>
    <cellStyle name="표준 5 3 3 2 2 2 2 2 4 6" xfId="21767" xr:uid="{00000000-0005-0000-0000-000063830000}"/>
    <cellStyle name="표준 5 3 3 2 2 2 2 2 4 7" xfId="25863" xr:uid="{00000000-0005-0000-0000-000064830000}"/>
    <cellStyle name="표준 5 3 3 2 2 2 2 2 4 8" xfId="34074" xr:uid="{00000000-0005-0000-0000-000065830000}"/>
    <cellStyle name="표준 5 3 3 2 2 2 2 2 4 9" xfId="42267" xr:uid="{00000000-0005-0000-0000-000066830000}"/>
    <cellStyle name="표준 5 3 3 2 2 2 2 2 5" xfId="9765" xr:uid="{00000000-0005-0000-0000-000067830000}"/>
    <cellStyle name="표준 5 3 3 2 2 2 2 2 5 2" xfId="13877" xr:uid="{00000000-0005-0000-0000-000068830000}"/>
    <cellStyle name="표준 5 3 3 2 2 2 2 2 5 2 2" xfId="30471" xr:uid="{00000000-0005-0000-0000-000069830000}"/>
    <cellStyle name="표준 5 3 3 2 2 2 2 2 5 2 3" xfId="38682" xr:uid="{00000000-0005-0000-0000-00006A830000}"/>
    <cellStyle name="표준 5 3 3 2 2 2 2 2 5 2 4" xfId="46875" xr:uid="{00000000-0005-0000-0000-00006B830000}"/>
    <cellStyle name="표준 5 3 3 2 2 2 2 2 5 3" xfId="18117" xr:uid="{00000000-0005-0000-0000-00006C830000}"/>
    <cellStyle name="표준 5 3 3 2 2 2 2 2 5 4" xfId="22279" xr:uid="{00000000-0005-0000-0000-00006D830000}"/>
    <cellStyle name="표준 5 3 3 2 2 2 2 2 5 5" xfId="26375" xr:uid="{00000000-0005-0000-0000-00006E830000}"/>
    <cellStyle name="표준 5 3 3 2 2 2 2 2 5 6" xfId="34586" xr:uid="{00000000-0005-0000-0000-00006F830000}"/>
    <cellStyle name="표준 5 3 3 2 2 2 2 2 5 7" xfId="42779" xr:uid="{00000000-0005-0000-0000-000070830000}"/>
    <cellStyle name="표준 5 3 3 2 2 2 2 2 6" xfId="7717" xr:uid="{00000000-0005-0000-0000-000071830000}"/>
    <cellStyle name="표준 5 3 3 2 2 2 2 2 6 2" xfId="28423" xr:uid="{00000000-0005-0000-0000-000072830000}"/>
    <cellStyle name="표준 5 3 3 2 2 2 2 2 6 3" xfId="36634" xr:uid="{00000000-0005-0000-0000-000073830000}"/>
    <cellStyle name="표준 5 3 3 2 2 2 2 2 6 4" xfId="44827" xr:uid="{00000000-0005-0000-0000-000074830000}"/>
    <cellStyle name="표준 5 3 3 2 2 2 2 2 7" xfId="11829" xr:uid="{00000000-0005-0000-0000-000075830000}"/>
    <cellStyle name="표준 5 3 3 2 2 2 2 2 8" xfId="16069" xr:uid="{00000000-0005-0000-0000-000076830000}"/>
    <cellStyle name="표준 5 3 3 2 2 2 2 2 9" xfId="20231" xr:uid="{00000000-0005-0000-0000-000077830000}"/>
    <cellStyle name="표준 5 3 3 2 2 2 2 3" xfId="1118" xr:uid="{00000000-0005-0000-0000-000078830000}"/>
    <cellStyle name="표준 5 3 3 2 2 2 2 3 2" xfId="10021" xr:uid="{00000000-0005-0000-0000-000079830000}"/>
    <cellStyle name="표준 5 3 3 2 2 2 2 3 2 2" xfId="14133" xr:uid="{00000000-0005-0000-0000-00007A830000}"/>
    <cellStyle name="표준 5 3 3 2 2 2 2 3 2 2 2" xfId="30727" xr:uid="{00000000-0005-0000-0000-00007B830000}"/>
    <cellStyle name="표준 5 3 3 2 2 2 2 3 2 2 3" xfId="38938" xr:uid="{00000000-0005-0000-0000-00007C830000}"/>
    <cellStyle name="표준 5 3 3 2 2 2 2 3 2 2 4" xfId="47131" xr:uid="{00000000-0005-0000-0000-00007D830000}"/>
    <cellStyle name="표준 5 3 3 2 2 2 2 3 2 3" xfId="18373" xr:uid="{00000000-0005-0000-0000-00007E830000}"/>
    <cellStyle name="표준 5 3 3 2 2 2 2 3 2 4" xfId="22535" xr:uid="{00000000-0005-0000-0000-00007F830000}"/>
    <cellStyle name="표준 5 3 3 2 2 2 2 3 2 5" xfId="26631" xr:uid="{00000000-0005-0000-0000-000080830000}"/>
    <cellStyle name="표준 5 3 3 2 2 2 2 3 2 6" xfId="34842" xr:uid="{00000000-0005-0000-0000-000081830000}"/>
    <cellStyle name="표준 5 3 3 2 2 2 2 3 2 7" xfId="43035" xr:uid="{00000000-0005-0000-0000-000082830000}"/>
    <cellStyle name="표준 5 3 3 2 2 2 2 3 3" xfId="7973" xr:uid="{00000000-0005-0000-0000-000083830000}"/>
    <cellStyle name="표준 5 3 3 2 2 2 2 3 3 2" xfId="28679" xr:uid="{00000000-0005-0000-0000-000084830000}"/>
    <cellStyle name="표준 5 3 3 2 2 2 2 3 3 3" xfId="36890" xr:uid="{00000000-0005-0000-0000-000085830000}"/>
    <cellStyle name="표준 5 3 3 2 2 2 2 3 3 4" xfId="45083" xr:uid="{00000000-0005-0000-0000-000086830000}"/>
    <cellStyle name="표준 5 3 3 2 2 2 2 3 4" xfId="12085" xr:uid="{00000000-0005-0000-0000-000087830000}"/>
    <cellStyle name="표준 5 3 3 2 2 2 2 3 5" xfId="16325" xr:uid="{00000000-0005-0000-0000-000088830000}"/>
    <cellStyle name="표준 5 3 3 2 2 2 2 3 6" xfId="20487" xr:uid="{00000000-0005-0000-0000-000089830000}"/>
    <cellStyle name="표준 5 3 3 2 2 2 2 3 7" xfId="24583" xr:uid="{00000000-0005-0000-0000-00008A830000}"/>
    <cellStyle name="표준 5 3 3 2 2 2 2 3 8" xfId="32794" xr:uid="{00000000-0005-0000-0000-00008B830000}"/>
    <cellStyle name="표준 5 3 3 2 2 2 2 3 9" xfId="40987" xr:uid="{00000000-0005-0000-0000-00008C830000}"/>
    <cellStyle name="표준 5 3 3 2 2 2 2 4" xfId="1630" xr:uid="{00000000-0005-0000-0000-00008D830000}"/>
    <cellStyle name="표준 5 3 3 2 2 2 2 4 2" xfId="10533" xr:uid="{00000000-0005-0000-0000-00008E830000}"/>
    <cellStyle name="표준 5 3 3 2 2 2 2 4 2 2" xfId="14645" xr:uid="{00000000-0005-0000-0000-00008F830000}"/>
    <cellStyle name="표준 5 3 3 2 2 2 2 4 2 2 2" xfId="31239" xr:uid="{00000000-0005-0000-0000-000090830000}"/>
    <cellStyle name="표준 5 3 3 2 2 2 2 4 2 2 3" xfId="39450" xr:uid="{00000000-0005-0000-0000-000091830000}"/>
    <cellStyle name="표준 5 3 3 2 2 2 2 4 2 2 4" xfId="47643" xr:uid="{00000000-0005-0000-0000-000092830000}"/>
    <cellStyle name="표준 5 3 3 2 2 2 2 4 2 3" xfId="18885" xr:uid="{00000000-0005-0000-0000-000093830000}"/>
    <cellStyle name="표준 5 3 3 2 2 2 2 4 2 4" xfId="23047" xr:uid="{00000000-0005-0000-0000-000094830000}"/>
    <cellStyle name="표준 5 3 3 2 2 2 2 4 2 5" xfId="27143" xr:uid="{00000000-0005-0000-0000-000095830000}"/>
    <cellStyle name="표준 5 3 3 2 2 2 2 4 2 6" xfId="35354" xr:uid="{00000000-0005-0000-0000-000096830000}"/>
    <cellStyle name="표준 5 3 3 2 2 2 2 4 2 7" xfId="43547" xr:uid="{00000000-0005-0000-0000-000097830000}"/>
    <cellStyle name="표준 5 3 3 2 2 2 2 4 3" xfId="8485" xr:uid="{00000000-0005-0000-0000-000098830000}"/>
    <cellStyle name="표준 5 3 3 2 2 2 2 4 3 2" xfId="29191" xr:uid="{00000000-0005-0000-0000-000099830000}"/>
    <cellStyle name="표준 5 3 3 2 2 2 2 4 3 3" xfId="37402" xr:uid="{00000000-0005-0000-0000-00009A830000}"/>
    <cellStyle name="표준 5 3 3 2 2 2 2 4 3 4" xfId="45595" xr:uid="{00000000-0005-0000-0000-00009B830000}"/>
    <cellStyle name="표준 5 3 3 2 2 2 2 4 4" xfId="12597" xr:uid="{00000000-0005-0000-0000-00009C830000}"/>
    <cellStyle name="표준 5 3 3 2 2 2 2 4 5" xfId="16837" xr:uid="{00000000-0005-0000-0000-00009D830000}"/>
    <cellStyle name="표준 5 3 3 2 2 2 2 4 6" xfId="20999" xr:uid="{00000000-0005-0000-0000-00009E830000}"/>
    <cellStyle name="표준 5 3 3 2 2 2 2 4 7" xfId="25095" xr:uid="{00000000-0005-0000-0000-00009F830000}"/>
    <cellStyle name="표준 5 3 3 2 2 2 2 4 8" xfId="33306" xr:uid="{00000000-0005-0000-0000-0000A0830000}"/>
    <cellStyle name="표준 5 3 3 2 2 2 2 4 9" xfId="41499" xr:uid="{00000000-0005-0000-0000-0000A1830000}"/>
    <cellStyle name="표준 5 3 3 2 2 2 2 5" xfId="2142" xr:uid="{00000000-0005-0000-0000-0000A2830000}"/>
    <cellStyle name="표준 5 3 3 2 2 2 2 5 2" xfId="11045" xr:uid="{00000000-0005-0000-0000-0000A3830000}"/>
    <cellStyle name="표준 5 3 3 2 2 2 2 5 2 2" xfId="15157" xr:uid="{00000000-0005-0000-0000-0000A4830000}"/>
    <cellStyle name="표준 5 3 3 2 2 2 2 5 2 2 2" xfId="31751" xr:uid="{00000000-0005-0000-0000-0000A5830000}"/>
    <cellStyle name="표준 5 3 3 2 2 2 2 5 2 2 3" xfId="39962" xr:uid="{00000000-0005-0000-0000-0000A6830000}"/>
    <cellStyle name="표준 5 3 3 2 2 2 2 5 2 2 4" xfId="48155" xr:uid="{00000000-0005-0000-0000-0000A7830000}"/>
    <cellStyle name="표준 5 3 3 2 2 2 2 5 2 3" xfId="19397" xr:uid="{00000000-0005-0000-0000-0000A8830000}"/>
    <cellStyle name="표준 5 3 3 2 2 2 2 5 2 4" xfId="23559" xr:uid="{00000000-0005-0000-0000-0000A9830000}"/>
    <cellStyle name="표준 5 3 3 2 2 2 2 5 2 5" xfId="27655" xr:uid="{00000000-0005-0000-0000-0000AA830000}"/>
    <cellStyle name="표준 5 3 3 2 2 2 2 5 2 6" xfId="35866" xr:uid="{00000000-0005-0000-0000-0000AB830000}"/>
    <cellStyle name="표준 5 3 3 2 2 2 2 5 2 7" xfId="44059" xr:uid="{00000000-0005-0000-0000-0000AC830000}"/>
    <cellStyle name="표준 5 3 3 2 2 2 2 5 3" xfId="8997" xr:uid="{00000000-0005-0000-0000-0000AD830000}"/>
    <cellStyle name="표준 5 3 3 2 2 2 2 5 3 2" xfId="29703" xr:uid="{00000000-0005-0000-0000-0000AE830000}"/>
    <cellStyle name="표준 5 3 3 2 2 2 2 5 3 3" xfId="37914" xr:uid="{00000000-0005-0000-0000-0000AF830000}"/>
    <cellStyle name="표준 5 3 3 2 2 2 2 5 3 4" xfId="46107" xr:uid="{00000000-0005-0000-0000-0000B0830000}"/>
    <cellStyle name="표준 5 3 3 2 2 2 2 5 4" xfId="13109" xr:uid="{00000000-0005-0000-0000-0000B1830000}"/>
    <cellStyle name="표준 5 3 3 2 2 2 2 5 5" xfId="17349" xr:uid="{00000000-0005-0000-0000-0000B2830000}"/>
    <cellStyle name="표준 5 3 3 2 2 2 2 5 6" xfId="21511" xr:uid="{00000000-0005-0000-0000-0000B3830000}"/>
    <cellStyle name="표준 5 3 3 2 2 2 2 5 7" xfId="25607" xr:uid="{00000000-0005-0000-0000-0000B4830000}"/>
    <cellStyle name="표준 5 3 3 2 2 2 2 5 8" xfId="33818" xr:uid="{00000000-0005-0000-0000-0000B5830000}"/>
    <cellStyle name="표준 5 3 3 2 2 2 2 5 9" xfId="42011" xr:uid="{00000000-0005-0000-0000-0000B6830000}"/>
    <cellStyle name="표준 5 3 3 2 2 2 2 6" xfId="9509" xr:uid="{00000000-0005-0000-0000-0000B7830000}"/>
    <cellStyle name="표준 5 3 3 2 2 2 2 6 2" xfId="13621" xr:uid="{00000000-0005-0000-0000-0000B8830000}"/>
    <cellStyle name="표준 5 3 3 2 2 2 2 6 2 2" xfId="30215" xr:uid="{00000000-0005-0000-0000-0000B9830000}"/>
    <cellStyle name="표준 5 3 3 2 2 2 2 6 2 3" xfId="38426" xr:uid="{00000000-0005-0000-0000-0000BA830000}"/>
    <cellStyle name="표준 5 3 3 2 2 2 2 6 2 4" xfId="46619" xr:uid="{00000000-0005-0000-0000-0000BB830000}"/>
    <cellStyle name="표준 5 3 3 2 2 2 2 6 3" xfId="17861" xr:uid="{00000000-0005-0000-0000-0000BC830000}"/>
    <cellStyle name="표준 5 3 3 2 2 2 2 6 4" xfId="22023" xr:uid="{00000000-0005-0000-0000-0000BD830000}"/>
    <cellStyle name="표준 5 3 3 2 2 2 2 6 5" xfId="26119" xr:uid="{00000000-0005-0000-0000-0000BE830000}"/>
    <cellStyle name="표준 5 3 3 2 2 2 2 6 6" xfId="34330" xr:uid="{00000000-0005-0000-0000-0000BF830000}"/>
    <cellStyle name="표준 5 3 3 2 2 2 2 6 7" xfId="42523" xr:uid="{00000000-0005-0000-0000-0000C0830000}"/>
    <cellStyle name="표준 5 3 3 2 2 2 2 7" xfId="7461" xr:uid="{00000000-0005-0000-0000-0000C1830000}"/>
    <cellStyle name="표준 5 3 3 2 2 2 2 7 2" xfId="28167" xr:uid="{00000000-0005-0000-0000-0000C2830000}"/>
    <cellStyle name="표준 5 3 3 2 2 2 2 7 3" xfId="36378" xr:uid="{00000000-0005-0000-0000-0000C3830000}"/>
    <cellStyle name="표준 5 3 3 2 2 2 2 7 4" xfId="44571" xr:uid="{00000000-0005-0000-0000-0000C4830000}"/>
    <cellStyle name="표준 5 3 3 2 2 2 2 8" xfId="11573" xr:uid="{00000000-0005-0000-0000-0000C5830000}"/>
    <cellStyle name="표준 5 3 3 2 2 2 2 9" xfId="15813" xr:uid="{00000000-0005-0000-0000-0000C6830000}"/>
    <cellStyle name="표준 5 3 3 2 2 2 3" xfId="734" xr:uid="{00000000-0005-0000-0000-0000C7830000}"/>
    <cellStyle name="표준 5 3 3 2 2 2 3 10" xfId="24199" xr:uid="{00000000-0005-0000-0000-0000C8830000}"/>
    <cellStyle name="표준 5 3 3 2 2 2 3 11" xfId="32410" xr:uid="{00000000-0005-0000-0000-0000C9830000}"/>
    <cellStyle name="표준 5 3 3 2 2 2 3 12" xfId="40603" xr:uid="{00000000-0005-0000-0000-0000CA830000}"/>
    <cellStyle name="표준 5 3 3 2 2 2 3 2" xfId="1246" xr:uid="{00000000-0005-0000-0000-0000CB830000}"/>
    <cellStyle name="표준 5 3 3 2 2 2 3 2 2" xfId="10149" xr:uid="{00000000-0005-0000-0000-0000CC830000}"/>
    <cellStyle name="표준 5 3 3 2 2 2 3 2 2 2" xfId="14261" xr:uid="{00000000-0005-0000-0000-0000CD830000}"/>
    <cellStyle name="표준 5 3 3 2 2 2 3 2 2 2 2" xfId="30855" xr:uid="{00000000-0005-0000-0000-0000CE830000}"/>
    <cellStyle name="표준 5 3 3 2 2 2 3 2 2 2 3" xfId="39066" xr:uid="{00000000-0005-0000-0000-0000CF830000}"/>
    <cellStyle name="표준 5 3 3 2 2 2 3 2 2 2 4" xfId="47259" xr:uid="{00000000-0005-0000-0000-0000D0830000}"/>
    <cellStyle name="표준 5 3 3 2 2 2 3 2 2 3" xfId="18501" xr:uid="{00000000-0005-0000-0000-0000D1830000}"/>
    <cellStyle name="표준 5 3 3 2 2 2 3 2 2 4" xfId="22663" xr:uid="{00000000-0005-0000-0000-0000D2830000}"/>
    <cellStyle name="표준 5 3 3 2 2 2 3 2 2 5" xfId="26759" xr:uid="{00000000-0005-0000-0000-0000D3830000}"/>
    <cellStyle name="표준 5 3 3 2 2 2 3 2 2 6" xfId="34970" xr:uid="{00000000-0005-0000-0000-0000D4830000}"/>
    <cellStyle name="표준 5 3 3 2 2 2 3 2 2 7" xfId="43163" xr:uid="{00000000-0005-0000-0000-0000D5830000}"/>
    <cellStyle name="표준 5 3 3 2 2 2 3 2 3" xfId="8101" xr:uid="{00000000-0005-0000-0000-0000D6830000}"/>
    <cellStyle name="표준 5 3 3 2 2 2 3 2 3 2" xfId="28807" xr:uid="{00000000-0005-0000-0000-0000D7830000}"/>
    <cellStyle name="표준 5 3 3 2 2 2 3 2 3 3" xfId="37018" xr:uid="{00000000-0005-0000-0000-0000D8830000}"/>
    <cellStyle name="표준 5 3 3 2 2 2 3 2 3 4" xfId="45211" xr:uid="{00000000-0005-0000-0000-0000D9830000}"/>
    <cellStyle name="표준 5 3 3 2 2 2 3 2 4" xfId="12213" xr:uid="{00000000-0005-0000-0000-0000DA830000}"/>
    <cellStyle name="표준 5 3 3 2 2 2 3 2 5" xfId="16453" xr:uid="{00000000-0005-0000-0000-0000DB830000}"/>
    <cellStyle name="표준 5 3 3 2 2 2 3 2 6" xfId="20615" xr:uid="{00000000-0005-0000-0000-0000DC830000}"/>
    <cellStyle name="표준 5 3 3 2 2 2 3 2 7" xfId="24711" xr:uid="{00000000-0005-0000-0000-0000DD830000}"/>
    <cellStyle name="표준 5 3 3 2 2 2 3 2 8" xfId="32922" xr:uid="{00000000-0005-0000-0000-0000DE830000}"/>
    <cellStyle name="표준 5 3 3 2 2 2 3 2 9" xfId="41115" xr:uid="{00000000-0005-0000-0000-0000DF830000}"/>
    <cellStyle name="표준 5 3 3 2 2 2 3 3" xfId="1758" xr:uid="{00000000-0005-0000-0000-0000E0830000}"/>
    <cellStyle name="표준 5 3 3 2 2 2 3 3 2" xfId="10661" xr:uid="{00000000-0005-0000-0000-0000E1830000}"/>
    <cellStyle name="표준 5 3 3 2 2 2 3 3 2 2" xfId="14773" xr:uid="{00000000-0005-0000-0000-0000E2830000}"/>
    <cellStyle name="표준 5 3 3 2 2 2 3 3 2 2 2" xfId="31367" xr:uid="{00000000-0005-0000-0000-0000E3830000}"/>
    <cellStyle name="표준 5 3 3 2 2 2 3 3 2 2 3" xfId="39578" xr:uid="{00000000-0005-0000-0000-0000E4830000}"/>
    <cellStyle name="표준 5 3 3 2 2 2 3 3 2 2 4" xfId="47771" xr:uid="{00000000-0005-0000-0000-0000E5830000}"/>
    <cellStyle name="표준 5 3 3 2 2 2 3 3 2 3" xfId="19013" xr:uid="{00000000-0005-0000-0000-0000E6830000}"/>
    <cellStyle name="표준 5 3 3 2 2 2 3 3 2 4" xfId="23175" xr:uid="{00000000-0005-0000-0000-0000E7830000}"/>
    <cellStyle name="표준 5 3 3 2 2 2 3 3 2 5" xfId="27271" xr:uid="{00000000-0005-0000-0000-0000E8830000}"/>
    <cellStyle name="표준 5 3 3 2 2 2 3 3 2 6" xfId="35482" xr:uid="{00000000-0005-0000-0000-0000E9830000}"/>
    <cellStyle name="표준 5 3 3 2 2 2 3 3 2 7" xfId="43675" xr:uid="{00000000-0005-0000-0000-0000EA830000}"/>
    <cellStyle name="표준 5 3 3 2 2 2 3 3 3" xfId="8613" xr:uid="{00000000-0005-0000-0000-0000EB830000}"/>
    <cellStyle name="표준 5 3 3 2 2 2 3 3 3 2" xfId="29319" xr:uid="{00000000-0005-0000-0000-0000EC830000}"/>
    <cellStyle name="표준 5 3 3 2 2 2 3 3 3 3" xfId="37530" xr:uid="{00000000-0005-0000-0000-0000ED830000}"/>
    <cellStyle name="표준 5 3 3 2 2 2 3 3 3 4" xfId="45723" xr:uid="{00000000-0005-0000-0000-0000EE830000}"/>
    <cellStyle name="표준 5 3 3 2 2 2 3 3 4" xfId="12725" xr:uid="{00000000-0005-0000-0000-0000EF830000}"/>
    <cellStyle name="표준 5 3 3 2 2 2 3 3 5" xfId="16965" xr:uid="{00000000-0005-0000-0000-0000F0830000}"/>
    <cellStyle name="표준 5 3 3 2 2 2 3 3 6" xfId="21127" xr:uid="{00000000-0005-0000-0000-0000F1830000}"/>
    <cellStyle name="표준 5 3 3 2 2 2 3 3 7" xfId="25223" xr:uid="{00000000-0005-0000-0000-0000F2830000}"/>
    <cellStyle name="표준 5 3 3 2 2 2 3 3 8" xfId="33434" xr:uid="{00000000-0005-0000-0000-0000F3830000}"/>
    <cellStyle name="표준 5 3 3 2 2 2 3 3 9" xfId="41627" xr:uid="{00000000-0005-0000-0000-0000F4830000}"/>
    <cellStyle name="표준 5 3 3 2 2 2 3 4" xfId="2270" xr:uid="{00000000-0005-0000-0000-0000F5830000}"/>
    <cellStyle name="표준 5 3 3 2 2 2 3 4 2" xfId="11173" xr:uid="{00000000-0005-0000-0000-0000F6830000}"/>
    <cellStyle name="표준 5 3 3 2 2 2 3 4 2 2" xfId="15285" xr:uid="{00000000-0005-0000-0000-0000F7830000}"/>
    <cellStyle name="표준 5 3 3 2 2 2 3 4 2 2 2" xfId="31879" xr:uid="{00000000-0005-0000-0000-0000F8830000}"/>
    <cellStyle name="표준 5 3 3 2 2 2 3 4 2 2 3" xfId="40090" xr:uid="{00000000-0005-0000-0000-0000F9830000}"/>
    <cellStyle name="표준 5 3 3 2 2 2 3 4 2 2 4" xfId="48283" xr:uid="{00000000-0005-0000-0000-0000FA830000}"/>
    <cellStyle name="표준 5 3 3 2 2 2 3 4 2 3" xfId="19525" xr:uid="{00000000-0005-0000-0000-0000FB830000}"/>
    <cellStyle name="표준 5 3 3 2 2 2 3 4 2 4" xfId="23687" xr:uid="{00000000-0005-0000-0000-0000FC830000}"/>
    <cellStyle name="표준 5 3 3 2 2 2 3 4 2 5" xfId="27783" xr:uid="{00000000-0005-0000-0000-0000FD830000}"/>
    <cellStyle name="표준 5 3 3 2 2 2 3 4 2 6" xfId="35994" xr:uid="{00000000-0005-0000-0000-0000FE830000}"/>
    <cellStyle name="표준 5 3 3 2 2 2 3 4 2 7" xfId="44187" xr:uid="{00000000-0005-0000-0000-0000FF830000}"/>
    <cellStyle name="표준 5 3 3 2 2 2 3 4 3" xfId="9125" xr:uid="{00000000-0005-0000-0000-000000840000}"/>
    <cellStyle name="표준 5 3 3 2 2 2 3 4 3 2" xfId="29831" xr:uid="{00000000-0005-0000-0000-000001840000}"/>
    <cellStyle name="표준 5 3 3 2 2 2 3 4 3 3" xfId="38042" xr:uid="{00000000-0005-0000-0000-000002840000}"/>
    <cellStyle name="표준 5 3 3 2 2 2 3 4 3 4" xfId="46235" xr:uid="{00000000-0005-0000-0000-000003840000}"/>
    <cellStyle name="표준 5 3 3 2 2 2 3 4 4" xfId="13237" xr:uid="{00000000-0005-0000-0000-000004840000}"/>
    <cellStyle name="표준 5 3 3 2 2 2 3 4 5" xfId="17477" xr:uid="{00000000-0005-0000-0000-000005840000}"/>
    <cellStyle name="표준 5 3 3 2 2 2 3 4 6" xfId="21639" xr:uid="{00000000-0005-0000-0000-000006840000}"/>
    <cellStyle name="표준 5 3 3 2 2 2 3 4 7" xfId="25735" xr:uid="{00000000-0005-0000-0000-000007840000}"/>
    <cellStyle name="표준 5 3 3 2 2 2 3 4 8" xfId="33946" xr:uid="{00000000-0005-0000-0000-000008840000}"/>
    <cellStyle name="표준 5 3 3 2 2 2 3 4 9" xfId="42139" xr:uid="{00000000-0005-0000-0000-000009840000}"/>
    <cellStyle name="표준 5 3 3 2 2 2 3 5" xfId="9637" xr:uid="{00000000-0005-0000-0000-00000A840000}"/>
    <cellStyle name="표준 5 3 3 2 2 2 3 5 2" xfId="13749" xr:uid="{00000000-0005-0000-0000-00000B840000}"/>
    <cellStyle name="표준 5 3 3 2 2 2 3 5 2 2" xfId="30343" xr:uid="{00000000-0005-0000-0000-00000C840000}"/>
    <cellStyle name="표준 5 3 3 2 2 2 3 5 2 3" xfId="38554" xr:uid="{00000000-0005-0000-0000-00000D840000}"/>
    <cellStyle name="표준 5 3 3 2 2 2 3 5 2 4" xfId="46747" xr:uid="{00000000-0005-0000-0000-00000E840000}"/>
    <cellStyle name="표준 5 3 3 2 2 2 3 5 3" xfId="17989" xr:uid="{00000000-0005-0000-0000-00000F840000}"/>
    <cellStyle name="표준 5 3 3 2 2 2 3 5 4" xfId="22151" xr:uid="{00000000-0005-0000-0000-000010840000}"/>
    <cellStyle name="표준 5 3 3 2 2 2 3 5 5" xfId="26247" xr:uid="{00000000-0005-0000-0000-000011840000}"/>
    <cellStyle name="표준 5 3 3 2 2 2 3 5 6" xfId="34458" xr:uid="{00000000-0005-0000-0000-000012840000}"/>
    <cellStyle name="표준 5 3 3 2 2 2 3 5 7" xfId="42651" xr:uid="{00000000-0005-0000-0000-000013840000}"/>
    <cellStyle name="표준 5 3 3 2 2 2 3 6" xfId="7589" xr:uid="{00000000-0005-0000-0000-000014840000}"/>
    <cellStyle name="표준 5 3 3 2 2 2 3 6 2" xfId="28295" xr:uid="{00000000-0005-0000-0000-000015840000}"/>
    <cellStyle name="표준 5 3 3 2 2 2 3 6 3" xfId="36506" xr:uid="{00000000-0005-0000-0000-000016840000}"/>
    <cellStyle name="표준 5 3 3 2 2 2 3 6 4" xfId="44699" xr:uid="{00000000-0005-0000-0000-000017840000}"/>
    <cellStyle name="표준 5 3 3 2 2 2 3 7" xfId="11701" xr:uid="{00000000-0005-0000-0000-000018840000}"/>
    <cellStyle name="표준 5 3 3 2 2 2 3 8" xfId="15941" xr:uid="{00000000-0005-0000-0000-000019840000}"/>
    <cellStyle name="표준 5 3 3 2 2 2 3 9" xfId="20103" xr:uid="{00000000-0005-0000-0000-00001A840000}"/>
    <cellStyle name="표준 5 3 3 2 2 2 4" xfId="990" xr:uid="{00000000-0005-0000-0000-00001B840000}"/>
    <cellStyle name="표준 5 3 3 2 2 2 4 2" xfId="9893" xr:uid="{00000000-0005-0000-0000-00001C840000}"/>
    <cellStyle name="표준 5 3 3 2 2 2 4 2 2" xfId="14005" xr:uid="{00000000-0005-0000-0000-00001D840000}"/>
    <cellStyle name="표준 5 3 3 2 2 2 4 2 2 2" xfId="30599" xr:uid="{00000000-0005-0000-0000-00001E840000}"/>
    <cellStyle name="표준 5 3 3 2 2 2 4 2 2 3" xfId="38810" xr:uid="{00000000-0005-0000-0000-00001F840000}"/>
    <cellStyle name="표준 5 3 3 2 2 2 4 2 2 4" xfId="47003" xr:uid="{00000000-0005-0000-0000-000020840000}"/>
    <cellStyle name="표준 5 3 3 2 2 2 4 2 3" xfId="18245" xr:uid="{00000000-0005-0000-0000-000021840000}"/>
    <cellStyle name="표준 5 3 3 2 2 2 4 2 4" xfId="22407" xr:uid="{00000000-0005-0000-0000-000022840000}"/>
    <cellStyle name="표준 5 3 3 2 2 2 4 2 5" xfId="26503" xr:uid="{00000000-0005-0000-0000-000023840000}"/>
    <cellStyle name="표준 5 3 3 2 2 2 4 2 6" xfId="34714" xr:uid="{00000000-0005-0000-0000-000024840000}"/>
    <cellStyle name="표준 5 3 3 2 2 2 4 2 7" xfId="42907" xr:uid="{00000000-0005-0000-0000-000025840000}"/>
    <cellStyle name="표준 5 3 3 2 2 2 4 3" xfId="7845" xr:uid="{00000000-0005-0000-0000-000026840000}"/>
    <cellStyle name="표준 5 3 3 2 2 2 4 3 2" xfId="28551" xr:uid="{00000000-0005-0000-0000-000027840000}"/>
    <cellStyle name="표준 5 3 3 2 2 2 4 3 3" xfId="36762" xr:uid="{00000000-0005-0000-0000-000028840000}"/>
    <cellStyle name="표준 5 3 3 2 2 2 4 3 4" xfId="44955" xr:uid="{00000000-0005-0000-0000-000029840000}"/>
    <cellStyle name="표준 5 3 3 2 2 2 4 4" xfId="11957" xr:uid="{00000000-0005-0000-0000-00002A840000}"/>
    <cellStyle name="표준 5 3 3 2 2 2 4 5" xfId="16197" xr:uid="{00000000-0005-0000-0000-00002B840000}"/>
    <cellStyle name="표준 5 3 3 2 2 2 4 6" xfId="20359" xr:uid="{00000000-0005-0000-0000-00002C840000}"/>
    <cellStyle name="표준 5 3 3 2 2 2 4 7" xfId="24455" xr:uid="{00000000-0005-0000-0000-00002D840000}"/>
    <cellStyle name="표준 5 3 3 2 2 2 4 8" xfId="32666" xr:uid="{00000000-0005-0000-0000-00002E840000}"/>
    <cellStyle name="표준 5 3 3 2 2 2 4 9" xfId="40859" xr:uid="{00000000-0005-0000-0000-00002F840000}"/>
    <cellStyle name="표준 5 3 3 2 2 2 5" xfId="1502" xr:uid="{00000000-0005-0000-0000-000030840000}"/>
    <cellStyle name="표준 5 3 3 2 2 2 5 2" xfId="10405" xr:uid="{00000000-0005-0000-0000-000031840000}"/>
    <cellStyle name="표준 5 3 3 2 2 2 5 2 2" xfId="14517" xr:uid="{00000000-0005-0000-0000-000032840000}"/>
    <cellStyle name="표준 5 3 3 2 2 2 5 2 2 2" xfId="31111" xr:uid="{00000000-0005-0000-0000-000033840000}"/>
    <cellStyle name="표준 5 3 3 2 2 2 5 2 2 3" xfId="39322" xr:uid="{00000000-0005-0000-0000-000034840000}"/>
    <cellStyle name="표준 5 3 3 2 2 2 5 2 2 4" xfId="47515" xr:uid="{00000000-0005-0000-0000-000035840000}"/>
    <cellStyle name="표준 5 3 3 2 2 2 5 2 3" xfId="18757" xr:uid="{00000000-0005-0000-0000-000036840000}"/>
    <cellStyle name="표준 5 3 3 2 2 2 5 2 4" xfId="22919" xr:uid="{00000000-0005-0000-0000-000037840000}"/>
    <cellStyle name="표준 5 3 3 2 2 2 5 2 5" xfId="27015" xr:uid="{00000000-0005-0000-0000-000038840000}"/>
    <cellStyle name="표준 5 3 3 2 2 2 5 2 6" xfId="35226" xr:uid="{00000000-0005-0000-0000-000039840000}"/>
    <cellStyle name="표준 5 3 3 2 2 2 5 2 7" xfId="43419" xr:uid="{00000000-0005-0000-0000-00003A840000}"/>
    <cellStyle name="표준 5 3 3 2 2 2 5 3" xfId="8357" xr:uid="{00000000-0005-0000-0000-00003B840000}"/>
    <cellStyle name="표준 5 3 3 2 2 2 5 3 2" xfId="29063" xr:uid="{00000000-0005-0000-0000-00003C840000}"/>
    <cellStyle name="표준 5 3 3 2 2 2 5 3 3" xfId="37274" xr:uid="{00000000-0005-0000-0000-00003D840000}"/>
    <cellStyle name="표준 5 3 3 2 2 2 5 3 4" xfId="45467" xr:uid="{00000000-0005-0000-0000-00003E840000}"/>
    <cellStyle name="표준 5 3 3 2 2 2 5 4" xfId="12469" xr:uid="{00000000-0005-0000-0000-00003F840000}"/>
    <cellStyle name="표준 5 3 3 2 2 2 5 5" xfId="16709" xr:uid="{00000000-0005-0000-0000-000040840000}"/>
    <cellStyle name="표준 5 3 3 2 2 2 5 6" xfId="20871" xr:uid="{00000000-0005-0000-0000-000041840000}"/>
    <cellStyle name="표준 5 3 3 2 2 2 5 7" xfId="24967" xr:uid="{00000000-0005-0000-0000-000042840000}"/>
    <cellStyle name="표준 5 3 3 2 2 2 5 8" xfId="33178" xr:uid="{00000000-0005-0000-0000-000043840000}"/>
    <cellStyle name="표준 5 3 3 2 2 2 5 9" xfId="41371" xr:uid="{00000000-0005-0000-0000-000044840000}"/>
    <cellStyle name="표준 5 3 3 2 2 2 6" xfId="2014" xr:uid="{00000000-0005-0000-0000-000045840000}"/>
    <cellStyle name="표준 5 3 3 2 2 2 6 2" xfId="10917" xr:uid="{00000000-0005-0000-0000-000046840000}"/>
    <cellStyle name="표준 5 3 3 2 2 2 6 2 2" xfId="15029" xr:uid="{00000000-0005-0000-0000-000047840000}"/>
    <cellStyle name="표준 5 3 3 2 2 2 6 2 2 2" xfId="31623" xr:uid="{00000000-0005-0000-0000-000048840000}"/>
    <cellStyle name="표준 5 3 3 2 2 2 6 2 2 3" xfId="39834" xr:uid="{00000000-0005-0000-0000-000049840000}"/>
    <cellStyle name="표준 5 3 3 2 2 2 6 2 2 4" xfId="48027" xr:uid="{00000000-0005-0000-0000-00004A840000}"/>
    <cellStyle name="표준 5 3 3 2 2 2 6 2 3" xfId="19269" xr:uid="{00000000-0005-0000-0000-00004B840000}"/>
    <cellStyle name="표준 5 3 3 2 2 2 6 2 4" xfId="23431" xr:uid="{00000000-0005-0000-0000-00004C840000}"/>
    <cellStyle name="표준 5 3 3 2 2 2 6 2 5" xfId="27527" xr:uid="{00000000-0005-0000-0000-00004D840000}"/>
    <cellStyle name="표준 5 3 3 2 2 2 6 2 6" xfId="35738" xr:uid="{00000000-0005-0000-0000-00004E840000}"/>
    <cellStyle name="표준 5 3 3 2 2 2 6 2 7" xfId="43931" xr:uid="{00000000-0005-0000-0000-00004F840000}"/>
    <cellStyle name="표준 5 3 3 2 2 2 6 3" xfId="8869" xr:uid="{00000000-0005-0000-0000-000050840000}"/>
    <cellStyle name="표준 5 3 3 2 2 2 6 3 2" xfId="29575" xr:uid="{00000000-0005-0000-0000-000051840000}"/>
    <cellStyle name="표준 5 3 3 2 2 2 6 3 3" xfId="37786" xr:uid="{00000000-0005-0000-0000-000052840000}"/>
    <cellStyle name="표준 5 3 3 2 2 2 6 3 4" xfId="45979" xr:uid="{00000000-0005-0000-0000-000053840000}"/>
    <cellStyle name="표준 5 3 3 2 2 2 6 4" xfId="12981" xr:uid="{00000000-0005-0000-0000-000054840000}"/>
    <cellStyle name="표준 5 3 3 2 2 2 6 5" xfId="17221" xr:uid="{00000000-0005-0000-0000-000055840000}"/>
    <cellStyle name="표준 5 3 3 2 2 2 6 6" xfId="21383" xr:uid="{00000000-0005-0000-0000-000056840000}"/>
    <cellStyle name="표준 5 3 3 2 2 2 6 7" xfId="25479" xr:uid="{00000000-0005-0000-0000-000057840000}"/>
    <cellStyle name="표준 5 3 3 2 2 2 6 8" xfId="33690" xr:uid="{00000000-0005-0000-0000-000058840000}"/>
    <cellStyle name="표준 5 3 3 2 2 2 6 9" xfId="41883" xr:uid="{00000000-0005-0000-0000-000059840000}"/>
    <cellStyle name="표준 5 3 3 2 2 2 7" xfId="9381" xr:uid="{00000000-0005-0000-0000-00005A840000}"/>
    <cellStyle name="표준 5 3 3 2 2 2 7 2" xfId="13493" xr:uid="{00000000-0005-0000-0000-00005B840000}"/>
    <cellStyle name="표준 5 3 3 2 2 2 7 2 2" xfId="30087" xr:uid="{00000000-0005-0000-0000-00005C840000}"/>
    <cellStyle name="표준 5 3 3 2 2 2 7 2 3" xfId="38298" xr:uid="{00000000-0005-0000-0000-00005D840000}"/>
    <cellStyle name="표준 5 3 3 2 2 2 7 2 4" xfId="46491" xr:uid="{00000000-0005-0000-0000-00005E840000}"/>
    <cellStyle name="표준 5 3 3 2 2 2 7 3" xfId="17733" xr:uid="{00000000-0005-0000-0000-00005F840000}"/>
    <cellStyle name="표준 5 3 3 2 2 2 7 4" xfId="21895" xr:uid="{00000000-0005-0000-0000-000060840000}"/>
    <cellStyle name="표준 5 3 3 2 2 2 7 5" xfId="25991" xr:uid="{00000000-0005-0000-0000-000061840000}"/>
    <cellStyle name="표준 5 3 3 2 2 2 7 6" xfId="34202" xr:uid="{00000000-0005-0000-0000-000062840000}"/>
    <cellStyle name="표준 5 3 3 2 2 2 7 7" xfId="42395" xr:uid="{00000000-0005-0000-0000-000063840000}"/>
    <cellStyle name="표준 5 3 3 2 2 2 8" xfId="7333" xr:uid="{00000000-0005-0000-0000-000064840000}"/>
    <cellStyle name="표준 5 3 3 2 2 2 8 2" xfId="28039" xr:uid="{00000000-0005-0000-0000-000065840000}"/>
    <cellStyle name="표준 5 3 3 2 2 2 8 3" xfId="36250" xr:uid="{00000000-0005-0000-0000-000066840000}"/>
    <cellStyle name="표준 5 3 3 2 2 2 8 4" xfId="44443" xr:uid="{00000000-0005-0000-0000-000067840000}"/>
    <cellStyle name="표준 5 3 3 2 2 2 9" xfId="11445" xr:uid="{00000000-0005-0000-0000-000068840000}"/>
    <cellStyle name="표준 5 3 3 2 2 3" xfId="542" xr:uid="{00000000-0005-0000-0000-000069840000}"/>
    <cellStyle name="표준 5 3 3 2 2 3 10" xfId="19911" xr:uid="{00000000-0005-0000-0000-00006A840000}"/>
    <cellStyle name="표준 5 3 3 2 2 3 11" xfId="24007" xr:uid="{00000000-0005-0000-0000-00006B840000}"/>
    <cellStyle name="표준 5 3 3 2 2 3 12" xfId="32218" xr:uid="{00000000-0005-0000-0000-00006C840000}"/>
    <cellStyle name="표준 5 3 3 2 2 3 13" xfId="40411" xr:uid="{00000000-0005-0000-0000-00006D840000}"/>
    <cellStyle name="표준 5 3 3 2 2 3 2" xfId="798" xr:uid="{00000000-0005-0000-0000-00006E840000}"/>
    <cellStyle name="표준 5 3 3 2 2 3 2 10" xfId="24263" xr:uid="{00000000-0005-0000-0000-00006F840000}"/>
    <cellStyle name="표준 5 3 3 2 2 3 2 11" xfId="32474" xr:uid="{00000000-0005-0000-0000-000070840000}"/>
    <cellStyle name="표준 5 3 3 2 2 3 2 12" xfId="40667" xr:uid="{00000000-0005-0000-0000-000071840000}"/>
    <cellStyle name="표준 5 3 3 2 2 3 2 2" xfId="1310" xr:uid="{00000000-0005-0000-0000-000072840000}"/>
    <cellStyle name="표준 5 3 3 2 2 3 2 2 2" xfId="10213" xr:uid="{00000000-0005-0000-0000-000073840000}"/>
    <cellStyle name="표준 5 3 3 2 2 3 2 2 2 2" xfId="14325" xr:uid="{00000000-0005-0000-0000-000074840000}"/>
    <cellStyle name="표준 5 3 3 2 2 3 2 2 2 2 2" xfId="30919" xr:uid="{00000000-0005-0000-0000-000075840000}"/>
    <cellStyle name="표준 5 3 3 2 2 3 2 2 2 2 3" xfId="39130" xr:uid="{00000000-0005-0000-0000-000076840000}"/>
    <cellStyle name="표준 5 3 3 2 2 3 2 2 2 2 4" xfId="47323" xr:uid="{00000000-0005-0000-0000-000077840000}"/>
    <cellStyle name="표준 5 3 3 2 2 3 2 2 2 3" xfId="18565" xr:uid="{00000000-0005-0000-0000-000078840000}"/>
    <cellStyle name="표준 5 3 3 2 2 3 2 2 2 4" xfId="22727" xr:uid="{00000000-0005-0000-0000-000079840000}"/>
    <cellStyle name="표준 5 3 3 2 2 3 2 2 2 5" xfId="26823" xr:uid="{00000000-0005-0000-0000-00007A840000}"/>
    <cellStyle name="표준 5 3 3 2 2 3 2 2 2 6" xfId="35034" xr:uid="{00000000-0005-0000-0000-00007B840000}"/>
    <cellStyle name="표준 5 3 3 2 2 3 2 2 2 7" xfId="43227" xr:uid="{00000000-0005-0000-0000-00007C840000}"/>
    <cellStyle name="표준 5 3 3 2 2 3 2 2 3" xfId="8165" xr:uid="{00000000-0005-0000-0000-00007D840000}"/>
    <cellStyle name="표준 5 3 3 2 2 3 2 2 3 2" xfId="28871" xr:uid="{00000000-0005-0000-0000-00007E840000}"/>
    <cellStyle name="표준 5 3 3 2 2 3 2 2 3 3" xfId="37082" xr:uid="{00000000-0005-0000-0000-00007F840000}"/>
    <cellStyle name="표준 5 3 3 2 2 3 2 2 3 4" xfId="45275" xr:uid="{00000000-0005-0000-0000-000080840000}"/>
    <cellStyle name="표준 5 3 3 2 2 3 2 2 4" xfId="12277" xr:uid="{00000000-0005-0000-0000-000081840000}"/>
    <cellStyle name="표준 5 3 3 2 2 3 2 2 5" xfId="16517" xr:uid="{00000000-0005-0000-0000-000082840000}"/>
    <cellStyle name="표준 5 3 3 2 2 3 2 2 6" xfId="20679" xr:uid="{00000000-0005-0000-0000-000083840000}"/>
    <cellStyle name="표준 5 3 3 2 2 3 2 2 7" xfId="24775" xr:uid="{00000000-0005-0000-0000-000084840000}"/>
    <cellStyle name="표준 5 3 3 2 2 3 2 2 8" xfId="32986" xr:uid="{00000000-0005-0000-0000-000085840000}"/>
    <cellStyle name="표준 5 3 3 2 2 3 2 2 9" xfId="41179" xr:uid="{00000000-0005-0000-0000-000086840000}"/>
    <cellStyle name="표준 5 3 3 2 2 3 2 3" xfId="1822" xr:uid="{00000000-0005-0000-0000-000087840000}"/>
    <cellStyle name="표준 5 3 3 2 2 3 2 3 2" xfId="10725" xr:uid="{00000000-0005-0000-0000-000088840000}"/>
    <cellStyle name="표준 5 3 3 2 2 3 2 3 2 2" xfId="14837" xr:uid="{00000000-0005-0000-0000-000089840000}"/>
    <cellStyle name="표준 5 3 3 2 2 3 2 3 2 2 2" xfId="31431" xr:uid="{00000000-0005-0000-0000-00008A840000}"/>
    <cellStyle name="표준 5 3 3 2 2 3 2 3 2 2 3" xfId="39642" xr:uid="{00000000-0005-0000-0000-00008B840000}"/>
    <cellStyle name="표준 5 3 3 2 2 3 2 3 2 2 4" xfId="47835" xr:uid="{00000000-0005-0000-0000-00008C840000}"/>
    <cellStyle name="표준 5 3 3 2 2 3 2 3 2 3" xfId="19077" xr:uid="{00000000-0005-0000-0000-00008D840000}"/>
    <cellStyle name="표준 5 3 3 2 2 3 2 3 2 4" xfId="23239" xr:uid="{00000000-0005-0000-0000-00008E840000}"/>
    <cellStyle name="표준 5 3 3 2 2 3 2 3 2 5" xfId="27335" xr:uid="{00000000-0005-0000-0000-00008F840000}"/>
    <cellStyle name="표준 5 3 3 2 2 3 2 3 2 6" xfId="35546" xr:uid="{00000000-0005-0000-0000-000090840000}"/>
    <cellStyle name="표준 5 3 3 2 2 3 2 3 2 7" xfId="43739" xr:uid="{00000000-0005-0000-0000-000091840000}"/>
    <cellStyle name="표준 5 3 3 2 2 3 2 3 3" xfId="8677" xr:uid="{00000000-0005-0000-0000-000092840000}"/>
    <cellStyle name="표준 5 3 3 2 2 3 2 3 3 2" xfId="29383" xr:uid="{00000000-0005-0000-0000-000093840000}"/>
    <cellStyle name="표준 5 3 3 2 2 3 2 3 3 3" xfId="37594" xr:uid="{00000000-0005-0000-0000-000094840000}"/>
    <cellStyle name="표준 5 3 3 2 2 3 2 3 3 4" xfId="45787" xr:uid="{00000000-0005-0000-0000-000095840000}"/>
    <cellStyle name="표준 5 3 3 2 2 3 2 3 4" xfId="12789" xr:uid="{00000000-0005-0000-0000-000096840000}"/>
    <cellStyle name="표준 5 3 3 2 2 3 2 3 5" xfId="17029" xr:uid="{00000000-0005-0000-0000-000097840000}"/>
    <cellStyle name="표준 5 3 3 2 2 3 2 3 6" xfId="21191" xr:uid="{00000000-0005-0000-0000-000098840000}"/>
    <cellStyle name="표준 5 3 3 2 2 3 2 3 7" xfId="25287" xr:uid="{00000000-0005-0000-0000-000099840000}"/>
    <cellStyle name="표준 5 3 3 2 2 3 2 3 8" xfId="33498" xr:uid="{00000000-0005-0000-0000-00009A840000}"/>
    <cellStyle name="표준 5 3 3 2 2 3 2 3 9" xfId="41691" xr:uid="{00000000-0005-0000-0000-00009B840000}"/>
    <cellStyle name="표준 5 3 3 2 2 3 2 4" xfId="2334" xr:uid="{00000000-0005-0000-0000-00009C840000}"/>
    <cellStyle name="표준 5 3 3 2 2 3 2 4 2" xfId="11237" xr:uid="{00000000-0005-0000-0000-00009D840000}"/>
    <cellStyle name="표준 5 3 3 2 2 3 2 4 2 2" xfId="15349" xr:uid="{00000000-0005-0000-0000-00009E840000}"/>
    <cellStyle name="표준 5 3 3 2 2 3 2 4 2 2 2" xfId="31943" xr:uid="{00000000-0005-0000-0000-00009F840000}"/>
    <cellStyle name="표준 5 3 3 2 2 3 2 4 2 2 3" xfId="40154" xr:uid="{00000000-0005-0000-0000-0000A0840000}"/>
    <cellStyle name="표준 5 3 3 2 2 3 2 4 2 2 4" xfId="48347" xr:uid="{00000000-0005-0000-0000-0000A1840000}"/>
    <cellStyle name="표준 5 3 3 2 2 3 2 4 2 3" xfId="19589" xr:uid="{00000000-0005-0000-0000-0000A2840000}"/>
    <cellStyle name="표준 5 3 3 2 2 3 2 4 2 4" xfId="23751" xr:uid="{00000000-0005-0000-0000-0000A3840000}"/>
    <cellStyle name="표준 5 3 3 2 2 3 2 4 2 5" xfId="27847" xr:uid="{00000000-0005-0000-0000-0000A4840000}"/>
    <cellStyle name="표준 5 3 3 2 2 3 2 4 2 6" xfId="36058" xr:uid="{00000000-0005-0000-0000-0000A5840000}"/>
    <cellStyle name="표준 5 3 3 2 2 3 2 4 2 7" xfId="44251" xr:uid="{00000000-0005-0000-0000-0000A6840000}"/>
    <cellStyle name="표준 5 3 3 2 2 3 2 4 3" xfId="9189" xr:uid="{00000000-0005-0000-0000-0000A7840000}"/>
    <cellStyle name="표준 5 3 3 2 2 3 2 4 3 2" xfId="29895" xr:uid="{00000000-0005-0000-0000-0000A8840000}"/>
    <cellStyle name="표준 5 3 3 2 2 3 2 4 3 3" xfId="38106" xr:uid="{00000000-0005-0000-0000-0000A9840000}"/>
    <cellStyle name="표준 5 3 3 2 2 3 2 4 3 4" xfId="46299" xr:uid="{00000000-0005-0000-0000-0000AA840000}"/>
    <cellStyle name="표준 5 3 3 2 2 3 2 4 4" xfId="13301" xr:uid="{00000000-0005-0000-0000-0000AB840000}"/>
    <cellStyle name="표준 5 3 3 2 2 3 2 4 5" xfId="17541" xr:uid="{00000000-0005-0000-0000-0000AC840000}"/>
    <cellStyle name="표준 5 3 3 2 2 3 2 4 6" xfId="21703" xr:uid="{00000000-0005-0000-0000-0000AD840000}"/>
    <cellStyle name="표준 5 3 3 2 2 3 2 4 7" xfId="25799" xr:uid="{00000000-0005-0000-0000-0000AE840000}"/>
    <cellStyle name="표준 5 3 3 2 2 3 2 4 8" xfId="34010" xr:uid="{00000000-0005-0000-0000-0000AF840000}"/>
    <cellStyle name="표준 5 3 3 2 2 3 2 4 9" xfId="42203" xr:uid="{00000000-0005-0000-0000-0000B0840000}"/>
    <cellStyle name="표준 5 3 3 2 2 3 2 5" xfId="9701" xr:uid="{00000000-0005-0000-0000-0000B1840000}"/>
    <cellStyle name="표준 5 3 3 2 2 3 2 5 2" xfId="13813" xr:uid="{00000000-0005-0000-0000-0000B2840000}"/>
    <cellStyle name="표준 5 3 3 2 2 3 2 5 2 2" xfId="30407" xr:uid="{00000000-0005-0000-0000-0000B3840000}"/>
    <cellStyle name="표준 5 3 3 2 2 3 2 5 2 3" xfId="38618" xr:uid="{00000000-0005-0000-0000-0000B4840000}"/>
    <cellStyle name="표준 5 3 3 2 2 3 2 5 2 4" xfId="46811" xr:uid="{00000000-0005-0000-0000-0000B5840000}"/>
    <cellStyle name="표준 5 3 3 2 2 3 2 5 3" xfId="18053" xr:uid="{00000000-0005-0000-0000-0000B6840000}"/>
    <cellStyle name="표준 5 3 3 2 2 3 2 5 4" xfId="22215" xr:uid="{00000000-0005-0000-0000-0000B7840000}"/>
    <cellStyle name="표준 5 3 3 2 2 3 2 5 5" xfId="26311" xr:uid="{00000000-0005-0000-0000-0000B8840000}"/>
    <cellStyle name="표준 5 3 3 2 2 3 2 5 6" xfId="34522" xr:uid="{00000000-0005-0000-0000-0000B9840000}"/>
    <cellStyle name="표준 5 3 3 2 2 3 2 5 7" xfId="42715" xr:uid="{00000000-0005-0000-0000-0000BA840000}"/>
    <cellStyle name="표준 5 3 3 2 2 3 2 6" xfId="7653" xr:uid="{00000000-0005-0000-0000-0000BB840000}"/>
    <cellStyle name="표준 5 3 3 2 2 3 2 6 2" xfId="28359" xr:uid="{00000000-0005-0000-0000-0000BC840000}"/>
    <cellStyle name="표준 5 3 3 2 2 3 2 6 3" xfId="36570" xr:uid="{00000000-0005-0000-0000-0000BD840000}"/>
    <cellStyle name="표준 5 3 3 2 2 3 2 6 4" xfId="44763" xr:uid="{00000000-0005-0000-0000-0000BE840000}"/>
    <cellStyle name="표준 5 3 3 2 2 3 2 7" xfId="11765" xr:uid="{00000000-0005-0000-0000-0000BF840000}"/>
    <cellStyle name="표준 5 3 3 2 2 3 2 8" xfId="16005" xr:uid="{00000000-0005-0000-0000-0000C0840000}"/>
    <cellStyle name="표준 5 3 3 2 2 3 2 9" xfId="20167" xr:uid="{00000000-0005-0000-0000-0000C1840000}"/>
    <cellStyle name="표준 5 3 3 2 2 3 3" xfId="1054" xr:uid="{00000000-0005-0000-0000-0000C2840000}"/>
    <cellStyle name="표준 5 3 3 2 2 3 3 2" xfId="9957" xr:uid="{00000000-0005-0000-0000-0000C3840000}"/>
    <cellStyle name="표준 5 3 3 2 2 3 3 2 2" xfId="14069" xr:uid="{00000000-0005-0000-0000-0000C4840000}"/>
    <cellStyle name="표준 5 3 3 2 2 3 3 2 2 2" xfId="30663" xr:uid="{00000000-0005-0000-0000-0000C5840000}"/>
    <cellStyle name="표준 5 3 3 2 2 3 3 2 2 3" xfId="38874" xr:uid="{00000000-0005-0000-0000-0000C6840000}"/>
    <cellStyle name="표준 5 3 3 2 2 3 3 2 2 4" xfId="47067" xr:uid="{00000000-0005-0000-0000-0000C7840000}"/>
    <cellStyle name="표준 5 3 3 2 2 3 3 2 3" xfId="18309" xr:uid="{00000000-0005-0000-0000-0000C8840000}"/>
    <cellStyle name="표준 5 3 3 2 2 3 3 2 4" xfId="22471" xr:uid="{00000000-0005-0000-0000-0000C9840000}"/>
    <cellStyle name="표준 5 3 3 2 2 3 3 2 5" xfId="26567" xr:uid="{00000000-0005-0000-0000-0000CA840000}"/>
    <cellStyle name="표준 5 3 3 2 2 3 3 2 6" xfId="34778" xr:uid="{00000000-0005-0000-0000-0000CB840000}"/>
    <cellStyle name="표준 5 3 3 2 2 3 3 2 7" xfId="42971" xr:uid="{00000000-0005-0000-0000-0000CC840000}"/>
    <cellStyle name="표준 5 3 3 2 2 3 3 3" xfId="7909" xr:uid="{00000000-0005-0000-0000-0000CD840000}"/>
    <cellStyle name="표준 5 3 3 2 2 3 3 3 2" xfId="28615" xr:uid="{00000000-0005-0000-0000-0000CE840000}"/>
    <cellStyle name="표준 5 3 3 2 2 3 3 3 3" xfId="36826" xr:uid="{00000000-0005-0000-0000-0000CF840000}"/>
    <cellStyle name="표준 5 3 3 2 2 3 3 3 4" xfId="45019" xr:uid="{00000000-0005-0000-0000-0000D0840000}"/>
    <cellStyle name="표준 5 3 3 2 2 3 3 4" xfId="12021" xr:uid="{00000000-0005-0000-0000-0000D1840000}"/>
    <cellStyle name="표준 5 3 3 2 2 3 3 5" xfId="16261" xr:uid="{00000000-0005-0000-0000-0000D2840000}"/>
    <cellStyle name="표준 5 3 3 2 2 3 3 6" xfId="20423" xr:uid="{00000000-0005-0000-0000-0000D3840000}"/>
    <cellStyle name="표준 5 3 3 2 2 3 3 7" xfId="24519" xr:uid="{00000000-0005-0000-0000-0000D4840000}"/>
    <cellStyle name="표준 5 3 3 2 2 3 3 8" xfId="32730" xr:uid="{00000000-0005-0000-0000-0000D5840000}"/>
    <cellStyle name="표준 5 3 3 2 2 3 3 9" xfId="40923" xr:uid="{00000000-0005-0000-0000-0000D6840000}"/>
    <cellStyle name="표준 5 3 3 2 2 3 4" xfId="1566" xr:uid="{00000000-0005-0000-0000-0000D7840000}"/>
    <cellStyle name="표준 5 3 3 2 2 3 4 2" xfId="10469" xr:uid="{00000000-0005-0000-0000-0000D8840000}"/>
    <cellStyle name="표준 5 3 3 2 2 3 4 2 2" xfId="14581" xr:uid="{00000000-0005-0000-0000-0000D9840000}"/>
    <cellStyle name="표준 5 3 3 2 2 3 4 2 2 2" xfId="31175" xr:uid="{00000000-0005-0000-0000-0000DA840000}"/>
    <cellStyle name="표준 5 3 3 2 2 3 4 2 2 3" xfId="39386" xr:uid="{00000000-0005-0000-0000-0000DB840000}"/>
    <cellStyle name="표준 5 3 3 2 2 3 4 2 2 4" xfId="47579" xr:uid="{00000000-0005-0000-0000-0000DC840000}"/>
    <cellStyle name="표준 5 3 3 2 2 3 4 2 3" xfId="18821" xr:uid="{00000000-0005-0000-0000-0000DD840000}"/>
    <cellStyle name="표준 5 3 3 2 2 3 4 2 4" xfId="22983" xr:uid="{00000000-0005-0000-0000-0000DE840000}"/>
    <cellStyle name="표준 5 3 3 2 2 3 4 2 5" xfId="27079" xr:uid="{00000000-0005-0000-0000-0000DF840000}"/>
    <cellStyle name="표준 5 3 3 2 2 3 4 2 6" xfId="35290" xr:uid="{00000000-0005-0000-0000-0000E0840000}"/>
    <cellStyle name="표준 5 3 3 2 2 3 4 2 7" xfId="43483" xr:uid="{00000000-0005-0000-0000-0000E1840000}"/>
    <cellStyle name="표준 5 3 3 2 2 3 4 3" xfId="8421" xr:uid="{00000000-0005-0000-0000-0000E2840000}"/>
    <cellStyle name="표준 5 3 3 2 2 3 4 3 2" xfId="29127" xr:uid="{00000000-0005-0000-0000-0000E3840000}"/>
    <cellStyle name="표준 5 3 3 2 2 3 4 3 3" xfId="37338" xr:uid="{00000000-0005-0000-0000-0000E4840000}"/>
    <cellStyle name="표준 5 3 3 2 2 3 4 3 4" xfId="45531" xr:uid="{00000000-0005-0000-0000-0000E5840000}"/>
    <cellStyle name="표준 5 3 3 2 2 3 4 4" xfId="12533" xr:uid="{00000000-0005-0000-0000-0000E6840000}"/>
    <cellStyle name="표준 5 3 3 2 2 3 4 5" xfId="16773" xr:uid="{00000000-0005-0000-0000-0000E7840000}"/>
    <cellStyle name="표준 5 3 3 2 2 3 4 6" xfId="20935" xr:uid="{00000000-0005-0000-0000-0000E8840000}"/>
    <cellStyle name="표준 5 3 3 2 2 3 4 7" xfId="25031" xr:uid="{00000000-0005-0000-0000-0000E9840000}"/>
    <cellStyle name="표준 5 3 3 2 2 3 4 8" xfId="33242" xr:uid="{00000000-0005-0000-0000-0000EA840000}"/>
    <cellStyle name="표준 5 3 3 2 2 3 4 9" xfId="41435" xr:uid="{00000000-0005-0000-0000-0000EB840000}"/>
    <cellStyle name="표준 5 3 3 2 2 3 5" xfId="2078" xr:uid="{00000000-0005-0000-0000-0000EC840000}"/>
    <cellStyle name="표준 5 3 3 2 2 3 5 2" xfId="10981" xr:uid="{00000000-0005-0000-0000-0000ED840000}"/>
    <cellStyle name="표준 5 3 3 2 2 3 5 2 2" xfId="15093" xr:uid="{00000000-0005-0000-0000-0000EE840000}"/>
    <cellStyle name="표준 5 3 3 2 2 3 5 2 2 2" xfId="31687" xr:uid="{00000000-0005-0000-0000-0000EF840000}"/>
    <cellStyle name="표준 5 3 3 2 2 3 5 2 2 3" xfId="39898" xr:uid="{00000000-0005-0000-0000-0000F0840000}"/>
    <cellStyle name="표준 5 3 3 2 2 3 5 2 2 4" xfId="48091" xr:uid="{00000000-0005-0000-0000-0000F1840000}"/>
    <cellStyle name="표준 5 3 3 2 2 3 5 2 3" xfId="19333" xr:uid="{00000000-0005-0000-0000-0000F2840000}"/>
    <cellStyle name="표준 5 3 3 2 2 3 5 2 4" xfId="23495" xr:uid="{00000000-0005-0000-0000-0000F3840000}"/>
    <cellStyle name="표준 5 3 3 2 2 3 5 2 5" xfId="27591" xr:uid="{00000000-0005-0000-0000-0000F4840000}"/>
    <cellStyle name="표준 5 3 3 2 2 3 5 2 6" xfId="35802" xr:uid="{00000000-0005-0000-0000-0000F5840000}"/>
    <cellStyle name="표준 5 3 3 2 2 3 5 2 7" xfId="43995" xr:uid="{00000000-0005-0000-0000-0000F6840000}"/>
    <cellStyle name="표준 5 3 3 2 2 3 5 3" xfId="8933" xr:uid="{00000000-0005-0000-0000-0000F7840000}"/>
    <cellStyle name="표준 5 3 3 2 2 3 5 3 2" xfId="29639" xr:uid="{00000000-0005-0000-0000-0000F8840000}"/>
    <cellStyle name="표준 5 3 3 2 2 3 5 3 3" xfId="37850" xr:uid="{00000000-0005-0000-0000-0000F9840000}"/>
    <cellStyle name="표준 5 3 3 2 2 3 5 3 4" xfId="46043" xr:uid="{00000000-0005-0000-0000-0000FA840000}"/>
    <cellStyle name="표준 5 3 3 2 2 3 5 4" xfId="13045" xr:uid="{00000000-0005-0000-0000-0000FB840000}"/>
    <cellStyle name="표준 5 3 3 2 2 3 5 5" xfId="17285" xr:uid="{00000000-0005-0000-0000-0000FC840000}"/>
    <cellStyle name="표준 5 3 3 2 2 3 5 6" xfId="21447" xr:uid="{00000000-0005-0000-0000-0000FD840000}"/>
    <cellStyle name="표준 5 3 3 2 2 3 5 7" xfId="25543" xr:uid="{00000000-0005-0000-0000-0000FE840000}"/>
    <cellStyle name="표준 5 3 3 2 2 3 5 8" xfId="33754" xr:uid="{00000000-0005-0000-0000-0000FF840000}"/>
    <cellStyle name="표준 5 3 3 2 2 3 5 9" xfId="41947" xr:uid="{00000000-0005-0000-0000-000000850000}"/>
    <cellStyle name="표준 5 3 3 2 2 3 6" xfId="9445" xr:uid="{00000000-0005-0000-0000-000001850000}"/>
    <cellStyle name="표준 5 3 3 2 2 3 6 2" xfId="13557" xr:uid="{00000000-0005-0000-0000-000002850000}"/>
    <cellStyle name="표준 5 3 3 2 2 3 6 2 2" xfId="30151" xr:uid="{00000000-0005-0000-0000-000003850000}"/>
    <cellStyle name="표준 5 3 3 2 2 3 6 2 3" xfId="38362" xr:uid="{00000000-0005-0000-0000-000004850000}"/>
    <cellStyle name="표준 5 3 3 2 2 3 6 2 4" xfId="46555" xr:uid="{00000000-0005-0000-0000-000005850000}"/>
    <cellStyle name="표준 5 3 3 2 2 3 6 3" xfId="17797" xr:uid="{00000000-0005-0000-0000-000006850000}"/>
    <cellStyle name="표준 5 3 3 2 2 3 6 4" xfId="21959" xr:uid="{00000000-0005-0000-0000-000007850000}"/>
    <cellStyle name="표준 5 3 3 2 2 3 6 5" xfId="26055" xr:uid="{00000000-0005-0000-0000-000008850000}"/>
    <cellStyle name="표준 5 3 3 2 2 3 6 6" xfId="34266" xr:uid="{00000000-0005-0000-0000-000009850000}"/>
    <cellStyle name="표준 5 3 3 2 2 3 6 7" xfId="42459" xr:uid="{00000000-0005-0000-0000-00000A850000}"/>
    <cellStyle name="표준 5 3 3 2 2 3 7" xfId="7397" xr:uid="{00000000-0005-0000-0000-00000B850000}"/>
    <cellStyle name="표준 5 3 3 2 2 3 7 2" xfId="28103" xr:uid="{00000000-0005-0000-0000-00000C850000}"/>
    <cellStyle name="표준 5 3 3 2 2 3 7 3" xfId="36314" xr:uid="{00000000-0005-0000-0000-00000D850000}"/>
    <cellStyle name="표준 5 3 3 2 2 3 7 4" xfId="44507" xr:uid="{00000000-0005-0000-0000-00000E850000}"/>
    <cellStyle name="표준 5 3 3 2 2 3 8" xfId="11509" xr:uid="{00000000-0005-0000-0000-00000F850000}"/>
    <cellStyle name="표준 5 3 3 2 2 3 9" xfId="15749" xr:uid="{00000000-0005-0000-0000-000010850000}"/>
    <cellStyle name="표준 5 3 3 2 2 4" xfId="670" xr:uid="{00000000-0005-0000-0000-000011850000}"/>
    <cellStyle name="표준 5 3 3 2 2 4 10" xfId="24135" xr:uid="{00000000-0005-0000-0000-000012850000}"/>
    <cellStyle name="표준 5 3 3 2 2 4 11" xfId="32346" xr:uid="{00000000-0005-0000-0000-000013850000}"/>
    <cellStyle name="표준 5 3 3 2 2 4 12" xfId="40539" xr:uid="{00000000-0005-0000-0000-000014850000}"/>
    <cellStyle name="표준 5 3 3 2 2 4 2" xfId="1182" xr:uid="{00000000-0005-0000-0000-000015850000}"/>
    <cellStyle name="표준 5 3 3 2 2 4 2 2" xfId="10085" xr:uid="{00000000-0005-0000-0000-000016850000}"/>
    <cellStyle name="표준 5 3 3 2 2 4 2 2 2" xfId="14197" xr:uid="{00000000-0005-0000-0000-000017850000}"/>
    <cellStyle name="표준 5 3 3 2 2 4 2 2 2 2" xfId="30791" xr:uid="{00000000-0005-0000-0000-000018850000}"/>
    <cellStyle name="표준 5 3 3 2 2 4 2 2 2 3" xfId="39002" xr:uid="{00000000-0005-0000-0000-000019850000}"/>
    <cellStyle name="표준 5 3 3 2 2 4 2 2 2 4" xfId="47195" xr:uid="{00000000-0005-0000-0000-00001A850000}"/>
    <cellStyle name="표준 5 3 3 2 2 4 2 2 3" xfId="18437" xr:uid="{00000000-0005-0000-0000-00001B850000}"/>
    <cellStyle name="표준 5 3 3 2 2 4 2 2 4" xfId="22599" xr:uid="{00000000-0005-0000-0000-00001C850000}"/>
    <cellStyle name="표준 5 3 3 2 2 4 2 2 5" xfId="26695" xr:uid="{00000000-0005-0000-0000-00001D850000}"/>
    <cellStyle name="표준 5 3 3 2 2 4 2 2 6" xfId="34906" xr:uid="{00000000-0005-0000-0000-00001E850000}"/>
    <cellStyle name="표준 5 3 3 2 2 4 2 2 7" xfId="43099" xr:uid="{00000000-0005-0000-0000-00001F850000}"/>
    <cellStyle name="표준 5 3 3 2 2 4 2 3" xfId="8037" xr:uid="{00000000-0005-0000-0000-000020850000}"/>
    <cellStyle name="표준 5 3 3 2 2 4 2 3 2" xfId="28743" xr:uid="{00000000-0005-0000-0000-000021850000}"/>
    <cellStyle name="표준 5 3 3 2 2 4 2 3 3" xfId="36954" xr:uid="{00000000-0005-0000-0000-000022850000}"/>
    <cellStyle name="표준 5 3 3 2 2 4 2 3 4" xfId="45147" xr:uid="{00000000-0005-0000-0000-000023850000}"/>
    <cellStyle name="표준 5 3 3 2 2 4 2 4" xfId="12149" xr:uid="{00000000-0005-0000-0000-000024850000}"/>
    <cellStyle name="표준 5 3 3 2 2 4 2 5" xfId="16389" xr:uid="{00000000-0005-0000-0000-000025850000}"/>
    <cellStyle name="표준 5 3 3 2 2 4 2 6" xfId="20551" xr:uid="{00000000-0005-0000-0000-000026850000}"/>
    <cellStyle name="표준 5 3 3 2 2 4 2 7" xfId="24647" xr:uid="{00000000-0005-0000-0000-000027850000}"/>
    <cellStyle name="표준 5 3 3 2 2 4 2 8" xfId="32858" xr:uid="{00000000-0005-0000-0000-000028850000}"/>
    <cellStyle name="표준 5 3 3 2 2 4 2 9" xfId="41051" xr:uid="{00000000-0005-0000-0000-000029850000}"/>
    <cellStyle name="표준 5 3 3 2 2 4 3" xfId="1694" xr:uid="{00000000-0005-0000-0000-00002A850000}"/>
    <cellStyle name="표준 5 3 3 2 2 4 3 2" xfId="10597" xr:uid="{00000000-0005-0000-0000-00002B850000}"/>
    <cellStyle name="표준 5 3 3 2 2 4 3 2 2" xfId="14709" xr:uid="{00000000-0005-0000-0000-00002C850000}"/>
    <cellStyle name="표준 5 3 3 2 2 4 3 2 2 2" xfId="31303" xr:uid="{00000000-0005-0000-0000-00002D850000}"/>
    <cellStyle name="표준 5 3 3 2 2 4 3 2 2 3" xfId="39514" xr:uid="{00000000-0005-0000-0000-00002E850000}"/>
    <cellStyle name="표준 5 3 3 2 2 4 3 2 2 4" xfId="47707" xr:uid="{00000000-0005-0000-0000-00002F850000}"/>
    <cellStyle name="표준 5 3 3 2 2 4 3 2 3" xfId="18949" xr:uid="{00000000-0005-0000-0000-000030850000}"/>
    <cellStyle name="표준 5 3 3 2 2 4 3 2 4" xfId="23111" xr:uid="{00000000-0005-0000-0000-000031850000}"/>
    <cellStyle name="표준 5 3 3 2 2 4 3 2 5" xfId="27207" xr:uid="{00000000-0005-0000-0000-000032850000}"/>
    <cellStyle name="표준 5 3 3 2 2 4 3 2 6" xfId="35418" xr:uid="{00000000-0005-0000-0000-000033850000}"/>
    <cellStyle name="표준 5 3 3 2 2 4 3 2 7" xfId="43611" xr:uid="{00000000-0005-0000-0000-000034850000}"/>
    <cellStyle name="표준 5 3 3 2 2 4 3 3" xfId="8549" xr:uid="{00000000-0005-0000-0000-000035850000}"/>
    <cellStyle name="표준 5 3 3 2 2 4 3 3 2" xfId="29255" xr:uid="{00000000-0005-0000-0000-000036850000}"/>
    <cellStyle name="표준 5 3 3 2 2 4 3 3 3" xfId="37466" xr:uid="{00000000-0005-0000-0000-000037850000}"/>
    <cellStyle name="표준 5 3 3 2 2 4 3 3 4" xfId="45659" xr:uid="{00000000-0005-0000-0000-000038850000}"/>
    <cellStyle name="표준 5 3 3 2 2 4 3 4" xfId="12661" xr:uid="{00000000-0005-0000-0000-000039850000}"/>
    <cellStyle name="표준 5 3 3 2 2 4 3 5" xfId="16901" xr:uid="{00000000-0005-0000-0000-00003A850000}"/>
    <cellStyle name="표준 5 3 3 2 2 4 3 6" xfId="21063" xr:uid="{00000000-0005-0000-0000-00003B850000}"/>
    <cellStyle name="표준 5 3 3 2 2 4 3 7" xfId="25159" xr:uid="{00000000-0005-0000-0000-00003C850000}"/>
    <cellStyle name="표준 5 3 3 2 2 4 3 8" xfId="33370" xr:uid="{00000000-0005-0000-0000-00003D850000}"/>
    <cellStyle name="표준 5 3 3 2 2 4 3 9" xfId="41563" xr:uid="{00000000-0005-0000-0000-00003E850000}"/>
    <cellStyle name="표준 5 3 3 2 2 4 4" xfId="2206" xr:uid="{00000000-0005-0000-0000-00003F850000}"/>
    <cellStyle name="표준 5 3 3 2 2 4 4 2" xfId="11109" xr:uid="{00000000-0005-0000-0000-000040850000}"/>
    <cellStyle name="표준 5 3 3 2 2 4 4 2 2" xfId="15221" xr:uid="{00000000-0005-0000-0000-000041850000}"/>
    <cellStyle name="표준 5 3 3 2 2 4 4 2 2 2" xfId="31815" xr:uid="{00000000-0005-0000-0000-000042850000}"/>
    <cellStyle name="표준 5 3 3 2 2 4 4 2 2 3" xfId="40026" xr:uid="{00000000-0005-0000-0000-000043850000}"/>
    <cellStyle name="표준 5 3 3 2 2 4 4 2 2 4" xfId="48219" xr:uid="{00000000-0005-0000-0000-000044850000}"/>
    <cellStyle name="표준 5 3 3 2 2 4 4 2 3" xfId="19461" xr:uid="{00000000-0005-0000-0000-000045850000}"/>
    <cellStyle name="표준 5 3 3 2 2 4 4 2 4" xfId="23623" xr:uid="{00000000-0005-0000-0000-000046850000}"/>
    <cellStyle name="표준 5 3 3 2 2 4 4 2 5" xfId="27719" xr:uid="{00000000-0005-0000-0000-000047850000}"/>
    <cellStyle name="표준 5 3 3 2 2 4 4 2 6" xfId="35930" xr:uid="{00000000-0005-0000-0000-000048850000}"/>
    <cellStyle name="표준 5 3 3 2 2 4 4 2 7" xfId="44123" xr:uid="{00000000-0005-0000-0000-000049850000}"/>
    <cellStyle name="표준 5 3 3 2 2 4 4 3" xfId="9061" xr:uid="{00000000-0005-0000-0000-00004A850000}"/>
    <cellStyle name="표준 5 3 3 2 2 4 4 3 2" xfId="29767" xr:uid="{00000000-0005-0000-0000-00004B850000}"/>
    <cellStyle name="표준 5 3 3 2 2 4 4 3 3" xfId="37978" xr:uid="{00000000-0005-0000-0000-00004C850000}"/>
    <cellStyle name="표준 5 3 3 2 2 4 4 3 4" xfId="46171" xr:uid="{00000000-0005-0000-0000-00004D850000}"/>
    <cellStyle name="표준 5 3 3 2 2 4 4 4" xfId="13173" xr:uid="{00000000-0005-0000-0000-00004E850000}"/>
    <cellStyle name="표준 5 3 3 2 2 4 4 5" xfId="17413" xr:uid="{00000000-0005-0000-0000-00004F850000}"/>
    <cellStyle name="표준 5 3 3 2 2 4 4 6" xfId="21575" xr:uid="{00000000-0005-0000-0000-000050850000}"/>
    <cellStyle name="표준 5 3 3 2 2 4 4 7" xfId="25671" xr:uid="{00000000-0005-0000-0000-000051850000}"/>
    <cellStyle name="표준 5 3 3 2 2 4 4 8" xfId="33882" xr:uid="{00000000-0005-0000-0000-000052850000}"/>
    <cellStyle name="표준 5 3 3 2 2 4 4 9" xfId="42075" xr:uid="{00000000-0005-0000-0000-000053850000}"/>
    <cellStyle name="표준 5 3 3 2 2 4 5" xfId="9573" xr:uid="{00000000-0005-0000-0000-000054850000}"/>
    <cellStyle name="표준 5 3 3 2 2 4 5 2" xfId="13685" xr:uid="{00000000-0005-0000-0000-000055850000}"/>
    <cellStyle name="표준 5 3 3 2 2 4 5 2 2" xfId="30279" xr:uid="{00000000-0005-0000-0000-000056850000}"/>
    <cellStyle name="표준 5 3 3 2 2 4 5 2 3" xfId="38490" xr:uid="{00000000-0005-0000-0000-000057850000}"/>
    <cellStyle name="표준 5 3 3 2 2 4 5 2 4" xfId="46683" xr:uid="{00000000-0005-0000-0000-000058850000}"/>
    <cellStyle name="표준 5 3 3 2 2 4 5 3" xfId="17925" xr:uid="{00000000-0005-0000-0000-000059850000}"/>
    <cellStyle name="표준 5 3 3 2 2 4 5 4" xfId="22087" xr:uid="{00000000-0005-0000-0000-00005A850000}"/>
    <cellStyle name="표준 5 3 3 2 2 4 5 5" xfId="26183" xr:uid="{00000000-0005-0000-0000-00005B850000}"/>
    <cellStyle name="표준 5 3 3 2 2 4 5 6" xfId="34394" xr:uid="{00000000-0005-0000-0000-00005C850000}"/>
    <cellStyle name="표준 5 3 3 2 2 4 5 7" xfId="42587" xr:uid="{00000000-0005-0000-0000-00005D850000}"/>
    <cellStyle name="표준 5 3 3 2 2 4 6" xfId="7525" xr:uid="{00000000-0005-0000-0000-00005E850000}"/>
    <cellStyle name="표준 5 3 3 2 2 4 6 2" xfId="28231" xr:uid="{00000000-0005-0000-0000-00005F850000}"/>
    <cellStyle name="표준 5 3 3 2 2 4 6 3" xfId="36442" xr:uid="{00000000-0005-0000-0000-000060850000}"/>
    <cellStyle name="표준 5 3 3 2 2 4 6 4" xfId="44635" xr:uid="{00000000-0005-0000-0000-000061850000}"/>
    <cellStyle name="표준 5 3 3 2 2 4 7" xfId="11637" xr:uid="{00000000-0005-0000-0000-000062850000}"/>
    <cellStyle name="표준 5 3 3 2 2 4 8" xfId="15877" xr:uid="{00000000-0005-0000-0000-000063850000}"/>
    <cellStyle name="표준 5 3 3 2 2 4 9" xfId="20039" xr:uid="{00000000-0005-0000-0000-000064850000}"/>
    <cellStyle name="표준 5 3 3 2 2 5" xfId="926" xr:uid="{00000000-0005-0000-0000-000065850000}"/>
    <cellStyle name="표준 5 3 3 2 2 5 2" xfId="9829" xr:uid="{00000000-0005-0000-0000-000066850000}"/>
    <cellStyle name="표준 5 3 3 2 2 5 2 2" xfId="13941" xr:uid="{00000000-0005-0000-0000-000067850000}"/>
    <cellStyle name="표준 5 3 3 2 2 5 2 2 2" xfId="30535" xr:uid="{00000000-0005-0000-0000-000068850000}"/>
    <cellStyle name="표준 5 3 3 2 2 5 2 2 3" xfId="38746" xr:uid="{00000000-0005-0000-0000-000069850000}"/>
    <cellStyle name="표준 5 3 3 2 2 5 2 2 4" xfId="46939" xr:uid="{00000000-0005-0000-0000-00006A850000}"/>
    <cellStyle name="표준 5 3 3 2 2 5 2 3" xfId="18181" xr:uid="{00000000-0005-0000-0000-00006B850000}"/>
    <cellStyle name="표준 5 3 3 2 2 5 2 4" xfId="22343" xr:uid="{00000000-0005-0000-0000-00006C850000}"/>
    <cellStyle name="표준 5 3 3 2 2 5 2 5" xfId="26439" xr:uid="{00000000-0005-0000-0000-00006D850000}"/>
    <cellStyle name="표준 5 3 3 2 2 5 2 6" xfId="34650" xr:uid="{00000000-0005-0000-0000-00006E850000}"/>
    <cellStyle name="표준 5 3 3 2 2 5 2 7" xfId="42843" xr:uid="{00000000-0005-0000-0000-00006F850000}"/>
    <cellStyle name="표준 5 3 3 2 2 5 3" xfId="7781" xr:uid="{00000000-0005-0000-0000-000070850000}"/>
    <cellStyle name="표준 5 3 3 2 2 5 3 2" xfId="28487" xr:uid="{00000000-0005-0000-0000-000071850000}"/>
    <cellStyle name="표준 5 3 3 2 2 5 3 3" xfId="36698" xr:uid="{00000000-0005-0000-0000-000072850000}"/>
    <cellStyle name="표준 5 3 3 2 2 5 3 4" xfId="44891" xr:uid="{00000000-0005-0000-0000-000073850000}"/>
    <cellStyle name="표준 5 3 3 2 2 5 4" xfId="11893" xr:uid="{00000000-0005-0000-0000-000074850000}"/>
    <cellStyle name="표준 5 3 3 2 2 5 5" xfId="16133" xr:uid="{00000000-0005-0000-0000-000075850000}"/>
    <cellStyle name="표준 5 3 3 2 2 5 6" xfId="20295" xr:uid="{00000000-0005-0000-0000-000076850000}"/>
    <cellStyle name="표준 5 3 3 2 2 5 7" xfId="24391" xr:uid="{00000000-0005-0000-0000-000077850000}"/>
    <cellStyle name="표준 5 3 3 2 2 5 8" xfId="32602" xr:uid="{00000000-0005-0000-0000-000078850000}"/>
    <cellStyle name="표준 5 3 3 2 2 5 9" xfId="40795" xr:uid="{00000000-0005-0000-0000-000079850000}"/>
    <cellStyle name="표준 5 3 3 2 2 6" xfId="1438" xr:uid="{00000000-0005-0000-0000-00007A850000}"/>
    <cellStyle name="표준 5 3 3 2 2 6 2" xfId="10341" xr:uid="{00000000-0005-0000-0000-00007B850000}"/>
    <cellStyle name="표준 5 3 3 2 2 6 2 2" xfId="14453" xr:uid="{00000000-0005-0000-0000-00007C850000}"/>
    <cellStyle name="표준 5 3 3 2 2 6 2 2 2" xfId="31047" xr:uid="{00000000-0005-0000-0000-00007D850000}"/>
    <cellStyle name="표준 5 3 3 2 2 6 2 2 3" xfId="39258" xr:uid="{00000000-0005-0000-0000-00007E850000}"/>
    <cellStyle name="표준 5 3 3 2 2 6 2 2 4" xfId="47451" xr:uid="{00000000-0005-0000-0000-00007F850000}"/>
    <cellStyle name="표준 5 3 3 2 2 6 2 3" xfId="18693" xr:uid="{00000000-0005-0000-0000-000080850000}"/>
    <cellStyle name="표준 5 3 3 2 2 6 2 4" xfId="22855" xr:uid="{00000000-0005-0000-0000-000081850000}"/>
    <cellStyle name="표준 5 3 3 2 2 6 2 5" xfId="26951" xr:uid="{00000000-0005-0000-0000-000082850000}"/>
    <cellStyle name="표준 5 3 3 2 2 6 2 6" xfId="35162" xr:uid="{00000000-0005-0000-0000-000083850000}"/>
    <cellStyle name="표준 5 3 3 2 2 6 2 7" xfId="43355" xr:uid="{00000000-0005-0000-0000-000084850000}"/>
    <cellStyle name="표준 5 3 3 2 2 6 3" xfId="8293" xr:uid="{00000000-0005-0000-0000-000085850000}"/>
    <cellStyle name="표준 5 3 3 2 2 6 3 2" xfId="28999" xr:uid="{00000000-0005-0000-0000-000086850000}"/>
    <cellStyle name="표준 5 3 3 2 2 6 3 3" xfId="37210" xr:uid="{00000000-0005-0000-0000-000087850000}"/>
    <cellStyle name="표준 5 3 3 2 2 6 3 4" xfId="45403" xr:uid="{00000000-0005-0000-0000-000088850000}"/>
    <cellStyle name="표준 5 3 3 2 2 6 4" xfId="12405" xr:uid="{00000000-0005-0000-0000-000089850000}"/>
    <cellStyle name="표준 5 3 3 2 2 6 5" xfId="16645" xr:uid="{00000000-0005-0000-0000-00008A850000}"/>
    <cellStyle name="표준 5 3 3 2 2 6 6" xfId="20807" xr:uid="{00000000-0005-0000-0000-00008B850000}"/>
    <cellStyle name="표준 5 3 3 2 2 6 7" xfId="24903" xr:uid="{00000000-0005-0000-0000-00008C850000}"/>
    <cellStyle name="표준 5 3 3 2 2 6 8" xfId="33114" xr:uid="{00000000-0005-0000-0000-00008D850000}"/>
    <cellStyle name="표준 5 3 3 2 2 6 9" xfId="41307" xr:uid="{00000000-0005-0000-0000-00008E850000}"/>
    <cellStyle name="표준 5 3 3 2 2 7" xfId="1950" xr:uid="{00000000-0005-0000-0000-00008F850000}"/>
    <cellStyle name="표준 5 3 3 2 2 7 2" xfId="10853" xr:uid="{00000000-0005-0000-0000-000090850000}"/>
    <cellStyle name="표준 5 3 3 2 2 7 2 2" xfId="14965" xr:uid="{00000000-0005-0000-0000-000091850000}"/>
    <cellStyle name="표준 5 3 3 2 2 7 2 2 2" xfId="31559" xr:uid="{00000000-0005-0000-0000-000092850000}"/>
    <cellStyle name="표준 5 3 3 2 2 7 2 2 3" xfId="39770" xr:uid="{00000000-0005-0000-0000-000093850000}"/>
    <cellStyle name="표준 5 3 3 2 2 7 2 2 4" xfId="47963" xr:uid="{00000000-0005-0000-0000-000094850000}"/>
    <cellStyle name="표준 5 3 3 2 2 7 2 3" xfId="19205" xr:uid="{00000000-0005-0000-0000-000095850000}"/>
    <cellStyle name="표준 5 3 3 2 2 7 2 4" xfId="23367" xr:uid="{00000000-0005-0000-0000-000096850000}"/>
    <cellStyle name="표준 5 3 3 2 2 7 2 5" xfId="27463" xr:uid="{00000000-0005-0000-0000-000097850000}"/>
    <cellStyle name="표준 5 3 3 2 2 7 2 6" xfId="35674" xr:uid="{00000000-0005-0000-0000-000098850000}"/>
    <cellStyle name="표준 5 3 3 2 2 7 2 7" xfId="43867" xr:uid="{00000000-0005-0000-0000-000099850000}"/>
    <cellStyle name="표준 5 3 3 2 2 7 3" xfId="8805" xr:uid="{00000000-0005-0000-0000-00009A850000}"/>
    <cellStyle name="표준 5 3 3 2 2 7 3 2" xfId="29511" xr:uid="{00000000-0005-0000-0000-00009B850000}"/>
    <cellStyle name="표준 5 3 3 2 2 7 3 3" xfId="37722" xr:uid="{00000000-0005-0000-0000-00009C850000}"/>
    <cellStyle name="표준 5 3 3 2 2 7 3 4" xfId="45915" xr:uid="{00000000-0005-0000-0000-00009D850000}"/>
    <cellStyle name="표준 5 3 3 2 2 7 4" xfId="12917" xr:uid="{00000000-0005-0000-0000-00009E850000}"/>
    <cellStyle name="표준 5 3 3 2 2 7 5" xfId="17157" xr:uid="{00000000-0005-0000-0000-00009F850000}"/>
    <cellStyle name="표준 5 3 3 2 2 7 6" xfId="21319" xr:uid="{00000000-0005-0000-0000-0000A0850000}"/>
    <cellStyle name="표준 5 3 3 2 2 7 7" xfId="25415" xr:uid="{00000000-0005-0000-0000-0000A1850000}"/>
    <cellStyle name="표준 5 3 3 2 2 7 8" xfId="33626" xr:uid="{00000000-0005-0000-0000-0000A2850000}"/>
    <cellStyle name="표준 5 3 3 2 2 7 9" xfId="41819" xr:uid="{00000000-0005-0000-0000-0000A3850000}"/>
    <cellStyle name="표준 5 3 3 2 2 8" xfId="7042" xr:uid="{00000000-0005-0000-0000-0000A4850000}"/>
    <cellStyle name="표준 5 3 3 2 2 8 2" xfId="9317" xr:uid="{00000000-0005-0000-0000-0000A5850000}"/>
    <cellStyle name="표준 5 3 3 2 2 8 2 2" xfId="30023" xr:uid="{00000000-0005-0000-0000-0000A6850000}"/>
    <cellStyle name="표준 5 3 3 2 2 8 2 3" xfId="38234" xr:uid="{00000000-0005-0000-0000-0000A7850000}"/>
    <cellStyle name="표준 5 3 3 2 2 8 2 4" xfId="46427" xr:uid="{00000000-0005-0000-0000-0000A8850000}"/>
    <cellStyle name="표준 5 3 3 2 2 8 3" xfId="13429" xr:uid="{00000000-0005-0000-0000-0000A9850000}"/>
    <cellStyle name="표준 5 3 3 2 2 8 4" xfId="17669" xr:uid="{00000000-0005-0000-0000-0000AA850000}"/>
    <cellStyle name="표준 5 3 3 2 2 8 5" xfId="21831" xr:uid="{00000000-0005-0000-0000-0000AB850000}"/>
    <cellStyle name="표준 5 3 3 2 2 8 6" xfId="25927" xr:uid="{00000000-0005-0000-0000-0000AC850000}"/>
    <cellStyle name="표준 5 3 3 2 2 8 7" xfId="34138" xr:uid="{00000000-0005-0000-0000-0000AD850000}"/>
    <cellStyle name="표준 5 3 3 2 2 8 8" xfId="42331" xr:uid="{00000000-0005-0000-0000-0000AE850000}"/>
    <cellStyle name="표준 5 3 3 2 2 9" xfId="7136" xr:uid="{00000000-0005-0000-0000-0000AF850000}"/>
    <cellStyle name="표준 5 3 3 2 2 9 2" xfId="27975" xr:uid="{00000000-0005-0000-0000-0000B0850000}"/>
    <cellStyle name="표준 5 3 3 2 2 9 3" xfId="36186" xr:uid="{00000000-0005-0000-0000-0000B1850000}"/>
    <cellStyle name="표준 5 3 3 2 2 9 4" xfId="44379" xr:uid="{00000000-0005-0000-0000-0000B2850000}"/>
    <cellStyle name="표준 5 3 3 2 3" xfId="446" xr:uid="{00000000-0005-0000-0000-0000B3850000}"/>
    <cellStyle name="표준 5 3 3 2 3 10" xfId="15653" xr:uid="{00000000-0005-0000-0000-0000B4850000}"/>
    <cellStyle name="표준 5 3 3 2 3 11" xfId="19815" xr:uid="{00000000-0005-0000-0000-0000B5850000}"/>
    <cellStyle name="표준 5 3 3 2 3 12" xfId="23911" xr:uid="{00000000-0005-0000-0000-0000B6850000}"/>
    <cellStyle name="표준 5 3 3 2 3 13" xfId="32122" xr:uid="{00000000-0005-0000-0000-0000B7850000}"/>
    <cellStyle name="표준 5 3 3 2 3 14" xfId="40315" xr:uid="{00000000-0005-0000-0000-0000B8850000}"/>
    <cellStyle name="표준 5 3 3 2 3 2" xfId="574" xr:uid="{00000000-0005-0000-0000-0000B9850000}"/>
    <cellStyle name="표준 5 3 3 2 3 2 10" xfId="19943" xr:uid="{00000000-0005-0000-0000-0000BA850000}"/>
    <cellStyle name="표준 5 3 3 2 3 2 11" xfId="24039" xr:uid="{00000000-0005-0000-0000-0000BB850000}"/>
    <cellStyle name="표준 5 3 3 2 3 2 12" xfId="32250" xr:uid="{00000000-0005-0000-0000-0000BC850000}"/>
    <cellStyle name="표준 5 3 3 2 3 2 13" xfId="40443" xr:uid="{00000000-0005-0000-0000-0000BD850000}"/>
    <cellStyle name="표준 5 3 3 2 3 2 2" xfId="830" xr:uid="{00000000-0005-0000-0000-0000BE850000}"/>
    <cellStyle name="표준 5 3 3 2 3 2 2 10" xfId="24295" xr:uid="{00000000-0005-0000-0000-0000BF850000}"/>
    <cellStyle name="표준 5 3 3 2 3 2 2 11" xfId="32506" xr:uid="{00000000-0005-0000-0000-0000C0850000}"/>
    <cellStyle name="표준 5 3 3 2 3 2 2 12" xfId="40699" xr:uid="{00000000-0005-0000-0000-0000C1850000}"/>
    <cellStyle name="표준 5 3 3 2 3 2 2 2" xfId="1342" xr:uid="{00000000-0005-0000-0000-0000C2850000}"/>
    <cellStyle name="표준 5 3 3 2 3 2 2 2 2" xfId="10245" xr:uid="{00000000-0005-0000-0000-0000C3850000}"/>
    <cellStyle name="표준 5 3 3 2 3 2 2 2 2 2" xfId="14357" xr:uid="{00000000-0005-0000-0000-0000C4850000}"/>
    <cellStyle name="표준 5 3 3 2 3 2 2 2 2 2 2" xfId="30951" xr:uid="{00000000-0005-0000-0000-0000C5850000}"/>
    <cellStyle name="표준 5 3 3 2 3 2 2 2 2 2 3" xfId="39162" xr:uid="{00000000-0005-0000-0000-0000C6850000}"/>
    <cellStyle name="표준 5 3 3 2 3 2 2 2 2 2 4" xfId="47355" xr:uid="{00000000-0005-0000-0000-0000C7850000}"/>
    <cellStyle name="표준 5 3 3 2 3 2 2 2 2 3" xfId="18597" xr:uid="{00000000-0005-0000-0000-0000C8850000}"/>
    <cellStyle name="표준 5 3 3 2 3 2 2 2 2 4" xfId="22759" xr:uid="{00000000-0005-0000-0000-0000C9850000}"/>
    <cellStyle name="표준 5 3 3 2 3 2 2 2 2 5" xfId="26855" xr:uid="{00000000-0005-0000-0000-0000CA850000}"/>
    <cellStyle name="표준 5 3 3 2 3 2 2 2 2 6" xfId="35066" xr:uid="{00000000-0005-0000-0000-0000CB850000}"/>
    <cellStyle name="표준 5 3 3 2 3 2 2 2 2 7" xfId="43259" xr:uid="{00000000-0005-0000-0000-0000CC850000}"/>
    <cellStyle name="표준 5 3 3 2 3 2 2 2 3" xfId="8197" xr:uid="{00000000-0005-0000-0000-0000CD850000}"/>
    <cellStyle name="표준 5 3 3 2 3 2 2 2 3 2" xfId="28903" xr:uid="{00000000-0005-0000-0000-0000CE850000}"/>
    <cellStyle name="표준 5 3 3 2 3 2 2 2 3 3" xfId="37114" xr:uid="{00000000-0005-0000-0000-0000CF850000}"/>
    <cellStyle name="표준 5 3 3 2 3 2 2 2 3 4" xfId="45307" xr:uid="{00000000-0005-0000-0000-0000D0850000}"/>
    <cellStyle name="표준 5 3 3 2 3 2 2 2 4" xfId="12309" xr:uid="{00000000-0005-0000-0000-0000D1850000}"/>
    <cellStyle name="표준 5 3 3 2 3 2 2 2 5" xfId="16549" xr:uid="{00000000-0005-0000-0000-0000D2850000}"/>
    <cellStyle name="표준 5 3 3 2 3 2 2 2 6" xfId="20711" xr:uid="{00000000-0005-0000-0000-0000D3850000}"/>
    <cellStyle name="표준 5 3 3 2 3 2 2 2 7" xfId="24807" xr:uid="{00000000-0005-0000-0000-0000D4850000}"/>
    <cellStyle name="표준 5 3 3 2 3 2 2 2 8" xfId="33018" xr:uid="{00000000-0005-0000-0000-0000D5850000}"/>
    <cellStyle name="표준 5 3 3 2 3 2 2 2 9" xfId="41211" xr:uid="{00000000-0005-0000-0000-0000D6850000}"/>
    <cellStyle name="표준 5 3 3 2 3 2 2 3" xfId="1854" xr:uid="{00000000-0005-0000-0000-0000D7850000}"/>
    <cellStyle name="표준 5 3 3 2 3 2 2 3 2" xfId="10757" xr:uid="{00000000-0005-0000-0000-0000D8850000}"/>
    <cellStyle name="표준 5 3 3 2 3 2 2 3 2 2" xfId="14869" xr:uid="{00000000-0005-0000-0000-0000D9850000}"/>
    <cellStyle name="표준 5 3 3 2 3 2 2 3 2 2 2" xfId="31463" xr:uid="{00000000-0005-0000-0000-0000DA850000}"/>
    <cellStyle name="표준 5 3 3 2 3 2 2 3 2 2 3" xfId="39674" xr:uid="{00000000-0005-0000-0000-0000DB850000}"/>
    <cellStyle name="표준 5 3 3 2 3 2 2 3 2 2 4" xfId="47867" xr:uid="{00000000-0005-0000-0000-0000DC850000}"/>
    <cellStyle name="표준 5 3 3 2 3 2 2 3 2 3" xfId="19109" xr:uid="{00000000-0005-0000-0000-0000DD850000}"/>
    <cellStyle name="표준 5 3 3 2 3 2 2 3 2 4" xfId="23271" xr:uid="{00000000-0005-0000-0000-0000DE850000}"/>
    <cellStyle name="표준 5 3 3 2 3 2 2 3 2 5" xfId="27367" xr:uid="{00000000-0005-0000-0000-0000DF850000}"/>
    <cellStyle name="표준 5 3 3 2 3 2 2 3 2 6" xfId="35578" xr:uid="{00000000-0005-0000-0000-0000E0850000}"/>
    <cellStyle name="표준 5 3 3 2 3 2 2 3 2 7" xfId="43771" xr:uid="{00000000-0005-0000-0000-0000E1850000}"/>
    <cellStyle name="표준 5 3 3 2 3 2 2 3 3" xfId="8709" xr:uid="{00000000-0005-0000-0000-0000E2850000}"/>
    <cellStyle name="표준 5 3 3 2 3 2 2 3 3 2" xfId="29415" xr:uid="{00000000-0005-0000-0000-0000E3850000}"/>
    <cellStyle name="표준 5 3 3 2 3 2 2 3 3 3" xfId="37626" xr:uid="{00000000-0005-0000-0000-0000E4850000}"/>
    <cellStyle name="표준 5 3 3 2 3 2 2 3 3 4" xfId="45819" xr:uid="{00000000-0005-0000-0000-0000E5850000}"/>
    <cellStyle name="표준 5 3 3 2 3 2 2 3 4" xfId="12821" xr:uid="{00000000-0005-0000-0000-0000E6850000}"/>
    <cellStyle name="표준 5 3 3 2 3 2 2 3 5" xfId="17061" xr:uid="{00000000-0005-0000-0000-0000E7850000}"/>
    <cellStyle name="표준 5 3 3 2 3 2 2 3 6" xfId="21223" xr:uid="{00000000-0005-0000-0000-0000E8850000}"/>
    <cellStyle name="표준 5 3 3 2 3 2 2 3 7" xfId="25319" xr:uid="{00000000-0005-0000-0000-0000E9850000}"/>
    <cellStyle name="표준 5 3 3 2 3 2 2 3 8" xfId="33530" xr:uid="{00000000-0005-0000-0000-0000EA850000}"/>
    <cellStyle name="표준 5 3 3 2 3 2 2 3 9" xfId="41723" xr:uid="{00000000-0005-0000-0000-0000EB850000}"/>
    <cellStyle name="표준 5 3 3 2 3 2 2 4" xfId="2366" xr:uid="{00000000-0005-0000-0000-0000EC850000}"/>
    <cellStyle name="표준 5 3 3 2 3 2 2 4 2" xfId="11269" xr:uid="{00000000-0005-0000-0000-0000ED850000}"/>
    <cellStyle name="표준 5 3 3 2 3 2 2 4 2 2" xfId="15381" xr:uid="{00000000-0005-0000-0000-0000EE850000}"/>
    <cellStyle name="표준 5 3 3 2 3 2 2 4 2 2 2" xfId="31975" xr:uid="{00000000-0005-0000-0000-0000EF850000}"/>
    <cellStyle name="표준 5 3 3 2 3 2 2 4 2 2 3" xfId="40186" xr:uid="{00000000-0005-0000-0000-0000F0850000}"/>
    <cellStyle name="표준 5 3 3 2 3 2 2 4 2 2 4" xfId="48379" xr:uid="{00000000-0005-0000-0000-0000F1850000}"/>
    <cellStyle name="표준 5 3 3 2 3 2 2 4 2 3" xfId="19621" xr:uid="{00000000-0005-0000-0000-0000F2850000}"/>
    <cellStyle name="표준 5 3 3 2 3 2 2 4 2 4" xfId="23783" xr:uid="{00000000-0005-0000-0000-0000F3850000}"/>
    <cellStyle name="표준 5 3 3 2 3 2 2 4 2 5" xfId="27879" xr:uid="{00000000-0005-0000-0000-0000F4850000}"/>
    <cellStyle name="표준 5 3 3 2 3 2 2 4 2 6" xfId="36090" xr:uid="{00000000-0005-0000-0000-0000F5850000}"/>
    <cellStyle name="표준 5 3 3 2 3 2 2 4 2 7" xfId="44283" xr:uid="{00000000-0005-0000-0000-0000F6850000}"/>
    <cellStyle name="표준 5 3 3 2 3 2 2 4 3" xfId="9221" xr:uid="{00000000-0005-0000-0000-0000F7850000}"/>
    <cellStyle name="표준 5 3 3 2 3 2 2 4 3 2" xfId="29927" xr:uid="{00000000-0005-0000-0000-0000F8850000}"/>
    <cellStyle name="표준 5 3 3 2 3 2 2 4 3 3" xfId="38138" xr:uid="{00000000-0005-0000-0000-0000F9850000}"/>
    <cellStyle name="표준 5 3 3 2 3 2 2 4 3 4" xfId="46331" xr:uid="{00000000-0005-0000-0000-0000FA850000}"/>
    <cellStyle name="표준 5 3 3 2 3 2 2 4 4" xfId="13333" xr:uid="{00000000-0005-0000-0000-0000FB850000}"/>
    <cellStyle name="표준 5 3 3 2 3 2 2 4 5" xfId="17573" xr:uid="{00000000-0005-0000-0000-0000FC850000}"/>
    <cellStyle name="표준 5 3 3 2 3 2 2 4 6" xfId="21735" xr:uid="{00000000-0005-0000-0000-0000FD850000}"/>
    <cellStyle name="표준 5 3 3 2 3 2 2 4 7" xfId="25831" xr:uid="{00000000-0005-0000-0000-0000FE850000}"/>
    <cellStyle name="표준 5 3 3 2 3 2 2 4 8" xfId="34042" xr:uid="{00000000-0005-0000-0000-0000FF850000}"/>
    <cellStyle name="표준 5 3 3 2 3 2 2 4 9" xfId="42235" xr:uid="{00000000-0005-0000-0000-000000860000}"/>
    <cellStyle name="표준 5 3 3 2 3 2 2 5" xfId="9733" xr:uid="{00000000-0005-0000-0000-000001860000}"/>
    <cellStyle name="표준 5 3 3 2 3 2 2 5 2" xfId="13845" xr:uid="{00000000-0005-0000-0000-000002860000}"/>
    <cellStyle name="표준 5 3 3 2 3 2 2 5 2 2" xfId="30439" xr:uid="{00000000-0005-0000-0000-000003860000}"/>
    <cellStyle name="표준 5 3 3 2 3 2 2 5 2 3" xfId="38650" xr:uid="{00000000-0005-0000-0000-000004860000}"/>
    <cellStyle name="표준 5 3 3 2 3 2 2 5 2 4" xfId="46843" xr:uid="{00000000-0005-0000-0000-000005860000}"/>
    <cellStyle name="표준 5 3 3 2 3 2 2 5 3" xfId="18085" xr:uid="{00000000-0005-0000-0000-000006860000}"/>
    <cellStyle name="표준 5 3 3 2 3 2 2 5 4" xfId="22247" xr:uid="{00000000-0005-0000-0000-000007860000}"/>
    <cellStyle name="표준 5 3 3 2 3 2 2 5 5" xfId="26343" xr:uid="{00000000-0005-0000-0000-000008860000}"/>
    <cellStyle name="표준 5 3 3 2 3 2 2 5 6" xfId="34554" xr:uid="{00000000-0005-0000-0000-000009860000}"/>
    <cellStyle name="표준 5 3 3 2 3 2 2 5 7" xfId="42747" xr:uid="{00000000-0005-0000-0000-00000A860000}"/>
    <cellStyle name="표준 5 3 3 2 3 2 2 6" xfId="7685" xr:uid="{00000000-0005-0000-0000-00000B860000}"/>
    <cellStyle name="표준 5 3 3 2 3 2 2 6 2" xfId="28391" xr:uid="{00000000-0005-0000-0000-00000C860000}"/>
    <cellStyle name="표준 5 3 3 2 3 2 2 6 3" xfId="36602" xr:uid="{00000000-0005-0000-0000-00000D860000}"/>
    <cellStyle name="표준 5 3 3 2 3 2 2 6 4" xfId="44795" xr:uid="{00000000-0005-0000-0000-00000E860000}"/>
    <cellStyle name="표준 5 3 3 2 3 2 2 7" xfId="11797" xr:uid="{00000000-0005-0000-0000-00000F860000}"/>
    <cellStyle name="표준 5 3 3 2 3 2 2 8" xfId="16037" xr:uid="{00000000-0005-0000-0000-000010860000}"/>
    <cellStyle name="표준 5 3 3 2 3 2 2 9" xfId="20199" xr:uid="{00000000-0005-0000-0000-000011860000}"/>
    <cellStyle name="표준 5 3 3 2 3 2 3" xfId="1086" xr:uid="{00000000-0005-0000-0000-000012860000}"/>
    <cellStyle name="표준 5 3 3 2 3 2 3 2" xfId="9989" xr:uid="{00000000-0005-0000-0000-000013860000}"/>
    <cellStyle name="표준 5 3 3 2 3 2 3 2 2" xfId="14101" xr:uid="{00000000-0005-0000-0000-000014860000}"/>
    <cellStyle name="표준 5 3 3 2 3 2 3 2 2 2" xfId="30695" xr:uid="{00000000-0005-0000-0000-000015860000}"/>
    <cellStyle name="표준 5 3 3 2 3 2 3 2 2 3" xfId="38906" xr:uid="{00000000-0005-0000-0000-000016860000}"/>
    <cellStyle name="표준 5 3 3 2 3 2 3 2 2 4" xfId="47099" xr:uid="{00000000-0005-0000-0000-000017860000}"/>
    <cellStyle name="표준 5 3 3 2 3 2 3 2 3" xfId="18341" xr:uid="{00000000-0005-0000-0000-000018860000}"/>
    <cellStyle name="표준 5 3 3 2 3 2 3 2 4" xfId="22503" xr:uid="{00000000-0005-0000-0000-000019860000}"/>
    <cellStyle name="표준 5 3 3 2 3 2 3 2 5" xfId="26599" xr:uid="{00000000-0005-0000-0000-00001A860000}"/>
    <cellStyle name="표준 5 3 3 2 3 2 3 2 6" xfId="34810" xr:uid="{00000000-0005-0000-0000-00001B860000}"/>
    <cellStyle name="표준 5 3 3 2 3 2 3 2 7" xfId="43003" xr:uid="{00000000-0005-0000-0000-00001C860000}"/>
    <cellStyle name="표준 5 3 3 2 3 2 3 3" xfId="7941" xr:uid="{00000000-0005-0000-0000-00001D860000}"/>
    <cellStyle name="표준 5 3 3 2 3 2 3 3 2" xfId="28647" xr:uid="{00000000-0005-0000-0000-00001E860000}"/>
    <cellStyle name="표준 5 3 3 2 3 2 3 3 3" xfId="36858" xr:uid="{00000000-0005-0000-0000-00001F860000}"/>
    <cellStyle name="표준 5 3 3 2 3 2 3 3 4" xfId="45051" xr:uid="{00000000-0005-0000-0000-000020860000}"/>
    <cellStyle name="표준 5 3 3 2 3 2 3 4" xfId="12053" xr:uid="{00000000-0005-0000-0000-000021860000}"/>
    <cellStyle name="표준 5 3 3 2 3 2 3 5" xfId="16293" xr:uid="{00000000-0005-0000-0000-000022860000}"/>
    <cellStyle name="표준 5 3 3 2 3 2 3 6" xfId="20455" xr:uid="{00000000-0005-0000-0000-000023860000}"/>
    <cellStyle name="표준 5 3 3 2 3 2 3 7" xfId="24551" xr:uid="{00000000-0005-0000-0000-000024860000}"/>
    <cellStyle name="표준 5 3 3 2 3 2 3 8" xfId="32762" xr:uid="{00000000-0005-0000-0000-000025860000}"/>
    <cellStyle name="표준 5 3 3 2 3 2 3 9" xfId="40955" xr:uid="{00000000-0005-0000-0000-000026860000}"/>
    <cellStyle name="표준 5 3 3 2 3 2 4" xfId="1598" xr:uid="{00000000-0005-0000-0000-000027860000}"/>
    <cellStyle name="표준 5 3 3 2 3 2 4 2" xfId="10501" xr:uid="{00000000-0005-0000-0000-000028860000}"/>
    <cellStyle name="표준 5 3 3 2 3 2 4 2 2" xfId="14613" xr:uid="{00000000-0005-0000-0000-000029860000}"/>
    <cellStyle name="표준 5 3 3 2 3 2 4 2 2 2" xfId="31207" xr:uid="{00000000-0005-0000-0000-00002A860000}"/>
    <cellStyle name="표준 5 3 3 2 3 2 4 2 2 3" xfId="39418" xr:uid="{00000000-0005-0000-0000-00002B860000}"/>
    <cellStyle name="표준 5 3 3 2 3 2 4 2 2 4" xfId="47611" xr:uid="{00000000-0005-0000-0000-00002C860000}"/>
    <cellStyle name="표준 5 3 3 2 3 2 4 2 3" xfId="18853" xr:uid="{00000000-0005-0000-0000-00002D860000}"/>
    <cellStyle name="표준 5 3 3 2 3 2 4 2 4" xfId="23015" xr:uid="{00000000-0005-0000-0000-00002E860000}"/>
    <cellStyle name="표준 5 3 3 2 3 2 4 2 5" xfId="27111" xr:uid="{00000000-0005-0000-0000-00002F860000}"/>
    <cellStyle name="표준 5 3 3 2 3 2 4 2 6" xfId="35322" xr:uid="{00000000-0005-0000-0000-000030860000}"/>
    <cellStyle name="표준 5 3 3 2 3 2 4 2 7" xfId="43515" xr:uid="{00000000-0005-0000-0000-000031860000}"/>
    <cellStyle name="표준 5 3 3 2 3 2 4 3" xfId="8453" xr:uid="{00000000-0005-0000-0000-000032860000}"/>
    <cellStyle name="표준 5 3 3 2 3 2 4 3 2" xfId="29159" xr:uid="{00000000-0005-0000-0000-000033860000}"/>
    <cellStyle name="표준 5 3 3 2 3 2 4 3 3" xfId="37370" xr:uid="{00000000-0005-0000-0000-000034860000}"/>
    <cellStyle name="표준 5 3 3 2 3 2 4 3 4" xfId="45563" xr:uid="{00000000-0005-0000-0000-000035860000}"/>
    <cellStyle name="표준 5 3 3 2 3 2 4 4" xfId="12565" xr:uid="{00000000-0005-0000-0000-000036860000}"/>
    <cellStyle name="표준 5 3 3 2 3 2 4 5" xfId="16805" xr:uid="{00000000-0005-0000-0000-000037860000}"/>
    <cellStyle name="표준 5 3 3 2 3 2 4 6" xfId="20967" xr:uid="{00000000-0005-0000-0000-000038860000}"/>
    <cellStyle name="표준 5 3 3 2 3 2 4 7" xfId="25063" xr:uid="{00000000-0005-0000-0000-000039860000}"/>
    <cellStyle name="표준 5 3 3 2 3 2 4 8" xfId="33274" xr:uid="{00000000-0005-0000-0000-00003A860000}"/>
    <cellStyle name="표준 5 3 3 2 3 2 4 9" xfId="41467" xr:uid="{00000000-0005-0000-0000-00003B860000}"/>
    <cellStyle name="표준 5 3 3 2 3 2 5" xfId="2110" xr:uid="{00000000-0005-0000-0000-00003C860000}"/>
    <cellStyle name="표준 5 3 3 2 3 2 5 2" xfId="11013" xr:uid="{00000000-0005-0000-0000-00003D860000}"/>
    <cellStyle name="표준 5 3 3 2 3 2 5 2 2" xfId="15125" xr:uid="{00000000-0005-0000-0000-00003E860000}"/>
    <cellStyle name="표준 5 3 3 2 3 2 5 2 2 2" xfId="31719" xr:uid="{00000000-0005-0000-0000-00003F860000}"/>
    <cellStyle name="표준 5 3 3 2 3 2 5 2 2 3" xfId="39930" xr:uid="{00000000-0005-0000-0000-000040860000}"/>
    <cellStyle name="표준 5 3 3 2 3 2 5 2 2 4" xfId="48123" xr:uid="{00000000-0005-0000-0000-000041860000}"/>
    <cellStyle name="표준 5 3 3 2 3 2 5 2 3" xfId="19365" xr:uid="{00000000-0005-0000-0000-000042860000}"/>
    <cellStyle name="표준 5 3 3 2 3 2 5 2 4" xfId="23527" xr:uid="{00000000-0005-0000-0000-000043860000}"/>
    <cellStyle name="표준 5 3 3 2 3 2 5 2 5" xfId="27623" xr:uid="{00000000-0005-0000-0000-000044860000}"/>
    <cellStyle name="표준 5 3 3 2 3 2 5 2 6" xfId="35834" xr:uid="{00000000-0005-0000-0000-000045860000}"/>
    <cellStyle name="표준 5 3 3 2 3 2 5 2 7" xfId="44027" xr:uid="{00000000-0005-0000-0000-000046860000}"/>
    <cellStyle name="표준 5 3 3 2 3 2 5 3" xfId="8965" xr:uid="{00000000-0005-0000-0000-000047860000}"/>
    <cellStyle name="표준 5 3 3 2 3 2 5 3 2" xfId="29671" xr:uid="{00000000-0005-0000-0000-000048860000}"/>
    <cellStyle name="표준 5 3 3 2 3 2 5 3 3" xfId="37882" xr:uid="{00000000-0005-0000-0000-000049860000}"/>
    <cellStyle name="표준 5 3 3 2 3 2 5 3 4" xfId="46075" xr:uid="{00000000-0005-0000-0000-00004A860000}"/>
    <cellStyle name="표준 5 3 3 2 3 2 5 4" xfId="13077" xr:uid="{00000000-0005-0000-0000-00004B860000}"/>
    <cellStyle name="표준 5 3 3 2 3 2 5 5" xfId="17317" xr:uid="{00000000-0005-0000-0000-00004C860000}"/>
    <cellStyle name="표준 5 3 3 2 3 2 5 6" xfId="21479" xr:uid="{00000000-0005-0000-0000-00004D860000}"/>
    <cellStyle name="표준 5 3 3 2 3 2 5 7" xfId="25575" xr:uid="{00000000-0005-0000-0000-00004E860000}"/>
    <cellStyle name="표준 5 3 3 2 3 2 5 8" xfId="33786" xr:uid="{00000000-0005-0000-0000-00004F860000}"/>
    <cellStyle name="표준 5 3 3 2 3 2 5 9" xfId="41979" xr:uid="{00000000-0005-0000-0000-000050860000}"/>
    <cellStyle name="표준 5 3 3 2 3 2 6" xfId="9477" xr:uid="{00000000-0005-0000-0000-000051860000}"/>
    <cellStyle name="표준 5 3 3 2 3 2 6 2" xfId="13589" xr:uid="{00000000-0005-0000-0000-000052860000}"/>
    <cellStyle name="표준 5 3 3 2 3 2 6 2 2" xfId="30183" xr:uid="{00000000-0005-0000-0000-000053860000}"/>
    <cellStyle name="표준 5 3 3 2 3 2 6 2 3" xfId="38394" xr:uid="{00000000-0005-0000-0000-000054860000}"/>
    <cellStyle name="표준 5 3 3 2 3 2 6 2 4" xfId="46587" xr:uid="{00000000-0005-0000-0000-000055860000}"/>
    <cellStyle name="표준 5 3 3 2 3 2 6 3" xfId="17829" xr:uid="{00000000-0005-0000-0000-000056860000}"/>
    <cellStyle name="표준 5 3 3 2 3 2 6 4" xfId="21991" xr:uid="{00000000-0005-0000-0000-000057860000}"/>
    <cellStyle name="표준 5 3 3 2 3 2 6 5" xfId="26087" xr:uid="{00000000-0005-0000-0000-000058860000}"/>
    <cellStyle name="표준 5 3 3 2 3 2 6 6" xfId="34298" xr:uid="{00000000-0005-0000-0000-000059860000}"/>
    <cellStyle name="표준 5 3 3 2 3 2 6 7" xfId="42491" xr:uid="{00000000-0005-0000-0000-00005A860000}"/>
    <cellStyle name="표준 5 3 3 2 3 2 7" xfId="7429" xr:uid="{00000000-0005-0000-0000-00005B860000}"/>
    <cellStyle name="표준 5 3 3 2 3 2 7 2" xfId="28135" xr:uid="{00000000-0005-0000-0000-00005C860000}"/>
    <cellStyle name="표준 5 3 3 2 3 2 7 3" xfId="36346" xr:uid="{00000000-0005-0000-0000-00005D860000}"/>
    <cellStyle name="표준 5 3 3 2 3 2 7 4" xfId="44539" xr:uid="{00000000-0005-0000-0000-00005E860000}"/>
    <cellStyle name="표준 5 3 3 2 3 2 8" xfId="11541" xr:uid="{00000000-0005-0000-0000-00005F860000}"/>
    <cellStyle name="표준 5 3 3 2 3 2 9" xfId="15781" xr:uid="{00000000-0005-0000-0000-000060860000}"/>
    <cellStyle name="표준 5 3 3 2 3 3" xfId="702" xr:uid="{00000000-0005-0000-0000-000061860000}"/>
    <cellStyle name="표준 5 3 3 2 3 3 10" xfId="24167" xr:uid="{00000000-0005-0000-0000-000062860000}"/>
    <cellStyle name="표준 5 3 3 2 3 3 11" xfId="32378" xr:uid="{00000000-0005-0000-0000-000063860000}"/>
    <cellStyle name="표준 5 3 3 2 3 3 12" xfId="40571" xr:uid="{00000000-0005-0000-0000-000064860000}"/>
    <cellStyle name="표준 5 3 3 2 3 3 2" xfId="1214" xr:uid="{00000000-0005-0000-0000-000065860000}"/>
    <cellStyle name="표준 5 3 3 2 3 3 2 2" xfId="10117" xr:uid="{00000000-0005-0000-0000-000066860000}"/>
    <cellStyle name="표준 5 3 3 2 3 3 2 2 2" xfId="14229" xr:uid="{00000000-0005-0000-0000-000067860000}"/>
    <cellStyle name="표준 5 3 3 2 3 3 2 2 2 2" xfId="30823" xr:uid="{00000000-0005-0000-0000-000068860000}"/>
    <cellStyle name="표준 5 3 3 2 3 3 2 2 2 3" xfId="39034" xr:uid="{00000000-0005-0000-0000-000069860000}"/>
    <cellStyle name="표준 5 3 3 2 3 3 2 2 2 4" xfId="47227" xr:uid="{00000000-0005-0000-0000-00006A860000}"/>
    <cellStyle name="표준 5 3 3 2 3 3 2 2 3" xfId="18469" xr:uid="{00000000-0005-0000-0000-00006B860000}"/>
    <cellStyle name="표준 5 3 3 2 3 3 2 2 4" xfId="22631" xr:uid="{00000000-0005-0000-0000-00006C860000}"/>
    <cellStyle name="표준 5 3 3 2 3 3 2 2 5" xfId="26727" xr:uid="{00000000-0005-0000-0000-00006D860000}"/>
    <cellStyle name="표준 5 3 3 2 3 3 2 2 6" xfId="34938" xr:uid="{00000000-0005-0000-0000-00006E860000}"/>
    <cellStyle name="표준 5 3 3 2 3 3 2 2 7" xfId="43131" xr:uid="{00000000-0005-0000-0000-00006F860000}"/>
    <cellStyle name="표준 5 3 3 2 3 3 2 3" xfId="8069" xr:uid="{00000000-0005-0000-0000-000070860000}"/>
    <cellStyle name="표준 5 3 3 2 3 3 2 3 2" xfId="28775" xr:uid="{00000000-0005-0000-0000-000071860000}"/>
    <cellStyle name="표준 5 3 3 2 3 3 2 3 3" xfId="36986" xr:uid="{00000000-0005-0000-0000-000072860000}"/>
    <cellStyle name="표준 5 3 3 2 3 3 2 3 4" xfId="45179" xr:uid="{00000000-0005-0000-0000-000073860000}"/>
    <cellStyle name="표준 5 3 3 2 3 3 2 4" xfId="12181" xr:uid="{00000000-0005-0000-0000-000074860000}"/>
    <cellStyle name="표준 5 3 3 2 3 3 2 5" xfId="16421" xr:uid="{00000000-0005-0000-0000-000075860000}"/>
    <cellStyle name="표준 5 3 3 2 3 3 2 6" xfId="20583" xr:uid="{00000000-0005-0000-0000-000076860000}"/>
    <cellStyle name="표준 5 3 3 2 3 3 2 7" xfId="24679" xr:uid="{00000000-0005-0000-0000-000077860000}"/>
    <cellStyle name="표준 5 3 3 2 3 3 2 8" xfId="32890" xr:uid="{00000000-0005-0000-0000-000078860000}"/>
    <cellStyle name="표준 5 3 3 2 3 3 2 9" xfId="41083" xr:uid="{00000000-0005-0000-0000-000079860000}"/>
    <cellStyle name="표준 5 3 3 2 3 3 3" xfId="1726" xr:uid="{00000000-0005-0000-0000-00007A860000}"/>
    <cellStyle name="표준 5 3 3 2 3 3 3 2" xfId="10629" xr:uid="{00000000-0005-0000-0000-00007B860000}"/>
    <cellStyle name="표준 5 3 3 2 3 3 3 2 2" xfId="14741" xr:uid="{00000000-0005-0000-0000-00007C860000}"/>
    <cellStyle name="표준 5 3 3 2 3 3 3 2 2 2" xfId="31335" xr:uid="{00000000-0005-0000-0000-00007D860000}"/>
    <cellStyle name="표준 5 3 3 2 3 3 3 2 2 3" xfId="39546" xr:uid="{00000000-0005-0000-0000-00007E860000}"/>
    <cellStyle name="표준 5 3 3 2 3 3 3 2 2 4" xfId="47739" xr:uid="{00000000-0005-0000-0000-00007F860000}"/>
    <cellStyle name="표준 5 3 3 2 3 3 3 2 3" xfId="18981" xr:uid="{00000000-0005-0000-0000-000080860000}"/>
    <cellStyle name="표준 5 3 3 2 3 3 3 2 4" xfId="23143" xr:uid="{00000000-0005-0000-0000-000081860000}"/>
    <cellStyle name="표준 5 3 3 2 3 3 3 2 5" xfId="27239" xr:uid="{00000000-0005-0000-0000-000082860000}"/>
    <cellStyle name="표준 5 3 3 2 3 3 3 2 6" xfId="35450" xr:uid="{00000000-0005-0000-0000-000083860000}"/>
    <cellStyle name="표준 5 3 3 2 3 3 3 2 7" xfId="43643" xr:uid="{00000000-0005-0000-0000-000084860000}"/>
    <cellStyle name="표준 5 3 3 2 3 3 3 3" xfId="8581" xr:uid="{00000000-0005-0000-0000-000085860000}"/>
    <cellStyle name="표준 5 3 3 2 3 3 3 3 2" xfId="29287" xr:uid="{00000000-0005-0000-0000-000086860000}"/>
    <cellStyle name="표준 5 3 3 2 3 3 3 3 3" xfId="37498" xr:uid="{00000000-0005-0000-0000-000087860000}"/>
    <cellStyle name="표준 5 3 3 2 3 3 3 3 4" xfId="45691" xr:uid="{00000000-0005-0000-0000-000088860000}"/>
    <cellStyle name="표준 5 3 3 2 3 3 3 4" xfId="12693" xr:uid="{00000000-0005-0000-0000-000089860000}"/>
    <cellStyle name="표준 5 3 3 2 3 3 3 5" xfId="16933" xr:uid="{00000000-0005-0000-0000-00008A860000}"/>
    <cellStyle name="표준 5 3 3 2 3 3 3 6" xfId="21095" xr:uid="{00000000-0005-0000-0000-00008B860000}"/>
    <cellStyle name="표준 5 3 3 2 3 3 3 7" xfId="25191" xr:uid="{00000000-0005-0000-0000-00008C860000}"/>
    <cellStyle name="표준 5 3 3 2 3 3 3 8" xfId="33402" xr:uid="{00000000-0005-0000-0000-00008D860000}"/>
    <cellStyle name="표준 5 3 3 2 3 3 3 9" xfId="41595" xr:uid="{00000000-0005-0000-0000-00008E860000}"/>
    <cellStyle name="표준 5 3 3 2 3 3 4" xfId="2238" xr:uid="{00000000-0005-0000-0000-00008F860000}"/>
    <cellStyle name="표준 5 3 3 2 3 3 4 2" xfId="11141" xr:uid="{00000000-0005-0000-0000-000090860000}"/>
    <cellStyle name="표준 5 3 3 2 3 3 4 2 2" xfId="15253" xr:uid="{00000000-0005-0000-0000-000091860000}"/>
    <cellStyle name="표준 5 3 3 2 3 3 4 2 2 2" xfId="31847" xr:uid="{00000000-0005-0000-0000-000092860000}"/>
    <cellStyle name="표준 5 3 3 2 3 3 4 2 2 3" xfId="40058" xr:uid="{00000000-0005-0000-0000-000093860000}"/>
    <cellStyle name="표준 5 3 3 2 3 3 4 2 2 4" xfId="48251" xr:uid="{00000000-0005-0000-0000-000094860000}"/>
    <cellStyle name="표준 5 3 3 2 3 3 4 2 3" xfId="19493" xr:uid="{00000000-0005-0000-0000-000095860000}"/>
    <cellStyle name="표준 5 3 3 2 3 3 4 2 4" xfId="23655" xr:uid="{00000000-0005-0000-0000-000096860000}"/>
    <cellStyle name="표준 5 3 3 2 3 3 4 2 5" xfId="27751" xr:uid="{00000000-0005-0000-0000-000097860000}"/>
    <cellStyle name="표준 5 3 3 2 3 3 4 2 6" xfId="35962" xr:uid="{00000000-0005-0000-0000-000098860000}"/>
    <cellStyle name="표준 5 3 3 2 3 3 4 2 7" xfId="44155" xr:uid="{00000000-0005-0000-0000-000099860000}"/>
    <cellStyle name="표준 5 3 3 2 3 3 4 3" xfId="9093" xr:uid="{00000000-0005-0000-0000-00009A860000}"/>
    <cellStyle name="표준 5 3 3 2 3 3 4 3 2" xfId="29799" xr:uid="{00000000-0005-0000-0000-00009B860000}"/>
    <cellStyle name="표준 5 3 3 2 3 3 4 3 3" xfId="38010" xr:uid="{00000000-0005-0000-0000-00009C860000}"/>
    <cellStyle name="표준 5 3 3 2 3 3 4 3 4" xfId="46203" xr:uid="{00000000-0005-0000-0000-00009D860000}"/>
    <cellStyle name="표준 5 3 3 2 3 3 4 4" xfId="13205" xr:uid="{00000000-0005-0000-0000-00009E860000}"/>
    <cellStyle name="표준 5 3 3 2 3 3 4 5" xfId="17445" xr:uid="{00000000-0005-0000-0000-00009F860000}"/>
    <cellStyle name="표준 5 3 3 2 3 3 4 6" xfId="21607" xr:uid="{00000000-0005-0000-0000-0000A0860000}"/>
    <cellStyle name="표준 5 3 3 2 3 3 4 7" xfId="25703" xr:uid="{00000000-0005-0000-0000-0000A1860000}"/>
    <cellStyle name="표준 5 3 3 2 3 3 4 8" xfId="33914" xr:uid="{00000000-0005-0000-0000-0000A2860000}"/>
    <cellStyle name="표준 5 3 3 2 3 3 4 9" xfId="42107" xr:uid="{00000000-0005-0000-0000-0000A3860000}"/>
    <cellStyle name="표준 5 3 3 2 3 3 5" xfId="9605" xr:uid="{00000000-0005-0000-0000-0000A4860000}"/>
    <cellStyle name="표준 5 3 3 2 3 3 5 2" xfId="13717" xr:uid="{00000000-0005-0000-0000-0000A5860000}"/>
    <cellStyle name="표준 5 3 3 2 3 3 5 2 2" xfId="30311" xr:uid="{00000000-0005-0000-0000-0000A6860000}"/>
    <cellStyle name="표준 5 3 3 2 3 3 5 2 3" xfId="38522" xr:uid="{00000000-0005-0000-0000-0000A7860000}"/>
    <cellStyle name="표준 5 3 3 2 3 3 5 2 4" xfId="46715" xr:uid="{00000000-0005-0000-0000-0000A8860000}"/>
    <cellStyle name="표준 5 3 3 2 3 3 5 3" xfId="17957" xr:uid="{00000000-0005-0000-0000-0000A9860000}"/>
    <cellStyle name="표준 5 3 3 2 3 3 5 4" xfId="22119" xr:uid="{00000000-0005-0000-0000-0000AA860000}"/>
    <cellStyle name="표준 5 3 3 2 3 3 5 5" xfId="26215" xr:uid="{00000000-0005-0000-0000-0000AB860000}"/>
    <cellStyle name="표준 5 3 3 2 3 3 5 6" xfId="34426" xr:uid="{00000000-0005-0000-0000-0000AC860000}"/>
    <cellStyle name="표준 5 3 3 2 3 3 5 7" xfId="42619" xr:uid="{00000000-0005-0000-0000-0000AD860000}"/>
    <cellStyle name="표준 5 3 3 2 3 3 6" xfId="7557" xr:uid="{00000000-0005-0000-0000-0000AE860000}"/>
    <cellStyle name="표준 5 3 3 2 3 3 6 2" xfId="28263" xr:uid="{00000000-0005-0000-0000-0000AF860000}"/>
    <cellStyle name="표준 5 3 3 2 3 3 6 3" xfId="36474" xr:uid="{00000000-0005-0000-0000-0000B0860000}"/>
    <cellStyle name="표준 5 3 3 2 3 3 6 4" xfId="44667" xr:uid="{00000000-0005-0000-0000-0000B1860000}"/>
    <cellStyle name="표준 5 3 3 2 3 3 7" xfId="11669" xr:uid="{00000000-0005-0000-0000-0000B2860000}"/>
    <cellStyle name="표준 5 3 3 2 3 3 8" xfId="15909" xr:uid="{00000000-0005-0000-0000-0000B3860000}"/>
    <cellStyle name="표준 5 3 3 2 3 3 9" xfId="20071" xr:uid="{00000000-0005-0000-0000-0000B4860000}"/>
    <cellStyle name="표준 5 3 3 2 3 4" xfId="958" xr:uid="{00000000-0005-0000-0000-0000B5860000}"/>
    <cellStyle name="표준 5 3 3 2 3 4 2" xfId="9861" xr:uid="{00000000-0005-0000-0000-0000B6860000}"/>
    <cellStyle name="표준 5 3 3 2 3 4 2 2" xfId="13973" xr:uid="{00000000-0005-0000-0000-0000B7860000}"/>
    <cellStyle name="표준 5 3 3 2 3 4 2 2 2" xfId="30567" xr:uid="{00000000-0005-0000-0000-0000B8860000}"/>
    <cellStyle name="표준 5 3 3 2 3 4 2 2 3" xfId="38778" xr:uid="{00000000-0005-0000-0000-0000B9860000}"/>
    <cellStyle name="표준 5 3 3 2 3 4 2 2 4" xfId="46971" xr:uid="{00000000-0005-0000-0000-0000BA860000}"/>
    <cellStyle name="표준 5 3 3 2 3 4 2 3" xfId="18213" xr:uid="{00000000-0005-0000-0000-0000BB860000}"/>
    <cellStyle name="표준 5 3 3 2 3 4 2 4" xfId="22375" xr:uid="{00000000-0005-0000-0000-0000BC860000}"/>
    <cellStyle name="표준 5 3 3 2 3 4 2 5" xfId="26471" xr:uid="{00000000-0005-0000-0000-0000BD860000}"/>
    <cellStyle name="표준 5 3 3 2 3 4 2 6" xfId="34682" xr:uid="{00000000-0005-0000-0000-0000BE860000}"/>
    <cellStyle name="표준 5 3 3 2 3 4 2 7" xfId="42875" xr:uid="{00000000-0005-0000-0000-0000BF860000}"/>
    <cellStyle name="표준 5 3 3 2 3 4 3" xfId="7813" xr:uid="{00000000-0005-0000-0000-0000C0860000}"/>
    <cellStyle name="표준 5 3 3 2 3 4 3 2" xfId="28519" xr:uid="{00000000-0005-0000-0000-0000C1860000}"/>
    <cellStyle name="표준 5 3 3 2 3 4 3 3" xfId="36730" xr:uid="{00000000-0005-0000-0000-0000C2860000}"/>
    <cellStyle name="표준 5 3 3 2 3 4 3 4" xfId="44923" xr:uid="{00000000-0005-0000-0000-0000C3860000}"/>
    <cellStyle name="표준 5 3 3 2 3 4 4" xfId="11925" xr:uid="{00000000-0005-0000-0000-0000C4860000}"/>
    <cellStyle name="표준 5 3 3 2 3 4 5" xfId="16165" xr:uid="{00000000-0005-0000-0000-0000C5860000}"/>
    <cellStyle name="표준 5 3 3 2 3 4 6" xfId="20327" xr:uid="{00000000-0005-0000-0000-0000C6860000}"/>
    <cellStyle name="표준 5 3 3 2 3 4 7" xfId="24423" xr:uid="{00000000-0005-0000-0000-0000C7860000}"/>
    <cellStyle name="표준 5 3 3 2 3 4 8" xfId="32634" xr:uid="{00000000-0005-0000-0000-0000C8860000}"/>
    <cellStyle name="표준 5 3 3 2 3 4 9" xfId="40827" xr:uid="{00000000-0005-0000-0000-0000C9860000}"/>
    <cellStyle name="표준 5 3 3 2 3 5" xfId="1470" xr:uid="{00000000-0005-0000-0000-0000CA860000}"/>
    <cellStyle name="표준 5 3 3 2 3 5 2" xfId="10373" xr:uid="{00000000-0005-0000-0000-0000CB860000}"/>
    <cellStyle name="표준 5 3 3 2 3 5 2 2" xfId="14485" xr:uid="{00000000-0005-0000-0000-0000CC860000}"/>
    <cellStyle name="표준 5 3 3 2 3 5 2 2 2" xfId="31079" xr:uid="{00000000-0005-0000-0000-0000CD860000}"/>
    <cellStyle name="표준 5 3 3 2 3 5 2 2 3" xfId="39290" xr:uid="{00000000-0005-0000-0000-0000CE860000}"/>
    <cellStyle name="표준 5 3 3 2 3 5 2 2 4" xfId="47483" xr:uid="{00000000-0005-0000-0000-0000CF860000}"/>
    <cellStyle name="표준 5 3 3 2 3 5 2 3" xfId="18725" xr:uid="{00000000-0005-0000-0000-0000D0860000}"/>
    <cellStyle name="표준 5 3 3 2 3 5 2 4" xfId="22887" xr:uid="{00000000-0005-0000-0000-0000D1860000}"/>
    <cellStyle name="표준 5 3 3 2 3 5 2 5" xfId="26983" xr:uid="{00000000-0005-0000-0000-0000D2860000}"/>
    <cellStyle name="표준 5 3 3 2 3 5 2 6" xfId="35194" xr:uid="{00000000-0005-0000-0000-0000D3860000}"/>
    <cellStyle name="표준 5 3 3 2 3 5 2 7" xfId="43387" xr:uid="{00000000-0005-0000-0000-0000D4860000}"/>
    <cellStyle name="표준 5 3 3 2 3 5 3" xfId="8325" xr:uid="{00000000-0005-0000-0000-0000D5860000}"/>
    <cellStyle name="표준 5 3 3 2 3 5 3 2" xfId="29031" xr:uid="{00000000-0005-0000-0000-0000D6860000}"/>
    <cellStyle name="표준 5 3 3 2 3 5 3 3" xfId="37242" xr:uid="{00000000-0005-0000-0000-0000D7860000}"/>
    <cellStyle name="표준 5 3 3 2 3 5 3 4" xfId="45435" xr:uid="{00000000-0005-0000-0000-0000D8860000}"/>
    <cellStyle name="표준 5 3 3 2 3 5 4" xfId="12437" xr:uid="{00000000-0005-0000-0000-0000D9860000}"/>
    <cellStyle name="표준 5 3 3 2 3 5 5" xfId="16677" xr:uid="{00000000-0005-0000-0000-0000DA860000}"/>
    <cellStyle name="표준 5 3 3 2 3 5 6" xfId="20839" xr:uid="{00000000-0005-0000-0000-0000DB860000}"/>
    <cellStyle name="표준 5 3 3 2 3 5 7" xfId="24935" xr:uid="{00000000-0005-0000-0000-0000DC860000}"/>
    <cellStyle name="표준 5 3 3 2 3 5 8" xfId="33146" xr:uid="{00000000-0005-0000-0000-0000DD860000}"/>
    <cellStyle name="표준 5 3 3 2 3 5 9" xfId="41339" xr:uid="{00000000-0005-0000-0000-0000DE860000}"/>
    <cellStyle name="표준 5 3 3 2 3 6" xfId="1982" xr:uid="{00000000-0005-0000-0000-0000DF860000}"/>
    <cellStyle name="표준 5 3 3 2 3 6 2" xfId="10885" xr:uid="{00000000-0005-0000-0000-0000E0860000}"/>
    <cellStyle name="표준 5 3 3 2 3 6 2 2" xfId="14997" xr:uid="{00000000-0005-0000-0000-0000E1860000}"/>
    <cellStyle name="표준 5 3 3 2 3 6 2 2 2" xfId="31591" xr:uid="{00000000-0005-0000-0000-0000E2860000}"/>
    <cellStyle name="표준 5 3 3 2 3 6 2 2 3" xfId="39802" xr:uid="{00000000-0005-0000-0000-0000E3860000}"/>
    <cellStyle name="표준 5 3 3 2 3 6 2 2 4" xfId="47995" xr:uid="{00000000-0005-0000-0000-0000E4860000}"/>
    <cellStyle name="표준 5 3 3 2 3 6 2 3" xfId="19237" xr:uid="{00000000-0005-0000-0000-0000E5860000}"/>
    <cellStyle name="표준 5 3 3 2 3 6 2 4" xfId="23399" xr:uid="{00000000-0005-0000-0000-0000E6860000}"/>
    <cellStyle name="표준 5 3 3 2 3 6 2 5" xfId="27495" xr:uid="{00000000-0005-0000-0000-0000E7860000}"/>
    <cellStyle name="표준 5 3 3 2 3 6 2 6" xfId="35706" xr:uid="{00000000-0005-0000-0000-0000E8860000}"/>
    <cellStyle name="표준 5 3 3 2 3 6 2 7" xfId="43899" xr:uid="{00000000-0005-0000-0000-0000E9860000}"/>
    <cellStyle name="표준 5 3 3 2 3 6 3" xfId="8837" xr:uid="{00000000-0005-0000-0000-0000EA860000}"/>
    <cellStyle name="표준 5 3 3 2 3 6 3 2" xfId="29543" xr:uid="{00000000-0005-0000-0000-0000EB860000}"/>
    <cellStyle name="표준 5 3 3 2 3 6 3 3" xfId="37754" xr:uid="{00000000-0005-0000-0000-0000EC860000}"/>
    <cellStyle name="표준 5 3 3 2 3 6 3 4" xfId="45947" xr:uid="{00000000-0005-0000-0000-0000ED860000}"/>
    <cellStyle name="표준 5 3 3 2 3 6 4" xfId="12949" xr:uid="{00000000-0005-0000-0000-0000EE860000}"/>
    <cellStyle name="표준 5 3 3 2 3 6 5" xfId="17189" xr:uid="{00000000-0005-0000-0000-0000EF860000}"/>
    <cellStyle name="표준 5 3 3 2 3 6 6" xfId="21351" xr:uid="{00000000-0005-0000-0000-0000F0860000}"/>
    <cellStyle name="표준 5 3 3 2 3 6 7" xfId="25447" xr:uid="{00000000-0005-0000-0000-0000F1860000}"/>
    <cellStyle name="표준 5 3 3 2 3 6 8" xfId="33658" xr:uid="{00000000-0005-0000-0000-0000F2860000}"/>
    <cellStyle name="표준 5 3 3 2 3 6 9" xfId="41851" xr:uid="{00000000-0005-0000-0000-0000F3860000}"/>
    <cellStyle name="표준 5 3 3 2 3 7" xfId="9349" xr:uid="{00000000-0005-0000-0000-0000F4860000}"/>
    <cellStyle name="표준 5 3 3 2 3 7 2" xfId="13461" xr:uid="{00000000-0005-0000-0000-0000F5860000}"/>
    <cellStyle name="표준 5 3 3 2 3 7 2 2" xfId="30055" xr:uid="{00000000-0005-0000-0000-0000F6860000}"/>
    <cellStyle name="표준 5 3 3 2 3 7 2 3" xfId="38266" xr:uid="{00000000-0005-0000-0000-0000F7860000}"/>
    <cellStyle name="표준 5 3 3 2 3 7 2 4" xfId="46459" xr:uid="{00000000-0005-0000-0000-0000F8860000}"/>
    <cellStyle name="표준 5 3 3 2 3 7 3" xfId="17701" xr:uid="{00000000-0005-0000-0000-0000F9860000}"/>
    <cellStyle name="표준 5 3 3 2 3 7 4" xfId="21863" xr:uid="{00000000-0005-0000-0000-0000FA860000}"/>
    <cellStyle name="표준 5 3 3 2 3 7 5" xfId="25959" xr:uid="{00000000-0005-0000-0000-0000FB860000}"/>
    <cellStyle name="표준 5 3 3 2 3 7 6" xfId="34170" xr:uid="{00000000-0005-0000-0000-0000FC860000}"/>
    <cellStyle name="표준 5 3 3 2 3 7 7" xfId="42363" xr:uid="{00000000-0005-0000-0000-0000FD860000}"/>
    <cellStyle name="표준 5 3 3 2 3 8" xfId="7301" xr:uid="{00000000-0005-0000-0000-0000FE860000}"/>
    <cellStyle name="표준 5 3 3 2 3 8 2" xfId="28007" xr:uid="{00000000-0005-0000-0000-0000FF860000}"/>
    <cellStyle name="표준 5 3 3 2 3 8 3" xfId="36218" xr:uid="{00000000-0005-0000-0000-000000870000}"/>
    <cellStyle name="표준 5 3 3 2 3 8 4" xfId="44411" xr:uid="{00000000-0005-0000-0000-000001870000}"/>
    <cellStyle name="표준 5 3 3 2 3 9" xfId="11413" xr:uid="{00000000-0005-0000-0000-000002870000}"/>
    <cellStyle name="표준 5 3 3 2 4" xfId="510" xr:uid="{00000000-0005-0000-0000-000003870000}"/>
    <cellStyle name="표준 5 3 3 2 4 10" xfId="19879" xr:uid="{00000000-0005-0000-0000-000004870000}"/>
    <cellStyle name="표준 5 3 3 2 4 11" xfId="23975" xr:uid="{00000000-0005-0000-0000-000005870000}"/>
    <cellStyle name="표준 5 3 3 2 4 12" xfId="32186" xr:uid="{00000000-0005-0000-0000-000006870000}"/>
    <cellStyle name="표준 5 3 3 2 4 13" xfId="40379" xr:uid="{00000000-0005-0000-0000-000007870000}"/>
    <cellStyle name="표준 5 3 3 2 4 2" xfId="766" xr:uid="{00000000-0005-0000-0000-000008870000}"/>
    <cellStyle name="표준 5 3 3 2 4 2 10" xfId="24231" xr:uid="{00000000-0005-0000-0000-000009870000}"/>
    <cellStyle name="표준 5 3 3 2 4 2 11" xfId="32442" xr:uid="{00000000-0005-0000-0000-00000A870000}"/>
    <cellStyle name="표준 5 3 3 2 4 2 12" xfId="40635" xr:uid="{00000000-0005-0000-0000-00000B870000}"/>
    <cellStyle name="표준 5 3 3 2 4 2 2" xfId="1278" xr:uid="{00000000-0005-0000-0000-00000C870000}"/>
    <cellStyle name="표준 5 3 3 2 4 2 2 2" xfId="10181" xr:uid="{00000000-0005-0000-0000-00000D870000}"/>
    <cellStyle name="표준 5 3 3 2 4 2 2 2 2" xfId="14293" xr:uid="{00000000-0005-0000-0000-00000E870000}"/>
    <cellStyle name="표준 5 3 3 2 4 2 2 2 2 2" xfId="30887" xr:uid="{00000000-0005-0000-0000-00000F870000}"/>
    <cellStyle name="표준 5 3 3 2 4 2 2 2 2 3" xfId="39098" xr:uid="{00000000-0005-0000-0000-000010870000}"/>
    <cellStyle name="표준 5 3 3 2 4 2 2 2 2 4" xfId="47291" xr:uid="{00000000-0005-0000-0000-000011870000}"/>
    <cellStyle name="표준 5 3 3 2 4 2 2 2 3" xfId="18533" xr:uid="{00000000-0005-0000-0000-000012870000}"/>
    <cellStyle name="표준 5 3 3 2 4 2 2 2 4" xfId="22695" xr:uid="{00000000-0005-0000-0000-000013870000}"/>
    <cellStyle name="표준 5 3 3 2 4 2 2 2 5" xfId="26791" xr:uid="{00000000-0005-0000-0000-000014870000}"/>
    <cellStyle name="표준 5 3 3 2 4 2 2 2 6" xfId="35002" xr:uid="{00000000-0005-0000-0000-000015870000}"/>
    <cellStyle name="표준 5 3 3 2 4 2 2 2 7" xfId="43195" xr:uid="{00000000-0005-0000-0000-000016870000}"/>
    <cellStyle name="표준 5 3 3 2 4 2 2 3" xfId="8133" xr:uid="{00000000-0005-0000-0000-000017870000}"/>
    <cellStyle name="표준 5 3 3 2 4 2 2 3 2" xfId="28839" xr:uid="{00000000-0005-0000-0000-000018870000}"/>
    <cellStyle name="표준 5 3 3 2 4 2 2 3 3" xfId="37050" xr:uid="{00000000-0005-0000-0000-000019870000}"/>
    <cellStyle name="표준 5 3 3 2 4 2 2 3 4" xfId="45243" xr:uid="{00000000-0005-0000-0000-00001A870000}"/>
    <cellStyle name="표준 5 3 3 2 4 2 2 4" xfId="12245" xr:uid="{00000000-0005-0000-0000-00001B870000}"/>
    <cellStyle name="표준 5 3 3 2 4 2 2 5" xfId="16485" xr:uid="{00000000-0005-0000-0000-00001C870000}"/>
    <cellStyle name="표준 5 3 3 2 4 2 2 6" xfId="20647" xr:uid="{00000000-0005-0000-0000-00001D870000}"/>
    <cellStyle name="표준 5 3 3 2 4 2 2 7" xfId="24743" xr:uid="{00000000-0005-0000-0000-00001E870000}"/>
    <cellStyle name="표준 5 3 3 2 4 2 2 8" xfId="32954" xr:uid="{00000000-0005-0000-0000-00001F870000}"/>
    <cellStyle name="표준 5 3 3 2 4 2 2 9" xfId="41147" xr:uid="{00000000-0005-0000-0000-000020870000}"/>
    <cellStyle name="표준 5 3 3 2 4 2 3" xfId="1790" xr:uid="{00000000-0005-0000-0000-000021870000}"/>
    <cellStyle name="표준 5 3 3 2 4 2 3 2" xfId="10693" xr:uid="{00000000-0005-0000-0000-000022870000}"/>
    <cellStyle name="표준 5 3 3 2 4 2 3 2 2" xfId="14805" xr:uid="{00000000-0005-0000-0000-000023870000}"/>
    <cellStyle name="표준 5 3 3 2 4 2 3 2 2 2" xfId="31399" xr:uid="{00000000-0005-0000-0000-000024870000}"/>
    <cellStyle name="표준 5 3 3 2 4 2 3 2 2 3" xfId="39610" xr:uid="{00000000-0005-0000-0000-000025870000}"/>
    <cellStyle name="표준 5 3 3 2 4 2 3 2 2 4" xfId="47803" xr:uid="{00000000-0005-0000-0000-000026870000}"/>
    <cellStyle name="표준 5 3 3 2 4 2 3 2 3" xfId="19045" xr:uid="{00000000-0005-0000-0000-000027870000}"/>
    <cellStyle name="표준 5 3 3 2 4 2 3 2 4" xfId="23207" xr:uid="{00000000-0005-0000-0000-000028870000}"/>
    <cellStyle name="표준 5 3 3 2 4 2 3 2 5" xfId="27303" xr:uid="{00000000-0005-0000-0000-000029870000}"/>
    <cellStyle name="표준 5 3 3 2 4 2 3 2 6" xfId="35514" xr:uid="{00000000-0005-0000-0000-00002A870000}"/>
    <cellStyle name="표준 5 3 3 2 4 2 3 2 7" xfId="43707" xr:uid="{00000000-0005-0000-0000-00002B870000}"/>
    <cellStyle name="표준 5 3 3 2 4 2 3 3" xfId="8645" xr:uid="{00000000-0005-0000-0000-00002C870000}"/>
    <cellStyle name="표준 5 3 3 2 4 2 3 3 2" xfId="29351" xr:uid="{00000000-0005-0000-0000-00002D870000}"/>
    <cellStyle name="표준 5 3 3 2 4 2 3 3 3" xfId="37562" xr:uid="{00000000-0005-0000-0000-00002E870000}"/>
    <cellStyle name="표준 5 3 3 2 4 2 3 3 4" xfId="45755" xr:uid="{00000000-0005-0000-0000-00002F870000}"/>
    <cellStyle name="표준 5 3 3 2 4 2 3 4" xfId="12757" xr:uid="{00000000-0005-0000-0000-000030870000}"/>
    <cellStyle name="표준 5 3 3 2 4 2 3 5" xfId="16997" xr:uid="{00000000-0005-0000-0000-000031870000}"/>
    <cellStyle name="표준 5 3 3 2 4 2 3 6" xfId="21159" xr:uid="{00000000-0005-0000-0000-000032870000}"/>
    <cellStyle name="표준 5 3 3 2 4 2 3 7" xfId="25255" xr:uid="{00000000-0005-0000-0000-000033870000}"/>
    <cellStyle name="표준 5 3 3 2 4 2 3 8" xfId="33466" xr:uid="{00000000-0005-0000-0000-000034870000}"/>
    <cellStyle name="표준 5 3 3 2 4 2 3 9" xfId="41659" xr:uid="{00000000-0005-0000-0000-000035870000}"/>
    <cellStyle name="표준 5 3 3 2 4 2 4" xfId="2302" xr:uid="{00000000-0005-0000-0000-000036870000}"/>
    <cellStyle name="표준 5 3 3 2 4 2 4 2" xfId="11205" xr:uid="{00000000-0005-0000-0000-000037870000}"/>
    <cellStyle name="표준 5 3 3 2 4 2 4 2 2" xfId="15317" xr:uid="{00000000-0005-0000-0000-000038870000}"/>
    <cellStyle name="표준 5 3 3 2 4 2 4 2 2 2" xfId="31911" xr:uid="{00000000-0005-0000-0000-000039870000}"/>
    <cellStyle name="표준 5 3 3 2 4 2 4 2 2 3" xfId="40122" xr:uid="{00000000-0005-0000-0000-00003A870000}"/>
    <cellStyle name="표준 5 3 3 2 4 2 4 2 2 4" xfId="48315" xr:uid="{00000000-0005-0000-0000-00003B870000}"/>
    <cellStyle name="표준 5 3 3 2 4 2 4 2 3" xfId="19557" xr:uid="{00000000-0005-0000-0000-00003C870000}"/>
    <cellStyle name="표준 5 3 3 2 4 2 4 2 4" xfId="23719" xr:uid="{00000000-0005-0000-0000-00003D870000}"/>
    <cellStyle name="표준 5 3 3 2 4 2 4 2 5" xfId="27815" xr:uid="{00000000-0005-0000-0000-00003E870000}"/>
    <cellStyle name="표준 5 3 3 2 4 2 4 2 6" xfId="36026" xr:uid="{00000000-0005-0000-0000-00003F870000}"/>
    <cellStyle name="표준 5 3 3 2 4 2 4 2 7" xfId="44219" xr:uid="{00000000-0005-0000-0000-000040870000}"/>
    <cellStyle name="표준 5 3 3 2 4 2 4 3" xfId="9157" xr:uid="{00000000-0005-0000-0000-000041870000}"/>
    <cellStyle name="표준 5 3 3 2 4 2 4 3 2" xfId="29863" xr:uid="{00000000-0005-0000-0000-000042870000}"/>
    <cellStyle name="표준 5 3 3 2 4 2 4 3 3" xfId="38074" xr:uid="{00000000-0005-0000-0000-000043870000}"/>
    <cellStyle name="표준 5 3 3 2 4 2 4 3 4" xfId="46267" xr:uid="{00000000-0005-0000-0000-000044870000}"/>
    <cellStyle name="표준 5 3 3 2 4 2 4 4" xfId="13269" xr:uid="{00000000-0005-0000-0000-000045870000}"/>
    <cellStyle name="표준 5 3 3 2 4 2 4 5" xfId="17509" xr:uid="{00000000-0005-0000-0000-000046870000}"/>
    <cellStyle name="표준 5 3 3 2 4 2 4 6" xfId="21671" xr:uid="{00000000-0005-0000-0000-000047870000}"/>
    <cellStyle name="표준 5 3 3 2 4 2 4 7" xfId="25767" xr:uid="{00000000-0005-0000-0000-000048870000}"/>
    <cellStyle name="표준 5 3 3 2 4 2 4 8" xfId="33978" xr:uid="{00000000-0005-0000-0000-000049870000}"/>
    <cellStyle name="표준 5 3 3 2 4 2 4 9" xfId="42171" xr:uid="{00000000-0005-0000-0000-00004A870000}"/>
    <cellStyle name="표준 5 3 3 2 4 2 5" xfId="9669" xr:uid="{00000000-0005-0000-0000-00004B870000}"/>
    <cellStyle name="표준 5 3 3 2 4 2 5 2" xfId="13781" xr:uid="{00000000-0005-0000-0000-00004C870000}"/>
    <cellStyle name="표준 5 3 3 2 4 2 5 2 2" xfId="30375" xr:uid="{00000000-0005-0000-0000-00004D870000}"/>
    <cellStyle name="표준 5 3 3 2 4 2 5 2 3" xfId="38586" xr:uid="{00000000-0005-0000-0000-00004E870000}"/>
    <cellStyle name="표준 5 3 3 2 4 2 5 2 4" xfId="46779" xr:uid="{00000000-0005-0000-0000-00004F870000}"/>
    <cellStyle name="표준 5 3 3 2 4 2 5 3" xfId="18021" xr:uid="{00000000-0005-0000-0000-000050870000}"/>
    <cellStyle name="표준 5 3 3 2 4 2 5 4" xfId="22183" xr:uid="{00000000-0005-0000-0000-000051870000}"/>
    <cellStyle name="표준 5 3 3 2 4 2 5 5" xfId="26279" xr:uid="{00000000-0005-0000-0000-000052870000}"/>
    <cellStyle name="표준 5 3 3 2 4 2 5 6" xfId="34490" xr:uid="{00000000-0005-0000-0000-000053870000}"/>
    <cellStyle name="표준 5 3 3 2 4 2 5 7" xfId="42683" xr:uid="{00000000-0005-0000-0000-000054870000}"/>
    <cellStyle name="표준 5 3 3 2 4 2 6" xfId="7621" xr:uid="{00000000-0005-0000-0000-000055870000}"/>
    <cellStyle name="표준 5 3 3 2 4 2 6 2" xfId="28327" xr:uid="{00000000-0005-0000-0000-000056870000}"/>
    <cellStyle name="표준 5 3 3 2 4 2 6 3" xfId="36538" xr:uid="{00000000-0005-0000-0000-000057870000}"/>
    <cellStyle name="표준 5 3 3 2 4 2 6 4" xfId="44731" xr:uid="{00000000-0005-0000-0000-000058870000}"/>
    <cellStyle name="표준 5 3 3 2 4 2 7" xfId="11733" xr:uid="{00000000-0005-0000-0000-000059870000}"/>
    <cellStyle name="표준 5 3 3 2 4 2 8" xfId="15973" xr:uid="{00000000-0005-0000-0000-00005A870000}"/>
    <cellStyle name="표준 5 3 3 2 4 2 9" xfId="20135" xr:uid="{00000000-0005-0000-0000-00005B870000}"/>
    <cellStyle name="표준 5 3 3 2 4 3" xfId="1022" xr:uid="{00000000-0005-0000-0000-00005C870000}"/>
    <cellStyle name="표준 5 3 3 2 4 3 2" xfId="9925" xr:uid="{00000000-0005-0000-0000-00005D870000}"/>
    <cellStyle name="표준 5 3 3 2 4 3 2 2" xfId="14037" xr:uid="{00000000-0005-0000-0000-00005E870000}"/>
    <cellStyle name="표준 5 3 3 2 4 3 2 2 2" xfId="30631" xr:uid="{00000000-0005-0000-0000-00005F870000}"/>
    <cellStyle name="표준 5 3 3 2 4 3 2 2 3" xfId="38842" xr:uid="{00000000-0005-0000-0000-000060870000}"/>
    <cellStyle name="표준 5 3 3 2 4 3 2 2 4" xfId="47035" xr:uid="{00000000-0005-0000-0000-000061870000}"/>
    <cellStyle name="표준 5 3 3 2 4 3 2 3" xfId="18277" xr:uid="{00000000-0005-0000-0000-000062870000}"/>
    <cellStyle name="표준 5 3 3 2 4 3 2 4" xfId="22439" xr:uid="{00000000-0005-0000-0000-000063870000}"/>
    <cellStyle name="표준 5 3 3 2 4 3 2 5" xfId="26535" xr:uid="{00000000-0005-0000-0000-000064870000}"/>
    <cellStyle name="표준 5 3 3 2 4 3 2 6" xfId="34746" xr:uid="{00000000-0005-0000-0000-000065870000}"/>
    <cellStyle name="표준 5 3 3 2 4 3 2 7" xfId="42939" xr:uid="{00000000-0005-0000-0000-000066870000}"/>
    <cellStyle name="표준 5 3 3 2 4 3 3" xfId="7877" xr:uid="{00000000-0005-0000-0000-000067870000}"/>
    <cellStyle name="표준 5 3 3 2 4 3 3 2" xfId="28583" xr:uid="{00000000-0005-0000-0000-000068870000}"/>
    <cellStyle name="표준 5 3 3 2 4 3 3 3" xfId="36794" xr:uid="{00000000-0005-0000-0000-000069870000}"/>
    <cellStyle name="표준 5 3 3 2 4 3 3 4" xfId="44987" xr:uid="{00000000-0005-0000-0000-00006A870000}"/>
    <cellStyle name="표준 5 3 3 2 4 3 4" xfId="11989" xr:uid="{00000000-0005-0000-0000-00006B870000}"/>
    <cellStyle name="표준 5 3 3 2 4 3 5" xfId="16229" xr:uid="{00000000-0005-0000-0000-00006C870000}"/>
    <cellStyle name="표준 5 3 3 2 4 3 6" xfId="20391" xr:uid="{00000000-0005-0000-0000-00006D870000}"/>
    <cellStyle name="표준 5 3 3 2 4 3 7" xfId="24487" xr:uid="{00000000-0005-0000-0000-00006E870000}"/>
    <cellStyle name="표준 5 3 3 2 4 3 8" xfId="32698" xr:uid="{00000000-0005-0000-0000-00006F870000}"/>
    <cellStyle name="표준 5 3 3 2 4 3 9" xfId="40891" xr:uid="{00000000-0005-0000-0000-000070870000}"/>
    <cellStyle name="표준 5 3 3 2 4 4" xfId="1534" xr:uid="{00000000-0005-0000-0000-000071870000}"/>
    <cellStyle name="표준 5 3 3 2 4 4 2" xfId="10437" xr:uid="{00000000-0005-0000-0000-000072870000}"/>
    <cellStyle name="표준 5 3 3 2 4 4 2 2" xfId="14549" xr:uid="{00000000-0005-0000-0000-000073870000}"/>
    <cellStyle name="표준 5 3 3 2 4 4 2 2 2" xfId="31143" xr:uid="{00000000-0005-0000-0000-000074870000}"/>
    <cellStyle name="표준 5 3 3 2 4 4 2 2 3" xfId="39354" xr:uid="{00000000-0005-0000-0000-000075870000}"/>
    <cellStyle name="표준 5 3 3 2 4 4 2 2 4" xfId="47547" xr:uid="{00000000-0005-0000-0000-000076870000}"/>
    <cellStyle name="표준 5 3 3 2 4 4 2 3" xfId="18789" xr:uid="{00000000-0005-0000-0000-000077870000}"/>
    <cellStyle name="표준 5 3 3 2 4 4 2 4" xfId="22951" xr:uid="{00000000-0005-0000-0000-000078870000}"/>
    <cellStyle name="표준 5 3 3 2 4 4 2 5" xfId="27047" xr:uid="{00000000-0005-0000-0000-000079870000}"/>
    <cellStyle name="표준 5 3 3 2 4 4 2 6" xfId="35258" xr:uid="{00000000-0005-0000-0000-00007A870000}"/>
    <cellStyle name="표준 5 3 3 2 4 4 2 7" xfId="43451" xr:uid="{00000000-0005-0000-0000-00007B870000}"/>
    <cellStyle name="표준 5 3 3 2 4 4 3" xfId="8389" xr:uid="{00000000-0005-0000-0000-00007C870000}"/>
    <cellStyle name="표준 5 3 3 2 4 4 3 2" xfId="29095" xr:uid="{00000000-0005-0000-0000-00007D870000}"/>
    <cellStyle name="표준 5 3 3 2 4 4 3 3" xfId="37306" xr:uid="{00000000-0005-0000-0000-00007E870000}"/>
    <cellStyle name="표준 5 3 3 2 4 4 3 4" xfId="45499" xr:uid="{00000000-0005-0000-0000-00007F870000}"/>
    <cellStyle name="표준 5 3 3 2 4 4 4" xfId="12501" xr:uid="{00000000-0005-0000-0000-000080870000}"/>
    <cellStyle name="표준 5 3 3 2 4 4 5" xfId="16741" xr:uid="{00000000-0005-0000-0000-000081870000}"/>
    <cellStyle name="표준 5 3 3 2 4 4 6" xfId="20903" xr:uid="{00000000-0005-0000-0000-000082870000}"/>
    <cellStyle name="표준 5 3 3 2 4 4 7" xfId="24999" xr:uid="{00000000-0005-0000-0000-000083870000}"/>
    <cellStyle name="표준 5 3 3 2 4 4 8" xfId="33210" xr:uid="{00000000-0005-0000-0000-000084870000}"/>
    <cellStyle name="표준 5 3 3 2 4 4 9" xfId="41403" xr:uid="{00000000-0005-0000-0000-000085870000}"/>
    <cellStyle name="표준 5 3 3 2 4 5" xfId="2046" xr:uid="{00000000-0005-0000-0000-000086870000}"/>
    <cellStyle name="표준 5 3 3 2 4 5 2" xfId="10949" xr:uid="{00000000-0005-0000-0000-000087870000}"/>
    <cellStyle name="표준 5 3 3 2 4 5 2 2" xfId="15061" xr:uid="{00000000-0005-0000-0000-000088870000}"/>
    <cellStyle name="표준 5 3 3 2 4 5 2 2 2" xfId="31655" xr:uid="{00000000-0005-0000-0000-000089870000}"/>
    <cellStyle name="표준 5 3 3 2 4 5 2 2 3" xfId="39866" xr:uid="{00000000-0005-0000-0000-00008A870000}"/>
    <cellStyle name="표준 5 3 3 2 4 5 2 2 4" xfId="48059" xr:uid="{00000000-0005-0000-0000-00008B870000}"/>
    <cellStyle name="표준 5 3 3 2 4 5 2 3" xfId="19301" xr:uid="{00000000-0005-0000-0000-00008C870000}"/>
    <cellStyle name="표준 5 3 3 2 4 5 2 4" xfId="23463" xr:uid="{00000000-0005-0000-0000-00008D870000}"/>
    <cellStyle name="표준 5 3 3 2 4 5 2 5" xfId="27559" xr:uid="{00000000-0005-0000-0000-00008E870000}"/>
    <cellStyle name="표준 5 3 3 2 4 5 2 6" xfId="35770" xr:uid="{00000000-0005-0000-0000-00008F870000}"/>
    <cellStyle name="표준 5 3 3 2 4 5 2 7" xfId="43963" xr:uid="{00000000-0005-0000-0000-000090870000}"/>
    <cellStyle name="표준 5 3 3 2 4 5 3" xfId="8901" xr:uid="{00000000-0005-0000-0000-000091870000}"/>
    <cellStyle name="표준 5 3 3 2 4 5 3 2" xfId="29607" xr:uid="{00000000-0005-0000-0000-000092870000}"/>
    <cellStyle name="표준 5 3 3 2 4 5 3 3" xfId="37818" xr:uid="{00000000-0005-0000-0000-000093870000}"/>
    <cellStyle name="표준 5 3 3 2 4 5 3 4" xfId="46011" xr:uid="{00000000-0005-0000-0000-000094870000}"/>
    <cellStyle name="표준 5 3 3 2 4 5 4" xfId="13013" xr:uid="{00000000-0005-0000-0000-000095870000}"/>
    <cellStyle name="표준 5 3 3 2 4 5 5" xfId="17253" xr:uid="{00000000-0005-0000-0000-000096870000}"/>
    <cellStyle name="표준 5 3 3 2 4 5 6" xfId="21415" xr:uid="{00000000-0005-0000-0000-000097870000}"/>
    <cellStyle name="표준 5 3 3 2 4 5 7" xfId="25511" xr:uid="{00000000-0005-0000-0000-000098870000}"/>
    <cellStyle name="표준 5 3 3 2 4 5 8" xfId="33722" xr:uid="{00000000-0005-0000-0000-000099870000}"/>
    <cellStyle name="표준 5 3 3 2 4 5 9" xfId="41915" xr:uid="{00000000-0005-0000-0000-00009A870000}"/>
    <cellStyle name="표준 5 3 3 2 4 6" xfId="9413" xr:uid="{00000000-0005-0000-0000-00009B870000}"/>
    <cellStyle name="표준 5 3 3 2 4 6 2" xfId="13525" xr:uid="{00000000-0005-0000-0000-00009C870000}"/>
    <cellStyle name="표준 5 3 3 2 4 6 2 2" xfId="30119" xr:uid="{00000000-0005-0000-0000-00009D870000}"/>
    <cellStyle name="표준 5 3 3 2 4 6 2 3" xfId="38330" xr:uid="{00000000-0005-0000-0000-00009E870000}"/>
    <cellStyle name="표준 5 3 3 2 4 6 2 4" xfId="46523" xr:uid="{00000000-0005-0000-0000-00009F870000}"/>
    <cellStyle name="표준 5 3 3 2 4 6 3" xfId="17765" xr:uid="{00000000-0005-0000-0000-0000A0870000}"/>
    <cellStyle name="표준 5 3 3 2 4 6 4" xfId="21927" xr:uid="{00000000-0005-0000-0000-0000A1870000}"/>
    <cellStyle name="표준 5 3 3 2 4 6 5" xfId="26023" xr:uid="{00000000-0005-0000-0000-0000A2870000}"/>
    <cellStyle name="표준 5 3 3 2 4 6 6" xfId="34234" xr:uid="{00000000-0005-0000-0000-0000A3870000}"/>
    <cellStyle name="표준 5 3 3 2 4 6 7" xfId="42427" xr:uid="{00000000-0005-0000-0000-0000A4870000}"/>
    <cellStyle name="표준 5 3 3 2 4 7" xfId="7365" xr:uid="{00000000-0005-0000-0000-0000A5870000}"/>
    <cellStyle name="표준 5 3 3 2 4 7 2" xfId="28071" xr:uid="{00000000-0005-0000-0000-0000A6870000}"/>
    <cellStyle name="표준 5 3 3 2 4 7 3" xfId="36282" xr:uid="{00000000-0005-0000-0000-0000A7870000}"/>
    <cellStyle name="표준 5 3 3 2 4 7 4" xfId="44475" xr:uid="{00000000-0005-0000-0000-0000A8870000}"/>
    <cellStyle name="표준 5 3 3 2 4 8" xfId="11477" xr:uid="{00000000-0005-0000-0000-0000A9870000}"/>
    <cellStyle name="표준 5 3 3 2 4 9" xfId="15717" xr:uid="{00000000-0005-0000-0000-0000AA870000}"/>
    <cellStyle name="표준 5 3 3 2 5" xfId="638" xr:uid="{00000000-0005-0000-0000-0000AB870000}"/>
    <cellStyle name="표준 5 3 3 2 5 10" xfId="24103" xr:uid="{00000000-0005-0000-0000-0000AC870000}"/>
    <cellStyle name="표준 5 3 3 2 5 11" xfId="32314" xr:uid="{00000000-0005-0000-0000-0000AD870000}"/>
    <cellStyle name="표준 5 3 3 2 5 12" xfId="40507" xr:uid="{00000000-0005-0000-0000-0000AE870000}"/>
    <cellStyle name="표준 5 3 3 2 5 2" xfId="1150" xr:uid="{00000000-0005-0000-0000-0000AF870000}"/>
    <cellStyle name="표준 5 3 3 2 5 2 2" xfId="10053" xr:uid="{00000000-0005-0000-0000-0000B0870000}"/>
    <cellStyle name="표준 5 3 3 2 5 2 2 2" xfId="14165" xr:uid="{00000000-0005-0000-0000-0000B1870000}"/>
    <cellStyle name="표준 5 3 3 2 5 2 2 2 2" xfId="30759" xr:uid="{00000000-0005-0000-0000-0000B2870000}"/>
    <cellStyle name="표준 5 3 3 2 5 2 2 2 3" xfId="38970" xr:uid="{00000000-0005-0000-0000-0000B3870000}"/>
    <cellStyle name="표준 5 3 3 2 5 2 2 2 4" xfId="47163" xr:uid="{00000000-0005-0000-0000-0000B4870000}"/>
    <cellStyle name="표준 5 3 3 2 5 2 2 3" xfId="18405" xr:uid="{00000000-0005-0000-0000-0000B5870000}"/>
    <cellStyle name="표준 5 3 3 2 5 2 2 4" xfId="22567" xr:uid="{00000000-0005-0000-0000-0000B6870000}"/>
    <cellStyle name="표준 5 3 3 2 5 2 2 5" xfId="26663" xr:uid="{00000000-0005-0000-0000-0000B7870000}"/>
    <cellStyle name="표준 5 3 3 2 5 2 2 6" xfId="34874" xr:uid="{00000000-0005-0000-0000-0000B8870000}"/>
    <cellStyle name="표준 5 3 3 2 5 2 2 7" xfId="43067" xr:uid="{00000000-0005-0000-0000-0000B9870000}"/>
    <cellStyle name="표준 5 3 3 2 5 2 3" xfId="8005" xr:uid="{00000000-0005-0000-0000-0000BA870000}"/>
    <cellStyle name="표준 5 3 3 2 5 2 3 2" xfId="28711" xr:uid="{00000000-0005-0000-0000-0000BB870000}"/>
    <cellStyle name="표준 5 3 3 2 5 2 3 3" xfId="36922" xr:uid="{00000000-0005-0000-0000-0000BC870000}"/>
    <cellStyle name="표준 5 3 3 2 5 2 3 4" xfId="45115" xr:uid="{00000000-0005-0000-0000-0000BD870000}"/>
    <cellStyle name="표준 5 3 3 2 5 2 4" xfId="12117" xr:uid="{00000000-0005-0000-0000-0000BE870000}"/>
    <cellStyle name="표준 5 3 3 2 5 2 5" xfId="16357" xr:uid="{00000000-0005-0000-0000-0000BF870000}"/>
    <cellStyle name="표준 5 3 3 2 5 2 6" xfId="20519" xr:uid="{00000000-0005-0000-0000-0000C0870000}"/>
    <cellStyle name="표준 5 3 3 2 5 2 7" xfId="24615" xr:uid="{00000000-0005-0000-0000-0000C1870000}"/>
    <cellStyle name="표준 5 3 3 2 5 2 8" xfId="32826" xr:uid="{00000000-0005-0000-0000-0000C2870000}"/>
    <cellStyle name="표준 5 3 3 2 5 2 9" xfId="41019" xr:uid="{00000000-0005-0000-0000-0000C3870000}"/>
    <cellStyle name="표준 5 3 3 2 5 3" xfId="1662" xr:uid="{00000000-0005-0000-0000-0000C4870000}"/>
    <cellStyle name="표준 5 3 3 2 5 3 2" xfId="10565" xr:uid="{00000000-0005-0000-0000-0000C5870000}"/>
    <cellStyle name="표준 5 3 3 2 5 3 2 2" xfId="14677" xr:uid="{00000000-0005-0000-0000-0000C6870000}"/>
    <cellStyle name="표준 5 3 3 2 5 3 2 2 2" xfId="31271" xr:uid="{00000000-0005-0000-0000-0000C7870000}"/>
    <cellStyle name="표준 5 3 3 2 5 3 2 2 3" xfId="39482" xr:uid="{00000000-0005-0000-0000-0000C8870000}"/>
    <cellStyle name="표준 5 3 3 2 5 3 2 2 4" xfId="47675" xr:uid="{00000000-0005-0000-0000-0000C9870000}"/>
    <cellStyle name="표준 5 3 3 2 5 3 2 3" xfId="18917" xr:uid="{00000000-0005-0000-0000-0000CA870000}"/>
    <cellStyle name="표준 5 3 3 2 5 3 2 4" xfId="23079" xr:uid="{00000000-0005-0000-0000-0000CB870000}"/>
    <cellStyle name="표준 5 3 3 2 5 3 2 5" xfId="27175" xr:uid="{00000000-0005-0000-0000-0000CC870000}"/>
    <cellStyle name="표준 5 3 3 2 5 3 2 6" xfId="35386" xr:uid="{00000000-0005-0000-0000-0000CD870000}"/>
    <cellStyle name="표준 5 3 3 2 5 3 2 7" xfId="43579" xr:uid="{00000000-0005-0000-0000-0000CE870000}"/>
    <cellStyle name="표준 5 3 3 2 5 3 3" xfId="8517" xr:uid="{00000000-0005-0000-0000-0000CF870000}"/>
    <cellStyle name="표준 5 3 3 2 5 3 3 2" xfId="29223" xr:uid="{00000000-0005-0000-0000-0000D0870000}"/>
    <cellStyle name="표준 5 3 3 2 5 3 3 3" xfId="37434" xr:uid="{00000000-0005-0000-0000-0000D1870000}"/>
    <cellStyle name="표준 5 3 3 2 5 3 3 4" xfId="45627" xr:uid="{00000000-0005-0000-0000-0000D2870000}"/>
    <cellStyle name="표준 5 3 3 2 5 3 4" xfId="12629" xr:uid="{00000000-0005-0000-0000-0000D3870000}"/>
    <cellStyle name="표준 5 3 3 2 5 3 5" xfId="16869" xr:uid="{00000000-0005-0000-0000-0000D4870000}"/>
    <cellStyle name="표준 5 3 3 2 5 3 6" xfId="21031" xr:uid="{00000000-0005-0000-0000-0000D5870000}"/>
    <cellStyle name="표준 5 3 3 2 5 3 7" xfId="25127" xr:uid="{00000000-0005-0000-0000-0000D6870000}"/>
    <cellStyle name="표준 5 3 3 2 5 3 8" xfId="33338" xr:uid="{00000000-0005-0000-0000-0000D7870000}"/>
    <cellStyle name="표준 5 3 3 2 5 3 9" xfId="41531" xr:uid="{00000000-0005-0000-0000-0000D8870000}"/>
    <cellStyle name="표준 5 3 3 2 5 4" xfId="2174" xr:uid="{00000000-0005-0000-0000-0000D9870000}"/>
    <cellStyle name="표준 5 3 3 2 5 4 2" xfId="11077" xr:uid="{00000000-0005-0000-0000-0000DA870000}"/>
    <cellStyle name="표준 5 3 3 2 5 4 2 2" xfId="15189" xr:uid="{00000000-0005-0000-0000-0000DB870000}"/>
    <cellStyle name="표준 5 3 3 2 5 4 2 2 2" xfId="31783" xr:uid="{00000000-0005-0000-0000-0000DC870000}"/>
    <cellStyle name="표준 5 3 3 2 5 4 2 2 3" xfId="39994" xr:uid="{00000000-0005-0000-0000-0000DD870000}"/>
    <cellStyle name="표준 5 3 3 2 5 4 2 2 4" xfId="48187" xr:uid="{00000000-0005-0000-0000-0000DE870000}"/>
    <cellStyle name="표준 5 3 3 2 5 4 2 3" xfId="19429" xr:uid="{00000000-0005-0000-0000-0000DF870000}"/>
    <cellStyle name="표준 5 3 3 2 5 4 2 4" xfId="23591" xr:uid="{00000000-0005-0000-0000-0000E0870000}"/>
    <cellStyle name="표준 5 3 3 2 5 4 2 5" xfId="27687" xr:uid="{00000000-0005-0000-0000-0000E1870000}"/>
    <cellStyle name="표준 5 3 3 2 5 4 2 6" xfId="35898" xr:uid="{00000000-0005-0000-0000-0000E2870000}"/>
    <cellStyle name="표준 5 3 3 2 5 4 2 7" xfId="44091" xr:uid="{00000000-0005-0000-0000-0000E3870000}"/>
    <cellStyle name="표준 5 3 3 2 5 4 3" xfId="9029" xr:uid="{00000000-0005-0000-0000-0000E4870000}"/>
    <cellStyle name="표준 5 3 3 2 5 4 3 2" xfId="29735" xr:uid="{00000000-0005-0000-0000-0000E5870000}"/>
    <cellStyle name="표준 5 3 3 2 5 4 3 3" xfId="37946" xr:uid="{00000000-0005-0000-0000-0000E6870000}"/>
    <cellStyle name="표준 5 3 3 2 5 4 3 4" xfId="46139" xr:uid="{00000000-0005-0000-0000-0000E7870000}"/>
    <cellStyle name="표준 5 3 3 2 5 4 4" xfId="13141" xr:uid="{00000000-0005-0000-0000-0000E8870000}"/>
    <cellStyle name="표준 5 3 3 2 5 4 5" xfId="17381" xr:uid="{00000000-0005-0000-0000-0000E9870000}"/>
    <cellStyle name="표준 5 3 3 2 5 4 6" xfId="21543" xr:uid="{00000000-0005-0000-0000-0000EA870000}"/>
    <cellStyle name="표준 5 3 3 2 5 4 7" xfId="25639" xr:uid="{00000000-0005-0000-0000-0000EB870000}"/>
    <cellStyle name="표준 5 3 3 2 5 4 8" xfId="33850" xr:uid="{00000000-0005-0000-0000-0000EC870000}"/>
    <cellStyle name="표준 5 3 3 2 5 4 9" xfId="42043" xr:uid="{00000000-0005-0000-0000-0000ED870000}"/>
    <cellStyle name="표준 5 3 3 2 5 5" xfId="9541" xr:uid="{00000000-0005-0000-0000-0000EE870000}"/>
    <cellStyle name="표준 5 3 3 2 5 5 2" xfId="13653" xr:uid="{00000000-0005-0000-0000-0000EF870000}"/>
    <cellStyle name="표준 5 3 3 2 5 5 2 2" xfId="30247" xr:uid="{00000000-0005-0000-0000-0000F0870000}"/>
    <cellStyle name="표준 5 3 3 2 5 5 2 3" xfId="38458" xr:uid="{00000000-0005-0000-0000-0000F1870000}"/>
    <cellStyle name="표준 5 3 3 2 5 5 2 4" xfId="46651" xr:uid="{00000000-0005-0000-0000-0000F2870000}"/>
    <cellStyle name="표준 5 3 3 2 5 5 3" xfId="17893" xr:uid="{00000000-0005-0000-0000-0000F3870000}"/>
    <cellStyle name="표준 5 3 3 2 5 5 4" xfId="22055" xr:uid="{00000000-0005-0000-0000-0000F4870000}"/>
    <cellStyle name="표준 5 3 3 2 5 5 5" xfId="26151" xr:uid="{00000000-0005-0000-0000-0000F5870000}"/>
    <cellStyle name="표준 5 3 3 2 5 5 6" xfId="34362" xr:uid="{00000000-0005-0000-0000-0000F6870000}"/>
    <cellStyle name="표준 5 3 3 2 5 5 7" xfId="42555" xr:uid="{00000000-0005-0000-0000-0000F7870000}"/>
    <cellStyle name="표준 5 3 3 2 5 6" xfId="7493" xr:uid="{00000000-0005-0000-0000-0000F8870000}"/>
    <cellStyle name="표준 5 3 3 2 5 6 2" xfId="28199" xr:uid="{00000000-0005-0000-0000-0000F9870000}"/>
    <cellStyle name="표준 5 3 3 2 5 6 3" xfId="36410" xr:uid="{00000000-0005-0000-0000-0000FA870000}"/>
    <cellStyle name="표준 5 3 3 2 5 6 4" xfId="44603" xr:uid="{00000000-0005-0000-0000-0000FB870000}"/>
    <cellStyle name="표준 5 3 3 2 5 7" xfId="11605" xr:uid="{00000000-0005-0000-0000-0000FC870000}"/>
    <cellStyle name="표준 5 3 3 2 5 8" xfId="15845" xr:uid="{00000000-0005-0000-0000-0000FD870000}"/>
    <cellStyle name="표준 5 3 3 2 5 9" xfId="20007" xr:uid="{00000000-0005-0000-0000-0000FE870000}"/>
    <cellStyle name="표준 5 3 3 2 6" xfId="894" xr:uid="{00000000-0005-0000-0000-0000FF870000}"/>
    <cellStyle name="표준 5 3 3 2 6 2" xfId="9797" xr:uid="{00000000-0005-0000-0000-000000880000}"/>
    <cellStyle name="표준 5 3 3 2 6 2 2" xfId="13909" xr:uid="{00000000-0005-0000-0000-000001880000}"/>
    <cellStyle name="표준 5 3 3 2 6 2 2 2" xfId="30503" xr:uid="{00000000-0005-0000-0000-000002880000}"/>
    <cellStyle name="표준 5 3 3 2 6 2 2 3" xfId="38714" xr:uid="{00000000-0005-0000-0000-000003880000}"/>
    <cellStyle name="표준 5 3 3 2 6 2 2 4" xfId="46907" xr:uid="{00000000-0005-0000-0000-000004880000}"/>
    <cellStyle name="표준 5 3 3 2 6 2 3" xfId="18149" xr:uid="{00000000-0005-0000-0000-000005880000}"/>
    <cellStyle name="표준 5 3 3 2 6 2 4" xfId="22311" xr:uid="{00000000-0005-0000-0000-000006880000}"/>
    <cellStyle name="표준 5 3 3 2 6 2 5" xfId="26407" xr:uid="{00000000-0005-0000-0000-000007880000}"/>
    <cellStyle name="표준 5 3 3 2 6 2 6" xfId="34618" xr:uid="{00000000-0005-0000-0000-000008880000}"/>
    <cellStyle name="표준 5 3 3 2 6 2 7" xfId="42811" xr:uid="{00000000-0005-0000-0000-000009880000}"/>
    <cellStyle name="표준 5 3 3 2 6 3" xfId="7749" xr:uid="{00000000-0005-0000-0000-00000A880000}"/>
    <cellStyle name="표준 5 3 3 2 6 3 2" xfId="28455" xr:uid="{00000000-0005-0000-0000-00000B880000}"/>
    <cellStyle name="표준 5 3 3 2 6 3 3" xfId="36666" xr:uid="{00000000-0005-0000-0000-00000C880000}"/>
    <cellStyle name="표준 5 3 3 2 6 3 4" xfId="44859" xr:uid="{00000000-0005-0000-0000-00000D880000}"/>
    <cellStyle name="표준 5 3 3 2 6 4" xfId="11861" xr:uid="{00000000-0005-0000-0000-00000E880000}"/>
    <cellStyle name="표준 5 3 3 2 6 5" xfId="16101" xr:uid="{00000000-0005-0000-0000-00000F880000}"/>
    <cellStyle name="표준 5 3 3 2 6 6" xfId="20263" xr:uid="{00000000-0005-0000-0000-000010880000}"/>
    <cellStyle name="표준 5 3 3 2 6 7" xfId="24359" xr:uid="{00000000-0005-0000-0000-000011880000}"/>
    <cellStyle name="표준 5 3 3 2 6 8" xfId="32570" xr:uid="{00000000-0005-0000-0000-000012880000}"/>
    <cellStyle name="표준 5 3 3 2 6 9" xfId="40763" xr:uid="{00000000-0005-0000-0000-000013880000}"/>
    <cellStyle name="표준 5 3 3 2 7" xfId="1406" xr:uid="{00000000-0005-0000-0000-000014880000}"/>
    <cellStyle name="표준 5 3 3 2 7 2" xfId="10309" xr:uid="{00000000-0005-0000-0000-000015880000}"/>
    <cellStyle name="표준 5 3 3 2 7 2 2" xfId="14421" xr:uid="{00000000-0005-0000-0000-000016880000}"/>
    <cellStyle name="표준 5 3 3 2 7 2 2 2" xfId="31015" xr:uid="{00000000-0005-0000-0000-000017880000}"/>
    <cellStyle name="표준 5 3 3 2 7 2 2 3" xfId="39226" xr:uid="{00000000-0005-0000-0000-000018880000}"/>
    <cellStyle name="표준 5 3 3 2 7 2 2 4" xfId="47419" xr:uid="{00000000-0005-0000-0000-000019880000}"/>
    <cellStyle name="표준 5 3 3 2 7 2 3" xfId="18661" xr:uid="{00000000-0005-0000-0000-00001A880000}"/>
    <cellStyle name="표준 5 3 3 2 7 2 4" xfId="22823" xr:uid="{00000000-0005-0000-0000-00001B880000}"/>
    <cellStyle name="표준 5 3 3 2 7 2 5" xfId="26919" xr:uid="{00000000-0005-0000-0000-00001C880000}"/>
    <cellStyle name="표준 5 3 3 2 7 2 6" xfId="35130" xr:uid="{00000000-0005-0000-0000-00001D880000}"/>
    <cellStyle name="표준 5 3 3 2 7 2 7" xfId="43323" xr:uid="{00000000-0005-0000-0000-00001E880000}"/>
    <cellStyle name="표준 5 3 3 2 7 3" xfId="8261" xr:uid="{00000000-0005-0000-0000-00001F880000}"/>
    <cellStyle name="표준 5 3 3 2 7 3 2" xfId="28967" xr:uid="{00000000-0005-0000-0000-000020880000}"/>
    <cellStyle name="표준 5 3 3 2 7 3 3" xfId="37178" xr:uid="{00000000-0005-0000-0000-000021880000}"/>
    <cellStyle name="표준 5 3 3 2 7 3 4" xfId="45371" xr:uid="{00000000-0005-0000-0000-000022880000}"/>
    <cellStyle name="표준 5 3 3 2 7 4" xfId="12373" xr:uid="{00000000-0005-0000-0000-000023880000}"/>
    <cellStyle name="표준 5 3 3 2 7 5" xfId="16613" xr:uid="{00000000-0005-0000-0000-000024880000}"/>
    <cellStyle name="표준 5 3 3 2 7 6" xfId="20775" xr:uid="{00000000-0005-0000-0000-000025880000}"/>
    <cellStyle name="표준 5 3 3 2 7 7" xfId="24871" xr:uid="{00000000-0005-0000-0000-000026880000}"/>
    <cellStyle name="표준 5 3 3 2 7 8" xfId="33082" xr:uid="{00000000-0005-0000-0000-000027880000}"/>
    <cellStyle name="표준 5 3 3 2 7 9" xfId="41275" xr:uid="{00000000-0005-0000-0000-000028880000}"/>
    <cellStyle name="표준 5 3 3 2 8" xfId="1918" xr:uid="{00000000-0005-0000-0000-000029880000}"/>
    <cellStyle name="표준 5 3 3 2 8 2" xfId="10821" xr:uid="{00000000-0005-0000-0000-00002A880000}"/>
    <cellStyle name="표준 5 3 3 2 8 2 2" xfId="14933" xr:uid="{00000000-0005-0000-0000-00002B880000}"/>
    <cellStyle name="표준 5 3 3 2 8 2 2 2" xfId="31527" xr:uid="{00000000-0005-0000-0000-00002C880000}"/>
    <cellStyle name="표준 5 3 3 2 8 2 2 3" xfId="39738" xr:uid="{00000000-0005-0000-0000-00002D880000}"/>
    <cellStyle name="표준 5 3 3 2 8 2 2 4" xfId="47931" xr:uid="{00000000-0005-0000-0000-00002E880000}"/>
    <cellStyle name="표준 5 3 3 2 8 2 3" xfId="19173" xr:uid="{00000000-0005-0000-0000-00002F880000}"/>
    <cellStyle name="표준 5 3 3 2 8 2 4" xfId="23335" xr:uid="{00000000-0005-0000-0000-000030880000}"/>
    <cellStyle name="표준 5 3 3 2 8 2 5" xfId="27431" xr:uid="{00000000-0005-0000-0000-000031880000}"/>
    <cellStyle name="표준 5 3 3 2 8 2 6" xfId="35642" xr:uid="{00000000-0005-0000-0000-000032880000}"/>
    <cellStyle name="표준 5 3 3 2 8 2 7" xfId="43835" xr:uid="{00000000-0005-0000-0000-000033880000}"/>
    <cellStyle name="표준 5 3 3 2 8 3" xfId="8773" xr:uid="{00000000-0005-0000-0000-000034880000}"/>
    <cellStyle name="표준 5 3 3 2 8 3 2" xfId="29479" xr:uid="{00000000-0005-0000-0000-000035880000}"/>
    <cellStyle name="표준 5 3 3 2 8 3 3" xfId="37690" xr:uid="{00000000-0005-0000-0000-000036880000}"/>
    <cellStyle name="표준 5 3 3 2 8 3 4" xfId="45883" xr:uid="{00000000-0005-0000-0000-000037880000}"/>
    <cellStyle name="표준 5 3 3 2 8 4" xfId="12885" xr:uid="{00000000-0005-0000-0000-000038880000}"/>
    <cellStyle name="표준 5 3 3 2 8 5" xfId="17125" xr:uid="{00000000-0005-0000-0000-000039880000}"/>
    <cellStyle name="표준 5 3 3 2 8 6" xfId="21287" xr:uid="{00000000-0005-0000-0000-00003A880000}"/>
    <cellStyle name="표준 5 3 3 2 8 7" xfId="25383" xr:uid="{00000000-0005-0000-0000-00003B880000}"/>
    <cellStyle name="표준 5 3 3 2 8 8" xfId="33594" xr:uid="{00000000-0005-0000-0000-00003C880000}"/>
    <cellStyle name="표준 5 3 3 2 8 9" xfId="41787" xr:uid="{00000000-0005-0000-0000-00003D880000}"/>
    <cellStyle name="표준 5 3 3 2 9" xfId="6974" xr:uid="{00000000-0005-0000-0000-00003E880000}"/>
    <cellStyle name="표준 5 3 3 2 9 2" xfId="9285" xr:uid="{00000000-0005-0000-0000-00003F880000}"/>
    <cellStyle name="표준 5 3 3 2 9 2 2" xfId="29991" xr:uid="{00000000-0005-0000-0000-000040880000}"/>
    <cellStyle name="표준 5 3 3 2 9 2 3" xfId="38202" xr:uid="{00000000-0005-0000-0000-000041880000}"/>
    <cellStyle name="표준 5 3 3 2 9 2 4" xfId="46395" xr:uid="{00000000-0005-0000-0000-000042880000}"/>
    <cellStyle name="표준 5 3 3 2 9 3" xfId="13397" xr:uid="{00000000-0005-0000-0000-000043880000}"/>
    <cellStyle name="표준 5 3 3 2 9 4" xfId="17637" xr:uid="{00000000-0005-0000-0000-000044880000}"/>
    <cellStyle name="표준 5 3 3 2 9 5" xfId="21799" xr:uid="{00000000-0005-0000-0000-000045880000}"/>
    <cellStyle name="표준 5 3 3 2 9 6" xfId="25895" xr:uid="{00000000-0005-0000-0000-000046880000}"/>
    <cellStyle name="표준 5 3 3 2 9 7" xfId="34106" xr:uid="{00000000-0005-0000-0000-000047880000}"/>
    <cellStyle name="표준 5 3 3 2 9 8" xfId="42299" xr:uid="{00000000-0005-0000-0000-000048880000}"/>
    <cellStyle name="표준 5 3 3 20" xfId="15445" xr:uid="{00000000-0005-0000-0000-000049880000}"/>
    <cellStyle name="표준 5 3 3 21" xfId="15461" xr:uid="{00000000-0005-0000-0000-00004A880000}"/>
    <cellStyle name="표준 5 3 3 22" xfId="15557" xr:uid="{00000000-0005-0000-0000-00004B880000}"/>
    <cellStyle name="표준 5 3 3 23" xfId="15573" xr:uid="{00000000-0005-0000-0000-00004C880000}"/>
    <cellStyle name="표준 5 3 3 24" xfId="19669" xr:uid="{00000000-0005-0000-0000-00004D880000}"/>
    <cellStyle name="표준 5 3 3 25" xfId="19685" xr:uid="{00000000-0005-0000-0000-00004E880000}"/>
    <cellStyle name="표준 5 3 3 26" xfId="19701" xr:uid="{00000000-0005-0000-0000-00004F880000}"/>
    <cellStyle name="표준 5 3 3 27" xfId="19717" xr:uid="{00000000-0005-0000-0000-000050880000}"/>
    <cellStyle name="표준 5 3 3 28" xfId="19730" xr:uid="{00000000-0005-0000-0000-000051880000}"/>
    <cellStyle name="표준 5 3 3 29" xfId="23831" xr:uid="{00000000-0005-0000-0000-000052880000}"/>
    <cellStyle name="표준 5 3 3 3" xfId="301" xr:uid="{00000000-0005-0000-0000-000053880000}"/>
    <cellStyle name="표준 5 3 3 3 10" xfId="7168" xr:uid="{00000000-0005-0000-0000-000054880000}"/>
    <cellStyle name="표준 5 3 3 3 11" xfId="7253" xr:uid="{00000000-0005-0000-0000-000055880000}"/>
    <cellStyle name="표준 5 3 3 3 12" xfId="11365" xr:uid="{00000000-0005-0000-0000-000056880000}"/>
    <cellStyle name="표준 5 3 3 3 13" xfId="15493" xr:uid="{00000000-0005-0000-0000-000057880000}"/>
    <cellStyle name="표준 5 3 3 3 14" xfId="15605" xr:uid="{00000000-0005-0000-0000-000058880000}"/>
    <cellStyle name="표준 5 3 3 3 15" xfId="19767" xr:uid="{00000000-0005-0000-0000-000059880000}"/>
    <cellStyle name="표준 5 3 3 3 16" xfId="23863" xr:uid="{00000000-0005-0000-0000-00005A880000}"/>
    <cellStyle name="표준 5 3 3 3 17" xfId="32074" xr:uid="{00000000-0005-0000-0000-00005B880000}"/>
    <cellStyle name="표준 5 3 3 3 18" xfId="40267" xr:uid="{00000000-0005-0000-0000-00005C880000}"/>
    <cellStyle name="표준 5 3 3 3 19" xfId="49697" xr:uid="{00000000-0005-0000-0000-00005D880000}"/>
    <cellStyle name="표준 5 3 3 3 2" xfId="462" xr:uid="{00000000-0005-0000-0000-00005E880000}"/>
    <cellStyle name="표준 5 3 3 3 2 10" xfId="11429" xr:uid="{00000000-0005-0000-0000-00005F880000}"/>
    <cellStyle name="표준 5 3 3 3 2 11" xfId="15541" xr:uid="{00000000-0005-0000-0000-000060880000}"/>
    <cellStyle name="표준 5 3 3 3 2 12" xfId="15669" xr:uid="{00000000-0005-0000-0000-000061880000}"/>
    <cellStyle name="표준 5 3 3 3 2 13" xfId="19831" xr:uid="{00000000-0005-0000-0000-000062880000}"/>
    <cellStyle name="표준 5 3 3 3 2 14" xfId="23927" xr:uid="{00000000-0005-0000-0000-000063880000}"/>
    <cellStyle name="표준 5 3 3 3 2 15" xfId="32138" xr:uid="{00000000-0005-0000-0000-000064880000}"/>
    <cellStyle name="표준 5 3 3 3 2 16" xfId="40331" xr:uid="{00000000-0005-0000-0000-000065880000}"/>
    <cellStyle name="표준 5 3 3 3 2 2" xfId="590" xr:uid="{00000000-0005-0000-0000-000066880000}"/>
    <cellStyle name="표준 5 3 3 3 2 2 10" xfId="19959" xr:uid="{00000000-0005-0000-0000-000067880000}"/>
    <cellStyle name="표준 5 3 3 3 2 2 11" xfId="24055" xr:uid="{00000000-0005-0000-0000-000068880000}"/>
    <cellStyle name="표준 5 3 3 3 2 2 12" xfId="32266" xr:uid="{00000000-0005-0000-0000-000069880000}"/>
    <cellStyle name="표준 5 3 3 3 2 2 13" xfId="40459" xr:uid="{00000000-0005-0000-0000-00006A880000}"/>
    <cellStyle name="표준 5 3 3 3 2 2 2" xfId="846" xr:uid="{00000000-0005-0000-0000-00006B880000}"/>
    <cellStyle name="표준 5 3 3 3 2 2 2 10" xfId="24311" xr:uid="{00000000-0005-0000-0000-00006C880000}"/>
    <cellStyle name="표준 5 3 3 3 2 2 2 11" xfId="32522" xr:uid="{00000000-0005-0000-0000-00006D880000}"/>
    <cellStyle name="표준 5 3 3 3 2 2 2 12" xfId="40715" xr:uid="{00000000-0005-0000-0000-00006E880000}"/>
    <cellStyle name="표준 5 3 3 3 2 2 2 2" xfId="1358" xr:uid="{00000000-0005-0000-0000-00006F880000}"/>
    <cellStyle name="표준 5 3 3 3 2 2 2 2 2" xfId="10261" xr:uid="{00000000-0005-0000-0000-000070880000}"/>
    <cellStyle name="표준 5 3 3 3 2 2 2 2 2 2" xfId="14373" xr:uid="{00000000-0005-0000-0000-000071880000}"/>
    <cellStyle name="표준 5 3 3 3 2 2 2 2 2 2 2" xfId="30967" xr:uid="{00000000-0005-0000-0000-000072880000}"/>
    <cellStyle name="표준 5 3 3 3 2 2 2 2 2 2 3" xfId="39178" xr:uid="{00000000-0005-0000-0000-000073880000}"/>
    <cellStyle name="표준 5 3 3 3 2 2 2 2 2 2 4" xfId="47371" xr:uid="{00000000-0005-0000-0000-000074880000}"/>
    <cellStyle name="표준 5 3 3 3 2 2 2 2 2 3" xfId="18613" xr:uid="{00000000-0005-0000-0000-000075880000}"/>
    <cellStyle name="표준 5 3 3 3 2 2 2 2 2 4" xfId="22775" xr:uid="{00000000-0005-0000-0000-000076880000}"/>
    <cellStyle name="표준 5 3 3 3 2 2 2 2 2 5" xfId="26871" xr:uid="{00000000-0005-0000-0000-000077880000}"/>
    <cellStyle name="표준 5 3 3 3 2 2 2 2 2 6" xfId="35082" xr:uid="{00000000-0005-0000-0000-000078880000}"/>
    <cellStyle name="표준 5 3 3 3 2 2 2 2 2 7" xfId="43275" xr:uid="{00000000-0005-0000-0000-000079880000}"/>
    <cellStyle name="표준 5 3 3 3 2 2 2 2 3" xfId="8213" xr:uid="{00000000-0005-0000-0000-00007A880000}"/>
    <cellStyle name="표준 5 3 3 3 2 2 2 2 3 2" xfId="28919" xr:uid="{00000000-0005-0000-0000-00007B880000}"/>
    <cellStyle name="표준 5 3 3 3 2 2 2 2 3 3" xfId="37130" xr:uid="{00000000-0005-0000-0000-00007C880000}"/>
    <cellStyle name="표준 5 3 3 3 2 2 2 2 3 4" xfId="45323" xr:uid="{00000000-0005-0000-0000-00007D880000}"/>
    <cellStyle name="표준 5 3 3 3 2 2 2 2 4" xfId="12325" xr:uid="{00000000-0005-0000-0000-00007E880000}"/>
    <cellStyle name="표준 5 3 3 3 2 2 2 2 5" xfId="16565" xr:uid="{00000000-0005-0000-0000-00007F880000}"/>
    <cellStyle name="표준 5 3 3 3 2 2 2 2 6" xfId="20727" xr:uid="{00000000-0005-0000-0000-000080880000}"/>
    <cellStyle name="표준 5 3 3 3 2 2 2 2 7" xfId="24823" xr:uid="{00000000-0005-0000-0000-000081880000}"/>
    <cellStyle name="표준 5 3 3 3 2 2 2 2 8" xfId="33034" xr:uid="{00000000-0005-0000-0000-000082880000}"/>
    <cellStyle name="표준 5 3 3 3 2 2 2 2 9" xfId="41227" xr:uid="{00000000-0005-0000-0000-000083880000}"/>
    <cellStyle name="표준 5 3 3 3 2 2 2 3" xfId="1870" xr:uid="{00000000-0005-0000-0000-000084880000}"/>
    <cellStyle name="표준 5 3 3 3 2 2 2 3 2" xfId="10773" xr:uid="{00000000-0005-0000-0000-000085880000}"/>
    <cellStyle name="표준 5 3 3 3 2 2 2 3 2 2" xfId="14885" xr:uid="{00000000-0005-0000-0000-000086880000}"/>
    <cellStyle name="표준 5 3 3 3 2 2 2 3 2 2 2" xfId="31479" xr:uid="{00000000-0005-0000-0000-000087880000}"/>
    <cellStyle name="표준 5 3 3 3 2 2 2 3 2 2 3" xfId="39690" xr:uid="{00000000-0005-0000-0000-000088880000}"/>
    <cellStyle name="표준 5 3 3 3 2 2 2 3 2 2 4" xfId="47883" xr:uid="{00000000-0005-0000-0000-000089880000}"/>
    <cellStyle name="표준 5 3 3 3 2 2 2 3 2 3" xfId="19125" xr:uid="{00000000-0005-0000-0000-00008A880000}"/>
    <cellStyle name="표준 5 3 3 3 2 2 2 3 2 4" xfId="23287" xr:uid="{00000000-0005-0000-0000-00008B880000}"/>
    <cellStyle name="표준 5 3 3 3 2 2 2 3 2 5" xfId="27383" xr:uid="{00000000-0005-0000-0000-00008C880000}"/>
    <cellStyle name="표준 5 3 3 3 2 2 2 3 2 6" xfId="35594" xr:uid="{00000000-0005-0000-0000-00008D880000}"/>
    <cellStyle name="표준 5 3 3 3 2 2 2 3 2 7" xfId="43787" xr:uid="{00000000-0005-0000-0000-00008E880000}"/>
    <cellStyle name="표준 5 3 3 3 2 2 2 3 3" xfId="8725" xr:uid="{00000000-0005-0000-0000-00008F880000}"/>
    <cellStyle name="표준 5 3 3 3 2 2 2 3 3 2" xfId="29431" xr:uid="{00000000-0005-0000-0000-000090880000}"/>
    <cellStyle name="표준 5 3 3 3 2 2 2 3 3 3" xfId="37642" xr:uid="{00000000-0005-0000-0000-000091880000}"/>
    <cellStyle name="표준 5 3 3 3 2 2 2 3 3 4" xfId="45835" xr:uid="{00000000-0005-0000-0000-000092880000}"/>
    <cellStyle name="표준 5 3 3 3 2 2 2 3 4" xfId="12837" xr:uid="{00000000-0005-0000-0000-000093880000}"/>
    <cellStyle name="표준 5 3 3 3 2 2 2 3 5" xfId="17077" xr:uid="{00000000-0005-0000-0000-000094880000}"/>
    <cellStyle name="표준 5 3 3 3 2 2 2 3 6" xfId="21239" xr:uid="{00000000-0005-0000-0000-000095880000}"/>
    <cellStyle name="표준 5 3 3 3 2 2 2 3 7" xfId="25335" xr:uid="{00000000-0005-0000-0000-000096880000}"/>
    <cellStyle name="표준 5 3 3 3 2 2 2 3 8" xfId="33546" xr:uid="{00000000-0005-0000-0000-000097880000}"/>
    <cellStyle name="표준 5 3 3 3 2 2 2 3 9" xfId="41739" xr:uid="{00000000-0005-0000-0000-000098880000}"/>
    <cellStyle name="표준 5 3 3 3 2 2 2 4" xfId="2382" xr:uid="{00000000-0005-0000-0000-000099880000}"/>
    <cellStyle name="표준 5 3 3 3 2 2 2 4 2" xfId="11285" xr:uid="{00000000-0005-0000-0000-00009A880000}"/>
    <cellStyle name="표준 5 3 3 3 2 2 2 4 2 2" xfId="15397" xr:uid="{00000000-0005-0000-0000-00009B880000}"/>
    <cellStyle name="표준 5 3 3 3 2 2 2 4 2 2 2" xfId="31991" xr:uid="{00000000-0005-0000-0000-00009C880000}"/>
    <cellStyle name="표준 5 3 3 3 2 2 2 4 2 2 3" xfId="40202" xr:uid="{00000000-0005-0000-0000-00009D880000}"/>
    <cellStyle name="표준 5 3 3 3 2 2 2 4 2 2 4" xfId="48395" xr:uid="{00000000-0005-0000-0000-00009E880000}"/>
    <cellStyle name="표준 5 3 3 3 2 2 2 4 2 3" xfId="19637" xr:uid="{00000000-0005-0000-0000-00009F880000}"/>
    <cellStyle name="표준 5 3 3 3 2 2 2 4 2 4" xfId="23799" xr:uid="{00000000-0005-0000-0000-0000A0880000}"/>
    <cellStyle name="표준 5 3 3 3 2 2 2 4 2 5" xfId="27895" xr:uid="{00000000-0005-0000-0000-0000A1880000}"/>
    <cellStyle name="표준 5 3 3 3 2 2 2 4 2 6" xfId="36106" xr:uid="{00000000-0005-0000-0000-0000A2880000}"/>
    <cellStyle name="표준 5 3 3 3 2 2 2 4 2 7" xfId="44299" xr:uid="{00000000-0005-0000-0000-0000A3880000}"/>
    <cellStyle name="표준 5 3 3 3 2 2 2 4 3" xfId="9237" xr:uid="{00000000-0005-0000-0000-0000A4880000}"/>
    <cellStyle name="표준 5 3 3 3 2 2 2 4 3 2" xfId="29943" xr:uid="{00000000-0005-0000-0000-0000A5880000}"/>
    <cellStyle name="표준 5 3 3 3 2 2 2 4 3 3" xfId="38154" xr:uid="{00000000-0005-0000-0000-0000A6880000}"/>
    <cellStyle name="표준 5 3 3 3 2 2 2 4 3 4" xfId="46347" xr:uid="{00000000-0005-0000-0000-0000A7880000}"/>
    <cellStyle name="표준 5 3 3 3 2 2 2 4 4" xfId="13349" xr:uid="{00000000-0005-0000-0000-0000A8880000}"/>
    <cellStyle name="표준 5 3 3 3 2 2 2 4 5" xfId="17589" xr:uid="{00000000-0005-0000-0000-0000A9880000}"/>
    <cellStyle name="표준 5 3 3 3 2 2 2 4 6" xfId="21751" xr:uid="{00000000-0005-0000-0000-0000AA880000}"/>
    <cellStyle name="표준 5 3 3 3 2 2 2 4 7" xfId="25847" xr:uid="{00000000-0005-0000-0000-0000AB880000}"/>
    <cellStyle name="표준 5 3 3 3 2 2 2 4 8" xfId="34058" xr:uid="{00000000-0005-0000-0000-0000AC880000}"/>
    <cellStyle name="표준 5 3 3 3 2 2 2 4 9" xfId="42251" xr:uid="{00000000-0005-0000-0000-0000AD880000}"/>
    <cellStyle name="표준 5 3 3 3 2 2 2 5" xfId="9749" xr:uid="{00000000-0005-0000-0000-0000AE880000}"/>
    <cellStyle name="표준 5 3 3 3 2 2 2 5 2" xfId="13861" xr:uid="{00000000-0005-0000-0000-0000AF880000}"/>
    <cellStyle name="표준 5 3 3 3 2 2 2 5 2 2" xfId="30455" xr:uid="{00000000-0005-0000-0000-0000B0880000}"/>
    <cellStyle name="표준 5 3 3 3 2 2 2 5 2 3" xfId="38666" xr:uid="{00000000-0005-0000-0000-0000B1880000}"/>
    <cellStyle name="표준 5 3 3 3 2 2 2 5 2 4" xfId="46859" xr:uid="{00000000-0005-0000-0000-0000B2880000}"/>
    <cellStyle name="표준 5 3 3 3 2 2 2 5 3" xfId="18101" xr:uid="{00000000-0005-0000-0000-0000B3880000}"/>
    <cellStyle name="표준 5 3 3 3 2 2 2 5 4" xfId="22263" xr:uid="{00000000-0005-0000-0000-0000B4880000}"/>
    <cellStyle name="표준 5 3 3 3 2 2 2 5 5" xfId="26359" xr:uid="{00000000-0005-0000-0000-0000B5880000}"/>
    <cellStyle name="표준 5 3 3 3 2 2 2 5 6" xfId="34570" xr:uid="{00000000-0005-0000-0000-0000B6880000}"/>
    <cellStyle name="표준 5 3 3 3 2 2 2 5 7" xfId="42763" xr:uid="{00000000-0005-0000-0000-0000B7880000}"/>
    <cellStyle name="표준 5 3 3 3 2 2 2 6" xfId="7701" xr:uid="{00000000-0005-0000-0000-0000B8880000}"/>
    <cellStyle name="표준 5 3 3 3 2 2 2 6 2" xfId="28407" xr:uid="{00000000-0005-0000-0000-0000B9880000}"/>
    <cellStyle name="표준 5 3 3 3 2 2 2 6 3" xfId="36618" xr:uid="{00000000-0005-0000-0000-0000BA880000}"/>
    <cellStyle name="표준 5 3 3 3 2 2 2 6 4" xfId="44811" xr:uid="{00000000-0005-0000-0000-0000BB880000}"/>
    <cellStyle name="표준 5 3 3 3 2 2 2 7" xfId="11813" xr:uid="{00000000-0005-0000-0000-0000BC880000}"/>
    <cellStyle name="표준 5 3 3 3 2 2 2 8" xfId="16053" xr:uid="{00000000-0005-0000-0000-0000BD880000}"/>
    <cellStyle name="표준 5 3 3 3 2 2 2 9" xfId="20215" xr:uid="{00000000-0005-0000-0000-0000BE880000}"/>
    <cellStyle name="표준 5 3 3 3 2 2 3" xfId="1102" xr:uid="{00000000-0005-0000-0000-0000BF880000}"/>
    <cellStyle name="표준 5 3 3 3 2 2 3 2" xfId="10005" xr:uid="{00000000-0005-0000-0000-0000C0880000}"/>
    <cellStyle name="표준 5 3 3 3 2 2 3 2 2" xfId="14117" xr:uid="{00000000-0005-0000-0000-0000C1880000}"/>
    <cellStyle name="표준 5 3 3 3 2 2 3 2 2 2" xfId="30711" xr:uid="{00000000-0005-0000-0000-0000C2880000}"/>
    <cellStyle name="표준 5 3 3 3 2 2 3 2 2 3" xfId="38922" xr:uid="{00000000-0005-0000-0000-0000C3880000}"/>
    <cellStyle name="표준 5 3 3 3 2 2 3 2 2 4" xfId="47115" xr:uid="{00000000-0005-0000-0000-0000C4880000}"/>
    <cellStyle name="표준 5 3 3 3 2 2 3 2 3" xfId="18357" xr:uid="{00000000-0005-0000-0000-0000C5880000}"/>
    <cellStyle name="표준 5 3 3 3 2 2 3 2 4" xfId="22519" xr:uid="{00000000-0005-0000-0000-0000C6880000}"/>
    <cellStyle name="표준 5 3 3 3 2 2 3 2 5" xfId="26615" xr:uid="{00000000-0005-0000-0000-0000C7880000}"/>
    <cellStyle name="표준 5 3 3 3 2 2 3 2 6" xfId="34826" xr:uid="{00000000-0005-0000-0000-0000C8880000}"/>
    <cellStyle name="표준 5 3 3 3 2 2 3 2 7" xfId="43019" xr:uid="{00000000-0005-0000-0000-0000C9880000}"/>
    <cellStyle name="표준 5 3 3 3 2 2 3 3" xfId="7957" xr:uid="{00000000-0005-0000-0000-0000CA880000}"/>
    <cellStyle name="표준 5 3 3 3 2 2 3 3 2" xfId="28663" xr:uid="{00000000-0005-0000-0000-0000CB880000}"/>
    <cellStyle name="표준 5 3 3 3 2 2 3 3 3" xfId="36874" xr:uid="{00000000-0005-0000-0000-0000CC880000}"/>
    <cellStyle name="표준 5 3 3 3 2 2 3 3 4" xfId="45067" xr:uid="{00000000-0005-0000-0000-0000CD880000}"/>
    <cellStyle name="표준 5 3 3 3 2 2 3 4" xfId="12069" xr:uid="{00000000-0005-0000-0000-0000CE880000}"/>
    <cellStyle name="표준 5 3 3 3 2 2 3 5" xfId="16309" xr:uid="{00000000-0005-0000-0000-0000CF880000}"/>
    <cellStyle name="표준 5 3 3 3 2 2 3 6" xfId="20471" xr:uid="{00000000-0005-0000-0000-0000D0880000}"/>
    <cellStyle name="표준 5 3 3 3 2 2 3 7" xfId="24567" xr:uid="{00000000-0005-0000-0000-0000D1880000}"/>
    <cellStyle name="표준 5 3 3 3 2 2 3 8" xfId="32778" xr:uid="{00000000-0005-0000-0000-0000D2880000}"/>
    <cellStyle name="표준 5 3 3 3 2 2 3 9" xfId="40971" xr:uid="{00000000-0005-0000-0000-0000D3880000}"/>
    <cellStyle name="표준 5 3 3 3 2 2 4" xfId="1614" xr:uid="{00000000-0005-0000-0000-0000D4880000}"/>
    <cellStyle name="표준 5 3 3 3 2 2 4 2" xfId="10517" xr:uid="{00000000-0005-0000-0000-0000D5880000}"/>
    <cellStyle name="표준 5 3 3 3 2 2 4 2 2" xfId="14629" xr:uid="{00000000-0005-0000-0000-0000D6880000}"/>
    <cellStyle name="표준 5 3 3 3 2 2 4 2 2 2" xfId="31223" xr:uid="{00000000-0005-0000-0000-0000D7880000}"/>
    <cellStyle name="표준 5 3 3 3 2 2 4 2 2 3" xfId="39434" xr:uid="{00000000-0005-0000-0000-0000D8880000}"/>
    <cellStyle name="표준 5 3 3 3 2 2 4 2 2 4" xfId="47627" xr:uid="{00000000-0005-0000-0000-0000D9880000}"/>
    <cellStyle name="표준 5 3 3 3 2 2 4 2 3" xfId="18869" xr:uid="{00000000-0005-0000-0000-0000DA880000}"/>
    <cellStyle name="표준 5 3 3 3 2 2 4 2 4" xfId="23031" xr:uid="{00000000-0005-0000-0000-0000DB880000}"/>
    <cellStyle name="표준 5 3 3 3 2 2 4 2 5" xfId="27127" xr:uid="{00000000-0005-0000-0000-0000DC880000}"/>
    <cellStyle name="표준 5 3 3 3 2 2 4 2 6" xfId="35338" xr:uid="{00000000-0005-0000-0000-0000DD880000}"/>
    <cellStyle name="표준 5 3 3 3 2 2 4 2 7" xfId="43531" xr:uid="{00000000-0005-0000-0000-0000DE880000}"/>
    <cellStyle name="표준 5 3 3 3 2 2 4 3" xfId="8469" xr:uid="{00000000-0005-0000-0000-0000DF880000}"/>
    <cellStyle name="표준 5 3 3 3 2 2 4 3 2" xfId="29175" xr:uid="{00000000-0005-0000-0000-0000E0880000}"/>
    <cellStyle name="표준 5 3 3 3 2 2 4 3 3" xfId="37386" xr:uid="{00000000-0005-0000-0000-0000E1880000}"/>
    <cellStyle name="표준 5 3 3 3 2 2 4 3 4" xfId="45579" xr:uid="{00000000-0005-0000-0000-0000E2880000}"/>
    <cellStyle name="표준 5 3 3 3 2 2 4 4" xfId="12581" xr:uid="{00000000-0005-0000-0000-0000E3880000}"/>
    <cellStyle name="표준 5 3 3 3 2 2 4 5" xfId="16821" xr:uid="{00000000-0005-0000-0000-0000E4880000}"/>
    <cellStyle name="표준 5 3 3 3 2 2 4 6" xfId="20983" xr:uid="{00000000-0005-0000-0000-0000E5880000}"/>
    <cellStyle name="표준 5 3 3 3 2 2 4 7" xfId="25079" xr:uid="{00000000-0005-0000-0000-0000E6880000}"/>
    <cellStyle name="표준 5 3 3 3 2 2 4 8" xfId="33290" xr:uid="{00000000-0005-0000-0000-0000E7880000}"/>
    <cellStyle name="표준 5 3 3 3 2 2 4 9" xfId="41483" xr:uid="{00000000-0005-0000-0000-0000E8880000}"/>
    <cellStyle name="표준 5 3 3 3 2 2 5" xfId="2126" xr:uid="{00000000-0005-0000-0000-0000E9880000}"/>
    <cellStyle name="표준 5 3 3 3 2 2 5 2" xfId="11029" xr:uid="{00000000-0005-0000-0000-0000EA880000}"/>
    <cellStyle name="표준 5 3 3 3 2 2 5 2 2" xfId="15141" xr:uid="{00000000-0005-0000-0000-0000EB880000}"/>
    <cellStyle name="표준 5 3 3 3 2 2 5 2 2 2" xfId="31735" xr:uid="{00000000-0005-0000-0000-0000EC880000}"/>
    <cellStyle name="표준 5 3 3 3 2 2 5 2 2 3" xfId="39946" xr:uid="{00000000-0005-0000-0000-0000ED880000}"/>
    <cellStyle name="표준 5 3 3 3 2 2 5 2 2 4" xfId="48139" xr:uid="{00000000-0005-0000-0000-0000EE880000}"/>
    <cellStyle name="표준 5 3 3 3 2 2 5 2 3" xfId="19381" xr:uid="{00000000-0005-0000-0000-0000EF880000}"/>
    <cellStyle name="표준 5 3 3 3 2 2 5 2 4" xfId="23543" xr:uid="{00000000-0005-0000-0000-0000F0880000}"/>
    <cellStyle name="표준 5 3 3 3 2 2 5 2 5" xfId="27639" xr:uid="{00000000-0005-0000-0000-0000F1880000}"/>
    <cellStyle name="표준 5 3 3 3 2 2 5 2 6" xfId="35850" xr:uid="{00000000-0005-0000-0000-0000F2880000}"/>
    <cellStyle name="표준 5 3 3 3 2 2 5 2 7" xfId="44043" xr:uid="{00000000-0005-0000-0000-0000F3880000}"/>
    <cellStyle name="표준 5 3 3 3 2 2 5 3" xfId="8981" xr:uid="{00000000-0005-0000-0000-0000F4880000}"/>
    <cellStyle name="표준 5 3 3 3 2 2 5 3 2" xfId="29687" xr:uid="{00000000-0005-0000-0000-0000F5880000}"/>
    <cellStyle name="표준 5 3 3 3 2 2 5 3 3" xfId="37898" xr:uid="{00000000-0005-0000-0000-0000F6880000}"/>
    <cellStyle name="표준 5 3 3 3 2 2 5 3 4" xfId="46091" xr:uid="{00000000-0005-0000-0000-0000F7880000}"/>
    <cellStyle name="표준 5 3 3 3 2 2 5 4" xfId="13093" xr:uid="{00000000-0005-0000-0000-0000F8880000}"/>
    <cellStyle name="표준 5 3 3 3 2 2 5 5" xfId="17333" xr:uid="{00000000-0005-0000-0000-0000F9880000}"/>
    <cellStyle name="표준 5 3 3 3 2 2 5 6" xfId="21495" xr:uid="{00000000-0005-0000-0000-0000FA880000}"/>
    <cellStyle name="표준 5 3 3 3 2 2 5 7" xfId="25591" xr:uid="{00000000-0005-0000-0000-0000FB880000}"/>
    <cellStyle name="표준 5 3 3 3 2 2 5 8" xfId="33802" xr:uid="{00000000-0005-0000-0000-0000FC880000}"/>
    <cellStyle name="표준 5 3 3 3 2 2 5 9" xfId="41995" xr:uid="{00000000-0005-0000-0000-0000FD880000}"/>
    <cellStyle name="표준 5 3 3 3 2 2 6" xfId="9493" xr:uid="{00000000-0005-0000-0000-0000FE880000}"/>
    <cellStyle name="표준 5 3 3 3 2 2 6 2" xfId="13605" xr:uid="{00000000-0005-0000-0000-0000FF880000}"/>
    <cellStyle name="표준 5 3 3 3 2 2 6 2 2" xfId="30199" xr:uid="{00000000-0005-0000-0000-000000890000}"/>
    <cellStyle name="표준 5 3 3 3 2 2 6 2 3" xfId="38410" xr:uid="{00000000-0005-0000-0000-000001890000}"/>
    <cellStyle name="표준 5 3 3 3 2 2 6 2 4" xfId="46603" xr:uid="{00000000-0005-0000-0000-000002890000}"/>
    <cellStyle name="표준 5 3 3 3 2 2 6 3" xfId="17845" xr:uid="{00000000-0005-0000-0000-000003890000}"/>
    <cellStyle name="표준 5 3 3 3 2 2 6 4" xfId="22007" xr:uid="{00000000-0005-0000-0000-000004890000}"/>
    <cellStyle name="표준 5 3 3 3 2 2 6 5" xfId="26103" xr:uid="{00000000-0005-0000-0000-000005890000}"/>
    <cellStyle name="표준 5 3 3 3 2 2 6 6" xfId="34314" xr:uid="{00000000-0005-0000-0000-000006890000}"/>
    <cellStyle name="표준 5 3 3 3 2 2 6 7" xfId="42507" xr:uid="{00000000-0005-0000-0000-000007890000}"/>
    <cellStyle name="표준 5 3 3 3 2 2 7" xfId="7445" xr:uid="{00000000-0005-0000-0000-000008890000}"/>
    <cellStyle name="표준 5 3 3 3 2 2 7 2" xfId="28151" xr:uid="{00000000-0005-0000-0000-000009890000}"/>
    <cellStyle name="표준 5 3 3 3 2 2 7 3" xfId="36362" xr:uid="{00000000-0005-0000-0000-00000A890000}"/>
    <cellStyle name="표준 5 3 3 3 2 2 7 4" xfId="44555" xr:uid="{00000000-0005-0000-0000-00000B890000}"/>
    <cellStyle name="표준 5 3 3 3 2 2 8" xfId="11557" xr:uid="{00000000-0005-0000-0000-00000C890000}"/>
    <cellStyle name="표준 5 3 3 3 2 2 9" xfId="15797" xr:uid="{00000000-0005-0000-0000-00000D890000}"/>
    <cellStyle name="표준 5 3 3 3 2 3" xfId="718" xr:uid="{00000000-0005-0000-0000-00000E890000}"/>
    <cellStyle name="표준 5 3 3 3 2 3 10" xfId="24183" xr:uid="{00000000-0005-0000-0000-00000F890000}"/>
    <cellStyle name="표준 5 3 3 3 2 3 11" xfId="32394" xr:uid="{00000000-0005-0000-0000-000010890000}"/>
    <cellStyle name="표준 5 3 3 3 2 3 12" xfId="40587" xr:uid="{00000000-0005-0000-0000-000011890000}"/>
    <cellStyle name="표준 5 3 3 3 2 3 2" xfId="1230" xr:uid="{00000000-0005-0000-0000-000012890000}"/>
    <cellStyle name="표준 5 3 3 3 2 3 2 2" xfId="10133" xr:uid="{00000000-0005-0000-0000-000013890000}"/>
    <cellStyle name="표준 5 3 3 3 2 3 2 2 2" xfId="14245" xr:uid="{00000000-0005-0000-0000-000014890000}"/>
    <cellStyle name="표준 5 3 3 3 2 3 2 2 2 2" xfId="30839" xr:uid="{00000000-0005-0000-0000-000015890000}"/>
    <cellStyle name="표준 5 3 3 3 2 3 2 2 2 3" xfId="39050" xr:uid="{00000000-0005-0000-0000-000016890000}"/>
    <cellStyle name="표준 5 3 3 3 2 3 2 2 2 4" xfId="47243" xr:uid="{00000000-0005-0000-0000-000017890000}"/>
    <cellStyle name="표준 5 3 3 3 2 3 2 2 3" xfId="18485" xr:uid="{00000000-0005-0000-0000-000018890000}"/>
    <cellStyle name="표준 5 3 3 3 2 3 2 2 4" xfId="22647" xr:uid="{00000000-0005-0000-0000-000019890000}"/>
    <cellStyle name="표준 5 3 3 3 2 3 2 2 5" xfId="26743" xr:uid="{00000000-0005-0000-0000-00001A890000}"/>
    <cellStyle name="표준 5 3 3 3 2 3 2 2 6" xfId="34954" xr:uid="{00000000-0005-0000-0000-00001B890000}"/>
    <cellStyle name="표준 5 3 3 3 2 3 2 2 7" xfId="43147" xr:uid="{00000000-0005-0000-0000-00001C890000}"/>
    <cellStyle name="표준 5 3 3 3 2 3 2 3" xfId="8085" xr:uid="{00000000-0005-0000-0000-00001D890000}"/>
    <cellStyle name="표준 5 3 3 3 2 3 2 3 2" xfId="28791" xr:uid="{00000000-0005-0000-0000-00001E890000}"/>
    <cellStyle name="표준 5 3 3 3 2 3 2 3 3" xfId="37002" xr:uid="{00000000-0005-0000-0000-00001F890000}"/>
    <cellStyle name="표준 5 3 3 3 2 3 2 3 4" xfId="45195" xr:uid="{00000000-0005-0000-0000-000020890000}"/>
    <cellStyle name="표준 5 3 3 3 2 3 2 4" xfId="12197" xr:uid="{00000000-0005-0000-0000-000021890000}"/>
    <cellStyle name="표준 5 3 3 3 2 3 2 5" xfId="16437" xr:uid="{00000000-0005-0000-0000-000022890000}"/>
    <cellStyle name="표준 5 3 3 3 2 3 2 6" xfId="20599" xr:uid="{00000000-0005-0000-0000-000023890000}"/>
    <cellStyle name="표준 5 3 3 3 2 3 2 7" xfId="24695" xr:uid="{00000000-0005-0000-0000-000024890000}"/>
    <cellStyle name="표준 5 3 3 3 2 3 2 8" xfId="32906" xr:uid="{00000000-0005-0000-0000-000025890000}"/>
    <cellStyle name="표준 5 3 3 3 2 3 2 9" xfId="41099" xr:uid="{00000000-0005-0000-0000-000026890000}"/>
    <cellStyle name="표준 5 3 3 3 2 3 3" xfId="1742" xr:uid="{00000000-0005-0000-0000-000027890000}"/>
    <cellStyle name="표준 5 3 3 3 2 3 3 2" xfId="10645" xr:uid="{00000000-0005-0000-0000-000028890000}"/>
    <cellStyle name="표준 5 3 3 3 2 3 3 2 2" xfId="14757" xr:uid="{00000000-0005-0000-0000-000029890000}"/>
    <cellStyle name="표준 5 3 3 3 2 3 3 2 2 2" xfId="31351" xr:uid="{00000000-0005-0000-0000-00002A890000}"/>
    <cellStyle name="표준 5 3 3 3 2 3 3 2 2 3" xfId="39562" xr:uid="{00000000-0005-0000-0000-00002B890000}"/>
    <cellStyle name="표준 5 3 3 3 2 3 3 2 2 4" xfId="47755" xr:uid="{00000000-0005-0000-0000-00002C890000}"/>
    <cellStyle name="표준 5 3 3 3 2 3 3 2 3" xfId="18997" xr:uid="{00000000-0005-0000-0000-00002D890000}"/>
    <cellStyle name="표준 5 3 3 3 2 3 3 2 4" xfId="23159" xr:uid="{00000000-0005-0000-0000-00002E890000}"/>
    <cellStyle name="표준 5 3 3 3 2 3 3 2 5" xfId="27255" xr:uid="{00000000-0005-0000-0000-00002F890000}"/>
    <cellStyle name="표준 5 3 3 3 2 3 3 2 6" xfId="35466" xr:uid="{00000000-0005-0000-0000-000030890000}"/>
    <cellStyle name="표준 5 3 3 3 2 3 3 2 7" xfId="43659" xr:uid="{00000000-0005-0000-0000-000031890000}"/>
    <cellStyle name="표준 5 3 3 3 2 3 3 3" xfId="8597" xr:uid="{00000000-0005-0000-0000-000032890000}"/>
    <cellStyle name="표준 5 3 3 3 2 3 3 3 2" xfId="29303" xr:uid="{00000000-0005-0000-0000-000033890000}"/>
    <cellStyle name="표준 5 3 3 3 2 3 3 3 3" xfId="37514" xr:uid="{00000000-0005-0000-0000-000034890000}"/>
    <cellStyle name="표준 5 3 3 3 2 3 3 3 4" xfId="45707" xr:uid="{00000000-0005-0000-0000-000035890000}"/>
    <cellStyle name="표준 5 3 3 3 2 3 3 4" xfId="12709" xr:uid="{00000000-0005-0000-0000-000036890000}"/>
    <cellStyle name="표준 5 3 3 3 2 3 3 5" xfId="16949" xr:uid="{00000000-0005-0000-0000-000037890000}"/>
    <cellStyle name="표준 5 3 3 3 2 3 3 6" xfId="21111" xr:uid="{00000000-0005-0000-0000-000038890000}"/>
    <cellStyle name="표준 5 3 3 3 2 3 3 7" xfId="25207" xr:uid="{00000000-0005-0000-0000-000039890000}"/>
    <cellStyle name="표준 5 3 3 3 2 3 3 8" xfId="33418" xr:uid="{00000000-0005-0000-0000-00003A890000}"/>
    <cellStyle name="표준 5 3 3 3 2 3 3 9" xfId="41611" xr:uid="{00000000-0005-0000-0000-00003B890000}"/>
    <cellStyle name="표준 5 3 3 3 2 3 4" xfId="2254" xr:uid="{00000000-0005-0000-0000-00003C890000}"/>
    <cellStyle name="표준 5 3 3 3 2 3 4 2" xfId="11157" xr:uid="{00000000-0005-0000-0000-00003D890000}"/>
    <cellStyle name="표준 5 3 3 3 2 3 4 2 2" xfId="15269" xr:uid="{00000000-0005-0000-0000-00003E890000}"/>
    <cellStyle name="표준 5 3 3 3 2 3 4 2 2 2" xfId="31863" xr:uid="{00000000-0005-0000-0000-00003F890000}"/>
    <cellStyle name="표준 5 3 3 3 2 3 4 2 2 3" xfId="40074" xr:uid="{00000000-0005-0000-0000-000040890000}"/>
    <cellStyle name="표준 5 3 3 3 2 3 4 2 2 4" xfId="48267" xr:uid="{00000000-0005-0000-0000-000041890000}"/>
    <cellStyle name="표준 5 3 3 3 2 3 4 2 3" xfId="19509" xr:uid="{00000000-0005-0000-0000-000042890000}"/>
    <cellStyle name="표준 5 3 3 3 2 3 4 2 4" xfId="23671" xr:uid="{00000000-0005-0000-0000-000043890000}"/>
    <cellStyle name="표준 5 3 3 3 2 3 4 2 5" xfId="27767" xr:uid="{00000000-0005-0000-0000-000044890000}"/>
    <cellStyle name="표준 5 3 3 3 2 3 4 2 6" xfId="35978" xr:uid="{00000000-0005-0000-0000-000045890000}"/>
    <cellStyle name="표준 5 3 3 3 2 3 4 2 7" xfId="44171" xr:uid="{00000000-0005-0000-0000-000046890000}"/>
    <cellStyle name="표준 5 3 3 3 2 3 4 3" xfId="9109" xr:uid="{00000000-0005-0000-0000-000047890000}"/>
    <cellStyle name="표준 5 3 3 3 2 3 4 3 2" xfId="29815" xr:uid="{00000000-0005-0000-0000-000048890000}"/>
    <cellStyle name="표준 5 3 3 3 2 3 4 3 3" xfId="38026" xr:uid="{00000000-0005-0000-0000-000049890000}"/>
    <cellStyle name="표준 5 3 3 3 2 3 4 3 4" xfId="46219" xr:uid="{00000000-0005-0000-0000-00004A890000}"/>
    <cellStyle name="표준 5 3 3 3 2 3 4 4" xfId="13221" xr:uid="{00000000-0005-0000-0000-00004B890000}"/>
    <cellStyle name="표준 5 3 3 3 2 3 4 5" xfId="17461" xr:uid="{00000000-0005-0000-0000-00004C890000}"/>
    <cellStyle name="표준 5 3 3 3 2 3 4 6" xfId="21623" xr:uid="{00000000-0005-0000-0000-00004D890000}"/>
    <cellStyle name="표준 5 3 3 3 2 3 4 7" xfId="25719" xr:uid="{00000000-0005-0000-0000-00004E890000}"/>
    <cellStyle name="표준 5 3 3 3 2 3 4 8" xfId="33930" xr:uid="{00000000-0005-0000-0000-00004F890000}"/>
    <cellStyle name="표준 5 3 3 3 2 3 4 9" xfId="42123" xr:uid="{00000000-0005-0000-0000-000050890000}"/>
    <cellStyle name="표준 5 3 3 3 2 3 5" xfId="9621" xr:uid="{00000000-0005-0000-0000-000051890000}"/>
    <cellStyle name="표준 5 3 3 3 2 3 5 2" xfId="13733" xr:uid="{00000000-0005-0000-0000-000052890000}"/>
    <cellStyle name="표준 5 3 3 3 2 3 5 2 2" xfId="30327" xr:uid="{00000000-0005-0000-0000-000053890000}"/>
    <cellStyle name="표준 5 3 3 3 2 3 5 2 3" xfId="38538" xr:uid="{00000000-0005-0000-0000-000054890000}"/>
    <cellStyle name="표준 5 3 3 3 2 3 5 2 4" xfId="46731" xr:uid="{00000000-0005-0000-0000-000055890000}"/>
    <cellStyle name="표준 5 3 3 3 2 3 5 3" xfId="17973" xr:uid="{00000000-0005-0000-0000-000056890000}"/>
    <cellStyle name="표준 5 3 3 3 2 3 5 4" xfId="22135" xr:uid="{00000000-0005-0000-0000-000057890000}"/>
    <cellStyle name="표준 5 3 3 3 2 3 5 5" xfId="26231" xr:uid="{00000000-0005-0000-0000-000058890000}"/>
    <cellStyle name="표준 5 3 3 3 2 3 5 6" xfId="34442" xr:uid="{00000000-0005-0000-0000-000059890000}"/>
    <cellStyle name="표준 5 3 3 3 2 3 5 7" xfId="42635" xr:uid="{00000000-0005-0000-0000-00005A890000}"/>
    <cellStyle name="표준 5 3 3 3 2 3 6" xfId="7573" xr:uid="{00000000-0005-0000-0000-00005B890000}"/>
    <cellStyle name="표준 5 3 3 3 2 3 6 2" xfId="28279" xr:uid="{00000000-0005-0000-0000-00005C890000}"/>
    <cellStyle name="표준 5 3 3 3 2 3 6 3" xfId="36490" xr:uid="{00000000-0005-0000-0000-00005D890000}"/>
    <cellStyle name="표준 5 3 3 3 2 3 6 4" xfId="44683" xr:uid="{00000000-0005-0000-0000-00005E890000}"/>
    <cellStyle name="표준 5 3 3 3 2 3 7" xfId="11685" xr:uid="{00000000-0005-0000-0000-00005F890000}"/>
    <cellStyle name="표준 5 3 3 3 2 3 8" xfId="15925" xr:uid="{00000000-0005-0000-0000-000060890000}"/>
    <cellStyle name="표준 5 3 3 3 2 3 9" xfId="20087" xr:uid="{00000000-0005-0000-0000-000061890000}"/>
    <cellStyle name="표준 5 3 3 3 2 4" xfId="974" xr:uid="{00000000-0005-0000-0000-000062890000}"/>
    <cellStyle name="표준 5 3 3 3 2 4 2" xfId="9877" xr:uid="{00000000-0005-0000-0000-000063890000}"/>
    <cellStyle name="표준 5 3 3 3 2 4 2 2" xfId="13989" xr:uid="{00000000-0005-0000-0000-000064890000}"/>
    <cellStyle name="표준 5 3 3 3 2 4 2 2 2" xfId="30583" xr:uid="{00000000-0005-0000-0000-000065890000}"/>
    <cellStyle name="표준 5 3 3 3 2 4 2 2 3" xfId="38794" xr:uid="{00000000-0005-0000-0000-000066890000}"/>
    <cellStyle name="표준 5 3 3 3 2 4 2 2 4" xfId="46987" xr:uid="{00000000-0005-0000-0000-000067890000}"/>
    <cellStyle name="표준 5 3 3 3 2 4 2 3" xfId="18229" xr:uid="{00000000-0005-0000-0000-000068890000}"/>
    <cellStyle name="표준 5 3 3 3 2 4 2 4" xfId="22391" xr:uid="{00000000-0005-0000-0000-000069890000}"/>
    <cellStyle name="표준 5 3 3 3 2 4 2 5" xfId="26487" xr:uid="{00000000-0005-0000-0000-00006A890000}"/>
    <cellStyle name="표준 5 3 3 3 2 4 2 6" xfId="34698" xr:uid="{00000000-0005-0000-0000-00006B890000}"/>
    <cellStyle name="표준 5 3 3 3 2 4 2 7" xfId="42891" xr:uid="{00000000-0005-0000-0000-00006C890000}"/>
    <cellStyle name="표준 5 3 3 3 2 4 3" xfId="7829" xr:uid="{00000000-0005-0000-0000-00006D890000}"/>
    <cellStyle name="표준 5 3 3 3 2 4 3 2" xfId="28535" xr:uid="{00000000-0005-0000-0000-00006E890000}"/>
    <cellStyle name="표준 5 3 3 3 2 4 3 3" xfId="36746" xr:uid="{00000000-0005-0000-0000-00006F890000}"/>
    <cellStyle name="표준 5 3 3 3 2 4 3 4" xfId="44939" xr:uid="{00000000-0005-0000-0000-000070890000}"/>
    <cellStyle name="표준 5 3 3 3 2 4 4" xfId="11941" xr:uid="{00000000-0005-0000-0000-000071890000}"/>
    <cellStyle name="표준 5 3 3 3 2 4 5" xfId="16181" xr:uid="{00000000-0005-0000-0000-000072890000}"/>
    <cellStyle name="표준 5 3 3 3 2 4 6" xfId="20343" xr:uid="{00000000-0005-0000-0000-000073890000}"/>
    <cellStyle name="표준 5 3 3 3 2 4 7" xfId="24439" xr:uid="{00000000-0005-0000-0000-000074890000}"/>
    <cellStyle name="표준 5 3 3 3 2 4 8" xfId="32650" xr:uid="{00000000-0005-0000-0000-000075890000}"/>
    <cellStyle name="표준 5 3 3 3 2 4 9" xfId="40843" xr:uid="{00000000-0005-0000-0000-000076890000}"/>
    <cellStyle name="표준 5 3 3 3 2 5" xfId="1486" xr:uid="{00000000-0005-0000-0000-000077890000}"/>
    <cellStyle name="표준 5 3 3 3 2 5 2" xfId="10389" xr:uid="{00000000-0005-0000-0000-000078890000}"/>
    <cellStyle name="표준 5 3 3 3 2 5 2 2" xfId="14501" xr:uid="{00000000-0005-0000-0000-000079890000}"/>
    <cellStyle name="표준 5 3 3 3 2 5 2 2 2" xfId="31095" xr:uid="{00000000-0005-0000-0000-00007A890000}"/>
    <cellStyle name="표준 5 3 3 3 2 5 2 2 3" xfId="39306" xr:uid="{00000000-0005-0000-0000-00007B890000}"/>
    <cellStyle name="표준 5 3 3 3 2 5 2 2 4" xfId="47499" xr:uid="{00000000-0005-0000-0000-00007C890000}"/>
    <cellStyle name="표준 5 3 3 3 2 5 2 3" xfId="18741" xr:uid="{00000000-0005-0000-0000-00007D890000}"/>
    <cellStyle name="표준 5 3 3 3 2 5 2 4" xfId="22903" xr:uid="{00000000-0005-0000-0000-00007E890000}"/>
    <cellStyle name="표준 5 3 3 3 2 5 2 5" xfId="26999" xr:uid="{00000000-0005-0000-0000-00007F890000}"/>
    <cellStyle name="표준 5 3 3 3 2 5 2 6" xfId="35210" xr:uid="{00000000-0005-0000-0000-000080890000}"/>
    <cellStyle name="표준 5 3 3 3 2 5 2 7" xfId="43403" xr:uid="{00000000-0005-0000-0000-000081890000}"/>
    <cellStyle name="표준 5 3 3 3 2 5 3" xfId="8341" xr:uid="{00000000-0005-0000-0000-000082890000}"/>
    <cellStyle name="표준 5 3 3 3 2 5 3 2" xfId="29047" xr:uid="{00000000-0005-0000-0000-000083890000}"/>
    <cellStyle name="표준 5 3 3 3 2 5 3 3" xfId="37258" xr:uid="{00000000-0005-0000-0000-000084890000}"/>
    <cellStyle name="표준 5 3 3 3 2 5 3 4" xfId="45451" xr:uid="{00000000-0005-0000-0000-000085890000}"/>
    <cellStyle name="표준 5 3 3 3 2 5 4" xfId="12453" xr:uid="{00000000-0005-0000-0000-000086890000}"/>
    <cellStyle name="표준 5 3 3 3 2 5 5" xfId="16693" xr:uid="{00000000-0005-0000-0000-000087890000}"/>
    <cellStyle name="표준 5 3 3 3 2 5 6" xfId="20855" xr:uid="{00000000-0005-0000-0000-000088890000}"/>
    <cellStyle name="표준 5 3 3 3 2 5 7" xfId="24951" xr:uid="{00000000-0005-0000-0000-000089890000}"/>
    <cellStyle name="표준 5 3 3 3 2 5 8" xfId="33162" xr:uid="{00000000-0005-0000-0000-00008A890000}"/>
    <cellStyle name="표준 5 3 3 3 2 5 9" xfId="41355" xr:uid="{00000000-0005-0000-0000-00008B890000}"/>
    <cellStyle name="표준 5 3 3 3 2 6" xfId="1998" xr:uid="{00000000-0005-0000-0000-00008C890000}"/>
    <cellStyle name="표준 5 3 3 3 2 6 2" xfId="10901" xr:uid="{00000000-0005-0000-0000-00008D890000}"/>
    <cellStyle name="표준 5 3 3 3 2 6 2 2" xfId="15013" xr:uid="{00000000-0005-0000-0000-00008E890000}"/>
    <cellStyle name="표준 5 3 3 3 2 6 2 2 2" xfId="31607" xr:uid="{00000000-0005-0000-0000-00008F890000}"/>
    <cellStyle name="표준 5 3 3 3 2 6 2 2 3" xfId="39818" xr:uid="{00000000-0005-0000-0000-000090890000}"/>
    <cellStyle name="표준 5 3 3 3 2 6 2 2 4" xfId="48011" xr:uid="{00000000-0005-0000-0000-000091890000}"/>
    <cellStyle name="표준 5 3 3 3 2 6 2 3" xfId="19253" xr:uid="{00000000-0005-0000-0000-000092890000}"/>
    <cellStyle name="표준 5 3 3 3 2 6 2 4" xfId="23415" xr:uid="{00000000-0005-0000-0000-000093890000}"/>
    <cellStyle name="표준 5 3 3 3 2 6 2 5" xfId="27511" xr:uid="{00000000-0005-0000-0000-000094890000}"/>
    <cellStyle name="표준 5 3 3 3 2 6 2 6" xfId="35722" xr:uid="{00000000-0005-0000-0000-000095890000}"/>
    <cellStyle name="표준 5 3 3 3 2 6 2 7" xfId="43915" xr:uid="{00000000-0005-0000-0000-000096890000}"/>
    <cellStyle name="표준 5 3 3 3 2 6 3" xfId="8853" xr:uid="{00000000-0005-0000-0000-000097890000}"/>
    <cellStyle name="표준 5 3 3 3 2 6 3 2" xfId="29559" xr:uid="{00000000-0005-0000-0000-000098890000}"/>
    <cellStyle name="표준 5 3 3 3 2 6 3 3" xfId="37770" xr:uid="{00000000-0005-0000-0000-000099890000}"/>
    <cellStyle name="표준 5 3 3 3 2 6 3 4" xfId="45963" xr:uid="{00000000-0005-0000-0000-00009A890000}"/>
    <cellStyle name="표준 5 3 3 3 2 6 4" xfId="12965" xr:uid="{00000000-0005-0000-0000-00009B890000}"/>
    <cellStyle name="표준 5 3 3 3 2 6 5" xfId="17205" xr:uid="{00000000-0005-0000-0000-00009C890000}"/>
    <cellStyle name="표준 5 3 3 3 2 6 6" xfId="21367" xr:uid="{00000000-0005-0000-0000-00009D890000}"/>
    <cellStyle name="표준 5 3 3 3 2 6 7" xfId="25463" xr:uid="{00000000-0005-0000-0000-00009E890000}"/>
    <cellStyle name="표준 5 3 3 3 2 6 8" xfId="33674" xr:uid="{00000000-0005-0000-0000-00009F890000}"/>
    <cellStyle name="표준 5 3 3 3 2 6 9" xfId="41867" xr:uid="{00000000-0005-0000-0000-0000A0890000}"/>
    <cellStyle name="표준 5 3 3 3 2 7" xfId="7058" xr:uid="{00000000-0005-0000-0000-0000A1890000}"/>
    <cellStyle name="표준 5 3 3 3 2 7 2" xfId="9365" xr:uid="{00000000-0005-0000-0000-0000A2890000}"/>
    <cellStyle name="표준 5 3 3 3 2 7 2 2" xfId="30071" xr:uid="{00000000-0005-0000-0000-0000A3890000}"/>
    <cellStyle name="표준 5 3 3 3 2 7 2 3" xfId="38282" xr:uid="{00000000-0005-0000-0000-0000A4890000}"/>
    <cellStyle name="표준 5 3 3 3 2 7 2 4" xfId="46475" xr:uid="{00000000-0005-0000-0000-0000A5890000}"/>
    <cellStyle name="표준 5 3 3 3 2 7 3" xfId="13477" xr:uid="{00000000-0005-0000-0000-0000A6890000}"/>
    <cellStyle name="표준 5 3 3 3 2 7 4" xfId="17717" xr:uid="{00000000-0005-0000-0000-0000A7890000}"/>
    <cellStyle name="표준 5 3 3 3 2 7 5" xfId="21879" xr:uid="{00000000-0005-0000-0000-0000A8890000}"/>
    <cellStyle name="표준 5 3 3 3 2 7 6" xfId="25975" xr:uid="{00000000-0005-0000-0000-0000A9890000}"/>
    <cellStyle name="표준 5 3 3 3 2 7 7" xfId="34186" xr:uid="{00000000-0005-0000-0000-0000AA890000}"/>
    <cellStyle name="표준 5 3 3 3 2 7 8" xfId="42379" xr:uid="{00000000-0005-0000-0000-0000AB890000}"/>
    <cellStyle name="표준 5 3 3 3 2 8" xfId="7120" xr:uid="{00000000-0005-0000-0000-0000AC890000}"/>
    <cellStyle name="표준 5 3 3 3 2 8 2" xfId="28023" xr:uid="{00000000-0005-0000-0000-0000AD890000}"/>
    <cellStyle name="표준 5 3 3 3 2 8 3" xfId="36234" xr:uid="{00000000-0005-0000-0000-0000AE890000}"/>
    <cellStyle name="표준 5 3 3 3 2 8 4" xfId="44427" xr:uid="{00000000-0005-0000-0000-0000AF890000}"/>
    <cellStyle name="표준 5 3 3 3 2 9" xfId="7317" xr:uid="{00000000-0005-0000-0000-0000B0890000}"/>
    <cellStyle name="표준 5 3 3 3 3" xfId="526" xr:uid="{00000000-0005-0000-0000-0000B1890000}"/>
    <cellStyle name="표준 5 3 3 3 3 10" xfId="19895" xr:uid="{00000000-0005-0000-0000-0000B2890000}"/>
    <cellStyle name="표준 5 3 3 3 3 11" xfId="23991" xr:uid="{00000000-0005-0000-0000-0000B3890000}"/>
    <cellStyle name="표준 5 3 3 3 3 12" xfId="32202" xr:uid="{00000000-0005-0000-0000-0000B4890000}"/>
    <cellStyle name="표준 5 3 3 3 3 13" xfId="40395" xr:uid="{00000000-0005-0000-0000-0000B5890000}"/>
    <cellStyle name="표준 5 3 3 3 3 2" xfId="782" xr:uid="{00000000-0005-0000-0000-0000B6890000}"/>
    <cellStyle name="표준 5 3 3 3 3 2 10" xfId="24247" xr:uid="{00000000-0005-0000-0000-0000B7890000}"/>
    <cellStyle name="표준 5 3 3 3 3 2 11" xfId="32458" xr:uid="{00000000-0005-0000-0000-0000B8890000}"/>
    <cellStyle name="표준 5 3 3 3 3 2 12" xfId="40651" xr:uid="{00000000-0005-0000-0000-0000B9890000}"/>
    <cellStyle name="표준 5 3 3 3 3 2 2" xfId="1294" xr:uid="{00000000-0005-0000-0000-0000BA890000}"/>
    <cellStyle name="표준 5 3 3 3 3 2 2 2" xfId="10197" xr:uid="{00000000-0005-0000-0000-0000BB890000}"/>
    <cellStyle name="표준 5 3 3 3 3 2 2 2 2" xfId="14309" xr:uid="{00000000-0005-0000-0000-0000BC890000}"/>
    <cellStyle name="표준 5 3 3 3 3 2 2 2 2 2" xfId="30903" xr:uid="{00000000-0005-0000-0000-0000BD890000}"/>
    <cellStyle name="표준 5 3 3 3 3 2 2 2 2 3" xfId="39114" xr:uid="{00000000-0005-0000-0000-0000BE890000}"/>
    <cellStyle name="표준 5 3 3 3 3 2 2 2 2 4" xfId="47307" xr:uid="{00000000-0005-0000-0000-0000BF890000}"/>
    <cellStyle name="표준 5 3 3 3 3 2 2 2 3" xfId="18549" xr:uid="{00000000-0005-0000-0000-0000C0890000}"/>
    <cellStyle name="표준 5 3 3 3 3 2 2 2 4" xfId="22711" xr:uid="{00000000-0005-0000-0000-0000C1890000}"/>
    <cellStyle name="표준 5 3 3 3 3 2 2 2 5" xfId="26807" xr:uid="{00000000-0005-0000-0000-0000C2890000}"/>
    <cellStyle name="표준 5 3 3 3 3 2 2 2 6" xfId="35018" xr:uid="{00000000-0005-0000-0000-0000C3890000}"/>
    <cellStyle name="표준 5 3 3 3 3 2 2 2 7" xfId="43211" xr:uid="{00000000-0005-0000-0000-0000C4890000}"/>
    <cellStyle name="표준 5 3 3 3 3 2 2 3" xfId="8149" xr:uid="{00000000-0005-0000-0000-0000C5890000}"/>
    <cellStyle name="표준 5 3 3 3 3 2 2 3 2" xfId="28855" xr:uid="{00000000-0005-0000-0000-0000C6890000}"/>
    <cellStyle name="표준 5 3 3 3 3 2 2 3 3" xfId="37066" xr:uid="{00000000-0005-0000-0000-0000C7890000}"/>
    <cellStyle name="표준 5 3 3 3 3 2 2 3 4" xfId="45259" xr:uid="{00000000-0005-0000-0000-0000C8890000}"/>
    <cellStyle name="표준 5 3 3 3 3 2 2 4" xfId="12261" xr:uid="{00000000-0005-0000-0000-0000C9890000}"/>
    <cellStyle name="표준 5 3 3 3 3 2 2 5" xfId="16501" xr:uid="{00000000-0005-0000-0000-0000CA890000}"/>
    <cellStyle name="표준 5 3 3 3 3 2 2 6" xfId="20663" xr:uid="{00000000-0005-0000-0000-0000CB890000}"/>
    <cellStyle name="표준 5 3 3 3 3 2 2 7" xfId="24759" xr:uid="{00000000-0005-0000-0000-0000CC890000}"/>
    <cellStyle name="표준 5 3 3 3 3 2 2 8" xfId="32970" xr:uid="{00000000-0005-0000-0000-0000CD890000}"/>
    <cellStyle name="표준 5 3 3 3 3 2 2 9" xfId="41163" xr:uid="{00000000-0005-0000-0000-0000CE890000}"/>
    <cellStyle name="표준 5 3 3 3 3 2 3" xfId="1806" xr:uid="{00000000-0005-0000-0000-0000CF890000}"/>
    <cellStyle name="표준 5 3 3 3 3 2 3 2" xfId="10709" xr:uid="{00000000-0005-0000-0000-0000D0890000}"/>
    <cellStyle name="표준 5 3 3 3 3 2 3 2 2" xfId="14821" xr:uid="{00000000-0005-0000-0000-0000D1890000}"/>
    <cellStyle name="표준 5 3 3 3 3 2 3 2 2 2" xfId="31415" xr:uid="{00000000-0005-0000-0000-0000D2890000}"/>
    <cellStyle name="표준 5 3 3 3 3 2 3 2 2 3" xfId="39626" xr:uid="{00000000-0005-0000-0000-0000D3890000}"/>
    <cellStyle name="표준 5 3 3 3 3 2 3 2 2 4" xfId="47819" xr:uid="{00000000-0005-0000-0000-0000D4890000}"/>
    <cellStyle name="표준 5 3 3 3 3 2 3 2 3" xfId="19061" xr:uid="{00000000-0005-0000-0000-0000D5890000}"/>
    <cellStyle name="표준 5 3 3 3 3 2 3 2 4" xfId="23223" xr:uid="{00000000-0005-0000-0000-0000D6890000}"/>
    <cellStyle name="표준 5 3 3 3 3 2 3 2 5" xfId="27319" xr:uid="{00000000-0005-0000-0000-0000D7890000}"/>
    <cellStyle name="표준 5 3 3 3 3 2 3 2 6" xfId="35530" xr:uid="{00000000-0005-0000-0000-0000D8890000}"/>
    <cellStyle name="표준 5 3 3 3 3 2 3 2 7" xfId="43723" xr:uid="{00000000-0005-0000-0000-0000D9890000}"/>
    <cellStyle name="표준 5 3 3 3 3 2 3 3" xfId="8661" xr:uid="{00000000-0005-0000-0000-0000DA890000}"/>
    <cellStyle name="표준 5 3 3 3 3 2 3 3 2" xfId="29367" xr:uid="{00000000-0005-0000-0000-0000DB890000}"/>
    <cellStyle name="표준 5 3 3 3 3 2 3 3 3" xfId="37578" xr:uid="{00000000-0005-0000-0000-0000DC890000}"/>
    <cellStyle name="표준 5 3 3 3 3 2 3 3 4" xfId="45771" xr:uid="{00000000-0005-0000-0000-0000DD890000}"/>
    <cellStyle name="표준 5 3 3 3 3 2 3 4" xfId="12773" xr:uid="{00000000-0005-0000-0000-0000DE890000}"/>
    <cellStyle name="표준 5 3 3 3 3 2 3 5" xfId="17013" xr:uid="{00000000-0005-0000-0000-0000DF890000}"/>
    <cellStyle name="표준 5 3 3 3 3 2 3 6" xfId="21175" xr:uid="{00000000-0005-0000-0000-0000E0890000}"/>
    <cellStyle name="표준 5 3 3 3 3 2 3 7" xfId="25271" xr:uid="{00000000-0005-0000-0000-0000E1890000}"/>
    <cellStyle name="표준 5 3 3 3 3 2 3 8" xfId="33482" xr:uid="{00000000-0005-0000-0000-0000E2890000}"/>
    <cellStyle name="표준 5 3 3 3 3 2 3 9" xfId="41675" xr:uid="{00000000-0005-0000-0000-0000E3890000}"/>
    <cellStyle name="표준 5 3 3 3 3 2 4" xfId="2318" xr:uid="{00000000-0005-0000-0000-0000E4890000}"/>
    <cellStyle name="표준 5 3 3 3 3 2 4 2" xfId="11221" xr:uid="{00000000-0005-0000-0000-0000E5890000}"/>
    <cellStyle name="표준 5 3 3 3 3 2 4 2 2" xfId="15333" xr:uid="{00000000-0005-0000-0000-0000E6890000}"/>
    <cellStyle name="표준 5 3 3 3 3 2 4 2 2 2" xfId="31927" xr:uid="{00000000-0005-0000-0000-0000E7890000}"/>
    <cellStyle name="표준 5 3 3 3 3 2 4 2 2 3" xfId="40138" xr:uid="{00000000-0005-0000-0000-0000E8890000}"/>
    <cellStyle name="표준 5 3 3 3 3 2 4 2 2 4" xfId="48331" xr:uid="{00000000-0005-0000-0000-0000E9890000}"/>
    <cellStyle name="표준 5 3 3 3 3 2 4 2 3" xfId="19573" xr:uid="{00000000-0005-0000-0000-0000EA890000}"/>
    <cellStyle name="표준 5 3 3 3 3 2 4 2 4" xfId="23735" xr:uid="{00000000-0005-0000-0000-0000EB890000}"/>
    <cellStyle name="표준 5 3 3 3 3 2 4 2 5" xfId="27831" xr:uid="{00000000-0005-0000-0000-0000EC890000}"/>
    <cellStyle name="표준 5 3 3 3 3 2 4 2 6" xfId="36042" xr:uid="{00000000-0005-0000-0000-0000ED890000}"/>
    <cellStyle name="표준 5 3 3 3 3 2 4 2 7" xfId="44235" xr:uid="{00000000-0005-0000-0000-0000EE890000}"/>
    <cellStyle name="표준 5 3 3 3 3 2 4 3" xfId="9173" xr:uid="{00000000-0005-0000-0000-0000EF890000}"/>
    <cellStyle name="표준 5 3 3 3 3 2 4 3 2" xfId="29879" xr:uid="{00000000-0005-0000-0000-0000F0890000}"/>
    <cellStyle name="표준 5 3 3 3 3 2 4 3 3" xfId="38090" xr:uid="{00000000-0005-0000-0000-0000F1890000}"/>
    <cellStyle name="표준 5 3 3 3 3 2 4 3 4" xfId="46283" xr:uid="{00000000-0005-0000-0000-0000F2890000}"/>
    <cellStyle name="표준 5 3 3 3 3 2 4 4" xfId="13285" xr:uid="{00000000-0005-0000-0000-0000F3890000}"/>
    <cellStyle name="표준 5 3 3 3 3 2 4 5" xfId="17525" xr:uid="{00000000-0005-0000-0000-0000F4890000}"/>
    <cellStyle name="표준 5 3 3 3 3 2 4 6" xfId="21687" xr:uid="{00000000-0005-0000-0000-0000F5890000}"/>
    <cellStyle name="표준 5 3 3 3 3 2 4 7" xfId="25783" xr:uid="{00000000-0005-0000-0000-0000F6890000}"/>
    <cellStyle name="표준 5 3 3 3 3 2 4 8" xfId="33994" xr:uid="{00000000-0005-0000-0000-0000F7890000}"/>
    <cellStyle name="표준 5 3 3 3 3 2 4 9" xfId="42187" xr:uid="{00000000-0005-0000-0000-0000F8890000}"/>
    <cellStyle name="표준 5 3 3 3 3 2 5" xfId="9685" xr:uid="{00000000-0005-0000-0000-0000F9890000}"/>
    <cellStyle name="표준 5 3 3 3 3 2 5 2" xfId="13797" xr:uid="{00000000-0005-0000-0000-0000FA890000}"/>
    <cellStyle name="표준 5 3 3 3 3 2 5 2 2" xfId="30391" xr:uid="{00000000-0005-0000-0000-0000FB890000}"/>
    <cellStyle name="표준 5 3 3 3 3 2 5 2 3" xfId="38602" xr:uid="{00000000-0005-0000-0000-0000FC890000}"/>
    <cellStyle name="표준 5 3 3 3 3 2 5 2 4" xfId="46795" xr:uid="{00000000-0005-0000-0000-0000FD890000}"/>
    <cellStyle name="표준 5 3 3 3 3 2 5 3" xfId="18037" xr:uid="{00000000-0005-0000-0000-0000FE890000}"/>
    <cellStyle name="표준 5 3 3 3 3 2 5 4" xfId="22199" xr:uid="{00000000-0005-0000-0000-0000FF890000}"/>
    <cellStyle name="표준 5 3 3 3 3 2 5 5" xfId="26295" xr:uid="{00000000-0005-0000-0000-0000008A0000}"/>
    <cellStyle name="표준 5 3 3 3 3 2 5 6" xfId="34506" xr:uid="{00000000-0005-0000-0000-0000018A0000}"/>
    <cellStyle name="표준 5 3 3 3 3 2 5 7" xfId="42699" xr:uid="{00000000-0005-0000-0000-0000028A0000}"/>
    <cellStyle name="표준 5 3 3 3 3 2 6" xfId="7637" xr:uid="{00000000-0005-0000-0000-0000038A0000}"/>
    <cellStyle name="표준 5 3 3 3 3 2 6 2" xfId="28343" xr:uid="{00000000-0005-0000-0000-0000048A0000}"/>
    <cellStyle name="표준 5 3 3 3 3 2 6 3" xfId="36554" xr:uid="{00000000-0005-0000-0000-0000058A0000}"/>
    <cellStyle name="표준 5 3 3 3 3 2 6 4" xfId="44747" xr:uid="{00000000-0005-0000-0000-0000068A0000}"/>
    <cellStyle name="표준 5 3 3 3 3 2 7" xfId="11749" xr:uid="{00000000-0005-0000-0000-0000078A0000}"/>
    <cellStyle name="표준 5 3 3 3 3 2 8" xfId="15989" xr:uid="{00000000-0005-0000-0000-0000088A0000}"/>
    <cellStyle name="표준 5 3 3 3 3 2 9" xfId="20151" xr:uid="{00000000-0005-0000-0000-0000098A0000}"/>
    <cellStyle name="표준 5 3 3 3 3 3" xfId="1038" xr:uid="{00000000-0005-0000-0000-00000A8A0000}"/>
    <cellStyle name="표준 5 3 3 3 3 3 2" xfId="9941" xr:uid="{00000000-0005-0000-0000-00000B8A0000}"/>
    <cellStyle name="표준 5 3 3 3 3 3 2 2" xfId="14053" xr:uid="{00000000-0005-0000-0000-00000C8A0000}"/>
    <cellStyle name="표준 5 3 3 3 3 3 2 2 2" xfId="30647" xr:uid="{00000000-0005-0000-0000-00000D8A0000}"/>
    <cellStyle name="표준 5 3 3 3 3 3 2 2 3" xfId="38858" xr:uid="{00000000-0005-0000-0000-00000E8A0000}"/>
    <cellStyle name="표준 5 3 3 3 3 3 2 2 4" xfId="47051" xr:uid="{00000000-0005-0000-0000-00000F8A0000}"/>
    <cellStyle name="표준 5 3 3 3 3 3 2 3" xfId="18293" xr:uid="{00000000-0005-0000-0000-0000108A0000}"/>
    <cellStyle name="표준 5 3 3 3 3 3 2 4" xfId="22455" xr:uid="{00000000-0005-0000-0000-0000118A0000}"/>
    <cellStyle name="표준 5 3 3 3 3 3 2 5" xfId="26551" xr:uid="{00000000-0005-0000-0000-0000128A0000}"/>
    <cellStyle name="표준 5 3 3 3 3 3 2 6" xfId="34762" xr:uid="{00000000-0005-0000-0000-0000138A0000}"/>
    <cellStyle name="표준 5 3 3 3 3 3 2 7" xfId="42955" xr:uid="{00000000-0005-0000-0000-0000148A0000}"/>
    <cellStyle name="표준 5 3 3 3 3 3 3" xfId="7893" xr:uid="{00000000-0005-0000-0000-0000158A0000}"/>
    <cellStyle name="표준 5 3 3 3 3 3 3 2" xfId="28599" xr:uid="{00000000-0005-0000-0000-0000168A0000}"/>
    <cellStyle name="표준 5 3 3 3 3 3 3 3" xfId="36810" xr:uid="{00000000-0005-0000-0000-0000178A0000}"/>
    <cellStyle name="표준 5 3 3 3 3 3 3 4" xfId="45003" xr:uid="{00000000-0005-0000-0000-0000188A0000}"/>
    <cellStyle name="표준 5 3 3 3 3 3 4" xfId="12005" xr:uid="{00000000-0005-0000-0000-0000198A0000}"/>
    <cellStyle name="표준 5 3 3 3 3 3 5" xfId="16245" xr:uid="{00000000-0005-0000-0000-00001A8A0000}"/>
    <cellStyle name="표준 5 3 3 3 3 3 6" xfId="20407" xr:uid="{00000000-0005-0000-0000-00001B8A0000}"/>
    <cellStyle name="표준 5 3 3 3 3 3 7" xfId="24503" xr:uid="{00000000-0005-0000-0000-00001C8A0000}"/>
    <cellStyle name="표준 5 3 3 3 3 3 8" xfId="32714" xr:uid="{00000000-0005-0000-0000-00001D8A0000}"/>
    <cellStyle name="표준 5 3 3 3 3 3 9" xfId="40907" xr:uid="{00000000-0005-0000-0000-00001E8A0000}"/>
    <cellStyle name="표준 5 3 3 3 3 4" xfId="1550" xr:uid="{00000000-0005-0000-0000-00001F8A0000}"/>
    <cellStyle name="표준 5 3 3 3 3 4 2" xfId="10453" xr:uid="{00000000-0005-0000-0000-0000208A0000}"/>
    <cellStyle name="표준 5 3 3 3 3 4 2 2" xfId="14565" xr:uid="{00000000-0005-0000-0000-0000218A0000}"/>
    <cellStyle name="표준 5 3 3 3 3 4 2 2 2" xfId="31159" xr:uid="{00000000-0005-0000-0000-0000228A0000}"/>
    <cellStyle name="표준 5 3 3 3 3 4 2 2 3" xfId="39370" xr:uid="{00000000-0005-0000-0000-0000238A0000}"/>
    <cellStyle name="표준 5 3 3 3 3 4 2 2 4" xfId="47563" xr:uid="{00000000-0005-0000-0000-0000248A0000}"/>
    <cellStyle name="표준 5 3 3 3 3 4 2 3" xfId="18805" xr:uid="{00000000-0005-0000-0000-0000258A0000}"/>
    <cellStyle name="표준 5 3 3 3 3 4 2 4" xfId="22967" xr:uid="{00000000-0005-0000-0000-0000268A0000}"/>
    <cellStyle name="표준 5 3 3 3 3 4 2 5" xfId="27063" xr:uid="{00000000-0005-0000-0000-0000278A0000}"/>
    <cellStyle name="표준 5 3 3 3 3 4 2 6" xfId="35274" xr:uid="{00000000-0005-0000-0000-0000288A0000}"/>
    <cellStyle name="표준 5 3 3 3 3 4 2 7" xfId="43467" xr:uid="{00000000-0005-0000-0000-0000298A0000}"/>
    <cellStyle name="표준 5 3 3 3 3 4 3" xfId="8405" xr:uid="{00000000-0005-0000-0000-00002A8A0000}"/>
    <cellStyle name="표준 5 3 3 3 3 4 3 2" xfId="29111" xr:uid="{00000000-0005-0000-0000-00002B8A0000}"/>
    <cellStyle name="표준 5 3 3 3 3 4 3 3" xfId="37322" xr:uid="{00000000-0005-0000-0000-00002C8A0000}"/>
    <cellStyle name="표준 5 3 3 3 3 4 3 4" xfId="45515" xr:uid="{00000000-0005-0000-0000-00002D8A0000}"/>
    <cellStyle name="표준 5 3 3 3 3 4 4" xfId="12517" xr:uid="{00000000-0005-0000-0000-00002E8A0000}"/>
    <cellStyle name="표준 5 3 3 3 3 4 5" xfId="16757" xr:uid="{00000000-0005-0000-0000-00002F8A0000}"/>
    <cellStyle name="표준 5 3 3 3 3 4 6" xfId="20919" xr:uid="{00000000-0005-0000-0000-0000308A0000}"/>
    <cellStyle name="표준 5 3 3 3 3 4 7" xfId="25015" xr:uid="{00000000-0005-0000-0000-0000318A0000}"/>
    <cellStyle name="표준 5 3 3 3 3 4 8" xfId="33226" xr:uid="{00000000-0005-0000-0000-0000328A0000}"/>
    <cellStyle name="표준 5 3 3 3 3 4 9" xfId="41419" xr:uid="{00000000-0005-0000-0000-0000338A0000}"/>
    <cellStyle name="표준 5 3 3 3 3 5" xfId="2062" xr:uid="{00000000-0005-0000-0000-0000348A0000}"/>
    <cellStyle name="표준 5 3 3 3 3 5 2" xfId="10965" xr:uid="{00000000-0005-0000-0000-0000358A0000}"/>
    <cellStyle name="표준 5 3 3 3 3 5 2 2" xfId="15077" xr:uid="{00000000-0005-0000-0000-0000368A0000}"/>
    <cellStyle name="표준 5 3 3 3 3 5 2 2 2" xfId="31671" xr:uid="{00000000-0005-0000-0000-0000378A0000}"/>
    <cellStyle name="표준 5 3 3 3 3 5 2 2 3" xfId="39882" xr:uid="{00000000-0005-0000-0000-0000388A0000}"/>
    <cellStyle name="표준 5 3 3 3 3 5 2 2 4" xfId="48075" xr:uid="{00000000-0005-0000-0000-0000398A0000}"/>
    <cellStyle name="표준 5 3 3 3 3 5 2 3" xfId="19317" xr:uid="{00000000-0005-0000-0000-00003A8A0000}"/>
    <cellStyle name="표준 5 3 3 3 3 5 2 4" xfId="23479" xr:uid="{00000000-0005-0000-0000-00003B8A0000}"/>
    <cellStyle name="표준 5 3 3 3 3 5 2 5" xfId="27575" xr:uid="{00000000-0005-0000-0000-00003C8A0000}"/>
    <cellStyle name="표준 5 3 3 3 3 5 2 6" xfId="35786" xr:uid="{00000000-0005-0000-0000-00003D8A0000}"/>
    <cellStyle name="표준 5 3 3 3 3 5 2 7" xfId="43979" xr:uid="{00000000-0005-0000-0000-00003E8A0000}"/>
    <cellStyle name="표준 5 3 3 3 3 5 3" xfId="8917" xr:uid="{00000000-0005-0000-0000-00003F8A0000}"/>
    <cellStyle name="표준 5 3 3 3 3 5 3 2" xfId="29623" xr:uid="{00000000-0005-0000-0000-0000408A0000}"/>
    <cellStyle name="표준 5 3 3 3 3 5 3 3" xfId="37834" xr:uid="{00000000-0005-0000-0000-0000418A0000}"/>
    <cellStyle name="표준 5 3 3 3 3 5 3 4" xfId="46027" xr:uid="{00000000-0005-0000-0000-0000428A0000}"/>
    <cellStyle name="표준 5 3 3 3 3 5 4" xfId="13029" xr:uid="{00000000-0005-0000-0000-0000438A0000}"/>
    <cellStyle name="표준 5 3 3 3 3 5 5" xfId="17269" xr:uid="{00000000-0005-0000-0000-0000448A0000}"/>
    <cellStyle name="표준 5 3 3 3 3 5 6" xfId="21431" xr:uid="{00000000-0005-0000-0000-0000458A0000}"/>
    <cellStyle name="표준 5 3 3 3 3 5 7" xfId="25527" xr:uid="{00000000-0005-0000-0000-0000468A0000}"/>
    <cellStyle name="표준 5 3 3 3 3 5 8" xfId="33738" xr:uid="{00000000-0005-0000-0000-0000478A0000}"/>
    <cellStyle name="표준 5 3 3 3 3 5 9" xfId="41931" xr:uid="{00000000-0005-0000-0000-0000488A0000}"/>
    <cellStyle name="표준 5 3 3 3 3 6" xfId="9429" xr:uid="{00000000-0005-0000-0000-0000498A0000}"/>
    <cellStyle name="표준 5 3 3 3 3 6 2" xfId="13541" xr:uid="{00000000-0005-0000-0000-00004A8A0000}"/>
    <cellStyle name="표준 5 3 3 3 3 6 2 2" xfId="30135" xr:uid="{00000000-0005-0000-0000-00004B8A0000}"/>
    <cellStyle name="표준 5 3 3 3 3 6 2 3" xfId="38346" xr:uid="{00000000-0005-0000-0000-00004C8A0000}"/>
    <cellStyle name="표준 5 3 3 3 3 6 2 4" xfId="46539" xr:uid="{00000000-0005-0000-0000-00004D8A0000}"/>
    <cellStyle name="표준 5 3 3 3 3 6 3" xfId="17781" xr:uid="{00000000-0005-0000-0000-00004E8A0000}"/>
    <cellStyle name="표준 5 3 3 3 3 6 4" xfId="21943" xr:uid="{00000000-0005-0000-0000-00004F8A0000}"/>
    <cellStyle name="표준 5 3 3 3 3 6 5" xfId="26039" xr:uid="{00000000-0005-0000-0000-0000508A0000}"/>
    <cellStyle name="표준 5 3 3 3 3 6 6" xfId="34250" xr:uid="{00000000-0005-0000-0000-0000518A0000}"/>
    <cellStyle name="표준 5 3 3 3 3 6 7" xfId="42443" xr:uid="{00000000-0005-0000-0000-0000528A0000}"/>
    <cellStyle name="표준 5 3 3 3 3 7" xfId="7381" xr:uid="{00000000-0005-0000-0000-0000538A0000}"/>
    <cellStyle name="표준 5 3 3 3 3 7 2" xfId="28087" xr:uid="{00000000-0005-0000-0000-0000548A0000}"/>
    <cellStyle name="표준 5 3 3 3 3 7 3" xfId="36298" xr:uid="{00000000-0005-0000-0000-0000558A0000}"/>
    <cellStyle name="표준 5 3 3 3 3 7 4" xfId="44491" xr:uid="{00000000-0005-0000-0000-0000568A0000}"/>
    <cellStyle name="표준 5 3 3 3 3 8" xfId="11493" xr:uid="{00000000-0005-0000-0000-0000578A0000}"/>
    <cellStyle name="표준 5 3 3 3 3 9" xfId="15733" xr:uid="{00000000-0005-0000-0000-0000588A0000}"/>
    <cellStyle name="표준 5 3 3 3 4" xfId="654" xr:uid="{00000000-0005-0000-0000-0000598A0000}"/>
    <cellStyle name="표준 5 3 3 3 4 10" xfId="24119" xr:uid="{00000000-0005-0000-0000-00005A8A0000}"/>
    <cellStyle name="표준 5 3 3 3 4 11" xfId="32330" xr:uid="{00000000-0005-0000-0000-00005B8A0000}"/>
    <cellStyle name="표준 5 3 3 3 4 12" xfId="40523" xr:uid="{00000000-0005-0000-0000-00005C8A0000}"/>
    <cellStyle name="표준 5 3 3 3 4 2" xfId="1166" xr:uid="{00000000-0005-0000-0000-00005D8A0000}"/>
    <cellStyle name="표준 5 3 3 3 4 2 2" xfId="10069" xr:uid="{00000000-0005-0000-0000-00005E8A0000}"/>
    <cellStyle name="표준 5 3 3 3 4 2 2 2" xfId="14181" xr:uid="{00000000-0005-0000-0000-00005F8A0000}"/>
    <cellStyle name="표준 5 3 3 3 4 2 2 2 2" xfId="30775" xr:uid="{00000000-0005-0000-0000-0000608A0000}"/>
    <cellStyle name="표준 5 3 3 3 4 2 2 2 3" xfId="38986" xr:uid="{00000000-0005-0000-0000-0000618A0000}"/>
    <cellStyle name="표준 5 3 3 3 4 2 2 2 4" xfId="47179" xr:uid="{00000000-0005-0000-0000-0000628A0000}"/>
    <cellStyle name="표준 5 3 3 3 4 2 2 3" xfId="18421" xr:uid="{00000000-0005-0000-0000-0000638A0000}"/>
    <cellStyle name="표준 5 3 3 3 4 2 2 4" xfId="22583" xr:uid="{00000000-0005-0000-0000-0000648A0000}"/>
    <cellStyle name="표준 5 3 3 3 4 2 2 5" xfId="26679" xr:uid="{00000000-0005-0000-0000-0000658A0000}"/>
    <cellStyle name="표준 5 3 3 3 4 2 2 6" xfId="34890" xr:uid="{00000000-0005-0000-0000-0000668A0000}"/>
    <cellStyle name="표준 5 3 3 3 4 2 2 7" xfId="43083" xr:uid="{00000000-0005-0000-0000-0000678A0000}"/>
    <cellStyle name="표준 5 3 3 3 4 2 3" xfId="8021" xr:uid="{00000000-0005-0000-0000-0000688A0000}"/>
    <cellStyle name="표준 5 3 3 3 4 2 3 2" xfId="28727" xr:uid="{00000000-0005-0000-0000-0000698A0000}"/>
    <cellStyle name="표준 5 3 3 3 4 2 3 3" xfId="36938" xr:uid="{00000000-0005-0000-0000-00006A8A0000}"/>
    <cellStyle name="표준 5 3 3 3 4 2 3 4" xfId="45131" xr:uid="{00000000-0005-0000-0000-00006B8A0000}"/>
    <cellStyle name="표준 5 3 3 3 4 2 4" xfId="12133" xr:uid="{00000000-0005-0000-0000-00006C8A0000}"/>
    <cellStyle name="표준 5 3 3 3 4 2 5" xfId="16373" xr:uid="{00000000-0005-0000-0000-00006D8A0000}"/>
    <cellStyle name="표준 5 3 3 3 4 2 6" xfId="20535" xr:uid="{00000000-0005-0000-0000-00006E8A0000}"/>
    <cellStyle name="표준 5 3 3 3 4 2 7" xfId="24631" xr:uid="{00000000-0005-0000-0000-00006F8A0000}"/>
    <cellStyle name="표준 5 3 3 3 4 2 8" xfId="32842" xr:uid="{00000000-0005-0000-0000-0000708A0000}"/>
    <cellStyle name="표준 5 3 3 3 4 2 9" xfId="41035" xr:uid="{00000000-0005-0000-0000-0000718A0000}"/>
    <cellStyle name="표준 5 3 3 3 4 3" xfId="1678" xr:uid="{00000000-0005-0000-0000-0000728A0000}"/>
    <cellStyle name="표준 5 3 3 3 4 3 2" xfId="10581" xr:uid="{00000000-0005-0000-0000-0000738A0000}"/>
    <cellStyle name="표준 5 3 3 3 4 3 2 2" xfId="14693" xr:uid="{00000000-0005-0000-0000-0000748A0000}"/>
    <cellStyle name="표준 5 3 3 3 4 3 2 2 2" xfId="31287" xr:uid="{00000000-0005-0000-0000-0000758A0000}"/>
    <cellStyle name="표준 5 3 3 3 4 3 2 2 3" xfId="39498" xr:uid="{00000000-0005-0000-0000-0000768A0000}"/>
    <cellStyle name="표준 5 3 3 3 4 3 2 2 4" xfId="47691" xr:uid="{00000000-0005-0000-0000-0000778A0000}"/>
    <cellStyle name="표준 5 3 3 3 4 3 2 3" xfId="18933" xr:uid="{00000000-0005-0000-0000-0000788A0000}"/>
    <cellStyle name="표준 5 3 3 3 4 3 2 4" xfId="23095" xr:uid="{00000000-0005-0000-0000-0000798A0000}"/>
    <cellStyle name="표준 5 3 3 3 4 3 2 5" xfId="27191" xr:uid="{00000000-0005-0000-0000-00007A8A0000}"/>
    <cellStyle name="표준 5 3 3 3 4 3 2 6" xfId="35402" xr:uid="{00000000-0005-0000-0000-00007B8A0000}"/>
    <cellStyle name="표준 5 3 3 3 4 3 2 7" xfId="43595" xr:uid="{00000000-0005-0000-0000-00007C8A0000}"/>
    <cellStyle name="표준 5 3 3 3 4 3 3" xfId="8533" xr:uid="{00000000-0005-0000-0000-00007D8A0000}"/>
    <cellStyle name="표준 5 3 3 3 4 3 3 2" xfId="29239" xr:uid="{00000000-0005-0000-0000-00007E8A0000}"/>
    <cellStyle name="표준 5 3 3 3 4 3 3 3" xfId="37450" xr:uid="{00000000-0005-0000-0000-00007F8A0000}"/>
    <cellStyle name="표준 5 3 3 3 4 3 3 4" xfId="45643" xr:uid="{00000000-0005-0000-0000-0000808A0000}"/>
    <cellStyle name="표준 5 3 3 3 4 3 4" xfId="12645" xr:uid="{00000000-0005-0000-0000-0000818A0000}"/>
    <cellStyle name="표준 5 3 3 3 4 3 5" xfId="16885" xr:uid="{00000000-0005-0000-0000-0000828A0000}"/>
    <cellStyle name="표준 5 3 3 3 4 3 6" xfId="21047" xr:uid="{00000000-0005-0000-0000-0000838A0000}"/>
    <cellStyle name="표준 5 3 3 3 4 3 7" xfId="25143" xr:uid="{00000000-0005-0000-0000-0000848A0000}"/>
    <cellStyle name="표준 5 3 3 3 4 3 8" xfId="33354" xr:uid="{00000000-0005-0000-0000-0000858A0000}"/>
    <cellStyle name="표준 5 3 3 3 4 3 9" xfId="41547" xr:uid="{00000000-0005-0000-0000-0000868A0000}"/>
    <cellStyle name="표준 5 3 3 3 4 4" xfId="2190" xr:uid="{00000000-0005-0000-0000-0000878A0000}"/>
    <cellStyle name="표준 5 3 3 3 4 4 2" xfId="11093" xr:uid="{00000000-0005-0000-0000-0000888A0000}"/>
    <cellStyle name="표준 5 3 3 3 4 4 2 2" xfId="15205" xr:uid="{00000000-0005-0000-0000-0000898A0000}"/>
    <cellStyle name="표준 5 3 3 3 4 4 2 2 2" xfId="31799" xr:uid="{00000000-0005-0000-0000-00008A8A0000}"/>
    <cellStyle name="표준 5 3 3 3 4 4 2 2 3" xfId="40010" xr:uid="{00000000-0005-0000-0000-00008B8A0000}"/>
    <cellStyle name="표준 5 3 3 3 4 4 2 2 4" xfId="48203" xr:uid="{00000000-0005-0000-0000-00008C8A0000}"/>
    <cellStyle name="표준 5 3 3 3 4 4 2 3" xfId="19445" xr:uid="{00000000-0005-0000-0000-00008D8A0000}"/>
    <cellStyle name="표준 5 3 3 3 4 4 2 4" xfId="23607" xr:uid="{00000000-0005-0000-0000-00008E8A0000}"/>
    <cellStyle name="표준 5 3 3 3 4 4 2 5" xfId="27703" xr:uid="{00000000-0005-0000-0000-00008F8A0000}"/>
    <cellStyle name="표준 5 3 3 3 4 4 2 6" xfId="35914" xr:uid="{00000000-0005-0000-0000-0000908A0000}"/>
    <cellStyle name="표준 5 3 3 3 4 4 2 7" xfId="44107" xr:uid="{00000000-0005-0000-0000-0000918A0000}"/>
    <cellStyle name="표준 5 3 3 3 4 4 3" xfId="9045" xr:uid="{00000000-0005-0000-0000-0000928A0000}"/>
    <cellStyle name="표준 5 3 3 3 4 4 3 2" xfId="29751" xr:uid="{00000000-0005-0000-0000-0000938A0000}"/>
    <cellStyle name="표준 5 3 3 3 4 4 3 3" xfId="37962" xr:uid="{00000000-0005-0000-0000-0000948A0000}"/>
    <cellStyle name="표준 5 3 3 3 4 4 3 4" xfId="46155" xr:uid="{00000000-0005-0000-0000-0000958A0000}"/>
    <cellStyle name="표준 5 3 3 3 4 4 4" xfId="13157" xr:uid="{00000000-0005-0000-0000-0000968A0000}"/>
    <cellStyle name="표준 5 3 3 3 4 4 5" xfId="17397" xr:uid="{00000000-0005-0000-0000-0000978A0000}"/>
    <cellStyle name="표준 5 3 3 3 4 4 6" xfId="21559" xr:uid="{00000000-0005-0000-0000-0000988A0000}"/>
    <cellStyle name="표준 5 3 3 3 4 4 7" xfId="25655" xr:uid="{00000000-0005-0000-0000-0000998A0000}"/>
    <cellStyle name="표준 5 3 3 3 4 4 8" xfId="33866" xr:uid="{00000000-0005-0000-0000-00009A8A0000}"/>
    <cellStyle name="표준 5 3 3 3 4 4 9" xfId="42059" xr:uid="{00000000-0005-0000-0000-00009B8A0000}"/>
    <cellStyle name="표준 5 3 3 3 4 5" xfId="9557" xr:uid="{00000000-0005-0000-0000-00009C8A0000}"/>
    <cellStyle name="표준 5 3 3 3 4 5 2" xfId="13669" xr:uid="{00000000-0005-0000-0000-00009D8A0000}"/>
    <cellStyle name="표준 5 3 3 3 4 5 2 2" xfId="30263" xr:uid="{00000000-0005-0000-0000-00009E8A0000}"/>
    <cellStyle name="표준 5 3 3 3 4 5 2 3" xfId="38474" xr:uid="{00000000-0005-0000-0000-00009F8A0000}"/>
    <cellStyle name="표준 5 3 3 3 4 5 2 4" xfId="46667" xr:uid="{00000000-0005-0000-0000-0000A08A0000}"/>
    <cellStyle name="표준 5 3 3 3 4 5 3" xfId="17909" xr:uid="{00000000-0005-0000-0000-0000A18A0000}"/>
    <cellStyle name="표준 5 3 3 3 4 5 4" xfId="22071" xr:uid="{00000000-0005-0000-0000-0000A28A0000}"/>
    <cellStyle name="표준 5 3 3 3 4 5 5" xfId="26167" xr:uid="{00000000-0005-0000-0000-0000A38A0000}"/>
    <cellStyle name="표준 5 3 3 3 4 5 6" xfId="34378" xr:uid="{00000000-0005-0000-0000-0000A48A0000}"/>
    <cellStyle name="표준 5 3 3 3 4 5 7" xfId="42571" xr:uid="{00000000-0005-0000-0000-0000A58A0000}"/>
    <cellStyle name="표준 5 3 3 3 4 6" xfId="7509" xr:uid="{00000000-0005-0000-0000-0000A68A0000}"/>
    <cellStyle name="표준 5 3 3 3 4 6 2" xfId="28215" xr:uid="{00000000-0005-0000-0000-0000A78A0000}"/>
    <cellStyle name="표준 5 3 3 3 4 6 3" xfId="36426" xr:uid="{00000000-0005-0000-0000-0000A88A0000}"/>
    <cellStyle name="표준 5 3 3 3 4 6 4" xfId="44619" xr:uid="{00000000-0005-0000-0000-0000A98A0000}"/>
    <cellStyle name="표준 5 3 3 3 4 7" xfId="11621" xr:uid="{00000000-0005-0000-0000-0000AA8A0000}"/>
    <cellStyle name="표준 5 3 3 3 4 8" xfId="15861" xr:uid="{00000000-0005-0000-0000-0000AB8A0000}"/>
    <cellStyle name="표준 5 3 3 3 4 9" xfId="20023" xr:uid="{00000000-0005-0000-0000-0000AC8A0000}"/>
    <cellStyle name="표준 5 3 3 3 5" xfId="910" xr:uid="{00000000-0005-0000-0000-0000AD8A0000}"/>
    <cellStyle name="표준 5 3 3 3 5 2" xfId="9813" xr:uid="{00000000-0005-0000-0000-0000AE8A0000}"/>
    <cellStyle name="표준 5 3 3 3 5 2 2" xfId="13925" xr:uid="{00000000-0005-0000-0000-0000AF8A0000}"/>
    <cellStyle name="표준 5 3 3 3 5 2 2 2" xfId="30519" xr:uid="{00000000-0005-0000-0000-0000B08A0000}"/>
    <cellStyle name="표준 5 3 3 3 5 2 2 3" xfId="38730" xr:uid="{00000000-0005-0000-0000-0000B18A0000}"/>
    <cellStyle name="표준 5 3 3 3 5 2 2 4" xfId="46923" xr:uid="{00000000-0005-0000-0000-0000B28A0000}"/>
    <cellStyle name="표준 5 3 3 3 5 2 3" xfId="18165" xr:uid="{00000000-0005-0000-0000-0000B38A0000}"/>
    <cellStyle name="표준 5 3 3 3 5 2 4" xfId="22327" xr:uid="{00000000-0005-0000-0000-0000B48A0000}"/>
    <cellStyle name="표준 5 3 3 3 5 2 5" xfId="26423" xr:uid="{00000000-0005-0000-0000-0000B58A0000}"/>
    <cellStyle name="표준 5 3 3 3 5 2 6" xfId="34634" xr:uid="{00000000-0005-0000-0000-0000B68A0000}"/>
    <cellStyle name="표준 5 3 3 3 5 2 7" xfId="42827" xr:uid="{00000000-0005-0000-0000-0000B78A0000}"/>
    <cellStyle name="표준 5 3 3 3 5 3" xfId="7765" xr:uid="{00000000-0005-0000-0000-0000B88A0000}"/>
    <cellStyle name="표준 5 3 3 3 5 3 2" xfId="28471" xr:uid="{00000000-0005-0000-0000-0000B98A0000}"/>
    <cellStyle name="표준 5 3 3 3 5 3 3" xfId="36682" xr:uid="{00000000-0005-0000-0000-0000BA8A0000}"/>
    <cellStyle name="표준 5 3 3 3 5 3 4" xfId="44875" xr:uid="{00000000-0005-0000-0000-0000BB8A0000}"/>
    <cellStyle name="표준 5 3 3 3 5 4" xfId="11877" xr:uid="{00000000-0005-0000-0000-0000BC8A0000}"/>
    <cellStyle name="표준 5 3 3 3 5 5" xfId="16117" xr:uid="{00000000-0005-0000-0000-0000BD8A0000}"/>
    <cellStyle name="표준 5 3 3 3 5 6" xfId="20279" xr:uid="{00000000-0005-0000-0000-0000BE8A0000}"/>
    <cellStyle name="표준 5 3 3 3 5 7" xfId="24375" xr:uid="{00000000-0005-0000-0000-0000BF8A0000}"/>
    <cellStyle name="표준 5 3 3 3 5 8" xfId="32586" xr:uid="{00000000-0005-0000-0000-0000C08A0000}"/>
    <cellStyle name="표준 5 3 3 3 5 9" xfId="40779" xr:uid="{00000000-0005-0000-0000-0000C18A0000}"/>
    <cellStyle name="표준 5 3 3 3 6" xfId="1422" xr:uid="{00000000-0005-0000-0000-0000C28A0000}"/>
    <cellStyle name="표준 5 3 3 3 6 2" xfId="10325" xr:uid="{00000000-0005-0000-0000-0000C38A0000}"/>
    <cellStyle name="표준 5 3 3 3 6 2 2" xfId="14437" xr:uid="{00000000-0005-0000-0000-0000C48A0000}"/>
    <cellStyle name="표준 5 3 3 3 6 2 2 2" xfId="31031" xr:uid="{00000000-0005-0000-0000-0000C58A0000}"/>
    <cellStyle name="표준 5 3 3 3 6 2 2 3" xfId="39242" xr:uid="{00000000-0005-0000-0000-0000C68A0000}"/>
    <cellStyle name="표준 5 3 3 3 6 2 2 4" xfId="47435" xr:uid="{00000000-0005-0000-0000-0000C78A0000}"/>
    <cellStyle name="표준 5 3 3 3 6 2 3" xfId="18677" xr:uid="{00000000-0005-0000-0000-0000C88A0000}"/>
    <cellStyle name="표준 5 3 3 3 6 2 4" xfId="22839" xr:uid="{00000000-0005-0000-0000-0000C98A0000}"/>
    <cellStyle name="표준 5 3 3 3 6 2 5" xfId="26935" xr:uid="{00000000-0005-0000-0000-0000CA8A0000}"/>
    <cellStyle name="표준 5 3 3 3 6 2 6" xfId="35146" xr:uid="{00000000-0005-0000-0000-0000CB8A0000}"/>
    <cellStyle name="표준 5 3 3 3 6 2 7" xfId="43339" xr:uid="{00000000-0005-0000-0000-0000CC8A0000}"/>
    <cellStyle name="표준 5 3 3 3 6 3" xfId="8277" xr:uid="{00000000-0005-0000-0000-0000CD8A0000}"/>
    <cellStyle name="표준 5 3 3 3 6 3 2" xfId="28983" xr:uid="{00000000-0005-0000-0000-0000CE8A0000}"/>
    <cellStyle name="표준 5 3 3 3 6 3 3" xfId="37194" xr:uid="{00000000-0005-0000-0000-0000CF8A0000}"/>
    <cellStyle name="표준 5 3 3 3 6 3 4" xfId="45387" xr:uid="{00000000-0005-0000-0000-0000D08A0000}"/>
    <cellStyle name="표준 5 3 3 3 6 4" xfId="12389" xr:uid="{00000000-0005-0000-0000-0000D18A0000}"/>
    <cellStyle name="표준 5 3 3 3 6 5" xfId="16629" xr:uid="{00000000-0005-0000-0000-0000D28A0000}"/>
    <cellStyle name="표준 5 3 3 3 6 6" xfId="20791" xr:uid="{00000000-0005-0000-0000-0000D38A0000}"/>
    <cellStyle name="표준 5 3 3 3 6 7" xfId="24887" xr:uid="{00000000-0005-0000-0000-0000D48A0000}"/>
    <cellStyle name="표준 5 3 3 3 6 8" xfId="33098" xr:uid="{00000000-0005-0000-0000-0000D58A0000}"/>
    <cellStyle name="표준 5 3 3 3 6 9" xfId="41291" xr:uid="{00000000-0005-0000-0000-0000D68A0000}"/>
    <cellStyle name="표준 5 3 3 3 7" xfId="1934" xr:uid="{00000000-0005-0000-0000-0000D78A0000}"/>
    <cellStyle name="표준 5 3 3 3 7 2" xfId="10837" xr:uid="{00000000-0005-0000-0000-0000D88A0000}"/>
    <cellStyle name="표준 5 3 3 3 7 2 2" xfId="14949" xr:uid="{00000000-0005-0000-0000-0000D98A0000}"/>
    <cellStyle name="표준 5 3 3 3 7 2 2 2" xfId="31543" xr:uid="{00000000-0005-0000-0000-0000DA8A0000}"/>
    <cellStyle name="표준 5 3 3 3 7 2 2 3" xfId="39754" xr:uid="{00000000-0005-0000-0000-0000DB8A0000}"/>
    <cellStyle name="표준 5 3 3 3 7 2 2 4" xfId="47947" xr:uid="{00000000-0005-0000-0000-0000DC8A0000}"/>
    <cellStyle name="표준 5 3 3 3 7 2 3" xfId="19189" xr:uid="{00000000-0005-0000-0000-0000DD8A0000}"/>
    <cellStyle name="표준 5 3 3 3 7 2 4" xfId="23351" xr:uid="{00000000-0005-0000-0000-0000DE8A0000}"/>
    <cellStyle name="표준 5 3 3 3 7 2 5" xfId="27447" xr:uid="{00000000-0005-0000-0000-0000DF8A0000}"/>
    <cellStyle name="표준 5 3 3 3 7 2 6" xfId="35658" xr:uid="{00000000-0005-0000-0000-0000E08A0000}"/>
    <cellStyle name="표준 5 3 3 3 7 2 7" xfId="43851" xr:uid="{00000000-0005-0000-0000-0000E18A0000}"/>
    <cellStyle name="표준 5 3 3 3 7 3" xfId="8789" xr:uid="{00000000-0005-0000-0000-0000E28A0000}"/>
    <cellStyle name="표준 5 3 3 3 7 3 2" xfId="29495" xr:uid="{00000000-0005-0000-0000-0000E38A0000}"/>
    <cellStyle name="표준 5 3 3 3 7 3 3" xfId="37706" xr:uid="{00000000-0005-0000-0000-0000E48A0000}"/>
    <cellStyle name="표준 5 3 3 3 7 3 4" xfId="45899" xr:uid="{00000000-0005-0000-0000-0000E58A0000}"/>
    <cellStyle name="표준 5 3 3 3 7 4" xfId="12901" xr:uid="{00000000-0005-0000-0000-0000E68A0000}"/>
    <cellStyle name="표준 5 3 3 3 7 5" xfId="17141" xr:uid="{00000000-0005-0000-0000-0000E78A0000}"/>
    <cellStyle name="표준 5 3 3 3 7 6" xfId="21303" xr:uid="{00000000-0005-0000-0000-0000E88A0000}"/>
    <cellStyle name="표준 5 3 3 3 7 7" xfId="25399" xr:uid="{00000000-0005-0000-0000-0000E98A0000}"/>
    <cellStyle name="표준 5 3 3 3 7 8" xfId="33610" xr:uid="{00000000-0005-0000-0000-0000EA8A0000}"/>
    <cellStyle name="표준 5 3 3 3 7 9" xfId="41803" xr:uid="{00000000-0005-0000-0000-0000EB8A0000}"/>
    <cellStyle name="표준 5 3 3 3 8" xfId="398" xr:uid="{00000000-0005-0000-0000-0000EC8A0000}"/>
    <cellStyle name="표준 5 3 3 3 8 2" xfId="9301" xr:uid="{00000000-0005-0000-0000-0000ED8A0000}"/>
    <cellStyle name="표준 5 3 3 3 8 2 2" xfId="30007" xr:uid="{00000000-0005-0000-0000-0000EE8A0000}"/>
    <cellStyle name="표준 5 3 3 3 8 2 3" xfId="38218" xr:uid="{00000000-0005-0000-0000-0000EF8A0000}"/>
    <cellStyle name="표준 5 3 3 3 8 2 4" xfId="46411" xr:uid="{00000000-0005-0000-0000-0000F08A0000}"/>
    <cellStyle name="표준 5 3 3 3 8 3" xfId="13413" xr:uid="{00000000-0005-0000-0000-0000F18A0000}"/>
    <cellStyle name="표준 5 3 3 3 8 4" xfId="17653" xr:uid="{00000000-0005-0000-0000-0000F28A0000}"/>
    <cellStyle name="표준 5 3 3 3 8 5" xfId="21815" xr:uid="{00000000-0005-0000-0000-0000F38A0000}"/>
    <cellStyle name="표준 5 3 3 3 8 6" xfId="25911" xr:uid="{00000000-0005-0000-0000-0000F48A0000}"/>
    <cellStyle name="표준 5 3 3 3 8 7" xfId="34122" xr:uid="{00000000-0005-0000-0000-0000F58A0000}"/>
    <cellStyle name="표준 5 3 3 3 8 8" xfId="42315" xr:uid="{00000000-0005-0000-0000-0000F68A0000}"/>
    <cellStyle name="표준 5 3 3 3 9" xfId="7000" xr:uid="{00000000-0005-0000-0000-0000F78A0000}"/>
    <cellStyle name="표준 5 3 3 3 9 2" xfId="27959" xr:uid="{00000000-0005-0000-0000-0000F88A0000}"/>
    <cellStyle name="표준 5 3 3 3 9 3" xfId="36170" xr:uid="{00000000-0005-0000-0000-0000F98A0000}"/>
    <cellStyle name="표준 5 3 3 3 9 4" xfId="44363" xr:uid="{00000000-0005-0000-0000-0000FA8A0000}"/>
    <cellStyle name="표준 5 3 3 30" xfId="32025" xr:uid="{00000000-0005-0000-0000-0000FB8A0000}"/>
    <cellStyle name="표준 5 3 3 31" xfId="32042" xr:uid="{00000000-0005-0000-0000-0000FC8A0000}"/>
    <cellStyle name="표준 5 3 3 32" xfId="40235" xr:uid="{00000000-0005-0000-0000-0000FD8A0000}"/>
    <cellStyle name="표준 5 3 3 33" xfId="48437" xr:uid="{00000000-0005-0000-0000-0000FE8A0000}"/>
    <cellStyle name="표준 5 3 3 4" xfId="430" xr:uid="{00000000-0005-0000-0000-0000FF8A0000}"/>
    <cellStyle name="표준 5 3 3 4 10" xfId="11397" xr:uid="{00000000-0005-0000-0000-0000008B0000}"/>
    <cellStyle name="표준 5 3 3 4 11" xfId="15509" xr:uid="{00000000-0005-0000-0000-0000018B0000}"/>
    <cellStyle name="표준 5 3 3 4 12" xfId="15637" xr:uid="{00000000-0005-0000-0000-0000028B0000}"/>
    <cellStyle name="표준 5 3 3 4 13" xfId="19799" xr:uid="{00000000-0005-0000-0000-0000038B0000}"/>
    <cellStyle name="표준 5 3 3 4 14" xfId="23895" xr:uid="{00000000-0005-0000-0000-0000048B0000}"/>
    <cellStyle name="표준 5 3 3 4 15" xfId="32106" xr:uid="{00000000-0005-0000-0000-0000058B0000}"/>
    <cellStyle name="표준 5 3 3 4 16" xfId="40299" xr:uid="{00000000-0005-0000-0000-0000068B0000}"/>
    <cellStyle name="표준 5 3 3 4 2" xfId="558" xr:uid="{00000000-0005-0000-0000-0000078B0000}"/>
    <cellStyle name="표준 5 3 3 4 2 10" xfId="19927" xr:uid="{00000000-0005-0000-0000-0000088B0000}"/>
    <cellStyle name="표준 5 3 3 4 2 11" xfId="24023" xr:uid="{00000000-0005-0000-0000-0000098B0000}"/>
    <cellStyle name="표준 5 3 3 4 2 12" xfId="32234" xr:uid="{00000000-0005-0000-0000-00000A8B0000}"/>
    <cellStyle name="표준 5 3 3 4 2 13" xfId="40427" xr:uid="{00000000-0005-0000-0000-00000B8B0000}"/>
    <cellStyle name="표준 5 3 3 4 2 2" xfId="814" xr:uid="{00000000-0005-0000-0000-00000C8B0000}"/>
    <cellStyle name="표준 5 3 3 4 2 2 10" xfId="24279" xr:uid="{00000000-0005-0000-0000-00000D8B0000}"/>
    <cellStyle name="표준 5 3 3 4 2 2 11" xfId="32490" xr:uid="{00000000-0005-0000-0000-00000E8B0000}"/>
    <cellStyle name="표준 5 3 3 4 2 2 12" xfId="40683" xr:uid="{00000000-0005-0000-0000-00000F8B0000}"/>
    <cellStyle name="표준 5 3 3 4 2 2 2" xfId="1326" xr:uid="{00000000-0005-0000-0000-0000108B0000}"/>
    <cellStyle name="표준 5 3 3 4 2 2 2 2" xfId="10229" xr:uid="{00000000-0005-0000-0000-0000118B0000}"/>
    <cellStyle name="표준 5 3 3 4 2 2 2 2 2" xfId="14341" xr:uid="{00000000-0005-0000-0000-0000128B0000}"/>
    <cellStyle name="표준 5 3 3 4 2 2 2 2 2 2" xfId="30935" xr:uid="{00000000-0005-0000-0000-0000138B0000}"/>
    <cellStyle name="표준 5 3 3 4 2 2 2 2 2 3" xfId="39146" xr:uid="{00000000-0005-0000-0000-0000148B0000}"/>
    <cellStyle name="표준 5 3 3 4 2 2 2 2 2 4" xfId="47339" xr:uid="{00000000-0005-0000-0000-0000158B0000}"/>
    <cellStyle name="표준 5 3 3 4 2 2 2 2 3" xfId="18581" xr:uid="{00000000-0005-0000-0000-0000168B0000}"/>
    <cellStyle name="표준 5 3 3 4 2 2 2 2 4" xfId="22743" xr:uid="{00000000-0005-0000-0000-0000178B0000}"/>
    <cellStyle name="표준 5 3 3 4 2 2 2 2 5" xfId="26839" xr:uid="{00000000-0005-0000-0000-0000188B0000}"/>
    <cellStyle name="표준 5 3 3 4 2 2 2 2 6" xfId="35050" xr:uid="{00000000-0005-0000-0000-0000198B0000}"/>
    <cellStyle name="표준 5 3 3 4 2 2 2 2 7" xfId="43243" xr:uid="{00000000-0005-0000-0000-00001A8B0000}"/>
    <cellStyle name="표준 5 3 3 4 2 2 2 3" xfId="8181" xr:uid="{00000000-0005-0000-0000-00001B8B0000}"/>
    <cellStyle name="표준 5 3 3 4 2 2 2 3 2" xfId="28887" xr:uid="{00000000-0005-0000-0000-00001C8B0000}"/>
    <cellStyle name="표준 5 3 3 4 2 2 2 3 3" xfId="37098" xr:uid="{00000000-0005-0000-0000-00001D8B0000}"/>
    <cellStyle name="표준 5 3 3 4 2 2 2 3 4" xfId="45291" xr:uid="{00000000-0005-0000-0000-00001E8B0000}"/>
    <cellStyle name="표준 5 3 3 4 2 2 2 4" xfId="12293" xr:uid="{00000000-0005-0000-0000-00001F8B0000}"/>
    <cellStyle name="표준 5 3 3 4 2 2 2 5" xfId="16533" xr:uid="{00000000-0005-0000-0000-0000208B0000}"/>
    <cellStyle name="표준 5 3 3 4 2 2 2 6" xfId="20695" xr:uid="{00000000-0005-0000-0000-0000218B0000}"/>
    <cellStyle name="표준 5 3 3 4 2 2 2 7" xfId="24791" xr:uid="{00000000-0005-0000-0000-0000228B0000}"/>
    <cellStyle name="표준 5 3 3 4 2 2 2 8" xfId="33002" xr:uid="{00000000-0005-0000-0000-0000238B0000}"/>
    <cellStyle name="표준 5 3 3 4 2 2 2 9" xfId="41195" xr:uid="{00000000-0005-0000-0000-0000248B0000}"/>
    <cellStyle name="표준 5 3 3 4 2 2 3" xfId="1838" xr:uid="{00000000-0005-0000-0000-0000258B0000}"/>
    <cellStyle name="표준 5 3 3 4 2 2 3 2" xfId="10741" xr:uid="{00000000-0005-0000-0000-0000268B0000}"/>
    <cellStyle name="표준 5 3 3 4 2 2 3 2 2" xfId="14853" xr:uid="{00000000-0005-0000-0000-0000278B0000}"/>
    <cellStyle name="표준 5 3 3 4 2 2 3 2 2 2" xfId="31447" xr:uid="{00000000-0005-0000-0000-0000288B0000}"/>
    <cellStyle name="표준 5 3 3 4 2 2 3 2 2 3" xfId="39658" xr:uid="{00000000-0005-0000-0000-0000298B0000}"/>
    <cellStyle name="표준 5 3 3 4 2 2 3 2 2 4" xfId="47851" xr:uid="{00000000-0005-0000-0000-00002A8B0000}"/>
    <cellStyle name="표준 5 3 3 4 2 2 3 2 3" xfId="19093" xr:uid="{00000000-0005-0000-0000-00002B8B0000}"/>
    <cellStyle name="표준 5 3 3 4 2 2 3 2 4" xfId="23255" xr:uid="{00000000-0005-0000-0000-00002C8B0000}"/>
    <cellStyle name="표준 5 3 3 4 2 2 3 2 5" xfId="27351" xr:uid="{00000000-0005-0000-0000-00002D8B0000}"/>
    <cellStyle name="표준 5 3 3 4 2 2 3 2 6" xfId="35562" xr:uid="{00000000-0005-0000-0000-00002E8B0000}"/>
    <cellStyle name="표준 5 3 3 4 2 2 3 2 7" xfId="43755" xr:uid="{00000000-0005-0000-0000-00002F8B0000}"/>
    <cellStyle name="표준 5 3 3 4 2 2 3 3" xfId="8693" xr:uid="{00000000-0005-0000-0000-0000308B0000}"/>
    <cellStyle name="표준 5 3 3 4 2 2 3 3 2" xfId="29399" xr:uid="{00000000-0005-0000-0000-0000318B0000}"/>
    <cellStyle name="표준 5 3 3 4 2 2 3 3 3" xfId="37610" xr:uid="{00000000-0005-0000-0000-0000328B0000}"/>
    <cellStyle name="표준 5 3 3 4 2 2 3 3 4" xfId="45803" xr:uid="{00000000-0005-0000-0000-0000338B0000}"/>
    <cellStyle name="표준 5 3 3 4 2 2 3 4" xfId="12805" xr:uid="{00000000-0005-0000-0000-0000348B0000}"/>
    <cellStyle name="표준 5 3 3 4 2 2 3 5" xfId="17045" xr:uid="{00000000-0005-0000-0000-0000358B0000}"/>
    <cellStyle name="표준 5 3 3 4 2 2 3 6" xfId="21207" xr:uid="{00000000-0005-0000-0000-0000368B0000}"/>
    <cellStyle name="표준 5 3 3 4 2 2 3 7" xfId="25303" xr:uid="{00000000-0005-0000-0000-0000378B0000}"/>
    <cellStyle name="표준 5 3 3 4 2 2 3 8" xfId="33514" xr:uid="{00000000-0005-0000-0000-0000388B0000}"/>
    <cellStyle name="표준 5 3 3 4 2 2 3 9" xfId="41707" xr:uid="{00000000-0005-0000-0000-0000398B0000}"/>
    <cellStyle name="표준 5 3 3 4 2 2 4" xfId="2350" xr:uid="{00000000-0005-0000-0000-00003A8B0000}"/>
    <cellStyle name="표준 5 3 3 4 2 2 4 2" xfId="11253" xr:uid="{00000000-0005-0000-0000-00003B8B0000}"/>
    <cellStyle name="표준 5 3 3 4 2 2 4 2 2" xfId="15365" xr:uid="{00000000-0005-0000-0000-00003C8B0000}"/>
    <cellStyle name="표준 5 3 3 4 2 2 4 2 2 2" xfId="31959" xr:uid="{00000000-0005-0000-0000-00003D8B0000}"/>
    <cellStyle name="표준 5 3 3 4 2 2 4 2 2 3" xfId="40170" xr:uid="{00000000-0005-0000-0000-00003E8B0000}"/>
    <cellStyle name="표준 5 3 3 4 2 2 4 2 2 4" xfId="48363" xr:uid="{00000000-0005-0000-0000-00003F8B0000}"/>
    <cellStyle name="표준 5 3 3 4 2 2 4 2 3" xfId="19605" xr:uid="{00000000-0005-0000-0000-0000408B0000}"/>
    <cellStyle name="표준 5 3 3 4 2 2 4 2 4" xfId="23767" xr:uid="{00000000-0005-0000-0000-0000418B0000}"/>
    <cellStyle name="표준 5 3 3 4 2 2 4 2 5" xfId="27863" xr:uid="{00000000-0005-0000-0000-0000428B0000}"/>
    <cellStyle name="표준 5 3 3 4 2 2 4 2 6" xfId="36074" xr:uid="{00000000-0005-0000-0000-0000438B0000}"/>
    <cellStyle name="표준 5 3 3 4 2 2 4 2 7" xfId="44267" xr:uid="{00000000-0005-0000-0000-0000448B0000}"/>
    <cellStyle name="표준 5 3 3 4 2 2 4 3" xfId="9205" xr:uid="{00000000-0005-0000-0000-0000458B0000}"/>
    <cellStyle name="표준 5 3 3 4 2 2 4 3 2" xfId="29911" xr:uid="{00000000-0005-0000-0000-0000468B0000}"/>
    <cellStyle name="표준 5 3 3 4 2 2 4 3 3" xfId="38122" xr:uid="{00000000-0005-0000-0000-0000478B0000}"/>
    <cellStyle name="표준 5 3 3 4 2 2 4 3 4" xfId="46315" xr:uid="{00000000-0005-0000-0000-0000488B0000}"/>
    <cellStyle name="표준 5 3 3 4 2 2 4 4" xfId="13317" xr:uid="{00000000-0005-0000-0000-0000498B0000}"/>
    <cellStyle name="표준 5 3 3 4 2 2 4 5" xfId="17557" xr:uid="{00000000-0005-0000-0000-00004A8B0000}"/>
    <cellStyle name="표준 5 3 3 4 2 2 4 6" xfId="21719" xr:uid="{00000000-0005-0000-0000-00004B8B0000}"/>
    <cellStyle name="표준 5 3 3 4 2 2 4 7" xfId="25815" xr:uid="{00000000-0005-0000-0000-00004C8B0000}"/>
    <cellStyle name="표준 5 3 3 4 2 2 4 8" xfId="34026" xr:uid="{00000000-0005-0000-0000-00004D8B0000}"/>
    <cellStyle name="표준 5 3 3 4 2 2 4 9" xfId="42219" xr:uid="{00000000-0005-0000-0000-00004E8B0000}"/>
    <cellStyle name="표준 5 3 3 4 2 2 5" xfId="9717" xr:uid="{00000000-0005-0000-0000-00004F8B0000}"/>
    <cellStyle name="표준 5 3 3 4 2 2 5 2" xfId="13829" xr:uid="{00000000-0005-0000-0000-0000508B0000}"/>
    <cellStyle name="표준 5 3 3 4 2 2 5 2 2" xfId="30423" xr:uid="{00000000-0005-0000-0000-0000518B0000}"/>
    <cellStyle name="표준 5 3 3 4 2 2 5 2 3" xfId="38634" xr:uid="{00000000-0005-0000-0000-0000528B0000}"/>
    <cellStyle name="표준 5 3 3 4 2 2 5 2 4" xfId="46827" xr:uid="{00000000-0005-0000-0000-0000538B0000}"/>
    <cellStyle name="표준 5 3 3 4 2 2 5 3" xfId="18069" xr:uid="{00000000-0005-0000-0000-0000548B0000}"/>
    <cellStyle name="표준 5 3 3 4 2 2 5 4" xfId="22231" xr:uid="{00000000-0005-0000-0000-0000558B0000}"/>
    <cellStyle name="표준 5 3 3 4 2 2 5 5" xfId="26327" xr:uid="{00000000-0005-0000-0000-0000568B0000}"/>
    <cellStyle name="표준 5 3 3 4 2 2 5 6" xfId="34538" xr:uid="{00000000-0005-0000-0000-0000578B0000}"/>
    <cellStyle name="표준 5 3 3 4 2 2 5 7" xfId="42731" xr:uid="{00000000-0005-0000-0000-0000588B0000}"/>
    <cellStyle name="표준 5 3 3 4 2 2 6" xfId="7669" xr:uid="{00000000-0005-0000-0000-0000598B0000}"/>
    <cellStyle name="표준 5 3 3 4 2 2 6 2" xfId="28375" xr:uid="{00000000-0005-0000-0000-00005A8B0000}"/>
    <cellStyle name="표준 5 3 3 4 2 2 6 3" xfId="36586" xr:uid="{00000000-0005-0000-0000-00005B8B0000}"/>
    <cellStyle name="표준 5 3 3 4 2 2 6 4" xfId="44779" xr:uid="{00000000-0005-0000-0000-00005C8B0000}"/>
    <cellStyle name="표준 5 3 3 4 2 2 7" xfId="11781" xr:uid="{00000000-0005-0000-0000-00005D8B0000}"/>
    <cellStyle name="표준 5 3 3 4 2 2 8" xfId="16021" xr:uid="{00000000-0005-0000-0000-00005E8B0000}"/>
    <cellStyle name="표준 5 3 3 4 2 2 9" xfId="20183" xr:uid="{00000000-0005-0000-0000-00005F8B0000}"/>
    <cellStyle name="표준 5 3 3 4 2 3" xfId="1070" xr:uid="{00000000-0005-0000-0000-0000608B0000}"/>
    <cellStyle name="표준 5 3 3 4 2 3 2" xfId="9973" xr:uid="{00000000-0005-0000-0000-0000618B0000}"/>
    <cellStyle name="표준 5 3 3 4 2 3 2 2" xfId="14085" xr:uid="{00000000-0005-0000-0000-0000628B0000}"/>
    <cellStyle name="표준 5 3 3 4 2 3 2 2 2" xfId="30679" xr:uid="{00000000-0005-0000-0000-0000638B0000}"/>
    <cellStyle name="표준 5 3 3 4 2 3 2 2 3" xfId="38890" xr:uid="{00000000-0005-0000-0000-0000648B0000}"/>
    <cellStyle name="표준 5 3 3 4 2 3 2 2 4" xfId="47083" xr:uid="{00000000-0005-0000-0000-0000658B0000}"/>
    <cellStyle name="표준 5 3 3 4 2 3 2 3" xfId="18325" xr:uid="{00000000-0005-0000-0000-0000668B0000}"/>
    <cellStyle name="표준 5 3 3 4 2 3 2 4" xfId="22487" xr:uid="{00000000-0005-0000-0000-0000678B0000}"/>
    <cellStyle name="표준 5 3 3 4 2 3 2 5" xfId="26583" xr:uid="{00000000-0005-0000-0000-0000688B0000}"/>
    <cellStyle name="표준 5 3 3 4 2 3 2 6" xfId="34794" xr:uid="{00000000-0005-0000-0000-0000698B0000}"/>
    <cellStyle name="표준 5 3 3 4 2 3 2 7" xfId="42987" xr:uid="{00000000-0005-0000-0000-00006A8B0000}"/>
    <cellStyle name="표준 5 3 3 4 2 3 3" xfId="7925" xr:uid="{00000000-0005-0000-0000-00006B8B0000}"/>
    <cellStyle name="표준 5 3 3 4 2 3 3 2" xfId="28631" xr:uid="{00000000-0005-0000-0000-00006C8B0000}"/>
    <cellStyle name="표준 5 3 3 4 2 3 3 3" xfId="36842" xr:uid="{00000000-0005-0000-0000-00006D8B0000}"/>
    <cellStyle name="표준 5 3 3 4 2 3 3 4" xfId="45035" xr:uid="{00000000-0005-0000-0000-00006E8B0000}"/>
    <cellStyle name="표준 5 3 3 4 2 3 4" xfId="12037" xr:uid="{00000000-0005-0000-0000-00006F8B0000}"/>
    <cellStyle name="표준 5 3 3 4 2 3 5" xfId="16277" xr:uid="{00000000-0005-0000-0000-0000708B0000}"/>
    <cellStyle name="표준 5 3 3 4 2 3 6" xfId="20439" xr:uid="{00000000-0005-0000-0000-0000718B0000}"/>
    <cellStyle name="표준 5 3 3 4 2 3 7" xfId="24535" xr:uid="{00000000-0005-0000-0000-0000728B0000}"/>
    <cellStyle name="표준 5 3 3 4 2 3 8" xfId="32746" xr:uid="{00000000-0005-0000-0000-0000738B0000}"/>
    <cellStyle name="표준 5 3 3 4 2 3 9" xfId="40939" xr:uid="{00000000-0005-0000-0000-0000748B0000}"/>
    <cellStyle name="표준 5 3 3 4 2 4" xfId="1582" xr:uid="{00000000-0005-0000-0000-0000758B0000}"/>
    <cellStyle name="표준 5 3 3 4 2 4 2" xfId="10485" xr:uid="{00000000-0005-0000-0000-0000768B0000}"/>
    <cellStyle name="표준 5 3 3 4 2 4 2 2" xfId="14597" xr:uid="{00000000-0005-0000-0000-0000778B0000}"/>
    <cellStyle name="표준 5 3 3 4 2 4 2 2 2" xfId="31191" xr:uid="{00000000-0005-0000-0000-0000788B0000}"/>
    <cellStyle name="표준 5 3 3 4 2 4 2 2 3" xfId="39402" xr:uid="{00000000-0005-0000-0000-0000798B0000}"/>
    <cellStyle name="표준 5 3 3 4 2 4 2 2 4" xfId="47595" xr:uid="{00000000-0005-0000-0000-00007A8B0000}"/>
    <cellStyle name="표준 5 3 3 4 2 4 2 3" xfId="18837" xr:uid="{00000000-0005-0000-0000-00007B8B0000}"/>
    <cellStyle name="표준 5 3 3 4 2 4 2 4" xfId="22999" xr:uid="{00000000-0005-0000-0000-00007C8B0000}"/>
    <cellStyle name="표준 5 3 3 4 2 4 2 5" xfId="27095" xr:uid="{00000000-0005-0000-0000-00007D8B0000}"/>
    <cellStyle name="표준 5 3 3 4 2 4 2 6" xfId="35306" xr:uid="{00000000-0005-0000-0000-00007E8B0000}"/>
    <cellStyle name="표준 5 3 3 4 2 4 2 7" xfId="43499" xr:uid="{00000000-0005-0000-0000-00007F8B0000}"/>
    <cellStyle name="표준 5 3 3 4 2 4 3" xfId="8437" xr:uid="{00000000-0005-0000-0000-0000808B0000}"/>
    <cellStyle name="표준 5 3 3 4 2 4 3 2" xfId="29143" xr:uid="{00000000-0005-0000-0000-0000818B0000}"/>
    <cellStyle name="표준 5 3 3 4 2 4 3 3" xfId="37354" xr:uid="{00000000-0005-0000-0000-0000828B0000}"/>
    <cellStyle name="표준 5 3 3 4 2 4 3 4" xfId="45547" xr:uid="{00000000-0005-0000-0000-0000838B0000}"/>
    <cellStyle name="표준 5 3 3 4 2 4 4" xfId="12549" xr:uid="{00000000-0005-0000-0000-0000848B0000}"/>
    <cellStyle name="표준 5 3 3 4 2 4 5" xfId="16789" xr:uid="{00000000-0005-0000-0000-0000858B0000}"/>
    <cellStyle name="표준 5 3 3 4 2 4 6" xfId="20951" xr:uid="{00000000-0005-0000-0000-0000868B0000}"/>
    <cellStyle name="표준 5 3 3 4 2 4 7" xfId="25047" xr:uid="{00000000-0005-0000-0000-0000878B0000}"/>
    <cellStyle name="표준 5 3 3 4 2 4 8" xfId="33258" xr:uid="{00000000-0005-0000-0000-0000888B0000}"/>
    <cellStyle name="표준 5 3 3 4 2 4 9" xfId="41451" xr:uid="{00000000-0005-0000-0000-0000898B0000}"/>
    <cellStyle name="표준 5 3 3 4 2 5" xfId="2094" xr:uid="{00000000-0005-0000-0000-00008A8B0000}"/>
    <cellStyle name="표준 5 3 3 4 2 5 2" xfId="10997" xr:uid="{00000000-0005-0000-0000-00008B8B0000}"/>
    <cellStyle name="표준 5 3 3 4 2 5 2 2" xfId="15109" xr:uid="{00000000-0005-0000-0000-00008C8B0000}"/>
    <cellStyle name="표준 5 3 3 4 2 5 2 2 2" xfId="31703" xr:uid="{00000000-0005-0000-0000-00008D8B0000}"/>
    <cellStyle name="표준 5 3 3 4 2 5 2 2 3" xfId="39914" xr:uid="{00000000-0005-0000-0000-00008E8B0000}"/>
    <cellStyle name="표준 5 3 3 4 2 5 2 2 4" xfId="48107" xr:uid="{00000000-0005-0000-0000-00008F8B0000}"/>
    <cellStyle name="표준 5 3 3 4 2 5 2 3" xfId="19349" xr:uid="{00000000-0005-0000-0000-0000908B0000}"/>
    <cellStyle name="표준 5 3 3 4 2 5 2 4" xfId="23511" xr:uid="{00000000-0005-0000-0000-0000918B0000}"/>
    <cellStyle name="표준 5 3 3 4 2 5 2 5" xfId="27607" xr:uid="{00000000-0005-0000-0000-0000928B0000}"/>
    <cellStyle name="표준 5 3 3 4 2 5 2 6" xfId="35818" xr:uid="{00000000-0005-0000-0000-0000938B0000}"/>
    <cellStyle name="표준 5 3 3 4 2 5 2 7" xfId="44011" xr:uid="{00000000-0005-0000-0000-0000948B0000}"/>
    <cellStyle name="표준 5 3 3 4 2 5 3" xfId="8949" xr:uid="{00000000-0005-0000-0000-0000958B0000}"/>
    <cellStyle name="표준 5 3 3 4 2 5 3 2" xfId="29655" xr:uid="{00000000-0005-0000-0000-0000968B0000}"/>
    <cellStyle name="표준 5 3 3 4 2 5 3 3" xfId="37866" xr:uid="{00000000-0005-0000-0000-0000978B0000}"/>
    <cellStyle name="표준 5 3 3 4 2 5 3 4" xfId="46059" xr:uid="{00000000-0005-0000-0000-0000988B0000}"/>
    <cellStyle name="표준 5 3 3 4 2 5 4" xfId="13061" xr:uid="{00000000-0005-0000-0000-0000998B0000}"/>
    <cellStyle name="표준 5 3 3 4 2 5 5" xfId="17301" xr:uid="{00000000-0005-0000-0000-00009A8B0000}"/>
    <cellStyle name="표준 5 3 3 4 2 5 6" xfId="21463" xr:uid="{00000000-0005-0000-0000-00009B8B0000}"/>
    <cellStyle name="표준 5 3 3 4 2 5 7" xfId="25559" xr:uid="{00000000-0005-0000-0000-00009C8B0000}"/>
    <cellStyle name="표준 5 3 3 4 2 5 8" xfId="33770" xr:uid="{00000000-0005-0000-0000-00009D8B0000}"/>
    <cellStyle name="표준 5 3 3 4 2 5 9" xfId="41963" xr:uid="{00000000-0005-0000-0000-00009E8B0000}"/>
    <cellStyle name="표준 5 3 3 4 2 6" xfId="9461" xr:uid="{00000000-0005-0000-0000-00009F8B0000}"/>
    <cellStyle name="표준 5 3 3 4 2 6 2" xfId="13573" xr:uid="{00000000-0005-0000-0000-0000A08B0000}"/>
    <cellStyle name="표준 5 3 3 4 2 6 2 2" xfId="30167" xr:uid="{00000000-0005-0000-0000-0000A18B0000}"/>
    <cellStyle name="표준 5 3 3 4 2 6 2 3" xfId="38378" xr:uid="{00000000-0005-0000-0000-0000A28B0000}"/>
    <cellStyle name="표준 5 3 3 4 2 6 2 4" xfId="46571" xr:uid="{00000000-0005-0000-0000-0000A38B0000}"/>
    <cellStyle name="표준 5 3 3 4 2 6 3" xfId="17813" xr:uid="{00000000-0005-0000-0000-0000A48B0000}"/>
    <cellStyle name="표준 5 3 3 4 2 6 4" xfId="21975" xr:uid="{00000000-0005-0000-0000-0000A58B0000}"/>
    <cellStyle name="표준 5 3 3 4 2 6 5" xfId="26071" xr:uid="{00000000-0005-0000-0000-0000A68B0000}"/>
    <cellStyle name="표준 5 3 3 4 2 6 6" xfId="34282" xr:uid="{00000000-0005-0000-0000-0000A78B0000}"/>
    <cellStyle name="표준 5 3 3 4 2 6 7" xfId="42475" xr:uid="{00000000-0005-0000-0000-0000A88B0000}"/>
    <cellStyle name="표준 5 3 3 4 2 7" xfId="7413" xr:uid="{00000000-0005-0000-0000-0000A98B0000}"/>
    <cellStyle name="표준 5 3 3 4 2 7 2" xfId="28119" xr:uid="{00000000-0005-0000-0000-0000AA8B0000}"/>
    <cellStyle name="표준 5 3 3 4 2 7 3" xfId="36330" xr:uid="{00000000-0005-0000-0000-0000AB8B0000}"/>
    <cellStyle name="표준 5 3 3 4 2 7 4" xfId="44523" xr:uid="{00000000-0005-0000-0000-0000AC8B0000}"/>
    <cellStyle name="표준 5 3 3 4 2 8" xfId="11525" xr:uid="{00000000-0005-0000-0000-0000AD8B0000}"/>
    <cellStyle name="표준 5 3 3 4 2 9" xfId="15765" xr:uid="{00000000-0005-0000-0000-0000AE8B0000}"/>
    <cellStyle name="표준 5 3 3 4 3" xfId="686" xr:uid="{00000000-0005-0000-0000-0000AF8B0000}"/>
    <cellStyle name="표준 5 3 3 4 3 10" xfId="24151" xr:uid="{00000000-0005-0000-0000-0000B08B0000}"/>
    <cellStyle name="표준 5 3 3 4 3 11" xfId="32362" xr:uid="{00000000-0005-0000-0000-0000B18B0000}"/>
    <cellStyle name="표준 5 3 3 4 3 12" xfId="40555" xr:uid="{00000000-0005-0000-0000-0000B28B0000}"/>
    <cellStyle name="표준 5 3 3 4 3 2" xfId="1198" xr:uid="{00000000-0005-0000-0000-0000B38B0000}"/>
    <cellStyle name="표준 5 3 3 4 3 2 2" xfId="10101" xr:uid="{00000000-0005-0000-0000-0000B48B0000}"/>
    <cellStyle name="표준 5 3 3 4 3 2 2 2" xfId="14213" xr:uid="{00000000-0005-0000-0000-0000B58B0000}"/>
    <cellStyle name="표준 5 3 3 4 3 2 2 2 2" xfId="30807" xr:uid="{00000000-0005-0000-0000-0000B68B0000}"/>
    <cellStyle name="표준 5 3 3 4 3 2 2 2 3" xfId="39018" xr:uid="{00000000-0005-0000-0000-0000B78B0000}"/>
    <cellStyle name="표준 5 3 3 4 3 2 2 2 4" xfId="47211" xr:uid="{00000000-0005-0000-0000-0000B88B0000}"/>
    <cellStyle name="표준 5 3 3 4 3 2 2 3" xfId="18453" xr:uid="{00000000-0005-0000-0000-0000B98B0000}"/>
    <cellStyle name="표준 5 3 3 4 3 2 2 4" xfId="22615" xr:uid="{00000000-0005-0000-0000-0000BA8B0000}"/>
    <cellStyle name="표준 5 3 3 4 3 2 2 5" xfId="26711" xr:uid="{00000000-0005-0000-0000-0000BB8B0000}"/>
    <cellStyle name="표준 5 3 3 4 3 2 2 6" xfId="34922" xr:uid="{00000000-0005-0000-0000-0000BC8B0000}"/>
    <cellStyle name="표준 5 3 3 4 3 2 2 7" xfId="43115" xr:uid="{00000000-0005-0000-0000-0000BD8B0000}"/>
    <cellStyle name="표준 5 3 3 4 3 2 3" xfId="8053" xr:uid="{00000000-0005-0000-0000-0000BE8B0000}"/>
    <cellStyle name="표준 5 3 3 4 3 2 3 2" xfId="28759" xr:uid="{00000000-0005-0000-0000-0000BF8B0000}"/>
    <cellStyle name="표준 5 3 3 4 3 2 3 3" xfId="36970" xr:uid="{00000000-0005-0000-0000-0000C08B0000}"/>
    <cellStyle name="표준 5 3 3 4 3 2 3 4" xfId="45163" xr:uid="{00000000-0005-0000-0000-0000C18B0000}"/>
    <cellStyle name="표준 5 3 3 4 3 2 4" xfId="12165" xr:uid="{00000000-0005-0000-0000-0000C28B0000}"/>
    <cellStyle name="표준 5 3 3 4 3 2 5" xfId="16405" xr:uid="{00000000-0005-0000-0000-0000C38B0000}"/>
    <cellStyle name="표준 5 3 3 4 3 2 6" xfId="20567" xr:uid="{00000000-0005-0000-0000-0000C48B0000}"/>
    <cellStyle name="표준 5 3 3 4 3 2 7" xfId="24663" xr:uid="{00000000-0005-0000-0000-0000C58B0000}"/>
    <cellStyle name="표준 5 3 3 4 3 2 8" xfId="32874" xr:uid="{00000000-0005-0000-0000-0000C68B0000}"/>
    <cellStyle name="표준 5 3 3 4 3 2 9" xfId="41067" xr:uid="{00000000-0005-0000-0000-0000C78B0000}"/>
    <cellStyle name="표준 5 3 3 4 3 3" xfId="1710" xr:uid="{00000000-0005-0000-0000-0000C88B0000}"/>
    <cellStyle name="표준 5 3 3 4 3 3 2" xfId="10613" xr:uid="{00000000-0005-0000-0000-0000C98B0000}"/>
    <cellStyle name="표준 5 3 3 4 3 3 2 2" xfId="14725" xr:uid="{00000000-0005-0000-0000-0000CA8B0000}"/>
    <cellStyle name="표준 5 3 3 4 3 3 2 2 2" xfId="31319" xr:uid="{00000000-0005-0000-0000-0000CB8B0000}"/>
    <cellStyle name="표준 5 3 3 4 3 3 2 2 3" xfId="39530" xr:uid="{00000000-0005-0000-0000-0000CC8B0000}"/>
    <cellStyle name="표준 5 3 3 4 3 3 2 2 4" xfId="47723" xr:uid="{00000000-0005-0000-0000-0000CD8B0000}"/>
    <cellStyle name="표준 5 3 3 4 3 3 2 3" xfId="18965" xr:uid="{00000000-0005-0000-0000-0000CE8B0000}"/>
    <cellStyle name="표준 5 3 3 4 3 3 2 4" xfId="23127" xr:uid="{00000000-0005-0000-0000-0000CF8B0000}"/>
    <cellStyle name="표준 5 3 3 4 3 3 2 5" xfId="27223" xr:uid="{00000000-0005-0000-0000-0000D08B0000}"/>
    <cellStyle name="표준 5 3 3 4 3 3 2 6" xfId="35434" xr:uid="{00000000-0005-0000-0000-0000D18B0000}"/>
    <cellStyle name="표준 5 3 3 4 3 3 2 7" xfId="43627" xr:uid="{00000000-0005-0000-0000-0000D28B0000}"/>
    <cellStyle name="표준 5 3 3 4 3 3 3" xfId="8565" xr:uid="{00000000-0005-0000-0000-0000D38B0000}"/>
    <cellStyle name="표준 5 3 3 4 3 3 3 2" xfId="29271" xr:uid="{00000000-0005-0000-0000-0000D48B0000}"/>
    <cellStyle name="표준 5 3 3 4 3 3 3 3" xfId="37482" xr:uid="{00000000-0005-0000-0000-0000D58B0000}"/>
    <cellStyle name="표준 5 3 3 4 3 3 3 4" xfId="45675" xr:uid="{00000000-0005-0000-0000-0000D68B0000}"/>
    <cellStyle name="표준 5 3 3 4 3 3 4" xfId="12677" xr:uid="{00000000-0005-0000-0000-0000D78B0000}"/>
    <cellStyle name="표준 5 3 3 4 3 3 5" xfId="16917" xr:uid="{00000000-0005-0000-0000-0000D88B0000}"/>
    <cellStyle name="표준 5 3 3 4 3 3 6" xfId="21079" xr:uid="{00000000-0005-0000-0000-0000D98B0000}"/>
    <cellStyle name="표준 5 3 3 4 3 3 7" xfId="25175" xr:uid="{00000000-0005-0000-0000-0000DA8B0000}"/>
    <cellStyle name="표준 5 3 3 4 3 3 8" xfId="33386" xr:uid="{00000000-0005-0000-0000-0000DB8B0000}"/>
    <cellStyle name="표준 5 3 3 4 3 3 9" xfId="41579" xr:uid="{00000000-0005-0000-0000-0000DC8B0000}"/>
    <cellStyle name="표준 5 3 3 4 3 4" xfId="2222" xr:uid="{00000000-0005-0000-0000-0000DD8B0000}"/>
    <cellStyle name="표준 5 3 3 4 3 4 2" xfId="11125" xr:uid="{00000000-0005-0000-0000-0000DE8B0000}"/>
    <cellStyle name="표준 5 3 3 4 3 4 2 2" xfId="15237" xr:uid="{00000000-0005-0000-0000-0000DF8B0000}"/>
    <cellStyle name="표준 5 3 3 4 3 4 2 2 2" xfId="31831" xr:uid="{00000000-0005-0000-0000-0000E08B0000}"/>
    <cellStyle name="표준 5 3 3 4 3 4 2 2 3" xfId="40042" xr:uid="{00000000-0005-0000-0000-0000E18B0000}"/>
    <cellStyle name="표준 5 3 3 4 3 4 2 2 4" xfId="48235" xr:uid="{00000000-0005-0000-0000-0000E28B0000}"/>
    <cellStyle name="표준 5 3 3 4 3 4 2 3" xfId="19477" xr:uid="{00000000-0005-0000-0000-0000E38B0000}"/>
    <cellStyle name="표준 5 3 3 4 3 4 2 4" xfId="23639" xr:uid="{00000000-0005-0000-0000-0000E48B0000}"/>
    <cellStyle name="표준 5 3 3 4 3 4 2 5" xfId="27735" xr:uid="{00000000-0005-0000-0000-0000E58B0000}"/>
    <cellStyle name="표준 5 3 3 4 3 4 2 6" xfId="35946" xr:uid="{00000000-0005-0000-0000-0000E68B0000}"/>
    <cellStyle name="표준 5 3 3 4 3 4 2 7" xfId="44139" xr:uid="{00000000-0005-0000-0000-0000E78B0000}"/>
    <cellStyle name="표준 5 3 3 4 3 4 3" xfId="9077" xr:uid="{00000000-0005-0000-0000-0000E88B0000}"/>
    <cellStyle name="표준 5 3 3 4 3 4 3 2" xfId="29783" xr:uid="{00000000-0005-0000-0000-0000E98B0000}"/>
    <cellStyle name="표준 5 3 3 4 3 4 3 3" xfId="37994" xr:uid="{00000000-0005-0000-0000-0000EA8B0000}"/>
    <cellStyle name="표준 5 3 3 4 3 4 3 4" xfId="46187" xr:uid="{00000000-0005-0000-0000-0000EB8B0000}"/>
    <cellStyle name="표준 5 3 3 4 3 4 4" xfId="13189" xr:uid="{00000000-0005-0000-0000-0000EC8B0000}"/>
    <cellStyle name="표준 5 3 3 4 3 4 5" xfId="17429" xr:uid="{00000000-0005-0000-0000-0000ED8B0000}"/>
    <cellStyle name="표준 5 3 3 4 3 4 6" xfId="21591" xr:uid="{00000000-0005-0000-0000-0000EE8B0000}"/>
    <cellStyle name="표준 5 3 3 4 3 4 7" xfId="25687" xr:uid="{00000000-0005-0000-0000-0000EF8B0000}"/>
    <cellStyle name="표준 5 3 3 4 3 4 8" xfId="33898" xr:uid="{00000000-0005-0000-0000-0000F08B0000}"/>
    <cellStyle name="표준 5 3 3 4 3 4 9" xfId="42091" xr:uid="{00000000-0005-0000-0000-0000F18B0000}"/>
    <cellStyle name="표준 5 3 3 4 3 5" xfId="9589" xr:uid="{00000000-0005-0000-0000-0000F28B0000}"/>
    <cellStyle name="표준 5 3 3 4 3 5 2" xfId="13701" xr:uid="{00000000-0005-0000-0000-0000F38B0000}"/>
    <cellStyle name="표준 5 3 3 4 3 5 2 2" xfId="30295" xr:uid="{00000000-0005-0000-0000-0000F48B0000}"/>
    <cellStyle name="표준 5 3 3 4 3 5 2 3" xfId="38506" xr:uid="{00000000-0005-0000-0000-0000F58B0000}"/>
    <cellStyle name="표준 5 3 3 4 3 5 2 4" xfId="46699" xr:uid="{00000000-0005-0000-0000-0000F68B0000}"/>
    <cellStyle name="표준 5 3 3 4 3 5 3" xfId="17941" xr:uid="{00000000-0005-0000-0000-0000F78B0000}"/>
    <cellStyle name="표준 5 3 3 4 3 5 4" xfId="22103" xr:uid="{00000000-0005-0000-0000-0000F88B0000}"/>
    <cellStyle name="표준 5 3 3 4 3 5 5" xfId="26199" xr:uid="{00000000-0005-0000-0000-0000F98B0000}"/>
    <cellStyle name="표준 5 3 3 4 3 5 6" xfId="34410" xr:uid="{00000000-0005-0000-0000-0000FA8B0000}"/>
    <cellStyle name="표준 5 3 3 4 3 5 7" xfId="42603" xr:uid="{00000000-0005-0000-0000-0000FB8B0000}"/>
    <cellStyle name="표준 5 3 3 4 3 6" xfId="7541" xr:uid="{00000000-0005-0000-0000-0000FC8B0000}"/>
    <cellStyle name="표준 5 3 3 4 3 6 2" xfId="28247" xr:uid="{00000000-0005-0000-0000-0000FD8B0000}"/>
    <cellStyle name="표준 5 3 3 4 3 6 3" xfId="36458" xr:uid="{00000000-0005-0000-0000-0000FE8B0000}"/>
    <cellStyle name="표준 5 3 3 4 3 6 4" xfId="44651" xr:uid="{00000000-0005-0000-0000-0000FF8B0000}"/>
    <cellStyle name="표준 5 3 3 4 3 7" xfId="11653" xr:uid="{00000000-0005-0000-0000-0000008C0000}"/>
    <cellStyle name="표준 5 3 3 4 3 8" xfId="15893" xr:uid="{00000000-0005-0000-0000-0000018C0000}"/>
    <cellStyle name="표준 5 3 3 4 3 9" xfId="20055" xr:uid="{00000000-0005-0000-0000-0000028C0000}"/>
    <cellStyle name="표준 5 3 3 4 4" xfId="942" xr:uid="{00000000-0005-0000-0000-0000038C0000}"/>
    <cellStyle name="표준 5 3 3 4 4 2" xfId="9845" xr:uid="{00000000-0005-0000-0000-0000048C0000}"/>
    <cellStyle name="표준 5 3 3 4 4 2 2" xfId="13957" xr:uid="{00000000-0005-0000-0000-0000058C0000}"/>
    <cellStyle name="표준 5 3 3 4 4 2 2 2" xfId="30551" xr:uid="{00000000-0005-0000-0000-0000068C0000}"/>
    <cellStyle name="표준 5 3 3 4 4 2 2 3" xfId="38762" xr:uid="{00000000-0005-0000-0000-0000078C0000}"/>
    <cellStyle name="표준 5 3 3 4 4 2 2 4" xfId="46955" xr:uid="{00000000-0005-0000-0000-0000088C0000}"/>
    <cellStyle name="표준 5 3 3 4 4 2 3" xfId="18197" xr:uid="{00000000-0005-0000-0000-0000098C0000}"/>
    <cellStyle name="표준 5 3 3 4 4 2 4" xfId="22359" xr:uid="{00000000-0005-0000-0000-00000A8C0000}"/>
    <cellStyle name="표준 5 3 3 4 4 2 5" xfId="26455" xr:uid="{00000000-0005-0000-0000-00000B8C0000}"/>
    <cellStyle name="표준 5 3 3 4 4 2 6" xfId="34666" xr:uid="{00000000-0005-0000-0000-00000C8C0000}"/>
    <cellStyle name="표준 5 3 3 4 4 2 7" xfId="42859" xr:uid="{00000000-0005-0000-0000-00000D8C0000}"/>
    <cellStyle name="표준 5 3 3 4 4 3" xfId="7797" xr:uid="{00000000-0005-0000-0000-00000E8C0000}"/>
    <cellStyle name="표준 5 3 3 4 4 3 2" xfId="28503" xr:uid="{00000000-0005-0000-0000-00000F8C0000}"/>
    <cellStyle name="표준 5 3 3 4 4 3 3" xfId="36714" xr:uid="{00000000-0005-0000-0000-0000108C0000}"/>
    <cellStyle name="표준 5 3 3 4 4 3 4" xfId="44907" xr:uid="{00000000-0005-0000-0000-0000118C0000}"/>
    <cellStyle name="표준 5 3 3 4 4 4" xfId="11909" xr:uid="{00000000-0005-0000-0000-0000128C0000}"/>
    <cellStyle name="표준 5 3 3 4 4 5" xfId="16149" xr:uid="{00000000-0005-0000-0000-0000138C0000}"/>
    <cellStyle name="표준 5 3 3 4 4 6" xfId="20311" xr:uid="{00000000-0005-0000-0000-0000148C0000}"/>
    <cellStyle name="표준 5 3 3 4 4 7" xfId="24407" xr:uid="{00000000-0005-0000-0000-0000158C0000}"/>
    <cellStyle name="표준 5 3 3 4 4 8" xfId="32618" xr:uid="{00000000-0005-0000-0000-0000168C0000}"/>
    <cellStyle name="표준 5 3 3 4 4 9" xfId="40811" xr:uid="{00000000-0005-0000-0000-0000178C0000}"/>
    <cellStyle name="표준 5 3 3 4 5" xfId="1454" xr:uid="{00000000-0005-0000-0000-0000188C0000}"/>
    <cellStyle name="표준 5 3 3 4 5 2" xfId="10357" xr:uid="{00000000-0005-0000-0000-0000198C0000}"/>
    <cellStyle name="표준 5 3 3 4 5 2 2" xfId="14469" xr:uid="{00000000-0005-0000-0000-00001A8C0000}"/>
    <cellStyle name="표준 5 3 3 4 5 2 2 2" xfId="31063" xr:uid="{00000000-0005-0000-0000-00001B8C0000}"/>
    <cellStyle name="표준 5 3 3 4 5 2 2 3" xfId="39274" xr:uid="{00000000-0005-0000-0000-00001C8C0000}"/>
    <cellStyle name="표준 5 3 3 4 5 2 2 4" xfId="47467" xr:uid="{00000000-0005-0000-0000-00001D8C0000}"/>
    <cellStyle name="표준 5 3 3 4 5 2 3" xfId="18709" xr:uid="{00000000-0005-0000-0000-00001E8C0000}"/>
    <cellStyle name="표준 5 3 3 4 5 2 4" xfId="22871" xr:uid="{00000000-0005-0000-0000-00001F8C0000}"/>
    <cellStyle name="표준 5 3 3 4 5 2 5" xfId="26967" xr:uid="{00000000-0005-0000-0000-0000208C0000}"/>
    <cellStyle name="표준 5 3 3 4 5 2 6" xfId="35178" xr:uid="{00000000-0005-0000-0000-0000218C0000}"/>
    <cellStyle name="표준 5 3 3 4 5 2 7" xfId="43371" xr:uid="{00000000-0005-0000-0000-0000228C0000}"/>
    <cellStyle name="표준 5 3 3 4 5 3" xfId="8309" xr:uid="{00000000-0005-0000-0000-0000238C0000}"/>
    <cellStyle name="표준 5 3 3 4 5 3 2" xfId="29015" xr:uid="{00000000-0005-0000-0000-0000248C0000}"/>
    <cellStyle name="표준 5 3 3 4 5 3 3" xfId="37226" xr:uid="{00000000-0005-0000-0000-0000258C0000}"/>
    <cellStyle name="표준 5 3 3 4 5 3 4" xfId="45419" xr:uid="{00000000-0005-0000-0000-0000268C0000}"/>
    <cellStyle name="표준 5 3 3 4 5 4" xfId="12421" xr:uid="{00000000-0005-0000-0000-0000278C0000}"/>
    <cellStyle name="표준 5 3 3 4 5 5" xfId="16661" xr:uid="{00000000-0005-0000-0000-0000288C0000}"/>
    <cellStyle name="표준 5 3 3 4 5 6" xfId="20823" xr:uid="{00000000-0005-0000-0000-0000298C0000}"/>
    <cellStyle name="표준 5 3 3 4 5 7" xfId="24919" xr:uid="{00000000-0005-0000-0000-00002A8C0000}"/>
    <cellStyle name="표준 5 3 3 4 5 8" xfId="33130" xr:uid="{00000000-0005-0000-0000-00002B8C0000}"/>
    <cellStyle name="표준 5 3 3 4 5 9" xfId="41323" xr:uid="{00000000-0005-0000-0000-00002C8C0000}"/>
    <cellStyle name="표준 5 3 3 4 6" xfId="1966" xr:uid="{00000000-0005-0000-0000-00002D8C0000}"/>
    <cellStyle name="표준 5 3 3 4 6 2" xfId="10869" xr:uid="{00000000-0005-0000-0000-00002E8C0000}"/>
    <cellStyle name="표준 5 3 3 4 6 2 2" xfId="14981" xr:uid="{00000000-0005-0000-0000-00002F8C0000}"/>
    <cellStyle name="표준 5 3 3 4 6 2 2 2" xfId="31575" xr:uid="{00000000-0005-0000-0000-0000308C0000}"/>
    <cellStyle name="표준 5 3 3 4 6 2 2 3" xfId="39786" xr:uid="{00000000-0005-0000-0000-0000318C0000}"/>
    <cellStyle name="표준 5 3 3 4 6 2 2 4" xfId="47979" xr:uid="{00000000-0005-0000-0000-0000328C0000}"/>
    <cellStyle name="표준 5 3 3 4 6 2 3" xfId="19221" xr:uid="{00000000-0005-0000-0000-0000338C0000}"/>
    <cellStyle name="표준 5 3 3 4 6 2 4" xfId="23383" xr:uid="{00000000-0005-0000-0000-0000348C0000}"/>
    <cellStyle name="표준 5 3 3 4 6 2 5" xfId="27479" xr:uid="{00000000-0005-0000-0000-0000358C0000}"/>
    <cellStyle name="표준 5 3 3 4 6 2 6" xfId="35690" xr:uid="{00000000-0005-0000-0000-0000368C0000}"/>
    <cellStyle name="표준 5 3 3 4 6 2 7" xfId="43883" xr:uid="{00000000-0005-0000-0000-0000378C0000}"/>
    <cellStyle name="표준 5 3 3 4 6 3" xfId="8821" xr:uid="{00000000-0005-0000-0000-0000388C0000}"/>
    <cellStyle name="표준 5 3 3 4 6 3 2" xfId="29527" xr:uid="{00000000-0005-0000-0000-0000398C0000}"/>
    <cellStyle name="표준 5 3 3 4 6 3 3" xfId="37738" xr:uid="{00000000-0005-0000-0000-00003A8C0000}"/>
    <cellStyle name="표준 5 3 3 4 6 3 4" xfId="45931" xr:uid="{00000000-0005-0000-0000-00003B8C0000}"/>
    <cellStyle name="표준 5 3 3 4 6 4" xfId="12933" xr:uid="{00000000-0005-0000-0000-00003C8C0000}"/>
    <cellStyle name="표준 5 3 3 4 6 5" xfId="17173" xr:uid="{00000000-0005-0000-0000-00003D8C0000}"/>
    <cellStyle name="표준 5 3 3 4 6 6" xfId="21335" xr:uid="{00000000-0005-0000-0000-00003E8C0000}"/>
    <cellStyle name="표준 5 3 3 4 6 7" xfId="25431" xr:uid="{00000000-0005-0000-0000-00003F8C0000}"/>
    <cellStyle name="표준 5 3 3 4 6 8" xfId="33642" xr:uid="{00000000-0005-0000-0000-0000408C0000}"/>
    <cellStyle name="표준 5 3 3 4 6 9" xfId="41835" xr:uid="{00000000-0005-0000-0000-0000418C0000}"/>
    <cellStyle name="표준 5 3 3 4 7" xfId="7026" xr:uid="{00000000-0005-0000-0000-0000428C0000}"/>
    <cellStyle name="표준 5 3 3 4 7 2" xfId="9333" xr:uid="{00000000-0005-0000-0000-0000438C0000}"/>
    <cellStyle name="표준 5 3 3 4 7 2 2" xfId="30039" xr:uid="{00000000-0005-0000-0000-0000448C0000}"/>
    <cellStyle name="표준 5 3 3 4 7 2 3" xfId="38250" xr:uid="{00000000-0005-0000-0000-0000458C0000}"/>
    <cellStyle name="표준 5 3 3 4 7 2 4" xfId="46443" xr:uid="{00000000-0005-0000-0000-0000468C0000}"/>
    <cellStyle name="표준 5 3 3 4 7 3" xfId="13445" xr:uid="{00000000-0005-0000-0000-0000478C0000}"/>
    <cellStyle name="표준 5 3 3 4 7 4" xfId="17685" xr:uid="{00000000-0005-0000-0000-0000488C0000}"/>
    <cellStyle name="표준 5 3 3 4 7 5" xfId="21847" xr:uid="{00000000-0005-0000-0000-0000498C0000}"/>
    <cellStyle name="표준 5 3 3 4 7 6" xfId="25943" xr:uid="{00000000-0005-0000-0000-00004A8C0000}"/>
    <cellStyle name="표준 5 3 3 4 7 7" xfId="34154" xr:uid="{00000000-0005-0000-0000-00004B8C0000}"/>
    <cellStyle name="표준 5 3 3 4 7 8" xfId="42347" xr:uid="{00000000-0005-0000-0000-00004C8C0000}"/>
    <cellStyle name="표준 5 3 3 4 8" xfId="7152" xr:uid="{00000000-0005-0000-0000-00004D8C0000}"/>
    <cellStyle name="표준 5 3 3 4 8 2" xfId="27991" xr:uid="{00000000-0005-0000-0000-00004E8C0000}"/>
    <cellStyle name="표준 5 3 3 4 8 3" xfId="36202" xr:uid="{00000000-0005-0000-0000-00004F8C0000}"/>
    <cellStyle name="표준 5 3 3 4 8 4" xfId="44395" xr:uid="{00000000-0005-0000-0000-0000508C0000}"/>
    <cellStyle name="표준 5 3 3 4 9" xfId="7285" xr:uid="{00000000-0005-0000-0000-0000518C0000}"/>
    <cellStyle name="표준 5 3 3 5" xfId="494" xr:uid="{00000000-0005-0000-0000-0000528C0000}"/>
    <cellStyle name="표준 5 3 3 5 10" xfId="19863" xr:uid="{00000000-0005-0000-0000-0000538C0000}"/>
    <cellStyle name="표준 5 3 3 5 11" xfId="23959" xr:uid="{00000000-0005-0000-0000-0000548C0000}"/>
    <cellStyle name="표준 5 3 3 5 12" xfId="32170" xr:uid="{00000000-0005-0000-0000-0000558C0000}"/>
    <cellStyle name="표준 5 3 3 5 13" xfId="40363" xr:uid="{00000000-0005-0000-0000-0000568C0000}"/>
    <cellStyle name="표준 5 3 3 5 2" xfId="750" xr:uid="{00000000-0005-0000-0000-0000578C0000}"/>
    <cellStyle name="표준 5 3 3 5 2 10" xfId="24215" xr:uid="{00000000-0005-0000-0000-0000588C0000}"/>
    <cellStyle name="표준 5 3 3 5 2 11" xfId="32426" xr:uid="{00000000-0005-0000-0000-0000598C0000}"/>
    <cellStyle name="표준 5 3 3 5 2 12" xfId="40619" xr:uid="{00000000-0005-0000-0000-00005A8C0000}"/>
    <cellStyle name="표준 5 3 3 5 2 2" xfId="1262" xr:uid="{00000000-0005-0000-0000-00005B8C0000}"/>
    <cellStyle name="표준 5 3 3 5 2 2 2" xfId="10165" xr:uid="{00000000-0005-0000-0000-00005C8C0000}"/>
    <cellStyle name="표준 5 3 3 5 2 2 2 2" xfId="14277" xr:uid="{00000000-0005-0000-0000-00005D8C0000}"/>
    <cellStyle name="표준 5 3 3 5 2 2 2 2 2" xfId="30871" xr:uid="{00000000-0005-0000-0000-00005E8C0000}"/>
    <cellStyle name="표준 5 3 3 5 2 2 2 2 3" xfId="39082" xr:uid="{00000000-0005-0000-0000-00005F8C0000}"/>
    <cellStyle name="표준 5 3 3 5 2 2 2 2 4" xfId="47275" xr:uid="{00000000-0005-0000-0000-0000608C0000}"/>
    <cellStyle name="표준 5 3 3 5 2 2 2 3" xfId="18517" xr:uid="{00000000-0005-0000-0000-0000618C0000}"/>
    <cellStyle name="표준 5 3 3 5 2 2 2 4" xfId="22679" xr:uid="{00000000-0005-0000-0000-0000628C0000}"/>
    <cellStyle name="표준 5 3 3 5 2 2 2 5" xfId="26775" xr:uid="{00000000-0005-0000-0000-0000638C0000}"/>
    <cellStyle name="표준 5 3 3 5 2 2 2 6" xfId="34986" xr:uid="{00000000-0005-0000-0000-0000648C0000}"/>
    <cellStyle name="표준 5 3 3 5 2 2 2 7" xfId="43179" xr:uid="{00000000-0005-0000-0000-0000658C0000}"/>
    <cellStyle name="표준 5 3 3 5 2 2 3" xfId="8117" xr:uid="{00000000-0005-0000-0000-0000668C0000}"/>
    <cellStyle name="표준 5 3 3 5 2 2 3 2" xfId="28823" xr:uid="{00000000-0005-0000-0000-0000678C0000}"/>
    <cellStyle name="표준 5 3 3 5 2 2 3 3" xfId="37034" xr:uid="{00000000-0005-0000-0000-0000688C0000}"/>
    <cellStyle name="표준 5 3 3 5 2 2 3 4" xfId="45227" xr:uid="{00000000-0005-0000-0000-0000698C0000}"/>
    <cellStyle name="표준 5 3 3 5 2 2 4" xfId="12229" xr:uid="{00000000-0005-0000-0000-00006A8C0000}"/>
    <cellStyle name="표준 5 3 3 5 2 2 5" xfId="16469" xr:uid="{00000000-0005-0000-0000-00006B8C0000}"/>
    <cellStyle name="표준 5 3 3 5 2 2 6" xfId="20631" xr:uid="{00000000-0005-0000-0000-00006C8C0000}"/>
    <cellStyle name="표준 5 3 3 5 2 2 7" xfId="24727" xr:uid="{00000000-0005-0000-0000-00006D8C0000}"/>
    <cellStyle name="표준 5 3 3 5 2 2 8" xfId="32938" xr:uid="{00000000-0005-0000-0000-00006E8C0000}"/>
    <cellStyle name="표준 5 3 3 5 2 2 9" xfId="41131" xr:uid="{00000000-0005-0000-0000-00006F8C0000}"/>
    <cellStyle name="표준 5 3 3 5 2 3" xfId="1774" xr:uid="{00000000-0005-0000-0000-0000708C0000}"/>
    <cellStyle name="표준 5 3 3 5 2 3 2" xfId="10677" xr:uid="{00000000-0005-0000-0000-0000718C0000}"/>
    <cellStyle name="표준 5 3 3 5 2 3 2 2" xfId="14789" xr:uid="{00000000-0005-0000-0000-0000728C0000}"/>
    <cellStyle name="표준 5 3 3 5 2 3 2 2 2" xfId="31383" xr:uid="{00000000-0005-0000-0000-0000738C0000}"/>
    <cellStyle name="표준 5 3 3 5 2 3 2 2 3" xfId="39594" xr:uid="{00000000-0005-0000-0000-0000748C0000}"/>
    <cellStyle name="표준 5 3 3 5 2 3 2 2 4" xfId="47787" xr:uid="{00000000-0005-0000-0000-0000758C0000}"/>
    <cellStyle name="표준 5 3 3 5 2 3 2 3" xfId="19029" xr:uid="{00000000-0005-0000-0000-0000768C0000}"/>
    <cellStyle name="표준 5 3 3 5 2 3 2 4" xfId="23191" xr:uid="{00000000-0005-0000-0000-0000778C0000}"/>
    <cellStyle name="표준 5 3 3 5 2 3 2 5" xfId="27287" xr:uid="{00000000-0005-0000-0000-0000788C0000}"/>
    <cellStyle name="표준 5 3 3 5 2 3 2 6" xfId="35498" xr:uid="{00000000-0005-0000-0000-0000798C0000}"/>
    <cellStyle name="표준 5 3 3 5 2 3 2 7" xfId="43691" xr:uid="{00000000-0005-0000-0000-00007A8C0000}"/>
    <cellStyle name="표준 5 3 3 5 2 3 3" xfId="8629" xr:uid="{00000000-0005-0000-0000-00007B8C0000}"/>
    <cellStyle name="표준 5 3 3 5 2 3 3 2" xfId="29335" xr:uid="{00000000-0005-0000-0000-00007C8C0000}"/>
    <cellStyle name="표준 5 3 3 5 2 3 3 3" xfId="37546" xr:uid="{00000000-0005-0000-0000-00007D8C0000}"/>
    <cellStyle name="표준 5 3 3 5 2 3 3 4" xfId="45739" xr:uid="{00000000-0005-0000-0000-00007E8C0000}"/>
    <cellStyle name="표준 5 3 3 5 2 3 4" xfId="12741" xr:uid="{00000000-0005-0000-0000-00007F8C0000}"/>
    <cellStyle name="표준 5 3 3 5 2 3 5" xfId="16981" xr:uid="{00000000-0005-0000-0000-0000808C0000}"/>
    <cellStyle name="표준 5 3 3 5 2 3 6" xfId="21143" xr:uid="{00000000-0005-0000-0000-0000818C0000}"/>
    <cellStyle name="표준 5 3 3 5 2 3 7" xfId="25239" xr:uid="{00000000-0005-0000-0000-0000828C0000}"/>
    <cellStyle name="표준 5 3 3 5 2 3 8" xfId="33450" xr:uid="{00000000-0005-0000-0000-0000838C0000}"/>
    <cellStyle name="표준 5 3 3 5 2 3 9" xfId="41643" xr:uid="{00000000-0005-0000-0000-0000848C0000}"/>
    <cellStyle name="표준 5 3 3 5 2 4" xfId="2286" xr:uid="{00000000-0005-0000-0000-0000858C0000}"/>
    <cellStyle name="표준 5 3 3 5 2 4 2" xfId="11189" xr:uid="{00000000-0005-0000-0000-0000868C0000}"/>
    <cellStyle name="표준 5 3 3 5 2 4 2 2" xfId="15301" xr:uid="{00000000-0005-0000-0000-0000878C0000}"/>
    <cellStyle name="표준 5 3 3 5 2 4 2 2 2" xfId="31895" xr:uid="{00000000-0005-0000-0000-0000888C0000}"/>
    <cellStyle name="표준 5 3 3 5 2 4 2 2 3" xfId="40106" xr:uid="{00000000-0005-0000-0000-0000898C0000}"/>
    <cellStyle name="표준 5 3 3 5 2 4 2 2 4" xfId="48299" xr:uid="{00000000-0005-0000-0000-00008A8C0000}"/>
    <cellStyle name="표준 5 3 3 5 2 4 2 3" xfId="19541" xr:uid="{00000000-0005-0000-0000-00008B8C0000}"/>
    <cellStyle name="표준 5 3 3 5 2 4 2 4" xfId="23703" xr:uid="{00000000-0005-0000-0000-00008C8C0000}"/>
    <cellStyle name="표준 5 3 3 5 2 4 2 5" xfId="27799" xr:uid="{00000000-0005-0000-0000-00008D8C0000}"/>
    <cellStyle name="표준 5 3 3 5 2 4 2 6" xfId="36010" xr:uid="{00000000-0005-0000-0000-00008E8C0000}"/>
    <cellStyle name="표준 5 3 3 5 2 4 2 7" xfId="44203" xr:uid="{00000000-0005-0000-0000-00008F8C0000}"/>
    <cellStyle name="표준 5 3 3 5 2 4 3" xfId="9141" xr:uid="{00000000-0005-0000-0000-0000908C0000}"/>
    <cellStyle name="표준 5 3 3 5 2 4 3 2" xfId="29847" xr:uid="{00000000-0005-0000-0000-0000918C0000}"/>
    <cellStyle name="표준 5 3 3 5 2 4 3 3" xfId="38058" xr:uid="{00000000-0005-0000-0000-0000928C0000}"/>
    <cellStyle name="표준 5 3 3 5 2 4 3 4" xfId="46251" xr:uid="{00000000-0005-0000-0000-0000938C0000}"/>
    <cellStyle name="표준 5 3 3 5 2 4 4" xfId="13253" xr:uid="{00000000-0005-0000-0000-0000948C0000}"/>
    <cellStyle name="표준 5 3 3 5 2 4 5" xfId="17493" xr:uid="{00000000-0005-0000-0000-0000958C0000}"/>
    <cellStyle name="표준 5 3 3 5 2 4 6" xfId="21655" xr:uid="{00000000-0005-0000-0000-0000968C0000}"/>
    <cellStyle name="표준 5 3 3 5 2 4 7" xfId="25751" xr:uid="{00000000-0005-0000-0000-0000978C0000}"/>
    <cellStyle name="표준 5 3 3 5 2 4 8" xfId="33962" xr:uid="{00000000-0005-0000-0000-0000988C0000}"/>
    <cellStyle name="표준 5 3 3 5 2 4 9" xfId="42155" xr:uid="{00000000-0005-0000-0000-0000998C0000}"/>
    <cellStyle name="표준 5 3 3 5 2 5" xfId="9653" xr:uid="{00000000-0005-0000-0000-00009A8C0000}"/>
    <cellStyle name="표준 5 3 3 5 2 5 2" xfId="13765" xr:uid="{00000000-0005-0000-0000-00009B8C0000}"/>
    <cellStyle name="표준 5 3 3 5 2 5 2 2" xfId="30359" xr:uid="{00000000-0005-0000-0000-00009C8C0000}"/>
    <cellStyle name="표준 5 3 3 5 2 5 2 3" xfId="38570" xr:uid="{00000000-0005-0000-0000-00009D8C0000}"/>
    <cellStyle name="표준 5 3 3 5 2 5 2 4" xfId="46763" xr:uid="{00000000-0005-0000-0000-00009E8C0000}"/>
    <cellStyle name="표준 5 3 3 5 2 5 3" xfId="18005" xr:uid="{00000000-0005-0000-0000-00009F8C0000}"/>
    <cellStyle name="표준 5 3 3 5 2 5 4" xfId="22167" xr:uid="{00000000-0005-0000-0000-0000A08C0000}"/>
    <cellStyle name="표준 5 3 3 5 2 5 5" xfId="26263" xr:uid="{00000000-0005-0000-0000-0000A18C0000}"/>
    <cellStyle name="표준 5 3 3 5 2 5 6" xfId="34474" xr:uid="{00000000-0005-0000-0000-0000A28C0000}"/>
    <cellStyle name="표준 5 3 3 5 2 5 7" xfId="42667" xr:uid="{00000000-0005-0000-0000-0000A38C0000}"/>
    <cellStyle name="표준 5 3 3 5 2 6" xfId="7605" xr:uid="{00000000-0005-0000-0000-0000A48C0000}"/>
    <cellStyle name="표준 5 3 3 5 2 6 2" xfId="28311" xr:uid="{00000000-0005-0000-0000-0000A58C0000}"/>
    <cellStyle name="표준 5 3 3 5 2 6 3" xfId="36522" xr:uid="{00000000-0005-0000-0000-0000A68C0000}"/>
    <cellStyle name="표준 5 3 3 5 2 6 4" xfId="44715" xr:uid="{00000000-0005-0000-0000-0000A78C0000}"/>
    <cellStyle name="표준 5 3 3 5 2 7" xfId="11717" xr:uid="{00000000-0005-0000-0000-0000A88C0000}"/>
    <cellStyle name="표준 5 3 3 5 2 8" xfId="15957" xr:uid="{00000000-0005-0000-0000-0000A98C0000}"/>
    <cellStyle name="표준 5 3 3 5 2 9" xfId="20119" xr:uid="{00000000-0005-0000-0000-0000AA8C0000}"/>
    <cellStyle name="표준 5 3 3 5 3" xfId="1006" xr:uid="{00000000-0005-0000-0000-0000AB8C0000}"/>
    <cellStyle name="표준 5 3 3 5 3 2" xfId="9909" xr:uid="{00000000-0005-0000-0000-0000AC8C0000}"/>
    <cellStyle name="표준 5 3 3 5 3 2 2" xfId="14021" xr:uid="{00000000-0005-0000-0000-0000AD8C0000}"/>
    <cellStyle name="표준 5 3 3 5 3 2 2 2" xfId="30615" xr:uid="{00000000-0005-0000-0000-0000AE8C0000}"/>
    <cellStyle name="표준 5 3 3 5 3 2 2 3" xfId="38826" xr:uid="{00000000-0005-0000-0000-0000AF8C0000}"/>
    <cellStyle name="표준 5 3 3 5 3 2 2 4" xfId="47019" xr:uid="{00000000-0005-0000-0000-0000B08C0000}"/>
    <cellStyle name="표준 5 3 3 5 3 2 3" xfId="18261" xr:uid="{00000000-0005-0000-0000-0000B18C0000}"/>
    <cellStyle name="표준 5 3 3 5 3 2 4" xfId="22423" xr:uid="{00000000-0005-0000-0000-0000B28C0000}"/>
    <cellStyle name="표준 5 3 3 5 3 2 5" xfId="26519" xr:uid="{00000000-0005-0000-0000-0000B38C0000}"/>
    <cellStyle name="표준 5 3 3 5 3 2 6" xfId="34730" xr:uid="{00000000-0005-0000-0000-0000B48C0000}"/>
    <cellStyle name="표준 5 3 3 5 3 2 7" xfId="42923" xr:uid="{00000000-0005-0000-0000-0000B58C0000}"/>
    <cellStyle name="표준 5 3 3 5 3 3" xfId="7861" xr:uid="{00000000-0005-0000-0000-0000B68C0000}"/>
    <cellStyle name="표준 5 3 3 5 3 3 2" xfId="28567" xr:uid="{00000000-0005-0000-0000-0000B78C0000}"/>
    <cellStyle name="표준 5 3 3 5 3 3 3" xfId="36778" xr:uid="{00000000-0005-0000-0000-0000B88C0000}"/>
    <cellStyle name="표준 5 3 3 5 3 3 4" xfId="44971" xr:uid="{00000000-0005-0000-0000-0000B98C0000}"/>
    <cellStyle name="표준 5 3 3 5 3 4" xfId="11973" xr:uid="{00000000-0005-0000-0000-0000BA8C0000}"/>
    <cellStyle name="표준 5 3 3 5 3 5" xfId="16213" xr:uid="{00000000-0005-0000-0000-0000BB8C0000}"/>
    <cellStyle name="표준 5 3 3 5 3 6" xfId="20375" xr:uid="{00000000-0005-0000-0000-0000BC8C0000}"/>
    <cellStyle name="표준 5 3 3 5 3 7" xfId="24471" xr:uid="{00000000-0005-0000-0000-0000BD8C0000}"/>
    <cellStyle name="표준 5 3 3 5 3 8" xfId="32682" xr:uid="{00000000-0005-0000-0000-0000BE8C0000}"/>
    <cellStyle name="표준 5 3 3 5 3 9" xfId="40875" xr:uid="{00000000-0005-0000-0000-0000BF8C0000}"/>
    <cellStyle name="표준 5 3 3 5 4" xfId="1518" xr:uid="{00000000-0005-0000-0000-0000C08C0000}"/>
    <cellStyle name="표준 5 3 3 5 4 2" xfId="10421" xr:uid="{00000000-0005-0000-0000-0000C18C0000}"/>
    <cellStyle name="표준 5 3 3 5 4 2 2" xfId="14533" xr:uid="{00000000-0005-0000-0000-0000C28C0000}"/>
    <cellStyle name="표준 5 3 3 5 4 2 2 2" xfId="31127" xr:uid="{00000000-0005-0000-0000-0000C38C0000}"/>
    <cellStyle name="표준 5 3 3 5 4 2 2 3" xfId="39338" xr:uid="{00000000-0005-0000-0000-0000C48C0000}"/>
    <cellStyle name="표준 5 3 3 5 4 2 2 4" xfId="47531" xr:uid="{00000000-0005-0000-0000-0000C58C0000}"/>
    <cellStyle name="표준 5 3 3 5 4 2 3" xfId="18773" xr:uid="{00000000-0005-0000-0000-0000C68C0000}"/>
    <cellStyle name="표준 5 3 3 5 4 2 4" xfId="22935" xr:uid="{00000000-0005-0000-0000-0000C78C0000}"/>
    <cellStyle name="표준 5 3 3 5 4 2 5" xfId="27031" xr:uid="{00000000-0005-0000-0000-0000C88C0000}"/>
    <cellStyle name="표준 5 3 3 5 4 2 6" xfId="35242" xr:uid="{00000000-0005-0000-0000-0000C98C0000}"/>
    <cellStyle name="표준 5 3 3 5 4 2 7" xfId="43435" xr:uid="{00000000-0005-0000-0000-0000CA8C0000}"/>
    <cellStyle name="표준 5 3 3 5 4 3" xfId="8373" xr:uid="{00000000-0005-0000-0000-0000CB8C0000}"/>
    <cellStyle name="표준 5 3 3 5 4 3 2" xfId="29079" xr:uid="{00000000-0005-0000-0000-0000CC8C0000}"/>
    <cellStyle name="표준 5 3 3 5 4 3 3" xfId="37290" xr:uid="{00000000-0005-0000-0000-0000CD8C0000}"/>
    <cellStyle name="표준 5 3 3 5 4 3 4" xfId="45483" xr:uid="{00000000-0005-0000-0000-0000CE8C0000}"/>
    <cellStyle name="표준 5 3 3 5 4 4" xfId="12485" xr:uid="{00000000-0005-0000-0000-0000CF8C0000}"/>
    <cellStyle name="표준 5 3 3 5 4 5" xfId="16725" xr:uid="{00000000-0005-0000-0000-0000D08C0000}"/>
    <cellStyle name="표준 5 3 3 5 4 6" xfId="20887" xr:uid="{00000000-0005-0000-0000-0000D18C0000}"/>
    <cellStyle name="표준 5 3 3 5 4 7" xfId="24983" xr:uid="{00000000-0005-0000-0000-0000D28C0000}"/>
    <cellStyle name="표준 5 3 3 5 4 8" xfId="33194" xr:uid="{00000000-0005-0000-0000-0000D38C0000}"/>
    <cellStyle name="표준 5 3 3 5 4 9" xfId="41387" xr:uid="{00000000-0005-0000-0000-0000D48C0000}"/>
    <cellStyle name="표준 5 3 3 5 5" xfId="2030" xr:uid="{00000000-0005-0000-0000-0000D58C0000}"/>
    <cellStyle name="표준 5 3 3 5 5 2" xfId="10933" xr:uid="{00000000-0005-0000-0000-0000D68C0000}"/>
    <cellStyle name="표준 5 3 3 5 5 2 2" xfId="15045" xr:uid="{00000000-0005-0000-0000-0000D78C0000}"/>
    <cellStyle name="표준 5 3 3 5 5 2 2 2" xfId="31639" xr:uid="{00000000-0005-0000-0000-0000D88C0000}"/>
    <cellStyle name="표준 5 3 3 5 5 2 2 3" xfId="39850" xr:uid="{00000000-0005-0000-0000-0000D98C0000}"/>
    <cellStyle name="표준 5 3 3 5 5 2 2 4" xfId="48043" xr:uid="{00000000-0005-0000-0000-0000DA8C0000}"/>
    <cellStyle name="표준 5 3 3 5 5 2 3" xfId="19285" xr:uid="{00000000-0005-0000-0000-0000DB8C0000}"/>
    <cellStyle name="표준 5 3 3 5 5 2 4" xfId="23447" xr:uid="{00000000-0005-0000-0000-0000DC8C0000}"/>
    <cellStyle name="표준 5 3 3 5 5 2 5" xfId="27543" xr:uid="{00000000-0005-0000-0000-0000DD8C0000}"/>
    <cellStyle name="표준 5 3 3 5 5 2 6" xfId="35754" xr:uid="{00000000-0005-0000-0000-0000DE8C0000}"/>
    <cellStyle name="표준 5 3 3 5 5 2 7" xfId="43947" xr:uid="{00000000-0005-0000-0000-0000DF8C0000}"/>
    <cellStyle name="표준 5 3 3 5 5 3" xfId="8885" xr:uid="{00000000-0005-0000-0000-0000E08C0000}"/>
    <cellStyle name="표준 5 3 3 5 5 3 2" xfId="29591" xr:uid="{00000000-0005-0000-0000-0000E18C0000}"/>
    <cellStyle name="표준 5 3 3 5 5 3 3" xfId="37802" xr:uid="{00000000-0005-0000-0000-0000E28C0000}"/>
    <cellStyle name="표준 5 3 3 5 5 3 4" xfId="45995" xr:uid="{00000000-0005-0000-0000-0000E38C0000}"/>
    <cellStyle name="표준 5 3 3 5 5 4" xfId="12997" xr:uid="{00000000-0005-0000-0000-0000E48C0000}"/>
    <cellStyle name="표준 5 3 3 5 5 5" xfId="17237" xr:uid="{00000000-0005-0000-0000-0000E58C0000}"/>
    <cellStyle name="표준 5 3 3 5 5 6" xfId="21399" xr:uid="{00000000-0005-0000-0000-0000E68C0000}"/>
    <cellStyle name="표준 5 3 3 5 5 7" xfId="25495" xr:uid="{00000000-0005-0000-0000-0000E78C0000}"/>
    <cellStyle name="표준 5 3 3 5 5 8" xfId="33706" xr:uid="{00000000-0005-0000-0000-0000E88C0000}"/>
    <cellStyle name="표준 5 3 3 5 5 9" xfId="41899" xr:uid="{00000000-0005-0000-0000-0000E98C0000}"/>
    <cellStyle name="표준 5 3 3 5 6" xfId="9397" xr:uid="{00000000-0005-0000-0000-0000EA8C0000}"/>
    <cellStyle name="표준 5 3 3 5 6 2" xfId="13509" xr:uid="{00000000-0005-0000-0000-0000EB8C0000}"/>
    <cellStyle name="표준 5 3 3 5 6 2 2" xfId="30103" xr:uid="{00000000-0005-0000-0000-0000EC8C0000}"/>
    <cellStyle name="표준 5 3 3 5 6 2 3" xfId="38314" xr:uid="{00000000-0005-0000-0000-0000ED8C0000}"/>
    <cellStyle name="표준 5 3 3 5 6 2 4" xfId="46507" xr:uid="{00000000-0005-0000-0000-0000EE8C0000}"/>
    <cellStyle name="표준 5 3 3 5 6 3" xfId="17749" xr:uid="{00000000-0005-0000-0000-0000EF8C0000}"/>
    <cellStyle name="표준 5 3 3 5 6 4" xfId="21911" xr:uid="{00000000-0005-0000-0000-0000F08C0000}"/>
    <cellStyle name="표준 5 3 3 5 6 5" xfId="26007" xr:uid="{00000000-0005-0000-0000-0000F18C0000}"/>
    <cellStyle name="표준 5 3 3 5 6 6" xfId="34218" xr:uid="{00000000-0005-0000-0000-0000F28C0000}"/>
    <cellStyle name="표준 5 3 3 5 6 7" xfId="42411" xr:uid="{00000000-0005-0000-0000-0000F38C0000}"/>
    <cellStyle name="표준 5 3 3 5 7" xfId="7349" xr:uid="{00000000-0005-0000-0000-0000F48C0000}"/>
    <cellStyle name="표준 5 3 3 5 7 2" xfId="28055" xr:uid="{00000000-0005-0000-0000-0000F58C0000}"/>
    <cellStyle name="표준 5 3 3 5 7 3" xfId="36266" xr:uid="{00000000-0005-0000-0000-0000F68C0000}"/>
    <cellStyle name="표준 5 3 3 5 7 4" xfId="44459" xr:uid="{00000000-0005-0000-0000-0000F78C0000}"/>
    <cellStyle name="표준 5 3 3 5 8" xfId="11461" xr:uid="{00000000-0005-0000-0000-0000F88C0000}"/>
    <cellStyle name="표준 5 3 3 5 9" xfId="15701" xr:uid="{00000000-0005-0000-0000-0000F98C0000}"/>
    <cellStyle name="표준 5 3 3 6" xfId="622" xr:uid="{00000000-0005-0000-0000-0000FA8C0000}"/>
    <cellStyle name="표준 5 3 3 6 10" xfId="24087" xr:uid="{00000000-0005-0000-0000-0000FB8C0000}"/>
    <cellStyle name="표준 5 3 3 6 11" xfId="32298" xr:uid="{00000000-0005-0000-0000-0000FC8C0000}"/>
    <cellStyle name="표준 5 3 3 6 12" xfId="40491" xr:uid="{00000000-0005-0000-0000-0000FD8C0000}"/>
    <cellStyle name="표준 5 3 3 6 2" xfId="1134" xr:uid="{00000000-0005-0000-0000-0000FE8C0000}"/>
    <cellStyle name="표준 5 3 3 6 2 2" xfId="10037" xr:uid="{00000000-0005-0000-0000-0000FF8C0000}"/>
    <cellStyle name="표준 5 3 3 6 2 2 2" xfId="14149" xr:uid="{00000000-0005-0000-0000-0000008D0000}"/>
    <cellStyle name="표준 5 3 3 6 2 2 2 2" xfId="30743" xr:uid="{00000000-0005-0000-0000-0000018D0000}"/>
    <cellStyle name="표준 5 3 3 6 2 2 2 3" xfId="38954" xr:uid="{00000000-0005-0000-0000-0000028D0000}"/>
    <cellStyle name="표준 5 3 3 6 2 2 2 4" xfId="47147" xr:uid="{00000000-0005-0000-0000-0000038D0000}"/>
    <cellStyle name="표준 5 3 3 6 2 2 3" xfId="18389" xr:uid="{00000000-0005-0000-0000-0000048D0000}"/>
    <cellStyle name="표준 5 3 3 6 2 2 4" xfId="22551" xr:uid="{00000000-0005-0000-0000-0000058D0000}"/>
    <cellStyle name="표준 5 3 3 6 2 2 5" xfId="26647" xr:uid="{00000000-0005-0000-0000-0000068D0000}"/>
    <cellStyle name="표준 5 3 3 6 2 2 6" xfId="34858" xr:uid="{00000000-0005-0000-0000-0000078D0000}"/>
    <cellStyle name="표준 5 3 3 6 2 2 7" xfId="43051" xr:uid="{00000000-0005-0000-0000-0000088D0000}"/>
    <cellStyle name="표준 5 3 3 6 2 3" xfId="7989" xr:uid="{00000000-0005-0000-0000-0000098D0000}"/>
    <cellStyle name="표준 5 3 3 6 2 3 2" xfId="28695" xr:uid="{00000000-0005-0000-0000-00000A8D0000}"/>
    <cellStyle name="표준 5 3 3 6 2 3 3" xfId="36906" xr:uid="{00000000-0005-0000-0000-00000B8D0000}"/>
    <cellStyle name="표준 5 3 3 6 2 3 4" xfId="45099" xr:uid="{00000000-0005-0000-0000-00000C8D0000}"/>
    <cellStyle name="표준 5 3 3 6 2 4" xfId="12101" xr:uid="{00000000-0005-0000-0000-00000D8D0000}"/>
    <cellStyle name="표준 5 3 3 6 2 5" xfId="16341" xr:uid="{00000000-0005-0000-0000-00000E8D0000}"/>
    <cellStyle name="표준 5 3 3 6 2 6" xfId="20503" xr:uid="{00000000-0005-0000-0000-00000F8D0000}"/>
    <cellStyle name="표준 5 3 3 6 2 7" xfId="24599" xr:uid="{00000000-0005-0000-0000-0000108D0000}"/>
    <cellStyle name="표준 5 3 3 6 2 8" xfId="32810" xr:uid="{00000000-0005-0000-0000-0000118D0000}"/>
    <cellStyle name="표준 5 3 3 6 2 9" xfId="41003" xr:uid="{00000000-0005-0000-0000-0000128D0000}"/>
    <cellStyle name="표준 5 3 3 6 3" xfId="1646" xr:uid="{00000000-0005-0000-0000-0000138D0000}"/>
    <cellStyle name="표준 5 3 3 6 3 2" xfId="10549" xr:uid="{00000000-0005-0000-0000-0000148D0000}"/>
    <cellStyle name="표준 5 3 3 6 3 2 2" xfId="14661" xr:uid="{00000000-0005-0000-0000-0000158D0000}"/>
    <cellStyle name="표준 5 3 3 6 3 2 2 2" xfId="31255" xr:uid="{00000000-0005-0000-0000-0000168D0000}"/>
    <cellStyle name="표준 5 3 3 6 3 2 2 3" xfId="39466" xr:uid="{00000000-0005-0000-0000-0000178D0000}"/>
    <cellStyle name="표준 5 3 3 6 3 2 2 4" xfId="47659" xr:uid="{00000000-0005-0000-0000-0000188D0000}"/>
    <cellStyle name="표준 5 3 3 6 3 2 3" xfId="18901" xr:uid="{00000000-0005-0000-0000-0000198D0000}"/>
    <cellStyle name="표준 5 3 3 6 3 2 4" xfId="23063" xr:uid="{00000000-0005-0000-0000-00001A8D0000}"/>
    <cellStyle name="표준 5 3 3 6 3 2 5" xfId="27159" xr:uid="{00000000-0005-0000-0000-00001B8D0000}"/>
    <cellStyle name="표준 5 3 3 6 3 2 6" xfId="35370" xr:uid="{00000000-0005-0000-0000-00001C8D0000}"/>
    <cellStyle name="표준 5 3 3 6 3 2 7" xfId="43563" xr:uid="{00000000-0005-0000-0000-00001D8D0000}"/>
    <cellStyle name="표준 5 3 3 6 3 3" xfId="8501" xr:uid="{00000000-0005-0000-0000-00001E8D0000}"/>
    <cellStyle name="표준 5 3 3 6 3 3 2" xfId="29207" xr:uid="{00000000-0005-0000-0000-00001F8D0000}"/>
    <cellStyle name="표준 5 3 3 6 3 3 3" xfId="37418" xr:uid="{00000000-0005-0000-0000-0000208D0000}"/>
    <cellStyle name="표준 5 3 3 6 3 3 4" xfId="45611" xr:uid="{00000000-0005-0000-0000-0000218D0000}"/>
    <cellStyle name="표준 5 3 3 6 3 4" xfId="12613" xr:uid="{00000000-0005-0000-0000-0000228D0000}"/>
    <cellStyle name="표준 5 3 3 6 3 5" xfId="16853" xr:uid="{00000000-0005-0000-0000-0000238D0000}"/>
    <cellStyle name="표준 5 3 3 6 3 6" xfId="21015" xr:uid="{00000000-0005-0000-0000-0000248D0000}"/>
    <cellStyle name="표준 5 3 3 6 3 7" xfId="25111" xr:uid="{00000000-0005-0000-0000-0000258D0000}"/>
    <cellStyle name="표준 5 3 3 6 3 8" xfId="33322" xr:uid="{00000000-0005-0000-0000-0000268D0000}"/>
    <cellStyle name="표준 5 3 3 6 3 9" xfId="41515" xr:uid="{00000000-0005-0000-0000-0000278D0000}"/>
    <cellStyle name="표준 5 3 3 6 4" xfId="2158" xr:uid="{00000000-0005-0000-0000-0000288D0000}"/>
    <cellStyle name="표준 5 3 3 6 4 2" xfId="11061" xr:uid="{00000000-0005-0000-0000-0000298D0000}"/>
    <cellStyle name="표준 5 3 3 6 4 2 2" xfId="15173" xr:uid="{00000000-0005-0000-0000-00002A8D0000}"/>
    <cellStyle name="표준 5 3 3 6 4 2 2 2" xfId="31767" xr:uid="{00000000-0005-0000-0000-00002B8D0000}"/>
    <cellStyle name="표준 5 3 3 6 4 2 2 3" xfId="39978" xr:uid="{00000000-0005-0000-0000-00002C8D0000}"/>
    <cellStyle name="표준 5 3 3 6 4 2 2 4" xfId="48171" xr:uid="{00000000-0005-0000-0000-00002D8D0000}"/>
    <cellStyle name="표준 5 3 3 6 4 2 3" xfId="19413" xr:uid="{00000000-0005-0000-0000-00002E8D0000}"/>
    <cellStyle name="표준 5 3 3 6 4 2 4" xfId="23575" xr:uid="{00000000-0005-0000-0000-00002F8D0000}"/>
    <cellStyle name="표준 5 3 3 6 4 2 5" xfId="27671" xr:uid="{00000000-0005-0000-0000-0000308D0000}"/>
    <cellStyle name="표준 5 3 3 6 4 2 6" xfId="35882" xr:uid="{00000000-0005-0000-0000-0000318D0000}"/>
    <cellStyle name="표준 5 3 3 6 4 2 7" xfId="44075" xr:uid="{00000000-0005-0000-0000-0000328D0000}"/>
    <cellStyle name="표준 5 3 3 6 4 3" xfId="9013" xr:uid="{00000000-0005-0000-0000-0000338D0000}"/>
    <cellStyle name="표준 5 3 3 6 4 3 2" xfId="29719" xr:uid="{00000000-0005-0000-0000-0000348D0000}"/>
    <cellStyle name="표준 5 3 3 6 4 3 3" xfId="37930" xr:uid="{00000000-0005-0000-0000-0000358D0000}"/>
    <cellStyle name="표준 5 3 3 6 4 3 4" xfId="46123" xr:uid="{00000000-0005-0000-0000-0000368D0000}"/>
    <cellStyle name="표준 5 3 3 6 4 4" xfId="13125" xr:uid="{00000000-0005-0000-0000-0000378D0000}"/>
    <cellStyle name="표준 5 3 3 6 4 5" xfId="17365" xr:uid="{00000000-0005-0000-0000-0000388D0000}"/>
    <cellStyle name="표준 5 3 3 6 4 6" xfId="21527" xr:uid="{00000000-0005-0000-0000-0000398D0000}"/>
    <cellStyle name="표준 5 3 3 6 4 7" xfId="25623" xr:uid="{00000000-0005-0000-0000-00003A8D0000}"/>
    <cellStyle name="표준 5 3 3 6 4 8" xfId="33834" xr:uid="{00000000-0005-0000-0000-00003B8D0000}"/>
    <cellStyle name="표준 5 3 3 6 4 9" xfId="42027" xr:uid="{00000000-0005-0000-0000-00003C8D0000}"/>
    <cellStyle name="표준 5 3 3 6 5" xfId="9525" xr:uid="{00000000-0005-0000-0000-00003D8D0000}"/>
    <cellStyle name="표준 5 3 3 6 5 2" xfId="13637" xr:uid="{00000000-0005-0000-0000-00003E8D0000}"/>
    <cellStyle name="표준 5 3 3 6 5 2 2" xfId="30231" xr:uid="{00000000-0005-0000-0000-00003F8D0000}"/>
    <cellStyle name="표준 5 3 3 6 5 2 3" xfId="38442" xr:uid="{00000000-0005-0000-0000-0000408D0000}"/>
    <cellStyle name="표준 5 3 3 6 5 2 4" xfId="46635" xr:uid="{00000000-0005-0000-0000-0000418D0000}"/>
    <cellStyle name="표준 5 3 3 6 5 3" xfId="17877" xr:uid="{00000000-0005-0000-0000-0000428D0000}"/>
    <cellStyle name="표준 5 3 3 6 5 4" xfId="22039" xr:uid="{00000000-0005-0000-0000-0000438D0000}"/>
    <cellStyle name="표준 5 3 3 6 5 5" xfId="26135" xr:uid="{00000000-0005-0000-0000-0000448D0000}"/>
    <cellStyle name="표준 5 3 3 6 5 6" xfId="34346" xr:uid="{00000000-0005-0000-0000-0000458D0000}"/>
    <cellStyle name="표준 5 3 3 6 5 7" xfId="42539" xr:uid="{00000000-0005-0000-0000-0000468D0000}"/>
    <cellStyle name="표준 5 3 3 6 6" xfId="7477" xr:uid="{00000000-0005-0000-0000-0000478D0000}"/>
    <cellStyle name="표준 5 3 3 6 6 2" xfId="28183" xr:uid="{00000000-0005-0000-0000-0000488D0000}"/>
    <cellStyle name="표준 5 3 3 6 6 3" xfId="36394" xr:uid="{00000000-0005-0000-0000-0000498D0000}"/>
    <cellStyle name="표준 5 3 3 6 6 4" xfId="44587" xr:uid="{00000000-0005-0000-0000-00004A8D0000}"/>
    <cellStyle name="표준 5 3 3 6 7" xfId="11589" xr:uid="{00000000-0005-0000-0000-00004B8D0000}"/>
    <cellStyle name="표준 5 3 3 6 8" xfId="15829" xr:uid="{00000000-0005-0000-0000-00004C8D0000}"/>
    <cellStyle name="표준 5 3 3 6 9" xfId="19991" xr:uid="{00000000-0005-0000-0000-00004D8D0000}"/>
    <cellStyle name="표준 5 3 3 7" xfId="878" xr:uid="{00000000-0005-0000-0000-00004E8D0000}"/>
    <cellStyle name="표준 5 3 3 7 2" xfId="9781" xr:uid="{00000000-0005-0000-0000-00004F8D0000}"/>
    <cellStyle name="표준 5 3 3 7 2 2" xfId="13893" xr:uid="{00000000-0005-0000-0000-0000508D0000}"/>
    <cellStyle name="표준 5 3 3 7 2 2 2" xfId="30487" xr:uid="{00000000-0005-0000-0000-0000518D0000}"/>
    <cellStyle name="표준 5 3 3 7 2 2 3" xfId="38698" xr:uid="{00000000-0005-0000-0000-0000528D0000}"/>
    <cellStyle name="표준 5 3 3 7 2 2 4" xfId="46891" xr:uid="{00000000-0005-0000-0000-0000538D0000}"/>
    <cellStyle name="표준 5 3 3 7 2 3" xfId="18133" xr:uid="{00000000-0005-0000-0000-0000548D0000}"/>
    <cellStyle name="표준 5 3 3 7 2 4" xfId="22295" xr:uid="{00000000-0005-0000-0000-0000558D0000}"/>
    <cellStyle name="표준 5 3 3 7 2 5" xfId="26391" xr:uid="{00000000-0005-0000-0000-0000568D0000}"/>
    <cellStyle name="표준 5 3 3 7 2 6" xfId="34602" xr:uid="{00000000-0005-0000-0000-0000578D0000}"/>
    <cellStyle name="표준 5 3 3 7 2 7" xfId="42795" xr:uid="{00000000-0005-0000-0000-0000588D0000}"/>
    <cellStyle name="표준 5 3 3 7 3" xfId="7733" xr:uid="{00000000-0005-0000-0000-0000598D0000}"/>
    <cellStyle name="표준 5 3 3 7 3 2" xfId="28439" xr:uid="{00000000-0005-0000-0000-00005A8D0000}"/>
    <cellStyle name="표준 5 3 3 7 3 3" xfId="36650" xr:uid="{00000000-0005-0000-0000-00005B8D0000}"/>
    <cellStyle name="표준 5 3 3 7 3 4" xfId="44843" xr:uid="{00000000-0005-0000-0000-00005C8D0000}"/>
    <cellStyle name="표준 5 3 3 7 4" xfId="11845" xr:uid="{00000000-0005-0000-0000-00005D8D0000}"/>
    <cellStyle name="표준 5 3 3 7 5" xfId="16085" xr:uid="{00000000-0005-0000-0000-00005E8D0000}"/>
    <cellStyle name="표준 5 3 3 7 6" xfId="20247" xr:uid="{00000000-0005-0000-0000-00005F8D0000}"/>
    <cellStyle name="표준 5 3 3 7 7" xfId="24343" xr:uid="{00000000-0005-0000-0000-0000608D0000}"/>
    <cellStyle name="표준 5 3 3 7 8" xfId="32554" xr:uid="{00000000-0005-0000-0000-0000618D0000}"/>
    <cellStyle name="표준 5 3 3 7 9" xfId="40747" xr:uid="{00000000-0005-0000-0000-0000628D0000}"/>
    <cellStyle name="표준 5 3 3 8" xfId="1390" xr:uid="{00000000-0005-0000-0000-0000638D0000}"/>
    <cellStyle name="표준 5 3 3 8 2" xfId="10293" xr:uid="{00000000-0005-0000-0000-0000648D0000}"/>
    <cellStyle name="표준 5 3 3 8 2 2" xfId="14405" xr:uid="{00000000-0005-0000-0000-0000658D0000}"/>
    <cellStyle name="표준 5 3 3 8 2 2 2" xfId="30999" xr:uid="{00000000-0005-0000-0000-0000668D0000}"/>
    <cellStyle name="표준 5 3 3 8 2 2 3" xfId="39210" xr:uid="{00000000-0005-0000-0000-0000678D0000}"/>
    <cellStyle name="표준 5 3 3 8 2 2 4" xfId="47403" xr:uid="{00000000-0005-0000-0000-0000688D0000}"/>
    <cellStyle name="표준 5 3 3 8 2 3" xfId="18645" xr:uid="{00000000-0005-0000-0000-0000698D0000}"/>
    <cellStyle name="표준 5 3 3 8 2 4" xfId="22807" xr:uid="{00000000-0005-0000-0000-00006A8D0000}"/>
    <cellStyle name="표준 5 3 3 8 2 5" xfId="26903" xr:uid="{00000000-0005-0000-0000-00006B8D0000}"/>
    <cellStyle name="표준 5 3 3 8 2 6" xfId="35114" xr:uid="{00000000-0005-0000-0000-00006C8D0000}"/>
    <cellStyle name="표준 5 3 3 8 2 7" xfId="43307" xr:uid="{00000000-0005-0000-0000-00006D8D0000}"/>
    <cellStyle name="표준 5 3 3 8 3" xfId="8245" xr:uid="{00000000-0005-0000-0000-00006E8D0000}"/>
    <cellStyle name="표준 5 3 3 8 3 2" xfId="28951" xr:uid="{00000000-0005-0000-0000-00006F8D0000}"/>
    <cellStyle name="표준 5 3 3 8 3 3" xfId="37162" xr:uid="{00000000-0005-0000-0000-0000708D0000}"/>
    <cellStyle name="표준 5 3 3 8 3 4" xfId="45355" xr:uid="{00000000-0005-0000-0000-0000718D0000}"/>
    <cellStyle name="표준 5 3 3 8 4" xfId="12357" xr:uid="{00000000-0005-0000-0000-0000728D0000}"/>
    <cellStyle name="표준 5 3 3 8 5" xfId="16597" xr:uid="{00000000-0005-0000-0000-0000738D0000}"/>
    <cellStyle name="표준 5 3 3 8 6" xfId="20759" xr:uid="{00000000-0005-0000-0000-0000748D0000}"/>
    <cellStyle name="표준 5 3 3 8 7" xfId="24855" xr:uid="{00000000-0005-0000-0000-0000758D0000}"/>
    <cellStyle name="표준 5 3 3 8 8" xfId="33066" xr:uid="{00000000-0005-0000-0000-0000768D0000}"/>
    <cellStyle name="표준 5 3 3 8 9" xfId="41259" xr:uid="{00000000-0005-0000-0000-0000778D0000}"/>
    <cellStyle name="표준 5 3 3 9" xfId="1902" xr:uid="{00000000-0005-0000-0000-0000788D0000}"/>
    <cellStyle name="표준 5 3 3 9 2" xfId="10805" xr:uid="{00000000-0005-0000-0000-0000798D0000}"/>
    <cellStyle name="표준 5 3 3 9 2 2" xfId="14917" xr:uid="{00000000-0005-0000-0000-00007A8D0000}"/>
    <cellStyle name="표준 5 3 3 9 2 2 2" xfId="31511" xr:uid="{00000000-0005-0000-0000-00007B8D0000}"/>
    <cellStyle name="표준 5 3 3 9 2 2 3" xfId="39722" xr:uid="{00000000-0005-0000-0000-00007C8D0000}"/>
    <cellStyle name="표준 5 3 3 9 2 2 4" xfId="47915" xr:uid="{00000000-0005-0000-0000-00007D8D0000}"/>
    <cellStyle name="표준 5 3 3 9 2 3" xfId="19157" xr:uid="{00000000-0005-0000-0000-00007E8D0000}"/>
    <cellStyle name="표준 5 3 3 9 2 4" xfId="23319" xr:uid="{00000000-0005-0000-0000-00007F8D0000}"/>
    <cellStyle name="표준 5 3 3 9 2 5" xfId="27415" xr:uid="{00000000-0005-0000-0000-0000808D0000}"/>
    <cellStyle name="표준 5 3 3 9 2 6" xfId="35626" xr:uid="{00000000-0005-0000-0000-0000818D0000}"/>
    <cellStyle name="표준 5 3 3 9 2 7" xfId="43819" xr:uid="{00000000-0005-0000-0000-0000828D0000}"/>
    <cellStyle name="표준 5 3 3 9 3" xfId="8757" xr:uid="{00000000-0005-0000-0000-0000838D0000}"/>
    <cellStyle name="표준 5 3 3 9 3 2" xfId="29463" xr:uid="{00000000-0005-0000-0000-0000848D0000}"/>
    <cellStyle name="표준 5 3 3 9 3 3" xfId="37674" xr:uid="{00000000-0005-0000-0000-0000858D0000}"/>
    <cellStyle name="표준 5 3 3 9 3 4" xfId="45867" xr:uid="{00000000-0005-0000-0000-0000868D0000}"/>
    <cellStyle name="표준 5 3 3 9 4" xfId="12869" xr:uid="{00000000-0005-0000-0000-0000878D0000}"/>
    <cellStyle name="표준 5 3 3 9 5" xfId="17109" xr:uid="{00000000-0005-0000-0000-0000888D0000}"/>
    <cellStyle name="표준 5 3 3 9 6" xfId="21271" xr:uid="{00000000-0005-0000-0000-0000898D0000}"/>
    <cellStyle name="표준 5 3 3 9 7" xfId="25367" xr:uid="{00000000-0005-0000-0000-00008A8D0000}"/>
    <cellStyle name="표준 5 3 3 9 8" xfId="33578" xr:uid="{00000000-0005-0000-0000-00008B8D0000}"/>
    <cellStyle name="표준 5 3 3 9 9" xfId="41771" xr:uid="{00000000-0005-0000-0000-00008C8D0000}"/>
    <cellStyle name="표준 5 3 30" xfId="19709" xr:uid="{00000000-0005-0000-0000-00008D8D0000}"/>
    <cellStyle name="표준 5 3 31" xfId="19736" xr:uid="{00000000-0005-0000-0000-00008E8D0000}"/>
    <cellStyle name="표준 5 3 32" xfId="23823" xr:uid="{00000000-0005-0000-0000-00008F8D0000}"/>
    <cellStyle name="표준 5 3 33" xfId="32017" xr:uid="{00000000-0005-0000-0000-0000908D0000}"/>
    <cellStyle name="표준 5 3 34" xfId="32034" xr:uid="{00000000-0005-0000-0000-0000918D0000}"/>
    <cellStyle name="표준 5 3 35" xfId="40227" xr:uid="{00000000-0005-0000-0000-0000928D0000}"/>
    <cellStyle name="표준 5 3 36" xfId="48429" xr:uid="{00000000-0005-0000-0000-0000938D0000}"/>
    <cellStyle name="표준 5 3 4" xfId="129" xr:uid="{00000000-0005-0000-0000-0000948D0000}"/>
    <cellStyle name="표준 5 3 4 10" xfId="7192" xr:uid="{00000000-0005-0000-0000-0000958D0000}"/>
    <cellStyle name="표준 5 3 4 10 2" xfId="27935" xr:uid="{00000000-0005-0000-0000-0000968D0000}"/>
    <cellStyle name="표준 5 3 4 10 3" xfId="36146" xr:uid="{00000000-0005-0000-0000-0000978D0000}"/>
    <cellStyle name="표준 5 3 4 10 4" xfId="44339" xr:uid="{00000000-0005-0000-0000-0000988D0000}"/>
    <cellStyle name="표준 5 3 4 11" xfId="7229" xr:uid="{00000000-0005-0000-0000-0000998D0000}"/>
    <cellStyle name="표준 5 3 4 12" xfId="11341" xr:uid="{00000000-0005-0000-0000-00009A8D0000}"/>
    <cellStyle name="표준 5 3 4 13" xfId="15469" xr:uid="{00000000-0005-0000-0000-00009B8D0000}"/>
    <cellStyle name="표준 5 3 4 14" xfId="15581" xr:uid="{00000000-0005-0000-0000-00009C8D0000}"/>
    <cellStyle name="표준 5 3 4 15" xfId="19743" xr:uid="{00000000-0005-0000-0000-00009D8D0000}"/>
    <cellStyle name="표준 5 3 4 16" xfId="23839" xr:uid="{00000000-0005-0000-0000-00009E8D0000}"/>
    <cellStyle name="표준 5 3 4 17" xfId="32050" xr:uid="{00000000-0005-0000-0000-00009F8D0000}"/>
    <cellStyle name="표준 5 3 4 18" xfId="40243" xr:uid="{00000000-0005-0000-0000-0000A08D0000}"/>
    <cellStyle name="표준 5 3 4 19" xfId="49650" xr:uid="{00000000-0005-0000-0000-0000A18D0000}"/>
    <cellStyle name="표준 5 3 4 2" xfId="406" xr:uid="{00000000-0005-0000-0000-0000A28D0000}"/>
    <cellStyle name="표준 5 3 4 2 10" xfId="7261" xr:uid="{00000000-0005-0000-0000-0000A38D0000}"/>
    <cellStyle name="표준 5 3 4 2 11" xfId="11373" xr:uid="{00000000-0005-0000-0000-0000A48D0000}"/>
    <cellStyle name="표준 5 3 4 2 12" xfId="15517" xr:uid="{00000000-0005-0000-0000-0000A58D0000}"/>
    <cellStyle name="표준 5 3 4 2 13" xfId="15613" xr:uid="{00000000-0005-0000-0000-0000A68D0000}"/>
    <cellStyle name="표준 5 3 4 2 14" xfId="19775" xr:uid="{00000000-0005-0000-0000-0000A78D0000}"/>
    <cellStyle name="표준 5 3 4 2 15" xfId="23871" xr:uid="{00000000-0005-0000-0000-0000A88D0000}"/>
    <cellStyle name="표준 5 3 4 2 16" xfId="32082" xr:uid="{00000000-0005-0000-0000-0000A98D0000}"/>
    <cellStyle name="표준 5 3 4 2 17" xfId="40275" xr:uid="{00000000-0005-0000-0000-0000AA8D0000}"/>
    <cellStyle name="표준 5 3 4 2 18" xfId="49716" xr:uid="{00000000-0005-0000-0000-0000AB8D0000}"/>
    <cellStyle name="표준 5 3 4 2 2" xfId="470" xr:uid="{00000000-0005-0000-0000-0000AC8D0000}"/>
    <cellStyle name="표준 5 3 4 2 2 10" xfId="15677" xr:uid="{00000000-0005-0000-0000-0000AD8D0000}"/>
    <cellStyle name="표준 5 3 4 2 2 11" xfId="19839" xr:uid="{00000000-0005-0000-0000-0000AE8D0000}"/>
    <cellStyle name="표준 5 3 4 2 2 12" xfId="23935" xr:uid="{00000000-0005-0000-0000-0000AF8D0000}"/>
    <cellStyle name="표준 5 3 4 2 2 13" xfId="32146" xr:uid="{00000000-0005-0000-0000-0000B08D0000}"/>
    <cellStyle name="표준 5 3 4 2 2 14" xfId="40339" xr:uid="{00000000-0005-0000-0000-0000B18D0000}"/>
    <cellStyle name="표준 5 3 4 2 2 2" xfId="598" xr:uid="{00000000-0005-0000-0000-0000B28D0000}"/>
    <cellStyle name="표준 5 3 4 2 2 2 10" xfId="19967" xr:uid="{00000000-0005-0000-0000-0000B38D0000}"/>
    <cellStyle name="표준 5 3 4 2 2 2 11" xfId="24063" xr:uid="{00000000-0005-0000-0000-0000B48D0000}"/>
    <cellStyle name="표준 5 3 4 2 2 2 12" xfId="32274" xr:uid="{00000000-0005-0000-0000-0000B58D0000}"/>
    <cellStyle name="표준 5 3 4 2 2 2 13" xfId="40467" xr:uid="{00000000-0005-0000-0000-0000B68D0000}"/>
    <cellStyle name="표준 5 3 4 2 2 2 2" xfId="854" xr:uid="{00000000-0005-0000-0000-0000B78D0000}"/>
    <cellStyle name="표준 5 3 4 2 2 2 2 10" xfId="24319" xr:uid="{00000000-0005-0000-0000-0000B88D0000}"/>
    <cellStyle name="표준 5 3 4 2 2 2 2 11" xfId="32530" xr:uid="{00000000-0005-0000-0000-0000B98D0000}"/>
    <cellStyle name="표준 5 3 4 2 2 2 2 12" xfId="40723" xr:uid="{00000000-0005-0000-0000-0000BA8D0000}"/>
    <cellStyle name="표준 5 3 4 2 2 2 2 2" xfId="1366" xr:uid="{00000000-0005-0000-0000-0000BB8D0000}"/>
    <cellStyle name="표준 5 3 4 2 2 2 2 2 2" xfId="10269" xr:uid="{00000000-0005-0000-0000-0000BC8D0000}"/>
    <cellStyle name="표준 5 3 4 2 2 2 2 2 2 2" xfId="14381" xr:uid="{00000000-0005-0000-0000-0000BD8D0000}"/>
    <cellStyle name="표준 5 3 4 2 2 2 2 2 2 2 2" xfId="30975" xr:uid="{00000000-0005-0000-0000-0000BE8D0000}"/>
    <cellStyle name="표준 5 3 4 2 2 2 2 2 2 2 3" xfId="39186" xr:uid="{00000000-0005-0000-0000-0000BF8D0000}"/>
    <cellStyle name="표준 5 3 4 2 2 2 2 2 2 2 4" xfId="47379" xr:uid="{00000000-0005-0000-0000-0000C08D0000}"/>
    <cellStyle name="표준 5 3 4 2 2 2 2 2 2 3" xfId="18621" xr:uid="{00000000-0005-0000-0000-0000C18D0000}"/>
    <cellStyle name="표준 5 3 4 2 2 2 2 2 2 4" xfId="22783" xr:uid="{00000000-0005-0000-0000-0000C28D0000}"/>
    <cellStyle name="표준 5 3 4 2 2 2 2 2 2 5" xfId="26879" xr:uid="{00000000-0005-0000-0000-0000C38D0000}"/>
    <cellStyle name="표준 5 3 4 2 2 2 2 2 2 6" xfId="35090" xr:uid="{00000000-0005-0000-0000-0000C48D0000}"/>
    <cellStyle name="표준 5 3 4 2 2 2 2 2 2 7" xfId="43283" xr:uid="{00000000-0005-0000-0000-0000C58D0000}"/>
    <cellStyle name="표준 5 3 4 2 2 2 2 2 3" xfId="8221" xr:uid="{00000000-0005-0000-0000-0000C68D0000}"/>
    <cellStyle name="표준 5 3 4 2 2 2 2 2 3 2" xfId="28927" xr:uid="{00000000-0005-0000-0000-0000C78D0000}"/>
    <cellStyle name="표준 5 3 4 2 2 2 2 2 3 3" xfId="37138" xr:uid="{00000000-0005-0000-0000-0000C88D0000}"/>
    <cellStyle name="표준 5 3 4 2 2 2 2 2 3 4" xfId="45331" xr:uid="{00000000-0005-0000-0000-0000C98D0000}"/>
    <cellStyle name="표준 5 3 4 2 2 2 2 2 4" xfId="12333" xr:uid="{00000000-0005-0000-0000-0000CA8D0000}"/>
    <cellStyle name="표준 5 3 4 2 2 2 2 2 5" xfId="16573" xr:uid="{00000000-0005-0000-0000-0000CB8D0000}"/>
    <cellStyle name="표준 5 3 4 2 2 2 2 2 6" xfId="20735" xr:uid="{00000000-0005-0000-0000-0000CC8D0000}"/>
    <cellStyle name="표준 5 3 4 2 2 2 2 2 7" xfId="24831" xr:uid="{00000000-0005-0000-0000-0000CD8D0000}"/>
    <cellStyle name="표준 5 3 4 2 2 2 2 2 8" xfId="33042" xr:uid="{00000000-0005-0000-0000-0000CE8D0000}"/>
    <cellStyle name="표준 5 3 4 2 2 2 2 2 9" xfId="41235" xr:uid="{00000000-0005-0000-0000-0000CF8D0000}"/>
    <cellStyle name="표준 5 3 4 2 2 2 2 3" xfId="1878" xr:uid="{00000000-0005-0000-0000-0000D08D0000}"/>
    <cellStyle name="표준 5 3 4 2 2 2 2 3 2" xfId="10781" xr:uid="{00000000-0005-0000-0000-0000D18D0000}"/>
    <cellStyle name="표준 5 3 4 2 2 2 2 3 2 2" xfId="14893" xr:uid="{00000000-0005-0000-0000-0000D28D0000}"/>
    <cellStyle name="표준 5 3 4 2 2 2 2 3 2 2 2" xfId="31487" xr:uid="{00000000-0005-0000-0000-0000D38D0000}"/>
    <cellStyle name="표준 5 3 4 2 2 2 2 3 2 2 3" xfId="39698" xr:uid="{00000000-0005-0000-0000-0000D48D0000}"/>
    <cellStyle name="표준 5 3 4 2 2 2 2 3 2 2 4" xfId="47891" xr:uid="{00000000-0005-0000-0000-0000D58D0000}"/>
    <cellStyle name="표준 5 3 4 2 2 2 2 3 2 3" xfId="19133" xr:uid="{00000000-0005-0000-0000-0000D68D0000}"/>
    <cellStyle name="표준 5 3 4 2 2 2 2 3 2 4" xfId="23295" xr:uid="{00000000-0005-0000-0000-0000D78D0000}"/>
    <cellStyle name="표준 5 3 4 2 2 2 2 3 2 5" xfId="27391" xr:uid="{00000000-0005-0000-0000-0000D88D0000}"/>
    <cellStyle name="표준 5 3 4 2 2 2 2 3 2 6" xfId="35602" xr:uid="{00000000-0005-0000-0000-0000D98D0000}"/>
    <cellStyle name="표준 5 3 4 2 2 2 2 3 2 7" xfId="43795" xr:uid="{00000000-0005-0000-0000-0000DA8D0000}"/>
    <cellStyle name="표준 5 3 4 2 2 2 2 3 3" xfId="8733" xr:uid="{00000000-0005-0000-0000-0000DB8D0000}"/>
    <cellStyle name="표준 5 3 4 2 2 2 2 3 3 2" xfId="29439" xr:uid="{00000000-0005-0000-0000-0000DC8D0000}"/>
    <cellStyle name="표준 5 3 4 2 2 2 2 3 3 3" xfId="37650" xr:uid="{00000000-0005-0000-0000-0000DD8D0000}"/>
    <cellStyle name="표준 5 3 4 2 2 2 2 3 3 4" xfId="45843" xr:uid="{00000000-0005-0000-0000-0000DE8D0000}"/>
    <cellStyle name="표준 5 3 4 2 2 2 2 3 4" xfId="12845" xr:uid="{00000000-0005-0000-0000-0000DF8D0000}"/>
    <cellStyle name="표준 5 3 4 2 2 2 2 3 5" xfId="17085" xr:uid="{00000000-0005-0000-0000-0000E08D0000}"/>
    <cellStyle name="표준 5 3 4 2 2 2 2 3 6" xfId="21247" xr:uid="{00000000-0005-0000-0000-0000E18D0000}"/>
    <cellStyle name="표준 5 3 4 2 2 2 2 3 7" xfId="25343" xr:uid="{00000000-0005-0000-0000-0000E28D0000}"/>
    <cellStyle name="표준 5 3 4 2 2 2 2 3 8" xfId="33554" xr:uid="{00000000-0005-0000-0000-0000E38D0000}"/>
    <cellStyle name="표준 5 3 4 2 2 2 2 3 9" xfId="41747" xr:uid="{00000000-0005-0000-0000-0000E48D0000}"/>
    <cellStyle name="표준 5 3 4 2 2 2 2 4" xfId="2390" xr:uid="{00000000-0005-0000-0000-0000E58D0000}"/>
    <cellStyle name="표준 5 3 4 2 2 2 2 4 2" xfId="11293" xr:uid="{00000000-0005-0000-0000-0000E68D0000}"/>
    <cellStyle name="표준 5 3 4 2 2 2 2 4 2 2" xfId="15405" xr:uid="{00000000-0005-0000-0000-0000E78D0000}"/>
    <cellStyle name="표준 5 3 4 2 2 2 2 4 2 2 2" xfId="31999" xr:uid="{00000000-0005-0000-0000-0000E88D0000}"/>
    <cellStyle name="표준 5 3 4 2 2 2 2 4 2 2 3" xfId="40210" xr:uid="{00000000-0005-0000-0000-0000E98D0000}"/>
    <cellStyle name="표준 5 3 4 2 2 2 2 4 2 2 4" xfId="48403" xr:uid="{00000000-0005-0000-0000-0000EA8D0000}"/>
    <cellStyle name="표준 5 3 4 2 2 2 2 4 2 3" xfId="19645" xr:uid="{00000000-0005-0000-0000-0000EB8D0000}"/>
    <cellStyle name="표준 5 3 4 2 2 2 2 4 2 4" xfId="23807" xr:uid="{00000000-0005-0000-0000-0000EC8D0000}"/>
    <cellStyle name="표준 5 3 4 2 2 2 2 4 2 5" xfId="27903" xr:uid="{00000000-0005-0000-0000-0000ED8D0000}"/>
    <cellStyle name="표준 5 3 4 2 2 2 2 4 2 6" xfId="36114" xr:uid="{00000000-0005-0000-0000-0000EE8D0000}"/>
    <cellStyle name="표준 5 3 4 2 2 2 2 4 2 7" xfId="44307" xr:uid="{00000000-0005-0000-0000-0000EF8D0000}"/>
    <cellStyle name="표준 5 3 4 2 2 2 2 4 3" xfId="9245" xr:uid="{00000000-0005-0000-0000-0000F08D0000}"/>
    <cellStyle name="표준 5 3 4 2 2 2 2 4 3 2" xfId="29951" xr:uid="{00000000-0005-0000-0000-0000F18D0000}"/>
    <cellStyle name="표준 5 3 4 2 2 2 2 4 3 3" xfId="38162" xr:uid="{00000000-0005-0000-0000-0000F28D0000}"/>
    <cellStyle name="표준 5 3 4 2 2 2 2 4 3 4" xfId="46355" xr:uid="{00000000-0005-0000-0000-0000F38D0000}"/>
    <cellStyle name="표준 5 3 4 2 2 2 2 4 4" xfId="13357" xr:uid="{00000000-0005-0000-0000-0000F48D0000}"/>
    <cellStyle name="표준 5 3 4 2 2 2 2 4 5" xfId="17597" xr:uid="{00000000-0005-0000-0000-0000F58D0000}"/>
    <cellStyle name="표준 5 3 4 2 2 2 2 4 6" xfId="21759" xr:uid="{00000000-0005-0000-0000-0000F68D0000}"/>
    <cellStyle name="표준 5 3 4 2 2 2 2 4 7" xfId="25855" xr:uid="{00000000-0005-0000-0000-0000F78D0000}"/>
    <cellStyle name="표준 5 3 4 2 2 2 2 4 8" xfId="34066" xr:uid="{00000000-0005-0000-0000-0000F88D0000}"/>
    <cellStyle name="표준 5 3 4 2 2 2 2 4 9" xfId="42259" xr:uid="{00000000-0005-0000-0000-0000F98D0000}"/>
    <cellStyle name="표준 5 3 4 2 2 2 2 5" xfId="9757" xr:uid="{00000000-0005-0000-0000-0000FA8D0000}"/>
    <cellStyle name="표준 5 3 4 2 2 2 2 5 2" xfId="13869" xr:uid="{00000000-0005-0000-0000-0000FB8D0000}"/>
    <cellStyle name="표준 5 3 4 2 2 2 2 5 2 2" xfId="30463" xr:uid="{00000000-0005-0000-0000-0000FC8D0000}"/>
    <cellStyle name="표준 5 3 4 2 2 2 2 5 2 3" xfId="38674" xr:uid="{00000000-0005-0000-0000-0000FD8D0000}"/>
    <cellStyle name="표준 5 3 4 2 2 2 2 5 2 4" xfId="46867" xr:uid="{00000000-0005-0000-0000-0000FE8D0000}"/>
    <cellStyle name="표준 5 3 4 2 2 2 2 5 3" xfId="18109" xr:uid="{00000000-0005-0000-0000-0000FF8D0000}"/>
    <cellStyle name="표준 5 3 4 2 2 2 2 5 4" xfId="22271" xr:uid="{00000000-0005-0000-0000-0000008E0000}"/>
    <cellStyle name="표준 5 3 4 2 2 2 2 5 5" xfId="26367" xr:uid="{00000000-0005-0000-0000-0000018E0000}"/>
    <cellStyle name="표준 5 3 4 2 2 2 2 5 6" xfId="34578" xr:uid="{00000000-0005-0000-0000-0000028E0000}"/>
    <cellStyle name="표준 5 3 4 2 2 2 2 5 7" xfId="42771" xr:uid="{00000000-0005-0000-0000-0000038E0000}"/>
    <cellStyle name="표준 5 3 4 2 2 2 2 6" xfId="7709" xr:uid="{00000000-0005-0000-0000-0000048E0000}"/>
    <cellStyle name="표준 5 3 4 2 2 2 2 6 2" xfId="28415" xr:uid="{00000000-0005-0000-0000-0000058E0000}"/>
    <cellStyle name="표준 5 3 4 2 2 2 2 6 3" xfId="36626" xr:uid="{00000000-0005-0000-0000-0000068E0000}"/>
    <cellStyle name="표준 5 3 4 2 2 2 2 6 4" xfId="44819" xr:uid="{00000000-0005-0000-0000-0000078E0000}"/>
    <cellStyle name="표준 5 3 4 2 2 2 2 7" xfId="11821" xr:uid="{00000000-0005-0000-0000-0000088E0000}"/>
    <cellStyle name="표준 5 3 4 2 2 2 2 8" xfId="16061" xr:uid="{00000000-0005-0000-0000-0000098E0000}"/>
    <cellStyle name="표준 5 3 4 2 2 2 2 9" xfId="20223" xr:uid="{00000000-0005-0000-0000-00000A8E0000}"/>
    <cellStyle name="표준 5 3 4 2 2 2 3" xfId="1110" xr:uid="{00000000-0005-0000-0000-00000B8E0000}"/>
    <cellStyle name="표준 5 3 4 2 2 2 3 2" xfId="10013" xr:uid="{00000000-0005-0000-0000-00000C8E0000}"/>
    <cellStyle name="표준 5 3 4 2 2 2 3 2 2" xfId="14125" xr:uid="{00000000-0005-0000-0000-00000D8E0000}"/>
    <cellStyle name="표준 5 3 4 2 2 2 3 2 2 2" xfId="30719" xr:uid="{00000000-0005-0000-0000-00000E8E0000}"/>
    <cellStyle name="표준 5 3 4 2 2 2 3 2 2 3" xfId="38930" xr:uid="{00000000-0005-0000-0000-00000F8E0000}"/>
    <cellStyle name="표준 5 3 4 2 2 2 3 2 2 4" xfId="47123" xr:uid="{00000000-0005-0000-0000-0000108E0000}"/>
    <cellStyle name="표준 5 3 4 2 2 2 3 2 3" xfId="18365" xr:uid="{00000000-0005-0000-0000-0000118E0000}"/>
    <cellStyle name="표준 5 3 4 2 2 2 3 2 4" xfId="22527" xr:uid="{00000000-0005-0000-0000-0000128E0000}"/>
    <cellStyle name="표준 5 3 4 2 2 2 3 2 5" xfId="26623" xr:uid="{00000000-0005-0000-0000-0000138E0000}"/>
    <cellStyle name="표준 5 3 4 2 2 2 3 2 6" xfId="34834" xr:uid="{00000000-0005-0000-0000-0000148E0000}"/>
    <cellStyle name="표준 5 3 4 2 2 2 3 2 7" xfId="43027" xr:uid="{00000000-0005-0000-0000-0000158E0000}"/>
    <cellStyle name="표준 5 3 4 2 2 2 3 3" xfId="7965" xr:uid="{00000000-0005-0000-0000-0000168E0000}"/>
    <cellStyle name="표준 5 3 4 2 2 2 3 3 2" xfId="28671" xr:uid="{00000000-0005-0000-0000-0000178E0000}"/>
    <cellStyle name="표준 5 3 4 2 2 2 3 3 3" xfId="36882" xr:uid="{00000000-0005-0000-0000-0000188E0000}"/>
    <cellStyle name="표준 5 3 4 2 2 2 3 3 4" xfId="45075" xr:uid="{00000000-0005-0000-0000-0000198E0000}"/>
    <cellStyle name="표준 5 3 4 2 2 2 3 4" xfId="12077" xr:uid="{00000000-0005-0000-0000-00001A8E0000}"/>
    <cellStyle name="표준 5 3 4 2 2 2 3 5" xfId="16317" xr:uid="{00000000-0005-0000-0000-00001B8E0000}"/>
    <cellStyle name="표준 5 3 4 2 2 2 3 6" xfId="20479" xr:uid="{00000000-0005-0000-0000-00001C8E0000}"/>
    <cellStyle name="표준 5 3 4 2 2 2 3 7" xfId="24575" xr:uid="{00000000-0005-0000-0000-00001D8E0000}"/>
    <cellStyle name="표준 5 3 4 2 2 2 3 8" xfId="32786" xr:uid="{00000000-0005-0000-0000-00001E8E0000}"/>
    <cellStyle name="표준 5 3 4 2 2 2 3 9" xfId="40979" xr:uid="{00000000-0005-0000-0000-00001F8E0000}"/>
    <cellStyle name="표준 5 3 4 2 2 2 4" xfId="1622" xr:uid="{00000000-0005-0000-0000-0000208E0000}"/>
    <cellStyle name="표준 5 3 4 2 2 2 4 2" xfId="10525" xr:uid="{00000000-0005-0000-0000-0000218E0000}"/>
    <cellStyle name="표준 5 3 4 2 2 2 4 2 2" xfId="14637" xr:uid="{00000000-0005-0000-0000-0000228E0000}"/>
    <cellStyle name="표준 5 3 4 2 2 2 4 2 2 2" xfId="31231" xr:uid="{00000000-0005-0000-0000-0000238E0000}"/>
    <cellStyle name="표준 5 3 4 2 2 2 4 2 2 3" xfId="39442" xr:uid="{00000000-0005-0000-0000-0000248E0000}"/>
    <cellStyle name="표준 5 3 4 2 2 2 4 2 2 4" xfId="47635" xr:uid="{00000000-0005-0000-0000-0000258E0000}"/>
    <cellStyle name="표준 5 3 4 2 2 2 4 2 3" xfId="18877" xr:uid="{00000000-0005-0000-0000-0000268E0000}"/>
    <cellStyle name="표준 5 3 4 2 2 2 4 2 4" xfId="23039" xr:uid="{00000000-0005-0000-0000-0000278E0000}"/>
    <cellStyle name="표준 5 3 4 2 2 2 4 2 5" xfId="27135" xr:uid="{00000000-0005-0000-0000-0000288E0000}"/>
    <cellStyle name="표준 5 3 4 2 2 2 4 2 6" xfId="35346" xr:uid="{00000000-0005-0000-0000-0000298E0000}"/>
    <cellStyle name="표준 5 3 4 2 2 2 4 2 7" xfId="43539" xr:uid="{00000000-0005-0000-0000-00002A8E0000}"/>
    <cellStyle name="표준 5 3 4 2 2 2 4 3" xfId="8477" xr:uid="{00000000-0005-0000-0000-00002B8E0000}"/>
    <cellStyle name="표준 5 3 4 2 2 2 4 3 2" xfId="29183" xr:uid="{00000000-0005-0000-0000-00002C8E0000}"/>
    <cellStyle name="표준 5 3 4 2 2 2 4 3 3" xfId="37394" xr:uid="{00000000-0005-0000-0000-00002D8E0000}"/>
    <cellStyle name="표준 5 3 4 2 2 2 4 3 4" xfId="45587" xr:uid="{00000000-0005-0000-0000-00002E8E0000}"/>
    <cellStyle name="표준 5 3 4 2 2 2 4 4" xfId="12589" xr:uid="{00000000-0005-0000-0000-00002F8E0000}"/>
    <cellStyle name="표준 5 3 4 2 2 2 4 5" xfId="16829" xr:uid="{00000000-0005-0000-0000-0000308E0000}"/>
    <cellStyle name="표준 5 3 4 2 2 2 4 6" xfId="20991" xr:uid="{00000000-0005-0000-0000-0000318E0000}"/>
    <cellStyle name="표준 5 3 4 2 2 2 4 7" xfId="25087" xr:uid="{00000000-0005-0000-0000-0000328E0000}"/>
    <cellStyle name="표준 5 3 4 2 2 2 4 8" xfId="33298" xr:uid="{00000000-0005-0000-0000-0000338E0000}"/>
    <cellStyle name="표준 5 3 4 2 2 2 4 9" xfId="41491" xr:uid="{00000000-0005-0000-0000-0000348E0000}"/>
    <cellStyle name="표준 5 3 4 2 2 2 5" xfId="2134" xr:uid="{00000000-0005-0000-0000-0000358E0000}"/>
    <cellStyle name="표준 5 3 4 2 2 2 5 2" xfId="11037" xr:uid="{00000000-0005-0000-0000-0000368E0000}"/>
    <cellStyle name="표준 5 3 4 2 2 2 5 2 2" xfId="15149" xr:uid="{00000000-0005-0000-0000-0000378E0000}"/>
    <cellStyle name="표준 5 3 4 2 2 2 5 2 2 2" xfId="31743" xr:uid="{00000000-0005-0000-0000-0000388E0000}"/>
    <cellStyle name="표준 5 3 4 2 2 2 5 2 2 3" xfId="39954" xr:uid="{00000000-0005-0000-0000-0000398E0000}"/>
    <cellStyle name="표준 5 3 4 2 2 2 5 2 2 4" xfId="48147" xr:uid="{00000000-0005-0000-0000-00003A8E0000}"/>
    <cellStyle name="표준 5 3 4 2 2 2 5 2 3" xfId="19389" xr:uid="{00000000-0005-0000-0000-00003B8E0000}"/>
    <cellStyle name="표준 5 3 4 2 2 2 5 2 4" xfId="23551" xr:uid="{00000000-0005-0000-0000-00003C8E0000}"/>
    <cellStyle name="표준 5 3 4 2 2 2 5 2 5" xfId="27647" xr:uid="{00000000-0005-0000-0000-00003D8E0000}"/>
    <cellStyle name="표준 5 3 4 2 2 2 5 2 6" xfId="35858" xr:uid="{00000000-0005-0000-0000-00003E8E0000}"/>
    <cellStyle name="표준 5 3 4 2 2 2 5 2 7" xfId="44051" xr:uid="{00000000-0005-0000-0000-00003F8E0000}"/>
    <cellStyle name="표준 5 3 4 2 2 2 5 3" xfId="8989" xr:uid="{00000000-0005-0000-0000-0000408E0000}"/>
    <cellStyle name="표준 5 3 4 2 2 2 5 3 2" xfId="29695" xr:uid="{00000000-0005-0000-0000-0000418E0000}"/>
    <cellStyle name="표준 5 3 4 2 2 2 5 3 3" xfId="37906" xr:uid="{00000000-0005-0000-0000-0000428E0000}"/>
    <cellStyle name="표준 5 3 4 2 2 2 5 3 4" xfId="46099" xr:uid="{00000000-0005-0000-0000-0000438E0000}"/>
    <cellStyle name="표준 5 3 4 2 2 2 5 4" xfId="13101" xr:uid="{00000000-0005-0000-0000-0000448E0000}"/>
    <cellStyle name="표준 5 3 4 2 2 2 5 5" xfId="17341" xr:uid="{00000000-0005-0000-0000-0000458E0000}"/>
    <cellStyle name="표준 5 3 4 2 2 2 5 6" xfId="21503" xr:uid="{00000000-0005-0000-0000-0000468E0000}"/>
    <cellStyle name="표준 5 3 4 2 2 2 5 7" xfId="25599" xr:uid="{00000000-0005-0000-0000-0000478E0000}"/>
    <cellStyle name="표준 5 3 4 2 2 2 5 8" xfId="33810" xr:uid="{00000000-0005-0000-0000-0000488E0000}"/>
    <cellStyle name="표준 5 3 4 2 2 2 5 9" xfId="42003" xr:uid="{00000000-0005-0000-0000-0000498E0000}"/>
    <cellStyle name="표준 5 3 4 2 2 2 6" xfId="9501" xr:uid="{00000000-0005-0000-0000-00004A8E0000}"/>
    <cellStyle name="표준 5 3 4 2 2 2 6 2" xfId="13613" xr:uid="{00000000-0005-0000-0000-00004B8E0000}"/>
    <cellStyle name="표준 5 3 4 2 2 2 6 2 2" xfId="30207" xr:uid="{00000000-0005-0000-0000-00004C8E0000}"/>
    <cellStyle name="표준 5 3 4 2 2 2 6 2 3" xfId="38418" xr:uid="{00000000-0005-0000-0000-00004D8E0000}"/>
    <cellStyle name="표준 5 3 4 2 2 2 6 2 4" xfId="46611" xr:uid="{00000000-0005-0000-0000-00004E8E0000}"/>
    <cellStyle name="표준 5 3 4 2 2 2 6 3" xfId="17853" xr:uid="{00000000-0005-0000-0000-00004F8E0000}"/>
    <cellStyle name="표준 5 3 4 2 2 2 6 4" xfId="22015" xr:uid="{00000000-0005-0000-0000-0000508E0000}"/>
    <cellStyle name="표준 5 3 4 2 2 2 6 5" xfId="26111" xr:uid="{00000000-0005-0000-0000-0000518E0000}"/>
    <cellStyle name="표준 5 3 4 2 2 2 6 6" xfId="34322" xr:uid="{00000000-0005-0000-0000-0000528E0000}"/>
    <cellStyle name="표준 5 3 4 2 2 2 6 7" xfId="42515" xr:uid="{00000000-0005-0000-0000-0000538E0000}"/>
    <cellStyle name="표준 5 3 4 2 2 2 7" xfId="7453" xr:uid="{00000000-0005-0000-0000-0000548E0000}"/>
    <cellStyle name="표준 5 3 4 2 2 2 7 2" xfId="28159" xr:uid="{00000000-0005-0000-0000-0000558E0000}"/>
    <cellStyle name="표준 5 3 4 2 2 2 7 3" xfId="36370" xr:uid="{00000000-0005-0000-0000-0000568E0000}"/>
    <cellStyle name="표준 5 3 4 2 2 2 7 4" xfId="44563" xr:uid="{00000000-0005-0000-0000-0000578E0000}"/>
    <cellStyle name="표준 5 3 4 2 2 2 8" xfId="11565" xr:uid="{00000000-0005-0000-0000-0000588E0000}"/>
    <cellStyle name="표준 5 3 4 2 2 2 9" xfId="15805" xr:uid="{00000000-0005-0000-0000-0000598E0000}"/>
    <cellStyle name="표준 5 3 4 2 2 3" xfId="726" xr:uid="{00000000-0005-0000-0000-00005A8E0000}"/>
    <cellStyle name="표준 5 3 4 2 2 3 10" xfId="24191" xr:uid="{00000000-0005-0000-0000-00005B8E0000}"/>
    <cellStyle name="표준 5 3 4 2 2 3 11" xfId="32402" xr:uid="{00000000-0005-0000-0000-00005C8E0000}"/>
    <cellStyle name="표준 5 3 4 2 2 3 12" xfId="40595" xr:uid="{00000000-0005-0000-0000-00005D8E0000}"/>
    <cellStyle name="표준 5 3 4 2 2 3 2" xfId="1238" xr:uid="{00000000-0005-0000-0000-00005E8E0000}"/>
    <cellStyle name="표준 5 3 4 2 2 3 2 2" xfId="10141" xr:uid="{00000000-0005-0000-0000-00005F8E0000}"/>
    <cellStyle name="표준 5 3 4 2 2 3 2 2 2" xfId="14253" xr:uid="{00000000-0005-0000-0000-0000608E0000}"/>
    <cellStyle name="표준 5 3 4 2 2 3 2 2 2 2" xfId="30847" xr:uid="{00000000-0005-0000-0000-0000618E0000}"/>
    <cellStyle name="표준 5 3 4 2 2 3 2 2 2 3" xfId="39058" xr:uid="{00000000-0005-0000-0000-0000628E0000}"/>
    <cellStyle name="표준 5 3 4 2 2 3 2 2 2 4" xfId="47251" xr:uid="{00000000-0005-0000-0000-0000638E0000}"/>
    <cellStyle name="표준 5 3 4 2 2 3 2 2 3" xfId="18493" xr:uid="{00000000-0005-0000-0000-0000648E0000}"/>
    <cellStyle name="표준 5 3 4 2 2 3 2 2 4" xfId="22655" xr:uid="{00000000-0005-0000-0000-0000658E0000}"/>
    <cellStyle name="표준 5 3 4 2 2 3 2 2 5" xfId="26751" xr:uid="{00000000-0005-0000-0000-0000668E0000}"/>
    <cellStyle name="표준 5 3 4 2 2 3 2 2 6" xfId="34962" xr:uid="{00000000-0005-0000-0000-0000678E0000}"/>
    <cellStyle name="표준 5 3 4 2 2 3 2 2 7" xfId="43155" xr:uid="{00000000-0005-0000-0000-0000688E0000}"/>
    <cellStyle name="표준 5 3 4 2 2 3 2 3" xfId="8093" xr:uid="{00000000-0005-0000-0000-0000698E0000}"/>
    <cellStyle name="표준 5 3 4 2 2 3 2 3 2" xfId="28799" xr:uid="{00000000-0005-0000-0000-00006A8E0000}"/>
    <cellStyle name="표준 5 3 4 2 2 3 2 3 3" xfId="37010" xr:uid="{00000000-0005-0000-0000-00006B8E0000}"/>
    <cellStyle name="표준 5 3 4 2 2 3 2 3 4" xfId="45203" xr:uid="{00000000-0005-0000-0000-00006C8E0000}"/>
    <cellStyle name="표준 5 3 4 2 2 3 2 4" xfId="12205" xr:uid="{00000000-0005-0000-0000-00006D8E0000}"/>
    <cellStyle name="표준 5 3 4 2 2 3 2 5" xfId="16445" xr:uid="{00000000-0005-0000-0000-00006E8E0000}"/>
    <cellStyle name="표준 5 3 4 2 2 3 2 6" xfId="20607" xr:uid="{00000000-0005-0000-0000-00006F8E0000}"/>
    <cellStyle name="표준 5 3 4 2 2 3 2 7" xfId="24703" xr:uid="{00000000-0005-0000-0000-0000708E0000}"/>
    <cellStyle name="표준 5 3 4 2 2 3 2 8" xfId="32914" xr:uid="{00000000-0005-0000-0000-0000718E0000}"/>
    <cellStyle name="표준 5 3 4 2 2 3 2 9" xfId="41107" xr:uid="{00000000-0005-0000-0000-0000728E0000}"/>
    <cellStyle name="표준 5 3 4 2 2 3 3" xfId="1750" xr:uid="{00000000-0005-0000-0000-0000738E0000}"/>
    <cellStyle name="표준 5 3 4 2 2 3 3 2" xfId="10653" xr:uid="{00000000-0005-0000-0000-0000748E0000}"/>
    <cellStyle name="표준 5 3 4 2 2 3 3 2 2" xfId="14765" xr:uid="{00000000-0005-0000-0000-0000758E0000}"/>
    <cellStyle name="표준 5 3 4 2 2 3 3 2 2 2" xfId="31359" xr:uid="{00000000-0005-0000-0000-0000768E0000}"/>
    <cellStyle name="표준 5 3 4 2 2 3 3 2 2 3" xfId="39570" xr:uid="{00000000-0005-0000-0000-0000778E0000}"/>
    <cellStyle name="표준 5 3 4 2 2 3 3 2 2 4" xfId="47763" xr:uid="{00000000-0005-0000-0000-0000788E0000}"/>
    <cellStyle name="표준 5 3 4 2 2 3 3 2 3" xfId="19005" xr:uid="{00000000-0005-0000-0000-0000798E0000}"/>
    <cellStyle name="표준 5 3 4 2 2 3 3 2 4" xfId="23167" xr:uid="{00000000-0005-0000-0000-00007A8E0000}"/>
    <cellStyle name="표준 5 3 4 2 2 3 3 2 5" xfId="27263" xr:uid="{00000000-0005-0000-0000-00007B8E0000}"/>
    <cellStyle name="표준 5 3 4 2 2 3 3 2 6" xfId="35474" xr:uid="{00000000-0005-0000-0000-00007C8E0000}"/>
    <cellStyle name="표준 5 3 4 2 2 3 3 2 7" xfId="43667" xr:uid="{00000000-0005-0000-0000-00007D8E0000}"/>
    <cellStyle name="표준 5 3 4 2 2 3 3 3" xfId="8605" xr:uid="{00000000-0005-0000-0000-00007E8E0000}"/>
    <cellStyle name="표준 5 3 4 2 2 3 3 3 2" xfId="29311" xr:uid="{00000000-0005-0000-0000-00007F8E0000}"/>
    <cellStyle name="표준 5 3 4 2 2 3 3 3 3" xfId="37522" xr:uid="{00000000-0005-0000-0000-0000808E0000}"/>
    <cellStyle name="표준 5 3 4 2 2 3 3 3 4" xfId="45715" xr:uid="{00000000-0005-0000-0000-0000818E0000}"/>
    <cellStyle name="표준 5 3 4 2 2 3 3 4" xfId="12717" xr:uid="{00000000-0005-0000-0000-0000828E0000}"/>
    <cellStyle name="표준 5 3 4 2 2 3 3 5" xfId="16957" xr:uid="{00000000-0005-0000-0000-0000838E0000}"/>
    <cellStyle name="표준 5 3 4 2 2 3 3 6" xfId="21119" xr:uid="{00000000-0005-0000-0000-0000848E0000}"/>
    <cellStyle name="표준 5 3 4 2 2 3 3 7" xfId="25215" xr:uid="{00000000-0005-0000-0000-0000858E0000}"/>
    <cellStyle name="표준 5 3 4 2 2 3 3 8" xfId="33426" xr:uid="{00000000-0005-0000-0000-0000868E0000}"/>
    <cellStyle name="표준 5 3 4 2 2 3 3 9" xfId="41619" xr:uid="{00000000-0005-0000-0000-0000878E0000}"/>
    <cellStyle name="표준 5 3 4 2 2 3 4" xfId="2262" xr:uid="{00000000-0005-0000-0000-0000888E0000}"/>
    <cellStyle name="표준 5 3 4 2 2 3 4 2" xfId="11165" xr:uid="{00000000-0005-0000-0000-0000898E0000}"/>
    <cellStyle name="표준 5 3 4 2 2 3 4 2 2" xfId="15277" xr:uid="{00000000-0005-0000-0000-00008A8E0000}"/>
    <cellStyle name="표준 5 3 4 2 2 3 4 2 2 2" xfId="31871" xr:uid="{00000000-0005-0000-0000-00008B8E0000}"/>
    <cellStyle name="표준 5 3 4 2 2 3 4 2 2 3" xfId="40082" xr:uid="{00000000-0005-0000-0000-00008C8E0000}"/>
    <cellStyle name="표준 5 3 4 2 2 3 4 2 2 4" xfId="48275" xr:uid="{00000000-0005-0000-0000-00008D8E0000}"/>
    <cellStyle name="표준 5 3 4 2 2 3 4 2 3" xfId="19517" xr:uid="{00000000-0005-0000-0000-00008E8E0000}"/>
    <cellStyle name="표준 5 3 4 2 2 3 4 2 4" xfId="23679" xr:uid="{00000000-0005-0000-0000-00008F8E0000}"/>
    <cellStyle name="표준 5 3 4 2 2 3 4 2 5" xfId="27775" xr:uid="{00000000-0005-0000-0000-0000908E0000}"/>
    <cellStyle name="표준 5 3 4 2 2 3 4 2 6" xfId="35986" xr:uid="{00000000-0005-0000-0000-0000918E0000}"/>
    <cellStyle name="표준 5 3 4 2 2 3 4 2 7" xfId="44179" xr:uid="{00000000-0005-0000-0000-0000928E0000}"/>
    <cellStyle name="표준 5 3 4 2 2 3 4 3" xfId="9117" xr:uid="{00000000-0005-0000-0000-0000938E0000}"/>
    <cellStyle name="표준 5 3 4 2 2 3 4 3 2" xfId="29823" xr:uid="{00000000-0005-0000-0000-0000948E0000}"/>
    <cellStyle name="표준 5 3 4 2 2 3 4 3 3" xfId="38034" xr:uid="{00000000-0005-0000-0000-0000958E0000}"/>
    <cellStyle name="표준 5 3 4 2 2 3 4 3 4" xfId="46227" xr:uid="{00000000-0005-0000-0000-0000968E0000}"/>
    <cellStyle name="표준 5 3 4 2 2 3 4 4" xfId="13229" xr:uid="{00000000-0005-0000-0000-0000978E0000}"/>
    <cellStyle name="표준 5 3 4 2 2 3 4 5" xfId="17469" xr:uid="{00000000-0005-0000-0000-0000988E0000}"/>
    <cellStyle name="표준 5 3 4 2 2 3 4 6" xfId="21631" xr:uid="{00000000-0005-0000-0000-0000998E0000}"/>
    <cellStyle name="표준 5 3 4 2 2 3 4 7" xfId="25727" xr:uid="{00000000-0005-0000-0000-00009A8E0000}"/>
    <cellStyle name="표준 5 3 4 2 2 3 4 8" xfId="33938" xr:uid="{00000000-0005-0000-0000-00009B8E0000}"/>
    <cellStyle name="표준 5 3 4 2 2 3 4 9" xfId="42131" xr:uid="{00000000-0005-0000-0000-00009C8E0000}"/>
    <cellStyle name="표준 5 3 4 2 2 3 5" xfId="9629" xr:uid="{00000000-0005-0000-0000-00009D8E0000}"/>
    <cellStyle name="표준 5 3 4 2 2 3 5 2" xfId="13741" xr:uid="{00000000-0005-0000-0000-00009E8E0000}"/>
    <cellStyle name="표준 5 3 4 2 2 3 5 2 2" xfId="30335" xr:uid="{00000000-0005-0000-0000-00009F8E0000}"/>
    <cellStyle name="표준 5 3 4 2 2 3 5 2 3" xfId="38546" xr:uid="{00000000-0005-0000-0000-0000A08E0000}"/>
    <cellStyle name="표준 5 3 4 2 2 3 5 2 4" xfId="46739" xr:uid="{00000000-0005-0000-0000-0000A18E0000}"/>
    <cellStyle name="표준 5 3 4 2 2 3 5 3" xfId="17981" xr:uid="{00000000-0005-0000-0000-0000A28E0000}"/>
    <cellStyle name="표준 5 3 4 2 2 3 5 4" xfId="22143" xr:uid="{00000000-0005-0000-0000-0000A38E0000}"/>
    <cellStyle name="표준 5 3 4 2 2 3 5 5" xfId="26239" xr:uid="{00000000-0005-0000-0000-0000A48E0000}"/>
    <cellStyle name="표준 5 3 4 2 2 3 5 6" xfId="34450" xr:uid="{00000000-0005-0000-0000-0000A58E0000}"/>
    <cellStyle name="표준 5 3 4 2 2 3 5 7" xfId="42643" xr:uid="{00000000-0005-0000-0000-0000A68E0000}"/>
    <cellStyle name="표준 5 3 4 2 2 3 6" xfId="7581" xr:uid="{00000000-0005-0000-0000-0000A78E0000}"/>
    <cellStyle name="표준 5 3 4 2 2 3 6 2" xfId="28287" xr:uid="{00000000-0005-0000-0000-0000A88E0000}"/>
    <cellStyle name="표준 5 3 4 2 2 3 6 3" xfId="36498" xr:uid="{00000000-0005-0000-0000-0000A98E0000}"/>
    <cellStyle name="표준 5 3 4 2 2 3 6 4" xfId="44691" xr:uid="{00000000-0005-0000-0000-0000AA8E0000}"/>
    <cellStyle name="표준 5 3 4 2 2 3 7" xfId="11693" xr:uid="{00000000-0005-0000-0000-0000AB8E0000}"/>
    <cellStyle name="표준 5 3 4 2 2 3 8" xfId="15933" xr:uid="{00000000-0005-0000-0000-0000AC8E0000}"/>
    <cellStyle name="표준 5 3 4 2 2 3 9" xfId="20095" xr:uid="{00000000-0005-0000-0000-0000AD8E0000}"/>
    <cellStyle name="표준 5 3 4 2 2 4" xfId="982" xr:uid="{00000000-0005-0000-0000-0000AE8E0000}"/>
    <cellStyle name="표준 5 3 4 2 2 4 2" xfId="9885" xr:uid="{00000000-0005-0000-0000-0000AF8E0000}"/>
    <cellStyle name="표준 5 3 4 2 2 4 2 2" xfId="13997" xr:uid="{00000000-0005-0000-0000-0000B08E0000}"/>
    <cellStyle name="표준 5 3 4 2 2 4 2 2 2" xfId="30591" xr:uid="{00000000-0005-0000-0000-0000B18E0000}"/>
    <cellStyle name="표준 5 3 4 2 2 4 2 2 3" xfId="38802" xr:uid="{00000000-0005-0000-0000-0000B28E0000}"/>
    <cellStyle name="표준 5 3 4 2 2 4 2 2 4" xfId="46995" xr:uid="{00000000-0005-0000-0000-0000B38E0000}"/>
    <cellStyle name="표준 5 3 4 2 2 4 2 3" xfId="18237" xr:uid="{00000000-0005-0000-0000-0000B48E0000}"/>
    <cellStyle name="표준 5 3 4 2 2 4 2 4" xfId="22399" xr:uid="{00000000-0005-0000-0000-0000B58E0000}"/>
    <cellStyle name="표준 5 3 4 2 2 4 2 5" xfId="26495" xr:uid="{00000000-0005-0000-0000-0000B68E0000}"/>
    <cellStyle name="표준 5 3 4 2 2 4 2 6" xfId="34706" xr:uid="{00000000-0005-0000-0000-0000B78E0000}"/>
    <cellStyle name="표준 5 3 4 2 2 4 2 7" xfId="42899" xr:uid="{00000000-0005-0000-0000-0000B88E0000}"/>
    <cellStyle name="표준 5 3 4 2 2 4 3" xfId="7837" xr:uid="{00000000-0005-0000-0000-0000B98E0000}"/>
    <cellStyle name="표준 5 3 4 2 2 4 3 2" xfId="28543" xr:uid="{00000000-0005-0000-0000-0000BA8E0000}"/>
    <cellStyle name="표준 5 3 4 2 2 4 3 3" xfId="36754" xr:uid="{00000000-0005-0000-0000-0000BB8E0000}"/>
    <cellStyle name="표준 5 3 4 2 2 4 3 4" xfId="44947" xr:uid="{00000000-0005-0000-0000-0000BC8E0000}"/>
    <cellStyle name="표준 5 3 4 2 2 4 4" xfId="11949" xr:uid="{00000000-0005-0000-0000-0000BD8E0000}"/>
    <cellStyle name="표준 5 3 4 2 2 4 5" xfId="16189" xr:uid="{00000000-0005-0000-0000-0000BE8E0000}"/>
    <cellStyle name="표준 5 3 4 2 2 4 6" xfId="20351" xr:uid="{00000000-0005-0000-0000-0000BF8E0000}"/>
    <cellStyle name="표준 5 3 4 2 2 4 7" xfId="24447" xr:uid="{00000000-0005-0000-0000-0000C08E0000}"/>
    <cellStyle name="표준 5 3 4 2 2 4 8" xfId="32658" xr:uid="{00000000-0005-0000-0000-0000C18E0000}"/>
    <cellStyle name="표준 5 3 4 2 2 4 9" xfId="40851" xr:uid="{00000000-0005-0000-0000-0000C28E0000}"/>
    <cellStyle name="표준 5 3 4 2 2 5" xfId="1494" xr:uid="{00000000-0005-0000-0000-0000C38E0000}"/>
    <cellStyle name="표준 5 3 4 2 2 5 2" xfId="10397" xr:uid="{00000000-0005-0000-0000-0000C48E0000}"/>
    <cellStyle name="표준 5 3 4 2 2 5 2 2" xfId="14509" xr:uid="{00000000-0005-0000-0000-0000C58E0000}"/>
    <cellStyle name="표준 5 3 4 2 2 5 2 2 2" xfId="31103" xr:uid="{00000000-0005-0000-0000-0000C68E0000}"/>
    <cellStyle name="표준 5 3 4 2 2 5 2 2 3" xfId="39314" xr:uid="{00000000-0005-0000-0000-0000C78E0000}"/>
    <cellStyle name="표준 5 3 4 2 2 5 2 2 4" xfId="47507" xr:uid="{00000000-0005-0000-0000-0000C88E0000}"/>
    <cellStyle name="표준 5 3 4 2 2 5 2 3" xfId="18749" xr:uid="{00000000-0005-0000-0000-0000C98E0000}"/>
    <cellStyle name="표준 5 3 4 2 2 5 2 4" xfId="22911" xr:uid="{00000000-0005-0000-0000-0000CA8E0000}"/>
    <cellStyle name="표준 5 3 4 2 2 5 2 5" xfId="27007" xr:uid="{00000000-0005-0000-0000-0000CB8E0000}"/>
    <cellStyle name="표준 5 3 4 2 2 5 2 6" xfId="35218" xr:uid="{00000000-0005-0000-0000-0000CC8E0000}"/>
    <cellStyle name="표준 5 3 4 2 2 5 2 7" xfId="43411" xr:uid="{00000000-0005-0000-0000-0000CD8E0000}"/>
    <cellStyle name="표준 5 3 4 2 2 5 3" xfId="8349" xr:uid="{00000000-0005-0000-0000-0000CE8E0000}"/>
    <cellStyle name="표준 5 3 4 2 2 5 3 2" xfId="29055" xr:uid="{00000000-0005-0000-0000-0000CF8E0000}"/>
    <cellStyle name="표준 5 3 4 2 2 5 3 3" xfId="37266" xr:uid="{00000000-0005-0000-0000-0000D08E0000}"/>
    <cellStyle name="표준 5 3 4 2 2 5 3 4" xfId="45459" xr:uid="{00000000-0005-0000-0000-0000D18E0000}"/>
    <cellStyle name="표준 5 3 4 2 2 5 4" xfId="12461" xr:uid="{00000000-0005-0000-0000-0000D28E0000}"/>
    <cellStyle name="표준 5 3 4 2 2 5 5" xfId="16701" xr:uid="{00000000-0005-0000-0000-0000D38E0000}"/>
    <cellStyle name="표준 5 3 4 2 2 5 6" xfId="20863" xr:uid="{00000000-0005-0000-0000-0000D48E0000}"/>
    <cellStyle name="표준 5 3 4 2 2 5 7" xfId="24959" xr:uid="{00000000-0005-0000-0000-0000D58E0000}"/>
    <cellStyle name="표준 5 3 4 2 2 5 8" xfId="33170" xr:uid="{00000000-0005-0000-0000-0000D68E0000}"/>
    <cellStyle name="표준 5 3 4 2 2 5 9" xfId="41363" xr:uid="{00000000-0005-0000-0000-0000D78E0000}"/>
    <cellStyle name="표준 5 3 4 2 2 6" xfId="2006" xr:uid="{00000000-0005-0000-0000-0000D88E0000}"/>
    <cellStyle name="표준 5 3 4 2 2 6 2" xfId="10909" xr:uid="{00000000-0005-0000-0000-0000D98E0000}"/>
    <cellStyle name="표준 5 3 4 2 2 6 2 2" xfId="15021" xr:uid="{00000000-0005-0000-0000-0000DA8E0000}"/>
    <cellStyle name="표준 5 3 4 2 2 6 2 2 2" xfId="31615" xr:uid="{00000000-0005-0000-0000-0000DB8E0000}"/>
    <cellStyle name="표준 5 3 4 2 2 6 2 2 3" xfId="39826" xr:uid="{00000000-0005-0000-0000-0000DC8E0000}"/>
    <cellStyle name="표준 5 3 4 2 2 6 2 2 4" xfId="48019" xr:uid="{00000000-0005-0000-0000-0000DD8E0000}"/>
    <cellStyle name="표준 5 3 4 2 2 6 2 3" xfId="19261" xr:uid="{00000000-0005-0000-0000-0000DE8E0000}"/>
    <cellStyle name="표준 5 3 4 2 2 6 2 4" xfId="23423" xr:uid="{00000000-0005-0000-0000-0000DF8E0000}"/>
    <cellStyle name="표준 5 3 4 2 2 6 2 5" xfId="27519" xr:uid="{00000000-0005-0000-0000-0000E08E0000}"/>
    <cellStyle name="표준 5 3 4 2 2 6 2 6" xfId="35730" xr:uid="{00000000-0005-0000-0000-0000E18E0000}"/>
    <cellStyle name="표준 5 3 4 2 2 6 2 7" xfId="43923" xr:uid="{00000000-0005-0000-0000-0000E28E0000}"/>
    <cellStyle name="표준 5 3 4 2 2 6 3" xfId="8861" xr:uid="{00000000-0005-0000-0000-0000E38E0000}"/>
    <cellStyle name="표준 5 3 4 2 2 6 3 2" xfId="29567" xr:uid="{00000000-0005-0000-0000-0000E48E0000}"/>
    <cellStyle name="표준 5 3 4 2 2 6 3 3" xfId="37778" xr:uid="{00000000-0005-0000-0000-0000E58E0000}"/>
    <cellStyle name="표준 5 3 4 2 2 6 3 4" xfId="45971" xr:uid="{00000000-0005-0000-0000-0000E68E0000}"/>
    <cellStyle name="표준 5 3 4 2 2 6 4" xfId="12973" xr:uid="{00000000-0005-0000-0000-0000E78E0000}"/>
    <cellStyle name="표준 5 3 4 2 2 6 5" xfId="17213" xr:uid="{00000000-0005-0000-0000-0000E88E0000}"/>
    <cellStyle name="표준 5 3 4 2 2 6 6" xfId="21375" xr:uid="{00000000-0005-0000-0000-0000E98E0000}"/>
    <cellStyle name="표준 5 3 4 2 2 6 7" xfId="25471" xr:uid="{00000000-0005-0000-0000-0000EA8E0000}"/>
    <cellStyle name="표준 5 3 4 2 2 6 8" xfId="33682" xr:uid="{00000000-0005-0000-0000-0000EB8E0000}"/>
    <cellStyle name="표준 5 3 4 2 2 6 9" xfId="41875" xr:uid="{00000000-0005-0000-0000-0000EC8E0000}"/>
    <cellStyle name="표준 5 3 4 2 2 7" xfId="9373" xr:uid="{00000000-0005-0000-0000-0000ED8E0000}"/>
    <cellStyle name="표준 5 3 4 2 2 7 2" xfId="13485" xr:uid="{00000000-0005-0000-0000-0000EE8E0000}"/>
    <cellStyle name="표준 5 3 4 2 2 7 2 2" xfId="30079" xr:uid="{00000000-0005-0000-0000-0000EF8E0000}"/>
    <cellStyle name="표준 5 3 4 2 2 7 2 3" xfId="38290" xr:uid="{00000000-0005-0000-0000-0000F08E0000}"/>
    <cellStyle name="표준 5 3 4 2 2 7 2 4" xfId="46483" xr:uid="{00000000-0005-0000-0000-0000F18E0000}"/>
    <cellStyle name="표준 5 3 4 2 2 7 3" xfId="17725" xr:uid="{00000000-0005-0000-0000-0000F28E0000}"/>
    <cellStyle name="표준 5 3 4 2 2 7 4" xfId="21887" xr:uid="{00000000-0005-0000-0000-0000F38E0000}"/>
    <cellStyle name="표준 5 3 4 2 2 7 5" xfId="25983" xr:uid="{00000000-0005-0000-0000-0000F48E0000}"/>
    <cellStyle name="표준 5 3 4 2 2 7 6" xfId="34194" xr:uid="{00000000-0005-0000-0000-0000F58E0000}"/>
    <cellStyle name="표준 5 3 4 2 2 7 7" xfId="42387" xr:uid="{00000000-0005-0000-0000-0000F68E0000}"/>
    <cellStyle name="표준 5 3 4 2 2 8" xfId="7325" xr:uid="{00000000-0005-0000-0000-0000F78E0000}"/>
    <cellStyle name="표준 5 3 4 2 2 8 2" xfId="28031" xr:uid="{00000000-0005-0000-0000-0000F88E0000}"/>
    <cellStyle name="표준 5 3 4 2 2 8 3" xfId="36242" xr:uid="{00000000-0005-0000-0000-0000F98E0000}"/>
    <cellStyle name="표준 5 3 4 2 2 8 4" xfId="44435" xr:uid="{00000000-0005-0000-0000-0000FA8E0000}"/>
    <cellStyle name="표준 5 3 4 2 2 9" xfId="11437" xr:uid="{00000000-0005-0000-0000-0000FB8E0000}"/>
    <cellStyle name="표준 5 3 4 2 3" xfId="534" xr:uid="{00000000-0005-0000-0000-0000FC8E0000}"/>
    <cellStyle name="표준 5 3 4 2 3 10" xfId="19903" xr:uid="{00000000-0005-0000-0000-0000FD8E0000}"/>
    <cellStyle name="표준 5 3 4 2 3 11" xfId="23999" xr:uid="{00000000-0005-0000-0000-0000FE8E0000}"/>
    <cellStyle name="표준 5 3 4 2 3 12" xfId="32210" xr:uid="{00000000-0005-0000-0000-0000FF8E0000}"/>
    <cellStyle name="표준 5 3 4 2 3 13" xfId="40403" xr:uid="{00000000-0005-0000-0000-0000008F0000}"/>
    <cellStyle name="표준 5 3 4 2 3 2" xfId="790" xr:uid="{00000000-0005-0000-0000-0000018F0000}"/>
    <cellStyle name="표준 5 3 4 2 3 2 10" xfId="24255" xr:uid="{00000000-0005-0000-0000-0000028F0000}"/>
    <cellStyle name="표준 5 3 4 2 3 2 11" xfId="32466" xr:uid="{00000000-0005-0000-0000-0000038F0000}"/>
    <cellStyle name="표준 5 3 4 2 3 2 12" xfId="40659" xr:uid="{00000000-0005-0000-0000-0000048F0000}"/>
    <cellStyle name="표준 5 3 4 2 3 2 2" xfId="1302" xr:uid="{00000000-0005-0000-0000-0000058F0000}"/>
    <cellStyle name="표준 5 3 4 2 3 2 2 2" xfId="10205" xr:uid="{00000000-0005-0000-0000-0000068F0000}"/>
    <cellStyle name="표준 5 3 4 2 3 2 2 2 2" xfId="14317" xr:uid="{00000000-0005-0000-0000-0000078F0000}"/>
    <cellStyle name="표준 5 3 4 2 3 2 2 2 2 2" xfId="30911" xr:uid="{00000000-0005-0000-0000-0000088F0000}"/>
    <cellStyle name="표준 5 3 4 2 3 2 2 2 2 3" xfId="39122" xr:uid="{00000000-0005-0000-0000-0000098F0000}"/>
    <cellStyle name="표준 5 3 4 2 3 2 2 2 2 4" xfId="47315" xr:uid="{00000000-0005-0000-0000-00000A8F0000}"/>
    <cellStyle name="표준 5 3 4 2 3 2 2 2 3" xfId="18557" xr:uid="{00000000-0005-0000-0000-00000B8F0000}"/>
    <cellStyle name="표준 5 3 4 2 3 2 2 2 4" xfId="22719" xr:uid="{00000000-0005-0000-0000-00000C8F0000}"/>
    <cellStyle name="표준 5 3 4 2 3 2 2 2 5" xfId="26815" xr:uid="{00000000-0005-0000-0000-00000D8F0000}"/>
    <cellStyle name="표준 5 3 4 2 3 2 2 2 6" xfId="35026" xr:uid="{00000000-0005-0000-0000-00000E8F0000}"/>
    <cellStyle name="표준 5 3 4 2 3 2 2 2 7" xfId="43219" xr:uid="{00000000-0005-0000-0000-00000F8F0000}"/>
    <cellStyle name="표준 5 3 4 2 3 2 2 3" xfId="8157" xr:uid="{00000000-0005-0000-0000-0000108F0000}"/>
    <cellStyle name="표준 5 3 4 2 3 2 2 3 2" xfId="28863" xr:uid="{00000000-0005-0000-0000-0000118F0000}"/>
    <cellStyle name="표준 5 3 4 2 3 2 2 3 3" xfId="37074" xr:uid="{00000000-0005-0000-0000-0000128F0000}"/>
    <cellStyle name="표준 5 3 4 2 3 2 2 3 4" xfId="45267" xr:uid="{00000000-0005-0000-0000-0000138F0000}"/>
    <cellStyle name="표준 5 3 4 2 3 2 2 4" xfId="12269" xr:uid="{00000000-0005-0000-0000-0000148F0000}"/>
    <cellStyle name="표준 5 3 4 2 3 2 2 5" xfId="16509" xr:uid="{00000000-0005-0000-0000-0000158F0000}"/>
    <cellStyle name="표준 5 3 4 2 3 2 2 6" xfId="20671" xr:uid="{00000000-0005-0000-0000-0000168F0000}"/>
    <cellStyle name="표준 5 3 4 2 3 2 2 7" xfId="24767" xr:uid="{00000000-0005-0000-0000-0000178F0000}"/>
    <cellStyle name="표준 5 3 4 2 3 2 2 8" xfId="32978" xr:uid="{00000000-0005-0000-0000-0000188F0000}"/>
    <cellStyle name="표준 5 3 4 2 3 2 2 9" xfId="41171" xr:uid="{00000000-0005-0000-0000-0000198F0000}"/>
    <cellStyle name="표준 5 3 4 2 3 2 3" xfId="1814" xr:uid="{00000000-0005-0000-0000-00001A8F0000}"/>
    <cellStyle name="표준 5 3 4 2 3 2 3 2" xfId="10717" xr:uid="{00000000-0005-0000-0000-00001B8F0000}"/>
    <cellStyle name="표준 5 3 4 2 3 2 3 2 2" xfId="14829" xr:uid="{00000000-0005-0000-0000-00001C8F0000}"/>
    <cellStyle name="표준 5 3 4 2 3 2 3 2 2 2" xfId="31423" xr:uid="{00000000-0005-0000-0000-00001D8F0000}"/>
    <cellStyle name="표준 5 3 4 2 3 2 3 2 2 3" xfId="39634" xr:uid="{00000000-0005-0000-0000-00001E8F0000}"/>
    <cellStyle name="표준 5 3 4 2 3 2 3 2 2 4" xfId="47827" xr:uid="{00000000-0005-0000-0000-00001F8F0000}"/>
    <cellStyle name="표준 5 3 4 2 3 2 3 2 3" xfId="19069" xr:uid="{00000000-0005-0000-0000-0000208F0000}"/>
    <cellStyle name="표준 5 3 4 2 3 2 3 2 4" xfId="23231" xr:uid="{00000000-0005-0000-0000-0000218F0000}"/>
    <cellStyle name="표준 5 3 4 2 3 2 3 2 5" xfId="27327" xr:uid="{00000000-0005-0000-0000-0000228F0000}"/>
    <cellStyle name="표준 5 3 4 2 3 2 3 2 6" xfId="35538" xr:uid="{00000000-0005-0000-0000-0000238F0000}"/>
    <cellStyle name="표준 5 3 4 2 3 2 3 2 7" xfId="43731" xr:uid="{00000000-0005-0000-0000-0000248F0000}"/>
    <cellStyle name="표준 5 3 4 2 3 2 3 3" xfId="8669" xr:uid="{00000000-0005-0000-0000-0000258F0000}"/>
    <cellStyle name="표준 5 3 4 2 3 2 3 3 2" xfId="29375" xr:uid="{00000000-0005-0000-0000-0000268F0000}"/>
    <cellStyle name="표준 5 3 4 2 3 2 3 3 3" xfId="37586" xr:uid="{00000000-0005-0000-0000-0000278F0000}"/>
    <cellStyle name="표준 5 3 4 2 3 2 3 3 4" xfId="45779" xr:uid="{00000000-0005-0000-0000-0000288F0000}"/>
    <cellStyle name="표준 5 3 4 2 3 2 3 4" xfId="12781" xr:uid="{00000000-0005-0000-0000-0000298F0000}"/>
    <cellStyle name="표준 5 3 4 2 3 2 3 5" xfId="17021" xr:uid="{00000000-0005-0000-0000-00002A8F0000}"/>
    <cellStyle name="표준 5 3 4 2 3 2 3 6" xfId="21183" xr:uid="{00000000-0005-0000-0000-00002B8F0000}"/>
    <cellStyle name="표준 5 3 4 2 3 2 3 7" xfId="25279" xr:uid="{00000000-0005-0000-0000-00002C8F0000}"/>
    <cellStyle name="표준 5 3 4 2 3 2 3 8" xfId="33490" xr:uid="{00000000-0005-0000-0000-00002D8F0000}"/>
    <cellStyle name="표준 5 3 4 2 3 2 3 9" xfId="41683" xr:uid="{00000000-0005-0000-0000-00002E8F0000}"/>
    <cellStyle name="표준 5 3 4 2 3 2 4" xfId="2326" xr:uid="{00000000-0005-0000-0000-00002F8F0000}"/>
    <cellStyle name="표준 5 3 4 2 3 2 4 2" xfId="11229" xr:uid="{00000000-0005-0000-0000-0000308F0000}"/>
    <cellStyle name="표준 5 3 4 2 3 2 4 2 2" xfId="15341" xr:uid="{00000000-0005-0000-0000-0000318F0000}"/>
    <cellStyle name="표준 5 3 4 2 3 2 4 2 2 2" xfId="31935" xr:uid="{00000000-0005-0000-0000-0000328F0000}"/>
    <cellStyle name="표준 5 3 4 2 3 2 4 2 2 3" xfId="40146" xr:uid="{00000000-0005-0000-0000-0000338F0000}"/>
    <cellStyle name="표준 5 3 4 2 3 2 4 2 2 4" xfId="48339" xr:uid="{00000000-0005-0000-0000-0000348F0000}"/>
    <cellStyle name="표준 5 3 4 2 3 2 4 2 3" xfId="19581" xr:uid="{00000000-0005-0000-0000-0000358F0000}"/>
    <cellStyle name="표준 5 3 4 2 3 2 4 2 4" xfId="23743" xr:uid="{00000000-0005-0000-0000-0000368F0000}"/>
    <cellStyle name="표준 5 3 4 2 3 2 4 2 5" xfId="27839" xr:uid="{00000000-0005-0000-0000-0000378F0000}"/>
    <cellStyle name="표준 5 3 4 2 3 2 4 2 6" xfId="36050" xr:uid="{00000000-0005-0000-0000-0000388F0000}"/>
    <cellStyle name="표준 5 3 4 2 3 2 4 2 7" xfId="44243" xr:uid="{00000000-0005-0000-0000-0000398F0000}"/>
    <cellStyle name="표준 5 3 4 2 3 2 4 3" xfId="9181" xr:uid="{00000000-0005-0000-0000-00003A8F0000}"/>
    <cellStyle name="표준 5 3 4 2 3 2 4 3 2" xfId="29887" xr:uid="{00000000-0005-0000-0000-00003B8F0000}"/>
    <cellStyle name="표준 5 3 4 2 3 2 4 3 3" xfId="38098" xr:uid="{00000000-0005-0000-0000-00003C8F0000}"/>
    <cellStyle name="표준 5 3 4 2 3 2 4 3 4" xfId="46291" xr:uid="{00000000-0005-0000-0000-00003D8F0000}"/>
    <cellStyle name="표준 5 3 4 2 3 2 4 4" xfId="13293" xr:uid="{00000000-0005-0000-0000-00003E8F0000}"/>
    <cellStyle name="표준 5 3 4 2 3 2 4 5" xfId="17533" xr:uid="{00000000-0005-0000-0000-00003F8F0000}"/>
    <cellStyle name="표준 5 3 4 2 3 2 4 6" xfId="21695" xr:uid="{00000000-0005-0000-0000-0000408F0000}"/>
    <cellStyle name="표준 5 3 4 2 3 2 4 7" xfId="25791" xr:uid="{00000000-0005-0000-0000-0000418F0000}"/>
    <cellStyle name="표준 5 3 4 2 3 2 4 8" xfId="34002" xr:uid="{00000000-0005-0000-0000-0000428F0000}"/>
    <cellStyle name="표준 5 3 4 2 3 2 4 9" xfId="42195" xr:uid="{00000000-0005-0000-0000-0000438F0000}"/>
    <cellStyle name="표준 5 3 4 2 3 2 5" xfId="9693" xr:uid="{00000000-0005-0000-0000-0000448F0000}"/>
    <cellStyle name="표준 5 3 4 2 3 2 5 2" xfId="13805" xr:uid="{00000000-0005-0000-0000-0000458F0000}"/>
    <cellStyle name="표준 5 3 4 2 3 2 5 2 2" xfId="30399" xr:uid="{00000000-0005-0000-0000-0000468F0000}"/>
    <cellStyle name="표준 5 3 4 2 3 2 5 2 3" xfId="38610" xr:uid="{00000000-0005-0000-0000-0000478F0000}"/>
    <cellStyle name="표준 5 3 4 2 3 2 5 2 4" xfId="46803" xr:uid="{00000000-0005-0000-0000-0000488F0000}"/>
    <cellStyle name="표준 5 3 4 2 3 2 5 3" xfId="18045" xr:uid="{00000000-0005-0000-0000-0000498F0000}"/>
    <cellStyle name="표준 5 3 4 2 3 2 5 4" xfId="22207" xr:uid="{00000000-0005-0000-0000-00004A8F0000}"/>
    <cellStyle name="표준 5 3 4 2 3 2 5 5" xfId="26303" xr:uid="{00000000-0005-0000-0000-00004B8F0000}"/>
    <cellStyle name="표준 5 3 4 2 3 2 5 6" xfId="34514" xr:uid="{00000000-0005-0000-0000-00004C8F0000}"/>
    <cellStyle name="표준 5 3 4 2 3 2 5 7" xfId="42707" xr:uid="{00000000-0005-0000-0000-00004D8F0000}"/>
    <cellStyle name="표준 5 3 4 2 3 2 6" xfId="7645" xr:uid="{00000000-0005-0000-0000-00004E8F0000}"/>
    <cellStyle name="표준 5 3 4 2 3 2 6 2" xfId="28351" xr:uid="{00000000-0005-0000-0000-00004F8F0000}"/>
    <cellStyle name="표준 5 3 4 2 3 2 6 3" xfId="36562" xr:uid="{00000000-0005-0000-0000-0000508F0000}"/>
    <cellStyle name="표준 5 3 4 2 3 2 6 4" xfId="44755" xr:uid="{00000000-0005-0000-0000-0000518F0000}"/>
    <cellStyle name="표준 5 3 4 2 3 2 7" xfId="11757" xr:uid="{00000000-0005-0000-0000-0000528F0000}"/>
    <cellStyle name="표준 5 3 4 2 3 2 8" xfId="15997" xr:uid="{00000000-0005-0000-0000-0000538F0000}"/>
    <cellStyle name="표준 5 3 4 2 3 2 9" xfId="20159" xr:uid="{00000000-0005-0000-0000-0000548F0000}"/>
    <cellStyle name="표준 5 3 4 2 3 3" xfId="1046" xr:uid="{00000000-0005-0000-0000-0000558F0000}"/>
    <cellStyle name="표준 5 3 4 2 3 3 2" xfId="9949" xr:uid="{00000000-0005-0000-0000-0000568F0000}"/>
    <cellStyle name="표준 5 3 4 2 3 3 2 2" xfId="14061" xr:uid="{00000000-0005-0000-0000-0000578F0000}"/>
    <cellStyle name="표준 5 3 4 2 3 3 2 2 2" xfId="30655" xr:uid="{00000000-0005-0000-0000-0000588F0000}"/>
    <cellStyle name="표준 5 3 4 2 3 3 2 2 3" xfId="38866" xr:uid="{00000000-0005-0000-0000-0000598F0000}"/>
    <cellStyle name="표준 5 3 4 2 3 3 2 2 4" xfId="47059" xr:uid="{00000000-0005-0000-0000-00005A8F0000}"/>
    <cellStyle name="표준 5 3 4 2 3 3 2 3" xfId="18301" xr:uid="{00000000-0005-0000-0000-00005B8F0000}"/>
    <cellStyle name="표준 5 3 4 2 3 3 2 4" xfId="22463" xr:uid="{00000000-0005-0000-0000-00005C8F0000}"/>
    <cellStyle name="표준 5 3 4 2 3 3 2 5" xfId="26559" xr:uid="{00000000-0005-0000-0000-00005D8F0000}"/>
    <cellStyle name="표준 5 3 4 2 3 3 2 6" xfId="34770" xr:uid="{00000000-0005-0000-0000-00005E8F0000}"/>
    <cellStyle name="표준 5 3 4 2 3 3 2 7" xfId="42963" xr:uid="{00000000-0005-0000-0000-00005F8F0000}"/>
    <cellStyle name="표준 5 3 4 2 3 3 3" xfId="7901" xr:uid="{00000000-0005-0000-0000-0000608F0000}"/>
    <cellStyle name="표준 5 3 4 2 3 3 3 2" xfId="28607" xr:uid="{00000000-0005-0000-0000-0000618F0000}"/>
    <cellStyle name="표준 5 3 4 2 3 3 3 3" xfId="36818" xr:uid="{00000000-0005-0000-0000-0000628F0000}"/>
    <cellStyle name="표준 5 3 4 2 3 3 3 4" xfId="45011" xr:uid="{00000000-0005-0000-0000-0000638F0000}"/>
    <cellStyle name="표준 5 3 4 2 3 3 4" xfId="12013" xr:uid="{00000000-0005-0000-0000-0000648F0000}"/>
    <cellStyle name="표준 5 3 4 2 3 3 5" xfId="16253" xr:uid="{00000000-0005-0000-0000-0000658F0000}"/>
    <cellStyle name="표준 5 3 4 2 3 3 6" xfId="20415" xr:uid="{00000000-0005-0000-0000-0000668F0000}"/>
    <cellStyle name="표준 5 3 4 2 3 3 7" xfId="24511" xr:uid="{00000000-0005-0000-0000-0000678F0000}"/>
    <cellStyle name="표준 5 3 4 2 3 3 8" xfId="32722" xr:uid="{00000000-0005-0000-0000-0000688F0000}"/>
    <cellStyle name="표준 5 3 4 2 3 3 9" xfId="40915" xr:uid="{00000000-0005-0000-0000-0000698F0000}"/>
    <cellStyle name="표준 5 3 4 2 3 4" xfId="1558" xr:uid="{00000000-0005-0000-0000-00006A8F0000}"/>
    <cellStyle name="표준 5 3 4 2 3 4 2" xfId="10461" xr:uid="{00000000-0005-0000-0000-00006B8F0000}"/>
    <cellStyle name="표준 5 3 4 2 3 4 2 2" xfId="14573" xr:uid="{00000000-0005-0000-0000-00006C8F0000}"/>
    <cellStyle name="표준 5 3 4 2 3 4 2 2 2" xfId="31167" xr:uid="{00000000-0005-0000-0000-00006D8F0000}"/>
    <cellStyle name="표준 5 3 4 2 3 4 2 2 3" xfId="39378" xr:uid="{00000000-0005-0000-0000-00006E8F0000}"/>
    <cellStyle name="표준 5 3 4 2 3 4 2 2 4" xfId="47571" xr:uid="{00000000-0005-0000-0000-00006F8F0000}"/>
    <cellStyle name="표준 5 3 4 2 3 4 2 3" xfId="18813" xr:uid="{00000000-0005-0000-0000-0000708F0000}"/>
    <cellStyle name="표준 5 3 4 2 3 4 2 4" xfId="22975" xr:uid="{00000000-0005-0000-0000-0000718F0000}"/>
    <cellStyle name="표준 5 3 4 2 3 4 2 5" xfId="27071" xr:uid="{00000000-0005-0000-0000-0000728F0000}"/>
    <cellStyle name="표준 5 3 4 2 3 4 2 6" xfId="35282" xr:uid="{00000000-0005-0000-0000-0000738F0000}"/>
    <cellStyle name="표준 5 3 4 2 3 4 2 7" xfId="43475" xr:uid="{00000000-0005-0000-0000-0000748F0000}"/>
    <cellStyle name="표준 5 3 4 2 3 4 3" xfId="8413" xr:uid="{00000000-0005-0000-0000-0000758F0000}"/>
    <cellStyle name="표준 5 3 4 2 3 4 3 2" xfId="29119" xr:uid="{00000000-0005-0000-0000-0000768F0000}"/>
    <cellStyle name="표준 5 3 4 2 3 4 3 3" xfId="37330" xr:uid="{00000000-0005-0000-0000-0000778F0000}"/>
    <cellStyle name="표준 5 3 4 2 3 4 3 4" xfId="45523" xr:uid="{00000000-0005-0000-0000-0000788F0000}"/>
    <cellStyle name="표준 5 3 4 2 3 4 4" xfId="12525" xr:uid="{00000000-0005-0000-0000-0000798F0000}"/>
    <cellStyle name="표준 5 3 4 2 3 4 5" xfId="16765" xr:uid="{00000000-0005-0000-0000-00007A8F0000}"/>
    <cellStyle name="표준 5 3 4 2 3 4 6" xfId="20927" xr:uid="{00000000-0005-0000-0000-00007B8F0000}"/>
    <cellStyle name="표준 5 3 4 2 3 4 7" xfId="25023" xr:uid="{00000000-0005-0000-0000-00007C8F0000}"/>
    <cellStyle name="표준 5 3 4 2 3 4 8" xfId="33234" xr:uid="{00000000-0005-0000-0000-00007D8F0000}"/>
    <cellStyle name="표준 5 3 4 2 3 4 9" xfId="41427" xr:uid="{00000000-0005-0000-0000-00007E8F0000}"/>
    <cellStyle name="표준 5 3 4 2 3 5" xfId="2070" xr:uid="{00000000-0005-0000-0000-00007F8F0000}"/>
    <cellStyle name="표준 5 3 4 2 3 5 2" xfId="10973" xr:uid="{00000000-0005-0000-0000-0000808F0000}"/>
    <cellStyle name="표준 5 3 4 2 3 5 2 2" xfId="15085" xr:uid="{00000000-0005-0000-0000-0000818F0000}"/>
    <cellStyle name="표준 5 3 4 2 3 5 2 2 2" xfId="31679" xr:uid="{00000000-0005-0000-0000-0000828F0000}"/>
    <cellStyle name="표준 5 3 4 2 3 5 2 2 3" xfId="39890" xr:uid="{00000000-0005-0000-0000-0000838F0000}"/>
    <cellStyle name="표준 5 3 4 2 3 5 2 2 4" xfId="48083" xr:uid="{00000000-0005-0000-0000-0000848F0000}"/>
    <cellStyle name="표준 5 3 4 2 3 5 2 3" xfId="19325" xr:uid="{00000000-0005-0000-0000-0000858F0000}"/>
    <cellStyle name="표준 5 3 4 2 3 5 2 4" xfId="23487" xr:uid="{00000000-0005-0000-0000-0000868F0000}"/>
    <cellStyle name="표준 5 3 4 2 3 5 2 5" xfId="27583" xr:uid="{00000000-0005-0000-0000-0000878F0000}"/>
    <cellStyle name="표준 5 3 4 2 3 5 2 6" xfId="35794" xr:uid="{00000000-0005-0000-0000-0000888F0000}"/>
    <cellStyle name="표준 5 3 4 2 3 5 2 7" xfId="43987" xr:uid="{00000000-0005-0000-0000-0000898F0000}"/>
    <cellStyle name="표준 5 3 4 2 3 5 3" xfId="8925" xr:uid="{00000000-0005-0000-0000-00008A8F0000}"/>
    <cellStyle name="표준 5 3 4 2 3 5 3 2" xfId="29631" xr:uid="{00000000-0005-0000-0000-00008B8F0000}"/>
    <cellStyle name="표준 5 3 4 2 3 5 3 3" xfId="37842" xr:uid="{00000000-0005-0000-0000-00008C8F0000}"/>
    <cellStyle name="표준 5 3 4 2 3 5 3 4" xfId="46035" xr:uid="{00000000-0005-0000-0000-00008D8F0000}"/>
    <cellStyle name="표준 5 3 4 2 3 5 4" xfId="13037" xr:uid="{00000000-0005-0000-0000-00008E8F0000}"/>
    <cellStyle name="표준 5 3 4 2 3 5 5" xfId="17277" xr:uid="{00000000-0005-0000-0000-00008F8F0000}"/>
    <cellStyle name="표준 5 3 4 2 3 5 6" xfId="21439" xr:uid="{00000000-0005-0000-0000-0000908F0000}"/>
    <cellStyle name="표준 5 3 4 2 3 5 7" xfId="25535" xr:uid="{00000000-0005-0000-0000-0000918F0000}"/>
    <cellStyle name="표준 5 3 4 2 3 5 8" xfId="33746" xr:uid="{00000000-0005-0000-0000-0000928F0000}"/>
    <cellStyle name="표준 5 3 4 2 3 5 9" xfId="41939" xr:uid="{00000000-0005-0000-0000-0000938F0000}"/>
    <cellStyle name="표준 5 3 4 2 3 6" xfId="9437" xr:uid="{00000000-0005-0000-0000-0000948F0000}"/>
    <cellStyle name="표준 5 3 4 2 3 6 2" xfId="13549" xr:uid="{00000000-0005-0000-0000-0000958F0000}"/>
    <cellStyle name="표준 5 3 4 2 3 6 2 2" xfId="30143" xr:uid="{00000000-0005-0000-0000-0000968F0000}"/>
    <cellStyle name="표준 5 3 4 2 3 6 2 3" xfId="38354" xr:uid="{00000000-0005-0000-0000-0000978F0000}"/>
    <cellStyle name="표준 5 3 4 2 3 6 2 4" xfId="46547" xr:uid="{00000000-0005-0000-0000-0000988F0000}"/>
    <cellStyle name="표준 5 3 4 2 3 6 3" xfId="17789" xr:uid="{00000000-0005-0000-0000-0000998F0000}"/>
    <cellStyle name="표준 5 3 4 2 3 6 4" xfId="21951" xr:uid="{00000000-0005-0000-0000-00009A8F0000}"/>
    <cellStyle name="표준 5 3 4 2 3 6 5" xfId="26047" xr:uid="{00000000-0005-0000-0000-00009B8F0000}"/>
    <cellStyle name="표준 5 3 4 2 3 6 6" xfId="34258" xr:uid="{00000000-0005-0000-0000-00009C8F0000}"/>
    <cellStyle name="표준 5 3 4 2 3 6 7" xfId="42451" xr:uid="{00000000-0005-0000-0000-00009D8F0000}"/>
    <cellStyle name="표준 5 3 4 2 3 7" xfId="7389" xr:uid="{00000000-0005-0000-0000-00009E8F0000}"/>
    <cellStyle name="표준 5 3 4 2 3 7 2" xfId="28095" xr:uid="{00000000-0005-0000-0000-00009F8F0000}"/>
    <cellStyle name="표준 5 3 4 2 3 7 3" xfId="36306" xr:uid="{00000000-0005-0000-0000-0000A08F0000}"/>
    <cellStyle name="표준 5 3 4 2 3 7 4" xfId="44499" xr:uid="{00000000-0005-0000-0000-0000A18F0000}"/>
    <cellStyle name="표준 5 3 4 2 3 8" xfId="11501" xr:uid="{00000000-0005-0000-0000-0000A28F0000}"/>
    <cellStyle name="표준 5 3 4 2 3 9" xfId="15741" xr:uid="{00000000-0005-0000-0000-0000A38F0000}"/>
    <cellStyle name="표준 5 3 4 2 4" xfId="662" xr:uid="{00000000-0005-0000-0000-0000A48F0000}"/>
    <cellStyle name="표준 5 3 4 2 4 10" xfId="24127" xr:uid="{00000000-0005-0000-0000-0000A58F0000}"/>
    <cellStyle name="표준 5 3 4 2 4 11" xfId="32338" xr:uid="{00000000-0005-0000-0000-0000A68F0000}"/>
    <cellStyle name="표준 5 3 4 2 4 12" xfId="40531" xr:uid="{00000000-0005-0000-0000-0000A78F0000}"/>
    <cellStyle name="표준 5 3 4 2 4 2" xfId="1174" xr:uid="{00000000-0005-0000-0000-0000A88F0000}"/>
    <cellStyle name="표준 5 3 4 2 4 2 2" xfId="10077" xr:uid="{00000000-0005-0000-0000-0000A98F0000}"/>
    <cellStyle name="표준 5 3 4 2 4 2 2 2" xfId="14189" xr:uid="{00000000-0005-0000-0000-0000AA8F0000}"/>
    <cellStyle name="표준 5 3 4 2 4 2 2 2 2" xfId="30783" xr:uid="{00000000-0005-0000-0000-0000AB8F0000}"/>
    <cellStyle name="표준 5 3 4 2 4 2 2 2 3" xfId="38994" xr:uid="{00000000-0005-0000-0000-0000AC8F0000}"/>
    <cellStyle name="표준 5 3 4 2 4 2 2 2 4" xfId="47187" xr:uid="{00000000-0005-0000-0000-0000AD8F0000}"/>
    <cellStyle name="표준 5 3 4 2 4 2 2 3" xfId="18429" xr:uid="{00000000-0005-0000-0000-0000AE8F0000}"/>
    <cellStyle name="표준 5 3 4 2 4 2 2 4" xfId="22591" xr:uid="{00000000-0005-0000-0000-0000AF8F0000}"/>
    <cellStyle name="표준 5 3 4 2 4 2 2 5" xfId="26687" xr:uid="{00000000-0005-0000-0000-0000B08F0000}"/>
    <cellStyle name="표준 5 3 4 2 4 2 2 6" xfId="34898" xr:uid="{00000000-0005-0000-0000-0000B18F0000}"/>
    <cellStyle name="표준 5 3 4 2 4 2 2 7" xfId="43091" xr:uid="{00000000-0005-0000-0000-0000B28F0000}"/>
    <cellStyle name="표준 5 3 4 2 4 2 3" xfId="8029" xr:uid="{00000000-0005-0000-0000-0000B38F0000}"/>
    <cellStyle name="표준 5 3 4 2 4 2 3 2" xfId="28735" xr:uid="{00000000-0005-0000-0000-0000B48F0000}"/>
    <cellStyle name="표준 5 3 4 2 4 2 3 3" xfId="36946" xr:uid="{00000000-0005-0000-0000-0000B58F0000}"/>
    <cellStyle name="표준 5 3 4 2 4 2 3 4" xfId="45139" xr:uid="{00000000-0005-0000-0000-0000B68F0000}"/>
    <cellStyle name="표준 5 3 4 2 4 2 4" xfId="12141" xr:uid="{00000000-0005-0000-0000-0000B78F0000}"/>
    <cellStyle name="표준 5 3 4 2 4 2 5" xfId="16381" xr:uid="{00000000-0005-0000-0000-0000B88F0000}"/>
    <cellStyle name="표준 5 3 4 2 4 2 6" xfId="20543" xr:uid="{00000000-0005-0000-0000-0000B98F0000}"/>
    <cellStyle name="표준 5 3 4 2 4 2 7" xfId="24639" xr:uid="{00000000-0005-0000-0000-0000BA8F0000}"/>
    <cellStyle name="표준 5 3 4 2 4 2 8" xfId="32850" xr:uid="{00000000-0005-0000-0000-0000BB8F0000}"/>
    <cellStyle name="표준 5 3 4 2 4 2 9" xfId="41043" xr:uid="{00000000-0005-0000-0000-0000BC8F0000}"/>
    <cellStyle name="표준 5 3 4 2 4 3" xfId="1686" xr:uid="{00000000-0005-0000-0000-0000BD8F0000}"/>
    <cellStyle name="표준 5 3 4 2 4 3 2" xfId="10589" xr:uid="{00000000-0005-0000-0000-0000BE8F0000}"/>
    <cellStyle name="표준 5 3 4 2 4 3 2 2" xfId="14701" xr:uid="{00000000-0005-0000-0000-0000BF8F0000}"/>
    <cellStyle name="표준 5 3 4 2 4 3 2 2 2" xfId="31295" xr:uid="{00000000-0005-0000-0000-0000C08F0000}"/>
    <cellStyle name="표준 5 3 4 2 4 3 2 2 3" xfId="39506" xr:uid="{00000000-0005-0000-0000-0000C18F0000}"/>
    <cellStyle name="표준 5 3 4 2 4 3 2 2 4" xfId="47699" xr:uid="{00000000-0005-0000-0000-0000C28F0000}"/>
    <cellStyle name="표준 5 3 4 2 4 3 2 3" xfId="18941" xr:uid="{00000000-0005-0000-0000-0000C38F0000}"/>
    <cellStyle name="표준 5 3 4 2 4 3 2 4" xfId="23103" xr:uid="{00000000-0005-0000-0000-0000C48F0000}"/>
    <cellStyle name="표준 5 3 4 2 4 3 2 5" xfId="27199" xr:uid="{00000000-0005-0000-0000-0000C58F0000}"/>
    <cellStyle name="표준 5 3 4 2 4 3 2 6" xfId="35410" xr:uid="{00000000-0005-0000-0000-0000C68F0000}"/>
    <cellStyle name="표준 5 3 4 2 4 3 2 7" xfId="43603" xr:uid="{00000000-0005-0000-0000-0000C78F0000}"/>
    <cellStyle name="표준 5 3 4 2 4 3 3" xfId="8541" xr:uid="{00000000-0005-0000-0000-0000C88F0000}"/>
    <cellStyle name="표준 5 3 4 2 4 3 3 2" xfId="29247" xr:uid="{00000000-0005-0000-0000-0000C98F0000}"/>
    <cellStyle name="표준 5 3 4 2 4 3 3 3" xfId="37458" xr:uid="{00000000-0005-0000-0000-0000CA8F0000}"/>
    <cellStyle name="표준 5 3 4 2 4 3 3 4" xfId="45651" xr:uid="{00000000-0005-0000-0000-0000CB8F0000}"/>
    <cellStyle name="표준 5 3 4 2 4 3 4" xfId="12653" xr:uid="{00000000-0005-0000-0000-0000CC8F0000}"/>
    <cellStyle name="표준 5 3 4 2 4 3 5" xfId="16893" xr:uid="{00000000-0005-0000-0000-0000CD8F0000}"/>
    <cellStyle name="표준 5 3 4 2 4 3 6" xfId="21055" xr:uid="{00000000-0005-0000-0000-0000CE8F0000}"/>
    <cellStyle name="표준 5 3 4 2 4 3 7" xfId="25151" xr:uid="{00000000-0005-0000-0000-0000CF8F0000}"/>
    <cellStyle name="표준 5 3 4 2 4 3 8" xfId="33362" xr:uid="{00000000-0005-0000-0000-0000D08F0000}"/>
    <cellStyle name="표준 5 3 4 2 4 3 9" xfId="41555" xr:uid="{00000000-0005-0000-0000-0000D18F0000}"/>
    <cellStyle name="표준 5 3 4 2 4 4" xfId="2198" xr:uid="{00000000-0005-0000-0000-0000D28F0000}"/>
    <cellStyle name="표준 5 3 4 2 4 4 2" xfId="11101" xr:uid="{00000000-0005-0000-0000-0000D38F0000}"/>
    <cellStyle name="표준 5 3 4 2 4 4 2 2" xfId="15213" xr:uid="{00000000-0005-0000-0000-0000D48F0000}"/>
    <cellStyle name="표준 5 3 4 2 4 4 2 2 2" xfId="31807" xr:uid="{00000000-0005-0000-0000-0000D58F0000}"/>
    <cellStyle name="표준 5 3 4 2 4 4 2 2 3" xfId="40018" xr:uid="{00000000-0005-0000-0000-0000D68F0000}"/>
    <cellStyle name="표준 5 3 4 2 4 4 2 2 4" xfId="48211" xr:uid="{00000000-0005-0000-0000-0000D78F0000}"/>
    <cellStyle name="표준 5 3 4 2 4 4 2 3" xfId="19453" xr:uid="{00000000-0005-0000-0000-0000D88F0000}"/>
    <cellStyle name="표준 5 3 4 2 4 4 2 4" xfId="23615" xr:uid="{00000000-0005-0000-0000-0000D98F0000}"/>
    <cellStyle name="표준 5 3 4 2 4 4 2 5" xfId="27711" xr:uid="{00000000-0005-0000-0000-0000DA8F0000}"/>
    <cellStyle name="표준 5 3 4 2 4 4 2 6" xfId="35922" xr:uid="{00000000-0005-0000-0000-0000DB8F0000}"/>
    <cellStyle name="표준 5 3 4 2 4 4 2 7" xfId="44115" xr:uid="{00000000-0005-0000-0000-0000DC8F0000}"/>
    <cellStyle name="표준 5 3 4 2 4 4 3" xfId="9053" xr:uid="{00000000-0005-0000-0000-0000DD8F0000}"/>
    <cellStyle name="표준 5 3 4 2 4 4 3 2" xfId="29759" xr:uid="{00000000-0005-0000-0000-0000DE8F0000}"/>
    <cellStyle name="표준 5 3 4 2 4 4 3 3" xfId="37970" xr:uid="{00000000-0005-0000-0000-0000DF8F0000}"/>
    <cellStyle name="표준 5 3 4 2 4 4 3 4" xfId="46163" xr:uid="{00000000-0005-0000-0000-0000E08F0000}"/>
    <cellStyle name="표준 5 3 4 2 4 4 4" xfId="13165" xr:uid="{00000000-0005-0000-0000-0000E18F0000}"/>
    <cellStyle name="표준 5 3 4 2 4 4 5" xfId="17405" xr:uid="{00000000-0005-0000-0000-0000E28F0000}"/>
    <cellStyle name="표준 5 3 4 2 4 4 6" xfId="21567" xr:uid="{00000000-0005-0000-0000-0000E38F0000}"/>
    <cellStyle name="표준 5 3 4 2 4 4 7" xfId="25663" xr:uid="{00000000-0005-0000-0000-0000E48F0000}"/>
    <cellStyle name="표준 5 3 4 2 4 4 8" xfId="33874" xr:uid="{00000000-0005-0000-0000-0000E58F0000}"/>
    <cellStyle name="표준 5 3 4 2 4 4 9" xfId="42067" xr:uid="{00000000-0005-0000-0000-0000E68F0000}"/>
    <cellStyle name="표준 5 3 4 2 4 5" xfId="9565" xr:uid="{00000000-0005-0000-0000-0000E78F0000}"/>
    <cellStyle name="표준 5 3 4 2 4 5 2" xfId="13677" xr:uid="{00000000-0005-0000-0000-0000E88F0000}"/>
    <cellStyle name="표준 5 3 4 2 4 5 2 2" xfId="30271" xr:uid="{00000000-0005-0000-0000-0000E98F0000}"/>
    <cellStyle name="표준 5 3 4 2 4 5 2 3" xfId="38482" xr:uid="{00000000-0005-0000-0000-0000EA8F0000}"/>
    <cellStyle name="표준 5 3 4 2 4 5 2 4" xfId="46675" xr:uid="{00000000-0005-0000-0000-0000EB8F0000}"/>
    <cellStyle name="표준 5 3 4 2 4 5 3" xfId="17917" xr:uid="{00000000-0005-0000-0000-0000EC8F0000}"/>
    <cellStyle name="표준 5 3 4 2 4 5 4" xfId="22079" xr:uid="{00000000-0005-0000-0000-0000ED8F0000}"/>
    <cellStyle name="표준 5 3 4 2 4 5 5" xfId="26175" xr:uid="{00000000-0005-0000-0000-0000EE8F0000}"/>
    <cellStyle name="표준 5 3 4 2 4 5 6" xfId="34386" xr:uid="{00000000-0005-0000-0000-0000EF8F0000}"/>
    <cellStyle name="표준 5 3 4 2 4 5 7" xfId="42579" xr:uid="{00000000-0005-0000-0000-0000F08F0000}"/>
    <cellStyle name="표준 5 3 4 2 4 6" xfId="7517" xr:uid="{00000000-0005-0000-0000-0000F18F0000}"/>
    <cellStyle name="표준 5 3 4 2 4 6 2" xfId="28223" xr:uid="{00000000-0005-0000-0000-0000F28F0000}"/>
    <cellStyle name="표준 5 3 4 2 4 6 3" xfId="36434" xr:uid="{00000000-0005-0000-0000-0000F38F0000}"/>
    <cellStyle name="표준 5 3 4 2 4 6 4" xfId="44627" xr:uid="{00000000-0005-0000-0000-0000F48F0000}"/>
    <cellStyle name="표준 5 3 4 2 4 7" xfId="11629" xr:uid="{00000000-0005-0000-0000-0000F58F0000}"/>
    <cellStyle name="표준 5 3 4 2 4 8" xfId="15869" xr:uid="{00000000-0005-0000-0000-0000F68F0000}"/>
    <cellStyle name="표준 5 3 4 2 4 9" xfId="20031" xr:uid="{00000000-0005-0000-0000-0000F78F0000}"/>
    <cellStyle name="표준 5 3 4 2 5" xfId="918" xr:uid="{00000000-0005-0000-0000-0000F88F0000}"/>
    <cellStyle name="표준 5 3 4 2 5 2" xfId="9821" xr:uid="{00000000-0005-0000-0000-0000F98F0000}"/>
    <cellStyle name="표준 5 3 4 2 5 2 2" xfId="13933" xr:uid="{00000000-0005-0000-0000-0000FA8F0000}"/>
    <cellStyle name="표준 5 3 4 2 5 2 2 2" xfId="30527" xr:uid="{00000000-0005-0000-0000-0000FB8F0000}"/>
    <cellStyle name="표준 5 3 4 2 5 2 2 3" xfId="38738" xr:uid="{00000000-0005-0000-0000-0000FC8F0000}"/>
    <cellStyle name="표준 5 3 4 2 5 2 2 4" xfId="46931" xr:uid="{00000000-0005-0000-0000-0000FD8F0000}"/>
    <cellStyle name="표준 5 3 4 2 5 2 3" xfId="18173" xr:uid="{00000000-0005-0000-0000-0000FE8F0000}"/>
    <cellStyle name="표준 5 3 4 2 5 2 4" xfId="22335" xr:uid="{00000000-0005-0000-0000-0000FF8F0000}"/>
    <cellStyle name="표준 5 3 4 2 5 2 5" xfId="26431" xr:uid="{00000000-0005-0000-0000-000000900000}"/>
    <cellStyle name="표준 5 3 4 2 5 2 6" xfId="34642" xr:uid="{00000000-0005-0000-0000-000001900000}"/>
    <cellStyle name="표준 5 3 4 2 5 2 7" xfId="42835" xr:uid="{00000000-0005-0000-0000-000002900000}"/>
    <cellStyle name="표준 5 3 4 2 5 3" xfId="7773" xr:uid="{00000000-0005-0000-0000-000003900000}"/>
    <cellStyle name="표준 5 3 4 2 5 3 2" xfId="28479" xr:uid="{00000000-0005-0000-0000-000004900000}"/>
    <cellStyle name="표준 5 3 4 2 5 3 3" xfId="36690" xr:uid="{00000000-0005-0000-0000-000005900000}"/>
    <cellStyle name="표준 5 3 4 2 5 3 4" xfId="44883" xr:uid="{00000000-0005-0000-0000-000006900000}"/>
    <cellStyle name="표준 5 3 4 2 5 4" xfId="11885" xr:uid="{00000000-0005-0000-0000-000007900000}"/>
    <cellStyle name="표준 5 3 4 2 5 5" xfId="16125" xr:uid="{00000000-0005-0000-0000-000008900000}"/>
    <cellStyle name="표준 5 3 4 2 5 6" xfId="20287" xr:uid="{00000000-0005-0000-0000-000009900000}"/>
    <cellStyle name="표준 5 3 4 2 5 7" xfId="24383" xr:uid="{00000000-0005-0000-0000-00000A900000}"/>
    <cellStyle name="표준 5 3 4 2 5 8" xfId="32594" xr:uid="{00000000-0005-0000-0000-00000B900000}"/>
    <cellStyle name="표준 5 3 4 2 5 9" xfId="40787" xr:uid="{00000000-0005-0000-0000-00000C900000}"/>
    <cellStyle name="표준 5 3 4 2 6" xfId="1430" xr:uid="{00000000-0005-0000-0000-00000D900000}"/>
    <cellStyle name="표준 5 3 4 2 6 2" xfId="10333" xr:uid="{00000000-0005-0000-0000-00000E900000}"/>
    <cellStyle name="표준 5 3 4 2 6 2 2" xfId="14445" xr:uid="{00000000-0005-0000-0000-00000F900000}"/>
    <cellStyle name="표준 5 3 4 2 6 2 2 2" xfId="31039" xr:uid="{00000000-0005-0000-0000-000010900000}"/>
    <cellStyle name="표준 5 3 4 2 6 2 2 3" xfId="39250" xr:uid="{00000000-0005-0000-0000-000011900000}"/>
    <cellStyle name="표준 5 3 4 2 6 2 2 4" xfId="47443" xr:uid="{00000000-0005-0000-0000-000012900000}"/>
    <cellStyle name="표준 5 3 4 2 6 2 3" xfId="18685" xr:uid="{00000000-0005-0000-0000-000013900000}"/>
    <cellStyle name="표준 5 3 4 2 6 2 4" xfId="22847" xr:uid="{00000000-0005-0000-0000-000014900000}"/>
    <cellStyle name="표준 5 3 4 2 6 2 5" xfId="26943" xr:uid="{00000000-0005-0000-0000-000015900000}"/>
    <cellStyle name="표준 5 3 4 2 6 2 6" xfId="35154" xr:uid="{00000000-0005-0000-0000-000016900000}"/>
    <cellStyle name="표준 5 3 4 2 6 2 7" xfId="43347" xr:uid="{00000000-0005-0000-0000-000017900000}"/>
    <cellStyle name="표준 5 3 4 2 6 3" xfId="8285" xr:uid="{00000000-0005-0000-0000-000018900000}"/>
    <cellStyle name="표준 5 3 4 2 6 3 2" xfId="28991" xr:uid="{00000000-0005-0000-0000-000019900000}"/>
    <cellStyle name="표준 5 3 4 2 6 3 3" xfId="37202" xr:uid="{00000000-0005-0000-0000-00001A900000}"/>
    <cellStyle name="표준 5 3 4 2 6 3 4" xfId="45395" xr:uid="{00000000-0005-0000-0000-00001B900000}"/>
    <cellStyle name="표준 5 3 4 2 6 4" xfId="12397" xr:uid="{00000000-0005-0000-0000-00001C900000}"/>
    <cellStyle name="표준 5 3 4 2 6 5" xfId="16637" xr:uid="{00000000-0005-0000-0000-00001D900000}"/>
    <cellStyle name="표준 5 3 4 2 6 6" xfId="20799" xr:uid="{00000000-0005-0000-0000-00001E900000}"/>
    <cellStyle name="표준 5 3 4 2 6 7" xfId="24895" xr:uid="{00000000-0005-0000-0000-00001F900000}"/>
    <cellStyle name="표준 5 3 4 2 6 8" xfId="33106" xr:uid="{00000000-0005-0000-0000-000020900000}"/>
    <cellStyle name="표준 5 3 4 2 6 9" xfId="41299" xr:uid="{00000000-0005-0000-0000-000021900000}"/>
    <cellStyle name="표준 5 3 4 2 7" xfId="1942" xr:uid="{00000000-0005-0000-0000-000022900000}"/>
    <cellStyle name="표준 5 3 4 2 7 2" xfId="10845" xr:uid="{00000000-0005-0000-0000-000023900000}"/>
    <cellStyle name="표준 5 3 4 2 7 2 2" xfId="14957" xr:uid="{00000000-0005-0000-0000-000024900000}"/>
    <cellStyle name="표준 5 3 4 2 7 2 2 2" xfId="31551" xr:uid="{00000000-0005-0000-0000-000025900000}"/>
    <cellStyle name="표준 5 3 4 2 7 2 2 3" xfId="39762" xr:uid="{00000000-0005-0000-0000-000026900000}"/>
    <cellStyle name="표준 5 3 4 2 7 2 2 4" xfId="47955" xr:uid="{00000000-0005-0000-0000-000027900000}"/>
    <cellStyle name="표준 5 3 4 2 7 2 3" xfId="19197" xr:uid="{00000000-0005-0000-0000-000028900000}"/>
    <cellStyle name="표준 5 3 4 2 7 2 4" xfId="23359" xr:uid="{00000000-0005-0000-0000-000029900000}"/>
    <cellStyle name="표준 5 3 4 2 7 2 5" xfId="27455" xr:uid="{00000000-0005-0000-0000-00002A900000}"/>
    <cellStyle name="표준 5 3 4 2 7 2 6" xfId="35666" xr:uid="{00000000-0005-0000-0000-00002B900000}"/>
    <cellStyle name="표준 5 3 4 2 7 2 7" xfId="43859" xr:uid="{00000000-0005-0000-0000-00002C900000}"/>
    <cellStyle name="표준 5 3 4 2 7 3" xfId="8797" xr:uid="{00000000-0005-0000-0000-00002D900000}"/>
    <cellStyle name="표준 5 3 4 2 7 3 2" xfId="29503" xr:uid="{00000000-0005-0000-0000-00002E900000}"/>
    <cellStyle name="표준 5 3 4 2 7 3 3" xfId="37714" xr:uid="{00000000-0005-0000-0000-00002F900000}"/>
    <cellStyle name="표준 5 3 4 2 7 3 4" xfId="45907" xr:uid="{00000000-0005-0000-0000-000030900000}"/>
    <cellStyle name="표준 5 3 4 2 7 4" xfId="12909" xr:uid="{00000000-0005-0000-0000-000031900000}"/>
    <cellStyle name="표준 5 3 4 2 7 5" xfId="17149" xr:uid="{00000000-0005-0000-0000-000032900000}"/>
    <cellStyle name="표준 5 3 4 2 7 6" xfId="21311" xr:uid="{00000000-0005-0000-0000-000033900000}"/>
    <cellStyle name="표준 5 3 4 2 7 7" xfId="25407" xr:uid="{00000000-0005-0000-0000-000034900000}"/>
    <cellStyle name="표준 5 3 4 2 7 8" xfId="33618" xr:uid="{00000000-0005-0000-0000-000035900000}"/>
    <cellStyle name="표준 5 3 4 2 7 9" xfId="41811" xr:uid="{00000000-0005-0000-0000-000036900000}"/>
    <cellStyle name="표준 5 3 4 2 8" xfId="7034" xr:uid="{00000000-0005-0000-0000-000037900000}"/>
    <cellStyle name="표준 5 3 4 2 8 2" xfId="9309" xr:uid="{00000000-0005-0000-0000-000038900000}"/>
    <cellStyle name="표준 5 3 4 2 8 2 2" xfId="30015" xr:uid="{00000000-0005-0000-0000-000039900000}"/>
    <cellStyle name="표준 5 3 4 2 8 2 3" xfId="38226" xr:uid="{00000000-0005-0000-0000-00003A900000}"/>
    <cellStyle name="표준 5 3 4 2 8 2 4" xfId="46419" xr:uid="{00000000-0005-0000-0000-00003B900000}"/>
    <cellStyle name="표준 5 3 4 2 8 3" xfId="13421" xr:uid="{00000000-0005-0000-0000-00003C900000}"/>
    <cellStyle name="표준 5 3 4 2 8 4" xfId="17661" xr:uid="{00000000-0005-0000-0000-00003D900000}"/>
    <cellStyle name="표준 5 3 4 2 8 5" xfId="21823" xr:uid="{00000000-0005-0000-0000-00003E900000}"/>
    <cellStyle name="표준 5 3 4 2 8 6" xfId="25919" xr:uid="{00000000-0005-0000-0000-00003F900000}"/>
    <cellStyle name="표준 5 3 4 2 8 7" xfId="34130" xr:uid="{00000000-0005-0000-0000-000040900000}"/>
    <cellStyle name="표준 5 3 4 2 8 8" xfId="42323" xr:uid="{00000000-0005-0000-0000-000041900000}"/>
    <cellStyle name="표준 5 3 4 2 9" xfId="7144" xr:uid="{00000000-0005-0000-0000-000042900000}"/>
    <cellStyle name="표준 5 3 4 2 9 2" xfId="27967" xr:uid="{00000000-0005-0000-0000-000043900000}"/>
    <cellStyle name="표준 5 3 4 2 9 3" xfId="36178" xr:uid="{00000000-0005-0000-0000-000044900000}"/>
    <cellStyle name="표준 5 3 4 2 9 4" xfId="44371" xr:uid="{00000000-0005-0000-0000-000045900000}"/>
    <cellStyle name="표준 5 3 4 3" xfId="438" xr:uid="{00000000-0005-0000-0000-000046900000}"/>
    <cellStyle name="표준 5 3 4 3 10" xfId="15645" xr:uid="{00000000-0005-0000-0000-000047900000}"/>
    <cellStyle name="표준 5 3 4 3 11" xfId="19807" xr:uid="{00000000-0005-0000-0000-000048900000}"/>
    <cellStyle name="표준 5 3 4 3 12" xfId="23903" xr:uid="{00000000-0005-0000-0000-000049900000}"/>
    <cellStyle name="표준 5 3 4 3 13" xfId="32114" xr:uid="{00000000-0005-0000-0000-00004A900000}"/>
    <cellStyle name="표준 5 3 4 3 14" xfId="40307" xr:uid="{00000000-0005-0000-0000-00004B900000}"/>
    <cellStyle name="표준 5 3 4 3 2" xfId="566" xr:uid="{00000000-0005-0000-0000-00004C900000}"/>
    <cellStyle name="표준 5 3 4 3 2 10" xfId="19935" xr:uid="{00000000-0005-0000-0000-00004D900000}"/>
    <cellStyle name="표준 5 3 4 3 2 11" xfId="24031" xr:uid="{00000000-0005-0000-0000-00004E900000}"/>
    <cellStyle name="표준 5 3 4 3 2 12" xfId="32242" xr:uid="{00000000-0005-0000-0000-00004F900000}"/>
    <cellStyle name="표준 5 3 4 3 2 13" xfId="40435" xr:uid="{00000000-0005-0000-0000-000050900000}"/>
    <cellStyle name="표준 5 3 4 3 2 2" xfId="822" xr:uid="{00000000-0005-0000-0000-000051900000}"/>
    <cellStyle name="표준 5 3 4 3 2 2 10" xfId="24287" xr:uid="{00000000-0005-0000-0000-000052900000}"/>
    <cellStyle name="표준 5 3 4 3 2 2 11" xfId="32498" xr:uid="{00000000-0005-0000-0000-000053900000}"/>
    <cellStyle name="표준 5 3 4 3 2 2 12" xfId="40691" xr:uid="{00000000-0005-0000-0000-000054900000}"/>
    <cellStyle name="표준 5 3 4 3 2 2 2" xfId="1334" xr:uid="{00000000-0005-0000-0000-000055900000}"/>
    <cellStyle name="표준 5 3 4 3 2 2 2 2" xfId="10237" xr:uid="{00000000-0005-0000-0000-000056900000}"/>
    <cellStyle name="표준 5 3 4 3 2 2 2 2 2" xfId="14349" xr:uid="{00000000-0005-0000-0000-000057900000}"/>
    <cellStyle name="표준 5 3 4 3 2 2 2 2 2 2" xfId="30943" xr:uid="{00000000-0005-0000-0000-000058900000}"/>
    <cellStyle name="표준 5 3 4 3 2 2 2 2 2 3" xfId="39154" xr:uid="{00000000-0005-0000-0000-000059900000}"/>
    <cellStyle name="표준 5 3 4 3 2 2 2 2 2 4" xfId="47347" xr:uid="{00000000-0005-0000-0000-00005A900000}"/>
    <cellStyle name="표준 5 3 4 3 2 2 2 2 3" xfId="18589" xr:uid="{00000000-0005-0000-0000-00005B900000}"/>
    <cellStyle name="표준 5 3 4 3 2 2 2 2 4" xfId="22751" xr:uid="{00000000-0005-0000-0000-00005C900000}"/>
    <cellStyle name="표준 5 3 4 3 2 2 2 2 5" xfId="26847" xr:uid="{00000000-0005-0000-0000-00005D900000}"/>
    <cellStyle name="표준 5 3 4 3 2 2 2 2 6" xfId="35058" xr:uid="{00000000-0005-0000-0000-00005E900000}"/>
    <cellStyle name="표준 5 3 4 3 2 2 2 2 7" xfId="43251" xr:uid="{00000000-0005-0000-0000-00005F900000}"/>
    <cellStyle name="표준 5 3 4 3 2 2 2 3" xfId="8189" xr:uid="{00000000-0005-0000-0000-000060900000}"/>
    <cellStyle name="표준 5 3 4 3 2 2 2 3 2" xfId="28895" xr:uid="{00000000-0005-0000-0000-000061900000}"/>
    <cellStyle name="표준 5 3 4 3 2 2 2 3 3" xfId="37106" xr:uid="{00000000-0005-0000-0000-000062900000}"/>
    <cellStyle name="표준 5 3 4 3 2 2 2 3 4" xfId="45299" xr:uid="{00000000-0005-0000-0000-000063900000}"/>
    <cellStyle name="표준 5 3 4 3 2 2 2 4" xfId="12301" xr:uid="{00000000-0005-0000-0000-000064900000}"/>
    <cellStyle name="표준 5 3 4 3 2 2 2 5" xfId="16541" xr:uid="{00000000-0005-0000-0000-000065900000}"/>
    <cellStyle name="표준 5 3 4 3 2 2 2 6" xfId="20703" xr:uid="{00000000-0005-0000-0000-000066900000}"/>
    <cellStyle name="표준 5 3 4 3 2 2 2 7" xfId="24799" xr:uid="{00000000-0005-0000-0000-000067900000}"/>
    <cellStyle name="표준 5 3 4 3 2 2 2 8" xfId="33010" xr:uid="{00000000-0005-0000-0000-000068900000}"/>
    <cellStyle name="표준 5 3 4 3 2 2 2 9" xfId="41203" xr:uid="{00000000-0005-0000-0000-000069900000}"/>
    <cellStyle name="표준 5 3 4 3 2 2 3" xfId="1846" xr:uid="{00000000-0005-0000-0000-00006A900000}"/>
    <cellStyle name="표준 5 3 4 3 2 2 3 2" xfId="10749" xr:uid="{00000000-0005-0000-0000-00006B900000}"/>
    <cellStyle name="표준 5 3 4 3 2 2 3 2 2" xfId="14861" xr:uid="{00000000-0005-0000-0000-00006C900000}"/>
    <cellStyle name="표준 5 3 4 3 2 2 3 2 2 2" xfId="31455" xr:uid="{00000000-0005-0000-0000-00006D900000}"/>
    <cellStyle name="표준 5 3 4 3 2 2 3 2 2 3" xfId="39666" xr:uid="{00000000-0005-0000-0000-00006E900000}"/>
    <cellStyle name="표준 5 3 4 3 2 2 3 2 2 4" xfId="47859" xr:uid="{00000000-0005-0000-0000-00006F900000}"/>
    <cellStyle name="표준 5 3 4 3 2 2 3 2 3" xfId="19101" xr:uid="{00000000-0005-0000-0000-000070900000}"/>
    <cellStyle name="표준 5 3 4 3 2 2 3 2 4" xfId="23263" xr:uid="{00000000-0005-0000-0000-000071900000}"/>
    <cellStyle name="표준 5 3 4 3 2 2 3 2 5" xfId="27359" xr:uid="{00000000-0005-0000-0000-000072900000}"/>
    <cellStyle name="표준 5 3 4 3 2 2 3 2 6" xfId="35570" xr:uid="{00000000-0005-0000-0000-000073900000}"/>
    <cellStyle name="표준 5 3 4 3 2 2 3 2 7" xfId="43763" xr:uid="{00000000-0005-0000-0000-000074900000}"/>
    <cellStyle name="표준 5 3 4 3 2 2 3 3" xfId="8701" xr:uid="{00000000-0005-0000-0000-000075900000}"/>
    <cellStyle name="표준 5 3 4 3 2 2 3 3 2" xfId="29407" xr:uid="{00000000-0005-0000-0000-000076900000}"/>
    <cellStyle name="표준 5 3 4 3 2 2 3 3 3" xfId="37618" xr:uid="{00000000-0005-0000-0000-000077900000}"/>
    <cellStyle name="표준 5 3 4 3 2 2 3 3 4" xfId="45811" xr:uid="{00000000-0005-0000-0000-000078900000}"/>
    <cellStyle name="표준 5 3 4 3 2 2 3 4" xfId="12813" xr:uid="{00000000-0005-0000-0000-000079900000}"/>
    <cellStyle name="표준 5 3 4 3 2 2 3 5" xfId="17053" xr:uid="{00000000-0005-0000-0000-00007A900000}"/>
    <cellStyle name="표준 5 3 4 3 2 2 3 6" xfId="21215" xr:uid="{00000000-0005-0000-0000-00007B900000}"/>
    <cellStyle name="표준 5 3 4 3 2 2 3 7" xfId="25311" xr:uid="{00000000-0005-0000-0000-00007C900000}"/>
    <cellStyle name="표준 5 3 4 3 2 2 3 8" xfId="33522" xr:uid="{00000000-0005-0000-0000-00007D900000}"/>
    <cellStyle name="표준 5 3 4 3 2 2 3 9" xfId="41715" xr:uid="{00000000-0005-0000-0000-00007E900000}"/>
    <cellStyle name="표준 5 3 4 3 2 2 4" xfId="2358" xr:uid="{00000000-0005-0000-0000-00007F900000}"/>
    <cellStyle name="표준 5 3 4 3 2 2 4 2" xfId="11261" xr:uid="{00000000-0005-0000-0000-000080900000}"/>
    <cellStyle name="표준 5 3 4 3 2 2 4 2 2" xfId="15373" xr:uid="{00000000-0005-0000-0000-000081900000}"/>
    <cellStyle name="표준 5 3 4 3 2 2 4 2 2 2" xfId="31967" xr:uid="{00000000-0005-0000-0000-000082900000}"/>
    <cellStyle name="표준 5 3 4 3 2 2 4 2 2 3" xfId="40178" xr:uid="{00000000-0005-0000-0000-000083900000}"/>
    <cellStyle name="표준 5 3 4 3 2 2 4 2 2 4" xfId="48371" xr:uid="{00000000-0005-0000-0000-000084900000}"/>
    <cellStyle name="표준 5 3 4 3 2 2 4 2 3" xfId="19613" xr:uid="{00000000-0005-0000-0000-000085900000}"/>
    <cellStyle name="표준 5 3 4 3 2 2 4 2 4" xfId="23775" xr:uid="{00000000-0005-0000-0000-000086900000}"/>
    <cellStyle name="표준 5 3 4 3 2 2 4 2 5" xfId="27871" xr:uid="{00000000-0005-0000-0000-000087900000}"/>
    <cellStyle name="표준 5 3 4 3 2 2 4 2 6" xfId="36082" xr:uid="{00000000-0005-0000-0000-000088900000}"/>
    <cellStyle name="표준 5 3 4 3 2 2 4 2 7" xfId="44275" xr:uid="{00000000-0005-0000-0000-000089900000}"/>
    <cellStyle name="표준 5 3 4 3 2 2 4 3" xfId="9213" xr:uid="{00000000-0005-0000-0000-00008A900000}"/>
    <cellStyle name="표준 5 3 4 3 2 2 4 3 2" xfId="29919" xr:uid="{00000000-0005-0000-0000-00008B900000}"/>
    <cellStyle name="표준 5 3 4 3 2 2 4 3 3" xfId="38130" xr:uid="{00000000-0005-0000-0000-00008C900000}"/>
    <cellStyle name="표준 5 3 4 3 2 2 4 3 4" xfId="46323" xr:uid="{00000000-0005-0000-0000-00008D900000}"/>
    <cellStyle name="표준 5 3 4 3 2 2 4 4" xfId="13325" xr:uid="{00000000-0005-0000-0000-00008E900000}"/>
    <cellStyle name="표준 5 3 4 3 2 2 4 5" xfId="17565" xr:uid="{00000000-0005-0000-0000-00008F900000}"/>
    <cellStyle name="표준 5 3 4 3 2 2 4 6" xfId="21727" xr:uid="{00000000-0005-0000-0000-000090900000}"/>
    <cellStyle name="표준 5 3 4 3 2 2 4 7" xfId="25823" xr:uid="{00000000-0005-0000-0000-000091900000}"/>
    <cellStyle name="표준 5 3 4 3 2 2 4 8" xfId="34034" xr:uid="{00000000-0005-0000-0000-000092900000}"/>
    <cellStyle name="표준 5 3 4 3 2 2 4 9" xfId="42227" xr:uid="{00000000-0005-0000-0000-000093900000}"/>
    <cellStyle name="표준 5 3 4 3 2 2 5" xfId="9725" xr:uid="{00000000-0005-0000-0000-000094900000}"/>
    <cellStyle name="표준 5 3 4 3 2 2 5 2" xfId="13837" xr:uid="{00000000-0005-0000-0000-000095900000}"/>
    <cellStyle name="표준 5 3 4 3 2 2 5 2 2" xfId="30431" xr:uid="{00000000-0005-0000-0000-000096900000}"/>
    <cellStyle name="표준 5 3 4 3 2 2 5 2 3" xfId="38642" xr:uid="{00000000-0005-0000-0000-000097900000}"/>
    <cellStyle name="표준 5 3 4 3 2 2 5 2 4" xfId="46835" xr:uid="{00000000-0005-0000-0000-000098900000}"/>
    <cellStyle name="표준 5 3 4 3 2 2 5 3" xfId="18077" xr:uid="{00000000-0005-0000-0000-000099900000}"/>
    <cellStyle name="표준 5 3 4 3 2 2 5 4" xfId="22239" xr:uid="{00000000-0005-0000-0000-00009A900000}"/>
    <cellStyle name="표준 5 3 4 3 2 2 5 5" xfId="26335" xr:uid="{00000000-0005-0000-0000-00009B900000}"/>
    <cellStyle name="표준 5 3 4 3 2 2 5 6" xfId="34546" xr:uid="{00000000-0005-0000-0000-00009C900000}"/>
    <cellStyle name="표준 5 3 4 3 2 2 5 7" xfId="42739" xr:uid="{00000000-0005-0000-0000-00009D900000}"/>
    <cellStyle name="표준 5 3 4 3 2 2 6" xfId="7677" xr:uid="{00000000-0005-0000-0000-00009E900000}"/>
    <cellStyle name="표준 5 3 4 3 2 2 6 2" xfId="28383" xr:uid="{00000000-0005-0000-0000-00009F900000}"/>
    <cellStyle name="표준 5 3 4 3 2 2 6 3" xfId="36594" xr:uid="{00000000-0005-0000-0000-0000A0900000}"/>
    <cellStyle name="표준 5 3 4 3 2 2 6 4" xfId="44787" xr:uid="{00000000-0005-0000-0000-0000A1900000}"/>
    <cellStyle name="표준 5 3 4 3 2 2 7" xfId="11789" xr:uid="{00000000-0005-0000-0000-0000A2900000}"/>
    <cellStyle name="표준 5 3 4 3 2 2 8" xfId="16029" xr:uid="{00000000-0005-0000-0000-0000A3900000}"/>
    <cellStyle name="표준 5 3 4 3 2 2 9" xfId="20191" xr:uid="{00000000-0005-0000-0000-0000A4900000}"/>
    <cellStyle name="표준 5 3 4 3 2 3" xfId="1078" xr:uid="{00000000-0005-0000-0000-0000A5900000}"/>
    <cellStyle name="표준 5 3 4 3 2 3 2" xfId="9981" xr:uid="{00000000-0005-0000-0000-0000A6900000}"/>
    <cellStyle name="표준 5 3 4 3 2 3 2 2" xfId="14093" xr:uid="{00000000-0005-0000-0000-0000A7900000}"/>
    <cellStyle name="표준 5 3 4 3 2 3 2 2 2" xfId="30687" xr:uid="{00000000-0005-0000-0000-0000A8900000}"/>
    <cellStyle name="표준 5 3 4 3 2 3 2 2 3" xfId="38898" xr:uid="{00000000-0005-0000-0000-0000A9900000}"/>
    <cellStyle name="표준 5 3 4 3 2 3 2 2 4" xfId="47091" xr:uid="{00000000-0005-0000-0000-0000AA900000}"/>
    <cellStyle name="표준 5 3 4 3 2 3 2 3" xfId="18333" xr:uid="{00000000-0005-0000-0000-0000AB900000}"/>
    <cellStyle name="표준 5 3 4 3 2 3 2 4" xfId="22495" xr:uid="{00000000-0005-0000-0000-0000AC900000}"/>
    <cellStyle name="표준 5 3 4 3 2 3 2 5" xfId="26591" xr:uid="{00000000-0005-0000-0000-0000AD900000}"/>
    <cellStyle name="표준 5 3 4 3 2 3 2 6" xfId="34802" xr:uid="{00000000-0005-0000-0000-0000AE900000}"/>
    <cellStyle name="표준 5 3 4 3 2 3 2 7" xfId="42995" xr:uid="{00000000-0005-0000-0000-0000AF900000}"/>
    <cellStyle name="표준 5 3 4 3 2 3 3" xfId="7933" xr:uid="{00000000-0005-0000-0000-0000B0900000}"/>
    <cellStyle name="표준 5 3 4 3 2 3 3 2" xfId="28639" xr:uid="{00000000-0005-0000-0000-0000B1900000}"/>
    <cellStyle name="표준 5 3 4 3 2 3 3 3" xfId="36850" xr:uid="{00000000-0005-0000-0000-0000B2900000}"/>
    <cellStyle name="표준 5 3 4 3 2 3 3 4" xfId="45043" xr:uid="{00000000-0005-0000-0000-0000B3900000}"/>
    <cellStyle name="표준 5 3 4 3 2 3 4" xfId="12045" xr:uid="{00000000-0005-0000-0000-0000B4900000}"/>
    <cellStyle name="표준 5 3 4 3 2 3 5" xfId="16285" xr:uid="{00000000-0005-0000-0000-0000B5900000}"/>
    <cellStyle name="표준 5 3 4 3 2 3 6" xfId="20447" xr:uid="{00000000-0005-0000-0000-0000B6900000}"/>
    <cellStyle name="표준 5 3 4 3 2 3 7" xfId="24543" xr:uid="{00000000-0005-0000-0000-0000B7900000}"/>
    <cellStyle name="표준 5 3 4 3 2 3 8" xfId="32754" xr:uid="{00000000-0005-0000-0000-0000B8900000}"/>
    <cellStyle name="표준 5 3 4 3 2 3 9" xfId="40947" xr:uid="{00000000-0005-0000-0000-0000B9900000}"/>
    <cellStyle name="표준 5 3 4 3 2 4" xfId="1590" xr:uid="{00000000-0005-0000-0000-0000BA900000}"/>
    <cellStyle name="표준 5 3 4 3 2 4 2" xfId="10493" xr:uid="{00000000-0005-0000-0000-0000BB900000}"/>
    <cellStyle name="표준 5 3 4 3 2 4 2 2" xfId="14605" xr:uid="{00000000-0005-0000-0000-0000BC900000}"/>
    <cellStyle name="표준 5 3 4 3 2 4 2 2 2" xfId="31199" xr:uid="{00000000-0005-0000-0000-0000BD900000}"/>
    <cellStyle name="표준 5 3 4 3 2 4 2 2 3" xfId="39410" xr:uid="{00000000-0005-0000-0000-0000BE900000}"/>
    <cellStyle name="표준 5 3 4 3 2 4 2 2 4" xfId="47603" xr:uid="{00000000-0005-0000-0000-0000BF900000}"/>
    <cellStyle name="표준 5 3 4 3 2 4 2 3" xfId="18845" xr:uid="{00000000-0005-0000-0000-0000C0900000}"/>
    <cellStyle name="표준 5 3 4 3 2 4 2 4" xfId="23007" xr:uid="{00000000-0005-0000-0000-0000C1900000}"/>
    <cellStyle name="표준 5 3 4 3 2 4 2 5" xfId="27103" xr:uid="{00000000-0005-0000-0000-0000C2900000}"/>
    <cellStyle name="표준 5 3 4 3 2 4 2 6" xfId="35314" xr:uid="{00000000-0005-0000-0000-0000C3900000}"/>
    <cellStyle name="표준 5 3 4 3 2 4 2 7" xfId="43507" xr:uid="{00000000-0005-0000-0000-0000C4900000}"/>
    <cellStyle name="표준 5 3 4 3 2 4 3" xfId="8445" xr:uid="{00000000-0005-0000-0000-0000C5900000}"/>
    <cellStyle name="표준 5 3 4 3 2 4 3 2" xfId="29151" xr:uid="{00000000-0005-0000-0000-0000C6900000}"/>
    <cellStyle name="표준 5 3 4 3 2 4 3 3" xfId="37362" xr:uid="{00000000-0005-0000-0000-0000C7900000}"/>
    <cellStyle name="표준 5 3 4 3 2 4 3 4" xfId="45555" xr:uid="{00000000-0005-0000-0000-0000C8900000}"/>
    <cellStyle name="표준 5 3 4 3 2 4 4" xfId="12557" xr:uid="{00000000-0005-0000-0000-0000C9900000}"/>
    <cellStyle name="표준 5 3 4 3 2 4 5" xfId="16797" xr:uid="{00000000-0005-0000-0000-0000CA900000}"/>
    <cellStyle name="표준 5 3 4 3 2 4 6" xfId="20959" xr:uid="{00000000-0005-0000-0000-0000CB900000}"/>
    <cellStyle name="표준 5 3 4 3 2 4 7" xfId="25055" xr:uid="{00000000-0005-0000-0000-0000CC900000}"/>
    <cellStyle name="표준 5 3 4 3 2 4 8" xfId="33266" xr:uid="{00000000-0005-0000-0000-0000CD900000}"/>
    <cellStyle name="표준 5 3 4 3 2 4 9" xfId="41459" xr:uid="{00000000-0005-0000-0000-0000CE900000}"/>
    <cellStyle name="표준 5 3 4 3 2 5" xfId="2102" xr:uid="{00000000-0005-0000-0000-0000CF900000}"/>
    <cellStyle name="표준 5 3 4 3 2 5 2" xfId="11005" xr:uid="{00000000-0005-0000-0000-0000D0900000}"/>
    <cellStyle name="표준 5 3 4 3 2 5 2 2" xfId="15117" xr:uid="{00000000-0005-0000-0000-0000D1900000}"/>
    <cellStyle name="표준 5 3 4 3 2 5 2 2 2" xfId="31711" xr:uid="{00000000-0005-0000-0000-0000D2900000}"/>
    <cellStyle name="표준 5 3 4 3 2 5 2 2 3" xfId="39922" xr:uid="{00000000-0005-0000-0000-0000D3900000}"/>
    <cellStyle name="표준 5 3 4 3 2 5 2 2 4" xfId="48115" xr:uid="{00000000-0005-0000-0000-0000D4900000}"/>
    <cellStyle name="표준 5 3 4 3 2 5 2 3" xfId="19357" xr:uid="{00000000-0005-0000-0000-0000D5900000}"/>
    <cellStyle name="표준 5 3 4 3 2 5 2 4" xfId="23519" xr:uid="{00000000-0005-0000-0000-0000D6900000}"/>
    <cellStyle name="표준 5 3 4 3 2 5 2 5" xfId="27615" xr:uid="{00000000-0005-0000-0000-0000D7900000}"/>
    <cellStyle name="표준 5 3 4 3 2 5 2 6" xfId="35826" xr:uid="{00000000-0005-0000-0000-0000D8900000}"/>
    <cellStyle name="표준 5 3 4 3 2 5 2 7" xfId="44019" xr:uid="{00000000-0005-0000-0000-0000D9900000}"/>
    <cellStyle name="표준 5 3 4 3 2 5 3" xfId="8957" xr:uid="{00000000-0005-0000-0000-0000DA900000}"/>
    <cellStyle name="표준 5 3 4 3 2 5 3 2" xfId="29663" xr:uid="{00000000-0005-0000-0000-0000DB900000}"/>
    <cellStyle name="표준 5 3 4 3 2 5 3 3" xfId="37874" xr:uid="{00000000-0005-0000-0000-0000DC900000}"/>
    <cellStyle name="표준 5 3 4 3 2 5 3 4" xfId="46067" xr:uid="{00000000-0005-0000-0000-0000DD900000}"/>
    <cellStyle name="표준 5 3 4 3 2 5 4" xfId="13069" xr:uid="{00000000-0005-0000-0000-0000DE900000}"/>
    <cellStyle name="표준 5 3 4 3 2 5 5" xfId="17309" xr:uid="{00000000-0005-0000-0000-0000DF900000}"/>
    <cellStyle name="표준 5 3 4 3 2 5 6" xfId="21471" xr:uid="{00000000-0005-0000-0000-0000E0900000}"/>
    <cellStyle name="표준 5 3 4 3 2 5 7" xfId="25567" xr:uid="{00000000-0005-0000-0000-0000E1900000}"/>
    <cellStyle name="표준 5 3 4 3 2 5 8" xfId="33778" xr:uid="{00000000-0005-0000-0000-0000E2900000}"/>
    <cellStyle name="표준 5 3 4 3 2 5 9" xfId="41971" xr:uid="{00000000-0005-0000-0000-0000E3900000}"/>
    <cellStyle name="표준 5 3 4 3 2 6" xfId="9469" xr:uid="{00000000-0005-0000-0000-0000E4900000}"/>
    <cellStyle name="표준 5 3 4 3 2 6 2" xfId="13581" xr:uid="{00000000-0005-0000-0000-0000E5900000}"/>
    <cellStyle name="표준 5 3 4 3 2 6 2 2" xfId="30175" xr:uid="{00000000-0005-0000-0000-0000E6900000}"/>
    <cellStyle name="표준 5 3 4 3 2 6 2 3" xfId="38386" xr:uid="{00000000-0005-0000-0000-0000E7900000}"/>
    <cellStyle name="표준 5 3 4 3 2 6 2 4" xfId="46579" xr:uid="{00000000-0005-0000-0000-0000E8900000}"/>
    <cellStyle name="표준 5 3 4 3 2 6 3" xfId="17821" xr:uid="{00000000-0005-0000-0000-0000E9900000}"/>
    <cellStyle name="표준 5 3 4 3 2 6 4" xfId="21983" xr:uid="{00000000-0005-0000-0000-0000EA900000}"/>
    <cellStyle name="표준 5 3 4 3 2 6 5" xfId="26079" xr:uid="{00000000-0005-0000-0000-0000EB900000}"/>
    <cellStyle name="표준 5 3 4 3 2 6 6" xfId="34290" xr:uid="{00000000-0005-0000-0000-0000EC900000}"/>
    <cellStyle name="표준 5 3 4 3 2 6 7" xfId="42483" xr:uid="{00000000-0005-0000-0000-0000ED900000}"/>
    <cellStyle name="표준 5 3 4 3 2 7" xfId="7421" xr:uid="{00000000-0005-0000-0000-0000EE900000}"/>
    <cellStyle name="표준 5 3 4 3 2 7 2" xfId="28127" xr:uid="{00000000-0005-0000-0000-0000EF900000}"/>
    <cellStyle name="표준 5 3 4 3 2 7 3" xfId="36338" xr:uid="{00000000-0005-0000-0000-0000F0900000}"/>
    <cellStyle name="표준 5 3 4 3 2 7 4" xfId="44531" xr:uid="{00000000-0005-0000-0000-0000F1900000}"/>
    <cellStyle name="표준 5 3 4 3 2 8" xfId="11533" xr:uid="{00000000-0005-0000-0000-0000F2900000}"/>
    <cellStyle name="표준 5 3 4 3 2 9" xfId="15773" xr:uid="{00000000-0005-0000-0000-0000F3900000}"/>
    <cellStyle name="표준 5 3 4 3 3" xfId="694" xr:uid="{00000000-0005-0000-0000-0000F4900000}"/>
    <cellStyle name="표준 5 3 4 3 3 10" xfId="24159" xr:uid="{00000000-0005-0000-0000-0000F5900000}"/>
    <cellStyle name="표준 5 3 4 3 3 11" xfId="32370" xr:uid="{00000000-0005-0000-0000-0000F6900000}"/>
    <cellStyle name="표준 5 3 4 3 3 12" xfId="40563" xr:uid="{00000000-0005-0000-0000-0000F7900000}"/>
    <cellStyle name="표준 5 3 4 3 3 2" xfId="1206" xr:uid="{00000000-0005-0000-0000-0000F8900000}"/>
    <cellStyle name="표준 5 3 4 3 3 2 2" xfId="10109" xr:uid="{00000000-0005-0000-0000-0000F9900000}"/>
    <cellStyle name="표준 5 3 4 3 3 2 2 2" xfId="14221" xr:uid="{00000000-0005-0000-0000-0000FA900000}"/>
    <cellStyle name="표준 5 3 4 3 3 2 2 2 2" xfId="30815" xr:uid="{00000000-0005-0000-0000-0000FB900000}"/>
    <cellStyle name="표준 5 3 4 3 3 2 2 2 3" xfId="39026" xr:uid="{00000000-0005-0000-0000-0000FC900000}"/>
    <cellStyle name="표준 5 3 4 3 3 2 2 2 4" xfId="47219" xr:uid="{00000000-0005-0000-0000-0000FD900000}"/>
    <cellStyle name="표준 5 3 4 3 3 2 2 3" xfId="18461" xr:uid="{00000000-0005-0000-0000-0000FE900000}"/>
    <cellStyle name="표준 5 3 4 3 3 2 2 4" xfId="22623" xr:uid="{00000000-0005-0000-0000-0000FF900000}"/>
    <cellStyle name="표준 5 3 4 3 3 2 2 5" xfId="26719" xr:uid="{00000000-0005-0000-0000-000000910000}"/>
    <cellStyle name="표준 5 3 4 3 3 2 2 6" xfId="34930" xr:uid="{00000000-0005-0000-0000-000001910000}"/>
    <cellStyle name="표준 5 3 4 3 3 2 2 7" xfId="43123" xr:uid="{00000000-0005-0000-0000-000002910000}"/>
    <cellStyle name="표준 5 3 4 3 3 2 3" xfId="8061" xr:uid="{00000000-0005-0000-0000-000003910000}"/>
    <cellStyle name="표준 5 3 4 3 3 2 3 2" xfId="28767" xr:uid="{00000000-0005-0000-0000-000004910000}"/>
    <cellStyle name="표준 5 3 4 3 3 2 3 3" xfId="36978" xr:uid="{00000000-0005-0000-0000-000005910000}"/>
    <cellStyle name="표준 5 3 4 3 3 2 3 4" xfId="45171" xr:uid="{00000000-0005-0000-0000-000006910000}"/>
    <cellStyle name="표준 5 3 4 3 3 2 4" xfId="12173" xr:uid="{00000000-0005-0000-0000-000007910000}"/>
    <cellStyle name="표준 5 3 4 3 3 2 5" xfId="16413" xr:uid="{00000000-0005-0000-0000-000008910000}"/>
    <cellStyle name="표준 5 3 4 3 3 2 6" xfId="20575" xr:uid="{00000000-0005-0000-0000-000009910000}"/>
    <cellStyle name="표준 5 3 4 3 3 2 7" xfId="24671" xr:uid="{00000000-0005-0000-0000-00000A910000}"/>
    <cellStyle name="표준 5 3 4 3 3 2 8" xfId="32882" xr:uid="{00000000-0005-0000-0000-00000B910000}"/>
    <cellStyle name="표준 5 3 4 3 3 2 9" xfId="41075" xr:uid="{00000000-0005-0000-0000-00000C910000}"/>
    <cellStyle name="표준 5 3 4 3 3 3" xfId="1718" xr:uid="{00000000-0005-0000-0000-00000D910000}"/>
    <cellStyle name="표준 5 3 4 3 3 3 2" xfId="10621" xr:uid="{00000000-0005-0000-0000-00000E910000}"/>
    <cellStyle name="표준 5 3 4 3 3 3 2 2" xfId="14733" xr:uid="{00000000-0005-0000-0000-00000F910000}"/>
    <cellStyle name="표준 5 3 4 3 3 3 2 2 2" xfId="31327" xr:uid="{00000000-0005-0000-0000-000010910000}"/>
    <cellStyle name="표준 5 3 4 3 3 3 2 2 3" xfId="39538" xr:uid="{00000000-0005-0000-0000-000011910000}"/>
    <cellStyle name="표준 5 3 4 3 3 3 2 2 4" xfId="47731" xr:uid="{00000000-0005-0000-0000-000012910000}"/>
    <cellStyle name="표준 5 3 4 3 3 3 2 3" xfId="18973" xr:uid="{00000000-0005-0000-0000-000013910000}"/>
    <cellStyle name="표준 5 3 4 3 3 3 2 4" xfId="23135" xr:uid="{00000000-0005-0000-0000-000014910000}"/>
    <cellStyle name="표준 5 3 4 3 3 3 2 5" xfId="27231" xr:uid="{00000000-0005-0000-0000-000015910000}"/>
    <cellStyle name="표준 5 3 4 3 3 3 2 6" xfId="35442" xr:uid="{00000000-0005-0000-0000-000016910000}"/>
    <cellStyle name="표준 5 3 4 3 3 3 2 7" xfId="43635" xr:uid="{00000000-0005-0000-0000-000017910000}"/>
    <cellStyle name="표준 5 3 4 3 3 3 3" xfId="8573" xr:uid="{00000000-0005-0000-0000-000018910000}"/>
    <cellStyle name="표준 5 3 4 3 3 3 3 2" xfId="29279" xr:uid="{00000000-0005-0000-0000-000019910000}"/>
    <cellStyle name="표준 5 3 4 3 3 3 3 3" xfId="37490" xr:uid="{00000000-0005-0000-0000-00001A910000}"/>
    <cellStyle name="표준 5 3 4 3 3 3 3 4" xfId="45683" xr:uid="{00000000-0005-0000-0000-00001B910000}"/>
    <cellStyle name="표준 5 3 4 3 3 3 4" xfId="12685" xr:uid="{00000000-0005-0000-0000-00001C910000}"/>
    <cellStyle name="표준 5 3 4 3 3 3 5" xfId="16925" xr:uid="{00000000-0005-0000-0000-00001D910000}"/>
    <cellStyle name="표준 5 3 4 3 3 3 6" xfId="21087" xr:uid="{00000000-0005-0000-0000-00001E910000}"/>
    <cellStyle name="표준 5 3 4 3 3 3 7" xfId="25183" xr:uid="{00000000-0005-0000-0000-00001F910000}"/>
    <cellStyle name="표준 5 3 4 3 3 3 8" xfId="33394" xr:uid="{00000000-0005-0000-0000-000020910000}"/>
    <cellStyle name="표준 5 3 4 3 3 3 9" xfId="41587" xr:uid="{00000000-0005-0000-0000-000021910000}"/>
    <cellStyle name="표준 5 3 4 3 3 4" xfId="2230" xr:uid="{00000000-0005-0000-0000-000022910000}"/>
    <cellStyle name="표준 5 3 4 3 3 4 2" xfId="11133" xr:uid="{00000000-0005-0000-0000-000023910000}"/>
    <cellStyle name="표준 5 3 4 3 3 4 2 2" xfId="15245" xr:uid="{00000000-0005-0000-0000-000024910000}"/>
    <cellStyle name="표준 5 3 4 3 3 4 2 2 2" xfId="31839" xr:uid="{00000000-0005-0000-0000-000025910000}"/>
    <cellStyle name="표준 5 3 4 3 3 4 2 2 3" xfId="40050" xr:uid="{00000000-0005-0000-0000-000026910000}"/>
    <cellStyle name="표준 5 3 4 3 3 4 2 2 4" xfId="48243" xr:uid="{00000000-0005-0000-0000-000027910000}"/>
    <cellStyle name="표준 5 3 4 3 3 4 2 3" xfId="19485" xr:uid="{00000000-0005-0000-0000-000028910000}"/>
    <cellStyle name="표준 5 3 4 3 3 4 2 4" xfId="23647" xr:uid="{00000000-0005-0000-0000-000029910000}"/>
    <cellStyle name="표준 5 3 4 3 3 4 2 5" xfId="27743" xr:uid="{00000000-0005-0000-0000-00002A910000}"/>
    <cellStyle name="표준 5 3 4 3 3 4 2 6" xfId="35954" xr:uid="{00000000-0005-0000-0000-00002B910000}"/>
    <cellStyle name="표준 5 3 4 3 3 4 2 7" xfId="44147" xr:uid="{00000000-0005-0000-0000-00002C910000}"/>
    <cellStyle name="표준 5 3 4 3 3 4 3" xfId="9085" xr:uid="{00000000-0005-0000-0000-00002D910000}"/>
    <cellStyle name="표준 5 3 4 3 3 4 3 2" xfId="29791" xr:uid="{00000000-0005-0000-0000-00002E910000}"/>
    <cellStyle name="표준 5 3 4 3 3 4 3 3" xfId="38002" xr:uid="{00000000-0005-0000-0000-00002F910000}"/>
    <cellStyle name="표준 5 3 4 3 3 4 3 4" xfId="46195" xr:uid="{00000000-0005-0000-0000-000030910000}"/>
    <cellStyle name="표준 5 3 4 3 3 4 4" xfId="13197" xr:uid="{00000000-0005-0000-0000-000031910000}"/>
    <cellStyle name="표준 5 3 4 3 3 4 5" xfId="17437" xr:uid="{00000000-0005-0000-0000-000032910000}"/>
    <cellStyle name="표준 5 3 4 3 3 4 6" xfId="21599" xr:uid="{00000000-0005-0000-0000-000033910000}"/>
    <cellStyle name="표준 5 3 4 3 3 4 7" xfId="25695" xr:uid="{00000000-0005-0000-0000-000034910000}"/>
    <cellStyle name="표준 5 3 4 3 3 4 8" xfId="33906" xr:uid="{00000000-0005-0000-0000-000035910000}"/>
    <cellStyle name="표준 5 3 4 3 3 4 9" xfId="42099" xr:uid="{00000000-0005-0000-0000-000036910000}"/>
    <cellStyle name="표준 5 3 4 3 3 5" xfId="9597" xr:uid="{00000000-0005-0000-0000-000037910000}"/>
    <cellStyle name="표준 5 3 4 3 3 5 2" xfId="13709" xr:uid="{00000000-0005-0000-0000-000038910000}"/>
    <cellStyle name="표준 5 3 4 3 3 5 2 2" xfId="30303" xr:uid="{00000000-0005-0000-0000-000039910000}"/>
    <cellStyle name="표준 5 3 4 3 3 5 2 3" xfId="38514" xr:uid="{00000000-0005-0000-0000-00003A910000}"/>
    <cellStyle name="표준 5 3 4 3 3 5 2 4" xfId="46707" xr:uid="{00000000-0005-0000-0000-00003B910000}"/>
    <cellStyle name="표준 5 3 4 3 3 5 3" xfId="17949" xr:uid="{00000000-0005-0000-0000-00003C910000}"/>
    <cellStyle name="표준 5 3 4 3 3 5 4" xfId="22111" xr:uid="{00000000-0005-0000-0000-00003D910000}"/>
    <cellStyle name="표준 5 3 4 3 3 5 5" xfId="26207" xr:uid="{00000000-0005-0000-0000-00003E910000}"/>
    <cellStyle name="표준 5 3 4 3 3 5 6" xfId="34418" xr:uid="{00000000-0005-0000-0000-00003F910000}"/>
    <cellStyle name="표준 5 3 4 3 3 5 7" xfId="42611" xr:uid="{00000000-0005-0000-0000-000040910000}"/>
    <cellStyle name="표준 5 3 4 3 3 6" xfId="7549" xr:uid="{00000000-0005-0000-0000-000041910000}"/>
    <cellStyle name="표준 5 3 4 3 3 6 2" xfId="28255" xr:uid="{00000000-0005-0000-0000-000042910000}"/>
    <cellStyle name="표준 5 3 4 3 3 6 3" xfId="36466" xr:uid="{00000000-0005-0000-0000-000043910000}"/>
    <cellStyle name="표준 5 3 4 3 3 6 4" xfId="44659" xr:uid="{00000000-0005-0000-0000-000044910000}"/>
    <cellStyle name="표준 5 3 4 3 3 7" xfId="11661" xr:uid="{00000000-0005-0000-0000-000045910000}"/>
    <cellStyle name="표준 5 3 4 3 3 8" xfId="15901" xr:uid="{00000000-0005-0000-0000-000046910000}"/>
    <cellStyle name="표준 5 3 4 3 3 9" xfId="20063" xr:uid="{00000000-0005-0000-0000-000047910000}"/>
    <cellStyle name="표준 5 3 4 3 4" xfId="950" xr:uid="{00000000-0005-0000-0000-000048910000}"/>
    <cellStyle name="표준 5 3 4 3 4 2" xfId="9853" xr:uid="{00000000-0005-0000-0000-000049910000}"/>
    <cellStyle name="표준 5 3 4 3 4 2 2" xfId="13965" xr:uid="{00000000-0005-0000-0000-00004A910000}"/>
    <cellStyle name="표준 5 3 4 3 4 2 2 2" xfId="30559" xr:uid="{00000000-0005-0000-0000-00004B910000}"/>
    <cellStyle name="표준 5 3 4 3 4 2 2 3" xfId="38770" xr:uid="{00000000-0005-0000-0000-00004C910000}"/>
    <cellStyle name="표준 5 3 4 3 4 2 2 4" xfId="46963" xr:uid="{00000000-0005-0000-0000-00004D910000}"/>
    <cellStyle name="표준 5 3 4 3 4 2 3" xfId="18205" xr:uid="{00000000-0005-0000-0000-00004E910000}"/>
    <cellStyle name="표준 5 3 4 3 4 2 4" xfId="22367" xr:uid="{00000000-0005-0000-0000-00004F910000}"/>
    <cellStyle name="표준 5 3 4 3 4 2 5" xfId="26463" xr:uid="{00000000-0005-0000-0000-000050910000}"/>
    <cellStyle name="표준 5 3 4 3 4 2 6" xfId="34674" xr:uid="{00000000-0005-0000-0000-000051910000}"/>
    <cellStyle name="표준 5 3 4 3 4 2 7" xfId="42867" xr:uid="{00000000-0005-0000-0000-000052910000}"/>
    <cellStyle name="표준 5 3 4 3 4 3" xfId="7805" xr:uid="{00000000-0005-0000-0000-000053910000}"/>
    <cellStyle name="표준 5 3 4 3 4 3 2" xfId="28511" xr:uid="{00000000-0005-0000-0000-000054910000}"/>
    <cellStyle name="표준 5 3 4 3 4 3 3" xfId="36722" xr:uid="{00000000-0005-0000-0000-000055910000}"/>
    <cellStyle name="표준 5 3 4 3 4 3 4" xfId="44915" xr:uid="{00000000-0005-0000-0000-000056910000}"/>
    <cellStyle name="표준 5 3 4 3 4 4" xfId="11917" xr:uid="{00000000-0005-0000-0000-000057910000}"/>
    <cellStyle name="표준 5 3 4 3 4 5" xfId="16157" xr:uid="{00000000-0005-0000-0000-000058910000}"/>
    <cellStyle name="표준 5 3 4 3 4 6" xfId="20319" xr:uid="{00000000-0005-0000-0000-000059910000}"/>
    <cellStyle name="표준 5 3 4 3 4 7" xfId="24415" xr:uid="{00000000-0005-0000-0000-00005A910000}"/>
    <cellStyle name="표준 5 3 4 3 4 8" xfId="32626" xr:uid="{00000000-0005-0000-0000-00005B910000}"/>
    <cellStyle name="표준 5 3 4 3 4 9" xfId="40819" xr:uid="{00000000-0005-0000-0000-00005C910000}"/>
    <cellStyle name="표준 5 3 4 3 5" xfId="1462" xr:uid="{00000000-0005-0000-0000-00005D910000}"/>
    <cellStyle name="표준 5 3 4 3 5 2" xfId="10365" xr:uid="{00000000-0005-0000-0000-00005E910000}"/>
    <cellStyle name="표준 5 3 4 3 5 2 2" xfId="14477" xr:uid="{00000000-0005-0000-0000-00005F910000}"/>
    <cellStyle name="표준 5 3 4 3 5 2 2 2" xfId="31071" xr:uid="{00000000-0005-0000-0000-000060910000}"/>
    <cellStyle name="표준 5 3 4 3 5 2 2 3" xfId="39282" xr:uid="{00000000-0005-0000-0000-000061910000}"/>
    <cellStyle name="표준 5 3 4 3 5 2 2 4" xfId="47475" xr:uid="{00000000-0005-0000-0000-000062910000}"/>
    <cellStyle name="표준 5 3 4 3 5 2 3" xfId="18717" xr:uid="{00000000-0005-0000-0000-000063910000}"/>
    <cellStyle name="표준 5 3 4 3 5 2 4" xfId="22879" xr:uid="{00000000-0005-0000-0000-000064910000}"/>
    <cellStyle name="표준 5 3 4 3 5 2 5" xfId="26975" xr:uid="{00000000-0005-0000-0000-000065910000}"/>
    <cellStyle name="표준 5 3 4 3 5 2 6" xfId="35186" xr:uid="{00000000-0005-0000-0000-000066910000}"/>
    <cellStyle name="표준 5 3 4 3 5 2 7" xfId="43379" xr:uid="{00000000-0005-0000-0000-000067910000}"/>
    <cellStyle name="표준 5 3 4 3 5 3" xfId="8317" xr:uid="{00000000-0005-0000-0000-000068910000}"/>
    <cellStyle name="표준 5 3 4 3 5 3 2" xfId="29023" xr:uid="{00000000-0005-0000-0000-000069910000}"/>
    <cellStyle name="표준 5 3 4 3 5 3 3" xfId="37234" xr:uid="{00000000-0005-0000-0000-00006A910000}"/>
    <cellStyle name="표준 5 3 4 3 5 3 4" xfId="45427" xr:uid="{00000000-0005-0000-0000-00006B910000}"/>
    <cellStyle name="표준 5 3 4 3 5 4" xfId="12429" xr:uid="{00000000-0005-0000-0000-00006C910000}"/>
    <cellStyle name="표준 5 3 4 3 5 5" xfId="16669" xr:uid="{00000000-0005-0000-0000-00006D910000}"/>
    <cellStyle name="표준 5 3 4 3 5 6" xfId="20831" xr:uid="{00000000-0005-0000-0000-00006E910000}"/>
    <cellStyle name="표준 5 3 4 3 5 7" xfId="24927" xr:uid="{00000000-0005-0000-0000-00006F910000}"/>
    <cellStyle name="표준 5 3 4 3 5 8" xfId="33138" xr:uid="{00000000-0005-0000-0000-000070910000}"/>
    <cellStyle name="표준 5 3 4 3 5 9" xfId="41331" xr:uid="{00000000-0005-0000-0000-000071910000}"/>
    <cellStyle name="표준 5 3 4 3 6" xfId="1974" xr:uid="{00000000-0005-0000-0000-000072910000}"/>
    <cellStyle name="표준 5 3 4 3 6 2" xfId="10877" xr:uid="{00000000-0005-0000-0000-000073910000}"/>
    <cellStyle name="표준 5 3 4 3 6 2 2" xfId="14989" xr:uid="{00000000-0005-0000-0000-000074910000}"/>
    <cellStyle name="표준 5 3 4 3 6 2 2 2" xfId="31583" xr:uid="{00000000-0005-0000-0000-000075910000}"/>
    <cellStyle name="표준 5 3 4 3 6 2 2 3" xfId="39794" xr:uid="{00000000-0005-0000-0000-000076910000}"/>
    <cellStyle name="표준 5 3 4 3 6 2 2 4" xfId="47987" xr:uid="{00000000-0005-0000-0000-000077910000}"/>
    <cellStyle name="표준 5 3 4 3 6 2 3" xfId="19229" xr:uid="{00000000-0005-0000-0000-000078910000}"/>
    <cellStyle name="표준 5 3 4 3 6 2 4" xfId="23391" xr:uid="{00000000-0005-0000-0000-000079910000}"/>
    <cellStyle name="표준 5 3 4 3 6 2 5" xfId="27487" xr:uid="{00000000-0005-0000-0000-00007A910000}"/>
    <cellStyle name="표준 5 3 4 3 6 2 6" xfId="35698" xr:uid="{00000000-0005-0000-0000-00007B910000}"/>
    <cellStyle name="표준 5 3 4 3 6 2 7" xfId="43891" xr:uid="{00000000-0005-0000-0000-00007C910000}"/>
    <cellStyle name="표준 5 3 4 3 6 3" xfId="8829" xr:uid="{00000000-0005-0000-0000-00007D910000}"/>
    <cellStyle name="표준 5 3 4 3 6 3 2" xfId="29535" xr:uid="{00000000-0005-0000-0000-00007E910000}"/>
    <cellStyle name="표준 5 3 4 3 6 3 3" xfId="37746" xr:uid="{00000000-0005-0000-0000-00007F910000}"/>
    <cellStyle name="표준 5 3 4 3 6 3 4" xfId="45939" xr:uid="{00000000-0005-0000-0000-000080910000}"/>
    <cellStyle name="표준 5 3 4 3 6 4" xfId="12941" xr:uid="{00000000-0005-0000-0000-000081910000}"/>
    <cellStyle name="표준 5 3 4 3 6 5" xfId="17181" xr:uid="{00000000-0005-0000-0000-000082910000}"/>
    <cellStyle name="표준 5 3 4 3 6 6" xfId="21343" xr:uid="{00000000-0005-0000-0000-000083910000}"/>
    <cellStyle name="표준 5 3 4 3 6 7" xfId="25439" xr:uid="{00000000-0005-0000-0000-000084910000}"/>
    <cellStyle name="표준 5 3 4 3 6 8" xfId="33650" xr:uid="{00000000-0005-0000-0000-000085910000}"/>
    <cellStyle name="표준 5 3 4 3 6 9" xfId="41843" xr:uid="{00000000-0005-0000-0000-000086910000}"/>
    <cellStyle name="표준 5 3 4 3 7" xfId="9341" xr:uid="{00000000-0005-0000-0000-000087910000}"/>
    <cellStyle name="표준 5 3 4 3 7 2" xfId="13453" xr:uid="{00000000-0005-0000-0000-000088910000}"/>
    <cellStyle name="표준 5 3 4 3 7 2 2" xfId="30047" xr:uid="{00000000-0005-0000-0000-000089910000}"/>
    <cellStyle name="표준 5 3 4 3 7 2 3" xfId="38258" xr:uid="{00000000-0005-0000-0000-00008A910000}"/>
    <cellStyle name="표준 5 3 4 3 7 2 4" xfId="46451" xr:uid="{00000000-0005-0000-0000-00008B910000}"/>
    <cellStyle name="표준 5 3 4 3 7 3" xfId="17693" xr:uid="{00000000-0005-0000-0000-00008C910000}"/>
    <cellStyle name="표준 5 3 4 3 7 4" xfId="21855" xr:uid="{00000000-0005-0000-0000-00008D910000}"/>
    <cellStyle name="표준 5 3 4 3 7 5" xfId="25951" xr:uid="{00000000-0005-0000-0000-00008E910000}"/>
    <cellStyle name="표준 5 3 4 3 7 6" xfId="34162" xr:uid="{00000000-0005-0000-0000-00008F910000}"/>
    <cellStyle name="표준 5 3 4 3 7 7" xfId="42355" xr:uid="{00000000-0005-0000-0000-000090910000}"/>
    <cellStyle name="표준 5 3 4 3 8" xfId="7293" xr:uid="{00000000-0005-0000-0000-000091910000}"/>
    <cellStyle name="표준 5 3 4 3 8 2" xfId="27999" xr:uid="{00000000-0005-0000-0000-000092910000}"/>
    <cellStyle name="표준 5 3 4 3 8 3" xfId="36210" xr:uid="{00000000-0005-0000-0000-000093910000}"/>
    <cellStyle name="표준 5 3 4 3 8 4" xfId="44403" xr:uid="{00000000-0005-0000-0000-000094910000}"/>
    <cellStyle name="표준 5 3 4 3 9" xfId="11405" xr:uid="{00000000-0005-0000-0000-000095910000}"/>
    <cellStyle name="표준 5 3 4 4" xfId="502" xr:uid="{00000000-0005-0000-0000-000096910000}"/>
    <cellStyle name="표준 5 3 4 4 10" xfId="19871" xr:uid="{00000000-0005-0000-0000-000097910000}"/>
    <cellStyle name="표준 5 3 4 4 11" xfId="23967" xr:uid="{00000000-0005-0000-0000-000098910000}"/>
    <cellStyle name="표준 5 3 4 4 12" xfId="32178" xr:uid="{00000000-0005-0000-0000-000099910000}"/>
    <cellStyle name="표준 5 3 4 4 13" xfId="40371" xr:uid="{00000000-0005-0000-0000-00009A910000}"/>
    <cellStyle name="표준 5 3 4 4 2" xfId="758" xr:uid="{00000000-0005-0000-0000-00009B910000}"/>
    <cellStyle name="표준 5 3 4 4 2 10" xfId="24223" xr:uid="{00000000-0005-0000-0000-00009C910000}"/>
    <cellStyle name="표준 5 3 4 4 2 11" xfId="32434" xr:uid="{00000000-0005-0000-0000-00009D910000}"/>
    <cellStyle name="표준 5 3 4 4 2 12" xfId="40627" xr:uid="{00000000-0005-0000-0000-00009E910000}"/>
    <cellStyle name="표준 5 3 4 4 2 2" xfId="1270" xr:uid="{00000000-0005-0000-0000-00009F910000}"/>
    <cellStyle name="표준 5 3 4 4 2 2 2" xfId="10173" xr:uid="{00000000-0005-0000-0000-0000A0910000}"/>
    <cellStyle name="표준 5 3 4 4 2 2 2 2" xfId="14285" xr:uid="{00000000-0005-0000-0000-0000A1910000}"/>
    <cellStyle name="표준 5 3 4 4 2 2 2 2 2" xfId="30879" xr:uid="{00000000-0005-0000-0000-0000A2910000}"/>
    <cellStyle name="표준 5 3 4 4 2 2 2 2 3" xfId="39090" xr:uid="{00000000-0005-0000-0000-0000A3910000}"/>
    <cellStyle name="표준 5 3 4 4 2 2 2 2 4" xfId="47283" xr:uid="{00000000-0005-0000-0000-0000A4910000}"/>
    <cellStyle name="표준 5 3 4 4 2 2 2 3" xfId="18525" xr:uid="{00000000-0005-0000-0000-0000A5910000}"/>
    <cellStyle name="표준 5 3 4 4 2 2 2 4" xfId="22687" xr:uid="{00000000-0005-0000-0000-0000A6910000}"/>
    <cellStyle name="표준 5 3 4 4 2 2 2 5" xfId="26783" xr:uid="{00000000-0005-0000-0000-0000A7910000}"/>
    <cellStyle name="표준 5 3 4 4 2 2 2 6" xfId="34994" xr:uid="{00000000-0005-0000-0000-0000A8910000}"/>
    <cellStyle name="표준 5 3 4 4 2 2 2 7" xfId="43187" xr:uid="{00000000-0005-0000-0000-0000A9910000}"/>
    <cellStyle name="표준 5 3 4 4 2 2 3" xfId="8125" xr:uid="{00000000-0005-0000-0000-0000AA910000}"/>
    <cellStyle name="표준 5 3 4 4 2 2 3 2" xfId="28831" xr:uid="{00000000-0005-0000-0000-0000AB910000}"/>
    <cellStyle name="표준 5 3 4 4 2 2 3 3" xfId="37042" xr:uid="{00000000-0005-0000-0000-0000AC910000}"/>
    <cellStyle name="표준 5 3 4 4 2 2 3 4" xfId="45235" xr:uid="{00000000-0005-0000-0000-0000AD910000}"/>
    <cellStyle name="표준 5 3 4 4 2 2 4" xfId="12237" xr:uid="{00000000-0005-0000-0000-0000AE910000}"/>
    <cellStyle name="표준 5 3 4 4 2 2 5" xfId="16477" xr:uid="{00000000-0005-0000-0000-0000AF910000}"/>
    <cellStyle name="표준 5 3 4 4 2 2 6" xfId="20639" xr:uid="{00000000-0005-0000-0000-0000B0910000}"/>
    <cellStyle name="표준 5 3 4 4 2 2 7" xfId="24735" xr:uid="{00000000-0005-0000-0000-0000B1910000}"/>
    <cellStyle name="표준 5 3 4 4 2 2 8" xfId="32946" xr:uid="{00000000-0005-0000-0000-0000B2910000}"/>
    <cellStyle name="표준 5 3 4 4 2 2 9" xfId="41139" xr:uid="{00000000-0005-0000-0000-0000B3910000}"/>
    <cellStyle name="표준 5 3 4 4 2 3" xfId="1782" xr:uid="{00000000-0005-0000-0000-0000B4910000}"/>
    <cellStyle name="표준 5 3 4 4 2 3 2" xfId="10685" xr:uid="{00000000-0005-0000-0000-0000B5910000}"/>
    <cellStyle name="표준 5 3 4 4 2 3 2 2" xfId="14797" xr:uid="{00000000-0005-0000-0000-0000B6910000}"/>
    <cellStyle name="표준 5 3 4 4 2 3 2 2 2" xfId="31391" xr:uid="{00000000-0005-0000-0000-0000B7910000}"/>
    <cellStyle name="표준 5 3 4 4 2 3 2 2 3" xfId="39602" xr:uid="{00000000-0005-0000-0000-0000B8910000}"/>
    <cellStyle name="표준 5 3 4 4 2 3 2 2 4" xfId="47795" xr:uid="{00000000-0005-0000-0000-0000B9910000}"/>
    <cellStyle name="표준 5 3 4 4 2 3 2 3" xfId="19037" xr:uid="{00000000-0005-0000-0000-0000BA910000}"/>
    <cellStyle name="표준 5 3 4 4 2 3 2 4" xfId="23199" xr:uid="{00000000-0005-0000-0000-0000BB910000}"/>
    <cellStyle name="표준 5 3 4 4 2 3 2 5" xfId="27295" xr:uid="{00000000-0005-0000-0000-0000BC910000}"/>
    <cellStyle name="표준 5 3 4 4 2 3 2 6" xfId="35506" xr:uid="{00000000-0005-0000-0000-0000BD910000}"/>
    <cellStyle name="표준 5 3 4 4 2 3 2 7" xfId="43699" xr:uid="{00000000-0005-0000-0000-0000BE910000}"/>
    <cellStyle name="표준 5 3 4 4 2 3 3" xfId="8637" xr:uid="{00000000-0005-0000-0000-0000BF910000}"/>
    <cellStyle name="표준 5 3 4 4 2 3 3 2" xfId="29343" xr:uid="{00000000-0005-0000-0000-0000C0910000}"/>
    <cellStyle name="표준 5 3 4 4 2 3 3 3" xfId="37554" xr:uid="{00000000-0005-0000-0000-0000C1910000}"/>
    <cellStyle name="표준 5 3 4 4 2 3 3 4" xfId="45747" xr:uid="{00000000-0005-0000-0000-0000C2910000}"/>
    <cellStyle name="표준 5 3 4 4 2 3 4" xfId="12749" xr:uid="{00000000-0005-0000-0000-0000C3910000}"/>
    <cellStyle name="표준 5 3 4 4 2 3 5" xfId="16989" xr:uid="{00000000-0005-0000-0000-0000C4910000}"/>
    <cellStyle name="표준 5 3 4 4 2 3 6" xfId="21151" xr:uid="{00000000-0005-0000-0000-0000C5910000}"/>
    <cellStyle name="표준 5 3 4 4 2 3 7" xfId="25247" xr:uid="{00000000-0005-0000-0000-0000C6910000}"/>
    <cellStyle name="표준 5 3 4 4 2 3 8" xfId="33458" xr:uid="{00000000-0005-0000-0000-0000C7910000}"/>
    <cellStyle name="표준 5 3 4 4 2 3 9" xfId="41651" xr:uid="{00000000-0005-0000-0000-0000C8910000}"/>
    <cellStyle name="표준 5 3 4 4 2 4" xfId="2294" xr:uid="{00000000-0005-0000-0000-0000C9910000}"/>
    <cellStyle name="표준 5 3 4 4 2 4 2" xfId="11197" xr:uid="{00000000-0005-0000-0000-0000CA910000}"/>
    <cellStyle name="표준 5 3 4 4 2 4 2 2" xfId="15309" xr:uid="{00000000-0005-0000-0000-0000CB910000}"/>
    <cellStyle name="표준 5 3 4 4 2 4 2 2 2" xfId="31903" xr:uid="{00000000-0005-0000-0000-0000CC910000}"/>
    <cellStyle name="표준 5 3 4 4 2 4 2 2 3" xfId="40114" xr:uid="{00000000-0005-0000-0000-0000CD910000}"/>
    <cellStyle name="표준 5 3 4 4 2 4 2 2 4" xfId="48307" xr:uid="{00000000-0005-0000-0000-0000CE910000}"/>
    <cellStyle name="표준 5 3 4 4 2 4 2 3" xfId="19549" xr:uid="{00000000-0005-0000-0000-0000CF910000}"/>
    <cellStyle name="표준 5 3 4 4 2 4 2 4" xfId="23711" xr:uid="{00000000-0005-0000-0000-0000D0910000}"/>
    <cellStyle name="표준 5 3 4 4 2 4 2 5" xfId="27807" xr:uid="{00000000-0005-0000-0000-0000D1910000}"/>
    <cellStyle name="표준 5 3 4 4 2 4 2 6" xfId="36018" xr:uid="{00000000-0005-0000-0000-0000D2910000}"/>
    <cellStyle name="표준 5 3 4 4 2 4 2 7" xfId="44211" xr:uid="{00000000-0005-0000-0000-0000D3910000}"/>
    <cellStyle name="표준 5 3 4 4 2 4 3" xfId="9149" xr:uid="{00000000-0005-0000-0000-0000D4910000}"/>
    <cellStyle name="표준 5 3 4 4 2 4 3 2" xfId="29855" xr:uid="{00000000-0005-0000-0000-0000D5910000}"/>
    <cellStyle name="표준 5 3 4 4 2 4 3 3" xfId="38066" xr:uid="{00000000-0005-0000-0000-0000D6910000}"/>
    <cellStyle name="표준 5 3 4 4 2 4 3 4" xfId="46259" xr:uid="{00000000-0005-0000-0000-0000D7910000}"/>
    <cellStyle name="표준 5 3 4 4 2 4 4" xfId="13261" xr:uid="{00000000-0005-0000-0000-0000D8910000}"/>
    <cellStyle name="표준 5 3 4 4 2 4 5" xfId="17501" xr:uid="{00000000-0005-0000-0000-0000D9910000}"/>
    <cellStyle name="표준 5 3 4 4 2 4 6" xfId="21663" xr:uid="{00000000-0005-0000-0000-0000DA910000}"/>
    <cellStyle name="표준 5 3 4 4 2 4 7" xfId="25759" xr:uid="{00000000-0005-0000-0000-0000DB910000}"/>
    <cellStyle name="표준 5 3 4 4 2 4 8" xfId="33970" xr:uid="{00000000-0005-0000-0000-0000DC910000}"/>
    <cellStyle name="표준 5 3 4 4 2 4 9" xfId="42163" xr:uid="{00000000-0005-0000-0000-0000DD910000}"/>
    <cellStyle name="표준 5 3 4 4 2 5" xfId="9661" xr:uid="{00000000-0005-0000-0000-0000DE910000}"/>
    <cellStyle name="표준 5 3 4 4 2 5 2" xfId="13773" xr:uid="{00000000-0005-0000-0000-0000DF910000}"/>
    <cellStyle name="표준 5 3 4 4 2 5 2 2" xfId="30367" xr:uid="{00000000-0005-0000-0000-0000E0910000}"/>
    <cellStyle name="표준 5 3 4 4 2 5 2 3" xfId="38578" xr:uid="{00000000-0005-0000-0000-0000E1910000}"/>
    <cellStyle name="표준 5 3 4 4 2 5 2 4" xfId="46771" xr:uid="{00000000-0005-0000-0000-0000E2910000}"/>
    <cellStyle name="표준 5 3 4 4 2 5 3" xfId="18013" xr:uid="{00000000-0005-0000-0000-0000E3910000}"/>
    <cellStyle name="표준 5 3 4 4 2 5 4" xfId="22175" xr:uid="{00000000-0005-0000-0000-0000E4910000}"/>
    <cellStyle name="표준 5 3 4 4 2 5 5" xfId="26271" xr:uid="{00000000-0005-0000-0000-0000E5910000}"/>
    <cellStyle name="표준 5 3 4 4 2 5 6" xfId="34482" xr:uid="{00000000-0005-0000-0000-0000E6910000}"/>
    <cellStyle name="표준 5 3 4 4 2 5 7" xfId="42675" xr:uid="{00000000-0005-0000-0000-0000E7910000}"/>
    <cellStyle name="표준 5 3 4 4 2 6" xfId="7613" xr:uid="{00000000-0005-0000-0000-0000E8910000}"/>
    <cellStyle name="표준 5 3 4 4 2 6 2" xfId="28319" xr:uid="{00000000-0005-0000-0000-0000E9910000}"/>
    <cellStyle name="표준 5 3 4 4 2 6 3" xfId="36530" xr:uid="{00000000-0005-0000-0000-0000EA910000}"/>
    <cellStyle name="표준 5 3 4 4 2 6 4" xfId="44723" xr:uid="{00000000-0005-0000-0000-0000EB910000}"/>
    <cellStyle name="표준 5 3 4 4 2 7" xfId="11725" xr:uid="{00000000-0005-0000-0000-0000EC910000}"/>
    <cellStyle name="표준 5 3 4 4 2 8" xfId="15965" xr:uid="{00000000-0005-0000-0000-0000ED910000}"/>
    <cellStyle name="표준 5 3 4 4 2 9" xfId="20127" xr:uid="{00000000-0005-0000-0000-0000EE910000}"/>
    <cellStyle name="표준 5 3 4 4 3" xfId="1014" xr:uid="{00000000-0005-0000-0000-0000EF910000}"/>
    <cellStyle name="표준 5 3 4 4 3 2" xfId="9917" xr:uid="{00000000-0005-0000-0000-0000F0910000}"/>
    <cellStyle name="표준 5 3 4 4 3 2 2" xfId="14029" xr:uid="{00000000-0005-0000-0000-0000F1910000}"/>
    <cellStyle name="표준 5 3 4 4 3 2 2 2" xfId="30623" xr:uid="{00000000-0005-0000-0000-0000F2910000}"/>
    <cellStyle name="표준 5 3 4 4 3 2 2 3" xfId="38834" xr:uid="{00000000-0005-0000-0000-0000F3910000}"/>
    <cellStyle name="표준 5 3 4 4 3 2 2 4" xfId="47027" xr:uid="{00000000-0005-0000-0000-0000F4910000}"/>
    <cellStyle name="표준 5 3 4 4 3 2 3" xfId="18269" xr:uid="{00000000-0005-0000-0000-0000F5910000}"/>
    <cellStyle name="표준 5 3 4 4 3 2 4" xfId="22431" xr:uid="{00000000-0005-0000-0000-0000F6910000}"/>
    <cellStyle name="표준 5 3 4 4 3 2 5" xfId="26527" xr:uid="{00000000-0005-0000-0000-0000F7910000}"/>
    <cellStyle name="표준 5 3 4 4 3 2 6" xfId="34738" xr:uid="{00000000-0005-0000-0000-0000F8910000}"/>
    <cellStyle name="표준 5 3 4 4 3 2 7" xfId="42931" xr:uid="{00000000-0005-0000-0000-0000F9910000}"/>
    <cellStyle name="표준 5 3 4 4 3 3" xfId="7869" xr:uid="{00000000-0005-0000-0000-0000FA910000}"/>
    <cellStyle name="표준 5 3 4 4 3 3 2" xfId="28575" xr:uid="{00000000-0005-0000-0000-0000FB910000}"/>
    <cellStyle name="표준 5 3 4 4 3 3 3" xfId="36786" xr:uid="{00000000-0005-0000-0000-0000FC910000}"/>
    <cellStyle name="표준 5 3 4 4 3 3 4" xfId="44979" xr:uid="{00000000-0005-0000-0000-0000FD910000}"/>
    <cellStyle name="표준 5 3 4 4 3 4" xfId="11981" xr:uid="{00000000-0005-0000-0000-0000FE910000}"/>
    <cellStyle name="표준 5 3 4 4 3 5" xfId="16221" xr:uid="{00000000-0005-0000-0000-0000FF910000}"/>
    <cellStyle name="표준 5 3 4 4 3 6" xfId="20383" xr:uid="{00000000-0005-0000-0000-000000920000}"/>
    <cellStyle name="표준 5 3 4 4 3 7" xfId="24479" xr:uid="{00000000-0005-0000-0000-000001920000}"/>
    <cellStyle name="표준 5 3 4 4 3 8" xfId="32690" xr:uid="{00000000-0005-0000-0000-000002920000}"/>
    <cellStyle name="표준 5 3 4 4 3 9" xfId="40883" xr:uid="{00000000-0005-0000-0000-000003920000}"/>
    <cellStyle name="표준 5 3 4 4 4" xfId="1526" xr:uid="{00000000-0005-0000-0000-000004920000}"/>
    <cellStyle name="표준 5 3 4 4 4 2" xfId="10429" xr:uid="{00000000-0005-0000-0000-000005920000}"/>
    <cellStyle name="표준 5 3 4 4 4 2 2" xfId="14541" xr:uid="{00000000-0005-0000-0000-000006920000}"/>
    <cellStyle name="표준 5 3 4 4 4 2 2 2" xfId="31135" xr:uid="{00000000-0005-0000-0000-000007920000}"/>
    <cellStyle name="표준 5 3 4 4 4 2 2 3" xfId="39346" xr:uid="{00000000-0005-0000-0000-000008920000}"/>
    <cellStyle name="표준 5 3 4 4 4 2 2 4" xfId="47539" xr:uid="{00000000-0005-0000-0000-000009920000}"/>
    <cellStyle name="표준 5 3 4 4 4 2 3" xfId="18781" xr:uid="{00000000-0005-0000-0000-00000A920000}"/>
    <cellStyle name="표준 5 3 4 4 4 2 4" xfId="22943" xr:uid="{00000000-0005-0000-0000-00000B920000}"/>
    <cellStyle name="표준 5 3 4 4 4 2 5" xfId="27039" xr:uid="{00000000-0005-0000-0000-00000C920000}"/>
    <cellStyle name="표준 5 3 4 4 4 2 6" xfId="35250" xr:uid="{00000000-0005-0000-0000-00000D920000}"/>
    <cellStyle name="표준 5 3 4 4 4 2 7" xfId="43443" xr:uid="{00000000-0005-0000-0000-00000E920000}"/>
    <cellStyle name="표준 5 3 4 4 4 3" xfId="8381" xr:uid="{00000000-0005-0000-0000-00000F920000}"/>
    <cellStyle name="표준 5 3 4 4 4 3 2" xfId="29087" xr:uid="{00000000-0005-0000-0000-000010920000}"/>
    <cellStyle name="표준 5 3 4 4 4 3 3" xfId="37298" xr:uid="{00000000-0005-0000-0000-000011920000}"/>
    <cellStyle name="표준 5 3 4 4 4 3 4" xfId="45491" xr:uid="{00000000-0005-0000-0000-000012920000}"/>
    <cellStyle name="표준 5 3 4 4 4 4" xfId="12493" xr:uid="{00000000-0005-0000-0000-000013920000}"/>
    <cellStyle name="표준 5 3 4 4 4 5" xfId="16733" xr:uid="{00000000-0005-0000-0000-000014920000}"/>
    <cellStyle name="표준 5 3 4 4 4 6" xfId="20895" xr:uid="{00000000-0005-0000-0000-000015920000}"/>
    <cellStyle name="표준 5 3 4 4 4 7" xfId="24991" xr:uid="{00000000-0005-0000-0000-000016920000}"/>
    <cellStyle name="표준 5 3 4 4 4 8" xfId="33202" xr:uid="{00000000-0005-0000-0000-000017920000}"/>
    <cellStyle name="표준 5 3 4 4 4 9" xfId="41395" xr:uid="{00000000-0005-0000-0000-000018920000}"/>
    <cellStyle name="표준 5 3 4 4 5" xfId="2038" xr:uid="{00000000-0005-0000-0000-000019920000}"/>
    <cellStyle name="표준 5 3 4 4 5 2" xfId="10941" xr:uid="{00000000-0005-0000-0000-00001A920000}"/>
    <cellStyle name="표준 5 3 4 4 5 2 2" xfId="15053" xr:uid="{00000000-0005-0000-0000-00001B920000}"/>
    <cellStyle name="표준 5 3 4 4 5 2 2 2" xfId="31647" xr:uid="{00000000-0005-0000-0000-00001C920000}"/>
    <cellStyle name="표준 5 3 4 4 5 2 2 3" xfId="39858" xr:uid="{00000000-0005-0000-0000-00001D920000}"/>
    <cellStyle name="표준 5 3 4 4 5 2 2 4" xfId="48051" xr:uid="{00000000-0005-0000-0000-00001E920000}"/>
    <cellStyle name="표준 5 3 4 4 5 2 3" xfId="19293" xr:uid="{00000000-0005-0000-0000-00001F920000}"/>
    <cellStyle name="표준 5 3 4 4 5 2 4" xfId="23455" xr:uid="{00000000-0005-0000-0000-000020920000}"/>
    <cellStyle name="표준 5 3 4 4 5 2 5" xfId="27551" xr:uid="{00000000-0005-0000-0000-000021920000}"/>
    <cellStyle name="표준 5 3 4 4 5 2 6" xfId="35762" xr:uid="{00000000-0005-0000-0000-000022920000}"/>
    <cellStyle name="표준 5 3 4 4 5 2 7" xfId="43955" xr:uid="{00000000-0005-0000-0000-000023920000}"/>
    <cellStyle name="표준 5 3 4 4 5 3" xfId="8893" xr:uid="{00000000-0005-0000-0000-000024920000}"/>
    <cellStyle name="표준 5 3 4 4 5 3 2" xfId="29599" xr:uid="{00000000-0005-0000-0000-000025920000}"/>
    <cellStyle name="표준 5 3 4 4 5 3 3" xfId="37810" xr:uid="{00000000-0005-0000-0000-000026920000}"/>
    <cellStyle name="표준 5 3 4 4 5 3 4" xfId="46003" xr:uid="{00000000-0005-0000-0000-000027920000}"/>
    <cellStyle name="표준 5 3 4 4 5 4" xfId="13005" xr:uid="{00000000-0005-0000-0000-000028920000}"/>
    <cellStyle name="표준 5 3 4 4 5 5" xfId="17245" xr:uid="{00000000-0005-0000-0000-000029920000}"/>
    <cellStyle name="표준 5 3 4 4 5 6" xfId="21407" xr:uid="{00000000-0005-0000-0000-00002A920000}"/>
    <cellStyle name="표준 5 3 4 4 5 7" xfId="25503" xr:uid="{00000000-0005-0000-0000-00002B920000}"/>
    <cellStyle name="표준 5 3 4 4 5 8" xfId="33714" xr:uid="{00000000-0005-0000-0000-00002C920000}"/>
    <cellStyle name="표준 5 3 4 4 5 9" xfId="41907" xr:uid="{00000000-0005-0000-0000-00002D920000}"/>
    <cellStyle name="표준 5 3 4 4 6" xfId="9405" xr:uid="{00000000-0005-0000-0000-00002E920000}"/>
    <cellStyle name="표준 5 3 4 4 6 2" xfId="13517" xr:uid="{00000000-0005-0000-0000-00002F920000}"/>
    <cellStyle name="표준 5 3 4 4 6 2 2" xfId="30111" xr:uid="{00000000-0005-0000-0000-000030920000}"/>
    <cellStyle name="표준 5 3 4 4 6 2 3" xfId="38322" xr:uid="{00000000-0005-0000-0000-000031920000}"/>
    <cellStyle name="표준 5 3 4 4 6 2 4" xfId="46515" xr:uid="{00000000-0005-0000-0000-000032920000}"/>
    <cellStyle name="표준 5 3 4 4 6 3" xfId="17757" xr:uid="{00000000-0005-0000-0000-000033920000}"/>
    <cellStyle name="표준 5 3 4 4 6 4" xfId="21919" xr:uid="{00000000-0005-0000-0000-000034920000}"/>
    <cellStyle name="표준 5 3 4 4 6 5" xfId="26015" xr:uid="{00000000-0005-0000-0000-000035920000}"/>
    <cellStyle name="표준 5 3 4 4 6 6" xfId="34226" xr:uid="{00000000-0005-0000-0000-000036920000}"/>
    <cellStyle name="표준 5 3 4 4 6 7" xfId="42419" xr:uid="{00000000-0005-0000-0000-000037920000}"/>
    <cellStyle name="표준 5 3 4 4 7" xfId="7357" xr:uid="{00000000-0005-0000-0000-000038920000}"/>
    <cellStyle name="표준 5 3 4 4 7 2" xfId="28063" xr:uid="{00000000-0005-0000-0000-000039920000}"/>
    <cellStyle name="표준 5 3 4 4 7 3" xfId="36274" xr:uid="{00000000-0005-0000-0000-00003A920000}"/>
    <cellStyle name="표준 5 3 4 4 7 4" xfId="44467" xr:uid="{00000000-0005-0000-0000-00003B920000}"/>
    <cellStyle name="표준 5 3 4 4 8" xfId="11469" xr:uid="{00000000-0005-0000-0000-00003C920000}"/>
    <cellStyle name="표준 5 3 4 4 9" xfId="15709" xr:uid="{00000000-0005-0000-0000-00003D920000}"/>
    <cellStyle name="표준 5 3 4 5" xfId="630" xr:uid="{00000000-0005-0000-0000-00003E920000}"/>
    <cellStyle name="표준 5 3 4 5 10" xfId="24095" xr:uid="{00000000-0005-0000-0000-00003F920000}"/>
    <cellStyle name="표준 5 3 4 5 11" xfId="32306" xr:uid="{00000000-0005-0000-0000-000040920000}"/>
    <cellStyle name="표준 5 3 4 5 12" xfId="40499" xr:uid="{00000000-0005-0000-0000-000041920000}"/>
    <cellStyle name="표준 5 3 4 5 2" xfId="1142" xr:uid="{00000000-0005-0000-0000-000042920000}"/>
    <cellStyle name="표준 5 3 4 5 2 2" xfId="10045" xr:uid="{00000000-0005-0000-0000-000043920000}"/>
    <cellStyle name="표준 5 3 4 5 2 2 2" xfId="14157" xr:uid="{00000000-0005-0000-0000-000044920000}"/>
    <cellStyle name="표준 5 3 4 5 2 2 2 2" xfId="30751" xr:uid="{00000000-0005-0000-0000-000045920000}"/>
    <cellStyle name="표준 5 3 4 5 2 2 2 3" xfId="38962" xr:uid="{00000000-0005-0000-0000-000046920000}"/>
    <cellStyle name="표준 5 3 4 5 2 2 2 4" xfId="47155" xr:uid="{00000000-0005-0000-0000-000047920000}"/>
    <cellStyle name="표준 5 3 4 5 2 2 3" xfId="18397" xr:uid="{00000000-0005-0000-0000-000048920000}"/>
    <cellStyle name="표준 5 3 4 5 2 2 4" xfId="22559" xr:uid="{00000000-0005-0000-0000-000049920000}"/>
    <cellStyle name="표준 5 3 4 5 2 2 5" xfId="26655" xr:uid="{00000000-0005-0000-0000-00004A920000}"/>
    <cellStyle name="표준 5 3 4 5 2 2 6" xfId="34866" xr:uid="{00000000-0005-0000-0000-00004B920000}"/>
    <cellStyle name="표준 5 3 4 5 2 2 7" xfId="43059" xr:uid="{00000000-0005-0000-0000-00004C920000}"/>
    <cellStyle name="표준 5 3 4 5 2 3" xfId="7997" xr:uid="{00000000-0005-0000-0000-00004D920000}"/>
    <cellStyle name="표준 5 3 4 5 2 3 2" xfId="28703" xr:uid="{00000000-0005-0000-0000-00004E920000}"/>
    <cellStyle name="표준 5 3 4 5 2 3 3" xfId="36914" xr:uid="{00000000-0005-0000-0000-00004F920000}"/>
    <cellStyle name="표준 5 3 4 5 2 3 4" xfId="45107" xr:uid="{00000000-0005-0000-0000-000050920000}"/>
    <cellStyle name="표준 5 3 4 5 2 4" xfId="12109" xr:uid="{00000000-0005-0000-0000-000051920000}"/>
    <cellStyle name="표준 5 3 4 5 2 5" xfId="16349" xr:uid="{00000000-0005-0000-0000-000052920000}"/>
    <cellStyle name="표준 5 3 4 5 2 6" xfId="20511" xr:uid="{00000000-0005-0000-0000-000053920000}"/>
    <cellStyle name="표준 5 3 4 5 2 7" xfId="24607" xr:uid="{00000000-0005-0000-0000-000054920000}"/>
    <cellStyle name="표준 5 3 4 5 2 8" xfId="32818" xr:uid="{00000000-0005-0000-0000-000055920000}"/>
    <cellStyle name="표준 5 3 4 5 2 9" xfId="41011" xr:uid="{00000000-0005-0000-0000-000056920000}"/>
    <cellStyle name="표준 5 3 4 5 3" xfId="1654" xr:uid="{00000000-0005-0000-0000-000057920000}"/>
    <cellStyle name="표준 5 3 4 5 3 2" xfId="10557" xr:uid="{00000000-0005-0000-0000-000058920000}"/>
    <cellStyle name="표준 5 3 4 5 3 2 2" xfId="14669" xr:uid="{00000000-0005-0000-0000-000059920000}"/>
    <cellStyle name="표준 5 3 4 5 3 2 2 2" xfId="31263" xr:uid="{00000000-0005-0000-0000-00005A920000}"/>
    <cellStyle name="표준 5 3 4 5 3 2 2 3" xfId="39474" xr:uid="{00000000-0005-0000-0000-00005B920000}"/>
    <cellStyle name="표준 5 3 4 5 3 2 2 4" xfId="47667" xr:uid="{00000000-0005-0000-0000-00005C920000}"/>
    <cellStyle name="표준 5 3 4 5 3 2 3" xfId="18909" xr:uid="{00000000-0005-0000-0000-00005D920000}"/>
    <cellStyle name="표준 5 3 4 5 3 2 4" xfId="23071" xr:uid="{00000000-0005-0000-0000-00005E920000}"/>
    <cellStyle name="표준 5 3 4 5 3 2 5" xfId="27167" xr:uid="{00000000-0005-0000-0000-00005F920000}"/>
    <cellStyle name="표준 5 3 4 5 3 2 6" xfId="35378" xr:uid="{00000000-0005-0000-0000-000060920000}"/>
    <cellStyle name="표준 5 3 4 5 3 2 7" xfId="43571" xr:uid="{00000000-0005-0000-0000-000061920000}"/>
    <cellStyle name="표준 5 3 4 5 3 3" xfId="8509" xr:uid="{00000000-0005-0000-0000-000062920000}"/>
    <cellStyle name="표준 5 3 4 5 3 3 2" xfId="29215" xr:uid="{00000000-0005-0000-0000-000063920000}"/>
    <cellStyle name="표준 5 3 4 5 3 3 3" xfId="37426" xr:uid="{00000000-0005-0000-0000-000064920000}"/>
    <cellStyle name="표준 5 3 4 5 3 3 4" xfId="45619" xr:uid="{00000000-0005-0000-0000-000065920000}"/>
    <cellStyle name="표준 5 3 4 5 3 4" xfId="12621" xr:uid="{00000000-0005-0000-0000-000066920000}"/>
    <cellStyle name="표준 5 3 4 5 3 5" xfId="16861" xr:uid="{00000000-0005-0000-0000-000067920000}"/>
    <cellStyle name="표준 5 3 4 5 3 6" xfId="21023" xr:uid="{00000000-0005-0000-0000-000068920000}"/>
    <cellStyle name="표준 5 3 4 5 3 7" xfId="25119" xr:uid="{00000000-0005-0000-0000-000069920000}"/>
    <cellStyle name="표준 5 3 4 5 3 8" xfId="33330" xr:uid="{00000000-0005-0000-0000-00006A920000}"/>
    <cellStyle name="표준 5 3 4 5 3 9" xfId="41523" xr:uid="{00000000-0005-0000-0000-00006B920000}"/>
    <cellStyle name="표준 5 3 4 5 4" xfId="2166" xr:uid="{00000000-0005-0000-0000-00006C920000}"/>
    <cellStyle name="표준 5 3 4 5 4 2" xfId="11069" xr:uid="{00000000-0005-0000-0000-00006D920000}"/>
    <cellStyle name="표준 5 3 4 5 4 2 2" xfId="15181" xr:uid="{00000000-0005-0000-0000-00006E920000}"/>
    <cellStyle name="표준 5 3 4 5 4 2 2 2" xfId="31775" xr:uid="{00000000-0005-0000-0000-00006F920000}"/>
    <cellStyle name="표준 5 3 4 5 4 2 2 3" xfId="39986" xr:uid="{00000000-0005-0000-0000-000070920000}"/>
    <cellStyle name="표준 5 3 4 5 4 2 2 4" xfId="48179" xr:uid="{00000000-0005-0000-0000-000071920000}"/>
    <cellStyle name="표준 5 3 4 5 4 2 3" xfId="19421" xr:uid="{00000000-0005-0000-0000-000072920000}"/>
    <cellStyle name="표준 5 3 4 5 4 2 4" xfId="23583" xr:uid="{00000000-0005-0000-0000-000073920000}"/>
    <cellStyle name="표준 5 3 4 5 4 2 5" xfId="27679" xr:uid="{00000000-0005-0000-0000-000074920000}"/>
    <cellStyle name="표준 5 3 4 5 4 2 6" xfId="35890" xr:uid="{00000000-0005-0000-0000-000075920000}"/>
    <cellStyle name="표준 5 3 4 5 4 2 7" xfId="44083" xr:uid="{00000000-0005-0000-0000-000076920000}"/>
    <cellStyle name="표준 5 3 4 5 4 3" xfId="9021" xr:uid="{00000000-0005-0000-0000-000077920000}"/>
    <cellStyle name="표준 5 3 4 5 4 3 2" xfId="29727" xr:uid="{00000000-0005-0000-0000-000078920000}"/>
    <cellStyle name="표준 5 3 4 5 4 3 3" xfId="37938" xr:uid="{00000000-0005-0000-0000-000079920000}"/>
    <cellStyle name="표준 5 3 4 5 4 3 4" xfId="46131" xr:uid="{00000000-0005-0000-0000-00007A920000}"/>
    <cellStyle name="표준 5 3 4 5 4 4" xfId="13133" xr:uid="{00000000-0005-0000-0000-00007B920000}"/>
    <cellStyle name="표준 5 3 4 5 4 5" xfId="17373" xr:uid="{00000000-0005-0000-0000-00007C920000}"/>
    <cellStyle name="표준 5 3 4 5 4 6" xfId="21535" xr:uid="{00000000-0005-0000-0000-00007D920000}"/>
    <cellStyle name="표준 5 3 4 5 4 7" xfId="25631" xr:uid="{00000000-0005-0000-0000-00007E920000}"/>
    <cellStyle name="표준 5 3 4 5 4 8" xfId="33842" xr:uid="{00000000-0005-0000-0000-00007F920000}"/>
    <cellStyle name="표준 5 3 4 5 4 9" xfId="42035" xr:uid="{00000000-0005-0000-0000-000080920000}"/>
    <cellStyle name="표준 5 3 4 5 5" xfId="9533" xr:uid="{00000000-0005-0000-0000-000081920000}"/>
    <cellStyle name="표준 5 3 4 5 5 2" xfId="13645" xr:uid="{00000000-0005-0000-0000-000082920000}"/>
    <cellStyle name="표준 5 3 4 5 5 2 2" xfId="30239" xr:uid="{00000000-0005-0000-0000-000083920000}"/>
    <cellStyle name="표준 5 3 4 5 5 2 3" xfId="38450" xr:uid="{00000000-0005-0000-0000-000084920000}"/>
    <cellStyle name="표준 5 3 4 5 5 2 4" xfId="46643" xr:uid="{00000000-0005-0000-0000-000085920000}"/>
    <cellStyle name="표준 5 3 4 5 5 3" xfId="17885" xr:uid="{00000000-0005-0000-0000-000086920000}"/>
    <cellStyle name="표준 5 3 4 5 5 4" xfId="22047" xr:uid="{00000000-0005-0000-0000-000087920000}"/>
    <cellStyle name="표준 5 3 4 5 5 5" xfId="26143" xr:uid="{00000000-0005-0000-0000-000088920000}"/>
    <cellStyle name="표준 5 3 4 5 5 6" xfId="34354" xr:uid="{00000000-0005-0000-0000-000089920000}"/>
    <cellStyle name="표준 5 3 4 5 5 7" xfId="42547" xr:uid="{00000000-0005-0000-0000-00008A920000}"/>
    <cellStyle name="표준 5 3 4 5 6" xfId="7485" xr:uid="{00000000-0005-0000-0000-00008B920000}"/>
    <cellStyle name="표준 5 3 4 5 6 2" xfId="28191" xr:uid="{00000000-0005-0000-0000-00008C920000}"/>
    <cellStyle name="표준 5 3 4 5 6 3" xfId="36402" xr:uid="{00000000-0005-0000-0000-00008D920000}"/>
    <cellStyle name="표준 5 3 4 5 6 4" xfId="44595" xr:uid="{00000000-0005-0000-0000-00008E920000}"/>
    <cellStyle name="표준 5 3 4 5 7" xfId="11597" xr:uid="{00000000-0005-0000-0000-00008F920000}"/>
    <cellStyle name="표준 5 3 4 5 8" xfId="15837" xr:uid="{00000000-0005-0000-0000-000090920000}"/>
    <cellStyle name="표준 5 3 4 5 9" xfId="19999" xr:uid="{00000000-0005-0000-0000-000091920000}"/>
    <cellStyle name="표준 5 3 4 6" xfId="886" xr:uid="{00000000-0005-0000-0000-000092920000}"/>
    <cellStyle name="표준 5 3 4 6 2" xfId="9789" xr:uid="{00000000-0005-0000-0000-000093920000}"/>
    <cellStyle name="표준 5 3 4 6 2 2" xfId="13901" xr:uid="{00000000-0005-0000-0000-000094920000}"/>
    <cellStyle name="표준 5 3 4 6 2 2 2" xfId="30495" xr:uid="{00000000-0005-0000-0000-000095920000}"/>
    <cellStyle name="표준 5 3 4 6 2 2 3" xfId="38706" xr:uid="{00000000-0005-0000-0000-000096920000}"/>
    <cellStyle name="표준 5 3 4 6 2 2 4" xfId="46899" xr:uid="{00000000-0005-0000-0000-000097920000}"/>
    <cellStyle name="표준 5 3 4 6 2 3" xfId="18141" xr:uid="{00000000-0005-0000-0000-000098920000}"/>
    <cellStyle name="표준 5 3 4 6 2 4" xfId="22303" xr:uid="{00000000-0005-0000-0000-000099920000}"/>
    <cellStyle name="표준 5 3 4 6 2 5" xfId="26399" xr:uid="{00000000-0005-0000-0000-00009A920000}"/>
    <cellStyle name="표준 5 3 4 6 2 6" xfId="34610" xr:uid="{00000000-0005-0000-0000-00009B920000}"/>
    <cellStyle name="표준 5 3 4 6 2 7" xfId="42803" xr:uid="{00000000-0005-0000-0000-00009C920000}"/>
    <cellStyle name="표준 5 3 4 6 3" xfId="7741" xr:uid="{00000000-0005-0000-0000-00009D920000}"/>
    <cellStyle name="표준 5 3 4 6 3 2" xfId="28447" xr:uid="{00000000-0005-0000-0000-00009E920000}"/>
    <cellStyle name="표준 5 3 4 6 3 3" xfId="36658" xr:uid="{00000000-0005-0000-0000-00009F920000}"/>
    <cellStyle name="표준 5 3 4 6 3 4" xfId="44851" xr:uid="{00000000-0005-0000-0000-0000A0920000}"/>
    <cellStyle name="표준 5 3 4 6 4" xfId="11853" xr:uid="{00000000-0005-0000-0000-0000A1920000}"/>
    <cellStyle name="표준 5 3 4 6 5" xfId="16093" xr:uid="{00000000-0005-0000-0000-0000A2920000}"/>
    <cellStyle name="표준 5 3 4 6 6" xfId="20255" xr:uid="{00000000-0005-0000-0000-0000A3920000}"/>
    <cellStyle name="표준 5 3 4 6 7" xfId="24351" xr:uid="{00000000-0005-0000-0000-0000A4920000}"/>
    <cellStyle name="표준 5 3 4 6 8" xfId="32562" xr:uid="{00000000-0005-0000-0000-0000A5920000}"/>
    <cellStyle name="표준 5 3 4 6 9" xfId="40755" xr:uid="{00000000-0005-0000-0000-0000A6920000}"/>
    <cellStyle name="표준 5 3 4 7" xfId="1398" xr:uid="{00000000-0005-0000-0000-0000A7920000}"/>
    <cellStyle name="표준 5 3 4 7 2" xfId="10301" xr:uid="{00000000-0005-0000-0000-0000A8920000}"/>
    <cellStyle name="표준 5 3 4 7 2 2" xfId="14413" xr:uid="{00000000-0005-0000-0000-0000A9920000}"/>
    <cellStyle name="표준 5 3 4 7 2 2 2" xfId="31007" xr:uid="{00000000-0005-0000-0000-0000AA920000}"/>
    <cellStyle name="표준 5 3 4 7 2 2 3" xfId="39218" xr:uid="{00000000-0005-0000-0000-0000AB920000}"/>
    <cellStyle name="표준 5 3 4 7 2 2 4" xfId="47411" xr:uid="{00000000-0005-0000-0000-0000AC920000}"/>
    <cellStyle name="표준 5 3 4 7 2 3" xfId="18653" xr:uid="{00000000-0005-0000-0000-0000AD920000}"/>
    <cellStyle name="표준 5 3 4 7 2 4" xfId="22815" xr:uid="{00000000-0005-0000-0000-0000AE920000}"/>
    <cellStyle name="표준 5 3 4 7 2 5" xfId="26911" xr:uid="{00000000-0005-0000-0000-0000AF920000}"/>
    <cellStyle name="표준 5 3 4 7 2 6" xfId="35122" xr:uid="{00000000-0005-0000-0000-0000B0920000}"/>
    <cellStyle name="표준 5 3 4 7 2 7" xfId="43315" xr:uid="{00000000-0005-0000-0000-0000B1920000}"/>
    <cellStyle name="표준 5 3 4 7 3" xfId="8253" xr:uid="{00000000-0005-0000-0000-0000B2920000}"/>
    <cellStyle name="표준 5 3 4 7 3 2" xfId="28959" xr:uid="{00000000-0005-0000-0000-0000B3920000}"/>
    <cellStyle name="표준 5 3 4 7 3 3" xfId="37170" xr:uid="{00000000-0005-0000-0000-0000B4920000}"/>
    <cellStyle name="표준 5 3 4 7 3 4" xfId="45363" xr:uid="{00000000-0005-0000-0000-0000B5920000}"/>
    <cellStyle name="표준 5 3 4 7 4" xfId="12365" xr:uid="{00000000-0005-0000-0000-0000B6920000}"/>
    <cellStyle name="표준 5 3 4 7 5" xfId="16605" xr:uid="{00000000-0005-0000-0000-0000B7920000}"/>
    <cellStyle name="표준 5 3 4 7 6" xfId="20767" xr:uid="{00000000-0005-0000-0000-0000B8920000}"/>
    <cellStyle name="표준 5 3 4 7 7" xfId="24863" xr:uid="{00000000-0005-0000-0000-0000B9920000}"/>
    <cellStyle name="표준 5 3 4 7 8" xfId="33074" xr:uid="{00000000-0005-0000-0000-0000BA920000}"/>
    <cellStyle name="표준 5 3 4 7 9" xfId="41267" xr:uid="{00000000-0005-0000-0000-0000BB920000}"/>
    <cellStyle name="표준 5 3 4 8" xfId="1910" xr:uid="{00000000-0005-0000-0000-0000BC920000}"/>
    <cellStyle name="표준 5 3 4 8 2" xfId="10813" xr:uid="{00000000-0005-0000-0000-0000BD920000}"/>
    <cellStyle name="표준 5 3 4 8 2 2" xfId="14925" xr:uid="{00000000-0005-0000-0000-0000BE920000}"/>
    <cellStyle name="표준 5 3 4 8 2 2 2" xfId="31519" xr:uid="{00000000-0005-0000-0000-0000BF920000}"/>
    <cellStyle name="표준 5 3 4 8 2 2 3" xfId="39730" xr:uid="{00000000-0005-0000-0000-0000C0920000}"/>
    <cellStyle name="표준 5 3 4 8 2 2 4" xfId="47923" xr:uid="{00000000-0005-0000-0000-0000C1920000}"/>
    <cellStyle name="표준 5 3 4 8 2 3" xfId="19165" xr:uid="{00000000-0005-0000-0000-0000C2920000}"/>
    <cellStyle name="표준 5 3 4 8 2 4" xfId="23327" xr:uid="{00000000-0005-0000-0000-0000C3920000}"/>
    <cellStyle name="표준 5 3 4 8 2 5" xfId="27423" xr:uid="{00000000-0005-0000-0000-0000C4920000}"/>
    <cellStyle name="표준 5 3 4 8 2 6" xfId="35634" xr:uid="{00000000-0005-0000-0000-0000C5920000}"/>
    <cellStyle name="표준 5 3 4 8 2 7" xfId="43827" xr:uid="{00000000-0005-0000-0000-0000C6920000}"/>
    <cellStyle name="표준 5 3 4 8 3" xfId="8765" xr:uid="{00000000-0005-0000-0000-0000C7920000}"/>
    <cellStyle name="표준 5 3 4 8 3 2" xfId="29471" xr:uid="{00000000-0005-0000-0000-0000C8920000}"/>
    <cellStyle name="표준 5 3 4 8 3 3" xfId="37682" xr:uid="{00000000-0005-0000-0000-0000C9920000}"/>
    <cellStyle name="표준 5 3 4 8 3 4" xfId="45875" xr:uid="{00000000-0005-0000-0000-0000CA920000}"/>
    <cellStyle name="표준 5 3 4 8 4" xfId="12877" xr:uid="{00000000-0005-0000-0000-0000CB920000}"/>
    <cellStyle name="표준 5 3 4 8 5" xfId="17117" xr:uid="{00000000-0005-0000-0000-0000CC920000}"/>
    <cellStyle name="표준 5 3 4 8 6" xfId="21279" xr:uid="{00000000-0005-0000-0000-0000CD920000}"/>
    <cellStyle name="표준 5 3 4 8 7" xfId="25375" xr:uid="{00000000-0005-0000-0000-0000CE920000}"/>
    <cellStyle name="표준 5 3 4 8 8" xfId="33586" xr:uid="{00000000-0005-0000-0000-0000CF920000}"/>
    <cellStyle name="표준 5 3 4 8 9" xfId="41779" xr:uid="{00000000-0005-0000-0000-0000D0920000}"/>
    <cellStyle name="표준 5 3 4 9" xfId="6966" xr:uid="{00000000-0005-0000-0000-0000D1920000}"/>
    <cellStyle name="표준 5 3 4 9 2" xfId="9277" xr:uid="{00000000-0005-0000-0000-0000D2920000}"/>
    <cellStyle name="표준 5 3 4 9 2 2" xfId="29983" xr:uid="{00000000-0005-0000-0000-0000D3920000}"/>
    <cellStyle name="표준 5 3 4 9 2 3" xfId="38194" xr:uid="{00000000-0005-0000-0000-0000D4920000}"/>
    <cellStyle name="표준 5 3 4 9 2 4" xfId="46387" xr:uid="{00000000-0005-0000-0000-0000D5920000}"/>
    <cellStyle name="표준 5 3 4 9 3" xfId="13389" xr:uid="{00000000-0005-0000-0000-0000D6920000}"/>
    <cellStyle name="표준 5 3 4 9 4" xfId="17629" xr:uid="{00000000-0005-0000-0000-0000D7920000}"/>
    <cellStyle name="표준 5 3 4 9 5" xfId="21791" xr:uid="{00000000-0005-0000-0000-0000D8920000}"/>
    <cellStyle name="표준 5 3 4 9 6" xfId="25887" xr:uid="{00000000-0005-0000-0000-0000D9920000}"/>
    <cellStyle name="표준 5 3 4 9 7" xfId="34098" xr:uid="{00000000-0005-0000-0000-0000DA920000}"/>
    <cellStyle name="표준 5 3 4 9 8" xfId="42291" xr:uid="{00000000-0005-0000-0000-0000DB920000}"/>
    <cellStyle name="표준 5 3 5" xfId="298" xr:uid="{00000000-0005-0000-0000-0000DC920000}"/>
    <cellStyle name="표준 5 3 5 10" xfId="7176" xr:uid="{00000000-0005-0000-0000-0000DD920000}"/>
    <cellStyle name="표준 5 3 5 11" xfId="7245" xr:uid="{00000000-0005-0000-0000-0000DE920000}"/>
    <cellStyle name="표준 5 3 5 12" xfId="11357" xr:uid="{00000000-0005-0000-0000-0000DF920000}"/>
    <cellStyle name="표준 5 3 5 13" xfId="15485" xr:uid="{00000000-0005-0000-0000-0000E0920000}"/>
    <cellStyle name="표준 5 3 5 14" xfId="15597" xr:uid="{00000000-0005-0000-0000-0000E1920000}"/>
    <cellStyle name="표준 5 3 5 15" xfId="19759" xr:uid="{00000000-0005-0000-0000-0000E2920000}"/>
    <cellStyle name="표준 5 3 5 16" xfId="23855" xr:uid="{00000000-0005-0000-0000-0000E3920000}"/>
    <cellStyle name="표준 5 3 5 17" xfId="32066" xr:uid="{00000000-0005-0000-0000-0000E4920000}"/>
    <cellStyle name="표준 5 3 5 18" xfId="40259" xr:uid="{00000000-0005-0000-0000-0000E5920000}"/>
    <cellStyle name="표준 5 3 5 19" xfId="49689" xr:uid="{00000000-0005-0000-0000-0000E6920000}"/>
    <cellStyle name="표준 5 3 5 2" xfId="454" xr:uid="{00000000-0005-0000-0000-0000E7920000}"/>
    <cellStyle name="표준 5 3 5 2 10" xfId="11421" xr:uid="{00000000-0005-0000-0000-0000E8920000}"/>
    <cellStyle name="표준 5 3 5 2 11" xfId="15533" xr:uid="{00000000-0005-0000-0000-0000E9920000}"/>
    <cellStyle name="표준 5 3 5 2 12" xfId="15661" xr:uid="{00000000-0005-0000-0000-0000EA920000}"/>
    <cellStyle name="표준 5 3 5 2 13" xfId="19823" xr:uid="{00000000-0005-0000-0000-0000EB920000}"/>
    <cellStyle name="표준 5 3 5 2 14" xfId="23919" xr:uid="{00000000-0005-0000-0000-0000EC920000}"/>
    <cellStyle name="표준 5 3 5 2 15" xfId="32130" xr:uid="{00000000-0005-0000-0000-0000ED920000}"/>
    <cellStyle name="표준 5 3 5 2 16" xfId="40323" xr:uid="{00000000-0005-0000-0000-0000EE920000}"/>
    <cellStyle name="표준 5 3 5 2 2" xfId="582" xr:uid="{00000000-0005-0000-0000-0000EF920000}"/>
    <cellStyle name="표준 5 3 5 2 2 10" xfId="19951" xr:uid="{00000000-0005-0000-0000-0000F0920000}"/>
    <cellStyle name="표준 5 3 5 2 2 11" xfId="24047" xr:uid="{00000000-0005-0000-0000-0000F1920000}"/>
    <cellStyle name="표준 5 3 5 2 2 12" xfId="32258" xr:uid="{00000000-0005-0000-0000-0000F2920000}"/>
    <cellStyle name="표준 5 3 5 2 2 13" xfId="40451" xr:uid="{00000000-0005-0000-0000-0000F3920000}"/>
    <cellStyle name="표준 5 3 5 2 2 2" xfId="838" xr:uid="{00000000-0005-0000-0000-0000F4920000}"/>
    <cellStyle name="표준 5 3 5 2 2 2 10" xfId="24303" xr:uid="{00000000-0005-0000-0000-0000F5920000}"/>
    <cellStyle name="표준 5 3 5 2 2 2 11" xfId="32514" xr:uid="{00000000-0005-0000-0000-0000F6920000}"/>
    <cellStyle name="표준 5 3 5 2 2 2 12" xfId="40707" xr:uid="{00000000-0005-0000-0000-0000F7920000}"/>
    <cellStyle name="표준 5 3 5 2 2 2 2" xfId="1350" xr:uid="{00000000-0005-0000-0000-0000F8920000}"/>
    <cellStyle name="표준 5 3 5 2 2 2 2 2" xfId="10253" xr:uid="{00000000-0005-0000-0000-0000F9920000}"/>
    <cellStyle name="표준 5 3 5 2 2 2 2 2 2" xfId="14365" xr:uid="{00000000-0005-0000-0000-0000FA920000}"/>
    <cellStyle name="표준 5 3 5 2 2 2 2 2 2 2" xfId="30959" xr:uid="{00000000-0005-0000-0000-0000FB920000}"/>
    <cellStyle name="표준 5 3 5 2 2 2 2 2 2 3" xfId="39170" xr:uid="{00000000-0005-0000-0000-0000FC920000}"/>
    <cellStyle name="표준 5 3 5 2 2 2 2 2 2 4" xfId="47363" xr:uid="{00000000-0005-0000-0000-0000FD920000}"/>
    <cellStyle name="표준 5 3 5 2 2 2 2 2 3" xfId="18605" xr:uid="{00000000-0005-0000-0000-0000FE920000}"/>
    <cellStyle name="표준 5 3 5 2 2 2 2 2 4" xfId="22767" xr:uid="{00000000-0005-0000-0000-0000FF920000}"/>
    <cellStyle name="표준 5 3 5 2 2 2 2 2 5" xfId="26863" xr:uid="{00000000-0005-0000-0000-000000930000}"/>
    <cellStyle name="표준 5 3 5 2 2 2 2 2 6" xfId="35074" xr:uid="{00000000-0005-0000-0000-000001930000}"/>
    <cellStyle name="표준 5 3 5 2 2 2 2 2 7" xfId="43267" xr:uid="{00000000-0005-0000-0000-000002930000}"/>
    <cellStyle name="표준 5 3 5 2 2 2 2 3" xfId="8205" xr:uid="{00000000-0005-0000-0000-000003930000}"/>
    <cellStyle name="표준 5 3 5 2 2 2 2 3 2" xfId="28911" xr:uid="{00000000-0005-0000-0000-000004930000}"/>
    <cellStyle name="표준 5 3 5 2 2 2 2 3 3" xfId="37122" xr:uid="{00000000-0005-0000-0000-000005930000}"/>
    <cellStyle name="표준 5 3 5 2 2 2 2 3 4" xfId="45315" xr:uid="{00000000-0005-0000-0000-000006930000}"/>
    <cellStyle name="표준 5 3 5 2 2 2 2 4" xfId="12317" xr:uid="{00000000-0005-0000-0000-000007930000}"/>
    <cellStyle name="표준 5 3 5 2 2 2 2 5" xfId="16557" xr:uid="{00000000-0005-0000-0000-000008930000}"/>
    <cellStyle name="표준 5 3 5 2 2 2 2 6" xfId="20719" xr:uid="{00000000-0005-0000-0000-000009930000}"/>
    <cellStyle name="표준 5 3 5 2 2 2 2 7" xfId="24815" xr:uid="{00000000-0005-0000-0000-00000A930000}"/>
    <cellStyle name="표준 5 3 5 2 2 2 2 8" xfId="33026" xr:uid="{00000000-0005-0000-0000-00000B930000}"/>
    <cellStyle name="표준 5 3 5 2 2 2 2 9" xfId="41219" xr:uid="{00000000-0005-0000-0000-00000C930000}"/>
    <cellStyle name="표준 5 3 5 2 2 2 3" xfId="1862" xr:uid="{00000000-0005-0000-0000-00000D930000}"/>
    <cellStyle name="표준 5 3 5 2 2 2 3 2" xfId="10765" xr:uid="{00000000-0005-0000-0000-00000E930000}"/>
    <cellStyle name="표준 5 3 5 2 2 2 3 2 2" xfId="14877" xr:uid="{00000000-0005-0000-0000-00000F930000}"/>
    <cellStyle name="표준 5 3 5 2 2 2 3 2 2 2" xfId="31471" xr:uid="{00000000-0005-0000-0000-000010930000}"/>
    <cellStyle name="표준 5 3 5 2 2 2 3 2 2 3" xfId="39682" xr:uid="{00000000-0005-0000-0000-000011930000}"/>
    <cellStyle name="표준 5 3 5 2 2 2 3 2 2 4" xfId="47875" xr:uid="{00000000-0005-0000-0000-000012930000}"/>
    <cellStyle name="표준 5 3 5 2 2 2 3 2 3" xfId="19117" xr:uid="{00000000-0005-0000-0000-000013930000}"/>
    <cellStyle name="표준 5 3 5 2 2 2 3 2 4" xfId="23279" xr:uid="{00000000-0005-0000-0000-000014930000}"/>
    <cellStyle name="표준 5 3 5 2 2 2 3 2 5" xfId="27375" xr:uid="{00000000-0005-0000-0000-000015930000}"/>
    <cellStyle name="표준 5 3 5 2 2 2 3 2 6" xfId="35586" xr:uid="{00000000-0005-0000-0000-000016930000}"/>
    <cellStyle name="표준 5 3 5 2 2 2 3 2 7" xfId="43779" xr:uid="{00000000-0005-0000-0000-000017930000}"/>
    <cellStyle name="표준 5 3 5 2 2 2 3 3" xfId="8717" xr:uid="{00000000-0005-0000-0000-000018930000}"/>
    <cellStyle name="표준 5 3 5 2 2 2 3 3 2" xfId="29423" xr:uid="{00000000-0005-0000-0000-000019930000}"/>
    <cellStyle name="표준 5 3 5 2 2 2 3 3 3" xfId="37634" xr:uid="{00000000-0005-0000-0000-00001A930000}"/>
    <cellStyle name="표준 5 3 5 2 2 2 3 3 4" xfId="45827" xr:uid="{00000000-0005-0000-0000-00001B930000}"/>
    <cellStyle name="표준 5 3 5 2 2 2 3 4" xfId="12829" xr:uid="{00000000-0005-0000-0000-00001C930000}"/>
    <cellStyle name="표준 5 3 5 2 2 2 3 5" xfId="17069" xr:uid="{00000000-0005-0000-0000-00001D930000}"/>
    <cellStyle name="표준 5 3 5 2 2 2 3 6" xfId="21231" xr:uid="{00000000-0005-0000-0000-00001E930000}"/>
    <cellStyle name="표준 5 3 5 2 2 2 3 7" xfId="25327" xr:uid="{00000000-0005-0000-0000-00001F930000}"/>
    <cellStyle name="표준 5 3 5 2 2 2 3 8" xfId="33538" xr:uid="{00000000-0005-0000-0000-000020930000}"/>
    <cellStyle name="표준 5 3 5 2 2 2 3 9" xfId="41731" xr:uid="{00000000-0005-0000-0000-000021930000}"/>
    <cellStyle name="표준 5 3 5 2 2 2 4" xfId="2374" xr:uid="{00000000-0005-0000-0000-000022930000}"/>
    <cellStyle name="표준 5 3 5 2 2 2 4 2" xfId="11277" xr:uid="{00000000-0005-0000-0000-000023930000}"/>
    <cellStyle name="표준 5 3 5 2 2 2 4 2 2" xfId="15389" xr:uid="{00000000-0005-0000-0000-000024930000}"/>
    <cellStyle name="표준 5 3 5 2 2 2 4 2 2 2" xfId="31983" xr:uid="{00000000-0005-0000-0000-000025930000}"/>
    <cellStyle name="표준 5 3 5 2 2 2 4 2 2 3" xfId="40194" xr:uid="{00000000-0005-0000-0000-000026930000}"/>
    <cellStyle name="표준 5 3 5 2 2 2 4 2 2 4" xfId="48387" xr:uid="{00000000-0005-0000-0000-000027930000}"/>
    <cellStyle name="표준 5 3 5 2 2 2 4 2 3" xfId="19629" xr:uid="{00000000-0005-0000-0000-000028930000}"/>
    <cellStyle name="표준 5 3 5 2 2 2 4 2 4" xfId="23791" xr:uid="{00000000-0005-0000-0000-000029930000}"/>
    <cellStyle name="표준 5 3 5 2 2 2 4 2 5" xfId="27887" xr:uid="{00000000-0005-0000-0000-00002A930000}"/>
    <cellStyle name="표준 5 3 5 2 2 2 4 2 6" xfId="36098" xr:uid="{00000000-0005-0000-0000-00002B930000}"/>
    <cellStyle name="표준 5 3 5 2 2 2 4 2 7" xfId="44291" xr:uid="{00000000-0005-0000-0000-00002C930000}"/>
    <cellStyle name="표준 5 3 5 2 2 2 4 3" xfId="9229" xr:uid="{00000000-0005-0000-0000-00002D930000}"/>
    <cellStyle name="표준 5 3 5 2 2 2 4 3 2" xfId="29935" xr:uid="{00000000-0005-0000-0000-00002E930000}"/>
    <cellStyle name="표준 5 3 5 2 2 2 4 3 3" xfId="38146" xr:uid="{00000000-0005-0000-0000-00002F930000}"/>
    <cellStyle name="표준 5 3 5 2 2 2 4 3 4" xfId="46339" xr:uid="{00000000-0005-0000-0000-000030930000}"/>
    <cellStyle name="표준 5 3 5 2 2 2 4 4" xfId="13341" xr:uid="{00000000-0005-0000-0000-000031930000}"/>
    <cellStyle name="표준 5 3 5 2 2 2 4 5" xfId="17581" xr:uid="{00000000-0005-0000-0000-000032930000}"/>
    <cellStyle name="표준 5 3 5 2 2 2 4 6" xfId="21743" xr:uid="{00000000-0005-0000-0000-000033930000}"/>
    <cellStyle name="표준 5 3 5 2 2 2 4 7" xfId="25839" xr:uid="{00000000-0005-0000-0000-000034930000}"/>
    <cellStyle name="표준 5 3 5 2 2 2 4 8" xfId="34050" xr:uid="{00000000-0005-0000-0000-000035930000}"/>
    <cellStyle name="표준 5 3 5 2 2 2 4 9" xfId="42243" xr:uid="{00000000-0005-0000-0000-000036930000}"/>
    <cellStyle name="표준 5 3 5 2 2 2 5" xfId="9741" xr:uid="{00000000-0005-0000-0000-000037930000}"/>
    <cellStyle name="표준 5 3 5 2 2 2 5 2" xfId="13853" xr:uid="{00000000-0005-0000-0000-000038930000}"/>
    <cellStyle name="표준 5 3 5 2 2 2 5 2 2" xfId="30447" xr:uid="{00000000-0005-0000-0000-000039930000}"/>
    <cellStyle name="표준 5 3 5 2 2 2 5 2 3" xfId="38658" xr:uid="{00000000-0005-0000-0000-00003A930000}"/>
    <cellStyle name="표준 5 3 5 2 2 2 5 2 4" xfId="46851" xr:uid="{00000000-0005-0000-0000-00003B930000}"/>
    <cellStyle name="표준 5 3 5 2 2 2 5 3" xfId="18093" xr:uid="{00000000-0005-0000-0000-00003C930000}"/>
    <cellStyle name="표준 5 3 5 2 2 2 5 4" xfId="22255" xr:uid="{00000000-0005-0000-0000-00003D930000}"/>
    <cellStyle name="표준 5 3 5 2 2 2 5 5" xfId="26351" xr:uid="{00000000-0005-0000-0000-00003E930000}"/>
    <cellStyle name="표준 5 3 5 2 2 2 5 6" xfId="34562" xr:uid="{00000000-0005-0000-0000-00003F930000}"/>
    <cellStyle name="표준 5 3 5 2 2 2 5 7" xfId="42755" xr:uid="{00000000-0005-0000-0000-000040930000}"/>
    <cellStyle name="표준 5 3 5 2 2 2 6" xfId="7693" xr:uid="{00000000-0005-0000-0000-000041930000}"/>
    <cellStyle name="표준 5 3 5 2 2 2 6 2" xfId="28399" xr:uid="{00000000-0005-0000-0000-000042930000}"/>
    <cellStyle name="표준 5 3 5 2 2 2 6 3" xfId="36610" xr:uid="{00000000-0005-0000-0000-000043930000}"/>
    <cellStyle name="표준 5 3 5 2 2 2 6 4" xfId="44803" xr:uid="{00000000-0005-0000-0000-000044930000}"/>
    <cellStyle name="표준 5 3 5 2 2 2 7" xfId="11805" xr:uid="{00000000-0005-0000-0000-000045930000}"/>
    <cellStyle name="표준 5 3 5 2 2 2 8" xfId="16045" xr:uid="{00000000-0005-0000-0000-000046930000}"/>
    <cellStyle name="표준 5 3 5 2 2 2 9" xfId="20207" xr:uid="{00000000-0005-0000-0000-000047930000}"/>
    <cellStyle name="표준 5 3 5 2 2 3" xfId="1094" xr:uid="{00000000-0005-0000-0000-000048930000}"/>
    <cellStyle name="표준 5 3 5 2 2 3 2" xfId="9997" xr:uid="{00000000-0005-0000-0000-000049930000}"/>
    <cellStyle name="표준 5 3 5 2 2 3 2 2" xfId="14109" xr:uid="{00000000-0005-0000-0000-00004A930000}"/>
    <cellStyle name="표준 5 3 5 2 2 3 2 2 2" xfId="30703" xr:uid="{00000000-0005-0000-0000-00004B930000}"/>
    <cellStyle name="표준 5 3 5 2 2 3 2 2 3" xfId="38914" xr:uid="{00000000-0005-0000-0000-00004C930000}"/>
    <cellStyle name="표준 5 3 5 2 2 3 2 2 4" xfId="47107" xr:uid="{00000000-0005-0000-0000-00004D930000}"/>
    <cellStyle name="표준 5 3 5 2 2 3 2 3" xfId="18349" xr:uid="{00000000-0005-0000-0000-00004E930000}"/>
    <cellStyle name="표준 5 3 5 2 2 3 2 4" xfId="22511" xr:uid="{00000000-0005-0000-0000-00004F930000}"/>
    <cellStyle name="표준 5 3 5 2 2 3 2 5" xfId="26607" xr:uid="{00000000-0005-0000-0000-000050930000}"/>
    <cellStyle name="표준 5 3 5 2 2 3 2 6" xfId="34818" xr:uid="{00000000-0005-0000-0000-000051930000}"/>
    <cellStyle name="표준 5 3 5 2 2 3 2 7" xfId="43011" xr:uid="{00000000-0005-0000-0000-000052930000}"/>
    <cellStyle name="표준 5 3 5 2 2 3 3" xfId="7949" xr:uid="{00000000-0005-0000-0000-000053930000}"/>
    <cellStyle name="표준 5 3 5 2 2 3 3 2" xfId="28655" xr:uid="{00000000-0005-0000-0000-000054930000}"/>
    <cellStyle name="표준 5 3 5 2 2 3 3 3" xfId="36866" xr:uid="{00000000-0005-0000-0000-000055930000}"/>
    <cellStyle name="표준 5 3 5 2 2 3 3 4" xfId="45059" xr:uid="{00000000-0005-0000-0000-000056930000}"/>
    <cellStyle name="표준 5 3 5 2 2 3 4" xfId="12061" xr:uid="{00000000-0005-0000-0000-000057930000}"/>
    <cellStyle name="표준 5 3 5 2 2 3 5" xfId="16301" xr:uid="{00000000-0005-0000-0000-000058930000}"/>
    <cellStyle name="표준 5 3 5 2 2 3 6" xfId="20463" xr:uid="{00000000-0005-0000-0000-000059930000}"/>
    <cellStyle name="표준 5 3 5 2 2 3 7" xfId="24559" xr:uid="{00000000-0005-0000-0000-00005A930000}"/>
    <cellStyle name="표준 5 3 5 2 2 3 8" xfId="32770" xr:uid="{00000000-0005-0000-0000-00005B930000}"/>
    <cellStyle name="표준 5 3 5 2 2 3 9" xfId="40963" xr:uid="{00000000-0005-0000-0000-00005C930000}"/>
    <cellStyle name="표준 5 3 5 2 2 4" xfId="1606" xr:uid="{00000000-0005-0000-0000-00005D930000}"/>
    <cellStyle name="표준 5 3 5 2 2 4 2" xfId="10509" xr:uid="{00000000-0005-0000-0000-00005E930000}"/>
    <cellStyle name="표준 5 3 5 2 2 4 2 2" xfId="14621" xr:uid="{00000000-0005-0000-0000-00005F930000}"/>
    <cellStyle name="표준 5 3 5 2 2 4 2 2 2" xfId="31215" xr:uid="{00000000-0005-0000-0000-000060930000}"/>
    <cellStyle name="표준 5 3 5 2 2 4 2 2 3" xfId="39426" xr:uid="{00000000-0005-0000-0000-000061930000}"/>
    <cellStyle name="표준 5 3 5 2 2 4 2 2 4" xfId="47619" xr:uid="{00000000-0005-0000-0000-000062930000}"/>
    <cellStyle name="표준 5 3 5 2 2 4 2 3" xfId="18861" xr:uid="{00000000-0005-0000-0000-000063930000}"/>
    <cellStyle name="표준 5 3 5 2 2 4 2 4" xfId="23023" xr:uid="{00000000-0005-0000-0000-000064930000}"/>
    <cellStyle name="표준 5 3 5 2 2 4 2 5" xfId="27119" xr:uid="{00000000-0005-0000-0000-000065930000}"/>
    <cellStyle name="표준 5 3 5 2 2 4 2 6" xfId="35330" xr:uid="{00000000-0005-0000-0000-000066930000}"/>
    <cellStyle name="표준 5 3 5 2 2 4 2 7" xfId="43523" xr:uid="{00000000-0005-0000-0000-000067930000}"/>
    <cellStyle name="표준 5 3 5 2 2 4 3" xfId="8461" xr:uid="{00000000-0005-0000-0000-000068930000}"/>
    <cellStyle name="표준 5 3 5 2 2 4 3 2" xfId="29167" xr:uid="{00000000-0005-0000-0000-000069930000}"/>
    <cellStyle name="표준 5 3 5 2 2 4 3 3" xfId="37378" xr:uid="{00000000-0005-0000-0000-00006A930000}"/>
    <cellStyle name="표준 5 3 5 2 2 4 3 4" xfId="45571" xr:uid="{00000000-0005-0000-0000-00006B930000}"/>
    <cellStyle name="표준 5 3 5 2 2 4 4" xfId="12573" xr:uid="{00000000-0005-0000-0000-00006C930000}"/>
    <cellStyle name="표준 5 3 5 2 2 4 5" xfId="16813" xr:uid="{00000000-0005-0000-0000-00006D930000}"/>
    <cellStyle name="표준 5 3 5 2 2 4 6" xfId="20975" xr:uid="{00000000-0005-0000-0000-00006E930000}"/>
    <cellStyle name="표준 5 3 5 2 2 4 7" xfId="25071" xr:uid="{00000000-0005-0000-0000-00006F930000}"/>
    <cellStyle name="표준 5 3 5 2 2 4 8" xfId="33282" xr:uid="{00000000-0005-0000-0000-000070930000}"/>
    <cellStyle name="표준 5 3 5 2 2 4 9" xfId="41475" xr:uid="{00000000-0005-0000-0000-000071930000}"/>
    <cellStyle name="표준 5 3 5 2 2 5" xfId="2118" xr:uid="{00000000-0005-0000-0000-000072930000}"/>
    <cellStyle name="표준 5 3 5 2 2 5 2" xfId="11021" xr:uid="{00000000-0005-0000-0000-000073930000}"/>
    <cellStyle name="표준 5 3 5 2 2 5 2 2" xfId="15133" xr:uid="{00000000-0005-0000-0000-000074930000}"/>
    <cellStyle name="표준 5 3 5 2 2 5 2 2 2" xfId="31727" xr:uid="{00000000-0005-0000-0000-000075930000}"/>
    <cellStyle name="표준 5 3 5 2 2 5 2 2 3" xfId="39938" xr:uid="{00000000-0005-0000-0000-000076930000}"/>
    <cellStyle name="표준 5 3 5 2 2 5 2 2 4" xfId="48131" xr:uid="{00000000-0005-0000-0000-000077930000}"/>
    <cellStyle name="표준 5 3 5 2 2 5 2 3" xfId="19373" xr:uid="{00000000-0005-0000-0000-000078930000}"/>
    <cellStyle name="표준 5 3 5 2 2 5 2 4" xfId="23535" xr:uid="{00000000-0005-0000-0000-000079930000}"/>
    <cellStyle name="표준 5 3 5 2 2 5 2 5" xfId="27631" xr:uid="{00000000-0005-0000-0000-00007A930000}"/>
    <cellStyle name="표준 5 3 5 2 2 5 2 6" xfId="35842" xr:uid="{00000000-0005-0000-0000-00007B930000}"/>
    <cellStyle name="표준 5 3 5 2 2 5 2 7" xfId="44035" xr:uid="{00000000-0005-0000-0000-00007C930000}"/>
    <cellStyle name="표준 5 3 5 2 2 5 3" xfId="8973" xr:uid="{00000000-0005-0000-0000-00007D930000}"/>
    <cellStyle name="표준 5 3 5 2 2 5 3 2" xfId="29679" xr:uid="{00000000-0005-0000-0000-00007E930000}"/>
    <cellStyle name="표준 5 3 5 2 2 5 3 3" xfId="37890" xr:uid="{00000000-0005-0000-0000-00007F930000}"/>
    <cellStyle name="표준 5 3 5 2 2 5 3 4" xfId="46083" xr:uid="{00000000-0005-0000-0000-000080930000}"/>
    <cellStyle name="표준 5 3 5 2 2 5 4" xfId="13085" xr:uid="{00000000-0005-0000-0000-000081930000}"/>
    <cellStyle name="표준 5 3 5 2 2 5 5" xfId="17325" xr:uid="{00000000-0005-0000-0000-000082930000}"/>
    <cellStyle name="표준 5 3 5 2 2 5 6" xfId="21487" xr:uid="{00000000-0005-0000-0000-000083930000}"/>
    <cellStyle name="표준 5 3 5 2 2 5 7" xfId="25583" xr:uid="{00000000-0005-0000-0000-000084930000}"/>
    <cellStyle name="표준 5 3 5 2 2 5 8" xfId="33794" xr:uid="{00000000-0005-0000-0000-000085930000}"/>
    <cellStyle name="표준 5 3 5 2 2 5 9" xfId="41987" xr:uid="{00000000-0005-0000-0000-000086930000}"/>
    <cellStyle name="표준 5 3 5 2 2 6" xfId="9485" xr:uid="{00000000-0005-0000-0000-000087930000}"/>
    <cellStyle name="표준 5 3 5 2 2 6 2" xfId="13597" xr:uid="{00000000-0005-0000-0000-000088930000}"/>
    <cellStyle name="표준 5 3 5 2 2 6 2 2" xfId="30191" xr:uid="{00000000-0005-0000-0000-000089930000}"/>
    <cellStyle name="표준 5 3 5 2 2 6 2 3" xfId="38402" xr:uid="{00000000-0005-0000-0000-00008A930000}"/>
    <cellStyle name="표준 5 3 5 2 2 6 2 4" xfId="46595" xr:uid="{00000000-0005-0000-0000-00008B930000}"/>
    <cellStyle name="표준 5 3 5 2 2 6 3" xfId="17837" xr:uid="{00000000-0005-0000-0000-00008C930000}"/>
    <cellStyle name="표준 5 3 5 2 2 6 4" xfId="21999" xr:uid="{00000000-0005-0000-0000-00008D930000}"/>
    <cellStyle name="표준 5 3 5 2 2 6 5" xfId="26095" xr:uid="{00000000-0005-0000-0000-00008E930000}"/>
    <cellStyle name="표준 5 3 5 2 2 6 6" xfId="34306" xr:uid="{00000000-0005-0000-0000-00008F930000}"/>
    <cellStyle name="표준 5 3 5 2 2 6 7" xfId="42499" xr:uid="{00000000-0005-0000-0000-000090930000}"/>
    <cellStyle name="표준 5 3 5 2 2 7" xfId="7437" xr:uid="{00000000-0005-0000-0000-000091930000}"/>
    <cellStyle name="표준 5 3 5 2 2 7 2" xfId="28143" xr:uid="{00000000-0005-0000-0000-000092930000}"/>
    <cellStyle name="표준 5 3 5 2 2 7 3" xfId="36354" xr:uid="{00000000-0005-0000-0000-000093930000}"/>
    <cellStyle name="표준 5 3 5 2 2 7 4" xfId="44547" xr:uid="{00000000-0005-0000-0000-000094930000}"/>
    <cellStyle name="표준 5 3 5 2 2 8" xfId="11549" xr:uid="{00000000-0005-0000-0000-000095930000}"/>
    <cellStyle name="표준 5 3 5 2 2 9" xfId="15789" xr:uid="{00000000-0005-0000-0000-000096930000}"/>
    <cellStyle name="표준 5 3 5 2 3" xfId="710" xr:uid="{00000000-0005-0000-0000-000097930000}"/>
    <cellStyle name="표준 5 3 5 2 3 10" xfId="24175" xr:uid="{00000000-0005-0000-0000-000098930000}"/>
    <cellStyle name="표준 5 3 5 2 3 11" xfId="32386" xr:uid="{00000000-0005-0000-0000-000099930000}"/>
    <cellStyle name="표준 5 3 5 2 3 12" xfId="40579" xr:uid="{00000000-0005-0000-0000-00009A930000}"/>
    <cellStyle name="표준 5 3 5 2 3 2" xfId="1222" xr:uid="{00000000-0005-0000-0000-00009B930000}"/>
    <cellStyle name="표준 5 3 5 2 3 2 2" xfId="10125" xr:uid="{00000000-0005-0000-0000-00009C930000}"/>
    <cellStyle name="표준 5 3 5 2 3 2 2 2" xfId="14237" xr:uid="{00000000-0005-0000-0000-00009D930000}"/>
    <cellStyle name="표준 5 3 5 2 3 2 2 2 2" xfId="30831" xr:uid="{00000000-0005-0000-0000-00009E930000}"/>
    <cellStyle name="표준 5 3 5 2 3 2 2 2 3" xfId="39042" xr:uid="{00000000-0005-0000-0000-00009F930000}"/>
    <cellStyle name="표준 5 3 5 2 3 2 2 2 4" xfId="47235" xr:uid="{00000000-0005-0000-0000-0000A0930000}"/>
    <cellStyle name="표준 5 3 5 2 3 2 2 3" xfId="18477" xr:uid="{00000000-0005-0000-0000-0000A1930000}"/>
    <cellStyle name="표준 5 3 5 2 3 2 2 4" xfId="22639" xr:uid="{00000000-0005-0000-0000-0000A2930000}"/>
    <cellStyle name="표준 5 3 5 2 3 2 2 5" xfId="26735" xr:uid="{00000000-0005-0000-0000-0000A3930000}"/>
    <cellStyle name="표준 5 3 5 2 3 2 2 6" xfId="34946" xr:uid="{00000000-0005-0000-0000-0000A4930000}"/>
    <cellStyle name="표준 5 3 5 2 3 2 2 7" xfId="43139" xr:uid="{00000000-0005-0000-0000-0000A5930000}"/>
    <cellStyle name="표준 5 3 5 2 3 2 3" xfId="8077" xr:uid="{00000000-0005-0000-0000-0000A6930000}"/>
    <cellStyle name="표준 5 3 5 2 3 2 3 2" xfId="28783" xr:uid="{00000000-0005-0000-0000-0000A7930000}"/>
    <cellStyle name="표준 5 3 5 2 3 2 3 3" xfId="36994" xr:uid="{00000000-0005-0000-0000-0000A8930000}"/>
    <cellStyle name="표준 5 3 5 2 3 2 3 4" xfId="45187" xr:uid="{00000000-0005-0000-0000-0000A9930000}"/>
    <cellStyle name="표준 5 3 5 2 3 2 4" xfId="12189" xr:uid="{00000000-0005-0000-0000-0000AA930000}"/>
    <cellStyle name="표준 5 3 5 2 3 2 5" xfId="16429" xr:uid="{00000000-0005-0000-0000-0000AB930000}"/>
    <cellStyle name="표준 5 3 5 2 3 2 6" xfId="20591" xr:uid="{00000000-0005-0000-0000-0000AC930000}"/>
    <cellStyle name="표준 5 3 5 2 3 2 7" xfId="24687" xr:uid="{00000000-0005-0000-0000-0000AD930000}"/>
    <cellStyle name="표준 5 3 5 2 3 2 8" xfId="32898" xr:uid="{00000000-0005-0000-0000-0000AE930000}"/>
    <cellStyle name="표준 5 3 5 2 3 2 9" xfId="41091" xr:uid="{00000000-0005-0000-0000-0000AF930000}"/>
    <cellStyle name="표준 5 3 5 2 3 3" xfId="1734" xr:uid="{00000000-0005-0000-0000-0000B0930000}"/>
    <cellStyle name="표준 5 3 5 2 3 3 2" xfId="10637" xr:uid="{00000000-0005-0000-0000-0000B1930000}"/>
    <cellStyle name="표준 5 3 5 2 3 3 2 2" xfId="14749" xr:uid="{00000000-0005-0000-0000-0000B2930000}"/>
    <cellStyle name="표준 5 3 5 2 3 3 2 2 2" xfId="31343" xr:uid="{00000000-0005-0000-0000-0000B3930000}"/>
    <cellStyle name="표준 5 3 5 2 3 3 2 2 3" xfId="39554" xr:uid="{00000000-0005-0000-0000-0000B4930000}"/>
    <cellStyle name="표준 5 3 5 2 3 3 2 2 4" xfId="47747" xr:uid="{00000000-0005-0000-0000-0000B5930000}"/>
    <cellStyle name="표준 5 3 5 2 3 3 2 3" xfId="18989" xr:uid="{00000000-0005-0000-0000-0000B6930000}"/>
    <cellStyle name="표준 5 3 5 2 3 3 2 4" xfId="23151" xr:uid="{00000000-0005-0000-0000-0000B7930000}"/>
    <cellStyle name="표준 5 3 5 2 3 3 2 5" xfId="27247" xr:uid="{00000000-0005-0000-0000-0000B8930000}"/>
    <cellStyle name="표준 5 3 5 2 3 3 2 6" xfId="35458" xr:uid="{00000000-0005-0000-0000-0000B9930000}"/>
    <cellStyle name="표준 5 3 5 2 3 3 2 7" xfId="43651" xr:uid="{00000000-0005-0000-0000-0000BA930000}"/>
    <cellStyle name="표준 5 3 5 2 3 3 3" xfId="8589" xr:uid="{00000000-0005-0000-0000-0000BB930000}"/>
    <cellStyle name="표준 5 3 5 2 3 3 3 2" xfId="29295" xr:uid="{00000000-0005-0000-0000-0000BC930000}"/>
    <cellStyle name="표준 5 3 5 2 3 3 3 3" xfId="37506" xr:uid="{00000000-0005-0000-0000-0000BD930000}"/>
    <cellStyle name="표준 5 3 5 2 3 3 3 4" xfId="45699" xr:uid="{00000000-0005-0000-0000-0000BE930000}"/>
    <cellStyle name="표준 5 3 5 2 3 3 4" xfId="12701" xr:uid="{00000000-0005-0000-0000-0000BF930000}"/>
    <cellStyle name="표준 5 3 5 2 3 3 5" xfId="16941" xr:uid="{00000000-0005-0000-0000-0000C0930000}"/>
    <cellStyle name="표준 5 3 5 2 3 3 6" xfId="21103" xr:uid="{00000000-0005-0000-0000-0000C1930000}"/>
    <cellStyle name="표준 5 3 5 2 3 3 7" xfId="25199" xr:uid="{00000000-0005-0000-0000-0000C2930000}"/>
    <cellStyle name="표준 5 3 5 2 3 3 8" xfId="33410" xr:uid="{00000000-0005-0000-0000-0000C3930000}"/>
    <cellStyle name="표준 5 3 5 2 3 3 9" xfId="41603" xr:uid="{00000000-0005-0000-0000-0000C4930000}"/>
    <cellStyle name="표준 5 3 5 2 3 4" xfId="2246" xr:uid="{00000000-0005-0000-0000-0000C5930000}"/>
    <cellStyle name="표준 5 3 5 2 3 4 2" xfId="11149" xr:uid="{00000000-0005-0000-0000-0000C6930000}"/>
    <cellStyle name="표준 5 3 5 2 3 4 2 2" xfId="15261" xr:uid="{00000000-0005-0000-0000-0000C7930000}"/>
    <cellStyle name="표준 5 3 5 2 3 4 2 2 2" xfId="31855" xr:uid="{00000000-0005-0000-0000-0000C8930000}"/>
    <cellStyle name="표준 5 3 5 2 3 4 2 2 3" xfId="40066" xr:uid="{00000000-0005-0000-0000-0000C9930000}"/>
    <cellStyle name="표준 5 3 5 2 3 4 2 2 4" xfId="48259" xr:uid="{00000000-0005-0000-0000-0000CA930000}"/>
    <cellStyle name="표준 5 3 5 2 3 4 2 3" xfId="19501" xr:uid="{00000000-0005-0000-0000-0000CB930000}"/>
    <cellStyle name="표준 5 3 5 2 3 4 2 4" xfId="23663" xr:uid="{00000000-0005-0000-0000-0000CC930000}"/>
    <cellStyle name="표준 5 3 5 2 3 4 2 5" xfId="27759" xr:uid="{00000000-0005-0000-0000-0000CD930000}"/>
    <cellStyle name="표준 5 3 5 2 3 4 2 6" xfId="35970" xr:uid="{00000000-0005-0000-0000-0000CE930000}"/>
    <cellStyle name="표준 5 3 5 2 3 4 2 7" xfId="44163" xr:uid="{00000000-0005-0000-0000-0000CF930000}"/>
    <cellStyle name="표준 5 3 5 2 3 4 3" xfId="9101" xr:uid="{00000000-0005-0000-0000-0000D0930000}"/>
    <cellStyle name="표준 5 3 5 2 3 4 3 2" xfId="29807" xr:uid="{00000000-0005-0000-0000-0000D1930000}"/>
    <cellStyle name="표준 5 3 5 2 3 4 3 3" xfId="38018" xr:uid="{00000000-0005-0000-0000-0000D2930000}"/>
    <cellStyle name="표준 5 3 5 2 3 4 3 4" xfId="46211" xr:uid="{00000000-0005-0000-0000-0000D3930000}"/>
    <cellStyle name="표준 5 3 5 2 3 4 4" xfId="13213" xr:uid="{00000000-0005-0000-0000-0000D4930000}"/>
    <cellStyle name="표준 5 3 5 2 3 4 5" xfId="17453" xr:uid="{00000000-0005-0000-0000-0000D5930000}"/>
    <cellStyle name="표준 5 3 5 2 3 4 6" xfId="21615" xr:uid="{00000000-0005-0000-0000-0000D6930000}"/>
    <cellStyle name="표준 5 3 5 2 3 4 7" xfId="25711" xr:uid="{00000000-0005-0000-0000-0000D7930000}"/>
    <cellStyle name="표준 5 3 5 2 3 4 8" xfId="33922" xr:uid="{00000000-0005-0000-0000-0000D8930000}"/>
    <cellStyle name="표준 5 3 5 2 3 4 9" xfId="42115" xr:uid="{00000000-0005-0000-0000-0000D9930000}"/>
    <cellStyle name="표준 5 3 5 2 3 5" xfId="9613" xr:uid="{00000000-0005-0000-0000-0000DA930000}"/>
    <cellStyle name="표준 5 3 5 2 3 5 2" xfId="13725" xr:uid="{00000000-0005-0000-0000-0000DB930000}"/>
    <cellStyle name="표준 5 3 5 2 3 5 2 2" xfId="30319" xr:uid="{00000000-0005-0000-0000-0000DC930000}"/>
    <cellStyle name="표준 5 3 5 2 3 5 2 3" xfId="38530" xr:uid="{00000000-0005-0000-0000-0000DD930000}"/>
    <cellStyle name="표준 5 3 5 2 3 5 2 4" xfId="46723" xr:uid="{00000000-0005-0000-0000-0000DE930000}"/>
    <cellStyle name="표준 5 3 5 2 3 5 3" xfId="17965" xr:uid="{00000000-0005-0000-0000-0000DF930000}"/>
    <cellStyle name="표준 5 3 5 2 3 5 4" xfId="22127" xr:uid="{00000000-0005-0000-0000-0000E0930000}"/>
    <cellStyle name="표준 5 3 5 2 3 5 5" xfId="26223" xr:uid="{00000000-0005-0000-0000-0000E1930000}"/>
    <cellStyle name="표준 5 3 5 2 3 5 6" xfId="34434" xr:uid="{00000000-0005-0000-0000-0000E2930000}"/>
    <cellStyle name="표준 5 3 5 2 3 5 7" xfId="42627" xr:uid="{00000000-0005-0000-0000-0000E3930000}"/>
    <cellStyle name="표준 5 3 5 2 3 6" xfId="7565" xr:uid="{00000000-0005-0000-0000-0000E4930000}"/>
    <cellStyle name="표준 5 3 5 2 3 6 2" xfId="28271" xr:uid="{00000000-0005-0000-0000-0000E5930000}"/>
    <cellStyle name="표준 5 3 5 2 3 6 3" xfId="36482" xr:uid="{00000000-0005-0000-0000-0000E6930000}"/>
    <cellStyle name="표준 5 3 5 2 3 6 4" xfId="44675" xr:uid="{00000000-0005-0000-0000-0000E7930000}"/>
    <cellStyle name="표준 5 3 5 2 3 7" xfId="11677" xr:uid="{00000000-0005-0000-0000-0000E8930000}"/>
    <cellStyle name="표준 5 3 5 2 3 8" xfId="15917" xr:uid="{00000000-0005-0000-0000-0000E9930000}"/>
    <cellStyle name="표준 5 3 5 2 3 9" xfId="20079" xr:uid="{00000000-0005-0000-0000-0000EA930000}"/>
    <cellStyle name="표준 5 3 5 2 4" xfId="966" xr:uid="{00000000-0005-0000-0000-0000EB930000}"/>
    <cellStyle name="표준 5 3 5 2 4 2" xfId="9869" xr:uid="{00000000-0005-0000-0000-0000EC930000}"/>
    <cellStyle name="표준 5 3 5 2 4 2 2" xfId="13981" xr:uid="{00000000-0005-0000-0000-0000ED930000}"/>
    <cellStyle name="표준 5 3 5 2 4 2 2 2" xfId="30575" xr:uid="{00000000-0005-0000-0000-0000EE930000}"/>
    <cellStyle name="표준 5 3 5 2 4 2 2 3" xfId="38786" xr:uid="{00000000-0005-0000-0000-0000EF930000}"/>
    <cellStyle name="표준 5 3 5 2 4 2 2 4" xfId="46979" xr:uid="{00000000-0005-0000-0000-0000F0930000}"/>
    <cellStyle name="표준 5 3 5 2 4 2 3" xfId="18221" xr:uid="{00000000-0005-0000-0000-0000F1930000}"/>
    <cellStyle name="표준 5 3 5 2 4 2 4" xfId="22383" xr:uid="{00000000-0005-0000-0000-0000F2930000}"/>
    <cellStyle name="표준 5 3 5 2 4 2 5" xfId="26479" xr:uid="{00000000-0005-0000-0000-0000F3930000}"/>
    <cellStyle name="표준 5 3 5 2 4 2 6" xfId="34690" xr:uid="{00000000-0005-0000-0000-0000F4930000}"/>
    <cellStyle name="표준 5 3 5 2 4 2 7" xfId="42883" xr:uid="{00000000-0005-0000-0000-0000F5930000}"/>
    <cellStyle name="표준 5 3 5 2 4 3" xfId="7821" xr:uid="{00000000-0005-0000-0000-0000F6930000}"/>
    <cellStyle name="표준 5 3 5 2 4 3 2" xfId="28527" xr:uid="{00000000-0005-0000-0000-0000F7930000}"/>
    <cellStyle name="표준 5 3 5 2 4 3 3" xfId="36738" xr:uid="{00000000-0005-0000-0000-0000F8930000}"/>
    <cellStyle name="표준 5 3 5 2 4 3 4" xfId="44931" xr:uid="{00000000-0005-0000-0000-0000F9930000}"/>
    <cellStyle name="표준 5 3 5 2 4 4" xfId="11933" xr:uid="{00000000-0005-0000-0000-0000FA930000}"/>
    <cellStyle name="표준 5 3 5 2 4 5" xfId="16173" xr:uid="{00000000-0005-0000-0000-0000FB930000}"/>
    <cellStyle name="표준 5 3 5 2 4 6" xfId="20335" xr:uid="{00000000-0005-0000-0000-0000FC930000}"/>
    <cellStyle name="표준 5 3 5 2 4 7" xfId="24431" xr:uid="{00000000-0005-0000-0000-0000FD930000}"/>
    <cellStyle name="표준 5 3 5 2 4 8" xfId="32642" xr:uid="{00000000-0005-0000-0000-0000FE930000}"/>
    <cellStyle name="표준 5 3 5 2 4 9" xfId="40835" xr:uid="{00000000-0005-0000-0000-0000FF930000}"/>
    <cellStyle name="표준 5 3 5 2 5" xfId="1478" xr:uid="{00000000-0005-0000-0000-000000940000}"/>
    <cellStyle name="표준 5 3 5 2 5 2" xfId="10381" xr:uid="{00000000-0005-0000-0000-000001940000}"/>
    <cellStyle name="표준 5 3 5 2 5 2 2" xfId="14493" xr:uid="{00000000-0005-0000-0000-000002940000}"/>
    <cellStyle name="표준 5 3 5 2 5 2 2 2" xfId="31087" xr:uid="{00000000-0005-0000-0000-000003940000}"/>
    <cellStyle name="표준 5 3 5 2 5 2 2 3" xfId="39298" xr:uid="{00000000-0005-0000-0000-000004940000}"/>
    <cellStyle name="표준 5 3 5 2 5 2 2 4" xfId="47491" xr:uid="{00000000-0005-0000-0000-000005940000}"/>
    <cellStyle name="표준 5 3 5 2 5 2 3" xfId="18733" xr:uid="{00000000-0005-0000-0000-000006940000}"/>
    <cellStyle name="표준 5 3 5 2 5 2 4" xfId="22895" xr:uid="{00000000-0005-0000-0000-000007940000}"/>
    <cellStyle name="표준 5 3 5 2 5 2 5" xfId="26991" xr:uid="{00000000-0005-0000-0000-000008940000}"/>
    <cellStyle name="표준 5 3 5 2 5 2 6" xfId="35202" xr:uid="{00000000-0005-0000-0000-000009940000}"/>
    <cellStyle name="표준 5 3 5 2 5 2 7" xfId="43395" xr:uid="{00000000-0005-0000-0000-00000A940000}"/>
    <cellStyle name="표준 5 3 5 2 5 3" xfId="8333" xr:uid="{00000000-0005-0000-0000-00000B940000}"/>
    <cellStyle name="표준 5 3 5 2 5 3 2" xfId="29039" xr:uid="{00000000-0005-0000-0000-00000C940000}"/>
    <cellStyle name="표준 5 3 5 2 5 3 3" xfId="37250" xr:uid="{00000000-0005-0000-0000-00000D940000}"/>
    <cellStyle name="표준 5 3 5 2 5 3 4" xfId="45443" xr:uid="{00000000-0005-0000-0000-00000E940000}"/>
    <cellStyle name="표준 5 3 5 2 5 4" xfId="12445" xr:uid="{00000000-0005-0000-0000-00000F940000}"/>
    <cellStyle name="표준 5 3 5 2 5 5" xfId="16685" xr:uid="{00000000-0005-0000-0000-000010940000}"/>
    <cellStyle name="표준 5 3 5 2 5 6" xfId="20847" xr:uid="{00000000-0005-0000-0000-000011940000}"/>
    <cellStyle name="표준 5 3 5 2 5 7" xfId="24943" xr:uid="{00000000-0005-0000-0000-000012940000}"/>
    <cellStyle name="표준 5 3 5 2 5 8" xfId="33154" xr:uid="{00000000-0005-0000-0000-000013940000}"/>
    <cellStyle name="표준 5 3 5 2 5 9" xfId="41347" xr:uid="{00000000-0005-0000-0000-000014940000}"/>
    <cellStyle name="표준 5 3 5 2 6" xfId="1990" xr:uid="{00000000-0005-0000-0000-000015940000}"/>
    <cellStyle name="표준 5 3 5 2 6 2" xfId="10893" xr:uid="{00000000-0005-0000-0000-000016940000}"/>
    <cellStyle name="표준 5 3 5 2 6 2 2" xfId="15005" xr:uid="{00000000-0005-0000-0000-000017940000}"/>
    <cellStyle name="표준 5 3 5 2 6 2 2 2" xfId="31599" xr:uid="{00000000-0005-0000-0000-000018940000}"/>
    <cellStyle name="표준 5 3 5 2 6 2 2 3" xfId="39810" xr:uid="{00000000-0005-0000-0000-000019940000}"/>
    <cellStyle name="표준 5 3 5 2 6 2 2 4" xfId="48003" xr:uid="{00000000-0005-0000-0000-00001A940000}"/>
    <cellStyle name="표준 5 3 5 2 6 2 3" xfId="19245" xr:uid="{00000000-0005-0000-0000-00001B940000}"/>
    <cellStyle name="표준 5 3 5 2 6 2 4" xfId="23407" xr:uid="{00000000-0005-0000-0000-00001C940000}"/>
    <cellStyle name="표준 5 3 5 2 6 2 5" xfId="27503" xr:uid="{00000000-0005-0000-0000-00001D940000}"/>
    <cellStyle name="표준 5 3 5 2 6 2 6" xfId="35714" xr:uid="{00000000-0005-0000-0000-00001E940000}"/>
    <cellStyle name="표준 5 3 5 2 6 2 7" xfId="43907" xr:uid="{00000000-0005-0000-0000-00001F940000}"/>
    <cellStyle name="표준 5 3 5 2 6 3" xfId="8845" xr:uid="{00000000-0005-0000-0000-000020940000}"/>
    <cellStyle name="표준 5 3 5 2 6 3 2" xfId="29551" xr:uid="{00000000-0005-0000-0000-000021940000}"/>
    <cellStyle name="표준 5 3 5 2 6 3 3" xfId="37762" xr:uid="{00000000-0005-0000-0000-000022940000}"/>
    <cellStyle name="표준 5 3 5 2 6 3 4" xfId="45955" xr:uid="{00000000-0005-0000-0000-000023940000}"/>
    <cellStyle name="표준 5 3 5 2 6 4" xfId="12957" xr:uid="{00000000-0005-0000-0000-000024940000}"/>
    <cellStyle name="표준 5 3 5 2 6 5" xfId="17197" xr:uid="{00000000-0005-0000-0000-000025940000}"/>
    <cellStyle name="표준 5 3 5 2 6 6" xfId="21359" xr:uid="{00000000-0005-0000-0000-000026940000}"/>
    <cellStyle name="표준 5 3 5 2 6 7" xfId="25455" xr:uid="{00000000-0005-0000-0000-000027940000}"/>
    <cellStyle name="표준 5 3 5 2 6 8" xfId="33666" xr:uid="{00000000-0005-0000-0000-000028940000}"/>
    <cellStyle name="표준 5 3 5 2 6 9" xfId="41859" xr:uid="{00000000-0005-0000-0000-000029940000}"/>
    <cellStyle name="표준 5 3 5 2 7" xfId="7050" xr:uid="{00000000-0005-0000-0000-00002A940000}"/>
    <cellStyle name="표준 5 3 5 2 7 2" xfId="9357" xr:uid="{00000000-0005-0000-0000-00002B940000}"/>
    <cellStyle name="표준 5 3 5 2 7 2 2" xfId="30063" xr:uid="{00000000-0005-0000-0000-00002C940000}"/>
    <cellStyle name="표준 5 3 5 2 7 2 3" xfId="38274" xr:uid="{00000000-0005-0000-0000-00002D940000}"/>
    <cellStyle name="표준 5 3 5 2 7 2 4" xfId="46467" xr:uid="{00000000-0005-0000-0000-00002E940000}"/>
    <cellStyle name="표준 5 3 5 2 7 3" xfId="13469" xr:uid="{00000000-0005-0000-0000-00002F940000}"/>
    <cellStyle name="표준 5 3 5 2 7 4" xfId="17709" xr:uid="{00000000-0005-0000-0000-000030940000}"/>
    <cellStyle name="표준 5 3 5 2 7 5" xfId="21871" xr:uid="{00000000-0005-0000-0000-000031940000}"/>
    <cellStyle name="표준 5 3 5 2 7 6" xfId="25967" xr:uid="{00000000-0005-0000-0000-000032940000}"/>
    <cellStyle name="표준 5 3 5 2 7 7" xfId="34178" xr:uid="{00000000-0005-0000-0000-000033940000}"/>
    <cellStyle name="표준 5 3 5 2 7 8" xfId="42371" xr:uid="{00000000-0005-0000-0000-000034940000}"/>
    <cellStyle name="표준 5 3 5 2 8" xfId="7128" xr:uid="{00000000-0005-0000-0000-000035940000}"/>
    <cellStyle name="표준 5 3 5 2 8 2" xfId="28015" xr:uid="{00000000-0005-0000-0000-000036940000}"/>
    <cellStyle name="표준 5 3 5 2 8 3" xfId="36226" xr:uid="{00000000-0005-0000-0000-000037940000}"/>
    <cellStyle name="표준 5 3 5 2 8 4" xfId="44419" xr:uid="{00000000-0005-0000-0000-000038940000}"/>
    <cellStyle name="표준 5 3 5 2 9" xfId="7309" xr:uid="{00000000-0005-0000-0000-000039940000}"/>
    <cellStyle name="표준 5 3 5 3" xfId="518" xr:uid="{00000000-0005-0000-0000-00003A940000}"/>
    <cellStyle name="표준 5 3 5 3 10" xfId="19887" xr:uid="{00000000-0005-0000-0000-00003B940000}"/>
    <cellStyle name="표준 5 3 5 3 11" xfId="23983" xr:uid="{00000000-0005-0000-0000-00003C940000}"/>
    <cellStyle name="표준 5 3 5 3 12" xfId="32194" xr:uid="{00000000-0005-0000-0000-00003D940000}"/>
    <cellStyle name="표준 5 3 5 3 13" xfId="40387" xr:uid="{00000000-0005-0000-0000-00003E940000}"/>
    <cellStyle name="표준 5 3 5 3 2" xfId="774" xr:uid="{00000000-0005-0000-0000-00003F940000}"/>
    <cellStyle name="표준 5 3 5 3 2 10" xfId="24239" xr:uid="{00000000-0005-0000-0000-000040940000}"/>
    <cellStyle name="표준 5 3 5 3 2 11" xfId="32450" xr:uid="{00000000-0005-0000-0000-000041940000}"/>
    <cellStyle name="표준 5 3 5 3 2 12" xfId="40643" xr:uid="{00000000-0005-0000-0000-000042940000}"/>
    <cellStyle name="표준 5 3 5 3 2 2" xfId="1286" xr:uid="{00000000-0005-0000-0000-000043940000}"/>
    <cellStyle name="표준 5 3 5 3 2 2 2" xfId="10189" xr:uid="{00000000-0005-0000-0000-000044940000}"/>
    <cellStyle name="표준 5 3 5 3 2 2 2 2" xfId="14301" xr:uid="{00000000-0005-0000-0000-000045940000}"/>
    <cellStyle name="표준 5 3 5 3 2 2 2 2 2" xfId="30895" xr:uid="{00000000-0005-0000-0000-000046940000}"/>
    <cellStyle name="표준 5 3 5 3 2 2 2 2 3" xfId="39106" xr:uid="{00000000-0005-0000-0000-000047940000}"/>
    <cellStyle name="표준 5 3 5 3 2 2 2 2 4" xfId="47299" xr:uid="{00000000-0005-0000-0000-000048940000}"/>
    <cellStyle name="표준 5 3 5 3 2 2 2 3" xfId="18541" xr:uid="{00000000-0005-0000-0000-000049940000}"/>
    <cellStyle name="표준 5 3 5 3 2 2 2 4" xfId="22703" xr:uid="{00000000-0005-0000-0000-00004A940000}"/>
    <cellStyle name="표준 5 3 5 3 2 2 2 5" xfId="26799" xr:uid="{00000000-0005-0000-0000-00004B940000}"/>
    <cellStyle name="표준 5 3 5 3 2 2 2 6" xfId="35010" xr:uid="{00000000-0005-0000-0000-00004C940000}"/>
    <cellStyle name="표준 5 3 5 3 2 2 2 7" xfId="43203" xr:uid="{00000000-0005-0000-0000-00004D940000}"/>
    <cellStyle name="표준 5 3 5 3 2 2 3" xfId="8141" xr:uid="{00000000-0005-0000-0000-00004E940000}"/>
    <cellStyle name="표준 5 3 5 3 2 2 3 2" xfId="28847" xr:uid="{00000000-0005-0000-0000-00004F940000}"/>
    <cellStyle name="표준 5 3 5 3 2 2 3 3" xfId="37058" xr:uid="{00000000-0005-0000-0000-000050940000}"/>
    <cellStyle name="표준 5 3 5 3 2 2 3 4" xfId="45251" xr:uid="{00000000-0005-0000-0000-000051940000}"/>
    <cellStyle name="표준 5 3 5 3 2 2 4" xfId="12253" xr:uid="{00000000-0005-0000-0000-000052940000}"/>
    <cellStyle name="표준 5 3 5 3 2 2 5" xfId="16493" xr:uid="{00000000-0005-0000-0000-000053940000}"/>
    <cellStyle name="표준 5 3 5 3 2 2 6" xfId="20655" xr:uid="{00000000-0005-0000-0000-000054940000}"/>
    <cellStyle name="표준 5 3 5 3 2 2 7" xfId="24751" xr:uid="{00000000-0005-0000-0000-000055940000}"/>
    <cellStyle name="표준 5 3 5 3 2 2 8" xfId="32962" xr:uid="{00000000-0005-0000-0000-000056940000}"/>
    <cellStyle name="표준 5 3 5 3 2 2 9" xfId="41155" xr:uid="{00000000-0005-0000-0000-000057940000}"/>
    <cellStyle name="표준 5 3 5 3 2 3" xfId="1798" xr:uid="{00000000-0005-0000-0000-000058940000}"/>
    <cellStyle name="표준 5 3 5 3 2 3 2" xfId="10701" xr:uid="{00000000-0005-0000-0000-000059940000}"/>
    <cellStyle name="표준 5 3 5 3 2 3 2 2" xfId="14813" xr:uid="{00000000-0005-0000-0000-00005A940000}"/>
    <cellStyle name="표준 5 3 5 3 2 3 2 2 2" xfId="31407" xr:uid="{00000000-0005-0000-0000-00005B940000}"/>
    <cellStyle name="표준 5 3 5 3 2 3 2 2 3" xfId="39618" xr:uid="{00000000-0005-0000-0000-00005C940000}"/>
    <cellStyle name="표준 5 3 5 3 2 3 2 2 4" xfId="47811" xr:uid="{00000000-0005-0000-0000-00005D940000}"/>
    <cellStyle name="표준 5 3 5 3 2 3 2 3" xfId="19053" xr:uid="{00000000-0005-0000-0000-00005E940000}"/>
    <cellStyle name="표준 5 3 5 3 2 3 2 4" xfId="23215" xr:uid="{00000000-0005-0000-0000-00005F940000}"/>
    <cellStyle name="표준 5 3 5 3 2 3 2 5" xfId="27311" xr:uid="{00000000-0005-0000-0000-000060940000}"/>
    <cellStyle name="표준 5 3 5 3 2 3 2 6" xfId="35522" xr:uid="{00000000-0005-0000-0000-000061940000}"/>
    <cellStyle name="표준 5 3 5 3 2 3 2 7" xfId="43715" xr:uid="{00000000-0005-0000-0000-000062940000}"/>
    <cellStyle name="표준 5 3 5 3 2 3 3" xfId="8653" xr:uid="{00000000-0005-0000-0000-000063940000}"/>
    <cellStyle name="표준 5 3 5 3 2 3 3 2" xfId="29359" xr:uid="{00000000-0005-0000-0000-000064940000}"/>
    <cellStyle name="표준 5 3 5 3 2 3 3 3" xfId="37570" xr:uid="{00000000-0005-0000-0000-000065940000}"/>
    <cellStyle name="표준 5 3 5 3 2 3 3 4" xfId="45763" xr:uid="{00000000-0005-0000-0000-000066940000}"/>
    <cellStyle name="표준 5 3 5 3 2 3 4" xfId="12765" xr:uid="{00000000-0005-0000-0000-000067940000}"/>
    <cellStyle name="표준 5 3 5 3 2 3 5" xfId="17005" xr:uid="{00000000-0005-0000-0000-000068940000}"/>
    <cellStyle name="표준 5 3 5 3 2 3 6" xfId="21167" xr:uid="{00000000-0005-0000-0000-000069940000}"/>
    <cellStyle name="표준 5 3 5 3 2 3 7" xfId="25263" xr:uid="{00000000-0005-0000-0000-00006A940000}"/>
    <cellStyle name="표준 5 3 5 3 2 3 8" xfId="33474" xr:uid="{00000000-0005-0000-0000-00006B940000}"/>
    <cellStyle name="표준 5 3 5 3 2 3 9" xfId="41667" xr:uid="{00000000-0005-0000-0000-00006C940000}"/>
    <cellStyle name="표준 5 3 5 3 2 4" xfId="2310" xr:uid="{00000000-0005-0000-0000-00006D940000}"/>
    <cellStyle name="표준 5 3 5 3 2 4 2" xfId="11213" xr:uid="{00000000-0005-0000-0000-00006E940000}"/>
    <cellStyle name="표준 5 3 5 3 2 4 2 2" xfId="15325" xr:uid="{00000000-0005-0000-0000-00006F940000}"/>
    <cellStyle name="표준 5 3 5 3 2 4 2 2 2" xfId="31919" xr:uid="{00000000-0005-0000-0000-000070940000}"/>
    <cellStyle name="표준 5 3 5 3 2 4 2 2 3" xfId="40130" xr:uid="{00000000-0005-0000-0000-000071940000}"/>
    <cellStyle name="표준 5 3 5 3 2 4 2 2 4" xfId="48323" xr:uid="{00000000-0005-0000-0000-000072940000}"/>
    <cellStyle name="표준 5 3 5 3 2 4 2 3" xfId="19565" xr:uid="{00000000-0005-0000-0000-000073940000}"/>
    <cellStyle name="표준 5 3 5 3 2 4 2 4" xfId="23727" xr:uid="{00000000-0005-0000-0000-000074940000}"/>
    <cellStyle name="표준 5 3 5 3 2 4 2 5" xfId="27823" xr:uid="{00000000-0005-0000-0000-000075940000}"/>
    <cellStyle name="표준 5 3 5 3 2 4 2 6" xfId="36034" xr:uid="{00000000-0005-0000-0000-000076940000}"/>
    <cellStyle name="표준 5 3 5 3 2 4 2 7" xfId="44227" xr:uid="{00000000-0005-0000-0000-000077940000}"/>
    <cellStyle name="표준 5 3 5 3 2 4 3" xfId="9165" xr:uid="{00000000-0005-0000-0000-000078940000}"/>
    <cellStyle name="표준 5 3 5 3 2 4 3 2" xfId="29871" xr:uid="{00000000-0005-0000-0000-000079940000}"/>
    <cellStyle name="표준 5 3 5 3 2 4 3 3" xfId="38082" xr:uid="{00000000-0005-0000-0000-00007A940000}"/>
    <cellStyle name="표준 5 3 5 3 2 4 3 4" xfId="46275" xr:uid="{00000000-0005-0000-0000-00007B940000}"/>
    <cellStyle name="표준 5 3 5 3 2 4 4" xfId="13277" xr:uid="{00000000-0005-0000-0000-00007C940000}"/>
    <cellStyle name="표준 5 3 5 3 2 4 5" xfId="17517" xr:uid="{00000000-0005-0000-0000-00007D940000}"/>
    <cellStyle name="표준 5 3 5 3 2 4 6" xfId="21679" xr:uid="{00000000-0005-0000-0000-00007E940000}"/>
    <cellStyle name="표준 5 3 5 3 2 4 7" xfId="25775" xr:uid="{00000000-0005-0000-0000-00007F940000}"/>
    <cellStyle name="표준 5 3 5 3 2 4 8" xfId="33986" xr:uid="{00000000-0005-0000-0000-000080940000}"/>
    <cellStyle name="표준 5 3 5 3 2 4 9" xfId="42179" xr:uid="{00000000-0005-0000-0000-000081940000}"/>
    <cellStyle name="표준 5 3 5 3 2 5" xfId="9677" xr:uid="{00000000-0005-0000-0000-000082940000}"/>
    <cellStyle name="표준 5 3 5 3 2 5 2" xfId="13789" xr:uid="{00000000-0005-0000-0000-000083940000}"/>
    <cellStyle name="표준 5 3 5 3 2 5 2 2" xfId="30383" xr:uid="{00000000-0005-0000-0000-000084940000}"/>
    <cellStyle name="표준 5 3 5 3 2 5 2 3" xfId="38594" xr:uid="{00000000-0005-0000-0000-000085940000}"/>
    <cellStyle name="표준 5 3 5 3 2 5 2 4" xfId="46787" xr:uid="{00000000-0005-0000-0000-000086940000}"/>
    <cellStyle name="표준 5 3 5 3 2 5 3" xfId="18029" xr:uid="{00000000-0005-0000-0000-000087940000}"/>
    <cellStyle name="표준 5 3 5 3 2 5 4" xfId="22191" xr:uid="{00000000-0005-0000-0000-000088940000}"/>
    <cellStyle name="표준 5 3 5 3 2 5 5" xfId="26287" xr:uid="{00000000-0005-0000-0000-000089940000}"/>
    <cellStyle name="표준 5 3 5 3 2 5 6" xfId="34498" xr:uid="{00000000-0005-0000-0000-00008A940000}"/>
    <cellStyle name="표준 5 3 5 3 2 5 7" xfId="42691" xr:uid="{00000000-0005-0000-0000-00008B940000}"/>
    <cellStyle name="표준 5 3 5 3 2 6" xfId="7629" xr:uid="{00000000-0005-0000-0000-00008C940000}"/>
    <cellStyle name="표준 5 3 5 3 2 6 2" xfId="28335" xr:uid="{00000000-0005-0000-0000-00008D940000}"/>
    <cellStyle name="표준 5 3 5 3 2 6 3" xfId="36546" xr:uid="{00000000-0005-0000-0000-00008E940000}"/>
    <cellStyle name="표준 5 3 5 3 2 6 4" xfId="44739" xr:uid="{00000000-0005-0000-0000-00008F940000}"/>
    <cellStyle name="표준 5 3 5 3 2 7" xfId="11741" xr:uid="{00000000-0005-0000-0000-000090940000}"/>
    <cellStyle name="표준 5 3 5 3 2 8" xfId="15981" xr:uid="{00000000-0005-0000-0000-000091940000}"/>
    <cellStyle name="표준 5 3 5 3 2 9" xfId="20143" xr:uid="{00000000-0005-0000-0000-000092940000}"/>
    <cellStyle name="표준 5 3 5 3 3" xfId="1030" xr:uid="{00000000-0005-0000-0000-000093940000}"/>
    <cellStyle name="표준 5 3 5 3 3 2" xfId="9933" xr:uid="{00000000-0005-0000-0000-000094940000}"/>
    <cellStyle name="표준 5 3 5 3 3 2 2" xfId="14045" xr:uid="{00000000-0005-0000-0000-000095940000}"/>
    <cellStyle name="표준 5 3 5 3 3 2 2 2" xfId="30639" xr:uid="{00000000-0005-0000-0000-000096940000}"/>
    <cellStyle name="표준 5 3 5 3 3 2 2 3" xfId="38850" xr:uid="{00000000-0005-0000-0000-000097940000}"/>
    <cellStyle name="표준 5 3 5 3 3 2 2 4" xfId="47043" xr:uid="{00000000-0005-0000-0000-000098940000}"/>
    <cellStyle name="표준 5 3 5 3 3 2 3" xfId="18285" xr:uid="{00000000-0005-0000-0000-000099940000}"/>
    <cellStyle name="표준 5 3 5 3 3 2 4" xfId="22447" xr:uid="{00000000-0005-0000-0000-00009A940000}"/>
    <cellStyle name="표준 5 3 5 3 3 2 5" xfId="26543" xr:uid="{00000000-0005-0000-0000-00009B940000}"/>
    <cellStyle name="표준 5 3 5 3 3 2 6" xfId="34754" xr:uid="{00000000-0005-0000-0000-00009C940000}"/>
    <cellStyle name="표준 5 3 5 3 3 2 7" xfId="42947" xr:uid="{00000000-0005-0000-0000-00009D940000}"/>
    <cellStyle name="표준 5 3 5 3 3 3" xfId="7885" xr:uid="{00000000-0005-0000-0000-00009E940000}"/>
    <cellStyle name="표준 5 3 5 3 3 3 2" xfId="28591" xr:uid="{00000000-0005-0000-0000-00009F940000}"/>
    <cellStyle name="표준 5 3 5 3 3 3 3" xfId="36802" xr:uid="{00000000-0005-0000-0000-0000A0940000}"/>
    <cellStyle name="표준 5 3 5 3 3 3 4" xfId="44995" xr:uid="{00000000-0005-0000-0000-0000A1940000}"/>
    <cellStyle name="표준 5 3 5 3 3 4" xfId="11997" xr:uid="{00000000-0005-0000-0000-0000A2940000}"/>
    <cellStyle name="표준 5 3 5 3 3 5" xfId="16237" xr:uid="{00000000-0005-0000-0000-0000A3940000}"/>
    <cellStyle name="표준 5 3 5 3 3 6" xfId="20399" xr:uid="{00000000-0005-0000-0000-0000A4940000}"/>
    <cellStyle name="표준 5 3 5 3 3 7" xfId="24495" xr:uid="{00000000-0005-0000-0000-0000A5940000}"/>
    <cellStyle name="표준 5 3 5 3 3 8" xfId="32706" xr:uid="{00000000-0005-0000-0000-0000A6940000}"/>
    <cellStyle name="표준 5 3 5 3 3 9" xfId="40899" xr:uid="{00000000-0005-0000-0000-0000A7940000}"/>
    <cellStyle name="표준 5 3 5 3 4" xfId="1542" xr:uid="{00000000-0005-0000-0000-0000A8940000}"/>
    <cellStyle name="표준 5 3 5 3 4 2" xfId="10445" xr:uid="{00000000-0005-0000-0000-0000A9940000}"/>
    <cellStyle name="표준 5 3 5 3 4 2 2" xfId="14557" xr:uid="{00000000-0005-0000-0000-0000AA940000}"/>
    <cellStyle name="표준 5 3 5 3 4 2 2 2" xfId="31151" xr:uid="{00000000-0005-0000-0000-0000AB940000}"/>
    <cellStyle name="표준 5 3 5 3 4 2 2 3" xfId="39362" xr:uid="{00000000-0005-0000-0000-0000AC940000}"/>
    <cellStyle name="표준 5 3 5 3 4 2 2 4" xfId="47555" xr:uid="{00000000-0005-0000-0000-0000AD940000}"/>
    <cellStyle name="표준 5 3 5 3 4 2 3" xfId="18797" xr:uid="{00000000-0005-0000-0000-0000AE940000}"/>
    <cellStyle name="표준 5 3 5 3 4 2 4" xfId="22959" xr:uid="{00000000-0005-0000-0000-0000AF940000}"/>
    <cellStyle name="표준 5 3 5 3 4 2 5" xfId="27055" xr:uid="{00000000-0005-0000-0000-0000B0940000}"/>
    <cellStyle name="표준 5 3 5 3 4 2 6" xfId="35266" xr:uid="{00000000-0005-0000-0000-0000B1940000}"/>
    <cellStyle name="표준 5 3 5 3 4 2 7" xfId="43459" xr:uid="{00000000-0005-0000-0000-0000B2940000}"/>
    <cellStyle name="표준 5 3 5 3 4 3" xfId="8397" xr:uid="{00000000-0005-0000-0000-0000B3940000}"/>
    <cellStyle name="표준 5 3 5 3 4 3 2" xfId="29103" xr:uid="{00000000-0005-0000-0000-0000B4940000}"/>
    <cellStyle name="표준 5 3 5 3 4 3 3" xfId="37314" xr:uid="{00000000-0005-0000-0000-0000B5940000}"/>
    <cellStyle name="표준 5 3 5 3 4 3 4" xfId="45507" xr:uid="{00000000-0005-0000-0000-0000B6940000}"/>
    <cellStyle name="표준 5 3 5 3 4 4" xfId="12509" xr:uid="{00000000-0005-0000-0000-0000B7940000}"/>
    <cellStyle name="표준 5 3 5 3 4 5" xfId="16749" xr:uid="{00000000-0005-0000-0000-0000B8940000}"/>
    <cellStyle name="표준 5 3 5 3 4 6" xfId="20911" xr:uid="{00000000-0005-0000-0000-0000B9940000}"/>
    <cellStyle name="표준 5 3 5 3 4 7" xfId="25007" xr:uid="{00000000-0005-0000-0000-0000BA940000}"/>
    <cellStyle name="표준 5 3 5 3 4 8" xfId="33218" xr:uid="{00000000-0005-0000-0000-0000BB940000}"/>
    <cellStyle name="표준 5 3 5 3 4 9" xfId="41411" xr:uid="{00000000-0005-0000-0000-0000BC940000}"/>
    <cellStyle name="표준 5 3 5 3 5" xfId="2054" xr:uid="{00000000-0005-0000-0000-0000BD940000}"/>
    <cellStyle name="표준 5 3 5 3 5 2" xfId="10957" xr:uid="{00000000-0005-0000-0000-0000BE940000}"/>
    <cellStyle name="표준 5 3 5 3 5 2 2" xfId="15069" xr:uid="{00000000-0005-0000-0000-0000BF940000}"/>
    <cellStyle name="표준 5 3 5 3 5 2 2 2" xfId="31663" xr:uid="{00000000-0005-0000-0000-0000C0940000}"/>
    <cellStyle name="표준 5 3 5 3 5 2 2 3" xfId="39874" xr:uid="{00000000-0005-0000-0000-0000C1940000}"/>
    <cellStyle name="표준 5 3 5 3 5 2 2 4" xfId="48067" xr:uid="{00000000-0005-0000-0000-0000C2940000}"/>
    <cellStyle name="표준 5 3 5 3 5 2 3" xfId="19309" xr:uid="{00000000-0005-0000-0000-0000C3940000}"/>
    <cellStyle name="표준 5 3 5 3 5 2 4" xfId="23471" xr:uid="{00000000-0005-0000-0000-0000C4940000}"/>
    <cellStyle name="표준 5 3 5 3 5 2 5" xfId="27567" xr:uid="{00000000-0005-0000-0000-0000C5940000}"/>
    <cellStyle name="표준 5 3 5 3 5 2 6" xfId="35778" xr:uid="{00000000-0005-0000-0000-0000C6940000}"/>
    <cellStyle name="표준 5 3 5 3 5 2 7" xfId="43971" xr:uid="{00000000-0005-0000-0000-0000C7940000}"/>
    <cellStyle name="표준 5 3 5 3 5 3" xfId="8909" xr:uid="{00000000-0005-0000-0000-0000C8940000}"/>
    <cellStyle name="표준 5 3 5 3 5 3 2" xfId="29615" xr:uid="{00000000-0005-0000-0000-0000C9940000}"/>
    <cellStyle name="표준 5 3 5 3 5 3 3" xfId="37826" xr:uid="{00000000-0005-0000-0000-0000CA940000}"/>
    <cellStyle name="표준 5 3 5 3 5 3 4" xfId="46019" xr:uid="{00000000-0005-0000-0000-0000CB940000}"/>
    <cellStyle name="표준 5 3 5 3 5 4" xfId="13021" xr:uid="{00000000-0005-0000-0000-0000CC940000}"/>
    <cellStyle name="표준 5 3 5 3 5 5" xfId="17261" xr:uid="{00000000-0005-0000-0000-0000CD940000}"/>
    <cellStyle name="표준 5 3 5 3 5 6" xfId="21423" xr:uid="{00000000-0005-0000-0000-0000CE940000}"/>
    <cellStyle name="표준 5 3 5 3 5 7" xfId="25519" xr:uid="{00000000-0005-0000-0000-0000CF940000}"/>
    <cellStyle name="표준 5 3 5 3 5 8" xfId="33730" xr:uid="{00000000-0005-0000-0000-0000D0940000}"/>
    <cellStyle name="표준 5 3 5 3 5 9" xfId="41923" xr:uid="{00000000-0005-0000-0000-0000D1940000}"/>
    <cellStyle name="표준 5 3 5 3 6" xfId="9421" xr:uid="{00000000-0005-0000-0000-0000D2940000}"/>
    <cellStyle name="표준 5 3 5 3 6 2" xfId="13533" xr:uid="{00000000-0005-0000-0000-0000D3940000}"/>
    <cellStyle name="표준 5 3 5 3 6 2 2" xfId="30127" xr:uid="{00000000-0005-0000-0000-0000D4940000}"/>
    <cellStyle name="표준 5 3 5 3 6 2 3" xfId="38338" xr:uid="{00000000-0005-0000-0000-0000D5940000}"/>
    <cellStyle name="표준 5 3 5 3 6 2 4" xfId="46531" xr:uid="{00000000-0005-0000-0000-0000D6940000}"/>
    <cellStyle name="표준 5 3 5 3 6 3" xfId="17773" xr:uid="{00000000-0005-0000-0000-0000D7940000}"/>
    <cellStyle name="표준 5 3 5 3 6 4" xfId="21935" xr:uid="{00000000-0005-0000-0000-0000D8940000}"/>
    <cellStyle name="표준 5 3 5 3 6 5" xfId="26031" xr:uid="{00000000-0005-0000-0000-0000D9940000}"/>
    <cellStyle name="표준 5 3 5 3 6 6" xfId="34242" xr:uid="{00000000-0005-0000-0000-0000DA940000}"/>
    <cellStyle name="표준 5 3 5 3 6 7" xfId="42435" xr:uid="{00000000-0005-0000-0000-0000DB940000}"/>
    <cellStyle name="표준 5 3 5 3 7" xfId="7373" xr:uid="{00000000-0005-0000-0000-0000DC940000}"/>
    <cellStyle name="표준 5 3 5 3 7 2" xfId="28079" xr:uid="{00000000-0005-0000-0000-0000DD940000}"/>
    <cellStyle name="표준 5 3 5 3 7 3" xfId="36290" xr:uid="{00000000-0005-0000-0000-0000DE940000}"/>
    <cellStyle name="표준 5 3 5 3 7 4" xfId="44483" xr:uid="{00000000-0005-0000-0000-0000DF940000}"/>
    <cellStyle name="표준 5 3 5 3 8" xfId="11485" xr:uid="{00000000-0005-0000-0000-0000E0940000}"/>
    <cellStyle name="표준 5 3 5 3 9" xfId="15725" xr:uid="{00000000-0005-0000-0000-0000E1940000}"/>
    <cellStyle name="표준 5 3 5 4" xfId="646" xr:uid="{00000000-0005-0000-0000-0000E2940000}"/>
    <cellStyle name="표준 5 3 5 4 10" xfId="24111" xr:uid="{00000000-0005-0000-0000-0000E3940000}"/>
    <cellStyle name="표준 5 3 5 4 11" xfId="32322" xr:uid="{00000000-0005-0000-0000-0000E4940000}"/>
    <cellStyle name="표준 5 3 5 4 12" xfId="40515" xr:uid="{00000000-0005-0000-0000-0000E5940000}"/>
    <cellStyle name="표준 5 3 5 4 2" xfId="1158" xr:uid="{00000000-0005-0000-0000-0000E6940000}"/>
    <cellStyle name="표준 5 3 5 4 2 2" xfId="10061" xr:uid="{00000000-0005-0000-0000-0000E7940000}"/>
    <cellStyle name="표준 5 3 5 4 2 2 2" xfId="14173" xr:uid="{00000000-0005-0000-0000-0000E8940000}"/>
    <cellStyle name="표준 5 3 5 4 2 2 2 2" xfId="30767" xr:uid="{00000000-0005-0000-0000-0000E9940000}"/>
    <cellStyle name="표준 5 3 5 4 2 2 2 3" xfId="38978" xr:uid="{00000000-0005-0000-0000-0000EA940000}"/>
    <cellStyle name="표준 5 3 5 4 2 2 2 4" xfId="47171" xr:uid="{00000000-0005-0000-0000-0000EB940000}"/>
    <cellStyle name="표준 5 3 5 4 2 2 3" xfId="18413" xr:uid="{00000000-0005-0000-0000-0000EC940000}"/>
    <cellStyle name="표준 5 3 5 4 2 2 4" xfId="22575" xr:uid="{00000000-0005-0000-0000-0000ED940000}"/>
    <cellStyle name="표준 5 3 5 4 2 2 5" xfId="26671" xr:uid="{00000000-0005-0000-0000-0000EE940000}"/>
    <cellStyle name="표준 5 3 5 4 2 2 6" xfId="34882" xr:uid="{00000000-0005-0000-0000-0000EF940000}"/>
    <cellStyle name="표준 5 3 5 4 2 2 7" xfId="43075" xr:uid="{00000000-0005-0000-0000-0000F0940000}"/>
    <cellStyle name="표준 5 3 5 4 2 3" xfId="8013" xr:uid="{00000000-0005-0000-0000-0000F1940000}"/>
    <cellStyle name="표준 5 3 5 4 2 3 2" xfId="28719" xr:uid="{00000000-0005-0000-0000-0000F2940000}"/>
    <cellStyle name="표준 5 3 5 4 2 3 3" xfId="36930" xr:uid="{00000000-0005-0000-0000-0000F3940000}"/>
    <cellStyle name="표준 5 3 5 4 2 3 4" xfId="45123" xr:uid="{00000000-0005-0000-0000-0000F4940000}"/>
    <cellStyle name="표준 5 3 5 4 2 4" xfId="12125" xr:uid="{00000000-0005-0000-0000-0000F5940000}"/>
    <cellStyle name="표준 5 3 5 4 2 5" xfId="16365" xr:uid="{00000000-0005-0000-0000-0000F6940000}"/>
    <cellStyle name="표준 5 3 5 4 2 6" xfId="20527" xr:uid="{00000000-0005-0000-0000-0000F7940000}"/>
    <cellStyle name="표준 5 3 5 4 2 7" xfId="24623" xr:uid="{00000000-0005-0000-0000-0000F8940000}"/>
    <cellStyle name="표준 5 3 5 4 2 8" xfId="32834" xr:uid="{00000000-0005-0000-0000-0000F9940000}"/>
    <cellStyle name="표준 5 3 5 4 2 9" xfId="41027" xr:uid="{00000000-0005-0000-0000-0000FA940000}"/>
    <cellStyle name="표준 5 3 5 4 3" xfId="1670" xr:uid="{00000000-0005-0000-0000-0000FB940000}"/>
    <cellStyle name="표준 5 3 5 4 3 2" xfId="10573" xr:uid="{00000000-0005-0000-0000-0000FC940000}"/>
    <cellStyle name="표준 5 3 5 4 3 2 2" xfId="14685" xr:uid="{00000000-0005-0000-0000-0000FD940000}"/>
    <cellStyle name="표준 5 3 5 4 3 2 2 2" xfId="31279" xr:uid="{00000000-0005-0000-0000-0000FE940000}"/>
    <cellStyle name="표준 5 3 5 4 3 2 2 3" xfId="39490" xr:uid="{00000000-0005-0000-0000-0000FF940000}"/>
    <cellStyle name="표준 5 3 5 4 3 2 2 4" xfId="47683" xr:uid="{00000000-0005-0000-0000-000000950000}"/>
    <cellStyle name="표준 5 3 5 4 3 2 3" xfId="18925" xr:uid="{00000000-0005-0000-0000-000001950000}"/>
    <cellStyle name="표준 5 3 5 4 3 2 4" xfId="23087" xr:uid="{00000000-0005-0000-0000-000002950000}"/>
    <cellStyle name="표준 5 3 5 4 3 2 5" xfId="27183" xr:uid="{00000000-0005-0000-0000-000003950000}"/>
    <cellStyle name="표준 5 3 5 4 3 2 6" xfId="35394" xr:uid="{00000000-0005-0000-0000-000004950000}"/>
    <cellStyle name="표준 5 3 5 4 3 2 7" xfId="43587" xr:uid="{00000000-0005-0000-0000-000005950000}"/>
    <cellStyle name="표준 5 3 5 4 3 3" xfId="8525" xr:uid="{00000000-0005-0000-0000-000006950000}"/>
    <cellStyle name="표준 5 3 5 4 3 3 2" xfId="29231" xr:uid="{00000000-0005-0000-0000-000007950000}"/>
    <cellStyle name="표준 5 3 5 4 3 3 3" xfId="37442" xr:uid="{00000000-0005-0000-0000-000008950000}"/>
    <cellStyle name="표준 5 3 5 4 3 3 4" xfId="45635" xr:uid="{00000000-0005-0000-0000-000009950000}"/>
    <cellStyle name="표준 5 3 5 4 3 4" xfId="12637" xr:uid="{00000000-0005-0000-0000-00000A950000}"/>
    <cellStyle name="표준 5 3 5 4 3 5" xfId="16877" xr:uid="{00000000-0005-0000-0000-00000B950000}"/>
    <cellStyle name="표준 5 3 5 4 3 6" xfId="21039" xr:uid="{00000000-0005-0000-0000-00000C950000}"/>
    <cellStyle name="표준 5 3 5 4 3 7" xfId="25135" xr:uid="{00000000-0005-0000-0000-00000D950000}"/>
    <cellStyle name="표준 5 3 5 4 3 8" xfId="33346" xr:uid="{00000000-0005-0000-0000-00000E950000}"/>
    <cellStyle name="표준 5 3 5 4 3 9" xfId="41539" xr:uid="{00000000-0005-0000-0000-00000F950000}"/>
    <cellStyle name="표준 5 3 5 4 4" xfId="2182" xr:uid="{00000000-0005-0000-0000-000010950000}"/>
    <cellStyle name="표준 5 3 5 4 4 2" xfId="11085" xr:uid="{00000000-0005-0000-0000-000011950000}"/>
    <cellStyle name="표준 5 3 5 4 4 2 2" xfId="15197" xr:uid="{00000000-0005-0000-0000-000012950000}"/>
    <cellStyle name="표준 5 3 5 4 4 2 2 2" xfId="31791" xr:uid="{00000000-0005-0000-0000-000013950000}"/>
    <cellStyle name="표준 5 3 5 4 4 2 2 3" xfId="40002" xr:uid="{00000000-0005-0000-0000-000014950000}"/>
    <cellStyle name="표준 5 3 5 4 4 2 2 4" xfId="48195" xr:uid="{00000000-0005-0000-0000-000015950000}"/>
    <cellStyle name="표준 5 3 5 4 4 2 3" xfId="19437" xr:uid="{00000000-0005-0000-0000-000016950000}"/>
    <cellStyle name="표준 5 3 5 4 4 2 4" xfId="23599" xr:uid="{00000000-0005-0000-0000-000017950000}"/>
    <cellStyle name="표준 5 3 5 4 4 2 5" xfId="27695" xr:uid="{00000000-0005-0000-0000-000018950000}"/>
    <cellStyle name="표준 5 3 5 4 4 2 6" xfId="35906" xr:uid="{00000000-0005-0000-0000-000019950000}"/>
    <cellStyle name="표준 5 3 5 4 4 2 7" xfId="44099" xr:uid="{00000000-0005-0000-0000-00001A950000}"/>
    <cellStyle name="표준 5 3 5 4 4 3" xfId="9037" xr:uid="{00000000-0005-0000-0000-00001B950000}"/>
    <cellStyle name="표준 5 3 5 4 4 3 2" xfId="29743" xr:uid="{00000000-0005-0000-0000-00001C950000}"/>
    <cellStyle name="표준 5 3 5 4 4 3 3" xfId="37954" xr:uid="{00000000-0005-0000-0000-00001D950000}"/>
    <cellStyle name="표준 5 3 5 4 4 3 4" xfId="46147" xr:uid="{00000000-0005-0000-0000-00001E950000}"/>
    <cellStyle name="표준 5 3 5 4 4 4" xfId="13149" xr:uid="{00000000-0005-0000-0000-00001F950000}"/>
    <cellStyle name="표준 5 3 5 4 4 5" xfId="17389" xr:uid="{00000000-0005-0000-0000-000020950000}"/>
    <cellStyle name="표준 5 3 5 4 4 6" xfId="21551" xr:uid="{00000000-0005-0000-0000-000021950000}"/>
    <cellStyle name="표준 5 3 5 4 4 7" xfId="25647" xr:uid="{00000000-0005-0000-0000-000022950000}"/>
    <cellStyle name="표준 5 3 5 4 4 8" xfId="33858" xr:uid="{00000000-0005-0000-0000-000023950000}"/>
    <cellStyle name="표준 5 3 5 4 4 9" xfId="42051" xr:uid="{00000000-0005-0000-0000-000024950000}"/>
    <cellStyle name="표준 5 3 5 4 5" xfId="9549" xr:uid="{00000000-0005-0000-0000-000025950000}"/>
    <cellStyle name="표준 5 3 5 4 5 2" xfId="13661" xr:uid="{00000000-0005-0000-0000-000026950000}"/>
    <cellStyle name="표준 5 3 5 4 5 2 2" xfId="30255" xr:uid="{00000000-0005-0000-0000-000027950000}"/>
    <cellStyle name="표준 5 3 5 4 5 2 3" xfId="38466" xr:uid="{00000000-0005-0000-0000-000028950000}"/>
    <cellStyle name="표준 5 3 5 4 5 2 4" xfId="46659" xr:uid="{00000000-0005-0000-0000-000029950000}"/>
    <cellStyle name="표준 5 3 5 4 5 3" xfId="17901" xr:uid="{00000000-0005-0000-0000-00002A950000}"/>
    <cellStyle name="표준 5 3 5 4 5 4" xfId="22063" xr:uid="{00000000-0005-0000-0000-00002B950000}"/>
    <cellStyle name="표준 5 3 5 4 5 5" xfId="26159" xr:uid="{00000000-0005-0000-0000-00002C950000}"/>
    <cellStyle name="표준 5 3 5 4 5 6" xfId="34370" xr:uid="{00000000-0005-0000-0000-00002D950000}"/>
    <cellStyle name="표준 5 3 5 4 5 7" xfId="42563" xr:uid="{00000000-0005-0000-0000-00002E950000}"/>
    <cellStyle name="표준 5 3 5 4 6" xfId="7501" xr:uid="{00000000-0005-0000-0000-00002F950000}"/>
    <cellStyle name="표준 5 3 5 4 6 2" xfId="28207" xr:uid="{00000000-0005-0000-0000-000030950000}"/>
    <cellStyle name="표준 5 3 5 4 6 3" xfId="36418" xr:uid="{00000000-0005-0000-0000-000031950000}"/>
    <cellStyle name="표준 5 3 5 4 6 4" xfId="44611" xr:uid="{00000000-0005-0000-0000-000032950000}"/>
    <cellStyle name="표준 5 3 5 4 7" xfId="11613" xr:uid="{00000000-0005-0000-0000-000033950000}"/>
    <cellStyle name="표준 5 3 5 4 8" xfId="15853" xr:uid="{00000000-0005-0000-0000-000034950000}"/>
    <cellStyle name="표준 5 3 5 4 9" xfId="20015" xr:uid="{00000000-0005-0000-0000-000035950000}"/>
    <cellStyle name="표준 5 3 5 5" xfId="902" xr:uid="{00000000-0005-0000-0000-000036950000}"/>
    <cellStyle name="표준 5 3 5 5 2" xfId="9805" xr:uid="{00000000-0005-0000-0000-000037950000}"/>
    <cellStyle name="표준 5 3 5 5 2 2" xfId="13917" xr:uid="{00000000-0005-0000-0000-000038950000}"/>
    <cellStyle name="표준 5 3 5 5 2 2 2" xfId="30511" xr:uid="{00000000-0005-0000-0000-000039950000}"/>
    <cellStyle name="표준 5 3 5 5 2 2 3" xfId="38722" xr:uid="{00000000-0005-0000-0000-00003A950000}"/>
    <cellStyle name="표준 5 3 5 5 2 2 4" xfId="46915" xr:uid="{00000000-0005-0000-0000-00003B950000}"/>
    <cellStyle name="표준 5 3 5 5 2 3" xfId="18157" xr:uid="{00000000-0005-0000-0000-00003C950000}"/>
    <cellStyle name="표준 5 3 5 5 2 4" xfId="22319" xr:uid="{00000000-0005-0000-0000-00003D950000}"/>
    <cellStyle name="표준 5 3 5 5 2 5" xfId="26415" xr:uid="{00000000-0005-0000-0000-00003E950000}"/>
    <cellStyle name="표준 5 3 5 5 2 6" xfId="34626" xr:uid="{00000000-0005-0000-0000-00003F950000}"/>
    <cellStyle name="표준 5 3 5 5 2 7" xfId="42819" xr:uid="{00000000-0005-0000-0000-000040950000}"/>
    <cellStyle name="표준 5 3 5 5 3" xfId="7757" xr:uid="{00000000-0005-0000-0000-000041950000}"/>
    <cellStyle name="표준 5 3 5 5 3 2" xfId="28463" xr:uid="{00000000-0005-0000-0000-000042950000}"/>
    <cellStyle name="표준 5 3 5 5 3 3" xfId="36674" xr:uid="{00000000-0005-0000-0000-000043950000}"/>
    <cellStyle name="표준 5 3 5 5 3 4" xfId="44867" xr:uid="{00000000-0005-0000-0000-000044950000}"/>
    <cellStyle name="표준 5 3 5 5 4" xfId="11869" xr:uid="{00000000-0005-0000-0000-000045950000}"/>
    <cellStyle name="표준 5 3 5 5 5" xfId="16109" xr:uid="{00000000-0005-0000-0000-000046950000}"/>
    <cellStyle name="표준 5 3 5 5 6" xfId="20271" xr:uid="{00000000-0005-0000-0000-000047950000}"/>
    <cellStyle name="표준 5 3 5 5 7" xfId="24367" xr:uid="{00000000-0005-0000-0000-000048950000}"/>
    <cellStyle name="표준 5 3 5 5 8" xfId="32578" xr:uid="{00000000-0005-0000-0000-000049950000}"/>
    <cellStyle name="표준 5 3 5 5 9" xfId="40771" xr:uid="{00000000-0005-0000-0000-00004A950000}"/>
    <cellStyle name="표준 5 3 5 6" xfId="1414" xr:uid="{00000000-0005-0000-0000-00004B950000}"/>
    <cellStyle name="표준 5 3 5 6 2" xfId="10317" xr:uid="{00000000-0005-0000-0000-00004C950000}"/>
    <cellStyle name="표준 5 3 5 6 2 2" xfId="14429" xr:uid="{00000000-0005-0000-0000-00004D950000}"/>
    <cellStyle name="표준 5 3 5 6 2 2 2" xfId="31023" xr:uid="{00000000-0005-0000-0000-00004E950000}"/>
    <cellStyle name="표준 5 3 5 6 2 2 3" xfId="39234" xr:uid="{00000000-0005-0000-0000-00004F950000}"/>
    <cellStyle name="표준 5 3 5 6 2 2 4" xfId="47427" xr:uid="{00000000-0005-0000-0000-000050950000}"/>
    <cellStyle name="표준 5 3 5 6 2 3" xfId="18669" xr:uid="{00000000-0005-0000-0000-000051950000}"/>
    <cellStyle name="표준 5 3 5 6 2 4" xfId="22831" xr:uid="{00000000-0005-0000-0000-000052950000}"/>
    <cellStyle name="표준 5 3 5 6 2 5" xfId="26927" xr:uid="{00000000-0005-0000-0000-000053950000}"/>
    <cellStyle name="표준 5 3 5 6 2 6" xfId="35138" xr:uid="{00000000-0005-0000-0000-000054950000}"/>
    <cellStyle name="표준 5 3 5 6 2 7" xfId="43331" xr:uid="{00000000-0005-0000-0000-000055950000}"/>
    <cellStyle name="표준 5 3 5 6 3" xfId="8269" xr:uid="{00000000-0005-0000-0000-000056950000}"/>
    <cellStyle name="표준 5 3 5 6 3 2" xfId="28975" xr:uid="{00000000-0005-0000-0000-000057950000}"/>
    <cellStyle name="표준 5 3 5 6 3 3" xfId="37186" xr:uid="{00000000-0005-0000-0000-000058950000}"/>
    <cellStyle name="표준 5 3 5 6 3 4" xfId="45379" xr:uid="{00000000-0005-0000-0000-000059950000}"/>
    <cellStyle name="표준 5 3 5 6 4" xfId="12381" xr:uid="{00000000-0005-0000-0000-00005A950000}"/>
    <cellStyle name="표준 5 3 5 6 5" xfId="16621" xr:uid="{00000000-0005-0000-0000-00005B950000}"/>
    <cellStyle name="표준 5 3 5 6 6" xfId="20783" xr:uid="{00000000-0005-0000-0000-00005C950000}"/>
    <cellStyle name="표준 5 3 5 6 7" xfId="24879" xr:uid="{00000000-0005-0000-0000-00005D950000}"/>
    <cellStyle name="표준 5 3 5 6 8" xfId="33090" xr:uid="{00000000-0005-0000-0000-00005E950000}"/>
    <cellStyle name="표준 5 3 5 6 9" xfId="41283" xr:uid="{00000000-0005-0000-0000-00005F950000}"/>
    <cellStyle name="표준 5 3 5 7" xfId="1926" xr:uid="{00000000-0005-0000-0000-000060950000}"/>
    <cellStyle name="표준 5 3 5 7 2" xfId="10829" xr:uid="{00000000-0005-0000-0000-000061950000}"/>
    <cellStyle name="표준 5 3 5 7 2 2" xfId="14941" xr:uid="{00000000-0005-0000-0000-000062950000}"/>
    <cellStyle name="표준 5 3 5 7 2 2 2" xfId="31535" xr:uid="{00000000-0005-0000-0000-000063950000}"/>
    <cellStyle name="표준 5 3 5 7 2 2 3" xfId="39746" xr:uid="{00000000-0005-0000-0000-000064950000}"/>
    <cellStyle name="표준 5 3 5 7 2 2 4" xfId="47939" xr:uid="{00000000-0005-0000-0000-000065950000}"/>
    <cellStyle name="표준 5 3 5 7 2 3" xfId="19181" xr:uid="{00000000-0005-0000-0000-000066950000}"/>
    <cellStyle name="표준 5 3 5 7 2 4" xfId="23343" xr:uid="{00000000-0005-0000-0000-000067950000}"/>
    <cellStyle name="표준 5 3 5 7 2 5" xfId="27439" xr:uid="{00000000-0005-0000-0000-000068950000}"/>
    <cellStyle name="표준 5 3 5 7 2 6" xfId="35650" xr:uid="{00000000-0005-0000-0000-000069950000}"/>
    <cellStyle name="표준 5 3 5 7 2 7" xfId="43843" xr:uid="{00000000-0005-0000-0000-00006A950000}"/>
    <cellStyle name="표준 5 3 5 7 3" xfId="8781" xr:uid="{00000000-0005-0000-0000-00006B950000}"/>
    <cellStyle name="표준 5 3 5 7 3 2" xfId="29487" xr:uid="{00000000-0005-0000-0000-00006C950000}"/>
    <cellStyle name="표준 5 3 5 7 3 3" xfId="37698" xr:uid="{00000000-0005-0000-0000-00006D950000}"/>
    <cellStyle name="표준 5 3 5 7 3 4" xfId="45891" xr:uid="{00000000-0005-0000-0000-00006E950000}"/>
    <cellStyle name="표준 5 3 5 7 4" xfId="12893" xr:uid="{00000000-0005-0000-0000-00006F950000}"/>
    <cellStyle name="표준 5 3 5 7 5" xfId="17133" xr:uid="{00000000-0005-0000-0000-000070950000}"/>
    <cellStyle name="표준 5 3 5 7 6" xfId="21295" xr:uid="{00000000-0005-0000-0000-000071950000}"/>
    <cellStyle name="표준 5 3 5 7 7" xfId="25391" xr:uid="{00000000-0005-0000-0000-000072950000}"/>
    <cellStyle name="표준 5 3 5 7 8" xfId="33602" xr:uid="{00000000-0005-0000-0000-000073950000}"/>
    <cellStyle name="표준 5 3 5 7 9" xfId="41795" xr:uid="{00000000-0005-0000-0000-000074950000}"/>
    <cellStyle name="표준 5 3 5 8" xfId="390" xr:uid="{00000000-0005-0000-0000-000075950000}"/>
    <cellStyle name="표준 5 3 5 8 2" xfId="9293" xr:uid="{00000000-0005-0000-0000-000076950000}"/>
    <cellStyle name="표준 5 3 5 8 2 2" xfId="29999" xr:uid="{00000000-0005-0000-0000-000077950000}"/>
    <cellStyle name="표준 5 3 5 8 2 3" xfId="38210" xr:uid="{00000000-0005-0000-0000-000078950000}"/>
    <cellStyle name="표준 5 3 5 8 2 4" xfId="46403" xr:uid="{00000000-0005-0000-0000-000079950000}"/>
    <cellStyle name="표준 5 3 5 8 3" xfId="13405" xr:uid="{00000000-0005-0000-0000-00007A950000}"/>
    <cellStyle name="표준 5 3 5 8 4" xfId="17645" xr:uid="{00000000-0005-0000-0000-00007B950000}"/>
    <cellStyle name="표준 5 3 5 8 5" xfId="21807" xr:uid="{00000000-0005-0000-0000-00007C950000}"/>
    <cellStyle name="표준 5 3 5 8 6" xfId="25903" xr:uid="{00000000-0005-0000-0000-00007D950000}"/>
    <cellStyle name="표준 5 3 5 8 7" xfId="34114" xr:uid="{00000000-0005-0000-0000-00007E950000}"/>
    <cellStyle name="표준 5 3 5 8 8" xfId="42307" xr:uid="{00000000-0005-0000-0000-00007F950000}"/>
    <cellStyle name="표준 5 3 5 9" xfId="6992" xr:uid="{00000000-0005-0000-0000-000080950000}"/>
    <cellStyle name="표준 5 3 5 9 2" xfId="27951" xr:uid="{00000000-0005-0000-0000-000081950000}"/>
    <cellStyle name="표준 5 3 5 9 3" xfId="36162" xr:uid="{00000000-0005-0000-0000-000082950000}"/>
    <cellStyle name="표준 5 3 5 9 4" xfId="44355" xr:uid="{00000000-0005-0000-0000-000083950000}"/>
    <cellStyle name="표준 5 3 6" xfId="422" xr:uid="{00000000-0005-0000-0000-000084950000}"/>
    <cellStyle name="표준 5 3 6 10" xfId="11389" xr:uid="{00000000-0005-0000-0000-000085950000}"/>
    <cellStyle name="표준 5 3 6 11" xfId="15501" xr:uid="{00000000-0005-0000-0000-000086950000}"/>
    <cellStyle name="표준 5 3 6 12" xfId="15629" xr:uid="{00000000-0005-0000-0000-000087950000}"/>
    <cellStyle name="표준 5 3 6 13" xfId="19791" xr:uid="{00000000-0005-0000-0000-000088950000}"/>
    <cellStyle name="표준 5 3 6 14" xfId="23887" xr:uid="{00000000-0005-0000-0000-000089950000}"/>
    <cellStyle name="표준 5 3 6 15" xfId="32098" xr:uid="{00000000-0005-0000-0000-00008A950000}"/>
    <cellStyle name="표준 5 3 6 16" xfId="40291" xr:uid="{00000000-0005-0000-0000-00008B950000}"/>
    <cellStyle name="표준 5 3 6 2" xfId="550" xr:uid="{00000000-0005-0000-0000-00008C950000}"/>
    <cellStyle name="표준 5 3 6 2 10" xfId="19919" xr:uid="{00000000-0005-0000-0000-00008D950000}"/>
    <cellStyle name="표준 5 3 6 2 11" xfId="24015" xr:uid="{00000000-0005-0000-0000-00008E950000}"/>
    <cellStyle name="표준 5 3 6 2 12" xfId="32226" xr:uid="{00000000-0005-0000-0000-00008F950000}"/>
    <cellStyle name="표준 5 3 6 2 13" xfId="40419" xr:uid="{00000000-0005-0000-0000-000090950000}"/>
    <cellStyle name="표준 5 3 6 2 2" xfId="806" xr:uid="{00000000-0005-0000-0000-000091950000}"/>
    <cellStyle name="표준 5 3 6 2 2 10" xfId="24271" xr:uid="{00000000-0005-0000-0000-000092950000}"/>
    <cellStyle name="표준 5 3 6 2 2 11" xfId="32482" xr:uid="{00000000-0005-0000-0000-000093950000}"/>
    <cellStyle name="표준 5 3 6 2 2 12" xfId="40675" xr:uid="{00000000-0005-0000-0000-000094950000}"/>
    <cellStyle name="표준 5 3 6 2 2 2" xfId="1318" xr:uid="{00000000-0005-0000-0000-000095950000}"/>
    <cellStyle name="표준 5 3 6 2 2 2 2" xfId="10221" xr:uid="{00000000-0005-0000-0000-000096950000}"/>
    <cellStyle name="표준 5 3 6 2 2 2 2 2" xfId="14333" xr:uid="{00000000-0005-0000-0000-000097950000}"/>
    <cellStyle name="표준 5 3 6 2 2 2 2 2 2" xfId="30927" xr:uid="{00000000-0005-0000-0000-000098950000}"/>
    <cellStyle name="표준 5 3 6 2 2 2 2 2 3" xfId="39138" xr:uid="{00000000-0005-0000-0000-000099950000}"/>
    <cellStyle name="표준 5 3 6 2 2 2 2 2 4" xfId="47331" xr:uid="{00000000-0005-0000-0000-00009A950000}"/>
    <cellStyle name="표준 5 3 6 2 2 2 2 3" xfId="18573" xr:uid="{00000000-0005-0000-0000-00009B950000}"/>
    <cellStyle name="표준 5 3 6 2 2 2 2 4" xfId="22735" xr:uid="{00000000-0005-0000-0000-00009C950000}"/>
    <cellStyle name="표준 5 3 6 2 2 2 2 5" xfId="26831" xr:uid="{00000000-0005-0000-0000-00009D950000}"/>
    <cellStyle name="표준 5 3 6 2 2 2 2 6" xfId="35042" xr:uid="{00000000-0005-0000-0000-00009E950000}"/>
    <cellStyle name="표준 5 3 6 2 2 2 2 7" xfId="43235" xr:uid="{00000000-0005-0000-0000-00009F950000}"/>
    <cellStyle name="표준 5 3 6 2 2 2 3" xfId="8173" xr:uid="{00000000-0005-0000-0000-0000A0950000}"/>
    <cellStyle name="표준 5 3 6 2 2 2 3 2" xfId="28879" xr:uid="{00000000-0005-0000-0000-0000A1950000}"/>
    <cellStyle name="표준 5 3 6 2 2 2 3 3" xfId="37090" xr:uid="{00000000-0005-0000-0000-0000A2950000}"/>
    <cellStyle name="표준 5 3 6 2 2 2 3 4" xfId="45283" xr:uid="{00000000-0005-0000-0000-0000A3950000}"/>
    <cellStyle name="표준 5 3 6 2 2 2 4" xfId="12285" xr:uid="{00000000-0005-0000-0000-0000A4950000}"/>
    <cellStyle name="표준 5 3 6 2 2 2 5" xfId="16525" xr:uid="{00000000-0005-0000-0000-0000A5950000}"/>
    <cellStyle name="표준 5 3 6 2 2 2 6" xfId="20687" xr:uid="{00000000-0005-0000-0000-0000A6950000}"/>
    <cellStyle name="표준 5 3 6 2 2 2 7" xfId="24783" xr:uid="{00000000-0005-0000-0000-0000A7950000}"/>
    <cellStyle name="표준 5 3 6 2 2 2 8" xfId="32994" xr:uid="{00000000-0005-0000-0000-0000A8950000}"/>
    <cellStyle name="표준 5 3 6 2 2 2 9" xfId="41187" xr:uid="{00000000-0005-0000-0000-0000A9950000}"/>
    <cellStyle name="표준 5 3 6 2 2 3" xfId="1830" xr:uid="{00000000-0005-0000-0000-0000AA950000}"/>
    <cellStyle name="표준 5 3 6 2 2 3 2" xfId="10733" xr:uid="{00000000-0005-0000-0000-0000AB950000}"/>
    <cellStyle name="표준 5 3 6 2 2 3 2 2" xfId="14845" xr:uid="{00000000-0005-0000-0000-0000AC950000}"/>
    <cellStyle name="표준 5 3 6 2 2 3 2 2 2" xfId="31439" xr:uid="{00000000-0005-0000-0000-0000AD950000}"/>
    <cellStyle name="표준 5 3 6 2 2 3 2 2 3" xfId="39650" xr:uid="{00000000-0005-0000-0000-0000AE950000}"/>
    <cellStyle name="표준 5 3 6 2 2 3 2 2 4" xfId="47843" xr:uid="{00000000-0005-0000-0000-0000AF950000}"/>
    <cellStyle name="표준 5 3 6 2 2 3 2 3" xfId="19085" xr:uid="{00000000-0005-0000-0000-0000B0950000}"/>
    <cellStyle name="표준 5 3 6 2 2 3 2 4" xfId="23247" xr:uid="{00000000-0005-0000-0000-0000B1950000}"/>
    <cellStyle name="표준 5 3 6 2 2 3 2 5" xfId="27343" xr:uid="{00000000-0005-0000-0000-0000B2950000}"/>
    <cellStyle name="표준 5 3 6 2 2 3 2 6" xfId="35554" xr:uid="{00000000-0005-0000-0000-0000B3950000}"/>
    <cellStyle name="표준 5 3 6 2 2 3 2 7" xfId="43747" xr:uid="{00000000-0005-0000-0000-0000B4950000}"/>
    <cellStyle name="표준 5 3 6 2 2 3 3" xfId="8685" xr:uid="{00000000-0005-0000-0000-0000B5950000}"/>
    <cellStyle name="표준 5 3 6 2 2 3 3 2" xfId="29391" xr:uid="{00000000-0005-0000-0000-0000B6950000}"/>
    <cellStyle name="표준 5 3 6 2 2 3 3 3" xfId="37602" xr:uid="{00000000-0005-0000-0000-0000B7950000}"/>
    <cellStyle name="표준 5 3 6 2 2 3 3 4" xfId="45795" xr:uid="{00000000-0005-0000-0000-0000B8950000}"/>
    <cellStyle name="표준 5 3 6 2 2 3 4" xfId="12797" xr:uid="{00000000-0005-0000-0000-0000B9950000}"/>
    <cellStyle name="표준 5 3 6 2 2 3 5" xfId="17037" xr:uid="{00000000-0005-0000-0000-0000BA950000}"/>
    <cellStyle name="표준 5 3 6 2 2 3 6" xfId="21199" xr:uid="{00000000-0005-0000-0000-0000BB950000}"/>
    <cellStyle name="표준 5 3 6 2 2 3 7" xfId="25295" xr:uid="{00000000-0005-0000-0000-0000BC950000}"/>
    <cellStyle name="표준 5 3 6 2 2 3 8" xfId="33506" xr:uid="{00000000-0005-0000-0000-0000BD950000}"/>
    <cellStyle name="표준 5 3 6 2 2 3 9" xfId="41699" xr:uid="{00000000-0005-0000-0000-0000BE950000}"/>
    <cellStyle name="표준 5 3 6 2 2 4" xfId="2342" xr:uid="{00000000-0005-0000-0000-0000BF950000}"/>
    <cellStyle name="표준 5 3 6 2 2 4 2" xfId="11245" xr:uid="{00000000-0005-0000-0000-0000C0950000}"/>
    <cellStyle name="표준 5 3 6 2 2 4 2 2" xfId="15357" xr:uid="{00000000-0005-0000-0000-0000C1950000}"/>
    <cellStyle name="표준 5 3 6 2 2 4 2 2 2" xfId="31951" xr:uid="{00000000-0005-0000-0000-0000C2950000}"/>
    <cellStyle name="표준 5 3 6 2 2 4 2 2 3" xfId="40162" xr:uid="{00000000-0005-0000-0000-0000C3950000}"/>
    <cellStyle name="표준 5 3 6 2 2 4 2 2 4" xfId="48355" xr:uid="{00000000-0005-0000-0000-0000C4950000}"/>
    <cellStyle name="표준 5 3 6 2 2 4 2 3" xfId="19597" xr:uid="{00000000-0005-0000-0000-0000C5950000}"/>
    <cellStyle name="표준 5 3 6 2 2 4 2 4" xfId="23759" xr:uid="{00000000-0005-0000-0000-0000C6950000}"/>
    <cellStyle name="표준 5 3 6 2 2 4 2 5" xfId="27855" xr:uid="{00000000-0005-0000-0000-0000C7950000}"/>
    <cellStyle name="표준 5 3 6 2 2 4 2 6" xfId="36066" xr:uid="{00000000-0005-0000-0000-0000C8950000}"/>
    <cellStyle name="표준 5 3 6 2 2 4 2 7" xfId="44259" xr:uid="{00000000-0005-0000-0000-0000C9950000}"/>
    <cellStyle name="표준 5 3 6 2 2 4 3" xfId="9197" xr:uid="{00000000-0005-0000-0000-0000CA950000}"/>
    <cellStyle name="표준 5 3 6 2 2 4 3 2" xfId="29903" xr:uid="{00000000-0005-0000-0000-0000CB950000}"/>
    <cellStyle name="표준 5 3 6 2 2 4 3 3" xfId="38114" xr:uid="{00000000-0005-0000-0000-0000CC950000}"/>
    <cellStyle name="표준 5 3 6 2 2 4 3 4" xfId="46307" xr:uid="{00000000-0005-0000-0000-0000CD950000}"/>
    <cellStyle name="표준 5 3 6 2 2 4 4" xfId="13309" xr:uid="{00000000-0005-0000-0000-0000CE950000}"/>
    <cellStyle name="표준 5 3 6 2 2 4 5" xfId="17549" xr:uid="{00000000-0005-0000-0000-0000CF950000}"/>
    <cellStyle name="표준 5 3 6 2 2 4 6" xfId="21711" xr:uid="{00000000-0005-0000-0000-0000D0950000}"/>
    <cellStyle name="표준 5 3 6 2 2 4 7" xfId="25807" xr:uid="{00000000-0005-0000-0000-0000D1950000}"/>
    <cellStyle name="표준 5 3 6 2 2 4 8" xfId="34018" xr:uid="{00000000-0005-0000-0000-0000D2950000}"/>
    <cellStyle name="표준 5 3 6 2 2 4 9" xfId="42211" xr:uid="{00000000-0005-0000-0000-0000D3950000}"/>
    <cellStyle name="표준 5 3 6 2 2 5" xfId="9709" xr:uid="{00000000-0005-0000-0000-0000D4950000}"/>
    <cellStyle name="표준 5 3 6 2 2 5 2" xfId="13821" xr:uid="{00000000-0005-0000-0000-0000D5950000}"/>
    <cellStyle name="표준 5 3 6 2 2 5 2 2" xfId="30415" xr:uid="{00000000-0005-0000-0000-0000D6950000}"/>
    <cellStyle name="표준 5 3 6 2 2 5 2 3" xfId="38626" xr:uid="{00000000-0005-0000-0000-0000D7950000}"/>
    <cellStyle name="표준 5 3 6 2 2 5 2 4" xfId="46819" xr:uid="{00000000-0005-0000-0000-0000D8950000}"/>
    <cellStyle name="표준 5 3 6 2 2 5 3" xfId="18061" xr:uid="{00000000-0005-0000-0000-0000D9950000}"/>
    <cellStyle name="표준 5 3 6 2 2 5 4" xfId="22223" xr:uid="{00000000-0005-0000-0000-0000DA950000}"/>
    <cellStyle name="표준 5 3 6 2 2 5 5" xfId="26319" xr:uid="{00000000-0005-0000-0000-0000DB950000}"/>
    <cellStyle name="표준 5 3 6 2 2 5 6" xfId="34530" xr:uid="{00000000-0005-0000-0000-0000DC950000}"/>
    <cellStyle name="표준 5 3 6 2 2 5 7" xfId="42723" xr:uid="{00000000-0005-0000-0000-0000DD950000}"/>
    <cellStyle name="표준 5 3 6 2 2 6" xfId="7661" xr:uid="{00000000-0005-0000-0000-0000DE950000}"/>
    <cellStyle name="표준 5 3 6 2 2 6 2" xfId="28367" xr:uid="{00000000-0005-0000-0000-0000DF950000}"/>
    <cellStyle name="표준 5 3 6 2 2 6 3" xfId="36578" xr:uid="{00000000-0005-0000-0000-0000E0950000}"/>
    <cellStyle name="표준 5 3 6 2 2 6 4" xfId="44771" xr:uid="{00000000-0005-0000-0000-0000E1950000}"/>
    <cellStyle name="표준 5 3 6 2 2 7" xfId="11773" xr:uid="{00000000-0005-0000-0000-0000E2950000}"/>
    <cellStyle name="표준 5 3 6 2 2 8" xfId="16013" xr:uid="{00000000-0005-0000-0000-0000E3950000}"/>
    <cellStyle name="표준 5 3 6 2 2 9" xfId="20175" xr:uid="{00000000-0005-0000-0000-0000E4950000}"/>
    <cellStyle name="표준 5 3 6 2 3" xfId="1062" xr:uid="{00000000-0005-0000-0000-0000E5950000}"/>
    <cellStyle name="표준 5 3 6 2 3 2" xfId="9965" xr:uid="{00000000-0005-0000-0000-0000E6950000}"/>
    <cellStyle name="표준 5 3 6 2 3 2 2" xfId="14077" xr:uid="{00000000-0005-0000-0000-0000E7950000}"/>
    <cellStyle name="표준 5 3 6 2 3 2 2 2" xfId="30671" xr:uid="{00000000-0005-0000-0000-0000E8950000}"/>
    <cellStyle name="표준 5 3 6 2 3 2 2 3" xfId="38882" xr:uid="{00000000-0005-0000-0000-0000E9950000}"/>
    <cellStyle name="표준 5 3 6 2 3 2 2 4" xfId="47075" xr:uid="{00000000-0005-0000-0000-0000EA950000}"/>
    <cellStyle name="표준 5 3 6 2 3 2 3" xfId="18317" xr:uid="{00000000-0005-0000-0000-0000EB950000}"/>
    <cellStyle name="표준 5 3 6 2 3 2 4" xfId="22479" xr:uid="{00000000-0005-0000-0000-0000EC950000}"/>
    <cellStyle name="표준 5 3 6 2 3 2 5" xfId="26575" xr:uid="{00000000-0005-0000-0000-0000ED950000}"/>
    <cellStyle name="표준 5 3 6 2 3 2 6" xfId="34786" xr:uid="{00000000-0005-0000-0000-0000EE950000}"/>
    <cellStyle name="표준 5 3 6 2 3 2 7" xfId="42979" xr:uid="{00000000-0005-0000-0000-0000EF950000}"/>
    <cellStyle name="표준 5 3 6 2 3 3" xfId="7917" xr:uid="{00000000-0005-0000-0000-0000F0950000}"/>
    <cellStyle name="표준 5 3 6 2 3 3 2" xfId="28623" xr:uid="{00000000-0005-0000-0000-0000F1950000}"/>
    <cellStyle name="표준 5 3 6 2 3 3 3" xfId="36834" xr:uid="{00000000-0005-0000-0000-0000F2950000}"/>
    <cellStyle name="표준 5 3 6 2 3 3 4" xfId="45027" xr:uid="{00000000-0005-0000-0000-0000F3950000}"/>
    <cellStyle name="표준 5 3 6 2 3 4" xfId="12029" xr:uid="{00000000-0005-0000-0000-0000F4950000}"/>
    <cellStyle name="표준 5 3 6 2 3 5" xfId="16269" xr:uid="{00000000-0005-0000-0000-0000F5950000}"/>
    <cellStyle name="표준 5 3 6 2 3 6" xfId="20431" xr:uid="{00000000-0005-0000-0000-0000F6950000}"/>
    <cellStyle name="표준 5 3 6 2 3 7" xfId="24527" xr:uid="{00000000-0005-0000-0000-0000F7950000}"/>
    <cellStyle name="표준 5 3 6 2 3 8" xfId="32738" xr:uid="{00000000-0005-0000-0000-0000F8950000}"/>
    <cellStyle name="표준 5 3 6 2 3 9" xfId="40931" xr:uid="{00000000-0005-0000-0000-0000F9950000}"/>
    <cellStyle name="표준 5 3 6 2 4" xfId="1574" xr:uid="{00000000-0005-0000-0000-0000FA950000}"/>
    <cellStyle name="표준 5 3 6 2 4 2" xfId="10477" xr:uid="{00000000-0005-0000-0000-0000FB950000}"/>
    <cellStyle name="표준 5 3 6 2 4 2 2" xfId="14589" xr:uid="{00000000-0005-0000-0000-0000FC950000}"/>
    <cellStyle name="표준 5 3 6 2 4 2 2 2" xfId="31183" xr:uid="{00000000-0005-0000-0000-0000FD950000}"/>
    <cellStyle name="표준 5 3 6 2 4 2 2 3" xfId="39394" xr:uid="{00000000-0005-0000-0000-0000FE950000}"/>
    <cellStyle name="표준 5 3 6 2 4 2 2 4" xfId="47587" xr:uid="{00000000-0005-0000-0000-0000FF950000}"/>
    <cellStyle name="표준 5 3 6 2 4 2 3" xfId="18829" xr:uid="{00000000-0005-0000-0000-000000960000}"/>
    <cellStyle name="표준 5 3 6 2 4 2 4" xfId="22991" xr:uid="{00000000-0005-0000-0000-000001960000}"/>
    <cellStyle name="표준 5 3 6 2 4 2 5" xfId="27087" xr:uid="{00000000-0005-0000-0000-000002960000}"/>
    <cellStyle name="표준 5 3 6 2 4 2 6" xfId="35298" xr:uid="{00000000-0005-0000-0000-000003960000}"/>
    <cellStyle name="표준 5 3 6 2 4 2 7" xfId="43491" xr:uid="{00000000-0005-0000-0000-000004960000}"/>
    <cellStyle name="표준 5 3 6 2 4 3" xfId="8429" xr:uid="{00000000-0005-0000-0000-000005960000}"/>
    <cellStyle name="표준 5 3 6 2 4 3 2" xfId="29135" xr:uid="{00000000-0005-0000-0000-000006960000}"/>
    <cellStyle name="표준 5 3 6 2 4 3 3" xfId="37346" xr:uid="{00000000-0005-0000-0000-000007960000}"/>
    <cellStyle name="표준 5 3 6 2 4 3 4" xfId="45539" xr:uid="{00000000-0005-0000-0000-000008960000}"/>
    <cellStyle name="표준 5 3 6 2 4 4" xfId="12541" xr:uid="{00000000-0005-0000-0000-000009960000}"/>
    <cellStyle name="표준 5 3 6 2 4 5" xfId="16781" xr:uid="{00000000-0005-0000-0000-00000A960000}"/>
    <cellStyle name="표준 5 3 6 2 4 6" xfId="20943" xr:uid="{00000000-0005-0000-0000-00000B960000}"/>
    <cellStyle name="표준 5 3 6 2 4 7" xfId="25039" xr:uid="{00000000-0005-0000-0000-00000C960000}"/>
    <cellStyle name="표준 5 3 6 2 4 8" xfId="33250" xr:uid="{00000000-0005-0000-0000-00000D960000}"/>
    <cellStyle name="표준 5 3 6 2 4 9" xfId="41443" xr:uid="{00000000-0005-0000-0000-00000E960000}"/>
    <cellStyle name="표준 5 3 6 2 5" xfId="2086" xr:uid="{00000000-0005-0000-0000-00000F960000}"/>
    <cellStyle name="표준 5 3 6 2 5 2" xfId="10989" xr:uid="{00000000-0005-0000-0000-000010960000}"/>
    <cellStyle name="표준 5 3 6 2 5 2 2" xfId="15101" xr:uid="{00000000-0005-0000-0000-000011960000}"/>
    <cellStyle name="표준 5 3 6 2 5 2 2 2" xfId="31695" xr:uid="{00000000-0005-0000-0000-000012960000}"/>
    <cellStyle name="표준 5 3 6 2 5 2 2 3" xfId="39906" xr:uid="{00000000-0005-0000-0000-000013960000}"/>
    <cellStyle name="표준 5 3 6 2 5 2 2 4" xfId="48099" xr:uid="{00000000-0005-0000-0000-000014960000}"/>
    <cellStyle name="표준 5 3 6 2 5 2 3" xfId="19341" xr:uid="{00000000-0005-0000-0000-000015960000}"/>
    <cellStyle name="표준 5 3 6 2 5 2 4" xfId="23503" xr:uid="{00000000-0005-0000-0000-000016960000}"/>
    <cellStyle name="표준 5 3 6 2 5 2 5" xfId="27599" xr:uid="{00000000-0005-0000-0000-000017960000}"/>
    <cellStyle name="표준 5 3 6 2 5 2 6" xfId="35810" xr:uid="{00000000-0005-0000-0000-000018960000}"/>
    <cellStyle name="표준 5 3 6 2 5 2 7" xfId="44003" xr:uid="{00000000-0005-0000-0000-000019960000}"/>
    <cellStyle name="표준 5 3 6 2 5 3" xfId="8941" xr:uid="{00000000-0005-0000-0000-00001A960000}"/>
    <cellStyle name="표준 5 3 6 2 5 3 2" xfId="29647" xr:uid="{00000000-0005-0000-0000-00001B960000}"/>
    <cellStyle name="표준 5 3 6 2 5 3 3" xfId="37858" xr:uid="{00000000-0005-0000-0000-00001C960000}"/>
    <cellStyle name="표준 5 3 6 2 5 3 4" xfId="46051" xr:uid="{00000000-0005-0000-0000-00001D960000}"/>
    <cellStyle name="표준 5 3 6 2 5 4" xfId="13053" xr:uid="{00000000-0005-0000-0000-00001E960000}"/>
    <cellStyle name="표준 5 3 6 2 5 5" xfId="17293" xr:uid="{00000000-0005-0000-0000-00001F960000}"/>
    <cellStyle name="표준 5 3 6 2 5 6" xfId="21455" xr:uid="{00000000-0005-0000-0000-000020960000}"/>
    <cellStyle name="표준 5 3 6 2 5 7" xfId="25551" xr:uid="{00000000-0005-0000-0000-000021960000}"/>
    <cellStyle name="표준 5 3 6 2 5 8" xfId="33762" xr:uid="{00000000-0005-0000-0000-000022960000}"/>
    <cellStyle name="표준 5 3 6 2 5 9" xfId="41955" xr:uid="{00000000-0005-0000-0000-000023960000}"/>
    <cellStyle name="표준 5 3 6 2 6" xfId="9453" xr:uid="{00000000-0005-0000-0000-000024960000}"/>
    <cellStyle name="표준 5 3 6 2 6 2" xfId="13565" xr:uid="{00000000-0005-0000-0000-000025960000}"/>
    <cellStyle name="표준 5 3 6 2 6 2 2" xfId="30159" xr:uid="{00000000-0005-0000-0000-000026960000}"/>
    <cellStyle name="표준 5 3 6 2 6 2 3" xfId="38370" xr:uid="{00000000-0005-0000-0000-000027960000}"/>
    <cellStyle name="표준 5 3 6 2 6 2 4" xfId="46563" xr:uid="{00000000-0005-0000-0000-000028960000}"/>
    <cellStyle name="표준 5 3 6 2 6 3" xfId="17805" xr:uid="{00000000-0005-0000-0000-000029960000}"/>
    <cellStyle name="표준 5 3 6 2 6 4" xfId="21967" xr:uid="{00000000-0005-0000-0000-00002A960000}"/>
    <cellStyle name="표준 5 3 6 2 6 5" xfId="26063" xr:uid="{00000000-0005-0000-0000-00002B960000}"/>
    <cellStyle name="표준 5 3 6 2 6 6" xfId="34274" xr:uid="{00000000-0005-0000-0000-00002C960000}"/>
    <cellStyle name="표준 5 3 6 2 6 7" xfId="42467" xr:uid="{00000000-0005-0000-0000-00002D960000}"/>
    <cellStyle name="표준 5 3 6 2 7" xfId="7405" xr:uid="{00000000-0005-0000-0000-00002E960000}"/>
    <cellStyle name="표준 5 3 6 2 7 2" xfId="28111" xr:uid="{00000000-0005-0000-0000-00002F960000}"/>
    <cellStyle name="표준 5 3 6 2 7 3" xfId="36322" xr:uid="{00000000-0005-0000-0000-000030960000}"/>
    <cellStyle name="표준 5 3 6 2 7 4" xfId="44515" xr:uid="{00000000-0005-0000-0000-000031960000}"/>
    <cellStyle name="표준 5 3 6 2 8" xfId="11517" xr:uid="{00000000-0005-0000-0000-000032960000}"/>
    <cellStyle name="표준 5 3 6 2 9" xfId="15757" xr:uid="{00000000-0005-0000-0000-000033960000}"/>
    <cellStyle name="표준 5 3 6 3" xfId="678" xr:uid="{00000000-0005-0000-0000-000034960000}"/>
    <cellStyle name="표준 5 3 6 3 10" xfId="24143" xr:uid="{00000000-0005-0000-0000-000035960000}"/>
    <cellStyle name="표준 5 3 6 3 11" xfId="32354" xr:uid="{00000000-0005-0000-0000-000036960000}"/>
    <cellStyle name="표준 5 3 6 3 12" xfId="40547" xr:uid="{00000000-0005-0000-0000-000037960000}"/>
    <cellStyle name="표준 5 3 6 3 2" xfId="1190" xr:uid="{00000000-0005-0000-0000-000038960000}"/>
    <cellStyle name="표준 5 3 6 3 2 2" xfId="10093" xr:uid="{00000000-0005-0000-0000-000039960000}"/>
    <cellStyle name="표준 5 3 6 3 2 2 2" xfId="14205" xr:uid="{00000000-0005-0000-0000-00003A960000}"/>
    <cellStyle name="표준 5 3 6 3 2 2 2 2" xfId="30799" xr:uid="{00000000-0005-0000-0000-00003B960000}"/>
    <cellStyle name="표준 5 3 6 3 2 2 2 3" xfId="39010" xr:uid="{00000000-0005-0000-0000-00003C960000}"/>
    <cellStyle name="표준 5 3 6 3 2 2 2 4" xfId="47203" xr:uid="{00000000-0005-0000-0000-00003D960000}"/>
    <cellStyle name="표준 5 3 6 3 2 2 3" xfId="18445" xr:uid="{00000000-0005-0000-0000-00003E960000}"/>
    <cellStyle name="표준 5 3 6 3 2 2 4" xfId="22607" xr:uid="{00000000-0005-0000-0000-00003F960000}"/>
    <cellStyle name="표준 5 3 6 3 2 2 5" xfId="26703" xr:uid="{00000000-0005-0000-0000-000040960000}"/>
    <cellStyle name="표준 5 3 6 3 2 2 6" xfId="34914" xr:uid="{00000000-0005-0000-0000-000041960000}"/>
    <cellStyle name="표준 5 3 6 3 2 2 7" xfId="43107" xr:uid="{00000000-0005-0000-0000-000042960000}"/>
    <cellStyle name="표준 5 3 6 3 2 3" xfId="8045" xr:uid="{00000000-0005-0000-0000-000043960000}"/>
    <cellStyle name="표준 5 3 6 3 2 3 2" xfId="28751" xr:uid="{00000000-0005-0000-0000-000044960000}"/>
    <cellStyle name="표준 5 3 6 3 2 3 3" xfId="36962" xr:uid="{00000000-0005-0000-0000-000045960000}"/>
    <cellStyle name="표준 5 3 6 3 2 3 4" xfId="45155" xr:uid="{00000000-0005-0000-0000-000046960000}"/>
    <cellStyle name="표준 5 3 6 3 2 4" xfId="12157" xr:uid="{00000000-0005-0000-0000-000047960000}"/>
    <cellStyle name="표준 5 3 6 3 2 5" xfId="16397" xr:uid="{00000000-0005-0000-0000-000048960000}"/>
    <cellStyle name="표준 5 3 6 3 2 6" xfId="20559" xr:uid="{00000000-0005-0000-0000-000049960000}"/>
    <cellStyle name="표준 5 3 6 3 2 7" xfId="24655" xr:uid="{00000000-0005-0000-0000-00004A960000}"/>
    <cellStyle name="표준 5 3 6 3 2 8" xfId="32866" xr:uid="{00000000-0005-0000-0000-00004B960000}"/>
    <cellStyle name="표준 5 3 6 3 2 9" xfId="41059" xr:uid="{00000000-0005-0000-0000-00004C960000}"/>
    <cellStyle name="표준 5 3 6 3 3" xfId="1702" xr:uid="{00000000-0005-0000-0000-00004D960000}"/>
    <cellStyle name="표준 5 3 6 3 3 2" xfId="10605" xr:uid="{00000000-0005-0000-0000-00004E960000}"/>
    <cellStyle name="표준 5 3 6 3 3 2 2" xfId="14717" xr:uid="{00000000-0005-0000-0000-00004F960000}"/>
    <cellStyle name="표준 5 3 6 3 3 2 2 2" xfId="31311" xr:uid="{00000000-0005-0000-0000-000050960000}"/>
    <cellStyle name="표준 5 3 6 3 3 2 2 3" xfId="39522" xr:uid="{00000000-0005-0000-0000-000051960000}"/>
    <cellStyle name="표준 5 3 6 3 3 2 2 4" xfId="47715" xr:uid="{00000000-0005-0000-0000-000052960000}"/>
    <cellStyle name="표준 5 3 6 3 3 2 3" xfId="18957" xr:uid="{00000000-0005-0000-0000-000053960000}"/>
    <cellStyle name="표준 5 3 6 3 3 2 4" xfId="23119" xr:uid="{00000000-0005-0000-0000-000054960000}"/>
    <cellStyle name="표준 5 3 6 3 3 2 5" xfId="27215" xr:uid="{00000000-0005-0000-0000-000055960000}"/>
    <cellStyle name="표준 5 3 6 3 3 2 6" xfId="35426" xr:uid="{00000000-0005-0000-0000-000056960000}"/>
    <cellStyle name="표준 5 3 6 3 3 2 7" xfId="43619" xr:uid="{00000000-0005-0000-0000-000057960000}"/>
    <cellStyle name="표준 5 3 6 3 3 3" xfId="8557" xr:uid="{00000000-0005-0000-0000-000058960000}"/>
    <cellStyle name="표준 5 3 6 3 3 3 2" xfId="29263" xr:uid="{00000000-0005-0000-0000-000059960000}"/>
    <cellStyle name="표준 5 3 6 3 3 3 3" xfId="37474" xr:uid="{00000000-0005-0000-0000-00005A960000}"/>
    <cellStyle name="표준 5 3 6 3 3 3 4" xfId="45667" xr:uid="{00000000-0005-0000-0000-00005B960000}"/>
    <cellStyle name="표준 5 3 6 3 3 4" xfId="12669" xr:uid="{00000000-0005-0000-0000-00005C960000}"/>
    <cellStyle name="표준 5 3 6 3 3 5" xfId="16909" xr:uid="{00000000-0005-0000-0000-00005D960000}"/>
    <cellStyle name="표준 5 3 6 3 3 6" xfId="21071" xr:uid="{00000000-0005-0000-0000-00005E960000}"/>
    <cellStyle name="표준 5 3 6 3 3 7" xfId="25167" xr:uid="{00000000-0005-0000-0000-00005F960000}"/>
    <cellStyle name="표준 5 3 6 3 3 8" xfId="33378" xr:uid="{00000000-0005-0000-0000-000060960000}"/>
    <cellStyle name="표준 5 3 6 3 3 9" xfId="41571" xr:uid="{00000000-0005-0000-0000-000061960000}"/>
    <cellStyle name="표준 5 3 6 3 4" xfId="2214" xr:uid="{00000000-0005-0000-0000-000062960000}"/>
    <cellStyle name="표준 5 3 6 3 4 2" xfId="11117" xr:uid="{00000000-0005-0000-0000-000063960000}"/>
    <cellStyle name="표준 5 3 6 3 4 2 2" xfId="15229" xr:uid="{00000000-0005-0000-0000-000064960000}"/>
    <cellStyle name="표준 5 3 6 3 4 2 2 2" xfId="31823" xr:uid="{00000000-0005-0000-0000-000065960000}"/>
    <cellStyle name="표준 5 3 6 3 4 2 2 3" xfId="40034" xr:uid="{00000000-0005-0000-0000-000066960000}"/>
    <cellStyle name="표준 5 3 6 3 4 2 2 4" xfId="48227" xr:uid="{00000000-0005-0000-0000-000067960000}"/>
    <cellStyle name="표준 5 3 6 3 4 2 3" xfId="19469" xr:uid="{00000000-0005-0000-0000-000068960000}"/>
    <cellStyle name="표준 5 3 6 3 4 2 4" xfId="23631" xr:uid="{00000000-0005-0000-0000-000069960000}"/>
    <cellStyle name="표준 5 3 6 3 4 2 5" xfId="27727" xr:uid="{00000000-0005-0000-0000-00006A960000}"/>
    <cellStyle name="표준 5 3 6 3 4 2 6" xfId="35938" xr:uid="{00000000-0005-0000-0000-00006B960000}"/>
    <cellStyle name="표준 5 3 6 3 4 2 7" xfId="44131" xr:uid="{00000000-0005-0000-0000-00006C960000}"/>
    <cellStyle name="표준 5 3 6 3 4 3" xfId="9069" xr:uid="{00000000-0005-0000-0000-00006D960000}"/>
    <cellStyle name="표준 5 3 6 3 4 3 2" xfId="29775" xr:uid="{00000000-0005-0000-0000-00006E960000}"/>
    <cellStyle name="표준 5 3 6 3 4 3 3" xfId="37986" xr:uid="{00000000-0005-0000-0000-00006F960000}"/>
    <cellStyle name="표준 5 3 6 3 4 3 4" xfId="46179" xr:uid="{00000000-0005-0000-0000-000070960000}"/>
    <cellStyle name="표준 5 3 6 3 4 4" xfId="13181" xr:uid="{00000000-0005-0000-0000-000071960000}"/>
    <cellStyle name="표준 5 3 6 3 4 5" xfId="17421" xr:uid="{00000000-0005-0000-0000-000072960000}"/>
    <cellStyle name="표준 5 3 6 3 4 6" xfId="21583" xr:uid="{00000000-0005-0000-0000-000073960000}"/>
    <cellStyle name="표준 5 3 6 3 4 7" xfId="25679" xr:uid="{00000000-0005-0000-0000-000074960000}"/>
    <cellStyle name="표준 5 3 6 3 4 8" xfId="33890" xr:uid="{00000000-0005-0000-0000-000075960000}"/>
    <cellStyle name="표준 5 3 6 3 4 9" xfId="42083" xr:uid="{00000000-0005-0000-0000-000076960000}"/>
    <cellStyle name="표준 5 3 6 3 5" xfId="9581" xr:uid="{00000000-0005-0000-0000-000077960000}"/>
    <cellStyle name="표준 5 3 6 3 5 2" xfId="13693" xr:uid="{00000000-0005-0000-0000-000078960000}"/>
    <cellStyle name="표준 5 3 6 3 5 2 2" xfId="30287" xr:uid="{00000000-0005-0000-0000-000079960000}"/>
    <cellStyle name="표준 5 3 6 3 5 2 3" xfId="38498" xr:uid="{00000000-0005-0000-0000-00007A960000}"/>
    <cellStyle name="표준 5 3 6 3 5 2 4" xfId="46691" xr:uid="{00000000-0005-0000-0000-00007B960000}"/>
    <cellStyle name="표준 5 3 6 3 5 3" xfId="17933" xr:uid="{00000000-0005-0000-0000-00007C960000}"/>
    <cellStyle name="표준 5 3 6 3 5 4" xfId="22095" xr:uid="{00000000-0005-0000-0000-00007D960000}"/>
    <cellStyle name="표준 5 3 6 3 5 5" xfId="26191" xr:uid="{00000000-0005-0000-0000-00007E960000}"/>
    <cellStyle name="표준 5 3 6 3 5 6" xfId="34402" xr:uid="{00000000-0005-0000-0000-00007F960000}"/>
    <cellStyle name="표준 5 3 6 3 5 7" xfId="42595" xr:uid="{00000000-0005-0000-0000-000080960000}"/>
    <cellStyle name="표준 5 3 6 3 6" xfId="7533" xr:uid="{00000000-0005-0000-0000-000081960000}"/>
    <cellStyle name="표준 5 3 6 3 6 2" xfId="28239" xr:uid="{00000000-0005-0000-0000-000082960000}"/>
    <cellStyle name="표준 5 3 6 3 6 3" xfId="36450" xr:uid="{00000000-0005-0000-0000-000083960000}"/>
    <cellStyle name="표준 5 3 6 3 6 4" xfId="44643" xr:uid="{00000000-0005-0000-0000-000084960000}"/>
    <cellStyle name="표준 5 3 6 3 7" xfId="11645" xr:uid="{00000000-0005-0000-0000-000085960000}"/>
    <cellStyle name="표준 5 3 6 3 8" xfId="15885" xr:uid="{00000000-0005-0000-0000-000086960000}"/>
    <cellStyle name="표준 5 3 6 3 9" xfId="20047" xr:uid="{00000000-0005-0000-0000-000087960000}"/>
    <cellStyle name="표준 5 3 6 4" xfId="934" xr:uid="{00000000-0005-0000-0000-000088960000}"/>
    <cellStyle name="표준 5 3 6 4 2" xfId="9837" xr:uid="{00000000-0005-0000-0000-000089960000}"/>
    <cellStyle name="표준 5 3 6 4 2 2" xfId="13949" xr:uid="{00000000-0005-0000-0000-00008A960000}"/>
    <cellStyle name="표준 5 3 6 4 2 2 2" xfId="30543" xr:uid="{00000000-0005-0000-0000-00008B960000}"/>
    <cellStyle name="표준 5 3 6 4 2 2 3" xfId="38754" xr:uid="{00000000-0005-0000-0000-00008C960000}"/>
    <cellStyle name="표준 5 3 6 4 2 2 4" xfId="46947" xr:uid="{00000000-0005-0000-0000-00008D960000}"/>
    <cellStyle name="표준 5 3 6 4 2 3" xfId="18189" xr:uid="{00000000-0005-0000-0000-00008E960000}"/>
    <cellStyle name="표준 5 3 6 4 2 4" xfId="22351" xr:uid="{00000000-0005-0000-0000-00008F960000}"/>
    <cellStyle name="표준 5 3 6 4 2 5" xfId="26447" xr:uid="{00000000-0005-0000-0000-000090960000}"/>
    <cellStyle name="표준 5 3 6 4 2 6" xfId="34658" xr:uid="{00000000-0005-0000-0000-000091960000}"/>
    <cellStyle name="표준 5 3 6 4 2 7" xfId="42851" xr:uid="{00000000-0005-0000-0000-000092960000}"/>
    <cellStyle name="표준 5 3 6 4 3" xfId="7789" xr:uid="{00000000-0005-0000-0000-000093960000}"/>
    <cellStyle name="표준 5 3 6 4 3 2" xfId="28495" xr:uid="{00000000-0005-0000-0000-000094960000}"/>
    <cellStyle name="표준 5 3 6 4 3 3" xfId="36706" xr:uid="{00000000-0005-0000-0000-000095960000}"/>
    <cellStyle name="표준 5 3 6 4 3 4" xfId="44899" xr:uid="{00000000-0005-0000-0000-000096960000}"/>
    <cellStyle name="표준 5 3 6 4 4" xfId="11901" xr:uid="{00000000-0005-0000-0000-000097960000}"/>
    <cellStyle name="표준 5 3 6 4 5" xfId="16141" xr:uid="{00000000-0005-0000-0000-000098960000}"/>
    <cellStyle name="표준 5 3 6 4 6" xfId="20303" xr:uid="{00000000-0005-0000-0000-000099960000}"/>
    <cellStyle name="표준 5 3 6 4 7" xfId="24399" xr:uid="{00000000-0005-0000-0000-00009A960000}"/>
    <cellStyle name="표준 5 3 6 4 8" xfId="32610" xr:uid="{00000000-0005-0000-0000-00009B960000}"/>
    <cellStyle name="표준 5 3 6 4 9" xfId="40803" xr:uid="{00000000-0005-0000-0000-00009C960000}"/>
    <cellStyle name="표준 5 3 6 5" xfId="1446" xr:uid="{00000000-0005-0000-0000-00009D960000}"/>
    <cellStyle name="표준 5 3 6 5 2" xfId="10349" xr:uid="{00000000-0005-0000-0000-00009E960000}"/>
    <cellStyle name="표준 5 3 6 5 2 2" xfId="14461" xr:uid="{00000000-0005-0000-0000-00009F960000}"/>
    <cellStyle name="표준 5 3 6 5 2 2 2" xfId="31055" xr:uid="{00000000-0005-0000-0000-0000A0960000}"/>
    <cellStyle name="표준 5 3 6 5 2 2 3" xfId="39266" xr:uid="{00000000-0005-0000-0000-0000A1960000}"/>
    <cellStyle name="표준 5 3 6 5 2 2 4" xfId="47459" xr:uid="{00000000-0005-0000-0000-0000A2960000}"/>
    <cellStyle name="표준 5 3 6 5 2 3" xfId="18701" xr:uid="{00000000-0005-0000-0000-0000A3960000}"/>
    <cellStyle name="표준 5 3 6 5 2 4" xfId="22863" xr:uid="{00000000-0005-0000-0000-0000A4960000}"/>
    <cellStyle name="표준 5 3 6 5 2 5" xfId="26959" xr:uid="{00000000-0005-0000-0000-0000A5960000}"/>
    <cellStyle name="표준 5 3 6 5 2 6" xfId="35170" xr:uid="{00000000-0005-0000-0000-0000A6960000}"/>
    <cellStyle name="표준 5 3 6 5 2 7" xfId="43363" xr:uid="{00000000-0005-0000-0000-0000A7960000}"/>
    <cellStyle name="표준 5 3 6 5 3" xfId="8301" xr:uid="{00000000-0005-0000-0000-0000A8960000}"/>
    <cellStyle name="표준 5 3 6 5 3 2" xfId="29007" xr:uid="{00000000-0005-0000-0000-0000A9960000}"/>
    <cellStyle name="표준 5 3 6 5 3 3" xfId="37218" xr:uid="{00000000-0005-0000-0000-0000AA960000}"/>
    <cellStyle name="표준 5 3 6 5 3 4" xfId="45411" xr:uid="{00000000-0005-0000-0000-0000AB960000}"/>
    <cellStyle name="표준 5 3 6 5 4" xfId="12413" xr:uid="{00000000-0005-0000-0000-0000AC960000}"/>
    <cellStyle name="표준 5 3 6 5 5" xfId="16653" xr:uid="{00000000-0005-0000-0000-0000AD960000}"/>
    <cellStyle name="표준 5 3 6 5 6" xfId="20815" xr:uid="{00000000-0005-0000-0000-0000AE960000}"/>
    <cellStyle name="표준 5 3 6 5 7" xfId="24911" xr:uid="{00000000-0005-0000-0000-0000AF960000}"/>
    <cellStyle name="표준 5 3 6 5 8" xfId="33122" xr:uid="{00000000-0005-0000-0000-0000B0960000}"/>
    <cellStyle name="표준 5 3 6 5 9" xfId="41315" xr:uid="{00000000-0005-0000-0000-0000B1960000}"/>
    <cellStyle name="표준 5 3 6 6" xfId="1958" xr:uid="{00000000-0005-0000-0000-0000B2960000}"/>
    <cellStyle name="표준 5 3 6 6 2" xfId="10861" xr:uid="{00000000-0005-0000-0000-0000B3960000}"/>
    <cellStyle name="표준 5 3 6 6 2 2" xfId="14973" xr:uid="{00000000-0005-0000-0000-0000B4960000}"/>
    <cellStyle name="표준 5 3 6 6 2 2 2" xfId="31567" xr:uid="{00000000-0005-0000-0000-0000B5960000}"/>
    <cellStyle name="표준 5 3 6 6 2 2 3" xfId="39778" xr:uid="{00000000-0005-0000-0000-0000B6960000}"/>
    <cellStyle name="표준 5 3 6 6 2 2 4" xfId="47971" xr:uid="{00000000-0005-0000-0000-0000B7960000}"/>
    <cellStyle name="표준 5 3 6 6 2 3" xfId="19213" xr:uid="{00000000-0005-0000-0000-0000B8960000}"/>
    <cellStyle name="표준 5 3 6 6 2 4" xfId="23375" xr:uid="{00000000-0005-0000-0000-0000B9960000}"/>
    <cellStyle name="표준 5 3 6 6 2 5" xfId="27471" xr:uid="{00000000-0005-0000-0000-0000BA960000}"/>
    <cellStyle name="표준 5 3 6 6 2 6" xfId="35682" xr:uid="{00000000-0005-0000-0000-0000BB960000}"/>
    <cellStyle name="표준 5 3 6 6 2 7" xfId="43875" xr:uid="{00000000-0005-0000-0000-0000BC960000}"/>
    <cellStyle name="표준 5 3 6 6 3" xfId="8813" xr:uid="{00000000-0005-0000-0000-0000BD960000}"/>
    <cellStyle name="표준 5 3 6 6 3 2" xfId="29519" xr:uid="{00000000-0005-0000-0000-0000BE960000}"/>
    <cellStyle name="표준 5 3 6 6 3 3" xfId="37730" xr:uid="{00000000-0005-0000-0000-0000BF960000}"/>
    <cellStyle name="표준 5 3 6 6 3 4" xfId="45923" xr:uid="{00000000-0005-0000-0000-0000C0960000}"/>
    <cellStyle name="표준 5 3 6 6 4" xfId="12925" xr:uid="{00000000-0005-0000-0000-0000C1960000}"/>
    <cellStyle name="표준 5 3 6 6 5" xfId="17165" xr:uid="{00000000-0005-0000-0000-0000C2960000}"/>
    <cellStyle name="표준 5 3 6 6 6" xfId="21327" xr:uid="{00000000-0005-0000-0000-0000C3960000}"/>
    <cellStyle name="표준 5 3 6 6 7" xfId="25423" xr:uid="{00000000-0005-0000-0000-0000C4960000}"/>
    <cellStyle name="표준 5 3 6 6 8" xfId="33634" xr:uid="{00000000-0005-0000-0000-0000C5960000}"/>
    <cellStyle name="표준 5 3 6 6 9" xfId="41827" xr:uid="{00000000-0005-0000-0000-0000C6960000}"/>
    <cellStyle name="표준 5 3 6 7" xfId="7018" xr:uid="{00000000-0005-0000-0000-0000C7960000}"/>
    <cellStyle name="표준 5 3 6 7 2" xfId="9325" xr:uid="{00000000-0005-0000-0000-0000C8960000}"/>
    <cellStyle name="표준 5 3 6 7 2 2" xfId="30031" xr:uid="{00000000-0005-0000-0000-0000C9960000}"/>
    <cellStyle name="표준 5 3 6 7 2 3" xfId="38242" xr:uid="{00000000-0005-0000-0000-0000CA960000}"/>
    <cellStyle name="표준 5 3 6 7 2 4" xfId="46435" xr:uid="{00000000-0005-0000-0000-0000CB960000}"/>
    <cellStyle name="표준 5 3 6 7 3" xfId="13437" xr:uid="{00000000-0005-0000-0000-0000CC960000}"/>
    <cellStyle name="표준 5 3 6 7 4" xfId="17677" xr:uid="{00000000-0005-0000-0000-0000CD960000}"/>
    <cellStyle name="표준 5 3 6 7 5" xfId="21839" xr:uid="{00000000-0005-0000-0000-0000CE960000}"/>
    <cellStyle name="표준 5 3 6 7 6" xfId="25935" xr:uid="{00000000-0005-0000-0000-0000CF960000}"/>
    <cellStyle name="표준 5 3 6 7 7" xfId="34146" xr:uid="{00000000-0005-0000-0000-0000D0960000}"/>
    <cellStyle name="표준 5 3 6 7 8" xfId="42339" xr:uid="{00000000-0005-0000-0000-0000D1960000}"/>
    <cellStyle name="표준 5 3 6 8" xfId="7160" xr:uid="{00000000-0005-0000-0000-0000D2960000}"/>
    <cellStyle name="표준 5 3 6 8 2" xfId="27983" xr:uid="{00000000-0005-0000-0000-0000D3960000}"/>
    <cellStyle name="표준 5 3 6 8 3" xfId="36194" xr:uid="{00000000-0005-0000-0000-0000D4960000}"/>
    <cellStyle name="표준 5 3 6 8 4" xfId="44387" xr:uid="{00000000-0005-0000-0000-0000D5960000}"/>
    <cellStyle name="표준 5 3 6 9" xfId="7277" xr:uid="{00000000-0005-0000-0000-0000D6960000}"/>
    <cellStyle name="표준 5 3 7" xfId="486" xr:uid="{00000000-0005-0000-0000-0000D7960000}"/>
    <cellStyle name="표준 5 3 7 10" xfId="19855" xr:uid="{00000000-0005-0000-0000-0000D8960000}"/>
    <cellStyle name="표준 5 3 7 11" xfId="23951" xr:uid="{00000000-0005-0000-0000-0000D9960000}"/>
    <cellStyle name="표준 5 3 7 12" xfId="32162" xr:uid="{00000000-0005-0000-0000-0000DA960000}"/>
    <cellStyle name="표준 5 3 7 13" xfId="40355" xr:uid="{00000000-0005-0000-0000-0000DB960000}"/>
    <cellStyle name="표준 5 3 7 2" xfId="742" xr:uid="{00000000-0005-0000-0000-0000DC960000}"/>
    <cellStyle name="표준 5 3 7 2 10" xfId="24207" xr:uid="{00000000-0005-0000-0000-0000DD960000}"/>
    <cellStyle name="표준 5 3 7 2 11" xfId="32418" xr:uid="{00000000-0005-0000-0000-0000DE960000}"/>
    <cellStyle name="표준 5 3 7 2 12" xfId="40611" xr:uid="{00000000-0005-0000-0000-0000DF960000}"/>
    <cellStyle name="표준 5 3 7 2 2" xfId="1254" xr:uid="{00000000-0005-0000-0000-0000E0960000}"/>
    <cellStyle name="표준 5 3 7 2 2 2" xfId="10157" xr:uid="{00000000-0005-0000-0000-0000E1960000}"/>
    <cellStyle name="표준 5 3 7 2 2 2 2" xfId="14269" xr:uid="{00000000-0005-0000-0000-0000E2960000}"/>
    <cellStyle name="표준 5 3 7 2 2 2 2 2" xfId="30863" xr:uid="{00000000-0005-0000-0000-0000E3960000}"/>
    <cellStyle name="표준 5 3 7 2 2 2 2 3" xfId="39074" xr:uid="{00000000-0005-0000-0000-0000E4960000}"/>
    <cellStyle name="표준 5 3 7 2 2 2 2 4" xfId="47267" xr:uid="{00000000-0005-0000-0000-0000E5960000}"/>
    <cellStyle name="표준 5 3 7 2 2 2 3" xfId="18509" xr:uid="{00000000-0005-0000-0000-0000E6960000}"/>
    <cellStyle name="표준 5 3 7 2 2 2 4" xfId="22671" xr:uid="{00000000-0005-0000-0000-0000E7960000}"/>
    <cellStyle name="표준 5 3 7 2 2 2 5" xfId="26767" xr:uid="{00000000-0005-0000-0000-0000E8960000}"/>
    <cellStyle name="표준 5 3 7 2 2 2 6" xfId="34978" xr:uid="{00000000-0005-0000-0000-0000E9960000}"/>
    <cellStyle name="표준 5 3 7 2 2 2 7" xfId="43171" xr:uid="{00000000-0005-0000-0000-0000EA960000}"/>
    <cellStyle name="표준 5 3 7 2 2 3" xfId="8109" xr:uid="{00000000-0005-0000-0000-0000EB960000}"/>
    <cellStyle name="표준 5 3 7 2 2 3 2" xfId="28815" xr:uid="{00000000-0005-0000-0000-0000EC960000}"/>
    <cellStyle name="표준 5 3 7 2 2 3 3" xfId="37026" xr:uid="{00000000-0005-0000-0000-0000ED960000}"/>
    <cellStyle name="표준 5 3 7 2 2 3 4" xfId="45219" xr:uid="{00000000-0005-0000-0000-0000EE960000}"/>
    <cellStyle name="표준 5 3 7 2 2 4" xfId="12221" xr:uid="{00000000-0005-0000-0000-0000EF960000}"/>
    <cellStyle name="표준 5 3 7 2 2 5" xfId="16461" xr:uid="{00000000-0005-0000-0000-0000F0960000}"/>
    <cellStyle name="표준 5 3 7 2 2 6" xfId="20623" xr:uid="{00000000-0005-0000-0000-0000F1960000}"/>
    <cellStyle name="표준 5 3 7 2 2 7" xfId="24719" xr:uid="{00000000-0005-0000-0000-0000F2960000}"/>
    <cellStyle name="표준 5 3 7 2 2 8" xfId="32930" xr:uid="{00000000-0005-0000-0000-0000F3960000}"/>
    <cellStyle name="표준 5 3 7 2 2 9" xfId="41123" xr:uid="{00000000-0005-0000-0000-0000F4960000}"/>
    <cellStyle name="표준 5 3 7 2 3" xfId="1766" xr:uid="{00000000-0005-0000-0000-0000F5960000}"/>
    <cellStyle name="표준 5 3 7 2 3 2" xfId="10669" xr:uid="{00000000-0005-0000-0000-0000F6960000}"/>
    <cellStyle name="표준 5 3 7 2 3 2 2" xfId="14781" xr:uid="{00000000-0005-0000-0000-0000F7960000}"/>
    <cellStyle name="표준 5 3 7 2 3 2 2 2" xfId="31375" xr:uid="{00000000-0005-0000-0000-0000F8960000}"/>
    <cellStyle name="표준 5 3 7 2 3 2 2 3" xfId="39586" xr:uid="{00000000-0005-0000-0000-0000F9960000}"/>
    <cellStyle name="표준 5 3 7 2 3 2 2 4" xfId="47779" xr:uid="{00000000-0005-0000-0000-0000FA960000}"/>
    <cellStyle name="표준 5 3 7 2 3 2 3" xfId="19021" xr:uid="{00000000-0005-0000-0000-0000FB960000}"/>
    <cellStyle name="표준 5 3 7 2 3 2 4" xfId="23183" xr:uid="{00000000-0005-0000-0000-0000FC960000}"/>
    <cellStyle name="표준 5 3 7 2 3 2 5" xfId="27279" xr:uid="{00000000-0005-0000-0000-0000FD960000}"/>
    <cellStyle name="표준 5 3 7 2 3 2 6" xfId="35490" xr:uid="{00000000-0005-0000-0000-0000FE960000}"/>
    <cellStyle name="표준 5 3 7 2 3 2 7" xfId="43683" xr:uid="{00000000-0005-0000-0000-0000FF960000}"/>
    <cellStyle name="표준 5 3 7 2 3 3" xfId="8621" xr:uid="{00000000-0005-0000-0000-000000970000}"/>
    <cellStyle name="표준 5 3 7 2 3 3 2" xfId="29327" xr:uid="{00000000-0005-0000-0000-000001970000}"/>
    <cellStyle name="표준 5 3 7 2 3 3 3" xfId="37538" xr:uid="{00000000-0005-0000-0000-000002970000}"/>
    <cellStyle name="표준 5 3 7 2 3 3 4" xfId="45731" xr:uid="{00000000-0005-0000-0000-000003970000}"/>
    <cellStyle name="표준 5 3 7 2 3 4" xfId="12733" xr:uid="{00000000-0005-0000-0000-000004970000}"/>
    <cellStyle name="표준 5 3 7 2 3 5" xfId="16973" xr:uid="{00000000-0005-0000-0000-000005970000}"/>
    <cellStyle name="표준 5 3 7 2 3 6" xfId="21135" xr:uid="{00000000-0005-0000-0000-000006970000}"/>
    <cellStyle name="표준 5 3 7 2 3 7" xfId="25231" xr:uid="{00000000-0005-0000-0000-000007970000}"/>
    <cellStyle name="표준 5 3 7 2 3 8" xfId="33442" xr:uid="{00000000-0005-0000-0000-000008970000}"/>
    <cellStyle name="표준 5 3 7 2 3 9" xfId="41635" xr:uid="{00000000-0005-0000-0000-000009970000}"/>
    <cellStyle name="표준 5 3 7 2 4" xfId="2278" xr:uid="{00000000-0005-0000-0000-00000A970000}"/>
    <cellStyle name="표준 5 3 7 2 4 2" xfId="11181" xr:uid="{00000000-0005-0000-0000-00000B970000}"/>
    <cellStyle name="표준 5 3 7 2 4 2 2" xfId="15293" xr:uid="{00000000-0005-0000-0000-00000C970000}"/>
    <cellStyle name="표준 5 3 7 2 4 2 2 2" xfId="31887" xr:uid="{00000000-0005-0000-0000-00000D970000}"/>
    <cellStyle name="표준 5 3 7 2 4 2 2 3" xfId="40098" xr:uid="{00000000-0005-0000-0000-00000E970000}"/>
    <cellStyle name="표준 5 3 7 2 4 2 2 4" xfId="48291" xr:uid="{00000000-0005-0000-0000-00000F970000}"/>
    <cellStyle name="표준 5 3 7 2 4 2 3" xfId="19533" xr:uid="{00000000-0005-0000-0000-000010970000}"/>
    <cellStyle name="표준 5 3 7 2 4 2 4" xfId="23695" xr:uid="{00000000-0005-0000-0000-000011970000}"/>
    <cellStyle name="표준 5 3 7 2 4 2 5" xfId="27791" xr:uid="{00000000-0005-0000-0000-000012970000}"/>
    <cellStyle name="표준 5 3 7 2 4 2 6" xfId="36002" xr:uid="{00000000-0005-0000-0000-000013970000}"/>
    <cellStyle name="표준 5 3 7 2 4 2 7" xfId="44195" xr:uid="{00000000-0005-0000-0000-000014970000}"/>
    <cellStyle name="표준 5 3 7 2 4 3" xfId="9133" xr:uid="{00000000-0005-0000-0000-000015970000}"/>
    <cellStyle name="표준 5 3 7 2 4 3 2" xfId="29839" xr:uid="{00000000-0005-0000-0000-000016970000}"/>
    <cellStyle name="표준 5 3 7 2 4 3 3" xfId="38050" xr:uid="{00000000-0005-0000-0000-000017970000}"/>
    <cellStyle name="표준 5 3 7 2 4 3 4" xfId="46243" xr:uid="{00000000-0005-0000-0000-000018970000}"/>
    <cellStyle name="표준 5 3 7 2 4 4" xfId="13245" xr:uid="{00000000-0005-0000-0000-000019970000}"/>
    <cellStyle name="표준 5 3 7 2 4 5" xfId="17485" xr:uid="{00000000-0005-0000-0000-00001A970000}"/>
    <cellStyle name="표준 5 3 7 2 4 6" xfId="21647" xr:uid="{00000000-0005-0000-0000-00001B970000}"/>
    <cellStyle name="표준 5 3 7 2 4 7" xfId="25743" xr:uid="{00000000-0005-0000-0000-00001C970000}"/>
    <cellStyle name="표준 5 3 7 2 4 8" xfId="33954" xr:uid="{00000000-0005-0000-0000-00001D970000}"/>
    <cellStyle name="표준 5 3 7 2 4 9" xfId="42147" xr:uid="{00000000-0005-0000-0000-00001E970000}"/>
    <cellStyle name="표준 5 3 7 2 5" xfId="9645" xr:uid="{00000000-0005-0000-0000-00001F970000}"/>
    <cellStyle name="표준 5 3 7 2 5 2" xfId="13757" xr:uid="{00000000-0005-0000-0000-000020970000}"/>
    <cellStyle name="표준 5 3 7 2 5 2 2" xfId="30351" xr:uid="{00000000-0005-0000-0000-000021970000}"/>
    <cellStyle name="표준 5 3 7 2 5 2 3" xfId="38562" xr:uid="{00000000-0005-0000-0000-000022970000}"/>
    <cellStyle name="표준 5 3 7 2 5 2 4" xfId="46755" xr:uid="{00000000-0005-0000-0000-000023970000}"/>
    <cellStyle name="표준 5 3 7 2 5 3" xfId="17997" xr:uid="{00000000-0005-0000-0000-000024970000}"/>
    <cellStyle name="표준 5 3 7 2 5 4" xfId="22159" xr:uid="{00000000-0005-0000-0000-000025970000}"/>
    <cellStyle name="표준 5 3 7 2 5 5" xfId="26255" xr:uid="{00000000-0005-0000-0000-000026970000}"/>
    <cellStyle name="표준 5 3 7 2 5 6" xfId="34466" xr:uid="{00000000-0005-0000-0000-000027970000}"/>
    <cellStyle name="표준 5 3 7 2 5 7" xfId="42659" xr:uid="{00000000-0005-0000-0000-000028970000}"/>
    <cellStyle name="표준 5 3 7 2 6" xfId="7597" xr:uid="{00000000-0005-0000-0000-000029970000}"/>
    <cellStyle name="표준 5 3 7 2 6 2" xfId="28303" xr:uid="{00000000-0005-0000-0000-00002A970000}"/>
    <cellStyle name="표준 5 3 7 2 6 3" xfId="36514" xr:uid="{00000000-0005-0000-0000-00002B970000}"/>
    <cellStyle name="표준 5 3 7 2 6 4" xfId="44707" xr:uid="{00000000-0005-0000-0000-00002C970000}"/>
    <cellStyle name="표준 5 3 7 2 7" xfId="11709" xr:uid="{00000000-0005-0000-0000-00002D970000}"/>
    <cellStyle name="표준 5 3 7 2 8" xfId="15949" xr:uid="{00000000-0005-0000-0000-00002E970000}"/>
    <cellStyle name="표준 5 3 7 2 9" xfId="20111" xr:uid="{00000000-0005-0000-0000-00002F970000}"/>
    <cellStyle name="표준 5 3 7 3" xfId="998" xr:uid="{00000000-0005-0000-0000-000030970000}"/>
    <cellStyle name="표준 5 3 7 3 2" xfId="9901" xr:uid="{00000000-0005-0000-0000-000031970000}"/>
    <cellStyle name="표준 5 3 7 3 2 2" xfId="14013" xr:uid="{00000000-0005-0000-0000-000032970000}"/>
    <cellStyle name="표준 5 3 7 3 2 2 2" xfId="30607" xr:uid="{00000000-0005-0000-0000-000033970000}"/>
    <cellStyle name="표준 5 3 7 3 2 2 3" xfId="38818" xr:uid="{00000000-0005-0000-0000-000034970000}"/>
    <cellStyle name="표준 5 3 7 3 2 2 4" xfId="47011" xr:uid="{00000000-0005-0000-0000-000035970000}"/>
    <cellStyle name="표준 5 3 7 3 2 3" xfId="18253" xr:uid="{00000000-0005-0000-0000-000036970000}"/>
    <cellStyle name="표준 5 3 7 3 2 4" xfId="22415" xr:uid="{00000000-0005-0000-0000-000037970000}"/>
    <cellStyle name="표준 5 3 7 3 2 5" xfId="26511" xr:uid="{00000000-0005-0000-0000-000038970000}"/>
    <cellStyle name="표준 5 3 7 3 2 6" xfId="34722" xr:uid="{00000000-0005-0000-0000-000039970000}"/>
    <cellStyle name="표준 5 3 7 3 2 7" xfId="42915" xr:uid="{00000000-0005-0000-0000-00003A970000}"/>
    <cellStyle name="표준 5 3 7 3 3" xfId="7853" xr:uid="{00000000-0005-0000-0000-00003B970000}"/>
    <cellStyle name="표준 5 3 7 3 3 2" xfId="28559" xr:uid="{00000000-0005-0000-0000-00003C970000}"/>
    <cellStyle name="표준 5 3 7 3 3 3" xfId="36770" xr:uid="{00000000-0005-0000-0000-00003D970000}"/>
    <cellStyle name="표준 5 3 7 3 3 4" xfId="44963" xr:uid="{00000000-0005-0000-0000-00003E970000}"/>
    <cellStyle name="표준 5 3 7 3 4" xfId="11965" xr:uid="{00000000-0005-0000-0000-00003F970000}"/>
    <cellStyle name="표준 5 3 7 3 5" xfId="16205" xr:uid="{00000000-0005-0000-0000-000040970000}"/>
    <cellStyle name="표준 5 3 7 3 6" xfId="20367" xr:uid="{00000000-0005-0000-0000-000041970000}"/>
    <cellStyle name="표준 5 3 7 3 7" xfId="24463" xr:uid="{00000000-0005-0000-0000-000042970000}"/>
    <cellStyle name="표준 5 3 7 3 8" xfId="32674" xr:uid="{00000000-0005-0000-0000-000043970000}"/>
    <cellStyle name="표준 5 3 7 3 9" xfId="40867" xr:uid="{00000000-0005-0000-0000-000044970000}"/>
    <cellStyle name="표준 5 3 7 4" xfId="1510" xr:uid="{00000000-0005-0000-0000-000045970000}"/>
    <cellStyle name="표준 5 3 7 4 2" xfId="10413" xr:uid="{00000000-0005-0000-0000-000046970000}"/>
    <cellStyle name="표준 5 3 7 4 2 2" xfId="14525" xr:uid="{00000000-0005-0000-0000-000047970000}"/>
    <cellStyle name="표준 5 3 7 4 2 2 2" xfId="31119" xr:uid="{00000000-0005-0000-0000-000048970000}"/>
    <cellStyle name="표준 5 3 7 4 2 2 3" xfId="39330" xr:uid="{00000000-0005-0000-0000-000049970000}"/>
    <cellStyle name="표준 5 3 7 4 2 2 4" xfId="47523" xr:uid="{00000000-0005-0000-0000-00004A970000}"/>
    <cellStyle name="표준 5 3 7 4 2 3" xfId="18765" xr:uid="{00000000-0005-0000-0000-00004B970000}"/>
    <cellStyle name="표준 5 3 7 4 2 4" xfId="22927" xr:uid="{00000000-0005-0000-0000-00004C970000}"/>
    <cellStyle name="표준 5 3 7 4 2 5" xfId="27023" xr:uid="{00000000-0005-0000-0000-00004D970000}"/>
    <cellStyle name="표준 5 3 7 4 2 6" xfId="35234" xr:uid="{00000000-0005-0000-0000-00004E970000}"/>
    <cellStyle name="표준 5 3 7 4 2 7" xfId="43427" xr:uid="{00000000-0005-0000-0000-00004F970000}"/>
    <cellStyle name="표준 5 3 7 4 3" xfId="8365" xr:uid="{00000000-0005-0000-0000-000050970000}"/>
    <cellStyle name="표준 5 3 7 4 3 2" xfId="29071" xr:uid="{00000000-0005-0000-0000-000051970000}"/>
    <cellStyle name="표준 5 3 7 4 3 3" xfId="37282" xr:uid="{00000000-0005-0000-0000-000052970000}"/>
    <cellStyle name="표준 5 3 7 4 3 4" xfId="45475" xr:uid="{00000000-0005-0000-0000-000053970000}"/>
    <cellStyle name="표준 5 3 7 4 4" xfId="12477" xr:uid="{00000000-0005-0000-0000-000054970000}"/>
    <cellStyle name="표준 5 3 7 4 5" xfId="16717" xr:uid="{00000000-0005-0000-0000-000055970000}"/>
    <cellStyle name="표준 5 3 7 4 6" xfId="20879" xr:uid="{00000000-0005-0000-0000-000056970000}"/>
    <cellStyle name="표준 5 3 7 4 7" xfId="24975" xr:uid="{00000000-0005-0000-0000-000057970000}"/>
    <cellStyle name="표준 5 3 7 4 8" xfId="33186" xr:uid="{00000000-0005-0000-0000-000058970000}"/>
    <cellStyle name="표준 5 3 7 4 9" xfId="41379" xr:uid="{00000000-0005-0000-0000-000059970000}"/>
    <cellStyle name="표준 5 3 7 5" xfId="2022" xr:uid="{00000000-0005-0000-0000-00005A970000}"/>
    <cellStyle name="표준 5 3 7 5 2" xfId="10925" xr:uid="{00000000-0005-0000-0000-00005B970000}"/>
    <cellStyle name="표준 5 3 7 5 2 2" xfId="15037" xr:uid="{00000000-0005-0000-0000-00005C970000}"/>
    <cellStyle name="표준 5 3 7 5 2 2 2" xfId="31631" xr:uid="{00000000-0005-0000-0000-00005D970000}"/>
    <cellStyle name="표준 5 3 7 5 2 2 3" xfId="39842" xr:uid="{00000000-0005-0000-0000-00005E970000}"/>
    <cellStyle name="표준 5 3 7 5 2 2 4" xfId="48035" xr:uid="{00000000-0005-0000-0000-00005F970000}"/>
    <cellStyle name="표준 5 3 7 5 2 3" xfId="19277" xr:uid="{00000000-0005-0000-0000-000060970000}"/>
    <cellStyle name="표준 5 3 7 5 2 4" xfId="23439" xr:uid="{00000000-0005-0000-0000-000061970000}"/>
    <cellStyle name="표준 5 3 7 5 2 5" xfId="27535" xr:uid="{00000000-0005-0000-0000-000062970000}"/>
    <cellStyle name="표준 5 3 7 5 2 6" xfId="35746" xr:uid="{00000000-0005-0000-0000-000063970000}"/>
    <cellStyle name="표준 5 3 7 5 2 7" xfId="43939" xr:uid="{00000000-0005-0000-0000-000064970000}"/>
    <cellStyle name="표준 5 3 7 5 3" xfId="8877" xr:uid="{00000000-0005-0000-0000-000065970000}"/>
    <cellStyle name="표준 5 3 7 5 3 2" xfId="29583" xr:uid="{00000000-0005-0000-0000-000066970000}"/>
    <cellStyle name="표준 5 3 7 5 3 3" xfId="37794" xr:uid="{00000000-0005-0000-0000-000067970000}"/>
    <cellStyle name="표준 5 3 7 5 3 4" xfId="45987" xr:uid="{00000000-0005-0000-0000-000068970000}"/>
    <cellStyle name="표준 5 3 7 5 4" xfId="12989" xr:uid="{00000000-0005-0000-0000-000069970000}"/>
    <cellStyle name="표준 5 3 7 5 5" xfId="17229" xr:uid="{00000000-0005-0000-0000-00006A970000}"/>
    <cellStyle name="표준 5 3 7 5 6" xfId="21391" xr:uid="{00000000-0005-0000-0000-00006B970000}"/>
    <cellStyle name="표준 5 3 7 5 7" xfId="25487" xr:uid="{00000000-0005-0000-0000-00006C970000}"/>
    <cellStyle name="표준 5 3 7 5 8" xfId="33698" xr:uid="{00000000-0005-0000-0000-00006D970000}"/>
    <cellStyle name="표준 5 3 7 5 9" xfId="41891" xr:uid="{00000000-0005-0000-0000-00006E970000}"/>
    <cellStyle name="표준 5 3 7 6" xfId="9389" xr:uid="{00000000-0005-0000-0000-00006F970000}"/>
    <cellStyle name="표준 5 3 7 6 2" xfId="13501" xr:uid="{00000000-0005-0000-0000-000070970000}"/>
    <cellStyle name="표준 5 3 7 6 2 2" xfId="30095" xr:uid="{00000000-0005-0000-0000-000071970000}"/>
    <cellStyle name="표준 5 3 7 6 2 3" xfId="38306" xr:uid="{00000000-0005-0000-0000-000072970000}"/>
    <cellStyle name="표준 5 3 7 6 2 4" xfId="46499" xr:uid="{00000000-0005-0000-0000-000073970000}"/>
    <cellStyle name="표준 5 3 7 6 3" xfId="17741" xr:uid="{00000000-0005-0000-0000-000074970000}"/>
    <cellStyle name="표준 5 3 7 6 4" xfId="21903" xr:uid="{00000000-0005-0000-0000-000075970000}"/>
    <cellStyle name="표준 5 3 7 6 5" xfId="25999" xr:uid="{00000000-0005-0000-0000-000076970000}"/>
    <cellStyle name="표준 5 3 7 6 6" xfId="34210" xr:uid="{00000000-0005-0000-0000-000077970000}"/>
    <cellStyle name="표준 5 3 7 6 7" xfId="42403" xr:uid="{00000000-0005-0000-0000-000078970000}"/>
    <cellStyle name="표준 5 3 7 7" xfId="7341" xr:uid="{00000000-0005-0000-0000-000079970000}"/>
    <cellStyle name="표준 5 3 7 7 2" xfId="28047" xr:uid="{00000000-0005-0000-0000-00007A970000}"/>
    <cellStyle name="표준 5 3 7 7 3" xfId="36258" xr:uid="{00000000-0005-0000-0000-00007B970000}"/>
    <cellStyle name="표준 5 3 7 7 4" xfId="44451" xr:uid="{00000000-0005-0000-0000-00007C970000}"/>
    <cellStyle name="표준 5 3 7 8" xfId="11453" xr:uid="{00000000-0005-0000-0000-00007D970000}"/>
    <cellStyle name="표준 5 3 7 9" xfId="15693" xr:uid="{00000000-0005-0000-0000-00007E970000}"/>
    <cellStyle name="표준 5 3 8" xfId="614" xr:uid="{00000000-0005-0000-0000-00007F970000}"/>
    <cellStyle name="표준 5 3 8 10" xfId="24079" xr:uid="{00000000-0005-0000-0000-000080970000}"/>
    <cellStyle name="표준 5 3 8 11" xfId="32290" xr:uid="{00000000-0005-0000-0000-000081970000}"/>
    <cellStyle name="표준 5 3 8 12" xfId="40483" xr:uid="{00000000-0005-0000-0000-000082970000}"/>
    <cellStyle name="표준 5 3 8 2" xfId="1126" xr:uid="{00000000-0005-0000-0000-000083970000}"/>
    <cellStyle name="표준 5 3 8 2 2" xfId="10029" xr:uid="{00000000-0005-0000-0000-000084970000}"/>
    <cellStyle name="표준 5 3 8 2 2 2" xfId="14141" xr:uid="{00000000-0005-0000-0000-000085970000}"/>
    <cellStyle name="표준 5 3 8 2 2 2 2" xfId="30735" xr:uid="{00000000-0005-0000-0000-000086970000}"/>
    <cellStyle name="표준 5 3 8 2 2 2 3" xfId="38946" xr:uid="{00000000-0005-0000-0000-000087970000}"/>
    <cellStyle name="표준 5 3 8 2 2 2 4" xfId="47139" xr:uid="{00000000-0005-0000-0000-000088970000}"/>
    <cellStyle name="표준 5 3 8 2 2 3" xfId="18381" xr:uid="{00000000-0005-0000-0000-000089970000}"/>
    <cellStyle name="표준 5 3 8 2 2 4" xfId="22543" xr:uid="{00000000-0005-0000-0000-00008A970000}"/>
    <cellStyle name="표준 5 3 8 2 2 5" xfId="26639" xr:uid="{00000000-0005-0000-0000-00008B970000}"/>
    <cellStyle name="표준 5 3 8 2 2 6" xfId="34850" xr:uid="{00000000-0005-0000-0000-00008C970000}"/>
    <cellStyle name="표준 5 3 8 2 2 7" xfId="43043" xr:uid="{00000000-0005-0000-0000-00008D970000}"/>
    <cellStyle name="표준 5 3 8 2 3" xfId="7981" xr:uid="{00000000-0005-0000-0000-00008E970000}"/>
    <cellStyle name="표준 5 3 8 2 3 2" xfId="28687" xr:uid="{00000000-0005-0000-0000-00008F970000}"/>
    <cellStyle name="표준 5 3 8 2 3 3" xfId="36898" xr:uid="{00000000-0005-0000-0000-000090970000}"/>
    <cellStyle name="표준 5 3 8 2 3 4" xfId="45091" xr:uid="{00000000-0005-0000-0000-000091970000}"/>
    <cellStyle name="표준 5 3 8 2 4" xfId="12093" xr:uid="{00000000-0005-0000-0000-000092970000}"/>
    <cellStyle name="표준 5 3 8 2 5" xfId="16333" xr:uid="{00000000-0005-0000-0000-000093970000}"/>
    <cellStyle name="표준 5 3 8 2 6" xfId="20495" xr:uid="{00000000-0005-0000-0000-000094970000}"/>
    <cellStyle name="표준 5 3 8 2 7" xfId="24591" xr:uid="{00000000-0005-0000-0000-000095970000}"/>
    <cellStyle name="표준 5 3 8 2 8" xfId="32802" xr:uid="{00000000-0005-0000-0000-000096970000}"/>
    <cellStyle name="표준 5 3 8 2 9" xfId="40995" xr:uid="{00000000-0005-0000-0000-000097970000}"/>
    <cellStyle name="표준 5 3 8 3" xfId="1638" xr:uid="{00000000-0005-0000-0000-000098970000}"/>
    <cellStyle name="표준 5 3 8 3 2" xfId="10541" xr:uid="{00000000-0005-0000-0000-000099970000}"/>
    <cellStyle name="표준 5 3 8 3 2 2" xfId="14653" xr:uid="{00000000-0005-0000-0000-00009A970000}"/>
    <cellStyle name="표준 5 3 8 3 2 2 2" xfId="31247" xr:uid="{00000000-0005-0000-0000-00009B970000}"/>
    <cellStyle name="표준 5 3 8 3 2 2 3" xfId="39458" xr:uid="{00000000-0005-0000-0000-00009C970000}"/>
    <cellStyle name="표준 5 3 8 3 2 2 4" xfId="47651" xr:uid="{00000000-0005-0000-0000-00009D970000}"/>
    <cellStyle name="표준 5 3 8 3 2 3" xfId="18893" xr:uid="{00000000-0005-0000-0000-00009E970000}"/>
    <cellStyle name="표준 5 3 8 3 2 4" xfId="23055" xr:uid="{00000000-0005-0000-0000-00009F970000}"/>
    <cellStyle name="표준 5 3 8 3 2 5" xfId="27151" xr:uid="{00000000-0005-0000-0000-0000A0970000}"/>
    <cellStyle name="표준 5 3 8 3 2 6" xfId="35362" xr:uid="{00000000-0005-0000-0000-0000A1970000}"/>
    <cellStyle name="표준 5 3 8 3 2 7" xfId="43555" xr:uid="{00000000-0005-0000-0000-0000A2970000}"/>
    <cellStyle name="표준 5 3 8 3 3" xfId="8493" xr:uid="{00000000-0005-0000-0000-0000A3970000}"/>
    <cellStyle name="표준 5 3 8 3 3 2" xfId="29199" xr:uid="{00000000-0005-0000-0000-0000A4970000}"/>
    <cellStyle name="표준 5 3 8 3 3 3" xfId="37410" xr:uid="{00000000-0005-0000-0000-0000A5970000}"/>
    <cellStyle name="표준 5 3 8 3 3 4" xfId="45603" xr:uid="{00000000-0005-0000-0000-0000A6970000}"/>
    <cellStyle name="표준 5 3 8 3 4" xfId="12605" xr:uid="{00000000-0005-0000-0000-0000A7970000}"/>
    <cellStyle name="표준 5 3 8 3 5" xfId="16845" xr:uid="{00000000-0005-0000-0000-0000A8970000}"/>
    <cellStyle name="표준 5 3 8 3 6" xfId="21007" xr:uid="{00000000-0005-0000-0000-0000A9970000}"/>
    <cellStyle name="표준 5 3 8 3 7" xfId="25103" xr:uid="{00000000-0005-0000-0000-0000AA970000}"/>
    <cellStyle name="표준 5 3 8 3 8" xfId="33314" xr:uid="{00000000-0005-0000-0000-0000AB970000}"/>
    <cellStyle name="표준 5 3 8 3 9" xfId="41507" xr:uid="{00000000-0005-0000-0000-0000AC970000}"/>
    <cellStyle name="표준 5 3 8 4" xfId="2150" xr:uid="{00000000-0005-0000-0000-0000AD970000}"/>
    <cellStyle name="표준 5 3 8 4 2" xfId="11053" xr:uid="{00000000-0005-0000-0000-0000AE970000}"/>
    <cellStyle name="표준 5 3 8 4 2 2" xfId="15165" xr:uid="{00000000-0005-0000-0000-0000AF970000}"/>
    <cellStyle name="표준 5 3 8 4 2 2 2" xfId="31759" xr:uid="{00000000-0005-0000-0000-0000B0970000}"/>
    <cellStyle name="표준 5 3 8 4 2 2 3" xfId="39970" xr:uid="{00000000-0005-0000-0000-0000B1970000}"/>
    <cellStyle name="표준 5 3 8 4 2 2 4" xfId="48163" xr:uid="{00000000-0005-0000-0000-0000B2970000}"/>
    <cellStyle name="표준 5 3 8 4 2 3" xfId="19405" xr:uid="{00000000-0005-0000-0000-0000B3970000}"/>
    <cellStyle name="표준 5 3 8 4 2 4" xfId="23567" xr:uid="{00000000-0005-0000-0000-0000B4970000}"/>
    <cellStyle name="표준 5 3 8 4 2 5" xfId="27663" xr:uid="{00000000-0005-0000-0000-0000B5970000}"/>
    <cellStyle name="표준 5 3 8 4 2 6" xfId="35874" xr:uid="{00000000-0005-0000-0000-0000B6970000}"/>
    <cellStyle name="표준 5 3 8 4 2 7" xfId="44067" xr:uid="{00000000-0005-0000-0000-0000B7970000}"/>
    <cellStyle name="표준 5 3 8 4 3" xfId="9005" xr:uid="{00000000-0005-0000-0000-0000B8970000}"/>
    <cellStyle name="표준 5 3 8 4 3 2" xfId="29711" xr:uid="{00000000-0005-0000-0000-0000B9970000}"/>
    <cellStyle name="표준 5 3 8 4 3 3" xfId="37922" xr:uid="{00000000-0005-0000-0000-0000BA970000}"/>
    <cellStyle name="표준 5 3 8 4 3 4" xfId="46115" xr:uid="{00000000-0005-0000-0000-0000BB970000}"/>
    <cellStyle name="표준 5 3 8 4 4" xfId="13117" xr:uid="{00000000-0005-0000-0000-0000BC970000}"/>
    <cellStyle name="표준 5 3 8 4 5" xfId="17357" xr:uid="{00000000-0005-0000-0000-0000BD970000}"/>
    <cellStyle name="표준 5 3 8 4 6" xfId="21519" xr:uid="{00000000-0005-0000-0000-0000BE970000}"/>
    <cellStyle name="표준 5 3 8 4 7" xfId="25615" xr:uid="{00000000-0005-0000-0000-0000BF970000}"/>
    <cellStyle name="표준 5 3 8 4 8" xfId="33826" xr:uid="{00000000-0005-0000-0000-0000C0970000}"/>
    <cellStyle name="표준 5 3 8 4 9" xfId="42019" xr:uid="{00000000-0005-0000-0000-0000C1970000}"/>
    <cellStyle name="표준 5 3 8 5" xfId="9517" xr:uid="{00000000-0005-0000-0000-0000C2970000}"/>
    <cellStyle name="표준 5 3 8 5 2" xfId="13629" xr:uid="{00000000-0005-0000-0000-0000C3970000}"/>
    <cellStyle name="표준 5 3 8 5 2 2" xfId="30223" xr:uid="{00000000-0005-0000-0000-0000C4970000}"/>
    <cellStyle name="표준 5 3 8 5 2 3" xfId="38434" xr:uid="{00000000-0005-0000-0000-0000C5970000}"/>
    <cellStyle name="표준 5 3 8 5 2 4" xfId="46627" xr:uid="{00000000-0005-0000-0000-0000C6970000}"/>
    <cellStyle name="표준 5 3 8 5 3" xfId="17869" xr:uid="{00000000-0005-0000-0000-0000C7970000}"/>
    <cellStyle name="표준 5 3 8 5 4" xfId="22031" xr:uid="{00000000-0005-0000-0000-0000C8970000}"/>
    <cellStyle name="표준 5 3 8 5 5" xfId="26127" xr:uid="{00000000-0005-0000-0000-0000C9970000}"/>
    <cellStyle name="표준 5 3 8 5 6" xfId="34338" xr:uid="{00000000-0005-0000-0000-0000CA970000}"/>
    <cellStyle name="표준 5 3 8 5 7" xfId="42531" xr:uid="{00000000-0005-0000-0000-0000CB970000}"/>
    <cellStyle name="표준 5 3 8 6" xfId="7469" xr:uid="{00000000-0005-0000-0000-0000CC970000}"/>
    <cellStyle name="표준 5 3 8 6 2" xfId="28175" xr:uid="{00000000-0005-0000-0000-0000CD970000}"/>
    <cellStyle name="표준 5 3 8 6 3" xfId="36386" xr:uid="{00000000-0005-0000-0000-0000CE970000}"/>
    <cellStyle name="표준 5 3 8 6 4" xfId="44579" xr:uid="{00000000-0005-0000-0000-0000CF970000}"/>
    <cellStyle name="표준 5 3 8 7" xfId="11581" xr:uid="{00000000-0005-0000-0000-0000D0970000}"/>
    <cellStyle name="표준 5 3 8 8" xfId="15821" xr:uid="{00000000-0005-0000-0000-0000D1970000}"/>
    <cellStyle name="표준 5 3 8 9" xfId="19983" xr:uid="{00000000-0005-0000-0000-0000D2970000}"/>
    <cellStyle name="표준 5 3 9" xfId="870" xr:uid="{00000000-0005-0000-0000-0000D3970000}"/>
    <cellStyle name="표준 5 3 9 2" xfId="9773" xr:uid="{00000000-0005-0000-0000-0000D4970000}"/>
    <cellStyle name="표준 5 3 9 2 2" xfId="13885" xr:uid="{00000000-0005-0000-0000-0000D5970000}"/>
    <cellStyle name="표준 5 3 9 2 2 2" xfId="30479" xr:uid="{00000000-0005-0000-0000-0000D6970000}"/>
    <cellStyle name="표준 5 3 9 2 2 3" xfId="38690" xr:uid="{00000000-0005-0000-0000-0000D7970000}"/>
    <cellStyle name="표준 5 3 9 2 2 4" xfId="46883" xr:uid="{00000000-0005-0000-0000-0000D8970000}"/>
    <cellStyle name="표준 5 3 9 2 3" xfId="18125" xr:uid="{00000000-0005-0000-0000-0000D9970000}"/>
    <cellStyle name="표준 5 3 9 2 4" xfId="22287" xr:uid="{00000000-0005-0000-0000-0000DA970000}"/>
    <cellStyle name="표준 5 3 9 2 5" xfId="26383" xr:uid="{00000000-0005-0000-0000-0000DB970000}"/>
    <cellStyle name="표준 5 3 9 2 6" xfId="34594" xr:uid="{00000000-0005-0000-0000-0000DC970000}"/>
    <cellStyle name="표준 5 3 9 2 7" xfId="42787" xr:uid="{00000000-0005-0000-0000-0000DD970000}"/>
    <cellStyle name="표준 5 3 9 3" xfId="7725" xr:uid="{00000000-0005-0000-0000-0000DE970000}"/>
    <cellStyle name="표준 5 3 9 3 2" xfId="28431" xr:uid="{00000000-0005-0000-0000-0000DF970000}"/>
    <cellStyle name="표준 5 3 9 3 3" xfId="36642" xr:uid="{00000000-0005-0000-0000-0000E0970000}"/>
    <cellStyle name="표준 5 3 9 3 4" xfId="44835" xr:uid="{00000000-0005-0000-0000-0000E1970000}"/>
    <cellStyle name="표준 5 3 9 4" xfId="11837" xr:uid="{00000000-0005-0000-0000-0000E2970000}"/>
    <cellStyle name="표준 5 3 9 5" xfId="16077" xr:uid="{00000000-0005-0000-0000-0000E3970000}"/>
    <cellStyle name="표준 5 3 9 6" xfId="20239" xr:uid="{00000000-0005-0000-0000-0000E4970000}"/>
    <cellStyle name="표준 5 3 9 7" xfId="24335" xr:uid="{00000000-0005-0000-0000-0000E5970000}"/>
    <cellStyle name="표준 5 3 9 8" xfId="32546" xr:uid="{00000000-0005-0000-0000-0000E6970000}"/>
    <cellStyle name="표준 5 3 9 9" xfId="40739" xr:uid="{00000000-0005-0000-0000-0000E7970000}"/>
    <cellStyle name="표준 5 30" xfId="19659" xr:uid="{00000000-0005-0000-0000-0000E8970000}"/>
    <cellStyle name="표준 5 31" xfId="19675" xr:uid="{00000000-0005-0000-0000-0000E9970000}"/>
    <cellStyle name="표준 5 32" xfId="19691" xr:uid="{00000000-0005-0000-0000-0000EA970000}"/>
    <cellStyle name="표준 5 33" xfId="19707" xr:uid="{00000000-0005-0000-0000-0000EB970000}"/>
    <cellStyle name="표준 5 34" xfId="19737" xr:uid="{00000000-0005-0000-0000-0000EC970000}"/>
    <cellStyle name="표준 5 35" xfId="23821" xr:uid="{00000000-0005-0000-0000-0000ED970000}"/>
    <cellStyle name="표준 5 36" xfId="32015" xr:uid="{00000000-0005-0000-0000-0000EE970000}"/>
    <cellStyle name="표준 5 37" xfId="32032" xr:uid="{00000000-0005-0000-0000-0000EF970000}"/>
    <cellStyle name="표준 5 38" xfId="40226" xr:uid="{00000000-0005-0000-0000-0000F0970000}"/>
    <cellStyle name="표준 5 39" xfId="48427" xr:uid="{00000000-0005-0000-0000-0000F1970000}"/>
    <cellStyle name="표준 5 4" xfId="49" xr:uid="{00000000-0005-0000-0000-0000F2970000}"/>
    <cellStyle name="표준 5 4 10" xfId="1896" xr:uid="{00000000-0005-0000-0000-0000F3970000}"/>
    <cellStyle name="표준 5 4 10 2" xfId="10799" xr:uid="{00000000-0005-0000-0000-0000F4970000}"/>
    <cellStyle name="표준 5 4 10 2 2" xfId="14911" xr:uid="{00000000-0005-0000-0000-0000F5970000}"/>
    <cellStyle name="표준 5 4 10 2 2 2" xfId="31505" xr:uid="{00000000-0005-0000-0000-0000F6970000}"/>
    <cellStyle name="표준 5 4 10 2 2 3" xfId="39716" xr:uid="{00000000-0005-0000-0000-0000F7970000}"/>
    <cellStyle name="표준 5 4 10 2 2 4" xfId="47909" xr:uid="{00000000-0005-0000-0000-0000F8970000}"/>
    <cellStyle name="표준 5 4 10 2 3" xfId="19151" xr:uid="{00000000-0005-0000-0000-0000F9970000}"/>
    <cellStyle name="표준 5 4 10 2 4" xfId="23313" xr:uid="{00000000-0005-0000-0000-0000FA970000}"/>
    <cellStyle name="표준 5 4 10 2 5" xfId="27409" xr:uid="{00000000-0005-0000-0000-0000FB970000}"/>
    <cellStyle name="표준 5 4 10 2 6" xfId="35620" xr:uid="{00000000-0005-0000-0000-0000FC970000}"/>
    <cellStyle name="표준 5 4 10 2 7" xfId="43813" xr:uid="{00000000-0005-0000-0000-0000FD970000}"/>
    <cellStyle name="표준 5 4 10 3" xfId="8751" xr:uid="{00000000-0005-0000-0000-0000FE970000}"/>
    <cellStyle name="표준 5 4 10 3 2" xfId="29457" xr:uid="{00000000-0005-0000-0000-0000FF970000}"/>
    <cellStyle name="표준 5 4 10 3 3" xfId="37668" xr:uid="{00000000-0005-0000-0000-000000980000}"/>
    <cellStyle name="표준 5 4 10 3 4" xfId="45861" xr:uid="{00000000-0005-0000-0000-000001980000}"/>
    <cellStyle name="표준 5 4 10 4" xfId="12863" xr:uid="{00000000-0005-0000-0000-000002980000}"/>
    <cellStyle name="표준 5 4 10 5" xfId="17103" xr:uid="{00000000-0005-0000-0000-000003980000}"/>
    <cellStyle name="표준 5 4 10 6" xfId="21265" xr:uid="{00000000-0005-0000-0000-000004980000}"/>
    <cellStyle name="표준 5 4 10 7" xfId="25361" xr:uid="{00000000-0005-0000-0000-000005980000}"/>
    <cellStyle name="표준 5 4 10 8" xfId="33572" xr:uid="{00000000-0005-0000-0000-000006980000}"/>
    <cellStyle name="표준 5 4 10 9" xfId="41765" xr:uid="{00000000-0005-0000-0000-000007980000}"/>
    <cellStyle name="표준 5 4 11" xfId="4339" xr:uid="{00000000-0005-0000-0000-000008980000}"/>
    <cellStyle name="표준 5 4 11 2" xfId="9263" xr:uid="{00000000-0005-0000-0000-000009980000}"/>
    <cellStyle name="표준 5 4 11 2 2" xfId="29969" xr:uid="{00000000-0005-0000-0000-00000A980000}"/>
    <cellStyle name="표준 5 4 11 2 3" xfId="38180" xr:uid="{00000000-0005-0000-0000-00000B980000}"/>
    <cellStyle name="표준 5 4 11 2 4" xfId="46373" xr:uid="{00000000-0005-0000-0000-00000C980000}"/>
    <cellStyle name="표준 5 4 11 3" xfId="13375" xr:uid="{00000000-0005-0000-0000-00000D980000}"/>
    <cellStyle name="표준 5 4 11 4" xfId="17615" xr:uid="{00000000-0005-0000-0000-00000E980000}"/>
    <cellStyle name="표준 5 4 11 5" xfId="21777" xr:uid="{00000000-0005-0000-0000-00000F980000}"/>
    <cellStyle name="표준 5 4 11 6" xfId="25873" xr:uid="{00000000-0005-0000-0000-000010980000}"/>
    <cellStyle name="표준 5 4 11 7" xfId="34084" xr:uid="{00000000-0005-0000-0000-000011980000}"/>
    <cellStyle name="표준 5 4 11 8" xfId="42277" xr:uid="{00000000-0005-0000-0000-000012980000}"/>
    <cellStyle name="표준 5 4 12" xfId="4393" xr:uid="{00000000-0005-0000-0000-000013980000}"/>
    <cellStyle name="표준 5 4 12 2" xfId="27921" xr:uid="{00000000-0005-0000-0000-000014980000}"/>
    <cellStyle name="표준 5 4 12 3" xfId="36132" xr:uid="{00000000-0005-0000-0000-000015980000}"/>
    <cellStyle name="표준 5 4 12 4" xfId="44325" xr:uid="{00000000-0005-0000-0000-000016980000}"/>
    <cellStyle name="표준 5 4 13" xfId="6950" xr:uid="{00000000-0005-0000-0000-000017980000}"/>
    <cellStyle name="표준 5 4 14" xfId="7068" xr:uid="{00000000-0005-0000-0000-000018980000}"/>
    <cellStyle name="표준 5 4 15" xfId="7084" xr:uid="{00000000-0005-0000-0000-000019980000}"/>
    <cellStyle name="표준 5 4 16" xfId="7100" xr:uid="{00000000-0005-0000-0000-00001A980000}"/>
    <cellStyle name="표준 5 4 17" xfId="7206" xr:uid="{00000000-0005-0000-0000-00001B980000}"/>
    <cellStyle name="표준 5 4 18" xfId="7215" xr:uid="{00000000-0005-0000-0000-00001C980000}"/>
    <cellStyle name="표준 5 4 19" xfId="11311" xr:uid="{00000000-0005-0000-0000-00001D980000}"/>
    <cellStyle name="표준 5 4 2" xfId="75" xr:uid="{00000000-0005-0000-0000-00001E980000}"/>
    <cellStyle name="표준 5 4 2 10" xfId="4401" xr:uid="{00000000-0005-0000-0000-00001F980000}"/>
    <cellStyle name="표준 5 4 2 10 2" xfId="9271" xr:uid="{00000000-0005-0000-0000-000020980000}"/>
    <cellStyle name="표준 5 4 2 10 2 2" xfId="29977" xr:uid="{00000000-0005-0000-0000-000021980000}"/>
    <cellStyle name="표준 5 4 2 10 2 3" xfId="38188" xr:uid="{00000000-0005-0000-0000-000022980000}"/>
    <cellStyle name="표준 5 4 2 10 2 4" xfId="46381" xr:uid="{00000000-0005-0000-0000-000023980000}"/>
    <cellStyle name="표준 5 4 2 10 3" xfId="13383" xr:uid="{00000000-0005-0000-0000-000024980000}"/>
    <cellStyle name="표준 5 4 2 10 4" xfId="17623" xr:uid="{00000000-0005-0000-0000-000025980000}"/>
    <cellStyle name="표준 5 4 2 10 5" xfId="21785" xr:uid="{00000000-0005-0000-0000-000026980000}"/>
    <cellStyle name="표준 5 4 2 10 6" xfId="25881" xr:uid="{00000000-0005-0000-0000-000027980000}"/>
    <cellStyle name="표준 5 4 2 10 7" xfId="34092" xr:uid="{00000000-0005-0000-0000-000028980000}"/>
    <cellStyle name="표준 5 4 2 10 8" xfId="42285" xr:uid="{00000000-0005-0000-0000-000029980000}"/>
    <cellStyle name="표준 5 4 2 11" xfId="6958" xr:uid="{00000000-0005-0000-0000-00002A980000}"/>
    <cellStyle name="표준 5 4 2 11 2" xfId="27929" xr:uid="{00000000-0005-0000-0000-00002B980000}"/>
    <cellStyle name="표준 5 4 2 11 3" xfId="36140" xr:uid="{00000000-0005-0000-0000-00002C980000}"/>
    <cellStyle name="표준 5 4 2 11 4" xfId="44333" xr:uid="{00000000-0005-0000-0000-00002D980000}"/>
    <cellStyle name="표준 5 4 2 12" xfId="7076" xr:uid="{00000000-0005-0000-0000-00002E980000}"/>
    <cellStyle name="표준 5 4 2 13" xfId="7092" xr:uid="{00000000-0005-0000-0000-00002F980000}"/>
    <cellStyle name="표준 5 4 2 14" xfId="7108" xr:uid="{00000000-0005-0000-0000-000030980000}"/>
    <cellStyle name="표준 5 4 2 15" xfId="7198" xr:uid="{00000000-0005-0000-0000-000031980000}"/>
    <cellStyle name="표준 5 4 2 16" xfId="7223" xr:uid="{00000000-0005-0000-0000-000032980000}"/>
    <cellStyle name="표준 5 4 2 17" xfId="11319" xr:uid="{00000000-0005-0000-0000-000033980000}"/>
    <cellStyle name="표준 5 4 2 18" xfId="11335" xr:uid="{00000000-0005-0000-0000-000034980000}"/>
    <cellStyle name="표준 5 4 2 19" xfId="15431" xr:uid="{00000000-0005-0000-0000-000035980000}"/>
    <cellStyle name="표준 5 4 2 2" xfId="169" xr:uid="{00000000-0005-0000-0000-000036980000}"/>
    <cellStyle name="표준 5 4 2 2 10" xfId="7182" xr:uid="{00000000-0005-0000-0000-000037980000}"/>
    <cellStyle name="표준 5 4 2 2 10 2" xfId="27945" xr:uid="{00000000-0005-0000-0000-000038980000}"/>
    <cellStyle name="표준 5 4 2 2 10 3" xfId="36156" xr:uid="{00000000-0005-0000-0000-000039980000}"/>
    <cellStyle name="표준 5 4 2 2 10 4" xfId="44349" xr:uid="{00000000-0005-0000-0000-00003A980000}"/>
    <cellStyle name="표준 5 4 2 2 11" xfId="7239" xr:uid="{00000000-0005-0000-0000-00003B980000}"/>
    <cellStyle name="표준 5 4 2 2 12" xfId="11351" xr:uid="{00000000-0005-0000-0000-00003C980000}"/>
    <cellStyle name="표준 5 4 2 2 13" xfId="15479" xr:uid="{00000000-0005-0000-0000-00003D980000}"/>
    <cellStyle name="표준 5 4 2 2 14" xfId="15591" xr:uid="{00000000-0005-0000-0000-00003E980000}"/>
    <cellStyle name="표준 5 4 2 2 15" xfId="19753" xr:uid="{00000000-0005-0000-0000-00003F980000}"/>
    <cellStyle name="표준 5 4 2 2 16" xfId="23849" xr:uid="{00000000-0005-0000-0000-000040980000}"/>
    <cellStyle name="표준 5 4 2 2 17" xfId="32060" xr:uid="{00000000-0005-0000-0000-000041980000}"/>
    <cellStyle name="표준 5 4 2 2 18" xfId="40253" xr:uid="{00000000-0005-0000-0000-000042980000}"/>
    <cellStyle name="표준 5 4 2 2 19" xfId="49640" xr:uid="{00000000-0005-0000-0000-000043980000}"/>
    <cellStyle name="표준 5 4 2 2 2" xfId="416" xr:uid="{00000000-0005-0000-0000-000044980000}"/>
    <cellStyle name="표준 5 4 2 2 2 10" xfId="7271" xr:uid="{00000000-0005-0000-0000-000045980000}"/>
    <cellStyle name="표준 5 4 2 2 2 11" xfId="11383" xr:uid="{00000000-0005-0000-0000-000046980000}"/>
    <cellStyle name="표준 5 4 2 2 2 12" xfId="15527" xr:uid="{00000000-0005-0000-0000-000047980000}"/>
    <cellStyle name="표준 5 4 2 2 2 13" xfId="15623" xr:uid="{00000000-0005-0000-0000-000048980000}"/>
    <cellStyle name="표준 5 4 2 2 2 14" xfId="19785" xr:uid="{00000000-0005-0000-0000-000049980000}"/>
    <cellStyle name="표준 5 4 2 2 2 15" xfId="23881" xr:uid="{00000000-0005-0000-0000-00004A980000}"/>
    <cellStyle name="표준 5 4 2 2 2 16" xfId="32092" xr:uid="{00000000-0005-0000-0000-00004B980000}"/>
    <cellStyle name="표준 5 4 2 2 2 17" xfId="40285" xr:uid="{00000000-0005-0000-0000-00004C980000}"/>
    <cellStyle name="표준 5 4 2 2 2 18" xfId="49706" xr:uid="{00000000-0005-0000-0000-00004D980000}"/>
    <cellStyle name="표준 5 4 2 2 2 2" xfId="480" xr:uid="{00000000-0005-0000-0000-00004E980000}"/>
    <cellStyle name="표준 5 4 2 2 2 2 10" xfId="15687" xr:uid="{00000000-0005-0000-0000-00004F980000}"/>
    <cellStyle name="표준 5 4 2 2 2 2 11" xfId="19849" xr:uid="{00000000-0005-0000-0000-000050980000}"/>
    <cellStyle name="표준 5 4 2 2 2 2 12" xfId="23945" xr:uid="{00000000-0005-0000-0000-000051980000}"/>
    <cellStyle name="표준 5 4 2 2 2 2 13" xfId="32156" xr:uid="{00000000-0005-0000-0000-000052980000}"/>
    <cellStyle name="표준 5 4 2 2 2 2 14" xfId="40349" xr:uid="{00000000-0005-0000-0000-000053980000}"/>
    <cellStyle name="표준 5 4 2 2 2 2 2" xfId="608" xr:uid="{00000000-0005-0000-0000-000054980000}"/>
    <cellStyle name="표준 5 4 2 2 2 2 2 10" xfId="19977" xr:uid="{00000000-0005-0000-0000-000055980000}"/>
    <cellStyle name="표준 5 4 2 2 2 2 2 11" xfId="24073" xr:uid="{00000000-0005-0000-0000-000056980000}"/>
    <cellStyle name="표준 5 4 2 2 2 2 2 12" xfId="32284" xr:uid="{00000000-0005-0000-0000-000057980000}"/>
    <cellStyle name="표준 5 4 2 2 2 2 2 13" xfId="40477" xr:uid="{00000000-0005-0000-0000-000058980000}"/>
    <cellStyle name="표준 5 4 2 2 2 2 2 2" xfId="864" xr:uid="{00000000-0005-0000-0000-000059980000}"/>
    <cellStyle name="표준 5 4 2 2 2 2 2 2 10" xfId="24329" xr:uid="{00000000-0005-0000-0000-00005A980000}"/>
    <cellStyle name="표준 5 4 2 2 2 2 2 2 11" xfId="32540" xr:uid="{00000000-0005-0000-0000-00005B980000}"/>
    <cellStyle name="표준 5 4 2 2 2 2 2 2 12" xfId="40733" xr:uid="{00000000-0005-0000-0000-00005C980000}"/>
    <cellStyle name="표준 5 4 2 2 2 2 2 2 2" xfId="1376" xr:uid="{00000000-0005-0000-0000-00005D980000}"/>
    <cellStyle name="표준 5 4 2 2 2 2 2 2 2 2" xfId="10279" xr:uid="{00000000-0005-0000-0000-00005E980000}"/>
    <cellStyle name="표준 5 4 2 2 2 2 2 2 2 2 2" xfId="14391" xr:uid="{00000000-0005-0000-0000-00005F980000}"/>
    <cellStyle name="표준 5 4 2 2 2 2 2 2 2 2 2 2" xfId="30985" xr:uid="{00000000-0005-0000-0000-000060980000}"/>
    <cellStyle name="표준 5 4 2 2 2 2 2 2 2 2 2 3" xfId="39196" xr:uid="{00000000-0005-0000-0000-000061980000}"/>
    <cellStyle name="표준 5 4 2 2 2 2 2 2 2 2 2 4" xfId="47389" xr:uid="{00000000-0005-0000-0000-000062980000}"/>
    <cellStyle name="표준 5 4 2 2 2 2 2 2 2 2 3" xfId="18631" xr:uid="{00000000-0005-0000-0000-000063980000}"/>
    <cellStyle name="표준 5 4 2 2 2 2 2 2 2 2 4" xfId="22793" xr:uid="{00000000-0005-0000-0000-000064980000}"/>
    <cellStyle name="표준 5 4 2 2 2 2 2 2 2 2 5" xfId="26889" xr:uid="{00000000-0005-0000-0000-000065980000}"/>
    <cellStyle name="표준 5 4 2 2 2 2 2 2 2 2 6" xfId="35100" xr:uid="{00000000-0005-0000-0000-000066980000}"/>
    <cellStyle name="표준 5 4 2 2 2 2 2 2 2 2 7" xfId="43293" xr:uid="{00000000-0005-0000-0000-000067980000}"/>
    <cellStyle name="표준 5 4 2 2 2 2 2 2 2 3" xfId="8231" xr:uid="{00000000-0005-0000-0000-000068980000}"/>
    <cellStyle name="표준 5 4 2 2 2 2 2 2 2 3 2" xfId="28937" xr:uid="{00000000-0005-0000-0000-000069980000}"/>
    <cellStyle name="표준 5 4 2 2 2 2 2 2 2 3 3" xfId="37148" xr:uid="{00000000-0005-0000-0000-00006A980000}"/>
    <cellStyle name="표준 5 4 2 2 2 2 2 2 2 3 4" xfId="45341" xr:uid="{00000000-0005-0000-0000-00006B980000}"/>
    <cellStyle name="표준 5 4 2 2 2 2 2 2 2 4" xfId="12343" xr:uid="{00000000-0005-0000-0000-00006C980000}"/>
    <cellStyle name="표준 5 4 2 2 2 2 2 2 2 5" xfId="16583" xr:uid="{00000000-0005-0000-0000-00006D980000}"/>
    <cellStyle name="표준 5 4 2 2 2 2 2 2 2 6" xfId="20745" xr:uid="{00000000-0005-0000-0000-00006E980000}"/>
    <cellStyle name="표준 5 4 2 2 2 2 2 2 2 7" xfId="24841" xr:uid="{00000000-0005-0000-0000-00006F980000}"/>
    <cellStyle name="표준 5 4 2 2 2 2 2 2 2 8" xfId="33052" xr:uid="{00000000-0005-0000-0000-000070980000}"/>
    <cellStyle name="표준 5 4 2 2 2 2 2 2 2 9" xfId="41245" xr:uid="{00000000-0005-0000-0000-000071980000}"/>
    <cellStyle name="표준 5 4 2 2 2 2 2 2 3" xfId="1888" xr:uid="{00000000-0005-0000-0000-000072980000}"/>
    <cellStyle name="표준 5 4 2 2 2 2 2 2 3 2" xfId="10791" xr:uid="{00000000-0005-0000-0000-000073980000}"/>
    <cellStyle name="표준 5 4 2 2 2 2 2 2 3 2 2" xfId="14903" xr:uid="{00000000-0005-0000-0000-000074980000}"/>
    <cellStyle name="표준 5 4 2 2 2 2 2 2 3 2 2 2" xfId="31497" xr:uid="{00000000-0005-0000-0000-000075980000}"/>
    <cellStyle name="표준 5 4 2 2 2 2 2 2 3 2 2 3" xfId="39708" xr:uid="{00000000-0005-0000-0000-000076980000}"/>
    <cellStyle name="표준 5 4 2 2 2 2 2 2 3 2 2 4" xfId="47901" xr:uid="{00000000-0005-0000-0000-000077980000}"/>
    <cellStyle name="표준 5 4 2 2 2 2 2 2 3 2 3" xfId="19143" xr:uid="{00000000-0005-0000-0000-000078980000}"/>
    <cellStyle name="표준 5 4 2 2 2 2 2 2 3 2 4" xfId="23305" xr:uid="{00000000-0005-0000-0000-000079980000}"/>
    <cellStyle name="표준 5 4 2 2 2 2 2 2 3 2 5" xfId="27401" xr:uid="{00000000-0005-0000-0000-00007A980000}"/>
    <cellStyle name="표준 5 4 2 2 2 2 2 2 3 2 6" xfId="35612" xr:uid="{00000000-0005-0000-0000-00007B980000}"/>
    <cellStyle name="표준 5 4 2 2 2 2 2 2 3 2 7" xfId="43805" xr:uid="{00000000-0005-0000-0000-00007C980000}"/>
    <cellStyle name="표준 5 4 2 2 2 2 2 2 3 3" xfId="8743" xr:uid="{00000000-0005-0000-0000-00007D980000}"/>
    <cellStyle name="표준 5 4 2 2 2 2 2 2 3 3 2" xfId="29449" xr:uid="{00000000-0005-0000-0000-00007E980000}"/>
    <cellStyle name="표준 5 4 2 2 2 2 2 2 3 3 3" xfId="37660" xr:uid="{00000000-0005-0000-0000-00007F980000}"/>
    <cellStyle name="표준 5 4 2 2 2 2 2 2 3 3 4" xfId="45853" xr:uid="{00000000-0005-0000-0000-000080980000}"/>
    <cellStyle name="표준 5 4 2 2 2 2 2 2 3 4" xfId="12855" xr:uid="{00000000-0005-0000-0000-000081980000}"/>
    <cellStyle name="표준 5 4 2 2 2 2 2 2 3 5" xfId="17095" xr:uid="{00000000-0005-0000-0000-000082980000}"/>
    <cellStyle name="표준 5 4 2 2 2 2 2 2 3 6" xfId="21257" xr:uid="{00000000-0005-0000-0000-000083980000}"/>
    <cellStyle name="표준 5 4 2 2 2 2 2 2 3 7" xfId="25353" xr:uid="{00000000-0005-0000-0000-000084980000}"/>
    <cellStyle name="표준 5 4 2 2 2 2 2 2 3 8" xfId="33564" xr:uid="{00000000-0005-0000-0000-000085980000}"/>
    <cellStyle name="표준 5 4 2 2 2 2 2 2 3 9" xfId="41757" xr:uid="{00000000-0005-0000-0000-000086980000}"/>
    <cellStyle name="표준 5 4 2 2 2 2 2 2 4" xfId="2400" xr:uid="{00000000-0005-0000-0000-000087980000}"/>
    <cellStyle name="표준 5 4 2 2 2 2 2 2 4 2" xfId="11303" xr:uid="{00000000-0005-0000-0000-000088980000}"/>
    <cellStyle name="표준 5 4 2 2 2 2 2 2 4 2 2" xfId="15415" xr:uid="{00000000-0005-0000-0000-000089980000}"/>
    <cellStyle name="표준 5 4 2 2 2 2 2 2 4 2 2 2" xfId="32009" xr:uid="{00000000-0005-0000-0000-00008A980000}"/>
    <cellStyle name="표준 5 4 2 2 2 2 2 2 4 2 2 3" xfId="40220" xr:uid="{00000000-0005-0000-0000-00008B980000}"/>
    <cellStyle name="표준 5 4 2 2 2 2 2 2 4 2 2 4" xfId="48413" xr:uid="{00000000-0005-0000-0000-00008C980000}"/>
    <cellStyle name="표준 5 4 2 2 2 2 2 2 4 2 3" xfId="19655" xr:uid="{00000000-0005-0000-0000-00008D980000}"/>
    <cellStyle name="표준 5 4 2 2 2 2 2 2 4 2 4" xfId="23817" xr:uid="{00000000-0005-0000-0000-00008E980000}"/>
    <cellStyle name="표준 5 4 2 2 2 2 2 2 4 2 5" xfId="27913" xr:uid="{00000000-0005-0000-0000-00008F980000}"/>
    <cellStyle name="표준 5 4 2 2 2 2 2 2 4 2 6" xfId="36124" xr:uid="{00000000-0005-0000-0000-000090980000}"/>
    <cellStyle name="표준 5 4 2 2 2 2 2 2 4 2 7" xfId="44317" xr:uid="{00000000-0005-0000-0000-000091980000}"/>
    <cellStyle name="표준 5 4 2 2 2 2 2 2 4 3" xfId="9255" xr:uid="{00000000-0005-0000-0000-000092980000}"/>
    <cellStyle name="표준 5 4 2 2 2 2 2 2 4 3 2" xfId="29961" xr:uid="{00000000-0005-0000-0000-000093980000}"/>
    <cellStyle name="표준 5 4 2 2 2 2 2 2 4 3 3" xfId="38172" xr:uid="{00000000-0005-0000-0000-000094980000}"/>
    <cellStyle name="표준 5 4 2 2 2 2 2 2 4 3 4" xfId="46365" xr:uid="{00000000-0005-0000-0000-000095980000}"/>
    <cellStyle name="표준 5 4 2 2 2 2 2 2 4 4" xfId="13367" xr:uid="{00000000-0005-0000-0000-000096980000}"/>
    <cellStyle name="표준 5 4 2 2 2 2 2 2 4 5" xfId="17607" xr:uid="{00000000-0005-0000-0000-000097980000}"/>
    <cellStyle name="표준 5 4 2 2 2 2 2 2 4 6" xfId="21769" xr:uid="{00000000-0005-0000-0000-000098980000}"/>
    <cellStyle name="표준 5 4 2 2 2 2 2 2 4 7" xfId="25865" xr:uid="{00000000-0005-0000-0000-000099980000}"/>
    <cellStyle name="표준 5 4 2 2 2 2 2 2 4 8" xfId="34076" xr:uid="{00000000-0005-0000-0000-00009A980000}"/>
    <cellStyle name="표준 5 4 2 2 2 2 2 2 4 9" xfId="42269" xr:uid="{00000000-0005-0000-0000-00009B980000}"/>
    <cellStyle name="표준 5 4 2 2 2 2 2 2 5" xfId="9767" xr:uid="{00000000-0005-0000-0000-00009C980000}"/>
    <cellStyle name="표준 5 4 2 2 2 2 2 2 5 2" xfId="13879" xr:uid="{00000000-0005-0000-0000-00009D980000}"/>
    <cellStyle name="표준 5 4 2 2 2 2 2 2 5 2 2" xfId="30473" xr:uid="{00000000-0005-0000-0000-00009E980000}"/>
    <cellStyle name="표준 5 4 2 2 2 2 2 2 5 2 3" xfId="38684" xr:uid="{00000000-0005-0000-0000-00009F980000}"/>
    <cellStyle name="표준 5 4 2 2 2 2 2 2 5 2 4" xfId="46877" xr:uid="{00000000-0005-0000-0000-0000A0980000}"/>
    <cellStyle name="표준 5 4 2 2 2 2 2 2 5 3" xfId="18119" xr:uid="{00000000-0005-0000-0000-0000A1980000}"/>
    <cellStyle name="표준 5 4 2 2 2 2 2 2 5 4" xfId="22281" xr:uid="{00000000-0005-0000-0000-0000A2980000}"/>
    <cellStyle name="표준 5 4 2 2 2 2 2 2 5 5" xfId="26377" xr:uid="{00000000-0005-0000-0000-0000A3980000}"/>
    <cellStyle name="표준 5 4 2 2 2 2 2 2 5 6" xfId="34588" xr:uid="{00000000-0005-0000-0000-0000A4980000}"/>
    <cellStyle name="표준 5 4 2 2 2 2 2 2 5 7" xfId="42781" xr:uid="{00000000-0005-0000-0000-0000A5980000}"/>
    <cellStyle name="표준 5 4 2 2 2 2 2 2 6" xfId="7719" xr:uid="{00000000-0005-0000-0000-0000A6980000}"/>
    <cellStyle name="표준 5 4 2 2 2 2 2 2 6 2" xfId="28425" xr:uid="{00000000-0005-0000-0000-0000A7980000}"/>
    <cellStyle name="표준 5 4 2 2 2 2 2 2 6 3" xfId="36636" xr:uid="{00000000-0005-0000-0000-0000A8980000}"/>
    <cellStyle name="표준 5 4 2 2 2 2 2 2 6 4" xfId="44829" xr:uid="{00000000-0005-0000-0000-0000A9980000}"/>
    <cellStyle name="표준 5 4 2 2 2 2 2 2 7" xfId="11831" xr:uid="{00000000-0005-0000-0000-0000AA980000}"/>
    <cellStyle name="표준 5 4 2 2 2 2 2 2 8" xfId="16071" xr:uid="{00000000-0005-0000-0000-0000AB980000}"/>
    <cellStyle name="표준 5 4 2 2 2 2 2 2 9" xfId="20233" xr:uid="{00000000-0005-0000-0000-0000AC980000}"/>
    <cellStyle name="표준 5 4 2 2 2 2 2 3" xfId="1120" xr:uid="{00000000-0005-0000-0000-0000AD980000}"/>
    <cellStyle name="표준 5 4 2 2 2 2 2 3 2" xfId="10023" xr:uid="{00000000-0005-0000-0000-0000AE980000}"/>
    <cellStyle name="표준 5 4 2 2 2 2 2 3 2 2" xfId="14135" xr:uid="{00000000-0005-0000-0000-0000AF980000}"/>
    <cellStyle name="표준 5 4 2 2 2 2 2 3 2 2 2" xfId="30729" xr:uid="{00000000-0005-0000-0000-0000B0980000}"/>
    <cellStyle name="표준 5 4 2 2 2 2 2 3 2 2 3" xfId="38940" xr:uid="{00000000-0005-0000-0000-0000B1980000}"/>
    <cellStyle name="표준 5 4 2 2 2 2 2 3 2 2 4" xfId="47133" xr:uid="{00000000-0005-0000-0000-0000B2980000}"/>
    <cellStyle name="표준 5 4 2 2 2 2 2 3 2 3" xfId="18375" xr:uid="{00000000-0005-0000-0000-0000B3980000}"/>
    <cellStyle name="표준 5 4 2 2 2 2 2 3 2 4" xfId="22537" xr:uid="{00000000-0005-0000-0000-0000B4980000}"/>
    <cellStyle name="표준 5 4 2 2 2 2 2 3 2 5" xfId="26633" xr:uid="{00000000-0005-0000-0000-0000B5980000}"/>
    <cellStyle name="표준 5 4 2 2 2 2 2 3 2 6" xfId="34844" xr:uid="{00000000-0005-0000-0000-0000B6980000}"/>
    <cellStyle name="표준 5 4 2 2 2 2 2 3 2 7" xfId="43037" xr:uid="{00000000-0005-0000-0000-0000B7980000}"/>
    <cellStyle name="표준 5 4 2 2 2 2 2 3 3" xfId="7975" xr:uid="{00000000-0005-0000-0000-0000B8980000}"/>
    <cellStyle name="표준 5 4 2 2 2 2 2 3 3 2" xfId="28681" xr:uid="{00000000-0005-0000-0000-0000B9980000}"/>
    <cellStyle name="표준 5 4 2 2 2 2 2 3 3 3" xfId="36892" xr:uid="{00000000-0005-0000-0000-0000BA980000}"/>
    <cellStyle name="표준 5 4 2 2 2 2 2 3 3 4" xfId="45085" xr:uid="{00000000-0005-0000-0000-0000BB980000}"/>
    <cellStyle name="표준 5 4 2 2 2 2 2 3 4" xfId="12087" xr:uid="{00000000-0005-0000-0000-0000BC980000}"/>
    <cellStyle name="표준 5 4 2 2 2 2 2 3 5" xfId="16327" xr:uid="{00000000-0005-0000-0000-0000BD980000}"/>
    <cellStyle name="표준 5 4 2 2 2 2 2 3 6" xfId="20489" xr:uid="{00000000-0005-0000-0000-0000BE980000}"/>
    <cellStyle name="표준 5 4 2 2 2 2 2 3 7" xfId="24585" xr:uid="{00000000-0005-0000-0000-0000BF980000}"/>
    <cellStyle name="표준 5 4 2 2 2 2 2 3 8" xfId="32796" xr:uid="{00000000-0005-0000-0000-0000C0980000}"/>
    <cellStyle name="표준 5 4 2 2 2 2 2 3 9" xfId="40989" xr:uid="{00000000-0005-0000-0000-0000C1980000}"/>
    <cellStyle name="표준 5 4 2 2 2 2 2 4" xfId="1632" xr:uid="{00000000-0005-0000-0000-0000C2980000}"/>
    <cellStyle name="표준 5 4 2 2 2 2 2 4 2" xfId="10535" xr:uid="{00000000-0005-0000-0000-0000C3980000}"/>
    <cellStyle name="표준 5 4 2 2 2 2 2 4 2 2" xfId="14647" xr:uid="{00000000-0005-0000-0000-0000C4980000}"/>
    <cellStyle name="표준 5 4 2 2 2 2 2 4 2 2 2" xfId="31241" xr:uid="{00000000-0005-0000-0000-0000C5980000}"/>
    <cellStyle name="표준 5 4 2 2 2 2 2 4 2 2 3" xfId="39452" xr:uid="{00000000-0005-0000-0000-0000C6980000}"/>
    <cellStyle name="표준 5 4 2 2 2 2 2 4 2 2 4" xfId="47645" xr:uid="{00000000-0005-0000-0000-0000C7980000}"/>
    <cellStyle name="표준 5 4 2 2 2 2 2 4 2 3" xfId="18887" xr:uid="{00000000-0005-0000-0000-0000C8980000}"/>
    <cellStyle name="표준 5 4 2 2 2 2 2 4 2 4" xfId="23049" xr:uid="{00000000-0005-0000-0000-0000C9980000}"/>
    <cellStyle name="표준 5 4 2 2 2 2 2 4 2 5" xfId="27145" xr:uid="{00000000-0005-0000-0000-0000CA980000}"/>
    <cellStyle name="표준 5 4 2 2 2 2 2 4 2 6" xfId="35356" xr:uid="{00000000-0005-0000-0000-0000CB980000}"/>
    <cellStyle name="표준 5 4 2 2 2 2 2 4 2 7" xfId="43549" xr:uid="{00000000-0005-0000-0000-0000CC980000}"/>
    <cellStyle name="표준 5 4 2 2 2 2 2 4 3" xfId="8487" xr:uid="{00000000-0005-0000-0000-0000CD980000}"/>
    <cellStyle name="표준 5 4 2 2 2 2 2 4 3 2" xfId="29193" xr:uid="{00000000-0005-0000-0000-0000CE980000}"/>
    <cellStyle name="표준 5 4 2 2 2 2 2 4 3 3" xfId="37404" xr:uid="{00000000-0005-0000-0000-0000CF980000}"/>
    <cellStyle name="표준 5 4 2 2 2 2 2 4 3 4" xfId="45597" xr:uid="{00000000-0005-0000-0000-0000D0980000}"/>
    <cellStyle name="표준 5 4 2 2 2 2 2 4 4" xfId="12599" xr:uid="{00000000-0005-0000-0000-0000D1980000}"/>
    <cellStyle name="표준 5 4 2 2 2 2 2 4 5" xfId="16839" xr:uid="{00000000-0005-0000-0000-0000D2980000}"/>
    <cellStyle name="표준 5 4 2 2 2 2 2 4 6" xfId="21001" xr:uid="{00000000-0005-0000-0000-0000D3980000}"/>
    <cellStyle name="표준 5 4 2 2 2 2 2 4 7" xfId="25097" xr:uid="{00000000-0005-0000-0000-0000D4980000}"/>
    <cellStyle name="표준 5 4 2 2 2 2 2 4 8" xfId="33308" xr:uid="{00000000-0005-0000-0000-0000D5980000}"/>
    <cellStyle name="표준 5 4 2 2 2 2 2 4 9" xfId="41501" xr:uid="{00000000-0005-0000-0000-0000D6980000}"/>
    <cellStyle name="표준 5 4 2 2 2 2 2 5" xfId="2144" xr:uid="{00000000-0005-0000-0000-0000D7980000}"/>
    <cellStyle name="표준 5 4 2 2 2 2 2 5 2" xfId="11047" xr:uid="{00000000-0005-0000-0000-0000D8980000}"/>
    <cellStyle name="표준 5 4 2 2 2 2 2 5 2 2" xfId="15159" xr:uid="{00000000-0005-0000-0000-0000D9980000}"/>
    <cellStyle name="표준 5 4 2 2 2 2 2 5 2 2 2" xfId="31753" xr:uid="{00000000-0005-0000-0000-0000DA980000}"/>
    <cellStyle name="표준 5 4 2 2 2 2 2 5 2 2 3" xfId="39964" xr:uid="{00000000-0005-0000-0000-0000DB980000}"/>
    <cellStyle name="표준 5 4 2 2 2 2 2 5 2 2 4" xfId="48157" xr:uid="{00000000-0005-0000-0000-0000DC980000}"/>
    <cellStyle name="표준 5 4 2 2 2 2 2 5 2 3" xfId="19399" xr:uid="{00000000-0005-0000-0000-0000DD980000}"/>
    <cellStyle name="표준 5 4 2 2 2 2 2 5 2 4" xfId="23561" xr:uid="{00000000-0005-0000-0000-0000DE980000}"/>
    <cellStyle name="표준 5 4 2 2 2 2 2 5 2 5" xfId="27657" xr:uid="{00000000-0005-0000-0000-0000DF980000}"/>
    <cellStyle name="표준 5 4 2 2 2 2 2 5 2 6" xfId="35868" xr:uid="{00000000-0005-0000-0000-0000E0980000}"/>
    <cellStyle name="표준 5 4 2 2 2 2 2 5 2 7" xfId="44061" xr:uid="{00000000-0005-0000-0000-0000E1980000}"/>
    <cellStyle name="표준 5 4 2 2 2 2 2 5 3" xfId="8999" xr:uid="{00000000-0005-0000-0000-0000E2980000}"/>
    <cellStyle name="표준 5 4 2 2 2 2 2 5 3 2" xfId="29705" xr:uid="{00000000-0005-0000-0000-0000E3980000}"/>
    <cellStyle name="표준 5 4 2 2 2 2 2 5 3 3" xfId="37916" xr:uid="{00000000-0005-0000-0000-0000E4980000}"/>
    <cellStyle name="표준 5 4 2 2 2 2 2 5 3 4" xfId="46109" xr:uid="{00000000-0005-0000-0000-0000E5980000}"/>
    <cellStyle name="표준 5 4 2 2 2 2 2 5 4" xfId="13111" xr:uid="{00000000-0005-0000-0000-0000E6980000}"/>
    <cellStyle name="표준 5 4 2 2 2 2 2 5 5" xfId="17351" xr:uid="{00000000-0005-0000-0000-0000E7980000}"/>
    <cellStyle name="표준 5 4 2 2 2 2 2 5 6" xfId="21513" xr:uid="{00000000-0005-0000-0000-0000E8980000}"/>
    <cellStyle name="표준 5 4 2 2 2 2 2 5 7" xfId="25609" xr:uid="{00000000-0005-0000-0000-0000E9980000}"/>
    <cellStyle name="표준 5 4 2 2 2 2 2 5 8" xfId="33820" xr:uid="{00000000-0005-0000-0000-0000EA980000}"/>
    <cellStyle name="표준 5 4 2 2 2 2 2 5 9" xfId="42013" xr:uid="{00000000-0005-0000-0000-0000EB980000}"/>
    <cellStyle name="표준 5 4 2 2 2 2 2 6" xfId="9511" xr:uid="{00000000-0005-0000-0000-0000EC980000}"/>
    <cellStyle name="표준 5 4 2 2 2 2 2 6 2" xfId="13623" xr:uid="{00000000-0005-0000-0000-0000ED980000}"/>
    <cellStyle name="표준 5 4 2 2 2 2 2 6 2 2" xfId="30217" xr:uid="{00000000-0005-0000-0000-0000EE980000}"/>
    <cellStyle name="표준 5 4 2 2 2 2 2 6 2 3" xfId="38428" xr:uid="{00000000-0005-0000-0000-0000EF980000}"/>
    <cellStyle name="표준 5 4 2 2 2 2 2 6 2 4" xfId="46621" xr:uid="{00000000-0005-0000-0000-0000F0980000}"/>
    <cellStyle name="표준 5 4 2 2 2 2 2 6 3" xfId="17863" xr:uid="{00000000-0005-0000-0000-0000F1980000}"/>
    <cellStyle name="표준 5 4 2 2 2 2 2 6 4" xfId="22025" xr:uid="{00000000-0005-0000-0000-0000F2980000}"/>
    <cellStyle name="표준 5 4 2 2 2 2 2 6 5" xfId="26121" xr:uid="{00000000-0005-0000-0000-0000F3980000}"/>
    <cellStyle name="표준 5 4 2 2 2 2 2 6 6" xfId="34332" xr:uid="{00000000-0005-0000-0000-0000F4980000}"/>
    <cellStyle name="표준 5 4 2 2 2 2 2 6 7" xfId="42525" xr:uid="{00000000-0005-0000-0000-0000F5980000}"/>
    <cellStyle name="표준 5 4 2 2 2 2 2 7" xfId="7463" xr:uid="{00000000-0005-0000-0000-0000F6980000}"/>
    <cellStyle name="표준 5 4 2 2 2 2 2 7 2" xfId="28169" xr:uid="{00000000-0005-0000-0000-0000F7980000}"/>
    <cellStyle name="표준 5 4 2 2 2 2 2 7 3" xfId="36380" xr:uid="{00000000-0005-0000-0000-0000F8980000}"/>
    <cellStyle name="표준 5 4 2 2 2 2 2 7 4" xfId="44573" xr:uid="{00000000-0005-0000-0000-0000F9980000}"/>
    <cellStyle name="표준 5 4 2 2 2 2 2 8" xfId="11575" xr:uid="{00000000-0005-0000-0000-0000FA980000}"/>
    <cellStyle name="표준 5 4 2 2 2 2 2 9" xfId="15815" xr:uid="{00000000-0005-0000-0000-0000FB980000}"/>
    <cellStyle name="표준 5 4 2 2 2 2 3" xfId="736" xr:uid="{00000000-0005-0000-0000-0000FC980000}"/>
    <cellStyle name="표준 5 4 2 2 2 2 3 10" xfId="24201" xr:uid="{00000000-0005-0000-0000-0000FD980000}"/>
    <cellStyle name="표준 5 4 2 2 2 2 3 11" xfId="32412" xr:uid="{00000000-0005-0000-0000-0000FE980000}"/>
    <cellStyle name="표준 5 4 2 2 2 2 3 12" xfId="40605" xr:uid="{00000000-0005-0000-0000-0000FF980000}"/>
    <cellStyle name="표준 5 4 2 2 2 2 3 2" xfId="1248" xr:uid="{00000000-0005-0000-0000-000000990000}"/>
    <cellStyle name="표준 5 4 2 2 2 2 3 2 2" xfId="10151" xr:uid="{00000000-0005-0000-0000-000001990000}"/>
    <cellStyle name="표준 5 4 2 2 2 2 3 2 2 2" xfId="14263" xr:uid="{00000000-0005-0000-0000-000002990000}"/>
    <cellStyle name="표준 5 4 2 2 2 2 3 2 2 2 2" xfId="30857" xr:uid="{00000000-0005-0000-0000-000003990000}"/>
    <cellStyle name="표준 5 4 2 2 2 2 3 2 2 2 3" xfId="39068" xr:uid="{00000000-0005-0000-0000-000004990000}"/>
    <cellStyle name="표준 5 4 2 2 2 2 3 2 2 2 4" xfId="47261" xr:uid="{00000000-0005-0000-0000-000005990000}"/>
    <cellStyle name="표준 5 4 2 2 2 2 3 2 2 3" xfId="18503" xr:uid="{00000000-0005-0000-0000-000006990000}"/>
    <cellStyle name="표준 5 4 2 2 2 2 3 2 2 4" xfId="22665" xr:uid="{00000000-0005-0000-0000-000007990000}"/>
    <cellStyle name="표준 5 4 2 2 2 2 3 2 2 5" xfId="26761" xr:uid="{00000000-0005-0000-0000-000008990000}"/>
    <cellStyle name="표준 5 4 2 2 2 2 3 2 2 6" xfId="34972" xr:uid="{00000000-0005-0000-0000-000009990000}"/>
    <cellStyle name="표준 5 4 2 2 2 2 3 2 2 7" xfId="43165" xr:uid="{00000000-0005-0000-0000-00000A990000}"/>
    <cellStyle name="표준 5 4 2 2 2 2 3 2 3" xfId="8103" xr:uid="{00000000-0005-0000-0000-00000B990000}"/>
    <cellStyle name="표준 5 4 2 2 2 2 3 2 3 2" xfId="28809" xr:uid="{00000000-0005-0000-0000-00000C990000}"/>
    <cellStyle name="표준 5 4 2 2 2 2 3 2 3 3" xfId="37020" xr:uid="{00000000-0005-0000-0000-00000D990000}"/>
    <cellStyle name="표준 5 4 2 2 2 2 3 2 3 4" xfId="45213" xr:uid="{00000000-0005-0000-0000-00000E990000}"/>
    <cellStyle name="표준 5 4 2 2 2 2 3 2 4" xfId="12215" xr:uid="{00000000-0005-0000-0000-00000F990000}"/>
    <cellStyle name="표준 5 4 2 2 2 2 3 2 5" xfId="16455" xr:uid="{00000000-0005-0000-0000-000010990000}"/>
    <cellStyle name="표준 5 4 2 2 2 2 3 2 6" xfId="20617" xr:uid="{00000000-0005-0000-0000-000011990000}"/>
    <cellStyle name="표준 5 4 2 2 2 2 3 2 7" xfId="24713" xr:uid="{00000000-0005-0000-0000-000012990000}"/>
    <cellStyle name="표준 5 4 2 2 2 2 3 2 8" xfId="32924" xr:uid="{00000000-0005-0000-0000-000013990000}"/>
    <cellStyle name="표준 5 4 2 2 2 2 3 2 9" xfId="41117" xr:uid="{00000000-0005-0000-0000-000014990000}"/>
    <cellStyle name="표준 5 4 2 2 2 2 3 3" xfId="1760" xr:uid="{00000000-0005-0000-0000-000015990000}"/>
    <cellStyle name="표준 5 4 2 2 2 2 3 3 2" xfId="10663" xr:uid="{00000000-0005-0000-0000-000016990000}"/>
    <cellStyle name="표준 5 4 2 2 2 2 3 3 2 2" xfId="14775" xr:uid="{00000000-0005-0000-0000-000017990000}"/>
    <cellStyle name="표준 5 4 2 2 2 2 3 3 2 2 2" xfId="31369" xr:uid="{00000000-0005-0000-0000-000018990000}"/>
    <cellStyle name="표준 5 4 2 2 2 2 3 3 2 2 3" xfId="39580" xr:uid="{00000000-0005-0000-0000-000019990000}"/>
    <cellStyle name="표준 5 4 2 2 2 2 3 3 2 2 4" xfId="47773" xr:uid="{00000000-0005-0000-0000-00001A990000}"/>
    <cellStyle name="표준 5 4 2 2 2 2 3 3 2 3" xfId="19015" xr:uid="{00000000-0005-0000-0000-00001B990000}"/>
    <cellStyle name="표준 5 4 2 2 2 2 3 3 2 4" xfId="23177" xr:uid="{00000000-0005-0000-0000-00001C990000}"/>
    <cellStyle name="표준 5 4 2 2 2 2 3 3 2 5" xfId="27273" xr:uid="{00000000-0005-0000-0000-00001D990000}"/>
    <cellStyle name="표준 5 4 2 2 2 2 3 3 2 6" xfId="35484" xr:uid="{00000000-0005-0000-0000-00001E990000}"/>
    <cellStyle name="표준 5 4 2 2 2 2 3 3 2 7" xfId="43677" xr:uid="{00000000-0005-0000-0000-00001F990000}"/>
    <cellStyle name="표준 5 4 2 2 2 2 3 3 3" xfId="8615" xr:uid="{00000000-0005-0000-0000-000020990000}"/>
    <cellStyle name="표준 5 4 2 2 2 2 3 3 3 2" xfId="29321" xr:uid="{00000000-0005-0000-0000-000021990000}"/>
    <cellStyle name="표준 5 4 2 2 2 2 3 3 3 3" xfId="37532" xr:uid="{00000000-0005-0000-0000-000022990000}"/>
    <cellStyle name="표준 5 4 2 2 2 2 3 3 3 4" xfId="45725" xr:uid="{00000000-0005-0000-0000-000023990000}"/>
    <cellStyle name="표준 5 4 2 2 2 2 3 3 4" xfId="12727" xr:uid="{00000000-0005-0000-0000-000024990000}"/>
    <cellStyle name="표준 5 4 2 2 2 2 3 3 5" xfId="16967" xr:uid="{00000000-0005-0000-0000-000025990000}"/>
    <cellStyle name="표준 5 4 2 2 2 2 3 3 6" xfId="21129" xr:uid="{00000000-0005-0000-0000-000026990000}"/>
    <cellStyle name="표준 5 4 2 2 2 2 3 3 7" xfId="25225" xr:uid="{00000000-0005-0000-0000-000027990000}"/>
    <cellStyle name="표준 5 4 2 2 2 2 3 3 8" xfId="33436" xr:uid="{00000000-0005-0000-0000-000028990000}"/>
    <cellStyle name="표준 5 4 2 2 2 2 3 3 9" xfId="41629" xr:uid="{00000000-0005-0000-0000-000029990000}"/>
    <cellStyle name="표준 5 4 2 2 2 2 3 4" xfId="2272" xr:uid="{00000000-0005-0000-0000-00002A990000}"/>
    <cellStyle name="표준 5 4 2 2 2 2 3 4 2" xfId="11175" xr:uid="{00000000-0005-0000-0000-00002B990000}"/>
    <cellStyle name="표준 5 4 2 2 2 2 3 4 2 2" xfId="15287" xr:uid="{00000000-0005-0000-0000-00002C990000}"/>
    <cellStyle name="표준 5 4 2 2 2 2 3 4 2 2 2" xfId="31881" xr:uid="{00000000-0005-0000-0000-00002D990000}"/>
    <cellStyle name="표준 5 4 2 2 2 2 3 4 2 2 3" xfId="40092" xr:uid="{00000000-0005-0000-0000-00002E990000}"/>
    <cellStyle name="표준 5 4 2 2 2 2 3 4 2 2 4" xfId="48285" xr:uid="{00000000-0005-0000-0000-00002F990000}"/>
    <cellStyle name="표준 5 4 2 2 2 2 3 4 2 3" xfId="19527" xr:uid="{00000000-0005-0000-0000-000030990000}"/>
    <cellStyle name="표준 5 4 2 2 2 2 3 4 2 4" xfId="23689" xr:uid="{00000000-0005-0000-0000-000031990000}"/>
    <cellStyle name="표준 5 4 2 2 2 2 3 4 2 5" xfId="27785" xr:uid="{00000000-0005-0000-0000-000032990000}"/>
    <cellStyle name="표준 5 4 2 2 2 2 3 4 2 6" xfId="35996" xr:uid="{00000000-0005-0000-0000-000033990000}"/>
    <cellStyle name="표준 5 4 2 2 2 2 3 4 2 7" xfId="44189" xr:uid="{00000000-0005-0000-0000-000034990000}"/>
    <cellStyle name="표준 5 4 2 2 2 2 3 4 3" xfId="9127" xr:uid="{00000000-0005-0000-0000-000035990000}"/>
    <cellStyle name="표준 5 4 2 2 2 2 3 4 3 2" xfId="29833" xr:uid="{00000000-0005-0000-0000-000036990000}"/>
    <cellStyle name="표준 5 4 2 2 2 2 3 4 3 3" xfId="38044" xr:uid="{00000000-0005-0000-0000-000037990000}"/>
    <cellStyle name="표준 5 4 2 2 2 2 3 4 3 4" xfId="46237" xr:uid="{00000000-0005-0000-0000-000038990000}"/>
    <cellStyle name="표준 5 4 2 2 2 2 3 4 4" xfId="13239" xr:uid="{00000000-0005-0000-0000-000039990000}"/>
    <cellStyle name="표준 5 4 2 2 2 2 3 4 5" xfId="17479" xr:uid="{00000000-0005-0000-0000-00003A990000}"/>
    <cellStyle name="표준 5 4 2 2 2 2 3 4 6" xfId="21641" xr:uid="{00000000-0005-0000-0000-00003B990000}"/>
    <cellStyle name="표준 5 4 2 2 2 2 3 4 7" xfId="25737" xr:uid="{00000000-0005-0000-0000-00003C990000}"/>
    <cellStyle name="표준 5 4 2 2 2 2 3 4 8" xfId="33948" xr:uid="{00000000-0005-0000-0000-00003D990000}"/>
    <cellStyle name="표준 5 4 2 2 2 2 3 4 9" xfId="42141" xr:uid="{00000000-0005-0000-0000-00003E990000}"/>
    <cellStyle name="표준 5 4 2 2 2 2 3 5" xfId="9639" xr:uid="{00000000-0005-0000-0000-00003F990000}"/>
    <cellStyle name="표준 5 4 2 2 2 2 3 5 2" xfId="13751" xr:uid="{00000000-0005-0000-0000-000040990000}"/>
    <cellStyle name="표준 5 4 2 2 2 2 3 5 2 2" xfId="30345" xr:uid="{00000000-0005-0000-0000-000041990000}"/>
    <cellStyle name="표준 5 4 2 2 2 2 3 5 2 3" xfId="38556" xr:uid="{00000000-0005-0000-0000-000042990000}"/>
    <cellStyle name="표준 5 4 2 2 2 2 3 5 2 4" xfId="46749" xr:uid="{00000000-0005-0000-0000-000043990000}"/>
    <cellStyle name="표준 5 4 2 2 2 2 3 5 3" xfId="17991" xr:uid="{00000000-0005-0000-0000-000044990000}"/>
    <cellStyle name="표준 5 4 2 2 2 2 3 5 4" xfId="22153" xr:uid="{00000000-0005-0000-0000-000045990000}"/>
    <cellStyle name="표준 5 4 2 2 2 2 3 5 5" xfId="26249" xr:uid="{00000000-0005-0000-0000-000046990000}"/>
    <cellStyle name="표준 5 4 2 2 2 2 3 5 6" xfId="34460" xr:uid="{00000000-0005-0000-0000-000047990000}"/>
    <cellStyle name="표준 5 4 2 2 2 2 3 5 7" xfId="42653" xr:uid="{00000000-0005-0000-0000-000048990000}"/>
    <cellStyle name="표준 5 4 2 2 2 2 3 6" xfId="7591" xr:uid="{00000000-0005-0000-0000-000049990000}"/>
    <cellStyle name="표준 5 4 2 2 2 2 3 6 2" xfId="28297" xr:uid="{00000000-0005-0000-0000-00004A990000}"/>
    <cellStyle name="표준 5 4 2 2 2 2 3 6 3" xfId="36508" xr:uid="{00000000-0005-0000-0000-00004B990000}"/>
    <cellStyle name="표준 5 4 2 2 2 2 3 6 4" xfId="44701" xr:uid="{00000000-0005-0000-0000-00004C990000}"/>
    <cellStyle name="표준 5 4 2 2 2 2 3 7" xfId="11703" xr:uid="{00000000-0005-0000-0000-00004D990000}"/>
    <cellStyle name="표준 5 4 2 2 2 2 3 8" xfId="15943" xr:uid="{00000000-0005-0000-0000-00004E990000}"/>
    <cellStyle name="표준 5 4 2 2 2 2 3 9" xfId="20105" xr:uid="{00000000-0005-0000-0000-00004F990000}"/>
    <cellStyle name="표준 5 4 2 2 2 2 4" xfId="992" xr:uid="{00000000-0005-0000-0000-000050990000}"/>
    <cellStyle name="표준 5 4 2 2 2 2 4 2" xfId="9895" xr:uid="{00000000-0005-0000-0000-000051990000}"/>
    <cellStyle name="표준 5 4 2 2 2 2 4 2 2" xfId="14007" xr:uid="{00000000-0005-0000-0000-000052990000}"/>
    <cellStyle name="표준 5 4 2 2 2 2 4 2 2 2" xfId="30601" xr:uid="{00000000-0005-0000-0000-000053990000}"/>
    <cellStyle name="표준 5 4 2 2 2 2 4 2 2 3" xfId="38812" xr:uid="{00000000-0005-0000-0000-000054990000}"/>
    <cellStyle name="표준 5 4 2 2 2 2 4 2 2 4" xfId="47005" xr:uid="{00000000-0005-0000-0000-000055990000}"/>
    <cellStyle name="표준 5 4 2 2 2 2 4 2 3" xfId="18247" xr:uid="{00000000-0005-0000-0000-000056990000}"/>
    <cellStyle name="표준 5 4 2 2 2 2 4 2 4" xfId="22409" xr:uid="{00000000-0005-0000-0000-000057990000}"/>
    <cellStyle name="표준 5 4 2 2 2 2 4 2 5" xfId="26505" xr:uid="{00000000-0005-0000-0000-000058990000}"/>
    <cellStyle name="표준 5 4 2 2 2 2 4 2 6" xfId="34716" xr:uid="{00000000-0005-0000-0000-000059990000}"/>
    <cellStyle name="표준 5 4 2 2 2 2 4 2 7" xfId="42909" xr:uid="{00000000-0005-0000-0000-00005A990000}"/>
    <cellStyle name="표준 5 4 2 2 2 2 4 3" xfId="7847" xr:uid="{00000000-0005-0000-0000-00005B990000}"/>
    <cellStyle name="표준 5 4 2 2 2 2 4 3 2" xfId="28553" xr:uid="{00000000-0005-0000-0000-00005C990000}"/>
    <cellStyle name="표준 5 4 2 2 2 2 4 3 3" xfId="36764" xr:uid="{00000000-0005-0000-0000-00005D990000}"/>
    <cellStyle name="표준 5 4 2 2 2 2 4 3 4" xfId="44957" xr:uid="{00000000-0005-0000-0000-00005E990000}"/>
    <cellStyle name="표준 5 4 2 2 2 2 4 4" xfId="11959" xr:uid="{00000000-0005-0000-0000-00005F990000}"/>
    <cellStyle name="표준 5 4 2 2 2 2 4 5" xfId="16199" xr:uid="{00000000-0005-0000-0000-000060990000}"/>
    <cellStyle name="표준 5 4 2 2 2 2 4 6" xfId="20361" xr:uid="{00000000-0005-0000-0000-000061990000}"/>
    <cellStyle name="표준 5 4 2 2 2 2 4 7" xfId="24457" xr:uid="{00000000-0005-0000-0000-000062990000}"/>
    <cellStyle name="표준 5 4 2 2 2 2 4 8" xfId="32668" xr:uid="{00000000-0005-0000-0000-000063990000}"/>
    <cellStyle name="표준 5 4 2 2 2 2 4 9" xfId="40861" xr:uid="{00000000-0005-0000-0000-000064990000}"/>
    <cellStyle name="표준 5 4 2 2 2 2 5" xfId="1504" xr:uid="{00000000-0005-0000-0000-000065990000}"/>
    <cellStyle name="표준 5 4 2 2 2 2 5 2" xfId="10407" xr:uid="{00000000-0005-0000-0000-000066990000}"/>
    <cellStyle name="표준 5 4 2 2 2 2 5 2 2" xfId="14519" xr:uid="{00000000-0005-0000-0000-000067990000}"/>
    <cellStyle name="표준 5 4 2 2 2 2 5 2 2 2" xfId="31113" xr:uid="{00000000-0005-0000-0000-000068990000}"/>
    <cellStyle name="표준 5 4 2 2 2 2 5 2 2 3" xfId="39324" xr:uid="{00000000-0005-0000-0000-000069990000}"/>
    <cellStyle name="표준 5 4 2 2 2 2 5 2 2 4" xfId="47517" xr:uid="{00000000-0005-0000-0000-00006A990000}"/>
    <cellStyle name="표준 5 4 2 2 2 2 5 2 3" xfId="18759" xr:uid="{00000000-0005-0000-0000-00006B990000}"/>
    <cellStyle name="표준 5 4 2 2 2 2 5 2 4" xfId="22921" xr:uid="{00000000-0005-0000-0000-00006C990000}"/>
    <cellStyle name="표준 5 4 2 2 2 2 5 2 5" xfId="27017" xr:uid="{00000000-0005-0000-0000-00006D990000}"/>
    <cellStyle name="표준 5 4 2 2 2 2 5 2 6" xfId="35228" xr:uid="{00000000-0005-0000-0000-00006E990000}"/>
    <cellStyle name="표준 5 4 2 2 2 2 5 2 7" xfId="43421" xr:uid="{00000000-0005-0000-0000-00006F990000}"/>
    <cellStyle name="표준 5 4 2 2 2 2 5 3" xfId="8359" xr:uid="{00000000-0005-0000-0000-000070990000}"/>
    <cellStyle name="표준 5 4 2 2 2 2 5 3 2" xfId="29065" xr:uid="{00000000-0005-0000-0000-000071990000}"/>
    <cellStyle name="표준 5 4 2 2 2 2 5 3 3" xfId="37276" xr:uid="{00000000-0005-0000-0000-000072990000}"/>
    <cellStyle name="표준 5 4 2 2 2 2 5 3 4" xfId="45469" xr:uid="{00000000-0005-0000-0000-000073990000}"/>
    <cellStyle name="표준 5 4 2 2 2 2 5 4" xfId="12471" xr:uid="{00000000-0005-0000-0000-000074990000}"/>
    <cellStyle name="표준 5 4 2 2 2 2 5 5" xfId="16711" xr:uid="{00000000-0005-0000-0000-000075990000}"/>
    <cellStyle name="표준 5 4 2 2 2 2 5 6" xfId="20873" xr:uid="{00000000-0005-0000-0000-000076990000}"/>
    <cellStyle name="표준 5 4 2 2 2 2 5 7" xfId="24969" xr:uid="{00000000-0005-0000-0000-000077990000}"/>
    <cellStyle name="표준 5 4 2 2 2 2 5 8" xfId="33180" xr:uid="{00000000-0005-0000-0000-000078990000}"/>
    <cellStyle name="표준 5 4 2 2 2 2 5 9" xfId="41373" xr:uid="{00000000-0005-0000-0000-000079990000}"/>
    <cellStyle name="표준 5 4 2 2 2 2 6" xfId="2016" xr:uid="{00000000-0005-0000-0000-00007A990000}"/>
    <cellStyle name="표준 5 4 2 2 2 2 6 2" xfId="10919" xr:uid="{00000000-0005-0000-0000-00007B990000}"/>
    <cellStyle name="표준 5 4 2 2 2 2 6 2 2" xfId="15031" xr:uid="{00000000-0005-0000-0000-00007C990000}"/>
    <cellStyle name="표준 5 4 2 2 2 2 6 2 2 2" xfId="31625" xr:uid="{00000000-0005-0000-0000-00007D990000}"/>
    <cellStyle name="표준 5 4 2 2 2 2 6 2 2 3" xfId="39836" xr:uid="{00000000-0005-0000-0000-00007E990000}"/>
    <cellStyle name="표준 5 4 2 2 2 2 6 2 2 4" xfId="48029" xr:uid="{00000000-0005-0000-0000-00007F990000}"/>
    <cellStyle name="표준 5 4 2 2 2 2 6 2 3" xfId="19271" xr:uid="{00000000-0005-0000-0000-000080990000}"/>
    <cellStyle name="표준 5 4 2 2 2 2 6 2 4" xfId="23433" xr:uid="{00000000-0005-0000-0000-000081990000}"/>
    <cellStyle name="표준 5 4 2 2 2 2 6 2 5" xfId="27529" xr:uid="{00000000-0005-0000-0000-000082990000}"/>
    <cellStyle name="표준 5 4 2 2 2 2 6 2 6" xfId="35740" xr:uid="{00000000-0005-0000-0000-000083990000}"/>
    <cellStyle name="표준 5 4 2 2 2 2 6 2 7" xfId="43933" xr:uid="{00000000-0005-0000-0000-000084990000}"/>
    <cellStyle name="표준 5 4 2 2 2 2 6 3" xfId="8871" xr:uid="{00000000-0005-0000-0000-000085990000}"/>
    <cellStyle name="표준 5 4 2 2 2 2 6 3 2" xfId="29577" xr:uid="{00000000-0005-0000-0000-000086990000}"/>
    <cellStyle name="표준 5 4 2 2 2 2 6 3 3" xfId="37788" xr:uid="{00000000-0005-0000-0000-000087990000}"/>
    <cellStyle name="표준 5 4 2 2 2 2 6 3 4" xfId="45981" xr:uid="{00000000-0005-0000-0000-000088990000}"/>
    <cellStyle name="표준 5 4 2 2 2 2 6 4" xfId="12983" xr:uid="{00000000-0005-0000-0000-000089990000}"/>
    <cellStyle name="표준 5 4 2 2 2 2 6 5" xfId="17223" xr:uid="{00000000-0005-0000-0000-00008A990000}"/>
    <cellStyle name="표준 5 4 2 2 2 2 6 6" xfId="21385" xr:uid="{00000000-0005-0000-0000-00008B990000}"/>
    <cellStyle name="표준 5 4 2 2 2 2 6 7" xfId="25481" xr:uid="{00000000-0005-0000-0000-00008C990000}"/>
    <cellStyle name="표준 5 4 2 2 2 2 6 8" xfId="33692" xr:uid="{00000000-0005-0000-0000-00008D990000}"/>
    <cellStyle name="표준 5 4 2 2 2 2 6 9" xfId="41885" xr:uid="{00000000-0005-0000-0000-00008E990000}"/>
    <cellStyle name="표준 5 4 2 2 2 2 7" xfId="9383" xr:uid="{00000000-0005-0000-0000-00008F990000}"/>
    <cellStyle name="표준 5 4 2 2 2 2 7 2" xfId="13495" xr:uid="{00000000-0005-0000-0000-000090990000}"/>
    <cellStyle name="표준 5 4 2 2 2 2 7 2 2" xfId="30089" xr:uid="{00000000-0005-0000-0000-000091990000}"/>
    <cellStyle name="표준 5 4 2 2 2 2 7 2 3" xfId="38300" xr:uid="{00000000-0005-0000-0000-000092990000}"/>
    <cellStyle name="표준 5 4 2 2 2 2 7 2 4" xfId="46493" xr:uid="{00000000-0005-0000-0000-000093990000}"/>
    <cellStyle name="표준 5 4 2 2 2 2 7 3" xfId="17735" xr:uid="{00000000-0005-0000-0000-000094990000}"/>
    <cellStyle name="표준 5 4 2 2 2 2 7 4" xfId="21897" xr:uid="{00000000-0005-0000-0000-000095990000}"/>
    <cellStyle name="표준 5 4 2 2 2 2 7 5" xfId="25993" xr:uid="{00000000-0005-0000-0000-000096990000}"/>
    <cellStyle name="표준 5 4 2 2 2 2 7 6" xfId="34204" xr:uid="{00000000-0005-0000-0000-000097990000}"/>
    <cellStyle name="표준 5 4 2 2 2 2 7 7" xfId="42397" xr:uid="{00000000-0005-0000-0000-000098990000}"/>
    <cellStyle name="표준 5 4 2 2 2 2 8" xfId="7335" xr:uid="{00000000-0005-0000-0000-000099990000}"/>
    <cellStyle name="표준 5 4 2 2 2 2 8 2" xfId="28041" xr:uid="{00000000-0005-0000-0000-00009A990000}"/>
    <cellStyle name="표준 5 4 2 2 2 2 8 3" xfId="36252" xr:uid="{00000000-0005-0000-0000-00009B990000}"/>
    <cellStyle name="표준 5 4 2 2 2 2 8 4" xfId="44445" xr:uid="{00000000-0005-0000-0000-00009C990000}"/>
    <cellStyle name="표준 5 4 2 2 2 2 9" xfId="11447" xr:uid="{00000000-0005-0000-0000-00009D990000}"/>
    <cellStyle name="표준 5 4 2 2 2 3" xfId="544" xr:uid="{00000000-0005-0000-0000-00009E990000}"/>
    <cellStyle name="표준 5 4 2 2 2 3 10" xfId="19913" xr:uid="{00000000-0005-0000-0000-00009F990000}"/>
    <cellStyle name="표준 5 4 2 2 2 3 11" xfId="24009" xr:uid="{00000000-0005-0000-0000-0000A0990000}"/>
    <cellStyle name="표준 5 4 2 2 2 3 12" xfId="32220" xr:uid="{00000000-0005-0000-0000-0000A1990000}"/>
    <cellStyle name="표준 5 4 2 2 2 3 13" xfId="40413" xr:uid="{00000000-0005-0000-0000-0000A2990000}"/>
    <cellStyle name="표준 5 4 2 2 2 3 2" xfId="800" xr:uid="{00000000-0005-0000-0000-0000A3990000}"/>
    <cellStyle name="표준 5 4 2 2 2 3 2 10" xfId="24265" xr:uid="{00000000-0005-0000-0000-0000A4990000}"/>
    <cellStyle name="표준 5 4 2 2 2 3 2 11" xfId="32476" xr:uid="{00000000-0005-0000-0000-0000A5990000}"/>
    <cellStyle name="표준 5 4 2 2 2 3 2 12" xfId="40669" xr:uid="{00000000-0005-0000-0000-0000A6990000}"/>
    <cellStyle name="표준 5 4 2 2 2 3 2 2" xfId="1312" xr:uid="{00000000-0005-0000-0000-0000A7990000}"/>
    <cellStyle name="표준 5 4 2 2 2 3 2 2 2" xfId="10215" xr:uid="{00000000-0005-0000-0000-0000A8990000}"/>
    <cellStyle name="표준 5 4 2 2 2 3 2 2 2 2" xfId="14327" xr:uid="{00000000-0005-0000-0000-0000A9990000}"/>
    <cellStyle name="표준 5 4 2 2 2 3 2 2 2 2 2" xfId="30921" xr:uid="{00000000-0005-0000-0000-0000AA990000}"/>
    <cellStyle name="표준 5 4 2 2 2 3 2 2 2 2 3" xfId="39132" xr:uid="{00000000-0005-0000-0000-0000AB990000}"/>
    <cellStyle name="표준 5 4 2 2 2 3 2 2 2 2 4" xfId="47325" xr:uid="{00000000-0005-0000-0000-0000AC990000}"/>
    <cellStyle name="표준 5 4 2 2 2 3 2 2 2 3" xfId="18567" xr:uid="{00000000-0005-0000-0000-0000AD990000}"/>
    <cellStyle name="표준 5 4 2 2 2 3 2 2 2 4" xfId="22729" xr:uid="{00000000-0005-0000-0000-0000AE990000}"/>
    <cellStyle name="표준 5 4 2 2 2 3 2 2 2 5" xfId="26825" xr:uid="{00000000-0005-0000-0000-0000AF990000}"/>
    <cellStyle name="표준 5 4 2 2 2 3 2 2 2 6" xfId="35036" xr:uid="{00000000-0005-0000-0000-0000B0990000}"/>
    <cellStyle name="표준 5 4 2 2 2 3 2 2 2 7" xfId="43229" xr:uid="{00000000-0005-0000-0000-0000B1990000}"/>
    <cellStyle name="표준 5 4 2 2 2 3 2 2 3" xfId="8167" xr:uid="{00000000-0005-0000-0000-0000B2990000}"/>
    <cellStyle name="표준 5 4 2 2 2 3 2 2 3 2" xfId="28873" xr:uid="{00000000-0005-0000-0000-0000B3990000}"/>
    <cellStyle name="표준 5 4 2 2 2 3 2 2 3 3" xfId="37084" xr:uid="{00000000-0005-0000-0000-0000B4990000}"/>
    <cellStyle name="표준 5 4 2 2 2 3 2 2 3 4" xfId="45277" xr:uid="{00000000-0005-0000-0000-0000B5990000}"/>
    <cellStyle name="표준 5 4 2 2 2 3 2 2 4" xfId="12279" xr:uid="{00000000-0005-0000-0000-0000B6990000}"/>
    <cellStyle name="표준 5 4 2 2 2 3 2 2 5" xfId="16519" xr:uid="{00000000-0005-0000-0000-0000B7990000}"/>
    <cellStyle name="표준 5 4 2 2 2 3 2 2 6" xfId="20681" xr:uid="{00000000-0005-0000-0000-0000B8990000}"/>
    <cellStyle name="표준 5 4 2 2 2 3 2 2 7" xfId="24777" xr:uid="{00000000-0005-0000-0000-0000B9990000}"/>
    <cellStyle name="표준 5 4 2 2 2 3 2 2 8" xfId="32988" xr:uid="{00000000-0005-0000-0000-0000BA990000}"/>
    <cellStyle name="표준 5 4 2 2 2 3 2 2 9" xfId="41181" xr:uid="{00000000-0005-0000-0000-0000BB990000}"/>
    <cellStyle name="표준 5 4 2 2 2 3 2 3" xfId="1824" xr:uid="{00000000-0005-0000-0000-0000BC990000}"/>
    <cellStyle name="표준 5 4 2 2 2 3 2 3 2" xfId="10727" xr:uid="{00000000-0005-0000-0000-0000BD990000}"/>
    <cellStyle name="표준 5 4 2 2 2 3 2 3 2 2" xfId="14839" xr:uid="{00000000-0005-0000-0000-0000BE990000}"/>
    <cellStyle name="표준 5 4 2 2 2 3 2 3 2 2 2" xfId="31433" xr:uid="{00000000-0005-0000-0000-0000BF990000}"/>
    <cellStyle name="표준 5 4 2 2 2 3 2 3 2 2 3" xfId="39644" xr:uid="{00000000-0005-0000-0000-0000C0990000}"/>
    <cellStyle name="표준 5 4 2 2 2 3 2 3 2 2 4" xfId="47837" xr:uid="{00000000-0005-0000-0000-0000C1990000}"/>
    <cellStyle name="표준 5 4 2 2 2 3 2 3 2 3" xfId="19079" xr:uid="{00000000-0005-0000-0000-0000C2990000}"/>
    <cellStyle name="표준 5 4 2 2 2 3 2 3 2 4" xfId="23241" xr:uid="{00000000-0005-0000-0000-0000C3990000}"/>
    <cellStyle name="표준 5 4 2 2 2 3 2 3 2 5" xfId="27337" xr:uid="{00000000-0005-0000-0000-0000C4990000}"/>
    <cellStyle name="표준 5 4 2 2 2 3 2 3 2 6" xfId="35548" xr:uid="{00000000-0005-0000-0000-0000C5990000}"/>
    <cellStyle name="표준 5 4 2 2 2 3 2 3 2 7" xfId="43741" xr:uid="{00000000-0005-0000-0000-0000C6990000}"/>
    <cellStyle name="표준 5 4 2 2 2 3 2 3 3" xfId="8679" xr:uid="{00000000-0005-0000-0000-0000C7990000}"/>
    <cellStyle name="표준 5 4 2 2 2 3 2 3 3 2" xfId="29385" xr:uid="{00000000-0005-0000-0000-0000C8990000}"/>
    <cellStyle name="표준 5 4 2 2 2 3 2 3 3 3" xfId="37596" xr:uid="{00000000-0005-0000-0000-0000C9990000}"/>
    <cellStyle name="표준 5 4 2 2 2 3 2 3 3 4" xfId="45789" xr:uid="{00000000-0005-0000-0000-0000CA990000}"/>
    <cellStyle name="표준 5 4 2 2 2 3 2 3 4" xfId="12791" xr:uid="{00000000-0005-0000-0000-0000CB990000}"/>
    <cellStyle name="표준 5 4 2 2 2 3 2 3 5" xfId="17031" xr:uid="{00000000-0005-0000-0000-0000CC990000}"/>
    <cellStyle name="표준 5 4 2 2 2 3 2 3 6" xfId="21193" xr:uid="{00000000-0005-0000-0000-0000CD990000}"/>
    <cellStyle name="표준 5 4 2 2 2 3 2 3 7" xfId="25289" xr:uid="{00000000-0005-0000-0000-0000CE990000}"/>
    <cellStyle name="표준 5 4 2 2 2 3 2 3 8" xfId="33500" xr:uid="{00000000-0005-0000-0000-0000CF990000}"/>
    <cellStyle name="표준 5 4 2 2 2 3 2 3 9" xfId="41693" xr:uid="{00000000-0005-0000-0000-0000D0990000}"/>
    <cellStyle name="표준 5 4 2 2 2 3 2 4" xfId="2336" xr:uid="{00000000-0005-0000-0000-0000D1990000}"/>
    <cellStyle name="표준 5 4 2 2 2 3 2 4 2" xfId="11239" xr:uid="{00000000-0005-0000-0000-0000D2990000}"/>
    <cellStyle name="표준 5 4 2 2 2 3 2 4 2 2" xfId="15351" xr:uid="{00000000-0005-0000-0000-0000D3990000}"/>
    <cellStyle name="표준 5 4 2 2 2 3 2 4 2 2 2" xfId="31945" xr:uid="{00000000-0005-0000-0000-0000D4990000}"/>
    <cellStyle name="표준 5 4 2 2 2 3 2 4 2 2 3" xfId="40156" xr:uid="{00000000-0005-0000-0000-0000D5990000}"/>
    <cellStyle name="표준 5 4 2 2 2 3 2 4 2 2 4" xfId="48349" xr:uid="{00000000-0005-0000-0000-0000D6990000}"/>
    <cellStyle name="표준 5 4 2 2 2 3 2 4 2 3" xfId="19591" xr:uid="{00000000-0005-0000-0000-0000D7990000}"/>
    <cellStyle name="표준 5 4 2 2 2 3 2 4 2 4" xfId="23753" xr:uid="{00000000-0005-0000-0000-0000D8990000}"/>
    <cellStyle name="표준 5 4 2 2 2 3 2 4 2 5" xfId="27849" xr:uid="{00000000-0005-0000-0000-0000D9990000}"/>
    <cellStyle name="표준 5 4 2 2 2 3 2 4 2 6" xfId="36060" xr:uid="{00000000-0005-0000-0000-0000DA990000}"/>
    <cellStyle name="표준 5 4 2 2 2 3 2 4 2 7" xfId="44253" xr:uid="{00000000-0005-0000-0000-0000DB990000}"/>
    <cellStyle name="표준 5 4 2 2 2 3 2 4 3" xfId="9191" xr:uid="{00000000-0005-0000-0000-0000DC990000}"/>
    <cellStyle name="표준 5 4 2 2 2 3 2 4 3 2" xfId="29897" xr:uid="{00000000-0005-0000-0000-0000DD990000}"/>
    <cellStyle name="표준 5 4 2 2 2 3 2 4 3 3" xfId="38108" xr:uid="{00000000-0005-0000-0000-0000DE990000}"/>
    <cellStyle name="표준 5 4 2 2 2 3 2 4 3 4" xfId="46301" xr:uid="{00000000-0005-0000-0000-0000DF990000}"/>
    <cellStyle name="표준 5 4 2 2 2 3 2 4 4" xfId="13303" xr:uid="{00000000-0005-0000-0000-0000E0990000}"/>
    <cellStyle name="표준 5 4 2 2 2 3 2 4 5" xfId="17543" xr:uid="{00000000-0005-0000-0000-0000E1990000}"/>
    <cellStyle name="표준 5 4 2 2 2 3 2 4 6" xfId="21705" xr:uid="{00000000-0005-0000-0000-0000E2990000}"/>
    <cellStyle name="표준 5 4 2 2 2 3 2 4 7" xfId="25801" xr:uid="{00000000-0005-0000-0000-0000E3990000}"/>
    <cellStyle name="표준 5 4 2 2 2 3 2 4 8" xfId="34012" xr:uid="{00000000-0005-0000-0000-0000E4990000}"/>
    <cellStyle name="표준 5 4 2 2 2 3 2 4 9" xfId="42205" xr:uid="{00000000-0005-0000-0000-0000E5990000}"/>
    <cellStyle name="표준 5 4 2 2 2 3 2 5" xfId="9703" xr:uid="{00000000-0005-0000-0000-0000E6990000}"/>
    <cellStyle name="표준 5 4 2 2 2 3 2 5 2" xfId="13815" xr:uid="{00000000-0005-0000-0000-0000E7990000}"/>
    <cellStyle name="표준 5 4 2 2 2 3 2 5 2 2" xfId="30409" xr:uid="{00000000-0005-0000-0000-0000E8990000}"/>
    <cellStyle name="표준 5 4 2 2 2 3 2 5 2 3" xfId="38620" xr:uid="{00000000-0005-0000-0000-0000E9990000}"/>
    <cellStyle name="표준 5 4 2 2 2 3 2 5 2 4" xfId="46813" xr:uid="{00000000-0005-0000-0000-0000EA990000}"/>
    <cellStyle name="표준 5 4 2 2 2 3 2 5 3" xfId="18055" xr:uid="{00000000-0005-0000-0000-0000EB990000}"/>
    <cellStyle name="표준 5 4 2 2 2 3 2 5 4" xfId="22217" xr:uid="{00000000-0005-0000-0000-0000EC990000}"/>
    <cellStyle name="표준 5 4 2 2 2 3 2 5 5" xfId="26313" xr:uid="{00000000-0005-0000-0000-0000ED990000}"/>
    <cellStyle name="표준 5 4 2 2 2 3 2 5 6" xfId="34524" xr:uid="{00000000-0005-0000-0000-0000EE990000}"/>
    <cellStyle name="표준 5 4 2 2 2 3 2 5 7" xfId="42717" xr:uid="{00000000-0005-0000-0000-0000EF990000}"/>
    <cellStyle name="표준 5 4 2 2 2 3 2 6" xfId="7655" xr:uid="{00000000-0005-0000-0000-0000F0990000}"/>
    <cellStyle name="표준 5 4 2 2 2 3 2 6 2" xfId="28361" xr:uid="{00000000-0005-0000-0000-0000F1990000}"/>
    <cellStyle name="표준 5 4 2 2 2 3 2 6 3" xfId="36572" xr:uid="{00000000-0005-0000-0000-0000F2990000}"/>
    <cellStyle name="표준 5 4 2 2 2 3 2 6 4" xfId="44765" xr:uid="{00000000-0005-0000-0000-0000F3990000}"/>
    <cellStyle name="표준 5 4 2 2 2 3 2 7" xfId="11767" xr:uid="{00000000-0005-0000-0000-0000F4990000}"/>
    <cellStyle name="표준 5 4 2 2 2 3 2 8" xfId="16007" xr:uid="{00000000-0005-0000-0000-0000F5990000}"/>
    <cellStyle name="표준 5 4 2 2 2 3 2 9" xfId="20169" xr:uid="{00000000-0005-0000-0000-0000F6990000}"/>
    <cellStyle name="표준 5 4 2 2 2 3 3" xfId="1056" xr:uid="{00000000-0005-0000-0000-0000F7990000}"/>
    <cellStyle name="표준 5 4 2 2 2 3 3 2" xfId="9959" xr:uid="{00000000-0005-0000-0000-0000F8990000}"/>
    <cellStyle name="표준 5 4 2 2 2 3 3 2 2" xfId="14071" xr:uid="{00000000-0005-0000-0000-0000F9990000}"/>
    <cellStyle name="표준 5 4 2 2 2 3 3 2 2 2" xfId="30665" xr:uid="{00000000-0005-0000-0000-0000FA990000}"/>
    <cellStyle name="표준 5 4 2 2 2 3 3 2 2 3" xfId="38876" xr:uid="{00000000-0005-0000-0000-0000FB990000}"/>
    <cellStyle name="표준 5 4 2 2 2 3 3 2 2 4" xfId="47069" xr:uid="{00000000-0005-0000-0000-0000FC990000}"/>
    <cellStyle name="표준 5 4 2 2 2 3 3 2 3" xfId="18311" xr:uid="{00000000-0005-0000-0000-0000FD990000}"/>
    <cellStyle name="표준 5 4 2 2 2 3 3 2 4" xfId="22473" xr:uid="{00000000-0005-0000-0000-0000FE990000}"/>
    <cellStyle name="표준 5 4 2 2 2 3 3 2 5" xfId="26569" xr:uid="{00000000-0005-0000-0000-0000FF990000}"/>
    <cellStyle name="표준 5 4 2 2 2 3 3 2 6" xfId="34780" xr:uid="{00000000-0005-0000-0000-0000009A0000}"/>
    <cellStyle name="표준 5 4 2 2 2 3 3 2 7" xfId="42973" xr:uid="{00000000-0005-0000-0000-0000019A0000}"/>
    <cellStyle name="표준 5 4 2 2 2 3 3 3" xfId="7911" xr:uid="{00000000-0005-0000-0000-0000029A0000}"/>
    <cellStyle name="표준 5 4 2 2 2 3 3 3 2" xfId="28617" xr:uid="{00000000-0005-0000-0000-0000039A0000}"/>
    <cellStyle name="표준 5 4 2 2 2 3 3 3 3" xfId="36828" xr:uid="{00000000-0005-0000-0000-0000049A0000}"/>
    <cellStyle name="표준 5 4 2 2 2 3 3 3 4" xfId="45021" xr:uid="{00000000-0005-0000-0000-0000059A0000}"/>
    <cellStyle name="표준 5 4 2 2 2 3 3 4" xfId="12023" xr:uid="{00000000-0005-0000-0000-0000069A0000}"/>
    <cellStyle name="표준 5 4 2 2 2 3 3 5" xfId="16263" xr:uid="{00000000-0005-0000-0000-0000079A0000}"/>
    <cellStyle name="표준 5 4 2 2 2 3 3 6" xfId="20425" xr:uid="{00000000-0005-0000-0000-0000089A0000}"/>
    <cellStyle name="표준 5 4 2 2 2 3 3 7" xfId="24521" xr:uid="{00000000-0005-0000-0000-0000099A0000}"/>
    <cellStyle name="표준 5 4 2 2 2 3 3 8" xfId="32732" xr:uid="{00000000-0005-0000-0000-00000A9A0000}"/>
    <cellStyle name="표준 5 4 2 2 2 3 3 9" xfId="40925" xr:uid="{00000000-0005-0000-0000-00000B9A0000}"/>
    <cellStyle name="표준 5 4 2 2 2 3 4" xfId="1568" xr:uid="{00000000-0005-0000-0000-00000C9A0000}"/>
    <cellStyle name="표준 5 4 2 2 2 3 4 2" xfId="10471" xr:uid="{00000000-0005-0000-0000-00000D9A0000}"/>
    <cellStyle name="표준 5 4 2 2 2 3 4 2 2" xfId="14583" xr:uid="{00000000-0005-0000-0000-00000E9A0000}"/>
    <cellStyle name="표준 5 4 2 2 2 3 4 2 2 2" xfId="31177" xr:uid="{00000000-0005-0000-0000-00000F9A0000}"/>
    <cellStyle name="표준 5 4 2 2 2 3 4 2 2 3" xfId="39388" xr:uid="{00000000-0005-0000-0000-0000109A0000}"/>
    <cellStyle name="표준 5 4 2 2 2 3 4 2 2 4" xfId="47581" xr:uid="{00000000-0005-0000-0000-0000119A0000}"/>
    <cellStyle name="표준 5 4 2 2 2 3 4 2 3" xfId="18823" xr:uid="{00000000-0005-0000-0000-0000129A0000}"/>
    <cellStyle name="표준 5 4 2 2 2 3 4 2 4" xfId="22985" xr:uid="{00000000-0005-0000-0000-0000139A0000}"/>
    <cellStyle name="표준 5 4 2 2 2 3 4 2 5" xfId="27081" xr:uid="{00000000-0005-0000-0000-0000149A0000}"/>
    <cellStyle name="표준 5 4 2 2 2 3 4 2 6" xfId="35292" xr:uid="{00000000-0005-0000-0000-0000159A0000}"/>
    <cellStyle name="표준 5 4 2 2 2 3 4 2 7" xfId="43485" xr:uid="{00000000-0005-0000-0000-0000169A0000}"/>
    <cellStyle name="표준 5 4 2 2 2 3 4 3" xfId="8423" xr:uid="{00000000-0005-0000-0000-0000179A0000}"/>
    <cellStyle name="표준 5 4 2 2 2 3 4 3 2" xfId="29129" xr:uid="{00000000-0005-0000-0000-0000189A0000}"/>
    <cellStyle name="표준 5 4 2 2 2 3 4 3 3" xfId="37340" xr:uid="{00000000-0005-0000-0000-0000199A0000}"/>
    <cellStyle name="표준 5 4 2 2 2 3 4 3 4" xfId="45533" xr:uid="{00000000-0005-0000-0000-00001A9A0000}"/>
    <cellStyle name="표준 5 4 2 2 2 3 4 4" xfId="12535" xr:uid="{00000000-0005-0000-0000-00001B9A0000}"/>
    <cellStyle name="표준 5 4 2 2 2 3 4 5" xfId="16775" xr:uid="{00000000-0005-0000-0000-00001C9A0000}"/>
    <cellStyle name="표준 5 4 2 2 2 3 4 6" xfId="20937" xr:uid="{00000000-0005-0000-0000-00001D9A0000}"/>
    <cellStyle name="표준 5 4 2 2 2 3 4 7" xfId="25033" xr:uid="{00000000-0005-0000-0000-00001E9A0000}"/>
    <cellStyle name="표준 5 4 2 2 2 3 4 8" xfId="33244" xr:uid="{00000000-0005-0000-0000-00001F9A0000}"/>
    <cellStyle name="표준 5 4 2 2 2 3 4 9" xfId="41437" xr:uid="{00000000-0005-0000-0000-0000209A0000}"/>
    <cellStyle name="표준 5 4 2 2 2 3 5" xfId="2080" xr:uid="{00000000-0005-0000-0000-0000219A0000}"/>
    <cellStyle name="표준 5 4 2 2 2 3 5 2" xfId="10983" xr:uid="{00000000-0005-0000-0000-0000229A0000}"/>
    <cellStyle name="표준 5 4 2 2 2 3 5 2 2" xfId="15095" xr:uid="{00000000-0005-0000-0000-0000239A0000}"/>
    <cellStyle name="표준 5 4 2 2 2 3 5 2 2 2" xfId="31689" xr:uid="{00000000-0005-0000-0000-0000249A0000}"/>
    <cellStyle name="표준 5 4 2 2 2 3 5 2 2 3" xfId="39900" xr:uid="{00000000-0005-0000-0000-0000259A0000}"/>
    <cellStyle name="표준 5 4 2 2 2 3 5 2 2 4" xfId="48093" xr:uid="{00000000-0005-0000-0000-0000269A0000}"/>
    <cellStyle name="표준 5 4 2 2 2 3 5 2 3" xfId="19335" xr:uid="{00000000-0005-0000-0000-0000279A0000}"/>
    <cellStyle name="표준 5 4 2 2 2 3 5 2 4" xfId="23497" xr:uid="{00000000-0005-0000-0000-0000289A0000}"/>
    <cellStyle name="표준 5 4 2 2 2 3 5 2 5" xfId="27593" xr:uid="{00000000-0005-0000-0000-0000299A0000}"/>
    <cellStyle name="표준 5 4 2 2 2 3 5 2 6" xfId="35804" xr:uid="{00000000-0005-0000-0000-00002A9A0000}"/>
    <cellStyle name="표준 5 4 2 2 2 3 5 2 7" xfId="43997" xr:uid="{00000000-0005-0000-0000-00002B9A0000}"/>
    <cellStyle name="표준 5 4 2 2 2 3 5 3" xfId="8935" xr:uid="{00000000-0005-0000-0000-00002C9A0000}"/>
    <cellStyle name="표준 5 4 2 2 2 3 5 3 2" xfId="29641" xr:uid="{00000000-0005-0000-0000-00002D9A0000}"/>
    <cellStyle name="표준 5 4 2 2 2 3 5 3 3" xfId="37852" xr:uid="{00000000-0005-0000-0000-00002E9A0000}"/>
    <cellStyle name="표준 5 4 2 2 2 3 5 3 4" xfId="46045" xr:uid="{00000000-0005-0000-0000-00002F9A0000}"/>
    <cellStyle name="표준 5 4 2 2 2 3 5 4" xfId="13047" xr:uid="{00000000-0005-0000-0000-0000309A0000}"/>
    <cellStyle name="표준 5 4 2 2 2 3 5 5" xfId="17287" xr:uid="{00000000-0005-0000-0000-0000319A0000}"/>
    <cellStyle name="표준 5 4 2 2 2 3 5 6" xfId="21449" xr:uid="{00000000-0005-0000-0000-0000329A0000}"/>
    <cellStyle name="표준 5 4 2 2 2 3 5 7" xfId="25545" xr:uid="{00000000-0005-0000-0000-0000339A0000}"/>
    <cellStyle name="표준 5 4 2 2 2 3 5 8" xfId="33756" xr:uid="{00000000-0005-0000-0000-0000349A0000}"/>
    <cellStyle name="표준 5 4 2 2 2 3 5 9" xfId="41949" xr:uid="{00000000-0005-0000-0000-0000359A0000}"/>
    <cellStyle name="표준 5 4 2 2 2 3 6" xfId="9447" xr:uid="{00000000-0005-0000-0000-0000369A0000}"/>
    <cellStyle name="표준 5 4 2 2 2 3 6 2" xfId="13559" xr:uid="{00000000-0005-0000-0000-0000379A0000}"/>
    <cellStyle name="표준 5 4 2 2 2 3 6 2 2" xfId="30153" xr:uid="{00000000-0005-0000-0000-0000389A0000}"/>
    <cellStyle name="표준 5 4 2 2 2 3 6 2 3" xfId="38364" xr:uid="{00000000-0005-0000-0000-0000399A0000}"/>
    <cellStyle name="표준 5 4 2 2 2 3 6 2 4" xfId="46557" xr:uid="{00000000-0005-0000-0000-00003A9A0000}"/>
    <cellStyle name="표준 5 4 2 2 2 3 6 3" xfId="17799" xr:uid="{00000000-0005-0000-0000-00003B9A0000}"/>
    <cellStyle name="표준 5 4 2 2 2 3 6 4" xfId="21961" xr:uid="{00000000-0005-0000-0000-00003C9A0000}"/>
    <cellStyle name="표준 5 4 2 2 2 3 6 5" xfId="26057" xr:uid="{00000000-0005-0000-0000-00003D9A0000}"/>
    <cellStyle name="표준 5 4 2 2 2 3 6 6" xfId="34268" xr:uid="{00000000-0005-0000-0000-00003E9A0000}"/>
    <cellStyle name="표준 5 4 2 2 2 3 6 7" xfId="42461" xr:uid="{00000000-0005-0000-0000-00003F9A0000}"/>
    <cellStyle name="표준 5 4 2 2 2 3 7" xfId="7399" xr:uid="{00000000-0005-0000-0000-0000409A0000}"/>
    <cellStyle name="표준 5 4 2 2 2 3 7 2" xfId="28105" xr:uid="{00000000-0005-0000-0000-0000419A0000}"/>
    <cellStyle name="표준 5 4 2 2 2 3 7 3" xfId="36316" xr:uid="{00000000-0005-0000-0000-0000429A0000}"/>
    <cellStyle name="표준 5 4 2 2 2 3 7 4" xfId="44509" xr:uid="{00000000-0005-0000-0000-0000439A0000}"/>
    <cellStyle name="표준 5 4 2 2 2 3 8" xfId="11511" xr:uid="{00000000-0005-0000-0000-0000449A0000}"/>
    <cellStyle name="표준 5 4 2 2 2 3 9" xfId="15751" xr:uid="{00000000-0005-0000-0000-0000459A0000}"/>
    <cellStyle name="표준 5 4 2 2 2 4" xfId="672" xr:uid="{00000000-0005-0000-0000-0000469A0000}"/>
    <cellStyle name="표준 5 4 2 2 2 4 10" xfId="24137" xr:uid="{00000000-0005-0000-0000-0000479A0000}"/>
    <cellStyle name="표준 5 4 2 2 2 4 11" xfId="32348" xr:uid="{00000000-0005-0000-0000-0000489A0000}"/>
    <cellStyle name="표준 5 4 2 2 2 4 12" xfId="40541" xr:uid="{00000000-0005-0000-0000-0000499A0000}"/>
    <cellStyle name="표준 5 4 2 2 2 4 2" xfId="1184" xr:uid="{00000000-0005-0000-0000-00004A9A0000}"/>
    <cellStyle name="표준 5 4 2 2 2 4 2 2" xfId="10087" xr:uid="{00000000-0005-0000-0000-00004B9A0000}"/>
    <cellStyle name="표준 5 4 2 2 2 4 2 2 2" xfId="14199" xr:uid="{00000000-0005-0000-0000-00004C9A0000}"/>
    <cellStyle name="표준 5 4 2 2 2 4 2 2 2 2" xfId="30793" xr:uid="{00000000-0005-0000-0000-00004D9A0000}"/>
    <cellStyle name="표준 5 4 2 2 2 4 2 2 2 3" xfId="39004" xr:uid="{00000000-0005-0000-0000-00004E9A0000}"/>
    <cellStyle name="표준 5 4 2 2 2 4 2 2 2 4" xfId="47197" xr:uid="{00000000-0005-0000-0000-00004F9A0000}"/>
    <cellStyle name="표준 5 4 2 2 2 4 2 2 3" xfId="18439" xr:uid="{00000000-0005-0000-0000-0000509A0000}"/>
    <cellStyle name="표준 5 4 2 2 2 4 2 2 4" xfId="22601" xr:uid="{00000000-0005-0000-0000-0000519A0000}"/>
    <cellStyle name="표준 5 4 2 2 2 4 2 2 5" xfId="26697" xr:uid="{00000000-0005-0000-0000-0000529A0000}"/>
    <cellStyle name="표준 5 4 2 2 2 4 2 2 6" xfId="34908" xr:uid="{00000000-0005-0000-0000-0000539A0000}"/>
    <cellStyle name="표준 5 4 2 2 2 4 2 2 7" xfId="43101" xr:uid="{00000000-0005-0000-0000-0000549A0000}"/>
    <cellStyle name="표준 5 4 2 2 2 4 2 3" xfId="8039" xr:uid="{00000000-0005-0000-0000-0000559A0000}"/>
    <cellStyle name="표준 5 4 2 2 2 4 2 3 2" xfId="28745" xr:uid="{00000000-0005-0000-0000-0000569A0000}"/>
    <cellStyle name="표준 5 4 2 2 2 4 2 3 3" xfId="36956" xr:uid="{00000000-0005-0000-0000-0000579A0000}"/>
    <cellStyle name="표준 5 4 2 2 2 4 2 3 4" xfId="45149" xr:uid="{00000000-0005-0000-0000-0000589A0000}"/>
    <cellStyle name="표준 5 4 2 2 2 4 2 4" xfId="12151" xr:uid="{00000000-0005-0000-0000-0000599A0000}"/>
    <cellStyle name="표준 5 4 2 2 2 4 2 5" xfId="16391" xr:uid="{00000000-0005-0000-0000-00005A9A0000}"/>
    <cellStyle name="표준 5 4 2 2 2 4 2 6" xfId="20553" xr:uid="{00000000-0005-0000-0000-00005B9A0000}"/>
    <cellStyle name="표준 5 4 2 2 2 4 2 7" xfId="24649" xr:uid="{00000000-0005-0000-0000-00005C9A0000}"/>
    <cellStyle name="표준 5 4 2 2 2 4 2 8" xfId="32860" xr:uid="{00000000-0005-0000-0000-00005D9A0000}"/>
    <cellStyle name="표준 5 4 2 2 2 4 2 9" xfId="41053" xr:uid="{00000000-0005-0000-0000-00005E9A0000}"/>
    <cellStyle name="표준 5 4 2 2 2 4 3" xfId="1696" xr:uid="{00000000-0005-0000-0000-00005F9A0000}"/>
    <cellStyle name="표준 5 4 2 2 2 4 3 2" xfId="10599" xr:uid="{00000000-0005-0000-0000-0000609A0000}"/>
    <cellStyle name="표준 5 4 2 2 2 4 3 2 2" xfId="14711" xr:uid="{00000000-0005-0000-0000-0000619A0000}"/>
    <cellStyle name="표준 5 4 2 2 2 4 3 2 2 2" xfId="31305" xr:uid="{00000000-0005-0000-0000-0000629A0000}"/>
    <cellStyle name="표준 5 4 2 2 2 4 3 2 2 3" xfId="39516" xr:uid="{00000000-0005-0000-0000-0000639A0000}"/>
    <cellStyle name="표준 5 4 2 2 2 4 3 2 2 4" xfId="47709" xr:uid="{00000000-0005-0000-0000-0000649A0000}"/>
    <cellStyle name="표준 5 4 2 2 2 4 3 2 3" xfId="18951" xr:uid="{00000000-0005-0000-0000-0000659A0000}"/>
    <cellStyle name="표준 5 4 2 2 2 4 3 2 4" xfId="23113" xr:uid="{00000000-0005-0000-0000-0000669A0000}"/>
    <cellStyle name="표준 5 4 2 2 2 4 3 2 5" xfId="27209" xr:uid="{00000000-0005-0000-0000-0000679A0000}"/>
    <cellStyle name="표준 5 4 2 2 2 4 3 2 6" xfId="35420" xr:uid="{00000000-0005-0000-0000-0000689A0000}"/>
    <cellStyle name="표준 5 4 2 2 2 4 3 2 7" xfId="43613" xr:uid="{00000000-0005-0000-0000-0000699A0000}"/>
    <cellStyle name="표준 5 4 2 2 2 4 3 3" xfId="8551" xr:uid="{00000000-0005-0000-0000-00006A9A0000}"/>
    <cellStyle name="표준 5 4 2 2 2 4 3 3 2" xfId="29257" xr:uid="{00000000-0005-0000-0000-00006B9A0000}"/>
    <cellStyle name="표준 5 4 2 2 2 4 3 3 3" xfId="37468" xr:uid="{00000000-0005-0000-0000-00006C9A0000}"/>
    <cellStyle name="표준 5 4 2 2 2 4 3 3 4" xfId="45661" xr:uid="{00000000-0005-0000-0000-00006D9A0000}"/>
    <cellStyle name="표준 5 4 2 2 2 4 3 4" xfId="12663" xr:uid="{00000000-0005-0000-0000-00006E9A0000}"/>
    <cellStyle name="표준 5 4 2 2 2 4 3 5" xfId="16903" xr:uid="{00000000-0005-0000-0000-00006F9A0000}"/>
    <cellStyle name="표준 5 4 2 2 2 4 3 6" xfId="21065" xr:uid="{00000000-0005-0000-0000-0000709A0000}"/>
    <cellStyle name="표준 5 4 2 2 2 4 3 7" xfId="25161" xr:uid="{00000000-0005-0000-0000-0000719A0000}"/>
    <cellStyle name="표준 5 4 2 2 2 4 3 8" xfId="33372" xr:uid="{00000000-0005-0000-0000-0000729A0000}"/>
    <cellStyle name="표준 5 4 2 2 2 4 3 9" xfId="41565" xr:uid="{00000000-0005-0000-0000-0000739A0000}"/>
    <cellStyle name="표준 5 4 2 2 2 4 4" xfId="2208" xr:uid="{00000000-0005-0000-0000-0000749A0000}"/>
    <cellStyle name="표준 5 4 2 2 2 4 4 2" xfId="11111" xr:uid="{00000000-0005-0000-0000-0000759A0000}"/>
    <cellStyle name="표준 5 4 2 2 2 4 4 2 2" xfId="15223" xr:uid="{00000000-0005-0000-0000-0000769A0000}"/>
    <cellStyle name="표준 5 4 2 2 2 4 4 2 2 2" xfId="31817" xr:uid="{00000000-0005-0000-0000-0000779A0000}"/>
    <cellStyle name="표준 5 4 2 2 2 4 4 2 2 3" xfId="40028" xr:uid="{00000000-0005-0000-0000-0000789A0000}"/>
    <cellStyle name="표준 5 4 2 2 2 4 4 2 2 4" xfId="48221" xr:uid="{00000000-0005-0000-0000-0000799A0000}"/>
    <cellStyle name="표준 5 4 2 2 2 4 4 2 3" xfId="19463" xr:uid="{00000000-0005-0000-0000-00007A9A0000}"/>
    <cellStyle name="표준 5 4 2 2 2 4 4 2 4" xfId="23625" xr:uid="{00000000-0005-0000-0000-00007B9A0000}"/>
    <cellStyle name="표준 5 4 2 2 2 4 4 2 5" xfId="27721" xr:uid="{00000000-0005-0000-0000-00007C9A0000}"/>
    <cellStyle name="표준 5 4 2 2 2 4 4 2 6" xfId="35932" xr:uid="{00000000-0005-0000-0000-00007D9A0000}"/>
    <cellStyle name="표준 5 4 2 2 2 4 4 2 7" xfId="44125" xr:uid="{00000000-0005-0000-0000-00007E9A0000}"/>
    <cellStyle name="표준 5 4 2 2 2 4 4 3" xfId="9063" xr:uid="{00000000-0005-0000-0000-00007F9A0000}"/>
    <cellStyle name="표준 5 4 2 2 2 4 4 3 2" xfId="29769" xr:uid="{00000000-0005-0000-0000-0000809A0000}"/>
    <cellStyle name="표준 5 4 2 2 2 4 4 3 3" xfId="37980" xr:uid="{00000000-0005-0000-0000-0000819A0000}"/>
    <cellStyle name="표준 5 4 2 2 2 4 4 3 4" xfId="46173" xr:uid="{00000000-0005-0000-0000-0000829A0000}"/>
    <cellStyle name="표준 5 4 2 2 2 4 4 4" xfId="13175" xr:uid="{00000000-0005-0000-0000-0000839A0000}"/>
    <cellStyle name="표준 5 4 2 2 2 4 4 5" xfId="17415" xr:uid="{00000000-0005-0000-0000-0000849A0000}"/>
    <cellStyle name="표준 5 4 2 2 2 4 4 6" xfId="21577" xr:uid="{00000000-0005-0000-0000-0000859A0000}"/>
    <cellStyle name="표준 5 4 2 2 2 4 4 7" xfId="25673" xr:uid="{00000000-0005-0000-0000-0000869A0000}"/>
    <cellStyle name="표준 5 4 2 2 2 4 4 8" xfId="33884" xr:uid="{00000000-0005-0000-0000-0000879A0000}"/>
    <cellStyle name="표준 5 4 2 2 2 4 4 9" xfId="42077" xr:uid="{00000000-0005-0000-0000-0000889A0000}"/>
    <cellStyle name="표준 5 4 2 2 2 4 5" xfId="9575" xr:uid="{00000000-0005-0000-0000-0000899A0000}"/>
    <cellStyle name="표준 5 4 2 2 2 4 5 2" xfId="13687" xr:uid="{00000000-0005-0000-0000-00008A9A0000}"/>
    <cellStyle name="표준 5 4 2 2 2 4 5 2 2" xfId="30281" xr:uid="{00000000-0005-0000-0000-00008B9A0000}"/>
    <cellStyle name="표준 5 4 2 2 2 4 5 2 3" xfId="38492" xr:uid="{00000000-0005-0000-0000-00008C9A0000}"/>
    <cellStyle name="표준 5 4 2 2 2 4 5 2 4" xfId="46685" xr:uid="{00000000-0005-0000-0000-00008D9A0000}"/>
    <cellStyle name="표준 5 4 2 2 2 4 5 3" xfId="17927" xr:uid="{00000000-0005-0000-0000-00008E9A0000}"/>
    <cellStyle name="표준 5 4 2 2 2 4 5 4" xfId="22089" xr:uid="{00000000-0005-0000-0000-00008F9A0000}"/>
    <cellStyle name="표준 5 4 2 2 2 4 5 5" xfId="26185" xr:uid="{00000000-0005-0000-0000-0000909A0000}"/>
    <cellStyle name="표준 5 4 2 2 2 4 5 6" xfId="34396" xr:uid="{00000000-0005-0000-0000-0000919A0000}"/>
    <cellStyle name="표준 5 4 2 2 2 4 5 7" xfId="42589" xr:uid="{00000000-0005-0000-0000-0000929A0000}"/>
    <cellStyle name="표준 5 4 2 2 2 4 6" xfId="7527" xr:uid="{00000000-0005-0000-0000-0000939A0000}"/>
    <cellStyle name="표준 5 4 2 2 2 4 6 2" xfId="28233" xr:uid="{00000000-0005-0000-0000-0000949A0000}"/>
    <cellStyle name="표준 5 4 2 2 2 4 6 3" xfId="36444" xr:uid="{00000000-0005-0000-0000-0000959A0000}"/>
    <cellStyle name="표준 5 4 2 2 2 4 6 4" xfId="44637" xr:uid="{00000000-0005-0000-0000-0000969A0000}"/>
    <cellStyle name="표준 5 4 2 2 2 4 7" xfId="11639" xr:uid="{00000000-0005-0000-0000-0000979A0000}"/>
    <cellStyle name="표준 5 4 2 2 2 4 8" xfId="15879" xr:uid="{00000000-0005-0000-0000-0000989A0000}"/>
    <cellStyle name="표준 5 4 2 2 2 4 9" xfId="20041" xr:uid="{00000000-0005-0000-0000-0000999A0000}"/>
    <cellStyle name="표준 5 4 2 2 2 5" xfId="928" xr:uid="{00000000-0005-0000-0000-00009A9A0000}"/>
    <cellStyle name="표준 5 4 2 2 2 5 2" xfId="9831" xr:uid="{00000000-0005-0000-0000-00009B9A0000}"/>
    <cellStyle name="표준 5 4 2 2 2 5 2 2" xfId="13943" xr:uid="{00000000-0005-0000-0000-00009C9A0000}"/>
    <cellStyle name="표준 5 4 2 2 2 5 2 2 2" xfId="30537" xr:uid="{00000000-0005-0000-0000-00009D9A0000}"/>
    <cellStyle name="표준 5 4 2 2 2 5 2 2 3" xfId="38748" xr:uid="{00000000-0005-0000-0000-00009E9A0000}"/>
    <cellStyle name="표준 5 4 2 2 2 5 2 2 4" xfId="46941" xr:uid="{00000000-0005-0000-0000-00009F9A0000}"/>
    <cellStyle name="표준 5 4 2 2 2 5 2 3" xfId="18183" xr:uid="{00000000-0005-0000-0000-0000A09A0000}"/>
    <cellStyle name="표준 5 4 2 2 2 5 2 4" xfId="22345" xr:uid="{00000000-0005-0000-0000-0000A19A0000}"/>
    <cellStyle name="표준 5 4 2 2 2 5 2 5" xfId="26441" xr:uid="{00000000-0005-0000-0000-0000A29A0000}"/>
    <cellStyle name="표준 5 4 2 2 2 5 2 6" xfId="34652" xr:uid="{00000000-0005-0000-0000-0000A39A0000}"/>
    <cellStyle name="표준 5 4 2 2 2 5 2 7" xfId="42845" xr:uid="{00000000-0005-0000-0000-0000A49A0000}"/>
    <cellStyle name="표준 5 4 2 2 2 5 3" xfId="7783" xr:uid="{00000000-0005-0000-0000-0000A59A0000}"/>
    <cellStyle name="표준 5 4 2 2 2 5 3 2" xfId="28489" xr:uid="{00000000-0005-0000-0000-0000A69A0000}"/>
    <cellStyle name="표준 5 4 2 2 2 5 3 3" xfId="36700" xr:uid="{00000000-0005-0000-0000-0000A79A0000}"/>
    <cellStyle name="표준 5 4 2 2 2 5 3 4" xfId="44893" xr:uid="{00000000-0005-0000-0000-0000A89A0000}"/>
    <cellStyle name="표준 5 4 2 2 2 5 4" xfId="11895" xr:uid="{00000000-0005-0000-0000-0000A99A0000}"/>
    <cellStyle name="표준 5 4 2 2 2 5 5" xfId="16135" xr:uid="{00000000-0005-0000-0000-0000AA9A0000}"/>
    <cellStyle name="표준 5 4 2 2 2 5 6" xfId="20297" xr:uid="{00000000-0005-0000-0000-0000AB9A0000}"/>
    <cellStyle name="표준 5 4 2 2 2 5 7" xfId="24393" xr:uid="{00000000-0005-0000-0000-0000AC9A0000}"/>
    <cellStyle name="표준 5 4 2 2 2 5 8" xfId="32604" xr:uid="{00000000-0005-0000-0000-0000AD9A0000}"/>
    <cellStyle name="표준 5 4 2 2 2 5 9" xfId="40797" xr:uid="{00000000-0005-0000-0000-0000AE9A0000}"/>
    <cellStyle name="표준 5 4 2 2 2 6" xfId="1440" xr:uid="{00000000-0005-0000-0000-0000AF9A0000}"/>
    <cellStyle name="표준 5 4 2 2 2 6 2" xfId="10343" xr:uid="{00000000-0005-0000-0000-0000B09A0000}"/>
    <cellStyle name="표준 5 4 2 2 2 6 2 2" xfId="14455" xr:uid="{00000000-0005-0000-0000-0000B19A0000}"/>
    <cellStyle name="표준 5 4 2 2 2 6 2 2 2" xfId="31049" xr:uid="{00000000-0005-0000-0000-0000B29A0000}"/>
    <cellStyle name="표준 5 4 2 2 2 6 2 2 3" xfId="39260" xr:uid="{00000000-0005-0000-0000-0000B39A0000}"/>
    <cellStyle name="표준 5 4 2 2 2 6 2 2 4" xfId="47453" xr:uid="{00000000-0005-0000-0000-0000B49A0000}"/>
    <cellStyle name="표준 5 4 2 2 2 6 2 3" xfId="18695" xr:uid="{00000000-0005-0000-0000-0000B59A0000}"/>
    <cellStyle name="표준 5 4 2 2 2 6 2 4" xfId="22857" xr:uid="{00000000-0005-0000-0000-0000B69A0000}"/>
    <cellStyle name="표준 5 4 2 2 2 6 2 5" xfId="26953" xr:uid="{00000000-0005-0000-0000-0000B79A0000}"/>
    <cellStyle name="표준 5 4 2 2 2 6 2 6" xfId="35164" xr:uid="{00000000-0005-0000-0000-0000B89A0000}"/>
    <cellStyle name="표준 5 4 2 2 2 6 2 7" xfId="43357" xr:uid="{00000000-0005-0000-0000-0000B99A0000}"/>
    <cellStyle name="표준 5 4 2 2 2 6 3" xfId="8295" xr:uid="{00000000-0005-0000-0000-0000BA9A0000}"/>
    <cellStyle name="표준 5 4 2 2 2 6 3 2" xfId="29001" xr:uid="{00000000-0005-0000-0000-0000BB9A0000}"/>
    <cellStyle name="표준 5 4 2 2 2 6 3 3" xfId="37212" xr:uid="{00000000-0005-0000-0000-0000BC9A0000}"/>
    <cellStyle name="표준 5 4 2 2 2 6 3 4" xfId="45405" xr:uid="{00000000-0005-0000-0000-0000BD9A0000}"/>
    <cellStyle name="표준 5 4 2 2 2 6 4" xfId="12407" xr:uid="{00000000-0005-0000-0000-0000BE9A0000}"/>
    <cellStyle name="표준 5 4 2 2 2 6 5" xfId="16647" xr:uid="{00000000-0005-0000-0000-0000BF9A0000}"/>
    <cellStyle name="표준 5 4 2 2 2 6 6" xfId="20809" xr:uid="{00000000-0005-0000-0000-0000C09A0000}"/>
    <cellStyle name="표준 5 4 2 2 2 6 7" xfId="24905" xr:uid="{00000000-0005-0000-0000-0000C19A0000}"/>
    <cellStyle name="표준 5 4 2 2 2 6 8" xfId="33116" xr:uid="{00000000-0005-0000-0000-0000C29A0000}"/>
    <cellStyle name="표준 5 4 2 2 2 6 9" xfId="41309" xr:uid="{00000000-0005-0000-0000-0000C39A0000}"/>
    <cellStyle name="표준 5 4 2 2 2 7" xfId="1952" xr:uid="{00000000-0005-0000-0000-0000C49A0000}"/>
    <cellStyle name="표준 5 4 2 2 2 7 2" xfId="10855" xr:uid="{00000000-0005-0000-0000-0000C59A0000}"/>
    <cellStyle name="표준 5 4 2 2 2 7 2 2" xfId="14967" xr:uid="{00000000-0005-0000-0000-0000C69A0000}"/>
    <cellStyle name="표준 5 4 2 2 2 7 2 2 2" xfId="31561" xr:uid="{00000000-0005-0000-0000-0000C79A0000}"/>
    <cellStyle name="표준 5 4 2 2 2 7 2 2 3" xfId="39772" xr:uid="{00000000-0005-0000-0000-0000C89A0000}"/>
    <cellStyle name="표준 5 4 2 2 2 7 2 2 4" xfId="47965" xr:uid="{00000000-0005-0000-0000-0000C99A0000}"/>
    <cellStyle name="표준 5 4 2 2 2 7 2 3" xfId="19207" xr:uid="{00000000-0005-0000-0000-0000CA9A0000}"/>
    <cellStyle name="표준 5 4 2 2 2 7 2 4" xfId="23369" xr:uid="{00000000-0005-0000-0000-0000CB9A0000}"/>
    <cellStyle name="표준 5 4 2 2 2 7 2 5" xfId="27465" xr:uid="{00000000-0005-0000-0000-0000CC9A0000}"/>
    <cellStyle name="표준 5 4 2 2 2 7 2 6" xfId="35676" xr:uid="{00000000-0005-0000-0000-0000CD9A0000}"/>
    <cellStyle name="표준 5 4 2 2 2 7 2 7" xfId="43869" xr:uid="{00000000-0005-0000-0000-0000CE9A0000}"/>
    <cellStyle name="표준 5 4 2 2 2 7 3" xfId="8807" xr:uid="{00000000-0005-0000-0000-0000CF9A0000}"/>
    <cellStyle name="표준 5 4 2 2 2 7 3 2" xfId="29513" xr:uid="{00000000-0005-0000-0000-0000D09A0000}"/>
    <cellStyle name="표준 5 4 2 2 2 7 3 3" xfId="37724" xr:uid="{00000000-0005-0000-0000-0000D19A0000}"/>
    <cellStyle name="표준 5 4 2 2 2 7 3 4" xfId="45917" xr:uid="{00000000-0005-0000-0000-0000D29A0000}"/>
    <cellStyle name="표준 5 4 2 2 2 7 4" xfId="12919" xr:uid="{00000000-0005-0000-0000-0000D39A0000}"/>
    <cellStyle name="표준 5 4 2 2 2 7 5" xfId="17159" xr:uid="{00000000-0005-0000-0000-0000D49A0000}"/>
    <cellStyle name="표준 5 4 2 2 2 7 6" xfId="21321" xr:uid="{00000000-0005-0000-0000-0000D59A0000}"/>
    <cellStyle name="표준 5 4 2 2 2 7 7" xfId="25417" xr:uid="{00000000-0005-0000-0000-0000D69A0000}"/>
    <cellStyle name="표준 5 4 2 2 2 7 8" xfId="33628" xr:uid="{00000000-0005-0000-0000-0000D79A0000}"/>
    <cellStyle name="표준 5 4 2 2 2 7 9" xfId="41821" xr:uid="{00000000-0005-0000-0000-0000D89A0000}"/>
    <cellStyle name="표준 5 4 2 2 2 8" xfId="7044" xr:uid="{00000000-0005-0000-0000-0000D99A0000}"/>
    <cellStyle name="표준 5 4 2 2 2 8 2" xfId="9319" xr:uid="{00000000-0005-0000-0000-0000DA9A0000}"/>
    <cellStyle name="표준 5 4 2 2 2 8 2 2" xfId="30025" xr:uid="{00000000-0005-0000-0000-0000DB9A0000}"/>
    <cellStyle name="표준 5 4 2 2 2 8 2 3" xfId="38236" xr:uid="{00000000-0005-0000-0000-0000DC9A0000}"/>
    <cellStyle name="표준 5 4 2 2 2 8 2 4" xfId="46429" xr:uid="{00000000-0005-0000-0000-0000DD9A0000}"/>
    <cellStyle name="표준 5 4 2 2 2 8 3" xfId="13431" xr:uid="{00000000-0005-0000-0000-0000DE9A0000}"/>
    <cellStyle name="표준 5 4 2 2 2 8 4" xfId="17671" xr:uid="{00000000-0005-0000-0000-0000DF9A0000}"/>
    <cellStyle name="표준 5 4 2 2 2 8 5" xfId="21833" xr:uid="{00000000-0005-0000-0000-0000E09A0000}"/>
    <cellStyle name="표준 5 4 2 2 2 8 6" xfId="25929" xr:uid="{00000000-0005-0000-0000-0000E19A0000}"/>
    <cellStyle name="표준 5 4 2 2 2 8 7" xfId="34140" xr:uid="{00000000-0005-0000-0000-0000E29A0000}"/>
    <cellStyle name="표준 5 4 2 2 2 8 8" xfId="42333" xr:uid="{00000000-0005-0000-0000-0000E39A0000}"/>
    <cellStyle name="표준 5 4 2 2 2 9" xfId="7134" xr:uid="{00000000-0005-0000-0000-0000E49A0000}"/>
    <cellStyle name="표준 5 4 2 2 2 9 2" xfId="27977" xr:uid="{00000000-0005-0000-0000-0000E59A0000}"/>
    <cellStyle name="표준 5 4 2 2 2 9 3" xfId="36188" xr:uid="{00000000-0005-0000-0000-0000E69A0000}"/>
    <cellStyle name="표준 5 4 2 2 2 9 4" xfId="44381" xr:uid="{00000000-0005-0000-0000-0000E79A0000}"/>
    <cellStyle name="표준 5 4 2 2 3" xfId="448" xr:uid="{00000000-0005-0000-0000-0000E89A0000}"/>
    <cellStyle name="표준 5 4 2 2 3 10" xfId="15655" xr:uid="{00000000-0005-0000-0000-0000E99A0000}"/>
    <cellStyle name="표준 5 4 2 2 3 11" xfId="19817" xr:uid="{00000000-0005-0000-0000-0000EA9A0000}"/>
    <cellStyle name="표준 5 4 2 2 3 12" xfId="23913" xr:uid="{00000000-0005-0000-0000-0000EB9A0000}"/>
    <cellStyle name="표준 5 4 2 2 3 13" xfId="32124" xr:uid="{00000000-0005-0000-0000-0000EC9A0000}"/>
    <cellStyle name="표준 5 4 2 2 3 14" xfId="40317" xr:uid="{00000000-0005-0000-0000-0000ED9A0000}"/>
    <cellStyle name="표준 5 4 2 2 3 2" xfId="576" xr:uid="{00000000-0005-0000-0000-0000EE9A0000}"/>
    <cellStyle name="표준 5 4 2 2 3 2 10" xfId="19945" xr:uid="{00000000-0005-0000-0000-0000EF9A0000}"/>
    <cellStyle name="표준 5 4 2 2 3 2 11" xfId="24041" xr:uid="{00000000-0005-0000-0000-0000F09A0000}"/>
    <cellStyle name="표준 5 4 2 2 3 2 12" xfId="32252" xr:uid="{00000000-0005-0000-0000-0000F19A0000}"/>
    <cellStyle name="표준 5 4 2 2 3 2 13" xfId="40445" xr:uid="{00000000-0005-0000-0000-0000F29A0000}"/>
    <cellStyle name="표준 5 4 2 2 3 2 2" xfId="832" xr:uid="{00000000-0005-0000-0000-0000F39A0000}"/>
    <cellStyle name="표준 5 4 2 2 3 2 2 10" xfId="24297" xr:uid="{00000000-0005-0000-0000-0000F49A0000}"/>
    <cellStyle name="표준 5 4 2 2 3 2 2 11" xfId="32508" xr:uid="{00000000-0005-0000-0000-0000F59A0000}"/>
    <cellStyle name="표준 5 4 2 2 3 2 2 12" xfId="40701" xr:uid="{00000000-0005-0000-0000-0000F69A0000}"/>
    <cellStyle name="표준 5 4 2 2 3 2 2 2" xfId="1344" xr:uid="{00000000-0005-0000-0000-0000F79A0000}"/>
    <cellStyle name="표준 5 4 2 2 3 2 2 2 2" xfId="10247" xr:uid="{00000000-0005-0000-0000-0000F89A0000}"/>
    <cellStyle name="표준 5 4 2 2 3 2 2 2 2 2" xfId="14359" xr:uid="{00000000-0005-0000-0000-0000F99A0000}"/>
    <cellStyle name="표준 5 4 2 2 3 2 2 2 2 2 2" xfId="30953" xr:uid="{00000000-0005-0000-0000-0000FA9A0000}"/>
    <cellStyle name="표준 5 4 2 2 3 2 2 2 2 2 3" xfId="39164" xr:uid="{00000000-0005-0000-0000-0000FB9A0000}"/>
    <cellStyle name="표준 5 4 2 2 3 2 2 2 2 2 4" xfId="47357" xr:uid="{00000000-0005-0000-0000-0000FC9A0000}"/>
    <cellStyle name="표준 5 4 2 2 3 2 2 2 2 3" xfId="18599" xr:uid="{00000000-0005-0000-0000-0000FD9A0000}"/>
    <cellStyle name="표준 5 4 2 2 3 2 2 2 2 4" xfId="22761" xr:uid="{00000000-0005-0000-0000-0000FE9A0000}"/>
    <cellStyle name="표준 5 4 2 2 3 2 2 2 2 5" xfId="26857" xr:uid="{00000000-0005-0000-0000-0000FF9A0000}"/>
    <cellStyle name="표준 5 4 2 2 3 2 2 2 2 6" xfId="35068" xr:uid="{00000000-0005-0000-0000-0000009B0000}"/>
    <cellStyle name="표준 5 4 2 2 3 2 2 2 2 7" xfId="43261" xr:uid="{00000000-0005-0000-0000-0000019B0000}"/>
    <cellStyle name="표준 5 4 2 2 3 2 2 2 3" xfId="8199" xr:uid="{00000000-0005-0000-0000-0000029B0000}"/>
    <cellStyle name="표준 5 4 2 2 3 2 2 2 3 2" xfId="28905" xr:uid="{00000000-0005-0000-0000-0000039B0000}"/>
    <cellStyle name="표준 5 4 2 2 3 2 2 2 3 3" xfId="37116" xr:uid="{00000000-0005-0000-0000-0000049B0000}"/>
    <cellStyle name="표준 5 4 2 2 3 2 2 2 3 4" xfId="45309" xr:uid="{00000000-0005-0000-0000-0000059B0000}"/>
    <cellStyle name="표준 5 4 2 2 3 2 2 2 4" xfId="12311" xr:uid="{00000000-0005-0000-0000-0000069B0000}"/>
    <cellStyle name="표준 5 4 2 2 3 2 2 2 5" xfId="16551" xr:uid="{00000000-0005-0000-0000-0000079B0000}"/>
    <cellStyle name="표준 5 4 2 2 3 2 2 2 6" xfId="20713" xr:uid="{00000000-0005-0000-0000-0000089B0000}"/>
    <cellStyle name="표준 5 4 2 2 3 2 2 2 7" xfId="24809" xr:uid="{00000000-0005-0000-0000-0000099B0000}"/>
    <cellStyle name="표준 5 4 2 2 3 2 2 2 8" xfId="33020" xr:uid="{00000000-0005-0000-0000-00000A9B0000}"/>
    <cellStyle name="표준 5 4 2 2 3 2 2 2 9" xfId="41213" xr:uid="{00000000-0005-0000-0000-00000B9B0000}"/>
    <cellStyle name="표준 5 4 2 2 3 2 2 3" xfId="1856" xr:uid="{00000000-0005-0000-0000-00000C9B0000}"/>
    <cellStyle name="표준 5 4 2 2 3 2 2 3 2" xfId="10759" xr:uid="{00000000-0005-0000-0000-00000D9B0000}"/>
    <cellStyle name="표준 5 4 2 2 3 2 2 3 2 2" xfId="14871" xr:uid="{00000000-0005-0000-0000-00000E9B0000}"/>
    <cellStyle name="표준 5 4 2 2 3 2 2 3 2 2 2" xfId="31465" xr:uid="{00000000-0005-0000-0000-00000F9B0000}"/>
    <cellStyle name="표준 5 4 2 2 3 2 2 3 2 2 3" xfId="39676" xr:uid="{00000000-0005-0000-0000-0000109B0000}"/>
    <cellStyle name="표준 5 4 2 2 3 2 2 3 2 2 4" xfId="47869" xr:uid="{00000000-0005-0000-0000-0000119B0000}"/>
    <cellStyle name="표준 5 4 2 2 3 2 2 3 2 3" xfId="19111" xr:uid="{00000000-0005-0000-0000-0000129B0000}"/>
    <cellStyle name="표준 5 4 2 2 3 2 2 3 2 4" xfId="23273" xr:uid="{00000000-0005-0000-0000-0000139B0000}"/>
    <cellStyle name="표준 5 4 2 2 3 2 2 3 2 5" xfId="27369" xr:uid="{00000000-0005-0000-0000-0000149B0000}"/>
    <cellStyle name="표준 5 4 2 2 3 2 2 3 2 6" xfId="35580" xr:uid="{00000000-0005-0000-0000-0000159B0000}"/>
    <cellStyle name="표준 5 4 2 2 3 2 2 3 2 7" xfId="43773" xr:uid="{00000000-0005-0000-0000-0000169B0000}"/>
    <cellStyle name="표준 5 4 2 2 3 2 2 3 3" xfId="8711" xr:uid="{00000000-0005-0000-0000-0000179B0000}"/>
    <cellStyle name="표준 5 4 2 2 3 2 2 3 3 2" xfId="29417" xr:uid="{00000000-0005-0000-0000-0000189B0000}"/>
    <cellStyle name="표준 5 4 2 2 3 2 2 3 3 3" xfId="37628" xr:uid="{00000000-0005-0000-0000-0000199B0000}"/>
    <cellStyle name="표준 5 4 2 2 3 2 2 3 3 4" xfId="45821" xr:uid="{00000000-0005-0000-0000-00001A9B0000}"/>
    <cellStyle name="표준 5 4 2 2 3 2 2 3 4" xfId="12823" xr:uid="{00000000-0005-0000-0000-00001B9B0000}"/>
    <cellStyle name="표준 5 4 2 2 3 2 2 3 5" xfId="17063" xr:uid="{00000000-0005-0000-0000-00001C9B0000}"/>
    <cellStyle name="표준 5 4 2 2 3 2 2 3 6" xfId="21225" xr:uid="{00000000-0005-0000-0000-00001D9B0000}"/>
    <cellStyle name="표준 5 4 2 2 3 2 2 3 7" xfId="25321" xr:uid="{00000000-0005-0000-0000-00001E9B0000}"/>
    <cellStyle name="표준 5 4 2 2 3 2 2 3 8" xfId="33532" xr:uid="{00000000-0005-0000-0000-00001F9B0000}"/>
    <cellStyle name="표준 5 4 2 2 3 2 2 3 9" xfId="41725" xr:uid="{00000000-0005-0000-0000-0000209B0000}"/>
    <cellStyle name="표준 5 4 2 2 3 2 2 4" xfId="2368" xr:uid="{00000000-0005-0000-0000-0000219B0000}"/>
    <cellStyle name="표준 5 4 2 2 3 2 2 4 2" xfId="11271" xr:uid="{00000000-0005-0000-0000-0000229B0000}"/>
    <cellStyle name="표준 5 4 2 2 3 2 2 4 2 2" xfId="15383" xr:uid="{00000000-0005-0000-0000-0000239B0000}"/>
    <cellStyle name="표준 5 4 2 2 3 2 2 4 2 2 2" xfId="31977" xr:uid="{00000000-0005-0000-0000-0000249B0000}"/>
    <cellStyle name="표준 5 4 2 2 3 2 2 4 2 2 3" xfId="40188" xr:uid="{00000000-0005-0000-0000-0000259B0000}"/>
    <cellStyle name="표준 5 4 2 2 3 2 2 4 2 2 4" xfId="48381" xr:uid="{00000000-0005-0000-0000-0000269B0000}"/>
    <cellStyle name="표준 5 4 2 2 3 2 2 4 2 3" xfId="19623" xr:uid="{00000000-0005-0000-0000-0000279B0000}"/>
    <cellStyle name="표준 5 4 2 2 3 2 2 4 2 4" xfId="23785" xr:uid="{00000000-0005-0000-0000-0000289B0000}"/>
    <cellStyle name="표준 5 4 2 2 3 2 2 4 2 5" xfId="27881" xr:uid="{00000000-0005-0000-0000-0000299B0000}"/>
    <cellStyle name="표준 5 4 2 2 3 2 2 4 2 6" xfId="36092" xr:uid="{00000000-0005-0000-0000-00002A9B0000}"/>
    <cellStyle name="표준 5 4 2 2 3 2 2 4 2 7" xfId="44285" xr:uid="{00000000-0005-0000-0000-00002B9B0000}"/>
    <cellStyle name="표준 5 4 2 2 3 2 2 4 3" xfId="9223" xr:uid="{00000000-0005-0000-0000-00002C9B0000}"/>
    <cellStyle name="표준 5 4 2 2 3 2 2 4 3 2" xfId="29929" xr:uid="{00000000-0005-0000-0000-00002D9B0000}"/>
    <cellStyle name="표준 5 4 2 2 3 2 2 4 3 3" xfId="38140" xr:uid="{00000000-0005-0000-0000-00002E9B0000}"/>
    <cellStyle name="표준 5 4 2 2 3 2 2 4 3 4" xfId="46333" xr:uid="{00000000-0005-0000-0000-00002F9B0000}"/>
    <cellStyle name="표준 5 4 2 2 3 2 2 4 4" xfId="13335" xr:uid="{00000000-0005-0000-0000-0000309B0000}"/>
    <cellStyle name="표준 5 4 2 2 3 2 2 4 5" xfId="17575" xr:uid="{00000000-0005-0000-0000-0000319B0000}"/>
    <cellStyle name="표준 5 4 2 2 3 2 2 4 6" xfId="21737" xr:uid="{00000000-0005-0000-0000-0000329B0000}"/>
    <cellStyle name="표준 5 4 2 2 3 2 2 4 7" xfId="25833" xr:uid="{00000000-0005-0000-0000-0000339B0000}"/>
    <cellStyle name="표준 5 4 2 2 3 2 2 4 8" xfId="34044" xr:uid="{00000000-0005-0000-0000-0000349B0000}"/>
    <cellStyle name="표준 5 4 2 2 3 2 2 4 9" xfId="42237" xr:uid="{00000000-0005-0000-0000-0000359B0000}"/>
    <cellStyle name="표준 5 4 2 2 3 2 2 5" xfId="9735" xr:uid="{00000000-0005-0000-0000-0000369B0000}"/>
    <cellStyle name="표준 5 4 2 2 3 2 2 5 2" xfId="13847" xr:uid="{00000000-0005-0000-0000-0000379B0000}"/>
    <cellStyle name="표준 5 4 2 2 3 2 2 5 2 2" xfId="30441" xr:uid="{00000000-0005-0000-0000-0000389B0000}"/>
    <cellStyle name="표준 5 4 2 2 3 2 2 5 2 3" xfId="38652" xr:uid="{00000000-0005-0000-0000-0000399B0000}"/>
    <cellStyle name="표준 5 4 2 2 3 2 2 5 2 4" xfId="46845" xr:uid="{00000000-0005-0000-0000-00003A9B0000}"/>
    <cellStyle name="표준 5 4 2 2 3 2 2 5 3" xfId="18087" xr:uid="{00000000-0005-0000-0000-00003B9B0000}"/>
    <cellStyle name="표준 5 4 2 2 3 2 2 5 4" xfId="22249" xr:uid="{00000000-0005-0000-0000-00003C9B0000}"/>
    <cellStyle name="표준 5 4 2 2 3 2 2 5 5" xfId="26345" xr:uid="{00000000-0005-0000-0000-00003D9B0000}"/>
    <cellStyle name="표준 5 4 2 2 3 2 2 5 6" xfId="34556" xr:uid="{00000000-0005-0000-0000-00003E9B0000}"/>
    <cellStyle name="표준 5 4 2 2 3 2 2 5 7" xfId="42749" xr:uid="{00000000-0005-0000-0000-00003F9B0000}"/>
    <cellStyle name="표준 5 4 2 2 3 2 2 6" xfId="7687" xr:uid="{00000000-0005-0000-0000-0000409B0000}"/>
    <cellStyle name="표준 5 4 2 2 3 2 2 6 2" xfId="28393" xr:uid="{00000000-0005-0000-0000-0000419B0000}"/>
    <cellStyle name="표준 5 4 2 2 3 2 2 6 3" xfId="36604" xr:uid="{00000000-0005-0000-0000-0000429B0000}"/>
    <cellStyle name="표준 5 4 2 2 3 2 2 6 4" xfId="44797" xr:uid="{00000000-0005-0000-0000-0000439B0000}"/>
    <cellStyle name="표준 5 4 2 2 3 2 2 7" xfId="11799" xr:uid="{00000000-0005-0000-0000-0000449B0000}"/>
    <cellStyle name="표준 5 4 2 2 3 2 2 8" xfId="16039" xr:uid="{00000000-0005-0000-0000-0000459B0000}"/>
    <cellStyle name="표준 5 4 2 2 3 2 2 9" xfId="20201" xr:uid="{00000000-0005-0000-0000-0000469B0000}"/>
    <cellStyle name="표준 5 4 2 2 3 2 3" xfId="1088" xr:uid="{00000000-0005-0000-0000-0000479B0000}"/>
    <cellStyle name="표준 5 4 2 2 3 2 3 2" xfId="9991" xr:uid="{00000000-0005-0000-0000-0000489B0000}"/>
    <cellStyle name="표준 5 4 2 2 3 2 3 2 2" xfId="14103" xr:uid="{00000000-0005-0000-0000-0000499B0000}"/>
    <cellStyle name="표준 5 4 2 2 3 2 3 2 2 2" xfId="30697" xr:uid="{00000000-0005-0000-0000-00004A9B0000}"/>
    <cellStyle name="표준 5 4 2 2 3 2 3 2 2 3" xfId="38908" xr:uid="{00000000-0005-0000-0000-00004B9B0000}"/>
    <cellStyle name="표준 5 4 2 2 3 2 3 2 2 4" xfId="47101" xr:uid="{00000000-0005-0000-0000-00004C9B0000}"/>
    <cellStyle name="표준 5 4 2 2 3 2 3 2 3" xfId="18343" xr:uid="{00000000-0005-0000-0000-00004D9B0000}"/>
    <cellStyle name="표준 5 4 2 2 3 2 3 2 4" xfId="22505" xr:uid="{00000000-0005-0000-0000-00004E9B0000}"/>
    <cellStyle name="표준 5 4 2 2 3 2 3 2 5" xfId="26601" xr:uid="{00000000-0005-0000-0000-00004F9B0000}"/>
    <cellStyle name="표준 5 4 2 2 3 2 3 2 6" xfId="34812" xr:uid="{00000000-0005-0000-0000-0000509B0000}"/>
    <cellStyle name="표준 5 4 2 2 3 2 3 2 7" xfId="43005" xr:uid="{00000000-0005-0000-0000-0000519B0000}"/>
    <cellStyle name="표준 5 4 2 2 3 2 3 3" xfId="7943" xr:uid="{00000000-0005-0000-0000-0000529B0000}"/>
    <cellStyle name="표준 5 4 2 2 3 2 3 3 2" xfId="28649" xr:uid="{00000000-0005-0000-0000-0000539B0000}"/>
    <cellStyle name="표준 5 4 2 2 3 2 3 3 3" xfId="36860" xr:uid="{00000000-0005-0000-0000-0000549B0000}"/>
    <cellStyle name="표준 5 4 2 2 3 2 3 3 4" xfId="45053" xr:uid="{00000000-0005-0000-0000-0000559B0000}"/>
    <cellStyle name="표준 5 4 2 2 3 2 3 4" xfId="12055" xr:uid="{00000000-0005-0000-0000-0000569B0000}"/>
    <cellStyle name="표준 5 4 2 2 3 2 3 5" xfId="16295" xr:uid="{00000000-0005-0000-0000-0000579B0000}"/>
    <cellStyle name="표준 5 4 2 2 3 2 3 6" xfId="20457" xr:uid="{00000000-0005-0000-0000-0000589B0000}"/>
    <cellStyle name="표준 5 4 2 2 3 2 3 7" xfId="24553" xr:uid="{00000000-0005-0000-0000-0000599B0000}"/>
    <cellStyle name="표준 5 4 2 2 3 2 3 8" xfId="32764" xr:uid="{00000000-0005-0000-0000-00005A9B0000}"/>
    <cellStyle name="표준 5 4 2 2 3 2 3 9" xfId="40957" xr:uid="{00000000-0005-0000-0000-00005B9B0000}"/>
    <cellStyle name="표준 5 4 2 2 3 2 4" xfId="1600" xr:uid="{00000000-0005-0000-0000-00005C9B0000}"/>
    <cellStyle name="표준 5 4 2 2 3 2 4 2" xfId="10503" xr:uid="{00000000-0005-0000-0000-00005D9B0000}"/>
    <cellStyle name="표준 5 4 2 2 3 2 4 2 2" xfId="14615" xr:uid="{00000000-0005-0000-0000-00005E9B0000}"/>
    <cellStyle name="표준 5 4 2 2 3 2 4 2 2 2" xfId="31209" xr:uid="{00000000-0005-0000-0000-00005F9B0000}"/>
    <cellStyle name="표준 5 4 2 2 3 2 4 2 2 3" xfId="39420" xr:uid="{00000000-0005-0000-0000-0000609B0000}"/>
    <cellStyle name="표준 5 4 2 2 3 2 4 2 2 4" xfId="47613" xr:uid="{00000000-0005-0000-0000-0000619B0000}"/>
    <cellStyle name="표준 5 4 2 2 3 2 4 2 3" xfId="18855" xr:uid="{00000000-0005-0000-0000-0000629B0000}"/>
    <cellStyle name="표준 5 4 2 2 3 2 4 2 4" xfId="23017" xr:uid="{00000000-0005-0000-0000-0000639B0000}"/>
    <cellStyle name="표준 5 4 2 2 3 2 4 2 5" xfId="27113" xr:uid="{00000000-0005-0000-0000-0000649B0000}"/>
    <cellStyle name="표준 5 4 2 2 3 2 4 2 6" xfId="35324" xr:uid="{00000000-0005-0000-0000-0000659B0000}"/>
    <cellStyle name="표준 5 4 2 2 3 2 4 2 7" xfId="43517" xr:uid="{00000000-0005-0000-0000-0000669B0000}"/>
    <cellStyle name="표준 5 4 2 2 3 2 4 3" xfId="8455" xr:uid="{00000000-0005-0000-0000-0000679B0000}"/>
    <cellStyle name="표준 5 4 2 2 3 2 4 3 2" xfId="29161" xr:uid="{00000000-0005-0000-0000-0000689B0000}"/>
    <cellStyle name="표준 5 4 2 2 3 2 4 3 3" xfId="37372" xr:uid="{00000000-0005-0000-0000-0000699B0000}"/>
    <cellStyle name="표준 5 4 2 2 3 2 4 3 4" xfId="45565" xr:uid="{00000000-0005-0000-0000-00006A9B0000}"/>
    <cellStyle name="표준 5 4 2 2 3 2 4 4" xfId="12567" xr:uid="{00000000-0005-0000-0000-00006B9B0000}"/>
    <cellStyle name="표준 5 4 2 2 3 2 4 5" xfId="16807" xr:uid="{00000000-0005-0000-0000-00006C9B0000}"/>
    <cellStyle name="표준 5 4 2 2 3 2 4 6" xfId="20969" xr:uid="{00000000-0005-0000-0000-00006D9B0000}"/>
    <cellStyle name="표준 5 4 2 2 3 2 4 7" xfId="25065" xr:uid="{00000000-0005-0000-0000-00006E9B0000}"/>
    <cellStyle name="표준 5 4 2 2 3 2 4 8" xfId="33276" xr:uid="{00000000-0005-0000-0000-00006F9B0000}"/>
    <cellStyle name="표준 5 4 2 2 3 2 4 9" xfId="41469" xr:uid="{00000000-0005-0000-0000-0000709B0000}"/>
    <cellStyle name="표준 5 4 2 2 3 2 5" xfId="2112" xr:uid="{00000000-0005-0000-0000-0000719B0000}"/>
    <cellStyle name="표준 5 4 2 2 3 2 5 2" xfId="11015" xr:uid="{00000000-0005-0000-0000-0000729B0000}"/>
    <cellStyle name="표준 5 4 2 2 3 2 5 2 2" xfId="15127" xr:uid="{00000000-0005-0000-0000-0000739B0000}"/>
    <cellStyle name="표준 5 4 2 2 3 2 5 2 2 2" xfId="31721" xr:uid="{00000000-0005-0000-0000-0000749B0000}"/>
    <cellStyle name="표준 5 4 2 2 3 2 5 2 2 3" xfId="39932" xr:uid="{00000000-0005-0000-0000-0000759B0000}"/>
    <cellStyle name="표준 5 4 2 2 3 2 5 2 2 4" xfId="48125" xr:uid="{00000000-0005-0000-0000-0000769B0000}"/>
    <cellStyle name="표준 5 4 2 2 3 2 5 2 3" xfId="19367" xr:uid="{00000000-0005-0000-0000-0000779B0000}"/>
    <cellStyle name="표준 5 4 2 2 3 2 5 2 4" xfId="23529" xr:uid="{00000000-0005-0000-0000-0000789B0000}"/>
    <cellStyle name="표준 5 4 2 2 3 2 5 2 5" xfId="27625" xr:uid="{00000000-0005-0000-0000-0000799B0000}"/>
    <cellStyle name="표준 5 4 2 2 3 2 5 2 6" xfId="35836" xr:uid="{00000000-0005-0000-0000-00007A9B0000}"/>
    <cellStyle name="표준 5 4 2 2 3 2 5 2 7" xfId="44029" xr:uid="{00000000-0005-0000-0000-00007B9B0000}"/>
    <cellStyle name="표준 5 4 2 2 3 2 5 3" xfId="8967" xr:uid="{00000000-0005-0000-0000-00007C9B0000}"/>
    <cellStyle name="표준 5 4 2 2 3 2 5 3 2" xfId="29673" xr:uid="{00000000-0005-0000-0000-00007D9B0000}"/>
    <cellStyle name="표준 5 4 2 2 3 2 5 3 3" xfId="37884" xr:uid="{00000000-0005-0000-0000-00007E9B0000}"/>
    <cellStyle name="표준 5 4 2 2 3 2 5 3 4" xfId="46077" xr:uid="{00000000-0005-0000-0000-00007F9B0000}"/>
    <cellStyle name="표준 5 4 2 2 3 2 5 4" xfId="13079" xr:uid="{00000000-0005-0000-0000-0000809B0000}"/>
    <cellStyle name="표준 5 4 2 2 3 2 5 5" xfId="17319" xr:uid="{00000000-0005-0000-0000-0000819B0000}"/>
    <cellStyle name="표준 5 4 2 2 3 2 5 6" xfId="21481" xr:uid="{00000000-0005-0000-0000-0000829B0000}"/>
    <cellStyle name="표준 5 4 2 2 3 2 5 7" xfId="25577" xr:uid="{00000000-0005-0000-0000-0000839B0000}"/>
    <cellStyle name="표준 5 4 2 2 3 2 5 8" xfId="33788" xr:uid="{00000000-0005-0000-0000-0000849B0000}"/>
    <cellStyle name="표준 5 4 2 2 3 2 5 9" xfId="41981" xr:uid="{00000000-0005-0000-0000-0000859B0000}"/>
    <cellStyle name="표준 5 4 2 2 3 2 6" xfId="9479" xr:uid="{00000000-0005-0000-0000-0000869B0000}"/>
    <cellStyle name="표준 5 4 2 2 3 2 6 2" xfId="13591" xr:uid="{00000000-0005-0000-0000-0000879B0000}"/>
    <cellStyle name="표준 5 4 2 2 3 2 6 2 2" xfId="30185" xr:uid="{00000000-0005-0000-0000-0000889B0000}"/>
    <cellStyle name="표준 5 4 2 2 3 2 6 2 3" xfId="38396" xr:uid="{00000000-0005-0000-0000-0000899B0000}"/>
    <cellStyle name="표준 5 4 2 2 3 2 6 2 4" xfId="46589" xr:uid="{00000000-0005-0000-0000-00008A9B0000}"/>
    <cellStyle name="표준 5 4 2 2 3 2 6 3" xfId="17831" xr:uid="{00000000-0005-0000-0000-00008B9B0000}"/>
    <cellStyle name="표준 5 4 2 2 3 2 6 4" xfId="21993" xr:uid="{00000000-0005-0000-0000-00008C9B0000}"/>
    <cellStyle name="표준 5 4 2 2 3 2 6 5" xfId="26089" xr:uid="{00000000-0005-0000-0000-00008D9B0000}"/>
    <cellStyle name="표준 5 4 2 2 3 2 6 6" xfId="34300" xr:uid="{00000000-0005-0000-0000-00008E9B0000}"/>
    <cellStyle name="표준 5 4 2 2 3 2 6 7" xfId="42493" xr:uid="{00000000-0005-0000-0000-00008F9B0000}"/>
    <cellStyle name="표준 5 4 2 2 3 2 7" xfId="7431" xr:uid="{00000000-0005-0000-0000-0000909B0000}"/>
    <cellStyle name="표준 5 4 2 2 3 2 7 2" xfId="28137" xr:uid="{00000000-0005-0000-0000-0000919B0000}"/>
    <cellStyle name="표준 5 4 2 2 3 2 7 3" xfId="36348" xr:uid="{00000000-0005-0000-0000-0000929B0000}"/>
    <cellStyle name="표준 5 4 2 2 3 2 7 4" xfId="44541" xr:uid="{00000000-0005-0000-0000-0000939B0000}"/>
    <cellStyle name="표준 5 4 2 2 3 2 8" xfId="11543" xr:uid="{00000000-0005-0000-0000-0000949B0000}"/>
    <cellStyle name="표준 5 4 2 2 3 2 9" xfId="15783" xr:uid="{00000000-0005-0000-0000-0000959B0000}"/>
    <cellStyle name="표준 5 4 2 2 3 3" xfId="704" xr:uid="{00000000-0005-0000-0000-0000969B0000}"/>
    <cellStyle name="표준 5 4 2 2 3 3 10" xfId="24169" xr:uid="{00000000-0005-0000-0000-0000979B0000}"/>
    <cellStyle name="표준 5 4 2 2 3 3 11" xfId="32380" xr:uid="{00000000-0005-0000-0000-0000989B0000}"/>
    <cellStyle name="표준 5 4 2 2 3 3 12" xfId="40573" xr:uid="{00000000-0005-0000-0000-0000999B0000}"/>
    <cellStyle name="표준 5 4 2 2 3 3 2" xfId="1216" xr:uid="{00000000-0005-0000-0000-00009A9B0000}"/>
    <cellStyle name="표준 5 4 2 2 3 3 2 2" xfId="10119" xr:uid="{00000000-0005-0000-0000-00009B9B0000}"/>
    <cellStyle name="표준 5 4 2 2 3 3 2 2 2" xfId="14231" xr:uid="{00000000-0005-0000-0000-00009C9B0000}"/>
    <cellStyle name="표준 5 4 2 2 3 3 2 2 2 2" xfId="30825" xr:uid="{00000000-0005-0000-0000-00009D9B0000}"/>
    <cellStyle name="표준 5 4 2 2 3 3 2 2 2 3" xfId="39036" xr:uid="{00000000-0005-0000-0000-00009E9B0000}"/>
    <cellStyle name="표준 5 4 2 2 3 3 2 2 2 4" xfId="47229" xr:uid="{00000000-0005-0000-0000-00009F9B0000}"/>
    <cellStyle name="표준 5 4 2 2 3 3 2 2 3" xfId="18471" xr:uid="{00000000-0005-0000-0000-0000A09B0000}"/>
    <cellStyle name="표준 5 4 2 2 3 3 2 2 4" xfId="22633" xr:uid="{00000000-0005-0000-0000-0000A19B0000}"/>
    <cellStyle name="표준 5 4 2 2 3 3 2 2 5" xfId="26729" xr:uid="{00000000-0005-0000-0000-0000A29B0000}"/>
    <cellStyle name="표준 5 4 2 2 3 3 2 2 6" xfId="34940" xr:uid="{00000000-0005-0000-0000-0000A39B0000}"/>
    <cellStyle name="표준 5 4 2 2 3 3 2 2 7" xfId="43133" xr:uid="{00000000-0005-0000-0000-0000A49B0000}"/>
    <cellStyle name="표준 5 4 2 2 3 3 2 3" xfId="8071" xr:uid="{00000000-0005-0000-0000-0000A59B0000}"/>
    <cellStyle name="표준 5 4 2 2 3 3 2 3 2" xfId="28777" xr:uid="{00000000-0005-0000-0000-0000A69B0000}"/>
    <cellStyle name="표준 5 4 2 2 3 3 2 3 3" xfId="36988" xr:uid="{00000000-0005-0000-0000-0000A79B0000}"/>
    <cellStyle name="표준 5 4 2 2 3 3 2 3 4" xfId="45181" xr:uid="{00000000-0005-0000-0000-0000A89B0000}"/>
    <cellStyle name="표준 5 4 2 2 3 3 2 4" xfId="12183" xr:uid="{00000000-0005-0000-0000-0000A99B0000}"/>
    <cellStyle name="표준 5 4 2 2 3 3 2 5" xfId="16423" xr:uid="{00000000-0005-0000-0000-0000AA9B0000}"/>
    <cellStyle name="표준 5 4 2 2 3 3 2 6" xfId="20585" xr:uid="{00000000-0005-0000-0000-0000AB9B0000}"/>
    <cellStyle name="표준 5 4 2 2 3 3 2 7" xfId="24681" xr:uid="{00000000-0005-0000-0000-0000AC9B0000}"/>
    <cellStyle name="표준 5 4 2 2 3 3 2 8" xfId="32892" xr:uid="{00000000-0005-0000-0000-0000AD9B0000}"/>
    <cellStyle name="표준 5 4 2 2 3 3 2 9" xfId="41085" xr:uid="{00000000-0005-0000-0000-0000AE9B0000}"/>
    <cellStyle name="표준 5 4 2 2 3 3 3" xfId="1728" xr:uid="{00000000-0005-0000-0000-0000AF9B0000}"/>
    <cellStyle name="표준 5 4 2 2 3 3 3 2" xfId="10631" xr:uid="{00000000-0005-0000-0000-0000B09B0000}"/>
    <cellStyle name="표준 5 4 2 2 3 3 3 2 2" xfId="14743" xr:uid="{00000000-0005-0000-0000-0000B19B0000}"/>
    <cellStyle name="표준 5 4 2 2 3 3 3 2 2 2" xfId="31337" xr:uid="{00000000-0005-0000-0000-0000B29B0000}"/>
    <cellStyle name="표준 5 4 2 2 3 3 3 2 2 3" xfId="39548" xr:uid="{00000000-0005-0000-0000-0000B39B0000}"/>
    <cellStyle name="표준 5 4 2 2 3 3 3 2 2 4" xfId="47741" xr:uid="{00000000-0005-0000-0000-0000B49B0000}"/>
    <cellStyle name="표준 5 4 2 2 3 3 3 2 3" xfId="18983" xr:uid="{00000000-0005-0000-0000-0000B59B0000}"/>
    <cellStyle name="표준 5 4 2 2 3 3 3 2 4" xfId="23145" xr:uid="{00000000-0005-0000-0000-0000B69B0000}"/>
    <cellStyle name="표준 5 4 2 2 3 3 3 2 5" xfId="27241" xr:uid="{00000000-0005-0000-0000-0000B79B0000}"/>
    <cellStyle name="표준 5 4 2 2 3 3 3 2 6" xfId="35452" xr:uid="{00000000-0005-0000-0000-0000B89B0000}"/>
    <cellStyle name="표준 5 4 2 2 3 3 3 2 7" xfId="43645" xr:uid="{00000000-0005-0000-0000-0000B99B0000}"/>
    <cellStyle name="표준 5 4 2 2 3 3 3 3" xfId="8583" xr:uid="{00000000-0005-0000-0000-0000BA9B0000}"/>
    <cellStyle name="표준 5 4 2 2 3 3 3 3 2" xfId="29289" xr:uid="{00000000-0005-0000-0000-0000BB9B0000}"/>
    <cellStyle name="표준 5 4 2 2 3 3 3 3 3" xfId="37500" xr:uid="{00000000-0005-0000-0000-0000BC9B0000}"/>
    <cellStyle name="표준 5 4 2 2 3 3 3 3 4" xfId="45693" xr:uid="{00000000-0005-0000-0000-0000BD9B0000}"/>
    <cellStyle name="표준 5 4 2 2 3 3 3 4" xfId="12695" xr:uid="{00000000-0005-0000-0000-0000BE9B0000}"/>
    <cellStyle name="표준 5 4 2 2 3 3 3 5" xfId="16935" xr:uid="{00000000-0005-0000-0000-0000BF9B0000}"/>
    <cellStyle name="표준 5 4 2 2 3 3 3 6" xfId="21097" xr:uid="{00000000-0005-0000-0000-0000C09B0000}"/>
    <cellStyle name="표준 5 4 2 2 3 3 3 7" xfId="25193" xr:uid="{00000000-0005-0000-0000-0000C19B0000}"/>
    <cellStyle name="표준 5 4 2 2 3 3 3 8" xfId="33404" xr:uid="{00000000-0005-0000-0000-0000C29B0000}"/>
    <cellStyle name="표준 5 4 2 2 3 3 3 9" xfId="41597" xr:uid="{00000000-0005-0000-0000-0000C39B0000}"/>
    <cellStyle name="표준 5 4 2 2 3 3 4" xfId="2240" xr:uid="{00000000-0005-0000-0000-0000C49B0000}"/>
    <cellStyle name="표준 5 4 2 2 3 3 4 2" xfId="11143" xr:uid="{00000000-0005-0000-0000-0000C59B0000}"/>
    <cellStyle name="표준 5 4 2 2 3 3 4 2 2" xfId="15255" xr:uid="{00000000-0005-0000-0000-0000C69B0000}"/>
    <cellStyle name="표준 5 4 2 2 3 3 4 2 2 2" xfId="31849" xr:uid="{00000000-0005-0000-0000-0000C79B0000}"/>
    <cellStyle name="표준 5 4 2 2 3 3 4 2 2 3" xfId="40060" xr:uid="{00000000-0005-0000-0000-0000C89B0000}"/>
    <cellStyle name="표준 5 4 2 2 3 3 4 2 2 4" xfId="48253" xr:uid="{00000000-0005-0000-0000-0000C99B0000}"/>
    <cellStyle name="표준 5 4 2 2 3 3 4 2 3" xfId="19495" xr:uid="{00000000-0005-0000-0000-0000CA9B0000}"/>
    <cellStyle name="표준 5 4 2 2 3 3 4 2 4" xfId="23657" xr:uid="{00000000-0005-0000-0000-0000CB9B0000}"/>
    <cellStyle name="표준 5 4 2 2 3 3 4 2 5" xfId="27753" xr:uid="{00000000-0005-0000-0000-0000CC9B0000}"/>
    <cellStyle name="표준 5 4 2 2 3 3 4 2 6" xfId="35964" xr:uid="{00000000-0005-0000-0000-0000CD9B0000}"/>
    <cellStyle name="표준 5 4 2 2 3 3 4 2 7" xfId="44157" xr:uid="{00000000-0005-0000-0000-0000CE9B0000}"/>
    <cellStyle name="표준 5 4 2 2 3 3 4 3" xfId="9095" xr:uid="{00000000-0005-0000-0000-0000CF9B0000}"/>
    <cellStyle name="표준 5 4 2 2 3 3 4 3 2" xfId="29801" xr:uid="{00000000-0005-0000-0000-0000D09B0000}"/>
    <cellStyle name="표준 5 4 2 2 3 3 4 3 3" xfId="38012" xr:uid="{00000000-0005-0000-0000-0000D19B0000}"/>
    <cellStyle name="표준 5 4 2 2 3 3 4 3 4" xfId="46205" xr:uid="{00000000-0005-0000-0000-0000D29B0000}"/>
    <cellStyle name="표준 5 4 2 2 3 3 4 4" xfId="13207" xr:uid="{00000000-0005-0000-0000-0000D39B0000}"/>
    <cellStyle name="표준 5 4 2 2 3 3 4 5" xfId="17447" xr:uid="{00000000-0005-0000-0000-0000D49B0000}"/>
    <cellStyle name="표준 5 4 2 2 3 3 4 6" xfId="21609" xr:uid="{00000000-0005-0000-0000-0000D59B0000}"/>
    <cellStyle name="표준 5 4 2 2 3 3 4 7" xfId="25705" xr:uid="{00000000-0005-0000-0000-0000D69B0000}"/>
    <cellStyle name="표준 5 4 2 2 3 3 4 8" xfId="33916" xr:uid="{00000000-0005-0000-0000-0000D79B0000}"/>
    <cellStyle name="표준 5 4 2 2 3 3 4 9" xfId="42109" xr:uid="{00000000-0005-0000-0000-0000D89B0000}"/>
    <cellStyle name="표준 5 4 2 2 3 3 5" xfId="9607" xr:uid="{00000000-0005-0000-0000-0000D99B0000}"/>
    <cellStyle name="표준 5 4 2 2 3 3 5 2" xfId="13719" xr:uid="{00000000-0005-0000-0000-0000DA9B0000}"/>
    <cellStyle name="표준 5 4 2 2 3 3 5 2 2" xfId="30313" xr:uid="{00000000-0005-0000-0000-0000DB9B0000}"/>
    <cellStyle name="표준 5 4 2 2 3 3 5 2 3" xfId="38524" xr:uid="{00000000-0005-0000-0000-0000DC9B0000}"/>
    <cellStyle name="표준 5 4 2 2 3 3 5 2 4" xfId="46717" xr:uid="{00000000-0005-0000-0000-0000DD9B0000}"/>
    <cellStyle name="표준 5 4 2 2 3 3 5 3" xfId="17959" xr:uid="{00000000-0005-0000-0000-0000DE9B0000}"/>
    <cellStyle name="표준 5 4 2 2 3 3 5 4" xfId="22121" xr:uid="{00000000-0005-0000-0000-0000DF9B0000}"/>
    <cellStyle name="표준 5 4 2 2 3 3 5 5" xfId="26217" xr:uid="{00000000-0005-0000-0000-0000E09B0000}"/>
    <cellStyle name="표준 5 4 2 2 3 3 5 6" xfId="34428" xr:uid="{00000000-0005-0000-0000-0000E19B0000}"/>
    <cellStyle name="표준 5 4 2 2 3 3 5 7" xfId="42621" xr:uid="{00000000-0005-0000-0000-0000E29B0000}"/>
    <cellStyle name="표준 5 4 2 2 3 3 6" xfId="7559" xr:uid="{00000000-0005-0000-0000-0000E39B0000}"/>
    <cellStyle name="표준 5 4 2 2 3 3 6 2" xfId="28265" xr:uid="{00000000-0005-0000-0000-0000E49B0000}"/>
    <cellStyle name="표준 5 4 2 2 3 3 6 3" xfId="36476" xr:uid="{00000000-0005-0000-0000-0000E59B0000}"/>
    <cellStyle name="표준 5 4 2 2 3 3 6 4" xfId="44669" xr:uid="{00000000-0005-0000-0000-0000E69B0000}"/>
    <cellStyle name="표준 5 4 2 2 3 3 7" xfId="11671" xr:uid="{00000000-0005-0000-0000-0000E79B0000}"/>
    <cellStyle name="표준 5 4 2 2 3 3 8" xfId="15911" xr:uid="{00000000-0005-0000-0000-0000E89B0000}"/>
    <cellStyle name="표준 5 4 2 2 3 3 9" xfId="20073" xr:uid="{00000000-0005-0000-0000-0000E99B0000}"/>
    <cellStyle name="표준 5 4 2 2 3 4" xfId="960" xr:uid="{00000000-0005-0000-0000-0000EA9B0000}"/>
    <cellStyle name="표준 5 4 2 2 3 4 2" xfId="9863" xr:uid="{00000000-0005-0000-0000-0000EB9B0000}"/>
    <cellStyle name="표준 5 4 2 2 3 4 2 2" xfId="13975" xr:uid="{00000000-0005-0000-0000-0000EC9B0000}"/>
    <cellStyle name="표준 5 4 2 2 3 4 2 2 2" xfId="30569" xr:uid="{00000000-0005-0000-0000-0000ED9B0000}"/>
    <cellStyle name="표준 5 4 2 2 3 4 2 2 3" xfId="38780" xr:uid="{00000000-0005-0000-0000-0000EE9B0000}"/>
    <cellStyle name="표준 5 4 2 2 3 4 2 2 4" xfId="46973" xr:uid="{00000000-0005-0000-0000-0000EF9B0000}"/>
    <cellStyle name="표준 5 4 2 2 3 4 2 3" xfId="18215" xr:uid="{00000000-0005-0000-0000-0000F09B0000}"/>
    <cellStyle name="표준 5 4 2 2 3 4 2 4" xfId="22377" xr:uid="{00000000-0005-0000-0000-0000F19B0000}"/>
    <cellStyle name="표준 5 4 2 2 3 4 2 5" xfId="26473" xr:uid="{00000000-0005-0000-0000-0000F29B0000}"/>
    <cellStyle name="표준 5 4 2 2 3 4 2 6" xfId="34684" xr:uid="{00000000-0005-0000-0000-0000F39B0000}"/>
    <cellStyle name="표준 5 4 2 2 3 4 2 7" xfId="42877" xr:uid="{00000000-0005-0000-0000-0000F49B0000}"/>
    <cellStyle name="표준 5 4 2 2 3 4 3" xfId="7815" xr:uid="{00000000-0005-0000-0000-0000F59B0000}"/>
    <cellStyle name="표준 5 4 2 2 3 4 3 2" xfId="28521" xr:uid="{00000000-0005-0000-0000-0000F69B0000}"/>
    <cellStyle name="표준 5 4 2 2 3 4 3 3" xfId="36732" xr:uid="{00000000-0005-0000-0000-0000F79B0000}"/>
    <cellStyle name="표준 5 4 2 2 3 4 3 4" xfId="44925" xr:uid="{00000000-0005-0000-0000-0000F89B0000}"/>
    <cellStyle name="표준 5 4 2 2 3 4 4" xfId="11927" xr:uid="{00000000-0005-0000-0000-0000F99B0000}"/>
    <cellStyle name="표준 5 4 2 2 3 4 5" xfId="16167" xr:uid="{00000000-0005-0000-0000-0000FA9B0000}"/>
    <cellStyle name="표준 5 4 2 2 3 4 6" xfId="20329" xr:uid="{00000000-0005-0000-0000-0000FB9B0000}"/>
    <cellStyle name="표준 5 4 2 2 3 4 7" xfId="24425" xr:uid="{00000000-0005-0000-0000-0000FC9B0000}"/>
    <cellStyle name="표준 5 4 2 2 3 4 8" xfId="32636" xr:uid="{00000000-0005-0000-0000-0000FD9B0000}"/>
    <cellStyle name="표준 5 4 2 2 3 4 9" xfId="40829" xr:uid="{00000000-0005-0000-0000-0000FE9B0000}"/>
    <cellStyle name="표준 5 4 2 2 3 5" xfId="1472" xr:uid="{00000000-0005-0000-0000-0000FF9B0000}"/>
    <cellStyle name="표준 5 4 2 2 3 5 2" xfId="10375" xr:uid="{00000000-0005-0000-0000-0000009C0000}"/>
    <cellStyle name="표준 5 4 2 2 3 5 2 2" xfId="14487" xr:uid="{00000000-0005-0000-0000-0000019C0000}"/>
    <cellStyle name="표준 5 4 2 2 3 5 2 2 2" xfId="31081" xr:uid="{00000000-0005-0000-0000-0000029C0000}"/>
    <cellStyle name="표준 5 4 2 2 3 5 2 2 3" xfId="39292" xr:uid="{00000000-0005-0000-0000-0000039C0000}"/>
    <cellStyle name="표준 5 4 2 2 3 5 2 2 4" xfId="47485" xr:uid="{00000000-0005-0000-0000-0000049C0000}"/>
    <cellStyle name="표준 5 4 2 2 3 5 2 3" xfId="18727" xr:uid="{00000000-0005-0000-0000-0000059C0000}"/>
    <cellStyle name="표준 5 4 2 2 3 5 2 4" xfId="22889" xr:uid="{00000000-0005-0000-0000-0000069C0000}"/>
    <cellStyle name="표준 5 4 2 2 3 5 2 5" xfId="26985" xr:uid="{00000000-0005-0000-0000-0000079C0000}"/>
    <cellStyle name="표준 5 4 2 2 3 5 2 6" xfId="35196" xr:uid="{00000000-0005-0000-0000-0000089C0000}"/>
    <cellStyle name="표준 5 4 2 2 3 5 2 7" xfId="43389" xr:uid="{00000000-0005-0000-0000-0000099C0000}"/>
    <cellStyle name="표준 5 4 2 2 3 5 3" xfId="8327" xr:uid="{00000000-0005-0000-0000-00000A9C0000}"/>
    <cellStyle name="표준 5 4 2 2 3 5 3 2" xfId="29033" xr:uid="{00000000-0005-0000-0000-00000B9C0000}"/>
    <cellStyle name="표준 5 4 2 2 3 5 3 3" xfId="37244" xr:uid="{00000000-0005-0000-0000-00000C9C0000}"/>
    <cellStyle name="표준 5 4 2 2 3 5 3 4" xfId="45437" xr:uid="{00000000-0005-0000-0000-00000D9C0000}"/>
    <cellStyle name="표준 5 4 2 2 3 5 4" xfId="12439" xr:uid="{00000000-0005-0000-0000-00000E9C0000}"/>
    <cellStyle name="표준 5 4 2 2 3 5 5" xfId="16679" xr:uid="{00000000-0005-0000-0000-00000F9C0000}"/>
    <cellStyle name="표준 5 4 2 2 3 5 6" xfId="20841" xr:uid="{00000000-0005-0000-0000-0000109C0000}"/>
    <cellStyle name="표준 5 4 2 2 3 5 7" xfId="24937" xr:uid="{00000000-0005-0000-0000-0000119C0000}"/>
    <cellStyle name="표준 5 4 2 2 3 5 8" xfId="33148" xr:uid="{00000000-0005-0000-0000-0000129C0000}"/>
    <cellStyle name="표준 5 4 2 2 3 5 9" xfId="41341" xr:uid="{00000000-0005-0000-0000-0000139C0000}"/>
    <cellStyle name="표준 5 4 2 2 3 6" xfId="1984" xr:uid="{00000000-0005-0000-0000-0000149C0000}"/>
    <cellStyle name="표준 5 4 2 2 3 6 2" xfId="10887" xr:uid="{00000000-0005-0000-0000-0000159C0000}"/>
    <cellStyle name="표준 5 4 2 2 3 6 2 2" xfId="14999" xr:uid="{00000000-0005-0000-0000-0000169C0000}"/>
    <cellStyle name="표준 5 4 2 2 3 6 2 2 2" xfId="31593" xr:uid="{00000000-0005-0000-0000-0000179C0000}"/>
    <cellStyle name="표준 5 4 2 2 3 6 2 2 3" xfId="39804" xr:uid="{00000000-0005-0000-0000-0000189C0000}"/>
    <cellStyle name="표준 5 4 2 2 3 6 2 2 4" xfId="47997" xr:uid="{00000000-0005-0000-0000-0000199C0000}"/>
    <cellStyle name="표준 5 4 2 2 3 6 2 3" xfId="19239" xr:uid="{00000000-0005-0000-0000-00001A9C0000}"/>
    <cellStyle name="표준 5 4 2 2 3 6 2 4" xfId="23401" xr:uid="{00000000-0005-0000-0000-00001B9C0000}"/>
    <cellStyle name="표준 5 4 2 2 3 6 2 5" xfId="27497" xr:uid="{00000000-0005-0000-0000-00001C9C0000}"/>
    <cellStyle name="표준 5 4 2 2 3 6 2 6" xfId="35708" xr:uid="{00000000-0005-0000-0000-00001D9C0000}"/>
    <cellStyle name="표준 5 4 2 2 3 6 2 7" xfId="43901" xr:uid="{00000000-0005-0000-0000-00001E9C0000}"/>
    <cellStyle name="표준 5 4 2 2 3 6 3" xfId="8839" xr:uid="{00000000-0005-0000-0000-00001F9C0000}"/>
    <cellStyle name="표준 5 4 2 2 3 6 3 2" xfId="29545" xr:uid="{00000000-0005-0000-0000-0000209C0000}"/>
    <cellStyle name="표준 5 4 2 2 3 6 3 3" xfId="37756" xr:uid="{00000000-0005-0000-0000-0000219C0000}"/>
    <cellStyle name="표준 5 4 2 2 3 6 3 4" xfId="45949" xr:uid="{00000000-0005-0000-0000-0000229C0000}"/>
    <cellStyle name="표준 5 4 2 2 3 6 4" xfId="12951" xr:uid="{00000000-0005-0000-0000-0000239C0000}"/>
    <cellStyle name="표준 5 4 2 2 3 6 5" xfId="17191" xr:uid="{00000000-0005-0000-0000-0000249C0000}"/>
    <cellStyle name="표준 5 4 2 2 3 6 6" xfId="21353" xr:uid="{00000000-0005-0000-0000-0000259C0000}"/>
    <cellStyle name="표준 5 4 2 2 3 6 7" xfId="25449" xr:uid="{00000000-0005-0000-0000-0000269C0000}"/>
    <cellStyle name="표준 5 4 2 2 3 6 8" xfId="33660" xr:uid="{00000000-0005-0000-0000-0000279C0000}"/>
    <cellStyle name="표준 5 4 2 2 3 6 9" xfId="41853" xr:uid="{00000000-0005-0000-0000-0000289C0000}"/>
    <cellStyle name="표준 5 4 2 2 3 7" xfId="9351" xr:uid="{00000000-0005-0000-0000-0000299C0000}"/>
    <cellStyle name="표준 5 4 2 2 3 7 2" xfId="13463" xr:uid="{00000000-0005-0000-0000-00002A9C0000}"/>
    <cellStyle name="표준 5 4 2 2 3 7 2 2" xfId="30057" xr:uid="{00000000-0005-0000-0000-00002B9C0000}"/>
    <cellStyle name="표준 5 4 2 2 3 7 2 3" xfId="38268" xr:uid="{00000000-0005-0000-0000-00002C9C0000}"/>
    <cellStyle name="표준 5 4 2 2 3 7 2 4" xfId="46461" xr:uid="{00000000-0005-0000-0000-00002D9C0000}"/>
    <cellStyle name="표준 5 4 2 2 3 7 3" xfId="17703" xr:uid="{00000000-0005-0000-0000-00002E9C0000}"/>
    <cellStyle name="표준 5 4 2 2 3 7 4" xfId="21865" xr:uid="{00000000-0005-0000-0000-00002F9C0000}"/>
    <cellStyle name="표준 5 4 2 2 3 7 5" xfId="25961" xr:uid="{00000000-0005-0000-0000-0000309C0000}"/>
    <cellStyle name="표준 5 4 2 2 3 7 6" xfId="34172" xr:uid="{00000000-0005-0000-0000-0000319C0000}"/>
    <cellStyle name="표준 5 4 2 2 3 7 7" xfId="42365" xr:uid="{00000000-0005-0000-0000-0000329C0000}"/>
    <cellStyle name="표준 5 4 2 2 3 8" xfId="7303" xr:uid="{00000000-0005-0000-0000-0000339C0000}"/>
    <cellStyle name="표준 5 4 2 2 3 8 2" xfId="28009" xr:uid="{00000000-0005-0000-0000-0000349C0000}"/>
    <cellStyle name="표준 5 4 2 2 3 8 3" xfId="36220" xr:uid="{00000000-0005-0000-0000-0000359C0000}"/>
    <cellStyle name="표준 5 4 2 2 3 8 4" xfId="44413" xr:uid="{00000000-0005-0000-0000-0000369C0000}"/>
    <cellStyle name="표준 5 4 2 2 3 9" xfId="11415" xr:uid="{00000000-0005-0000-0000-0000379C0000}"/>
    <cellStyle name="표준 5 4 2 2 4" xfId="512" xr:uid="{00000000-0005-0000-0000-0000389C0000}"/>
    <cellStyle name="표준 5 4 2 2 4 10" xfId="19881" xr:uid="{00000000-0005-0000-0000-0000399C0000}"/>
    <cellStyle name="표준 5 4 2 2 4 11" xfId="23977" xr:uid="{00000000-0005-0000-0000-00003A9C0000}"/>
    <cellStyle name="표준 5 4 2 2 4 12" xfId="32188" xr:uid="{00000000-0005-0000-0000-00003B9C0000}"/>
    <cellStyle name="표준 5 4 2 2 4 13" xfId="40381" xr:uid="{00000000-0005-0000-0000-00003C9C0000}"/>
    <cellStyle name="표준 5 4 2 2 4 2" xfId="768" xr:uid="{00000000-0005-0000-0000-00003D9C0000}"/>
    <cellStyle name="표준 5 4 2 2 4 2 10" xfId="24233" xr:uid="{00000000-0005-0000-0000-00003E9C0000}"/>
    <cellStyle name="표준 5 4 2 2 4 2 11" xfId="32444" xr:uid="{00000000-0005-0000-0000-00003F9C0000}"/>
    <cellStyle name="표준 5 4 2 2 4 2 12" xfId="40637" xr:uid="{00000000-0005-0000-0000-0000409C0000}"/>
    <cellStyle name="표준 5 4 2 2 4 2 2" xfId="1280" xr:uid="{00000000-0005-0000-0000-0000419C0000}"/>
    <cellStyle name="표준 5 4 2 2 4 2 2 2" xfId="10183" xr:uid="{00000000-0005-0000-0000-0000429C0000}"/>
    <cellStyle name="표준 5 4 2 2 4 2 2 2 2" xfId="14295" xr:uid="{00000000-0005-0000-0000-0000439C0000}"/>
    <cellStyle name="표준 5 4 2 2 4 2 2 2 2 2" xfId="30889" xr:uid="{00000000-0005-0000-0000-0000449C0000}"/>
    <cellStyle name="표준 5 4 2 2 4 2 2 2 2 3" xfId="39100" xr:uid="{00000000-0005-0000-0000-0000459C0000}"/>
    <cellStyle name="표준 5 4 2 2 4 2 2 2 2 4" xfId="47293" xr:uid="{00000000-0005-0000-0000-0000469C0000}"/>
    <cellStyle name="표준 5 4 2 2 4 2 2 2 3" xfId="18535" xr:uid="{00000000-0005-0000-0000-0000479C0000}"/>
    <cellStyle name="표준 5 4 2 2 4 2 2 2 4" xfId="22697" xr:uid="{00000000-0005-0000-0000-0000489C0000}"/>
    <cellStyle name="표준 5 4 2 2 4 2 2 2 5" xfId="26793" xr:uid="{00000000-0005-0000-0000-0000499C0000}"/>
    <cellStyle name="표준 5 4 2 2 4 2 2 2 6" xfId="35004" xr:uid="{00000000-0005-0000-0000-00004A9C0000}"/>
    <cellStyle name="표준 5 4 2 2 4 2 2 2 7" xfId="43197" xr:uid="{00000000-0005-0000-0000-00004B9C0000}"/>
    <cellStyle name="표준 5 4 2 2 4 2 2 3" xfId="8135" xr:uid="{00000000-0005-0000-0000-00004C9C0000}"/>
    <cellStyle name="표준 5 4 2 2 4 2 2 3 2" xfId="28841" xr:uid="{00000000-0005-0000-0000-00004D9C0000}"/>
    <cellStyle name="표준 5 4 2 2 4 2 2 3 3" xfId="37052" xr:uid="{00000000-0005-0000-0000-00004E9C0000}"/>
    <cellStyle name="표준 5 4 2 2 4 2 2 3 4" xfId="45245" xr:uid="{00000000-0005-0000-0000-00004F9C0000}"/>
    <cellStyle name="표준 5 4 2 2 4 2 2 4" xfId="12247" xr:uid="{00000000-0005-0000-0000-0000509C0000}"/>
    <cellStyle name="표준 5 4 2 2 4 2 2 5" xfId="16487" xr:uid="{00000000-0005-0000-0000-0000519C0000}"/>
    <cellStyle name="표준 5 4 2 2 4 2 2 6" xfId="20649" xr:uid="{00000000-0005-0000-0000-0000529C0000}"/>
    <cellStyle name="표준 5 4 2 2 4 2 2 7" xfId="24745" xr:uid="{00000000-0005-0000-0000-0000539C0000}"/>
    <cellStyle name="표준 5 4 2 2 4 2 2 8" xfId="32956" xr:uid="{00000000-0005-0000-0000-0000549C0000}"/>
    <cellStyle name="표준 5 4 2 2 4 2 2 9" xfId="41149" xr:uid="{00000000-0005-0000-0000-0000559C0000}"/>
    <cellStyle name="표준 5 4 2 2 4 2 3" xfId="1792" xr:uid="{00000000-0005-0000-0000-0000569C0000}"/>
    <cellStyle name="표준 5 4 2 2 4 2 3 2" xfId="10695" xr:uid="{00000000-0005-0000-0000-0000579C0000}"/>
    <cellStyle name="표준 5 4 2 2 4 2 3 2 2" xfId="14807" xr:uid="{00000000-0005-0000-0000-0000589C0000}"/>
    <cellStyle name="표준 5 4 2 2 4 2 3 2 2 2" xfId="31401" xr:uid="{00000000-0005-0000-0000-0000599C0000}"/>
    <cellStyle name="표준 5 4 2 2 4 2 3 2 2 3" xfId="39612" xr:uid="{00000000-0005-0000-0000-00005A9C0000}"/>
    <cellStyle name="표준 5 4 2 2 4 2 3 2 2 4" xfId="47805" xr:uid="{00000000-0005-0000-0000-00005B9C0000}"/>
    <cellStyle name="표준 5 4 2 2 4 2 3 2 3" xfId="19047" xr:uid="{00000000-0005-0000-0000-00005C9C0000}"/>
    <cellStyle name="표준 5 4 2 2 4 2 3 2 4" xfId="23209" xr:uid="{00000000-0005-0000-0000-00005D9C0000}"/>
    <cellStyle name="표준 5 4 2 2 4 2 3 2 5" xfId="27305" xr:uid="{00000000-0005-0000-0000-00005E9C0000}"/>
    <cellStyle name="표준 5 4 2 2 4 2 3 2 6" xfId="35516" xr:uid="{00000000-0005-0000-0000-00005F9C0000}"/>
    <cellStyle name="표준 5 4 2 2 4 2 3 2 7" xfId="43709" xr:uid="{00000000-0005-0000-0000-0000609C0000}"/>
    <cellStyle name="표준 5 4 2 2 4 2 3 3" xfId="8647" xr:uid="{00000000-0005-0000-0000-0000619C0000}"/>
    <cellStyle name="표준 5 4 2 2 4 2 3 3 2" xfId="29353" xr:uid="{00000000-0005-0000-0000-0000629C0000}"/>
    <cellStyle name="표준 5 4 2 2 4 2 3 3 3" xfId="37564" xr:uid="{00000000-0005-0000-0000-0000639C0000}"/>
    <cellStyle name="표준 5 4 2 2 4 2 3 3 4" xfId="45757" xr:uid="{00000000-0005-0000-0000-0000649C0000}"/>
    <cellStyle name="표준 5 4 2 2 4 2 3 4" xfId="12759" xr:uid="{00000000-0005-0000-0000-0000659C0000}"/>
    <cellStyle name="표준 5 4 2 2 4 2 3 5" xfId="16999" xr:uid="{00000000-0005-0000-0000-0000669C0000}"/>
    <cellStyle name="표준 5 4 2 2 4 2 3 6" xfId="21161" xr:uid="{00000000-0005-0000-0000-0000679C0000}"/>
    <cellStyle name="표준 5 4 2 2 4 2 3 7" xfId="25257" xr:uid="{00000000-0005-0000-0000-0000689C0000}"/>
    <cellStyle name="표준 5 4 2 2 4 2 3 8" xfId="33468" xr:uid="{00000000-0005-0000-0000-0000699C0000}"/>
    <cellStyle name="표준 5 4 2 2 4 2 3 9" xfId="41661" xr:uid="{00000000-0005-0000-0000-00006A9C0000}"/>
    <cellStyle name="표준 5 4 2 2 4 2 4" xfId="2304" xr:uid="{00000000-0005-0000-0000-00006B9C0000}"/>
    <cellStyle name="표준 5 4 2 2 4 2 4 2" xfId="11207" xr:uid="{00000000-0005-0000-0000-00006C9C0000}"/>
    <cellStyle name="표준 5 4 2 2 4 2 4 2 2" xfId="15319" xr:uid="{00000000-0005-0000-0000-00006D9C0000}"/>
    <cellStyle name="표준 5 4 2 2 4 2 4 2 2 2" xfId="31913" xr:uid="{00000000-0005-0000-0000-00006E9C0000}"/>
    <cellStyle name="표준 5 4 2 2 4 2 4 2 2 3" xfId="40124" xr:uid="{00000000-0005-0000-0000-00006F9C0000}"/>
    <cellStyle name="표준 5 4 2 2 4 2 4 2 2 4" xfId="48317" xr:uid="{00000000-0005-0000-0000-0000709C0000}"/>
    <cellStyle name="표준 5 4 2 2 4 2 4 2 3" xfId="19559" xr:uid="{00000000-0005-0000-0000-0000719C0000}"/>
    <cellStyle name="표준 5 4 2 2 4 2 4 2 4" xfId="23721" xr:uid="{00000000-0005-0000-0000-0000729C0000}"/>
    <cellStyle name="표준 5 4 2 2 4 2 4 2 5" xfId="27817" xr:uid="{00000000-0005-0000-0000-0000739C0000}"/>
    <cellStyle name="표준 5 4 2 2 4 2 4 2 6" xfId="36028" xr:uid="{00000000-0005-0000-0000-0000749C0000}"/>
    <cellStyle name="표준 5 4 2 2 4 2 4 2 7" xfId="44221" xr:uid="{00000000-0005-0000-0000-0000759C0000}"/>
    <cellStyle name="표준 5 4 2 2 4 2 4 3" xfId="9159" xr:uid="{00000000-0005-0000-0000-0000769C0000}"/>
    <cellStyle name="표준 5 4 2 2 4 2 4 3 2" xfId="29865" xr:uid="{00000000-0005-0000-0000-0000779C0000}"/>
    <cellStyle name="표준 5 4 2 2 4 2 4 3 3" xfId="38076" xr:uid="{00000000-0005-0000-0000-0000789C0000}"/>
    <cellStyle name="표준 5 4 2 2 4 2 4 3 4" xfId="46269" xr:uid="{00000000-0005-0000-0000-0000799C0000}"/>
    <cellStyle name="표준 5 4 2 2 4 2 4 4" xfId="13271" xr:uid="{00000000-0005-0000-0000-00007A9C0000}"/>
    <cellStyle name="표준 5 4 2 2 4 2 4 5" xfId="17511" xr:uid="{00000000-0005-0000-0000-00007B9C0000}"/>
    <cellStyle name="표준 5 4 2 2 4 2 4 6" xfId="21673" xr:uid="{00000000-0005-0000-0000-00007C9C0000}"/>
    <cellStyle name="표준 5 4 2 2 4 2 4 7" xfId="25769" xr:uid="{00000000-0005-0000-0000-00007D9C0000}"/>
    <cellStyle name="표준 5 4 2 2 4 2 4 8" xfId="33980" xr:uid="{00000000-0005-0000-0000-00007E9C0000}"/>
    <cellStyle name="표준 5 4 2 2 4 2 4 9" xfId="42173" xr:uid="{00000000-0005-0000-0000-00007F9C0000}"/>
    <cellStyle name="표준 5 4 2 2 4 2 5" xfId="9671" xr:uid="{00000000-0005-0000-0000-0000809C0000}"/>
    <cellStyle name="표준 5 4 2 2 4 2 5 2" xfId="13783" xr:uid="{00000000-0005-0000-0000-0000819C0000}"/>
    <cellStyle name="표준 5 4 2 2 4 2 5 2 2" xfId="30377" xr:uid="{00000000-0005-0000-0000-0000829C0000}"/>
    <cellStyle name="표준 5 4 2 2 4 2 5 2 3" xfId="38588" xr:uid="{00000000-0005-0000-0000-0000839C0000}"/>
    <cellStyle name="표준 5 4 2 2 4 2 5 2 4" xfId="46781" xr:uid="{00000000-0005-0000-0000-0000849C0000}"/>
    <cellStyle name="표준 5 4 2 2 4 2 5 3" xfId="18023" xr:uid="{00000000-0005-0000-0000-0000859C0000}"/>
    <cellStyle name="표준 5 4 2 2 4 2 5 4" xfId="22185" xr:uid="{00000000-0005-0000-0000-0000869C0000}"/>
    <cellStyle name="표준 5 4 2 2 4 2 5 5" xfId="26281" xr:uid="{00000000-0005-0000-0000-0000879C0000}"/>
    <cellStyle name="표준 5 4 2 2 4 2 5 6" xfId="34492" xr:uid="{00000000-0005-0000-0000-0000889C0000}"/>
    <cellStyle name="표준 5 4 2 2 4 2 5 7" xfId="42685" xr:uid="{00000000-0005-0000-0000-0000899C0000}"/>
    <cellStyle name="표준 5 4 2 2 4 2 6" xfId="7623" xr:uid="{00000000-0005-0000-0000-00008A9C0000}"/>
    <cellStyle name="표준 5 4 2 2 4 2 6 2" xfId="28329" xr:uid="{00000000-0005-0000-0000-00008B9C0000}"/>
    <cellStyle name="표준 5 4 2 2 4 2 6 3" xfId="36540" xr:uid="{00000000-0005-0000-0000-00008C9C0000}"/>
    <cellStyle name="표준 5 4 2 2 4 2 6 4" xfId="44733" xr:uid="{00000000-0005-0000-0000-00008D9C0000}"/>
    <cellStyle name="표준 5 4 2 2 4 2 7" xfId="11735" xr:uid="{00000000-0005-0000-0000-00008E9C0000}"/>
    <cellStyle name="표준 5 4 2 2 4 2 8" xfId="15975" xr:uid="{00000000-0005-0000-0000-00008F9C0000}"/>
    <cellStyle name="표준 5 4 2 2 4 2 9" xfId="20137" xr:uid="{00000000-0005-0000-0000-0000909C0000}"/>
    <cellStyle name="표준 5 4 2 2 4 3" xfId="1024" xr:uid="{00000000-0005-0000-0000-0000919C0000}"/>
    <cellStyle name="표준 5 4 2 2 4 3 2" xfId="9927" xr:uid="{00000000-0005-0000-0000-0000929C0000}"/>
    <cellStyle name="표준 5 4 2 2 4 3 2 2" xfId="14039" xr:uid="{00000000-0005-0000-0000-0000939C0000}"/>
    <cellStyle name="표준 5 4 2 2 4 3 2 2 2" xfId="30633" xr:uid="{00000000-0005-0000-0000-0000949C0000}"/>
    <cellStyle name="표준 5 4 2 2 4 3 2 2 3" xfId="38844" xr:uid="{00000000-0005-0000-0000-0000959C0000}"/>
    <cellStyle name="표준 5 4 2 2 4 3 2 2 4" xfId="47037" xr:uid="{00000000-0005-0000-0000-0000969C0000}"/>
    <cellStyle name="표준 5 4 2 2 4 3 2 3" xfId="18279" xr:uid="{00000000-0005-0000-0000-0000979C0000}"/>
    <cellStyle name="표준 5 4 2 2 4 3 2 4" xfId="22441" xr:uid="{00000000-0005-0000-0000-0000989C0000}"/>
    <cellStyle name="표준 5 4 2 2 4 3 2 5" xfId="26537" xr:uid="{00000000-0005-0000-0000-0000999C0000}"/>
    <cellStyle name="표준 5 4 2 2 4 3 2 6" xfId="34748" xr:uid="{00000000-0005-0000-0000-00009A9C0000}"/>
    <cellStyle name="표준 5 4 2 2 4 3 2 7" xfId="42941" xr:uid="{00000000-0005-0000-0000-00009B9C0000}"/>
    <cellStyle name="표준 5 4 2 2 4 3 3" xfId="7879" xr:uid="{00000000-0005-0000-0000-00009C9C0000}"/>
    <cellStyle name="표준 5 4 2 2 4 3 3 2" xfId="28585" xr:uid="{00000000-0005-0000-0000-00009D9C0000}"/>
    <cellStyle name="표준 5 4 2 2 4 3 3 3" xfId="36796" xr:uid="{00000000-0005-0000-0000-00009E9C0000}"/>
    <cellStyle name="표준 5 4 2 2 4 3 3 4" xfId="44989" xr:uid="{00000000-0005-0000-0000-00009F9C0000}"/>
    <cellStyle name="표준 5 4 2 2 4 3 4" xfId="11991" xr:uid="{00000000-0005-0000-0000-0000A09C0000}"/>
    <cellStyle name="표준 5 4 2 2 4 3 5" xfId="16231" xr:uid="{00000000-0005-0000-0000-0000A19C0000}"/>
    <cellStyle name="표준 5 4 2 2 4 3 6" xfId="20393" xr:uid="{00000000-0005-0000-0000-0000A29C0000}"/>
    <cellStyle name="표준 5 4 2 2 4 3 7" xfId="24489" xr:uid="{00000000-0005-0000-0000-0000A39C0000}"/>
    <cellStyle name="표준 5 4 2 2 4 3 8" xfId="32700" xr:uid="{00000000-0005-0000-0000-0000A49C0000}"/>
    <cellStyle name="표준 5 4 2 2 4 3 9" xfId="40893" xr:uid="{00000000-0005-0000-0000-0000A59C0000}"/>
    <cellStyle name="표준 5 4 2 2 4 4" xfId="1536" xr:uid="{00000000-0005-0000-0000-0000A69C0000}"/>
    <cellStyle name="표준 5 4 2 2 4 4 2" xfId="10439" xr:uid="{00000000-0005-0000-0000-0000A79C0000}"/>
    <cellStyle name="표준 5 4 2 2 4 4 2 2" xfId="14551" xr:uid="{00000000-0005-0000-0000-0000A89C0000}"/>
    <cellStyle name="표준 5 4 2 2 4 4 2 2 2" xfId="31145" xr:uid="{00000000-0005-0000-0000-0000A99C0000}"/>
    <cellStyle name="표준 5 4 2 2 4 4 2 2 3" xfId="39356" xr:uid="{00000000-0005-0000-0000-0000AA9C0000}"/>
    <cellStyle name="표준 5 4 2 2 4 4 2 2 4" xfId="47549" xr:uid="{00000000-0005-0000-0000-0000AB9C0000}"/>
    <cellStyle name="표준 5 4 2 2 4 4 2 3" xfId="18791" xr:uid="{00000000-0005-0000-0000-0000AC9C0000}"/>
    <cellStyle name="표준 5 4 2 2 4 4 2 4" xfId="22953" xr:uid="{00000000-0005-0000-0000-0000AD9C0000}"/>
    <cellStyle name="표준 5 4 2 2 4 4 2 5" xfId="27049" xr:uid="{00000000-0005-0000-0000-0000AE9C0000}"/>
    <cellStyle name="표준 5 4 2 2 4 4 2 6" xfId="35260" xr:uid="{00000000-0005-0000-0000-0000AF9C0000}"/>
    <cellStyle name="표준 5 4 2 2 4 4 2 7" xfId="43453" xr:uid="{00000000-0005-0000-0000-0000B09C0000}"/>
    <cellStyle name="표준 5 4 2 2 4 4 3" xfId="8391" xr:uid="{00000000-0005-0000-0000-0000B19C0000}"/>
    <cellStyle name="표준 5 4 2 2 4 4 3 2" xfId="29097" xr:uid="{00000000-0005-0000-0000-0000B29C0000}"/>
    <cellStyle name="표준 5 4 2 2 4 4 3 3" xfId="37308" xr:uid="{00000000-0005-0000-0000-0000B39C0000}"/>
    <cellStyle name="표준 5 4 2 2 4 4 3 4" xfId="45501" xr:uid="{00000000-0005-0000-0000-0000B49C0000}"/>
    <cellStyle name="표준 5 4 2 2 4 4 4" xfId="12503" xr:uid="{00000000-0005-0000-0000-0000B59C0000}"/>
    <cellStyle name="표준 5 4 2 2 4 4 5" xfId="16743" xr:uid="{00000000-0005-0000-0000-0000B69C0000}"/>
    <cellStyle name="표준 5 4 2 2 4 4 6" xfId="20905" xr:uid="{00000000-0005-0000-0000-0000B79C0000}"/>
    <cellStyle name="표준 5 4 2 2 4 4 7" xfId="25001" xr:uid="{00000000-0005-0000-0000-0000B89C0000}"/>
    <cellStyle name="표준 5 4 2 2 4 4 8" xfId="33212" xr:uid="{00000000-0005-0000-0000-0000B99C0000}"/>
    <cellStyle name="표준 5 4 2 2 4 4 9" xfId="41405" xr:uid="{00000000-0005-0000-0000-0000BA9C0000}"/>
    <cellStyle name="표준 5 4 2 2 4 5" xfId="2048" xr:uid="{00000000-0005-0000-0000-0000BB9C0000}"/>
    <cellStyle name="표준 5 4 2 2 4 5 2" xfId="10951" xr:uid="{00000000-0005-0000-0000-0000BC9C0000}"/>
    <cellStyle name="표준 5 4 2 2 4 5 2 2" xfId="15063" xr:uid="{00000000-0005-0000-0000-0000BD9C0000}"/>
    <cellStyle name="표준 5 4 2 2 4 5 2 2 2" xfId="31657" xr:uid="{00000000-0005-0000-0000-0000BE9C0000}"/>
    <cellStyle name="표준 5 4 2 2 4 5 2 2 3" xfId="39868" xr:uid="{00000000-0005-0000-0000-0000BF9C0000}"/>
    <cellStyle name="표준 5 4 2 2 4 5 2 2 4" xfId="48061" xr:uid="{00000000-0005-0000-0000-0000C09C0000}"/>
    <cellStyle name="표준 5 4 2 2 4 5 2 3" xfId="19303" xr:uid="{00000000-0005-0000-0000-0000C19C0000}"/>
    <cellStyle name="표준 5 4 2 2 4 5 2 4" xfId="23465" xr:uid="{00000000-0005-0000-0000-0000C29C0000}"/>
    <cellStyle name="표준 5 4 2 2 4 5 2 5" xfId="27561" xr:uid="{00000000-0005-0000-0000-0000C39C0000}"/>
    <cellStyle name="표준 5 4 2 2 4 5 2 6" xfId="35772" xr:uid="{00000000-0005-0000-0000-0000C49C0000}"/>
    <cellStyle name="표준 5 4 2 2 4 5 2 7" xfId="43965" xr:uid="{00000000-0005-0000-0000-0000C59C0000}"/>
    <cellStyle name="표준 5 4 2 2 4 5 3" xfId="8903" xr:uid="{00000000-0005-0000-0000-0000C69C0000}"/>
    <cellStyle name="표준 5 4 2 2 4 5 3 2" xfId="29609" xr:uid="{00000000-0005-0000-0000-0000C79C0000}"/>
    <cellStyle name="표준 5 4 2 2 4 5 3 3" xfId="37820" xr:uid="{00000000-0005-0000-0000-0000C89C0000}"/>
    <cellStyle name="표준 5 4 2 2 4 5 3 4" xfId="46013" xr:uid="{00000000-0005-0000-0000-0000C99C0000}"/>
    <cellStyle name="표준 5 4 2 2 4 5 4" xfId="13015" xr:uid="{00000000-0005-0000-0000-0000CA9C0000}"/>
    <cellStyle name="표준 5 4 2 2 4 5 5" xfId="17255" xr:uid="{00000000-0005-0000-0000-0000CB9C0000}"/>
    <cellStyle name="표준 5 4 2 2 4 5 6" xfId="21417" xr:uid="{00000000-0005-0000-0000-0000CC9C0000}"/>
    <cellStyle name="표준 5 4 2 2 4 5 7" xfId="25513" xr:uid="{00000000-0005-0000-0000-0000CD9C0000}"/>
    <cellStyle name="표준 5 4 2 2 4 5 8" xfId="33724" xr:uid="{00000000-0005-0000-0000-0000CE9C0000}"/>
    <cellStyle name="표준 5 4 2 2 4 5 9" xfId="41917" xr:uid="{00000000-0005-0000-0000-0000CF9C0000}"/>
    <cellStyle name="표준 5 4 2 2 4 6" xfId="9415" xr:uid="{00000000-0005-0000-0000-0000D09C0000}"/>
    <cellStyle name="표준 5 4 2 2 4 6 2" xfId="13527" xr:uid="{00000000-0005-0000-0000-0000D19C0000}"/>
    <cellStyle name="표준 5 4 2 2 4 6 2 2" xfId="30121" xr:uid="{00000000-0005-0000-0000-0000D29C0000}"/>
    <cellStyle name="표준 5 4 2 2 4 6 2 3" xfId="38332" xr:uid="{00000000-0005-0000-0000-0000D39C0000}"/>
    <cellStyle name="표준 5 4 2 2 4 6 2 4" xfId="46525" xr:uid="{00000000-0005-0000-0000-0000D49C0000}"/>
    <cellStyle name="표준 5 4 2 2 4 6 3" xfId="17767" xr:uid="{00000000-0005-0000-0000-0000D59C0000}"/>
    <cellStyle name="표준 5 4 2 2 4 6 4" xfId="21929" xr:uid="{00000000-0005-0000-0000-0000D69C0000}"/>
    <cellStyle name="표준 5 4 2 2 4 6 5" xfId="26025" xr:uid="{00000000-0005-0000-0000-0000D79C0000}"/>
    <cellStyle name="표준 5 4 2 2 4 6 6" xfId="34236" xr:uid="{00000000-0005-0000-0000-0000D89C0000}"/>
    <cellStyle name="표준 5 4 2 2 4 6 7" xfId="42429" xr:uid="{00000000-0005-0000-0000-0000D99C0000}"/>
    <cellStyle name="표준 5 4 2 2 4 7" xfId="7367" xr:uid="{00000000-0005-0000-0000-0000DA9C0000}"/>
    <cellStyle name="표준 5 4 2 2 4 7 2" xfId="28073" xr:uid="{00000000-0005-0000-0000-0000DB9C0000}"/>
    <cellStyle name="표준 5 4 2 2 4 7 3" xfId="36284" xr:uid="{00000000-0005-0000-0000-0000DC9C0000}"/>
    <cellStyle name="표준 5 4 2 2 4 7 4" xfId="44477" xr:uid="{00000000-0005-0000-0000-0000DD9C0000}"/>
    <cellStyle name="표준 5 4 2 2 4 8" xfId="11479" xr:uid="{00000000-0005-0000-0000-0000DE9C0000}"/>
    <cellStyle name="표준 5 4 2 2 4 9" xfId="15719" xr:uid="{00000000-0005-0000-0000-0000DF9C0000}"/>
    <cellStyle name="표준 5 4 2 2 5" xfId="640" xr:uid="{00000000-0005-0000-0000-0000E09C0000}"/>
    <cellStyle name="표준 5 4 2 2 5 10" xfId="24105" xr:uid="{00000000-0005-0000-0000-0000E19C0000}"/>
    <cellStyle name="표준 5 4 2 2 5 11" xfId="32316" xr:uid="{00000000-0005-0000-0000-0000E29C0000}"/>
    <cellStyle name="표준 5 4 2 2 5 12" xfId="40509" xr:uid="{00000000-0005-0000-0000-0000E39C0000}"/>
    <cellStyle name="표준 5 4 2 2 5 2" xfId="1152" xr:uid="{00000000-0005-0000-0000-0000E49C0000}"/>
    <cellStyle name="표준 5 4 2 2 5 2 2" xfId="10055" xr:uid="{00000000-0005-0000-0000-0000E59C0000}"/>
    <cellStyle name="표준 5 4 2 2 5 2 2 2" xfId="14167" xr:uid="{00000000-0005-0000-0000-0000E69C0000}"/>
    <cellStyle name="표준 5 4 2 2 5 2 2 2 2" xfId="30761" xr:uid="{00000000-0005-0000-0000-0000E79C0000}"/>
    <cellStyle name="표준 5 4 2 2 5 2 2 2 3" xfId="38972" xr:uid="{00000000-0005-0000-0000-0000E89C0000}"/>
    <cellStyle name="표준 5 4 2 2 5 2 2 2 4" xfId="47165" xr:uid="{00000000-0005-0000-0000-0000E99C0000}"/>
    <cellStyle name="표준 5 4 2 2 5 2 2 3" xfId="18407" xr:uid="{00000000-0005-0000-0000-0000EA9C0000}"/>
    <cellStyle name="표준 5 4 2 2 5 2 2 4" xfId="22569" xr:uid="{00000000-0005-0000-0000-0000EB9C0000}"/>
    <cellStyle name="표준 5 4 2 2 5 2 2 5" xfId="26665" xr:uid="{00000000-0005-0000-0000-0000EC9C0000}"/>
    <cellStyle name="표준 5 4 2 2 5 2 2 6" xfId="34876" xr:uid="{00000000-0005-0000-0000-0000ED9C0000}"/>
    <cellStyle name="표준 5 4 2 2 5 2 2 7" xfId="43069" xr:uid="{00000000-0005-0000-0000-0000EE9C0000}"/>
    <cellStyle name="표준 5 4 2 2 5 2 3" xfId="8007" xr:uid="{00000000-0005-0000-0000-0000EF9C0000}"/>
    <cellStyle name="표준 5 4 2 2 5 2 3 2" xfId="28713" xr:uid="{00000000-0005-0000-0000-0000F09C0000}"/>
    <cellStyle name="표준 5 4 2 2 5 2 3 3" xfId="36924" xr:uid="{00000000-0005-0000-0000-0000F19C0000}"/>
    <cellStyle name="표준 5 4 2 2 5 2 3 4" xfId="45117" xr:uid="{00000000-0005-0000-0000-0000F29C0000}"/>
    <cellStyle name="표준 5 4 2 2 5 2 4" xfId="12119" xr:uid="{00000000-0005-0000-0000-0000F39C0000}"/>
    <cellStyle name="표준 5 4 2 2 5 2 5" xfId="16359" xr:uid="{00000000-0005-0000-0000-0000F49C0000}"/>
    <cellStyle name="표준 5 4 2 2 5 2 6" xfId="20521" xr:uid="{00000000-0005-0000-0000-0000F59C0000}"/>
    <cellStyle name="표준 5 4 2 2 5 2 7" xfId="24617" xr:uid="{00000000-0005-0000-0000-0000F69C0000}"/>
    <cellStyle name="표준 5 4 2 2 5 2 8" xfId="32828" xr:uid="{00000000-0005-0000-0000-0000F79C0000}"/>
    <cellStyle name="표준 5 4 2 2 5 2 9" xfId="41021" xr:uid="{00000000-0005-0000-0000-0000F89C0000}"/>
    <cellStyle name="표준 5 4 2 2 5 3" xfId="1664" xr:uid="{00000000-0005-0000-0000-0000F99C0000}"/>
    <cellStyle name="표준 5 4 2 2 5 3 2" xfId="10567" xr:uid="{00000000-0005-0000-0000-0000FA9C0000}"/>
    <cellStyle name="표준 5 4 2 2 5 3 2 2" xfId="14679" xr:uid="{00000000-0005-0000-0000-0000FB9C0000}"/>
    <cellStyle name="표준 5 4 2 2 5 3 2 2 2" xfId="31273" xr:uid="{00000000-0005-0000-0000-0000FC9C0000}"/>
    <cellStyle name="표준 5 4 2 2 5 3 2 2 3" xfId="39484" xr:uid="{00000000-0005-0000-0000-0000FD9C0000}"/>
    <cellStyle name="표준 5 4 2 2 5 3 2 2 4" xfId="47677" xr:uid="{00000000-0005-0000-0000-0000FE9C0000}"/>
    <cellStyle name="표준 5 4 2 2 5 3 2 3" xfId="18919" xr:uid="{00000000-0005-0000-0000-0000FF9C0000}"/>
    <cellStyle name="표준 5 4 2 2 5 3 2 4" xfId="23081" xr:uid="{00000000-0005-0000-0000-0000009D0000}"/>
    <cellStyle name="표준 5 4 2 2 5 3 2 5" xfId="27177" xr:uid="{00000000-0005-0000-0000-0000019D0000}"/>
    <cellStyle name="표준 5 4 2 2 5 3 2 6" xfId="35388" xr:uid="{00000000-0005-0000-0000-0000029D0000}"/>
    <cellStyle name="표준 5 4 2 2 5 3 2 7" xfId="43581" xr:uid="{00000000-0005-0000-0000-0000039D0000}"/>
    <cellStyle name="표준 5 4 2 2 5 3 3" xfId="8519" xr:uid="{00000000-0005-0000-0000-0000049D0000}"/>
    <cellStyle name="표준 5 4 2 2 5 3 3 2" xfId="29225" xr:uid="{00000000-0005-0000-0000-0000059D0000}"/>
    <cellStyle name="표준 5 4 2 2 5 3 3 3" xfId="37436" xr:uid="{00000000-0005-0000-0000-0000069D0000}"/>
    <cellStyle name="표준 5 4 2 2 5 3 3 4" xfId="45629" xr:uid="{00000000-0005-0000-0000-0000079D0000}"/>
    <cellStyle name="표준 5 4 2 2 5 3 4" xfId="12631" xr:uid="{00000000-0005-0000-0000-0000089D0000}"/>
    <cellStyle name="표준 5 4 2 2 5 3 5" xfId="16871" xr:uid="{00000000-0005-0000-0000-0000099D0000}"/>
    <cellStyle name="표준 5 4 2 2 5 3 6" xfId="21033" xr:uid="{00000000-0005-0000-0000-00000A9D0000}"/>
    <cellStyle name="표준 5 4 2 2 5 3 7" xfId="25129" xr:uid="{00000000-0005-0000-0000-00000B9D0000}"/>
    <cellStyle name="표준 5 4 2 2 5 3 8" xfId="33340" xr:uid="{00000000-0005-0000-0000-00000C9D0000}"/>
    <cellStyle name="표준 5 4 2 2 5 3 9" xfId="41533" xr:uid="{00000000-0005-0000-0000-00000D9D0000}"/>
    <cellStyle name="표준 5 4 2 2 5 4" xfId="2176" xr:uid="{00000000-0005-0000-0000-00000E9D0000}"/>
    <cellStyle name="표준 5 4 2 2 5 4 2" xfId="11079" xr:uid="{00000000-0005-0000-0000-00000F9D0000}"/>
    <cellStyle name="표준 5 4 2 2 5 4 2 2" xfId="15191" xr:uid="{00000000-0005-0000-0000-0000109D0000}"/>
    <cellStyle name="표준 5 4 2 2 5 4 2 2 2" xfId="31785" xr:uid="{00000000-0005-0000-0000-0000119D0000}"/>
    <cellStyle name="표준 5 4 2 2 5 4 2 2 3" xfId="39996" xr:uid="{00000000-0005-0000-0000-0000129D0000}"/>
    <cellStyle name="표준 5 4 2 2 5 4 2 2 4" xfId="48189" xr:uid="{00000000-0005-0000-0000-0000139D0000}"/>
    <cellStyle name="표준 5 4 2 2 5 4 2 3" xfId="19431" xr:uid="{00000000-0005-0000-0000-0000149D0000}"/>
    <cellStyle name="표준 5 4 2 2 5 4 2 4" xfId="23593" xr:uid="{00000000-0005-0000-0000-0000159D0000}"/>
    <cellStyle name="표준 5 4 2 2 5 4 2 5" xfId="27689" xr:uid="{00000000-0005-0000-0000-0000169D0000}"/>
    <cellStyle name="표준 5 4 2 2 5 4 2 6" xfId="35900" xr:uid="{00000000-0005-0000-0000-0000179D0000}"/>
    <cellStyle name="표준 5 4 2 2 5 4 2 7" xfId="44093" xr:uid="{00000000-0005-0000-0000-0000189D0000}"/>
    <cellStyle name="표준 5 4 2 2 5 4 3" xfId="9031" xr:uid="{00000000-0005-0000-0000-0000199D0000}"/>
    <cellStyle name="표준 5 4 2 2 5 4 3 2" xfId="29737" xr:uid="{00000000-0005-0000-0000-00001A9D0000}"/>
    <cellStyle name="표준 5 4 2 2 5 4 3 3" xfId="37948" xr:uid="{00000000-0005-0000-0000-00001B9D0000}"/>
    <cellStyle name="표준 5 4 2 2 5 4 3 4" xfId="46141" xr:uid="{00000000-0005-0000-0000-00001C9D0000}"/>
    <cellStyle name="표준 5 4 2 2 5 4 4" xfId="13143" xr:uid="{00000000-0005-0000-0000-00001D9D0000}"/>
    <cellStyle name="표준 5 4 2 2 5 4 5" xfId="17383" xr:uid="{00000000-0005-0000-0000-00001E9D0000}"/>
    <cellStyle name="표준 5 4 2 2 5 4 6" xfId="21545" xr:uid="{00000000-0005-0000-0000-00001F9D0000}"/>
    <cellStyle name="표준 5 4 2 2 5 4 7" xfId="25641" xr:uid="{00000000-0005-0000-0000-0000209D0000}"/>
    <cellStyle name="표준 5 4 2 2 5 4 8" xfId="33852" xr:uid="{00000000-0005-0000-0000-0000219D0000}"/>
    <cellStyle name="표준 5 4 2 2 5 4 9" xfId="42045" xr:uid="{00000000-0005-0000-0000-0000229D0000}"/>
    <cellStyle name="표준 5 4 2 2 5 5" xfId="9543" xr:uid="{00000000-0005-0000-0000-0000239D0000}"/>
    <cellStyle name="표준 5 4 2 2 5 5 2" xfId="13655" xr:uid="{00000000-0005-0000-0000-0000249D0000}"/>
    <cellStyle name="표준 5 4 2 2 5 5 2 2" xfId="30249" xr:uid="{00000000-0005-0000-0000-0000259D0000}"/>
    <cellStyle name="표준 5 4 2 2 5 5 2 3" xfId="38460" xr:uid="{00000000-0005-0000-0000-0000269D0000}"/>
    <cellStyle name="표준 5 4 2 2 5 5 2 4" xfId="46653" xr:uid="{00000000-0005-0000-0000-0000279D0000}"/>
    <cellStyle name="표준 5 4 2 2 5 5 3" xfId="17895" xr:uid="{00000000-0005-0000-0000-0000289D0000}"/>
    <cellStyle name="표준 5 4 2 2 5 5 4" xfId="22057" xr:uid="{00000000-0005-0000-0000-0000299D0000}"/>
    <cellStyle name="표준 5 4 2 2 5 5 5" xfId="26153" xr:uid="{00000000-0005-0000-0000-00002A9D0000}"/>
    <cellStyle name="표준 5 4 2 2 5 5 6" xfId="34364" xr:uid="{00000000-0005-0000-0000-00002B9D0000}"/>
    <cellStyle name="표준 5 4 2 2 5 5 7" xfId="42557" xr:uid="{00000000-0005-0000-0000-00002C9D0000}"/>
    <cellStyle name="표준 5 4 2 2 5 6" xfId="7495" xr:uid="{00000000-0005-0000-0000-00002D9D0000}"/>
    <cellStyle name="표준 5 4 2 2 5 6 2" xfId="28201" xr:uid="{00000000-0005-0000-0000-00002E9D0000}"/>
    <cellStyle name="표준 5 4 2 2 5 6 3" xfId="36412" xr:uid="{00000000-0005-0000-0000-00002F9D0000}"/>
    <cellStyle name="표준 5 4 2 2 5 6 4" xfId="44605" xr:uid="{00000000-0005-0000-0000-0000309D0000}"/>
    <cellStyle name="표준 5 4 2 2 5 7" xfId="11607" xr:uid="{00000000-0005-0000-0000-0000319D0000}"/>
    <cellStyle name="표준 5 4 2 2 5 8" xfId="15847" xr:uid="{00000000-0005-0000-0000-0000329D0000}"/>
    <cellStyle name="표준 5 4 2 2 5 9" xfId="20009" xr:uid="{00000000-0005-0000-0000-0000339D0000}"/>
    <cellStyle name="표준 5 4 2 2 6" xfId="896" xr:uid="{00000000-0005-0000-0000-0000349D0000}"/>
    <cellStyle name="표준 5 4 2 2 6 2" xfId="9799" xr:uid="{00000000-0005-0000-0000-0000359D0000}"/>
    <cellStyle name="표준 5 4 2 2 6 2 2" xfId="13911" xr:uid="{00000000-0005-0000-0000-0000369D0000}"/>
    <cellStyle name="표준 5 4 2 2 6 2 2 2" xfId="30505" xr:uid="{00000000-0005-0000-0000-0000379D0000}"/>
    <cellStyle name="표준 5 4 2 2 6 2 2 3" xfId="38716" xr:uid="{00000000-0005-0000-0000-0000389D0000}"/>
    <cellStyle name="표준 5 4 2 2 6 2 2 4" xfId="46909" xr:uid="{00000000-0005-0000-0000-0000399D0000}"/>
    <cellStyle name="표준 5 4 2 2 6 2 3" xfId="18151" xr:uid="{00000000-0005-0000-0000-00003A9D0000}"/>
    <cellStyle name="표준 5 4 2 2 6 2 4" xfId="22313" xr:uid="{00000000-0005-0000-0000-00003B9D0000}"/>
    <cellStyle name="표준 5 4 2 2 6 2 5" xfId="26409" xr:uid="{00000000-0005-0000-0000-00003C9D0000}"/>
    <cellStyle name="표준 5 4 2 2 6 2 6" xfId="34620" xr:uid="{00000000-0005-0000-0000-00003D9D0000}"/>
    <cellStyle name="표준 5 4 2 2 6 2 7" xfId="42813" xr:uid="{00000000-0005-0000-0000-00003E9D0000}"/>
    <cellStyle name="표준 5 4 2 2 6 3" xfId="7751" xr:uid="{00000000-0005-0000-0000-00003F9D0000}"/>
    <cellStyle name="표준 5 4 2 2 6 3 2" xfId="28457" xr:uid="{00000000-0005-0000-0000-0000409D0000}"/>
    <cellStyle name="표준 5 4 2 2 6 3 3" xfId="36668" xr:uid="{00000000-0005-0000-0000-0000419D0000}"/>
    <cellStyle name="표준 5 4 2 2 6 3 4" xfId="44861" xr:uid="{00000000-0005-0000-0000-0000429D0000}"/>
    <cellStyle name="표준 5 4 2 2 6 4" xfId="11863" xr:uid="{00000000-0005-0000-0000-0000439D0000}"/>
    <cellStyle name="표준 5 4 2 2 6 5" xfId="16103" xr:uid="{00000000-0005-0000-0000-0000449D0000}"/>
    <cellStyle name="표준 5 4 2 2 6 6" xfId="20265" xr:uid="{00000000-0005-0000-0000-0000459D0000}"/>
    <cellStyle name="표준 5 4 2 2 6 7" xfId="24361" xr:uid="{00000000-0005-0000-0000-0000469D0000}"/>
    <cellStyle name="표준 5 4 2 2 6 8" xfId="32572" xr:uid="{00000000-0005-0000-0000-0000479D0000}"/>
    <cellStyle name="표준 5 4 2 2 6 9" xfId="40765" xr:uid="{00000000-0005-0000-0000-0000489D0000}"/>
    <cellStyle name="표준 5 4 2 2 7" xfId="1408" xr:uid="{00000000-0005-0000-0000-0000499D0000}"/>
    <cellStyle name="표준 5 4 2 2 7 2" xfId="10311" xr:uid="{00000000-0005-0000-0000-00004A9D0000}"/>
    <cellStyle name="표준 5 4 2 2 7 2 2" xfId="14423" xr:uid="{00000000-0005-0000-0000-00004B9D0000}"/>
    <cellStyle name="표준 5 4 2 2 7 2 2 2" xfId="31017" xr:uid="{00000000-0005-0000-0000-00004C9D0000}"/>
    <cellStyle name="표준 5 4 2 2 7 2 2 3" xfId="39228" xr:uid="{00000000-0005-0000-0000-00004D9D0000}"/>
    <cellStyle name="표준 5 4 2 2 7 2 2 4" xfId="47421" xr:uid="{00000000-0005-0000-0000-00004E9D0000}"/>
    <cellStyle name="표준 5 4 2 2 7 2 3" xfId="18663" xr:uid="{00000000-0005-0000-0000-00004F9D0000}"/>
    <cellStyle name="표준 5 4 2 2 7 2 4" xfId="22825" xr:uid="{00000000-0005-0000-0000-0000509D0000}"/>
    <cellStyle name="표준 5 4 2 2 7 2 5" xfId="26921" xr:uid="{00000000-0005-0000-0000-0000519D0000}"/>
    <cellStyle name="표준 5 4 2 2 7 2 6" xfId="35132" xr:uid="{00000000-0005-0000-0000-0000529D0000}"/>
    <cellStyle name="표준 5 4 2 2 7 2 7" xfId="43325" xr:uid="{00000000-0005-0000-0000-0000539D0000}"/>
    <cellStyle name="표준 5 4 2 2 7 3" xfId="8263" xr:uid="{00000000-0005-0000-0000-0000549D0000}"/>
    <cellStyle name="표준 5 4 2 2 7 3 2" xfId="28969" xr:uid="{00000000-0005-0000-0000-0000559D0000}"/>
    <cellStyle name="표준 5 4 2 2 7 3 3" xfId="37180" xr:uid="{00000000-0005-0000-0000-0000569D0000}"/>
    <cellStyle name="표준 5 4 2 2 7 3 4" xfId="45373" xr:uid="{00000000-0005-0000-0000-0000579D0000}"/>
    <cellStyle name="표준 5 4 2 2 7 4" xfId="12375" xr:uid="{00000000-0005-0000-0000-0000589D0000}"/>
    <cellStyle name="표준 5 4 2 2 7 5" xfId="16615" xr:uid="{00000000-0005-0000-0000-0000599D0000}"/>
    <cellStyle name="표준 5 4 2 2 7 6" xfId="20777" xr:uid="{00000000-0005-0000-0000-00005A9D0000}"/>
    <cellStyle name="표준 5 4 2 2 7 7" xfId="24873" xr:uid="{00000000-0005-0000-0000-00005B9D0000}"/>
    <cellStyle name="표준 5 4 2 2 7 8" xfId="33084" xr:uid="{00000000-0005-0000-0000-00005C9D0000}"/>
    <cellStyle name="표준 5 4 2 2 7 9" xfId="41277" xr:uid="{00000000-0005-0000-0000-00005D9D0000}"/>
    <cellStyle name="표준 5 4 2 2 8" xfId="1920" xr:uid="{00000000-0005-0000-0000-00005E9D0000}"/>
    <cellStyle name="표준 5 4 2 2 8 2" xfId="10823" xr:uid="{00000000-0005-0000-0000-00005F9D0000}"/>
    <cellStyle name="표준 5 4 2 2 8 2 2" xfId="14935" xr:uid="{00000000-0005-0000-0000-0000609D0000}"/>
    <cellStyle name="표준 5 4 2 2 8 2 2 2" xfId="31529" xr:uid="{00000000-0005-0000-0000-0000619D0000}"/>
    <cellStyle name="표준 5 4 2 2 8 2 2 3" xfId="39740" xr:uid="{00000000-0005-0000-0000-0000629D0000}"/>
    <cellStyle name="표준 5 4 2 2 8 2 2 4" xfId="47933" xr:uid="{00000000-0005-0000-0000-0000639D0000}"/>
    <cellStyle name="표준 5 4 2 2 8 2 3" xfId="19175" xr:uid="{00000000-0005-0000-0000-0000649D0000}"/>
    <cellStyle name="표준 5 4 2 2 8 2 4" xfId="23337" xr:uid="{00000000-0005-0000-0000-0000659D0000}"/>
    <cellStyle name="표준 5 4 2 2 8 2 5" xfId="27433" xr:uid="{00000000-0005-0000-0000-0000669D0000}"/>
    <cellStyle name="표준 5 4 2 2 8 2 6" xfId="35644" xr:uid="{00000000-0005-0000-0000-0000679D0000}"/>
    <cellStyle name="표준 5 4 2 2 8 2 7" xfId="43837" xr:uid="{00000000-0005-0000-0000-0000689D0000}"/>
    <cellStyle name="표준 5 4 2 2 8 3" xfId="8775" xr:uid="{00000000-0005-0000-0000-0000699D0000}"/>
    <cellStyle name="표준 5 4 2 2 8 3 2" xfId="29481" xr:uid="{00000000-0005-0000-0000-00006A9D0000}"/>
    <cellStyle name="표준 5 4 2 2 8 3 3" xfId="37692" xr:uid="{00000000-0005-0000-0000-00006B9D0000}"/>
    <cellStyle name="표준 5 4 2 2 8 3 4" xfId="45885" xr:uid="{00000000-0005-0000-0000-00006C9D0000}"/>
    <cellStyle name="표준 5 4 2 2 8 4" xfId="12887" xr:uid="{00000000-0005-0000-0000-00006D9D0000}"/>
    <cellStyle name="표준 5 4 2 2 8 5" xfId="17127" xr:uid="{00000000-0005-0000-0000-00006E9D0000}"/>
    <cellStyle name="표준 5 4 2 2 8 6" xfId="21289" xr:uid="{00000000-0005-0000-0000-00006F9D0000}"/>
    <cellStyle name="표준 5 4 2 2 8 7" xfId="25385" xr:uid="{00000000-0005-0000-0000-0000709D0000}"/>
    <cellStyle name="표준 5 4 2 2 8 8" xfId="33596" xr:uid="{00000000-0005-0000-0000-0000719D0000}"/>
    <cellStyle name="표준 5 4 2 2 8 9" xfId="41789" xr:uid="{00000000-0005-0000-0000-0000729D0000}"/>
    <cellStyle name="표준 5 4 2 2 9" xfId="6976" xr:uid="{00000000-0005-0000-0000-0000739D0000}"/>
    <cellStyle name="표준 5 4 2 2 9 2" xfId="9287" xr:uid="{00000000-0005-0000-0000-0000749D0000}"/>
    <cellStyle name="표준 5 4 2 2 9 2 2" xfId="29993" xr:uid="{00000000-0005-0000-0000-0000759D0000}"/>
    <cellStyle name="표준 5 4 2 2 9 2 3" xfId="38204" xr:uid="{00000000-0005-0000-0000-0000769D0000}"/>
    <cellStyle name="표준 5 4 2 2 9 2 4" xfId="46397" xr:uid="{00000000-0005-0000-0000-0000779D0000}"/>
    <cellStyle name="표준 5 4 2 2 9 3" xfId="13399" xr:uid="{00000000-0005-0000-0000-0000789D0000}"/>
    <cellStyle name="표준 5 4 2 2 9 4" xfId="17639" xr:uid="{00000000-0005-0000-0000-0000799D0000}"/>
    <cellStyle name="표준 5 4 2 2 9 5" xfId="21801" xr:uid="{00000000-0005-0000-0000-00007A9D0000}"/>
    <cellStyle name="표준 5 4 2 2 9 6" xfId="25897" xr:uid="{00000000-0005-0000-0000-00007B9D0000}"/>
    <cellStyle name="표준 5 4 2 2 9 7" xfId="34108" xr:uid="{00000000-0005-0000-0000-00007C9D0000}"/>
    <cellStyle name="표준 5 4 2 2 9 8" xfId="42301" xr:uid="{00000000-0005-0000-0000-00007D9D0000}"/>
    <cellStyle name="표준 5 4 2 20" xfId="15447" xr:uid="{00000000-0005-0000-0000-00007E9D0000}"/>
    <cellStyle name="표준 5 4 2 21" xfId="15463" xr:uid="{00000000-0005-0000-0000-00007F9D0000}"/>
    <cellStyle name="표준 5 4 2 22" xfId="15559" xr:uid="{00000000-0005-0000-0000-0000809D0000}"/>
    <cellStyle name="표준 5 4 2 23" xfId="15575" xr:uid="{00000000-0005-0000-0000-0000819D0000}"/>
    <cellStyle name="표준 5 4 2 24" xfId="19671" xr:uid="{00000000-0005-0000-0000-0000829D0000}"/>
    <cellStyle name="표준 5 4 2 25" xfId="19687" xr:uid="{00000000-0005-0000-0000-0000839D0000}"/>
    <cellStyle name="표준 5 4 2 26" xfId="19703" xr:uid="{00000000-0005-0000-0000-0000849D0000}"/>
    <cellStyle name="표준 5 4 2 27" xfId="19719" xr:uid="{00000000-0005-0000-0000-0000859D0000}"/>
    <cellStyle name="표준 5 4 2 28" xfId="19728" xr:uid="{00000000-0005-0000-0000-0000869D0000}"/>
    <cellStyle name="표준 5 4 2 29" xfId="23833" xr:uid="{00000000-0005-0000-0000-0000879D0000}"/>
    <cellStyle name="표준 5 4 2 3" xfId="303" xr:uid="{00000000-0005-0000-0000-0000889D0000}"/>
    <cellStyle name="표준 5 4 2 3 10" xfId="7166" xr:uid="{00000000-0005-0000-0000-0000899D0000}"/>
    <cellStyle name="표준 5 4 2 3 11" xfId="7255" xr:uid="{00000000-0005-0000-0000-00008A9D0000}"/>
    <cellStyle name="표준 5 4 2 3 12" xfId="11367" xr:uid="{00000000-0005-0000-0000-00008B9D0000}"/>
    <cellStyle name="표준 5 4 2 3 13" xfId="15495" xr:uid="{00000000-0005-0000-0000-00008C9D0000}"/>
    <cellStyle name="표준 5 4 2 3 14" xfId="15607" xr:uid="{00000000-0005-0000-0000-00008D9D0000}"/>
    <cellStyle name="표준 5 4 2 3 15" xfId="19769" xr:uid="{00000000-0005-0000-0000-00008E9D0000}"/>
    <cellStyle name="표준 5 4 2 3 16" xfId="23865" xr:uid="{00000000-0005-0000-0000-00008F9D0000}"/>
    <cellStyle name="표준 5 4 2 3 17" xfId="32076" xr:uid="{00000000-0005-0000-0000-0000909D0000}"/>
    <cellStyle name="표준 5 4 2 3 18" xfId="40269" xr:uid="{00000000-0005-0000-0000-0000919D0000}"/>
    <cellStyle name="표준 5 4 2 3 19" xfId="49699" xr:uid="{00000000-0005-0000-0000-0000929D0000}"/>
    <cellStyle name="표준 5 4 2 3 2" xfId="464" xr:uid="{00000000-0005-0000-0000-0000939D0000}"/>
    <cellStyle name="표준 5 4 2 3 2 10" xfId="11431" xr:uid="{00000000-0005-0000-0000-0000949D0000}"/>
    <cellStyle name="표준 5 4 2 3 2 11" xfId="15543" xr:uid="{00000000-0005-0000-0000-0000959D0000}"/>
    <cellStyle name="표준 5 4 2 3 2 12" xfId="15671" xr:uid="{00000000-0005-0000-0000-0000969D0000}"/>
    <cellStyle name="표준 5 4 2 3 2 13" xfId="19833" xr:uid="{00000000-0005-0000-0000-0000979D0000}"/>
    <cellStyle name="표준 5 4 2 3 2 14" xfId="23929" xr:uid="{00000000-0005-0000-0000-0000989D0000}"/>
    <cellStyle name="표준 5 4 2 3 2 15" xfId="32140" xr:uid="{00000000-0005-0000-0000-0000999D0000}"/>
    <cellStyle name="표준 5 4 2 3 2 16" xfId="40333" xr:uid="{00000000-0005-0000-0000-00009A9D0000}"/>
    <cellStyle name="표준 5 4 2 3 2 2" xfId="592" xr:uid="{00000000-0005-0000-0000-00009B9D0000}"/>
    <cellStyle name="표준 5 4 2 3 2 2 10" xfId="19961" xr:uid="{00000000-0005-0000-0000-00009C9D0000}"/>
    <cellStyle name="표준 5 4 2 3 2 2 11" xfId="24057" xr:uid="{00000000-0005-0000-0000-00009D9D0000}"/>
    <cellStyle name="표준 5 4 2 3 2 2 12" xfId="32268" xr:uid="{00000000-0005-0000-0000-00009E9D0000}"/>
    <cellStyle name="표준 5 4 2 3 2 2 13" xfId="40461" xr:uid="{00000000-0005-0000-0000-00009F9D0000}"/>
    <cellStyle name="표준 5 4 2 3 2 2 2" xfId="848" xr:uid="{00000000-0005-0000-0000-0000A09D0000}"/>
    <cellStyle name="표준 5 4 2 3 2 2 2 10" xfId="24313" xr:uid="{00000000-0005-0000-0000-0000A19D0000}"/>
    <cellStyle name="표준 5 4 2 3 2 2 2 11" xfId="32524" xr:uid="{00000000-0005-0000-0000-0000A29D0000}"/>
    <cellStyle name="표준 5 4 2 3 2 2 2 12" xfId="40717" xr:uid="{00000000-0005-0000-0000-0000A39D0000}"/>
    <cellStyle name="표준 5 4 2 3 2 2 2 2" xfId="1360" xr:uid="{00000000-0005-0000-0000-0000A49D0000}"/>
    <cellStyle name="표준 5 4 2 3 2 2 2 2 2" xfId="10263" xr:uid="{00000000-0005-0000-0000-0000A59D0000}"/>
    <cellStyle name="표준 5 4 2 3 2 2 2 2 2 2" xfId="14375" xr:uid="{00000000-0005-0000-0000-0000A69D0000}"/>
    <cellStyle name="표준 5 4 2 3 2 2 2 2 2 2 2" xfId="30969" xr:uid="{00000000-0005-0000-0000-0000A79D0000}"/>
    <cellStyle name="표준 5 4 2 3 2 2 2 2 2 2 3" xfId="39180" xr:uid="{00000000-0005-0000-0000-0000A89D0000}"/>
    <cellStyle name="표준 5 4 2 3 2 2 2 2 2 2 4" xfId="47373" xr:uid="{00000000-0005-0000-0000-0000A99D0000}"/>
    <cellStyle name="표준 5 4 2 3 2 2 2 2 2 3" xfId="18615" xr:uid="{00000000-0005-0000-0000-0000AA9D0000}"/>
    <cellStyle name="표준 5 4 2 3 2 2 2 2 2 4" xfId="22777" xr:uid="{00000000-0005-0000-0000-0000AB9D0000}"/>
    <cellStyle name="표준 5 4 2 3 2 2 2 2 2 5" xfId="26873" xr:uid="{00000000-0005-0000-0000-0000AC9D0000}"/>
    <cellStyle name="표준 5 4 2 3 2 2 2 2 2 6" xfId="35084" xr:uid="{00000000-0005-0000-0000-0000AD9D0000}"/>
    <cellStyle name="표준 5 4 2 3 2 2 2 2 2 7" xfId="43277" xr:uid="{00000000-0005-0000-0000-0000AE9D0000}"/>
    <cellStyle name="표준 5 4 2 3 2 2 2 2 3" xfId="8215" xr:uid="{00000000-0005-0000-0000-0000AF9D0000}"/>
    <cellStyle name="표준 5 4 2 3 2 2 2 2 3 2" xfId="28921" xr:uid="{00000000-0005-0000-0000-0000B09D0000}"/>
    <cellStyle name="표준 5 4 2 3 2 2 2 2 3 3" xfId="37132" xr:uid="{00000000-0005-0000-0000-0000B19D0000}"/>
    <cellStyle name="표준 5 4 2 3 2 2 2 2 3 4" xfId="45325" xr:uid="{00000000-0005-0000-0000-0000B29D0000}"/>
    <cellStyle name="표준 5 4 2 3 2 2 2 2 4" xfId="12327" xr:uid="{00000000-0005-0000-0000-0000B39D0000}"/>
    <cellStyle name="표준 5 4 2 3 2 2 2 2 5" xfId="16567" xr:uid="{00000000-0005-0000-0000-0000B49D0000}"/>
    <cellStyle name="표준 5 4 2 3 2 2 2 2 6" xfId="20729" xr:uid="{00000000-0005-0000-0000-0000B59D0000}"/>
    <cellStyle name="표준 5 4 2 3 2 2 2 2 7" xfId="24825" xr:uid="{00000000-0005-0000-0000-0000B69D0000}"/>
    <cellStyle name="표준 5 4 2 3 2 2 2 2 8" xfId="33036" xr:uid="{00000000-0005-0000-0000-0000B79D0000}"/>
    <cellStyle name="표준 5 4 2 3 2 2 2 2 9" xfId="41229" xr:uid="{00000000-0005-0000-0000-0000B89D0000}"/>
    <cellStyle name="표준 5 4 2 3 2 2 2 3" xfId="1872" xr:uid="{00000000-0005-0000-0000-0000B99D0000}"/>
    <cellStyle name="표준 5 4 2 3 2 2 2 3 2" xfId="10775" xr:uid="{00000000-0005-0000-0000-0000BA9D0000}"/>
    <cellStyle name="표준 5 4 2 3 2 2 2 3 2 2" xfId="14887" xr:uid="{00000000-0005-0000-0000-0000BB9D0000}"/>
    <cellStyle name="표준 5 4 2 3 2 2 2 3 2 2 2" xfId="31481" xr:uid="{00000000-0005-0000-0000-0000BC9D0000}"/>
    <cellStyle name="표준 5 4 2 3 2 2 2 3 2 2 3" xfId="39692" xr:uid="{00000000-0005-0000-0000-0000BD9D0000}"/>
    <cellStyle name="표준 5 4 2 3 2 2 2 3 2 2 4" xfId="47885" xr:uid="{00000000-0005-0000-0000-0000BE9D0000}"/>
    <cellStyle name="표준 5 4 2 3 2 2 2 3 2 3" xfId="19127" xr:uid="{00000000-0005-0000-0000-0000BF9D0000}"/>
    <cellStyle name="표준 5 4 2 3 2 2 2 3 2 4" xfId="23289" xr:uid="{00000000-0005-0000-0000-0000C09D0000}"/>
    <cellStyle name="표준 5 4 2 3 2 2 2 3 2 5" xfId="27385" xr:uid="{00000000-0005-0000-0000-0000C19D0000}"/>
    <cellStyle name="표준 5 4 2 3 2 2 2 3 2 6" xfId="35596" xr:uid="{00000000-0005-0000-0000-0000C29D0000}"/>
    <cellStyle name="표준 5 4 2 3 2 2 2 3 2 7" xfId="43789" xr:uid="{00000000-0005-0000-0000-0000C39D0000}"/>
    <cellStyle name="표준 5 4 2 3 2 2 2 3 3" xfId="8727" xr:uid="{00000000-0005-0000-0000-0000C49D0000}"/>
    <cellStyle name="표준 5 4 2 3 2 2 2 3 3 2" xfId="29433" xr:uid="{00000000-0005-0000-0000-0000C59D0000}"/>
    <cellStyle name="표준 5 4 2 3 2 2 2 3 3 3" xfId="37644" xr:uid="{00000000-0005-0000-0000-0000C69D0000}"/>
    <cellStyle name="표준 5 4 2 3 2 2 2 3 3 4" xfId="45837" xr:uid="{00000000-0005-0000-0000-0000C79D0000}"/>
    <cellStyle name="표준 5 4 2 3 2 2 2 3 4" xfId="12839" xr:uid="{00000000-0005-0000-0000-0000C89D0000}"/>
    <cellStyle name="표준 5 4 2 3 2 2 2 3 5" xfId="17079" xr:uid="{00000000-0005-0000-0000-0000C99D0000}"/>
    <cellStyle name="표준 5 4 2 3 2 2 2 3 6" xfId="21241" xr:uid="{00000000-0005-0000-0000-0000CA9D0000}"/>
    <cellStyle name="표준 5 4 2 3 2 2 2 3 7" xfId="25337" xr:uid="{00000000-0005-0000-0000-0000CB9D0000}"/>
    <cellStyle name="표준 5 4 2 3 2 2 2 3 8" xfId="33548" xr:uid="{00000000-0005-0000-0000-0000CC9D0000}"/>
    <cellStyle name="표준 5 4 2 3 2 2 2 3 9" xfId="41741" xr:uid="{00000000-0005-0000-0000-0000CD9D0000}"/>
    <cellStyle name="표준 5 4 2 3 2 2 2 4" xfId="2384" xr:uid="{00000000-0005-0000-0000-0000CE9D0000}"/>
    <cellStyle name="표준 5 4 2 3 2 2 2 4 2" xfId="11287" xr:uid="{00000000-0005-0000-0000-0000CF9D0000}"/>
    <cellStyle name="표준 5 4 2 3 2 2 2 4 2 2" xfId="15399" xr:uid="{00000000-0005-0000-0000-0000D09D0000}"/>
    <cellStyle name="표준 5 4 2 3 2 2 2 4 2 2 2" xfId="31993" xr:uid="{00000000-0005-0000-0000-0000D19D0000}"/>
    <cellStyle name="표준 5 4 2 3 2 2 2 4 2 2 3" xfId="40204" xr:uid="{00000000-0005-0000-0000-0000D29D0000}"/>
    <cellStyle name="표준 5 4 2 3 2 2 2 4 2 2 4" xfId="48397" xr:uid="{00000000-0005-0000-0000-0000D39D0000}"/>
    <cellStyle name="표준 5 4 2 3 2 2 2 4 2 3" xfId="19639" xr:uid="{00000000-0005-0000-0000-0000D49D0000}"/>
    <cellStyle name="표준 5 4 2 3 2 2 2 4 2 4" xfId="23801" xr:uid="{00000000-0005-0000-0000-0000D59D0000}"/>
    <cellStyle name="표준 5 4 2 3 2 2 2 4 2 5" xfId="27897" xr:uid="{00000000-0005-0000-0000-0000D69D0000}"/>
    <cellStyle name="표준 5 4 2 3 2 2 2 4 2 6" xfId="36108" xr:uid="{00000000-0005-0000-0000-0000D79D0000}"/>
    <cellStyle name="표준 5 4 2 3 2 2 2 4 2 7" xfId="44301" xr:uid="{00000000-0005-0000-0000-0000D89D0000}"/>
    <cellStyle name="표준 5 4 2 3 2 2 2 4 3" xfId="9239" xr:uid="{00000000-0005-0000-0000-0000D99D0000}"/>
    <cellStyle name="표준 5 4 2 3 2 2 2 4 3 2" xfId="29945" xr:uid="{00000000-0005-0000-0000-0000DA9D0000}"/>
    <cellStyle name="표준 5 4 2 3 2 2 2 4 3 3" xfId="38156" xr:uid="{00000000-0005-0000-0000-0000DB9D0000}"/>
    <cellStyle name="표준 5 4 2 3 2 2 2 4 3 4" xfId="46349" xr:uid="{00000000-0005-0000-0000-0000DC9D0000}"/>
    <cellStyle name="표준 5 4 2 3 2 2 2 4 4" xfId="13351" xr:uid="{00000000-0005-0000-0000-0000DD9D0000}"/>
    <cellStyle name="표준 5 4 2 3 2 2 2 4 5" xfId="17591" xr:uid="{00000000-0005-0000-0000-0000DE9D0000}"/>
    <cellStyle name="표준 5 4 2 3 2 2 2 4 6" xfId="21753" xr:uid="{00000000-0005-0000-0000-0000DF9D0000}"/>
    <cellStyle name="표준 5 4 2 3 2 2 2 4 7" xfId="25849" xr:uid="{00000000-0005-0000-0000-0000E09D0000}"/>
    <cellStyle name="표준 5 4 2 3 2 2 2 4 8" xfId="34060" xr:uid="{00000000-0005-0000-0000-0000E19D0000}"/>
    <cellStyle name="표준 5 4 2 3 2 2 2 4 9" xfId="42253" xr:uid="{00000000-0005-0000-0000-0000E29D0000}"/>
    <cellStyle name="표준 5 4 2 3 2 2 2 5" xfId="9751" xr:uid="{00000000-0005-0000-0000-0000E39D0000}"/>
    <cellStyle name="표준 5 4 2 3 2 2 2 5 2" xfId="13863" xr:uid="{00000000-0005-0000-0000-0000E49D0000}"/>
    <cellStyle name="표준 5 4 2 3 2 2 2 5 2 2" xfId="30457" xr:uid="{00000000-0005-0000-0000-0000E59D0000}"/>
    <cellStyle name="표준 5 4 2 3 2 2 2 5 2 3" xfId="38668" xr:uid="{00000000-0005-0000-0000-0000E69D0000}"/>
    <cellStyle name="표준 5 4 2 3 2 2 2 5 2 4" xfId="46861" xr:uid="{00000000-0005-0000-0000-0000E79D0000}"/>
    <cellStyle name="표준 5 4 2 3 2 2 2 5 3" xfId="18103" xr:uid="{00000000-0005-0000-0000-0000E89D0000}"/>
    <cellStyle name="표준 5 4 2 3 2 2 2 5 4" xfId="22265" xr:uid="{00000000-0005-0000-0000-0000E99D0000}"/>
    <cellStyle name="표준 5 4 2 3 2 2 2 5 5" xfId="26361" xr:uid="{00000000-0005-0000-0000-0000EA9D0000}"/>
    <cellStyle name="표준 5 4 2 3 2 2 2 5 6" xfId="34572" xr:uid="{00000000-0005-0000-0000-0000EB9D0000}"/>
    <cellStyle name="표준 5 4 2 3 2 2 2 5 7" xfId="42765" xr:uid="{00000000-0005-0000-0000-0000EC9D0000}"/>
    <cellStyle name="표준 5 4 2 3 2 2 2 6" xfId="7703" xr:uid="{00000000-0005-0000-0000-0000ED9D0000}"/>
    <cellStyle name="표준 5 4 2 3 2 2 2 6 2" xfId="28409" xr:uid="{00000000-0005-0000-0000-0000EE9D0000}"/>
    <cellStyle name="표준 5 4 2 3 2 2 2 6 3" xfId="36620" xr:uid="{00000000-0005-0000-0000-0000EF9D0000}"/>
    <cellStyle name="표준 5 4 2 3 2 2 2 6 4" xfId="44813" xr:uid="{00000000-0005-0000-0000-0000F09D0000}"/>
    <cellStyle name="표준 5 4 2 3 2 2 2 7" xfId="11815" xr:uid="{00000000-0005-0000-0000-0000F19D0000}"/>
    <cellStyle name="표준 5 4 2 3 2 2 2 8" xfId="16055" xr:uid="{00000000-0005-0000-0000-0000F29D0000}"/>
    <cellStyle name="표준 5 4 2 3 2 2 2 9" xfId="20217" xr:uid="{00000000-0005-0000-0000-0000F39D0000}"/>
    <cellStyle name="표준 5 4 2 3 2 2 3" xfId="1104" xr:uid="{00000000-0005-0000-0000-0000F49D0000}"/>
    <cellStyle name="표준 5 4 2 3 2 2 3 2" xfId="10007" xr:uid="{00000000-0005-0000-0000-0000F59D0000}"/>
    <cellStyle name="표준 5 4 2 3 2 2 3 2 2" xfId="14119" xr:uid="{00000000-0005-0000-0000-0000F69D0000}"/>
    <cellStyle name="표준 5 4 2 3 2 2 3 2 2 2" xfId="30713" xr:uid="{00000000-0005-0000-0000-0000F79D0000}"/>
    <cellStyle name="표준 5 4 2 3 2 2 3 2 2 3" xfId="38924" xr:uid="{00000000-0005-0000-0000-0000F89D0000}"/>
    <cellStyle name="표준 5 4 2 3 2 2 3 2 2 4" xfId="47117" xr:uid="{00000000-0005-0000-0000-0000F99D0000}"/>
    <cellStyle name="표준 5 4 2 3 2 2 3 2 3" xfId="18359" xr:uid="{00000000-0005-0000-0000-0000FA9D0000}"/>
    <cellStyle name="표준 5 4 2 3 2 2 3 2 4" xfId="22521" xr:uid="{00000000-0005-0000-0000-0000FB9D0000}"/>
    <cellStyle name="표준 5 4 2 3 2 2 3 2 5" xfId="26617" xr:uid="{00000000-0005-0000-0000-0000FC9D0000}"/>
    <cellStyle name="표준 5 4 2 3 2 2 3 2 6" xfId="34828" xr:uid="{00000000-0005-0000-0000-0000FD9D0000}"/>
    <cellStyle name="표준 5 4 2 3 2 2 3 2 7" xfId="43021" xr:uid="{00000000-0005-0000-0000-0000FE9D0000}"/>
    <cellStyle name="표준 5 4 2 3 2 2 3 3" xfId="7959" xr:uid="{00000000-0005-0000-0000-0000FF9D0000}"/>
    <cellStyle name="표준 5 4 2 3 2 2 3 3 2" xfId="28665" xr:uid="{00000000-0005-0000-0000-0000009E0000}"/>
    <cellStyle name="표준 5 4 2 3 2 2 3 3 3" xfId="36876" xr:uid="{00000000-0005-0000-0000-0000019E0000}"/>
    <cellStyle name="표준 5 4 2 3 2 2 3 3 4" xfId="45069" xr:uid="{00000000-0005-0000-0000-0000029E0000}"/>
    <cellStyle name="표준 5 4 2 3 2 2 3 4" xfId="12071" xr:uid="{00000000-0005-0000-0000-0000039E0000}"/>
    <cellStyle name="표준 5 4 2 3 2 2 3 5" xfId="16311" xr:uid="{00000000-0005-0000-0000-0000049E0000}"/>
    <cellStyle name="표준 5 4 2 3 2 2 3 6" xfId="20473" xr:uid="{00000000-0005-0000-0000-0000059E0000}"/>
    <cellStyle name="표준 5 4 2 3 2 2 3 7" xfId="24569" xr:uid="{00000000-0005-0000-0000-0000069E0000}"/>
    <cellStyle name="표준 5 4 2 3 2 2 3 8" xfId="32780" xr:uid="{00000000-0005-0000-0000-0000079E0000}"/>
    <cellStyle name="표준 5 4 2 3 2 2 3 9" xfId="40973" xr:uid="{00000000-0005-0000-0000-0000089E0000}"/>
    <cellStyle name="표준 5 4 2 3 2 2 4" xfId="1616" xr:uid="{00000000-0005-0000-0000-0000099E0000}"/>
    <cellStyle name="표준 5 4 2 3 2 2 4 2" xfId="10519" xr:uid="{00000000-0005-0000-0000-00000A9E0000}"/>
    <cellStyle name="표준 5 4 2 3 2 2 4 2 2" xfId="14631" xr:uid="{00000000-0005-0000-0000-00000B9E0000}"/>
    <cellStyle name="표준 5 4 2 3 2 2 4 2 2 2" xfId="31225" xr:uid="{00000000-0005-0000-0000-00000C9E0000}"/>
    <cellStyle name="표준 5 4 2 3 2 2 4 2 2 3" xfId="39436" xr:uid="{00000000-0005-0000-0000-00000D9E0000}"/>
    <cellStyle name="표준 5 4 2 3 2 2 4 2 2 4" xfId="47629" xr:uid="{00000000-0005-0000-0000-00000E9E0000}"/>
    <cellStyle name="표준 5 4 2 3 2 2 4 2 3" xfId="18871" xr:uid="{00000000-0005-0000-0000-00000F9E0000}"/>
    <cellStyle name="표준 5 4 2 3 2 2 4 2 4" xfId="23033" xr:uid="{00000000-0005-0000-0000-0000109E0000}"/>
    <cellStyle name="표준 5 4 2 3 2 2 4 2 5" xfId="27129" xr:uid="{00000000-0005-0000-0000-0000119E0000}"/>
    <cellStyle name="표준 5 4 2 3 2 2 4 2 6" xfId="35340" xr:uid="{00000000-0005-0000-0000-0000129E0000}"/>
    <cellStyle name="표준 5 4 2 3 2 2 4 2 7" xfId="43533" xr:uid="{00000000-0005-0000-0000-0000139E0000}"/>
    <cellStyle name="표준 5 4 2 3 2 2 4 3" xfId="8471" xr:uid="{00000000-0005-0000-0000-0000149E0000}"/>
    <cellStyle name="표준 5 4 2 3 2 2 4 3 2" xfId="29177" xr:uid="{00000000-0005-0000-0000-0000159E0000}"/>
    <cellStyle name="표준 5 4 2 3 2 2 4 3 3" xfId="37388" xr:uid="{00000000-0005-0000-0000-0000169E0000}"/>
    <cellStyle name="표준 5 4 2 3 2 2 4 3 4" xfId="45581" xr:uid="{00000000-0005-0000-0000-0000179E0000}"/>
    <cellStyle name="표준 5 4 2 3 2 2 4 4" xfId="12583" xr:uid="{00000000-0005-0000-0000-0000189E0000}"/>
    <cellStyle name="표준 5 4 2 3 2 2 4 5" xfId="16823" xr:uid="{00000000-0005-0000-0000-0000199E0000}"/>
    <cellStyle name="표준 5 4 2 3 2 2 4 6" xfId="20985" xr:uid="{00000000-0005-0000-0000-00001A9E0000}"/>
    <cellStyle name="표준 5 4 2 3 2 2 4 7" xfId="25081" xr:uid="{00000000-0005-0000-0000-00001B9E0000}"/>
    <cellStyle name="표준 5 4 2 3 2 2 4 8" xfId="33292" xr:uid="{00000000-0005-0000-0000-00001C9E0000}"/>
    <cellStyle name="표준 5 4 2 3 2 2 4 9" xfId="41485" xr:uid="{00000000-0005-0000-0000-00001D9E0000}"/>
    <cellStyle name="표준 5 4 2 3 2 2 5" xfId="2128" xr:uid="{00000000-0005-0000-0000-00001E9E0000}"/>
    <cellStyle name="표준 5 4 2 3 2 2 5 2" xfId="11031" xr:uid="{00000000-0005-0000-0000-00001F9E0000}"/>
    <cellStyle name="표준 5 4 2 3 2 2 5 2 2" xfId="15143" xr:uid="{00000000-0005-0000-0000-0000209E0000}"/>
    <cellStyle name="표준 5 4 2 3 2 2 5 2 2 2" xfId="31737" xr:uid="{00000000-0005-0000-0000-0000219E0000}"/>
    <cellStyle name="표준 5 4 2 3 2 2 5 2 2 3" xfId="39948" xr:uid="{00000000-0005-0000-0000-0000229E0000}"/>
    <cellStyle name="표준 5 4 2 3 2 2 5 2 2 4" xfId="48141" xr:uid="{00000000-0005-0000-0000-0000239E0000}"/>
    <cellStyle name="표준 5 4 2 3 2 2 5 2 3" xfId="19383" xr:uid="{00000000-0005-0000-0000-0000249E0000}"/>
    <cellStyle name="표준 5 4 2 3 2 2 5 2 4" xfId="23545" xr:uid="{00000000-0005-0000-0000-0000259E0000}"/>
    <cellStyle name="표준 5 4 2 3 2 2 5 2 5" xfId="27641" xr:uid="{00000000-0005-0000-0000-0000269E0000}"/>
    <cellStyle name="표준 5 4 2 3 2 2 5 2 6" xfId="35852" xr:uid="{00000000-0005-0000-0000-0000279E0000}"/>
    <cellStyle name="표준 5 4 2 3 2 2 5 2 7" xfId="44045" xr:uid="{00000000-0005-0000-0000-0000289E0000}"/>
    <cellStyle name="표준 5 4 2 3 2 2 5 3" xfId="8983" xr:uid="{00000000-0005-0000-0000-0000299E0000}"/>
    <cellStyle name="표준 5 4 2 3 2 2 5 3 2" xfId="29689" xr:uid="{00000000-0005-0000-0000-00002A9E0000}"/>
    <cellStyle name="표준 5 4 2 3 2 2 5 3 3" xfId="37900" xr:uid="{00000000-0005-0000-0000-00002B9E0000}"/>
    <cellStyle name="표준 5 4 2 3 2 2 5 3 4" xfId="46093" xr:uid="{00000000-0005-0000-0000-00002C9E0000}"/>
    <cellStyle name="표준 5 4 2 3 2 2 5 4" xfId="13095" xr:uid="{00000000-0005-0000-0000-00002D9E0000}"/>
    <cellStyle name="표준 5 4 2 3 2 2 5 5" xfId="17335" xr:uid="{00000000-0005-0000-0000-00002E9E0000}"/>
    <cellStyle name="표준 5 4 2 3 2 2 5 6" xfId="21497" xr:uid="{00000000-0005-0000-0000-00002F9E0000}"/>
    <cellStyle name="표준 5 4 2 3 2 2 5 7" xfId="25593" xr:uid="{00000000-0005-0000-0000-0000309E0000}"/>
    <cellStyle name="표준 5 4 2 3 2 2 5 8" xfId="33804" xr:uid="{00000000-0005-0000-0000-0000319E0000}"/>
    <cellStyle name="표준 5 4 2 3 2 2 5 9" xfId="41997" xr:uid="{00000000-0005-0000-0000-0000329E0000}"/>
    <cellStyle name="표준 5 4 2 3 2 2 6" xfId="9495" xr:uid="{00000000-0005-0000-0000-0000339E0000}"/>
    <cellStyle name="표준 5 4 2 3 2 2 6 2" xfId="13607" xr:uid="{00000000-0005-0000-0000-0000349E0000}"/>
    <cellStyle name="표준 5 4 2 3 2 2 6 2 2" xfId="30201" xr:uid="{00000000-0005-0000-0000-0000359E0000}"/>
    <cellStyle name="표준 5 4 2 3 2 2 6 2 3" xfId="38412" xr:uid="{00000000-0005-0000-0000-0000369E0000}"/>
    <cellStyle name="표준 5 4 2 3 2 2 6 2 4" xfId="46605" xr:uid="{00000000-0005-0000-0000-0000379E0000}"/>
    <cellStyle name="표준 5 4 2 3 2 2 6 3" xfId="17847" xr:uid="{00000000-0005-0000-0000-0000389E0000}"/>
    <cellStyle name="표준 5 4 2 3 2 2 6 4" xfId="22009" xr:uid="{00000000-0005-0000-0000-0000399E0000}"/>
    <cellStyle name="표준 5 4 2 3 2 2 6 5" xfId="26105" xr:uid="{00000000-0005-0000-0000-00003A9E0000}"/>
    <cellStyle name="표준 5 4 2 3 2 2 6 6" xfId="34316" xr:uid="{00000000-0005-0000-0000-00003B9E0000}"/>
    <cellStyle name="표준 5 4 2 3 2 2 6 7" xfId="42509" xr:uid="{00000000-0005-0000-0000-00003C9E0000}"/>
    <cellStyle name="표준 5 4 2 3 2 2 7" xfId="7447" xr:uid="{00000000-0005-0000-0000-00003D9E0000}"/>
    <cellStyle name="표준 5 4 2 3 2 2 7 2" xfId="28153" xr:uid="{00000000-0005-0000-0000-00003E9E0000}"/>
    <cellStyle name="표준 5 4 2 3 2 2 7 3" xfId="36364" xr:uid="{00000000-0005-0000-0000-00003F9E0000}"/>
    <cellStyle name="표준 5 4 2 3 2 2 7 4" xfId="44557" xr:uid="{00000000-0005-0000-0000-0000409E0000}"/>
    <cellStyle name="표준 5 4 2 3 2 2 8" xfId="11559" xr:uid="{00000000-0005-0000-0000-0000419E0000}"/>
    <cellStyle name="표준 5 4 2 3 2 2 9" xfId="15799" xr:uid="{00000000-0005-0000-0000-0000429E0000}"/>
    <cellStyle name="표준 5 4 2 3 2 3" xfId="720" xr:uid="{00000000-0005-0000-0000-0000439E0000}"/>
    <cellStyle name="표준 5 4 2 3 2 3 10" xfId="24185" xr:uid="{00000000-0005-0000-0000-0000449E0000}"/>
    <cellStyle name="표준 5 4 2 3 2 3 11" xfId="32396" xr:uid="{00000000-0005-0000-0000-0000459E0000}"/>
    <cellStyle name="표준 5 4 2 3 2 3 12" xfId="40589" xr:uid="{00000000-0005-0000-0000-0000469E0000}"/>
    <cellStyle name="표준 5 4 2 3 2 3 2" xfId="1232" xr:uid="{00000000-0005-0000-0000-0000479E0000}"/>
    <cellStyle name="표준 5 4 2 3 2 3 2 2" xfId="10135" xr:uid="{00000000-0005-0000-0000-0000489E0000}"/>
    <cellStyle name="표준 5 4 2 3 2 3 2 2 2" xfId="14247" xr:uid="{00000000-0005-0000-0000-0000499E0000}"/>
    <cellStyle name="표준 5 4 2 3 2 3 2 2 2 2" xfId="30841" xr:uid="{00000000-0005-0000-0000-00004A9E0000}"/>
    <cellStyle name="표준 5 4 2 3 2 3 2 2 2 3" xfId="39052" xr:uid="{00000000-0005-0000-0000-00004B9E0000}"/>
    <cellStyle name="표준 5 4 2 3 2 3 2 2 2 4" xfId="47245" xr:uid="{00000000-0005-0000-0000-00004C9E0000}"/>
    <cellStyle name="표준 5 4 2 3 2 3 2 2 3" xfId="18487" xr:uid="{00000000-0005-0000-0000-00004D9E0000}"/>
    <cellStyle name="표준 5 4 2 3 2 3 2 2 4" xfId="22649" xr:uid="{00000000-0005-0000-0000-00004E9E0000}"/>
    <cellStyle name="표준 5 4 2 3 2 3 2 2 5" xfId="26745" xr:uid="{00000000-0005-0000-0000-00004F9E0000}"/>
    <cellStyle name="표준 5 4 2 3 2 3 2 2 6" xfId="34956" xr:uid="{00000000-0005-0000-0000-0000509E0000}"/>
    <cellStyle name="표준 5 4 2 3 2 3 2 2 7" xfId="43149" xr:uid="{00000000-0005-0000-0000-0000519E0000}"/>
    <cellStyle name="표준 5 4 2 3 2 3 2 3" xfId="8087" xr:uid="{00000000-0005-0000-0000-0000529E0000}"/>
    <cellStyle name="표준 5 4 2 3 2 3 2 3 2" xfId="28793" xr:uid="{00000000-0005-0000-0000-0000539E0000}"/>
    <cellStyle name="표준 5 4 2 3 2 3 2 3 3" xfId="37004" xr:uid="{00000000-0005-0000-0000-0000549E0000}"/>
    <cellStyle name="표준 5 4 2 3 2 3 2 3 4" xfId="45197" xr:uid="{00000000-0005-0000-0000-0000559E0000}"/>
    <cellStyle name="표준 5 4 2 3 2 3 2 4" xfId="12199" xr:uid="{00000000-0005-0000-0000-0000569E0000}"/>
    <cellStyle name="표준 5 4 2 3 2 3 2 5" xfId="16439" xr:uid="{00000000-0005-0000-0000-0000579E0000}"/>
    <cellStyle name="표준 5 4 2 3 2 3 2 6" xfId="20601" xr:uid="{00000000-0005-0000-0000-0000589E0000}"/>
    <cellStyle name="표준 5 4 2 3 2 3 2 7" xfId="24697" xr:uid="{00000000-0005-0000-0000-0000599E0000}"/>
    <cellStyle name="표준 5 4 2 3 2 3 2 8" xfId="32908" xr:uid="{00000000-0005-0000-0000-00005A9E0000}"/>
    <cellStyle name="표준 5 4 2 3 2 3 2 9" xfId="41101" xr:uid="{00000000-0005-0000-0000-00005B9E0000}"/>
    <cellStyle name="표준 5 4 2 3 2 3 3" xfId="1744" xr:uid="{00000000-0005-0000-0000-00005C9E0000}"/>
    <cellStyle name="표준 5 4 2 3 2 3 3 2" xfId="10647" xr:uid="{00000000-0005-0000-0000-00005D9E0000}"/>
    <cellStyle name="표준 5 4 2 3 2 3 3 2 2" xfId="14759" xr:uid="{00000000-0005-0000-0000-00005E9E0000}"/>
    <cellStyle name="표준 5 4 2 3 2 3 3 2 2 2" xfId="31353" xr:uid="{00000000-0005-0000-0000-00005F9E0000}"/>
    <cellStyle name="표준 5 4 2 3 2 3 3 2 2 3" xfId="39564" xr:uid="{00000000-0005-0000-0000-0000609E0000}"/>
    <cellStyle name="표준 5 4 2 3 2 3 3 2 2 4" xfId="47757" xr:uid="{00000000-0005-0000-0000-0000619E0000}"/>
    <cellStyle name="표준 5 4 2 3 2 3 3 2 3" xfId="18999" xr:uid="{00000000-0005-0000-0000-0000629E0000}"/>
    <cellStyle name="표준 5 4 2 3 2 3 3 2 4" xfId="23161" xr:uid="{00000000-0005-0000-0000-0000639E0000}"/>
    <cellStyle name="표준 5 4 2 3 2 3 3 2 5" xfId="27257" xr:uid="{00000000-0005-0000-0000-0000649E0000}"/>
    <cellStyle name="표준 5 4 2 3 2 3 3 2 6" xfId="35468" xr:uid="{00000000-0005-0000-0000-0000659E0000}"/>
    <cellStyle name="표준 5 4 2 3 2 3 3 2 7" xfId="43661" xr:uid="{00000000-0005-0000-0000-0000669E0000}"/>
    <cellStyle name="표준 5 4 2 3 2 3 3 3" xfId="8599" xr:uid="{00000000-0005-0000-0000-0000679E0000}"/>
    <cellStyle name="표준 5 4 2 3 2 3 3 3 2" xfId="29305" xr:uid="{00000000-0005-0000-0000-0000689E0000}"/>
    <cellStyle name="표준 5 4 2 3 2 3 3 3 3" xfId="37516" xr:uid="{00000000-0005-0000-0000-0000699E0000}"/>
    <cellStyle name="표준 5 4 2 3 2 3 3 3 4" xfId="45709" xr:uid="{00000000-0005-0000-0000-00006A9E0000}"/>
    <cellStyle name="표준 5 4 2 3 2 3 3 4" xfId="12711" xr:uid="{00000000-0005-0000-0000-00006B9E0000}"/>
    <cellStyle name="표준 5 4 2 3 2 3 3 5" xfId="16951" xr:uid="{00000000-0005-0000-0000-00006C9E0000}"/>
    <cellStyle name="표준 5 4 2 3 2 3 3 6" xfId="21113" xr:uid="{00000000-0005-0000-0000-00006D9E0000}"/>
    <cellStyle name="표준 5 4 2 3 2 3 3 7" xfId="25209" xr:uid="{00000000-0005-0000-0000-00006E9E0000}"/>
    <cellStyle name="표준 5 4 2 3 2 3 3 8" xfId="33420" xr:uid="{00000000-0005-0000-0000-00006F9E0000}"/>
    <cellStyle name="표준 5 4 2 3 2 3 3 9" xfId="41613" xr:uid="{00000000-0005-0000-0000-0000709E0000}"/>
    <cellStyle name="표준 5 4 2 3 2 3 4" xfId="2256" xr:uid="{00000000-0005-0000-0000-0000719E0000}"/>
    <cellStyle name="표준 5 4 2 3 2 3 4 2" xfId="11159" xr:uid="{00000000-0005-0000-0000-0000729E0000}"/>
    <cellStyle name="표준 5 4 2 3 2 3 4 2 2" xfId="15271" xr:uid="{00000000-0005-0000-0000-0000739E0000}"/>
    <cellStyle name="표준 5 4 2 3 2 3 4 2 2 2" xfId="31865" xr:uid="{00000000-0005-0000-0000-0000749E0000}"/>
    <cellStyle name="표준 5 4 2 3 2 3 4 2 2 3" xfId="40076" xr:uid="{00000000-0005-0000-0000-0000759E0000}"/>
    <cellStyle name="표준 5 4 2 3 2 3 4 2 2 4" xfId="48269" xr:uid="{00000000-0005-0000-0000-0000769E0000}"/>
    <cellStyle name="표준 5 4 2 3 2 3 4 2 3" xfId="19511" xr:uid="{00000000-0005-0000-0000-0000779E0000}"/>
    <cellStyle name="표준 5 4 2 3 2 3 4 2 4" xfId="23673" xr:uid="{00000000-0005-0000-0000-0000789E0000}"/>
    <cellStyle name="표준 5 4 2 3 2 3 4 2 5" xfId="27769" xr:uid="{00000000-0005-0000-0000-0000799E0000}"/>
    <cellStyle name="표준 5 4 2 3 2 3 4 2 6" xfId="35980" xr:uid="{00000000-0005-0000-0000-00007A9E0000}"/>
    <cellStyle name="표준 5 4 2 3 2 3 4 2 7" xfId="44173" xr:uid="{00000000-0005-0000-0000-00007B9E0000}"/>
    <cellStyle name="표준 5 4 2 3 2 3 4 3" xfId="9111" xr:uid="{00000000-0005-0000-0000-00007C9E0000}"/>
    <cellStyle name="표준 5 4 2 3 2 3 4 3 2" xfId="29817" xr:uid="{00000000-0005-0000-0000-00007D9E0000}"/>
    <cellStyle name="표준 5 4 2 3 2 3 4 3 3" xfId="38028" xr:uid="{00000000-0005-0000-0000-00007E9E0000}"/>
    <cellStyle name="표준 5 4 2 3 2 3 4 3 4" xfId="46221" xr:uid="{00000000-0005-0000-0000-00007F9E0000}"/>
    <cellStyle name="표준 5 4 2 3 2 3 4 4" xfId="13223" xr:uid="{00000000-0005-0000-0000-0000809E0000}"/>
    <cellStyle name="표준 5 4 2 3 2 3 4 5" xfId="17463" xr:uid="{00000000-0005-0000-0000-0000819E0000}"/>
    <cellStyle name="표준 5 4 2 3 2 3 4 6" xfId="21625" xr:uid="{00000000-0005-0000-0000-0000829E0000}"/>
    <cellStyle name="표준 5 4 2 3 2 3 4 7" xfId="25721" xr:uid="{00000000-0005-0000-0000-0000839E0000}"/>
    <cellStyle name="표준 5 4 2 3 2 3 4 8" xfId="33932" xr:uid="{00000000-0005-0000-0000-0000849E0000}"/>
    <cellStyle name="표준 5 4 2 3 2 3 4 9" xfId="42125" xr:uid="{00000000-0005-0000-0000-0000859E0000}"/>
    <cellStyle name="표준 5 4 2 3 2 3 5" xfId="9623" xr:uid="{00000000-0005-0000-0000-0000869E0000}"/>
    <cellStyle name="표준 5 4 2 3 2 3 5 2" xfId="13735" xr:uid="{00000000-0005-0000-0000-0000879E0000}"/>
    <cellStyle name="표준 5 4 2 3 2 3 5 2 2" xfId="30329" xr:uid="{00000000-0005-0000-0000-0000889E0000}"/>
    <cellStyle name="표준 5 4 2 3 2 3 5 2 3" xfId="38540" xr:uid="{00000000-0005-0000-0000-0000899E0000}"/>
    <cellStyle name="표준 5 4 2 3 2 3 5 2 4" xfId="46733" xr:uid="{00000000-0005-0000-0000-00008A9E0000}"/>
    <cellStyle name="표준 5 4 2 3 2 3 5 3" xfId="17975" xr:uid="{00000000-0005-0000-0000-00008B9E0000}"/>
    <cellStyle name="표준 5 4 2 3 2 3 5 4" xfId="22137" xr:uid="{00000000-0005-0000-0000-00008C9E0000}"/>
    <cellStyle name="표준 5 4 2 3 2 3 5 5" xfId="26233" xr:uid="{00000000-0005-0000-0000-00008D9E0000}"/>
    <cellStyle name="표준 5 4 2 3 2 3 5 6" xfId="34444" xr:uid="{00000000-0005-0000-0000-00008E9E0000}"/>
    <cellStyle name="표준 5 4 2 3 2 3 5 7" xfId="42637" xr:uid="{00000000-0005-0000-0000-00008F9E0000}"/>
    <cellStyle name="표준 5 4 2 3 2 3 6" xfId="7575" xr:uid="{00000000-0005-0000-0000-0000909E0000}"/>
    <cellStyle name="표준 5 4 2 3 2 3 6 2" xfId="28281" xr:uid="{00000000-0005-0000-0000-0000919E0000}"/>
    <cellStyle name="표준 5 4 2 3 2 3 6 3" xfId="36492" xr:uid="{00000000-0005-0000-0000-0000929E0000}"/>
    <cellStyle name="표준 5 4 2 3 2 3 6 4" xfId="44685" xr:uid="{00000000-0005-0000-0000-0000939E0000}"/>
    <cellStyle name="표준 5 4 2 3 2 3 7" xfId="11687" xr:uid="{00000000-0005-0000-0000-0000949E0000}"/>
    <cellStyle name="표준 5 4 2 3 2 3 8" xfId="15927" xr:uid="{00000000-0005-0000-0000-0000959E0000}"/>
    <cellStyle name="표준 5 4 2 3 2 3 9" xfId="20089" xr:uid="{00000000-0005-0000-0000-0000969E0000}"/>
    <cellStyle name="표준 5 4 2 3 2 4" xfId="976" xr:uid="{00000000-0005-0000-0000-0000979E0000}"/>
    <cellStyle name="표준 5 4 2 3 2 4 2" xfId="9879" xr:uid="{00000000-0005-0000-0000-0000989E0000}"/>
    <cellStyle name="표준 5 4 2 3 2 4 2 2" xfId="13991" xr:uid="{00000000-0005-0000-0000-0000999E0000}"/>
    <cellStyle name="표준 5 4 2 3 2 4 2 2 2" xfId="30585" xr:uid="{00000000-0005-0000-0000-00009A9E0000}"/>
    <cellStyle name="표준 5 4 2 3 2 4 2 2 3" xfId="38796" xr:uid="{00000000-0005-0000-0000-00009B9E0000}"/>
    <cellStyle name="표준 5 4 2 3 2 4 2 2 4" xfId="46989" xr:uid="{00000000-0005-0000-0000-00009C9E0000}"/>
    <cellStyle name="표준 5 4 2 3 2 4 2 3" xfId="18231" xr:uid="{00000000-0005-0000-0000-00009D9E0000}"/>
    <cellStyle name="표준 5 4 2 3 2 4 2 4" xfId="22393" xr:uid="{00000000-0005-0000-0000-00009E9E0000}"/>
    <cellStyle name="표준 5 4 2 3 2 4 2 5" xfId="26489" xr:uid="{00000000-0005-0000-0000-00009F9E0000}"/>
    <cellStyle name="표준 5 4 2 3 2 4 2 6" xfId="34700" xr:uid="{00000000-0005-0000-0000-0000A09E0000}"/>
    <cellStyle name="표준 5 4 2 3 2 4 2 7" xfId="42893" xr:uid="{00000000-0005-0000-0000-0000A19E0000}"/>
    <cellStyle name="표준 5 4 2 3 2 4 3" xfId="7831" xr:uid="{00000000-0005-0000-0000-0000A29E0000}"/>
    <cellStyle name="표준 5 4 2 3 2 4 3 2" xfId="28537" xr:uid="{00000000-0005-0000-0000-0000A39E0000}"/>
    <cellStyle name="표준 5 4 2 3 2 4 3 3" xfId="36748" xr:uid="{00000000-0005-0000-0000-0000A49E0000}"/>
    <cellStyle name="표준 5 4 2 3 2 4 3 4" xfId="44941" xr:uid="{00000000-0005-0000-0000-0000A59E0000}"/>
    <cellStyle name="표준 5 4 2 3 2 4 4" xfId="11943" xr:uid="{00000000-0005-0000-0000-0000A69E0000}"/>
    <cellStyle name="표준 5 4 2 3 2 4 5" xfId="16183" xr:uid="{00000000-0005-0000-0000-0000A79E0000}"/>
    <cellStyle name="표준 5 4 2 3 2 4 6" xfId="20345" xr:uid="{00000000-0005-0000-0000-0000A89E0000}"/>
    <cellStyle name="표준 5 4 2 3 2 4 7" xfId="24441" xr:uid="{00000000-0005-0000-0000-0000A99E0000}"/>
    <cellStyle name="표준 5 4 2 3 2 4 8" xfId="32652" xr:uid="{00000000-0005-0000-0000-0000AA9E0000}"/>
    <cellStyle name="표준 5 4 2 3 2 4 9" xfId="40845" xr:uid="{00000000-0005-0000-0000-0000AB9E0000}"/>
    <cellStyle name="표준 5 4 2 3 2 5" xfId="1488" xr:uid="{00000000-0005-0000-0000-0000AC9E0000}"/>
    <cellStyle name="표준 5 4 2 3 2 5 2" xfId="10391" xr:uid="{00000000-0005-0000-0000-0000AD9E0000}"/>
    <cellStyle name="표준 5 4 2 3 2 5 2 2" xfId="14503" xr:uid="{00000000-0005-0000-0000-0000AE9E0000}"/>
    <cellStyle name="표준 5 4 2 3 2 5 2 2 2" xfId="31097" xr:uid="{00000000-0005-0000-0000-0000AF9E0000}"/>
    <cellStyle name="표준 5 4 2 3 2 5 2 2 3" xfId="39308" xr:uid="{00000000-0005-0000-0000-0000B09E0000}"/>
    <cellStyle name="표준 5 4 2 3 2 5 2 2 4" xfId="47501" xr:uid="{00000000-0005-0000-0000-0000B19E0000}"/>
    <cellStyle name="표준 5 4 2 3 2 5 2 3" xfId="18743" xr:uid="{00000000-0005-0000-0000-0000B29E0000}"/>
    <cellStyle name="표준 5 4 2 3 2 5 2 4" xfId="22905" xr:uid="{00000000-0005-0000-0000-0000B39E0000}"/>
    <cellStyle name="표준 5 4 2 3 2 5 2 5" xfId="27001" xr:uid="{00000000-0005-0000-0000-0000B49E0000}"/>
    <cellStyle name="표준 5 4 2 3 2 5 2 6" xfId="35212" xr:uid="{00000000-0005-0000-0000-0000B59E0000}"/>
    <cellStyle name="표준 5 4 2 3 2 5 2 7" xfId="43405" xr:uid="{00000000-0005-0000-0000-0000B69E0000}"/>
    <cellStyle name="표준 5 4 2 3 2 5 3" xfId="8343" xr:uid="{00000000-0005-0000-0000-0000B79E0000}"/>
    <cellStyle name="표준 5 4 2 3 2 5 3 2" xfId="29049" xr:uid="{00000000-0005-0000-0000-0000B89E0000}"/>
    <cellStyle name="표준 5 4 2 3 2 5 3 3" xfId="37260" xr:uid="{00000000-0005-0000-0000-0000B99E0000}"/>
    <cellStyle name="표준 5 4 2 3 2 5 3 4" xfId="45453" xr:uid="{00000000-0005-0000-0000-0000BA9E0000}"/>
    <cellStyle name="표준 5 4 2 3 2 5 4" xfId="12455" xr:uid="{00000000-0005-0000-0000-0000BB9E0000}"/>
    <cellStyle name="표준 5 4 2 3 2 5 5" xfId="16695" xr:uid="{00000000-0005-0000-0000-0000BC9E0000}"/>
    <cellStyle name="표준 5 4 2 3 2 5 6" xfId="20857" xr:uid="{00000000-0005-0000-0000-0000BD9E0000}"/>
    <cellStyle name="표준 5 4 2 3 2 5 7" xfId="24953" xr:uid="{00000000-0005-0000-0000-0000BE9E0000}"/>
    <cellStyle name="표준 5 4 2 3 2 5 8" xfId="33164" xr:uid="{00000000-0005-0000-0000-0000BF9E0000}"/>
    <cellStyle name="표준 5 4 2 3 2 5 9" xfId="41357" xr:uid="{00000000-0005-0000-0000-0000C09E0000}"/>
    <cellStyle name="표준 5 4 2 3 2 6" xfId="2000" xr:uid="{00000000-0005-0000-0000-0000C19E0000}"/>
    <cellStyle name="표준 5 4 2 3 2 6 2" xfId="10903" xr:uid="{00000000-0005-0000-0000-0000C29E0000}"/>
    <cellStyle name="표준 5 4 2 3 2 6 2 2" xfId="15015" xr:uid="{00000000-0005-0000-0000-0000C39E0000}"/>
    <cellStyle name="표준 5 4 2 3 2 6 2 2 2" xfId="31609" xr:uid="{00000000-0005-0000-0000-0000C49E0000}"/>
    <cellStyle name="표준 5 4 2 3 2 6 2 2 3" xfId="39820" xr:uid="{00000000-0005-0000-0000-0000C59E0000}"/>
    <cellStyle name="표준 5 4 2 3 2 6 2 2 4" xfId="48013" xr:uid="{00000000-0005-0000-0000-0000C69E0000}"/>
    <cellStyle name="표준 5 4 2 3 2 6 2 3" xfId="19255" xr:uid="{00000000-0005-0000-0000-0000C79E0000}"/>
    <cellStyle name="표준 5 4 2 3 2 6 2 4" xfId="23417" xr:uid="{00000000-0005-0000-0000-0000C89E0000}"/>
    <cellStyle name="표준 5 4 2 3 2 6 2 5" xfId="27513" xr:uid="{00000000-0005-0000-0000-0000C99E0000}"/>
    <cellStyle name="표준 5 4 2 3 2 6 2 6" xfId="35724" xr:uid="{00000000-0005-0000-0000-0000CA9E0000}"/>
    <cellStyle name="표준 5 4 2 3 2 6 2 7" xfId="43917" xr:uid="{00000000-0005-0000-0000-0000CB9E0000}"/>
    <cellStyle name="표준 5 4 2 3 2 6 3" xfId="8855" xr:uid="{00000000-0005-0000-0000-0000CC9E0000}"/>
    <cellStyle name="표준 5 4 2 3 2 6 3 2" xfId="29561" xr:uid="{00000000-0005-0000-0000-0000CD9E0000}"/>
    <cellStyle name="표준 5 4 2 3 2 6 3 3" xfId="37772" xr:uid="{00000000-0005-0000-0000-0000CE9E0000}"/>
    <cellStyle name="표준 5 4 2 3 2 6 3 4" xfId="45965" xr:uid="{00000000-0005-0000-0000-0000CF9E0000}"/>
    <cellStyle name="표준 5 4 2 3 2 6 4" xfId="12967" xr:uid="{00000000-0005-0000-0000-0000D09E0000}"/>
    <cellStyle name="표준 5 4 2 3 2 6 5" xfId="17207" xr:uid="{00000000-0005-0000-0000-0000D19E0000}"/>
    <cellStyle name="표준 5 4 2 3 2 6 6" xfId="21369" xr:uid="{00000000-0005-0000-0000-0000D29E0000}"/>
    <cellStyle name="표준 5 4 2 3 2 6 7" xfId="25465" xr:uid="{00000000-0005-0000-0000-0000D39E0000}"/>
    <cellStyle name="표준 5 4 2 3 2 6 8" xfId="33676" xr:uid="{00000000-0005-0000-0000-0000D49E0000}"/>
    <cellStyle name="표준 5 4 2 3 2 6 9" xfId="41869" xr:uid="{00000000-0005-0000-0000-0000D59E0000}"/>
    <cellStyle name="표준 5 4 2 3 2 7" xfId="7060" xr:uid="{00000000-0005-0000-0000-0000D69E0000}"/>
    <cellStyle name="표준 5 4 2 3 2 7 2" xfId="9367" xr:uid="{00000000-0005-0000-0000-0000D79E0000}"/>
    <cellStyle name="표준 5 4 2 3 2 7 2 2" xfId="30073" xr:uid="{00000000-0005-0000-0000-0000D89E0000}"/>
    <cellStyle name="표준 5 4 2 3 2 7 2 3" xfId="38284" xr:uid="{00000000-0005-0000-0000-0000D99E0000}"/>
    <cellStyle name="표준 5 4 2 3 2 7 2 4" xfId="46477" xr:uid="{00000000-0005-0000-0000-0000DA9E0000}"/>
    <cellStyle name="표준 5 4 2 3 2 7 3" xfId="13479" xr:uid="{00000000-0005-0000-0000-0000DB9E0000}"/>
    <cellStyle name="표준 5 4 2 3 2 7 4" xfId="17719" xr:uid="{00000000-0005-0000-0000-0000DC9E0000}"/>
    <cellStyle name="표준 5 4 2 3 2 7 5" xfId="21881" xr:uid="{00000000-0005-0000-0000-0000DD9E0000}"/>
    <cellStyle name="표준 5 4 2 3 2 7 6" xfId="25977" xr:uid="{00000000-0005-0000-0000-0000DE9E0000}"/>
    <cellStyle name="표준 5 4 2 3 2 7 7" xfId="34188" xr:uid="{00000000-0005-0000-0000-0000DF9E0000}"/>
    <cellStyle name="표준 5 4 2 3 2 7 8" xfId="42381" xr:uid="{00000000-0005-0000-0000-0000E09E0000}"/>
    <cellStyle name="표준 5 4 2 3 2 8" xfId="7118" xr:uid="{00000000-0005-0000-0000-0000E19E0000}"/>
    <cellStyle name="표준 5 4 2 3 2 8 2" xfId="28025" xr:uid="{00000000-0005-0000-0000-0000E29E0000}"/>
    <cellStyle name="표준 5 4 2 3 2 8 3" xfId="36236" xr:uid="{00000000-0005-0000-0000-0000E39E0000}"/>
    <cellStyle name="표준 5 4 2 3 2 8 4" xfId="44429" xr:uid="{00000000-0005-0000-0000-0000E49E0000}"/>
    <cellStyle name="표준 5 4 2 3 2 9" xfId="7319" xr:uid="{00000000-0005-0000-0000-0000E59E0000}"/>
    <cellStyle name="표준 5 4 2 3 3" xfId="528" xr:uid="{00000000-0005-0000-0000-0000E69E0000}"/>
    <cellStyle name="표준 5 4 2 3 3 10" xfId="19897" xr:uid="{00000000-0005-0000-0000-0000E79E0000}"/>
    <cellStyle name="표준 5 4 2 3 3 11" xfId="23993" xr:uid="{00000000-0005-0000-0000-0000E89E0000}"/>
    <cellStyle name="표준 5 4 2 3 3 12" xfId="32204" xr:uid="{00000000-0005-0000-0000-0000E99E0000}"/>
    <cellStyle name="표준 5 4 2 3 3 13" xfId="40397" xr:uid="{00000000-0005-0000-0000-0000EA9E0000}"/>
    <cellStyle name="표준 5 4 2 3 3 2" xfId="784" xr:uid="{00000000-0005-0000-0000-0000EB9E0000}"/>
    <cellStyle name="표준 5 4 2 3 3 2 10" xfId="24249" xr:uid="{00000000-0005-0000-0000-0000EC9E0000}"/>
    <cellStyle name="표준 5 4 2 3 3 2 11" xfId="32460" xr:uid="{00000000-0005-0000-0000-0000ED9E0000}"/>
    <cellStyle name="표준 5 4 2 3 3 2 12" xfId="40653" xr:uid="{00000000-0005-0000-0000-0000EE9E0000}"/>
    <cellStyle name="표준 5 4 2 3 3 2 2" xfId="1296" xr:uid="{00000000-0005-0000-0000-0000EF9E0000}"/>
    <cellStyle name="표준 5 4 2 3 3 2 2 2" xfId="10199" xr:uid="{00000000-0005-0000-0000-0000F09E0000}"/>
    <cellStyle name="표준 5 4 2 3 3 2 2 2 2" xfId="14311" xr:uid="{00000000-0005-0000-0000-0000F19E0000}"/>
    <cellStyle name="표준 5 4 2 3 3 2 2 2 2 2" xfId="30905" xr:uid="{00000000-0005-0000-0000-0000F29E0000}"/>
    <cellStyle name="표준 5 4 2 3 3 2 2 2 2 3" xfId="39116" xr:uid="{00000000-0005-0000-0000-0000F39E0000}"/>
    <cellStyle name="표준 5 4 2 3 3 2 2 2 2 4" xfId="47309" xr:uid="{00000000-0005-0000-0000-0000F49E0000}"/>
    <cellStyle name="표준 5 4 2 3 3 2 2 2 3" xfId="18551" xr:uid="{00000000-0005-0000-0000-0000F59E0000}"/>
    <cellStyle name="표준 5 4 2 3 3 2 2 2 4" xfId="22713" xr:uid="{00000000-0005-0000-0000-0000F69E0000}"/>
    <cellStyle name="표준 5 4 2 3 3 2 2 2 5" xfId="26809" xr:uid="{00000000-0005-0000-0000-0000F79E0000}"/>
    <cellStyle name="표준 5 4 2 3 3 2 2 2 6" xfId="35020" xr:uid="{00000000-0005-0000-0000-0000F89E0000}"/>
    <cellStyle name="표준 5 4 2 3 3 2 2 2 7" xfId="43213" xr:uid="{00000000-0005-0000-0000-0000F99E0000}"/>
    <cellStyle name="표준 5 4 2 3 3 2 2 3" xfId="8151" xr:uid="{00000000-0005-0000-0000-0000FA9E0000}"/>
    <cellStyle name="표준 5 4 2 3 3 2 2 3 2" xfId="28857" xr:uid="{00000000-0005-0000-0000-0000FB9E0000}"/>
    <cellStyle name="표준 5 4 2 3 3 2 2 3 3" xfId="37068" xr:uid="{00000000-0005-0000-0000-0000FC9E0000}"/>
    <cellStyle name="표준 5 4 2 3 3 2 2 3 4" xfId="45261" xr:uid="{00000000-0005-0000-0000-0000FD9E0000}"/>
    <cellStyle name="표준 5 4 2 3 3 2 2 4" xfId="12263" xr:uid="{00000000-0005-0000-0000-0000FE9E0000}"/>
    <cellStyle name="표준 5 4 2 3 3 2 2 5" xfId="16503" xr:uid="{00000000-0005-0000-0000-0000FF9E0000}"/>
    <cellStyle name="표준 5 4 2 3 3 2 2 6" xfId="20665" xr:uid="{00000000-0005-0000-0000-0000009F0000}"/>
    <cellStyle name="표준 5 4 2 3 3 2 2 7" xfId="24761" xr:uid="{00000000-0005-0000-0000-0000019F0000}"/>
    <cellStyle name="표준 5 4 2 3 3 2 2 8" xfId="32972" xr:uid="{00000000-0005-0000-0000-0000029F0000}"/>
    <cellStyle name="표준 5 4 2 3 3 2 2 9" xfId="41165" xr:uid="{00000000-0005-0000-0000-0000039F0000}"/>
    <cellStyle name="표준 5 4 2 3 3 2 3" xfId="1808" xr:uid="{00000000-0005-0000-0000-0000049F0000}"/>
    <cellStyle name="표준 5 4 2 3 3 2 3 2" xfId="10711" xr:uid="{00000000-0005-0000-0000-0000059F0000}"/>
    <cellStyle name="표준 5 4 2 3 3 2 3 2 2" xfId="14823" xr:uid="{00000000-0005-0000-0000-0000069F0000}"/>
    <cellStyle name="표준 5 4 2 3 3 2 3 2 2 2" xfId="31417" xr:uid="{00000000-0005-0000-0000-0000079F0000}"/>
    <cellStyle name="표준 5 4 2 3 3 2 3 2 2 3" xfId="39628" xr:uid="{00000000-0005-0000-0000-0000089F0000}"/>
    <cellStyle name="표준 5 4 2 3 3 2 3 2 2 4" xfId="47821" xr:uid="{00000000-0005-0000-0000-0000099F0000}"/>
    <cellStyle name="표준 5 4 2 3 3 2 3 2 3" xfId="19063" xr:uid="{00000000-0005-0000-0000-00000A9F0000}"/>
    <cellStyle name="표준 5 4 2 3 3 2 3 2 4" xfId="23225" xr:uid="{00000000-0005-0000-0000-00000B9F0000}"/>
    <cellStyle name="표준 5 4 2 3 3 2 3 2 5" xfId="27321" xr:uid="{00000000-0005-0000-0000-00000C9F0000}"/>
    <cellStyle name="표준 5 4 2 3 3 2 3 2 6" xfId="35532" xr:uid="{00000000-0005-0000-0000-00000D9F0000}"/>
    <cellStyle name="표준 5 4 2 3 3 2 3 2 7" xfId="43725" xr:uid="{00000000-0005-0000-0000-00000E9F0000}"/>
    <cellStyle name="표준 5 4 2 3 3 2 3 3" xfId="8663" xr:uid="{00000000-0005-0000-0000-00000F9F0000}"/>
    <cellStyle name="표준 5 4 2 3 3 2 3 3 2" xfId="29369" xr:uid="{00000000-0005-0000-0000-0000109F0000}"/>
    <cellStyle name="표준 5 4 2 3 3 2 3 3 3" xfId="37580" xr:uid="{00000000-0005-0000-0000-0000119F0000}"/>
    <cellStyle name="표준 5 4 2 3 3 2 3 3 4" xfId="45773" xr:uid="{00000000-0005-0000-0000-0000129F0000}"/>
    <cellStyle name="표준 5 4 2 3 3 2 3 4" xfId="12775" xr:uid="{00000000-0005-0000-0000-0000139F0000}"/>
    <cellStyle name="표준 5 4 2 3 3 2 3 5" xfId="17015" xr:uid="{00000000-0005-0000-0000-0000149F0000}"/>
    <cellStyle name="표준 5 4 2 3 3 2 3 6" xfId="21177" xr:uid="{00000000-0005-0000-0000-0000159F0000}"/>
    <cellStyle name="표준 5 4 2 3 3 2 3 7" xfId="25273" xr:uid="{00000000-0005-0000-0000-0000169F0000}"/>
    <cellStyle name="표준 5 4 2 3 3 2 3 8" xfId="33484" xr:uid="{00000000-0005-0000-0000-0000179F0000}"/>
    <cellStyle name="표준 5 4 2 3 3 2 3 9" xfId="41677" xr:uid="{00000000-0005-0000-0000-0000189F0000}"/>
    <cellStyle name="표준 5 4 2 3 3 2 4" xfId="2320" xr:uid="{00000000-0005-0000-0000-0000199F0000}"/>
    <cellStyle name="표준 5 4 2 3 3 2 4 2" xfId="11223" xr:uid="{00000000-0005-0000-0000-00001A9F0000}"/>
    <cellStyle name="표준 5 4 2 3 3 2 4 2 2" xfId="15335" xr:uid="{00000000-0005-0000-0000-00001B9F0000}"/>
    <cellStyle name="표준 5 4 2 3 3 2 4 2 2 2" xfId="31929" xr:uid="{00000000-0005-0000-0000-00001C9F0000}"/>
    <cellStyle name="표준 5 4 2 3 3 2 4 2 2 3" xfId="40140" xr:uid="{00000000-0005-0000-0000-00001D9F0000}"/>
    <cellStyle name="표준 5 4 2 3 3 2 4 2 2 4" xfId="48333" xr:uid="{00000000-0005-0000-0000-00001E9F0000}"/>
    <cellStyle name="표준 5 4 2 3 3 2 4 2 3" xfId="19575" xr:uid="{00000000-0005-0000-0000-00001F9F0000}"/>
    <cellStyle name="표준 5 4 2 3 3 2 4 2 4" xfId="23737" xr:uid="{00000000-0005-0000-0000-0000209F0000}"/>
    <cellStyle name="표준 5 4 2 3 3 2 4 2 5" xfId="27833" xr:uid="{00000000-0005-0000-0000-0000219F0000}"/>
    <cellStyle name="표준 5 4 2 3 3 2 4 2 6" xfId="36044" xr:uid="{00000000-0005-0000-0000-0000229F0000}"/>
    <cellStyle name="표준 5 4 2 3 3 2 4 2 7" xfId="44237" xr:uid="{00000000-0005-0000-0000-0000239F0000}"/>
    <cellStyle name="표준 5 4 2 3 3 2 4 3" xfId="9175" xr:uid="{00000000-0005-0000-0000-0000249F0000}"/>
    <cellStyle name="표준 5 4 2 3 3 2 4 3 2" xfId="29881" xr:uid="{00000000-0005-0000-0000-0000259F0000}"/>
    <cellStyle name="표준 5 4 2 3 3 2 4 3 3" xfId="38092" xr:uid="{00000000-0005-0000-0000-0000269F0000}"/>
    <cellStyle name="표준 5 4 2 3 3 2 4 3 4" xfId="46285" xr:uid="{00000000-0005-0000-0000-0000279F0000}"/>
    <cellStyle name="표준 5 4 2 3 3 2 4 4" xfId="13287" xr:uid="{00000000-0005-0000-0000-0000289F0000}"/>
    <cellStyle name="표준 5 4 2 3 3 2 4 5" xfId="17527" xr:uid="{00000000-0005-0000-0000-0000299F0000}"/>
    <cellStyle name="표준 5 4 2 3 3 2 4 6" xfId="21689" xr:uid="{00000000-0005-0000-0000-00002A9F0000}"/>
    <cellStyle name="표준 5 4 2 3 3 2 4 7" xfId="25785" xr:uid="{00000000-0005-0000-0000-00002B9F0000}"/>
    <cellStyle name="표준 5 4 2 3 3 2 4 8" xfId="33996" xr:uid="{00000000-0005-0000-0000-00002C9F0000}"/>
    <cellStyle name="표준 5 4 2 3 3 2 4 9" xfId="42189" xr:uid="{00000000-0005-0000-0000-00002D9F0000}"/>
    <cellStyle name="표준 5 4 2 3 3 2 5" xfId="9687" xr:uid="{00000000-0005-0000-0000-00002E9F0000}"/>
    <cellStyle name="표준 5 4 2 3 3 2 5 2" xfId="13799" xr:uid="{00000000-0005-0000-0000-00002F9F0000}"/>
    <cellStyle name="표준 5 4 2 3 3 2 5 2 2" xfId="30393" xr:uid="{00000000-0005-0000-0000-0000309F0000}"/>
    <cellStyle name="표준 5 4 2 3 3 2 5 2 3" xfId="38604" xr:uid="{00000000-0005-0000-0000-0000319F0000}"/>
    <cellStyle name="표준 5 4 2 3 3 2 5 2 4" xfId="46797" xr:uid="{00000000-0005-0000-0000-0000329F0000}"/>
    <cellStyle name="표준 5 4 2 3 3 2 5 3" xfId="18039" xr:uid="{00000000-0005-0000-0000-0000339F0000}"/>
    <cellStyle name="표준 5 4 2 3 3 2 5 4" xfId="22201" xr:uid="{00000000-0005-0000-0000-0000349F0000}"/>
    <cellStyle name="표준 5 4 2 3 3 2 5 5" xfId="26297" xr:uid="{00000000-0005-0000-0000-0000359F0000}"/>
    <cellStyle name="표준 5 4 2 3 3 2 5 6" xfId="34508" xr:uid="{00000000-0005-0000-0000-0000369F0000}"/>
    <cellStyle name="표준 5 4 2 3 3 2 5 7" xfId="42701" xr:uid="{00000000-0005-0000-0000-0000379F0000}"/>
    <cellStyle name="표준 5 4 2 3 3 2 6" xfId="7639" xr:uid="{00000000-0005-0000-0000-0000389F0000}"/>
    <cellStyle name="표준 5 4 2 3 3 2 6 2" xfId="28345" xr:uid="{00000000-0005-0000-0000-0000399F0000}"/>
    <cellStyle name="표준 5 4 2 3 3 2 6 3" xfId="36556" xr:uid="{00000000-0005-0000-0000-00003A9F0000}"/>
    <cellStyle name="표준 5 4 2 3 3 2 6 4" xfId="44749" xr:uid="{00000000-0005-0000-0000-00003B9F0000}"/>
    <cellStyle name="표준 5 4 2 3 3 2 7" xfId="11751" xr:uid="{00000000-0005-0000-0000-00003C9F0000}"/>
    <cellStyle name="표준 5 4 2 3 3 2 8" xfId="15991" xr:uid="{00000000-0005-0000-0000-00003D9F0000}"/>
    <cellStyle name="표준 5 4 2 3 3 2 9" xfId="20153" xr:uid="{00000000-0005-0000-0000-00003E9F0000}"/>
    <cellStyle name="표준 5 4 2 3 3 3" xfId="1040" xr:uid="{00000000-0005-0000-0000-00003F9F0000}"/>
    <cellStyle name="표준 5 4 2 3 3 3 2" xfId="9943" xr:uid="{00000000-0005-0000-0000-0000409F0000}"/>
    <cellStyle name="표준 5 4 2 3 3 3 2 2" xfId="14055" xr:uid="{00000000-0005-0000-0000-0000419F0000}"/>
    <cellStyle name="표준 5 4 2 3 3 3 2 2 2" xfId="30649" xr:uid="{00000000-0005-0000-0000-0000429F0000}"/>
    <cellStyle name="표준 5 4 2 3 3 3 2 2 3" xfId="38860" xr:uid="{00000000-0005-0000-0000-0000439F0000}"/>
    <cellStyle name="표준 5 4 2 3 3 3 2 2 4" xfId="47053" xr:uid="{00000000-0005-0000-0000-0000449F0000}"/>
    <cellStyle name="표준 5 4 2 3 3 3 2 3" xfId="18295" xr:uid="{00000000-0005-0000-0000-0000459F0000}"/>
    <cellStyle name="표준 5 4 2 3 3 3 2 4" xfId="22457" xr:uid="{00000000-0005-0000-0000-0000469F0000}"/>
    <cellStyle name="표준 5 4 2 3 3 3 2 5" xfId="26553" xr:uid="{00000000-0005-0000-0000-0000479F0000}"/>
    <cellStyle name="표준 5 4 2 3 3 3 2 6" xfId="34764" xr:uid="{00000000-0005-0000-0000-0000489F0000}"/>
    <cellStyle name="표준 5 4 2 3 3 3 2 7" xfId="42957" xr:uid="{00000000-0005-0000-0000-0000499F0000}"/>
    <cellStyle name="표준 5 4 2 3 3 3 3" xfId="7895" xr:uid="{00000000-0005-0000-0000-00004A9F0000}"/>
    <cellStyle name="표준 5 4 2 3 3 3 3 2" xfId="28601" xr:uid="{00000000-0005-0000-0000-00004B9F0000}"/>
    <cellStyle name="표준 5 4 2 3 3 3 3 3" xfId="36812" xr:uid="{00000000-0005-0000-0000-00004C9F0000}"/>
    <cellStyle name="표준 5 4 2 3 3 3 3 4" xfId="45005" xr:uid="{00000000-0005-0000-0000-00004D9F0000}"/>
    <cellStyle name="표준 5 4 2 3 3 3 4" xfId="12007" xr:uid="{00000000-0005-0000-0000-00004E9F0000}"/>
    <cellStyle name="표준 5 4 2 3 3 3 5" xfId="16247" xr:uid="{00000000-0005-0000-0000-00004F9F0000}"/>
    <cellStyle name="표준 5 4 2 3 3 3 6" xfId="20409" xr:uid="{00000000-0005-0000-0000-0000509F0000}"/>
    <cellStyle name="표준 5 4 2 3 3 3 7" xfId="24505" xr:uid="{00000000-0005-0000-0000-0000519F0000}"/>
    <cellStyle name="표준 5 4 2 3 3 3 8" xfId="32716" xr:uid="{00000000-0005-0000-0000-0000529F0000}"/>
    <cellStyle name="표준 5 4 2 3 3 3 9" xfId="40909" xr:uid="{00000000-0005-0000-0000-0000539F0000}"/>
    <cellStyle name="표준 5 4 2 3 3 4" xfId="1552" xr:uid="{00000000-0005-0000-0000-0000549F0000}"/>
    <cellStyle name="표준 5 4 2 3 3 4 2" xfId="10455" xr:uid="{00000000-0005-0000-0000-0000559F0000}"/>
    <cellStyle name="표준 5 4 2 3 3 4 2 2" xfId="14567" xr:uid="{00000000-0005-0000-0000-0000569F0000}"/>
    <cellStyle name="표준 5 4 2 3 3 4 2 2 2" xfId="31161" xr:uid="{00000000-0005-0000-0000-0000579F0000}"/>
    <cellStyle name="표준 5 4 2 3 3 4 2 2 3" xfId="39372" xr:uid="{00000000-0005-0000-0000-0000589F0000}"/>
    <cellStyle name="표준 5 4 2 3 3 4 2 2 4" xfId="47565" xr:uid="{00000000-0005-0000-0000-0000599F0000}"/>
    <cellStyle name="표준 5 4 2 3 3 4 2 3" xfId="18807" xr:uid="{00000000-0005-0000-0000-00005A9F0000}"/>
    <cellStyle name="표준 5 4 2 3 3 4 2 4" xfId="22969" xr:uid="{00000000-0005-0000-0000-00005B9F0000}"/>
    <cellStyle name="표준 5 4 2 3 3 4 2 5" xfId="27065" xr:uid="{00000000-0005-0000-0000-00005C9F0000}"/>
    <cellStyle name="표준 5 4 2 3 3 4 2 6" xfId="35276" xr:uid="{00000000-0005-0000-0000-00005D9F0000}"/>
    <cellStyle name="표준 5 4 2 3 3 4 2 7" xfId="43469" xr:uid="{00000000-0005-0000-0000-00005E9F0000}"/>
    <cellStyle name="표준 5 4 2 3 3 4 3" xfId="8407" xr:uid="{00000000-0005-0000-0000-00005F9F0000}"/>
    <cellStyle name="표준 5 4 2 3 3 4 3 2" xfId="29113" xr:uid="{00000000-0005-0000-0000-0000609F0000}"/>
    <cellStyle name="표준 5 4 2 3 3 4 3 3" xfId="37324" xr:uid="{00000000-0005-0000-0000-0000619F0000}"/>
    <cellStyle name="표준 5 4 2 3 3 4 3 4" xfId="45517" xr:uid="{00000000-0005-0000-0000-0000629F0000}"/>
    <cellStyle name="표준 5 4 2 3 3 4 4" xfId="12519" xr:uid="{00000000-0005-0000-0000-0000639F0000}"/>
    <cellStyle name="표준 5 4 2 3 3 4 5" xfId="16759" xr:uid="{00000000-0005-0000-0000-0000649F0000}"/>
    <cellStyle name="표준 5 4 2 3 3 4 6" xfId="20921" xr:uid="{00000000-0005-0000-0000-0000659F0000}"/>
    <cellStyle name="표준 5 4 2 3 3 4 7" xfId="25017" xr:uid="{00000000-0005-0000-0000-0000669F0000}"/>
    <cellStyle name="표준 5 4 2 3 3 4 8" xfId="33228" xr:uid="{00000000-0005-0000-0000-0000679F0000}"/>
    <cellStyle name="표준 5 4 2 3 3 4 9" xfId="41421" xr:uid="{00000000-0005-0000-0000-0000689F0000}"/>
    <cellStyle name="표준 5 4 2 3 3 5" xfId="2064" xr:uid="{00000000-0005-0000-0000-0000699F0000}"/>
    <cellStyle name="표준 5 4 2 3 3 5 2" xfId="10967" xr:uid="{00000000-0005-0000-0000-00006A9F0000}"/>
    <cellStyle name="표준 5 4 2 3 3 5 2 2" xfId="15079" xr:uid="{00000000-0005-0000-0000-00006B9F0000}"/>
    <cellStyle name="표준 5 4 2 3 3 5 2 2 2" xfId="31673" xr:uid="{00000000-0005-0000-0000-00006C9F0000}"/>
    <cellStyle name="표준 5 4 2 3 3 5 2 2 3" xfId="39884" xr:uid="{00000000-0005-0000-0000-00006D9F0000}"/>
    <cellStyle name="표준 5 4 2 3 3 5 2 2 4" xfId="48077" xr:uid="{00000000-0005-0000-0000-00006E9F0000}"/>
    <cellStyle name="표준 5 4 2 3 3 5 2 3" xfId="19319" xr:uid="{00000000-0005-0000-0000-00006F9F0000}"/>
    <cellStyle name="표준 5 4 2 3 3 5 2 4" xfId="23481" xr:uid="{00000000-0005-0000-0000-0000709F0000}"/>
    <cellStyle name="표준 5 4 2 3 3 5 2 5" xfId="27577" xr:uid="{00000000-0005-0000-0000-0000719F0000}"/>
    <cellStyle name="표준 5 4 2 3 3 5 2 6" xfId="35788" xr:uid="{00000000-0005-0000-0000-0000729F0000}"/>
    <cellStyle name="표준 5 4 2 3 3 5 2 7" xfId="43981" xr:uid="{00000000-0005-0000-0000-0000739F0000}"/>
    <cellStyle name="표준 5 4 2 3 3 5 3" xfId="8919" xr:uid="{00000000-0005-0000-0000-0000749F0000}"/>
    <cellStyle name="표준 5 4 2 3 3 5 3 2" xfId="29625" xr:uid="{00000000-0005-0000-0000-0000759F0000}"/>
    <cellStyle name="표준 5 4 2 3 3 5 3 3" xfId="37836" xr:uid="{00000000-0005-0000-0000-0000769F0000}"/>
    <cellStyle name="표준 5 4 2 3 3 5 3 4" xfId="46029" xr:uid="{00000000-0005-0000-0000-0000779F0000}"/>
    <cellStyle name="표준 5 4 2 3 3 5 4" xfId="13031" xr:uid="{00000000-0005-0000-0000-0000789F0000}"/>
    <cellStyle name="표준 5 4 2 3 3 5 5" xfId="17271" xr:uid="{00000000-0005-0000-0000-0000799F0000}"/>
    <cellStyle name="표준 5 4 2 3 3 5 6" xfId="21433" xr:uid="{00000000-0005-0000-0000-00007A9F0000}"/>
    <cellStyle name="표준 5 4 2 3 3 5 7" xfId="25529" xr:uid="{00000000-0005-0000-0000-00007B9F0000}"/>
    <cellStyle name="표준 5 4 2 3 3 5 8" xfId="33740" xr:uid="{00000000-0005-0000-0000-00007C9F0000}"/>
    <cellStyle name="표준 5 4 2 3 3 5 9" xfId="41933" xr:uid="{00000000-0005-0000-0000-00007D9F0000}"/>
    <cellStyle name="표준 5 4 2 3 3 6" xfId="9431" xr:uid="{00000000-0005-0000-0000-00007E9F0000}"/>
    <cellStyle name="표준 5 4 2 3 3 6 2" xfId="13543" xr:uid="{00000000-0005-0000-0000-00007F9F0000}"/>
    <cellStyle name="표준 5 4 2 3 3 6 2 2" xfId="30137" xr:uid="{00000000-0005-0000-0000-0000809F0000}"/>
    <cellStyle name="표준 5 4 2 3 3 6 2 3" xfId="38348" xr:uid="{00000000-0005-0000-0000-0000819F0000}"/>
    <cellStyle name="표준 5 4 2 3 3 6 2 4" xfId="46541" xr:uid="{00000000-0005-0000-0000-0000829F0000}"/>
    <cellStyle name="표준 5 4 2 3 3 6 3" xfId="17783" xr:uid="{00000000-0005-0000-0000-0000839F0000}"/>
    <cellStyle name="표준 5 4 2 3 3 6 4" xfId="21945" xr:uid="{00000000-0005-0000-0000-0000849F0000}"/>
    <cellStyle name="표준 5 4 2 3 3 6 5" xfId="26041" xr:uid="{00000000-0005-0000-0000-0000859F0000}"/>
    <cellStyle name="표준 5 4 2 3 3 6 6" xfId="34252" xr:uid="{00000000-0005-0000-0000-0000869F0000}"/>
    <cellStyle name="표준 5 4 2 3 3 6 7" xfId="42445" xr:uid="{00000000-0005-0000-0000-0000879F0000}"/>
    <cellStyle name="표준 5 4 2 3 3 7" xfId="7383" xr:uid="{00000000-0005-0000-0000-0000889F0000}"/>
    <cellStyle name="표준 5 4 2 3 3 7 2" xfId="28089" xr:uid="{00000000-0005-0000-0000-0000899F0000}"/>
    <cellStyle name="표준 5 4 2 3 3 7 3" xfId="36300" xr:uid="{00000000-0005-0000-0000-00008A9F0000}"/>
    <cellStyle name="표준 5 4 2 3 3 7 4" xfId="44493" xr:uid="{00000000-0005-0000-0000-00008B9F0000}"/>
    <cellStyle name="표준 5 4 2 3 3 8" xfId="11495" xr:uid="{00000000-0005-0000-0000-00008C9F0000}"/>
    <cellStyle name="표준 5 4 2 3 3 9" xfId="15735" xr:uid="{00000000-0005-0000-0000-00008D9F0000}"/>
    <cellStyle name="표준 5 4 2 3 4" xfId="656" xr:uid="{00000000-0005-0000-0000-00008E9F0000}"/>
    <cellStyle name="표준 5 4 2 3 4 10" xfId="24121" xr:uid="{00000000-0005-0000-0000-00008F9F0000}"/>
    <cellStyle name="표준 5 4 2 3 4 11" xfId="32332" xr:uid="{00000000-0005-0000-0000-0000909F0000}"/>
    <cellStyle name="표준 5 4 2 3 4 12" xfId="40525" xr:uid="{00000000-0005-0000-0000-0000919F0000}"/>
    <cellStyle name="표준 5 4 2 3 4 2" xfId="1168" xr:uid="{00000000-0005-0000-0000-0000929F0000}"/>
    <cellStyle name="표준 5 4 2 3 4 2 2" xfId="10071" xr:uid="{00000000-0005-0000-0000-0000939F0000}"/>
    <cellStyle name="표준 5 4 2 3 4 2 2 2" xfId="14183" xr:uid="{00000000-0005-0000-0000-0000949F0000}"/>
    <cellStyle name="표준 5 4 2 3 4 2 2 2 2" xfId="30777" xr:uid="{00000000-0005-0000-0000-0000959F0000}"/>
    <cellStyle name="표준 5 4 2 3 4 2 2 2 3" xfId="38988" xr:uid="{00000000-0005-0000-0000-0000969F0000}"/>
    <cellStyle name="표준 5 4 2 3 4 2 2 2 4" xfId="47181" xr:uid="{00000000-0005-0000-0000-0000979F0000}"/>
    <cellStyle name="표준 5 4 2 3 4 2 2 3" xfId="18423" xr:uid="{00000000-0005-0000-0000-0000989F0000}"/>
    <cellStyle name="표준 5 4 2 3 4 2 2 4" xfId="22585" xr:uid="{00000000-0005-0000-0000-0000999F0000}"/>
    <cellStyle name="표준 5 4 2 3 4 2 2 5" xfId="26681" xr:uid="{00000000-0005-0000-0000-00009A9F0000}"/>
    <cellStyle name="표준 5 4 2 3 4 2 2 6" xfId="34892" xr:uid="{00000000-0005-0000-0000-00009B9F0000}"/>
    <cellStyle name="표준 5 4 2 3 4 2 2 7" xfId="43085" xr:uid="{00000000-0005-0000-0000-00009C9F0000}"/>
    <cellStyle name="표준 5 4 2 3 4 2 3" xfId="8023" xr:uid="{00000000-0005-0000-0000-00009D9F0000}"/>
    <cellStyle name="표준 5 4 2 3 4 2 3 2" xfId="28729" xr:uid="{00000000-0005-0000-0000-00009E9F0000}"/>
    <cellStyle name="표준 5 4 2 3 4 2 3 3" xfId="36940" xr:uid="{00000000-0005-0000-0000-00009F9F0000}"/>
    <cellStyle name="표준 5 4 2 3 4 2 3 4" xfId="45133" xr:uid="{00000000-0005-0000-0000-0000A09F0000}"/>
    <cellStyle name="표준 5 4 2 3 4 2 4" xfId="12135" xr:uid="{00000000-0005-0000-0000-0000A19F0000}"/>
    <cellStyle name="표준 5 4 2 3 4 2 5" xfId="16375" xr:uid="{00000000-0005-0000-0000-0000A29F0000}"/>
    <cellStyle name="표준 5 4 2 3 4 2 6" xfId="20537" xr:uid="{00000000-0005-0000-0000-0000A39F0000}"/>
    <cellStyle name="표준 5 4 2 3 4 2 7" xfId="24633" xr:uid="{00000000-0005-0000-0000-0000A49F0000}"/>
    <cellStyle name="표준 5 4 2 3 4 2 8" xfId="32844" xr:uid="{00000000-0005-0000-0000-0000A59F0000}"/>
    <cellStyle name="표준 5 4 2 3 4 2 9" xfId="41037" xr:uid="{00000000-0005-0000-0000-0000A69F0000}"/>
    <cellStyle name="표준 5 4 2 3 4 3" xfId="1680" xr:uid="{00000000-0005-0000-0000-0000A79F0000}"/>
    <cellStyle name="표준 5 4 2 3 4 3 2" xfId="10583" xr:uid="{00000000-0005-0000-0000-0000A89F0000}"/>
    <cellStyle name="표준 5 4 2 3 4 3 2 2" xfId="14695" xr:uid="{00000000-0005-0000-0000-0000A99F0000}"/>
    <cellStyle name="표준 5 4 2 3 4 3 2 2 2" xfId="31289" xr:uid="{00000000-0005-0000-0000-0000AA9F0000}"/>
    <cellStyle name="표준 5 4 2 3 4 3 2 2 3" xfId="39500" xr:uid="{00000000-0005-0000-0000-0000AB9F0000}"/>
    <cellStyle name="표준 5 4 2 3 4 3 2 2 4" xfId="47693" xr:uid="{00000000-0005-0000-0000-0000AC9F0000}"/>
    <cellStyle name="표준 5 4 2 3 4 3 2 3" xfId="18935" xr:uid="{00000000-0005-0000-0000-0000AD9F0000}"/>
    <cellStyle name="표준 5 4 2 3 4 3 2 4" xfId="23097" xr:uid="{00000000-0005-0000-0000-0000AE9F0000}"/>
    <cellStyle name="표준 5 4 2 3 4 3 2 5" xfId="27193" xr:uid="{00000000-0005-0000-0000-0000AF9F0000}"/>
    <cellStyle name="표준 5 4 2 3 4 3 2 6" xfId="35404" xr:uid="{00000000-0005-0000-0000-0000B09F0000}"/>
    <cellStyle name="표준 5 4 2 3 4 3 2 7" xfId="43597" xr:uid="{00000000-0005-0000-0000-0000B19F0000}"/>
    <cellStyle name="표준 5 4 2 3 4 3 3" xfId="8535" xr:uid="{00000000-0005-0000-0000-0000B29F0000}"/>
    <cellStyle name="표준 5 4 2 3 4 3 3 2" xfId="29241" xr:uid="{00000000-0005-0000-0000-0000B39F0000}"/>
    <cellStyle name="표준 5 4 2 3 4 3 3 3" xfId="37452" xr:uid="{00000000-0005-0000-0000-0000B49F0000}"/>
    <cellStyle name="표준 5 4 2 3 4 3 3 4" xfId="45645" xr:uid="{00000000-0005-0000-0000-0000B59F0000}"/>
    <cellStyle name="표준 5 4 2 3 4 3 4" xfId="12647" xr:uid="{00000000-0005-0000-0000-0000B69F0000}"/>
    <cellStyle name="표준 5 4 2 3 4 3 5" xfId="16887" xr:uid="{00000000-0005-0000-0000-0000B79F0000}"/>
    <cellStyle name="표준 5 4 2 3 4 3 6" xfId="21049" xr:uid="{00000000-0005-0000-0000-0000B89F0000}"/>
    <cellStyle name="표준 5 4 2 3 4 3 7" xfId="25145" xr:uid="{00000000-0005-0000-0000-0000B99F0000}"/>
    <cellStyle name="표준 5 4 2 3 4 3 8" xfId="33356" xr:uid="{00000000-0005-0000-0000-0000BA9F0000}"/>
    <cellStyle name="표준 5 4 2 3 4 3 9" xfId="41549" xr:uid="{00000000-0005-0000-0000-0000BB9F0000}"/>
    <cellStyle name="표준 5 4 2 3 4 4" xfId="2192" xr:uid="{00000000-0005-0000-0000-0000BC9F0000}"/>
    <cellStyle name="표준 5 4 2 3 4 4 2" xfId="11095" xr:uid="{00000000-0005-0000-0000-0000BD9F0000}"/>
    <cellStyle name="표준 5 4 2 3 4 4 2 2" xfId="15207" xr:uid="{00000000-0005-0000-0000-0000BE9F0000}"/>
    <cellStyle name="표준 5 4 2 3 4 4 2 2 2" xfId="31801" xr:uid="{00000000-0005-0000-0000-0000BF9F0000}"/>
    <cellStyle name="표준 5 4 2 3 4 4 2 2 3" xfId="40012" xr:uid="{00000000-0005-0000-0000-0000C09F0000}"/>
    <cellStyle name="표준 5 4 2 3 4 4 2 2 4" xfId="48205" xr:uid="{00000000-0005-0000-0000-0000C19F0000}"/>
    <cellStyle name="표준 5 4 2 3 4 4 2 3" xfId="19447" xr:uid="{00000000-0005-0000-0000-0000C29F0000}"/>
    <cellStyle name="표준 5 4 2 3 4 4 2 4" xfId="23609" xr:uid="{00000000-0005-0000-0000-0000C39F0000}"/>
    <cellStyle name="표준 5 4 2 3 4 4 2 5" xfId="27705" xr:uid="{00000000-0005-0000-0000-0000C49F0000}"/>
    <cellStyle name="표준 5 4 2 3 4 4 2 6" xfId="35916" xr:uid="{00000000-0005-0000-0000-0000C59F0000}"/>
    <cellStyle name="표준 5 4 2 3 4 4 2 7" xfId="44109" xr:uid="{00000000-0005-0000-0000-0000C69F0000}"/>
    <cellStyle name="표준 5 4 2 3 4 4 3" xfId="9047" xr:uid="{00000000-0005-0000-0000-0000C79F0000}"/>
    <cellStyle name="표준 5 4 2 3 4 4 3 2" xfId="29753" xr:uid="{00000000-0005-0000-0000-0000C89F0000}"/>
    <cellStyle name="표준 5 4 2 3 4 4 3 3" xfId="37964" xr:uid="{00000000-0005-0000-0000-0000C99F0000}"/>
    <cellStyle name="표준 5 4 2 3 4 4 3 4" xfId="46157" xr:uid="{00000000-0005-0000-0000-0000CA9F0000}"/>
    <cellStyle name="표준 5 4 2 3 4 4 4" xfId="13159" xr:uid="{00000000-0005-0000-0000-0000CB9F0000}"/>
    <cellStyle name="표준 5 4 2 3 4 4 5" xfId="17399" xr:uid="{00000000-0005-0000-0000-0000CC9F0000}"/>
    <cellStyle name="표준 5 4 2 3 4 4 6" xfId="21561" xr:uid="{00000000-0005-0000-0000-0000CD9F0000}"/>
    <cellStyle name="표준 5 4 2 3 4 4 7" xfId="25657" xr:uid="{00000000-0005-0000-0000-0000CE9F0000}"/>
    <cellStyle name="표준 5 4 2 3 4 4 8" xfId="33868" xr:uid="{00000000-0005-0000-0000-0000CF9F0000}"/>
    <cellStyle name="표준 5 4 2 3 4 4 9" xfId="42061" xr:uid="{00000000-0005-0000-0000-0000D09F0000}"/>
    <cellStyle name="표준 5 4 2 3 4 5" xfId="9559" xr:uid="{00000000-0005-0000-0000-0000D19F0000}"/>
    <cellStyle name="표준 5 4 2 3 4 5 2" xfId="13671" xr:uid="{00000000-0005-0000-0000-0000D29F0000}"/>
    <cellStyle name="표준 5 4 2 3 4 5 2 2" xfId="30265" xr:uid="{00000000-0005-0000-0000-0000D39F0000}"/>
    <cellStyle name="표준 5 4 2 3 4 5 2 3" xfId="38476" xr:uid="{00000000-0005-0000-0000-0000D49F0000}"/>
    <cellStyle name="표준 5 4 2 3 4 5 2 4" xfId="46669" xr:uid="{00000000-0005-0000-0000-0000D59F0000}"/>
    <cellStyle name="표준 5 4 2 3 4 5 3" xfId="17911" xr:uid="{00000000-0005-0000-0000-0000D69F0000}"/>
    <cellStyle name="표준 5 4 2 3 4 5 4" xfId="22073" xr:uid="{00000000-0005-0000-0000-0000D79F0000}"/>
    <cellStyle name="표준 5 4 2 3 4 5 5" xfId="26169" xr:uid="{00000000-0005-0000-0000-0000D89F0000}"/>
    <cellStyle name="표준 5 4 2 3 4 5 6" xfId="34380" xr:uid="{00000000-0005-0000-0000-0000D99F0000}"/>
    <cellStyle name="표준 5 4 2 3 4 5 7" xfId="42573" xr:uid="{00000000-0005-0000-0000-0000DA9F0000}"/>
    <cellStyle name="표준 5 4 2 3 4 6" xfId="7511" xr:uid="{00000000-0005-0000-0000-0000DB9F0000}"/>
    <cellStyle name="표준 5 4 2 3 4 6 2" xfId="28217" xr:uid="{00000000-0005-0000-0000-0000DC9F0000}"/>
    <cellStyle name="표준 5 4 2 3 4 6 3" xfId="36428" xr:uid="{00000000-0005-0000-0000-0000DD9F0000}"/>
    <cellStyle name="표준 5 4 2 3 4 6 4" xfId="44621" xr:uid="{00000000-0005-0000-0000-0000DE9F0000}"/>
    <cellStyle name="표준 5 4 2 3 4 7" xfId="11623" xr:uid="{00000000-0005-0000-0000-0000DF9F0000}"/>
    <cellStyle name="표준 5 4 2 3 4 8" xfId="15863" xr:uid="{00000000-0005-0000-0000-0000E09F0000}"/>
    <cellStyle name="표준 5 4 2 3 4 9" xfId="20025" xr:uid="{00000000-0005-0000-0000-0000E19F0000}"/>
    <cellStyle name="표준 5 4 2 3 5" xfId="912" xr:uid="{00000000-0005-0000-0000-0000E29F0000}"/>
    <cellStyle name="표준 5 4 2 3 5 2" xfId="9815" xr:uid="{00000000-0005-0000-0000-0000E39F0000}"/>
    <cellStyle name="표준 5 4 2 3 5 2 2" xfId="13927" xr:uid="{00000000-0005-0000-0000-0000E49F0000}"/>
    <cellStyle name="표준 5 4 2 3 5 2 2 2" xfId="30521" xr:uid="{00000000-0005-0000-0000-0000E59F0000}"/>
    <cellStyle name="표준 5 4 2 3 5 2 2 3" xfId="38732" xr:uid="{00000000-0005-0000-0000-0000E69F0000}"/>
    <cellStyle name="표준 5 4 2 3 5 2 2 4" xfId="46925" xr:uid="{00000000-0005-0000-0000-0000E79F0000}"/>
    <cellStyle name="표준 5 4 2 3 5 2 3" xfId="18167" xr:uid="{00000000-0005-0000-0000-0000E89F0000}"/>
    <cellStyle name="표준 5 4 2 3 5 2 4" xfId="22329" xr:uid="{00000000-0005-0000-0000-0000E99F0000}"/>
    <cellStyle name="표준 5 4 2 3 5 2 5" xfId="26425" xr:uid="{00000000-0005-0000-0000-0000EA9F0000}"/>
    <cellStyle name="표준 5 4 2 3 5 2 6" xfId="34636" xr:uid="{00000000-0005-0000-0000-0000EB9F0000}"/>
    <cellStyle name="표준 5 4 2 3 5 2 7" xfId="42829" xr:uid="{00000000-0005-0000-0000-0000EC9F0000}"/>
    <cellStyle name="표준 5 4 2 3 5 3" xfId="7767" xr:uid="{00000000-0005-0000-0000-0000ED9F0000}"/>
    <cellStyle name="표준 5 4 2 3 5 3 2" xfId="28473" xr:uid="{00000000-0005-0000-0000-0000EE9F0000}"/>
    <cellStyle name="표준 5 4 2 3 5 3 3" xfId="36684" xr:uid="{00000000-0005-0000-0000-0000EF9F0000}"/>
    <cellStyle name="표준 5 4 2 3 5 3 4" xfId="44877" xr:uid="{00000000-0005-0000-0000-0000F09F0000}"/>
    <cellStyle name="표준 5 4 2 3 5 4" xfId="11879" xr:uid="{00000000-0005-0000-0000-0000F19F0000}"/>
    <cellStyle name="표준 5 4 2 3 5 5" xfId="16119" xr:uid="{00000000-0005-0000-0000-0000F29F0000}"/>
    <cellStyle name="표준 5 4 2 3 5 6" xfId="20281" xr:uid="{00000000-0005-0000-0000-0000F39F0000}"/>
    <cellStyle name="표준 5 4 2 3 5 7" xfId="24377" xr:uid="{00000000-0005-0000-0000-0000F49F0000}"/>
    <cellStyle name="표준 5 4 2 3 5 8" xfId="32588" xr:uid="{00000000-0005-0000-0000-0000F59F0000}"/>
    <cellStyle name="표준 5 4 2 3 5 9" xfId="40781" xr:uid="{00000000-0005-0000-0000-0000F69F0000}"/>
    <cellStyle name="표준 5 4 2 3 6" xfId="1424" xr:uid="{00000000-0005-0000-0000-0000F79F0000}"/>
    <cellStyle name="표준 5 4 2 3 6 2" xfId="10327" xr:uid="{00000000-0005-0000-0000-0000F89F0000}"/>
    <cellStyle name="표준 5 4 2 3 6 2 2" xfId="14439" xr:uid="{00000000-0005-0000-0000-0000F99F0000}"/>
    <cellStyle name="표준 5 4 2 3 6 2 2 2" xfId="31033" xr:uid="{00000000-0005-0000-0000-0000FA9F0000}"/>
    <cellStyle name="표준 5 4 2 3 6 2 2 3" xfId="39244" xr:uid="{00000000-0005-0000-0000-0000FB9F0000}"/>
    <cellStyle name="표준 5 4 2 3 6 2 2 4" xfId="47437" xr:uid="{00000000-0005-0000-0000-0000FC9F0000}"/>
    <cellStyle name="표준 5 4 2 3 6 2 3" xfId="18679" xr:uid="{00000000-0005-0000-0000-0000FD9F0000}"/>
    <cellStyle name="표준 5 4 2 3 6 2 4" xfId="22841" xr:uid="{00000000-0005-0000-0000-0000FE9F0000}"/>
    <cellStyle name="표준 5 4 2 3 6 2 5" xfId="26937" xr:uid="{00000000-0005-0000-0000-0000FF9F0000}"/>
    <cellStyle name="표준 5 4 2 3 6 2 6" xfId="35148" xr:uid="{00000000-0005-0000-0000-000000A00000}"/>
    <cellStyle name="표준 5 4 2 3 6 2 7" xfId="43341" xr:uid="{00000000-0005-0000-0000-000001A00000}"/>
    <cellStyle name="표준 5 4 2 3 6 3" xfId="8279" xr:uid="{00000000-0005-0000-0000-000002A00000}"/>
    <cellStyle name="표준 5 4 2 3 6 3 2" xfId="28985" xr:uid="{00000000-0005-0000-0000-000003A00000}"/>
    <cellStyle name="표준 5 4 2 3 6 3 3" xfId="37196" xr:uid="{00000000-0005-0000-0000-000004A00000}"/>
    <cellStyle name="표준 5 4 2 3 6 3 4" xfId="45389" xr:uid="{00000000-0005-0000-0000-000005A00000}"/>
    <cellStyle name="표준 5 4 2 3 6 4" xfId="12391" xr:uid="{00000000-0005-0000-0000-000006A00000}"/>
    <cellStyle name="표준 5 4 2 3 6 5" xfId="16631" xr:uid="{00000000-0005-0000-0000-000007A00000}"/>
    <cellStyle name="표준 5 4 2 3 6 6" xfId="20793" xr:uid="{00000000-0005-0000-0000-000008A00000}"/>
    <cellStyle name="표준 5 4 2 3 6 7" xfId="24889" xr:uid="{00000000-0005-0000-0000-000009A00000}"/>
    <cellStyle name="표준 5 4 2 3 6 8" xfId="33100" xr:uid="{00000000-0005-0000-0000-00000AA00000}"/>
    <cellStyle name="표준 5 4 2 3 6 9" xfId="41293" xr:uid="{00000000-0005-0000-0000-00000BA00000}"/>
    <cellStyle name="표준 5 4 2 3 7" xfId="1936" xr:uid="{00000000-0005-0000-0000-00000CA00000}"/>
    <cellStyle name="표준 5 4 2 3 7 2" xfId="10839" xr:uid="{00000000-0005-0000-0000-00000DA00000}"/>
    <cellStyle name="표준 5 4 2 3 7 2 2" xfId="14951" xr:uid="{00000000-0005-0000-0000-00000EA00000}"/>
    <cellStyle name="표준 5 4 2 3 7 2 2 2" xfId="31545" xr:uid="{00000000-0005-0000-0000-00000FA00000}"/>
    <cellStyle name="표준 5 4 2 3 7 2 2 3" xfId="39756" xr:uid="{00000000-0005-0000-0000-000010A00000}"/>
    <cellStyle name="표준 5 4 2 3 7 2 2 4" xfId="47949" xr:uid="{00000000-0005-0000-0000-000011A00000}"/>
    <cellStyle name="표준 5 4 2 3 7 2 3" xfId="19191" xr:uid="{00000000-0005-0000-0000-000012A00000}"/>
    <cellStyle name="표준 5 4 2 3 7 2 4" xfId="23353" xr:uid="{00000000-0005-0000-0000-000013A00000}"/>
    <cellStyle name="표준 5 4 2 3 7 2 5" xfId="27449" xr:uid="{00000000-0005-0000-0000-000014A00000}"/>
    <cellStyle name="표준 5 4 2 3 7 2 6" xfId="35660" xr:uid="{00000000-0005-0000-0000-000015A00000}"/>
    <cellStyle name="표준 5 4 2 3 7 2 7" xfId="43853" xr:uid="{00000000-0005-0000-0000-000016A00000}"/>
    <cellStyle name="표준 5 4 2 3 7 3" xfId="8791" xr:uid="{00000000-0005-0000-0000-000017A00000}"/>
    <cellStyle name="표준 5 4 2 3 7 3 2" xfId="29497" xr:uid="{00000000-0005-0000-0000-000018A00000}"/>
    <cellStyle name="표준 5 4 2 3 7 3 3" xfId="37708" xr:uid="{00000000-0005-0000-0000-000019A00000}"/>
    <cellStyle name="표준 5 4 2 3 7 3 4" xfId="45901" xr:uid="{00000000-0005-0000-0000-00001AA00000}"/>
    <cellStyle name="표준 5 4 2 3 7 4" xfId="12903" xr:uid="{00000000-0005-0000-0000-00001BA00000}"/>
    <cellStyle name="표준 5 4 2 3 7 5" xfId="17143" xr:uid="{00000000-0005-0000-0000-00001CA00000}"/>
    <cellStyle name="표준 5 4 2 3 7 6" xfId="21305" xr:uid="{00000000-0005-0000-0000-00001DA00000}"/>
    <cellStyle name="표준 5 4 2 3 7 7" xfId="25401" xr:uid="{00000000-0005-0000-0000-00001EA00000}"/>
    <cellStyle name="표준 5 4 2 3 7 8" xfId="33612" xr:uid="{00000000-0005-0000-0000-00001FA00000}"/>
    <cellStyle name="표준 5 4 2 3 7 9" xfId="41805" xr:uid="{00000000-0005-0000-0000-000020A00000}"/>
    <cellStyle name="표준 5 4 2 3 8" xfId="400" xr:uid="{00000000-0005-0000-0000-000021A00000}"/>
    <cellStyle name="표준 5 4 2 3 8 2" xfId="9303" xr:uid="{00000000-0005-0000-0000-000022A00000}"/>
    <cellStyle name="표준 5 4 2 3 8 2 2" xfId="30009" xr:uid="{00000000-0005-0000-0000-000023A00000}"/>
    <cellStyle name="표준 5 4 2 3 8 2 3" xfId="38220" xr:uid="{00000000-0005-0000-0000-000024A00000}"/>
    <cellStyle name="표준 5 4 2 3 8 2 4" xfId="46413" xr:uid="{00000000-0005-0000-0000-000025A00000}"/>
    <cellStyle name="표준 5 4 2 3 8 3" xfId="13415" xr:uid="{00000000-0005-0000-0000-000026A00000}"/>
    <cellStyle name="표준 5 4 2 3 8 4" xfId="17655" xr:uid="{00000000-0005-0000-0000-000027A00000}"/>
    <cellStyle name="표준 5 4 2 3 8 5" xfId="21817" xr:uid="{00000000-0005-0000-0000-000028A00000}"/>
    <cellStyle name="표준 5 4 2 3 8 6" xfId="25913" xr:uid="{00000000-0005-0000-0000-000029A00000}"/>
    <cellStyle name="표준 5 4 2 3 8 7" xfId="34124" xr:uid="{00000000-0005-0000-0000-00002AA00000}"/>
    <cellStyle name="표준 5 4 2 3 8 8" xfId="42317" xr:uid="{00000000-0005-0000-0000-00002BA00000}"/>
    <cellStyle name="표준 5 4 2 3 9" xfId="7002" xr:uid="{00000000-0005-0000-0000-00002CA00000}"/>
    <cellStyle name="표준 5 4 2 3 9 2" xfId="27961" xr:uid="{00000000-0005-0000-0000-00002DA00000}"/>
    <cellStyle name="표준 5 4 2 3 9 3" xfId="36172" xr:uid="{00000000-0005-0000-0000-00002EA00000}"/>
    <cellStyle name="표준 5 4 2 3 9 4" xfId="44365" xr:uid="{00000000-0005-0000-0000-00002FA00000}"/>
    <cellStyle name="표준 5 4 2 30" xfId="32027" xr:uid="{00000000-0005-0000-0000-000030A00000}"/>
    <cellStyle name="표준 5 4 2 31" xfId="32044" xr:uid="{00000000-0005-0000-0000-000031A00000}"/>
    <cellStyle name="표준 5 4 2 32" xfId="40237" xr:uid="{00000000-0005-0000-0000-000032A00000}"/>
    <cellStyle name="표준 5 4 2 33" xfId="48439" xr:uid="{00000000-0005-0000-0000-000033A00000}"/>
    <cellStyle name="표준 5 4 2 4" xfId="432" xr:uid="{00000000-0005-0000-0000-000034A00000}"/>
    <cellStyle name="표준 5 4 2 4 10" xfId="11399" xr:uid="{00000000-0005-0000-0000-000035A00000}"/>
    <cellStyle name="표준 5 4 2 4 11" xfId="15511" xr:uid="{00000000-0005-0000-0000-000036A00000}"/>
    <cellStyle name="표준 5 4 2 4 12" xfId="15639" xr:uid="{00000000-0005-0000-0000-000037A00000}"/>
    <cellStyle name="표준 5 4 2 4 13" xfId="19801" xr:uid="{00000000-0005-0000-0000-000038A00000}"/>
    <cellStyle name="표준 5 4 2 4 14" xfId="23897" xr:uid="{00000000-0005-0000-0000-000039A00000}"/>
    <cellStyle name="표준 5 4 2 4 15" xfId="32108" xr:uid="{00000000-0005-0000-0000-00003AA00000}"/>
    <cellStyle name="표준 5 4 2 4 16" xfId="40301" xr:uid="{00000000-0005-0000-0000-00003BA00000}"/>
    <cellStyle name="표준 5 4 2 4 2" xfId="560" xr:uid="{00000000-0005-0000-0000-00003CA00000}"/>
    <cellStyle name="표준 5 4 2 4 2 10" xfId="19929" xr:uid="{00000000-0005-0000-0000-00003DA00000}"/>
    <cellStyle name="표준 5 4 2 4 2 11" xfId="24025" xr:uid="{00000000-0005-0000-0000-00003EA00000}"/>
    <cellStyle name="표준 5 4 2 4 2 12" xfId="32236" xr:uid="{00000000-0005-0000-0000-00003FA00000}"/>
    <cellStyle name="표준 5 4 2 4 2 13" xfId="40429" xr:uid="{00000000-0005-0000-0000-000040A00000}"/>
    <cellStyle name="표준 5 4 2 4 2 2" xfId="816" xr:uid="{00000000-0005-0000-0000-000041A00000}"/>
    <cellStyle name="표준 5 4 2 4 2 2 10" xfId="24281" xr:uid="{00000000-0005-0000-0000-000042A00000}"/>
    <cellStyle name="표준 5 4 2 4 2 2 11" xfId="32492" xr:uid="{00000000-0005-0000-0000-000043A00000}"/>
    <cellStyle name="표준 5 4 2 4 2 2 12" xfId="40685" xr:uid="{00000000-0005-0000-0000-000044A00000}"/>
    <cellStyle name="표준 5 4 2 4 2 2 2" xfId="1328" xr:uid="{00000000-0005-0000-0000-000045A00000}"/>
    <cellStyle name="표준 5 4 2 4 2 2 2 2" xfId="10231" xr:uid="{00000000-0005-0000-0000-000046A00000}"/>
    <cellStyle name="표준 5 4 2 4 2 2 2 2 2" xfId="14343" xr:uid="{00000000-0005-0000-0000-000047A00000}"/>
    <cellStyle name="표준 5 4 2 4 2 2 2 2 2 2" xfId="30937" xr:uid="{00000000-0005-0000-0000-000048A00000}"/>
    <cellStyle name="표준 5 4 2 4 2 2 2 2 2 3" xfId="39148" xr:uid="{00000000-0005-0000-0000-000049A00000}"/>
    <cellStyle name="표준 5 4 2 4 2 2 2 2 2 4" xfId="47341" xr:uid="{00000000-0005-0000-0000-00004AA00000}"/>
    <cellStyle name="표준 5 4 2 4 2 2 2 2 3" xfId="18583" xr:uid="{00000000-0005-0000-0000-00004BA00000}"/>
    <cellStyle name="표준 5 4 2 4 2 2 2 2 4" xfId="22745" xr:uid="{00000000-0005-0000-0000-00004CA00000}"/>
    <cellStyle name="표준 5 4 2 4 2 2 2 2 5" xfId="26841" xr:uid="{00000000-0005-0000-0000-00004DA00000}"/>
    <cellStyle name="표준 5 4 2 4 2 2 2 2 6" xfId="35052" xr:uid="{00000000-0005-0000-0000-00004EA00000}"/>
    <cellStyle name="표준 5 4 2 4 2 2 2 2 7" xfId="43245" xr:uid="{00000000-0005-0000-0000-00004FA00000}"/>
    <cellStyle name="표준 5 4 2 4 2 2 2 3" xfId="8183" xr:uid="{00000000-0005-0000-0000-000050A00000}"/>
    <cellStyle name="표준 5 4 2 4 2 2 2 3 2" xfId="28889" xr:uid="{00000000-0005-0000-0000-000051A00000}"/>
    <cellStyle name="표준 5 4 2 4 2 2 2 3 3" xfId="37100" xr:uid="{00000000-0005-0000-0000-000052A00000}"/>
    <cellStyle name="표준 5 4 2 4 2 2 2 3 4" xfId="45293" xr:uid="{00000000-0005-0000-0000-000053A00000}"/>
    <cellStyle name="표준 5 4 2 4 2 2 2 4" xfId="12295" xr:uid="{00000000-0005-0000-0000-000054A00000}"/>
    <cellStyle name="표준 5 4 2 4 2 2 2 5" xfId="16535" xr:uid="{00000000-0005-0000-0000-000055A00000}"/>
    <cellStyle name="표준 5 4 2 4 2 2 2 6" xfId="20697" xr:uid="{00000000-0005-0000-0000-000056A00000}"/>
    <cellStyle name="표준 5 4 2 4 2 2 2 7" xfId="24793" xr:uid="{00000000-0005-0000-0000-000057A00000}"/>
    <cellStyle name="표준 5 4 2 4 2 2 2 8" xfId="33004" xr:uid="{00000000-0005-0000-0000-000058A00000}"/>
    <cellStyle name="표준 5 4 2 4 2 2 2 9" xfId="41197" xr:uid="{00000000-0005-0000-0000-000059A00000}"/>
    <cellStyle name="표준 5 4 2 4 2 2 3" xfId="1840" xr:uid="{00000000-0005-0000-0000-00005AA00000}"/>
    <cellStyle name="표준 5 4 2 4 2 2 3 2" xfId="10743" xr:uid="{00000000-0005-0000-0000-00005BA00000}"/>
    <cellStyle name="표준 5 4 2 4 2 2 3 2 2" xfId="14855" xr:uid="{00000000-0005-0000-0000-00005CA00000}"/>
    <cellStyle name="표준 5 4 2 4 2 2 3 2 2 2" xfId="31449" xr:uid="{00000000-0005-0000-0000-00005DA00000}"/>
    <cellStyle name="표준 5 4 2 4 2 2 3 2 2 3" xfId="39660" xr:uid="{00000000-0005-0000-0000-00005EA00000}"/>
    <cellStyle name="표준 5 4 2 4 2 2 3 2 2 4" xfId="47853" xr:uid="{00000000-0005-0000-0000-00005FA00000}"/>
    <cellStyle name="표준 5 4 2 4 2 2 3 2 3" xfId="19095" xr:uid="{00000000-0005-0000-0000-000060A00000}"/>
    <cellStyle name="표준 5 4 2 4 2 2 3 2 4" xfId="23257" xr:uid="{00000000-0005-0000-0000-000061A00000}"/>
    <cellStyle name="표준 5 4 2 4 2 2 3 2 5" xfId="27353" xr:uid="{00000000-0005-0000-0000-000062A00000}"/>
    <cellStyle name="표준 5 4 2 4 2 2 3 2 6" xfId="35564" xr:uid="{00000000-0005-0000-0000-000063A00000}"/>
    <cellStyle name="표준 5 4 2 4 2 2 3 2 7" xfId="43757" xr:uid="{00000000-0005-0000-0000-000064A00000}"/>
    <cellStyle name="표준 5 4 2 4 2 2 3 3" xfId="8695" xr:uid="{00000000-0005-0000-0000-000065A00000}"/>
    <cellStyle name="표준 5 4 2 4 2 2 3 3 2" xfId="29401" xr:uid="{00000000-0005-0000-0000-000066A00000}"/>
    <cellStyle name="표준 5 4 2 4 2 2 3 3 3" xfId="37612" xr:uid="{00000000-0005-0000-0000-000067A00000}"/>
    <cellStyle name="표준 5 4 2 4 2 2 3 3 4" xfId="45805" xr:uid="{00000000-0005-0000-0000-000068A00000}"/>
    <cellStyle name="표준 5 4 2 4 2 2 3 4" xfId="12807" xr:uid="{00000000-0005-0000-0000-000069A00000}"/>
    <cellStyle name="표준 5 4 2 4 2 2 3 5" xfId="17047" xr:uid="{00000000-0005-0000-0000-00006AA00000}"/>
    <cellStyle name="표준 5 4 2 4 2 2 3 6" xfId="21209" xr:uid="{00000000-0005-0000-0000-00006BA00000}"/>
    <cellStyle name="표준 5 4 2 4 2 2 3 7" xfId="25305" xr:uid="{00000000-0005-0000-0000-00006CA00000}"/>
    <cellStyle name="표준 5 4 2 4 2 2 3 8" xfId="33516" xr:uid="{00000000-0005-0000-0000-00006DA00000}"/>
    <cellStyle name="표준 5 4 2 4 2 2 3 9" xfId="41709" xr:uid="{00000000-0005-0000-0000-00006EA00000}"/>
    <cellStyle name="표준 5 4 2 4 2 2 4" xfId="2352" xr:uid="{00000000-0005-0000-0000-00006FA00000}"/>
    <cellStyle name="표준 5 4 2 4 2 2 4 2" xfId="11255" xr:uid="{00000000-0005-0000-0000-000070A00000}"/>
    <cellStyle name="표준 5 4 2 4 2 2 4 2 2" xfId="15367" xr:uid="{00000000-0005-0000-0000-000071A00000}"/>
    <cellStyle name="표준 5 4 2 4 2 2 4 2 2 2" xfId="31961" xr:uid="{00000000-0005-0000-0000-000072A00000}"/>
    <cellStyle name="표준 5 4 2 4 2 2 4 2 2 3" xfId="40172" xr:uid="{00000000-0005-0000-0000-000073A00000}"/>
    <cellStyle name="표준 5 4 2 4 2 2 4 2 2 4" xfId="48365" xr:uid="{00000000-0005-0000-0000-000074A00000}"/>
    <cellStyle name="표준 5 4 2 4 2 2 4 2 3" xfId="19607" xr:uid="{00000000-0005-0000-0000-000075A00000}"/>
    <cellStyle name="표준 5 4 2 4 2 2 4 2 4" xfId="23769" xr:uid="{00000000-0005-0000-0000-000076A00000}"/>
    <cellStyle name="표준 5 4 2 4 2 2 4 2 5" xfId="27865" xr:uid="{00000000-0005-0000-0000-000077A00000}"/>
    <cellStyle name="표준 5 4 2 4 2 2 4 2 6" xfId="36076" xr:uid="{00000000-0005-0000-0000-000078A00000}"/>
    <cellStyle name="표준 5 4 2 4 2 2 4 2 7" xfId="44269" xr:uid="{00000000-0005-0000-0000-000079A00000}"/>
    <cellStyle name="표준 5 4 2 4 2 2 4 3" xfId="9207" xr:uid="{00000000-0005-0000-0000-00007AA00000}"/>
    <cellStyle name="표준 5 4 2 4 2 2 4 3 2" xfId="29913" xr:uid="{00000000-0005-0000-0000-00007BA00000}"/>
    <cellStyle name="표준 5 4 2 4 2 2 4 3 3" xfId="38124" xr:uid="{00000000-0005-0000-0000-00007CA00000}"/>
    <cellStyle name="표준 5 4 2 4 2 2 4 3 4" xfId="46317" xr:uid="{00000000-0005-0000-0000-00007DA00000}"/>
    <cellStyle name="표준 5 4 2 4 2 2 4 4" xfId="13319" xr:uid="{00000000-0005-0000-0000-00007EA00000}"/>
    <cellStyle name="표준 5 4 2 4 2 2 4 5" xfId="17559" xr:uid="{00000000-0005-0000-0000-00007FA00000}"/>
    <cellStyle name="표준 5 4 2 4 2 2 4 6" xfId="21721" xr:uid="{00000000-0005-0000-0000-000080A00000}"/>
    <cellStyle name="표준 5 4 2 4 2 2 4 7" xfId="25817" xr:uid="{00000000-0005-0000-0000-000081A00000}"/>
    <cellStyle name="표준 5 4 2 4 2 2 4 8" xfId="34028" xr:uid="{00000000-0005-0000-0000-000082A00000}"/>
    <cellStyle name="표준 5 4 2 4 2 2 4 9" xfId="42221" xr:uid="{00000000-0005-0000-0000-000083A00000}"/>
    <cellStyle name="표준 5 4 2 4 2 2 5" xfId="9719" xr:uid="{00000000-0005-0000-0000-000084A00000}"/>
    <cellStyle name="표준 5 4 2 4 2 2 5 2" xfId="13831" xr:uid="{00000000-0005-0000-0000-000085A00000}"/>
    <cellStyle name="표준 5 4 2 4 2 2 5 2 2" xfId="30425" xr:uid="{00000000-0005-0000-0000-000086A00000}"/>
    <cellStyle name="표준 5 4 2 4 2 2 5 2 3" xfId="38636" xr:uid="{00000000-0005-0000-0000-000087A00000}"/>
    <cellStyle name="표준 5 4 2 4 2 2 5 2 4" xfId="46829" xr:uid="{00000000-0005-0000-0000-000088A00000}"/>
    <cellStyle name="표준 5 4 2 4 2 2 5 3" xfId="18071" xr:uid="{00000000-0005-0000-0000-000089A00000}"/>
    <cellStyle name="표준 5 4 2 4 2 2 5 4" xfId="22233" xr:uid="{00000000-0005-0000-0000-00008AA00000}"/>
    <cellStyle name="표준 5 4 2 4 2 2 5 5" xfId="26329" xr:uid="{00000000-0005-0000-0000-00008BA00000}"/>
    <cellStyle name="표준 5 4 2 4 2 2 5 6" xfId="34540" xr:uid="{00000000-0005-0000-0000-00008CA00000}"/>
    <cellStyle name="표준 5 4 2 4 2 2 5 7" xfId="42733" xr:uid="{00000000-0005-0000-0000-00008DA00000}"/>
    <cellStyle name="표준 5 4 2 4 2 2 6" xfId="7671" xr:uid="{00000000-0005-0000-0000-00008EA00000}"/>
    <cellStyle name="표준 5 4 2 4 2 2 6 2" xfId="28377" xr:uid="{00000000-0005-0000-0000-00008FA00000}"/>
    <cellStyle name="표준 5 4 2 4 2 2 6 3" xfId="36588" xr:uid="{00000000-0005-0000-0000-000090A00000}"/>
    <cellStyle name="표준 5 4 2 4 2 2 6 4" xfId="44781" xr:uid="{00000000-0005-0000-0000-000091A00000}"/>
    <cellStyle name="표준 5 4 2 4 2 2 7" xfId="11783" xr:uid="{00000000-0005-0000-0000-000092A00000}"/>
    <cellStyle name="표준 5 4 2 4 2 2 8" xfId="16023" xr:uid="{00000000-0005-0000-0000-000093A00000}"/>
    <cellStyle name="표준 5 4 2 4 2 2 9" xfId="20185" xr:uid="{00000000-0005-0000-0000-000094A00000}"/>
    <cellStyle name="표준 5 4 2 4 2 3" xfId="1072" xr:uid="{00000000-0005-0000-0000-000095A00000}"/>
    <cellStyle name="표준 5 4 2 4 2 3 2" xfId="9975" xr:uid="{00000000-0005-0000-0000-000096A00000}"/>
    <cellStyle name="표준 5 4 2 4 2 3 2 2" xfId="14087" xr:uid="{00000000-0005-0000-0000-000097A00000}"/>
    <cellStyle name="표준 5 4 2 4 2 3 2 2 2" xfId="30681" xr:uid="{00000000-0005-0000-0000-000098A00000}"/>
    <cellStyle name="표준 5 4 2 4 2 3 2 2 3" xfId="38892" xr:uid="{00000000-0005-0000-0000-000099A00000}"/>
    <cellStyle name="표준 5 4 2 4 2 3 2 2 4" xfId="47085" xr:uid="{00000000-0005-0000-0000-00009AA00000}"/>
    <cellStyle name="표준 5 4 2 4 2 3 2 3" xfId="18327" xr:uid="{00000000-0005-0000-0000-00009BA00000}"/>
    <cellStyle name="표준 5 4 2 4 2 3 2 4" xfId="22489" xr:uid="{00000000-0005-0000-0000-00009CA00000}"/>
    <cellStyle name="표준 5 4 2 4 2 3 2 5" xfId="26585" xr:uid="{00000000-0005-0000-0000-00009DA00000}"/>
    <cellStyle name="표준 5 4 2 4 2 3 2 6" xfId="34796" xr:uid="{00000000-0005-0000-0000-00009EA00000}"/>
    <cellStyle name="표준 5 4 2 4 2 3 2 7" xfId="42989" xr:uid="{00000000-0005-0000-0000-00009FA00000}"/>
    <cellStyle name="표준 5 4 2 4 2 3 3" xfId="7927" xr:uid="{00000000-0005-0000-0000-0000A0A00000}"/>
    <cellStyle name="표준 5 4 2 4 2 3 3 2" xfId="28633" xr:uid="{00000000-0005-0000-0000-0000A1A00000}"/>
    <cellStyle name="표준 5 4 2 4 2 3 3 3" xfId="36844" xr:uid="{00000000-0005-0000-0000-0000A2A00000}"/>
    <cellStyle name="표준 5 4 2 4 2 3 3 4" xfId="45037" xr:uid="{00000000-0005-0000-0000-0000A3A00000}"/>
    <cellStyle name="표준 5 4 2 4 2 3 4" xfId="12039" xr:uid="{00000000-0005-0000-0000-0000A4A00000}"/>
    <cellStyle name="표준 5 4 2 4 2 3 5" xfId="16279" xr:uid="{00000000-0005-0000-0000-0000A5A00000}"/>
    <cellStyle name="표준 5 4 2 4 2 3 6" xfId="20441" xr:uid="{00000000-0005-0000-0000-0000A6A00000}"/>
    <cellStyle name="표준 5 4 2 4 2 3 7" xfId="24537" xr:uid="{00000000-0005-0000-0000-0000A7A00000}"/>
    <cellStyle name="표준 5 4 2 4 2 3 8" xfId="32748" xr:uid="{00000000-0005-0000-0000-0000A8A00000}"/>
    <cellStyle name="표준 5 4 2 4 2 3 9" xfId="40941" xr:uid="{00000000-0005-0000-0000-0000A9A00000}"/>
    <cellStyle name="표준 5 4 2 4 2 4" xfId="1584" xr:uid="{00000000-0005-0000-0000-0000AAA00000}"/>
    <cellStyle name="표준 5 4 2 4 2 4 2" xfId="10487" xr:uid="{00000000-0005-0000-0000-0000ABA00000}"/>
    <cellStyle name="표준 5 4 2 4 2 4 2 2" xfId="14599" xr:uid="{00000000-0005-0000-0000-0000ACA00000}"/>
    <cellStyle name="표준 5 4 2 4 2 4 2 2 2" xfId="31193" xr:uid="{00000000-0005-0000-0000-0000ADA00000}"/>
    <cellStyle name="표준 5 4 2 4 2 4 2 2 3" xfId="39404" xr:uid="{00000000-0005-0000-0000-0000AEA00000}"/>
    <cellStyle name="표준 5 4 2 4 2 4 2 2 4" xfId="47597" xr:uid="{00000000-0005-0000-0000-0000AFA00000}"/>
    <cellStyle name="표준 5 4 2 4 2 4 2 3" xfId="18839" xr:uid="{00000000-0005-0000-0000-0000B0A00000}"/>
    <cellStyle name="표준 5 4 2 4 2 4 2 4" xfId="23001" xr:uid="{00000000-0005-0000-0000-0000B1A00000}"/>
    <cellStyle name="표준 5 4 2 4 2 4 2 5" xfId="27097" xr:uid="{00000000-0005-0000-0000-0000B2A00000}"/>
    <cellStyle name="표준 5 4 2 4 2 4 2 6" xfId="35308" xr:uid="{00000000-0005-0000-0000-0000B3A00000}"/>
    <cellStyle name="표준 5 4 2 4 2 4 2 7" xfId="43501" xr:uid="{00000000-0005-0000-0000-0000B4A00000}"/>
    <cellStyle name="표준 5 4 2 4 2 4 3" xfId="8439" xr:uid="{00000000-0005-0000-0000-0000B5A00000}"/>
    <cellStyle name="표준 5 4 2 4 2 4 3 2" xfId="29145" xr:uid="{00000000-0005-0000-0000-0000B6A00000}"/>
    <cellStyle name="표준 5 4 2 4 2 4 3 3" xfId="37356" xr:uid="{00000000-0005-0000-0000-0000B7A00000}"/>
    <cellStyle name="표준 5 4 2 4 2 4 3 4" xfId="45549" xr:uid="{00000000-0005-0000-0000-0000B8A00000}"/>
    <cellStyle name="표준 5 4 2 4 2 4 4" xfId="12551" xr:uid="{00000000-0005-0000-0000-0000B9A00000}"/>
    <cellStyle name="표준 5 4 2 4 2 4 5" xfId="16791" xr:uid="{00000000-0005-0000-0000-0000BAA00000}"/>
    <cellStyle name="표준 5 4 2 4 2 4 6" xfId="20953" xr:uid="{00000000-0005-0000-0000-0000BBA00000}"/>
    <cellStyle name="표준 5 4 2 4 2 4 7" xfId="25049" xr:uid="{00000000-0005-0000-0000-0000BCA00000}"/>
    <cellStyle name="표준 5 4 2 4 2 4 8" xfId="33260" xr:uid="{00000000-0005-0000-0000-0000BDA00000}"/>
    <cellStyle name="표준 5 4 2 4 2 4 9" xfId="41453" xr:uid="{00000000-0005-0000-0000-0000BEA00000}"/>
    <cellStyle name="표준 5 4 2 4 2 5" xfId="2096" xr:uid="{00000000-0005-0000-0000-0000BFA00000}"/>
    <cellStyle name="표준 5 4 2 4 2 5 2" xfId="10999" xr:uid="{00000000-0005-0000-0000-0000C0A00000}"/>
    <cellStyle name="표준 5 4 2 4 2 5 2 2" xfId="15111" xr:uid="{00000000-0005-0000-0000-0000C1A00000}"/>
    <cellStyle name="표준 5 4 2 4 2 5 2 2 2" xfId="31705" xr:uid="{00000000-0005-0000-0000-0000C2A00000}"/>
    <cellStyle name="표준 5 4 2 4 2 5 2 2 3" xfId="39916" xr:uid="{00000000-0005-0000-0000-0000C3A00000}"/>
    <cellStyle name="표준 5 4 2 4 2 5 2 2 4" xfId="48109" xr:uid="{00000000-0005-0000-0000-0000C4A00000}"/>
    <cellStyle name="표준 5 4 2 4 2 5 2 3" xfId="19351" xr:uid="{00000000-0005-0000-0000-0000C5A00000}"/>
    <cellStyle name="표준 5 4 2 4 2 5 2 4" xfId="23513" xr:uid="{00000000-0005-0000-0000-0000C6A00000}"/>
    <cellStyle name="표준 5 4 2 4 2 5 2 5" xfId="27609" xr:uid="{00000000-0005-0000-0000-0000C7A00000}"/>
    <cellStyle name="표준 5 4 2 4 2 5 2 6" xfId="35820" xr:uid="{00000000-0005-0000-0000-0000C8A00000}"/>
    <cellStyle name="표준 5 4 2 4 2 5 2 7" xfId="44013" xr:uid="{00000000-0005-0000-0000-0000C9A00000}"/>
    <cellStyle name="표준 5 4 2 4 2 5 3" xfId="8951" xr:uid="{00000000-0005-0000-0000-0000CAA00000}"/>
    <cellStyle name="표준 5 4 2 4 2 5 3 2" xfId="29657" xr:uid="{00000000-0005-0000-0000-0000CBA00000}"/>
    <cellStyle name="표준 5 4 2 4 2 5 3 3" xfId="37868" xr:uid="{00000000-0005-0000-0000-0000CCA00000}"/>
    <cellStyle name="표준 5 4 2 4 2 5 3 4" xfId="46061" xr:uid="{00000000-0005-0000-0000-0000CDA00000}"/>
    <cellStyle name="표준 5 4 2 4 2 5 4" xfId="13063" xr:uid="{00000000-0005-0000-0000-0000CEA00000}"/>
    <cellStyle name="표준 5 4 2 4 2 5 5" xfId="17303" xr:uid="{00000000-0005-0000-0000-0000CFA00000}"/>
    <cellStyle name="표준 5 4 2 4 2 5 6" xfId="21465" xr:uid="{00000000-0005-0000-0000-0000D0A00000}"/>
    <cellStyle name="표준 5 4 2 4 2 5 7" xfId="25561" xr:uid="{00000000-0005-0000-0000-0000D1A00000}"/>
    <cellStyle name="표준 5 4 2 4 2 5 8" xfId="33772" xr:uid="{00000000-0005-0000-0000-0000D2A00000}"/>
    <cellStyle name="표준 5 4 2 4 2 5 9" xfId="41965" xr:uid="{00000000-0005-0000-0000-0000D3A00000}"/>
    <cellStyle name="표준 5 4 2 4 2 6" xfId="9463" xr:uid="{00000000-0005-0000-0000-0000D4A00000}"/>
    <cellStyle name="표준 5 4 2 4 2 6 2" xfId="13575" xr:uid="{00000000-0005-0000-0000-0000D5A00000}"/>
    <cellStyle name="표준 5 4 2 4 2 6 2 2" xfId="30169" xr:uid="{00000000-0005-0000-0000-0000D6A00000}"/>
    <cellStyle name="표준 5 4 2 4 2 6 2 3" xfId="38380" xr:uid="{00000000-0005-0000-0000-0000D7A00000}"/>
    <cellStyle name="표준 5 4 2 4 2 6 2 4" xfId="46573" xr:uid="{00000000-0005-0000-0000-0000D8A00000}"/>
    <cellStyle name="표준 5 4 2 4 2 6 3" xfId="17815" xr:uid="{00000000-0005-0000-0000-0000D9A00000}"/>
    <cellStyle name="표준 5 4 2 4 2 6 4" xfId="21977" xr:uid="{00000000-0005-0000-0000-0000DAA00000}"/>
    <cellStyle name="표준 5 4 2 4 2 6 5" xfId="26073" xr:uid="{00000000-0005-0000-0000-0000DBA00000}"/>
    <cellStyle name="표준 5 4 2 4 2 6 6" xfId="34284" xr:uid="{00000000-0005-0000-0000-0000DCA00000}"/>
    <cellStyle name="표준 5 4 2 4 2 6 7" xfId="42477" xr:uid="{00000000-0005-0000-0000-0000DDA00000}"/>
    <cellStyle name="표준 5 4 2 4 2 7" xfId="7415" xr:uid="{00000000-0005-0000-0000-0000DEA00000}"/>
    <cellStyle name="표준 5 4 2 4 2 7 2" xfId="28121" xr:uid="{00000000-0005-0000-0000-0000DFA00000}"/>
    <cellStyle name="표준 5 4 2 4 2 7 3" xfId="36332" xr:uid="{00000000-0005-0000-0000-0000E0A00000}"/>
    <cellStyle name="표준 5 4 2 4 2 7 4" xfId="44525" xr:uid="{00000000-0005-0000-0000-0000E1A00000}"/>
    <cellStyle name="표준 5 4 2 4 2 8" xfId="11527" xr:uid="{00000000-0005-0000-0000-0000E2A00000}"/>
    <cellStyle name="표준 5 4 2 4 2 9" xfId="15767" xr:uid="{00000000-0005-0000-0000-0000E3A00000}"/>
    <cellStyle name="표준 5 4 2 4 3" xfId="688" xr:uid="{00000000-0005-0000-0000-0000E4A00000}"/>
    <cellStyle name="표준 5 4 2 4 3 10" xfId="24153" xr:uid="{00000000-0005-0000-0000-0000E5A00000}"/>
    <cellStyle name="표준 5 4 2 4 3 11" xfId="32364" xr:uid="{00000000-0005-0000-0000-0000E6A00000}"/>
    <cellStyle name="표준 5 4 2 4 3 12" xfId="40557" xr:uid="{00000000-0005-0000-0000-0000E7A00000}"/>
    <cellStyle name="표준 5 4 2 4 3 2" xfId="1200" xr:uid="{00000000-0005-0000-0000-0000E8A00000}"/>
    <cellStyle name="표준 5 4 2 4 3 2 2" xfId="10103" xr:uid="{00000000-0005-0000-0000-0000E9A00000}"/>
    <cellStyle name="표준 5 4 2 4 3 2 2 2" xfId="14215" xr:uid="{00000000-0005-0000-0000-0000EAA00000}"/>
    <cellStyle name="표준 5 4 2 4 3 2 2 2 2" xfId="30809" xr:uid="{00000000-0005-0000-0000-0000EBA00000}"/>
    <cellStyle name="표준 5 4 2 4 3 2 2 2 3" xfId="39020" xr:uid="{00000000-0005-0000-0000-0000ECA00000}"/>
    <cellStyle name="표준 5 4 2 4 3 2 2 2 4" xfId="47213" xr:uid="{00000000-0005-0000-0000-0000EDA00000}"/>
    <cellStyle name="표준 5 4 2 4 3 2 2 3" xfId="18455" xr:uid="{00000000-0005-0000-0000-0000EEA00000}"/>
    <cellStyle name="표준 5 4 2 4 3 2 2 4" xfId="22617" xr:uid="{00000000-0005-0000-0000-0000EFA00000}"/>
    <cellStyle name="표준 5 4 2 4 3 2 2 5" xfId="26713" xr:uid="{00000000-0005-0000-0000-0000F0A00000}"/>
    <cellStyle name="표준 5 4 2 4 3 2 2 6" xfId="34924" xr:uid="{00000000-0005-0000-0000-0000F1A00000}"/>
    <cellStyle name="표준 5 4 2 4 3 2 2 7" xfId="43117" xr:uid="{00000000-0005-0000-0000-0000F2A00000}"/>
    <cellStyle name="표준 5 4 2 4 3 2 3" xfId="8055" xr:uid="{00000000-0005-0000-0000-0000F3A00000}"/>
    <cellStyle name="표준 5 4 2 4 3 2 3 2" xfId="28761" xr:uid="{00000000-0005-0000-0000-0000F4A00000}"/>
    <cellStyle name="표준 5 4 2 4 3 2 3 3" xfId="36972" xr:uid="{00000000-0005-0000-0000-0000F5A00000}"/>
    <cellStyle name="표준 5 4 2 4 3 2 3 4" xfId="45165" xr:uid="{00000000-0005-0000-0000-0000F6A00000}"/>
    <cellStyle name="표준 5 4 2 4 3 2 4" xfId="12167" xr:uid="{00000000-0005-0000-0000-0000F7A00000}"/>
    <cellStyle name="표준 5 4 2 4 3 2 5" xfId="16407" xr:uid="{00000000-0005-0000-0000-0000F8A00000}"/>
    <cellStyle name="표준 5 4 2 4 3 2 6" xfId="20569" xr:uid="{00000000-0005-0000-0000-0000F9A00000}"/>
    <cellStyle name="표준 5 4 2 4 3 2 7" xfId="24665" xr:uid="{00000000-0005-0000-0000-0000FAA00000}"/>
    <cellStyle name="표준 5 4 2 4 3 2 8" xfId="32876" xr:uid="{00000000-0005-0000-0000-0000FBA00000}"/>
    <cellStyle name="표준 5 4 2 4 3 2 9" xfId="41069" xr:uid="{00000000-0005-0000-0000-0000FCA00000}"/>
    <cellStyle name="표준 5 4 2 4 3 3" xfId="1712" xr:uid="{00000000-0005-0000-0000-0000FDA00000}"/>
    <cellStyle name="표준 5 4 2 4 3 3 2" xfId="10615" xr:uid="{00000000-0005-0000-0000-0000FEA00000}"/>
    <cellStyle name="표준 5 4 2 4 3 3 2 2" xfId="14727" xr:uid="{00000000-0005-0000-0000-0000FFA00000}"/>
    <cellStyle name="표준 5 4 2 4 3 3 2 2 2" xfId="31321" xr:uid="{00000000-0005-0000-0000-000000A10000}"/>
    <cellStyle name="표준 5 4 2 4 3 3 2 2 3" xfId="39532" xr:uid="{00000000-0005-0000-0000-000001A10000}"/>
    <cellStyle name="표준 5 4 2 4 3 3 2 2 4" xfId="47725" xr:uid="{00000000-0005-0000-0000-000002A10000}"/>
    <cellStyle name="표준 5 4 2 4 3 3 2 3" xfId="18967" xr:uid="{00000000-0005-0000-0000-000003A10000}"/>
    <cellStyle name="표준 5 4 2 4 3 3 2 4" xfId="23129" xr:uid="{00000000-0005-0000-0000-000004A10000}"/>
    <cellStyle name="표준 5 4 2 4 3 3 2 5" xfId="27225" xr:uid="{00000000-0005-0000-0000-000005A10000}"/>
    <cellStyle name="표준 5 4 2 4 3 3 2 6" xfId="35436" xr:uid="{00000000-0005-0000-0000-000006A10000}"/>
    <cellStyle name="표준 5 4 2 4 3 3 2 7" xfId="43629" xr:uid="{00000000-0005-0000-0000-000007A10000}"/>
    <cellStyle name="표준 5 4 2 4 3 3 3" xfId="8567" xr:uid="{00000000-0005-0000-0000-000008A10000}"/>
    <cellStyle name="표준 5 4 2 4 3 3 3 2" xfId="29273" xr:uid="{00000000-0005-0000-0000-000009A10000}"/>
    <cellStyle name="표준 5 4 2 4 3 3 3 3" xfId="37484" xr:uid="{00000000-0005-0000-0000-00000AA10000}"/>
    <cellStyle name="표준 5 4 2 4 3 3 3 4" xfId="45677" xr:uid="{00000000-0005-0000-0000-00000BA10000}"/>
    <cellStyle name="표준 5 4 2 4 3 3 4" xfId="12679" xr:uid="{00000000-0005-0000-0000-00000CA10000}"/>
    <cellStyle name="표준 5 4 2 4 3 3 5" xfId="16919" xr:uid="{00000000-0005-0000-0000-00000DA10000}"/>
    <cellStyle name="표준 5 4 2 4 3 3 6" xfId="21081" xr:uid="{00000000-0005-0000-0000-00000EA10000}"/>
    <cellStyle name="표준 5 4 2 4 3 3 7" xfId="25177" xr:uid="{00000000-0005-0000-0000-00000FA10000}"/>
    <cellStyle name="표준 5 4 2 4 3 3 8" xfId="33388" xr:uid="{00000000-0005-0000-0000-000010A10000}"/>
    <cellStyle name="표준 5 4 2 4 3 3 9" xfId="41581" xr:uid="{00000000-0005-0000-0000-000011A10000}"/>
    <cellStyle name="표준 5 4 2 4 3 4" xfId="2224" xr:uid="{00000000-0005-0000-0000-000012A10000}"/>
    <cellStyle name="표준 5 4 2 4 3 4 2" xfId="11127" xr:uid="{00000000-0005-0000-0000-000013A10000}"/>
    <cellStyle name="표준 5 4 2 4 3 4 2 2" xfId="15239" xr:uid="{00000000-0005-0000-0000-000014A10000}"/>
    <cellStyle name="표준 5 4 2 4 3 4 2 2 2" xfId="31833" xr:uid="{00000000-0005-0000-0000-000015A10000}"/>
    <cellStyle name="표준 5 4 2 4 3 4 2 2 3" xfId="40044" xr:uid="{00000000-0005-0000-0000-000016A10000}"/>
    <cellStyle name="표준 5 4 2 4 3 4 2 2 4" xfId="48237" xr:uid="{00000000-0005-0000-0000-000017A10000}"/>
    <cellStyle name="표준 5 4 2 4 3 4 2 3" xfId="19479" xr:uid="{00000000-0005-0000-0000-000018A10000}"/>
    <cellStyle name="표준 5 4 2 4 3 4 2 4" xfId="23641" xr:uid="{00000000-0005-0000-0000-000019A10000}"/>
    <cellStyle name="표준 5 4 2 4 3 4 2 5" xfId="27737" xr:uid="{00000000-0005-0000-0000-00001AA10000}"/>
    <cellStyle name="표준 5 4 2 4 3 4 2 6" xfId="35948" xr:uid="{00000000-0005-0000-0000-00001BA10000}"/>
    <cellStyle name="표준 5 4 2 4 3 4 2 7" xfId="44141" xr:uid="{00000000-0005-0000-0000-00001CA10000}"/>
    <cellStyle name="표준 5 4 2 4 3 4 3" xfId="9079" xr:uid="{00000000-0005-0000-0000-00001DA10000}"/>
    <cellStyle name="표준 5 4 2 4 3 4 3 2" xfId="29785" xr:uid="{00000000-0005-0000-0000-00001EA10000}"/>
    <cellStyle name="표준 5 4 2 4 3 4 3 3" xfId="37996" xr:uid="{00000000-0005-0000-0000-00001FA10000}"/>
    <cellStyle name="표준 5 4 2 4 3 4 3 4" xfId="46189" xr:uid="{00000000-0005-0000-0000-000020A10000}"/>
    <cellStyle name="표준 5 4 2 4 3 4 4" xfId="13191" xr:uid="{00000000-0005-0000-0000-000021A10000}"/>
    <cellStyle name="표준 5 4 2 4 3 4 5" xfId="17431" xr:uid="{00000000-0005-0000-0000-000022A10000}"/>
    <cellStyle name="표준 5 4 2 4 3 4 6" xfId="21593" xr:uid="{00000000-0005-0000-0000-000023A10000}"/>
    <cellStyle name="표준 5 4 2 4 3 4 7" xfId="25689" xr:uid="{00000000-0005-0000-0000-000024A10000}"/>
    <cellStyle name="표준 5 4 2 4 3 4 8" xfId="33900" xr:uid="{00000000-0005-0000-0000-000025A10000}"/>
    <cellStyle name="표준 5 4 2 4 3 4 9" xfId="42093" xr:uid="{00000000-0005-0000-0000-000026A10000}"/>
    <cellStyle name="표준 5 4 2 4 3 5" xfId="9591" xr:uid="{00000000-0005-0000-0000-000027A10000}"/>
    <cellStyle name="표준 5 4 2 4 3 5 2" xfId="13703" xr:uid="{00000000-0005-0000-0000-000028A10000}"/>
    <cellStyle name="표준 5 4 2 4 3 5 2 2" xfId="30297" xr:uid="{00000000-0005-0000-0000-000029A10000}"/>
    <cellStyle name="표준 5 4 2 4 3 5 2 3" xfId="38508" xr:uid="{00000000-0005-0000-0000-00002AA10000}"/>
    <cellStyle name="표준 5 4 2 4 3 5 2 4" xfId="46701" xr:uid="{00000000-0005-0000-0000-00002BA10000}"/>
    <cellStyle name="표준 5 4 2 4 3 5 3" xfId="17943" xr:uid="{00000000-0005-0000-0000-00002CA10000}"/>
    <cellStyle name="표준 5 4 2 4 3 5 4" xfId="22105" xr:uid="{00000000-0005-0000-0000-00002DA10000}"/>
    <cellStyle name="표준 5 4 2 4 3 5 5" xfId="26201" xr:uid="{00000000-0005-0000-0000-00002EA10000}"/>
    <cellStyle name="표준 5 4 2 4 3 5 6" xfId="34412" xr:uid="{00000000-0005-0000-0000-00002FA10000}"/>
    <cellStyle name="표준 5 4 2 4 3 5 7" xfId="42605" xr:uid="{00000000-0005-0000-0000-000030A10000}"/>
    <cellStyle name="표준 5 4 2 4 3 6" xfId="7543" xr:uid="{00000000-0005-0000-0000-000031A10000}"/>
    <cellStyle name="표준 5 4 2 4 3 6 2" xfId="28249" xr:uid="{00000000-0005-0000-0000-000032A10000}"/>
    <cellStyle name="표준 5 4 2 4 3 6 3" xfId="36460" xr:uid="{00000000-0005-0000-0000-000033A10000}"/>
    <cellStyle name="표준 5 4 2 4 3 6 4" xfId="44653" xr:uid="{00000000-0005-0000-0000-000034A10000}"/>
    <cellStyle name="표준 5 4 2 4 3 7" xfId="11655" xr:uid="{00000000-0005-0000-0000-000035A10000}"/>
    <cellStyle name="표준 5 4 2 4 3 8" xfId="15895" xr:uid="{00000000-0005-0000-0000-000036A10000}"/>
    <cellStyle name="표준 5 4 2 4 3 9" xfId="20057" xr:uid="{00000000-0005-0000-0000-000037A10000}"/>
    <cellStyle name="표준 5 4 2 4 4" xfId="944" xr:uid="{00000000-0005-0000-0000-000038A10000}"/>
    <cellStyle name="표준 5 4 2 4 4 2" xfId="9847" xr:uid="{00000000-0005-0000-0000-000039A10000}"/>
    <cellStyle name="표준 5 4 2 4 4 2 2" xfId="13959" xr:uid="{00000000-0005-0000-0000-00003AA10000}"/>
    <cellStyle name="표준 5 4 2 4 4 2 2 2" xfId="30553" xr:uid="{00000000-0005-0000-0000-00003BA10000}"/>
    <cellStyle name="표준 5 4 2 4 4 2 2 3" xfId="38764" xr:uid="{00000000-0005-0000-0000-00003CA10000}"/>
    <cellStyle name="표준 5 4 2 4 4 2 2 4" xfId="46957" xr:uid="{00000000-0005-0000-0000-00003DA10000}"/>
    <cellStyle name="표준 5 4 2 4 4 2 3" xfId="18199" xr:uid="{00000000-0005-0000-0000-00003EA10000}"/>
    <cellStyle name="표준 5 4 2 4 4 2 4" xfId="22361" xr:uid="{00000000-0005-0000-0000-00003FA10000}"/>
    <cellStyle name="표준 5 4 2 4 4 2 5" xfId="26457" xr:uid="{00000000-0005-0000-0000-000040A10000}"/>
    <cellStyle name="표준 5 4 2 4 4 2 6" xfId="34668" xr:uid="{00000000-0005-0000-0000-000041A10000}"/>
    <cellStyle name="표준 5 4 2 4 4 2 7" xfId="42861" xr:uid="{00000000-0005-0000-0000-000042A10000}"/>
    <cellStyle name="표준 5 4 2 4 4 3" xfId="7799" xr:uid="{00000000-0005-0000-0000-000043A10000}"/>
    <cellStyle name="표준 5 4 2 4 4 3 2" xfId="28505" xr:uid="{00000000-0005-0000-0000-000044A10000}"/>
    <cellStyle name="표준 5 4 2 4 4 3 3" xfId="36716" xr:uid="{00000000-0005-0000-0000-000045A10000}"/>
    <cellStyle name="표준 5 4 2 4 4 3 4" xfId="44909" xr:uid="{00000000-0005-0000-0000-000046A10000}"/>
    <cellStyle name="표준 5 4 2 4 4 4" xfId="11911" xr:uid="{00000000-0005-0000-0000-000047A10000}"/>
    <cellStyle name="표준 5 4 2 4 4 5" xfId="16151" xr:uid="{00000000-0005-0000-0000-000048A10000}"/>
    <cellStyle name="표준 5 4 2 4 4 6" xfId="20313" xr:uid="{00000000-0005-0000-0000-000049A10000}"/>
    <cellStyle name="표준 5 4 2 4 4 7" xfId="24409" xr:uid="{00000000-0005-0000-0000-00004AA10000}"/>
    <cellStyle name="표준 5 4 2 4 4 8" xfId="32620" xr:uid="{00000000-0005-0000-0000-00004BA10000}"/>
    <cellStyle name="표준 5 4 2 4 4 9" xfId="40813" xr:uid="{00000000-0005-0000-0000-00004CA10000}"/>
    <cellStyle name="표준 5 4 2 4 5" xfId="1456" xr:uid="{00000000-0005-0000-0000-00004DA10000}"/>
    <cellStyle name="표준 5 4 2 4 5 2" xfId="10359" xr:uid="{00000000-0005-0000-0000-00004EA10000}"/>
    <cellStyle name="표준 5 4 2 4 5 2 2" xfId="14471" xr:uid="{00000000-0005-0000-0000-00004FA10000}"/>
    <cellStyle name="표준 5 4 2 4 5 2 2 2" xfId="31065" xr:uid="{00000000-0005-0000-0000-000050A10000}"/>
    <cellStyle name="표준 5 4 2 4 5 2 2 3" xfId="39276" xr:uid="{00000000-0005-0000-0000-000051A10000}"/>
    <cellStyle name="표준 5 4 2 4 5 2 2 4" xfId="47469" xr:uid="{00000000-0005-0000-0000-000052A10000}"/>
    <cellStyle name="표준 5 4 2 4 5 2 3" xfId="18711" xr:uid="{00000000-0005-0000-0000-000053A10000}"/>
    <cellStyle name="표준 5 4 2 4 5 2 4" xfId="22873" xr:uid="{00000000-0005-0000-0000-000054A10000}"/>
    <cellStyle name="표준 5 4 2 4 5 2 5" xfId="26969" xr:uid="{00000000-0005-0000-0000-000055A10000}"/>
    <cellStyle name="표준 5 4 2 4 5 2 6" xfId="35180" xr:uid="{00000000-0005-0000-0000-000056A10000}"/>
    <cellStyle name="표준 5 4 2 4 5 2 7" xfId="43373" xr:uid="{00000000-0005-0000-0000-000057A10000}"/>
    <cellStyle name="표준 5 4 2 4 5 3" xfId="8311" xr:uid="{00000000-0005-0000-0000-000058A10000}"/>
    <cellStyle name="표준 5 4 2 4 5 3 2" xfId="29017" xr:uid="{00000000-0005-0000-0000-000059A10000}"/>
    <cellStyle name="표준 5 4 2 4 5 3 3" xfId="37228" xr:uid="{00000000-0005-0000-0000-00005AA10000}"/>
    <cellStyle name="표준 5 4 2 4 5 3 4" xfId="45421" xr:uid="{00000000-0005-0000-0000-00005BA10000}"/>
    <cellStyle name="표준 5 4 2 4 5 4" xfId="12423" xr:uid="{00000000-0005-0000-0000-00005CA10000}"/>
    <cellStyle name="표준 5 4 2 4 5 5" xfId="16663" xr:uid="{00000000-0005-0000-0000-00005DA10000}"/>
    <cellStyle name="표준 5 4 2 4 5 6" xfId="20825" xr:uid="{00000000-0005-0000-0000-00005EA10000}"/>
    <cellStyle name="표준 5 4 2 4 5 7" xfId="24921" xr:uid="{00000000-0005-0000-0000-00005FA10000}"/>
    <cellStyle name="표준 5 4 2 4 5 8" xfId="33132" xr:uid="{00000000-0005-0000-0000-000060A10000}"/>
    <cellStyle name="표준 5 4 2 4 5 9" xfId="41325" xr:uid="{00000000-0005-0000-0000-000061A10000}"/>
    <cellStyle name="표준 5 4 2 4 6" xfId="1968" xr:uid="{00000000-0005-0000-0000-000062A10000}"/>
    <cellStyle name="표준 5 4 2 4 6 2" xfId="10871" xr:uid="{00000000-0005-0000-0000-000063A10000}"/>
    <cellStyle name="표준 5 4 2 4 6 2 2" xfId="14983" xr:uid="{00000000-0005-0000-0000-000064A10000}"/>
    <cellStyle name="표준 5 4 2 4 6 2 2 2" xfId="31577" xr:uid="{00000000-0005-0000-0000-000065A10000}"/>
    <cellStyle name="표준 5 4 2 4 6 2 2 3" xfId="39788" xr:uid="{00000000-0005-0000-0000-000066A10000}"/>
    <cellStyle name="표준 5 4 2 4 6 2 2 4" xfId="47981" xr:uid="{00000000-0005-0000-0000-000067A10000}"/>
    <cellStyle name="표준 5 4 2 4 6 2 3" xfId="19223" xr:uid="{00000000-0005-0000-0000-000068A10000}"/>
    <cellStyle name="표준 5 4 2 4 6 2 4" xfId="23385" xr:uid="{00000000-0005-0000-0000-000069A10000}"/>
    <cellStyle name="표준 5 4 2 4 6 2 5" xfId="27481" xr:uid="{00000000-0005-0000-0000-00006AA10000}"/>
    <cellStyle name="표준 5 4 2 4 6 2 6" xfId="35692" xr:uid="{00000000-0005-0000-0000-00006BA10000}"/>
    <cellStyle name="표준 5 4 2 4 6 2 7" xfId="43885" xr:uid="{00000000-0005-0000-0000-00006CA10000}"/>
    <cellStyle name="표준 5 4 2 4 6 3" xfId="8823" xr:uid="{00000000-0005-0000-0000-00006DA10000}"/>
    <cellStyle name="표준 5 4 2 4 6 3 2" xfId="29529" xr:uid="{00000000-0005-0000-0000-00006EA10000}"/>
    <cellStyle name="표준 5 4 2 4 6 3 3" xfId="37740" xr:uid="{00000000-0005-0000-0000-00006FA10000}"/>
    <cellStyle name="표준 5 4 2 4 6 3 4" xfId="45933" xr:uid="{00000000-0005-0000-0000-000070A10000}"/>
    <cellStyle name="표준 5 4 2 4 6 4" xfId="12935" xr:uid="{00000000-0005-0000-0000-000071A10000}"/>
    <cellStyle name="표준 5 4 2 4 6 5" xfId="17175" xr:uid="{00000000-0005-0000-0000-000072A10000}"/>
    <cellStyle name="표준 5 4 2 4 6 6" xfId="21337" xr:uid="{00000000-0005-0000-0000-000073A10000}"/>
    <cellStyle name="표준 5 4 2 4 6 7" xfId="25433" xr:uid="{00000000-0005-0000-0000-000074A10000}"/>
    <cellStyle name="표준 5 4 2 4 6 8" xfId="33644" xr:uid="{00000000-0005-0000-0000-000075A10000}"/>
    <cellStyle name="표준 5 4 2 4 6 9" xfId="41837" xr:uid="{00000000-0005-0000-0000-000076A10000}"/>
    <cellStyle name="표준 5 4 2 4 7" xfId="7028" xr:uid="{00000000-0005-0000-0000-000077A10000}"/>
    <cellStyle name="표준 5 4 2 4 7 2" xfId="9335" xr:uid="{00000000-0005-0000-0000-000078A10000}"/>
    <cellStyle name="표준 5 4 2 4 7 2 2" xfId="30041" xr:uid="{00000000-0005-0000-0000-000079A10000}"/>
    <cellStyle name="표준 5 4 2 4 7 2 3" xfId="38252" xr:uid="{00000000-0005-0000-0000-00007AA10000}"/>
    <cellStyle name="표준 5 4 2 4 7 2 4" xfId="46445" xr:uid="{00000000-0005-0000-0000-00007BA10000}"/>
    <cellStyle name="표준 5 4 2 4 7 3" xfId="13447" xr:uid="{00000000-0005-0000-0000-00007CA10000}"/>
    <cellStyle name="표준 5 4 2 4 7 4" xfId="17687" xr:uid="{00000000-0005-0000-0000-00007DA10000}"/>
    <cellStyle name="표준 5 4 2 4 7 5" xfId="21849" xr:uid="{00000000-0005-0000-0000-00007EA10000}"/>
    <cellStyle name="표준 5 4 2 4 7 6" xfId="25945" xr:uid="{00000000-0005-0000-0000-00007FA10000}"/>
    <cellStyle name="표준 5 4 2 4 7 7" xfId="34156" xr:uid="{00000000-0005-0000-0000-000080A10000}"/>
    <cellStyle name="표준 5 4 2 4 7 8" xfId="42349" xr:uid="{00000000-0005-0000-0000-000081A10000}"/>
    <cellStyle name="표준 5 4 2 4 8" xfId="7150" xr:uid="{00000000-0005-0000-0000-000082A10000}"/>
    <cellStyle name="표준 5 4 2 4 8 2" xfId="27993" xr:uid="{00000000-0005-0000-0000-000083A10000}"/>
    <cellStyle name="표준 5 4 2 4 8 3" xfId="36204" xr:uid="{00000000-0005-0000-0000-000084A10000}"/>
    <cellStyle name="표준 5 4 2 4 8 4" xfId="44397" xr:uid="{00000000-0005-0000-0000-000085A10000}"/>
    <cellStyle name="표준 5 4 2 4 9" xfId="7287" xr:uid="{00000000-0005-0000-0000-000086A10000}"/>
    <cellStyle name="표준 5 4 2 5" xfId="496" xr:uid="{00000000-0005-0000-0000-000087A10000}"/>
    <cellStyle name="표준 5 4 2 5 10" xfId="19865" xr:uid="{00000000-0005-0000-0000-000088A10000}"/>
    <cellStyle name="표준 5 4 2 5 11" xfId="23961" xr:uid="{00000000-0005-0000-0000-000089A10000}"/>
    <cellStyle name="표준 5 4 2 5 12" xfId="32172" xr:uid="{00000000-0005-0000-0000-00008AA10000}"/>
    <cellStyle name="표준 5 4 2 5 13" xfId="40365" xr:uid="{00000000-0005-0000-0000-00008BA10000}"/>
    <cellStyle name="표준 5 4 2 5 2" xfId="752" xr:uid="{00000000-0005-0000-0000-00008CA10000}"/>
    <cellStyle name="표준 5 4 2 5 2 10" xfId="24217" xr:uid="{00000000-0005-0000-0000-00008DA10000}"/>
    <cellStyle name="표준 5 4 2 5 2 11" xfId="32428" xr:uid="{00000000-0005-0000-0000-00008EA10000}"/>
    <cellStyle name="표준 5 4 2 5 2 12" xfId="40621" xr:uid="{00000000-0005-0000-0000-00008FA10000}"/>
    <cellStyle name="표준 5 4 2 5 2 2" xfId="1264" xr:uid="{00000000-0005-0000-0000-000090A10000}"/>
    <cellStyle name="표준 5 4 2 5 2 2 2" xfId="10167" xr:uid="{00000000-0005-0000-0000-000091A10000}"/>
    <cellStyle name="표준 5 4 2 5 2 2 2 2" xfId="14279" xr:uid="{00000000-0005-0000-0000-000092A10000}"/>
    <cellStyle name="표준 5 4 2 5 2 2 2 2 2" xfId="30873" xr:uid="{00000000-0005-0000-0000-000093A10000}"/>
    <cellStyle name="표준 5 4 2 5 2 2 2 2 3" xfId="39084" xr:uid="{00000000-0005-0000-0000-000094A10000}"/>
    <cellStyle name="표준 5 4 2 5 2 2 2 2 4" xfId="47277" xr:uid="{00000000-0005-0000-0000-000095A10000}"/>
    <cellStyle name="표준 5 4 2 5 2 2 2 3" xfId="18519" xr:uid="{00000000-0005-0000-0000-000096A10000}"/>
    <cellStyle name="표준 5 4 2 5 2 2 2 4" xfId="22681" xr:uid="{00000000-0005-0000-0000-000097A10000}"/>
    <cellStyle name="표준 5 4 2 5 2 2 2 5" xfId="26777" xr:uid="{00000000-0005-0000-0000-000098A10000}"/>
    <cellStyle name="표준 5 4 2 5 2 2 2 6" xfId="34988" xr:uid="{00000000-0005-0000-0000-000099A10000}"/>
    <cellStyle name="표준 5 4 2 5 2 2 2 7" xfId="43181" xr:uid="{00000000-0005-0000-0000-00009AA10000}"/>
    <cellStyle name="표준 5 4 2 5 2 2 3" xfId="8119" xr:uid="{00000000-0005-0000-0000-00009BA10000}"/>
    <cellStyle name="표준 5 4 2 5 2 2 3 2" xfId="28825" xr:uid="{00000000-0005-0000-0000-00009CA10000}"/>
    <cellStyle name="표준 5 4 2 5 2 2 3 3" xfId="37036" xr:uid="{00000000-0005-0000-0000-00009DA10000}"/>
    <cellStyle name="표준 5 4 2 5 2 2 3 4" xfId="45229" xr:uid="{00000000-0005-0000-0000-00009EA10000}"/>
    <cellStyle name="표준 5 4 2 5 2 2 4" xfId="12231" xr:uid="{00000000-0005-0000-0000-00009FA10000}"/>
    <cellStyle name="표준 5 4 2 5 2 2 5" xfId="16471" xr:uid="{00000000-0005-0000-0000-0000A0A10000}"/>
    <cellStyle name="표준 5 4 2 5 2 2 6" xfId="20633" xr:uid="{00000000-0005-0000-0000-0000A1A10000}"/>
    <cellStyle name="표준 5 4 2 5 2 2 7" xfId="24729" xr:uid="{00000000-0005-0000-0000-0000A2A10000}"/>
    <cellStyle name="표준 5 4 2 5 2 2 8" xfId="32940" xr:uid="{00000000-0005-0000-0000-0000A3A10000}"/>
    <cellStyle name="표준 5 4 2 5 2 2 9" xfId="41133" xr:uid="{00000000-0005-0000-0000-0000A4A10000}"/>
    <cellStyle name="표준 5 4 2 5 2 3" xfId="1776" xr:uid="{00000000-0005-0000-0000-0000A5A10000}"/>
    <cellStyle name="표준 5 4 2 5 2 3 2" xfId="10679" xr:uid="{00000000-0005-0000-0000-0000A6A10000}"/>
    <cellStyle name="표준 5 4 2 5 2 3 2 2" xfId="14791" xr:uid="{00000000-0005-0000-0000-0000A7A10000}"/>
    <cellStyle name="표준 5 4 2 5 2 3 2 2 2" xfId="31385" xr:uid="{00000000-0005-0000-0000-0000A8A10000}"/>
    <cellStyle name="표준 5 4 2 5 2 3 2 2 3" xfId="39596" xr:uid="{00000000-0005-0000-0000-0000A9A10000}"/>
    <cellStyle name="표준 5 4 2 5 2 3 2 2 4" xfId="47789" xr:uid="{00000000-0005-0000-0000-0000AAA10000}"/>
    <cellStyle name="표준 5 4 2 5 2 3 2 3" xfId="19031" xr:uid="{00000000-0005-0000-0000-0000ABA10000}"/>
    <cellStyle name="표준 5 4 2 5 2 3 2 4" xfId="23193" xr:uid="{00000000-0005-0000-0000-0000ACA10000}"/>
    <cellStyle name="표준 5 4 2 5 2 3 2 5" xfId="27289" xr:uid="{00000000-0005-0000-0000-0000ADA10000}"/>
    <cellStyle name="표준 5 4 2 5 2 3 2 6" xfId="35500" xr:uid="{00000000-0005-0000-0000-0000AEA10000}"/>
    <cellStyle name="표준 5 4 2 5 2 3 2 7" xfId="43693" xr:uid="{00000000-0005-0000-0000-0000AFA10000}"/>
    <cellStyle name="표준 5 4 2 5 2 3 3" xfId="8631" xr:uid="{00000000-0005-0000-0000-0000B0A10000}"/>
    <cellStyle name="표준 5 4 2 5 2 3 3 2" xfId="29337" xr:uid="{00000000-0005-0000-0000-0000B1A10000}"/>
    <cellStyle name="표준 5 4 2 5 2 3 3 3" xfId="37548" xr:uid="{00000000-0005-0000-0000-0000B2A10000}"/>
    <cellStyle name="표준 5 4 2 5 2 3 3 4" xfId="45741" xr:uid="{00000000-0005-0000-0000-0000B3A10000}"/>
    <cellStyle name="표준 5 4 2 5 2 3 4" xfId="12743" xr:uid="{00000000-0005-0000-0000-0000B4A10000}"/>
    <cellStyle name="표준 5 4 2 5 2 3 5" xfId="16983" xr:uid="{00000000-0005-0000-0000-0000B5A10000}"/>
    <cellStyle name="표준 5 4 2 5 2 3 6" xfId="21145" xr:uid="{00000000-0005-0000-0000-0000B6A10000}"/>
    <cellStyle name="표준 5 4 2 5 2 3 7" xfId="25241" xr:uid="{00000000-0005-0000-0000-0000B7A10000}"/>
    <cellStyle name="표준 5 4 2 5 2 3 8" xfId="33452" xr:uid="{00000000-0005-0000-0000-0000B8A10000}"/>
    <cellStyle name="표준 5 4 2 5 2 3 9" xfId="41645" xr:uid="{00000000-0005-0000-0000-0000B9A10000}"/>
    <cellStyle name="표준 5 4 2 5 2 4" xfId="2288" xr:uid="{00000000-0005-0000-0000-0000BAA10000}"/>
    <cellStyle name="표준 5 4 2 5 2 4 2" xfId="11191" xr:uid="{00000000-0005-0000-0000-0000BBA10000}"/>
    <cellStyle name="표준 5 4 2 5 2 4 2 2" xfId="15303" xr:uid="{00000000-0005-0000-0000-0000BCA10000}"/>
    <cellStyle name="표준 5 4 2 5 2 4 2 2 2" xfId="31897" xr:uid="{00000000-0005-0000-0000-0000BDA10000}"/>
    <cellStyle name="표준 5 4 2 5 2 4 2 2 3" xfId="40108" xr:uid="{00000000-0005-0000-0000-0000BEA10000}"/>
    <cellStyle name="표준 5 4 2 5 2 4 2 2 4" xfId="48301" xr:uid="{00000000-0005-0000-0000-0000BFA10000}"/>
    <cellStyle name="표준 5 4 2 5 2 4 2 3" xfId="19543" xr:uid="{00000000-0005-0000-0000-0000C0A10000}"/>
    <cellStyle name="표준 5 4 2 5 2 4 2 4" xfId="23705" xr:uid="{00000000-0005-0000-0000-0000C1A10000}"/>
    <cellStyle name="표준 5 4 2 5 2 4 2 5" xfId="27801" xr:uid="{00000000-0005-0000-0000-0000C2A10000}"/>
    <cellStyle name="표준 5 4 2 5 2 4 2 6" xfId="36012" xr:uid="{00000000-0005-0000-0000-0000C3A10000}"/>
    <cellStyle name="표준 5 4 2 5 2 4 2 7" xfId="44205" xr:uid="{00000000-0005-0000-0000-0000C4A10000}"/>
    <cellStyle name="표준 5 4 2 5 2 4 3" xfId="9143" xr:uid="{00000000-0005-0000-0000-0000C5A10000}"/>
    <cellStyle name="표준 5 4 2 5 2 4 3 2" xfId="29849" xr:uid="{00000000-0005-0000-0000-0000C6A10000}"/>
    <cellStyle name="표준 5 4 2 5 2 4 3 3" xfId="38060" xr:uid="{00000000-0005-0000-0000-0000C7A10000}"/>
    <cellStyle name="표준 5 4 2 5 2 4 3 4" xfId="46253" xr:uid="{00000000-0005-0000-0000-0000C8A10000}"/>
    <cellStyle name="표준 5 4 2 5 2 4 4" xfId="13255" xr:uid="{00000000-0005-0000-0000-0000C9A10000}"/>
    <cellStyle name="표준 5 4 2 5 2 4 5" xfId="17495" xr:uid="{00000000-0005-0000-0000-0000CAA10000}"/>
    <cellStyle name="표준 5 4 2 5 2 4 6" xfId="21657" xr:uid="{00000000-0005-0000-0000-0000CBA10000}"/>
    <cellStyle name="표준 5 4 2 5 2 4 7" xfId="25753" xr:uid="{00000000-0005-0000-0000-0000CCA10000}"/>
    <cellStyle name="표준 5 4 2 5 2 4 8" xfId="33964" xr:uid="{00000000-0005-0000-0000-0000CDA10000}"/>
    <cellStyle name="표준 5 4 2 5 2 4 9" xfId="42157" xr:uid="{00000000-0005-0000-0000-0000CEA10000}"/>
    <cellStyle name="표준 5 4 2 5 2 5" xfId="9655" xr:uid="{00000000-0005-0000-0000-0000CFA10000}"/>
    <cellStyle name="표준 5 4 2 5 2 5 2" xfId="13767" xr:uid="{00000000-0005-0000-0000-0000D0A10000}"/>
    <cellStyle name="표준 5 4 2 5 2 5 2 2" xfId="30361" xr:uid="{00000000-0005-0000-0000-0000D1A10000}"/>
    <cellStyle name="표준 5 4 2 5 2 5 2 3" xfId="38572" xr:uid="{00000000-0005-0000-0000-0000D2A10000}"/>
    <cellStyle name="표준 5 4 2 5 2 5 2 4" xfId="46765" xr:uid="{00000000-0005-0000-0000-0000D3A10000}"/>
    <cellStyle name="표준 5 4 2 5 2 5 3" xfId="18007" xr:uid="{00000000-0005-0000-0000-0000D4A10000}"/>
    <cellStyle name="표준 5 4 2 5 2 5 4" xfId="22169" xr:uid="{00000000-0005-0000-0000-0000D5A10000}"/>
    <cellStyle name="표준 5 4 2 5 2 5 5" xfId="26265" xr:uid="{00000000-0005-0000-0000-0000D6A10000}"/>
    <cellStyle name="표준 5 4 2 5 2 5 6" xfId="34476" xr:uid="{00000000-0005-0000-0000-0000D7A10000}"/>
    <cellStyle name="표준 5 4 2 5 2 5 7" xfId="42669" xr:uid="{00000000-0005-0000-0000-0000D8A10000}"/>
    <cellStyle name="표준 5 4 2 5 2 6" xfId="7607" xr:uid="{00000000-0005-0000-0000-0000D9A10000}"/>
    <cellStyle name="표준 5 4 2 5 2 6 2" xfId="28313" xr:uid="{00000000-0005-0000-0000-0000DAA10000}"/>
    <cellStyle name="표준 5 4 2 5 2 6 3" xfId="36524" xr:uid="{00000000-0005-0000-0000-0000DBA10000}"/>
    <cellStyle name="표준 5 4 2 5 2 6 4" xfId="44717" xr:uid="{00000000-0005-0000-0000-0000DCA10000}"/>
    <cellStyle name="표준 5 4 2 5 2 7" xfId="11719" xr:uid="{00000000-0005-0000-0000-0000DDA10000}"/>
    <cellStyle name="표준 5 4 2 5 2 8" xfId="15959" xr:uid="{00000000-0005-0000-0000-0000DEA10000}"/>
    <cellStyle name="표준 5 4 2 5 2 9" xfId="20121" xr:uid="{00000000-0005-0000-0000-0000DFA10000}"/>
    <cellStyle name="표준 5 4 2 5 3" xfId="1008" xr:uid="{00000000-0005-0000-0000-0000E0A10000}"/>
    <cellStyle name="표준 5 4 2 5 3 2" xfId="9911" xr:uid="{00000000-0005-0000-0000-0000E1A10000}"/>
    <cellStyle name="표준 5 4 2 5 3 2 2" xfId="14023" xr:uid="{00000000-0005-0000-0000-0000E2A10000}"/>
    <cellStyle name="표준 5 4 2 5 3 2 2 2" xfId="30617" xr:uid="{00000000-0005-0000-0000-0000E3A10000}"/>
    <cellStyle name="표준 5 4 2 5 3 2 2 3" xfId="38828" xr:uid="{00000000-0005-0000-0000-0000E4A10000}"/>
    <cellStyle name="표준 5 4 2 5 3 2 2 4" xfId="47021" xr:uid="{00000000-0005-0000-0000-0000E5A10000}"/>
    <cellStyle name="표준 5 4 2 5 3 2 3" xfId="18263" xr:uid="{00000000-0005-0000-0000-0000E6A10000}"/>
    <cellStyle name="표준 5 4 2 5 3 2 4" xfId="22425" xr:uid="{00000000-0005-0000-0000-0000E7A10000}"/>
    <cellStyle name="표준 5 4 2 5 3 2 5" xfId="26521" xr:uid="{00000000-0005-0000-0000-0000E8A10000}"/>
    <cellStyle name="표준 5 4 2 5 3 2 6" xfId="34732" xr:uid="{00000000-0005-0000-0000-0000E9A10000}"/>
    <cellStyle name="표준 5 4 2 5 3 2 7" xfId="42925" xr:uid="{00000000-0005-0000-0000-0000EAA10000}"/>
    <cellStyle name="표준 5 4 2 5 3 3" xfId="7863" xr:uid="{00000000-0005-0000-0000-0000EBA10000}"/>
    <cellStyle name="표준 5 4 2 5 3 3 2" xfId="28569" xr:uid="{00000000-0005-0000-0000-0000ECA10000}"/>
    <cellStyle name="표준 5 4 2 5 3 3 3" xfId="36780" xr:uid="{00000000-0005-0000-0000-0000EDA10000}"/>
    <cellStyle name="표준 5 4 2 5 3 3 4" xfId="44973" xr:uid="{00000000-0005-0000-0000-0000EEA10000}"/>
    <cellStyle name="표준 5 4 2 5 3 4" xfId="11975" xr:uid="{00000000-0005-0000-0000-0000EFA10000}"/>
    <cellStyle name="표준 5 4 2 5 3 5" xfId="16215" xr:uid="{00000000-0005-0000-0000-0000F0A10000}"/>
    <cellStyle name="표준 5 4 2 5 3 6" xfId="20377" xr:uid="{00000000-0005-0000-0000-0000F1A10000}"/>
    <cellStyle name="표준 5 4 2 5 3 7" xfId="24473" xr:uid="{00000000-0005-0000-0000-0000F2A10000}"/>
    <cellStyle name="표준 5 4 2 5 3 8" xfId="32684" xr:uid="{00000000-0005-0000-0000-0000F3A10000}"/>
    <cellStyle name="표준 5 4 2 5 3 9" xfId="40877" xr:uid="{00000000-0005-0000-0000-0000F4A10000}"/>
    <cellStyle name="표준 5 4 2 5 4" xfId="1520" xr:uid="{00000000-0005-0000-0000-0000F5A10000}"/>
    <cellStyle name="표준 5 4 2 5 4 2" xfId="10423" xr:uid="{00000000-0005-0000-0000-0000F6A10000}"/>
    <cellStyle name="표준 5 4 2 5 4 2 2" xfId="14535" xr:uid="{00000000-0005-0000-0000-0000F7A10000}"/>
    <cellStyle name="표준 5 4 2 5 4 2 2 2" xfId="31129" xr:uid="{00000000-0005-0000-0000-0000F8A10000}"/>
    <cellStyle name="표준 5 4 2 5 4 2 2 3" xfId="39340" xr:uid="{00000000-0005-0000-0000-0000F9A10000}"/>
    <cellStyle name="표준 5 4 2 5 4 2 2 4" xfId="47533" xr:uid="{00000000-0005-0000-0000-0000FAA10000}"/>
    <cellStyle name="표준 5 4 2 5 4 2 3" xfId="18775" xr:uid="{00000000-0005-0000-0000-0000FBA10000}"/>
    <cellStyle name="표준 5 4 2 5 4 2 4" xfId="22937" xr:uid="{00000000-0005-0000-0000-0000FCA10000}"/>
    <cellStyle name="표준 5 4 2 5 4 2 5" xfId="27033" xr:uid="{00000000-0005-0000-0000-0000FDA10000}"/>
    <cellStyle name="표준 5 4 2 5 4 2 6" xfId="35244" xr:uid="{00000000-0005-0000-0000-0000FEA10000}"/>
    <cellStyle name="표준 5 4 2 5 4 2 7" xfId="43437" xr:uid="{00000000-0005-0000-0000-0000FFA10000}"/>
    <cellStyle name="표준 5 4 2 5 4 3" xfId="8375" xr:uid="{00000000-0005-0000-0000-000000A20000}"/>
    <cellStyle name="표준 5 4 2 5 4 3 2" xfId="29081" xr:uid="{00000000-0005-0000-0000-000001A20000}"/>
    <cellStyle name="표준 5 4 2 5 4 3 3" xfId="37292" xr:uid="{00000000-0005-0000-0000-000002A20000}"/>
    <cellStyle name="표준 5 4 2 5 4 3 4" xfId="45485" xr:uid="{00000000-0005-0000-0000-000003A20000}"/>
    <cellStyle name="표준 5 4 2 5 4 4" xfId="12487" xr:uid="{00000000-0005-0000-0000-000004A20000}"/>
    <cellStyle name="표준 5 4 2 5 4 5" xfId="16727" xr:uid="{00000000-0005-0000-0000-000005A20000}"/>
    <cellStyle name="표준 5 4 2 5 4 6" xfId="20889" xr:uid="{00000000-0005-0000-0000-000006A20000}"/>
    <cellStyle name="표준 5 4 2 5 4 7" xfId="24985" xr:uid="{00000000-0005-0000-0000-000007A20000}"/>
    <cellStyle name="표준 5 4 2 5 4 8" xfId="33196" xr:uid="{00000000-0005-0000-0000-000008A20000}"/>
    <cellStyle name="표준 5 4 2 5 4 9" xfId="41389" xr:uid="{00000000-0005-0000-0000-000009A20000}"/>
    <cellStyle name="표준 5 4 2 5 5" xfId="2032" xr:uid="{00000000-0005-0000-0000-00000AA20000}"/>
    <cellStyle name="표준 5 4 2 5 5 2" xfId="10935" xr:uid="{00000000-0005-0000-0000-00000BA20000}"/>
    <cellStyle name="표준 5 4 2 5 5 2 2" xfId="15047" xr:uid="{00000000-0005-0000-0000-00000CA20000}"/>
    <cellStyle name="표준 5 4 2 5 5 2 2 2" xfId="31641" xr:uid="{00000000-0005-0000-0000-00000DA20000}"/>
    <cellStyle name="표준 5 4 2 5 5 2 2 3" xfId="39852" xr:uid="{00000000-0005-0000-0000-00000EA20000}"/>
    <cellStyle name="표준 5 4 2 5 5 2 2 4" xfId="48045" xr:uid="{00000000-0005-0000-0000-00000FA20000}"/>
    <cellStyle name="표준 5 4 2 5 5 2 3" xfId="19287" xr:uid="{00000000-0005-0000-0000-000010A20000}"/>
    <cellStyle name="표준 5 4 2 5 5 2 4" xfId="23449" xr:uid="{00000000-0005-0000-0000-000011A20000}"/>
    <cellStyle name="표준 5 4 2 5 5 2 5" xfId="27545" xr:uid="{00000000-0005-0000-0000-000012A20000}"/>
    <cellStyle name="표준 5 4 2 5 5 2 6" xfId="35756" xr:uid="{00000000-0005-0000-0000-000013A20000}"/>
    <cellStyle name="표준 5 4 2 5 5 2 7" xfId="43949" xr:uid="{00000000-0005-0000-0000-000014A20000}"/>
    <cellStyle name="표준 5 4 2 5 5 3" xfId="8887" xr:uid="{00000000-0005-0000-0000-000015A20000}"/>
    <cellStyle name="표준 5 4 2 5 5 3 2" xfId="29593" xr:uid="{00000000-0005-0000-0000-000016A20000}"/>
    <cellStyle name="표준 5 4 2 5 5 3 3" xfId="37804" xr:uid="{00000000-0005-0000-0000-000017A20000}"/>
    <cellStyle name="표준 5 4 2 5 5 3 4" xfId="45997" xr:uid="{00000000-0005-0000-0000-000018A20000}"/>
    <cellStyle name="표준 5 4 2 5 5 4" xfId="12999" xr:uid="{00000000-0005-0000-0000-000019A20000}"/>
    <cellStyle name="표준 5 4 2 5 5 5" xfId="17239" xr:uid="{00000000-0005-0000-0000-00001AA20000}"/>
    <cellStyle name="표준 5 4 2 5 5 6" xfId="21401" xr:uid="{00000000-0005-0000-0000-00001BA20000}"/>
    <cellStyle name="표준 5 4 2 5 5 7" xfId="25497" xr:uid="{00000000-0005-0000-0000-00001CA20000}"/>
    <cellStyle name="표준 5 4 2 5 5 8" xfId="33708" xr:uid="{00000000-0005-0000-0000-00001DA20000}"/>
    <cellStyle name="표준 5 4 2 5 5 9" xfId="41901" xr:uid="{00000000-0005-0000-0000-00001EA20000}"/>
    <cellStyle name="표준 5 4 2 5 6" xfId="9399" xr:uid="{00000000-0005-0000-0000-00001FA20000}"/>
    <cellStyle name="표준 5 4 2 5 6 2" xfId="13511" xr:uid="{00000000-0005-0000-0000-000020A20000}"/>
    <cellStyle name="표준 5 4 2 5 6 2 2" xfId="30105" xr:uid="{00000000-0005-0000-0000-000021A20000}"/>
    <cellStyle name="표준 5 4 2 5 6 2 3" xfId="38316" xr:uid="{00000000-0005-0000-0000-000022A20000}"/>
    <cellStyle name="표준 5 4 2 5 6 2 4" xfId="46509" xr:uid="{00000000-0005-0000-0000-000023A20000}"/>
    <cellStyle name="표준 5 4 2 5 6 3" xfId="17751" xr:uid="{00000000-0005-0000-0000-000024A20000}"/>
    <cellStyle name="표준 5 4 2 5 6 4" xfId="21913" xr:uid="{00000000-0005-0000-0000-000025A20000}"/>
    <cellStyle name="표준 5 4 2 5 6 5" xfId="26009" xr:uid="{00000000-0005-0000-0000-000026A20000}"/>
    <cellStyle name="표준 5 4 2 5 6 6" xfId="34220" xr:uid="{00000000-0005-0000-0000-000027A20000}"/>
    <cellStyle name="표준 5 4 2 5 6 7" xfId="42413" xr:uid="{00000000-0005-0000-0000-000028A20000}"/>
    <cellStyle name="표준 5 4 2 5 7" xfId="7351" xr:uid="{00000000-0005-0000-0000-000029A20000}"/>
    <cellStyle name="표준 5 4 2 5 7 2" xfId="28057" xr:uid="{00000000-0005-0000-0000-00002AA20000}"/>
    <cellStyle name="표준 5 4 2 5 7 3" xfId="36268" xr:uid="{00000000-0005-0000-0000-00002BA20000}"/>
    <cellStyle name="표준 5 4 2 5 7 4" xfId="44461" xr:uid="{00000000-0005-0000-0000-00002CA20000}"/>
    <cellStyle name="표준 5 4 2 5 8" xfId="11463" xr:uid="{00000000-0005-0000-0000-00002DA20000}"/>
    <cellStyle name="표준 5 4 2 5 9" xfId="15703" xr:uid="{00000000-0005-0000-0000-00002EA20000}"/>
    <cellStyle name="표준 5 4 2 6" xfId="624" xr:uid="{00000000-0005-0000-0000-00002FA20000}"/>
    <cellStyle name="표준 5 4 2 6 10" xfId="24089" xr:uid="{00000000-0005-0000-0000-000030A20000}"/>
    <cellStyle name="표준 5 4 2 6 11" xfId="32300" xr:uid="{00000000-0005-0000-0000-000031A20000}"/>
    <cellStyle name="표준 5 4 2 6 12" xfId="40493" xr:uid="{00000000-0005-0000-0000-000032A20000}"/>
    <cellStyle name="표준 5 4 2 6 2" xfId="1136" xr:uid="{00000000-0005-0000-0000-000033A20000}"/>
    <cellStyle name="표준 5 4 2 6 2 2" xfId="10039" xr:uid="{00000000-0005-0000-0000-000034A20000}"/>
    <cellStyle name="표준 5 4 2 6 2 2 2" xfId="14151" xr:uid="{00000000-0005-0000-0000-000035A20000}"/>
    <cellStyle name="표준 5 4 2 6 2 2 2 2" xfId="30745" xr:uid="{00000000-0005-0000-0000-000036A20000}"/>
    <cellStyle name="표준 5 4 2 6 2 2 2 3" xfId="38956" xr:uid="{00000000-0005-0000-0000-000037A20000}"/>
    <cellStyle name="표준 5 4 2 6 2 2 2 4" xfId="47149" xr:uid="{00000000-0005-0000-0000-000038A20000}"/>
    <cellStyle name="표준 5 4 2 6 2 2 3" xfId="18391" xr:uid="{00000000-0005-0000-0000-000039A20000}"/>
    <cellStyle name="표준 5 4 2 6 2 2 4" xfId="22553" xr:uid="{00000000-0005-0000-0000-00003AA20000}"/>
    <cellStyle name="표준 5 4 2 6 2 2 5" xfId="26649" xr:uid="{00000000-0005-0000-0000-00003BA20000}"/>
    <cellStyle name="표준 5 4 2 6 2 2 6" xfId="34860" xr:uid="{00000000-0005-0000-0000-00003CA20000}"/>
    <cellStyle name="표준 5 4 2 6 2 2 7" xfId="43053" xr:uid="{00000000-0005-0000-0000-00003DA20000}"/>
    <cellStyle name="표준 5 4 2 6 2 3" xfId="7991" xr:uid="{00000000-0005-0000-0000-00003EA20000}"/>
    <cellStyle name="표준 5 4 2 6 2 3 2" xfId="28697" xr:uid="{00000000-0005-0000-0000-00003FA20000}"/>
    <cellStyle name="표준 5 4 2 6 2 3 3" xfId="36908" xr:uid="{00000000-0005-0000-0000-000040A20000}"/>
    <cellStyle name="표준 5 4 2 6 2 3 4" xfId="45101" xr:uid="{00000000-0005-0000-0000-000041A20000}"/>
    <cellStyle name="표준 5 4 2 6 2 4" xfId="12103" xr:uid="{00000000-0005-0000-0000-000042A20000}"/>
    <cellStyle name="표준 5 4 2 6 2 5" xfId="16343" xr:uid="{00000000-0005-0000-0000-000043A20000}"/>
    <cellStyle name="표준 5 4 2 6 2 6" xfId="20505" xr:uid="{00000000-0005-0000-0000-000044A20000}"/>
    <cellStyle name="표준 5 4 2 6 2 7" xfId="24601" xr:uid="{00000000-0005-0000-0000-000045A20000}"/>
    <cellStyle name="표준 5 4 2 6 2 8" xfId="32812" xr:uid="{00000000-0005-0000-0000-000046A20000}"/>
    <cellStyle name="표준 5 4 2 6 2 9" xfId="41005" xr:uid="{00000000-0005-0000-0000-000047A20000}"/>
    <cellStyle name="표준 5 4 2 6 3" xfId="1648" xr:uid="{00000000-0005-0000-0000-000048A20000}"/>
    <cellStyle name="표준 5 4 2 6 3 2" xfId="10551" xr:uid="{00000000-0005-0000-0000-000049A20000}"/>
    <cellStyle name="표준 5 4 2 6 3 2 2" xfId="14663" xr:uid="{00000000-0005-0000-0000-00004AA20000}"/>
    <cellStyle name="표준 5 4 2 6 3 2 2 2" xfId="31257" xr:uid="{00000000-0005-0000-0000-00004BA20000}"/>
    <cellStyle name="표준 5 4 2 6 3 2 2 3" xfId="39468" xr:uid="{00000000-0005-0000-0000-00004CA20000}"/>
    <cellStyle name="표준 5 4 2 6 3 2 2 4" xfId="47661" xr:uid="{00000000-0005-0000-0000-00004DA20000}"/>
    <cellStyle name="표준 5 4 2 6 3 2 3" xfId="18903" xr:uid="{00000000-0005-0000-0000-00004EA20000}"/>
    <cellStyle name="표준 5 4 2 6 3 2 4" xfId="23065" xr:uid="{00000000-0005-0000-0000-00004FA20000}"/>
    <cellStyle name="표준 5 4 2 6 3 2 5" xfId="27161" xr:uid="{00000000-0005-0000-0000-000050A20000}"/>
    <cellStyle name="표준 5 4 2 6 3 2 6" xfId="35372" xr:uid="{00000000-0005-0000-0000-000051A20000}"/>
    <cellStyle name="표준 5 4 2 6 3 2 7" xfId="43565" xr:uid="{00000000-0005-0000-0000-000052A20000}"/>
    <cellStyle name="표준 5 4 2 6 3 3" xfId="8503" xr:uid="{00000000-0005-0000-0000-000053A20000}"/>
    <cellStyle name="표준 5 4 2 6 3 3 2" xfId="29209" xr:uid="{00000000-0005-0000-0000-000054A20000}"/>
    <cellStyle name="표준 5 4 2 6 3 3 3" xfId="37420" xr:uid="{00000000-0005-0000-0000-000055A20000}"/>
    <cellStyle name="표준 5 4 2 6 3 3 4" xfId="45613" xr:uid="{00000000-0005-0000-0000-000056A20000}"/>
    <cellStyle name="표준 5 4 2 6 3 4" xfId="12615" xr:uid="{00000000-0005-0000-0000-000057A20000}"/>
    <cellStyle name="표준 5 4 2 6 3 5" xfId="16855" xr:uid="{00000000-0005-0000-0000-000058A20000}"/>
    <cellStyle name="표준 5 4 2 6 3 6" xfId="21017" xr:uid="{00000000-0005-0000-0000-000059A20000}"/>
    <cellStyle name="표준 5 4 2 6 3 7" xfId="25113" xr:uid="{00000000-0005-0000-0000-00005AA20000}"/>
    <cellStyle name="표준 5 4 2 6 3 8" xfId="33324" xr:uid="{00000000-0005-0000-0000-00005BA20000}"/>
    <cellStyle name="표준 5 4 2 6 3 9" xfId="41517" xr:uid="{00000000-0005-0000-0000-00005CA20000}"/>
    <cellStyle name="표준 5 4 2 6 4" xfId="2160" xr:uid="{00000000-0005-0000-0000-00005DA20000}"/>
    <cellStyle name="표준 5 4 2 6 4 2" xfId="11063" xr:uid="{00000000-0005-0000-0000-00005EA20000}"/>
    <cellStyle name="표준 5 4 2 6 4 2 2" xfId="15175" xr:uid="{00000000-0005-0000-0000-00005FA20000}"/>
    <cellStyle name="표준 5 4 2 6 4 2 2 2" xfId="31769" xr:uid="{00000000-0005-0000-0000-000060A20000}"/>
    <cellStyle name="표준 5 4 2 6 4 2 2 3" xfId="39980" xr:uid="{00000000-0005-0000-0000-000061A20000}"/>
    <cellStyle name="표준 5 4 2 6 4 2 2 4" xfId="48173" xr:uid="{00000000-0005-0000-0000-000062A20000}"/>
    <cellStyle name="표준 5 4 2 6 4 2 3" xfId="19415" xr:uid="{00000000-0005-0000-0000-000063A20000}"/>
    <cellStyle name="표준 5 4 2 6 4 2 4" xfId="23577" xr:uid="{00000000-0005-0000-0000-000064A20000}"/>
    <cellStyle name="표준 5 4 2 6 4 2 5" xfId="27673" xr:uid="{00000000-0005-0000-0000-000065A20000}"/>
    <cellStyle name="표준 5 4 2 6 4 2 6" xfId="35884" xr:uid="{00000000-0005-0000-0000-000066A20000}"/>
    <cellStyle name="표준 5 4 2 6 4 2 7" xfId="44077" xr:uid="{00000000-0005-0000-0000-000067A20000}"/>
    <cellStyle name="표준 5 4 2 6 4 3" xfId="9015" xr:uid="{00000000-0005-0000-0000-000068A20000}"/>
    <cellStyle name="표준 5 4 2 6 4 3 2" xfId="29721" xr:uid="{00000000-0005-0000-0000-000069A20000}"/>
    <cellStyle name="표준 5 4 2 6 4 3 3" xfId="37932" xr:uid="{00000000-0005-0000-0000-00006AA20000}"/>
    <cellStyle name="표준 5 4 2 6 4 3 4" xfId="46125" xr:uid="{00000000-0005-0000-0000-00006BA20000}"/>
    <cellStyle name="표준 5 4 2 6 4 4" xfId="13127" xr:uid="{00000000-0005-0000-0000-00006CA20000}"/>
    <cellStyle name="표준 5 4 2 6 4 5" xfId="17367" xr:uid="{00000000-0005-0000-0000-00006DA20000}"/>
    <cellStyle name="표준 5 4 2 6 4 6" xfId="21529" xr:uid="{00000000-0005-0000-0000-00006EA20000}"/>
    <cellStyle name="표준 5 4 2 6 4 7" xfId="25625" xr:uid="{00000000-0005-0000-0000-00006FA20000}"/>
    <cellStyle name="표준 5 4 2 6 4 8" xfId="33836" xr:uid="{00000000-0005-0000-0000-000070A20000}"/>
    <cellStyle name="표준 5 4 2 6 4 9" xfId="42029" xr:uid="{00000000-0005-0000-0000-000071A20000}"/>
    <cellStyle name="표준 5 4 2 6 5" xfId="9527" xr:uid="{00000000-0005-0000-0000-000072A20000}"/>
    <cellStyle name="표준 5 4 2 6 5 2" xfId="13639" xr:uid="{00000000-0005-0000-0000-000073A20000}"/>
    <cellStyle name="표준 5 4 2 6 5 2 2" xfId="30233" xr:uid="{00000000-0005-0000-0000-000074A20000}"/>
    <cellStyle name="표준 5 4 2 6 5 2 3" xfId="38444" xr:uid="{00000000-0005-0000-0000-000075A20000}"/>
    <cellStyle name="표준 5 4 2 6 5 2 4" xfId="46637" xr:uid="{00000000-0005-0000-0000-000076A20000}"/>
    <cellStyle name="표준 5 4 2 6 5 3" xfId="17879" xr:uid="{00000000-0005-0000-0000-000077A20000}"/>
    <cellStyle name="표준 5 4 2 6 5 4" xfId="22041" xr:uid="{00000000-0005-0000-0000-000078A20000}"/>
    <cellStyle name="표준 5 4 2 6 5 5" xfId="26137" xr:uid="{00000000-0005-0000-0000-000079A20000}"/>
    <cellStyle name="표준 5 4 2 6 5 6" xfId="34348" xr:uid="{00000000-0005-0000-0000-00007AA20000}"/>
    <cellStyle name="표준 5 4 2 6 5 7" xfId="42541" xr:uid="{00000000-0005-0000-0000-00007BA20000}"/>
    <cellStyle name="표준 5 4 2 6 6" xfId="7479" xr:uid="{00000000-0005-0000-0000-00007CA20000}"/>
    <cellStyle name="표준 5 4 2 6 6 2" xfId="28185" xr:uid="{00000000-0005-0000-0000-00007DA20000}"/>
    <cellStyle name="표준 5 4 2 6 6 3" xfId="36396" xr:uid="{00000000-0005-0000-0000-00007EA20000}"/>
    <cellStyle name="표준 5 4 2 6 6 4" xfId="44589" xr:uid="{00000000-0005-0000-0000-00007FA20000}"/>
    <cellStyle name="표준 5 4 2 6 7" xfId="11591" xr:uid="{00000000-0005-0000-0000-000080A20000}"/>
    <cellStyle name="표준 5 4 2 6 8" xfId="15831" xr:uid="{00000000-0005-0000-0000-000081A20000}"/>
    <cellStyle name="표준 5 4 2 6 9" xfId="19993" xr:uid="{00000000-0005-0000-0000-000082A20000}"/>
    <cellStyle name="표준 5 4 2 7" xfId="880" xr:uid="{00000000-0005-0000-0000-000083A20000}"/>
    <cellStyle name="표준 5 4 2 7 2" xfId="9783" xr:uid="{00000000-0005-0000-0000-000084A20000}"/>
    <cellStyle name="표준 5 4 2 7 2 2" xfId="13895" xr:uid="{00000000-0005-0000-0000-000085A20000}"/>
    <cellStyle name="표준 5 4 2 7 2 2 2" xfId="30489" xr:uid="{00000000-0005-0000-0000-000086A20000}"/>
    <cellStyle name="표준 5 4 2 7 2 2 3" xfId="38700" xr:uid="{00000000-0005-0000-0000-000087A20000}"/>
    <cellStyle name="표준 5 4 2 7 2 2 4" xfId="46893" xr:uid="{00000000-0005-0000-0000-000088A20000}"/>
    <cellStyle name="표준 5 4 2 7 2 3" xfId="18135" xr:uid="{00000000-0005-0000-0000-000089A20000}"/>
    <cellStyle name="표준 5 4 2 7 2 4" xfId="22297" xr:uid="{00000000-0005-0000-0000-00008AA20000}"/>
    <cellStyle name="표준 5 4 2 7 2 5" xfId="26393" xr:uid="{00000000-0005-0000-0000-00008BA20000}"/>
    <cellStyle name="표준 5 4 2 7 2 6" xfId="34604" xr:uid="{00000000-0005-0000-0000-00008CA20000}"/>
    <cellStyle name="표준 5 4 2 7 2 7" xfId="42797" xr:uid="{00000000-0005-0000-0000-00008DA20000}"/>
    <cellStyle name="표준 5 4 2 7 3" xfId="7735" xr:uid="{00000000-0005-0000-0000-00008EA20000}"/>
    <cellStyle name="표준 5 4 2 7 3 2" xfId="28441" xr:uid="{00000000-0005-0000-0000-00008FA20000}"/>
    <cellStyle name="표준 5 4 2 7 3 3" xfId="36652" xr:uid="{00000000-0005-0000-0000-000090A20000}"/>
    <cellStyle name="표준 5 4 2 7 3 4" xfId="44845" xr:uid="{00000000-0005-0000-0000-000091A20000}"/>
    <cellStyle name="표준 5 4 2 7 4" xfId="11847" xr:uid="{00000000-0005-0000-0000-000092A20000}"/>
    <cellStyle name="표준 5 4 2 7 5" xfId="16087" xr:uid="{00000000-0005-0000-0000-000093A20000}"/>
    <cellStyle name="표준 5 4 2 7 6" xfId="20249" xr:uid="{00000000-0005-0000-0000-000094A20000}"/>
    <cellStyle name="표준 5 4 2 7 7" xfId="24345" xr:uid="{00000000-0005-0000-0000-000095A20000}"/>
    <cellStyle name="표준 5 4 2 7 8" xfId="32556" xr:uid="{00000000-0005-0000-0000-000096A20000}"/>
    <cellStyle name="표준 5 4 2 7 9" xfId="40749" xr:uid="{00000000-0005-0000-0000-000097A20000}"/>
    <cellStyle name="표준 5 4 2 8" xfId="1392" xr:uid="{00000000-0005-0000-0000-000098A20000}"/>
    <cellStyle name="표준 5 4 2 8 2" xfId="10295" xr:uid="{00000000-0005-0000-0000-000099A20000}"/>
    <cellStyle name="표준 5 4 2 8 2 2" xfId="14407" xr:uid="{00000000-0005-0000-0000-00009AA20000}"/>
    <cellStyle name="표준 5 4 2 8 2 2 2" xfId="31001" xr:uid="{00000000-0005-0000-0000-00009BA20000}"/>
    <cellStyle name="표준 5 4 2 8 2 2 3" xfId="39212" xr:uid="{00000000-0005-0000-0000-00009CA20000}"/>
    <cellStyle name="표준 5 4 2 8 2 2 4" xfId="47405" xr:uid="{00000000-0005-0000-0000-00009DA20000}"/>
    <cellStyle name="표준 5 4 2 8 2 3" xfId="18647" xr:uid="{00000000-0005-0000-0000-00009EA20000}"/>
    <cellStyle name="표준 5 4 2 8 2 4" xfId="22809" xr:uid="{00000000-0005-0000-0000-00009FA20000}"/>
    <cellStyle name="표준 5 4 2 8 2 5" xfId="26905" xr:uid="{00000000-0005-0000-0000-0000A0A20000}"/>
    <cellStyle name="표준 5 4 2 8 2 6" xfId="35116" xr:uid="{00000000-0005-0000-0000-0000A1A20000}"/>
    <cellStyle name="표준 5 4 2 8 2 7" xfId="43309" xr:uid="{00000000-0005-0000-0000-0000A2A20000}"/>
    <cellStyle name="표준 5 4 2 8 3" xfId="8247" xr:uid="{00000000-0005-0000-0000-0000A3A20000}"/>
    <cellStyle name="표준 5 4 2 8 3 2" xfId="28953" xr:uid="{00000000-0005-0000-0000-0000A4A20000}"/>
    <cellStyle name="표준 5 4 2 8 3 3" xfId="37164" xr:uid="{00000000-0005-0000-0000-0000A5A20000}"/>
    <cellStyle name="표준 5 4 2 8 3 4" xfId="45357" xr:uid="{00000000-0005-0000-0000-0000A6A20000}"/>
    <cellStyle name="표준 5 4 2 8 4" xfId="12359" xr:uid="{00000000-0005-0000-0000-0000A7A20000}"/>
    <cellStyle name="표준 5 4 2 8 5" xfId="16599" xr:uid="{00000000-0005-0000-0000-0000A8A20000}"/>
    <cellStyle name="표준 5 4 2 8 6" xfId="20761" xr:uid="{00000000-0005-0000-0000-0000A9A20000}"/>
    <cellStyle name="표준 5 4 2 8 7" xfId="24857" xr:uid="{00000000-0005-0000-0000-0000AAA20000}"/>
    <cellStyle name="표준 5 4 2 8 8" xfId="33068" xr:uid="{00000000-0005-0000-0000-0000ABA20000}"/>
    <cellStyle name="표준 5 4 2 8 9" xfId="41261" xr:uid="{00000000-0005-0000-0000-0000ACA20000}"/>
    <cellStyle name="표준 5 4 2 9" xfId="1904" xr:uid="{00000000-0005-0000-0000-0000ADA20000}"/>
    <cellStyle name="표준 5 4 2 9 2" xfId="10807" xr:uid="{00000000-0005-0000-0000-0000AEA20000}"/>
    <cellStyle name="표준 5 4 2 9 2 2" xfId="14919" xr:uid="{00000000-0005-0000-0000-0000AFA20000}"/>
    <cellStyle name="표준 5 4 2 9 2 2 2" xfId="31513" xr:uid="{00000000-0005-0000-0000-0000B0A20000}"/>
    <cellStyle name="표준 5 4 2 9 2 2 3" xfId="39724" xr:uid="{00000000-0005-0000-0000-0000B1A20000}"/>
    <cellStyle name="표준 5 4 2 9 2 2 4" xfId="47917" xr:uid="{00000000-0005-0000-0000-0000B2A20000}"/>
    <cellStyle name="표준 5 4 2 9 2 3" xfId="19159" xr:uid="{00000000-0005-0000-0000-0000B3A20000}"/>
    <cellStyle name="표준 5 4 2 9 2 4" xfId="23321" xr:uid="{00000000-0005-0000-0000-0000B4A20000}"/>
    <cellStyle name="표준 5 4 2 9 2 5" xfId="27417" xr:uid="{00000000-0005-0000-0000-0000B5A20000}"/>
    <cellStyle name="표준 5 4 2 9 2 6" xfId="35628" xr:uid="{00000000-0005-0000-0000-0000B6A20000}"/>
    <cellStyle name="표준 5 4 2 9 2 7" xfId="43821" xr:uid="{00000000-0005-0000-0000-0000B7A20000}"/>
    <cellStyle name="표준 5 4 2 9 3" xfId="8759" xr:uid="{00000000-0005-0000-0000-0000B8A20000}"/>
    <cellStyle name="표준 5 4 2 9 3 2" xfId="29465" xr:uid="{00000000-0005-0000-0000-0000B9A20000}"/>
    <cellStyle name="표준 5 4 2 9 3 3" xfId="37676" xr:uid="{00000000-0005-0000-0000-0000BAA20000}"/>
    <cellStyle name="표준 5 4 2 9 3 4" xfId="45869" xr:uid="{00000000-0005-0000-0000-0000BBA20000}"/>
    <cellStyle name="표준 5 4 2 9 4" xfId="12871" xr:uid="{00000000-0005-0000-0000-0000BCA20000}"/>
    <cellStyle name="표준 5 4 2 9 5" xfId="17111" xr:uid="{00000000-0005-0000-0000-0000BDA20000}"/>
    <cellStyle name="표준 5 4 2 9 6" xfId="21273" xr:uid="{00000000-0005-0000-0000-0000BEA20000}"/>
    <cellStyle name="표준 5 4 2 9 7" xfId="25369" xr:uid="{00000000-0005-0000-0000-0000BFA20000}"/>
    <cellStyle name="표준 5 4 2 9 8" xfId="33580" xr:uid="{00000000-0005-0000-0000-0000C0A20000}"/>
    <cellStyle name="표준 5 4 2 9 9" xfId="41773" xr:uid="{00000000-0005-0000-0000-0000C1A20000}"/>
    <cellStyle name="표준 5 4 20" xfId="11327" xr:uid="{00000000-0005-0000-0000-0000C2A20000}"/>
    <cellStyle name="표준 5 4 21" xfId="15423" xr:uid="{00000000-0005-0000-0000-0000C3A20000}"/>
    <cellStyle name="표준 5 4 22" xfId="15439" xr:uid="{00000000-0005-0000-0000-0000C4A20000}"/>
    <cellStyle name="표준 5 4 23" xfId="15455" xr:uid="{00000000-0005-0000-0000-0000C5A20000}"/>
    <cellStyle name="표준 5 4 24" xfId="15551" xr:uid="{00000000-0005-0000-0000-0000C6A20000}"/>
    <cellStyle name="표준 5 4 25" xfId="15567" xr:uid="{00000000-0005-0000-0000-0000C7A20000}"/>
    <cellStyle name="표준 5 4 26" xfId="19663" xr:uid="{00000000-0005-0000-0000-0000C8A20000}"/>
    <cellStyle name="표준 5 4 27" xfId="19679" xr:uid="{00000000-0005-0000-0000-0000C9A20000}"/>
    <cellStyle name="표준 5 4 28" xfId="19695" xr:uid="{00000000-0005-0000-0000-0000CAA20000}"/>
    <cellStyle name="표준 5 4 29" xfId="19711" xr:uid="{00000000-0005-0000-0000-0000CBA20000}"/>
    <cellStyle name="표준 5 4 3" xfId="143" xr:uid="{00000000-0005-0000-0000-0000CCA20000}"/>
    <cellStyle name="표준 5 4 3 10" xfId="7190" xr:uid="{00000000-0005-0000-0000-0000CDA20000}"/>
    <cellStyle name="표준 5 4 3 10 2" xfId="27937" xr:uid="{00000000-0005-0000-0000-0000CEA20000}"/>
    <cellStyle name="표준 5 4 3 10 3" xfId="36148" xr:uid="{00000000-0005-0000-0000-0000CFA20000}"/>
    <cellStyle name="표준 5 4 3 10 4" xfId="44341" xr:uid="{00000000-0005-0000-0000-0000D0A20000}"/>
    <cellStyle name="표준 5 4 3 11" xfId="7231" xr:uid="{00000000-0005-0000-0000-0000D1A20000}"/>
    <cellStyle name="표준 5 4 3 12" xfId="11343" xr:uid="{00000000-0005-0000-0000-0000D2A20000}"/>
    <cellStyle name="표준 5 4 3 13" xfId="15471" xr:uid="{00000000-0005-0000-0000-0000D3A20000}"/>
    <cellStyle name="표준 5 4 3 14" xfId="15583" xr:uid="{00000000-0005-0000-0000-0000D4A20000}"/>
    <cellStyle name="표준 5 4 3 15" xfId="19745" xr:uid="{00000000-0005-0000-0000-0000D5A20000}"/>
    <cellStyle name="표준 5 4 3 16" xfId="23841" xr:uid="{00000000-0005-0000-0000-0000D6A20000}"/>
    <cellStyle name="표준 5 4 3 17" xfId="32052" xr:uid="{00000000-0005-0000-0000-0000D7A20000}"/>
    <cellStyle name="표준 5 4 3 18" xfId="40245" xr:uid="{00000000-0005-0000-0000-0000D8A20000}"/>
    <cellStyle name="표준 5 4 3 19" xfId="49648" xr:uid="{00000000-0005-0000-0000-0000D9A20000}"/>
    <cellStyle name="표준 5 4 3 2" xfId="408" xr:uid="{00000000-0005-0000-0000-0000DAA20000}"/>
    <cellStyle name="표준 5 4 3 2 10" xfId="7263" xr:uid="{00000000-0005-0000-0000-0000DBA20000}"/>
    <cellStyle name="표준 5 4 3 2 11" xfId="11375" xr:uid="{00000000-0005-0000-0000-0000DCA20000}"/>
    <cellStyle name="표준 5 4 3 2 12" xfId="15519" xr:uid="{00000000-0005-0000-0000-0000DDA20000}"/>
    <cellStyle name="표준 5 4 3 2 13" xfId="15615" xr:uid="{00000000-0005-0000-0000-0000DEA20000}"/>
    <cellStyle name="표준 5 4 3 2 14" xfId="19777" xr:uid="{00000000-0005-0000-0000-0000DFA20000}"/>
    <cellStyle name="표준 5 4 3 2 15" xfId="23873" xr:uid="{00000000-0005-0000-0000-0000E0A20000}"/>
    <cellStyle name="표준 5 4 3 2 16" xfId="32084" xr:uid="{00000000-0005-0000-0000-0000E1A20000}"/>
    <cellStyle name="표준 5 4 3 2 17" xfId="40277" xr:uid="{00000000-0005-0000-0000-0000E2A20000}"/>
    <cellStyle name="표준 5 4 3 2 18" xfId="49714" xr:uid="{00000000-0005-0000-0000-0000E3A20000}"/>
    <cellStyle name="표준 5 4 3 2 2" xfId="472" xr:uid="{00000000-0005-0000-0000-0000E4A20000}"/>
    <cellStyle name="표준 5 4 3 2 2 10" xfId="15679" xr:uid="{00000000-0005-0000-0000-0000E5A20000}"/>
    <cellStyle name="표준 5 4 3 2 2 11" xfId="19841" xr:uid="{00000000-0005-0000-0000-0000E6A20000}"/>
    <cellStyle name="표준 5 4 3 2 2 12" xfId="23937" xr:uid="{00000000-0005-0000-0000-0000E7A20000}"/>
    <cellStyle name="표준 5 4 3 2 2 13" xfId="32148" xr:uid="{00000000-0005-0000-0000-0000E8A20000}"/>
    <cellStyle name="표준 5 4 3 2 2 14" xfId="40341" xr:uid="{00000000-0005-0000-0000-0000E9A20000}"/>
    <cellStyle name="표준 5 4 3 2 2 2" xfId="600" xr:uid="{00000000-0005-0000-0000-0000EAA20000}"/>
    <cellStyle name="표준 5 4 3 2 2 2 10" xfId="19969" xr:uid="{00000000-0005-0000-0000-0000EBA20000}"/>
    <cellStyle name="표준 5 4 3 2 2 2 11" xfId="24065" xr:uid="{00000000-0005-0000-0000-0000ECA20000}"/>
    <cellStyle name="표준 5 4 3 2 2 2 12" xfId="32276" xr:uid="{00000000-0005-0000-0000-0000EDA20000}"/>
    <cellStyle name="표준 5 4 3 2 2 2 13" xfId="40469" xr:uid="{00000000-0005-0000-0000-0000EEA20000}"/>
    <cellStyle name="표준 5 4 3 2 2 2 2" xfId="856" xr:uid="{00000000-0005-0000-0000-0000EFA20000}"/>
    <cellStyle name="표준 5 4 3 2 2 2 2 10" xfId="24321" xr:uid="{00000000-0005-0000-0000-0000F0A20000}"/>
    <cellStyle name="표준 5 4 3 2 2 2 2 11" xfId="32532" xr:uid="{00000000-0005-0000-0000-0000F1A20000}"/>
    <cellStyle name="표준 5 4 3 2 2 2 2 12" xfId="40725" xr:uid="{00000000-0005-0000-0000-0000F2A20000}"/>
    <cellStyle name="표준 5 4 3 2 2 2 2 2" xfId="1368" xr:uid="{00000000-0005-0000-0000-0000F3A20000}"/>
    <cellStyle name="표준 5 4 3 2 2 2 2 2 2" xfId="10271" xr:uid="{00000000-0005-0000-0000-0000F4A20000}"/>
    <cellStyle name="표준 5 4 3 2 2 2 2 2 2 2" xfId="14383" xr:uid="{00000000-0005-0000-0000-0000F5A20000}"/>
    <cellStyle name="표준 5 4 3 2 2 2 2 2 2 2 2" xfId="30977" xr:uid="{00000000-0005-0000-0000-0000F6A20000}"/>
    <cellStyle name="표준 5 4 3 2 2 2 2 2 2 2 3" xfId="39188" xr:uid="{00000000-0005-0000-0000-0000F7A20000}"/>
    <cellStyle name="표준 5 4 3 2 2 2 2 2 2 2 4" xfId="47381" xr:uid="{00000000-0005-0000-0000-0000F8A20000}"/>
    <cellStyle name="표준 5 4 3 2 2 2 2 2 2 3" xfId="18623" xr:uid="{00000000-0005-0000-0000-0000F9A20000}"/>
    <cellStyle name="표준 5 4 3 2 2 2 2 2 2 4" xfId="22785" xr:uid="{00000000-0005-0000-0000-0000FAA20000}"/>
    <cellStyle name="표준 5 4 3 2 2 2 2 2 2 5" xfId="26881" xr:uid="{00000000-0005-0000-0000-0000FBA20000}"/>
    <cellStyle name="표준 5 4 3 2 2 2 2 2 2 6" xfId="35092" xr:uid="{00000000-0005-0000-0000-0000FCA20000}"/>
    <cellStyle name="표준 5 4 3 2 2 2 2 2 2 7" xfId="43285" xr:uid="{00000000-0005-0000-0000-0000FDA20000}"/>
    <cellStyle name="표준 5 4 3 2 2 2 2 2 3" xfId="8223" xr:uid="{00000000-0005-0000-0000-0000FEA20000}"/>
    <cellStyle name="표준 5 4 3 2 2 2 2 2 3 2" xfId="28929" xr:uid="{00000000-0005-0000-0000-0000FFA20000}"/>
    <cellStyle name="표준 5 4 3 2 2 2 2 2 3 3" xfId="37140" xr:uid="{00000000-0005-0000-0000-000000A30000}"/>
    <cellStyle name="표준 5 4 3 2 2 2 2 2 3 4" xfId="45333" xr:uid="{00000000-0005-0000-0000-000001A30000}"/>
    <cellStyle name="표준 5 4 3 2 2 2 2 2 4" xfId="12335" xr:uid="{00000000-0005-0000-0000-000002A30000}"/>
    <cellStyle name="표준 5 4 3 2 2 2 2 2 5" xfId="16575" xr:uid="{00000000-0005-0000-0000-000003A30000}"/>
    <cellStyle name="표준 5 4 3 2 2 2 2 2 6" xfId="20737" xr:uid="{00000000-0005-0000-0000-000004A30000}"/>
    <cellStyle name="표준 5 4 3 2 2 2 2 2 7" xfId="24833" xr:uid="{00000000-0005-0000-0000-000005A30000}"/>
    <cellStyle name="표준 5 4 3 2 2 2 2 2 8" xfId="33044" xr:uid="{00000000-0005-0000-0000-000006A30000}"/>
    <cellStyle name="표준 5 4 3 2 2 2 2 2 9" xfId="41237" xr:uid="{00000000-0005-0000-0000-000007A30000}"/>
    <cellStyle name="표준 5 4 3 2 2 2 2 3" xfId="1880" xr:uid="{00000000-0005-0000-0000-000008A30000}"/>
    <cellStyle name="표준 5 4 3 2 2 2 2 3 2" xfId="10783" xr:uid="{00000000-0005-0000-0000-000009A30000}"/>
    <cellStyle name="표준 5 4 3 2 2 2 2 3 2 2" xfId="14895" xr:uid="{00000000-0005-0000-0000-00000AA30000}"/>
    <cellStyle name="표준 5 4 3 2 2 2 2 3 2 2 2" xfId="31489" xr:uid="{00000000-0005-0000-0000-00000BA30000}"/>
    <cellStyle name="표준 5 4 3 2 2 2 2 3 2 2 3" xfId="39700" xr:uid="{00000000-0005-0000-0000-00000CA30000}"/>
    <cellStyle name="표준 5 4 3 2 2 2 2 3 2 2 4" xfId="47893" xr:uid="{00000000-0005-0000-0000-00000DA30000}"/>
    <cellStyle name="표준 5 4 3 2 2 2 2 3 2 3" xfId="19135" xr:uid="{00000000-0005-0000-0000-00000EA30000}"/>
    <cellStyle name="표준 5 4 3 2 2 2 2 3 2 4" xfId="23297" xr:uid="{00000000-0005-0000-0000-00000FA30000}"/>
    <cellStyle name="표준 5 4 3 2 2 2 2 3 2 5" xfId="27393" xr:uid="{00000000-0005-0000-0000-000010A30000}"/>
    <cellStyle name="표준 5 4 3 2 2 2 2 3 2 6" xfId="35604" xr:uid="{00000000-0005-0000-0000-000011A30000}"/>
    <cellStyle name="표준 5 4 3 2 2 2 2 3 2 7" xfId="43797" xr:uid="{00000000-0005-0000-0000-000012A30000}"/>
    <cellStyle name="표준 5 4 3 2 2 2 2 3 3" xfId="8735" xr:uid="{00000000-0005-0000-0000-000013A30000}"/>
    <cellStyle name="표준 5 4 3 2 2 2 2 3 3 2" xfId="29441" xr:uid="{00000000-0005-0000-0000-000014A30000}"/>
    <cellStyle name="표준 5 4 3 2 2 2 2 3 3 3" xfId="37652" xr:uid="{00000000-0005-0000-0000-000015A30000}"/>
    <cellStyle name="표준 5 4 3 2 2 2 2 3 3 4" xfId="45845" xr:uid="{00000000-0005-0000-0000-000016A30000}"/>
    <cellStyle name="표준 5 4 3 2 2 2 2 3 4" xfId="12847" xr:uid="{00000000-0005-0000-0000-000017A30000}"/>
    <cellStyle name="표준 5 4 3 2 2 2 2 3 5" xfId="17087" xr:uid="{00000000-0005-0000-0000-000018A30000}"/>
    <cellStyle name="표준 5 4 3 2 2 2 2 3 6" xfId="21249" xr:uid="{00000000-0005-0000-0000-000019A30000}"/>
    <cellStyle name="표준 5 4 3 2 2 2 2 3 7" xfId="25345" xr:uid="{00000000-0005-0000-0000-00001AA30000}"/>
    <cellStyle name="표준 5 4 3 2 2 2 2 3 8" xfId="33556" xr:uid="{00000000-0005-0000-0000-00001BA30000}"/>
    <cellStyle name="표준 5 4 3 2 2 2 2 3 9" xfId="41749" xr:uid="{00000000-0005-0000-0000-00001CA30000}"/>
    <cellStyle name="표준 5 4 3 2 2 2 2 4" xfId="2392" xr:uid="{00000000-0005-0000-0000-00001DA30000}"/>
    <cellStyle name="표준 5 4 3 2 2 2 2 4 2" xfId="11295" xr:uid="{00000000-0005-0000-0000-00001EA30000}"/>
    <cellStyle name="표준 5 4 3 2 2 2 2 4 2 2" xfId="15407" xr:uid="{00000000-0005-0000-0000-00001FA30000}"/>
    <cellStyle name="표준 5 4 3 2 2 2 2 4 2 2 2" xfId="32001" xr:uid="{00000000-0005-0000-0000-000020A30000}"/>
    <cellStyle name="표준 5 4 3 2 2 2 2 4 2 2 3" xfId="40212" xr:uid="{00000000-0005-0000-0000-000021A30000}"/>
    <cellStyle name="표준 5 4 3 2 2 2 2 4 2 2 4" xfId="48405" xr:uid="{00000000-0005-0000-0000-000022A30000}"/>
    <cellStyle name="표준 5 4 3 2 2 2 2 4 2 3" xfId="19647" xr:uid="{00000000-0005-0000-0000-000023A30000}"/>
    <cellStyle name="표준 5 4 3 2 2 2 2 4 2 4" xfId="23809" xr:uid="{00000000-0005-0000-0000-000024A30000}"/>
    <cellStyle name="표준 5 4 3 2 2 2 2 4 2 5" xfId="27905" xr:uid="{00000000-0005-0000-0000-000025A30000}"/>
    <cellStyle name="표준 5 4 3 2 2 2 2 4 2 6" xfId="36116" xr:uid="{00000000-0005-0000-0000-000026A30000}"/>
    <cellStyle name="표준 5 4 3 2 2 2 2 4 2 7" xfId="44309" xr:uid="{00000000-0005-0000-0000-000027A30000}"/>
    <cellStyle name="표준 5 4 3 2 2 2 2 4 3" xfId="9247" xr:uid="{00000000-0005-0000-0000-000028A30000}"/>
    <cellStyle name="표준 5 4 3 2 2 2 2 4 3 2" xfId="29953" xr:uid="{00000000-0005-0000-0000-000029A30000}"/>
    <cellStyle name="표준 5 4 3 2 2 2 2 4 3 3" xfId="38164" xr:uid="{00000000-0005-0000-0000-00002AA30000}"/>
    <cellStyle name="표준 5 4 3 2 2 2 2 4 3 4" xfId="46357" xr:uid="{00000000-0005-0000-0000-00002BA30000}"/>
    <cellStyle name="표준 5 4 3 2 2 2 2 4 4" xfId="13359" xr:uid="{00000000-0005-0000-0000-00002CA30000}"/>
    <cellStyle name="표준 5 4 3 2 2 2 2 4 5" xfId="17599" xr:uid="{00000000-0005-0000-0000-00002DA30000}"/>
    <cellStyle name="표준 5 4 3 2 2 2 2 4 6" xfId="21761" xr:uid="{00000000-0005-0000-0000-00002EA30000}"/>
    <cellStyle name="표준 5 4 3 2 2 2 2 4 7" xfId="25857" xr:uid="{00000000-0005-0000-0000-00002FA30000}"/>
    <cellStyle name="표준 5 4 3 2 2 2 2 4 8" xfId="34068" xr:uid="{00000000-0005-0000-0000-000030A30000}"/>
    <cellStyle name="표준 5 4 3 2 2 2 2 4 9" xfId="42261" xr:uid="{00000000-0005-0000-0000-000031A30000}"/>
    <cellStyle name="표준 5 4 3 2 2 2 2 5" xfId="9759" xr:uid="{00000000-0005-0000-0000-000032A30000}"/>
    <cellStyle name="표준 5 4 3 2 2 2 2 5 2" xfId="13871" xr:uid="{00000000-0005-0000-0000-000033A30000}"/>
    <cellStyle name="표준 5 4 3 2 2 2 2 5 2 2" xfId="30465" xr:uid="{00000000-0005-0000-0000-000034A30000}"/>
    <cellStyle name="표준 5 4 3 2 2 2 2 5 2 3" xfId="38676" xr:uid="{00000000-0005-0000-0000-000035A30000}"/>
    <cellStyle name="표준 5 4 3 2 2 2 2 5 2 4" xfId="46869" xr:uid="{00000000-0005-0000-0000-000036A30000}"/>
    <cellStyle name="표준 5 4 3 2 2 2 2 5 3" xfId="18111" xr:uid="{00000000-0005-0000-0000-000037A30000}"/>
    <cellStyle name="표준 5 4 3 2 2 2 2 5 4" xfId="22273" xr:uid="{00000000-0005-0000-0000-000038A30000}"/>
    <cellStyle name="표준 5 4 3 2 2 2 2 5 5" xfId="26369" xr:uid="{00000000-0005-0000-0000-000039A30000}"/>
    <cellStyle name="표준 5 4 3 2 2 2 2 5 6" xfId="34580" xr:uid="{00000000-0005-0000-0000-00003AA30000}"/>
    <cellStyle name="표준 5 4 3 2 2 2 2 5 7" xfId="42773" xr:uid="{00000000-0005-0000-0000-00003BA30000}"/>
    <cellStyle name="표준 5 4 3 2 2 2 2 6" xfId="7711" xr:uid="{00000000-0005-0000-0000-00003CA30000}"/>
    <cellStyle name="표준 5 4 3 2 2 2 2 6 2" xfId="28417" xr:uid="{00000000-0005-0000-0000-00003DA30000}"/>
    <cellStyle name="표준 5 4 3 2 2 2 2 6 3" xfId="36628" xr:uid="{00000000-0005-0000-0000-00003EA30000}"/>
    <cellStyle name="표준 5 4 3 2 2 2 2 6 4" xfId="44821" xr:uid="{00000000-0005-0000-0000-00003FA30000}"/>
    <cellStyle name="표준 5 4 3 2 2 2 2 7" xfId="11823" xr:uid="{00000000-0005-0000-0000-000040A30000}"/>
    <cellStyle name="표준 5 4 3 2 2 2 2 8" xfId="16063" xr:uid="{00000000-0005-0000-0000-000041A30000}"/>
    <cellStyle name="표준 5 4 3 2 2 2 2 9" xfId="20225" xr:uid="{00000000-0005-0000-0000-000042A30000}"/>
    <cellStyle name="표준 5 4 3 2 2 2 3" xfId="1112" xr:uid="{00000000-0005-0000-0000-000043A30000}"/>
    <cellStyle name="표준 5 4 3 2 2 2 3 2" xfId="10015" xr:uid="{00000000-0005-0000-0000-000044A30000}"/>
    <cellStyle name="표준 5 4 3 2 2 2 3 2 2" xfId="14127" xr:uid="{00000000-0005-0000-0000-000045A30000}"/>
    <cellStyle name="표준 5 4 3 2 2 2 3 2 2 2" xfId="30721" xr:uid="{00000000-0005-0000-0000-000046A30000}"/>
    <cellStyle name="표준 5 4 3 2 2 2 3 2 2 3" xfId="38932" xr:uid="{00000000-0005-0000-0000-000047A30000}"/>
    <cellStyle name="표준 5 4 3 2 2 2 3 2 2 4" xfId="47125" xr:uid="{00000000-0005-0000-0000-000048A30000}"/>
    <cellStyle name="표준 5 4 3 2 2 2 3 2 3" xfId="18367" xr:uid="{00000000-0005-0000-0000-000049A30000}"/>
    <cellStyle name="표준 5 4 3 2 2 2 3 2 4" xfId="22529" xr:uid="{00000000-0005-0000-0000-00004AA30000}"/>
    <cellStyle name="표준 5 4 3 2 2 2 3 2 5" xfId="26625" xr:uid="{00000000-0005-0000-0000-00004BA30000}"/>
    <cellStyle name="표준 5 4 3 2 2 2 3 2 6" xfId="34836" xr:uid="{00000000-0005-0000-0000-00004CA30000}"/>
    <cellStyle name="표준 5 4 3 2 2 2 3 2 7" xfId="43029" xr:uid="{00000000-0005-0000-0000-00004DA30000}"/>
    <cellStyle name="표준 5 4 3 2 2 2 3 3" xfId="7967" xr:uid="{00000000-0005-0000-0000-00004EA30000}"/>
    <cellStyle name="표준 5 4 3 2 2 2 3 3 2" xfId="28673" xr:uid="{00000000-0005-0000-0000-00004FA30000}"/>
    <cellStyle name="표준 5 4 3 2 2 2 3 3 3" xfId="36884" xr:uid="{00000000-0005-0000-0000-000050A30000}"/>
    <cellStyle name="표준 5 4 3 2 2 2 3 3 4" xfId="45077" xr:uid="{00000000-0005-0000-0000-000051A30000}"/>
    <cellStyle name="표준 5 4 3 2 2 2 3 4" xfId="12079" xr:uid="{00000000-0005-0000-0000-000052A30000}"/>
    <cellStyle name="표준 5 4 3 2 2 2 3 5" xfId="16319" xr:uid="{00000000-0005-0000-0000-000053A30000}"/>
    <cellStyle name="표준 5 4 3 2 2 2 3 6" xfId="20481" xr:uid="{00000000-0005-0000-0000-000054A30000}"/>
    <cellStyle name="표준 5 4 3 2 2 2 3 7" xfId="24577" xr:uid="{00000000-0005-0000-0000-000055A30000}"/>
    <cellStyle name="표준 5 4 3 2 2 2 3 8" xfId="32788" xr:uid="{00000000-0005-0000-0000-000056A30000}"/>
    <cellStyle name="표준 5 4 3 2 2 2 3 9" xfId="40981" xr:uid="{00000000-0005-0000-0000-000057A30000}"/>
    <cellStyle name="표준 5 4 3 2 2 2 4" xfId="1624" xr:uid="{00000000-0005-0000-0000-000058A30000}"/>
    <cellStyle name="표준 5 4 3 2 2 2 4 2" xfId="10527" xr:uid="{00000000-0005-0000-0000-000059A30000}"/>
    <cellStyle name="표준 5 4 3 2 2 2 4 2 2" xfId="14639" xr:uid="{00000000-0005-0000-0000-00005AA30000}"/>
    <cellStyle name="표준 5 4 3 2 2 2 4 2 2 2" xfId="31233" xr:uid="{00000000-0005-0000-0000-00005BA30000}"/>
    <cellStyle name="표준 5 4 3 2 2 2 4 2 2 3" xfId="39444" xr:uid="{00000000-0005-0000-0000-00005CA30000}"/>
    <cellStyle name="표준 5 4 3 2 2 2 4 2 2 4" xfId="47637" xr:uid="{00000000-0005-0000-0000-00005DA30000}"/>
    <cellStyle name="표준 5 4 3 2 2 2 4 2 3" xfId="18879" xr:uid="{00000000-0005-0000-0000-00005EA30000}"/>
    <cellStyle name="표준 5 4 3 2 2 2 4 2 4" xfId="23041" xr:uid="{00000000-0005-0000-0000-00005FA30000}"/>
    <cellStyle name="표준 5 4 3 2 2 2 4 2 5" xfId="27137" xr:uid="{00000000-0005-0000-0000-000060A30000}"/>
    <cellStyle name="표준 5 4 3 2 2 2 4 2 6" xfId="35348" xr:uid="{00000000-0005-0000-0000-000061A30000}"/>
    <cellStyle name="표준 5 4 3 2 2 2 4 2 7" xfId="43541" xr:uid="{00000000-0005-0000-0000-000062A30000}"/>
    <cellStyle name="표준 5 4 3 2 2 2 4 3" xfId="8479" xr:uid="{00000000-0005-0000-0000-000063A30000}"/>
    <cellStyle name="표준 5 4 3 2 2 2 4 3 2" xfId="29185" xr:uid="{00000000-0005-0000-0000-000064A30000}"/>
    <cellStyle name="표준 5 4 3 2 2 2 4 3 3" xfId="37396" xr:uid="{00000000-0005-0000-0000-000065A30000}"/>
    <cellStyle name="표준 5 4 3 2 2 2 4 3 4" xfId="45589" xr:uid="{00000000-0005-0000-0000-000066A30000}"/>
    <cellStyle name="표준 5 4 3 2 2 2 4 4" xfId="12591" xr:uid="{00000000-0005-0000-0000-000067A30000}"/>
    <cellStyle name="표준 5 4 3 2 2 2 4 5" xfId="16831" xr:uid="{00000000-0005-0000-0000-000068A30000}"/>
    <cellStyle name="표준 5 4 3 2 2 2 4 6" xfId="20993" xr:uid="{00000000-0005-0000-0000-000069A30000}"/>
    <cellStyle name="표준 5 4 3 2 2 2 4 7" xfId="25089" xr:uid="{00000000-0005-0000-0000-00006AA30000}"/>
    <cellStyle name="표준 5 4 3 2 2 2 4 8" xfId="33300" xr:uid="{00000000-0005-0000-0000-00006BA30000}"/>
    <cellStyle name="표준 5 4 3 2 2 2 4 9" xfId="41493" xr:uid="{00000000-0005-0000-0000-00006CA30000}"/>
    <cellStyle name="표준 5 4 3 2 2 2 5" xfId="2136" xr:uid="{00000000-0005-0000-0000-00006DA30000}"/>
    <cellStyle name="표준 5 4 3 2 2 2 5 2" xfId="11039" xr:uid="{00000000-0005-0000-0000-00006EA30000}"/>
    <cellStyle name="표준 5 4 3 2 2 2 5 2 2" xfId="15151" xr:uid="{00000000-0005-0000-0000-00006FA30000}"/>
    <cellStyle name="표준 5 4 3 2 2 2 5 2 2 2" xfId="31745" xr:uid="{00000000-0005-0000-0000-000070A30000}"/>
    <cellStyle name="표준 5 4 3 2 2 2 5 2 2 3" xfId="39956" xr:uid="{00000000-0005-0000-0000-000071A30000}"/>
    <cellStyle name="표준 5 4 3 2 2 2 5 2 2 4" xfId="48149" xr:uid="{00000000-0005-0000-0000-000072A30000}"/>
    <cellStyle name="표준 5 4 3 2 2 2 5 2 3" xfId="19391" xr:uid="{00000000-0005-0000-0000-000073A30000}"/>
    <cellStyle name="표준 5 4 3 2 2 2 5 2 4" xfId="23553" xr:uid="{00000000-0005-0000-0000-000074A30000}"/>
    <cellStyle name="표준 5 4 3 2 2 2 5 2 5" xfId="27649" xr:uid="{00000000-0005-0000-0000-000075A30000}"/>
    <cellStyle name="표준 5 4 3 2 2 2 5 2 6" xfId="35860" xr:uid="{00000000-0005-0000-0000-000076A30000}"/>
    <cellStyle name="표준 5 4 3 2 2 2 5 2 7" xfId="44053" xr:uid="{00000000-0005-0000-0000-000077A30000}"/>
    <cellStyle name="표준 5 4 3 2 2 2 5 3" xfId="8991" xr:uid="{00000000-0005-0000-0000-000078A30000}"/>
    <cellStyle name="표준 5 4 3 2 2 2 5 3 2" xfId="29697" xr:uid="{00000000-0005-0000-0000-000079A30000}"/>
    <cellStyle name="표준 5 4 3 2 2 2 5 3 3" xfId="37908" xr:uid="{00000000-0005-0000-0000-00007AA30000}"/>
    <cellStyle name="표준 5 4 3 2 2 2 5 3 4" xfId="46101" xr:uid="{00000000-0005-0000-0000-00007BA30000}"/>
    <cellStyle name="표준 5 4 3 2 2 2 5 4" xfId="13103" xr:uid="{00000000-0005-0000-0000-00007CA30000}"/>
    <cellStyle name="표준 5 4 3 2 2 2 5 5" xfId="17343" xr:uid="{00000000-0005-0000-0000-00007DA30000}"/>
    <cellStyle name="표준 5 4 3 2 2 2 5 6" xfId="21505" xr:uid="{00000000-0005-0000-0000-00007EA30000}"/>
    <cellStyle name="표준 5 4 3 2 2 2 5 7" xfId="25601" xr:uid="{00000000-0005-0000-0000-00007FA30000}"/>
    <cellStyle name="표준 5 4 3 2 2 2 5 8" xfId="33812" xr:uid="{00000000-0005-0000-0000-000080A30000}"/>
    <cellStyle name="표준 5 4 3 2 2 2 5 9" xfId="42005" xr:uid="{00000000-0005-0000-0000-000081A30000}"/>
    <cellStyle name="표준 5 4 3 2 2 2 6" xfId="9503" xr:uid="{00000000-0005-0000-0000-000082A30000}"/>
    <cellStyle name="표준 5 4 3 2 2 2 6 2" xfId="13615" xr:uid="{00000000-0005-0000-0000-000083A30000}"/>
    <cellStyle name="표준 5 4 3 2 2 2 6 2 2" xfId="30209" xr:uid="{00000000-0005-0000-0000-000084A30000}"/>
    <cellStyle name="표준 5 4 3 2 2 2 6 2 3" xfId="38420" xr:uid="{00000000-0005-0000-0000-000085A30000}"/>
    <cellStyle name="표준 5 4 3 2 2 2 6 2 4" xfId="46613" xr:uid="{00000000-0005-0000-0000-000086A30000}"/>
    <cellStyle name="표준 5 4 3 2 2 2 6 3" xfId="17855" xr:uid="{00000000-0005-0000-0000-000087A30000}"/>
    <cellStyle name="표준 5 4 3 2 2 2 6 4" xfId="22017" xr:uid="{00000000-0005-0000-0000-000088A30000}"/>
    <cellStyle name="표준 5 4 3 2 2 2 6 5" xfId="26113" xr:uid="{00000000-0005-0000-0000-000089A30000}"/>
    <cellStyle name="표준 5 4 3 2 2 2 6 6" xfId="34324" xr:uid="{00000000-0005-0000-0000-00008AA30000}"/>
    <cellStyle name="표준 5 4 3 2 2 2 6 7" xfId="42517" xr:uid="{00000000-0005-0000-0000-00008BA30000}"/>
    <cellStyle name="표준 5 4 3 2 2 2 7" xfId="7455" xr:uid="{00000000-0005-0000-0000-00008CA30000}"/>
    <cellStyle name="표준 5 4 3 2 2 2 7 2" xfId="28161" xr:uid="{00000000-0005-0000-0000-00008DA30000}"/>
    <cellStyle name="표준 5 4 3 2 2 2 7 3" xfId="36372" xr:uid="{00000000-0005-0000-0000-00008EA30000}"/>
    <cellStyle name="표준 5 4 3 2 2 2 7 4" xfId="44565" xr:uid="{00000000-0005-0000-0000-00008FA30000}"/>
    <cellStyle name="표준 5 4 3 2 2 2 8" xfId="11567" xr:uid="{00000000-0005-0000-0000-000090A30000}"/>
    <cellStyle name="표준 5 4 3 2 2 2 9" xfId="15807" xr:uid="{00000000-0005-0000-0000-000091A30000}"/>
    <cellStyle name="표준 5 4 3 2 2 3" xfId="728" xr:uid="{00000000-0005-0000-0000-000092A30000}"/>
    <cellStyle name="표준 5 4 3 2 2 3 10" xfId="24193" xr:uid="{00000000-0005-0000-0000-000093A30000}"/>
    <cellStyle name="표준 5 4 3 2 2 3 11" xfId="32404" xr:uid="{00000000-0005-0000-0000-000094A30000}"/>
    <cellStyle name="표준 5 4 3 2 2 3 12" xfId="40597" xr:uid="{00000000-0005-0000-0000-000095A30000}"/>
    <cellStyle name="표준 5 4 3 2 2 3 2" xfId="1240" xr:uid="{00000000-0005-0000-0000-000096A30000}"/>
    <cellStyle name="표준 5 4 3 2 2 3 2 2" xfId="10143" xr:uid="{00000000-0005-0000-0000-000097A30000}"/>
    <cellStyle name="표준 5 4 3 2 2 3 2 2 2" xfId="14255" xr:uid="{00000000-0005-0000-0000-000098A30000}"/>
    <cellStyle name="표준 5 4 3 2 2 3 2 2 2 2" xfId="30849" xr:uid="{00000000-0005-0000-0000-000099A30000}"/>
    <cellStyle name="표준 5 4 3 2 2 3 2 2 2 3" xfId="39060" xr:uid="{00000000-0005-0000-0000-00009AA30000}"/>
    <cellStyle name="표준 5 4 3 2 2 3 2 2 2 4" xfId="47253" xr:uid="{00000000-0005-0000-0000-00009BA30000}"/>
    <cellStyle name="표준 5 4 3 2 2 3 2 2 3" xfId="18495" xr:uid="{00000000-0005-0000-0000-00009CA30000}"/>
    <cellStyle name="표준 5 4 3 2 2 3 2 2 4" xfId="22657" xr:uid="{00000000-0005-0000-0000-00009DA30000}"/>
    <cellStyle name="표준 5 4 3 2 2 3 2 2 5" xfId="26753" xr:uid="{00000000-0005-0000-0000-00009EA30000}"/>
    <cellStyle name="표준 5 4 3 2 2 3 2 2 6" xfId="34964" xr:uid="{00000000-0005-0000-0000-00009FA30000}"/>
    <cellStyle name="표준 5 4 3 2 2 3 2 2 7" xfId="43157" xr:uid="{00000000-0005-0000-0000-0000A0A30000}"/>
    <cellStyle name="표준 5 4 3 2 2 3 2 3" xfId="8095" xr:uid="{00000000-0005-0000-0000-0000A1A30000}"/>
    <cellStyle name="표준 5 4 3 2 2 3 2 3 2" xfId="28801" xr:uid="{00000000-0005-0000-0000-0000A2A30000}"/>
    <cellStyle name="표준 5 4 3 2 2 3 2 3 3" xfId="37012" xr:uid="{00000000-0005-0000-0000-0000A3A30000}"/>
    <cellStyle name="표준 5 4 3 2 2 3 2 3 4" xfId="45205" xr:uid="{00000000-0005-0000-0000-0000A4A30000}"/>
    <cellStyle name="표준 5 4 3 2 2 3 2 4" xfId="12207" xr:uid="{00000000-0005-0000-0000-0000A5A30000}"/>
    <cellStyle name="표준 5 4 3 2 2 3 2 5" xfId="16447" xr:uid="{00000000-0005-0000-0000-0000A6A30000}"/>
    <cellStyle name="표준 5 4 3 2 2 3 2 6" xfId="20609" xr:uid="{00000000-0005-0000-0000-0000A7A30000}"/>
    <cellStyle name="표준 5 4 3 2 2 3 2 7" xfId="24705" xr:uid="{00000000-0005-0000-0000-0000A8A30000}"/>
    <cellStyle name="표준 5 4 3 2 2 3 2 8" xfId="32916" xr:uid="{00000000-0005-0000-0000-0000A9A30000}"/>
    <cellStyle name="표준 5 4 3 2 2 3 2 9" xfId="41109" xr:uid="{00000000-0005-0000-0000-0000AAA30000}"/>
    <cellStyle name="표준 5 4 3 2 2 3 3" xfId="1752" xr:uid="{00000000-0005-0000-0000-0000ABA30000}"/>
    <cellStyle name="표준 5 4 3 2 2 3 3 2" xfId="10655" xr:uid="{00000000-0005-0000-0000-0000ACA30000}"/>
    <cellStyle name="표준 5 4 3 2 2 3 3 2 2" xfId="14767" xr:uid="{00000000-0005-0000-0000-0000ADA30000}"/>
    <cellStyle name="표준 5 4 3 2 2 3 3 2 2 2" xfId="31361" xr:uid="{00000000-0005-0000-0000-0000AEA30000}"/>
    <cellStyle name="표준 5 4 3 2 2 3 3 2 2 3" xfId="39572" xr:uid="{00000000-0005-0000-0000-0000AFA30000}"/>
    <cellStyle name="표준 5 4 3 2 2 3 3 2 2 4" xfId="47765" xr:uid="{00000000-0005-0000-0000-0000B0A30000}"/>
    <cellStyle name="표준 5 4 3 2 2 3 3 2 3" xfId="19007" xr:uid="{00000000-0005-0000-0000-0000B1A30000}"/>
    <cellStyle name="표준 5 4 3 2 2 3 3 2 4" xfId="23169" xr:uid="{00000000-0005-0000-0000-0000B2A30000}"/>
    <cellStyle name="표준 5 4 3 2 2 3 3 2 5" xfId="27265" xr:uid="{00000000-0005-0000-0000-0000B3A30000}"/>
    <cellStyle name="표준 5 4 3 2 2 3 3 2 6" xfId="35476" xr:uid="{00000000-0005-0000-0000-0000B4A30000}"/>
    <cellStyle name="표준 5 4 3 2 2 3 3 2 7" xfId="43669" xr:uid="{00000000-0005-0000-0000-0000B5A30000}"/>
    <cellStyle name="표준 5 4 3 2 2 3 3 3" xfId="8607" xr:uid="{00000000-0005-0000-0000-0000B6A30000}"/>
    <cellStyle name="표준 5 4 3 2 2 3 3 3 2" xfId="29313" xr:uid="{00000000-0005-0000-0000-0000B7A30000}"/>
    <cellStyle name="표준 5 4 3 2 2 3 3 3 3" xfId="37524" xr:uid="{00000000-0005-0000-0000-0000B8A30000}"/>
    <cellStyle name="표준 5 4 3 2 2 3 3 3 4" xfId="45717" xr:uid="{00000000-0005-0000-0000-0000B9A30000}"/>
    <cellStyle name="표준 5 4 3 2 2 3 3 4" xfId="12719" xr:uid="{00000000-0005-0000-0000-0000BAA30000}"/>
    <cellStyle name="표준 5 4 3 2 2 3 3 5" xfId="16959" xr:uid="{00000000-0005-0000-0000-0000BBA30000}"/>
    <cellStyle name="표준 5 4 3 2 2 3 3 6" xfId="21121" xr:uid="{00000000-0005-0000-0000-0000BCA30000}"/>
    <cellStyle name="표준 5 4 3 2 2 3 3 7" xfId="25217" xr:uid="{00000000-0005-0000-0000-0000BDA30000}"/>
    <cellStyle name="표준 5 4 3 2 2 3 3 8" xfId="33428" xr:uid="{00000000-0005-0000-0000-0000BEA30000}"/>
    <cellStyle name="표준 5 4 3 2 2 3 3 9" xfId="41621" xr:uid="{00000000-0005-0000-0000-0000BFA30000}"/>
    <cellStyle name="표준 5 4 3 2 2 3 4" xfId="2264" xr:uid="{00000000-0005-0000-0000-0000C0A30000}"/>
    <cellStyle name="표준 5 4 3 2 2 3 4 2" xfId="11167" xr:uid="{00000000-0005-0000-0000-0000C1A30000}"/>
    <cellStyle name="표준 5 4 3 2 2 3 4 2 2" xfId="15279" xr:uid="{00000000-0005-0000-0000-0000C2A30000}"/>
    <cellStyle name="표준 5 4 3 2 2 3 4 2 2 2" xfId="31873" xr:uid="{00000000-0005-0000-0000-0000C3A30000}"/>
    <cellStyle name="표준 5 4 3 2 2 3 4 2 2 3" xfId="40084" xr:uid="{00000000-0005-0000-0000-0000C4A30000}"/>
    <cellStyle name="표준 5 4 3 2 2 3 4 2 2 4" xfId="48277" xr:uid="{00000000-0005-0000-0000-0000C5A30000}"/>
    <cellStyle name="표준 5 4 3 2 2 3 4 2 3" xfId="19519" xr:uid="{00000000-0005-0000-0000-0000C6A30000}"/>
    <cellStyle name="표준 5 4 3 2 2 3 4 2 4" xfId="23681" xr:uid="{00000000-0005-0000-0000-0000C7A30000}"/>
    <cellStyle name="표준 5 4 3 2 2 3 4 2 5" xfId="27777" xr:uid="{00000000-0005-0000-0000-0000C8A30000}"/>
    <cellStyle name="표준 5 4 3 2 2 3 4 2 6" xfId="35988" xr:uid="{00000000-0005-0000-0000-0000C9A30000}"/>
    <cellStyle name="표준 5 4 3 2 2 3 4 2 7" xfId="44181" xr:uid="{00000000-0005-0000-0000-0000CAA30000}"/>
    <cellStyle name="표준 5 4 3 2 2 3 4 3" xfId="9119" xr:uid="{00000000-0005-0000-0000-0000CBA30000}"/>
    <cellStyle name="표준 5 4 3 2 2 3 4 3 2" xfId="29825" xr:uid="{00000000-0005-0000-0000-0000CCA30000}"/>
    <cellStyle name="표준 5 4 3 2 2 3 4 3 3" xfId="38036" xr:uid="{00000000-0005-0000-0000-0000CDA30000}"/>
    <cellStyle name="표준 5 4 3 2 2 3 4 3 4" xfId="46229" xr:uid="{00000000-0005-0000-0000-0000CEA30000}"/>
    <cellStyle name="표준 5 4 3 2 2 3 4 4" xfId="13231" xr:uid="{00000000-0005-0000-0000-0000CFA30000}"/>
    <cellStyle name="표준 5 4 3 2 2 3 4 5" xfId="17471" xr:uid="{00000000-0005-0000-0000-0000D0A30000}"/>
    <cellStyle name="표준 5 4 3 2 2 3 4 6" xfId="21633" xr:uid="{00000000-0005-0000-0000-0000D1A30000}"/>
    <cellStyle name="표준 5 4 3 2 2 3 4 7" xfId="25729" xr:uid="{00000000-0005-0000-0000-0000D2A30000}"/>
    <cellStyle name="표준 5 4 3 2 2 3 4 8" xfId="33940" xr:uid="{00000000-0005-0000-0000-0000D3A30000}"/>
    <cellStyle name="표준 5 4 3 2 2 3 4 9" xfId="42133" xr:uid="{00000000-0005-0000-0000-0000D4A30000}"/>
    <cellStyle name="표준 5 4 3 2 2 3 5" xfId="9631" xr:uid="{00000000-0005-0000-0000-0000D5A30000}"/>
    <cellStyle name="표준 5 4 3 2 2 3 5 2" xfId="13743" xr:uid="{00000000-0005-0000-0000-0000D6A30000}"/>
    <cellStyle name="표준 5 4 3 2 2 3 5 2 2" xfId="30337" xr:uid="{00000000-0005-0000-0000-0000D7A30000}"/>
    <cellStyle name="표준 5 4 3 2 2 3 5 2 3" xfId="38548" xr:uid="{00000000-0005-0000-0000-0000D8A30000}"/>
    <cellStyle name="표준 5 4 3 2 2 3 5 2 4" xfId="46741" xr:uid="{00000000-0005-0000-0000-0000D9A30000}"/>
    <cellStyle name="표준 5 4 3 2 2 3 5 3" xfId="17983" xr:uid="{00000000-0005-0000-0000-0000DAA30000}"/>
    <cellStyle name="표준 5 4 3 2 2 3 5 4" xfId="22145" xr:uid="{00000000-0005-0000-0000-0000DBA30000}"/>
    <cellStyle name="표준 5 4 3 2 2 3 5 5" xfId="26241" xr:uid="{00000000-0005-0000-0000-0000DCA30000}"/>
    <cellStyle name="표준 5 4 3 2 2 3 5 6" xfId="34452" xr:uid="{00000000-0005-0000-0000-0000DDA30000}"/>
    <cellStyle name="표준 5 4 3 2 2 3 5 7" xfId="42645" xr:uid="{00000000-0005-0000-0000-0000DEA30000}"/>
    <cellStyle name="표준 5 4 3 2 2 3 6" xfId="7583" xr:uid="{00000000-0005-0000-0000-0000DFA30000}"/>
    <cellStyle name="표준 5 4 3 2 2 3 6 2" xfId="28289" xr:uid="{00000000-0005-0000-0000-0000E0A30000}"/>
    <cellStyle name="표준 5 4 3 2 2 3 6 3" xfId="36500" xr:uid="{00000000-0005-0000-0000-0000E1A30000}"/>
    <cellStyle name="표준 5 4 3 2 2 3 6 4" xfId="44693" xr:uid="{00000000-0005-0000-0000-0000E2A30000}"/>
    <cellStyle name="표준 5 4 3 2 2 3 7" xfId="11695" xr:uid="{00000000-0005-0000-0000-0000E3A30000}"/>
    <cellStyle name="표준 5 4 3 2 2 3 8" xfId="15935" xr:uid="{00000000-0005-0000-0000-0000E4A30000}"/>
    <cellStyle name="표준 5 4 3 2 2 3 9" xfId="20097" xr:uid="{00000000-0005-0000-0000-0000E5A30000}"/>
    <cellStyle name="표준 5 4 3 2 2 4" xfId="984" xr:uid="{00000000-0005-0000-0000-0000E6A30000}"/>
    <cellStyle name="표준 5 4 3 2 2 4 2" xfId="9887" xr:uid="{00000000-0005-0000-0000-0000E7A30000}"/>
    <cellStyle name="표준 5 4 3 2 2 4 2 2" xfId="13999" xr:uid="{00000000-0005-0000-0000-0000E8A30000}"/>
    <cellStyle name="표준 5 4 3 2 2 4 2 2 2" xfId="30593" xr:uid="{00000000-0005-0000-0000-0000E9A30000}"/>
    <cellStyle name="표준 5 4 3 2 2 4 2 2 3" xfId="38804" xr:uid="{00000000-0005-0000-0000-0000EAA30000}"/>
    <cellStyle name="표준 5 4 3 2 2 4 2 2 4" xfId="46997" xr:uid="{00000000-0005-0000-0000-0000EBA30000}"/>
    <cellStyle name="표준 5 4 3 2 2 4 2 3" xfId="18239" xr:uid="{00000000-0005-0000-0000-0000ECA30000}"/>
    <cellStyle name="표준 5 4 3 2 2 4 2 4" xfId="22401" xr:uid="{00000000-0005-0000-0000-0000EDA30000}"/>
    <cellStyle name="표준 5 4 3 2 2 4 2 5" xfId="26497" xr:uid="{00000000-0005-0000-0000-0000EEA30000}"/>
    <cellStyle name="표준 5 4 3 2 2 4 2 6" xfId="34708" xr:uid="{00000000-0005-0000-0000-0000EFA30000}"/>
    <cellStyle name="표준 5 4 3 2 2 4 2 7" xfId="42901" xr:uid="{00000000-0005-0000-0000-0000F0A30000}"/>
    <cellStyle name="표준 5 4 3 2 2 4 3" xfId="7839" xr:uid="{00000000-0005-0000-0000-0000F1A30000}"/>
    <cellStyle name="표준 5 4 3 2 2 4 3 2" xfId="28545" xr:uid="{00000000-0005-0000-0000-0000F2A30000}"/>
    <cellStyle name="표준 5 4 3 2 2 4 3 3" xfId="36756" xr:uid="{00000000-0005-0000-0000-0000F3A30000}"/>
    <cellStyle name="표준 5 4 3 2 2 4 3 4" xfId="44949" xr:uid="{00000000-0005-0000-0000-0000F4A30000}"/>
    <cellStyle name="표준 5 4 3 2 2 4 4" xfId="11951" xr:uid="{00000000-0005-0000-0000-0000F5A30000}"/>
    <cellStyle name="표준 5 4 3 2 2 4 5" xfId="16191" xr:uid="{00000000-0005-0000-0000-0000F6A30000}"/>
    <cellStyle name="표준 5 4 3 2 2 4 6" xfId="20353" xr:uid="{00000000-0005-0000-0000-0000F7A30000}"/>
    <cellStyle name="표준 5 4 3 2 2 4 7" xfId="24449" xr:uid="{00000000-0005-0000-0000-0000F8A30000}"/>
    <cellStyle name="표준 5 4 3 2 2 4 8" xfId="32660" xr:uid="{00000000-0005-0000-0000-0000F9A30000}"/>
    <cellStyle name="표준 5 4 3 2 2 4 9" xfId="40853" xr:uid="{00000000-0005-0000-0000-0000FAA30000}"/>
    <cellStyle name="표준 5 4 3 2 2 5" xfId="1496" xr:uid="{00000000-0005-0000-0000-0000FBA30000}"/>
    <cellStyle name="표준 5 4 3 2 2 5 2" xfId="10399" xr:uid="{00000000-0005-0000-0000-0000FCA30000}"/>
    <cellStyle name="표준 5 4 3 2 2 5 2 2" xfId="14511" xr:uid="{00000000-0005-0000-0000-0000FDA30000}"/>
    <cellStyle name="표준 5 4 3 2 2 5 2 2 2" xfId="31105" xr:uid="{00000000-0005-0000-0000-0000FEA30000}"/>
    <cellStyle name="표준 5 4 3 2 2 5 2 2 3" xfId="39316" xr:uid="{00000000-0005-0000-0000-0000FFA30000}"/>
    <cellStyle name="표준 5 4 3 2 2 5 2 2 4" xfId="47509" xr:uid="{00000000-0005-0000-0000-000000A40000}"/>
    <cellStyle name="표준 5 4 3 2 2 5 2 3" xfId="18751" xr:uid="{00000000-0005-0000-0000-000001A40000}"/>
    <cellStyle name="표준 5 4 3 2 2 5 2 4" xfId="22913" xr:uid="{00000000-0005-0000-0000-000002A40000}"/>
    <cellStyle name="표준 5 4 3 2 2 5 2 5" xfId="27009" xr:uid="{00000000-0005-0000-0000-000003A40000}"/>
    <cellStyle name="표준 5 4 3 2 2 5 2 6" xfId="35220" xr:uid="{00000000-0005-0000-0000-000004A40000}"/>
    <cellStyle name="표준 5 4 3 2 2 5 2 7" xfId="43413" xr:uid="{00000000-0005-0000-0000-000005A40000}"/>
    <cellStyle name="표준 5 4 3 2 2 5 3" xfId="8351" xr:uid="{00000000-0005-0000-0000-000006A40000}"/>
    <cellStyle name="표준 5 4 3 2 2 5 3 2" xfId="29057" xr:uid="{00000000-0005-0000-0000-000007A40000}"/>
    <cellStyle name="표준 5 4 3 2 2 5 3 3" xfId="37268" xr:uid="{00000000-0005-0000-0000-000008A40000}"/>
    <cellStyle name="표준 5 4 3 2 2 5 3 4" xfId="45461" xr:uid="{00000000-0005-0000-0000-000009A40000}"/>
    <cellStyle name="표준 5 4 3 2 2 5 4" xfId="12463" xr:uid="{00000000-0005-0000-0000-00000AA40000}"/>
    <cellStyle name="표준 5 4 3 2 2 5 5" xfId="16703" xr:uid="{00000000-0005-0000-0000-00000BA40000}"/>
    <cellStyle name="표준 5 4 3 2 2 5 6" xfId="20865" xr:uid="{00000000-0005-0000-0000-00000CA40000}"/>
    <cellStyle name="표준 5 4 3 2 2 5 7" xfId="24961" xr:uid="{00000000-0005-0000-0000-00000DA40000}"/>
    <cellStyle name="표준 5 4 3 2 2 5 8" xfId="33172" xr:uid="{00000000-0005-0000-0000-00000EA40000}"/>
    <cellStyle name="표준 5 4 3 2 2 5 9" xfId="41365" xr:uid="{00000000-0005-0000-0000-00000FA40000}"/>
    <cellStyle name="표준 5 4 3 2 2 6" xfId="2008" xr:uid="{00000000-0005-0000-0000-000010A40000}"/>
    <cellStyle name="표준 5 4 3 2 2 6 2" xfId="10911" xr:uid="{00000000-0005-0000-0000-000011A40000}"/>
    <cellStyle name="표준 5 4 3 2 2 6 2 2" xfId="15023" xr:uid="{00000000-0005-0000-0000-000012A40000}"/>
    <cellStyle name="표준 5 4 3 2 2 6 2 2 2" xfId="31617" xr:uid="{00000000-0005-0000-0000-000013A40000}"/>
    <cellStyle name="표준 5 4 3 2 2 6 2 2 3" xfId="39828" xr:uid="{00000000-0005-0000-0000-000014A40000}"/>
    <cellStyle name="표준 5 4 3 2 2 6 2 2 4" xfId="48021" xr:uid="{00000000-0005-0000-0000-000015A40000}"/>
    <cellStyle name="표준 5 4 3 2 2 6 2 3" xfId="19263" xr:uid="{00000000-0005-0000-0000-000016A40000}"/>
    <cellStyle name="표준 5 4 3 2 2 6 2 4" xfId="23425" xr:uid="{00000000-0005-0000-0000-000017A40000}"/>
    <cellStyle name="표준 5 4 3 2 2 6 2 5" xfId="27521" xr:uid="{00000000-0005-0000-0000-000018A40000}"/>
    <cellStyle name="표준 5 4 3 2 2 6 2 6" xfId="35732" xr:uid="{00000000-0005-0000-0000-000019A40000}"/>
    <cellStyle name="표준 5 4 3 2 2 6 2 7" xfId="43925" xr:uid="{00000000-0005-0000-0000-00001AA40000}"/>
    <cellStyle name="표준 5 4 3 2 2 6 3" xfId="8863" xr:uid="{00000000-0005-0000-0000-00001BA40000}"/>
    <cellStyle name="표준 5 4 3 2 2 6 3 2" xfId="29569" xr:uid="{00000000-0005-0000-0000-00001CA40000}"/>
    <cellStyle name="표준 5 4 3 2 2 6 3 3" xfId="37780" xr:uid="{00000000-0005-0000-0000-00001DA40000}"/>
    <cellStyle name="표준 5 4 3 2 2 6 3 4" xfId="45973" xr:uid="{00000000-0005-0000-0000-00001EA40000}"/>
    <cellStyle name="표준 5 4 3 2 2 6 4" xfId="12975" xr:uid="{00000000-0005-0000-0000-00001FA40000}"/>
    <cellStyle name="표준 5 4 3 2 2 6 5" xfId="17215" xr:uid="{00000000-0005-0000-0000-000020A40000}"/>
    <cellStyle name="표준 5 4 3 2 2 6 6" xfId="21377" xr:uid="{00000000-0005-0000-0000-000021A40000}"/>
    <cellStyle name="표준 5 4 3 2 2 6 7" xfId="25473" xr:uid="{00000000-0005-0000-0000-000022A40000}"/>
    <cellStyle name="표준 5 4 3 2 2 6 8" xfId="33684" xr:uid="{00000000-0005-0000-0000-000023A40000}"/>
    <cellStyle name="표준 5 4 3 2 2 6 9" xfId="41877" xr:uid="{00000000-0005-0000-0000-000024A40000}"/>
    <cellStyle name="표준 5 4 3 2 2 7" xfId="9375" xr:uid="{00000000-0005-0000-0000-000025A40000}"/>
    <cellStyle name="표준 5 4 3 2 2 7 2" xfId="13487" xr:uid="{00000000-0005-0000-0000-000026A40000}"/>
    <cellStyle name="표준 5 4 3 2 2 7 2 2" xfId="30081" xr:uid="{00000000-0005-0000-0000-000027A40000}"/>
    <cellStyle name="표준 5 4 3 2 2 7 2 3" xfId="38292" xr:uid="{00000000-0005-0000-0000-000028A40000}"/>
    <cellStyle name="표준 5 4 3 2 2 7 2 4" xfId="46485" xr:uid="{00000000-0005-0000-0000-000029A40000}"/>
    <cellStyle name="표준 5 4 3 2 2 7 3" xfId="17727" xr:uid="{00000000-0005-0000-0000-00002AA40000}"/>
    <cellStyle name="표준 5 4 3 2 2 7 4" xfId="21889" xr:uid="{00000000-0005-0000-0000-00002BA40000}"/>
    <cellStyle name="표준 5 4 3 2 2 7 5" xfId="25985" xr:uid="{00000000-0005-0000-0000-00002CA40000}"/>
    <cellStyle name="표준 5 4 3 2 2 7 6" xfId="34196" xr:uid="{00000000-0005-0000-0000-00002DA40000}"/>
    <cellStyle name="표준 5 4 3 2 2 7 7" xfId="42389" xr:uid="{00000000-0005-0000-0000-00002EA40000}"/>
    <cellStyle name="표준 5 4 3 2 2 8" xfId="7327" xr:uid="{00000000-0005-0000-0000-00002FA40000}"/>
    <cellStyle name="표준 5 4 3 2 2 8 2" xfId="28033" xr:uid="{00000000-0005-0000-0000-000030A40000}"/>
    <cellStyle name="표준 5 4 3 2 2 8 3" xfId="36244" xr:uid="{00000000-0005-0000-0000-000031A40000}"/>
    <cellStyle name="표준 5 4 3 2 2 8 4" xfId="44437" xr:uid="{00000000-0005-0000-0000-000032A40000}"/>
    <cellStyle name="표준 5 4 3 2 2 9" xfId="11439" xr:uid="{00000000-0005-0000-0000-000033A40000}"/>
    <cellStyle name="표준 5 4 3 2 3" xfId="536" xr:uid="{00000000-0005-0000-0000-000034A40000}"/>
    <cellStyle name="표준 5 4 3 2 3 10" xfId="19905" xr:uid="{00000000-0005-0000-0000-000035A40000}"/>
    <cellStyle name="표준 5 4 3 2 3 11" xfId="24001" xr:uid="{00000000-0005-0000-0000-000036A40000}"/>
    <cellStyle name="표준 5 4 3 2 3 12" xfId="32212" xr:uid="{00000000-0005-0000-0000-000037A40000}"/>
    <cellStyle name="표준 5 4 3 2 3 13" xfId="40405" xr:uid="{00000000-0005-0000-0000-000038A40000}"/>
    <cellStyle name="표준 5 4 3 2 3 2" xfId="792" xr:uid="{00000000-0005-0000-0000-000039A40000}"/>
    <cellStyle name="표준 5 4 3 2 3 2 10" xfId="24257" xr:uid="{00000000-0005-0000-0000-00003AA40000}"/>
    <cellStyle name="표준 5 4 3 2 3 2 11" xfId="32468" xr:uid="{00000000-0005-0000-0000-00003BA40000}"/>
    <cellStyle name="표준 5 4 3 2 3 2 12" xfId="40661" xr:uid="{00000000-0005-0000-0000-00003CA40000}"/>
    <cellStyle name="표준 5 4 3 2 3 2 2" xfId="1304" xr:uid="{00000000-0005-0000-0000-00003DA40000}"/>
    <cellStyle name="표준 5 4 3 2 3 2 2 2" xfId="10207" xr:uid="{00000000-0005-0000-0000-00003EA40000}"/>
    <cellStyle name="표준 5 4 3 2 3 2 2 2 2" xfId="14319" xr:uid="{00000000-0005-0000-0000-00003FA40000}"/>
    <cellStyle name="표준 5 4 3 2 3 2 2 2 2 2" xfId="30913" xr:uid="{00000000-0005-0000-0000-000040A40000}"/>
    <cellStyle name="표준 5 4 3 2 3 2 2 2 2 3" xfId="39124" xr:uid="{00000000-0005-0000-0000-000041A40000}"/>
    <cellStyle name="표준 5 4 3 2 3 2 2 2 2 4" xfId="47317" xr:uid="{00000000-0005-0000-0000-000042A40000}"/>
    <cellStyle name="표준 5 4 3 2 3 2 2 2 3" xfId="18559" xr:uid="{00000000-0005-0000-0000-000043A40000}"/>
    <cellStyle name="표준 5 4 3 2 3 2 2 2 4" xfId="22721" xr:uid="{00000000-0005-0000-0000-000044A40000}"/>
    <cellStyle name="표준 5 4 3 2 3 2 2 2 5" xfId="26817" xr:uid="{00000000-0005-0000-0000-000045A40000}"/>
    <cellStyle name="표준 5 4 3 2 3 2 2 2 6" xfId="35028" xr:uid="{00000000-0005-0000-0000-000046A40000}"/>
    <cellStyle name="표준 5 4 3 2 3 2 2 2 7" xfId="43221" xr:uid="{00000000-0005-0000-0000-000047A40000}"/>
    <cellStyle name="표준 5 4 3 2 3 2 2 3" xfId="8159" xr:uid="{00000000-0005-0000-0000-000048A40000}"/>
    <cellStyle name="표준 5 4 3 2 3 2 2 3 2" xfId="28865" xr:uid="{00000000-0005-0000-0000-000049A40000}"/>
    <cellStyle name="표준 5 4 3 2 3 2 2 3 3" xfId="37076" xr:uid="{00000000-0005-0000-0000-00004AA40000}"/>
    <cellStyle name="표준 5 4 3 2 3 2 2 3 4" xfId="45269" xr:uid="{00000000-0005-0000-0000-00004BA40000}"/>
    <cellStyle name="표준 5 4 3 2 3 2 2 4" xfId="12271" xr:uid="{00000000-0005-0000-0000-00004CA40000}"/>
    <cellStyle name="표준 5 4 3 2 3 2 2 5" xfId="16511" xr:uid="{00000000-0005-0000-0000-00004DA40000}"/>
    <cellStyle name="표준 5 4 3 2 3 2 2 6" xfId="20673" xr:uid="{00000000-0005-0000-0000-00004EA40000}"/>
    <cellStyle name="표준 5 4 3 2 3 2 2 7" xfId="24769" xr:uid="{00000000-0005-0000-0000-00004FA40000}"/>
    <cellStyle name="표준 5 4 3 2 3 2 2 8" xfId="32980" xr:uid="{00000000-0005-0000-0000-000050A40000}"/>
    <cellStyle name="표준 5 4 3 2 3 2 2 9" xfId="41173" xr:uid="{00000000-0005-0000-0000-000051A40000}"/>
    <cellStyle name="표준 5 4 3 2 3 2 3" xfId="1816" xr:uid="{00000000-0005-0000-0000-000052A40000}"/>
    <cellStyle name="표준 5 4 3 2 3 2 3 2" xfId="10719" xr:uid="{00000000-0005-0000-0000-000053A40000}"/>
    <cellStyle name="표준 5 4 3 2 3 2 3 2 2" xfId="14831" xr:uid="{00000000-0005-0000-0000-000054A40000}"/>
    <cellStyle name="표준 5 4 3 2 3 2 3 2 2 2" xfId="31425" xr:uid="{00000000-0005-0000-0000-000055A40000}"/>
    <cellStyle name="표준 5 4 3 2 3 2 3 2 2 3" xfId="39636" xr:uid="{00000000-0005-0000-0000-000056A40000}"/>
    <cellStyle name="표준 5 4 3 2 3 2 3 2 2 4" xfId="47829" xr:uid="{00000000-0005-0000-0000-000057A40000}"/>
    <cellStyle name="표준 5 4 3 2 3 2 3 2 3" xfId="19071" xr:uid="{00000000-0005-0000-0000-000058A40000}"/>
    <cellStyle name="표준 5 4 3 2 3 2 3 2 4" xfId="23233" xr:uid="{00000000-0005-0000-0000-000059A40000}"/>
    <cellStyle name="표준 5 4 3 2 3 2 3 2 5" xfId="27329" xr:uid="{00000000-0005-0000-0000-00005AA40000}"/>
    <cellStyle name="표준 5 4 3 2 3 2 3 2 6" xfId="35540" xr:uid="{00000000-0005-0000-0000-00005BA40000}"/>
    <cellStyle name="표준 5 4 3 2 3 2 3 2 7" xfId="43733" xr:uid="{00000000-0005-0000-0000-00005CA40000}"/>
    <cellStyle name="표준 5 4 3 2 3 2 3 3" xfId="8671" xr:uid="{00000000-0005-0000-0000-00005DA40000}"/>
    <cellStyle name="표준 5 4 3 2 3 2 3 3 2" xfId="29377" xr:uid="{00000000-0005-0000-0000-00005EA40000}"/>
    <cellStyle name="표준 5 4 3 2 3 2 3 3 3" xfId="37588" xr:uid="{00000000-0005-0000-0000-00005FA40000}"/>
    <cellStyle name="표준 5 4 3 2 3 2 3 3 4" xfId="45781" xr:uid="{00000000-0005-0000-0000-000060A40000}"/>
    <cellStyle name="표준 5 4 3 2 3 2 3 4" xfId="12783" xr:uid="{00000000-0005-0000-0000-000061A40000}"/>
    <cellStyle name="표준 5 4 3 2 3 2 3 5" xfId="17023" xr:uid="{00000000-0005-0000-0000-000062A40000}"/>
    <cellStyle name="표준 5 4 3 2 3 2 3 6" xfId="21185" xr:uid="{00000000-0005-0000-0000-000063A40000}"/>
    <cellStyle name="표준 5 4 3 2 3 2 3 7" xfId="25281" xr:uid="{00000000-0005-0000-0000-000064A40000}"/>
    <cellStyle name="표준 5 4 3 2 3 2 3 8" xfId="33492" xr:uid="{00000000-0005-0000-0000-000065A40000}"/>
    <cellStyle name="표준 5 4 3 2 3 2 3 9" xfId="41685" xr:uid="{00000000-0005-0000-0000-000066A40000}"/>
    <cellStyle name="표준 5 4 3 2 3 2 4" xfId="2328" xr:uid="{00000000-0005-0000-0000-000067A40000}"/>
    <cellStyle name="표준 5 4 3 2 3 2 4 2" xfId="11231" xr:uid="{00000000-0005-0000-0000-000068A40000}"/>
    <cellStyle name="표준 5 4 3 2 3 2 4 2 2" xfId="15343" xr:uid="{00000000-0005-0000-0000-000069A40000}"/>
    <cellStyle name="표준 5 4 3 2 3 2 4 2 2 2" xfId="31937" xr:uid="{00000000-0005-0000-0000-00006AA40000}"/>
    <cellStyle name="표준 5 4 3 2 3 2 4 2 2 3" xfId="40148" xr:uid="{00000000-0005-0000-0000-00006BA40000}"/>
    <cellStyle name="표준 5 4 3 2 3 2 4 2 2 4" xfId="48341" xr:uid="{00000000-0005-0000-0000-00006CA40000}"/>
    <cellStyle name="표준 5 4 3 2 3 2 4 2 3" xfId="19583" xr:uid="{00000000-0005-0000-0000-00006DA40000}"/>
    <cellStyle name="표준 5 4 3 2 3 2 4 2 4" xfId="23745" xr:uid="{00000000-0005-0000-0000-00006EA40000}"/>
    <cellStyle name="표준 5 4 3 2 3 2 4 2 5" xfId="27841" xr:uid="{00000000-0005-0000-0000-00006FA40000}"/>
    <cellStyle name="표준 5 4 3 2 3 2 4 2 6" xfId="36052" xr:uid="{00000000-0005-0000-0000-000070A40000}"/>
    <cellStyle name="표준 5 4 3 2 3 2 4 2 7" xfId="44245" xr:uid="{00000000-0005-0000-0000-000071A40000}"/>
    <cellStyle name="표준 5 4 3 2 3 2 4 3" xfId="9183" xr:uid="{00000000-0005-0000-0000-000072A40000}"/>
    <cellStyle name="표준 5 4 3 2 3 2 4 3 2" xfId="29889" xr:uid="{00000000-0005-0000-0000-000073A40000}"/>
    <cellStyle name="표준 5 4 3 2 3 2 4 3 3" xfId="38100" xr:uid="{00000000-0005-0000-0000-000074A40000}"/>
    <cellStyle name="표준 5 4 3 2 3 2 4 3 4" xfId="46293" xr:uid="{00000000-0005-0000-0000-000075A40000}"/>
    <cellStyle name="표준 5 4 3 2 3 2 4 4" xfId="13295" xr:uid="{00000000-0005-0000-0000-000076A40000}"/>
    <cellStyle name="표준 5 4 3 2 3 2 4 5" xfId="17535" xr:uid="{00000000-0005-0000-0000-000077A40000}"/>
    <cellStyle name="표준 5 4 3 2 3 2 4 6" xfId="21697" xr:uid="{00000000-0005-0000-0000-000078A40000}"/>
    <cellStyle name="표준 5 4 3 2 3 2 4 7" xfId="25793" xr:uid="{00000000-0005-0000-0000-000079A40000}"/>
    <cellStyle name="표준 5 4 3 2 3 2 4 8" xfId="34004" xr:uid="{00000000-0005-0000-0000-00007AA40000}"/>
    <cellStyle name="표준 5 4 3 2 3 2 4 9" xfId="42197" xr:uid="{00000000-0005-0000-0000-00007BA40000}"/>
    <cellStyle name="표준 5 4 3 2 3 2 5" xfId="9695" xr:uid="{00000000-0005-0000-0000-00007CA40000}"/>
    <cellStyle name="표준 5 4 3 2 3 2 5 2" xfId="13807" xr:uid="{00000000-0005-0000-0000-00007DA40000}"/>
    <cellStyle name="표준 5 4 3 2 3 2 5 2 2" xfId="30401" xr:uid="{00000000-0005-0000-0000-00007EA40000}"/>
    <cellStyle name="표준 5 4 3 2 3 2 5 2 3" xfId="38612" xr:uid="{00000000-0005-0000-0000-00007FA40000}"/>
    <cellStyle name="표준 5 4 3 2 3 2 5 2 4" xfId="46805" xr:uid="{00000000-0005-0000-0000-000080A40000}"/>
    <cellStyle name="표준 5 4 3 2 3 2 5 3" xfId="18047" xr:uid="{00000000-0005-0000-0000-000081A40000}"/>
    <cellStyle name="표준 5 4 3 2 3 2 5 4" xfId="22209" xr:uid="{00000000-0005-0000-0000-000082A40000}"/>
    <cellStyle name="표준 5 4 3 2 3 2 5 5" xfId="26305" xr:uid="{00000000-0005-0000-0000-000083A40000}"/>
    <cellStyle name="표준 5 4 3 2 3 2 5 6" xfId="34516" xr:uid="{00000000-0005-0000-0000-000084A40000}"/>
    <cellStyle name="표준 5 4 3 2 3 2 5 7" xfId="42709" xr:uid="{00000000-0005-0000-0000-000085A40000}"/>
    <cellStyle name="표준 5 4 3 2 3 2 6" xfId="7647" xr:uid="{00000000-0005-0000-0000-000086A40000}"/>
    <cellStyle name="표준 5 4 3 2 3 2 6 2" xfId="28353" xr:uid="{00000000-0005-0000-0000-000087A40000}"/>
    <cellStyle name="표준 5 4 3 2 3 2 6 3" xfId="36564" xr:uid="{00000000-0005-0000-0000-000088A40000}"/>
    <cellStyle name="표준 5 4 3 2 3 2 6 4" xfId="44757" xr:uid="{00000000-0005-0000-0000-000089A40000}"/>
    <cellStyle name="표준 5 4 3 2 3 2 7" xfId="11759" xr:uid="{00000000-0005-0000-0000-00008AA40000}"/>
    <cellStyle name="표준 5 4 3 2 3 2 8" xfId="15999" xr:uid="{00000000-0005-0000-0000-00008BA40000}"/>
    <cellStyle name="표준 5 4 3 2 3 2 9" xfId="20161" xr:uid="{00000000-0005-0000-0000-00008CA40000}"/>
    <cellStyle name="표준 5 4 3 2 3 3" xfId="1048" xr:uid="{00000000-0005-0000-0000-00008DA40000}"/>
    <cellStyle name="표준 5 4 3 2 3 3 2" xfId="9951" xr:uid="{00000000-0005-0000-0000-00008EA40000}"/>
    <cellStyle name="표준 5 4 3 2 3 3 2 2" xfId="14063" xr:uid="{00000000-0005-0000-0000-00008FA40000}"/>
    <cellStyle name="표준 5 4 3 2 3 3 2 2 2" xfId="30657" xr:uid="{00000000-0005-0000-0000-000090A40000}"/>
    <cellStyle name="표준 5 4 3 2 3 3 2 2 3" xfId="38868" xr:uid="{00000000-0005-0000-0000-000091A40000}"/>
    <cellStyle name="표준 5 4 3 2 3 3 2 2 4" xfId="47061" xr:uid="{00000000-0005-0000-0000-000092A40000}"/>
    <cellStyle name="표준 5 4 3 2 3 3 2 3" xfId="18303" xr:uid="{00000000-0005-0000-0000-000093A40000}"/>
    <cellStyle name="표준 5 4 3 2 3 3 2 4" xfId="22465" xr:uid="{00000000-0005-0000-0000-000094A40000}"/>
    <cellStyle name="표준 5 4 3 2 3 3 2 5" xfId="26561" xr:uid="{00000000-0005-0000-0000-000095A40000}"/>
    <cellStyle name="표준 5 4 3 2 3 3 2 6" xfId="34772" xr:uid="{00000000-0005-0000-0000-000096A40000}"/>
    <cellStyle name="표준 5 4 3 2 3 3 2 7" xfId="42965" xr:uid="{00000000-0005-0000-0000-000097A40000}"/>
    <cellStyle name="표준 5 4 3 2 3 3 3" xfId="7903" xr:uid="{00000000-0005-0000-0000-000098A40000}"/>
    <cellStyle name="표준 5 4 3 2 3 3 3 2" xfId="28609" xr:uid="{00000000-0005-0000-0000-000099A40000}"/>
    <cellStyle name="표준 5 4 3 2 3 3 3 3" xfId="36820" xr:uid="{00000000-0005-0000-0000-00009AA40000}"/>
    <cellStyle name="표준 5 4 3 2 3 3 3 4" xfId="45013" xr:uid="{00000000-0005-0000-0000-00009BA40000}"/>
    <cellStyle name="표준 5 4 3 2 3 3 4" xfId="12015" xr:uid="{00000000-0005-0000-0000-00009CA40000}"/>
    <cellStyle name="표준 5 4 3 2 3 3 5" xfId="16255" xr:uid="{00000000-0005-0000-0000-00009DA40000}"/>
    <cellStyle name="표준 5 4 3 2 3 3 6" xfId="20417" xr:uid="{00000000-0005-0000-0000-00009EA40000}"/>
    <cellStyle name="표준 5 4 3 2 3 3 7" xfId="24513" xr:uid="{00000000-0005-0000-0000-00009FA40000}"/>
    <cellStyle name="표준 5 4 3 2 3 3 8" xfId="32724" xr:uid="{00000000-0005-0000-0000-0000A0A40000}"/>
    <cellStyle name="표준 5 4 3 2 3 3 9" xfId="40917" xr:uid="{00000000-0005-0000-0000-0000A1A40000}"/>
    <cellStyle name="표준 5 4 3 2 3 4" xfId="1560" xr:uid="{00000000-0005-0000-0000-0000A2A40000}"/>
    <cellStyle name="표준 5 4 3 2 3 4 2" xfId="10463" xr:uid="{00000000-0005-0000-0000-0000A3A40000}"/>
    <cellStyle name="표준 5 4 3 2 3 4 2 2" xfId="14575" xr:uid="{00000000-0005-0000-0000-0000A4A40000}"/>
    <cellStyle name="표준 5 4 3 2 3 4 2 2 2" xfId="31169" xr:uid="{00000000-0005-0000-0000-0000A5A40000}"/>
    <cellStyle name="표준 5 4 3 2 3 4 2 2 3" xfId="39380" xr:uid="{00000000-0005-0000-0000-0000A6A40000}"/>
    <cellStyle name="표준 5 4 3 2 3 4 2 2 4" xfId="47573" xr:uid="{00000000-0005-0000-0000-0000A7A40000}"/>
    <cellStyle name="표준 5 4 3 2 3 4 2 3" xfId="18815" xr:uid="{00000000-0005-0000-0000-0000A8A40000}"/>
    <cellStyle name="표준 5 4 3 2 3 4 2 4" xfId="22977" xr:uid="{00000000-0005-0000-0000-0000A9A40000}"/>
    <cellStyle name="표준 5 4 3 2 3 4 2 5" xfId="27073" xr:uid="{00000000-0005-0000-0000-0000AAA40000}"/>
    <cellStyle name="표준 5 4 3 2 3 4 2 6" xfId="35284" xr:uid="{00000000-0005-0000-0000-0000ABA40000}"/>
    <cellStyle name="표준 5 4 3 2 3 4 2 7" xfId="43477" xr:uid="{00000000-0005-0000-0000-0000ACA40000}"/>
    <cellStyle name="표준 5 4 3 2 3 4 3" xfId="8415" xr:uid="{00000000-0005-0000-0000-0000ADA40000}"/>
    <cellStyle name="표준 5 4 3 2 3 4 3 2" xfId="29121" xr:uid="{00000000-0005-0000-0000-0000AEA40000}"/>
    <cellStyle name="표준 5 4 3 2 3 4 3 3" xfId="37332" xr:uid="{00000000-0005-0000-0000-0000AFA40000}"/>
    <cellStyle name="표준 5 4 3 2 3 4 3 4" xfId="45525" xr:uid="{00000000-0005-0000-0000-0000B0A40000}"/>
    <cellStyle name="표준 5 4 3 2 3 4 4" xfId="12527" xr:uid="{00000000-0005-0000-0000-0000B1A40000}"/>
    <cellStyle name="표준 5 4 3 2 3 4 5" xfId="16767" xr:uid="{00000000-0005-0000-0000-0000B2A40000}"/>
    <cellStyle name="표준 5 4 3 2 3 4 6" xfId="20929" xr:uid="{00000000-0005-0000-0000-0000B3A40000}"/>
    <cellStyle name="표준 5 4 3 2 3 4 7" xfId="25025" xr:uid="{00000000-0005-0000-0000-0000B4A40000}"/>
    <cellStyle name="표준 5 4 3 2 3 4 8" xfId="33236" xr:uid="{00000000-0005-0000-0000-0000B5A40000}"/>
    <cellStyle name="표준 5 4 3 2 3 4 9" xfId="41429" xr:uid="{00000000-0005-0000-0000-0000B6A40000}"/>
    <cellStyle name="표준 5 4 3 2 3 5" xfId="2072" xr:uid="{00000000-0005-0000-0000-0000B7A40000}"/>
    <cellStyle name="표준 5 4 3 2 3 5 2" xfId="10975" xr:uid="{00000000-0005-0000-0000-0000B8A40000}"/>
    <cellStyle name="표준 5 4 3 2 3 5 2 2" xfId="15087" xr:uid="{00000000-0005-0000-0000-0000B9A40000}"/>
    <cellStyle name="표준 5 4 3 2 3 5 2 2 2" xfId="31681" xr:uid="{00000000-0005-0000-0000-0000BAA40000}"/>
    <cellStyle name="표준 5 4 3 2 3 5 2 2 3" xfId="39892" xr:uid="{00000000-0005-0000-0000-0000BBA40000}"/>
    <cellStyle name="표준 5 4 3 2 3 5 2 2 4" xfId="48085" xr:uid="{00000000-0005-0000-0000-0000BCA40000}"/>
    <cellStyle name="표준 5 4 3 2 3 5 2 3" xfId="19327" xr:uid="{00000000-0005-0000-0000-0000BDA40000}"/>
    <cellStyle name="표준 5 4 3 2 3 5 2 4" xfId="23489" xr:uid="{00000000-0005-0000-0000-0000BEA40000}"/>
    <cellStyle name="표준 5 4 3 2 3 5 2 5" xfId="27585" xr:uid="{00000000-0005-0000-0000-0000BFA40000}"/>
    <cellStyle name="표준 5 4 3 2 3 5 2 6" xfId="35796" xr:uid="{00000000-0005-0000-0000-0000C0A40000}"/>
    <cellStyle name="표준 5 4 3 2 3 5 2 7" xfId="43989" xr:uid="{00000000-0005-0000-0000-0000C1A40000}"/>
    <cellStyle name="표준 5 4 3 2 3 5 3" xfId="8927" xr:uid="{00000000-0005-0000-0000-0000C2A40000}"/>
    <cellStyle name="표준 5 4 3 2 3 5 3 2" xfId="29633" xr:uid="{00000000-0005-0000-0000-0000C3A40000}"/>
    <cellStyle name="표준 5 4 3 2 3 5 3 3" xfId="37844" xr:uid="{00000000-0005-0000-0000-0000C4A40000}"/>
    <cellStyle name="표준 5 4 3 2 3 5 3 4" xfId="46037" xr:uid="{00000000-0005-0000-0000-0000C5A40000}"/>
    <cellStyle name="표준 5 4 3 2 3 5 4" xfId="13039" xr:uid="{00000000-0005-0000-0000-0000C6A40000}"/>
    <cellStyle name="표준 5 4 3 2 3 5 5" xfId="17279" xr:uid="{00000000-0005-0000-0000-0000C7A40000}"/>
    <cellStyle name="표준 5 4 3 2 3 5 6" xfId="21441" xr:uid="{00000000-0005-0000-0000-0000C8A40000}"/>
    <cellStyle name="표준 5 4 3 2 3 5 7" xfId="25537" xr:uid="{00000000-0005-0000-0000-0000C9A40000}"/>
    <cellStyle name="표준 5 4 3 2 3 5 8" xfId="33748" xr:uid="{00000000-0005-0000-0000-0000CAA40000}"/>
    <cellStyle name="표준 5 4 3 2 3 5 9" xfId="41941" xr:uid="{00000000-0005-0000-0000-0000CBA40000}"/>
    <cellStyle name="표준 5 4 3 2 3 6" xfId="9439" xr:uid="{00000000-0005-0000-0000-0000CCA40000}"/>
    <cellStyle name="표준 5 4 3 2 3 6 2" xfId="13551" xr:uid="{00000000-0005-0000-0000-0000CDA40000}"/>
    <cellStyle name="표준 5 4 3 2 3 6 2 2" xfId="30145" xr:uid="{00000000-0005-0000-0000-0000CEA40000}"/>
    <cellStyle name="표준 5 4 3 2 3 6 2 3" xfId="38356" xr:uid="{00000000-0005-0000-0000-0000CFA40000}"/>
    <cellStyle name="표준 5 4 3 2 3 6 2 4" xfId="46549" xr:uid="{00000000-0005-0000-0000-0000D0A40000}"/>
    <cellStyle name="표준 5 4 3 2 3 6 3" xfId="17791" xr:uid="{00000000-0005-0000-0000-0000D1A40000}"/>
    <cellStyle name="표준 5 4 3 2 3 6 4" xfId="21953" xr:uid="{00000000-0005-0000-0000-0000D2A40000}"/>
    <cellStyle name="표준 5 4 3 2 3 6 5" xfId="26049" xr:uid="{00000000-0005-0000-0000-0000D3A40000}"/>
    <cellStyle name="표준 5 4 3 2 3 6 6" xfId="34260" xr:uid="{00000000-0005-0000-0000-0000D4A40000}"/>
    <cellStyle name="표준 5 4 3 2 3 6 7" xfId="42453" xr:uid="{00000000-0005-0000-0000-0000D5A40000}"/>
    <cellStyle name="표준 5 4 3 2 3 7" xfId="7391" xr:uid="{00000000-0005-0000-0000-0000D6A40000}"/>
    <cellStyle name="표준 5 4 3 2 3 7 2" xfId="28097" xr:uid="{00000000-0005-0000-0000-0000D7A40000}"/>
    <cellStyle name="표준 5 4 3 2 3 7 3" xfId="36308" xr:uid="{00000000-0005-0000-0000-0000D8A40000}"/>
    <cellStyle name="표준 5 4 3 2 3 7 4" xfId="44501" xr:uid="{00000000-0005-0000-0000-0000D9A40000}"/>
    <cellStyle name="표준 5 4 3 2 3 8" xfId="11503" xr:uid="{00000000-0005-0000-0000-0000DAA40000}"/>
    <cellStyle name="표준 5 4 3 2 3 9" xfId="15743" xr:uid="{00000000-0005-0000-0000-0000DBA40000}"/>
    <cellStyle name="표준 5 4 3 2 4" xfId="664" xr:uid="{00000000-0005-0000-0000-0000DCA40000}"/>
    <cellStyle name="표준 5 4 3 2 4 10" xfId="24129" xr:uid="{00000000-0005-0000-0000-0000DDA40000}"/>
    <cellStyle name="표준 5 4 3 2 4 11" xfId="32340" xr:uid="{00000000-0005-0000-0000-0000DEA40000}"/>
    <cellStyle name="표준 5 4 3 2 4 12" xfId="40533" xr:uid="{00000000-0005-0000-0000-0000DFA40000}"/>
    <cellStyle name="표준 5 4 3 2 4 2" xfId="1176" xr:uid="{00000000-0005-0000-0000-0000E0A40000}"/>
    <cellStyle name="표준 5 4 3 2 4 2 2" xfId="10079" xr:uid="{00000000-0005-0000-0000-0000E1A40000}"/>
    <cellStyle name="표준 5 4 3 2 4 2 2 2" xfId="14191" xr:uid="{00000000-0005-0000-0000-0000E2A40000}"/>
    <cellStyle name="표준 5 4 3 2 4 2 2 2 2" xfId="30785" xr:uid="{00000000-0005-0000-0000-0000E3A40000}"/>
    <cellStyle name="표준 5 4 3 2 4 2 2 2 3" xfId="38996" xr:uid="{00000000-0005-0000-0000-0000E4A40000}"/>
    <cellStyle name="표준 5 4 3 2 4 2 2 2 4" xfId="47189" xr:uid="{00000000-0005-0000-0000-0000E5A40000}"/>
    <cellStyle name="표준 5 4 3 2 4 2 2 3" xfId="18431" xr:uid="{00000000-0005-0000-0000-0000E6A40000}"/>
    <cellStyle name="표준 5 4 3 2 4 2 2 4" xfId="22593" xr:uid="{00000000-0005-0000-0000-0000E7A40000}"/>
    <cellStyle name="표준 5 4 3 2 4 2 2 5" xfId="26689" xr:uid="{00000000-0005-0000-0000-0000E8A40000}"/>
    <cellStyle name="표준 5 4 3 2 4 2 2 6" xfId="34900" xr:uid="{00000000-0005-0000-0000-0000E9A40000}"/>
    <cellStyle name="표준 5 4 3 2 4 2 2 7" xfId="43093" xr:uid="{00000000-0005-0000-0000-0000EAA40000}"/>
    <cellStyle name="표준 5 4 3 2 4 2 3" xfId="8031" xr:uid="{00000000-0005-0000-0000-0000EBA40000}"/>
    <cellStyle name="표준 5 4 3 2 4 2 3 2" xfId="28737" xr:uid="{00000000-0005-0000-0000-0000ECA40000}"/>
    <cellStyle name="표준 5 4 3 2 4 2 3 3" xfId="36948" xr:uid="{00000000-0005-0000-0000-0000EDA40000}"/>
    <cellStyle name="표준 5 4 3 2 4 2 3 4" xfId="45141" xr:uid="{00000000-0005-0000-0000-0000EEA40000}"/>
    <cellStyle name="표준 5 4 3 2 4 2 4" xfId="12143" xr:uid="{00000000-0005-0000-0000-0000EFA40000}"/>
    <cellStyle name="표준 5 4 3 2 4 2 5" xfId="16383" xr:uid="{00000000-0005-0000-0000-0000F0A40000}"/>
    <cellStyle name="표준 5 4 3 2 4 2 6" xfId="20545" xr:uid="{00000000-0005-0000-0000-0000F1A40000}"/>
    <cellStyle name="표준 5 4 3 2 4 2 7" xfId="24641" xr:uid="{00000000-0005-0000-0000-0000F2A40000}"/>
    <cellStyle name="표준 5 4 3 2 4 2 8" xfId="32852" xr:uid="{00000000-0005-0000-0000-0000F3A40000}"/>
    <cellStyle name="표준 5 4 3 2 4 2 9" xfId="41045" xr:uid="{00000000-0005-0000-0000-0000F4A40000}"/>
    <cellStyle name="표준 5 4 3 2 4 3" xfId="1688" xr:uid="{00000000-0005-0000-0000-0000F5A40000}"/>
    <cellStyle name="표준 5 4 3 2 4 3 2" xfId="10591" xr:uid="{00000000-0005-0000-0000-0000F6A40000}"/>
    <cellStyle name="표준 5 4 3 2 4 3 2 2" xfId="14703" xr:uid="{00000000-0005-0000-0000-0000F7A40000}"/>
    <cellStyle name="표준 5 4 3 2 4 3 2 2 2" xfId="31297" xr:uid="{00000000-0005-0000-0000-0000F8A40000}"/>
    <cellStyle name="표준 5 4 3 2 4 3 2 2 3" xfId="39508" xr:uid="{00000000-0005-0000-0000-0000F9A40000}"/>
    <cellStyle name="표준 5 4 3 2 4 3 2 2 4" xfId="47701" xr:uid="{00000000-0005-0000-0000-0000FAA40000}"/>
    <cellStyle name="표준 5 4 3 2 4 3 2 3" xfId="18943" xr:uid="{00000000-0005-0000-0000-0000FBA40000}"/>
    <cellStyle name="표준 5 4 3 2 4 3 2 4" xfId="23105" xr:uid="{00000000-0005-0000-0000-0000FCA40000}"/>
    <cellStyle name="표준 5 4 3 2 4 3 2 5" xfId="27201" xr:uid="{00000000-0005-0000-0000-0000FDA40000}"/>
    <cellStyle name="표준 5 4 3 2 4 3 2 6" xfId="35412" xr:uid="{00000000-0005-0000-0000-0000FEA40000}"/>
    <cellStyle name="표준 5 4 3 2 4 3 2 7" xfId="43605" xr:uid="{00000000-0005-0000-0000-0000FFA40000}"/>
    <cellStyle name="표준 5 4 3 2 4 3 3" xfId="8543" xr:uid="{00000000-0005-0000-0000-000000A50000}"/>
    <cellStyle name="표준 5 4 3 2 4 3 3 2" xfId="29249" xr:uid="{00000000-0005-0000-0000-000001A50000}"/>
    <cellStyle name="표준 5 4 3 2 4 3 3 3" xfId="37460" xr:uid="{00000000-0005-0000-0000-000002A50000}"/>
    <cellStyle name="표준 5 4 3 2 4 3 3 4" xfId="45653" xr:uid="{00000000-0005-0000-0000-000003A50000}"/>
    <cellStyle name="표준 5 4 3 2 4 3 4" xfId="12655" xr:uid="{00000000-0005-0000-0000-000004A50000}"/>
    <cellStyle name="표준 5 4 3 2 4 3 5" xfId="16895" xr:uid="{00000000-0005-0000-0000-000005A50000}"/>
    <cellStyle name="표준 5 4 3 2 4 3 6" xfId="21057" xr:uid="{00000000-0005-0000-0000-000006A50000}"/>
    <cellStyle name="표준 5 4 3 2 4 3 7" xfId="25153" xr:uid="{00000000-0005-0000-0000-000007A50000}"/>
    <cellStyle name="표준 5 4 3 2 4 3 8" xfId="33364" xr:uid="{00000000-0005-0000-0000-000008A50000}"/>
    <cellStyle name="표준 5 4 3 2 4 3 9" xfId="41557" xr:uid="{00000000-0005-0000-0000-000009A50000}"/>
    <cellStyle name="표준 5 4 3 2 4 4" xfId="2200" xr:uid="{00000000-0005-0000-0000-00000AA50000}"/>
    <cellStyle name="표준 5 4 3 2 4 4 2" xfId="11103" xr:uid="{00000000-0005-0000-0000-00000BA50000}"/>
    <cellStyle name="표준 5 4 3 2 4 4 2 2" xfId="15215" xr:uid="{00000000-0005-0000-0000-00000CA50000}"/>
    <cellStyle name="표준 5 4 3 2 4 4 2 2 2" xfId="31809" xr:uid="{00000000-0005-0000-0000-00000DA50000}"/>
    <cellStyle name="표준 5 4 3 2 4 4 2 2 3" xfId="40020" xr:uid="{00000000-0005-0000-0000-00000EA50000}"/>
    <cellStyle name="표준 5 4 3 2 4 4 2 2 4" xfId="48213" xr:uid="{00000000-0005-0000-0000-00000FA50000}"/>
    <cellStyle name="표준 5 4 3 2 4 4 2 3" xfId="19455" xr:uid="{00000000-0005-0000-0000-000010A50000}"/>
    <cellStyle name="표준 5 4 3 2 4 4 2 4" xfId="23617" xr:uid="{00000000-0005-0000-0000-000011A50000}"/>
    <cellStyle name="표준 5 4 3 2 4 4 2 5" xfId="27713" xr:uid="{00000000-0005-0000-0000-000012A50000}"/>
    <cellStyle name="표준 5 4 3 2 4 4 2 6" xfId="35924" xr:uid="{00000000-0005-0000-0000-000013A50000}"/>
    <cellStyle name="표준 5 4 3 2 4 4 2 7" xfId="44117" xr:uid="{00000000-0005-0000-0000-000014A50000}"/>
    <cellStyle name="표준 5 4 3 2 4 4 3" xfId="9055" xr:uid="{00000000-0005-0000-0000-000015A50000}"/>
    <cellStyle name="표준 5 4 3 2 4 4 3 2" xfId="29761" xr:uid="{00000000-0005-0000-0000-000016A50000}"/>
    <cellStyle name="표준 5 4 3 2 4 4 3 3" xfId="37972" xr:uid="{00000000-0005-0000-0000-000017A50000}"/>
    <cellStyle name="표준 5 4 3 2 4 4 3 4" xfId="46165" xr:uid="{00000000-0005-0000-0000-000018A50000}"/>
    <cellStyle name="표준 5 4 3 2 4 4 4" xfId="13167" xr:uid="{00000000-0005-0000-0000-000019A50000}"/>
    <cellStyle name="표준 5 4 3 2 4 4 5" xfId="17407" xr:uid="{00000000-0005-0000-0000-00001AA50000}"/>
    <cellStyle name="표준 5 4 3 2 4 4 6" xfId="21569" xr:uid="{00000000-0005-0000-0000-00001BA50000}"/>
    <cellStyle name="표준 5 4 3 2 4 4 7" xfId="25665" xr:uid="{00000000-0005-0000-0000-00001CA50000}"/>
    <cellStyle name="표준 5 4 3 2 4 4 8" xfId="33876" xr:uid="{00000000-0005-0000-0000-00001DA50000}"/>
    <cellStyle name="표준 5 4 3 2 4 4 9" xfId="42069" xr:uid="{00000000-0005-0000-0000-00001EA50000}"/>
    <cellStyle name="표준 5 4 3 2 4 5" xfId="9567" xr:uid="{00000000-0005-0000-0000-00001FA50000}"/>
    <cellStyle name="표준 5 4 3 2 4 5 2" xfId="13679" xr:uid="{00000000-0005-0000-0000-000020A50000}"/>
    <cellStyle name="표준 5 4 3 2 4 5 2 2" xfId="30273" xr:uid="{00000000-0005-0000-0000-000021A50000}"/>
    <cellStyle name="표준 5 4 3 2 4 5 2 3" xfId="38484" xr:uid="{00000000-0005-0000-0000-000022A50000}"/>
    <cellStyle name="표준 5 4 3 2 4 5 2 4" xfId="46677" xr:uid="{00000000-0005-0000-0000-000023A50000}"/>
    <cellStyle name="표준 5 4 3 2 4 5 3" xfId="17919" xr:uid="{00000000-0005-0000-0000-000024A50000}"/>
    <cellStyle name="표준 5 4 3 2 4 5 4" xfId="22081" xr:uid="{00000000-0005-0000-0000-000025A50000}"/>
    <cellStyle name="표준 5 4 3 2 4 5 5" xfId="26177" xr:uid="{00000000-0005-0000-0000-000026A50000}"/>
    <cellStyle name="표준 5 4 3 2 4 5 6" xfId="34388" xr:uid="{00000000-0005-0000-0000-000027A50000}"/>
    <cellStyle name="표준 5 4 3 2 4 5 7" xfId="42581" xr:uid="{00000000-0005-0000-0000-000028A50000}"/>
    <cellStyle name="표준 5 4 3 2 4 6" xfId="7519" xr:uid="{00000000-0005-0000-0000-000029A50000}"/>
    <cellStyle name="표준 5 4 3 2 4 6 2" xfId="28225" xr:uid="{00000000-0005-0000-0000-00002AA50000}"/>
    <cellStyle name="표준 5 4 3 2 4 6 3" xfId="36436" xr:uid="{00000000-0005-0000-0000-00002BA50000}"/>
    <cellStyle name="표준 5 4 3 2 4 6 4" xfId="44629" xr:uid="{00000000-0005-0000-0000-00002CA50000}"/>
    <cellStyle name="표준 5 4 3 2 4 7" xfId="11631" xr:uid="{00000000-0005-0000-0000-00002DA50000}"/>
    <cellStyle name="표준 5 4 3 2 4 8" xfId="15871" xr:uid="{00000000-0005-0000-0000-00002EA50000}"/>
    <cellStyle name="표준 5 4 3 2 4 9" xfId="20033" xr:uid="{00000000-0005-0000-0000-00002FA50000}"/>
    <cellStyle name="표준 5 4 3 2 5" xfId="920" xr:uid="{00000000-0005-0000-0000-000030A50000}"/>
    <cellStyle name="표준 5 4 3 2 5 2" xfId="9823" xr:uid="{00000000-0005-0000-0000-000031A50000}"/>
    <cellStyle name="표준 5 4 3 2 5 2 2" xfId="13935" xr:uid="{00000000-0005-0000-0000-000032A50000}"/>
    <cellStyle name="표준 5 4 3 2 5 2 2 2" xfId="30529" xr:uid="{00000000-0005-0000-0000-000033A50000}"/>
    <cellStyle name="표준 5 4 3 2 5 2 2 3" xfId="38740" xr:uid="{00000000-0005-0000-0000-000034A50000}"/>
    <cellStyle name="표준 5 4 3 2 5 2 2 4" xfId="46933" xr:uid="{00000000-0005-0000-0000-000035A50000}"/>
    <cellStyle name="표준 5 4 3 2 5 2 3" xfId="18175" xr:uid="{00000000-0005-0000-0000-000036A50000}"/>
    <cellStyle name="표준 5 4 3 2 5 2 4" xfId="22337" xr:uid="{00000000-0005-0000-0000-000037A50000}"/>
    <cellStyle name="표준 5 4 3 2 5 2 5" xfId="26433" xr:uid="{00000000-0005-0000-0000-000038A50000}"/>
    <cellStyle name="표준 5 4 3 2 5 2 6" xfId="34644" xr:uid="{00000000-0005-0000-0000-000039A50000}"/>
    <cellStyle name="표준 5 4 3 2 5 2 7" xfId="42837" xr:uid="{00000000-0005-0000-0000-00003AA50000}"/>
    <cellStyle name="표준 5 4 3 2 5 3" xfId="7775" xr:uid="{00000000-0005-0000-0000-00003BA50000}"/>
    <cellStyle name="표준 5 4 3 2 5 3 2" xfId="28481" xr:uid="{00000000-0005-0000-0000-00003CA50000}"/>
    <cellStyle name="표준 5 4 3 2 5 3 3" xfId="36692" xr:uid="{00000000-0005-0000-0000-00003DA50000}"/>
    <cellStyle name="표준 5 4 3 2 5 3 4" xfId="44885" xr:uid="{00000000-0005-0000-0000-00003EA50000}"/>
    <cellStyle name="표준 5 4 3 2 5 4" xfId="11887" xr:uid="{00000000-0005-0000-0000-00003FA50000}"/>
    <cellStyle name="표준 5 4 3 2 5 5" xfId="16127" xr:uid="{00000000-0005-0000-0000-000040A50000}"/>
    <cellStyle name="표준 5 4 3 2 5 6" xfId="20289" xr:uid="{00000000-0005-0000-0000-000041A50000}"/>
    <cellStyle name="표준 5 4 3 2 5 7" xfId="24385" xr:uid="{00000000-0005-0000-0000-000042A50000}"/>
    <cellStyle name="표준 5 4 3 2 5 8" xfId="32596" xr:uid="{00000000-0005-0000-0000-000043A50000}"/>
    <cellStyle name="표준 5 4 3 2 5 9" xfId="40789" xr:uid="{00000000-0005-0000-0000-000044A50000}"/>
    <cellStyle name="표준 5 4 3 2 6" xfId="1432" xr:uid="{00000000-0005-0000-0000-000045A50000}"/>
    <cellStyle name="표준 5 4 3 2 6 2" xfId="10335" xr:uid="{00000000-0005-0000-0000-000046A50000}"/>
    <cellStyle name="표준 5 4 3 2 6 2 2" xfId="14447" xr:uid="{00000000-0005-0000-0000-000047A50000}"/>
    <cellStyle name="표준 5 4 3 2 6 2 2 2" xfId="31041" xr:uid="{00000000-0005-0000-0000-000048A50000}"/>
    <cellStyle name="표준 5 4 3 2 6 2 2 3" xfId="39252" xr:uid="{00000000-0005-0000-0000-000049A50000}"/>
    <cellStyle name="표준 5 4 3 2 6 2 2 4" xfId="47445" xr:uid="{00000000-0005-0000-0000-00004AA50000}"/>
    <cellStyle name="표준 5 4 3 2 6 2 3" xfId="18687" xr:uid="{00000000-0005-0000-0000-00004BA50000}"/>
    <cellStyle name="표준 5 4 3 2 6 2 4" xfId="22849" xr:uid="{00000000-0005-0000-0000-00004CA50000}"/>
    <cellStyle name="표준 5 4 3 2 6 2 5" xfId="26945" xr:uid="{00000000-0005-0000-0000-00004DA50000}"/>
    <cellStyle name="표준 5 4 3 2 6 2 6" xfId="35156" xr:uid="{00000000-0005-0000-0000-00004EA50000}"/>
    <cellStyle name="표준 5 4 3 2 6 2 7" xfId="43349" xr:uid="{00000000-0005-0000-0000-00004FA50000}"/>
    <cellStyle name="표준 5 4 3 2 6 3" xfId="8287" xr:uid="{00000000-0005-0000-0000-000050A50000}"/>
    <cellStyle name="표준 5 4 3 2 6 3 2" xfId="28993" xr:uid="{00000000-0005-0000-0000-000051A50000}"/>
    <cellStyle name="표준 5 4 3 2 6 3 3" xfId="37204" xr:uid="{00000000-0005-0000-0000-000052A50000}"/>
    <cellStyle name="표준 5 4 3 2 6 3 4" xfId="45397" xr:uid="{00000000-0005-0000-0000-000053A50000}"/>
    <cellStyle name="표준 5 4 3 2 6 4" xfId="12399" xr:uid="{00000000-0005-0000-0000-000054A50000}"/>
    <cellStyle name="표준 5 4 3 2 6 5" xfId="16639" xr:uid="{00000000-0005-0000-0000-000055A50000}"/>
    <cellStyle name="표준 5 4 3 2 6 6" xfId="20801" xr:uid="{00000000-0005-0000-0000-000056A50000}"/>
    <cellStyle name="표준 5 4 3 2 6 7" xfId="24897" xr:uid="{00000000-0005-0000-0000-000057A50000}"/>
    <cellStyle name="표준 5 4 3 2 6 8" xfId="33108" xr:uid="{00000000-0005-0000-0000-000058A50000}"/>
    <cellStyle name="표준 5 4 3 2 6 9" xfId="41301" xr:uid="{00000000-0005-0000-0000-000059A50000}"/>
    <cellStyle name="표준 5 4 3 2 7" xfId="1944" xr:uid="{00000000-0005-0000-0000-00005AA50000}"/>
    <cellStyle name="표준 5 4 3 2 7 2" xfId="10847" xr:uid="{00000000-0005-0000-0000-00005BA50000}"/>
    <cellStyle name="표준 5 4 3 2 7 2 2" xfId="14959" xr:uid="{00000000-0005-0000-0000-00005CA50000}"/>
    <cellStyle name="표준 5 4 3 2 7 2 2 2" xfId="31553" xr:uid="{00000000-0005-0000-0000-00005DA50000}"/>
    <cellStyle name="표준 5 4 3 2 7 2 2 3" xfId="39764" xr:uid="{00000000-0005-0000-0000-00005EA50000}"/>
    <cellStyle name="표준 5 4 3 2 7 2 2 4" xfId="47957" xr:uid="{00000000-0005-0000-0000-00005FA50000}"/>
    <cellStyle name="표준 5 4 3 2 7 2 3" xfId="19199" xr:uid="{00000000-0005-0000-0000-000060A50000}"/>
    <cellStyle name="표준 5 4 3 2 7 2 4" xfId="23361" xr:uid="{00000000-0005-0000-0000-000061A50000}"/>
    <cellStyle name="표준 5 4 3 2 7 2 5" xfId="27457" xr:uid="{00000000-0005-0000-0000-000062A50000}"/>
    <cellStyle name="표준 5 4 3 2 7 2 6" xfId="35668" xr:uid="{00000000-0005-0000-0000-000063A50000}"/>
    <cellStyle name="표준 5 4 3 2 7 2 7" xfId="43861" xr:uid="{00000000-0005-0000-0000-000064A50000}"/>
    <cellStyle name="표준 5 4 3 2 7 3" xfId="8799" xr:uid="{00000000-0005-0000-0000-000065A50000}"/>
    <cellStyle name="표준 5 4 3 2 7 3 2" xfId="29505" xr:uid="{00000000-0005-0000-0000-000066A50000}"/>
    <cellStyle name="표준 5 4 3 2 7 3 3" xfId="37716" xr:uid="{00000000-0005-0000-0000-000067A50000}"/>
    <cellStyle name="표준 5 4 3 2 7 3 4" xfId="45909" xr:uid="{00000000-0005-0000-0000-000068A50000}"/>
    <cellStyle name="표준 5 4 3 2 7 4" xfId="12911" xr:uid="{00000000-0005-0000-0000-000069A50000}"/>
    <cellStyle name="표준 5 4 3 2 7 5" xfId="17151" xr:uid="{00000000-0005-0000-0000-00006AA50000}"/>
    <cellStyle name="표준 5 4 3 2 7 6" xfId="21313" xr:uid="{00000000-0005-0000-0000-00006BA50000}"/>
    <cellStyle name="표준 5 4 3 2 7 7" xfId="25409" xr:uid="{00000000-0005-0000-0000-00006CA50000}"/>
    <cellStyle name="표준 5 4 3 2 7 8" xfId="33620" xr:uid="{00000000-0005-0000-0000-00006DA50000}"/>
    <cellStyle name="표준 5 4 3 2 7 9" xfId="41813" xr:uid="{00000000-0005-0000-0000-00006EA50000}"/>
    <cellStyle name="표준 5 4 3 2 8" xfId="7036" xr:uid="{00000000-0005-0000-0000-00006FA50000}"/>
    <cellStyle name="표준 5 4 3 2 8 2" xfId="9311" xr:uid="{00000000-0005-0000-0000-000070A50000}"/>
    <cellStyle name="표준 5 4 3 2 8 2 2" xfId="30017" xr:uid="{00000000-0005-0000-0000-000071A50000}"/>
    <cellStyle name="표준 5 4 3 2 8 2 3" xfId="38228" xr:uid="{00000000-0005-0000-0000-000072A50000}"/>
    <cellStyle name="표준 5 4 3 2 8 2 4" xfId="46421" xr:uid="{00000000-0005-0000-0000-000073A50000}"/>
    <cellStyle name="표준 5 4 3 2 8 3" xfId="13423" xr:uid="{00000000-0005-0000-0000-000074A50000}"/>
    <cellStyle name="표준 5 4 3 2 8 4" xfId="17663" xr:uid="{00000000-0005-0000-0000-000075A50000}"/>
    <cellStyle name="표준 5 4 3 2 8 5" xfId="21825" xr:uid="{00000000-0005-0000-0000-000076A50000}"/>
    <cellStyle name="표준 5 4 3 2 8 6" xfId="25921" xr:uid="{00000000-0005-0000-0000-000077A50000}"/>
    <cellStyle name="표준 5 4 3 2 8 7" xfId="34132" xr:uid="{00000000-0005-0000-0000-000078A50000}"/>
    <cellStyle name="표준 5 4 3 2 8 8" xfId="42325" xr:uid="{00000000-0005-0000-0000-000079A50000}"/>
    <cellStyle name="표준 5 4 3 2 9" xfId="7142" xr:uid="{00000000-0005-0000-0000-00007AA50000}"/>
    <cellStyle name="표준 5 4 3 2 9 2" xfId="27969" xr:uid="{00000000-0005-0000-0000-00007BA50000}"/>
    <cellStyle name="표준 5 4 3 2 9 3" xfId="36180" xr:uid="{00000000-0005-0000-0000-00007CA50000}"/>
    <cellStyle name="표준 5 4 3 2 9 4" xfId="44373" xr:uid="{00000000-0005-0000-0000-00007DA50000}"/>
    <cellStyle name="표준 5 4 3 3" xfId="440" xr:uid="{00000000-0005-0000-0000-00007EA50000}"/>
    <cellStyle name="표준 5 4 3 3 10" xfId="15647" xr:uid="{00000000-0005-0000-0000-00007FA50000}"/>
    <cellStyle name="표준 5 4 3 3 11" xfId="19809" xr:uid="{00000000-0005-0000-0000-000080A50000}"/>
    <cellStyle name="표준 5 4 3 3 12" xfId="23905" xr:uid="{00000000-0005-0000-0000-000081A50000}"/>
    <cellStyle name="표준 5 4 3 3 13" xfId="32116" xr:uid="{00000000-0005-0000-0000-000082A50000}"/>
    <cellStyle name="표준 5 4 3 3 14" xfId="40309" xr:uid="{00000000-0005-0000-0000-000083A50000}"/>
    <cellStyle name="표준 5 4 3 3 2" xfId="568" xr:uid="{00000000-0005-0000-0000-000084A50000}"/>
    <cellStyle name="표준 5 4 3 3 2 10" xfId="19937" xr:uid="{00000000-0005-0000-0000-000085A50000}"/>
    <cellStyle name="표준 5 4 3 3 2 11" xfId="24033" xr:uid="{00000000-0005-0000-0000-000086A50000}"/>
    <cellStyle name="표준 5 4 3 3 2 12" xfId="32244" xr:uid="{00000000-0005-0000-0000-000087A50000}"/>
    <cellStyle name="표준 5 4 3 3 2 13" xfId="40437" xr:uid="{00000000-0005-0000-0000-000088A50000}"/>
    <cellStyle name="표준 5 4 3 3 2 2" xfId="824" xr:uid="{00000000-0005-0000-0000-000089A50000}"/>
    <cellStyle name="표준 5 4 3 3 2 2 10" xfId="24289" xr:uid="{00000000-0005-0000-0000-00008AA50000}"/>
    <cellStyle name="표준 5 4 3 3 2 2 11" xfId="32500" xr:uid="{00000000-0005-0000-0000-00008BA50000}"/>
    <cellStyle name="표준 5 4 3 3 2 2 12" xfId="40693" xr:uid="{00000000-0005-0000-0000-00008CA50000}"/>
    <cellStyle name="표준 5 4 3 3 2 2 2" xfId="1336" xr:uid="{00000000-0005-0000-0000-00008DA50000}"/>
    <cellStyle name="표준 5 4 3 3 2 2 2 2" xfId="10239" xr:uid="{00000000-0005-0000-0000-00008EA50000}"/>
    <cellStyle name="표준 5 4 3 3 2 2 2 2 2" xfId="14351" xr:uid="{00000000-0005-0000-0000-00008FA50000}"/>
    <cellStyle name="표준 5 4 3 3 2 2 2 2 2 2" xfId="30945" xr:uid="{00000000-0005-0000-0000-000090A50000}"/>
    <cellStyle name="표준 5 4 3 3 2 2 2 2 2 3" xfId="39156" xr:uid="{00000000-0005-0000-0000-000091A50000}"/>
    <cellStyle name="표준 5 4 3 3 2 2 2 2 2 4" xfId="47349" xr:uid="{00000000-0005-0000-0000-000092A50000}"/>
    <cellStyle name="표준 5 4 3 3 2 2 2 2 3" xfId="18591" xr:uid="{00000000-0005-0000-0000-000093A50000}"/>
    <cellStyle name="표준 5 4 3 3 2 2 2 2 4" xfId="22753" xr:uid="{00000000-0005-0000-0000-000094A50000}"/>
    <cellStyle name="표준 5 4 3 3 2 2 2 2 5" xfId="26849" xr:uid="{00000000-0005-0000-0000-000095A50000}"/>
    <cellStyle name="표준 5 4 3 3 2 2 2 2 6" xfId="35060" xr:uid="{00000000-0005-0000-0000-000096A50000}"/>
    <cellStyle name="표준 5 4 3 3 2 2 2 2 7" xfId="43253" xr:uid="{00000000-0005-0000-0000-000097A50000}"/>
    <cellStyle name="표준 5 4 3 3 2 2 2 3" xfId="8191" xr:uid="{00000000-0005-0000-0000-000098A50000}"/>
    <cellStyle name="표준 5 4 3 3 2 2 2 3 2" xfId="28897" xr:uid="{00000000-0005-0000-0000-000099A50000}"/>
    <cellStyle name="표준 5 4 3 3 2 2 2 3 3" xfId="37108" xr:uid="{00000000-0005-0000-0000-00009AA50000}"/>
    <cellStyle name="표준 5 4 3 3 2 2 2 3 4" xfId="45301" xr:uid="{00000000-0005-0000-0000-00009BA50000}"/>
    <cellStyle name="표준 5 4 3 3 2 2 2 4" xfId="12303" xr:uid="{00000000-0005-0000-0000-00009CA50000}"/>
    <cellStyle name="표준 5 4 3 3 2 2 2 5" xfId="16543" xr:uid="{00000000-0005-0000-0000-00009DA50000}"/>
    <cellStyle name="표준 5 4 3 3 2 2 2 6" xfId="20705" xr:uid="{00000000-0005-0000-0000-00009EA50000}"/>
    <cellStyle name="표준 5 4 3 3 2 2 2 7" xfId="24801" xr:uid="{00000000-0005-0000-0000-00009FA50000}"/>
    <cellStyle name="표준 5 4 3 3 2 2 2 8" xfId="33012" xr:uid="{00000000-0005-0000-0000-0000A0A50000}"/>
    <cellStyle name="표준 5 4 3 3 2 2 2 9" xfId="41205" xr:uid="{00000000-0005-0000-0000-0000A1A50000}"/>
    <cellStyle name="표준 5 4 3 3 2 2 3" xfId="1848" xr:uid="{00000000-0005-0000-0000-0000A2A50000}"/>
    <cellStyle name="표준 5 4 3 3 2 2 3 2" xfId="10751" xr:uid="{00000000-0005-0000-0000-0000A3A50000}"/>
    <cellStyle name="표준 5 4 3 3 2 2 3 2 2" xfId="14863" xr:uid="{00000000-0005-0000-0000-0000A4A50000}"/>
    <cellStyle name="표준 5 4 3 3 2 2 3 2 2 2" xfId="31457" xr:uid="{00000000-0005-0000-0000-0000A5A50000}"/>
    <cellStyle name="표준 5 4 3 3 2 2 3 2 2 3" xfId="39668" xr:uid="{00000000-0005-0000-0000-0000A6A50000}"/>
    <cellStyle name="표준 5 4 3 3 2 2 3 2 2 4" xfId="47861" xr:uid="{00000000-0005-0000-0000-0000A7A50000}"/>
    <cellStyle name="표준 5 4 3 3 2 2 3 2 3" xfId="19103" xr:uid="{00000000-0005-0000-0000-0000A8A50000}"/>
    <cellStyle name="표준 5 4 3 3 2 2 3 2 4" xfId="23265" xr:uid="{00000000-0005-0000-0000-0000A9A50000}"/>
    <cellStyle name="표준 5 4 3 3 2 2 3 2 5" xfId="27361" xr:uid="{00000000-0005-0000-0000-0000AAA50000}"/>
    <cellStyle name="표준 5 4 3 3 2 2 3 2 6" xfId="35572" xr:uid="{00000000-0005-0000-0000-0000ABA50000}"/>
    <cellStyle name="표준 5 4 3 3 2 2 3 2 7" xfId="43765" xr:uid="{00000000-0005-0000-0000-0000ACA50000}"/>
    <cellStyle name="표준 5 4 3 3 2 2 3 3" xfId="8703" xr:uid="{00000000-0005-0000-0000-0000ADA50000}"/>
    <cellStyle name="표준 5 4 3 3 2 2 3 3 2" xfId="29409" xr:uid="{00000000-0005-0000-0000-0000AEA50000}"/>
    <cellStyle name="표준 5 4 3 3 2 2 3 3 3" xfId="37620" xr:uid="{00000000-0005-0000-0000-0000AFA50000}"/>
    <cellStyle name="표준 5 4 3 3 2 2 3 3 4" xfId="45813" xr:uid="{00000000-0005-0000-0000-0000B0A50000}"/>
    <cellStyle name="표준 5 4 3 3 2 2 3 4" xfId="12815" xr:uid="{00000000-0005-0000-0000-0000B1A50000}"/>
    <cellStyle name="표준 5 4 3 3 2 2 3 5" xfId="17055" xr:uid="{00000000-0005-0000-0000-0000B2A50000}"/>
    <cellStyle name="표준 5 4 3 3 2 2 3 6" xfId="21217" xr:uid="{00000000-0005-0000-0000-0000B3A50000}"/>
    <cellStyle name="표준 5 4 3 3 2 2 3 7" xfId="25313" xr:uid="{00000000-0005-0000-0000-0000B4A50000}"/>
    <cellStyle name="표준 5 4 3 3 2 2 3 8" xfId="33524" xr:uid="{00000000-0005-0000-0000-0000B5A50000}"/>
    <cellStyle name="표준 5 4 3 3 2 2 3 9" xfId="41717" xr:uid="{00000000-0005-0000-0000-0000B6A50000}"/>
    <cellStyle name="표준 5 4 3 3 2 2 4" xfId="2360" xr:uid="{00000000-0005-0000-0000-0000B7A50000}"/>
    <cellStyle name="표준 5 4 3 3 2 2 4 2" xfId="11263" xr:uid="{00000000-0005-0000-0000-0000B8A50000}"/>
    <cellStyle name="표준 5 4 3 3 2 2 4 2 2" xfId="15375" xr:uid="{00000000-0005-0000-0000-0000B9A50000}"/>
    <cellStyle name="표준 5 4 3 3 2 2 4 2 2 2" xfId="31969" xr:uid="{00000000-0005-0000-0000-0000BAA50000}"/>
    <cellStyle name="표준 5 4 3 3 2 2 4 2 2 3" xfId="40180" xr:uid="{00000000-0005-0000-0000-0000BBA50000}"/>
    <cellStyle name="표준 5 4 3 3 2 2 4 2 2 4" xfId="48373" xr:uid="{00000000-0005-0000-0000-0000BCA50000}"/>
    <cellStyle name="표준 5 4 3 3 2 2 4 2 3" xfId="19615" xr:uid="{00000000-0005-0000-0000-0000BDA50000}"/>
    <cellStyle name="표준 5 4 3 3 2 2 4 2 4" xfId="23777" xr:uid="{00000000-0005-0000-0000-0000BEA50000}"/>
    <cellStyle name="표준 5 4 3 3 2 2 4 2 5" xfId="27873" xr:uid="{00000000-0005-0000-0000-0000BFA50000}"/>
    <cellStyle name="표준 5 4 3 3 2 2 4 2 6" xfId="36084" xr:uid="{00000000-0005-0000-0000-0000C0A50000}"/>
    <cellStyle name="표준 5 4 3 3 2 2 4 2 7" xfId="44277" xr:uid="{00000000-0005-0000-0000-0000C1A50000}"/>
    <cellStyle name="표준 5 4 3 3 2 2 4 3" xfId="9215" xr:uid="{00000000-0005-0000-0000-0000C2A50000}"/>
    <cellStyle name="표준 5 4 3 3 2 2 4 3 2" xfId="29921" xr:uid="{00000000-0005-0000-0000-0000C3A50000}"/>
    <cellStyle name="표준 5 4 3 3 2 2 4 3 3" xfId="38132" xr:uid="{00000000-0005-0000-0000-0000C4A50000}"/>
    <cellStyle name="표준 5 4 3 3 2 2 4 3 4" xfId="46325" xr:uid="{00000000-0005-0000-0000-0000C5A50000}"/>
    <cellStyle name="표준 5 4 3 3 2 2 4 4" xfId="13327" xr:uid="{00000000-0005-0000-0000-0000C6A50000}"/>
    <cellStyle name="표준 5 4 3 3 2 2 4 5" xfId="17567" xr:uid="{00000000-0005-0000-0000-0000C7A50000}"/>
    <cellStyle name="표준 5 4 3 3 2 2 4 6" xfId="21729" xr:uid="{00000000-0005-0000-0000-0000C8A50000}"/>
    <cellStyle name="표준 5 4 3 3 2 2 4 7" xfId="25825" xr:uid="{00000000-0005-0000-0000-0000C9A50000}"/>
    <cellStyle name="표준 5 4 3 3 2 2 4 8" xfId="34036" xr:uid="{00000000-0005-0000-0000-0000CAA50000}"/>
    <cellStyle name="표준 5 4 3 3 2 2 4 9" xfId="42229" xr:uid="{00000000-0005-0000-0000-0000CBA50000}"/>
    <cellStyle name="표준 5 4 3 3 2 2 5" xfId="9727" xr:uid="{00000000-0005-0000-0000-0000CCA50000}"/>
    <cellStyle name="표준 5 4 3 3 2 2 5 2" xfId="13839" xr:uid="{00000000-0005-0000-0000-0000CDA50000}"/>
    <cellStyle name="표준 5 4 3 3 2 2 5 2 2" xfId="30433" xr:uid="{00000000-0005-0000-0000-0000CEA50000}"/>
    <cellStyle name="표준 5 4 3 3 2 2 5 2 3" xfId="38644" xr:uid="{00000000-0005-0000-0000-0000CFA50000}"/>
    <cellStyle name="표준 5 4 3 3 2 2 5 2 4" xfId="46837" xr:uid="{00000000-0005-0000-0000-0000D0A50000}"/>
    <cellStyle name="표준 5 4 3 3 2 2 5 3" xfId="18079" xr:uid="{00000000-0005-0000-0000-0000D1A50000}"/>
    <cellStyle name="표준 5 4 3 3 2 2 5 4" xfId="22241" xr:uid="{00000000-0005-0000-0000-0000D2A50000}"/>
    <cellStyle name="표준 5 4 3 3 2 2 5 5" xfId="26337" xr:uid="{00000000-0005-0000-0000-0000D3A50000}"/>
    <cellStyle name="표준 5 4 3 3 2 2 5 6" xfId="34548" xr:uid="{00000000-0005-0000-0000-0000D4A50000}"/>
    <cellStyle name="표준 5 4 3 3 2 2 5 7" xfId="42741" xr:uid="{00000000-0005-0000-0000-0000D5A50000}"/>
    <cellStyle name="표준 5 4 3 3 2 2 6" xfId="7679" xr:uid="{00000000-0005-0000-0000-0000D6A50000}"/>
    <cellStyle name="표준 5 4 3 3 2 2 6 2" xfId="28385" xr:uid="{00000000-0005-0000-0000-0000D7A50000}"/>
    <cellStyle name="표준 5 4 3 3 2 2 6 3" xfId="36596" xr:uid="{00000000-0005-0000-0000-0000D8A50000}"/>
    <cellStyle name="표준 5 4 3 3 2 2 6 4" xfId="44789" xr:uid="{00000000-0005-0000-0000-0000D9A50000}"/>
    <cellStyle name="표준 5 4 3 3 2 2 7" xfId="11791" xr:uid="{00000000-0005-0000-0000-0000DAA50000}"/>
    <cellStyle name="표준 5 4 3 3 2 2 8" xfId="16031" xr:uid="{00000000-0005-0000-0000-0000DBA50000}"/>
    <cellStyle name="표준 5 4 3 3 2 2 9" xfId="20193" xr:uid="{00000000-0005-0000-0000-0000DCA50000}"/>
    <cellStyle name="표준 5 4 3 3 2 3" xfId="1080" xr:uid="{00000000-0005-0000-0000-0000DDA50000}"/>
    <cellStyle name="표준 5 4 3 3 2 3 2" xfId="9983" xr:uid="{00000000-0005-0000-0000-0000DEA50000}"/>
    <cellStyle name="표준 5 4 3 3 2 3 2 2" xfId="14095" xr:uid="{00000000-0005-0000-0000-0000DFA50000}"/>
    <cellStyle name="표준 5 4 3 3 2 3 2 2 2" xfId="30689" xr:uid="{00000000-0005-0000-0000-0000E0A50000}"/>
    <cellStyle name="표준 5 4 3 3 2 3 2 2 3" xfId="38900" xr:uid="{00000000-0005-0000-0000-0000E1A50000}"/>
    <cellStyle name="표준 5 4 3 3 2 3 2 2 4" xfId="47093" xr:uid="{00000000-0005-0000-0000-0000E2A50000}"/>
    <cellStyle name="표준 5 4 3 3 2 3 2 3" xfId="18335" xr:uid="{00000000-0005-0000-0000-0000E3A50000}"/>
    <cellStyle name="표준 5 4 3 3 2 3 2 4" xfId="22497" xr:uid="{00000000-0005-0000-0000-0000E4A50000}"/>
    <cellStyle name="표준 5 4 3 3 2 3 2 5" xfId="26593" xr:uid="{00000000-0005-0000-0000-0000E5A50000}"/>
    <cellStyle name="표준 5 4 3 3 2 3 2 6" xfId="34804" xr:uid="{00000000-0005-0000-0000-0000E6A50000}"/>
    <cellStyle name="표준 5 4 3 3 2 3 2 7" xfId="42997" xr:uid="{00000000-0005-0000-0000-0000E7A50000}"/>
    <cellStyle name="표준 5 4 3 3 2 3 3" xfId="7935" xr:uid="{00000000-0005-0000-0000-0000E8A50000}"/>
    <cellStyle name="표준 5 4 3 3 2 3 3 2" xfId="28641" xr:uid="{00000000-0005-0000-0000-0000E9A50000}"/>
    <cellStyle name="표준 5 4 3 3 2 3 3 3" xfId="36852" xr:uid="{00000000-0005-0000-0000-0000EAA50000}"/>
    <cellStyle name="표준 5 4 3 3 2 3 3 4" xfId="45045" xr:uid="{00000000-0005-0000-0000-0000EBA50000}"/>
    <cellStyle name="표준 5 4 3 3 2 3 4" xfId="12047" xr:uid="{00000000-0005-0000-0000-0000ECA50000}"/>
    <cellStyle name="표준 5 4 3 3 2 3 5" xfId="16287" xr:uid="{00000000-0005-0000-0000-0000EDA50000}"/>
    <cellStyle name="표준 5 4 3 3 2 3 6" xfId="20449" xr:uid="{00000000-0005-0000-0000-0000EEA50000}"/>
    <cellStyle name="표준 5 4 3 3 2 3 7" xfId="24545" xr:uid="{00000000-0005-0000-0000-0000EFA50000}"/>
    <cellStyle name="표준 5 4 3 3 2 3 8" xfId="32756" xr:uid="{00000000-0005-0000-0000-0000F0A50000}"/>
    <cellStyle name="표준 5 4 3 3 2 3 9" xfId="40949" xr:uid="{00000000-0005-0000-0000-0000F1A50000}"/>
    <cellStyle name="표준 5 4 3 3 2 4" xfId="1592" xr:uid="{00000000-0005-0000-0000-0000F2A50000}"/>
    <cellStyle name="표준 5 4 3 3 2 4 2" xfId="10495" xr:uid="{00000000-0005-0000-0000-0000F3A50000}"/>
    <cellStyle name="표준 5 4 3 3 2 4 2 2" xfId="14607" xr:uid="{00000000-0005-0000-0000-0000F4A50000}"/>
    <cellStyle name="표준 5 4 3 3 2 4 2 2 2" xfId="31201" xr:uid="{00000000-0005-0000-0000-0000F5A50000}"/>
    <cellStyle name="표준 5 4 3 3 2 4 2 2 3" xfId="39412" xr:uid="{00000000-0005-0000-0000-0000F6A50000}"/>
    <cellStyle name="표준 5 4 3 3 2 4 2 2 4" xfId="47605" xr:uid="{00000000-0005-0000-0000-0000F7A50000}"/>
    <cellStyle name="표준 5 4 3 3 2 4 2 3" xfId="18847" xr:uid="{00000000-0005-0000-0000-0000F8A50000}"/>
    <cellStyle name="표준 5 4 3 3 2 4 2 4" xfId="23009" xr:uid="{00000000-0005-0000-0000-0000F9A50000}"/>
    <cellStyle name="표준 5 4 3 3 2 4 2 5" xfId="27105" xr:uid="{00000000-0005-0000-0000-0000FAA50000}"/>
    <cellStyle name="표준 5 4 3 3 2 4 2 6" xfId="35316" xr:uid="{00000000-0005-0000-0000-0000FBA50000}"/>
    <cellStyle name="표준 5 4 3 3 2 4 2 7" xfId="43509" xr:uid="{00000000-0005-0000-0000-0000FCA50000}"/>
    <cellStyle name="표준 5 4 3 3 2 4 3" xfId="8447" xr:uid="{00000000-0005-0000-0000-0000FDA50000}"/>
    <cellStyle name="표준 5 4 3 3 2 4 3 2" xfId="29153" xr:uid="{00000000-0005-0000-0000-0000FEA50000}"/>
    <cellStyle name="표준 5 4 3 3 2 4 3 3" xfId="37364" xr:uid="{00000000-0005-0000-0000-0000FFA50000}"/>
    <cellStyle name="표준 5 4 3 3 2 4 3 4" xfId="45557" xr:uid="{00000000-0005-0000-0000-000000A60000}"/>
    <cellStyle name="표준 5 4 3 3 2 4 4" xfId="12559" xr:uid="{00000000-0005-0000-0000-000001A60000}"/>
    <cellStyle name="표준 5 4 3 3 2 4 5" xfId="16799" xr:uid="{00000000-0005-0000-0000-000002A60000}"/>
    <cellStyle name="표준 5 4 3 3 2 4 6" xfId="20961" xr:uid="{00000000-0005-0000-0000-000003A60000}"/>
    <cellStyle name="표준 5 4 3 3 2 4 7" xfId="25057" xr:uid="{00000000-0005-0000-0000-000004A60000}"/>
    <cellStyle name="표준 5 4 3 3 2 4 8" xfId="33268" xr:uid="{00000000-0005-0000-0000-000005A60000}"/>
    <cellStyle name="표준 5 4 3 3 2 4 9" xfId="41461" xr:uid="{00000000-0005-0000-0000-000006A60000}"/>
    <cellStyle name="표준 5 4 3 3 2 5" xfId="2104" xr:uid="{00000000-0005-0000-0000-000007A60000}"/>
    <cellStyle name="표준 5 4 3 3 2 5 2" xfId="11007" xr:uid="{00000000-0005-0000-0000-000008A60000}"/>
    <cellStyle name="표준 5 4 3 3 2 5 2 2" xfId="15119" xr:uid="{00000000-0005-0000-0000-000009A60000}"/>
    <cellStyle name="표준 5 4 3 3 2 5 2 2 2" xfId="31713" xr:uid="{00000000-0005-0000-0000-00000AA60000}"/>
    <cellStyle name="표준 5 4 3 3 2 5 2 2 3" xfId="39924" xr:uid="{00000000-0005-0000-0000-00000BA60000}"/>
    <cellStyle name="표준 5 4 3 3 2 5 2 2 4" xfId="48117" xr:uid="{00000000-0005-0000-0000-00000CA60000}"/>
    <cellStyle name="표준 5 4 3 3 2 5 2 3" xfId="19359" xr:uid="{00000000-0005-0000-0000-00000DA60000}"/>
    <cellStyle name="표준 5 4 3 3 2 5 2 4" xfId="23521" xr:uid="{00000000-0005-0000-0000-00000EA60000}"/>
    <cellStyle name="표준 5 4 3 3 2 5 2 5" xfId="27617" xr:uid="{00000000-0005-0000-0000-00000FA60000}"/>
    <cellStyle name="표준 5 4 3 3 2 5 2 6" xfId="35828" xr:uid="{00000000-0005-0000-0000-000010A60000}"/>
    <cellStyle name="표준 5 4 3 3 2 5 2 7" xfId="44021" xr:uid="{00000000-0005-0000-0000-000011A60000}"/>
    <cellStyle name="표준 5 4 3 3 2 5 3" xfId="8959" xr:uid="{00000000-0005-0000-0000-000012A60000}"/>
    <cellStyle name="표준 5 4 3 3 2 5 3 2" xfId="29665" xr:uid="{00000000-0005-0000-0000-000013A60000}"/>
    <cellStyle name="표준 5 4 3 3 2 5 3 3" xfId="37876" xr:uid="{00000000-0005-0000-0000-000014A60000}"/>
    <cellStyle name="표준 5 4 3 3 2 5 3 4" xfId="46069" xr:uid="{00000000-0005-0000-0000-000015A60000}"/>
    <cellStyle name="표준 5 4 3 3 2 5 4" xfId="13071" xr:uid="{00000000-0005-0000-0000-000016A60000}"/>
    <cellStyle name="표준 5 4 3 3 2 5 5" xfId="17311" xr:uid="{00000000-0005-0000-0000-000017A60000}"/>
    <cellStyle name="표준 5 4 3 3 2 5 6" xfId="21473" xr:uid="{00000000-0005-0000-0000-000018A60000}"/>
    <cellStyle name="표준 5 4 3 3 2 5 7" xfId="25569" xr:uid="{00000000-0005-0000-0000-000019A60000}"/>
    <cellStyle name="표준 5 4 3 3 2 5 8" xfId="33780" xr:uid="{00000000-0005-0000-0000-00001AA60000}"/>
    <cellStyle name="표준 5 4 3 3 2 5 9" xfId="41973" xr:uid="{00000000-0005-0000-0000-00001BA60000}"/>
    <cellStyle name="표준 5 4 3 3 2 6" xfId="9471" xr:uid="{00000000-0005-0000-0000-00001CA60000}"/>
    <cellStyle name="표준 5 4 3 3 2 6 2" xfId="13583" xr:uid="{00000000-0005-0000-0000-00001DA60000}"/>
    <cellStyle name="표준 5 4 3 3 2 6 2 2" xfId="30177" xr:uid="{00000000-0005-0000-0000-00001EA60000}"/>
    <cellStyle name="표준 5 4 3 3 2 6 2 3" xfId="38388" xr:uid="{00000000-0005-0000-0000-00001FA60000}"/>
    <cellStyle name="표준 5 4 3 3 2 6 2 4" xfId="46581" xr:uid="{00000000-0005-0000-0000-000020A60000}"/>
    <cellStyle name="표준 5 4 3 3 2 6 3" xfId="17823" xr:uid="{00000000-0005-0000-0000-000021A60000}"/>
    <cellStyle name="표준 5 4 3 3 2 6 4" xfId="21985" xr:uid="{00000000-0005-0000-0000-000022A60000}"/>
    <cellStyle name="표준 5 4 3 3 2 6 5" xfId="26081" xr:uid="{00000000-0005-0000-0000-000023A60000}"/>
    <cellStyle name="표준 5 4 3 3 2 6 6" xfId="34292" xr:uid="{00000000-0005-0000-0000-000024A60000}"/>
    <cellStyle name="표준 5 4 3 3 2 6 7" xfId="42485" xr:uid="{00000000-0005-0000-0000-000025A60000}"/>
    <cellStyle name="표준 5 4 3 3 2 7" xfId="7423" xr:uid="{00000000-0005-0000-0000-000026A60000}"/>
    <cellStyle name="표준 5 4 3 3 2 7 2" xfId="28129" xr:uid="{00000000-0005-0000-0000-000027A60000}"/>
    <cellStyle name="표준 5 4 3 3 2 7 3" xfId="36340" xr:uid="{00000000-0005-0000-0000-000028A60000}"/>
    <cellStyle name="표준 5 4 3 3 2 7 4" xfId="44533" xr:uid="{00000000-0005-0000-0000-000029A60000}"/>
    <cellStyle name="표준 5 4 3 3 2 8" xfId="11535" xr:uid="{00000000-0005-0000-0000-00002AA60000}"/>
    <cellStyle name="표준 5 4 3 3 2 9" xfId="15775" xr:uid="{00000000-0005-0000-0000-00002BA60000}"/>
    <cellStyle name="표준 5 4 3 3 3" xfId="696" xr:uid="{00000000-0005-0000-0000-00002CA60000}"/>
    <cellStyle name="표준 5 4 3 3 3 10" xfId="24161" xr:uid="{00000000-0005-0000-0000-00002DA60000}"/>
    <cellStyle name="표준 5 4 3 3 3 11" xfId="32372" xr:uid="{00000000-0005-0000-0000-00002EA60000}"/>
    <cellStyle name="표준 5 4 3 3 3 12" xfId="40565" xr:uid="{00000000-0005-0000-0000-00002FA60000}"/>
    <cellStyle name="표준 5 4 3 3 3 2" xfId="1208" xr:uid="{00000000-0005-0000-0000-000030A60000}"/>
    <cellStyle name="표준 5 4 3 3 3 2 2" xfId="10111" xr:uid="{00000000-0005-0000-0000-000031A60000}"/>
    <cellStyle name="표준 5 4 3 3 3 2 2 2" xfId="14223" xr:uid="{00000000-0005-0000-0000-000032A60000}"/>
    <cellStyle name="표준 5 4 3 3 3 2 2 2 2" xfId="30817" xr:uid="{00000000-0005-0000-0000-000033A60000}"/>
    <cellStyle name="표준 5 4 3 3 3 2 2 2 3" xfId="39028" xr:uid="{00000000-0005-0000-0000-000034A60000}"/>
    <cellStyle name="표준 5 4 3 3 3 2 2 2 4" xfId="47221" xr:uid="{00000000-0005-0000-0000-000035A60000}"/>
    <cellStyle name="표준 5 4 3 3 3 2 2 3" xfId="18463" xr:uid="{00000000-0005-0000-0000-000036A60000}"/>
    <cellStyle name="표준 5 4 3 3 3 2 2 4" xfId="22625" xr:uid="{00000000-0005-0000-0000-000037A60000}"/>
    <cellStyle name="표준 5 4 3 3 3 2 2 5" xfId="26721" xr:uid="{00000000-0005-0000-0000-000038A60000}"/>
    <cellStyle name="표준 5 4 3 3 3 2 2 6" xfId="34932" xr:uid="{00000000-0005-0000-0000-000039A60000}"/>
    <cellStyle name="표준 5 4 3 3 3 2 2 7" xfId="43125" xr:uid="{00000000-0005-0000-0000-00003AA60000}"/>
    <cellStyle name="표준 5 4 3 3 3 2 3" xfId="8063" xr:uid="{00000000-0005-0000-0000-00003BA60000}"/>
    <cellStyle name="표준 5 4 3 3 3 2 3 2" xfId="28769" xr:uid="{00000000-0005-0000-0000-00003CA60000}"/>
    <cellStyle name="표준 5 4 3 3 3 2 3 3" xfId="36980" xr:uid="{00000000-0005-0000-0000-00003DA60000}"/>
    <cellStyle name="표준 5 4 3 3 3 2 3 4" xfId="45173" xr:uid="{00000000-0005-0000-0000-00003EA60000}"/>
    <cellStyle name="표준 5 4 3 3 3 2 4" xfId="12175" xr:uid="{00000000-0005-0000-0000-00003FA60000}"/>
    <cellStyle name="표준 5 4 3 3 3 2 5" xfId="16415" xr:uid="{00000000-0005-0000-0000-000040A60000}"/>
    <cellStyle name="표준 5 4 3 3 3 2 6" xfId="20577" xr:uid="{00000000-0005-0000-0000-000041A60000}"/>
    <cellStyle name="표준 5 4 3 3 3 2 7" xfId="24673" xr:uid="{00000000-0005-0000-0000-000042A60000}"/>
    <cellStyle name="표준 5 4 3 3 3 2 8" xfId="32884" xr:uid="{00000000-0005-0000-0000-000043A60000}"/>
    <cellStyle name="표준 5 4 3 3 3 2 9" xfId="41077" xr:uid="{00000000-0005-0000-0000-000044A60000}"/>
    <cellStyle name="표준 5 4 3 3 3 3" xfId="1720" xr:uid="{00000000-0005-0000-0000-000045A60000}"/>
    <cellStyle name="표준 5 4 3 3 3 3 2" xfId="10623" xr:uid="{00000000-0005-0000-0000-000046A60000}"/>
    <cellStyle name="표준 5 4 3 3 3 3 2 2" xfId="14735" xr:uid="{00000000-0005-0000-0000-000047A60000}"/>
    <cellStyle name="표준 5 4 3 3 3 3 2 2 2" xfId="31329" xr:uid="{00000000-0005-0000-0000-000048A60000}"/>
    <cellStyle name="표준 5 4 3 3 3 3 2 2 3" xfId="39540" xr:uid="{00000000-0005-0000-0000-000049A60000}"/>
    <cellStyle name="표준 5 4 3 3 3 3 2 2 4" xfId="47733" xr:uid="{00000000-0005-0000-0000-00004AA60000}"/>
    <cellStyle name="표준 5 4 3 3 3 3 2 3" xfId="18975" xr:uid="{00000000-0005-0000-0000-00004BA60000}"/>
    <cellStyle name="표준 5 4 3 3 3 3 2 4" xfId="23137" xr:uid="{00000000-0005-0000-0000-00004CA60000}"/>
    <cellStyle name="표준 5 4 3 3 3 3 2 5" xfId="27233" xr:uid="{00000000-0005-0000-0000-00004DA60000}"/>
    <cellStyle name="표준 5 4 3 3 3 3 2 6" xfId="35444" xr:uid="{00000000-0005-0000-0000-00004EA60000}"/>
    <cellStyle name="표준 5 4 3 3 3 3 2 7" xfId="43637" xr:uid="{00000000-0005-0000-0000-00004FA60000}"/>
    <cellStyle name="표준 5 4 3 3 3 3 3" xfId="8575" xr:uid="{00000000-0005-0000-0000-000050A60000}"/>
    <cellStyle name="표준 5 4 3 3 3 3 3 2" xfId="29281" xr:uid="{00000000-0005-0000-0000-000051A60000}"/>
    <cellStyle name="표준 5 4 3 3 3 3 3 3" xfId="37492" xr:uid="{00000000-0005-0000-0000-000052A60000}"/>
    <cellStyle name="표준 5 4 3 3 3 3 3 4" xfId="45685" xr:uid="{00000000-0005-0000-0000-000053A60000}"/>
    <cellStyle name="표준 5 4 3 3 3 3 4" xfId="12687" xr:uid="{00000000-0005-0000-0000-000054A60000}"/>
    <cellStyle name="표준 5 4 3 3 3 3 5" xfId="16927" xr:uid="{00000000-0005-0000-0000-000055A60000}"/>
    <cellStyle name="표준 5 4 3 3 3 3 6" xfId="21089" xr:uid="{00000000-0005-0000-0000-000056A60000}"/>
    <cellStyle name="표준 5 4 3 3 3 3 7" xfId="25185" xr:uid="{00000000-0005-0000-0000-000057A60000}"/>
    <cellStyle name="표준 5 4 3 3 3 3 8" xfId="33396" xr:uid="{00000000-0005-0000-0000-000058A60000}"/>
    <cellStyle name="표준 5 4 3 3 3 3 9" xfId="41589" xr:uid="{00000000-0005-0000-0000-000059A60000}"/>
    <cellStyle name="표준 5 4 3 3 3 4" xfId="2232" xr:uid="{00000000-0005-0000-0000-00005AA60000}"/>
    <cellStyle name="표준 5 4 3 3 3 4 2" xfId="11135" xr:uid="{00000000-0005-0000-0000-00005BA60000}"/>
    <cellStyle name="표준 5 4 3 3 3 4 2 2" xfId="15247" xr:uid="{00000000-0005-0000-0000-00005CA60000}"/>
    <cellStyle name="표준 5 4 3 3 3 4 2 2 2" xfId="31841" xr:uid="{00000000-0005-0000-0000-00005DA60000}"/>
    <cellStyle name="표준 5 4 3 3 3 4 2 2 3" xfId="40052" xr:uid="{00000000-0005-0000-0000-00005EA60000}"/>
    <cellStyle name="표준 5 4 3 3 3 4 2 2 4" xfId="48245" xr:uid="{00000000-0005-0000-0000-00005FA60000}"/>
    <cellStyle name="표준 5 4 3 3 3 4 2 3" xfId="19487" xr:uid="{00000000-0005-0000-0000-000060A60000}"/>
    <cellStyle name="표준 5 4 3 3 3 4 2 4" xfId="23649" xr:uid="{00000000-0005-0000-0000-000061A60000}"/>
    <cellStyle name="표준 5 4 3 3 3 4 2 5" xfId="27745" xr:uid="{00000000-0005-0000-0000-000062A60000}"/>
    <cellStyle name="표준 5 4 3 3 3 4 2 6" xfId="35956" xr:uid="{00000000-0005-0000-0000-000063A60000}"/>
    <cellStyle name="표준 5 4 3 3 3 4 2 7" xfId="44149" xr:uid="{00000000-0005-0000-0000-000064A60000}"/>
    <cellStyle name="표준 5 4 3 3 3 4 3" xfId="9087" xr:uid="{00000000-0005-0000-0000-000065A60000}"/>
    <cellStyle name="표준 5 4 3 3 3 4 3 2" xfId="29793" xr:uid="{00000000-0005-0000-0000-000066A60000}"/>
    <cellStyle name="표준 5 4 3 3 3 4 3 3" xfId="38004" xr:uid="{00000000-0005-0000-0000-000067A60000}"/>
    <cellStyle name="표준 5 4 3 3 3 4 3 4" xfId="46197" xr:uid="{00000000-0005-0000-0000-000068A60000}"/>
    <cellStyle name="표준 5 4 3 3 3 4 4" xfId="13199" xr:uid="{00000000-0005-0000-0000-000069A60000}"/>
    <cellStyle name="표준 5 4 3 3 3 4 5" xfId="17439" xr:uid="{00000000-0005-0000-0000-00006AA60000}"/>
    <cellStyle name="표준 5 4 3 3 3 4 6" xfId="21601" xr:uid="{00000000-0005-0000-0000-00006BA60000}"/>
    <cellStyle name="표준 5 4 3 3 3 4 7" xfId="25697" xr:uid="{00000000-0005-0000-0000-00006CA60000}"/>
    <cellStyle name="표준 5 4 3 3 3 4 8" xfId="33908" xr:uid="{00000000-0005-0000-0000-00006DA60000}"/>
    <cellStyle name="표준 5 4 3 3 3 4 9" xfId="42101" xr:uid="{00000000-0005-0000-0000-00006EA60000}"/>
    <cellStyle name="표준 5 4 3 3 3 5" xfId="9599" xr:uid="{00000000-0005-0000-0000-00006FA60000}"/>
    <cellStyle name="표준 5 4 3 3 3 5 2" xfId="13711" xr:uid="{00000000-0005-0000-0000-000070A60000}"/>
    <cellStyle name="표준 5 4 3 3 3 5 2 2" xfId="30305" xr:uid="{00000000-0005-0000-0000-000071A60000}"/>
    <cellStyle name="표준 5 4 3 3 3 5 2 3" xfId="38516" xr:uid="{00000000-0005-0000-0000-000072A60000}"/>
    <cellStyle name="표준 5 4 3 3 3 5 2 4" xfId="46709" xr:uid="{00000000-0005-0000-0000-000073A60000}"/>
    <cellStyle name="표준 5 4 3 3 3 5 3" xfId="17951" xr:uid="{00000000-0005-0000-0000-000074A60000}"/>
    <cellStyle name="표준 5 4 3 3 3 5 4" xfId="22113" xr:uid="{00000000-0005-0000-0000-000075A60000}"/>
    <cellStyle name="표준 5 4 3 3 3 5 5" xfId="26209" xr:uid="{00000000-0005-0000-0000-000076A60000}"/>
    <cellStyle name="표준 5 4 3 3 3 5 6" xfId="34420" xr:uid="{00000000-0005-0000-0000-000077A60000}"/>
    <cellStyle name="표준 5 4 3 3 3 5 7" xfId="42613" xr:uid="{00000000-0005-0000-0000-000078A60000}"/>
    <cellStyle name="표준 5 4 3 3 3 6" xfId="7551" xr:uid="{00000000-0005-0000-0000-000079A60000}"/>
    <cellStyle name="표준 5 4 3 3 3 6 2" xfId="28257" xr:uid="{00000000-0005-0000-0000-00007AA60000}"/>
    <cellStyle name="표준 5 4 3 3 3 6 3" xfId="36468" xr:uid="{00000000-0005-0000-0000-00007BA60000}"/>
    <cellStyle name="표준 5 4 3 3 3 6 4" xfId="44661" xr:uid="{00000000-0005-0000-0000-00007CA60000}"/>
    <cellStyle name="표준 5 4 3 3 3 7" xfId="11663" xr:uid="{00000000-0005-0000-0000-00007DA60000}"/>
    <cellStyle name="표준 5 4 3 3 3 8" xfId="15903" xr:uid="{00000000-0005-0000-0000-00007EA60000}"/>
    <cellStyle name="표준 5 4 3 3 3 9" xfId="20065" xr:uid="{00000000-0005-0000-0000-00007FA60000}"/>
    <cellStyle name="표준 5 4 3 3 4" xfId="952" xr:uid="{00000000-0005-0000-0000-000080A60000}"/>
    <cellStyle name="표준 5 4 3 3 4 2" xfId="9855" xr:uid="{00000000-0005-0000-0000-000081A60000}"/>
    <cellStyle name="표준 5 4 3 3 4 2 2" xfId="13967" xr:uid="{00000000-0005-0000-0000-000082A60000}"/>
    <cellStyle name="표준 5 4 3 3 4 2 2 2" xfId="30561" xr:uid="{00000000-0005-0000-0000-000083A60000}"/>
    <cellStyle name="표준 5 4 3 3 4 2 2 3" xfId="38772" xr:uid="{00000000-0005-0000-0000-000084A60000}"/>
    <cellStyle name="표준 5 4 3 3 4 2 2 4" xfId="46965" xr:uid="{00000000-0005-0000-0000-000085A60000}"/>
    <cellStyle name="표준 5 4 3 3 4 2 3" xfId="18207" xr:uid="{00000000-0005-0000-0000-000086A60000}"/>
    <cellStyle name="표준 5 4 3 3 4 2 4" xfId="22369" xr:uid="{00000000-0005-0000-0000-000087A60000}"/>
    <cellStyle name="표준 5 4 3 3 4 2 5" xfId="26465" xr:uid="{00000000-0005-0000-0000-000088A60000}"/>
    <cellStyle name="표준 5 4 3 3 4 2 6" xfId="34676" xr:uid="{00000000-0005-0000-0000-000089A60000}"/>
    <cellStyle name="표준 5 4 3 3 4 2 7" xfId="42869" xr:uid="{00000000-0005-0000-0000-00008AA60000}"/>
    <cellStyle name="표준 5 4 3 3 4 3" xfId="7807" xr:uid="{00000000-0005-0000-0000-00008BA60000}"/>
    <cellStyle name="표준 5 4 3 3 4 3 2" xfId="28513" xr:uid="{00000000-0005-0000-0000-00008CA60000}"/>
    <cellStyle name="표준 5 4 3 3 4 3 3" xfId="36724" xr:uid="{00000000-0005-0000-0000-00008DA60000}"/>
    <cellStyle name="표준 5 4 3 3 4 3 4" xfId="44917" xr:uid="{00000000-0005-0000-0000-00008EA60000}"/>
    <cellStyle name="표준 5 4 3 3 4 4" xfId="11919" xr:uid="{00000000-0005-0000-0000-00008FA60000}"/>
    <cellStyle name="표준 5 4 3 3 4 5" xfId="16159" xr:uid="{00000000-0005-0000-0000-000090A60000}"/>
    <cellStyle name="표준 5 4 3 3 4 6" xfId="20321" xr:uid="{00000000-0005-0000-0000-000091A60000}"/>
    <cellStyle name="표준 5 4 3 3 4 7" xfId="24417" xr:uid="{00000000-0005-0000-0000-000092A60000}"/>
    <cellStyle name="표준 5 4 3 3 4 8" xfId="32628" xr:uid="{00000000-0005-0000-0000-000093A60000}"/>
    <cellStyle name="표준 5 4 3 3 4 9" xfId="40821" xr:uid="{00000000-0005-0000-0000-000094A60000}"/>
    <cellStyle name="표준 5 4 3 3 5" xfId="1464" xr:uid="{00000000-0005-0000-0000-000095A60000}"/>
    <cellStyle name="표준 5 4 3 3 5 2" xfId="10367" xr:uid="{00000000-0005-0000-0000-000096A60000}"/>
    <cellStyle name="표준 5 4 3 3 5 2 2" xfId="14479" xr:uid="{00000000-0005-0000-0000-000097A60000}"/>
    <cellStyle name="표준 5 4 3 3 5 2 2 2" xfId="31073" xr:uid="{00000000-0005-0000-0000-000098A60000}"/>
    <cellStyle name="표준 5 4 3 3 5 2 2 3" xfId="39284" xr:uid="{00000000-0005-0000-0000-000099A60000}"/>
    <cellStyle name="표준 5 4 3 3 5 2 2 4" xfId="47477" xr:uid="{00000000-0005-0000-0000-00009AA60000}"/>
    <cellStyle name="표준 5 4 3 3 5 2 3" xfId="18719" xr:uid="{00000000-0005-0000-0000-00009BA60000}"/>
    <cellStyle name="표준 5 4 3 3 5 2 4" xfId="22881" xr:uid="{00000000-0005-0000-0000-00009CA60000}"/>
    <cellStyle name="표준 5 4 3 3 5 2 5" xfId="26977" xr:uid="{00000000-0005-0000-0000-00009DA60000}"/>
    <cellStyle name="표준 5 4 3 3 5 2 6" xfId="35188" xr:uid="{00000000-0005-0000-0000-00009EA60000}"/>
    <cellStyle name="표준 5 4 3 3 5 2 7" xfId="43381" xr:uid="{00000000-0005-0000-0000-00009FA60000}"/>
    <cellStyle name="표준 5 4 3 3 5 3" xfId="8319" xr:uid="{00000000-0005-0000-0000-0000A0A60000}"/>
    <cellStyle name="표준 5 4 3 3 5 3 2" xfId="29025" xr:uid="{00000000-0005-0000-0000-0000A1A60000}"/>
    <cellStyle name="표준 5 4 3 3 5 3 3" xfId="37236" xr:uid="{00000000-0005-0000-0000-0000A2A60000}"/>
    <cellStyle name="표준 5 4 3 3 5 3 4" xfId="45429" xr:uid="{00000000-0005-0000-0000-0000A3A60000}"/>
    <cellStyle name="표준 5 4 3 3 5 4" xfId="12431" xr:uid="{00000000-0005-0000-0000-0000A4A60000}"/>
    <cellStyle name="표준 5 4 3 3 5 5" xfId="16671" xr:uid="{00000000-0005-0000-0000-0000A5A60000}"/>
    <cellStyle name="표준 5 4 3 3 5 6" xfId="20833" xr:uid="{00000000-0005-0000-0000-0000A6A60000}"/>
    <cellStyle name="표준 5 4 3 3 5 7" xfId="24929" xr:uid="{00000000-0005-0000-0000-0000A7A60000}"/>
    <cellStyle name="표준 5 4 3 3 5 8" xfId="33140" xr:uid="{00000000-0005-0000-0000-0000A8A60000}"/>
    <cellStyle name="표준 5 4 3 3 5 9" xfId="41333" xr:uid="{00000000-0005-0000-0000-0000A9A60000}"/>
    <cellStyle name="표준 5 4 3 3 6" xfId="1976" xr:uid="{00000000-0005-0000-0000-0000AAA60000}"/>
    <cellStyle name="표준 5 4 3 3 6 2" xfId="10879" xr:uid="{00000000-0005-0000-0000-0000ABA60000}"/>
    <cellStyle name="표준 5 4 3 3 6 2 2" xfId="14991" xr:uid="{00000000-0005-0000-0000-0000ACA60000}"/>
    <cellStyle name="표준 5 4 3 3 6 2 2 2" xfId="31585" xr:uid="{00000000-0005-0000-0000-0000ADA60000}"/>
    <cellStyle name="표준 5 4 3 3 6 2 2 3" xfId="39796" xr:uid="{00000000-0005-0000-0000-0000AEA60000}"/>
    <cellStyle name="표준 5 4 3 3 6 2 2 4" xfId="47989" xr:uid="{00000000-0005-0000-0000-0000AFA60000}"/>
    <cellStyle name="표준 5 4 3 3 6 2 3" xfId="19231" xr:uid="{00000000-0005-0000-0000-0000B0A60000}"/>
    <cellStyle name="표준 5 4 3 3 6 2 4" xfId="23393" xr:uid="{00000000-0005-0000-0000-0000B1A60000}"/>
    <cellStyle name="표준 5 4 3 3 6 2 5" xfId="27489" xr:uid="{00000000-0005-0000-0000-0000B2A60000}"/>
    <cellStyle name="표준 5 4 3 3 6 2 6" xfId="35700" xr:uid="{00000000-0005-0000-0000-0000B3A60000}"/>
    <cellStyle name="표준 5 4 3 3 6 2 7" xfId="43893" xr:uid="{00000000-0005-0000-0000-0000B4A60000}"/>
    <cellStyle name="표준 5 4 3 3 6 3" xfId="8831" xr:uid="{00000000-0005-0000-0000-0000B5A60000}"/>
    <cellStyle name="표준 5 4 3 3 6 3 2" xfId="29537" xr:uid="{00000000-0005-0000-0000-0000B6A60000}"/>
    <cellStyle name="표준 5 4 3 3 6 3 3" xfId="37748" xr:uid="{00000000-0005-0000-0000-0000B7A60000}"/>
    <cellStyle name="표준 5 4 3 3 6 3 4" xfId="45941" xr:uid="{00000000-0005-0000-0000-0000B8A60000}"/>
    <cellStyle name="표준 5 4 3 3 6 4" xfId="12943" xr:uid="{00000000-0005-0000-0000-0000B9A60000}"/>
    <cellStyle name="표준 5 4 3 3 6 5" xfId="17183" xr:uid="{00000000-0005-0000-0000-0000BAA60000}"/>
    <cellStyle name="표준 5 4 3 3 6 6" xfId="21345" xr:uid="{00000000-0005-0000-0000-0000BBA60000}"/>
    <cellStyle name="표준 5 4 3 3 6 7" xfId="25441" xr:uid="{00000000-0005-0000-0000-0000BCA60000}"/>
    <cellStyle name="표준 5 4 3 3 6 8" xfId="33652" xr:uid="{00000000-0005-0000-0000-0000BDA60000}"/>
    <cellStyle name="표준 5 4 3 3 6 9" xfId="41845" xr:uid="{00000000-0005-0000-0000-0000BEA60000}"/>
    <cellStyle name="표준 5 4 3 3 7" xfId="9343" xr:uid="{00000000-0005-0000-0000-0000BFA60000}"/>
    <cellStyle name="표준 5 4 3 3 7 2" xfId="13455" xr:uid="{00000000-0005-0000-0000-0000C0A60000}"/>
    <cellStyle name="표준 5 4 3 3 7 2 2" xfId="30049" xr:uid="{00000000-0005-0000-0000-0000C1A60000}"/>
    <cellStyle name="표준 5 4 3 3 7 2 3" xfId="38260" xr:uid="{00000000-0005-0000-0000-0000C2A60000}"/>
    <cellStyle name="표준 5 4 3 3 7 2 4" xfId="46453" xr:uid="{00000000-0005-0000-0000-0000C3A60000}"/>
    <cellStyle name="표준 5 4 3 3 7 3" xfId="17695" xr:uid="{00000000-0005-0000-0000-0000C4A60000}"/>
    <cellStyle name="표준 5 4 3 3 7 4" xfId="21857" xr:uid="{00000000-0005-0000-0000-0000C5A60000}"/>
    <cellStyle name="표준 5 4 3 3 7 5" xfId="25953" xr:uid="{00000000-0005-0000-0000-0000C6A60000}"/>
    <cellStyle name="표준 5 4 3 3 7 6" xfId="34164" xr:uid="{00000000-0005-0000-0000-0000C7A60000}"/>
    <cellStyle name="표준 5 4 3 3 7 7" xfId="42357" xr:uid="{00000000-0005-0000-0000-0000C8A60000}"/>
    <cellStyle name="표준 5 4 3 3 8" xfId="7295" xr:uid="{00000000-0005-0000-0000-0000C9A60000}"/>
    <cellStyle name="표준 5 4 3 3 8 2" xfId="28001" xr:uid="{00000000-0005-0000-0000-0000CAA60000}"/>
    <cellStyle name="표준 5 4 3 3 8 3" xfId="36212" xr:uid="{00000000-0005-0000-0000-0000CBA60000}"/>
    <cellStyle name="표준 5 4 3 3 8 4" xfId="44405" xr:uid="{00000000-0005-0000-0000-0000CCA60000}"/>
    <cellStyle name="표준 5 4 3 3 9" xfId="11407" xr:uid="{00000000-0005-0000-0000-0000CDA60000}"/>
    <cellStyle name="표준 5 4 3 4" xfId="504" xr:uid="{00000000-0005-0000-0000-0000CEA60000}"/>
    <cellStyle name="표준 5 4 3 4 10" xfId="19873" xr:uid="{00000000-0005-0000-0000-0000CFA60000}"/>
    <cellStyle name="표준 5 4 3 4 11" xfId="23969" xr:uid="{00000000-0005-0000-0000-0000D0A60000}"/>
    <cellStyle name="표준 5 4 3 4 12" xfId="32180" xr:uid="{00000000-0005-0000-0000-0000D1A60000}"/>
    <cellStyle name="표준 5 4 3 4 13" xfId="40373" xr:uid="{00000000-0005-0000-0000-0000D2A60000}"/>
    <cellStyle name="표준 5 4 3 4 2" xfId="760" xr:uid="{00000000-0005-0000-0000-0000D3A60000}"/>
    <cellStyle name="표준 5 4 3 4 2 10" xfId="24225" xr:uid="{00000000-0005-0000-0000-0000D4A60000}"/>
    <cellStyle name="표준 5 4 3 4 2 11" xfId="32436" xr:uid="{00000000-0005-0000-0000-0000D5A60000}"/>
    <cellStyle name="표준 5 4 3 4 2 12" xfId="40629" xr:uid="{00000000-0005-0000-0000-0000D6A60000}"/>
    <cellStyle name="표준 5 4 3 4 2 2" xfId="1272" xr:uid="{00000000-0005-0000-0000-0000D7A60000}"/>
    <cellStyle name="표준 5 4 3 4 2 2 2" xfId="10175" xr:uid="{00000000-0005-0000-0000-0000D8A60000}"/>
    <cellStyle name="표준 5 4 3 4 2 2 2 2" xfId="14287" xr:uid="{00000000-0005-0000-0000-0000D9A60000}"/>
    <cellStyle name="표준 5 4 3 4 2 2 2 2 2" xfId="30881" xr:uid="{00000000-0005-0000-0000-0000DAA60000}"/>
    <cellStyle name="표준 5 4 3 4 2 2 2 2 3" xfId="39092" xr:uid="{00000000-0005-0000-0000-0000DBA60000}"/>
    <cellStyle name="표준 5 4 3 4 2 2 2 2 4" xfId="47285" xr:uid="{00000000-0005-0000-0000-0000DCA60000}"/>
    <cellStyle name="표준 5 4 3 4 2 2 2 3" xfId="18527" xr:uid="{00000000-0005-0000-0000-0000DDA60000}"/>
    <cellStyle name="표준 5 4 3 4 2 2 2 4" xfId="22689" xr:uid="{00000000-0005-0000-0000-0000DEA60000}"/>
    <cellStyle name="표준 5 4 3 4 2 2 2 5" xfId="26785" xr:uid="{00000000-0005-0000-0000-0000DFA60000}"/>
    <cellStyle name="표준 5 4 3 4 2 2 2 6" xfId="34996" xr:uid="{00000000-0005-0000-0000-0000E0A60000}"/>
    <cellStyle name="표준 5 4 3 4 2 2 2 7" xfId="43189" xr:uid="{00000000-0005-0000-0000-0000E1A60000}"/>
    <cellStyle name="표준 5 4 3 4 2 2 3" xfId="8127" xr:uid="{00000000-0005-0000-0000-0000E2A60000}"/>
    <cellStyle name="표준 5 4 3 4 2 2 3 2" xfId="28833" xr:uid="{00000000-0005-0000-0000-0000E3A60000}"/>
    <cellStyle name="표준 5 4 3 4 2 2 3 3" xfId="37044" xr:uid="{00000000-0005-0000-0000-0000E4A60000}"/>
    <cellStyle name="표준 5 4 3 4 2 2 3 4" xfId="45237" xr:uid="{00000000-0005-0000-0000-0000E5A60000}"/>
    <cellStyle name="표준 5 4 3 4 2 2 4" xfId="12239" xr:uid="{00000000-0005-0000-0000-0000E6A60000}"/>
    <cellStyle name="표준 5 4 3 4 2 2 5" xfId="16479" xr:uid="{00000000-0005-0000-0000-0000E7A60000}"/>
    <cellStyle name="표준 5 4 3 4 2 2 6" xfId="20641" xr:uid="{00000000-0005-0000-0000-0000E8A60000}"/>
    <cellStyle name="표준 5 4 3 4 2 2 7" xfId="24737" xr:uid="{00000000-0005-0000-0000-0000E9A60000}"/>
    <cellStyle name="표준 5 4 3 4 2 2 8" xfId="32948" xr:uid="{00000000-0005-0000-0000-0000EAA60000}"/>
    <cellStyle name="표준 5 4 3 4 2 2 9" xfId="41141" xr:uid="{00000000-0005-0000-0000-0000EBA60000}"/>
    <cellStyle name="표준 5 4 3 4 2 3" xfId="1784" xr:uid="{00000000-0005-0000-0000-0000ECA60000}"/>
    <cellStyle name="표준 5 4 3 4 2 3 2" xfId="10687" xr:uid="{00000000-0005-0000-0000-0000EDA60000}"/>
    <cellStyle name="표준 5 4 3 4 2 3 2 2" xfId="14799" xr:uid="{00000000-0005-0000-0000-0000EEA60000}"/>
    <cellStyle name="표준 5 4 3 4 2 3 2 2 2" xfId="31393" xr:uid="{00000000-0005-0000-0000-0000EFA60000}"/>
    <cellStyle name="표준 5 4 3 4 2 3 2 2 3" xfId="39604" xr:uid="{00000000-0005-0000-0000-0000F0A60000}"/>
    <cellStyle name="표준 5 4 3 4 2 3 2 2 4" xfId="47797" xr:uid="{00000000-0005-0000-0000-0000F1A60000}"/>
    <cellStyle name="표준 5 4 3 4 2 3 2 3" xfId="19039" xr:uid="{00000000-0005-0000-0000-0000F2A60000}"/>
    <cellStyle name="표준 5 4 3 4 2 3 2 4" xfId="23201" xr:uid="{00000000-0005-0000-0000-0000F3A60000}"/>
    <cellStyle name="표준 5 4 3 4 2 3 2 5" xfId="27297" xr:uid="{00000000-0005-0000-0000-0000F4A60000}"/>
    <cellStyle name="표준 5 4 3 4 2 3 2 6" xfId="35508" xr:uid="{00000000-0005-0000-0000-0000F5A60000}"/>
    <cellStyle name="표준 5 4 3 4 2 3 2 7" xfId="43701" xr:uid="{00000000-0005-0000-0000-0000F6A60000}"/>
    <cellStyle name="표준 5 4 3 4 2 3 3" xfId="8639" xr:uid="{00000000-0005-0000-0000-0000F7A60000}"/>
    <cellStyle name="표준 5 4 3 4 2 3 3 2" xfId="29345" xr:uid="{00000000-0005-0000-0000-0000F8A60000}"/>
    <cellStyle name="표준 5 4 3 4 2 3 3 3" xfId="37556" xr:uid="{00000000-0005-0000-0000-0000F9A60000}"/>
    <cellStyle name="표준 5 4 3 4 2 3 3 4" xfId="45749" xr:uid="{00000000-0005-0000-0000-0000FAA60000}"/>
    <cellStyle name="표준 5 4 3 4 2 3 4" xfId="12751" xr:uid="{00000000-0005-0000-0000-0000FBA60000}"/>
    <cellStyle name="표준 5 4 3 4 2 3 5" xfId="16991" xr:uid="{00000000-0005-0000-0000-0000FCA60000}"/>
    <cellStyle name="표준 5 4 3 4 2 3 6" xfId="21153" xr:uid="{00000000-0005-0000-0000-0000FDA60000}"/>
    <cellStyle name="표준 5 4 3 4 2 3 7" xfId="25249" xr:uid="{00000000-0005-0000-0000-0000FEA60000}"/>
    <cellStyle name="표준 5 4 3 4 2 3 8" xfId="33460" xr:uid="{00000000-0005-0000-0000-0000FFA60000}"/>
    <cellStyle name="표준 5 4 3 4 2 3 9" xfId="41653" xr:uid="{00000000-0005-0000-0000-000000A70000}"/>
    <cellStyle name="표준 5 4 3 4 2 4" xfId="2296" xr:uid="{00000000-0005-0000-0000-000001A70000}"/>
    <cellStyle name="표준 5 4 3 4 2 4 2" xfId="11199" xr:uid="{00000000-0005-0000-0000-000002A70000}"/>
    <cellStyle name="표준 5 4 3 4 2 4 2 2" xfId="15311" xr:uid="{00000000-0005-0000-0000-000003A70000}"/>
    <cellStyle name="표준 5 4 3 4 2 4 2 2 2" xfId="31905" xr:uid="{00000000-0005-0000-0000-000004A70000}"/>
    <cellStyle name="표준 5 4 3 4 2 4 2 2 3" xfId="40116" xr:uid="{00000000-0005-0000-0000-000005A70000}"/>
    <cellStyle name="표준 5 4 3 4 2 4 2 2 4" xfId="48309" xr:uid="{00000000-0005-0000-0000-000006A70000}"/>
    <cellStyle name="표준 5 4 3 4 2 4 2 3" xfId="19551" xr:uid="{00000000-0005-0000-0000-000007A70000}"/>
    <cellStyle name="표준 5 4 3 4 2 4 2 4" xfId="23713" xr:uid="{00000000-0005-0000-0000-000008A70000}"/>
    <cellStyle name="표준 5 4 3 4 2 4 2 5" xfId="27809" xr:uid="{00000000-0005-0000-0000-000009A70000}"/>
    <cellStyle name="표준 5 4 3 4 2 4 2 6" xfId="36020" xr:uid="{00000000-0005-0000-0000-00000AA70000}"/>
    <cellStyle name="표준 5 4 3 4 2 4 2 7" xfId="44213" xr:uid="{00000000-0005-0000-0000-00000BA70000}"/>
    <cellStyle name="표준 5 4 3 4 2 4 3" xfId="9151" xr:uid="{00000000-0005-0000-0000-00000CA70000}"/>
    <cellStyle name="표준 5 4 3 4 2 4 3 2" xfId="29857" xr:uid="{00000000-0005-0000-0000-00000DA70000}"/>
    <cellStyle name="표준 5 4 3 4 2 4 3 3" xfId="38068" xr:uid="{00000000-0005-0000-0000-00000EA70000}"/>
    <cellStyle name="표준 5 4 3 4 2 4 3 4" xfId="46261" xr:uid="{00000000-0005-0000-0000-00000FA70000}"/>
    <cellStyle name="표준 5 4 3 4 2 4 4" xfId="13263" xr:uid="{00000000-0005-0000-0000-000010A70000}"/>
    <cellStyle name="표준 5 4 3 4 2 4 5" xfId="17503" xr:uid="{00000000-0005-0000-0000-000011A70000}"/>
    <cellStyle name="표준 5 4 3 4 2 4 6" xfId="21665" xr:uid="{00000000-0005-0000-0000-000012A70000}"/>
    <cellStyle name="표준 5 4 3 4 2 4 7" xfId="25761" xr:uid="{00000000-0005-0000-0000-000013A70000}"/>
    <cellStyle name="표준 5 4 3 4 2 4 8" xfId="33972" xr:uid="{00000000-0005-0000-0000-000014A70000}"/>
    <cellStyle name="표준 5 4 3 4 2 4 9" xfId="42165" xr:uid="{00000000-0005-0000-0000-000015A70000}"/>
    <cellStyle name="표준 5 4 3 4 2 5" xfId="9663" xr:uid="{00000000-0005-0000-0000-000016A70000}"/>
    <cellStyle name="표준 5 4 3 4 2 5 2" xfId="13775" xr:uid="{00000000-0005-0000-0000-000017A70000}"/>
    <cellStyle name="표준 5 4 3 4 2 5 2 2" xfId="30369" xr:uid="{00000000-0005-0000-0000-000018A70000}"/>
    <cellStyle name="표준 5 4 3 4 2 5 2 3" xfId="38580" xr:uid="{00000000-0005-0000-0000-000019A70000}"/>
    <cellStyle name="표준 5 4 3 4 2 5 2 4" xfId="46773" xr:uid="{00000000-0005-0000-0000-00001AA70000}"/>
    <cellStyle name="표준 5 4 3 4 2 5 3" xfId="18015" xr:uid="{00000000-0005-0000-0000-00001BA70000}"/>
    <cellStyle name="표준 5 4 3 4 2 5 4" xfId="22177" xr:uid="{00000000-0005-0000-0000-00001CA70000}"/>
    <cellStyle name="표준 5 4 3 4 2 5 5" xfId="26273" xr:uid="{00000000-0005-0000-0000-00001DA70000}"/>
    <cellStyle name="표준 5 4 3 4 2 5 6" xfId="34484" xr:uid="{00000000-0005-0000-0000-00001EA70000}"/>
    <cellStyle name="표준 5 4 3 4 2 5 7" xfId="42677" xr:uid="{00000000-0005-0000-0000-00001FA70000}"/>
    <cellStyle name="표준 5 4 3 4 2 6" xfId="7615" xr:uid="{00000000-0005-0000-0000-000020A70000}"/>
    <cellStyle name="표준 5 4 3 4 2 6 2" xfId="28321" xr:uid="{00000000-0005-0000-0000-000021A70000}"/>
    <cellStyle name="표준 5 4 3 4 2 6 3" xfId="36532" xr:uid="{00000000-0005-0000-0000-000022A70000}"/>
    <cellStyle name="표준 5 4 3 4 2 6 4" xfId="44725" xr:uid="{00000000-0005-0000-0000-000023A70000}"/>
    <cellStyle name="표준 5 4 3 4 2 7" xfId="11727" xr:uid="{00000000-0005-0000-0000-000024A70000}"/>
    <cellStyle name="표준 5 4 3 4 2 8" xfId="15967" xr:uid="{00000000-0005-0000-0000-000025A70000}"/>
    <cellStyle name="표준 5 4 3 4 2 9" xfId="20129" xr:uid="{00000000-0005-0000-0000-000026A70000}"/>
    <cellStyle name="표준 5 4 3 4 3" xfId="1016" xr:uid="{00000000-0005-0000-0000-000027A70000}"/>
    <cellStyle name="표준 5 4 3 4 3 2" xfId="9919" xr:uid="{00000000-0005-0000-0000-000028A70000}"/>
    <cellStyle name="표준 5 4 3 4 3 2 2" xfId="14031" xr:uid="{00000000-0005-0000-0000-000029A70000}"/>
    <cellStyle name="표준 5 4 3 4 3 2 2 2" xfId="30625" xr:uid="{00000000-0005-0000-0000-00002AA70000}"/>
    <cellStyle name="표준 5 4 3 4 3 2 2 3" xfId="38836" xr:uid="{00000000-0005-0000-0000-00002BA70000}"/>
    <cellStyle name="표준 5 4 3 4 3 2 2 4" xfId="47029" xr:uid="{00000000-0005-0000-0000-00002CA70000}"/>
    <cellStyle name="표준 5 4 3 4 3 2 3" xfId="18271" xr:uid="{00000000-0005-0000-0000-00002DA70000}"/>
    <cellStyle name="표준 5 4 3 4 3 2 4" xfId="22433" xr:uid="{00000000-0005-0000-0000-00002EA70000}"/>
    <cellStyle name="표준 5 4 3 4 3 2 5" xfId="26529" xr:uid="{00000000-0005-0000-0000-00002FA70000}"/>
    <cellStyle name="표준 5 4 3 4 3 2 6" xfId="34740" xr:uid="{00000000-0005-0000-0000-000030A70000}"/>
    <cellStyle name="표준 5 4 3 4 3 2 7" xfId="42933" xr:uid="{00000000-0005-0000-0000-000031A70000}"/>
    <cellStyle name="표준 5 4 3 4 3 3" xfId="7871" xr:uid="{00000000-0005-0000-0000-000032A70000}"/>
    <cellStyle name="표준 5 4 3 4 3 3 2" xfId="28577" xr:uid="{00000000-0005-0000-0000-000033A70000}"/>
    <cellStyle name="표준 5 4 3 4 3 3 3" xfId="36788" xr:uid="{00000000-0005-0000-0000-000034A70000}"/>
    <cellStyle name="표준 5 4 3 4 3 3 4" xfId="44981" xr:uid="{00000000-0005-0000-0000-000035A70000}"/>
    <cellStyle name="표준 5 4 3 4 3 4" xfId="11983" xr:uid="{00000000-0005-0000-0000-000036A70000}"/>
    <cellStyle name="표준 5 4 3 4 3 5" xfId="16223" xr:uid="{00000000-0005-0000-0000-000037A70000}"/>
    <cellStyle name="표준 5 4 3 4 3 6" xfId="20385" xr:uid="{00000000-0005-0000-0000-000038A70000}"/>
    <cellStyle name="표준 5 4 3 4 3 7" xfId="24481" xr:uid="{00000000-0005-0000-0000-000039A70000}"/>
    <cellStyle name="표준 5 4 3 4 3 8" xfId="32692" xr:uid="{00000000-0005-0000-0000-00003AA70000}"/>
    <cellStyle name="표준 5 4 3 4 3 9" xfId="40885" xr:uid="{00000000-0005-0000-0000-00003BA70000}"/>
    <cellStyle name="표준 5 4 3 4 4" xfId="1528" xr:uid="{00000000-0005-0000-0000-00003CA70000}"/>
    <cellStyle name="표준 5 4 3 4 4 2" xfId="10431" xr:uid="{00000000-0005-0000-0000-00003DA70000}"/>
    <cellStyle name="표준 5 4 3 4 4 2 2" xfId="14543" xr:uid="{00000000-0005-0000-0000-00003EA70000}"/>
    <cellStyle name="표준 5 4 3 4 4 2 2 2" xfId="31137" xr:uid="{00000000-0005-0000-0000-00003FA70000}"/>
    <cellStyle name="표준 5 4 3 4 4 2 2 3" xfId="39348" xr:uid="{00000000-0005-0000-0000-000040A70000}"/>
    <cellStyle name="표준 5 4 3 4 4 2 2 4" xfId="47541" xr:uid="{00000000-0005-0000-0000-000041A70000}"/>
    <cellStyle name="표준 5 4 3 4 4 2 3" xfId="18783" xr:uid="{00000000-0005-0000-0000-000042A70000}"/>
    <cellStyle name="표준 5 4 3 4 4 2 4" xfId="22945" xr:uid="{00000000-0005-0000-0000-000043A70000}"/>
    <cellStyle name="표준 5 4 3 4 4 2 5" xfId="27041" xr:uid="{00000000-0005-0000-0000-000044A70000}"/>
    <cellStyle name="표준 5 4 3 4 4 2 6" xfId="35252" xr:uid="{00000000-0005-0000-0000-000045A70000}"/>
    <cellStyle name="표준 5 4 3 4 4 2 7" xfId="43445" xr:uid="{00000000-0005-0000-0000-000046A70000}"/>
    <cellStyle name="표준 5 4 3 4 4 3" xfId="8383" xr:uid="{00000000-0005-0000-0000-000047A70000}"/>
    <cellStyle name="표준 5 4 3 4 4 3 2" xfId="29089" xr:uid="{00000000-0005-0000-0000-000048A70000}"/>
    <cellStyle name="표준 5 4 3 4 4 3 3" xfId="37300" xr:uid="{00000000-0005-0000-0000-000049A70000}"/>
    <cellStyle name="표준 5 4 3 4 4 3 4" xfId="45493" xr:uid="{00000000-0005-0000-0000-00004AA70000}"/>
    <cellStyle name="표준 5 4 3 4 4 4" xfId="12495" xr:uid="{00000000-0005-0000-0000-00004BA70000}"/>
    <cellStyle name="표준 5 4 3 4 4 5" xfId="16735" xr:uid="{00000000-0005-0000-0000-00004CA70000}"/>
    <cellStyle name="표준 5 4 3 4 4 6" xfId="20897" xr:uid="{00000000-0005-0000-0000-00004DA70000}"/>
    <cellStyle name="표준 5 4 3 4 4 7" xfId="24993" xr:uid="{00000000-0005-0000-0000-00004EA70000}"/>
    <cellStyle name="표준 5 4 3 4 4 8" xfId="33204" xr:uid="{00000000-0005-0000-0000-00004FA70000}"/>
    <cellStyle name="표준 5 4 3 4 4 9" xfId="41397" xr:uid="{00000000-0005-0000-0000-000050A70000}"/>
    <cellStyle name="표준 5 4 3 4 5" xfId="2040" xr:uid="{00000000-0005-0000-0000-000051A70000}"/>
    <cellStyle name="표준 5 4 3 4 5 2" xfId="10943" xr:uid="{00000000-0005-0000-0000-000052A70000}"/>
    <cellStyle name="표준 5 4 3 4 5 2 2" xfId="15055" xr:uid="{00000000-0005-0000-0000-000053A70000}"/>
    <cellStyle name="표준 5 4 3 4 5 2 2 2" xfId="31649" xr:uid="{00000000-0005-0000-0000-000054A70000}"/>
    <cellStyle name="표준 5 4 3 4 5 2 2 3" xfId="39860" xr:uid="{00000000-0005-0000-0000-000055A70000}"/>
    <cellStyle name="표준 5 4 3 4 5 2 2 4" xfId="48053" xr:uid="{00000000-0005-0000-0000-000056A70000}"/>
    <cellStyle name="표준 5 4 3 4 5 2 3" xfId="19295" xr:uid="{00000000-0005-0000-0000-000057A70000}"/>
    <cellStyle name="표준 5 4 3 4 5 2 4" xfId="23457" xr:uid="{00000000-0005-0000-0000-000058A70000}"/>
    <cellStyle name="표준 5 4 3 4 5 2 5" xfId="27553" xr:uid="{00000000-0005-0000-0000-000059A70000}"/>
    <cellStyle name="표준 5 4 3 4 5 2 6" xfId="35764" xr:uid="{00000000-0005-0000-0000-00005AA70000}"/>
    <cellStyle name="표준 5 4 3 4 5 2 7" xfId="43957" xr:uid="{00000000-0005-0000-0000-00005BA70000}"/>
    <cellStyle name="표준 5 4 3 4 5 3" xfId="8895" xr:uid="{00000000-0005-0000-0000-00005CA70000}"/>
    <cellStyle name="표준 5 4 3 4 5 3 2" xfId="29601" xr:uid="{00000000-0005-0000-0000-00005DA70000}"/>
    <cellStyle name="표준 5 4 3 4 5 3 3" xfId="37812" xr:uid="{00000000-0005-0000-0000-00005EA70000}"/>
    <cellStyle name="표준 5 4 3 4 5 3 4" xfId="46005" xr:uid="{00000000-0005-0000-0000-00005FA70000}"/>
    <cellStyle name="표준 5 4 3 4 5 4" xfId="13007" xr:uid="{00000000-0005-0000-0000-000060A70000}"/>
    <cellStyle name="표준 5 4 3 4 5 5" xfId="17247" xr:uid="{00000000-0005-0000-0000-000061A70000}"/>
    <cellStyle name="표준 5 4 3 4 5 6" xfId="21409" xr:uid="{00000000-0005-0000-0000-000062A70000}"/>
    <cellStyle name="표준 5 4 3 4 5 7" xfId="25505" xr:uid="{00000000-0005-0000-0000-000063A70000}"/>
    <cellStyle name="표준 5 4 3 4 5 8" xfId="33716" xr:uid="{00000000-0005-0000-0000-000064A70000}"/>
    <cellStyle name="표준 5 4 3 4 5 9" xfId="41909" xr:uid="{00000000-0005-0000-0000-000065A70000}"/>
    <cellStyle name="표준 5 4 3 4 6" xfId="9407" xr:uid="{00000000-0005-0000-0000-000066A70000}"/>
    <cellStyle name="표준 5 4 3 4 6 2" xfId="13519" xr:uid="{00000000-0005-0000-0000-000067A70000}"/>
    <cellStyle name="표준 5 4 3 4 6 2 2" xfId="30113" xr:uid="{00000000-0005-0000-0000-000068A70000}"/>
    <cellStyle name="표준 5 4 3 4 6 2 3" xfId="38324" xr:uid="{00000000-0005-0000-0000-000069A70000}"/>
    <cellStyle name="표준 5 4 3 4 6 2 4" xfId="46517" xr:uid="{00000000-0005-0000-0000-00006AA70000}"/>
    <cellStyle name="표준 5 4 3 4 6 3" xfId="17759" xr:uid="{00000000-0005-0000-0000-00006BA70000}"/>
    <cellStyle name="표준 5 4 3 4 6 4" xfId="21921" xr:uid="{00000000-0005-0000-0000-00006CA70000}"/>
    <cellStyle name="표준 5 4 3 4 6 5" xfId="26017" xr:uid="{00000000-0005-0000-0000-00006DA70000}"/>
    <cellStyle name="표준 5 4 3 4 6 6" xfId="34228" xr:uid="{00000000-0005-0000-0000-00006EA70000}"/>
    <cellStyle name="표준 5 4 3 4 6 7" xfId="42421" xr:uid="{00000000-0005-0000-0000-00006FA70000}"/>
    <cellStyle name="표준 5 4 3 4 7" xfId="7359" xr:uid="{00000000-0005-0000-0000-000070A70000}"/>
    <cellStyle name="표준 5 4 3 4 7 2" xfId="28065" xr:uid="{00000000-0005-0000-0000-000071A70000}"/>
    <cellStyle name="표준 5 4 3 4 7 3" xfId="36276" xr:uid="{00000000-0005-0000-0000-000072A70000}"/>
    <cellStyle name="표준 5 4 3 4 7 4" xfId="44469" xr:uid="{00000000-0005-0000-0000-000073A70000}"/>
    <cellStyle name="표준 5 4 3 4 8" xfId="11471" xr:uid="{00000000-0005-0000-0000-000074A70000}"/>
    <cellStyle name="표준 5 4 3 4 9" xfId="15711" xr:uid="{00000000-0005-0000-0000-000075A70000}"/>
    <cellStyle name="표준 5 4 3 5" xfId="632" xr:uid="{00000000-0005-0000-0000-000076A70000}"/>
    <cellStyle name="표준 5 4 3 5 10" xfId="24097" xr:uid="{00000000-0005-0000-0000-000077A70000}"/>
    <cellStyle name="표준 5 4 3 5 11" xfId="32308" xr:uid="{00000000-0005-0000-0000-000078A70000}"/>
    <cellStyle name="표준 5 4 3 5 12" xfId="40501" xr:uid="{00000000-0005-0000-0000-000079A70000}"/>
    <cellStyle name="표준 5 4 3 5 2" xfId="1144" xr:uid="{00000000-0005-0000-0000-00007AA70000}"/>
    <cellStyle name="표준 5 4 3 5 2 2" xfId="10047" xr:uid="{00000000-0005-0000-0000-00007BA70000}"/>
    <cellStyle name="표준 5 4 3 5 2 2 2" xfId="14159" xr:uid="{00000000-0005-0000-0000-00007CA70000}"/>
    <cellStyle name="표준 5 4 3 5 2 2 2 2" xfId="30753" xr:uid="{00000000-0005-0000-0000-00007DA70000}"/>
    <cellStyle name="표준 5 4 3 5 2 2 2 3" xfId="38964" xr:uid="{00000000-0005-0000-0000-00007EA70000}"/>
    <cellStyle name="표준 5 4 3 5 2 2 2 4" xfId="47157" xr:uid="{00000000-0005-0000-0000-00007FA70000}"/>
    <cellStyle name="표준 5 4 3 5 2 2 3" xfId="18399" xr:uid="{00000000-0005-0000-0000-000080A70000}"/>
    <cellStyle name="표준 5 4 3 5 2 2 4" xfId="22561" xr:uid="{00000000-0005-0000-0000-000081A70000}"/>
    <cellStyle name="표준 5 4 3 5 2 2 5" xfId="26657" xr:uid="{00000000-0005-0000-0000-000082A70000}"/>
    <cellStyle name="표준 5 4 3 5 2 2 6" xfId="34868" xr:uid="{00000000-0005-0000-0000-000083A70000}"/>
    <cellStyle name="표준 5 4 3 5 2 2 7" xfId="43061" xr:uid="{00000000-0005-0000-0000-000084A70000}"/>
    <cellStyle name="표준 5 4 3 5 2 3" xfId="7999" xr:uid="{00000000-0005-0000-0000-000085A70000}"/>
    <cellStyle name="표준 5 4 3 5 2 3 2" xfId="28705" xr:uid="{00000000-0005-0000-0000-000086A70000}"/>
    <cellStyle name="표준 5 4 3 5 2 3 3" xfId="36916" xr:uid="{00000000-0005-0000-0000-000087A70000}"/>
    <cellStyle name="표준 5 4 3 5 2 3 4" xfId="45109" xr:uid="{00000000-0005-0000-0000-000088A70000}"/>
    <cellStyle name="표준 5 4 3 5 2 4" xfId="12111" xr:uid="{00000000-0005-0000-0000-000089A70000}"/>
    <cellStyle name="표준 5 4 3 5 2 5" xfId="16351" xr:uid="{00000000-0005-0000-0000-00008AA70000}"/>
    <cellStyle name="표준 5 4 3 5 2 6" xfId="20513" xr:uid="{00000000-0005-0000-0000-00008BA70000}"/>
    <cellStyle name="표준 5 4 3 5 2 7" xfId="24609" xr:uid="{00000000-0005-0000-0000-00008CA70000}"/>
    <cellStyle name="표준 5 4 3 5 2 8" xfId="32820" xr:uid="{00000000-0005-0000-0000-00008DA70000}"/>
    <cellStyle name="표준 5 4 3 5 2 9" xfId="41013" xr:uid="{00000000-0005-0000-0000-00008EA70000}"/>
    <cellStyle name="표준 5 4 3 5 3" xfId="1656" xr:uid="{00000000-0005-0000-0000-00008FA70000}"/>
    <cellStyle name="표준 5 4 3 5 3 2" xfId="10559" xr:uid="{00000000-0005-0000-0000-000090A70000}"/>
    <cellStyle name="표준 5 4 3 5 3 2 2" xfId="14671" xr:uid="{00000000-0005-0000-0000-000091A70000}"/>
    <cellStyle name="표준 5 4 3 5 3 2 2 2" xfId="31265" xr:uid="{00000000-0005-0000-0000-000092A70000}"/>
    <cellStyle name="표준 5 4 3 5 3 2 2 3" xfId="39476" xr:uid="{00000000-0005-0000-0000-000093A70000}"/>
    <cellStyle name="표준 5 4 3 5 3 2 2 4" xfId="47669" xr:uid="{00000000-0005-0000-0000-000094A70000}"/>
    <cellStyle name="표준 5 4 3 5 3 2 3" xfId="18911" xr:uid="{00000000-0005-0000-0000-000095A70000}"/>
    <cellStyle name="표준 5 4 3 5 3 2 4" xfId="23073" xr:uid="{00000000-0005-0000-0000-000096A70000}"/>
    <cellStyle name="표준 5 4 3 5 3 2 5" xfId="27169" xr:uid="{00000000-0005-0000-0000-000097A70000}"/>
    <cellStyle name="표준 5 4 3 5 3 2 6" xfId="35380" xr:uid="{00000000-0005-0000-0000-000098A70000}"/>
    <cellStyle name="표준 5 4 3 5 3 2 7" xfId="43573" xr:uid="{00000000-0005-0000-0000-000099A70000}"/>
    <cellStyle name="표준 5 4 3 5 3 3" xfId="8511" xr:uid="{00000000-0005-0000-0000-00009AA70000}"/>
    <cellStyle name="표준 5 4 3 5 3 3 2" xfId="29217" xr:uid="{00000000-0005-0000-0000-00009BA70000}"/>
    <cellStyle name="표준 5 4 3 5 3 3 3" xfId="37428" xr:uid="{00000000-0005-0000-0000-00009CA70000}"/>
    <cellStyle name="표준 5 4 3 5 3 3 4" xfId="45621" xr:uid="{00000000-0005-0000-0000-00009DA70000}"/>
    <cellStyle name="표준 5 4 3 5 3 4" xfId="12623" xr:uid="{00000000-0005-0000-0000-00009EA70000}"/>
    <cellStyle name="표준 5 4 3 5 3 5" xfId="16863" xr:uid="{00000000-0005-0000-0000-00009FA70000}"/>
    <cellStyle name="표준 5 4 3 5 3 6" xfId="21025" xr:uid="{00000000-0005-0000-0000-0000A0A70000}"/>
    <cellStyle name="표준 5 4 3 5 3 7" xfId="25121" xr:uid="{00000000-0005-0000-0000-0000A1A70000}"/>
    <cellStyle name="표준 5 4 3 5 3 8" xfId="33332" xr:uid="{00000000-0005-0000-0000-0000A2A70000}"/>
    <cellStyle name="표준 5 4 3 5 3 9" xfId="41525" xr:uid="{00000000-0005-0000-0000-0000A3A70000}"/>
    <cellStyle name="표준 5 4 3 5 4" xfId="2168" xr:uid="{00000000-0005-0000-0000-0000A4A70000}"/>
    <cellStyle name="표준 5 4 3 5 4 2" xfId="11071" xr:uid="{00000000-0005-0000-0000-0000A5A70000}"/>
    <cellStyle name="표준 5 4 3 5 4 2 2" xfId="15183" xr:uid="{00000000-0005-0000-0000-0000A6A70000}"/>
    <cellStyle name="표준 5 4 3 5 4 2 2 2" xfId="31777" xr:uid="{00000000-0005-0000-0000-0000A7A70000}"/>
    <cellStyle name="표준 5 4 3 5 4 2 2 3" xfId="39988" xr:uid="{00000000-0005-0000-0000-0000A8A70000}"/>
    <cellStyle name="표준 5 4 3 5 4 2 2 4" xfId="48181" xr:uid="{00000000-0005-0000-0000-0000A9A70000}"/>
    <cellStyle name="표준 5 4 3 5 4 2 3" xfId="19423" xr:uid="{00000000-0005-0000-0000-0000AAA70000}"/>
    <cellStyle name="표준 5 4 3 5 4 2 4" xfId="23585" xr:uid="{00000000-0005-0000-0000-0000ABA70000}"/>
    <cellStyle name="표준 5 4 3 5 4 2 5" xfId="27681" xr:uid="{00000000-0005-0000-0000-0000ACA70000}"/>
    <cellStyle name="표준 5 4 3 5 4 2 6" xfId="35892" xr:uid="{00000000-0005-0000-0000-0000ADA70000}"/>
    <cellStyle name="표준 5 4 3 5 4 2 7" xfId="44085" xr:uid="{00000000-0005-0000-0000-0000AEA70000}"/>
    <cellStyle name="표준 5 4 3 5 4 3" xfId="9023" xr:uid="{00000000-0005-0000-0000-0000AFA70000}"/>
    <cellStyle name="표준 5 4 3 5 4 3 2" xfId="29729" xr:uid="{00000000-0005-0000-0000-0000B0A70000}"/>
    <cellStyle name="표준 5 4 3 5 4 3 3" xfId="37940" xr:uid="{00000000-0005-0000-0000-0000B1A70000}"/>
    <cellStyle name="표준 5 4 3 5 4 3 4" xfId="46133" xr:uid="{00000000-0005-0000-0000-0000B2A70000}"/>
    <cellStyle name="표준 5 4 3 5 4 4" xfId="13135" xr:uid="{00000000-0005-0000-0000-0000B3A70000}"/>
    <cellStyle name="표준 5 4 3 5 4 5" xfId="17375" xr:uid="{00000000-0005-0000-0000-0000B4A70000}"/>
    <cellStyle name="표준 5 4 3 5 4 6" xfId="21537" xr:uid="{00000000-0005-0000-0000-0000B5A70000}"/>
    <cellStyle name="표준 5 4 3 5 4 7" xfId="25633" xr:uid="{00000000-0005-0000-0000-0000B6A70000}"/>
    <cellStyle name="표준 5 4 3 5 4 8" xfId="33844" xr:uid="{00000000-0005-0000-0000-0000B7A70000}"/>
    <cellStyle name="표준 5 4 3 5 4 9" xfId="42037" xr:uid="{00000000-0005-0000-0000-0000B8A70000}"/>
    <cellStyle name="표준 5 4 3 5 5" xfId="9535" xr:uid="{00000000-0005-0000-0000-0000B9A70000}"/>
    <cellStyle name="표준 5 4 3 5 5 2" xfId="13647" xr:uid="{00000000-0005-0000-0000-0000BAA70000}"/>
    <cellStyle name="표준 5 4 3 5 5 2 2" xfId="30241" xr:uid="{00000000-0005-0000-0000-0000BBA70000}"/>
    <cellStyle name="표준 5 4 3 5 5 2 3" xfId="38452" xr:uid="{00000000-0005-0000-0000-0000BCA70000}"/>
    <cellStyle name="표준 5 4 3 5 5 2 4" xfId="46645" xr:uid="{00000000-0005-0000-0000-0000BDA70000}"/>
    <cellStyle name="표준 5 4 3 5 5 3" xfId="17887" xr:uid="{00000000-0005-0000-0000-0000BEA70000}"/>
    <cellStyle name="표준 5 4 3 5 5 4" xfId="22049" xr:uid="{00000000-0005-0000-0000-0000BFA70000}"/>
    <cellStyle name="표준 5 4 3 5 5 5" xfId="26145" xr:uid="{00000000-0005-0000-0000-0000C0A70000}"/>
    <cellStyle name="표준 5 4 3 5 5 6" xfId="34356" xr:uid="{00000000-0005-0000-0000-0000C1A70000}"/>
    <cellStyle name="표준 5 4 3 5 5 7" xfId="42549" xr:uid="{00000000-0005-0000-0000-0000C2A70000}"/>
    <cellStyle name="표준 5 4 3 5 6" xfId="7487" xr:uid="{00000000-0005-0000-0000-0000C3A70000}"/>
    <cellStyle name="표준 5 4 3 5 6 2" xfId="28193" xr:uid="{00000000-0005-0000-0000-0000C4A70000}"/>
    <cellStyle name="표준 5 4 3 5 6 3" xfId="36404" xr:uid="{00000000-0005-0000-0000-0000C5A70000}"/>
    <cellStyle name="표준 5 4 3 5 6 4" xfId="44597" xr:uid="{00000000-0005-0000-0000-0000C6A70000}"/>
    <cellStyle name="표준 5 4 3 5 7" xfId="11599" xr:uid="{00000000-0005-0000-0000-0000C7A70000}"/>
    <cellStyle name="표준 5 4 3 5 8" xfId="15839" xr:uid="{00000000-0005-0000-0000-0000C8A70000}"/>
    <cellStyle name="표준 5 4 3 5 9" xfId="20001" xr:uid="{00000000-0005-0000-0000-0000C9A70000}"/>
    <cellStyle name="표준 5 4 3 6" xfId="888" xr:uid="{00000000-0005-0000-0000-0000CAA70000}"/>
    <cellStyle name="표준 5 4 3 6 2" xfId="9791" xr:uid="{00000000-0005-0000-0000-0000CBA70000}"/>
    <cellStyle name="표준 5 4 3 6 2 2" xfId="13903" xr:uid="{00000000-0005-0000-0000-0000CCA70000}"/>
    <cellStyle name="표준 5 4 3 6 2 2 2" xfId="30497" xr:uid="{00000000-0005-0000-0000-0000CDA70000}"/>
    <cellStyle name="표준 5 4 3 6 2 2 3" xfId="38708" xr:uid="{00000000-0005-0000-0000-0000CEA70000}"/>
    <cellStyle name="표준 5 4 3 6 2 2 4" xfId="46901" xr:uid="{00000000-0005-0000-0000-0000CFA70000}"/>
    <cellStyle name="표준 5 4 3 6 2 3" xfId="18143" xr:uid="{00000000-0005-0000-0000-0000D0A70000}"/>
    <cellStyle name="표준 5 4 3 6 2 4" xfId="22305" xr:uid="{00000000-0005-0000-0000-0000D1A70000}"/>
    <cellStyle name="표준 5 4 3 6 2 5" xfId="26401" xr:uid="{00000000-0005-0000-0000-0000D2A70000}"/>
    <cellStyle name="표준 5 4 3 6 2 6" xfId="34612" xr:uid="{00000000-0005-0000-0000-0000D3A70000}"/>
    <cellStyle name="표준 5 4 3 6 2 7" xfId="42805" xr:uid="{00000000-0005-0000-0000-0000D4A70000}"/>
    <cellStyle name="표준 5 4 3 6 3" xfId="7743" xr:uid="{00000000-0005-0000-0000-0000D5A70000}"/>
    <cellStyle name="표준 5 4 3 6 3 2" xfId="28449" xr:uid="{00000000-0005-0000-0000-0000D6A70000}"/>
    <cellStyle name="표준 5 4 3 6 3 3" xfId="36660" xr:uid="{00000000-0005-0000-0000-0000D7A70000}"/>
    <cellStyle name="표준 5 4 3 6 3 4" xfId="44853" xr:uid="{00000000-0005-0000-0000-0000D8A70000}"/>
    <cellStyle name="표준 5 4 3 6 4" xfId="11855" xr:uid="{00000000-0005-0000-0000-0000D9A70000}"/>
    <cellStyle name="표준 5 4 3 6 5" xfId="16095" xr:uid="{00000000-0005-0000-0000-0000DAA70000}"/>
    <cellStyle name="표준 5 4 3 6 6" xfId="20257" xr:uid="{00000000-0005-0000-0000-0000DBA70000}"/>
    <cellStyle name="표준 5 4 3 6 7" xfId="24353" xr:uid="{00000000-0005-0000-0000-0000DCA70000}"/>
    <cellStyle name="표준 5 4 3 6 8" xfId="32564" xr:uid="{00000000-0005-0000-0000-0000DDA70000}"/>
    <cellStyle name="표준 5 4 3 6 9" xfId="40757" xr:uid="{00000000-0005-0000-0000-0000DEA70000}"/>
    <cellStyle name="표준 5 4 3 7" xfId="1400" xr:uid="{00000000-0005-0000-0000-0000DFA70000}"/>
    <cellStyle name="표준 5 4 3 7 2" xfId="10303" xr:uid="{00000000-0005-0000-0000-0000E0A70000}"/>
    <cellStyle name="표준 5 4 3 7 2 2" xfId="14415" xr:uid="{00000000-0005-0000-0000-0000E1A70000}"/>
    <cellStyle name="표준 5 4 3 7 2 2 2" xfId="31009" xr:uid="{00000000-0005-0000-0000-0000E2A70000}"/>
    <cellStyle name="표준 5 4 3 7 2 2 3" xfId="39220" xr:uid="{00000000-0005-0000-0000-0000E3A70000}"/>
    <cellStyle name="표준 5 4 3 7 2 2 4" xfId="47413" xr:uid="{00000000-0005-0000-0000-0000E4A70000}"/>
    <cellStyle name="표준 5 4 3 7 2 3" xfId="18655" xr:uid="{00000000-0005-0000-0000-0000E5A70000}"/>
    <cellStyle name="표준 5 4 3 7 2 4" xfId="22817" xr:uid="{00000000-0005-0000-0000-0000E6A70000}"/>
    <cellStyle name="표준 5 4 3 7 2 5" xfId="26913" xr:uid="{00000000-0005-0000-0000-0000E7A70000}"/>
    <cellStyle name="표준 5 4 3 7 2 6" xfId="35124" xr:uid="{00000000-0005-0000-0000-0000E8A70000}"/>
    <cellStyle name="표준 5 4 3 7 2 7" xfId="43317" xr:uid="{00000000-0005-0000-0000-0000E9A70000}"/>
    <cellStyle name="표준 5 4 3 7 3" xfId="8255" xr:uid="{00000000-0005-0000-0000-0000EAA70000}"/>
    <cellStyle name="표준 5 4 3 7 3 2" xfId="28961" xr:uid="{00000000-0005-0000-0000-0000EBA70000}"/>
    <cellStyle name="표준 5 4 3 7 3 3" xfId="37172" xr:uid="{00000000-0005-0000-0000-0000ECA70000}"/>
    <cellStyle name="표준 5 4 3 7 3 4" xfId="45365" xr:uid="{00000000-0005-0000-0000-0000EDA70000}"/>
    <cellStyle name="표준 5 4 3 7 4" xfId="12367" xr:uid="{00000000-0005-0000-0000-0000EEA70000}"/>
    <cellStyle name="표준 5 4 3 7 5" xfId="16607" xr:uid="{00000000-0005-0000-0000-0000EFA70000}"/>
    <cellStyle name="표준 5 4 3 7 6" xfId="20769" xr:uid="{00000000-0005-0000-0000-0000F0A70000}"/>
    <cellStyle name="표준 5 4 3 7 7" xfId="24865" xr:uid="{00000000-0005-0000-0000-0000F1A70000}"/>
    <cellStyle name="표준 5 4 3 7 8" xfId="33076" xr:uid="{00000000-0005-0000-0000-0000F2A70000}"/>
    <cellStyle name="표준 5 4 3 7 9" xfId="41269" xr:uid="{00000000-0005-0000-0000-0000F3A70000}"/>
    <cellStyle name="표준 5 4 3 8" xfId="1912" xr:uid="{00000000-0005-0000-0000-0000F4A70000}"/>
    <cellStyle name="표준 5 4 3 8 2" xfId="10815" xr:uid="{00000000-0005-0000-0000-0000F5A70000}"/>
    <cellStyle name="표준 5 4 3 8 2 2" xfId="14927" xr:uid="{00000000-0005-0000-0000-0000F6A70000}"/>
    <cellStyle name="표준 5 4 3 8 2 2 2" xfId="31521" xr:uid="{00000000-0005-0000-0000-0000F7A70000}"/>
    <cellStyle name="표준 5 4 3 8 2 2 3" xfId="39732" xr:uid="{00000000-0005-0000-0000-0000F8A70000}"/>
    <cellStyle name="표준 5 4 3 8 2 2 4" xfId="47925" xr:uid="{00000000-0005-0000-0000-0000F9A70000}"/>
    <cellStyle name="표준 5 4 3 8 2 3" xfId="19167" xr:uid="{00000000-0005-0000-0000-0000FAA70000}"/>
    <cellStyle name="표준 5 4 3 8 2 4" xfId="23329" xr:uid="{00000000-0005-0000-0000-0000FBA70000}"/>
    <cellStyle name="표준 5 4 3 8 2 5" xfId="27425" xr:uid="{00000000-0005-0000-0000-0000FCA70000}"/>
    <cellStyle name="표준 5 4 3 8 2 6" xfId="35636" xr:uid="{00000000-0005-0000-0000-0000FDA70000}"/>
    <cellStyle name="표준 5 4 3 8 2 7" xfId="43829" xr:uid="{00000000-0005-0000-0000-0000FEA70000}"/>
    <cellStyle name="표준 5 4 3 8 3" xfId="8767" xr:uid="{00000000-0005-0000-0000-0000FFA70000}"/>
    <cellStyle name="표준 5 4 3 8 3 2" xfId="29473" xr:uid="{00000000-0005-0000-0000-000000A80000}"/>
    <cellStyle name="표준 5 4 3 8 3 3" xfId="37684" xr:uid="{00000000-0005-0000-0000-000001A80000}"/>
    <cellStyle name="표준 5 4 3 8 3 4" xfId="45877" xr:uid="{00000000-0005-0000-0000-000002A80000}"/>
    <cellStyle name="표준 5 4 3 8 4" xfId="12879" xr:uid="{00000000-0005-0000-0000-000003A80000}"/>
    <cellStyle name="표준 5 4 3 8 5" xfId="17119" xr:uid="{00000000-0005-0000-0000-000004A80000}"/>
    <cellStyle name="표준 5 4 3 8 6" xfId="21281" xr:uid="{00000000-0005-0000-0000-000005A80000}"/>
    <cellStyle name="표준 5 4 3 8 7" xfId="25377" xr:uid="{00000000-0005-0000-0000-000006A80000}"/>
    <cellStyle name="표준 5 4 3 8 8" xfId="33588" xr:uid="{00000000-0005-0000-0000-000007A80000}"/>
    <cellStyle name="표준 5 4 3 8 9" xfId="41781" xr:uid="{00000000-0005-0000-0000-000008A80000}"/>
    <cellStyle name="표준 5 4 3 9" xfId="6968" xr:uid="{00000000-0005-0000-0000-000009A80000}"/>
    <cellStyle name="표준 5 4 3 9 2" xfId="9279" xr:uid="{00000000-0005-0000-0000-00000AA80000}"/>
    <cellStyle name="표준 5 4 3 9 2 2" xfId="29985" xr:uid="{00000000-0005-0000-0000-00000BA80000}"/>
    <cellStyle name="표준 5 4 3 9 2 3" xfId="38196" xr:uid="{00000000-0005-0000-0000-00000CA80000}"/>
    <cellStyle name="표준 5 4 3 9 2 4" xfId="46389" xr:uid="{00000000-0005-0000-0000-00000DA80000}"/>
    <cellStyle name="표준 5 4 3 9 3" xfId="13391" xr:uid="{00000000-0005-0000-0000-00000EA80000}"/>
    <cellStyle name="표준 5 4 3 9 4" xfId="17631" xr:uid="{00000000-0005-0000-0000-00000FA80000}"/>
    <cellStyle name="표준 5 4 3 9 5" xfId="21793" xr:uid="{00000000-0005-0000-0000-000010A80000}"/>
    <cellStyle name="표준 5 4 3 9 6" xfId="25889" xr:uid="{00000000-0005-0000-0000-000011A80000}"/>
    <cellStyle name="표준 5 4 3 9 7" xfId="34100" xr:uid="{00000000-0005-0000-0000-000012A80000}"/>
    <cellStyle name="표준 5 4 3 9 8" xfId="42293" xr:uid="{00000000-0005-0000-0000-000013A80000}"/>
    <cellStyle name="표준 5 4 30" xfId="19734" xr:uid="{00000000-0005-0000-0000-000014A80000}"/>
    <cellStyle name="표준 5 4 31" xfId="23825" xr:uid="{00000000-0005-0000-0000-000015A80000}"/>
    <cellStyle name="표준 5 4 32" xfId="32019" xr:uid="{00000000-0005-0000-0000-000016A80000}"/>
    <cellStyle name="표준 5 4 33" xfId="32036" xr:uid="{00000000-0005-0000-0000-000017A80000}"/>
    <cellStyle name="표준 5 4 34" xfId="40229" xr:uid="{00000000-0005-0000-0000-000018A80000}"/>
    <cellStyle name="표준 5 4 35" xfId="48431" xr:uid="{00000000-0005-0000-0000-000019A80000}"/>
    <cellStyle name="표준 5 4 4" xfId="302" xr:uid="{00000000-0005-0000-0000-00001AA80000}"/>
    <cellStyle name="표준 5 4 4 10" xfId="7174" xr:uid="{00000000-0005-0000-0000-00001BA80000}"/>
    <cellStyle name="표준 5 4 4 11" xfId="7247" xr:uid="{00000000-0005-0000-0000-00001CA80000}"/>
    <cellStyle name="표준 5 4 4 12" xfId="11359" xr:uid="{00000000-0005-0000-0000-00001DA80000}"/>
    <cellStyle name="표준 5 4 4 13" xfId="15487" xr:uid="{00000000-0005-0000-0000-00001EA80000}"/>
    <cellStyle name="표준 5 4 4 14" xfId="15599" xr:uid="{00000000-0005-0000-0000-00001FA80000}"/>
    <cellStyle name="표준 5 4 4 15" xfId="19761" xr:uid="{00000000-0005-0000-0000-000020A80000}"/>
    <cellStyle name="표준 5 4 4 16" xfId="23857" xr:uid="{00000000-0005-0000-0000-000021A80000}"/>
    <cellStyle name="표준 5 4 4 17" xfId="32068" xr:uid="{00000000-0005-0000-0000-000022A80000}"/>
    <cellStyle name="표준 5 4 4 18" xfId="40261" xr:uid="{00000000-0005-0000-0000-000023A80000}"/>
    <cellStyle name="표준 5 4 4 19" xfId="49691" xr:uid="{00000000-0005-0000-0000-000024A80000}"/>
    <cellStyle name="표준 5 4 4 2" xfId="456" xr:uid="{00000000-0005-0000-0000-000025A80000}"/>
    <cellStyle name="표준 5 4 4 2 10" xfId="11423" xr:uid="{00000000-0005-0000-0000-000026A80000}"/>
    <cellStyle name="표준 5 4 4 2 11" xfId="15535" xr:uid="{00000000-0005-0000-0000-000027A80000}"/>
    <cellStyle name="표준 5 4 4 2 12" xfId="15663" xr:uid="{00000000-0005-0000-0000-000028A80000}"/>
    <cellStyle name="표준 5 4 4 2 13" xfId="19825" xr:uid="{00000000-0005-0000-0000-000029A80000}"/>
    <cellStyle name="표준 5 4 4 2 14" xfId="23921" xr:uid="{00000000-0005-0000-0000-00002AA80000}"/>
    <cellStyle name="표준 5 4 4 2 15" xfId="32132" xr:uid="{00000000-0005-0000-0000-00002BA80000}"/>
    <cellStyle name="표준 5 4 4 2 16" xfId="40325" xr:uid="{00000000-0005-0000-0000-00002CA80000}"/>
    <cellStyle name="표준 5 4 4 2 2" xfId="584" xr:uid="{00000000-0005-0000-0000-00002DA80000}"/>
    <cellStyle name="표준 5 4 4 2 2 10" xfId="19953" xr:uid="{00000000-0005-0000-0000-00002EA80000}"/>
    <cellStyle name="표준 5 4 4 2 2 11" xfId="24049" xr:uid="{00000000-0005-0000-0000-00002FA80000}"/>
    <cellStyle name="표준 5 4 4 2 2 12" xfId="32260" xr:uid="{00000000-0005-0000-0000-000030A80000}"/>
    <cellStyle name="표준 5 4 4 2 2 13" xfId="40453" xr:uid="{00000000-0005-0000-0000-000031A80000}"/>
    <cellStyle name="표준 5 4 4 2 2 2" xfId="840" xr:uid="{00000000-0005-0000-0000-000032A80000}"/>
    <cellStyle name="표준 5 4 4 2 2 2 10" xfId="24305" xr:uid="{00000000-0005-0000-0000-000033A80000}"/>
    <cellStyle name="표준 5 4 4 2 2 2 11" xfId="32516" xr:uid="{00000000-0005-0000-0000-000034A80000}"/>
    <cellStyle name="표준 5 4 4 2 2 2 12" xfId="40709" xr:uid="{00000000-0005-0000-0000-000035A80000}"/>
    <cellStyle name="표준 5 4 4 2 2 2 2" xfId="1352" xr:uid="{00000000-0005-0000-0000-000036A80000}"/>
    <cellStyle name="표준 5 4 4 2 2 2 2 2" xfId="10255" xr:uid="{00000000-0005-0000-0000-000037A80000}"/>
    <cellStyle name="표준 5 4 4 2 2 2 2 2 2" xfId="14367" xr:uid="{00000000-0005-0000-0000-000038A80000}"/>
    <cellStyle name="표준 5 4 4 2 2 2 2 2 2 2" xfId="30961" xr:uid="{00000000-0005-0000-0000-000039A80000}"/>
    <cellStyle name="표준 5 4 4 2 2 2 2 2 2 3" xfId="39172" xr:uid="{00000000-0005-0000-0000-00003AA80000}"/>
    <cellStyle name="표준 5 4 4 2 2 2 2 2 2 4" xfId="47365" xr:uid="{00000000-0005-0000-0000-00003BA80000}"/>
    <cellStyle name="표준 5 4 4 2 2 2 2 2 3" xfId="18607" xr:uid="{00000000-0005-0000-0000-00003CA80000}"/>
    <cellStyle name="표준 5 4 4 2 2 2 2 2 4" xfId="22769" xr:uid="{00000000-0005-0000-0000-00003DA80000}"/>
    <cellStyle name="표준 5 4 4 2 2 2 2 2 5" xfId="26865" xr:uid="{00000000-0005-0000-0000-00003EA80000}"/>
    <cellStyle name="표준 5 4 4 2 2 2 2 2 6" xfId="35076" xr:uid="{00000000-0005-0000-0000-00003FA80000}"/>
    <cellStyle name="표준 5 4 4 2 2 2 2 2 7" xfId="43269" xr:uid="{00000000-0005-0000-0000-000040A80000}"/>
    <cellStyle name="표준 5 4 4 2 2 2 2 3" xfId="8207" xr:uid="{00000000-0005-0000-0000-000041A80000}"/>
    <cellStyle name="표준 5 4 4 2 2 2 2 3 2" xfId="28913" xr:uid="{00000000-0005-0000-0000-000042A80000}"/>
    <cellStyle name="표준 5 4 4 2 2 2 2 3 3" xfId="37124" xr:uid="{00000000-0005-0000-0000-000043A80000}"/>
    <cellStyle name="표준 5 4 4 2 2 2 2 3 4" xfId="45317" xr:uid="{00000000-0005-0000-0000-000044A80000}"/>
    <cellStyle name="표준 5 4 4 2 2 2 2 4" xfId="12319" xr:uid="{00000000-0005-0000-0000-000045A80000}"/>
    <cellStyle name="표준 5 4 4 2 2 2 2 5" xfId="16559" xr:uid="{00000000-0005-0000-0000-000046A80000}"/>
    <cellStyle name="표준 5 4 4 2 2 2 2 6" xfId="20721" xr:uid="{00000000-0005-0000-0000-000047A80000}"/>
    <cellStyle name="표준 5 4 4 2 2 2 2 7" xfId="24817" xr:uid="{00000000-0005-0000-0000-000048A80000}"/>
    <cellStyle name="표준 5 4 4 2 2 2 2 8" xfId="33028" xr:uid="{00000000-0005-0000-0000-000049A80000}"/>
    <cellStyle name="표준 5 4 4 2 2 2 2 9" xfId="41221" xr:uid="{00000000-0005-0000-0000-00004AA80000}"/>
    <cellStyle name="표준 5 4 4 2 2 2 3" xfId="1864" xr:uid="{00000000-0005-0000-0000-00004BA80000}"/>
    <cellStyle name="표준 5 4 4 2 2 2 3 2" xfId="10767" xr:uid="{00000000-0005-0000-0000-00004CA80000}"/>
    <cellStyle name="표준 5 4 4 2 2 2 3 2 2" xfId="14879" xr:uid="{00000000-0005-0000-0000-00004DA80000}"/>
    <cellStyle name="표준 5 4 4 2 2 2 3 2 2 2" xfId="31473" xr:uid="{00000000-0005-0000-0000-00004EA80000}"/>
    <cellStyle name="표준 5 4 4 2 2 2 3 2 2 3" xfId="39684" xr:uid="{00000000-0005-0000-0000-00004FA80000}"/>
    <cellStyle name="표준 5 4 4 2 2 2 3 2 2 4" xfId="47877" xr:uid="{00000000-0005-0000-0000-000050A80000}"/>
    <cellStyle name="표준 5 4 4 2 2 2 3 2 3" xfId="19119" xr:uid="{00000000-0005-0000-0000-000051A80000}"/>
    <cellStyle name="표준 5 4 4 2 2 2 3 2 4" xfId="23281" xr:uid="{00000000-0005-0000-0000-000052A80000}"/>
    <cellStyle name="표준 5 4 4 2 2 2 3 2 5" xfId="27377" xr:uid="{00000000-0005-0000-0000-000053A80000}"/>
    <cellStyle name="표준 5 4 4 2 2 2 3 2 6" xfId="35588" xr:uid="{00000000-0005-0000-0000-000054A80000}"/>
    <cellStyle name="표준 5 4 4 2 2 2 3 2 7" xfId="43781" xr:uid="{00000000-0005-0000-0000-000055A80000}"/>
    <cellStyle name="표준 5 4 4 2 2 2 3 3" xfId="8719" xr:uid="{00000000-0005-0000-0000-000056A80000}"/>
    <cellStyle name="표준 5 4 4 2 2 2 3 3 2" xfId="29425" xr:uid="{00000000-0005-0000-0000-000057A80000}"/>
    <cellStyle name="표준 5 4 4 2 2 2 3 3 3" xfId="37636" xr:uid="{00000000-0005-0000-0000-000058A80000}"/>
    <cellStyle name="표준 5 4 4 2 2 2 3 3 4" xfId="45829" xr:uid="{00000000-0005-0000-0000-000059A80000}"/>
    <cellStyle name="표준 5 4 4 2 2 2 3 4" xfId="12831" xr:uid="{00000000-0005-0000-0000-00005AA80000}"/>
    <cellStyle name="표준 5 4 4 2 2 2 3 5" xfId="17071" xr:uid="{00000000-0005-0000-0000-00005BA80000}"/>
    <cellStyle name="표준 5 4 4 2 2 2 3 6" xfId="21233" xr:uid="{00000000-0005-0000-0000-00005CA80000}"/>
    <cellStyle name="표준 5 4 4 2 2 2 3 7" xfId="25329" xr:uid="{00000000-0005-0000-0000-00005DA80000}"/>
    <cellStyle name="표준 5 4 4 2 2 2 3 8" xfId="33540" xr:uid="{00000000-0005-0000-0000-00005EA80000}"/>
    <cellStyle name="표준 5 4 4 2 2 2 3 9" xfId="41733" xr:uid="{00000000-0005-0000-0000-00005FA80000}"/>
    <cellStyle name="표준 5 4 4 2 2 2 4" xfId="2376" xr:uid="{00000000-0005-0000-0000-000060A80000}"/>
    <cellStyle name="표준 5 4 4 2 2 2 4 2" xfId="11279" xr:uid="{00000000-0005-0000-0000-000061A80000}"/>
    <cellStyle name="표준 5 4 4 2 2 2 4 2 2" xfId="15391" xr:uid="{00000000-0005-0000-0000-000062A80000}"/>
    <cellStyle name="표준 5 4 4 2 2 2 4 2 2 2" xfId="31985" xr:uid="{00000000-0005-0000-0000-000063A80000}"/>
    <cellStyle name="표준 5 4 4 2 2 2 4 2 2 3" xfId="40196" xr:uid="{00000000-0005-0000-0000-000064A80000}"/>
    <cellStyle name="표준 5 4 4 2 2 2 4 2 2 4" xfId="48389" xr:uid="{00000000-0005-0000-0000-000065A80000}"/>
    <cellStyle name="표준 5 4 4 2 2 2 4 2 3" xfId="19631" xr:uid="{00000000-0005-0000-0000-000066A80000}"/>
    <cellStyle name="표준 5 4 4 2 2 2 4 2 4" xfId="23793" xr:uid="{00000000-0005-0000-0000-000067A80000}"/>
    <cellStyle name="표준 5 4 4 2 2 2 4 2 5" xfId="27889" xr:uid="{00000000-0005-0000-0000-000068A80000}"/>
    <cellStyle name="표준 5 4 4 2 2 2 4 2 6" xfId="36100" xr:uid="{00000000-0005-0000-0000-000069A80000}"/>
    <cellStyle name="표준 5 4 4 2 2 2 4 2 7" xfId="44293" xr:uid="{00000000-0005-0000-0000-00006AA80000}"/>
    <cellStyle name="표준 5 4 4 2 2 2 4 3" xfId="9231" xr:uid="{00000000-0005-0000-0000-00006BA80000}"/>
    <cellStyle name="표준 5 4 4 2 2 2 4 3 2" xfId="29937" xr:uid="{00000000-0005-0000-0000-00006CA80000}"/>
    <cellStyle name="표준 5 4 4 2 2 2 4 3 3" xfId="38148" xr:uid="{00000000-0005-0000-0000-00006DA80000}"/>
    <cellStyle name="표준 5 4 4 2 2 2 4 3 4" xfId="46341" xr:uid="{00000000-0005-0000-0000-00006EA80000}"/>
    <cellStyle name="표준 5 4 4 2 2 2 4 4" xfId="13343" xr:uid="{00000000-0005-0000-0000-00006FA80000}"/>
    <cellStyle name="표준 5 4 4 2 2 2 4 5" xfId="17583" xr:uid="{00000000-0005-0000-0000-000070A80000}"/>
    <cellStyle name="표준 5 4 4 2 2 2 4 6" xfId="21745" xr:uid="{00000000-0005-0000-0000-000071A80000}"/>
    <cellStyle name="표준 5 4 4 2 2 2 4 7" xfId="25841" xr:uid="{00000000-0005-0000-0000-000072A80000}"/>
    <cellStyle name="표준 5 4 4 2 2 2 4 8" xfId="34052" xr:uid="{00000000-0005-0000-0000-000073A80000}"/>
    <cellStyle name="표준 5 4 4 2 2 2 4 9" xfId="42245" xr:uid="{00000000-0005-0000-0000-000074A80000}"/>
    <cellStyle name="표준 5 4 4 2 2 2 5" xfId="9743" xr:uid="{00000000-0005-0000-0000-000075A80000}"/>
    <cellStyle name="표준 5 4 4 2 2 2 5 2" xfId="13855" xr:uid="{00000000-0005-0000-0000-000076A80000}"/>
    <cellStyle name="표준 5 4 4 2 2 2 5 2 2" xfId="30449" xr:uid="{00000000-0005-0000-0000-000077A80000}"/>
    <cellStyle name="표준 5 4 4 2 2 2 5 2 3" xfId="38660" xr:uid="{00000000-0005-0000-0000-000078A80000}"/>
    <cellStyle name="표준 5 4 4 2 2 2 5 2 4" xfId="46853" xr:uid="{00000000-0005-0000-0000-000079A80000}"/>
    <cellStyle name="표준 5 4 4 2 2 2 5 3" xfId="18095" xr:uid="{00000000-0005-0000-0000-00007AA80000}"/>
    <cellStyle name="표준 5 4 4 2 2 2 5 4" xfId="22257" xr:uid="{00000000-0005-0000-0000-00007BA80000}"/>
    <cellStyle name="표준 5 4 4 2 2 2 5 5" xfId="26353" xr:uid="{00000000-0005-0000-0000-00007CA80000}"/>
    <cellStyle name="표준 5 4 4 2 2 2 5 6" xfId="34564" xr:uid="{00000000-0005-0000-0000-00007DA80000}"/>
    <cellStyle name="표준 5 4 4 2 2 2 5 7" xfId="42757" xr:uid="{00000000-0005-0000-0000-00007EA80000}"/>
    <cellStyle name="표준 5 4 4 2 2 2 6" xfId="7695" xr:uid="{00000000-0005-0000-0000-00007FA80000}"/>
    <cellStyle name="표준 5 4 4 2 2 2 6 2" xfId="28401" xr:uid="{00000000-0005-0000-0000-000080A80000}"/>
    <cellStyle name="표준 5 4 4 2 2 2 6 3" xfId="36612" xr:uid="{00000000-0005-0000-0000-000081A80000}"/>
    <cellStyle name="표준 5 4 4 2 2 2 6 4" xfId="44805" xr:uid="{00000000-0005-0000-0000-000082A80000}"/>
    <cellStyle name="표준 5 4 4 2 2 2 7" xfId="11807" xr:uid="{00000000-0005-0000-0000-000083A80000}"/>
    <cellStyle name="표준 5 4 4 2 2 2 8" xfId="16047" xr:uid="{00000000-0005-0000-0000-000084A80000}"/>
    <cellStyle name="표준 5 4 4 2 2 2 9" xfId="20209" xr:uid="{00000000-0005-0000-0000-000085A80000}"/>
    <cellStyle name="표준 5 4 4 2 2 3" xfId="1096" xr:uid="{00000000-0005-0000-0000-000086A80000}"/>
    <cellStyle name="표준 5 4 4 2 2 3 2" xfId="9999" xr:uid="{00000000-0005-0000-0000-000087A80000}"/>
    <cellStyle name="표준 5 4 4 2 2 3 2 2" xfId="14111" xr:uid="{00000000-0005-0000-0000-000088A80000}"/>
    <cellStyle name="표준 5 4 4 2 2 3 2 2 2" xfId="30705" xr:uid="{00000000-0005-0000-0000-000089A80000}"/>
    <cellStyle name="표준 5 4 4 2 2 3 2 2 3" xfId="38916" xr:uid="{00000000-0005-0000-0000-00008AA80000}"/>
    <cellStyle name="표준 5 4 4 2 2 3 2 2 4" xfId="47109" xr:uid="{00000000-0005-0000-0000-00008BA80000}"/>
    <cellStyle name="표준 5 4 4 2 2 3 2 3" xfId="18351" xr:uid="{00000000-0005-0000-0000-00008CA80000}"/>
    <cellStyle name="표준 5 4 4 2 2 3 2 4" xfId="22513" xr:uid="{00000000-0005-0000-0000-00008DA80000}"/>
    <cellStyle name="표준 5 4 4 2 2 3 2 5" xfId="26609" xr:uid="{00000000-0005-0000-0000-00008EA80000}"/>
    <cellStyle name="표준 5 4 4 2 2 3 2 6" xfId="34820" xr:uid="{00000000-0005-0000-0000-00008FA80000}"/>
    <cellStyle name="표준 5 4 4 2 2 3 2 7" xfId="43013" xr:uid="{00000000-0005-0000-0000-000090A80000}"/>
    <cellStyle name="표준 5 4 4 2 2 3 3" xfId="7951" xr:uid="{00000000-0005-0000-0000-000091A80000}"/>
    <cellStyle name="표준 5 4 4 2 2 3 3 2" xfId="28657" xr:uid="{00000000-0005-0000-0000-000092A80000}"/>
    <cellStyle name="표준 5 4 4 2 2 3 3 3" xfId="36868" xr:uid="{00000000-0005-0000-0000-000093A80000}"/>
    <cellStyle name="표준 5 4 4 2 2 3 3 4" xfId="45061" xr:uid="{00000000-0005-0000-0000-000094A80000}"/>
    <cellStyle name="표준 5 4 4 2 2 3 4" xfId="12063" xr:uid="{00000000-0005-0000-0000-000095A80000}"/>
    <cellStyle name="표준 5 4 4 2 2 3 5" xfId="16303" xr:uid="{00000000-0005-0000-0000-000096A80000}"/>
    <cellStyle name="표준 5 4 4 2 2 3 6" xfId="20465" xr:uid="{00000000-0005-0000-0000-000097A80000}"/>
    <cellStyle name="표준 5 4 4 2 2 3 7" xfId="24561" xr:uid="{00000000-0005-0000-0000-000098A80000}"/>
    <cellStyle name="표준 5 4 4 2 2 3 8" xfId="32772" xr:uid="{00000000-0005-0000-0000-000099A80000}"/>
    <cellStyle name="표준 5 4 4 2 2 3 9" xfId="40965" xr:uid="{00000000-0005-0000-0000-00009AA80000}"/>
    <cellStyle name="표준 5 4 4 2 2 4" xfId="1608" xr:uid="{00000000-0005-0000-0000-00009BA80000}"/>
    <cellStyle name="표준 5 4 4 2 2 4 2" xfId="10511" xr:uid="{00000000-0005-0000-0000-00009CA80000}"/>
    <cellStyle name="표준 5 4 4 2 2 4 2 2" xfId="14623" xr:uid="{00000000-0005-0000-0000-00009DA80000}"/>
    <cellStyle name="표준 5 4 4 2 2 4 2 2 2" xfId="31217" xr:uid="{00000000-0005-0000-0000-00009EA80000}"/>
    <cellStyle name="표준 5 4 4 2 2 4 2 2 3" xfId="39428" xr:uid="{00000000-0005-0000-0000-00009FA80000}"/>
    <cellStyle name="표준 5 4 4 2 2 4 2 2 4" xfId="47621" xr:uid="{00000000-0005-0000-0000-0000A0A80000}"/>
    <cellStyle name="표준 5 4 4 2 2 4 2 3" xfId="18863" xr:uid="{00000000-0005-0000-0000-0000A1A80000}"/>
    <cellStyle name="표준 5 4 4 2 2 4 2 4" xfId="23025" xr:uid="{00000000-0005-0000-0000-0000A2A80000}"/>
    <cellStyle name="표준 5 4 4 2 2 4 2 5" xfId="27121" xr:uid="{00000000-0005-0000-0000-0000A3A80000}"/>
    <cellStyle name="표준 5 4 4 2 2 4 2 6" xfId="35332" xr:uid="{00000000-0005-0000-0000-0000A4A80000}"/>
    <cellStyle name="표준 5 4 4 2 2 4 2 7" xfId="43525" xr:uid="{00000000-0005-0000-0000-0000A5A80000}"/>
    <cellStyle name="표준 5 4 4 2 2 4 3" xfId="8463" xr:uid="{00000000-0005-0000-0000-0000A6A80000}"/>
    <cellStyle name="표준 5 4 4 2 2 4 3 2" xfId="29169" xr:uid="{00000000-0005-0000-0000-0000A7A80000}"/>
    <cellStyle name="표준 5 4 4 2 2 4 3 3" xfId="37380" xr:uid="{00000000-0005-0000-0000-0000A8A80000}"/>
    <cellStyle name="표준 5 4 4 2 2 4 3 4" xfId="45573" xr:uid="{00000000-0005-0000-0000-0000A9A80000}"/>
    <cellStyle name="표준 5 4 4 2 2 4 4" xfId="12575" xr:uid="{00000000-0005-0000-0000-0000AAA80000}"/>
    <cellStyle name="표준 5 4 4 2 2 4 5" xfId="16815" xr:uid="{00000000-0005-0000-0000-0000ABA80000}"/>
    <cellStyle name="표준 5 4 4 2 2 4 6" xfId="20977" xr:uid="{00000000-0005-0000-0000-0000ACA80000}"/>
    <cellStyle name="표준 5 4 4 2 2 4 7" xfId="25073" xr:uid="{00000000-0005-0000-0000-0000ADA80000}"/>
    <cellStyle name="표준 5 4 4 2 2 4 8" xfId="33284" xr:uid="{00000000-0005-0000-0000-0000AEA80000}"/>
    <cellStyle name="표준 5 4 4 2 2 4 9" xfId="41477" xr:uid="{00000000-0005-0000-0000-0000AFA80000}"/>
    <cellStyle name="표준 5 4 4 2 2 5" xfId="2120" xr:uid="{00000000-0005-0000-0000-0000B0A80000}"/>
    <cellStyle name="표준 5 4 4 2 2 5 2" xfId="11023" xr:uid="{00000000-0005-0000-0000-0000B1A80000}"/>
    <cellStyle name="표준 5 4 4 2 2 5 2 2" xfId="15135" xr:uid="{00000000-0005-0000-0000-0000B2A80000}"/>
    <cellStyle name="표준 5 4 4 2 2 5 2 2 2" xfId="31729" xr:uid="{00000000-0005-0000-0000-0000B3A80000}"/>
    <cellStyle name="표준 5 4 4 2 2 5 2 2 3" xfId="39940" xr:uid="{00000000-0005-0000-0000-0000B4A80000}"/>
    <cellStyle name="표준 5 4 4 2 2 5 2 2 4" xfId="48133" xr:uid="{00000000-0005-0000-0000-0000B5A80000}"/>
    <cellStyle name="표준 5 4 4 2 2 5 2 3" xfId="19375" xr:uid="{00000000-0005-0000-0000-0000B6A80000}"/>
    <cellStyle name="표준 5 4 4 2 2 5 2 4" xfId="23537" xr:uid="{00000000-0005-0000-0000-0000B7A80000}"/>
    <cellStyle name="표준 5 4 4 2 2 5 2 5" xfId="27633" xr:uid="{00000000-0005-0000-0000-0000B8A80000}"/>
    <cellStyle name="표준 5 4 4 2 2 5 2 6" xfId="35844" xr:uid="{00000000-0005-0000-0000-0000B9A80000}"/>
    <cellStyle name="표준 5 4 4 2 2 5 2 7" xfId="44037" xr:uid="{00000000-0005-0000-0000-0000BAA80000}"/>
    <cellStyle name="표준 5 4 4 2 2 5 3" xfId="8975" xr:uid="{00000000-0005-0000-0000-0000BBA80000}"/>
    <cellStyle name="표준 5 4 4 2 2 5 3 2" xfId="29681" xr:uid="{00000000-0005-0000-0000-0000BCA80000}"/>
    <cellStyle name="표준 5 4 4 2 2 5 3 3" xfId="37892" xr:uid="{00000000-0005-0000-0000-0000BDA80000}"/>
    <cellStyle name="표준 5 4 4 2 2 5 3 4" xfId="46085" xr:uid="{00000000-0005-0000-0000-0000BEA80000}"/>
    <cellStyle name="표준 5 4 4 2 2 5 4" xfId="13087" xr:uid="{00000000-0005-0000-0000-0000BFA80000}"/>
    <cellStyle name="표준 5 4 4 2 2 5 5" xfId="17327" xr:uid="{00000000-0005-0000-0000-0000C0A80000}"/>
    <cellStyle name="표준 5 4 4 2 2 5 6" xfId="21489" xr:uid="{00000000-0005-0000-0000-0000C1A80000}"/>
    <cellStyle name="표준 5 4 4 2 2 5 7" xfId="25585" xr:uid="{00000000-0005-0000-0000-0000C2A80000}"/>
    <cellStyle name="표준 5 4 4 2 2 5 8" xfId="33796" xr:uid="{00000000-0005-0000-0000-0000C3A80000}"/>
    <cellStyle name="표준 5 4 4 2 2 5 9" xfId="41989" xr:uid="{00000000-0005-0000-0000-0000C4A80000}"/>
    <cellStyle name="표준 5 4 4 2 2 6" xfId="9487" xr:uid="{00000000-0005-0000-0000-0000C5A80000}"/>
    <cellStyle name="표준 5 4 4 2 2 6 2" xfId="13599" xr:uid="{00000000-0005-0000-0000-0000C6A80000}"/>
    <cellStyle name="표준 5 4 4 2 2 6 2 2" xfId="30193" xr:uid="{00000000-0005-0000-0000-0000C7A80000}"/>
    <cellStyle name="표준 5 4 4 2 2 6 2 3" xfId="38404" xr:uid="{00000000-0005-0000-0000-0000C8A80000}"/>
    <cellStyle name="표준 5 4 4 2 2 6 2 4" xfId="46597" xr:uid="{00000000-0005-0000-0000-0000C9A80000}"/>
    <cellStyle name="표준 5 4 4 2 2 6 3" xfId="17839" xr:uid="{00000000-0005-0000-0000-0000CAA80000}"/>
    <cellStyle name="표준 5 4 4 2 2 6 4" xfId="22001" xr:uid="{00000000-0005-0000-0000-0000CBA80000}"/>
    <cellStyle name="표준 5 4 4 2 2 6 5" xfId="26097" xr:uid="{00000000-0005-0000-0000-0000CCA80000}"/>
    <cellStyle name="표준 5 4 4 2 2 6 6" xfId="34308" xr:uid="{00000000-0005-0000-0000-0000CDA80000}"/>
    <cellStyle name="표준 5 4 4 2 2 6 7" xfId="42501" xr:uid="{00000000-0005-0000-0000-0000CEA80000}"/>
    <cellStyle name="표준 5 4 4 2 2 7" xfId="7439" xr:uid="{00000000-0005-0000-0000-0000CFA80000}"/>
    <cellStyle name="표준 5 4 4 2 2 7 2" xfId="28145" xr:uid="{00000000-0005-0000-0000-0000D0A80000}"/>
    <cellStyle name="표준 5 4 4 2 2 7 3" xfId="36356" xr:uid="{00000000-0005-0000-0000-0000D1A80000}"/>
    <cellStyle name="표준 5 4 4 2 2 7 4" xfId="44549" xr:uid="{00000000-0005-0000-0000-0000D2A80000}"/>
    <cellStyle name="표준 5 4 4 2 2 8" xfId="11551" xr:uid="{00000000-0005-0000-0000-0000D3A80000}"/>
    <cellStyle name="표준 5 4 4 2 2 9" xfId="15791" xr:uid="{00000000-0005-0000-0000-0000D4A80000}"/>
    <cellStyle name="표준 5 4 4 2 3" xfId="712" xr:uid="{00000000-0005-0000-0000-0000D5A80000}"/>
    <cellStyle name="표준 5 4 4 2 3 10" xfId="24177" xr:uid="{00000000-0005-0000-0000-0000D6A80000}"/>
    <cellStyle name="표준 5 4 4 2 3 11" xfId="32388" xr:uid="{00000000-0005-0000-0000-0000D7A80000}"/>
    <cellStyle name="표준 5 4 4 2 3 12" xfId="40581" xr:uid="{00000000-0005-0000-0000-0000D8A80000}"/>
    <cellStyle name="표준 5 4 4 2 3 2" xfId="1224" xr:uid="{00000000-0005-0000-0000-0000D9A80000}"/>
    <cellStyle name="표준 5 4 4 2 3 2 2" xfId="10127" xr:uid="{00000000-0005-0000-0000-0000DAA80000}"/>
    <cellStyle name="표준 5 4 4 2 3 2 2 2" xfId="14239" xr:uid="{00000000-0005-0000-0000-0000DBA80000}"/>
    <cellStyle name="표준 5 4 4 2 3 2 2 2 2" xfId="30833" xr:uid="{00000000-0005-0000-0000-0000DCA80000}"/>
    <cellStyle name="표준 5 4 4 2 3 2 2 2 3" xfId="39044" xr:uid="{00000000-0005-0000-0000-0000DDA80000}"/>
    <cellStyle name="표준 5 4 4 2 3 2 2 2 4" xfId="47237" xr:uid="{00000000-0005-0000-0000-0000DEA80000}"/>
    <cellStyle name="표준 5 4 4 2 3 2 2 3" xfId="18479" xr:uid="{00000000-0005-0000-0000-0000DFA80000}"/>
    <cellStyle name="표준 5 4 4 2 3 2 2 4" xfId="22641" xr:uid="{00000000-0005-0000-0000-0000E0A80000}"/>
    <cellStyle name="표준 5 4 4 2 3 2 2 5" xfId="26737" xr:uid="{00000000-0005-0000-0000-0000E1A80000}"/>
    <cellStyle name="표준 5 4 4 2 3 2 2 6" xfId="34948" xr:uid="{00000000-0005-0000-0000-0000E2A80000}"/>
    <cellStyle name="표준 5 4 4 2 3 2 2 7" xfId="43141" xr:uid="{00000000-0005-0000-0000-0000E3A80000}"/>
    <cellStyle name="표준 5 4 4 2 3 2 3" xfId="8079" xr:uid="{00000000-0005-0000-0000-0000E4A80000}"/>
    <cellStyle name="표준 5 4 4 2 3 2 3 2" xfId="28785" xr:uid="{00000000-0005-0000-0000-0000E5A80000}"/>
    <cellStyle name="표준 5 4 4 2 3 2 3 3" xfId="36996" xr:uid="{00000000-0005-0000-0000-0000E6A80000}"/>
    <cellStyle name="표준 5 4 4 2 3 2 3 4" xfId="45189" xr:uid="{00000000-0005-0000-0000-0000E7A80000}"/>
    <cellStyle name="표준 5 4 4 2 3 2 4" xfId="12191" xr:uid="{00000000-0005-0000-0000-0000E8A80000}"/>
    <cellStyle name="표준 5 4 4 2 3 2 5" xfId="16431" xr:uid="{00000000-0005-0000-0000-0000E9A80000}"/>
    <cellStyle name="표준 5 4 4 2 3 2 6" xfId="20593" xr:uid="{00000000-0005-0000-0000-0000EAA80000}"/>
    <cellStyle name="표준 5 4 4 2 3 2 7" xfId="24689" xr:uid="{00000000-0005-0000-0000-0000EBA80000}"/>
    <cellStyle name="표준 5 4 4 2 3 2 8" xfId="32900" xr:uid="{00000000-0005-0000-0000-0000ECA80000}"/>
    <cellStyle name="표준 5 4 4 2 3 2 9" xfId="41093" xr:uid="{00000000-0005-0000-0000-0000EDA80000}"/>
    <cellStyle name="표준 5 4 4 2 3 3" xfId="1736" xr:uid="{00000000-0005-0000-0000-0000EEA80000}"/>
    <cellStyle name="표준 5 4 4 2 3 3 2" xfId="10639" xr:uid="{00000000-0005-0000-0000-0000EFA80000}"/>
    <cellStyle name="표준 5 4 4 2 3 3 2 2" xfId="14751" xr:uid="{00000000-0005-0000-0000-0000F0A80000}"/>
    <cellStyle name="표준 5 4 4 2 3 3 2 2 2" xfId="31345" xr:uid="{00000000-0005-0000-0000-0000F1A80000}"/>
    <cellStyle name="표준 5 4 4 2 3 3 2 2 3" xfId="39556" xr:uid="{00000000-0005-0000-0000-0000F2A80000}"/>
    <cellStyle name="표준 5 4 4 2 3 3 2 2 4" xfId="47749" xr:uid="{00000000-0005-0000-0000-0000F3A80000}"/>
    <cellStyle name="표준 5 4 4 2 3 3 2 3" xfId="18991" xr:uid="{00000000-0005-0000-0000-0000F4A80000}"/>
    <cellStyle name="표준 5 4 4 2 3 3 2 4" xfId="23153" xr:uid="{00000000-0005-0000-0000-0000F5A80000}"/>
    <cellStyle name="표준 5 4 4 2 3 3 2 5" xfId="27249" xr:uid="{00000000-0005-0000-0000-0000F6A80000}"/>
    <cellStyle name="표준 5 4 4 2 3 3 2 6" xfId="35460" xr:uid="{00000000-0005-0000-0000-0000F7A80000}"/>
    <cellStyle name="표준 5 4 4 2 3 3 2 7" xfId="43653" xr:uid="{00000000-0005-0000-0000-0000F8A80000}"/>
    <cellStyle name="표준 5 4 4 2 3 3 3" xfId="8591" xr:uid="{00000000-0005-0000-0000-0000F9A80000}"/>
    <cellStyle name="표준 5 4 4 2 3 3 3 2" xfId="29297" xr:uid="{00000000-0005-0000-0000-0000FAA80000}"/>
    <cellStyle name="표준 5 4 4 2 3 3 3 3" xfId="37508" xr:uid="{00000000-0005-0000-0000-0000FBA80000}"/>
    <cellStyle name="표준 5 4 4 2 3 3 3 4" xfId="45701" xr:uid="{00000000-0005-0000-0000-0000FCA80000}"/>
    <cellStyle name="표준 5 4 4 2 3 3 4" xfId="12703" xr:uid="{00000000-0005-0000-0000-0000FDA80000}"/>
    <cellStyle name="표준 5 4 4 2 3 3 5" xfId="16943" xr:uid="{00000000-0005-0000-0000-0000FEA80000}"/>
    <cellStyle name="표준 5 4 4 2 3 3 6" xfId="21105" xr:uid="{00000000-0005-0000-0000-0000FFA80000}"/>
    <cellStyle name="표준 5 4 4 2 3 3 7" xfId="25201" xr:uid="{00000000-0005-0000-0000-000000A90000}"/>
    <cellStyle name="표준 5 4 4 2 3 3 8" xfId="33412" xr:uid="{00000000-0005-0000-0000-000001A90000}"/>
    <cellStyle name="표준 5 4 4 2 3 3 9" xfId="41605" xr:uid="{00000000-0005-0000-0000-000002A90000}"/>
    <cellStyle name="표준 5 4 4 2 3 4" xfId="2248" xr:uid="{00000000-0005-0000-0000-000003A90000}"/>
    <cellStyle name="표준 5 4 4 2 3 4 2" xfId="11151" xr:uid="{00000000-0005-0000-0000-000004A90000}"/>
    <cellStyle name="표준 5 4 4 2 3 4 2 2" xfId="15263" xr:uid="{00000000-0005-0000-0000-000005A90000}"/>
    <cellStyle name="표준 5 4 4 2 3 4 2 2 2" xfId="31857" xr:uid="{00000000-0005-0000-0000-000006A90000}"/>
    <cellStyle name="표준 5 4 4 2 3 4 2 2 3" xfId="40068" xr:uid="{00000000-0005-0000-0000-000007A90000}"/>
    <cellStyle name="표준 5 4 4 2 3 4 2 2 4" xfId="48261" xr:uid="{00000000-0005-0000-0000-000008A90000}"/>
    <cellStyle name="표준 5 4 4 2 3 4 2 3" xfId="19503" xr:uid="{00000000-0005-0000-0000-000009A90000}"/>
    <cellStyle name="표준 5 4 4 2 3 4 2 4" xfId="23665" xr:uid="{00000000-0005-0000-0000-00000AA90000}"/>
    <cellStyle name="표준 5 4 4 2 3 4 2 5" xfId="27761" xr:uid="{00000000-0005-0000-0000-00000BA90000}"/>
    <cellStyle name="표준 5 4 4 2 3 4 2 6" xfId="35972" xr:uid="{00000000-0005-0000-0000-00000CA90000}"/>
    <cellStyle name="표준 5 4 4 2 3 4 2 7" xfId="44165" xr:uid="{00000000-0005-0000-0000-00000DA90000}"/>
    <cellStyle name="표준 5 4 4 2 3 4 3" xfId="9103" xr:uid="{00000000-0005-0000-0000-00000EA90000}"/>
    <cellStyle name="표준 5 4 4 2 3 4 3 2" xfId="29809" xr:uid="{00000000-0005-0000-0000-00000FA90000}"/>
    <cellStyle name="표준 5 4 4 2 3 4 3 3" xfId="38020" xr:uid="{00000000-0005-0000-0000-000010A90000}"/>
    <cellStyle name="표준 5 4 4 2 3 4 3 4" xfId="46213" xr:uid="{00000000-0005-0000-0000-000011A90000}"/>
    <cellStyle name="표준 5 4 4 2 3 4 4" xfId="13215" xr:uid="{00000000-0005-0000-0000-000012A90000}"/>
    <cellStyle name="표준 5 4 4 2 3 4 5" xfId="17455" xr:uid="{00000000-0005-0000-0000-000013A90000}"/>
    <cellStyle name="표준 5 4 4 2 3 4 6" xfId="21617" xr:uid="{00000000-0005-0000-0000-000014A90000}"/>
    <cellStyle name="표준 5 4 4 2 3 4 7" xfId="25713" xr:uid="{00000000-0005-0000-0000-000015A90000}"/>
    <cellStyle name="표준 5 4 4 2 3 4 8" xfId="33924" xr:uid="{00000000-0005-0000-0000-000016A90000}"/>
    <cellStyle name="표준 5 4 4 2 3 4 9" xfId="42117" xr:uid="{00000000-0005-0000-0000-000017A90000}"/>
    <cellStyle name="표준 5 4 4 2 3 5" xfId="9615" xr:uid="{00000000-0005-0000-0000-000018A90000}"/>
    <cellStyle name="표준 5 4 4 2 3 5 2" xfId="13727" xr:uid="{00000000-0005-0000-0000-000019A90000}"/>
    <cellStyle name="표준 5 4 4 2 3 5 2 2" xfId="30321" xr:uid="{00000000-0005-0000-0000-00001AA90000}"/>
    <cellStyle name="표준 5 4 4 2 3 5 2 3" xfId="38532" xr:uid="{00000000-0005-0000-0000-00001BA90000}"/>
    <cellStyle name="표준 5 4 4 2 3 5 2 4" xfId="46725" xr:uid="{00000000-0005-0000-0000-00001CA90000}"/>
    <cellStyle name="표준 5 4 4 2 3 5 3" xfId="17967" xr:uid="{00000000-0005-0000-0000-00001DA90000}"/>
    <cellStyle name="표준 5 4 4 2 3 5 4" xfId="22129" xr:uid="{00000000-0005-0000-0000-00001EA90000}"/>
    <cellStyle name="표준 5 4 4 2 3 5 5" xfId="26225" xr:uid="{00000000-0005-0000-0000-00001FA90000}"/>
    <cellStyle name="표준 5 4 4 2 3 5 6" xfId="34436" xr:uid="{00000000-0005-0000-0000-000020A90000}"/>
    <cellStyle name="표준 5 4 4 2 3 5 7" xfId="42629" xr:uid="{00000000-0005-0000-0000-000021A90000}"/>
    <cellStyle name="표준 5 4 4 2 3 6" xfId="7567" xr:uid="{00000000-0005-0000-0000-000022A90000}"/>
    <cellStyle name="표준 5 4 4 2 3 6 2" xfId="28273" xr:uid="{00000000-0005-0000-0000-000023A90000}"/>
    <cellStyle name="표준 5 4 4 2 3 6 3" xfId="36484" xr:uid="{00000000-0005-0000-0000-000024A90000}"/>
    <cellStyle name="표준 5 4 4 2 3 6 4" xfId="44677" xr:uid="{00000000-0005-0000-0000-000025A90000}"/>
    <cellStyle name="표준 5 4 4 2 3 7" xfId="11679" xr:uid="{00000000-0005-0000-0000-000026A90000}"/>
    <cellStyle name="표준 5 4 4 2 3 8" xfId="15919" xr:uid="{00000000-0005-0000-0000-000027A90000}"/>
    <cellStyle name="표준 5 4 4 2 3 9" xfId="20081" xr:uid="{00000000-0005-0000-0000-000028A90000}"/>
    <cellStyle name="표준 5 4 4 2 4" xfId="968" xr:uid="{00000000-0005-0000-0000-000029A90000}"/>
    <cellStyle name="표준 5 4 4 2 4 2" xfId="9871" xr:uid="{00000000-0005-0000-0000-00002AA90000}"/>
    <cellStyle name="표준 5 4 4 2 4 2 2" xfId="13983" xr:uid="{00000000-0005-0000-0000-00002BA90000}"/>
    <cellStyle name="표준 5 4 4 2 4 2 2 2" xfId="30577" xr:uid="{00000000-0005-0000-0000-00002CA90000}"/>
    <cellStyle name="표준 5 4 4 2 4 2 2 3" xfId="38788" xr:uid="{00000000-0005-0000-0000-00002DA90000}"/>
    <cellStyle name="표준 5 4 4 2 4 2 2 4" xfId="46981" xr:uid="{00000000-0005-0000-0000-00002EA90000}"/>
    <cellStyle name="표준 5 4 4 2 4 2 3" xfId="18223" xr:uid="{00000000-0005-0000-0000-00002FA90000}"/>
    <cellStyle name="표준 5 4 4 2 4 2 4" xfId="22385" xr:uid="{00000000-0005-0000-0000-000030A90000}"/>
    <cellStyle name="표준 5 4 4 2 4 2 5" xfId="26481" xr:uid="{00000000-0005-0000-0000-000031A90000}"/>
    <cellStyle name="표준 5 4 4 2 4 2 6" xfId="34692" xr:uid="{00000000-0005-0000-0000-000032A90000}"/>
    <cellStyle name="표준 5 4 4 2 4 2 7" xfId="42885" xr:uid="{00000000-0005-0000-0000-000033A90000}"/>
    <cellStyle name="표준 5 4 4 2 4 3" xfId="7823" xr:uid="{00000000-0005-0000-0000-000034A90000}"/>
    <cellStyle name="표준 5 4 4 2 4 3 2" xfId="28529" xr:uid="{00000000-0005-0000-0000-000035A90000}"/>
    <cellStyle name="표준 5 4 4 2 4 3 3" xfId="36740" xr:uid="{00000000-0005-0000-0000-000036A90000}"/>
    <cellStyle name="표준 5 4 4 2 4 3 4" xfId="44933" xr:uid="{00000000-0005-0000-0000-000037A90000}"/>
    <cellStyle name="표준 5 4 4 2 4 4" xfId="11935" xr:uid="{00000000-0005-0000-0000-000038A90000}"/>
    <cellStyle name="표준 5 4 4 2 4 5" xfId="16175" xr:uid="{00000000-0005-0000-0000-000039A90000}"/>
    <cellStyle name="표준 5 4 4 2 4 6" xfId="20337" xr:uid="{00000000-0005-0000-0000-00003AA90000}"/>
    <cellStyle name="표준 5 4 4 2 4 7" xfId="24433" xr:uid="{00000000-0005-0000-0000-00003BA90000}"/>
    <cellStyle name="표준 5 4 4 2 4 8" xfId="32644" xr:uid="{00000000-0005-0000-0000-00003CA90000}"/>
    <cellStyle name="표준 5 4 4 2 4 9" xfId="40837" xr:uid="{00000000-0005-0000-0000-00003DA90000}"/>
    <cellStyle name="표준 5 4 4 2 5" xfId="1480" xr:uid="{00000000-0005-0000-0000-00003EA90000}"/>
    <cellStyle name="표준 5 4 4 2 5 2" xfId="10383" xr:uid="{00000000-0005-0000-0000-00003FA90000}"/>
    <cellStyle name="표준 5 4 4 2 5 2 2" xfId="14495" xr:uid="{00000000-0005-0000-0000-000040A90000}"/>
    <cellStyle name="표준 5 4 4 2 5 2 2 2" xfId="31089" xr:uid="{00000000-0005-0000-0000-000041A90000}"/>
    <cellStyle name="표준 5 4 4 2 5 2 2 3" xfId="39300" xr:uid="{00000000-0005-0000-0000-000042A90000}"/>
    <cellStyle name="표준 5 4 4 2 5 2 2 4" xfId="47493" xr:uid="{00000000-0005-0000-0000-000043A90000}"/>
    <cellStyle name="표준 5 4 4 2 5 2 3" xfId="18735" xr:uid="{00000000-0005-0000-0000-000044A90000}"/>
    <cellStyle name="표준 5 4 4 2 5 2 4" xfId="22897" xr:uid="{00000000-0005-0000-0000-000045A90000}"/>
    <cellStyle name="표준 5 4 4 2 5 2 5" xfId="26993" xr:uid="{00000000-0005-0000-0000-000046A90000}"/>
    <cellStyle name="표준 5 4 4 2 5 2 6" xfId="35204" xr:uid="{00000000-0005-0000-0000-000047A90000}"/>
    <cellStyle name="표준 5 4 4 2 5 2 7" xfId="43397" xr:uid="{00000000-0005-0000-0000-000048A90000}"/>
    <cellStyle name="표준 5 4 4 2 5 3" xfId="8335" xr:uid="{00000000-0005-0000-0000-000049A90000}"/>
    <cellStyle name="표준 5 4 4 2 5 3 2" xfId="29041" xr:uid="{00000000-0005-0000-0000-00004AA90000}"/>
    <cellStyle name="표준 5 4 4 2 5 3 3" xfId="37252" xr:uid="{00000000-0005-0000-0000-00004BA90000}"/>
    <cellStyle name="표준 5 4 4 2 5 3 4" xfId="45445" xr:uid="{00000000-0005-0000-0000-00004CA90000}"/>
    <cellStyle name="표준 5 4 4 2 5 4" xfId="12447" xr:uid="{00000000-0005-0000-0000-00004DA90000}"/>
    <cellStyle name="표준 5 4 4 2 5 5" xfId="16687" xr:uid="{00000000-0005-0000-0000-00004EA90000}"/>
    <cellStyle name="표준 5 4 4 2 5 6" xfId="20849" xr:uid="{00000000-0005-0000-0000-00004FA90000}"/>
    <cellStyle name="표준 5 4 4 2 5 7" xfId="24945" xr:uid="{00000000-0005-0000-0000-000050A90000}"/>
    <cellStyle name="표준 5 4 4 2 5 8" xfId="33156" xr:uid="{00000000-0005-0000-0000-000051A90000}"/>
    <cellStyle name="표준 5 4 4 2 5 9" xfId="41349" xr:uid="{00000000-0005-0000-0000-000052A90000}"/>
    <cellStyle name="표준 5 4 4 2 6" xfId="1992" xr:uid="{00000000-0005-0000-0000-000053A90000}"/>
    <cellStyle name="표준 5 4 4 2 6 2" xfId="10895" xr:uid="{00000000-0005-0000-0000-000054A90000}"/>
    <cellStyle name="표준 5 4 4 2 6 2 2" xfId="15007" xr:uid="{00000000-0005-0000-0000-000055A90000}"/>
    <cellStyle name="표준 5 4 4 2 6 2 2 2" xfId="31601" xr:uid="{00000000-0005-0000-0000-000056A90000}"/>
    <cellStyle name="표준 5 4 4 2 6 2 2 3" xfId="39812" xr:uid="{00000000-0005-0000-0000-000057A90000}"/>
    <cellStyle name="표준 5 4 4 2 6 2 2 4" xfId="48005" xr:uid="{00000000-0005-0000-0000-000058A90000}"/>
    <cellStyle name="표준 5 4 4 2 6 2 3" xfId="19247" xr:uid="{00000000-0005-0000-0000-000059A90000}"/>
    <cellStyle name="표준 5 4 4 2 6 2 4" xfId="23409" xr:uid="{00000000-0005-0000-0000-00005AA90000}"/>
    <cellStyle name="표준 5 4 4 2 6 2 5" xfId="27505" xr:uid="{00000000-0005-0000-0000-00005BA90000}"/>
    <cellStyle name="표준 5 4 4 2 6 2 6" xfId="35716" xr:uid="{00000000-0005-0000-0000-00005CA90000}"/>
    <cellStyle name="표준 5 4 4 2 6 2 7" xfId="43909" xr:uid="{00000000-0005-0000-0000-00005DA90000}"/>
    <cellStyle name="표준 5 4 4 2 6 3" xfId="8847" xr:uid="{00000000-0005-0000-0000-00005EA90000}"/>
    <cellStyle name="표준 5 4 4 2 6 3 2" xfId="29553" xr:uid="{00000000-0005-0000-0000-00005FA90000}"/>
    <cellStyle name="표준 5 4 4 2 6 3 3" xfId="37764" xr:uid="{00000000-0005-0000-0000-000060A90000}"/>
    <cellStyle name="표준 5 4 4 2 6 3 4" xfId="45957" xr:uid="{00000000-0005-0000-0000-000061A90000}"/>
    <cellStyle name="표준 5 4 4 2 6 4" xfId="12959" xr:uid="{00000000-0005-0000-0000-000062A90000}"/>
    <cellStyle name="표준 5 4 4 2 6 5" xfId="17199" xr:uid="{00000000-0005-0000-0000-000063A90000}"/>
    <cellStyle name="표준 5 4 4 2 6 6" xfId="21361" xr:uid="{00000000-0005-0000-0000-000064A90000}"/>
    <cellStyle name="표준 5 4 4 2 6 7" xfId="25457" xr:uid="{00000000-0005-0000-0000-000065A90000}"/>
    <cellStyle name="표준 5 4 4 2 6 8" xfId="33668" xr:uid="{00000000-0005-0000-0000-000066A90000}"/>
    <cellStyle name="표준 5 4 4 2 6 9" xfId="41861" xr:uid="{00000000-0005-0000-0000-000067A90000}"/>
    <cellStyle name="표준 5 4 4 2 7" xfId="7052" xr:uid="{00000000-0005-0000-0000-000068A90000}"/>
    <cellStyle name="표준 5 4 4 2 7 2" xfId="9359" xr:uid="{00000000-0005-0000-0000-000069A90000}"/>
    <cellStyle name="표준 5 4 4 2 7 2 2" xfId="30065" xr:uid="{00000000-0005-0000-0000-00006AA90000}"/>
    <cellStyle name="표준 5 4 4 2 7 2 3" xfId="38276" xr:uid="{00000000-0005-0000-0000-00006BA90000}"/>
    <cellStyle name="표준 5 4 4 2 7 2 4" xfId="46469" xr:uid="{00000000-0005-0000-0000-00006CA90000}"/>
    <cellStyle name="표준 5 4 4 2 7 3" xfId="13471" xr:uid="{00000000-0005-0000-0000-00006DA90000}"/>
    <cellStyle name="표준 5 4 4 2 7 4" xfId="17711" xr:uid="{00000000-0005-0000-0000-00006EA90000}"/>
    <cellStyle name="표준 5 4 4 2 7 5" xfId="21873" xr:uid="{00000000-0005-0000-0000-00006FA90000}"/>
    <cellStyle name="표준 5 4 4 2 7 6" xfId="25969" xr:uid="{00000000-0005-0000-0000-000070A90000}"/>
    <cellStyle name="표준 5 4 4 2 7 7" xfId="34180" xr:uid="{00000000-0005-0000-0000-000071A90000}"/>
    <cellStyle name="표준 5 4 4 2 7 8" xfId="42373" xr:uid="{00000000-0005-0000-0000-000072A90000}"/>
    <cellStyle name="표준 5 4 4 2 8" xfId="7126" xr:uid="{00000000-0005-0000-0000-000073A90000}"/>
    <cellStyle name="표준 5 4 4 2 8 2" xfId="28017" xr:uid="{00000000-0005-0000-0000-000074A90000}"/>
    <cellStyle name="표준 5 4 4 2 8 3" xfId="36228" xr:uid="{00000000-0005-0000-0000-000075A90000}"/>
    <cellStyle name="표준 5 4 4 2 8 4" xfId="44421" xr:uid="{00000000-0005-0000-0000-000076A90000}"/>
    <cellStyle name="표준 5 4 4 2 9" xfId="7311" xr:uid="{00000000-0005-0000-0000-000077A90000}"/>
    <cellStyle name="표준 5 4 4 3" xfId="520" xr:uid="{00000000-0005-0000-0000-000078A90000}"/>
    <cellStyle name="표준 5 4 4 3 10" xfId="19889" xr:uid="{00000000-0005-0000-0000-000079A90000}"/>
    <cellStyle name="표준 5 4 4 3 11" xfId="23985" xr:uid="{00000000-0005-0000-0000-00007AA90000}"/>
    <cellStyle name="표준 5 4 4 3 12" xfId="32196" xr:uid="{00000000-0005-0000-0000-00007BA90000}"/>
    <cellStyle name="표준 5 4 4 3 13" xfId="40389" xr:uid="{00000000-0005-0000-0000-00007CA90000}"/>
    <cellStyle name="표준 5 4 4 3 2" xfId="776" xr:uid="{00000000-0005-0000-0000-00007DA90000}"/>
    <cellStyle name="표준 5 4 4 3 2 10" xfId="24241" xr:uid="{00000000-0005-0000-0000-00007EA90000}"/>
    <cellStyle name="표준 5 4 4 3 2 11" xfId="32452" xr:uid="{00000000-0005-0000-0000-00007FA90000}"/>
    <cellStyle name="표준 5 4 4 3 2 12" xfId="40645" xr:uid="{00000000-0005-0000-0000-000080A90000}"/>
    <cellStyle name="표준 5 4 4 3 2 2" xfId="1288" xr:uid="{00000000-0005-0000-0000-000081A90000}"/>
    <cellStyle name="표준 5 4 4 3 2 2 2" xfId="10191" xr:uid="{00000000-0005-0000-0000-000082A90000}"/>
    <cellStyle name="표준 5 4 4 3 2 2 2 2" xfId="14303" xr:uid="{00000000-0005-0000-0000-000083A90000}"/>
    <cellStyle name="표준 5 4 4 3 2 2 2 2 2" xfId="30897" xr:uid="{00000000-0005-0000-0000-000084A90000}"/>
    <cellStyle name="표준 5 4 4 3 2 2 2 2 3" xfId="39108" xr:uid="{00000000-0005-0000-0000-000085A90000}"/>
    <cellStyle name="표준 5 4 4 3 2 2 2 2 4" xfId="47301" xr:uid="{00000000-0005-0000-0000-000086A90000}"/>
    <cellStyle name="표준 5 4 4 3 2 2 2 3" xfId="18543" xr:uid="{00000000-0005-0000-0000-000087A90000}"/>
    <cellStyle name="표준 5 4 4 3 2 2 2 4" xfId="22705" xr:uid="{00000000-0005-0000-0000-000088A90000}"/>
    <cellStyle name="표준 5 4 4 3 2 2 2 5" xfId="26801" xr:uid="{00000000-0005-0000-0000-000089A90000}"/>
    <cellStyle name="표준 5 4 4 3 2 2 2 6" xfId="35012" xr:uid="{00000000-0005-0000-0000-00008AA90000}"/>
    <cellStyle name="표준 5 4 4 3 2 2 2 7" xfId="43205" xr:uid="{00000000-0005-0000-0000-00008BA90000}"/>
    <cellStyle name="표준 5 4 4 3 2 2 3" xfId="8143" xr:uid="{00000000-0005-0000-0000-00008CA90000}"/>
    <cellStyle name="표준 5 4 4 3 2 2 3 2" xfId="28849" xr:uid="{00000000-0005-0000-0000-00008DA90000}"/>
    <cellStyle name="표준 5 4 4 3 2 2 3 3" xfId="37060" xr:uid="{00000000-0005-0000-0000-00008EA90000}"/>
    <cellStyle name="표준 5 4 4 3 2 2 3 4" xfId="45253" xr:uid="{00000000-0005-0000-0000-00008FA90000}"/>
    <cellStyle name="표준 5 4 4 3 2 2 4" xfId="12255" xr:uid="{00000000-0005-0000-0000-000090A90000}"/>
    <cellStyle name="표준 5 4 4 3 2 2 5" xfId="16495" xr:uid="{00000000-0005-0000-0000-000091A90000}"/>
    <cellStyle name="표준 5 4 4 3 2 2 6" xfId="20657" xr:uid="{00000000-0005-0000-0000-000092A90000}"/>
    <cellStyle name="표준 5 4 4 3 2 2 7" xfId="24753" xr:uid="{00000000-0005-0000-0000-000093A90000}"/>
    <cellStyle name="표준 5 4 4 3 2 2 8" xfId="32964" xr:uid="{00000000-0005-0000-0000-000094A90000}"/>
    <cellStyle name="표준 5 4 4 3 2 2 9" xfId="41157" xr:uid="{00000000-0005-0000-0000-000095A90000}"/>
    <cellStyle name="표준 5 4 4 3 2 3" xfId="1800" xr:uid="{00000000-0005-0000-0000-000096A90000}"/>
    <cellStyle name="표준 5 4 4 3 2 3 2" xfId="10703" xr:uid="{00000000-0005-0000-0000-000097A90000}"/>
    <cellStyle name="표준 5 4 4 3 2 3 2 2" xfId="14815" xr:uid="{00000000-0005-0000-0000-000098A90000}"/>
    <cellStyle name="표준 5 4 4 3 2 3 2 2 2" xfId="31409" xr:uid="{00000000-0005-0000-0000-000099A90000}"/>
    <cellStyle name="표준 5 4 4 3 2 3 2 2 3" xfId="39620" xr:uid="{00000000-0005-0000-0000-00009AA90000}"/>
    <cellStyle name="표준 5 4 4 3 2 3 2 2 4" xfId="47813" xr:uid="{00000000-0005-0000-0000-00009BA90000}"/>
    <cellStyle name="표준 5 4 4 3 2 3 2 3" xfId="19055" xr:uid="{00000000-0005-0000-0000-00009CA90000}"/>
    <cellStyle name="표준 5 4 4 3 2 3 2 4" xfId="23217" xr:uid="{00000000-0005-0000-0000-00009DA90000}"/>
    <cellStyle name="표준 5 4 4 3 2 3 2 5" xfId="27313" xr:uid="{00000000-0005-0000-0000-00009EA90000}"/>
    <cellStyle name="표준 5 4 4 3 2 3 2 6" xfId="35524" xr:uid="{00000000-0005-0000-0000-00009FA90000}"/>
    <cellStyle name="표준 5 4 4 3 2 3 2 7" xfId="43717" xr:uid="{00000000-0005-0000-0000-0000A0A90000}"/>
    <cellStyle name="표준 5 4 4 3 2 3 3" xfId="8655" xr:uid="{00000000-0005-0000-0000-0000A1A90000}"/>
    <cellStyle name="표준 5 4 4 3 2 3 3 2" xfId="29361" xr:uid="{00000000-0005-0000-0000-0000A2A90000}"/>
    <cellStyle name="표준 5 4 4 3 2 3 3 3" xfId="37572" xr:uid="{00000000-0005-0000-0000-0000A3A90000}"/>
    <cellStyle name="표준 5 4 4 3 2 3 3 4" xfId="45765" xr:uid="{00000000-0005-0000-0000-0000A4A90000}"/>
    <cellStyle name="표준 5 4 4 3 2 3 4" xfId="12767" xr:uid="{00000000-0005-0000-0000-0000A5A90000}"/>
    <cellStyle name="표준 5 4 4 3 2 3 5" xfId="17007" xr:uid="{00000000-0005-0000-0000-0000A6A90000}"/>
    <cellStyle name="표준 5 4 4 3 2 3 6" xfId="21169" xr:uid="{00000000-0005-0000-0000-0000A7A90000}"/>
    <cellStyle name="표준 5 4 4 3 2 3 7" xfId="25265" xr:uid="{00000000-0005-0000-0000-0000A8A90000}"/>
    <cellStyle name="표준 5 4 4 3 2 3 8" xfId="33476" xr:uid="{00000000-0005-0000-0000-0000A9A90000}"/>
    <cellStyle name="표준 5 4 4 3 2 3 9" xfId="41669" xr:uid="{00000000-0005-0000-0000-0000AAA90000}"/>
    <cellStyle name="표준 5 4 4 3 2 4" xfId="2312" xr:uid="{00000000-0005-0000-0000-0000ABA90000}"/>
    <cellStyle name="표준 5 4 4 3 2 4 2" xfId="11215" xr:uid="{00000000-0005-0000-0000-0000ACA90000}"/>
    <cellStyle name="표준 5 4 4 3 2 4 2 2" xfId="15327" xr:uid="{00000000-0005-0000-0000-0000ADA90000}"/>
    <cellStyle name="표준 5 4 4 3 2 4 2 2 2" xfId="31921" xr:uid="{00000000-0005-0000-0000-0000AEA90000}"/>
    <cellStyle name="표준 5 4 4 3 2 4 2 2 3" xfId="40132" xr:uid="{00000000-0005-0000-0000-0000AFA90000}"/>
    <cellStyle name="표준 5 4 4 3 2 4 2 2 4" xfId="48325" xr:uid="{00000000-0005-0000-0000-0000B0A90000}"/>
    <cellStyle name="표준 5 4 4 3 2 4 2 3" xfId="19567" xr:uid="{00000000-0005-0000-0000-0000B1A90000}"/>
    <cellStyle name="표준 5 4 4 3 2 4 2 4" xfId="23729" xr:uid="{00000000-0005-0000-0000-0000B2A90000}"/>
    <cellStyle name="표준 5 4 4 3 2 4 2 5" xfId="27825" xr:uid="{00000000-0005-0000-0000-0000B3A90000}"/>
    <cellStyle name="표준 5 4 4 3 2 4 2 6" xfId="36036" xr:uid="{00000000-0005-0000-0000-0000B4A90000}"/>
    <cellStyle name="표준 5 4 4 3 2 4 2 7" xfId="44229" xr:uid="{00000000-0005-0000-0000-0000B5A90000}"/>
    <cellStyle name="표준 5 4 4 3 2 4 3" xfId="9167" xr:uid="{00000000-0005-0000-0000-0000B6A90000}"/>
    <cellStyle name="표준 5 4 4 3 2 4 3 2" xfId="29873" xr:uid="{00000000-0005-0000-0000-0000B7A90000}"/>
    <cellStyle name="표준 5 4 4 3 2 4 3 3" xfId="38084" xr:uid="{00000000-0005-0000-0000-0000B8A90000}"/>
    <cellStyle name="표준 5 4 4 3 2 4 3 4" xfId="46277" xr:uid="{00000000-0005-0000-0000-0000B9A90000}"/>
    <cellStyle name="표준 5 4 4 3 2 4 4" xfId="13279" xr:uid="{00000000-0005-0000-0000-0000BAA90000}"/>
    <cellStyle name="표준 5 4 4 3 2 4 5" xfId="17519" xr:uid="{00000000-0005-0000-0000-0000BBA90000}"/>
    <cellStyle name="표준 5 4 4 3 2 4 6" xfId="21681" xr:uid="{00000000-0005-0000-0000-0000BCA90000}"/>
    <cellStyle name="표준 5 4 4 3 2 4 7" xfId="25777" xr:uid="{00000000-0005-0000-0000-0000BDA90000}"/>
    <cellStyle name="표준 5 4 4 3 2 4 8" xfId="33988" xr:uid="{00000000-0005-0000-0000-0000BEA90000}"/>
    <cellStyle name="표준 5 4 4 3 2 4 9" xfId="42181" xr:uid="{00000000-0005-0000-0000-0000BFA90000}"/>
    <cellStyle name="표준 5 4 4 3 2 5" xfId="9679" xr:uid="{00000000-0005-0000-0000-0000C0A90000}"/>
    <cellStyle name="표준 5 4 4 3 2 5 2" xfId="13791" xr:uid="{00000000-0005-0000-0000-0000C1A90000}"/>
    <cellStyle name="표준 5 4 4 3 2 5 2 2" xfId="30385" xr:uid="{00000000-0005-0000-0000-0000C2A90000}"/>
    <cellStyle name="표준 5 4 4 3 2 5 2 3" xfId="38596" xr:uid="{00000000-0005-0000-0000-0000C3A90000}"/>
    <cellStyle name="표준 5 4 4 3 2 5 2 4" xfId="46789" xr:uid="{00000000-0005-0000-0000-0000C4A90000}"/>
    <cellStyle name="표준 5 4 4 3 2 5 3" xfId="18031" xr:uid="{00000000-0005-0000-0000-0000C5A90000}"/>
    <cellStyle name="표준 5 4 4 3 2 5 4" xfId="22193" xr:uid="{00000000-0005-0000-0000-0000C6A90000}"/>
    <cellStyle name="표준 5 4 4 3 2 5 5" xfId="26289" xr:uid="{00000000-0005-0000-0000-0000C7A90000}"/>
    <cellStyle name="표준 5 4 4 3 2 5 6" xfId="34500" xr:uid="{00000000-0005-0000-0000-0000C8A90000}"/>
    <cellStyle name="표준 5 4 4 3 2 5 7" xfId="42693" xr:uid="{00000000-0005-0000-0000-0000C9A90000}"/>
    <cellStyle name="표준 5 4 4 3 2 6" xfId="7631" xr:uid="{00000000-0005-0000-0000-0000CAA90000}"/>
    <cellStyle name="표준 5 4 4 3 2 6 2" xfId="28337" xr:uid="{00000000-0005-0000-0000-0000CBA90000}"/>
    <cellStyle name="표준 5 4 4 3 2 6 3" xfId="36548" xr:uid="{00000000-0005-0000-0000-0000CCA90000}"/>
    <cellStyle name="표준 5 4 4 3 2 6 4" xfId="44741" xr:uid="{00000000-0005-0000-0000-0000CDA90000}"/>
    <cellStyle name="표준 5 4 4 3 2 7" xfId="11743" xr:uid="{00000000-0005-0000-0000-0000CEA90000}"/>
    <cellStyle name="표준 5 4 4 3 2 8" xfId="15983" xr:uid="{00000000-0005-0000-0000-0000CFA90000}"/>
    <cellStyle name="표준 5 4 4 3 2 9" xfId="20145" xr:uid="{00000000-0005-0000-0000-0000D0A90000}"/>
    <cellStyle name="표준 5 4 4 3 3" xfId="1032" xr:uid="{00000000-0005-0000-0000-0000D1A90000}"/>
    <cellStyle name="표준 5 4 4 3 3 2" xfId="9935" xr:uid="{00000000-0005-0000-0000-0000D2A90000}"/>
    <cellStyle name="표준 5 4 4 3 3 2 2" xfId="14047" xr:uid="{00000000-0005-0000-0000-0000D3A90000}"/>
    <cellStyle name="표준 5 4 4 3 3 2 2 2" xfId="30641" xr:uid="{00000000-0005-0000-0000-0000D4A90000}"/>
    <cellStyle name="표준 5 4 4 3 3 2 2 3" xfId="38852" xr:uid="{00000000-0005-0000-0000-0000D5A90000}"/>
    <cellStyle name="표준 5 4 4 3 3 2 2 4" xfId="47045" xr:uid="{00000000-0005-0000-0000-0000D6A90000}"/>
    <cellStyle name="표준 5 4 4 3 3 2 3" xfId="18287" xr:uid="{00000000-0005-0000-0000-0000D7A90000}"/>
    <cellStyle name="표준 5 4 4 3 3 2 4" xfId="22449" xr:uid="{00000000-0005-0000-0000-0000D8A90000}"/>
    <cellStyle name="표준 5 4 4 3 3 2 5" xfId="26545" xr:uid="{00000000-0005-0000-0000-0000D9A90000}"/>
    <cellStyle name="표준 5 4 4 3 3 2 6" xfId="34756" xr:uid="{00000000-0005-0000-0000-0000DAA90000}"/>
    <cellStyle name="표준 5 4 4 3 3 2 7" xfId="42949" xr:uid="{00000000-0005-0000-0000-0000DBA90000}"/>
    <cellStyle name="표준 5 4 4 3 3 3" xfId="7887" xr:uid="{00000000-0005-0000-0000-0000DCA90000}"/>
    <cellStyle name="표준 5 4 4 3 3 3 2" xfId="28593" xr:uid="{00000000-0005-0000-0000-0000DDA90000}"/>
    <cellStyle name="표준 5 4 4 3 3 3 3" xfId="36804" xr:uid="{00000000-0005-0000-0000-0000DEA90000}"/>
    <cellStyle name="표준 5 4 4 3 3 3 4" xfId="44997" xr:uid="{00000000-0005-0000-0000-0000DFA90000}"/>
    <cellStyle name="표준 5 4 4 3 3 4" xfId="11999" xr:uid="{00000000-0005-0000-0000-0000E0A90000}"/>
    <cellStyle name="표준 5 4 4 3 3 5" xfId="16239" xr:uid="{00000000-0005-0000-0000-0000E1A90000}"/>
    <cellStyle name="표준 5 4 4 3 3 6" xfId="20401" xr:uid="{00000000-0005-0000-0000-0000E2A90000}"/>
    <cellStyle name="표준 5 4 4 3 3 7" xfId="24497" xr:uid="{00000000-0005-0000-0000-0000E3A90000}"/>
    <cellStyle name="표준 5 4 4 3 3 8" xfId="32708" xr:uid="{00000000-0005-0000-0000-0000E4A90000}"/>
    <cellStyle name="표준 5 4 4 3 3 9" xfId="40901" xr:uid="{00000000-0005-0000-0000-0000E5A90000}"/>
    <cellStyle name="표준 5 4 4 3 4" xfId="1544" xr:uid="{00000000-0005-0000-0000-0000E6A90000}"/>
    <cellStyle name="표준 5 4 4 3 4 2" xfId="10447" xr:uid="{00000000-0005-0000-0000-0000E7A90000}"/>
    <cellStyle name="표준 5 4 4 3 4 2 2" xfId="14559" xr:uid="{00000000-0005-0000-0000-0000E8A90000}"/>
    <cellStyle name="표준 5 4 4 3 4 2 2 2" xfId="31153" xr:uid="{00000000-0005-0000-0000-0000E9A90000}"/>
    <cellStyle name="표준 5 4 4 3 4 2 2 3" xfId="39364" xr:uid="{00000000-0005-0000-0000-0000EAA90000}"/>
    <cellStyle name="표준 5 4 4 3 4 2 2 4" xfId="47557" xr:uid="{00000000-0005-0000-0000-0000EBA90000}"/>
    <cellStyle name="표준 5 4 4 3 4 2 3" xfId="18799" xr:uid="{00000000-0005-0000-0000-0000ECA90000}"/>
    <cellStyle name="표준 5 4 4 3 4 2 4" xfId="22961" xr:uid="{00000000-0005-0000-0000-0000EDA90000}"/>
    <cellStyle name="표준 5 4 4 3 4 2 5" xfId="27057" xr:uid="{00000000-0005-0000-0000-0000EEA90000}"/>
    <cellStyle name="표준 5 4 4 3 4 2 6" xfId="35268" xr:uid="{00000000-0005-0000-0000-0000EFA90000}"/>
    <cellStyle name="표준 5 4 4 3 4 2 7" xfId="43461" xr:uid="{00000000-0005-0000-0000-0000F0A90000}"/>
    <cellStyle name="표준 5 4 4 3 4 3" xfId="8399" xr:uid="{00000000-0005-0000-0000-0000F1A90000}"/>
    <cellStyle name="표준 5 4 4 3 4 3 2" xfId="29105" xr:uid="{00000000-0005-0000-0000-0000F2A90000}"/>
    <cellStyle name="표준 5 4 4 3 4 3 3" xfId="37316" xr:uid="{00000000-0005-0000-0000-0000F3A90000}"/>
    <cellStyle name="표준 5 4 4 3 4 3 4" xfId="45509" xr:uid="{00000000-0005-0000-0000-0000F4A90000}"/>
    <cellStyle name="표준 5 4 4 3 4 4" xfId="12511" xr:uid="{00000000-0005-0000-0000-0000F5A90000}"/>
    <cellStyle name="표준 5 4 4 3 4 5" xfId="16751" xr:uid="{00000000-0005-0000-0000-0000F6A90000}"/>
    <cellStyle name="표준 5 4 4 3 4 6" xfId="20913" xr:uid="{00000000-0005-0000-0000-0000F7A90000}"/>
    <cellStyle name="표준 5 4 4 3 4 7" xfId="25009" xr:uid="{00000000-0005-0000-0000-0000F8A90000}"/>
    <cellStyle name="표준 5 4 4 3 4 8" xfId="33220" xr:uid="{00000000-0005-0000-0000-0000F9A90000}"/>
    <cellStyle name="표준 5 4 4 3 4 9" xfId="41413" xr:uid="{00000000-0005-0000-0000-0000FAA90000}"/>
    <cellStyle name="표준 5 4 4 3 5" xfId="2056" xr:uid="{00000000-0005-0000-0000-0000FBA90000}"/>
    <cellStyle name="표준 5 4 4 3 5 2" xfId="10959" xr:uid="{00000000-0005-0000-0000-0000FCA90000}"/>
    <cellStyle name="표준 5 4 4 3 5 2 2" xfId="15071" xr:uid="{00000000-0005-0000-0000-0000FDA90000}"/>
    <cellStyle name="표준 5 4 4 3 5 2 2 2" xfId="31665" xr:uid="{00000000-0005-0000-0000-0000FEA90000}"/>
    <cellStyle name="표준 5 4 4 3 5 2 2 3" xfId="39876" xr:uid="{00000000-0005-0000-0000-0000FFA90000}"/>
    <cellStyle name="표준 5 4 4 3 5 2 2 4" xfId="48069" xr:uid="{00000000-0005-0000-0000-000000AA0000}"/>
    <cellStyle name="표준 5 4 4 3 5 2 3" xfId="19311" xr:uid="{00000000-0005-0000-0000-000001AA0000}"/>
    <cellStyle name="표준 5 4 4 3 5 2 4" xfId="23473" xr:uid="{00000000-0005-0000-0000-000002AA0000}"/>
    <cellStyle name="표준 5 4 4 3 5 2 5" xfId="27569" xr:uid="{00000000-0005-0000-0000-000003AA0000}"/>
    <cellStyle name="표준 5 4 4 3 5 2 6" xfId="35780" xr:uid="{00000000-0005-0000-0000-000004AA0000}"/>
    <cellStyle name="표준 5 4 4 3 5 2 7" xfId="43973" xr:uid="{00000000-0005-0000-0000-000005AA0000}"/>
    <cellStyle name="표준 5 4 4 3 5 3" xfId="8911" xr:uid="{00000000-0005-0000-0000-000006AA0000}"/>
    <cellStyle name="표준 5 4 4 3 5 3 2" xfId="29617" xr:uid="{00000000-0005-0000-0000-000007AA0000}"/>
    <cellStyle name="표준 5 4 4 3 5 3 3" xfId="37828" xr:uid="{00000000-0005-0000-0000-000008AA0000}"/>
    <cellStyle name="표준 5 4 4 3 5 3 4" xfId="46021" xr:uid="{00000000-0005-0000-0000-000009AA0000}"/>
    <cellStyle name="표준 5 4 4 3 5 4" xfId="13023" xr:uid="{00000000-0005-0000-0000-00000AAA0000}"/>
    <cellStyle name="표준 5 4 4 3 5 5" xfId="17263" xr:uid="{00000000-0005-0000-0000-00000BAA0000}"/>
    <cellStyle name="표준 5 4 4 3 5 6" xfId="21425" xr:uid="{00000000-0005-0000-0000-00000CAA0000}"/>
    <cellStyle name="표준 5 4 4 3 5 7" xfId="25521" xr:uid="{00000000-0005-0000-0000-00000DAA0000}"/>
    <cellStyle name="표준 5 4 4 3 5 8" xfId="33732" xr:uid="{00000000-0005-0000-0000-00000EAA0000}"/>
    <cellStyle name="표준 5 4 4 3 5 9" xfId="41925" xr:uid="{00000000-0005-0000-0000-00000FAA0000}"/>
    <cellStyle name="표준 5 4 4 3 6" xfId="9423" xr:uid="{00000000-0005-0000-0000-000010AA0000}"/>
    <cellStyle name="표준 5 4 4 3 6 2" xfId="13535" xr:uid="{00000000-0005-0000-0000-000011AA0000}"/>
    <cellStyle name="표준 5 4 4 3 6 2 2" xfId="30129" xr:uid="{00000000-0005-0000-0000-000012AA0000}"/>
    <cellStyle name="표준 5 4 4 3 6 2 3" xfId="38340" xr:uid="{00000000-0005-0000-0000-000013AA0000}"/>
    <cellStyle name="표준 5 4 4 3 6 2 4" xfId="46533" xr:uid="{00000000-0005-0000-0000-000014AA0000}"/>
    <cellStyle name="표준 5 4 4 3 6 3" xfId="17775" xr:uid="{00000000-0005-0000-0000-000015AA0000}"/>
    <cellStyle name="표준 5 4 4 3 6 4" xfId="21937" xr:uid="{00000000-0005-0000-0000-000016AA0000}"/>
    <cellStyle name="표준 5 4 4 3 6 5" xfId="26033" xr:uid="{00000000-0005-0000-0000-000017AA0000}"/>
    <cellStyle name="표준 5 4 4 3 6 6" xfId="34244" xr:uid="{00000000-0005-0000-0000-000018AA0000}"/>
    <cellStyle name="표준 5 4 4 3 6 7" xfId="42437" xr:uid="{00000000-0005-0000-0000-000019AA0000}"/>
    <cellStyle name="표준 5 4 4 3 7" xfId="7375" xr:uid="{00000000-0005-0000-0000-00001AAA0000}"/>
    <cellStyle name="표준 5 4 4 3 7 2" xfId="28081" xr:uid="{00000000-0005-0000-0000-00001BAA0000}"/>
    <cellStyle name="표준 5 4 4 3 7 3" xfId="36292" xr:uid="{00000000-0005-0000-0000-00001CAA0000}"/>
    <cellStyle name="표준 5 4 4 3 7 4" xfId="44485" xr:uid="{00000000-0005-0000-0000-00001DAA0000}"/>
    <cellStyle name="표준 5 4 4 3 8" xfId="11487" xr:uid="{00000000-0005-0000-0000-00001EAA0000}"/>
    <cellStyle name="표준 5 4 4 3 9" xfId="15727" xr:uid="{00000000-0005-0000-0000-00001FAA0000}"/>
    <cellStyle name="표준 5 4 4 4" xfId="648" xr:uid="{00000000-0005-0000-0000-000020AA0000}"/>
    <cellStyle name="표준 5 4 4 4 10" xfId="24113" xr:uid="{00000000-0005-0000-0000-000021AA0000}"/>
    <cellStyle name="표준 5 4 4 4 11" xfId="32324" xr:uid="{00000000-0005-0000-0000-000022AA0000}"/>
    <cellStyle name="표준 5 4 4 4 12" xfId="40517" xr:uid="{00000000-0005-0000-0000-000023AA0000}"/>
    <cellStyle name="표준 5 4 4 4 2" xfId="1160" xr:uid="{00000000-0005-0000-0000-000024AA0000}"/>
    <cellStyle name="표준 5 4 4 4 2 2" xfId="10063" xr:uid="{00000000-0005-0000-0000-000025AA0000}"/>
    <cellStyle name="표준 5 4 4 4 2 2 2" xfId="14175" xr:uid="{00000000-0005-0000-0000-000026AA0000}"/>
    <cellStyle name="표준 5 4 4 4 2 2 2 2" xfId="30769" xr:uid="{00000000-0005-0000-0000-000027AA0000}"/>
    <cellStyle name="표준 5 4 4 4 2 2 2 3" xfId="38980" xr:uid="{00000000-0005-0000-0000-000028AA0000}"/>
    <cellStyle name="표준 5 4 4 4 2 2 2 4" xfId="47173" xr:uid="{00000000-0005-0000-0000-000029AA0000}"/>
    <cellStyle name="표준 5 4 4 4 2 2 3" xfId="18415" xr:uid="{00000000-0005-0000-0000-00002AAA0000}"/>
    <cellStyle name="표준 5 4 4 4 2 2 4" xfId="22577" xr:uid="{00000000-0005-0000-0000-00002BAA0000}"/>
    <cellStyle name="표준 5 4 4 4 2 2 5" xfId="26673" xr:uid="{00000000-0005-0000-0000-00002CAA0000}"/>
    <cellStyle name="표준 5 4 4 4 2 2 6" xfId="34884" xr:uid="{00000000-0005-0000-0000-00002DAA0000}"/>
    <cellStyle name="표준 5 4 4 4 2 2 7" xfId="43077" xr:uid="{00000000-0005-0000-0000-00002EAA0000}"/>
    <cellStyle name="표준 5 4 4 4 2 3" xfId="8015" xr:uid="{00000000-0005-0000-0000-00002FAA0000}"/>
    <cellStyle name="표준 5 4 4 4 2 3 2" xfId="28721" xr:uid="{00000000-0005-0000-0000-000030AA0000}"/>
    <cellStyle name="표준 5 4 4 4 2 3 3" xfId="36932" xr:uid="{00000000-0005-0000-0000-000031AA0000}"/>
    <cellStyle name="표준 5 4 4 4 2 3 4" xfId="45125" xr:uid="{00000000-0005-0000-0000-000032AA0000}"/>
    <cellStyle name="표준 5 4 4 4 2 4" xfId="12127" xr:uid="{00000000-0005-0000-0000-000033AA0000}"/>
    <cellStyle name="표준 5 4 4 4 2 5" xfId="16367" xr:uid="{00000000-0005-0000-0000-000034AA0000}"/>
    <cellStyle name="표준 5 4 4 4 2 6" xfId="20529" xr:uid="{00000000-0005-0000-0000-000035AA0000}"/>
    <cellStyle name="표준 5 4 4 4 2 7" xfId="24625" xr:uid="{00000000-0005-0000-0000-000036AA0000}"/>
    <cellStyle name="표준 5 4 4 4 2 8" xfId="32836" xr:uid="{00000000-0005-0000-0000-000037AA0000}"/>
    <cellStyle name="표준 5 4 4 4 2 9" xfId="41029" xr:uid="{00000000-0005-0000-0000-000038AA0000}"/>
    <cellStyle name="표준 5 4 4 4 3" xfId="1672" xr:uid="{00000000-0005-0000-0000-000039AA0000}"/>
    <cellStyle name="표준 5 4 4 4 3 2" xfId="10575" xr:uid="{00000000-0005-0000-0000-00003AAA0000}"/>
    <cellStyle name="표준 5 4 4 4 3 2 2" xfId="14687" xr:uid="{00000000-0005-0000-0000-00003BAA0000}"/>
    <cellStyle name="표준 5 4 4 4 3 2 2 2" xfId="31281" xr:uid="{00000000-0005-0000-0000-00003CAA0000}"/>
    <cellStyle name="표준 5 4 4 4 3 2 2 3" xfId="39492" xr:uid="{00000000-0005-0000-0000-00003DAA0000}"/>
    <cellStyle name="표준 5 4 4 4 3 2 2 4" xfId="47685" xr:uid="{00000000-0005-0000-0000-00003EAA0000}"/>
    <cellStyle name="표준 5 4 4 4 3 2 3" xfId="18927" xr:uid="{00000000-0005-0000-0000-00003FAA0000}"/>
    <cellStyle name="표준 5 4 4 4 3 2 4" xfId="23089" xr:uid="{00000000-0005-0000-0000-000040AA0000}"/>
    <cellStyle name="표준 5 4 4 4 3 2 5" xfId="27185" xr:uid="{00000000-0005-0000-0000-000041AA0000}"/>
    <cellStyle name="표준 5 4 4 4 3 2 6" xfId="35396" xr:uid="{00000000-0005-0000-0000-000042AA0000}"/>
    <cellStyle name="표준 5 4 4 4 3 2 7" xfId="43589" xr:uid="{00000000-0005-0000-0000-000043AA0000}"/>
    <cellStyle name="표준 5 4 4 4 3 3" xfId="8527" xr:uid="{00000000-0005-0000-0000-000044AA0000}"/>
    <cellStyle name="표준 5 4 4 4 3 3 2" xfId="29233" xr:uid="{00000000-0005-0000-0000-000045AA0000}"/>
    <cellStyle name="표준 5 4 4 4 3 3 3" xfId="37444" xr:uid="{00000000-0005-0000-0000-000046AA0000}"/>
    <cellStyle name="표준 5 4 4 4 3 3 4" xfId="45637" xr:uid="{00000000-0005-0000-0000-000047AA0000}"/>
    <cellStyle name="표준 5 4 4 4 3 4" xfId="12639" xr:uid="{00000000-0005-0000-0000-000048AA0000}"/>
    <cellStyle name="표준 5 4 4 4 3 5" xfId="16879" xr:uid="{00000000-0005-0000-0000-000049AA0000}"/>
    <cellStyle name="표준 5 4 4 4 3 6" xfId="21041" xr:uid="{00000000-0005-0000-0000-00004AAA0000}"/>
    <cellStyle name="표준 5 4 4 4 3 7" xfId="25137" xr:uid="{00000000-0005-0000-0000-00004BAA0000}"/>
    <cellStyle name="표준 5 4 4 4 3 8" xfId="33348" xr:uid="{00000000-0005-0000-0000-00004CAA0000}"/>
    <cellStyle name="표준 5 4 4 4 3 9" xfId="41541" xr:uid="{00000000-0005-0000-0000-00004DAA0000}"/>
    <cellStyle name="표준 5 4 4 4 4" xfId="2184" xr:uid="{00000000-0005-0000-0000-00004EAA0000}"/>
    <cellStyle name="표준 5 4 4 4 4 2" xfId="11087" xr:uid="{00000000-0005-0000-0000-00004FAA0000}"/>
    <cellStyle name="표준 5 4 4 4 4 2 2" xfId="15199" xr:uid="{00000000-0005-0000-0000-000050AA0000}"/>
    <cellStyle name="표준 5 4 4 4 4 2 2 2" xfId="31793" xr:uid="{00000000-0005-0000-0000-000051AA0000}"/>
    <cellStyle name="표준 5 4 4 4 4 2 2 3" xfId="40004" xr:uid="{00000000-0005-0000-0000-000052AA0000}"/>
    <cellStyle name="표준 5 4 4 4 4 2 2 4" xfId="48197" xr:uid="{00000000-0005-0000-0000-000053AA0000}"/>
    <cellStyle name="표준 5 4 4 4 4 2 3" xfId="19439" xr:uid="{00000000-0005-0000-0000-000054AA0000}"/>
    <cellStyle name="표준 5 4 4 4 4 2 4" xfId="23601" xr:uid="{00000000-0005-0000-0000-000055AA0000}"/>
    <cellStyle name="표준 5 4 4 4 4 2 5" xfId="27697" xr:uid="{00000000-0005-0000-0000-000056AA0000}"/>
    <cellStyle name="표준 5 4 4 4 4 2 6" xfId="35908" xr:uid="{00000000-0005-0000-0000-000057AA0000}"/>
    <cellStyle name="표준 5 4 4 4 4 2 7" xfId="44101" xr:uid="{00000000-0005-0000-0000-000058AA0000}"/>
    <cellStyle name="표준 5 4 4 4 4 3" xfId="9039" xr:uid="{00000000-0005-0000-0000-000059AA0000}"/>
    <cellStyle name="표준 5 4 4 4 4 3 2" xfId="29745" xr:uid="{00000000-0005-0000-0000-00005AAA0000}"/>
    <cellStyle name="표준 5 4 4 4 4 3 3" xfId="37956" xr:uid="{00000000-0005-0000-0000-00005BAA0000}"/>
    <cellStyle name="표준 5 4 4 4 4 3 4" xfId="46149" xr:uid="{00000000-0005-0000-0000-00005CAA0000}"/>
    <cellStyle name="표준 5 4 4 4 4 4" xfId="13151" xr:uid="{00000000-0005-0000-0000-00005DAA0000}"/>
    <cellStyle name="표준 5 4 4 4 4 5" xfId="17391" xr:uid="{00000000-0005-0000-0000-00005EAA0000}"/>
    <cellStyle name="표준 5 4 4 4 4 6" xfId="21553" xr:uid="{00000000-0005-0000-0000-00005FAA0000}"/>
    <cellStyle name="표준 5 4 4 4 4 7" xfId="25649" xr:uid="{00000000-0005-0000-0000-000060AA0000}"/>
    <cellStyle name="표준 5 4 4 4 4 8" xfId="33860" xr:uid="{00000000-0005-0000-0000-000061AA0000}"/>
    <cellStyle name="표준 5 4 4 4 4 9" xfId="42053" xr:uid="{00000000-0005-0000-0000-000062AA0000}"/>
    <cellStyle name="표준 5 4 4 4 5" xfId="9551" xr:uid="{00000000-0005-0000-0000-000063AA0000}"/>
    <cellStyle name="표준 5 4 4 4 5 2" xfId="13663" xr:uid="{00000000-0005-0000-0000-000064AA0000}"/>
    <cellStyle name="표준 5 4 4 4 5 2 2" xfId="30257" xr:uid="{00000000-0005-0000-0000-000065AA0000}"/>
    <cellStyle name="표준 5 4 4 4 5 2 3" xfId="38468" xr:uid="{00000000-0005-0000-0000-000066AA0000}"/>
    <cellStyle name="표준 5 4 4 4 5 2 4" xfId="46661" xr:uid="{00000000-0005-0000-0000-000067AA0000}"/>
    <cellStyle name="표준 5 4 4 4 5 3" xfId="17903" xr:uid="{00000000-0005-0000-0000-000068AA0000}"/>
    <cellStyle name="표준 5 4 4 4 5 4" xfId="22065" xr:uid="{00000000-0005-0000-0000-000069AA0000}"/>
    <cellStyle name="표준 5 4 4 4 5 5" xfId="26161" xr:uid="{00000000-0005-0000-0000-00006AAA0000}"/>
    <cellStyle name="표준 5 4 4 4 5 6" xfId="34372" xr:uid="{00000000-0005-0000-0000-00006BAA0000}"/>
    <cellStyle name="표준 5 4 4 4 5 7" xfId="42565" xr:uid="{00000000-0005-0000-0000-00006CAA0000}"/>
    <cellStyle name="표준 5 4 4 4 6" xfId="7503" xr:uid="{00000000-0005-0000-0000-00006DAA0000}"/>
    <cellStyle name="표준 5 4 4 4 6 2" xfId="28209" xr:uid="{00000000-0005-0000-0000-00006EAA0000}"/>
    <cellStyle name="표준 5 4 4 4 6 3" xfId="36420" xr:uid="{00000000-0005-0000-0000-00006FAA0000}"/>
    <cellStyle name="표준 5 4 4 4 6 4" xfId="44613" xr:uid="{00000000-0005-0000-0000-000070AA0000}"/>
    <cellStyle name="표준 5 4 4 4 7" xfId="11615" xr:uid="{00000000-0005-0000-0000-000071AA0000}"/>
    <cellStyle name="표준 5 4 4 4 8" xfId="15855" xr:uid="{00000000-0005-0000-0000-000072AA0000}"/>
    <cellStyle name="표준 5 4 4 4 9" xfId="20017" xr:uid="{00000000-0005-0000-0000-000073AA0000}"/>
    <cellStyle name="표준 5 4 4 5" xfId="904" xr:uid="{00000000-0005-0000-0000-000074AA0000}"/>
    <cellStyle name="표준 5 4 4 5 2" xfId="9807" xr:uid="{00000000-0005-0000-0000-000075AA0000}"/>
    <cellStyle name="표준 5 4 4 5 2 2" xfId="13919" xr:uid="{00000000-0005-0000-0000-000076AA0000}"/>
    <cellStyle name="표준 5 4 4 5 2 2 2" xfId="30513" xr:uid="{00000000-0005-0000-0000-000077AA0000}"/>
    <cellStyle name="표준 5 4 4 5 2 2 3" xfId="38724" xr:uid="{00000000-0005-0000-0000-000078AA0000}"/>
    <cellStyle name="표준 5 4 4 5 2 2 4" xfId="46917" xr:uid="{00000000-0005-0000-0000-000079AA0000}"/>
    <cellStyle name="표준 5 4 4 5 2 3" xfId="18159" xr:uid="{00000000-0005-0000-0000-00007AAA0000}"/>
    <cellStyle name="표준 5 4 4 5 2 4" xfId="22321" xr:uid="{00000000-0005-0000-0000-00007BAA0000}"/>
    <cellStyle name="표준 5 4 4 5 2 5" xfId="26417" xr:uid="{00000000-0005-0000-0000-00007CAA0000}"/>
    <cellStyle name="표준 5 4 4 5 2 6" xfId="34628" xr:uid="{00000000-0005-0000-0000-00007DAA0000}"/>
    <cellStyle name="표준 5 4 4 5 2 7" xfId="42821" xr:uid="{00000000-0005-0000-0000-00007EAA0000}"/>
    <cellStyle name="표준 5 4 4 5 3" xfId="7759" xr:uid="{00000000-0005-0000-0000-00007FAA0000}"/>
    <cellStyle name="표준 5 4 4 5 3 2" xfId="28465" xr:uid="{00000000-0005-0000-0000-000080AA0000}"/>
    <cellStyle name="표준 5 4 4 5 3 3" xfId="36676" xr:uid="{00000000-0005-0000-0000-000081AA0000}"/>
    <cellStyle name="표준 5 4 4 5 3 4" xfId="44869" xr:uid="{00000000-0005-0000-0000-000082AA0000}"/>
    <cellStyle name="표준 5 4 4 5 4" xfId="11871" xr:uid="{00000000-0005-0000-0000-000083AA0000}"/>
    <cellStyle name="표준 5 4 4 5 5" xfId="16111" xr:uid="{00000000-0005-0000-0000-000084AA0000}"/>
    <cellStyle name="표준 5 4 4 5 6" xfId="20273" xr:uid="{00000000-0005-0000-0000-000085AA0000}"/>
    <cellStyle name="표준 5 4 4 5 7" xfId="24369" xr:uid="{00000000-0005-0000-0000-000086AA0000}"/>
    <cellStyle name="표준 5 4 4 5 8" xfId="32580" xr:uid="{00000000-0005-0000-0000-000087AA0000}"/>
    <cellStyle name="표준 5 4 4 5 9" xfId="40773" xr:uid="{00000000-0005-0000-0000-000088AA0000}"/>
    <cellStyle name="표준 5 4 4 6" xfId="1416" xr:uid="{00000000-0005-0000-0000-000089AA0000}"/>
    <cellStyle name="표준 5 4 4 6 2" xfId="10319" xr:uid="{00000000-0005-0000-0000-00008AAA0000}"/>
    <cellStyle name="표준 5 4 4 6 2 2" xfId="14431" xr:uid="{00000000-0005-0000-0000-00008BAA0000}"/>
    <cellStyle name="표준 5 4 4 6 2 2 2" xfId="31025" xr:uid="{00000000-0005-0000-0000-00008CAA0000}"/>
    <cellStyle name="표준 5 4 4 6 2 2 3" xfId="39236" xr:uid="{00000000-0005-0000-0000-00008DAA0000}"/>
    <cellStyle name="표준 5 4 4 6 2 2 4" xfId="47429" xr:uid="{00000000-0005-0000-0000-00008EAA0000}"/>
    <cellStyle name="표준 5 4 4 6 2 3" xfId="18671" xr:uid="{00000000-0005-0000-0000-00008FAA0000}"/>
    <cellStyle name="표준 5 4 4 6 2 4" xfId="22833" xr:uid="{00000000-0005-0000-0000-000090AA0000}"/>
    <cellStyle name="표준 5 4 4 6 2 5" xfId="26929" xr:uid="{00000000-0005-0000-0000-000091AA0000}"/>
    <cellStyle name="표준 5 4 4 6 2 6" xfId="35140" xr:uid="{00000000-0005-0000-0000-000092AA0000}"/>
    <cellStyle name="표준 5 4 4 6 2 7" xfId="43333" xr:uid="{00000000-0005-0000-0000-000093AA0000}"/>
    <cellStyle name="표준 5 4 4 6 3" xfId="8271" xr:uid="{00000000-0005-0000-0000-000094AA0000}"/>
    <cellStyle name="표준 5 4 4 6 3 2" xfId="28977" xr:uid="{00000000-0005-0000-0000-000095AA0000}"/>
    <cellStyle name="표준 5 4 4 6 3 3" xfId="37188" xr:uid="{00000000-0005-0000-0000-000096AA0000}"/>
    <cellStyle name="표준 5 4 4 6 3 4" xfId="45381" xr:uid="{00000000-0005-0000-0000-000097AA0000}"/>
    <cellStyle name="표준 5 4 4 6 4" xfId="12383" xr:uid="{00000000-0005-0000-0000-000098AA0000}"/>
    <cellStyle name="표준 5 4 4 6 5" xfId="16623" xr:uid="{00000000-0005-0000-0000-000099AA0000}"/>
    <cellStyle name="표준 5 4 4 6 6" xfId="20785" xr:uid="{00000000-0005-0000-0000-00009AAA0000}"/>
    <cellStyle name="표준 5 4 4 6 7" xfId="24881" xr:uid="{00000000-0005-0000-0000-00009BAA0000}"/>
    <cellStyle name="표준 5 4 4 6 8" xfId="33092" xr:uid="{00000000-0005-0000-0000-00009CAA0000}"/>
    <cellStyle name="표준 5 4 4 6 9" xfId="41285" xr:uid="{00000000-0005-0000-0000-00009DAA0000}"/>
    <cellStyle name="표준 5 4 4 7" xfId="1928" xr:uid="{00000000-0005-0000-0000-00009EAA0000}"/>
    <cellStyle name="표준 5 4 4 7 2" xfId="10831" xr:uid="{00000000-0005-0000-0000-00009FAA0000}"/>
    <cellStyle name="표준 5 4 4 7 2 2" xfId="14943" xr:uid="{00000000-0005-0000-0000-0000A0AA0000}"/>
    <cellStyle name="표준 5 4 4 7 2 2 2" xfId="31537" xr:uid="{00000000-0005-0000-0000-0000A1AA0000}"/>
    <cellStyle name="표준 5 4 4 7 2 2 3" xfId="39748" xr:uid="{00000000-0005-0000-0000-0000A2AA0000}"/>
    <cellStyle name="표준 5 4 4 7 2 2 4" xfId="47941" xr:uid="{00000000-0005-0000-0000-0000A3AA0000}"/>
    <cellStyle name="표준 5 4 4 7 2 3" xfId="19183" xr:uid="{00000000-0005-0000-0000-0000A4AA0000}"/>
    <cellStyle name="표준 5 4 4 7 2 4" xfId="23345" xr:uid="{00000000-0005-0000-0000-0000A5AA0000}"/>
    <cellStyle name="표준 5 4 4 7 2 5" xfId="27441" xr:uid="{00000000-0005-0000-0000-0000A6AA0000}"/>
    <cellStyle name="표준 5 4 4 7 2 6" xfId="35652" xr:uid="{00000000-0005-0000-0000-0000A7AA0000}"/>
    <cellStyle name="표준 5 4 4 7 2 7" xfId="43845" xr:uid="{00000000-0005-0000-0000-0000A8AA0000}"/>
    <cellStyle name="표준 5 4 4 7 3" xfId="8783" xr:uid="{00000000-0005-0000-0000-0000A9AA0000}"/>
    <cellStyle name="표준 5 4 4 7 3 2" xfId="29489" xr:uid="{00000000-0005-0000-0000-0000AAAA0000}"/>
    <cellStyle name="표준 5 4 4 7 3 3" xfId="37700" xr:uid="{00000000-0005-0000-0000-0000ABAA0000}"/>
    <cellStyle name="표준 5 4 4 7 3 4" xfId="45893" xr:uid="{00000000-0005-0000-0000-0000ACAA0000}"/>
    <cellStyle name="표준 5 4 4 7 4" xfId="12895" xr:uid="{00000000-0005-0000-0000-0000ADAA0000}"/>
    <cellStyle name="표준 5 4 4 7 5" xfId="17135" xr:uid="{00000000-0005-0000-0000-0000AEAA0000}"/>
    <cellStyle name="표준 5 4 4 7 6" xfId="21297" xr:uid="{00000000-0005-0000-0000-0000AFAA0000}"/>
    <cellStyle name="표준 5 4 4 7 7" xfId="25393" xr:uid="{00000000-0005-0000-0000-0000B0AA0000}"/>
    <cellStyle name="표준 5 4 4 7 8" xfId="33604" xr:uid="{00000000-0005-0000-0000-0000B1AA0000}"/>
    <cellStyle name="표준 5 4 4 7 9" xfId="41797" xr:uid="{00000000-0005-0000-0000-0000B2AA0000}"/>
    <cellStyle name="표준 5 4 4 8" xfId="392" xr:uid="{00000000-0005-0000-0000-0000B3AA0000}"/>
    <cellStyle name="표준 5 4 4 8 2" xfId="9295" xr:uid="{00000000-0005-0000-0000-0000B4AA0000}"/>
    <cellStyle name="표준 5 4 4 8 2 2" xfId="30001" xr:uid="{00000000-0005-0000-0000-0000B5AA0000}"/>
    <cellStyle name="표준 5 4 4 8 2 3" xfId="38212" xr:uid="{00000000-0005-0000-0000-0000B6AA0000}"/>
    <cellStyle name="표준 5 4 4 8 2 4" xfId="46405" xr:uid="{00000000-0005-0000-0000-0000B7AA0000}"/>
    <cellStyle name="표준 5 4 4 8 3" xfId="13407" xr:uid="{00000000-0005-0000-0000-0000B8AA0000}"/>
    <cellStyle name="표준 5 4 4 8 4" xfId="17647" xr:uid="{00000000-0005-0000-0000-0000B9AA0000}"/>
    <cellStyle name="표준 5 4 4 8 5" xfId="21809" xr:uid="{00000000-0005-0000-0000-0000BAAA0000}"/>
    <cellStyle name="표준 5 4 4 8 6" xfId="25905" xr:uid="{00000000-0005-0000-0000-0000BBAA0000}"/>
    <cellStyle name="표준 5 4 4 8 7" xfId="34116" xr:uid="{00000000-0005-0000-0000-0000BCAA0000}"/>
    <cellStyle name="표준 5 4 4 8 8" xfId="42309" xr:uid="{00000000-0005-0000-0000-0000BDAA0000}"/>
    <cellStyle name="표준 5 4 4 9" xfId="6994" xr:uid="{00000000-0005-0000-0000-0000BEAA0000}"/>
    <cellStyle name="표준 5 4 4 9 2" xfId="27953" xr:uid="{00000000-0005-0000-0000-0000BFAA0000}"/>
    <cellStyle name="표준 5 4 4 9 3" xfId="36164" xr:uid="{00000000-0005-0000-0000-0000C0AA0000}"/>
    <cellStyle name="표준 5 4 4 9 4" xfId="44357" xr:uid="{00000000-0005-0000-0000-0000C1AA0000}"/>
    <cellStyle name="표준 5 4 5" xfId="424" xr:uid="{00000000-0005-0000-0000-0000C2AA0000}"/>
    <cellStyle name="표준 5 4 5 10" xfId="11391" xr:uid="{00000000-0005-0000-0000-0000C3AA0000}"/>
    <cellStyle name="표준 5 4 5 11" xfId="15503" xr:uid="{00000000-0005-0000-0000-0000C4AA0000}"/>
    <cellStyle name="표준 5 4 5 12" xfId="15631" xr:uid="{00000000-0005-0000-0000-0000C5AA0000}"/>
    <cellStyle name="표준 5 4 5 13" xfId="19793" xr:uid="{00000000-0005-0000-0000-0000C6AA0000}"/>
    <cellStyle name="표준 5 4 5 14" xfId="23889" xr:uid="{00000000-0005-0000-0000-0000C7AA0000}"/>
    <cellStyle name="표준 5 4 5 15" xfId="32100" xr:uid="{00000000-0005-0000-0000-0000C8AA0000}"/>
    <cellStyle name="표준 5 4 5 16" xfId="40293" xr:uid="{00000000-0005-0000-0000-0000C9AA0000}"/>
    <cellStyle name="표준 5 4 5 2" xfId="552" xr:uid="{00000000-0005-0000-0000-0000CAAA0000}"/>
    <cellStyle name="표준 5 4 5 2 10" xfId="19921" xr:uid="{00000000-0005-0000-0000-0000CBAA0000}"/>
    <cellStyle name="표준 5 4 5 2 11" xfId="24017" xr:uid="{00000000-0005-0000-0000-0000CCAA0000}"/>
    <cellStyle name="표준 5 4 5 2 12" xfId="32228" xr:uid="{00000000-0005-0000-0000-0000CDAA0000}"/>
    <cellStyle name="표준 5 4 5 2 13" xfId="40421" xr:uid="{00000000-0005-0000-0000-0000CEAA0000}"/>
    <cellStyle name="표준 5 4 5 2 2" xfId="808" xr:uid="{00000000-0005-0000-0000-0000CFAA0000}"/>
    <cellStyle name="표준 5 4 5 2 2 10" xfId="24273" xr:uid="{00000000-0005-0000-0000-0000D0AA0000}"/>
    <cellStyle name="표준 5 4 5 2 2 11" xfId="32484" xr:uid="{00000000-0005-0000-0000-0000D1AA0000}"/>
    <cellStyle name="표준 5 4 5 2 2 12" xfId="40677" xr:uid="{00000000-0005-0000-0000-0000D2AA0000}"/>
    <cellStyle name="표준 5 4 5 2 2 2" xfId="1320" xr:uid="{00000000-0005-0000-0000-0000D3AA0000}"/>
    <cellStyle name="표준 5 4 5 2 2 2 2" xfId="10223" xr:uid="{00000000-0005-0000-0000-0000D4AA0000}"/>
    <cellStyle name="표준 5 4 5 2 2 2 2 2" xfId="14335" xr:uid="{00000000-0005-0000-0000-0000D5AA0000}"/>
    <cellStyle name="표준 5 4 5 2 2 2 2 2 2" xfId="30929" xr:uid="{00000000-0005-0000-0000-0000D6AA0000}"/>
    <cellStyle name="표준 5 4 5 2 2 2 2 2 3" xfId="39140" xr:uid="{00000000-0005-0000-0000-0000D7AA0000}"/>
    <cellStyle name="표준 5 4 5 2 2 2 2 2 4" xfId="47333" xr:uid="{00000000-0005-0000-0000-0000D8AA0000}"/>
    <cellStyle name="표준 5 4 5 2 2 2 2 3" xfId="18575" xr:uid="{00000000-0005-0000-0000-0000D9AA0000}"/>
    <cellStyle name="표준 5 4 5 2 2 2 2 4" xfId="22737" xr:uid="{00000000-0005-0000-0000-0000DAAA0000}"/>
    <cellStyle name="표준 5 4 5 2 2 2 2 5" xfId="26833" xr:uid="{00000000-0005-0000-0000-0000DBAA0000}"/>
    <cellStyle name="표준 5 4 5 2 2 2 2 6" xfId="35044" xr:uid="{00000000-0005-0000-0000-0000DCAA0000}"/>
    <cellStyle name="표준 5 4 5 2 2 2 2 7" xfId="43237" xr:uid="{00000000-0005-0000-0000-0000DDAA0000}"/>
    <cellStyle name="표준 5 4 5 2 2 2 3" xfId="8175" xr:uid="{00000000-0005-0000-0000-0000DEAA0000}"/>
    <cellStyle name="표준 5 4 5 2 2 2 3 2" xfId="28881" xr:uid="{00000000-0005-0000-0000-0000DFAA0000}"/>
    <cellStyle name="표준 5 4 5 2 2 2 3 3" xfId="37092" xr:uid="{00000000-0005-0000-0000-0000E0AA0000}"/>
    <cellStyle name="표준 5 4 5 2 2 2 3 4" xfId="45285" xr:uid="{00000000-0005-0000-0000-0000E1AA0000}"/>
    <cellStyle name="표준 5 4 5 2 2 2 4" xfId="12287" xr:uid="{00000000-0005-0000-0000-0000E2AA0000}"/>
    <cellStyle name="표준 5 4 5 2 2 2 5" xfId="16527" xr:uid="{00000000-0005-0000-0000-0000E3AA0000}"/>
    <cellStyle name="표준 5 4 5 2 2 2 6" xfId="20689" xr:uid="{00000000-0005-0000-0000-0000E4AA0000}"/>
    <cellStyle name="표준 5 4 5 2 2 2 7" xfId="24785" xr:uid="{00000000-0005-0000-0000-0000E5AA0000}"/>
    <cellStyle name="표준 5 4 5 2 2 2 8" xfId="32996" xr:uid="{00000000-0005-0000-0000-0000E6AA0000}"/>
    <cellStyle name="표준 5 4 5 2 2 2 9" xfId="41189" xr:uid="{00000000-0005-0000-0000-0000E7AA0000}"/>
    <cellStyle name="표준 5 4 5 2 2 3" xfId="1832" xr:uid="{00000000-0005-0000-0000-0000E8AA0000}"/>
    <cellStyle name="표준 5 4 5 2 2 3 2" xfId="10735" xr:uid="{00000000-0005-0000-0000-0000E9AA0000}"/>
    <cellStyle name="표준 5 4 5 2 2 3 2 2" xfId="14847" xr:uid="{00000000-0005-0000-0000-0000EAAA0000}"/>
    <cellStyle name="표준 5 4 5 2 2 3 2 2 2" xfId="31441" xr:uid="{00000000-0005-0000-0000-0000EBAA0000}"/>
    <cellStyle name="표준 5 4 5 2 2 3 2 2 3" xfId="39652" xr:uid="{00000000-0005-0000-0000-0000ECAA0000}"/>
    <cellStyle name="표준 5 4 5 2 2 3 2 2 4" xfId="47845" xr:uid="{00000000-0005-0000-0000-0000EDAA0000}"/>
    <cellStyle name="표준 5 4 5 2 2 3 2 3" xfId="19087" xr:uid="{00000000-0005-0000-0000-0000EEAA0000}"/>
    <cellStyle name="표준 5 4 5 2 2 3 2 4" xfId="23249" xr:uid="{00000000-0005-0000-0000-0000EFAA0000}"/>
    <cellStyle name="표준 5 4 5 2 2 3 2 5" xfId="27345" xr:uid="{00000000-0005-0000-0000-0000F0AA0000}"/>
    <cellStyle name="표준 5 4 5 2 2 3 2 6" xfId="35556" xr:uid="{00000000-0005-0000-0000-0000F1AA0000}"/>
    <cellStyle name="표준 5 4 5 2 2 3 2 7" xfId="43749" xr:uid="{00000000-0005-0000-0000-0000F2AA0000}"/>
    <cellStyle name="표준 5 4 5 2 2 3 3" xfId="8687" xr:uid="{00000000-0005-0000-0000-0000F3AA0000}"/>
    <cellStyle name="표준 5 4 5 2 2 3 3 2" xfId="29393" xr:uid="{00000000-0005-0000-0000-0000F4AA0000}"/>
    <cellStyle name="표준 5 4 5 2 2 3 3 3" xfId="37604" xr:uid="{00000000-0005-0000-0000-0000F5AA0000}"/>
    <cellStyle name="표준 5 4 5 2 2 3 3 4" xfId="45797" xr:uid="{00000000-0005-0000-0000-0000F6AA0000}"/>
    <cellStyle name="표준 5 4 5 2 2 3 4" xfId="12799" xr:uid="{00000000-0005-0000-0000-0000F7AA0000}"/>
    <cellStyle name="표준 5 4 5 2 2 3 5" xfId="17039" xr:uid="{00000000-0005-0000-0000-0000F8AA0000}"/>
    <cellStyle name="표준 5 4 5 2 2 3 6" xfId="21201" xr:uid="{00000000-0005-0000-0000-0000F9AA0000}"/>
    <cellStyle name="표준 5 4 5 2 2 3 7" xfId="25297" xr:uid="{00000000-0005-0000-0000-0000FAAA0000}"/>
    <cellStyle name="표준 5 4 5 2 2 3 8" xfId="33508" xr:uid="{00000000-0005-0000-0000-0000FBAA0000}"/>
    <cellStyle name="표준 5 4 5 2 2 3 9" xfId="41701" xr:uid="{00000000-0005-0000-0000-0000FCAA0000}"/>
    <cellStyle name="표준 5 4 5 2 2 4" xfId="2344" xr:uid="{00000000-0005-0000-0000-0000FDAA0000}"/>
    <cellStyle name="표준 5 4 5 2 2 4 2" xfId="11247" xr:uid="{00000000-0005-0000-0000-0000FEAA0000}"/>
    <cellStyle name="표준 5 4 5 2 2 4 2 2" xfId="15359" xr:uid="{00000000-0005-0000-0000-0000FFAA0000}"/>
    <cellStyle name="표준 5 4 5 2 2 4 2 2 2" xfId="31953" xr:uid="{00000000-0005-0000-0000-000000AB0000}"/>
    <cellStyle name="표준 5 4 5 2 2 4 2 2 3" xfId="40164" xr:uid="{00000000-0005-0000-0000-000001AB0000}"/>
    <cellStyle name="표준 5 4 5 2 2 4 2 2 4" xfId="48357" xr:uid="{00000000-0005-0000-0000-000002AB0000}"/>
    <cellStyle name="표준 5 4 5 2 2 4 2 3" xfId="19599" xr:uid="{00000000-0005-0000-0000-000003AB0000}"/>
    <cellStyle name="표준 5 4 5 2 2 4 2 4" xfId="23761" xr:uid="{00000000-0005-0000-0000-000004AB0000}"/>
    <cellStyle name="표준 5 4 5 2 2 4 2 5" xfId="27857" xr:uid="{00000000-0005-0000-0000-000005AB0000}"/>
    <cellStyle name="표준 5 4 5 2 2 4 2 6" xfId="36068" xr:uid="{00000000-0005-0000-0000-000006AB0000}"/>
    <cellStyle name="표준 5 4 5 2 2 4 2 7" xfId="44261" xr:uid="{00000000-0005-0000-0000-000007AB0000}"/>
    <cellStyle name="표준 5 4 5 2 2 4 3" xfId="9199" xr:uid="{00000000-0005-0000-0000-000008AB0000}"/>
    <cellStyle name="표준 5 4 5 2 2 4 3 2" xfId="29905" xr:uid="{00000000-0005-0000-0000-000009AB0000}"/>
    <cellStyle name="표준 5 4 5 2 2 4 3 3" xfId="38116" xr:uid="{00000000-0005-0000-0000-00000AAB0000}"/>
    <cellStyle name="표준 5 4 5 2 2 4 3 4" xfId="46309" xr:uid="{00000000-0005-0000-0000-00000BAB0000}"/>
    <cellStyle name="표준 5 4 5 2 2 4 4" xfId="13311" xr:uid="{00000000-0005-0000-0000-00000CAB0000}"/>
    <cellStyle name="표준 5 4 5 2 2 4 5" xfId="17551" xr:uid="{00000000-0005-0000-0000-00000DAB0000}"/>
    <cellStyle name="표준 5 4 5 2 2 4 6" xfId="21713" xr:uid="{00000000-0005-0000-0000-00000EAB0000}"/>
    <cellStyle name="표준 5 4 5 2 2 4 7" xfId="25809" xr:uid="{00000000-0005-0000-0000-00000FAB0000}"/>
    <cellStyle name="표준 5 4 5 2 2 4 8" xfId="34020" xr:uid="{00000000-0005-0000-0000-000010AB0000}"/>
    <cellStyle name="표준 5 4 5 2 2 4 9" xfId="42213" xr:uid="{00000000-0005-0000-0000-000011AB0000}"/>
    <cellStyle name="표준 5 4 5 2 2 5" xfId="9711" xr:uid="{00000000-0005-0000-0000-000012AB0000}"/>
    <cellStyle name="표준 5 4 5 2 2 5 2" xfId="13823" xr:uid="{00000000-0005-0000-0000-000013AB0000}"/>
    <cellStyle name="표준 5 4 5 2 2 5 2 2" xfId="30417" xr:uid="{00000000-0005-0000-0000-000014AB0000}"/>
    <cellStyle name="표준 5 4 5 2 2 5 2 3" xfId="38628" xr:uid="{00000000-0005-0000-0000-000015AB0000}"/>
    <cellStyle name="표준 5 4 5 2 2 5 2 4" xfId="46821" xr:uid="{00000000-0005-0000-0000-000016AB0000}"/>
    <cellStyle name="표준 5 4 5 2 2 5 3" xfId="18063" xr:uid="{00000000-0005-0000-0000-000017AB0000}"/>
    <cellStyle name="표준 5 4 5 2 2 5 4" xfId="22225" xr:uid="{00000000-0005-0000-0000-000018AB0000}"/>
    <cellStyle name="표준 5 4 5 2 2 5 5" xfId="26321" xr:uid="{00000000-0005-0000-0000-000019AB0000}"/>
    <cellStyle name="표준 5 4 5 2 2 5 6" xfId="34532" xr:uid="{00000000-0005-0000-0000-00001AAB0000}"/>
    <cellStyle name="표준 5 4 5 2 2 5 7" xfId="42725" xr:uid="{00000000-0005-0000-0000-00001BAB0000}"/>
    <cellStyle name="표준 5 4 5 2 2 6" xfId="7663" xr:uid="{00000000-0005-0000-0000-00001CAB0000}"/>
    <cellStyle name="표준 5 4 5 2 2 6 2" xfId="28369" xr:uid="{00000000-0005-0000-0000-00001DAB0000}"/>
    <cellStyle name="표준 5 4 5 2 2 6 3" xfId="36580" xr:uid="{00000000-0005-0000-0000-00001EAB0000}"/>
    <cellStyle name="표준 5 4 5 2 2 6 4" xfId="44773" xr:uid="{00000000-0005-0000-0000-00001FAB0000}"/>
    <cellStyle name="표준 5 4 5 2 2 7" xfId="11775" xr:uid="{00000000-0005-0000-0000-000020AB0000}"/>
    <cellStyle name="표준 5 4 5 2 2 8" xfId="16015" xr:uid="{00000000-0005-0000-0000-000021AB0000}"/>
    <cellStyle name="표준 5 4 5 2 2 9" xfId="20177" xr:uid="{00000000-0005-0000-0000-000022AB0000}"/>
    <cellStyle name="표준 5 4 5 2 3" xfId="1064" xr:uid="{00000000-0005-0000-0000-000023AB0000}"/>
    <cellStyle name="표준 5 4 5 2 3 2" xfId="9967" xr:uid="{00000000-0005-0000-0000-000024AB0000}"/>
    <cellStyle name="표준 5 4 5 2 3 2 2" xfId="14079" xr:uid="{00000000-0005-0000-0000-000025AB0000}"/>
    <cellStyle name="표준 5 4 5 2 3 2 2 2" xfId="30673" xr:uid="{00000000-0005-0000-0000-000026AB0000}"/>
    <cellStyle name="표준 5 4 5 2 3 2 2 3" xfId="38884" xr:uid="{00000000-0005-0000-0000-000027AB0000}"/>
    <cellStyle name="표준 5 4 5 2 3 2 2 4" xfId="47077" xr:uid="{00000000-0005-0000-0000-000028AB0000}"/>
    <cellStyle name="표준 5 4 5 2 3 2 3" xfId="18319" xr:uid="{00000000-0005-0000-0000-000029AB0000}"/>
    <cellStyle name="표준 5 4 5 2 3 2 4" xfId="22481" xr:uid="{00000000-0005-0000-0000-00002AAB0000}"/>
    <cellStyle name="표준 5 4 5 2 3 2 5" xfId="26577" xr:uid="{00000000-0005-0000-0000-00002BAB0000}"/>
    <cellStyle name="표준 5 4 5 2 3 2 6" xfId="34788" xr:uid="{00000000-0005-0000-0000-00002CAB0000}"/>
    <cellStyle name="표준 5 4 5 2 3 2 7" xfId="42981" xr:uid="{00000000-0005-0000-0000-00002DAB0000}"/>
    <cellStyle name="표준 5 4 5 2 3 3" xfId="7919" xr:uid="{00000000-0005-0000-0000-00002EAB0000}"/>
    <cellStyle name="표준 5 4 5 2 3 3 2" xfId="28625" xr:uid="{00000000-0005-0000-0000-00002FAB0000}"/>
    <cellStyle name="표준 5 4 5 2 3 3 3" xfId="36836" xr:uid="{00000000-0005-0000-0000-000030AB0000}"/>
    <cellStyle name="표준 5 4 5 2 3 3 4" xfId="45029" xr:uid="{00000000-0005-0000-0000-000031AB0000}"/>
    <cellStyle name="표준 5 4 5 2 3 4" xfId="12031" xr:uid="{00000000-0005-0000-0000-000032AB0000}"/>
    <cellStyle name="표준 5 4 5 2 3 5" xfId="16271" xr:uid="{00000000-0005-0000-0000-000033AB0000}"/>
    <cellStyle name="표준 5 4 5 2 3 6" xfId="20433" xr:uid="{00000000-0005-0000-0000-000034AB0000}"/>
    <cellStyle name="표준 5 4 5 2 3 7" xfId="24529" xr:uid="{00000000-0005-0000-0000-000035AB0000}"/>
    <cellStyle name="표준 5 4 5 2 3 8" xfId="32740" xr:uid="{00000000-0005-0000-0000-000036AB0000}"/>
    <cellStyle name="표준 5 4 5 2 3 9" xfId="40933" xr:uid="{00000000-0005-0000-0000-000037AB0000}"/>
    <cellStyle name="표준 5 4 5 2 4" xfId="1576" xr:uid="{00000000-0005-0000-0000-000038AB0000}"/>
    <cellStyle name="표준 5 4 5 2 4 2" xfId="10479" xr:uid="{00000000-0005-0000-0000-000039AB0000}"/>
    <cellStyle name="표준 5 4 5 2 4 2 2" xfId="14591" xr:uid="{00000000-0005-0000-0000-00003AAB0000}"/>
    <cellStyle name="표준 5 4 5 2 4 2 2 2" xfId="31185" xr:uid="{00000000-0005-0000-0000-00003BAB0000}"/>
    <cellStyle name="표준 5 4 5 2 4 2 2 3" xfId="39396" xr:uid="{00000000-0005-0000-0000-00003CAB0000}"/>
    <cellStyle name="표준 5 4 5 2 4 2 2 4" xfId="47589" xr:uid="{00000000-0005-0000-0000-00003DAB0000}"/>
    <cellStyle name="표준 5 4 5 2 4 2 3" xfId="18831" xr:uid="{00000000-0005-0000-0000-00003EAB0000}"/>
    <cellStyle name="표준 5 4 5 2 4 2 4" xfId="22993" xr:uid="{00000000-0005-0000-0000-00003FAB0000}"/>
    <cellStyle name="표준 5 4 5 2 4 2 5" xfId="27089" xr:uid="{00000000-0005-0000-0000-000040AB0000}"/>
    <cellStyle name="표준 5 4 5 2 4 2 6" xfId="35300" xr:uid="{00000000-0005-0000-0000-000041AB0000}"/>
    <cellStyle name="표준 5 4 5 2 4 2 7" xfId="43493" xr:uid="{00000000-0005-0000-0000-000042AB0000}"/>
    <cellStyle name="표준 5 4 5 2 4 3" xfId="8431" xr:uid="{00000000-0005-0000-0000-000043AB0000}"/>
    <cellStyle name="표준 5 4 5 2 4 3 2" xfId="29137" xr:uid="{00000000-0005-0000-0000-000044AB0000}"/>
    <cellStyle name="표준 5 4 5 2 4 3 3" xfId="37348" xr:uid="{00000000-0005-0000-0000-000045AB0000}"/>
    <cellStyle name="표준 5 4 5 2 4 3 4" xfId="45541" xr:uid="{00000000-0005-0000-0000-000046AB0000}"/>
    <cellStyle name="표준 5 4 5 2 4 4" xfId="12543" xr:uid="{00000000-0005-0000-0000-000047AB0000}"/>
    <cellStyle name="표준 5 4 5 2 4 5" xfId="16783" xr:uid="{00000000-0005-0000-0000-000048AB0000}"/>
    <cellStyle name="표준 5 4 5 2 4 6" xfId="20945" xr:uid="{00000000-0005-0000-0000-000049AB0000}"/>
    <cellStyle name="표준 5 4 5 2 4 7" xfId="25041" xr:uid="{00000000-0005-0000-0000-00004AAB0000}"/>
    <cellStyle name="표준 5 4 5 2 4 8" xfId="33252" xr:uid="{00000000-0005-0000-0000-00004BAB0000}"/>
    <cellStyle name="표준 5 4 5 2 4 9" xfId="41445" xr:uid="{00000000-0005-0000-0000-00004CAB0000}"/>
    <cellStyle name="표준 5 4 5 2 5" xfId="2088" xr:uid="{00000000-0005-0000-0000-00004DAB0000}"/>
    <cellStyle name="표준 5 4 5 2 5 2" xfId="10991" xr:uid="{00000000-0005-0000-0000-00004EAB0000}"/>
    <cellStyle name="표준 5 4 5 2 5 2 2" xfId="15103" xr:uid="{00000000-0005-0000-0000-00004FAB0000}"/>
    <cellStyle name="표준 5 4 5 2 5 2 2 2" xfId="31697" xr:uid="{00000000-0005-0000-0000-000050AB0000}"/>
    <cellStyle name="표준 5 4 5 2 5 2 2 3" xfId="39908" xr:uid="{00000000-0005-0000-0000-000051AB0000}"/>
    <cellStyle name="표준 5 4 5 2 5 2 2 4" xfId="48101" xr:uid="{00000000-0005-0000-0000-000052AB0000}"/>
    <cellStyle name="표준 5 4 5 2 5 2 3" xfId="19343" xr:uid="{00000000-0005-0000-0000-000053AB0000}"/>
    <cellStyle name="표준 5 4 5 2 5 2 4" xfId="23505" xr:uid="{00000000-0005-0000-0000-000054AB0000}"/>
    <cellStyle name="표준 5 4 5 2 5 2 5" xfId="27601" xr:uid="{00000000-0005-0000-0000-000055AB0000}"/>
    <cellStyle name="표준 5 4 5 2 5 2 6" xfId="35812" xr:uid="{00000000-0005-0000-0000-000056AB0000}"/>
    <cellStyle name="표준 5 4 5 2 5 2 7" xfId="44005" xr:uid="{00000000-0005-0000-0000-000057AB0000}"/>
    <cellStyle name="표준 5 4 5 2 5 3" xfId="8943" xr:uid="{00000000-0005-0000-0000-000058AB0000}"/>
    <cellStyle name="표준 5 4 5 2 5 3 2" xfId="29649" xr:uid="{00000000-0005-0000-0000-000059AB0000}"/>
    <cellStyle name="표준 5 4 5 2 5 3 3" xfId="37860" xr:uid="{00000000-0005-0000-0000-00005AAB0000}"/>
    <cellStyle name="표준 5 4 5 2 5 3 4" xfId="46053" xr:uid="{00000000-0005-0000-0000-00005BAB0000}"/>
    <cellStyle name="표준 5 4 5 2 5 4" xfId="13055" xr:uid="{00000000-0005-0000-0000-00005CAB0000}"/>
    <cellStyle name="표준 5 4 5 2 5 5" xfId="17295" xr:uid="{00000000-0005-0000-0000-00005DAB0000}"/>
    <cellStyle name="표준 5 4 5 2 5 6" xfId="21457" xr:uid="{00000000-0005-0000-0000-00005EAB0000}"/>
    <cellStyle name="표준 5 4 5 2 5 7" xfId="25553" xr:uid="{00000000-0005-0000-0000-00005FAB0000}"/>
    <cellStyle name="표준 5 4 5 2 5 8" xfId="33764" xr:uid="{00000000-0005-0000-0000-000060AB0000}"/>
    <cellStyle name="표준 5 4 5 2 5 9" xfId="41957" xr:uid="{00000000-0005-0000-0000-000061AB0000}"/>
    <cellStyle name="표준 5 4 5 2 6" xfId="9455" xr:uid="{00000000-0005-0000-0000-000062AB0000}"/>
    <cellStyle name="표준 5 4 5 2 6 2" xfId="13567" xr:uid="{00000000-0005-0000-0000-000063AB0000}"/>
    <cellStyle name="표준 5 4 5 2 6 2 2" xfId="30161" xr:uid="{00000000-0005-0000-0000-000064AB0000}"/>
    <cellStyle name="표준 5 4 5 2 6 2 3" xfId="38372" xr:uid="{00000000-0005-0000-0000-000065AB0000}"/>
    <cellStyle name="표준 5 4 5 2 6 2 4" xfId="46565" xr:uid="{00000000-0005-0000-0000-000066AB0000}"/>
    <cellStyle name="표준 5 4 5 2 6 3" xfId="17807" xr:uid="{00000000-0005-0000-0000-000067AB0000}"/>
    <cellStyle name="표준 5 4 5 2 6 4" xfId="21969" xr:uid="{00000000-0005-0000-0000-000068AB0000}"/>
    <cellStyle name="표준 5 4 5 2 6 5" xfId="26065" xr:uid="{00000000-0005-0000-0000-000069AB0000}"/>
    <cellStyle name="표준 5 4 5 2 6 6" xfId="34276" xr:uid="{00000000-0005-0000-0000-00006AAB0000}"/>
    <cellStyle name="표준 5 4 5 2 6 7" xfId="42469" xr:uid="{00000000-0005-0000-0000-00006BAB0000}"/>
    <cellStyle name="표준 5 4 5 2 7" xfId="7407" xr:uid="{00000000-0005-0000-0000-00006CAB0000}"/>
    <cellStyle name="표준 5 4 5 2 7 2" xfId="28113" xr:uid="{00000000-0005-0000-0000-00006DAB0000}"/>
    <cellStyle name="표준 5 4 5 2 7 3" xfId="36324" xr:uid="{00000000-0005-0000-0000-00006EAB0000}"/>
    <cellStyle name="표준 5 4 5 2 7 4" xfId="44517" xr:uid="{00000000-0005-0000-0000-00006FAB0000}"/>
    <cellStyle name="표준 5 4 5 2 8" xfId="11519" xr:uid="{00000000-0005-0000-0000-000070AB0000}"/>
    <cellStyle name="표준 5 4 5 2 9" xfId="15759" xr:uid="{00000000-0005-0000-0000-000071AB0000}"/>
    <cellStyle name="표준 5 4 5 3" xfId="680" xr:uid="{00000000-0005-0000-0000-000072AB0000}"/>
    <cellStyle name="표준 5 4 5 3 10" xfId="24145" xr:uid="{00000000-0005-0000-0000-000073AB0000}"/>
    <cellStyle name="표준 5 4 5 3 11" xfId="32356" xr:uid="{00000000-0005-0000-0000-000074AB0000}"/>
    <cellStyle name="표준 5 4 5 3 12" xfId="40549" xr:uid="{00000000-0005-0000-0000-000075AB0000}"/>
    <cellStyle name="표준 5 4 5 3 2" xfId="1192" xr:uid="{00000000-0005-0000-0000-000076AB0000}"/>
    <cellStyle name="표준 5 4 5 3 2 2" xfId="10095" xr:uid="{00000000-0005-0000-0000-000077AB0000}"/>
    <cellStyle name="표준 5 4 5 3 2 2 2" xfId="14207" xr:uid="{00000000-0005-0000-0000-000078AB0000}"/>
    <cellStyle name="표준 5 4 5 3 2 2 2 2" xfId="30801" xr:uid="{00000000-0005-0000-0000-000079AB0000}"/>
    <cellStyle name="표준 5 4 5 3 2 2 2 3" xfId="39012" xr:uid="{00000000-0005-0000-0000-00007AAB0000}"/>
    <cellStyle name="표준 5 4 5 3 2 2 2 4" xfId="47205" xr:uid="{00000000-0005-0000-0000-00007BAB0000}"/>
    <cellStyle name="표준 5 4 5 3 2 2 3" xfId="18447" xr:uid="{00000000-0005-0000-0000-00007CAB0000}"/>
    <cellStyle name="표준 5 4 5 3 2 2 4" xfId="22609" xr:uid="{00000000-0005-0000-0000-00007DAB0000}"/>
    <cellStyle name="표준 5 4 5 3 2 2 5" xfId="26705" xr:uid="{00000000-0005-0000-0000-00007EAB0000}"/>
    <cellStyle name="표준 5 4 5 3 2 2 6" xfId="34916" xr:uid="{00000000-0005-0000-0000-00007FAB0000}"/>
    <cellStyle name="표준 5 4 5 3 2 2 7" xfId="43109" xr:uid="{00000000-0005-0000-0000-000080AB0000}"/>
    <cellStyle name="표준 5 4 5 3 2 3" xfId="8047" xr:uid="{00000000-0005-0000-0000-000081AB0000}"/>
    <cellStyle name="표준 5 4 5 3 2 3 2" xfId="28753" xr:uid="{00000000-0005-0000-0000-000082AB0000}"/>
    <cellStyle name="표준 5 4 5 3 2 3 3" xfId="36964" xr:uid="{00000000-0005-0000-0000-000083AB0000}"/>
    <cellStyle name="표준 5 4 5 3 2 3 4" xfId="45157" xr:uid="{00000000-0005-0000-0000-000084AB0000}"/>
    <cellStyle name="표준 5 4 5 3 2 4" xfId="12159" xr:uid="{00000000-0005-0000-0000-000085AB0000}"/>
    <cellStyle name="표준 5 4 5 3 2 5" xfId="16399" xr:uid="{00000000-0005-0000-0000-000086AB0000}"/>
    <cellStyle name="표준 5 4 5 3 2 6" xfId="20561" xr:uid="{00000000-0005-0000-0000-000087AB0000}"/>
    <cellStyle name="표준 5 4 5 3 2 7" xfId="24657" xr:uid="{00000000-0005-0000-0000-000088AB0000}"/>
    <cellStyle name="표준 5 4 5 3 2 8" xfId="32868" xr:uid="{00000000-0005-0000-0000-000089AB0000}"/>
    <cellStyle name="표준 5 4 5 3 2 9" xfId="41061" xr:uid="{00000000-0005-0000-0000-00008AAB0000}"/>
    <cellStyle name="표준 5 4 5 3 3" xfId="1704" xr:uid="{00000000-0005-0000-0000-00008BAB0000}"/>
    <cellStyle name="표준 5 4 5 3 3 2" xfId="10607" xr:uid="{00000000-0005-0000-0000-00008CAB0000}"/>
    <cellStyle name="표준 5 4 5 3 3 2 2" xfId="14719" xr:uid="{00000000-0005-0000-0000-00008DAB0000}"/>
    <cellStyle name="표준 5 4 5 3 3 2 2 2" xfId="31313" xr:uid="{00000000-0005-0000-0000-00008EAB0000}"/>
    <cellStyle name="표준 5 4 5 3 3 2 2 3" xfId="39524" xr:uid="{00000000-0005-0000-0000-00008FAB0000}"/>
    <cellStyle name="표준 5 4 5 3 3 2 2 4" xfId="47717" xr:uid="{00000000-0005-0000-0000-000090AB0000}"/>
    <cellStyle name="표준 5 4 5 3 3 2 3" xfId="18959" xr:uid="{00000000-0005-0000-0000-000091AB0000}"/>
    <cellStyle name="표준 5 4 5 3 3 2 4" xfId="23121" xr:uid="{00000000-0005-0000-0000-000092AB0000}"/>
    <cellStyle name="표준 5 4 5 3 3 2 5" xfId="27217" xr:uid="{00000000-0005-0000-0000-000093AB0000}"/>
    <cellStyle name="표준 5 4 5 3 3 2 6" xfId="35428" xr:uid="{00000000-0005-0000-0000-000094AB0000}"/>
    <cellStyle name="표준 5 4 5 3 3 2 7" xfId="43621" xr:uid="{00000000-0005-0000-0000-000095AB0000}"/>
    <cellStyle name="표준 5 4 5 3 3 3" xfId="8559" xr:uid="{00000000-0005-0000-0000-000096AB0000}"/>
    <cellStyle name="표준 5 4 5 3 3 3 2" xfId="29265" xr:uid="{00000000-0005-0000-0000-000097AB0000}"/>
    <cellStyle name="표준 5 4 5 3 3 3 3" xfId="37476" xr:uid="{00000000-0005-0000-0000-000098AB0000}"/>
    <cellStyle name="표준 5 4 5 3 3 3 4" xfId="45669" xr:uid="{00000000-0005-0000-0000-000099AB0000}"/>
    <cellStyle name="표준 5 4 5 3 3 4" xfId="12671" xr:uid="{00000000-0005-0000-0000-00009AAB0000}"/>
    <cellStyle name="표준 5 4 5 3 3 5" xfId="16911" xr:uid="{00000000-0005-0000-0000-00009BAB0000}"/>
    <cellStyle name="표준 5 4 5 3 3 6" xfId="21073" xr:uid="{00000000-0005-0000-0000-00009CAB0000}"/>
    <cellStyle name="표준 5 4 5 3 3 7" xfId="25169" xr:uid="{00000000-0005-0000-0000-00009DAB0000}"/>
    <cellStyle name="표준 5 4 5 3 3 8" xfId="33380" xr:uid="{00000000-0005-0000-0000-00009EAB0000}"/>
    <cellStyle name="표준 5 4 5 3 3 9" xfId="41573" xr:uid="{00000000-0005-0000-0000-00009FAB0000}"/>
    <cellStyle name="표준 5 4 5 3 4" xfId="2216" xr:uid="{00000000-0005-0000-0000-0000A0AB0000}"/>
    <cellStyle name="표준 5 4 5 3 4 2" xfId="11119" xr:uid="{00000000-0005-0000-0000-0000A1AB0000}"/>
    <cellStyle name="표준 5 4 5 3 4 2 2" xfId="15231" xr:uid="{00000000-0005-0000-0000-0000A2AB0000}"/>
    <cellStyle name="표준 5 4 5 3 4 2 2 2" xfId="31825" xr:uid="{00000000-0005-0000-0000-0000A3AB0000}"/>
    <cellStyle name="표준 5 4 5 3 4 2 2 3" xfId="40036" xr:uid="{00000000-0005-0000-0000-0000A4AB0000}"/>
    <cellStyle name="표준 5 4 5 3 4 2 2 4" xfId="48229" xr:uid="{00000000-0005-0000-0000-0000A5AB0000}"/>
    <cellStyle name="표준 5 4 5 3 4 2 3" xfId="19471" xr:uid="{00000000-0005-0000-0000-0000A6AB0000}"/>
    <cellStyle name="표준 5 4 5 3 4 2 4" xfId="23633" xr:uid="{00000000-0005-0000-0000-0000A7AB0000}"/>
    <cellStyle name="표준 5 4 5 3 4 2 5" xfId="27729" xr:uid="{00000000-0005-0000-0000-0000A8AB0000}"/>
    <cellStyle name="표준 5 4 5 3 4 2 6" xfId="35940" xr:uid="{00000000-0005-0000-0000-0000A9AB0000}"/>
    <cellStyle name="표준 5 4 5 3 4 2 7" xfId="44133" xr:uid="{00000000-0005-0000-0000-0000AAAB0000}"/>
    <cellStyle name="표준 5 4 5 3 4 3" xfId="9071" xr:uid="{00000000-0005-0000-0000-0000ABAB0000}"/>
    <cellStyle name="표준 5 4 5 3 4 3 2" xfId="29777" xr:uid="{00000000-0005-0000-0000-0000ACAB0000}"/>
    <cellStyle name="표준 5 4 5 3 4 3 3" xfId="37988" xr:uid="{00000000-0005-0000-0000-0000ADAB0000}"/>
    <cellStyle name="표준 5 4 5 3 4 3 4" xfId="46181" xr:uid="{00000000-0005-0000-0000-0000AEAB0000}"/>
    <cellStyle name="표준 5 4 5 3 4 4" xfId="13183" xr:uid="{00000000-0005-0000-0000-0000AFAB0000}"/>
    <cellStyle name="표준 5 4 5 3 4 5" xfId="17423" xr:uid="{00000000-0005-0000-0000-0000B0AB0000}"/>
    <cellStyle name="표준 5 4 5 3 4 6" xfId="21585" xr:uid="{00000000-0005-0000-0000-0000B1AB0000}"/>
    <cellStyle name="표준 5 4 5 3 4 7" xfId="25681" xr:uid="{00000000-0005-0000-0000-0000B2AB0000}"/>
    <cellStyle name="표준 5 4 5 3 4 8" xfId="33892" xr:uid="{00000000-0005-0000-0000-0000B3AB0000}"/>
    <cellStyle name="표준 5 4 5 3 4 9" xfId="42085" xr:uid="{00000000-0005-0000-0000-0000B4AB0000}"/>
    <cellStyle name="표준 5 4 5 3 5" xfId="9583" xr:uid="{00000000-0005-0000-0000-0000B5AB0000}"/>
    <cellStyle name="표준 5 4 5 3 5 2" xfId="13695" xr:uid="{00000000-0005-0000-0000-0000B6AB0000}"/>
    <cellStyle name="표준 5 4 5 3 5 2 2" xfId="30289" xr:uid="{00000000-0005-0000-0000-0000B7AB0000}"/>
    <cellStyle name="표준 5 4 5 3 5 2 3" xfId="38500" xr:uid="{00000000-0005-0000-0000-0000B8AB0000}"/>
    <cellStyle name="표준 5 4 5 3 5 2 4" xfId="46693" xr:uid="{00000000-0005-0000-0000-0000B9AB0000}"/>
    <cellStyle name="표준 5 4 5 3 5 3" xfId="17935" xr:uid="{00000000-0005-0000-0000-0000BAAB0000}"/>
    <cellStyle name="표준 5 4 5 3 5 4" xfId="22097" xr:uid="{00000000-0005-0000-0000-0000BBAB0000}"/>
    <cellStyle name="표준 5 4 5 3 5 5" xfId="26193" xr:uid="{00000000-0005-0000-0000-0000BCAB0000}"/>
    <cellStyle name="표준 5 4 5 3 5 6" xfId="34404" xr:uid="{00000000-0005-0000-0000-0000BDAB0000}"/>
    <cellStyle name="표준 5 4 5 3 5 7" xfId="42597" xr:uid="{00000000-0005-0000-0000-0000BEAB0000}"/>
    <cellStyle name="표준 5 4 5 3 6" xfId="7535" xr:uid="{00000000-0005-0000-0000-0000BFAB0000}"/>
    <cellStyle name="표준 5 4 5 3 6 2" xfId="28241" xr:uid="{00000000-0005-0000-0000-0000C0AB0000}"/>
    <cellStyle name="표준 5 4 5 3 6 3" xfId="36452" xr:uid="{00000000-0005-0000-0000-0000C1AB0000}"/>
    <cellStyle name="표준 5 4 5 3 6 4" xfId="44645" xr:uid="{00000000-0005-0000-0000-0000C2AB0000}"/>
    <cellStyle name="표준 5 4 5 3 7" xfId="11647" xr:uid="{00000000-0005-0000-0000-0000C3AB0000}"/>
    <cellStyle name="표준 5 4 5 3 8" xfId="15887" xr:uid="{00000000-0005-0000-0000-0000C4AB0000}"/>
    <cellStyle name="표준 5 4 5 3 9" xfId="20049" xr:uid="{00000000-0005-0000-0000-0000C5AB0000}"/>
    <cellStyle name="표준 5 4 5 4" xfId="936" xr:uid="{00000000-0005-0000-0000-0000C6AB0000}"/>
    <cellStyle name="표준 5 4 5 4 2" xfId="9839" xr:uid="{00000000-0005-0000-0000-0000C7AB0000}"/>
    <cellStyle name="표준 5 4 5 4 2 2" xfId="13951" xr:uid="{00000000-0005-0000-0000-0000C8AB0000}"/>
    <cellStyle name="표준 5 4 5 4 2 2 2" xfId="30545" xr:uid="{00000000-0005-0000-0000-0000C9AB0000}"/>
    <cellStyle name="표준 5 4 5 4 2 2 3" xfId="38756" xr:uid="{00000000-0005-0000-0000-0000CAAB0000}"/>
    <cellStyle name="표준 5 4 5 4 2 2 4" xfId="46949" xr:uid="{00000000-0005-0000-0000-0000CBAB0000}"/>
    <cellStyle name="표준 5 4 5 4 2 3" xfId="18191" xr:uid="{00000000-0005-0000-0000-0000CCAB0000}"/>
    <cellStyle name="표준 5 4 5 4 2 4" xfId="22353" xr:uid="{00000000-0005-0000-0000-0000CDAB0000}"/>
    <cellStyle name="표준 5 4 5 4 2 5" xfId="26449" xr:uid="{00000000-0005-0000-0000-0000CEAB0000}"/>
    <cellStyle name="표준 5 4 5 4 2 6" xfId="34660" xr:uid="{00000000-0005-0000-0000-0000CFAB0000}"/>
    <cellStyle name="표준 5 4 5 4 2 7" xfId="42853" xr:uid="{00000000-0005-0000-0000-0000D0AB0000}"/>
    <cellStyle name="표준 5 4 5 4 3" xfId="7791" xr:uid="{00000000-0005-0000-0000-0000D1AB0000}"/>
    <cellStyle name="표준 5 4 5 4 3 2" xfId="28497" xr:uid="{00000000-0005-0000-0000-0000D2AB0000}"/>
    <cellStyle name="표준 5 4 5 4 3 3" xfId="36708" xr:uid="{00000000-0005-0000-0000-0000D3AB0000}"/>
    <cellStyle name="표준 5 4 5 4 3 4" xfId="44901" xr:uid="{00000000-0005-0000-0000-0000D4AB0000}"/>
    <cellStyle name="표준 5 4 5 4 4" xfId="11903" xr:uid="{00000000-0005-0000-0000-0000D5AB0000}"/>
    <cellStyle name="표준 5 4 5 4 5" xfId="16143" xr:uid="{00000000-0005-0000-0000-0000D6AB0000}"/>
    <cellStyle name="표준 5 4 5 4 6" xfId="20305" xr:uid="{00000000-0005-0000-0000-0000D7AB0000}"/>
    <cellStyle name="표준 5 4 5 4 7" xfId="24401" xr:uid="{00000000-0005-0000-0000-0000D8AB0000}"/>
    <cellStyle name="표준 5 4 5 4 8" xfId="32612" xr:uid="{00000000-0005-0000-0000-0000D9AB0000}"/>
    <cellStyle name="표준 5 4 5 4 9" xfId="40805" xr:uid="{00000000-0005-0000-0000-0000DAAB0000}"/>
    <cellStyle name="표준 5 4 5 5" xfId="1448" xr:uid="{00000000-0005-0000-0000-0000DBAB0000}"/>
    <cellStyle name="표준 5 4 5 5 2" xfId="10351" xr:uid="{00000000-0005-0000-0000-0000DCAB0000}"/>
    <cellStyle name="표준 5 4 5 5 2 2" xfId="14463" xr:uid="{00000000-0005-0000-0000-0000DDAB0000}"/>
    <cellStyle name="표준 5 4 5 5 2 2 2" xfId="31057" xr:uid="{00000000-0005-0000-0000-0000DEAB0000}"/>
    <cellStyle name="표준 5 4 5 5 2 2 3" xfId="39268" xr:uid="{00000000-0005-0000-0000-0000DFAB0000}"/>
    <cellStyle name="표준 5 4 5 5 2 2 4" xfId="47461" xr:uid="{00000000-0005-0000-0000-0000E0AB0000}"/>
    <cellStyle name="표준 5 4 5 5 2 3" xfId="18703" xr:uid="{00000000-0005-0000-0000-0000E1AB0000}"/>
    <cellStyle name="표준 5 4 5 5 2 4" xfId="22865" xr:uid="{00000000-0005-0000-0000-0000E2AB0000}"/>
    <cellStyle name="표준 5 4 5 5 2 5" xfId="26961" xr:uid="{00000000-0005-0000-0000-0000E3AB0000}"/>
    <cellStyle name="표준 5 4 5 5 2 6" xfId="35172" xr:uid="{00000000-0005-0000-0000-0000E4AB0000}"/>
    <cellStyle name="표준 5 4 5 5 2 7" xfId="43365" xr:uid="{00000000-0005-0000-0000-0000E5AB0000}"/>
    <cellStyle name="표준 5 4 5 5 3" xfId="8303" xr:uid="{00000000-0005-0000-0000-0000E6AB0000}"/>
    <cellStyle name="표준 5 4 5 5 3 2" xfId="29009" xr:uid="{00000000-0005-0000-0000-0000E7AB0000}"/>
    <cellStyle name="표준 5 4 5 5 3 3" xfId="37220" xr:uid="{00000000-0005-0000-0000-0000E8AB0000}"/>
    <cellStyle name="표준 5 4 5 5 3 4" xfId="45413" xr:uid="{00000000-0005-0000-0000-0000E9AB0000}"/>
    <cellStyle name="표준 5 4 5 5 4" xfId="12415" xr:uid="{00000000-0005-0000-0000-0000EAAB0000}"/>
    <cellStyle name="표준 5 4 5 5 5" xfId="16655" xr:uid="{00000000-0005-0000-0000-0000EBAB0000}"/>
    <cellStyle name="표준 5 4 5 5 6" xfId="20817" xr:uid="{00000000-0005-0000-0000-0000ECAB0000}"/>
    <cellStyle name="표준 5 4 5 5 7" xfId="24913" xr:uid="{00000000-0005-0000-0000-0000EDAB0000}"/>
    <cellStyle name="표준 5 4 5 5 8" xfId="33124" xr:uid="{00000000-0005-0000-0000-0000EEAB0000}"/>
    <cellStyle name="표준 5 4 5 5 9" xfId="41317" xr:uid="{00000000-0005-0000-0000-0000EFAB0000}"/>
    <cellStyle name="표준 5 4 5 6" xfId="1960" xr:uid="{00000000-0005-0000-0000-0000F0AB0000}"/>
    <cellStyle name="표준 5 4 5 6 2" xfId="10863" xr:uid="{00000000-0005-0000-0000-0000F1AB0000}"/>
    <cellStyle name="표준 5 4 5 6 2 2" xfId="14975" xr:uid="{00000000-0005-0000-0000-0000F2AB0000}"/>
    <cellStyle name="표준 5 4 5 6 2 2 2" xfId="31569" xr:uid="{00000000-0005-0000-0000-0000F3AB0000}"/>
    <cellStyle name="표준 5 4 5 6 2 2 3" xfId="39780" xr:uid="{00000000-0005-0000-0000-0000F4AB0000}"/>
    <cellStyle name="표준 5 4 5 6 2 2 4" xfId="47973" xr:uid="{00000000-0005-0000-0000-0000F5AB0000}"/>
    <cellStyle name="표준 5 4 5 6 2 3" xfId="19215" xr:uid="{00000000-0005-0000-0000-0000F6AB0000}"/>
    <cellStyle name="표준 5 4 5 6 2 4" xfId="23377" xr:uid="{00000000-0005-0000-0000-0000F7AB0000}"/>
    <cellStyle name="표준 5 4 5 6 2 5" xfId="27473" xr:uid="{00000000-0005-0000-0000-0000F8AB0000}"/>
    <cellStyle name="표준 5 4 5 6 2 6" xfId="35684" xr:uid="{00000000-0005-0000-0000-0000F9AB0000}"/>
    <cellStyle name="표준 5 4 5 6 2 7" xfId="43877" xr:uid="{00000000-0005-0000-0000-0000FAAB0000}"/>
    <cellStyle name="표준 5 4 5 6 3" xfId="8815" xr:uid="{00000000-0005-0000-0000-0000FBAB0000}"/>
    <cellStyle name="표준 5 4 5 6 3 2" xfId="29521" xr:uid="{00000000-0005-0000-0000-0000FCAB0000}"/>
    <cellStyle name="표준 5 4 5 6 3 3" xfId="37732" xr:uid="{00000000-0005-0000-0000-0000FDAB0000}"/>
    <cellStyle name="표준 5 4 5 6 3 4" xfId="45925" xr:uid="{00000000-0005-0000-0000-0000FEAB0000}"/>
    <cellStyle name="표준 5 4 5 6 4" xfId="12927" xr:uid="{00000000-0005-0000-0000-0000FFAB0000}"/>
    <cellStyle name="표준 5 4 5 6 5" xfId="17167" xr:uid="{00000000-0005-0000-0000-000000AC0000}"/>
    <cellStyle name="표준 5 4 5 6 6" xfId="21329" xr:uid="{00000000-0005-0000-0000-000001AC0000}"/>
    <cellStyle name="표준 5 4 5 6 7" xfId="25425" xr:uid="{00000000-0005-0000-0000-000002AC0000}"/>
    <cellStyle name="표준 5 4 5 6 8" xfId="33636" xr:uid="{00000000-0005-0000-0000-000003AC0000}"/>
    <cellStyle name="표준 5 4 5 6 9" xfId="41829" xr:uid="{00000000-0005-0000-0000-000004AC0000}"/>
    <cellStyle name="표준 5 4 5 7" xfId="7020" xr:uid="{00000000-0005-0000-0000-000005AC0000}"/>
    <cellStyle name="표준 5 4 5 7 2" xfId="9327" xr:uid="{00000000-0005-0000-0000-000006AC0000}"/>
    <cellStyle name="표준 5 4 5 7 2 2" xfId="30033" xr:uid="{00000000-0005-0000-0000-000007AC0000}"/>
    <cellStyle name="표준 5 4 5 7 2 3" xfId="38244" xr:uid="{00000000-0005-0000-0000-000008AC0000}"/>
    <cellStyle name="표준 5 4 5 7 2 4" xfId="46437" xr:uid="{00000000-0005-0000-0000-000009AC0000}"/>
    <cellStyle name="표준 5 4 5 7 3" xfId="13439" xr:uid="{00000000-0005-0000-0000-00000AAC0000}"/>
    <cellStyle name="표준 5 4 5 7 4" xfId="17679" xr:uid="{00000000-0005-0000-0000-00000BAC0000}"/>
    <cellStyle name="표준 5 4 5 7 5" xfId="21841" xr:uid="{00000000-0005-0000-0000-00000CAC0000}"/>
    <cellStyle name="표준 5 4 5 7 6" xfId="25937" xr:uid="{00000000-0005-0000-0000-00000DAC0000}"/>
    <cellStyle name="표준 5 4 5 7 7" xfId="34148" xr:uid="{00000000-0005-0000-0000-00000EAC0000}"/>
    <cellStyle name="표준 5 4 5 7 8" xfId="42341" xr:uid="{00000000-0005-0000-0000-00000FAC0000}"/>
    <cellStyle name="표준 5 4 5 8" xfId="7158" xr:uid="{00000000-0005-0000-0000-000010AC0000}"/>
    <cellStyle name="표준 5 4 5 8 2" xfId="27985" xr:uid="{00000000-0005-0000-0000-000011AC0000}"/>
    <cellStyle name="표준 5 4 5 8 3" xfId="36196" xr:uid="{00000000-0005-0000-0000-000012AC0000}"/>
    <cellStyle name="표준 5 4 5 8 4" xfId="44389" xr:uid="{00000000-0005-0000-0000-000013AC0000}"/>
    <cellStyle name="표준 5 4 5 9" xfId="7279" xr:uid="{00000000-0005-0000-0000-000014AC0000}"/>
    <cellStyle name="표준 5 4 6" xfId="488" xr:uid="{00000000-0005-0000-0000-000015AC0000}"/>
    <cellStyle name="표준 5 4 6 10" xfId="19857" xr:uid="{00000000-0005-0000-0000-000016AC0000}"/>
    <cellStyle name="표준 5 4 6 11" xfId="23953" xr:uid="{00000000-0005-0000-0000-000017AC0000}"/>
    <cellStyle name="표준 5 4 6 12" xfId="32164" xr:uid="{00000000-0005-0000-0000-000018AC0000}"/>
    <cellStyle name="표준 5 4 6 13" xfId="40357" xr:uid="{00000000-0005-0000-0000-000019AC0000}"/>
    <cellStyle name="표준 5 4 6 2" xfId="744" xr:uid="{00000000-0005-0000-0000-00001AAC0000}"/>
    <cellStyle name="표준 5 4 6 2 10" xfId="24209" xr:uid="{00000000-0005-0000-0000-00001BAC0000}"/>
    <cellStyle name="표준 5 4 6 2 11" xfId="32420" xr:uid="{00000000-0005-0000-0000-00001CAC0000}"/>
    <cellStyle name="표준 5 4 6 2 12" xfId="40613" xr:uid="{00000000-0005-0000-0000-00001DAC0000}"/>
    <cellStyle name="표준 5 4 6 2 2" xfId="1256" xr:uid="{00000000-0005-0000-0000-00001EAC0000}"/>
    <cellStyle name="표준 5 4 6 2 2 2" xfId="10159" xr:uid="{00000000-0005-0000-0000-00001FAC0000}"/>
    <cellStyle name="표준 5 4 6 2 2 2 2" xfId="14271" xr:uid="{00000000-0005-0000-0000-000020AC0000}"/>
    <cellStyle name="표준 5 4 6 2 2 2 2 2" xfId="30865" xr:uid="{00000000-0005-0000-0000-000021AC0000}"/>
    <cellStyle name="표준 5 4 6 2 2 2 2 3" xfId="39076" xr:uid="{00000000-0005-0000-0000-000022AC0000}"/>
    <cellStyle name="표준 5 4 6 2 2 2 2 4" xfId="47269" xr:uid="{00000000-0005-0000-0000-000023AC0000}"/>
    <cellStyle name="표준 5 4 6 2 2 2 3" xfId="18511" xr:uid="{00000000-0005-0000-0000-000024AC0000}"/>
    <cellStyle name="표준 5 4 6 2 2 2 4" xfId="22673" xr:uid="{00000000-0005-0000-0000-000025AC0000}"/>
    <cellStyle name="표준 5 4 6 2 2 2 5" xfId="26769" xr:uid="{00000000-0005-0000-0000-000026AC0000}"/>
    <cellStyle name="표준 5 4 6 2 2 2 6" xfId="34980" xr:uid="{00000000-0005-0000-0000-000027AC0000}"/>
    <cellStyle name="표준 5 4 6 2 2 2 7" xfId="43173" xr:uid="{00000000-0005-0000-0000-000028AC0000}"/>
    <cellStyle name="표준 5 4 6 2 2 3" xfId="8111" xr:uid="{00000000-0005-0000-0000-000029AC0000}"/>
    <cellStyle name="표준 5 4 6 2 2 3 2" xfId="28817" xr:uid="{00000000-0005-0000-0000-00002AAC0000}"/>
    <cellStyle name="표준 5 4 6 2 2 3 3" xfId="37028" xr:uid="{00000000-0005-0000-0000-00002BAC0000}"/>
    <cellStyle name="표준 5 4 6 2 2 3 4" xfId="45221" xr:uid="{00000000-0005-0000-0000-00002CAC0000}"/>
    <cellStyle name="표준 5 4 6 2 2 4" xfId="12223" xr:uid="{00000000-0005-0000-0000-00002DAC0000}"/>
    <cellStyle name="표준 5 4 6 2 2 5" xfId="16463" xr:uid="{00000000-0005-0000-0000-00002EAC0000}"/>
    <cellStyle name="표준 5 4 6 2 2 6" xfId="20625" xr:uid="{00000000-0005-0000-0000-00002FAC0000}"/>
    <cellStyle name="표준 5 4 6 2 2 7" xfId="24721" xr:uid="{00000000-0005-0000-0000-000030AC0000}"/>
    <cellStyle name="표준 5 4 6 2 2 8" xfId="32932" xr:uid="{00000000-0005-0000-0000-000031AC0000}"/>
    <cellStyle name="표준 5 4 6 2 2 9" xfId="41125" xr:uid="{00000000-0005-0000-0000-000032AC0000}"/>
    <cellStyle name="표준 5 4 6 2 3" xfId="1768" xr:uid="{00000000-0005-0000-0000-000033AC0000}"/>
    <cellStyle name="표준 5 4 6 2 3 2" xfId="10671" xr:uid="{00000000-0005-0000-0000-000034AC0000}"/>
    <cellStyle name="표준 5 4 6 2 3 2 2" xfId="14783" xr:uid="{00000000-0005-0000-0000-000035AC0000}"/>
    <cellStyle name="표준 5 4 6 2 3 2 2 2" xfId="31377" xr:uid="{00000000-0005-0000-0000-000036AC0000}"/>
    <cellStyle name="표준 5 4 6 2 3 2 2 3" xfId="39588" xr:uid="{00000000-0005-0000-0000-000037AC0000}"/>
    <cellStyle name="표준 5 4 6 2 3 2 2 4" xfId="47781" xr:uid="{00000000-0005-0000-0000-000038AC0000}"/>
    <cellStyle name="표준 5 4 6 2 3 2 3" xfId="19023" xr:uid="{00000000-0005-0000-0000-000039AC0000}"/>
    <cellStyle name="표준 5 4 6 2 3 2 4" xfId="23185" xr:uid="{00000000-0005-0000-0000-00003AAC0000}"/>
    <cellStyle name="표준 5 4 6 2 3 2 5" xfId="27281" xr:uid="{00000000-0005-0000-0000-00003BAC0000}"/>
    <cellStyle name="표준 5 4 6 2 3 2 6" xfId="35492" xr:uid="{00000000-0005-0000-0000-00003CAC0000}"/>
    <cellStyle name="표준 5 4 6 2 3 2 7" xfId="43685" xr:uid="{00000000-0005-0000-0000-00003DAC0000}"/>
    <cellStyle name="표준 5 4 6 2 3 3" xfId="8623" xr:uid="{00000000-0005-0000-0000-00003EAC0000}"/>
    <cellStyle name="표준 5 4 6 2 3 3 2" xfId="29329" xr:uid="{00000000-0005-0000-0000-00003FAC0000}"/>
    <cellStyle name="표준 5 4 6 2 3 3 3" xfId="37540" xr:uid="{00000000-0005-0000-0000-000040AC0000}"/>
    <cellStyle name="표준 5 4 6 2 3 3 4" xfId="45733" xr:uid="{00000000-0005-0000-0000-000041AC0000}"/>
    <cellStyle name="표준 5 4 6 2 3 4" xfId="12735" xr:uid="{00000000-0005-0000-0000-000042AC0000}"/>
    <cellStyle name="표준 5 4 6 2 3 5" xfId="16975" xr:uid="{00000000-0005-0000-0000-000043AC0000}"/>
    <cellStyle name="표준 5 4 6 2 3 6" xfId="21137" xr:uid="{00000000-0005-0000-0000-000044AC0000}"/>
    <cellStyle name="표준 5 4 6 2 3 7" xfId="25233" xr:uid="{00000000-0005-0000-0000-000045AC0000}"/>
    <cellStyle name="표준 5 4 6 2 3 8" xfId="33444" xr:uid="{00000000-0005-0000-0000-000046AC0000}"/>
    <cellStyle name="표준 5 4 6 2 3 9" xfId="41637" xr:uid="{00000000-0005-0000-0000-000047AC0000}"/>
    <cellStyle name="표준 5 4 6 2 4" xfId="2280" xr:uid="{00000000-0005-0000-0000-000048AC0000}"/>
    <cellStyle name="표준 5 4 6 2 4 2" xfId="11183" xr:uid="{00000000-0005-0000-0000-000049AC0000}"/>
    <cellStyle name="표준 5 4 6 2 4 2 2" xfId="15295" xr:uid="{00000000-0005-0000-0000-00004AAC0000}"/>
    <cellStyle name="표준 5 4 6 2 4 2 2 2" xfId="31889" xr:uid="{00000000-0005-0000-0000-00004BAC0000}"/>
    <cellStyle name="표준 5 4 6 2 4 2 2 3" xfId="40100" xr:uid="{00000000-0005-0000-0000-00004CAC0000}"/>
    <cellStyle name="표준 5 4 6 2 4 2 2 4" xfId="48293" xr:uid="{00000000-0005-0000-0000-00004DAC0000}"/>
    <cellStyle name="표준 5 4 6 2 4 2 3" xfId="19535" xr:uid="{00000000-0005-0000-0000-00004EAC0000}"/>
    <cellStyle name="표준 5 4 6 2 4 2 4" xfId="23697" xr:uid="{00000000-0005-0000-0000-00004FAC0000}"/>
    <cellStyle name="표준 5 4 6 2 4 2 5" xfId="27793" xr:uid="{00000000-0005-0000-0000-000050AC0000}"/>
    <cellStyle name="표준 5 4 6 2 4 2 6" xfId="36004" xr:uid="{00000000-0005-0000-0000-000051AC0000}"/>
    <cellStyle name="표준 5 4 6 2 4 2 7" xfId="44197" xr:uid="{00000000-0005-0000-0000-000052AC0000}"/>
    <cellStyle name="표준 5 4 6 2 4 3" xfId="9135" xr:uid="{00000000-0005-0000-0000-000053AC0000}"/>
    <cellStyle name="표준 5 4 6 2 4 3 2" xfId="29841" xr:uid="{00000000-0005-0000-0000-000054AC0000}"/>
    <cellStyle name="표준 5 4 6 2 4 3 3" xfId="38052" xr:uid="{00000000-0005-0000-0000-000055AC0000}"/>
    <cellStyle name="표준 5 4 6 2 4 3 4" xfId="46245" xr:uid="{00000000-0005-0000-0000-000056AC0000}"/>
    <cellStyle name="표준 5 4 6 2 4 4" xfId="13247" xr:uid="{00000000-0005-0000-0000-000057AC0000}"/>
    <cellStyle name="표준 5 4 6 2 4 5" xfId="17487" xr:uid="{00000000-0005-0000-0000-000058AC0000}"/>
    <cellStyle name="표준 5 4 6 2 4 6" xfId="21649" xr:uid="{00000000-0005-0000-0000-000059AC0000}"/>
    <cellStyle name="표준 5 4 6 2 4 7" xfId="25745" xr:uid="{00000000-0005-0000-0000-00005AAC0000}"/>
    <cellStyle name="표준 5 4 6 2 4 8" xfId="33956" xr:uid="{00000000-0005-0000-0000-00005BAC0000}"/>
    <cellStyle name="표준 5 4 6 2 4 9" xfId="42149" xr:uid="{00000000-0005-0000-0000-00005CAC0000}"/>
    <cellStyle name="표준 5 4 6 2 5" xfId="9647" xr:uid="{00000000-0005-0000-0000-00005DAC0000}"/>
    <cellStyle name="표준 5 4 6 2 5 2" xfId="13759" xr:uid="{00000000-0005-0000-0000-00005EAC0000}"/>
    <cellStyle name="표준 5 4 6 2 5 2 2" xfId="30353" xr:uid="{00000000-0005-0000-0000-00005FAC0000}"/>
    <cellStyle name="표준 5 4 6 2 5 2 3" xfId="38564" xr:uid="{00000000-0005-0000-0000-000060AC0000}"/>
    <cellStyle name="표준 5 4 6 2 5 2 4" xfId="46757" xr:uid="{00000000-0005-0000-0000-000061AC0000}"/>
    <cellStyle name="표준 5 4 6 2 5 3" xfId="17999" xr:uid="{00000000-0005-0000-0000-000062AC0000}"/>
    <cellStyle name="표준 5 4 6 2 5 4" xfId="22161" xr:uid="{00000000-0005-0000-0000-000063AC0000}"/>
    <cellStyle name="표준 5 4 6 2 5 5" xfId="26257" xr:uid="{00000000-0005-0000-0000-000064AC0000}"/>
    <cellStyle name="표준 5 4 6 2 5 6" xfId="34468" xr:uid="{00000000-0005-0000-0000-000065AC0000}"/>
    <cellStyle name="표준 5 4 6 2 5 7" xfId="42661" xr:uid="{00000000-0005-0000-0000-000066AC0000}"/>
    <cellStyle name="표준 5 4 6 2 6" xfId="7599" xr:uid="{00000000-0005-0000-0000-000067AC0000}"/>
    <cellStyle name="표준 5 4 6 2 6 2" xfId="28305" xr:uid="{00000000-0005-0000-0000-000068AC0000}"/>
    <cellStyle name="표준 5 4 6 2 6 3" xfId="36516" xr:uid="{00000000-0005-0000-0000-000069AC0000}"/>
    <cellStyle name="표준 5 4 6 2 6 4" xfId="44709" xr:uid="{00000000-0005-0000-0000-00006AAC0000}"/>
    <cellStyle name="표준 5 4 6 2 7" xfId="11711" xr:uid="{00000000-0005-0000-0000-00006BAC0000}"/>
    <cellStyle name="표준 5 4 6 2 8" xfId="15951" xr:uid="{00000000-0005-0000-0000-00006CAC0000}"/>
    <cellStyle name="표준 5 4 6 2 9" xfId="20113" xr:uid="{00000000-0005-0000-0000-00006DAC0000}"/>
    <cellStyle name="표준 5 4 6 3" xfId="1000" xr:uid="{00000000-0005-0000-0000-00006EAC0000}"/>
    <cellStyle name="표준 5 4 6 3 2" xfId="9903" xr:uid="{00000000-0005-0000-0000-00006FAC0000}"/>
    <cellStyle name="표준 5 4 6 3 2 2" xfId="14015" xr:uid="{00000000-0005-0000-0000-000070AC0000}"/>
    <cellStyle name="표준 5 4 6 3 2 2 2" xfId="30609" xr:uid="{00000000-0005-0000-0000-000071AC0000}"/>
    <cellStyle name="표준 5 4 6 3 2 2 3" xfId="38820" xr:uid="{00000000-0005-0000-0000-000072AC0000}"/>
    <cellStyle name="표준 5 4 6 3 2 2 4" xfId="47013" xr:uid="{00000000-0005-0000-0000-000073AC0000}"/>
    <cellStyle name="표준 5 4 6 3 2 3" xfId="18255" xr:uid="{00000000-0005-0000-0000-000074AC0000}"/>
    <cellStyle name="표준 5 4 6 3 2 4" xfId="22417" xr:uid="{00000000-0005-0000-0000-000075AC0000}"/>
    <cellStyle name="표준 5 4 6 3 2 5" xfId="26513" xr:uid="{00000000-0005-0000-0000-000076AC0000}"/>
    <cellStyle name="표준 5 4 6 3 2 6" xfId="34724" xr:uid="{00000000-0005-0000-0000-000077AC0000}"/>
    <cellStyle name="표준 5 4 6 3 2 7" xfId="42917" xr:uid="{00000000-0005-0000-0000-000078AC0000}"/>
    <cellStyle name="표준 5 4 6 3 3" xfId="7855" xr:uid="{00000000-0005-0000-0000-000079AC0000}"/>
    <cellStyle name="표준 5 4 6 3 3 2" xfId="28561" xr:uid="{00000000-0005-0000-0000-00007AAC0000}"/>
    <cellStyle name="표준 5 4 6 3 3 3" xfId="36772" xr:uid="{00000000-0005-0000-0000-00007BAC0000}"/>
    <cellStyle name="표준 5 4 6 3 3 4" xfId="44965" xr:uid="{00000000-0005-0000-0000-00007CAC0000}"/>
    <cellStyle name="표준 5 4 6 3 4" xfId="11967" xr:uid="{00000000-0005-0000-0000-00007DAC0000}"/>
    <cellStyle name="표준 5 4 6 3 5" xfId="16207" xr:uid="{00000000-0005-0000-0000-00007EAC0000}"/>
    <cellStyle name="표준 5 4 6 3 6" xfId="20369" xr:uid="{00000000-0005-0000-0000-00007FAC0000}"/>
    <cellStyle name="표준 5 4 6 3 7" xfId="24465" xr:uid="{00000000-0005-0000-0000-000080AC0000}"/>
    <cellStyle name="표준 5 4 6 3 8" xfId="32676" xr:uid="{00000000-0005-0000-0000-000081AC0000}"/>
    <cellStyle name="표준 5 4 6 3 9" xfId="40869" xr:uid="{00000000-0005-0000-0000-000082AC0000}"/>
    <cellStyle name="표준 5 4 6 4" xfId="1512" xr:uid="{00000000-0005-0000-0000-000083AC0000}"/>
    <cellStyle name="표준 5 4 6 4 2" xfId="10415" xr:uid="{00000000-0005-0000-0000-000084AC0000}"/>
    <cellStyle name="표준 5 4 6 4 2 2" xfId="14527" xr:uid="{00000000-0005-0000-0000-000085AC0000}"/>
    <cellStyle name="표준 5 4 6 4 2 2 2" xfId="31121" xr:uid="{00000000-0005-0000-0000-000086AC0000}"/>
    <cellStyle name="표준 5 4 6 4 2 2 3" xfId="39332" xr:uid="{00000000-0005-0000-0000-000087AC0000}"/>
    <cellStyle name="표준 5 4 6 4 2 2 4" xfId="47525" xr:uid="{00000000-0005-0000-0000-000088AC0000}"/>
    <cellStyle name="표준 5 4 6 4 2 3" xfId="18767" xr:uid="{00000000-0005-0000-0000-000089AC0000}"/>
    <cellStyle name="표준 5 4 6 4 2 4" xfId="22929" xr:uid="{00000000-0005-0000-0000-00008AAC0000}"/>
    <cellStyle name="표준 5 4 6 4 2 5" xfId="27025" xr:uid="{00000000-0005-0000-0000-00008BAC0000}"/>
    <cellStyle name="표준 5 4 6 4 2 6" xfId="35236" xr:uid="{00000000-0005-0000-0000-00008CAC0000}"/>
    <cellStyle name="표준 5 4 6 4 2 7" xfId="43429" xr:uid="{00000000-0005-0000-0000-00008DAC0000}"/>
    <cellStyle name="표준 5 4 6 4 3" xfId="8367" xr:uid="{00000000-0005-0000-0000-00008EAC0000}"/>
    <cellStyle name="표준 5 4 6 4 3 2" xfId="29073" xr:uid="{00000000-0005-0000-0000-00008FAC0000}"/>
    <cellStyle name="표준 5 4 6 4 3 3" xfId="37284" xr:uid="{00000000-0005-0000-0000-000090AC0000}"/>
    <cellStyle name="표준 5 4 6 4 3 4" xfId="45477" xr:uid="{00000000-0005-0000-0000-000091AC0000}"/>
    <cellStyle name="표준 5 4 6 4 4" xfId="12479" xr:uid="{00000000-0005-0000-0000-000092AC0000}"/>
    <cellStyle name="표준 5 4 6 4 5" xfId="16719" xr:uid="{00000000-0005-0000-0000-000093AC0000}"/>
    <cellStyle name="표준 5 4 6 4 6" xfId="20881" xr:uid="{00000000-0005-0000-0000-000094AC0000}"/>
    <cellStyle name="표준 5 4 6 4 7" xfId="24977" xr:uid="{00000000-0005-0000-0000-000095AC0000}"/>
    <cellStyle name="표준 5 4 6 4 8" xfId="33188" xr:uid="{00000000-0005-0000-0000-000096AC0000}"/>
    <cellStyle name="표준 5 4 6 4 9" xfId="41381" xr:uid="{00000000-0005-0000-0000-000097AC0000}"/>
    <cellStyle name="표준 5 4 6 5" xfId="2024" xr:uid="{00000000-0005-0000-0000-000098AC0000}"/>
    <cellStyle name="표준 5 4 6 5 2" xfId="10927" xr:uid="{00000000-0005-0000-0000-000099AC0000}"/>
    <cellStyle name="표준 5 4 6 5 2 2" xfId="15039" xr:uid="{00000000-0005-0000-0000-00009AAC0000}"/>
    <cellStyle name="표준 5 4 6 5 2 2 2" xfId="31633" xr:uid="{00000000-0005-0000-0000-00009BAC0000}"/>
    <cellStyle name="표준 5 4 6 5 2 2 3" xfId="39844" xr:uid="{00000000-0005-0000-0000-00009CAC0000}"/>
    <cellStyle name="표준 5 4 6 5 2 2 4" xfId="48037" xr:uid="{00000000-0005-0000-0000-00009DAC0000}"/>
    <cellStyle name="표준 5 4 6 5 2 3" xfId="19279" xr:uid="{00000000-0005-0000-0000-00009EAC0000}"/>
    <cellStyle name="표준 5 4 6 5 2 4" xfId="23441" xr:uid="{00000000-0005-0000-0000-00009FAC0000}"/>
    <cellStyle name="표준 5 4 6 5 2 5" xfId="27537" xr:uid="{00000000-0005-0000-0000-0000A0AC0000}"/>
    <cellStyle name="표준 5 4 6 5 2 6" xfId="35748" xr:uid="{00000000-0005-0000-0000-0000A1AC0000}"/>
    <cellStyle name="표준 5 4 6 5 2 7" xfId="43941" xr:uid="{00000000-0005-0000-0000-0000A2AC0000}"/>
    <cellStyle name="표준 5 4 6 5 3" xfId="8879" xr:uid="{00000000-0005-0000-0000-0000A3AC0000}"/>
    <cellStyle name="표준 5 4 6 5 3 2" xfId="29585" xr:uid="{00000000-0005-0000-0000-0000A4AC0000}"/>
    <cellStyle name="표준 5 4 6 5 3 3" xfId="37796" xr:uid="{00000000-0005-0000-0000-0000A5AC0000}"/>
    <cellStyle name="표준 5 4 6 5 3 4" xfId="45989" xr:uid="{00000000-0005-0000-0000-0000A6AC0000}"/>
    <cellStyle name="표준 5 4 6 5 4" xfId="12991" xr:uid="{00000000-0005-0000-0000-0000A7AC0000}"/>
    <cellStyle name="표준 5 4 6 5 5" xfId="17231" xr:uid="{00000000-0005-0000-0000-0000A8AC0000}"/>
    <cellStyle name="표준 5 4 6 5 6" xfId="21393" xr:uid="{00000000-0005-0000-0000-0000A9AC0000}"/>
    <cellStyle name="표준 5 4 6 5 7" xfId="25489" xr:uid="{00000000-0005-0000-0000-0000AAAC0000}"/>
    <cellStyle name="표준 5 4 6 5 8" xfId="33700" xr:uid="{00000000-0005-0000-0000-0000ABAC0000}"/>
    <cellStyle name="표준 5 4 6 5 9" xfId="41893" xr:uid="{00000000-0005-0000-0000-0000ACAC0000}"/>
    <cellStyle name="표준 5 4 6 6" xfId="9391" xr:uid="{00000000-0005-0000-0000-0000ADAC0000}"/>
    <cellStyle name="표준 5 4 6 6 2" xfId="13503" xr:uid="{00000000-0005-0000-0000-0000AEAC0000}"/>
    <cellStyle name="표준 5 4 6 6 2 2" xfId="30097" xr:uid="{00000000-0005-0000-0000-0000AFAC0000}"/>
    <cellStyle name="표준 5 4 6 6 2 3" xfId="38308" xr:uid="{00000000-0005-0000-0000-0000B0AC0000}"/>
    <cellStyle name="표준 5 4 6 6 2 4" xfId="46501" xr:uid="{00000000-0005-0000-0000-0000B1AC0000}"/>
    <cellStyle name="표준 5 4 6 6 3" xfId="17743" xr:uid="{00000000-0005-0000-0000-0000B2AC0000}"/>
    <cellStyle name="표준 5 4 6 6 4" xfId="21905" xr:uid="{00000000-0005-0000-0000-0000B3AC0000}"/>
    <cellStyle name="표준 5 4 6 6 5" xfId="26001" xr:uid="{00000000-0005-0000-0000-0000B4AC0000}"/>
    <cellStyle name="표준 5 4 6 6 6" xfId="34212" xr:uid="{00000000-0005-0000-0000-0000B5AC0000}"/>
    <cellStyle name="표준 5 4 6 6 7" xfId="42405" xr:uid="{00000000-0005-0000-0000-0000B6AC0000}"/>
    <cellStyle name="표준 5 4 6 7" xfId="7343" xr:uid="{00000000-0005-0000-0000-0000B7AC0000}"/>
    <cellStyle name="표준 5 4 6 7 2" xfId="28049" xr:uid="{00000000-0005-0000-0000-0000B8AC0000}"/>
    <cellStyle name="표준 5 4 6 7 3" xfId="36260" xr:uid="{00000000-0005-0000-0000-0000B9AC0000}"/>
    <cellStyle name="표준 5 4 6 7 4" xfId="44453" xr:uid="{00000000-0005-0000-0000-0000BAAC0000}"/>
    <cellStyle name="표준 5 4 6 8" xfId="11455" xr:uid="{00000000-0005-0000-0000-0000BBAC0000}"/>
    <cellStyle name="표준 5 4 6 9" xfId="15695" xr:uid="{00000000-0005-0000-0000-0000BCAC0000}"/>
    <cellStyle name="표준 5 4 7" xfId="616" xr:uid="{00000000-0005-0000-0000-0000BDAC0000}"/>
    <cellStyle name="표준 5 4 7 10" xfId="24081" xr:uid="{00000000-0005-0000-0000-0000BEAC0000}"/>
    <cellStyle name="표준 5 4 7 11" xfId="32292" xr:uid="{00000000-0005-0000-0000-0000BFAC0000}"/>
    <cellStyle name="표준 5 4 7 12" xfId="40485" xr:uid="{00000000-0005-0000-0000-0000C0AC0000}"/>
    <cellStyle name="표준 5 4 7 2" xfId="1128" xr:uid="{00000000-0005-0000-0000-0000C1AC0000}"/>
    <cellStyle name="표준 5 4 7 2 2" xfId="10031" xr:uid="{00000000-0005-0000-0000-0000C2AC0000}"/>
    <cellStyle name="표준 5 4 7 2 2 2" xfId="14143" xr:uid="{00000000-0005-0000-0000-0000C3AC0000}"/>
    <cellStyle name="표준 5 4 7 2 2 2 2" xfId="30737" xr:uid="{00000000-0005-0000-0000-0000C4AC0000}"/>
    <cellStyle name="표준 5 4 7 2 2 2 3" xfId="38948" xr:uid="{00000000-0005-0000-0000-0000C5AC0000}"/>
    <cellStyle name="표준 5 4 7 2 2 2 4" xfId="47141" xr:uid="{00000000-0005-0000-0000-0000C6AC0000}"/>
    <cellStyle name="표준 5 4 7 2 2 3" xfId="18383" xr:uid="{00000000-0005-0000-0000-0000C7AC0000}"/>
    <cellStyle name="표준 5 4 7 2 2 4" xfId="22545" xr:uid="{00000000-0005-0000-0000-0000C8AC0000}"/>
    <cellStyle name="표준 5 4 7 2 2 5" xfId="26641" xr:uid="{00000000-0005-0000-0000-0000C9AC0000}"/>
    <cellStyle name="표준 5 4 7 2 2 6" xfId="34852" xr:uid="{00000000-0005-0000-0000-0000CAAC0000}"/>
    <cellStyle name="표준 5 4 7 2 2 7" xfId="43045" xr:uid="{00000000-0005-0000-0000-0000CBAC0000}"/>
    <cellStyle name="표준 5 4 7 2 3" xfId="7983" xr:uid="{00000000-0005-0000-0000-0000CCAC0000}"/>
    <cellStyle name="표준 5 4 7 2 3 2" xfId="28689" xr:uid="{00000000-0005-0000-0000-0000CDAC0000}"/>
    <cellStyle name="표준 5 4 7 2 3 3" xfId="36900" xr:uid="{00000000-0005-0000-0000-0000CEAC0000}"/>
    <cellStyle name="표준 5 4 7 2 3 4" xfId="45093" xr:uid="{00000000-0005-0000-0000-0000CFAC0000}"/>
    <cellStyle name="표준 5 4 7 2 4" xfId="12095" xr:uid="{00000000-0005-0000-0000-0000D0AC0000}"/>
    <cellStyle name="표준 5 4 7 2 5" xfId="16335" xr:uid="{00000000-0005-0000-0000-0000D1AC0000}"/>
    <cellStyle name="표준 5 4 7 2 6" xfId="20497" xr:uid="{00000000-0005-0000-0000-0000D2AC0000}"/>
    <cellStyle name="표준 5 4 7 2 7" xfId="24593" xr:uid="{00000000-0005-0000-0000-0000D3AC0000}"/>
    <cellStyle name="표준 5 4 7 2 8" xfId="32804" xr:uid="{00000000-0005-0000-0000-0000D4AC0000}"/>
    <cellStyle name="표준 5 4 7 2 9" xfId="40997" xr:uid="{00000000-0005-0000-0000-0000D5AC0000}"/>
    <cellStyle name="표준 5 4 7 3" xfId="1640" xr:uid="{00000000-0005-0000-0000-0000D6AC0000}"/>
    <cellStyle name="표준 5 4 7 3 2" xfId="10543" xr:uid="{00000000-0005-0000-0000-0000D7AC0000}"/>
    <cellStyle name="표준 5 4 7 3 2 2" xfId="14655" xr:uid="{00000000-0005-0000-0000-0000D8AC0000}"/>
    <cellStyle name="표준 5 4 7 3 2 2 2" xfId="31249" xr:uid="{00000000-0005-0000-0000-0000D9AC0000}"/>
    <cellStyle name="표준 5 4 7 3 2 2 3" xfId="39460" xr:uid="{00000000-0005-0000-0000-0000DAAC0000}"/>
    <cellStyle name="표준 5 4 7 3 2 2 4" xfId="47653" xr:uid="{00000000-0005-0000-0000-0000DBAC0000}"/>
    <cellStyle name="표준 5 4 7 3 2 3" xfId="18895" xr:uid="{00000000-0005-0000-0000-0000DCAC0000}"/>
    <cellStyle name="표준 5 4 7 3 2 4" xfId="23057" xr:uid="{00000000-0005-0000-0000-0000DDAC0000}"/>
    <cellStyle name="표준 5 4 7 3 2 5" xfId="27153" xr:uid="{00000000-0005-0000-0000-0000DEAC0000}"/>
    <cellStyle name="표준 5 4 7 3 2 6" xfId="35364" xr:uid="{00000000-0005-0000-0000-0000DFAC0000}"/>
    <cellStyle name="표준 5 4 7 3 2 7" xfId="43557" xr:uid="{00000000-0005-0000-0000-0000E0AC0000}"/>
    <cellStyle name="표준 5 4 7 3 3" xfId="8495" xr:uid="{00000000-0005-0000-0000-0000E1AC0000}"/>
    <cellStyle name="표준 5 4 7 3 3 2" xfId="29201" xr:uid="{00000000-0005-0000-0000-0000E2AC0000}"/>
    <cellStyle name="표준 5 4 7 3 3 3" xfId="37412" xr:uid="{00000000-0005-0000-0000-0000E3AC0000}"/>
    <cellStyle name="표준 5 4 7 3 3 4" xfId="45605" xr:uid="{00000000-0005-0000-0000-0000E4AC0000}"/>
    <cellStyle name="표준 5 4 7 3 4" xfId="12607" xr:uid="{00000000-0005-0000-0000-0000E5AC0000}"/>
    <cellStyle name="표준 5 4 7 3 5" xfId="16847" xr:uid="{00000000-0005-0000-0000-0000E6AC0000}"/>
    <cellStyle name="표준 5 4 7 3 6" xfId="21009" xr:uid="{00000000-0005-0000-0000-0000E7AC0000}"/>
    <cellStyle name="표준 5 4 7 3 7" xfId="25105" xr:uid="{00000000-0005-0000-0000-0000E8AC0000}"/>
    <cellStyle name="표준 5 4 7 3 8" xfId="33316" xr:uid="{00000000-0005-0000-0000-0000E9AC0000}"/>
    <cellStyle name="표준 5 4 7 3 9" xfId="41509" xr:uid="{00000000-0005-0000-0000-0000EAAC0000}"/>
    <cellStyle name="표준 5 4 7 4" xfId="2152" xr:uid="{00000000-0005-0000-0000-0000EBAC0000}"/>
    <cellStyle name="표준 5 4 7 4 2" xfId="11055" xr:uid="{00000000-0005-0000-0000-0000ECAC0000}"/>
    <cellStyle name="표준 5 4 7 4 2 2" xfId="15167" xr:uid="{00000000-0005-0000-0000-0000EDAC0000}"/>
    <cellStyle name="표준 5 4 7 4 2 2 2" xfId="31761" xr:uid="{00000000-0005-0000-0000-0000EEAC0000}"/>
    <cellStyle name="표준 5 4 7 4 2 2 3" xfId="39972" xr:uid="{00000000-0005-0000-0000-0000EFAC0000}"/>
    <cellStyle name="표준 5 4 7 4 2 2 4" xfId="48165" xr:uid="{00000000-0005-0000-0000-0000F0AC0000}"/>
    <cellStyle name="표준 5 4 7 4 2 3" xfId="19407" xr:uid="{00000000-0005-0000-0000-0000F1AC0000}"/>
    <cellStyle name="표준 5 4 7 4 2 4" xfId="23569" xr:uid="{00000000-0005-0000-0000-0000F2AC0000}"/>
    <cellStyle name="표준 5 4 7 4 2 5" xfId="27665" xr:uid="{00000000-0005-0000-0000-0000F3AC0000}"/>
    <cellStyle name="표준 5 4 7 4 2 6" xfId="35876" xr:uid="{00000000-0005-0000-0000-0000F4AC0000}"/>
    <cellStyle name="표준 5 4 7 4 2 7" xfId="44069" xr:uid="{00000000-0005-0000-0000-0000F5AC0000}"/>
    <cellStyle name="표준 5 4 7 4 3" xfId="9007" xr:uid="{00000000-0005-0000-0000-0000F6AC0000}"/>
    <cellStyle name="표준 5 4 7 4 3 2" xfId="29713" xr:uid="{00000000-0005-0000-0000-0000F7AC0000}"/>
    <cellStyle name="표준 5 4 7 4 3 3" xfId="37924" xr:uid="{00000000-0005-0000-0000-0000F8AC0000}"/>
    <cellStyle name="표준 5 4 7 4 3 4" xfId="46117" xr:uid="{00000000-0005-0000-0000-0000F9AC0000}"/>
    <cellStyle name="표준 5 4 7 4 4" xfId="13119" xr:uid="{00000000-0005-0000-0000-0000FAAC0000}"/>
    <cellStyle name="표준 5 4 7 4 5" xfId="17359" xr:uid="{00000000-0005-0000-0000-0000FBAC0000}"/>
    <cellStyle name="표준 5 4 7 4 6" xfId="21521" xr:uid="{00000000-0005-0000-0000-0000FCAC0000}"/>
    <cellStyle name="표준 5 4 7 4 7" xfId="25617" xr:uid="{00000000-0005-0000-0000-0000FDAC0000}"/>
    <cellStyle name="표준 5 4 7 4 8" xfId="33828" xr:uid="{00000000-0005-0000-0000-0000FEAC0000}"/>
    <cellStyle name="표준 5 4 7 4 9" xfId="42021" xr:uid="{00000000-0005-0000-0000-0000FFAC0000}"/>
    <cellStyle name="표준 5 4 7 5" xfId="9519" xr:uid="{00000000-0005-0000-0000-000000AD0000}"/>
    <cellStyle name="표준 5 4 7 5 2" xfId="13631" xr:uid="{00000000-0005-0000-0000-000001AD0000}"/>
    <cellStyle name="표준 5 4 7 5 2 2" xfId="30225" xr:uid="{00000000-0005-0000-0000-000002AD0000}"/>
    <cellStyle name="표준 5 4 7 5 2 3" xfId="38436" xr:uid="{00000000-0005-0000-0000-000003AD0000}"/>
    <cellStyle name="표준 5 4 7 5 2 4" xfId="46629" xr:uid="{00000000-0005-0000-0000-000004AD0000}"/>
    <cellStyle name="표준 5 4 7 5 3" xfId="17871" xr:uid="{00000000-0005-0000-0000-000005AD0000}"/>
    <cellStyle name="표준 5 4 7 5 4" xfId="22033" xr:uid="{00000000-0005-0000-0000-000006AD0000}"/>
    <cellStyle name="표준 5 4 7 5 5" xfId="26129" xr:uid="{00000000-0005-0000-0000-000007AD0000}"/>
    <cellStyle name="표준 5 4 7 5 6" xfId="34340" xr:uid="{00000000-0005-0000-0000-000008AD0000}"/>
    <cellStyle name="표준 5 4 7 5 7" xfId="42533" xr:uid="{00000000-0005-0000-0000-000009AD0000}"/>
    <cellStyle name="표준 5 4 7 6" xfId="7471" xr:uid="{00000000-0005-0000-0000-00000AAD0000}"/>
    <cellStyle name="표준 5 4 7 6 2" xfId="28177" xr:uid="{00000000-0005-0000-0000-00000BAD0000}"/>
    <cellStyle name="표준 5 4 7 6 3" xfId="36388" xr:uid="{00000000-0005-0000-0000-00000CAD0000}"/>
    <cellStyle name="표준 5 4 7 6 4" xfId="44581" xr:uid="{00000000-0005-0000-0000-00000DAD0000}"/>
    <cellStyle name="표준 5 4 7 7" xfId="11583" xr:uid="{00000000-0005-0000-0000-00000EAD0000}"/>
    <cellStyle name="표준 5 4 7 8" xfId="15823" xr:uid="{00000000-0005-0000-0000-00000FAD0000}"/>
    <cellStyle name="표준 5 4 7 9" xfId="19985" xr:uid="{00000000-0005-0000-0000-000010AD0000}"/>
    <cellStyle name="표준 5 4 8" xfId="872" xr:uid="{00000000-0005-0000-0000-000011AD0000}"/>
    <cellStyle name="표준 5 4 8 2" xfId="9775" xr:uid="{00000000-0005-0000-0000-000012AD0000}"/>
    <cellStyle name="표준 5 4 8 2 2" xfId="13887" xr:uid="{00000000-0005-0000-0000-000013AD0000}"/>
    <cellStyle name="표준 5 4 8 2 2 2" xfId="30481" xr:uid="{00000000-0005-0000-0000-000014AD0000}"/>
    <cellStyle name="표준 5 4 8 2 2 3" xfId="38692" xr:uid="{00000000-0005-0000-0000-000015AD0000}"/>
    <cellStyle name="표준 5 4 8 2 2 4" xfId="46885" xr:uid="{00000000-0005-0000-0000-000016AD0000}"/>
    <cellStyle name="표준 5 4 8 2 3" xfId="18127" xr:uid="{00000000-0005-0000-0000-000017AD0000}"/>
    <cellStyle name="표준 5 4 8 2 4" xfId="22289" xr:uid="{00000000-0005-0000-0000-000018AD0000}"/>
    <cellStyle name="표준 5 4 8 2 5" xfId="26385" xr:uid="{00000000-0005-0000-0000-000019AD0000}"/>
    <cellStyle name="표준 5 4 8 2 6" xfId="34596" xr:uid="{00000000-0005-0000-0000-00001AAD0000}"/>
    <cellStyle name="표준 5 4 8 2 7" xfId="42789" xr:uid="{00000000-0005-0000-0000-00001BAD0000}"/>
    <cellStyle name="표준 5 4 8 3" xfId="7727" xr:uid="{00000000-0005-0000-0000-00001CAD0000}"/>
    <cellStyle name="표준 5 4 8 3 2" xfId="28433" xr:uid="{00000000-0005-0000-0000-00001DAD0000}"/>
    <cellStyle name="표준 5 4 8 3 3" xfId="36644" xr:uid="{00000000-0005-0000-0000-00001EAD0000}"/>
    <cellStyle name="표준 5 4 8 3 4" xfId="44837" xr:uid="{00000000-0005-0000-0000-00001FAD0000}"/>
    <cellStyle name="표준 5 4 8 4" xfId="11839" xr:uid="{00000000-0005-0000-0000-000020AD0000}"/>
    <cellStyle name="표준 5 4 8 5" xfId="16079" xr:uid="{00000000-0005-0000-0000-000021AD0000}"/>
    <cellStyle name="표준 5 4 8 6" xfId="20241" xr:uid="{00000000-0005-0000-0000-000022AD0000}"/>
    <cellStyle name="표준 5 4 8 7" xfId="24337" xr:uid="{00000000-0005-0000-0000-000023AD0000}"/>
    <cellStyle name="표준 5 4 8 8" xfId="32548" xr:uid="{00000000-0005-0000-0000-000024AD0000}"/>
    <cellStyle name="표준 5 4 8 9" xfId="40741" xr:uid="{00000000-0005-0000-0000-000025AD0000}"/>
    <cellStyle name="표준 5 4 9" xfId="1384" xr:uid="{00000000-0005-0000-0000-000026AD0000}"/>
    <cellStyle name="표준 5 4 9 2" xfId="10287" xr:uid="{00000000-0005-0000-0000-000027AD0000}"/>
    <cellStyle name="표준 5 4 9 2 2" xfId="14399" xr:uid="{00000000-0005-0000-0000-000028AD0000}"/>
    <cellStyle name="표준 5 4 9 2 2 2" xfId="30993" xr:uid="{00000000-0005-0000-0000-000029AD0000}"/>
    <cellStyle name="표준 5 4 9 2 2 3" xfId="39204" xr:uid="{00000000-0005-0000-0000-00002AAD0000}"/>
    <cellStyle name="표준 5 4 9 2 2 4" xfId="47397" xr:uid="{00000000-0005-0000-0000-00002BAD0000}"/>
    <cellStyle name="표준 5 4 9 2 3" xfId="18639" xr:uid="{00000000-0005-0000-0000-00002CAD0000}"/>
    <cellStyle name="표준 5 4 9 2 4" xfId="22801" xr:uid="{00000000-0005-0000-0000-00002DAD0000}"/>
    <cellStyle name="표준 5 4 9 2 5" xfId="26897" xr:uid="{00000000-0005-0000-0000-00002EAD0000}"/>
    <cellStyle name="표준 5 4 9 2 6" xfId="35108" xr:uid="{00000000-0005-0000-0000-00002FAD0000}"/>
    <cellStyle name="표준 5 4 9 2 7" xfId="43301" xr:uid="{00000000-0005-0000-0000-000030AD0000}"/>
    <cellStyle name="표준 5 4 9 3" xfId="8239" xr:uid="{00000000-0005-0000-0000-000031AD0000}"/>
    <cellStyle name="표준 5 4 9 3 2" xfId="28945" xr:uid="{00000000-0005-0000-0000-000032AD0000}"/>
    <cellStyle name="표준 5 4 9 3 3" xfId="37156" xr:uid="{00000000-0005-0000-0000-000033AD0000}"/>
    <cellStyle name="표준 5 4 9 3 4" xfId="45349" xr:uid="{00000000-0005-0000-0000-000034AD0000}"/>
    <cellStyle name="표준 5 4 9 4" xfId="12351" xr:uid="{00000000-0005-0000-0000-000035AD0000}"/>
    <cellStyle name="표준 5 4 9 5" xfId="16591" xr:uid="{00000000-0005-0000-0000-000036AD0000}"/>
    <cellStyle name="표준 5 4 9 6" xfId="20753" xr:uid="{00000000-0005-0000-0000-000037AD0000}"/>
    <cellStyle name="표준 5 4 9 7" xfId="24849" xr:uid="{00000000-0005-0000-0000-000038AD0000}"/>
    <cellStyle name="표준 5 4 9 8" xfId="33060" xr:uid="{00000000-0005-0000-0000-000039AD0000}"/>
    <cellStyle name="표준 5 4 9 9" xfId="41253" xr:uid="{00000000-0005-0000-0000-00003AAD0000}"/>
    <cellStyle name="표준 5 5" xfId="63" xr:uid="{00000000-0005-0000-0000-00003BAD0000}"/>
    <cellStyle name="표준 5 5 10" xfId="4340" xr:uid="{00000000-0005-0000-0000-00003CAD0000}"/>
    <cellStyle name="표준 5 5 10 2" xfId="9267" xr:uid="{00000000-0005-0000-0000-00003DAD0000}"/>
    <cellStyle name="표준 5 5 10 2 2" xfId="29973" xr:uid="{00000000-0005-0000-0000-00003EAD0000}"/>
    <cellStyle name="표준 5 5 10 2 3" xfId="38184" xr:uid="{00000000-0005-0000-0000-00003FAD0000}"/>
    <cellStyle name="표준 5 5 10 2 4" xfId="46377" xr:uid="{00000000-0005-0000-0000-000040AD0000}"/>
    <cellStyle name="표준 5 5 10 3" xfId="13379" xr:uid="{00000000-0005-0000-0000-000041AD0000}"/>
    <cellStyle name="표준 5 5 10 4" xfId="17619" xr:uid="{00000000-0005-0000-0000-000042AD0000}"/>
    <cellStyle name="표준 5 5 10 5" xfId="21781" xr:uid="{00000000-0005-0000-0000-000043AD0000}"/>
    <cellStyle name="표준 5 5 10 6" xfId="25877" xr:uid="{00000000-0005-0000-0000-000044AD0000}"/>
    <cellStyle name="표준 5 5 10 7" xfId="34088" xr:uid="{00000000-0005-0000-0000-000045AD0000}"/>
    <cellStyle name="표준 5 5 10 8" xfId="42281" xr:uid="{00000000-0005-0000-0000-000046AD0000}"/>
    <cellStyle name="표준 5 5 11" xfId="4397" xr:uid="{00000000-0005-0000-0000-000047AD0000}"/>
    <cellStyle name="표준 5 5 11 2" xfId="27925" xr:uid="{00000000-0005-0000-0000-000048AD0000}"/>
    <cellStyle name="표준 5 5 11 3" xfId="36136" xr:uid="{00000000-0005-0000-0000-000049AD0000}"/>
    <cellStyle name="표준 5 5 11 4" xfId="44329" xr:uid="{00000000-0005-0000-0000-00004AAD0000}"/>
    <cellStyle name="표준 5 5 12" xfId="6954" xr:uid="{00000000-0005-0000-0000-00004BAD0000}"/>
    <cellStyle name="표준 5 5 13" xfId="7072" xr:uid="{00000000-0005-0000-0000-00004CAD0000}"/>
    <cellStyle name="표준 5 5 14" xfId="7088" xr:uid="{00000000-0005-0000-0000-00004DAD0000}"/>
    <cellStyle name="표준 5 5 15" xfId="7104" xr:uid="{00000000-0005-0000-0000-00004EAD0000}"/>
    <cellStyle name="표준 5 5 16" xfId="7202" xr:uid="{00000000-0005-0000-0000-00004FAD0000}"/>
    <cellStyle name="표준 5 5 17" xfId="7219" xr:uid="{00000000-0005-0000-0000-000050AD0000}"/>
    <cellStyle name="표준 5 5 18" xfId="11315" xr:uid="{00000000-0005-0000-0000-000051AD0000}"/>
    <cellStyle name="표준 5 5 19" xfId="11331" xr:uid="{00000000-0005-0000-0000-000052AD0000}"/>
    <cellStyle name="표준 5 5 2" xfId="157" xr:uid="{00000000-0005-0000-0000-000053AD0000}"/>
    <cellStyle name="표준 5 5 2 10" xfId="7186" xr:uid="{00000000-0005-0000-0000-000054AD0000}"/>
    <cellStyle name="표준 5 5 2 10 2" xfId="27941" xr:uid="{00000000-0005-0000-0000-000055AD0000}"/>
    <cellStyle name="표준 5 5 2 10 3" xfId="36152" xr:uid="{00000000-0005-0000-0000-000056AD0000}"/>
    <cellStyle name="표준 5 5 2 10 4" xfId="44345" xr:uid="{00000000-0005-0000-0000-000057AD0000}"/>
    <cellStyle name="표준 5 5 2 11" xfId="7235" xr:uid="{00000000-0005-0000-0000-000058AD0000}"/>
    <cellStyle name="표준 5 5 2 12" xfId="11347" xr:uid="{00000000-0005-0000-0000-000059AD0000}"/>
    <cellStyle name="표준 5 5 2 13" xfId="15475" xr:uid="{00000000-0005-0000-0000-00005AAD0000}"/>
    <cellStyle name="표준 5 5 2 14" xfId="15587" xr:uid="{00000000-0005-0000-0000-00005BAD0000}"/>
    <cellStyle name="표준 5 5 2 15" xfId="19749" xr:uid="{00000000-0005-0000-0000-00005CAD0000}"/>
    <cellStyle name="표준 5 5 2 16" xfId="23845" xr:uid="{00000000-0005-0000-0000-00005DAD0000}"/>
    <cellStyle name="표준 5 5 2 17" xfId="32056" xr:uid="{00000000-0005-0000-0000-00005EAD0000}"/>
    <cellStyle name="표준 5 5 2 18" xfId="40249" xr:uid="{00000000-0005-0000-0000-00005FAD0000}"/>
    <cellStyle name="표준 5 5 2 19" xfId="49644" xr:uid="{00000000-0005-0000-0000-000060AD0000}"/>
    <cellStyle name="표준 5 5 2 2" xfId="412" xr:uid="{00000000-0005-0000-0000-000061AD0000}"/>
    <cellStyle name="표준 5 5 2 2 10" xfId="7267" xr:uid="{00000000-0005-0000-0000-000062AD0000}"/>
    <cellStyle name="표준 5 5 2 2 11" xfId="11379" xr:uid="{00000000-0005-0000-0000-000063AD0000}"/>
    <cellStyle name="표준 5 5 2 2 12" xfId="15523" xr:uid="{00000000-0005-0000-0000-000064AD0000}"/>
    <cellStyle name="표준 5 5 2 2 13" xfId="15619" xr:uid="{00000000-0005-0000-0000-000065AD0000}"/>
    <cellStyle name="표준 5 5 2 2 14" xfId="19781" xr:uid="{00000000-0005-0000-0000-000066AD0000}"/>
    <cellStyle name="표준 5 5 2 2 15" xfId="23877" xr:uid="{00000000-0005-0000-0000-000067AD0000}"/>
    <cellStyle name="표준 5 5 2 2 16" xfId="32088" xr:uid="{00000000-0005-0000-0000-000068AD0000}"/>
    <cellStyle name="표준 5 5 2 2 17" xfId="40281" xr:uid="{00000000-0005-0000-0000-000069AD0000}"/>
    <cellStyle name="표준 5 5 2 2 18" xfId="49710" xr:uid="{00000000-0005-0000-0000-00006AAD0000}"/>
    <cellStyle name="표준 5 5 2 2 2" xfId="476" xr:uid="{00000000-0005-0000-0000-00006BAD0000}"/>
    <cellStyle name="표준 5 5 2 2 2 10" xfId="15683" xr:uid="{00000000-0005-0000-0000-00006CAD0000}"/>
    <cellStyle name="표준 5 5 2 2 2 11" xfId="19845" xr:uid="{00000000-0005-0000-0000-00006DAD0000}"/>
    <cellStyle name="표준 5 5 2 2 2 12" xfId="23941" xr:uid="{00000000-0005-0000-0000-00006EAD0000}"/>
    <cellStyle name="표준 5 5 2 2 2 13" xfId="32152" xr:uid="{00000000-0005-0000-0000-00006FAD0000}"/>
    <cellStyle name="표준 5 5 2 2 2 14" xfId="40345" xr:uid="{00000000-0005-0000-0000-000070AD0000}"/>
    <cellStyle name="표준 5 5 2 2 2 2" xfId="604" xr:uid="{00000000-0005-0000-0000-000071AD0000}"/>
    <cellStyle name="표준 5 5 2 2 2 2 10" xfId="19973" xr:uid="{00000000-0005-0000-0000-000072AD0000}"/>
    <cellStyle name="표준 5 5 2 2 2 2 11" xfId="24069" xr:uid="{00000000-0005-0000-0000-000073AD0000}"/>
    <cellStyle name="표준 5 5 2 2 2 2 12" xfId="32280" xr:uid="{00000000-0005-0000-0000-000074AD0000}"/>
    <cellStyle name="표준 5 5 2 2 2 2 13" xfId="40473" xr:uid="{00000000-0005-0000-0000-000075AD0000}"/>
    <cellStyle name="표준 5 5 2 2 2 2 2" xfId="860" xr:uid="{00000000-0005-0000-0000-000076AD0000}"/>
    <cellStyle name="표준 5 5 2 2 2 2 2 10" xfId="24325" xr:uid="{00000000-0005-0000-0000-000077AD0000}"/>
    <cellStyle name="표준 5 5 2 2 2 2 2 11" xfId="32536" xr:uid="{00000000-0005-0000-0000-000078AD0000}"/>
    <cellStyle name="표준 5 5 2 2 2 2 2 12" xfId="40729" xr:uid="{00000000-0005-0000-0000-000079AD0000}"/>
    <cellStyle name="표준 5 5 2 2 2 2 2 2" xfId="1372" xr:uid="{00000000-0005-0000-0000-00007AAD0000}"/>
    <cellStyle name="표준 5 5 2 2 2 2 2 2 2" xfId="10275" xr:uid="{00000000-0005-0000-0000-00007BAD0000}"/>
    <cellStyle name="표준 5 5 2 2 2 2 2 2 2 2" xfId="14387" xr:uid="{00000000-0005-0000-0000-00007CAD0000}"/>
    <cellStyle name="표준 5 5 2 2 2 2 2 2 2 2 2" xfId="30981" xr:uid="{00000000-0005-0000-0000-00007DAD0000}"/>
    <cellStyle name="표준 5 5 2 2 2 2 2 2 2 2 3" xfId="39192" xr:uid="{00000000-0005-0000-0000-00007EAD0000}"/>
    <cellStyle name="표준 5 5 2 2 2 2 2 2 2 2 4" xfId="47385" xr:uid="{00000000-0005-0000-0000-00007FAD0000}"/>
    <cellStyle name="표준 5 5 2 2 2 2 2 2 2 3" xfId="18627" xr:uid="{00000000-0005-0000-0000-000080AD0000}"/>
    <cellStyle name="표준 5 5 2 2 2 2 2 2 2 4" xfId="22789" xr:uid="{00000000-0005-0000-0000-000081AD0000}"/>
    <cellStyle name="표준 5 5 2 2 2 2 2 2 2 5" xfId="26885" xr:uid="{00000000-0005-0000-0000-000082AD0000}"/>
    <cellStyle name="표준 5 5 2 2 2 2 2 2 2 6" xfId="35096" xr:uid="{00000000-0005-0000-0000-000083AD0000}"/>
    <cellStyle name="표준 5 5 2 2 2 2 2 2 2 7" xfId="43289" xr:uid="{00000000-0005-0000-0000-000084AD0000}"/>
    <cellStyle name="표준 5 5 2 2 2 2 2 2 3" xfId="8227" xr:uid="{00000000-0005-0000-0000-000085AD0000}"/>
    <cellStyle name="표준 5 5 2 2 2 2 2 2 3 2" xfId="28933" xr:uid="{00000000-0005-0000-0000-000086AD0000}"/>
    <cellStyle name="표준 5 5 2 2 2 2 2 2 3 3" xfId="37144" xr:uid="{00000000-0005-0000-0000-000087AD0000}"/>
    <cellStyle name="표준 5 5 2 2 2 2 2 2 3 4" xfId="45337" xr:uid="{00000000-0005-0000-0000-000088AD0000}"/>
    <cellStyle name="표준 5 5 2 2 2 2 2 2 4" xfId="12339" xr:uid="{00000000-0005-0000-0000-000089AD0000}"/>
    <cellStyle name="표준 5 5 2 2 2 2 2 2 5" xfId="16579" xr:uid="{00000000-0005-0000-0000-00008AAD0000}"/>
    <cellStyle name="표준 5 5 2 2 2 2 2 2 6" xfId="20741" xr:uid="{00000000-0005-0000-0000-00008BAD0000}"/>
    <cellStyle name="표준 5 5 2 2 2 2 2 2 7" xfId="24837" xr:uid="{00000000-0005-0000-0000-00008CAD0000}"/>
    <cellStyle name="표준 5 5 2 2 2 2 2 2 8" xfId="33048" xr:uid="{00000000-0005-0000-0000-00008DAD0000}"/>
    <cellStyle name="표준 5 5 2 2 2 2 2 2 9" xfId="41241" xr:uid="{00000000-0005-0000-0000-00008EAD0000}"/>
    <cellStyle name="표준 5 5 2 2 2 2 2 3" xfId="1884" xr:uid="{00000000-0005-0000-0000-00008FAD0000}"/>
    <cellStyle name="표준 5 5 2 2 2 2 2 3 2" xfId="10787" xr:uid="{00000000-0005-0000-0000-000090AD0000}"/>
    <cellStyle name="표준 5 5 2 2 2 2 2 3 2 2" xfId="14899" xr:uid="{00000000-0005-0000-0000-000091AD0000}"/>
    <cellStyle name="표준 5 5 2 2 2 2 2 3 2 2 2" xfId="31493" xr:uid="{00000000-0005-0000-0000-000092AD0000}"/>
    <cellStyle name="표준 5 5 2 2 2 2 2 3 2 2 3" xfId="39704" xr:uid="{00000000-0005-0000-0000-000093AD0000}"/>
    <cellStyle name="표준 5 5 2 2 2 2 2 3 2 2 4" xfId="47897" xr:uid="{00000000-0005-0000-0000-000094AD0000}"/>
    <cellStyle name="표준 5 5 2 2 2 2 2 3 2 3" xfId="19139" xr:uid="{00000000-0005-0000-0000-000095AD0000}"/>
    <cellStyle name="표준 5 5 2 2 2 2 2 3 2 4" xfId="23301" xr:uid="{00000000-0005-0000-0000-000096AD0000}"/>
    <cellStyle name="표준 5 5 2 2 2 2 2 3 2 5" xfId="27397" xr:uid="{00000000-0005-0000-0000-000097AD0000}"/>
    <cellStyle name="표준 5 5 2 2 2 2 2 3 2 6" xfId="35608" xr:uid="{00000000-0005-0000-0000-000098AD0000}"/>
    <cellStyle name="표준 5 5 2 2 2 2 2 3 2 7" xfId="43801" xr:uid="{00000000-0005-0000-0000-000099AD0000}"/>
    <cellStyle name="표준 5 5 2 2 2 2 2 3 3" xfId="8739" xr:uid="{00000000-0005-0000-0000-00009AAD0000}"/>
    <cellStyle name="표준 5 5 2 2 2 2 2 3 3 2" xfId="29445" xr:uid="{00000000-0005-0000-0000-00009BAD0000}"/>
    <cellStyle name="표준 5 5 2 2 2 2 2 3 3 3" xfId="37656" xr:uid="{00000000-0005-0000-0000-00009CAD0000}"/>
    <cellStyle name="표준 5 5 2 2 2 2 2 3 3 4" xfId="45849" xr:uid="{00000000-0005-0000-0000-00009DAD0000}"/>
    <cellStyle name="표준 5 5 2 2 2 2 2 3 4" xfId="12851" xr:uid="{00000000-0005-0000-0000-00009EAD0000}"/>
    <cellStyle name="표준 5 5 2 2 2 2 2 3 5" xfId="17091" xr:uid="{00000000-0005-0000-0000-00009FAD0000}"/>
    <cellStyle name="표준 5 5 2 2 2 2 2 3 6" xfId="21253" xr:uid="{00000000-0005-0000-0000-0000A0AD0000}"/>
    <cellStyle name="표준 5 5 2 2 2 2 2 3 7" xfId="25349" xr:uid="{00000000-0005-0000-0000-0000A1AD0000}"/>
    <cellStyle name="표준 5 5 2 2 2 2 2 3 8" xfId="33560" xr:uid="{00000000-0005-0000-0000-0000A2AD0000}"/>
    <cellStyle name="표준 5 5 2 2 2 2 2 3 9" xfId="41753" xr:uid="{00000000-0005-0000-0000-0000A3AD0000}"/>
    <cellStyle name="표준 5 5 2 2 2 2 2 4" xfId="2396" xr:uid="{00000000-0005-0000-0000-0000A4AD0000}"/>
    <cellStyle name="표준 5 5 2 2 2 2 2 4 2" xfId="11299" xr:uid="{00000000-0005-0000-0000-0000A5AD0000}"/>
    <cellStyle name="표준 5 5 2 2 2 2 2 4 2 2" xfId="15411" xr:uid="{00000000-0005-0000-0000-0000A6AD0000}"/>
    <cellStyle name="표준 5 5 2 2 2 2 2 4 2 2 2" xfId="32005" xr:uid="{00000000-0005-0000-0000-0000A7AD0000}"/>
    <cellStyle name="표준 5 5 2 2 2 2 2 4 2 2 3" xfId="40216" xr:uid="{00000000-0005-0000-0000-0000A8AD0000}"/>
    <cellStyle name="표준 5 5 2 2 2 2 2 4 2 2 4" xfId="48409" xr:uid="{00000000-0005-0000-0000-0000A9AD0000}"/>
    <cellStyle name="표준 5 5 2 2 2 2 2 4 2 3" xfId="19651" xr:uid="{00000000-0005-0000-0000-0000AAAD0000}"/>
    <cellStyle name="표준 5 5 2 2 2 2 2 4 2 4" xfId="23813" xr:uid="{00000000-0005-0000-0000-0000ABAD0000}"/>
    <cellStyle name="표준 5 5 2 2 2 2 2 4 2 5" xfId="27909" xr:uid="{00000000-0005-0000-0000-0000ACAD0000}"/>
    <cellStyle name="표준 5 5 2 2 2 2 2 4 2 6" xfId="36120" xr:uid="{00000000-0005-0000-0000-0000ADAD0000}"/>
    <cellStyle name="표준 5 5 2 2 2 2 2 4 2 7" xfId="44313" xr:uid="{00000000-0005-0000-0000-0000AEAD0000}"/>
    <cellStyle name="표준 5 5 2 2 2 2 2 4 3" xfId="9251" xr:uid="{00000000-0005-0000-0000-0000AFAD0000}"/>
    <cellStyle name="표준 5 5 2 2 2 2 2 4 3 2" xfId="29957" xr:uid="{00000000-0005-0000-0000-0000B0AD0000}"/>
    <cellStyle name="표준 5 5 2 2 2 2 2 4 3 3" xfId="38168" xr:uid="{00000000-0005-0000-0000-0000B1AD0000}"/>
    <cellStyle name="표준 5 5 2 2 2 2 2 4 3 4" xfId="46361" xr:uid="{00000000-0005-0000-0000-0000B2AD0000}"/>
    <cellStyle name="표준 5 5 2 2 2 2 2 4 4" xfId="13363" xr:uid="{00000000-0005-0000-0000-0000B3AD0000}"/>
    <cellStyle name="표준 5 5 2 2 2 2 2 4 5" xfId="17603" xr:uid="{00000000-0005-0000-0000-0000B4AD0000}"/>
    <cellStyle name="표준 5 5 2 2 2 2 2 4 6" xfId="21765" xr:uid="{00000000-0005-0000-0000-0000B5AD0000}"/>
    <cellStyle name="표준 5 5 2 2 2 2 2 4 7" xfId="25861" xr:uid="{00000000-0005-0000-0000-0000B6AD0000}"/>
    <cellStyle name="표준 5 5 2 2 2 2 2 4 8" xfId="34072" xr:uid="{00000000-0005-0000-0000-0000B7AD0000}"/>
    <cellStyle name="표준 5 5 2 2 2 2 2 4 9" xfId="42265" xr:uid="{00000000-0005-0000-0000-0000B8AD0000}"/>
    <cellStyle name="표준 5 5 2 2 2 2 2 5" xfId="9763" xr:uid="{00000000-0005-0000-0000-0000B9AD0000}"/>
    <cellStyle name="표준 5 5 2 2 2 2 2 5 2" xfId="13875" xr:uid="{00000000-0005-0000-0000-0000BAAD0000}"/>
    <cellStyle name="표준 5 5 2 2 2 2 2 5 2 2" xfId="30469" xr:uid="{00000000-0005-0000-0000-0000BBAD0000}"/>
    <cellStyle name="표준 5 5 2 2 2 2 2 5 2 3" xfId="38680" xr:uid="{00000000-0005-0000-0000-0000BCAD0000}"/>
    <cellStyle name="표준 5 5 2 2 2 2 2 5 2 4" xfId="46873" xr:uid="{00000000-0005-0000-0000-0000BDAD0000}"/>
    <cellStyle name="표준 5 5 2 2 2 2 2 5 3" xfId="18115" xr:uid="{00000000-0005-0000-0000-0000BEAD0000}"/>
    <cellStyle name="표준 5 5 2 2 2 2 2 5 4" xfId="22277" xr:uid="{00000000-0005-0000-0000-0000BFAD0000}"/>
    <cellStyle name="표준 5 5 2 2 2 2 2 5 5" xfId="26373" xr:uid="{00000000-0005-0000-0000-0000C0AD0000}"/>
    <cellStyle name="표준 5 5 2 2 2 2 2 5 6" xfId="34584" xr:uid="{00000000-0005-0000-0000-0000C1AD0000}"/>
    <cellStyle name="표준 5 5 2 2 2 2 2 5 7" xfId="42777" xr:uid="{00000000-0005-0000-0000-0000C2AD0000}"/>
    <cellStyle name="표준 5 5 2 2 2 2 2 6" xfId="7715" xr:uid="{00000000-0005-0000-0000-0000C3AD0000}"/>
    <cellStyle name="표준 5 5 2 2 2 2 2 6 2" xfId="28421" xr:uid="{00000000-0005-0000-0000-0000C4AD0000}"/>
    <cellStyle name="표준 5 5 2 2 2 2 2 6 3" xfId="36632" xr:uid="{00000000-0005-0000-0000-0000C5AD0000}"/>
    <cellStyle name="표준 5 5 2 2 2 2 2 6 4" xfId="44825" xr:uid="{00000000-0005-0000-0000-0000C6AD0000}"/>
    <cellStyle name="표준 5 5 2 2 2 2 2 7" xfId="11827" xr:uid="{00000000-0005-0000-0000-0000C7AD0000}"/>
    <cellStyle name="표준 5 5 2 2 2 2 2 8" xfId="16067" xr:uid="{00000000-0005-0000-0000-0000C8AD0000}"/>
    <cellStyle name="표준 5 5 2 2 2 2 2 9" xfId="20229" xr:uid="{00000000-0005-0000-0000-0000C9AD0000}"/>
    <cellStyle name="표준 5 5 2 2 2 2 3" xfId="1116" xr:uid="{00000000-0005-0000-0000-0000CAAD0000}"/>
    <cellStyle name="표준 5 5 2 2 2 2 3 2" xfId="10019" xr:uid="{00000000-0005-0000-0000-0000CBAD0000}"/>
    <cellStyle name="표준 5 5 2 2 2 2 3 2 2" xfId="14131" xr:uid="{00000000-0005-0000-0000-0000CCAD0000}"/>
    <cellStyle name="표준 5 5 2 2 2 2 3 2 2 2" xfId="30725" xr:uid="{00000000-0005-0000-0000-0000CDAD0000}"/>
    <cellStyle name="표준 5 5 2 2 2 2 3 2 2 3" xfId="38936" xr:uid="{00000000-0005-0000-0000-0000CEAD0000}"/>
    <cellStyle name="표준 5 5 2 2 2 2 3 2 2 4" xfId="47129" xr:uid="{00000000-0005-0000-0000-0000CFAD0000}"/>
    <cellStyle name="표준 5 5 2 2 2 2 3 2 3" xfId="18371" xr:uid="{00000000-0005-0000-0000-0000D0AD0000}"/>
    <cellStyle name="표준 5 5 2 2 2 2 3 2 4" xfId="22533" xr:uid="{00000000-0005-0000-0000-0000D1AD0000}"/>
    <cellStyle name="표준 5 5 2 2 2 2 3 2 5" xfId="26629" xr:uid="{00000000-0005-0000-0000-0000D2AD0000}"/>
    <cellStyle name="표준 5 5 2 2 2 2 3 2 6" xfId="34840" xr:uid="{00000000-0005-0000-0000-0000D3AD0000}"/>
    <cellStyle name="표준 5 5 2 2 2 2 3 2 7" xfId="43033" xr:uid="{00000000-0005-0000-0000-0000D4AD0000}"/>
    <cellStyle name="표준 5 5 2 2 2 2 3 3" xfId="7971" xr:uid="{00000000-0005-0000-0000-0000D5AD0000}"/>
    <cellStyle name="표준 5 5 2 2 2 2 3 3 2" xfId="28677" xr:uid="{00000000-0005-0000-0000-0000D6AD0000}"/>
    <cellStyle name="표준 5 5 2 2 2 2 3 3 3" xfId="36888" xr:uid="{00000000-0005-0000-0000-0000D7AD0000}"/>
    <cellStyle name="표준 5 5 2 2 2 2 3 3 4" xfId="45081" xr:uid="{00000000-0005-0000-0000-0000D8AD0000}"/>
    <cellStyle name="표준 5 5 2 2 2 2 3 4" xfId="12083" xr:uid="{00000000-0005-0000-0000-0000D9AD0000}"/>
    <cellStyle name="표준 5 5 2 2 2 2 3 5" xfId="16323" xr:uid="{00000000-0005-0000-0000-0000DAAD0000}"/>
    <cellStyle name="표준 5 5 2 2 2 2 3 6" xfId="20485" xr:uid="{00000000-0005-0000-0000-0000DBAD0000}"/>
    <cellStyle name="표준 5 5 2 2 2 2 3 7" xfId="24581" xr:uid="{00000000-0005-0000-0000-0000DCAD0000}"/>
    <cellStyle name="표준 5 5 2 2 2 2 3 8" xfId="32792" xr:uid="{00000000-0005-0000-0000-0000DDAD0000}"/>
    <cellStyle name="표준 5 5 2 2 2 2 3 9" xfId="40985" xr:uid="{00000000-0005-0000-0000-0000DEAD0000}"/>
    <cellStyle name="표준 5 5 2 2 2 2 4" xfId="1628" xr:uid="{00000000-0005-0000-0000-0000DFAD0000}"/>
    <cellStyle name="표준 5 5 2 2 2 2 4 2" xfId="10531" xr:uid="{00000000-0005-0000-0000-0000E0AD0000}"/>
    <cellStyle name="표준 5 5 2 2 2 2 4 2 2" xfId="14643" xr:uid="{00000000-0005-0000-0000-0000E1AD0000}"/>
    <cellStyle name="표준 5 5 2 2 2 2 4 2 2 2" xfId="31237" xr:uid="{00000000-0005-0000-0000-0000E2AD0000}"/>
    <cellStyle name="표준 5 5 2 2 2 2 4 2 2 3" xfId="39448" xr:uid="{00000000-0005-0000-0000-0000E3AD0000}"/>
    <cellStyle name="표준 5 5 2 2 2 2 4 2 2 4" xfId="47641" xr:uid="{00000000-0005-0000-0000-0000E4AD0000}"/>
    <cellStyle name="표준 5 5 2 2 2 2 4 2 3" xfId="18883" xr:uid="{00000000-0005-0000-0000-0000E5AD0000}"/>
    <cellStyle name="표준 5 5 2 2 2 2 4 2 4" xfId="23045" xr:uid="{00000000-0005-0000-0000-0000E6AD0000}"/>
    <cellStyle name="표준 5 5 2 2 2 2 4 2 5" xfId="27141" xr:uid="{00000000-0005-0000-0000-0000E7AD0000}"/>
    <cellStyle name="표준 5 5 2 2 2 2 4 2 6" xfId="35352" xr:uid="{00000000-0005-0000-0000-0000E8AD0000}"/>
    <cellStyle name="표준 5 5 2 2 2 2 4 2 7" xfId="43545" xr:uid="{00000000-0005-0000-0000-0000E9AD0000}"/>
    <cellStyle name="표준 5 5 2 2 2 2 4 3" xfId="8483" xr:uid="{00000000-0005-0000-0000-0000EAAD0000}"/>
    <cellStyle name="표준 5 5 2 2 2 2 4 3 2" xfId="29189" xr:uid="{00000000-0005-0000-0000-0000EBAD0000}"/>
    <cellStyle name="표준 5 5 2 2 2 2 4 3 3" xfId="37400" xr:uid="{00000000-0005-0000-0000-0000ECAD0000}"/>
    <cellStyle name="표준 5 5 2 2 2 2 4 3 4" xfId="45593" xr:uid="{00000000-0005-0000-0000-0000EDAD0000}"/>
    <cellStyle name="표준 5 5 2 2 2 2 4 4" xfId="12595" xr:uid="{00000000-0005-0000-0000-0000EEAD0000}"/>
    <cellStyle name="표준 5 5 2 2 2 2 4 5" xfId="16835" xr:uid="{00000000-0005-0000-0000-0000EFAD0000}"/>
    <cellStyle name="표준 5 5 2 2 2 2 4 6" xfId="20997" xr:uid="{00000000-0005-0000-0000-0000F0AD0000}"/>
    <cellStyle name="표준 5 5 2 2 2 2 4 7" xfId="25093" xr:uid="{00000000-0005-0000-0000-0000F1AD0000}"/>
    <cellStyle name="표준 5 5 2 2 2 2 4 8" xfId="33304" xr:uid="{00000000-0005-0000-0000-0000F2AD0000}"/>
    <cellStyle name="표준 5 5 2 2 2 2 4 9" xfId="41497" xr:uid="{00000000-0005-0000-0000-0000F3AD0000}"/>
    <cellStyle name="표준 5 5 2 2 2 2 5" xfId="2140" xr:uid="{00000000-0005-0000-0000-0000F4AD0000}"/>
    <cellStyle name="표준 5 5 2 2 2 2 5 2" xfId="11043" xr:uid="{00000000-0005-0000-0000-0000F5AD0000}"/>
    <cellStyle name="표준 5 5 2 2 2 2 5 2 2" xfId="15155" xr:uid="{00000000-0005-0000-0000-0000F6AD0000}"/>
    <cellStyle name="표준 5 5 2 2 2 2 5 2 2 2" xfId="31749" xr:uid="{00000000-0005-0000-0000-0000F7AD0000}"/>
    <cellStyle name="표준 5 5 2 2 2 2 5 2 2 3" xfId="39960" xr:uid="{00000000-0005-0000-0000-0000F8AD0000}"/>
    <cellStyle name="표준 5 5 2 2 2 2 5 2 2 4" xfId="48153" xr:uid="{00000000-0005-0000-0000-0000F9AD0000}"/>
    <cellStyle name="표준 5 5 2 2 2 2 5 2 3" xfId="19395" xr:uid="{00000000-0005-0000-0000-0000FAAD0000}"/>
    <cellStyle name="표준 5 5 2 2 2 2 5 2 4" xfId="23557" xr:uid="{00000000-0005-0000-0000-0000FBAD0000}"/>
    <cellStyle name="표준 5 5 2 2 2 2 5 2 5" xfId="27653" xr:uid="{00000000-0005-0000-0000-0000FCAD0000}"/>
    <cellStyle name="표준 5 5 2 2 2 2 5 2 6" xfId="35864" xr:uid="{00000000-0005-0000-0000-0000FDAD0000}"/>
    <cellStyle name="표준 5 5 2 2 2 2 5 2 7" xfId="44057" xr:uid="{00000000-0005-0000-0000-0000FEAD0000}"/>
    <cellStyle name="표준 5 5 2 2 2 2 5 3" xfId="8995" xr:uid="{00000000-0005-0000-0000-0000FFAD0000}"/>
    <cellStyle name="표준 5 5 2 2 2 2 5 3 2" xfId="29701" xr:uid="{00000000-0005-0000-0000-000000AE0000}"/>
    <cellStyle name="표준 5 5 2 2 2 2 5 3 3" xfId="37912" xr:uid="{00000000-0005-0000-0000-000001AE0000}"/>
    <cellStyle name="표준 5 5 2 2 2 2 5 3 4" xfId="46105" xr:uid="{00000000-0005-0000-0000-000002AE0000}"/>
    <cellStyle name="표준 5 5 2 2 2 2 5 4" xfId="13107" xr:uid="{00000000-0005-0000-0000-000003AE0000}"/>
    <cellStyle name="표준 5 5 2 2 2 2 5 5" xfId="17347" xr:uid="{00000000-0005-0000-0000-000004AE0000}"/>
    <cellStyle name="표준 5 5 2 2 2 2 5 6" xfId="21509" xr:uid="{00000000-0005-0000-0000-000005AE0000}"/>
    <cellStyle name="표준 5 5 2 2 2 2 5 7" xfId="25605" xr:uid="{00000000-0005-0000-0000-000006AE0000}"/>
    <cellStyle name="표준 5 5 2 2 2 2 5 8" xfId="33816" xr:uid="{00000000-0005-0000-0000-000007AE0000}"/>
    <cellStyle name="표준 5 5 2 2 2 2 5 9" xfId="42009" xr:uid="{00000000-0005-0000-0000-000008AE0000}"/>
    <cellStyle name="표준 5 5 2 2 2 2 6" xfId="9507" xr:uid="{00000000-0005-0000-0000-000009AE0000}"/>
    <cellStyle name="표준 5 5 2 2 2 2 6 2" xfId="13619" xr:uid="{00000000-0005-0000-0000-00000AAE0000}"/>
    <cellStyle name="표준 5 5 2 2 2 2 6 2 2" xfId="30213" xr:uid="{00000000-0005-0000-0000-00000BAE0000}"/>
    <cellStyle name="표준 5 5 2 2 2 2 6 2 3" xfId="38424" xr:uid="{00000000-0005-0000-0000-00000CAE0000}"/>
    <cellStyle name="표준 5 5 2 2 2 2 6 2 4" xfId="46617" xr:uid="{00000000-0005-0000-0000-00000DAE0000}"/>
    <cellStyle name="표준 5 5 2 2 2 2 6 3" xfId="17859" xr:uid="{00000000-0005-0000-0000-00000EAE0000}"/>
    <cellStyle name="표준 5 5 2 2 2 2 6 4" xfId="22021" xr:uid="{00000000-0005-0000-0000-00000FAE0000}"/>
    <cellStyle name="표준 5 5 2 2 2 2 6 5" xfId="26117" xr:uid="{00000000-0005-0000-0000-000010AE0000}"/>
    <cellStyle name="표준 5 5 2 2 2 2 6 6" xfId="34328" xr:uid="{00000000-0005-0000-0000-000011AE0000}"/>
    <cellStyle name="표준 5 5 2 2 2 2 6 7" xfId="42521" xr:uid="{00000000-0005-0000-0000-000012AE0000}"/>
    <cellStyle name="표준 5 5 2 2 2 2 7" xfId="7459" xr:uid="{00000000-0005-0000-0000-000013AE0000}"/>
    <cellStyle name="표준 5 5 2 2 2 2 7 2" xfId="28165" xr:uid="{00000000-0005-0000-0000-000014AE0000}"/>
    <cellStyle name="표준 5 5 2 2 2 2 7 3" xfId="36376" xr:uid="{00000000-0005-0000-0000-000015AE0000}"/>
    <cellStyle name="표준 5 5 2 2 2 2 7 4" xfId="44569" xr:uid="{00000000-0005-0000-0000-000016AE0000}"/>
    <cellStyle name="표준 5 5 2 2 2 2 8" xfId="11571" xr:uid="{00000000-0005-0000-0000-000017AE0000}"/>
    <cellStyle name="표준 5 5 2 2 2 2 9" xfId="15811" xr:uid="{00000000-0005-0000-0000-000018AE0000}"/>
    <cellStyle name="표준 5 5 2 2 2 3" xfId="732" xr:uid="{00000000-0005-0000-0000-000019AE0000}"/>
    <cellStyle name="표준 5 5 2 2 2 3 10" xfId="24197" xr:uid="{00000000-0005-0000-0000-00001AAE0000}"/>
    <cellStyle name="표준 5 5 2 2 2 3 11" xfId="32408" xr:uid="{00000000-0005-0000-0000-00001BAE0000}"/>
    <cellStyle name="표준 5 5 2 2 2 3 12" xfId="40601" xr:uid="{00000000-0005-0000-0000-00001CAE0000}"/>
    <cellStyle name="표준 5 5 2 2 2 3 2" xfId="1244" xr:uid="{00000000-0005-0000-0000-00001DAE0000}"/>
    <cellStyle name="표준 5 5 2 2 2 3 2 2" xfId="10147" xr:uid="{00000000-0005-0000-0000-00001EAE0000}"/>
    <cellStyle name="표준 5 5 2 2 2 3 2 2 2" xfId="14259" xr:uid="{00000000-0005-0000-0000-00001FAE0000}"/>
    <cellStyle name="표준 5 5 2 2 2 3 2 2 2 2" xfId="30853" xr:uid="{00000000-0005-0000-0000-000020AE0000}"/>
    <cellStyle name="표준 5 5 2 2 2 3 2 2 2 3" xfId="39064" xr:uid="{00000000-0005-0000-0000-000021AE0000}"/>
    <cellStyle name="표준 5 5 2 2 2 3 2 2 2 4" xfId="47257" xr:uid="{00000000-0005-0000-0000-000022AE0000}"/>
    <cellStyle name="표준 5 5 2 2 2 3 2 2 3" xfId="18499" xr:uid="{00000000-0005-0000-0000-000023AE0000}"/>
    <cellStyle name="표준 5 5 2 2 2 3 2 2 4" xfId="22661" xr:uid="{00000000-0005-0000-0000-000024AE0000}"/>
    <cellStyle name="표준 5 5 2 2 2 3 2 2 5" xfId="26757" xr:uid="{00000000-0005-0000-0000-000025AE0000}"/>
    <cellStyle name="표준 5 5 2 2 2 3 2 2 6" xfId="34968" xr:uid="{00000000-0005-0000-0000-000026AE0000}"/>
    <cellStyle name="표준 5 5 2 2 2 3 2 2 7" xfId="43161" xr:uid="{00000000-0005-0000-0000-000027AE0000}"/>
    <cellStyle name="표준 5 5 2 2 2 3 2 3" xfId="8099" xr:uid="{00000000-0005-0000-0000-000028AE0000}"/>
    <cellStyle name="표준 5 5 2 2 2 3 2 3 2" xfId="28805" xr:uid="{00000000-0005-0000-0000-000029AE0000}"/>
    <cellStyle name="표준 5 5 2 2 2 3 2 3 3" xfId="37016" xr:uid="{00000000-0005-0000-0000-00002AAE0000}"/>
    <cellStyle name="표준 5 5 2 2 2 3 2 3 4" xfId="45209" xr:uid="{00000000-0005-0000-0000-00002BAE0000}"/>
    <cellStyle name="표준 5 5 2 2 2 3 2 4" xfId="12211" xr:uid="{00000000-0005-0000-0000-00002CAE0000}"/>
    <cellStyle name="표준 5 5 2 2 2 3 2 5" xfId="16451" xr:uid="{00000000-0005-0000-0000-00002DAE0000}"/>
    <cellStyle name="표준 5 5 2 2 2 3 2 6" xfId="20613" xr:uid="{00000000-0005-0000-0000-00002EAE0000}"/>
    <cellStyle name="표준 5 5 2 2 2 3 2 7" xfId="24709" xr:uid="{00000000-0005-0000-0000-00002FAE0000}"/>
    <cellStyle name="표준 5 5 2 2 2 3 2 8" xfId="32920" xr:uid="{00000000-0005-0000-0000-000030AE0000}"/>
    <cellStyle name="표준 5 5 2 2 2 3 2 9" xfId="41113" xr:uid="{00000000-0005-0000-0000-000031AE0000}"/>
    <cellStyle name="표준 5 5 2 2 2 3 3" xfId="1756" xr:uid="{00000000-0005-0000-0000-000032AE0000}"/>
    <cellStyle name="표준 5 5 2 2 2 3 3 2" xfId="10659" xr:uid="{00000000-0005-0000-0000-000033AE0000}"/>
    <cellStyle name="표준 5 5 2 2 2 3 3 2 2" xfId="14771" xr:uid="{00000000-0005-0000-0000-000034AE0000}"/>
    <cellStyle name="표준 5 5 2 2 2 3 3 2 2 2" xfId="31365" xr:uid="{00000000-0005-0000-0000-000035AE0000}"/>
    <cellStyle name="표준 5 5 2 2 2 3 3 2 2 3" xfId="39576" xr:uid="{00000000-0005-0000-0000-000036AE0000}"/>
    <cellStyle name="표준 5 5 2 2 2 3 3 2 2 4" xfId="47769" xr:uid="{00000000-0005-0000-0000-000037AE0000}"/>
    <cellStyle name="표준 5 5 2 2 2 3 3 2 3" xfId="19011" xr:uid="{00000000-0005-0000-0000-000038AE0000}"/>
    <cellStyle name="표준 5 5 2 2 2 3 3 2 4" xfId="23173" xr:uid="{00000000-0005-0000-0000-000039AE0000}"/>
    <cellStyle name="표준 5 5 2 2 2 3 3 2 5" xfId="27269" xr:uid="{00000000-0005-0000-0000-00003AAE0000}"/>
    <cellStyle name="표준 5 5 2 2 2 3 3 2 6" xfId="35480" xr:uid="{00000000-0005-0000-0000-00003BAE0000}"/>
    <cellStyle name="표준 5 5 2 2 2 3 3 2 7" xfId="43673" xr:uid="{00000000-0005-0000-0000-00003CAE0000}"/>
    <cellStyle name="표준 5 5 2 2 2 3 3 3" xfId="8611" xr:uid="{00000000-0005-0000-0000-00003DAE0000}"/>
    <cellStyle name="표준 5 5 2 2 2 3 3 3 2" xfId="29317" xr:uid="{00000000-0005-0000-0000-00003EAE0000}"/>
    <cellStyle name="표준 5 5 2 2 2 3 3 3 3" xfId="37528" xr:uid="{00000000-0005-0000-0000-00003FAE0000}"/>
    <cellStyle name="표준 5 5 2 2 2 3 3 3 4" xfId="45721" xr:uid="{00000000-0005-0000-0000-000040AE0000}"/>
    <cellStyle name="표준 5 5 2 2 2 3 3 4" xfId="12723" xr:uid="{00000000-0005-0000-0000-000041AE0000}"/>
    <cellStyle name="표준 5 5 2 2 2 3 3 5" xfId="16963" xr:uid="{00000000-0005-0000-0000-000042AE0000}"/>
    <cellStyle name="표준 5 5 2 2 2 3 3 6" xfId="21125" xr:uid="{00000000-0005-0000-0000-000043AE0000}"/>
    <cellStyle name="표준 5 5 2 2 2 3 3 7" xfId="25221" xr:uid="{00000000-0005-0000-0000-000044AE0000}"/>
    <cellStyle name="표준 5 5 2 2 2 3 3 8" xfId="33432" xr:uid="{00000000-0005-0000-0000-000045AE0000}"/>
    <cellStyle name="표준 5 5 2 2 2 3 3 9" xfId="41625" xr:uid="{00000000-0005-0000-0000-000046AE0000}"/>
    <cellStyle name="표준 5 5 2 2 2 3 4" xfId="2268" xr:uid="{00000000-0005-0000-0000-000047AE0000}"/>
    <cellStyle name="표준 5 5 2 2 2 3 4 2" xfId="11171" xr:uid="{00000000-0005-0000-0000-000048AE0000}"/>
    <cellStyle name="표준 5 5 2 2 2 3 4 2 2" xfId="15283" xr:uid="{00000000-0005-0000-0000-000049AE0000}"/>
    <cellStyle name="표준 5 5 2 2 2 3 4 2 2 2" xfId="31877" xr:uid="{00000000-0005-0000-0000-00004AAE0000}"/>
    <cellStyle name="표준 5 5 2 2 2 3 4 2 2 3" xfId="40088" xr:uid="{00000000-0005-0000-0000-00004BAE0000}"/>
    <cellStyle name="표준 5 5 2 2 2 3 4 2 2 4" xfId="48281" xr:uid="{00000000-0005-0000-0000-00004CAE0000}"/>
    <cellStyle name="표준 5 5 2 2 2 3 4 2 3" xfId="19523" xr:uid="{00000000-0005-0000-0000-00004DAE0000}"/>
    <cellStyle name="표준 5 5 2 2 2 3 4 2 4" xfId="23685" xr:uid="{00000000-0005-0000-0000-00004EAE0000}"/>
    <cellStyle name="표준 5 5 2 2 2 3 4 2 5" xfId="27781" xr:uid="{00000000-0005-0000-0000-00004FAE0000}"/>
    <cellStyle name="표준 5 5 2 2 2 3 4 2 6" xfId="35992" xr:uid="{00000000-0005-0000-0000-000050AE0000}"/>
    <cellStyle name="표준 5 5 2 2 2 3 4 2 7" xfId="44185" xr:uid="{00000000-0005-0000-0000-000051AE0000}"/>
    <cellStyle name="표준 5 5 2 2 2 3 4 3" xfId="9123" xr:uid="{00000000-0005-0000-0000-000052AE0000}"/>
    <cellStyle name="표준 5 5 2 2 2 3 4 3 2" xfId="29829" xr:uid="{00000000-0005-0000-0000-000053AE0000}"/>
    <cellStyle name="표준 5 5 2 2 2 3 4 3 3" xfId="38040" xr:uid="{00000000-0005-0000-0000-000054AE0000}"/>
    <cellStyle name="표준 5 5 2 2 2 3 4 3 4" xfId="46233" xr:uid="{00000000-0005-0000-0000-000055AE0000}"/>
    <cellStyle name="표준 5 5 2 2 2 3 4 4" xfId="13235" xr:uid="{00000000-0005-0000-0000-000056AE0000}"/>
    <cellStyle name="표준 5 5 2 2 2 3 4 5" xfId="17475" xr:uid="{00000000-0005-0000-0000-000057AE0000}"/>
    <cellStyle name="표준 5 5 2 2 2 3 4 6" xfId="21637" xr:uid="{00000000-0005-0000-0000-000058AE0000}"/>
    <cellStyle name="표준 5 5 2 2 2 3 4 7" xfId="25733" xr:uid="{00000000-0005-0000-0000-000059AE0000}"/>
    <cellStyle name="표준 5 5 2 2 2 3 4 8" xfId="33944" xr:uid="{00000000-0005-0000-0000-00005AAE0000}"/>
    <cellStyle name="표준 5 5 2 2 2 3 4 9" xfId="42137" xr:uid="{00000000-0005-0000-0000-00005BAE0000}"/>
    <cellStyle name="표준 5 5 2 2 2 3 5" xfId="9635" xr:uid="{00000000-0005-0000-0000-00005CAE0000}"/>
    <cellStyle name="표준 5 5 2 2 2 3 5 2" xfId="13747" xr:uid="{00000000-0005-0000-0000-00005DAE0000}"/>
    <cellStyle name="표준 5 5 2 2 2 3 5 2 2" xfId="30341" xr:uid="{00000000-0005-0000-0000-00005EAE0000}"/>
    <cellStyle name="표준 5 5 2 2 2 3 5 2 3" xfId="38552" xr:uid="{00000000-0005-0000-0000-00005FAE0000}"/>
    <cellStyle name="표준 5 5 2 2 2 3 5 2 4" xfId="46745" xr:uid="{00000000-0005-0000-0000-000060AE0000}"/>
    <cellStyle name="표준 5 5 2 2 2 3 5 3" xfId="17987" xr:uid="{00000000-0005-0000-0000-000061AE0000}"/>
    <cellStyle name="표준 5 5 2 2 2 3 5 4" xfId="22149" xr:uid="{00000000-0005-0000-0000-000062AE0000}"/>
    <cellStyle name="표준 5 5 2 2 2 3 5 5" xfId="26245" xr:uid="{00000000-0005-0000-0000-000063AE0000}"/>
    <cellStyle name="표준 5 5 2 2 2 3 5 6" xfId="34456" xr:uid="{00000000-0005-0000-0000-000064AE0000}"/>
    <cellStyle name="표준 5 5 2 2 2 3 5 7" xfId="42649" xr:uid="{00000000-0005-0000-0000-000065AE0000}"/>
    <cellStyle name="표준 5 5 2 2 2 3 6" xfId="7587" xr:uid="{00000000-0005-0000-0000-000066AE0000}"/>
    <cellStyle name="표준 5 5 2 2 2 3 6 2" xfId="28293" xr:uid="{00000000-0005-0000-0000-000067AE0000}"/>
    <cellStyle name="표준 5 5 2 2 2 3 6 3" xfId="36504" xr:uid="{00000000-0005-0000-0000-000068AE0000}"/>
    <cellStyle name="표준 5 5 2 2 2 3 6 4" xfId="44697" xr:uid="{00000000-0005-0000-0000-000069AE0000}"/>
    <cellStyle name="표준 5 5 2 2 2 3 7" xfId="11699" xr:uid="{00000000-0005-0000-0000-00006AAE0000}"/>
    <cellStyle name="표준 5 5 2 2 2 3 8" xfId="15939" xr:uid="{00000000-0005-0000-0000-00006BAE0000}"/>
    <cellStyle name="표준 5 5 2 2 2 3 9" xfId="20101" xr:uid="{00000000-0005-0000-0000-00006CAE0000}"/>
    <cellStyle name="표준 5 5 2 2 2 4" xfId="988" xr:uid="{00000000-0005-0000-0000-00006DAE0000}"/>
    <cellStyle name="표준 5 5 2 2 2 4 2" xfId="9891" xr:uid="{00000000-0005-0000-0000-00006EAE0000}"/>
    <cellStyle name="표준 5 5 2 2 2 4 2 2" xfId="14003" xr:uid="{00000000-0005-0000-0000-00006FAE0000}"/>
    <cellStyle name="표준 5 5 2 2 2 4 2 2 2" xfId="30597" xr:uid="{00000000-0005-0000-0000-000070AE0000}"/>
    <cellStyle name="표준 5 5 2 2 2 4 2 2 3" xfId="38808" xr:uid="{00000000-0005-0000-0000-000071AE0000}"/>
    <cellStyle name="표준 5 5 2 2 2 4 2 2 4" xfId="47001" xr:uid="{00000000-0005-0000-0000-000072AE0000}"/>
    <cellStyle name="표준 5 5 2 2 2 4 2 3" xfId="18243" xr:uid="{00000000-0005-0000-0000-000073AE0000}"/>
    <cellStyle name="표준 5 5 2 2 2 4 2 4" xfId="22405" xr:uid="{00000000-0005-0000-0000-000074AE0000}"/>
    <cellStyle name="표준 5 5 2 2 2 4 2 5" xfId="26501" xr:uid="{00000000-0005-0000-0000-000075AE0000}"/>
    <cellStyle name="표준 5 5 2 2 2 4 2 6" xfId="34712" xr:uid="{00000000-0005-0000-0000-000076AE0000}"/>
    <cellStyle name="표준 5 5 2 2 2 4 2 7" xfId="42905" xr:uid="{00000000-0005-0000-0000-000077AE0000}"/>
    <cellStyle name="표준 5 5 2 2 2 4 3" xfId="7843" xr:uid="{00000000-0005-0000-0000-000078AE0000}"/>
    <cellStyle name="표준 5 5 2 2 2 4 3 2" xfId="28549" xr:uid="{00000000-0005-0000-0000-000079AE0000}"/>
    <cellStyle name="표준 5 5 2 2 2 4 3 3" xfId="36760" xr:uid="{00000000-0005-0000-0000-00007AAE0000}"/>
    <cellStyle name="표준 5 5 2 2 2 4 3 4" xfId="44953" xr:uid="{00000000-0005-0000-0000-00007BAE0000}"/>
    <cellStyle name="표준 5 5 2 2 2 4 4" xfId="11955" xr:uid="{00000000-0005-0000-0000-00007CAE0000}"/>
    <cellStyle name="표준 5 5 2 2 2 4 5" xfId="16195" xr:uid="{00000000-0005-0000-0000-00007DAE0000}"/>
    <cellStyle name="표준 5 5 2 2 2 4 6" xfId="20357" xr:uid="{00000000-0005-0000-0000-00007EAE0000}"/>
    <cellStyle name="표준 5 5 2 2 2 4 7" xfId="24453" xr:uid="{00000000-0005-0000-0000-00007FAE0000}"/>
    <cellStyle name="표준 5 5 2 2 2 4 8" xfId="32664" xr:uid="{00000000-0005-0000-0000-000080AE0000}"/>
    <cellStyle name="표준 5 5 2 2 2 4 9" xfId="40857" xr:uid="{00000000-0005-0000-0000-000081AE0000}"/>
    <cellStyle name="표준 5 5 2 2 2 5" xfId="1500" xr:uid="{00000000-0005-0000-0000-000082AE0000}"/>
    <cellStyle name="표준 5 5 2 2 2 5 2" xfId="10403" xr:uid="{00000000-0005-0000-0000-000083AE0000}"/>
    <cellStyle name="표준 5 5 2 2 2 5 2 2" xfId="14515" xr:uid="{00000000-0005-0000-0000-000084AE0000}"/>
    <cellStyle name="표준 5 5 2 2 2 5 2 2 2" xfId="31109" xr:uid="{00000000-0005-0000-0000-000085AE0000}"/>
    <cellStyle name="표준 5 5 2 2 2 5 2 2 3" xfId="39320" xr:uid="{00000000-0005-0000-0000-000086AE0000}"/>
    <cellStyle name="표준 5 5 2 2 2 5 2 2 4" xfId="47513" xr:uid="{00000000-0005-0000-0000-000087AE0000}"/>
    <cellStyle name="표준 5 5 2 2 2 5 2 3" xfId="18755" xr:uid="{00000000-0005-0000-0000-000088AE0000}"/>
    <cellStyle name="표준 5 5 2 2 2 5 2 4" xfId="22917" xr:uid="{00000000-0005-0000-0000-000089AE0000}"/>
    <cellStyle name="표준 5 5 2 2 2 5 2 5" xfId="27013" xr:uid="{00000000-0005-0000-0000-00008AAE0000}"/>
    <cellStyle name="표준 5 5 2 2 2 5 2 6" xfId="35224" xr:uid="{00000000-0005-0000-0000-00008BAE0000}"/>
    <cellStyle name="표준 5 5 2 2 2 5 2 7" xfId="43417" xr:uid="{00000000-0005-0000-0000-00008CAE0000}"/>
    <cellStyle name="표준 5 5 2 2 2 5 3" xfId="8355" xr:uid="{00000000-0005-0000-0000-00008DAE0000}"/>
    <cellStyle name="표준 5 5 2 2 2 5 3 2" xfId="29061" xr:uid="{00000000-0005-0000-0000-00008EAE0000}"/>
    <cellStyle name="표준 5 5 2 2 2 5 3 3" xfId="37272" xr:uid="{00000000-0005-0000-0000-00008FAE0000}"/>
    <cellStyle name="표준 5 5 2 2 2 5 3 4" xfId="45465" xr:uid="{00000000-0005-0000-0000-000090AE0000}"/>
    <cellStyle name="표준 5 5 2 2 2 5 4" xfId="12467" xr:uid="{00000000-0005-0000-0000-000091AE0000}"/>
    <cellStyle name="표준 5 5 2 2 2 5 5" xfId="16707" xr:uid="{00000000-0005-0000-0000-000092AE0000}"/>
    <cellStyle name="표준 5 5 2 2 2 5 6" xfId="20869" xr:uid="{00000000-0005-0000-0000-000093AE0000}"/>
    <cellStyle name="표준 5 5 2 2 2 5 7" xfId="24965" xr:uid="{00000000-0005-0000-0000-000094AE0000}"/>
    <cellStyle name="표준 5 5 2 2 2 5 8" xfId="33176" xr:uid="{00000000-0005-0000-0000-000095AE0000}"/>
    <cellStyle name="표준 5 5 2 2 2 5 9" xfId="41369" xr:uid="{00000000-0005-0000-0000-000096AE0000}"/>
    <cellStyle name="표준 5 5 2 2 2 6" xfId="2012" xr:uid="{00000000-0005-0000-0000-000097AE0000}"/>
    <cellStyle name="표준 5 5 2 2 2 6 2" xfId="10915" xr:uid="{00000000-0005-0000-0000-000098AE0000}"/>
    <cellStyle name="표준 5 5 2 2 2 6 2 2" xfId="15027" xr:uid="{00000000-0005-0000-0000-000099AE0000}"/>
    <cellStyle name="표준 5 5 2 2 2 6 2 2 2" xfId="31621" xr:uid="{00000000-0005-0000-0000-00009AAE0000}"/>
    <cellStyle name="표준 5 5 2 2 2 6 2 2 3" xfId="39832" xr:uid="{00000000-0005-0000-0000-00009BAE0000}"/>
    <cellStyle name="표준 5 5 2 2 2 6 2 2 4" xfId="48025" xr:uid="{00000000-0005-0000-0000-00009CAE0000}"/>
    <cellStyle name="표준 5 5 2 2 2 6 2 3" xfId="19267" xr:uid="{00000000-0005-0000-0000-00009DAE0000}"/>
    <cellStyle name="표준 5 5 2 2 2 6 2 4" xfId="23429" xr:uid="{00000000-0005-0000-0000-00009EAE0000}"/>
    <cellStyle name="표준 5 5 2 2 2 6 2 5" xfId="27525" xr:uid="{00000000-0005-0000-0000-00009FAE0000}"/>
    <cellStyle name="표준 5 5 2 2 2 6 2 6" xfId="35736" xr:uid="{00000000-0005-0000-0000-0000A0AE0000}"/>
    <cellStyle name="표준 5 5 2 2 2 6 2 7" xfId="43929" xr:uid="{00000000-0005-0000-0000-0000A1AE0000}"/>
    <cellStyle name="표준 5 5 2 2 2 6 3" xfId="8867" xr:uid="{00000000-0005-0000-0000-0000A2AE0000}"/>
    <cellStyle name="표준 5 5 2 2 2 6 3 2" xfId="29573" xr:uid="{00000000-0005-0000-0000-0000A3AE0000}"/>
    <cellStyle name="표준 5 5 2 2 2 6 3 3" xfId="37784" xr:uid="{00000000-0005-0000-0000-0000A4AE0000}"/>
    <cellStyle name="표준 5 5 2 2 2 6 3 4" xfId="45977" xr:uid="{00000000-0005-0000-0000-0000A5AE0000}"/>
    <cellStyle name="표준 5 5 2 2 2 6 4" xfId="12979" xr:uid="{00000000-0005-0000-0000-0000A6AE0000}"/>
    <cellStyle name="표준 5 5 2 2 2 6 5" xfId="17219" xr:uid="{00000000-0005-0000-0000-0000A7AE0000}"/>
    <cellStyle name="표준 5 5 2 2 2 6 6" xfId="21381" xr:uid="{00000000-0005-0000-0000-0000A8AE0000}"/>
    <cellStyle name="표준 5 5 2 2 2 6 7" xfId="25477" xr:uid="{00000000-0005-0000-0000-0000A9AE0000}"/>
    <cellStyle name="표준 5 5 2 2 2 6 8" xfId="33688" xr:uid="{00000000-0005-0000-0000-0000AAAE0000}"/>
    <cellStyle name="표준 5 5 2 2 2 6 9" xfId="41881" xr:uid="{00000000-0005-0000-0000-0000ABAE0000}"/>
    <cellStyle name="표준 5 5 2 2 2 7" xfId="9379" xr:uid="{00000000-0005-0000-0000-0000ACAE0000}"/>
    <cellStyle name="표준 5 5 2 2 2 7 2" xfId="13491" xr:uid="{00000000-0005-0000-0000-0000ADAE0000}"/>
    <cellStyle name="표준 5 5 2 2 2 7 2 2" xfId="30085" xr:uid="{00000000-0005-0000-0000-0000AEAE0000}"/>
    <cellStyle name="표준 5 5 2 2 2 7 2 3" xfId="38296" xr:uid="{00000000-0005-0000-0000-0000AFAE0000}"/>
    <cellStyle name="표준 5 5 2 2 2 7 2 4" xfId="46489" xr:uid="{00000000-0005-0000-0000-0000B0AE0000}"/>
    <cellStyle name="표준 5 5 2 2 2 7 3" xfId="17731" xr:uid="{00000000-0005-0000-0000-0000B1AE0000}"/>
    <cellStyle name="표준 5 5 2 2 2 7 4" xfId="21893" xr:uid="{00000000-0005-0000-0000-0000B2AE0000}"/>
    <cellStyle name="표준 5 5 2 2 2 7 5" xfId="25989" xr:uid="{00000000-0005-0000-0000-0000B3AE0000}"/>
    <cellStyle name="표준 5 5 2 2 2 7 6" xfId="34200" xr:uid="{00000000-0005-0000-0000-0000B4AE0000}"/>
    <cellStyle name="표준 5 5 2 2 2 7 7" xfId="42393" xr:uid="{00000000-0005-0000-0000-0000B5AE0000}"/>
    <cellStyle name="표준 5 5 2 2 2 8" xfId="7331" xr:uid="{00000000-0005-0000-0000-0000B6AE0000}"/>
    <cellStyle name="표준 5 5 2 2 2 8 2" xfId="28037" xr:uid="{00000000-0005-0000-0000-0000B7AE0000}"/>
    <cellStyle name="표준 5 5 2 2 2 8 3" xfId="36248" xr:uid="{00000000-0005-0000-0000-0000B8AE0000}"/>
    <cellStyle name="표준 5 5 2 2 2 8 4" xfId="44441" xr:uid="{00000000-0005-0000-0000-0000B9AE0000}"/>
    <cellStyle name="표준 5 5 2 2 2 9" xfId="11443" xr:uid="{00000000-0005-0000-0000-0000BAAE0000}"/>
    <cellStyle name="표준 5 5 2 2 3" xfId="540" xr:uid="{00000000-0005-0000-0000-0000BBAE0000}"/>
    <cellStyle name="표준 5 5 2 2 3 10" xfId="19909" xr:uid="{00000000-0005-0000-0000-0000BCAE0000}"/>
    <cellStyle name="표준 5 5 2 2 3 11" xfId="24005" xr:uid="{00000000-0005-0000-0000-0000BDAE0000}"/>
    <cellStyle name="표준 5 5 2 2 3 12" xfId="32216" xr:uid="{00000000-0005-0000-0000-0000BEAE0000}"/>
    <cellStyle name="표준 5 5 2 2 3 13" xfId="40409" xr:uid="{00000000-0005-0000-0000-0000BFAE0000}"/>
    <cellStyle name="표준 5 5 2 2 3 2" xfId="796" xr:uid="{00000000-0005-0000-0000-0000C0AE0000}"/>
    <cellStyle name="표준 5 5 2 2 3 2 10" xfId="24261" xr:uid="{00000000-0005-0000-0000-0000C1AE0000}"/>
    <cellStyle name="표준 5 5 2 2 3 2 11" xfId="32472" xr:uid="{00000000-0005-0000-0000-0000C2AE0000}"/>
    <cellStyle name="표준 5 5 2 2 3 2 12" xfId="40665" xr:uid="{00000000-0005-0000-0000-0000C3AE0000}"/>
    <cellStyle name="표준 5 5 2 2 3 2 2" xfId="1308" xr:uid="{00000000-0005-0000-0000-0000C4AE0000}"/>
    <cellStyle name="표준 5 5 2 2 3 2 2 2" xfId="10211" xr:uid="{00000000-0005-0000-0000-0000C5AE0000}"/>
    <cellStyle name="표준 5 5 2 2 3 2 2 2 2" xfId="14323" xr:uid="{00000000-0005-0000-0000-0000C6AE0000}"/>
    <cellStyle name="표준 5 5 2 2 3 2 2 2 2 2" xfId="30917" xr:uid="{00000000-0005-0000-0000-0000C7AE0000}"/>
    <cellStyle name="표준 5 5 2 2 3 2 2 2 2 3" xfId="39128" xr:uid="{00000000-0005-0000-0000-0000C8AE0000}"/>
    <cellStyle name="표준 5 5 2 2 3 2 2 2 2 4" xfId="47321" xr:uid="{00000000-0005-0000-0000-0000C9AE0000}"/>
    <cellStyle name="표준 5 5 2 2 3 2 2 2 3" xfId="18563" xr:uid="{00000000-0005-0000-0000-0000CAAE0000}"/>
    <cellStyle name="표준 5 5 2 2 3 2 2 2 4" xfId="22725" xr:uid="{00000000-0005-0000-0000-0000CBAE0000}"/>
    <cellStyle name="표준 5 5 2 2 3 2 2 2 5" xfId="26821" xr:uid="{00000000-0005-0000-0000-0000CCAE0000}"/>
    <cellStyle name="표준 5 5 2 2 3 2 2 2 6" xfId="35032" xr:uid="{00000000-0005-0000-0000-0000CDAE0000}"/>
    <cellStyle name="표준 5 5 2 2 3 2 2 2 7" xfId="43225" xr:uid="{00000000-0005-0000-0000-0000CEAE0000}"/>
    <cellStyle name="표준 5 5 2 2 3 2 2 3" xfId="8163" xr:uid="{00000000-0005-0000-0000-0000CFAE0000}"/>
    <cellStyle name="표준 5 5 2 2 3 2 2 3 2" xfId="28869" xr:uid="{00000000-0005-0000-0000-0000D0AE0000}"/>
    <cellStyle name="표준 5 5 2 2 3 2 2 3 3" xfId="37080" xr:uid="{00000000-0005-0000-0000-0000D1AE0000}"/>
    <cellStyle name="표준 5 5 2 2 3 2 2 3 4" xfId="45273" xr:uid="{00000000-0005-0000-0000-0000D2AE0000}"/>
    <cellStyle name="표준 5 5 2 2 3 2 2 4" xfId="12275" xr:uid="{00000000-0005-0000-0000-0000D3AE0000}"/>
    <cellStyle name="표준 5 5 2 2 3 2 2 5" xfId="16515" xr:uid="{00000000-0005-0000-0000-0000D4AE0000}"/>
    <cellStyle name="표준 5 5 2 2 3 2 2 6" xfId="20677" xr:uid="{00000000-0005-0000-0000-0000D5AE0000}"/>
    <cellStyle name="표준 5 5 2 2 3 2 2 7" xfId="24773" xr:uid="{00000000-0005-0000-0000-0000D6AE0000}"/>
    <cellStyle name="표준 5 5 2 2 3 2 2 8" xfId="32984" xr:uid="{00000000-0005-0000-0000-0000D7AE0000}"/>
    <cellStyle name="표준 5 5 2 2 3 2 2 9" xfId="41177" xr:uid="{00000000-0005-0000-0000-0000D8AE0000}"/>
    <cellStyle name="표준 5 5 2 2 3 2 3" xfId="1820" xr:uid="{00000000-0005-0000-0000-0000D9AE0000}"/>
    <cellStyle name="표준 5 5 2 2 3 2 3 2" xfId="10723" xr:uid="{00000000-0005-0000-0000-0000DAAE0000}"/>
    <cellStyle name="표준 5 5 2 2 3 2 3 2 2" xfId="14835" xr:uid="{00000000-0005-0000-0000-0000DBAE0000}"/>
    <cellStyle name="표준 5 5 2 2 3 2 3 2 2 2" xfId="31429" xr:uid="{00000000-0005-0000-0000-0000DCAE0000}"/>
    <cellStyle name="표준 5 5 2 2 3 2 3 2 2 3" xfId="39640" xr:uid="{00000000-0005-0000-0000-0000DDAE0000}"/>
    <cellStyle name="표준 5 5 2 2 3 2 3 2 2 4" xfId="47833" xr:uid="{00000000-0005-0000-0000-0000DEAE0000}"/>
    <cellStyle name="표준 5 5 2 2 3 2 3 2 3" xfId="19075" xr:uid="{00000000-0005-0000-0000-0000DFAE0000}"/>
    <cellStyle name="표준 5 5 2 2 3 2 3 2 4" xfId="23237" xr:uid="{00000000-0005-0000-0000-0000E0AE0000}"/>
    <cellStyle name="표준 5 5 2 2 3 2 3 2 5" xfId="27333" xr:uid="{00000000-0005-0000-0000-0000E1AE0000}"/>
    <cellStyle name="표준 5 5 2 2 3 2 3 2 6" xfId="35544" xr:uid="{00000000-0005-0000-0000-0000E2AE0000}"/>
    <cellStyle name="표준 5 5 2 2 3 2 3 2 7" xfId="43737" xr:uid="{00000000-0005-0000-0000-0000E3AE0000}"/>
    <cellStyle name="표준 5 5 2 2 3 2 3 3" xfId="8675" xr:uid="{00000000-0005-0000-0000-0000E4AE0000}"/>
    <cellStyle name="표준 5 5 2 2 3 2 3 3 2" xfId="29381" xr:uid="{00000000-0005-0000-0000-0000E5AE0000}"/>
    <cellStyle name="표준 5 5 2 2 3 2 3 3 3" xfId="37592" xr:uid="{00000000-0005-0000-0000-0000E6AE0000}"/>
    <cellStyle name="표준 5 5 2 2 3 2 3 3 4" xfId="45785" xr:uid="{00000000-0005-0000-0000-0000E7AE0000}"/>
    <cellStyle name="표준 5 5 2 2 3 2 3 4" xfId="12787" xr:uid="{00000000-0005-0000-0000-0000E8AE0000}"/>
    <cellStyle name="표준 5 5 2 2 3 2 3 5" xfId="17027" xr:uid="{00000000-0005-0000-0000-0000E9AE0000}"/>
    <cellStyle name="표준 5 5 2 2 3 2 3 6" xfId="21189" xr:uid="{00000000-0005-0000-0000-0000EAAE0000}"/>
    <cellStyle name="표준 5 5 2 2 3 2 3 7" xfId="25285" xr:uid="{00000000-0005-0000-0000-0000EBAE0000}"/>
    <cellStyle name="표준 5 5 2 2 3 2 3 8" xfId="33496" xr:uid="{00000000-0005-0000-0000-0000ECAE0000}"/>
    <cellStyle name="표준 5 5 2 2 3 2 3 9" xfId="41689" xr:uid="{00000000-0005-0000-0000-0000EDAE0000}"/>
    <cellStyle name="표준 5 5 2 2 3 2 4" xfId="2332" xr:uid="{00000000-0005-0000-0000-0000EEAE0000}"/>
    <cellStyle name="표준 5 5 2 2 3 2 4 2" xfId="11235" xr:uid="{00000000-0005-0000-0000-0000EFAE0000}"/>
    <cellStyle name="표준 5 5 2 2 3 2 4 2 2" xfId="15347" xr:uid="{00000000-0005-0000-0000-0000F0AE0000}"/>
    <cellStyle name="표준 5 5 2 2 3 2 4 2 2 2" xfId="31941" xr:uid="{00000000-0005-0000-0000-0000F1AE0000}"/>
    <cellStyle name="표준 5 5 2 2 3 2 4 2 2 3" xfId="40152" xr:uid="{00000000-0005-0000-0000-0000F2AE0000}"/>
    <cellStyle name="표준 5 5 2 2 3 2 4 2 2 4" xfId="48345" xr:uid="{00000000-0005-0000-0000-0000F3AE0000}"/>
    <cellStyle name="표준 5 5 2 2 3 2 4 2 3" xfId="19587" xr:uid="{00000000-0005-0000-0000-0000F4AE0000}"/>
    <cellStyle name="표준 5 5 2 2 3 2 4 2 4" xfId="23749" xr:uid="{00000000-0005-0000-0000-0000F5AE0000}"/>
    <cellStyle name="표준 5 5 2 2 3 2 4 2 5" xfId="27845" xr:uid="{00000000-0005-0000-0000-0000F6AE0000}"/>
    <cellStyle name="표준 5 5 2 2 3 2 4 2 6" xfId="36056" xr:uid="{00000000-0005-0000-0000-0000F7AE0000}"/>
    <cellStyle name="표준 5 5 2 2 3 2 4 2 7" xfId="44249" xr:uid="{00000000-0005-0000-0000-0000F8AE0000}"/>
    <cellStyle name="표준 5 5 2 2 3 2 4 3" xfId="9187" xr:uid="{00000000-0005-0000-0000-0000F9AE0000}"/>
    <cellStyle name="표준 5 5 2 2 3 2 4 3 2" xfId="29893" xr:uid="{00000000-0005-0000-0000-0000FAAE0000}"/>
    <cellStyle name="표준 5 5 2 2 3 2 4 3 3" xfId="38104" xr:uid="{00000000-0005-0000-0000-0000FBAE0000}"/>
    <cellStyle name="표준 5 5 2 2 3 2 4 3 4" xfId="46297" xr:uid="{00000000-0005-0000-0000-0000FCAE0000}"/>
    <cellStyle name="표준 5 5 2 2 3 2 4 4" xfId="13299" xr:uid="{00000000-0005-0000-0000-0000FDAE0000}"/>
    <cellStyle name="표준 5 5 2 2 3 2 4 5" xfId="17539" xr:uid="{00000000-0005-0000-0000-0000FEAE0000}"/>
    <cellStyle name="표준 5 5 2 2 3 2 4 6" xfId="21701" xr:uid="{00000000-0005-0000-0000-0000FFAE0000}"/>
    <cellStyle name="표준 5 5 2 2 3 2 4 7" xfId="25797" xr:uid="{00000000-0005-0000-0000-000000AF0000}"/>
    <cellStyle name="표준 5 5 2 2 3 2 4 8" xfId="34008" xr:uid="{00000000-0005-0000-0000-000001AF0000}"/>
    <cellStyle name="표준 5 5 2 2 3 2 4 9" xfId="42201" xr:uid="{00000000-0005-0000-0000-000002AF0000}"/>
    <cellStyle name="표준 5 5 2 2 3 2 5" xfId="9699" xr:uid="{00000000-0005-0000-0000-000003AF0000}"/>
    <cellStyle name="표준 5 5 2 2 3 2 5 2" xfId="13811" xr:uid="{00000000-0005-0000-0000-000004AF0000}"/>
    <cellStyle name="표준 5 5 2 2 3 2 5 2 2" xfId="30405" xr:uid="{00000000-0005-0000-0000-000005AF0000}"/>
    <cellStyle name="표준 5 5 2 2 3 2 5 2 3" xfId="38616" xr:uid="{00000000-0005-0000-0000-000006AF0000}"/>
    <cellStyle name="표준 5 5 2 2 3 2 5 2 4" xfId="46809" xr:uid="{00000000-0005-0000-0000-000007AF0000}"/>
    <cellStyle name="표준 5 5 2 2 3 2 5 3" xfId="18051" xr:uid="{00000000-0005-0000-0000-000008AF0000}"/>
    <cellStyle name="표준 5 5 2 2 3 2 5 4" xfId="22213" xr:uid="{00000000-0005-0000-0000-000009AF0000}"/>
    <cellStyle name="표준 5 5 2 2 3 2 5 5" xfId="26309" xr:uid="{00000000-0005-0000-0000-00000AAF0000}"/>
    <cellStyle name="표준 5 5 2 2 3 2 5 6" xfId="34520" xr:uid="{00000000-0005-0000-0000-00000BAF0000}"/>
    <cellStyle name="표준 5 5 2 2 3 2 5 7" xfId="42713" xr:uid="{00000000-0005-0000-0000-00000CAF0000}"/>
    <cellStyle name="표준 5 5 2 2 3 2 6" xfId="7651" xr:uid="{00000000-0005-0000-0000-00000DAF0000}"/>
    <cellStyle name="표준 5 5 2 2 3 2 6 2" xfId="28357" xr:uid="{00000000-0005-0000-0000-00000EAF0000}"/>
    <cellStyle name="표준 5 5 2 2 3 2 6 3" xfId="36568" xr:uid="{00000000-0005-0000-0000-00000FAF0000}"/>
    <cellStyle name="표준 5 5 2 2 3 2 6 4" xfId="44761" xr:uid="{00000000-0005-0000-0000-000010AF0000}"/>
    <cellStyle name="표준 5 5 2 2 3 2 7" xfId="11763" xr:uid="{00000000-0005-0000-0000-000011AF0000}"/>
    <cellStyle name="표준 5 5 2 2 3 2 8" xfId="16003" xr:uid="{00000000-0005-0000-0000-000012AF0000}"/>
    <cellStyle name="표준 5 5 2 2 3 2 9" xfId="20165" xr:uid="{00000000-0005-0000-0000-000013AF0000}"/>
    <cellStyle name="표준 5 5 2 2 3 3" xfId="1052" xr:uid="{00000000-0005-0000-0000-000014AF0000}"/>
    <cellStyle name="표준 5 5 2 2 3 3 2" xfId="9955" xr:uid="{00000000-0005-0000-0000-000015AF0000}"/>
    <cellStyle name="표준 5 5 2 2 3 3 2 2" xfId="14067" xr:uid="{00000000-0005-0000-0000-000016AF0000}"/>
    <cellStyle name="표준 5 5 2 2 3 3 2 2 2" xfId="30661" xr:uid="{00000000-0005-0000-0000-000017AF0000}"/>
    <cellStyle name="표준 5 5 2 2 3 3 2 2 3" xfId="38872" xr:uid="{00000000-0005-0000-0000-000018AF0000}"/>
    <cellStyle name="표준 5 5 2 2 3 3 2 2 4" xfId="47065" xr:uid="{00000000-0005-0000-0000-000019AF0000}"/>
    <cellStyle name="표준 5 5 2 2 3 3 2 3" xfId="18307" xr:uid="{00000000-0005-0000-0000-00001AAF0000}"/>
    <cellStyle name="표준 5 5 2 2 3 3 2 4" xfId="22469" xr:uid="{00000000-0005-0000-0000-00001BAF0000}"/>
    <cellStyle name="표준 5 5 2 2 3 3 2 5" xfId="26565" xr:uid="{00000000-0005-0000-0000-00001CAF0000}"/>
    <cellStyle name="표준 5 5 2 2 3 3 2 6" xfId="34776" xr:uid="{00000000-0005-0000-0000-00001DAF0000}"/>
    <cellStyle name="표준 5 5 2 2 3 3 2 7" xfId="42969" xr:uid="{00000000-0005-0000-0000-00001EAF0000}"/>
    <cellStyle name="표준 5 5 2 2 3 3 3" xfId="7907" xr:uid="{00000000-0005-0000-0000-00001FAF0000}"/>
    <cellStyle name="표준 5 5 2 2 3 3 3 2" xfId="28613" xr:uid="{00000000-0005-0000-0000-000020AF0000}"/>
    <cellStyle name="표준 5 5 2 2 3 3 3 3" xfId="36824" xr:uid="{00000000-0005-0000-0000-000021AF0000}"/>
    <cellStyle name="표준 5 5 2 2 3 3 3 4" xfId="45017" xr:uid="{00000000-0005-0000-0000-000022AF0000}"/>
    <cellStyle name="표준 5 5 2 2 3 3 4" xfId="12019" xr:uid="{00000000-0005-0000-0000-000023AF0000}"/>
    <cellStyle name="표준 5 5 2 2 3 3 5" xfId="16259" xr:uid="{00000000-0005-0000-0000-000024AF0000}"/>
    <cellStyle name="표준 5 5 2 2 3 3 6" xfId="20421" xr:uid="{00000000-0005-0000-0000-000025AF0000}"/>
    <cellStyle name="표준 5 5 2 2 3 3 7" xfId="24517" xr:uid="{00000000-0005-0000-0000-000026AF0000}"/>
    <cellStyle name="표준 5 5 2 2 3 3 8" xfId="32728" xr:uid="{00000000-0005-0000-0000-000027AF0000}"/>
    <cellStyle name="표준 5 5 2 2 3 3 9" xfId="40921" xr:uid="{00000000-0005-0000-0000-000028AF0000}"/>
    <cellStyle name="표준 5 5 2 2 3 4" xfId="1564" xr:uid="{00000000-0005-0000-0000-000029AF0000}"/>
    <cellStyle name="표준 5 5 2 2 3 4 2" xfId="10467" xr:uid="{00000000-0005-0000-0000-00002AAF0000}"/>
    <cellStyle name="표준 5 5 2 2 3 4 2 2" xfId="14579" xr:uid="{00000000-0005-0000-0000-00002BAF0000}"/>
    <cellStyle name="표준 5 5 2 2 3 4 2 2 2" xfId="31173" xr:uid="{00000000-0005-0000-0000-00002CAF0000}"/>
    <cellStyle name="표준 5 5 2 2 3 4 2 2 3" xfId="39384" xr:uid="{00000000-0005-0000-0000-00002DAF0000}"/>
    <cellStyle name="표준 5 5 2 2 3 4 2 2 4" xfId="47577" xr:uid="{00000000-0005-0000-0000-00002EAF0000}"/>
    <cellStyle name="표준 5 5 2 2 3 4 2 3" xfId="18819" xr:uid="{00000000-0005-0000-0000-00002FAF0000}"/>
    <cellStyle name="표준 5 5 2 2 3 4 2 4" xfId="22981" xr:uid="{00000000-0005-0000-0000-000030AF0000}"/>
    <cellStyle name="표준 5 5 2 2 3 4 2 5" xfId="27077" xr:uid="{00000000-0005-0000-0000-000031AF0000}"/>
    <cellStyle name="표준 5 5 2 2 3 4 2 6" xfId="35288" xr:uid="{00000000-0005-0000-0000-000032AF0000}"/>
    <cellStyle name="표준 5 5 2 2 3 4 2 7" xfId="43481" xr:uid="{00000000-0005-0000-0000-000033AF0000}"/>
    <cellStyle name="표준 5 5 2 2 3 4 3" xfId="8419" xr:uid="{00000000-0005-0000-0000-000034AF0000}"/>
    <cellStyle name="표준 5 5 2 2 3 4 3 2" xfId="29125" xr:uid="{00000000-0005-0000-0000-000035AF0000}"/>
    <cellStyle name="표준 5 5 2 2 3 4 3 3" xfId="37336" xr:uid="{00000000-0005-0000-0000-000036AF0000}"/>
    <cellStyle name="표준 5 5 2 2 3 4 3 4" xfId="45529" xr:uid="{00000000-0005-0000-0000-000037AF0000}"/>
    <cellStyle name="표준 5 5 2 2 3 4 4" xfId="12531" xr:uid="{00000000-0005-0000-0000-000038AF0000}"/>
    <cellStyle name="표준 5 5 2 2 3 4 5" xfId="16771" xr:uid="{00000000-0005-0000-0000-000039AF0000}"/>
    <cellStyle name="표준 5 5 2 2 3 4 6" xfId="20933" xr:uid="{00000000-0005-0000-0000-00003AAF0000}"/>
    <cellStyle name="표준 5 5 2 2 3 4 7" xfId="25029" xr:uid="{00000000-0005-0000-0000-00003BAF0000}"/>
    <cellStyle name="표준 5 5 2 2 3 4 8" xfId="33240" xr:uid="{00000000-0005-0000-0000-00003CAF0000}"/>
    <cellStyle name="표준 5 5 2 2 3 4 9" xfId="41433" xr:uid="{00000000-0005-0000-0000-00003DAF0000}"/>
    <cellStyle name="표준 5 5 2 2 3 5" xfId="2076" xr:uid="{00000000-0005-0000-0000-00003EAF0000}"/>
    <cellStyle name="표준 5 5 2 2 3 5 2" xfId="10979" xr:uid="{00000000-0005-0000-0000-00003FAF0000}"/>
    <cellStyle name="표준 5 5 2 2 3 5 2 2" xfId="15091" xr:uid="{00000000-0005-0000-0000-000040AF0000}"/>
    <cellStyle name="표준 5 5 2 2 3 5 2 2 2" xfId="31685" xr:uid="{00000000-0005-0000-0000-000041AF0000}"/>
    <cellStyle name="표준 5 5 2 2 3 5 2 2 3" xfId="39896" xr:uid="{00000000-0005-0000-0000-000042AF0000}"/>
    <cellStyle name="표준 5 5 2 2 3 5 2 2 4" xfId="48089" xr:uid="{00000000-0005-0000-0000-000043AF0000}"/>
    <cellStyle name="표준 5 5 2 2 3 5 2 3" xfId="19331" xr:uid="{00000000-0005-0000-0000-000044AF0000}"/>
    <cellStyle name="표준 5 5 2 2 3 5 2 4" xfId="23493" xr:uid="{00000000-0005-0000-0000-000045AF0000}"/>
    <cellStyle name="표준 5 5 2 2 3 5 2 5" xfId="27589" xr:uid="{00000000-0005-0000-0000-000046AF0000}"/>
    <cellStyle name="표준 5 5 2 2 3 5 2 6" xfId="35800" xr:uid="{00000000-0005-0000-0000-000047AF0000}"/>
    <cellStyle name="표준 5 5 2 2 3 5 2 7" xfId="43993" xr:uid="{00000000-0005-0000-0000-000048AF0000}"/>
    <cellStyle name="표준 5 5 2 2 3 5 3" xfId="8931" xr:uid="{00000000-0005-0000-0000-000049AF0000}"/>
    <cellStyle name="표준 5 5 2 2 3 5 3 2" xfId="29637" xr:uid="{00000000-0005-0000-0000-00004AAF0000}"/>
    <cellStyle name="표준 5 5 2 2 3 5 3 3" xfId="37848" xr:uid="{00000000-0005-0000-0000-00004BAF0000}"/>
    <cellStyle name="표준 5 5 2 2 3 5 3 4" xfId="46041" xr:uid="{00000000-0005-0000-0000-00004CAF0000}"/>
    <cellStyle name="표준 5 5 2 2 3 5 4" xfId="13043" xr:uid="{00000000-0005-0000-0000-00004DAF0000}"/>
    <cellStyle name="표준 5 5 2 2 3 5 5" xfId="17283" xr:uid="{00000000-0005-0000-0000-00004EAF0000}"/>
    <cellStyle name="표준 5 5 2 2 3 5 6" xfId="21445" xr:uid="{00000000-0005-0000-0000-00004FAF0000}"/>
    <cellStyle name="표준 5 5 2 2 3 5 7" xfId="25541" xr:uid="{00000000-0005-0000-0000-000050AF0000}"/>
    <cellStyle name="표준 5 5 2 2 3 5 8" xfId="33752" xr:uid="{00000000-0005-0000-0000-000051AF0000}"/>
    <cellStyle name="표준 5 5 2 2 3 5 9" xfId="41945" xr:uid="{00000000-0005-0000-0000-000052AF0000}"/>
    <cellStyle name="표준 5 5 2 2 3 6" xfId="9443" xr:uid="{00000000-0005-0000-0000-000053AF0000}"/>
    <cellStyle name="표준 5 5 2 2 3 6 2" xfId="13555" xr:uid="{00000000-0005-0000-0000-000054AF0000}"/>
    <cellStyle name="표준 5 5 2 2 3 6 2 2" xfId="30149" xr:uid="{00000000-0005-0000-0000-000055AF0000}"/>
    <cellStyle name="표준 5 5 2 2 3 6 2 3" xfId="38360" xr:uid="{00000000-0005-0000-0000-000056AF0000}"/>
    <cellStyle name="표준 5 5 2 2 3 6 2 4" xfId="46553" xr:uid="{00000000-0005-0000-0000-000057AF0000}"/>
    <cellStyle name="표준 5 5 2 2 3 6 3" xfId="17795" xr:uid="{00000000-0005-0000-0000-000058AF0000}"/>
    <cellStyle name="표준 5 5 2 2 3 6 4" xfId="21957" xr:uid="{00000000-0005-0000-0000-000059AF0000}"/>
    <cellStyle name="표준 5 5 2 2 3 6 5" xfId="26053" xr:uid="{00000000-0005-0000-0000-00005AAF0000}"/>
    <cellStyle name="표준 5 5 2 2 3 6 6" xfId="34264" xr:uid="{00000000-0005-0000-0000-00005BAF0000}"/>
    <cellStyle name="표준 5 5 2 2 3 6 7" xfId="42457" xr:uid="{00000000-0005-0000-0000-00005CAF0000}"/>
    <cellStyle name="표준 5 5 2 2 3 7" xfId="7395" xr:uid="{00000000-0005-0000-0000-00005DAF0000}"/>
    <cellStyle name="표준 5 5 2 2 3 7 2" xfId="28101" xr:uid="{00000000-0005-0000-0000-00005EAF0000}"/>
    <cellStyle name="표준 5 5 2 2 3 7 3" xfId="36312" xr:uid="{00000000-0005-0000-0000-00005FAF0000}"/>
    <cellStyle name="표준 5 5 2 2 3 7 4" xfId="44505" xr:uid="{00000000-0005-0000-0000-000060AF0000}"/>
    <cellStyle name="표준 5 5 2 2 3 8" xfId="11507" xr:uid="{00000000-0005-0000-0000-000061AF0000}"/>
    <cellStyle name="표준 5 5 2 2 3 9" xfId="15747" xr:uid="{00000000-0005-0000-0000-000062AF0000}"/>
    <cellStyle name="표준 5 5 2 2 4" xfId="668" xr:uid="{00000000-0005-0000-0000-000063AF0000}"/>
    <cellStyle name="표준 5 5 2 2 4 10" xfId="24133" xr:uid="{00000000-0005-0000-0000-000064AF0000}"/>
    <cellStyle name="표준 5 5 2 2 4 11" xfId="32344" xr:uid="{00000000-0005-0000-0000-000065AF0000}"/>
    <cellStyle name="표준 5 5 2 2 4 12" xfId="40537" xr:uid="{00000000-0005-0000-0000-000066AF0000}"/>
    <cellStyle name="표준 5 5 2 2 4 2" xfId="1180" xr:uid="{00000000-0005-0000-0000-000067AF0000}"/>
    <cellStyle name="표준 5 5 2 2 4 2 2" xfId="10083" xr:uid="{00000000-0005-0000-0000-000068AF0000}"/>
    <cellStyle name="표준 5 5 2 2 4 2 2 2" xfId="14195" xr:uid="{00000000-0005-0000-0000-000069AF0000}"/>
    <cellStyle name="표준 5 5 2 2 4 2 2 2 2" xfId="30789" xr:uid="{00000000-0005-0000-0000-00006AAF0000}"/>
    <cellStyle name="표준 5 5 2 2 4 2 2 2 3" xfId="39000" xr:uid="{00000000-0005-0000-0000-00006BAF0000}"/>
    <cellStyle name="표준 5 5 2 2 4 2 2 2 4" xfId="47193" xr:uid="{00000000-0005-0000-0000-00006CAF0000}"/>
    <cellStyle name="표준 5 5 2 2 4 2 2 3" xfId="18435" xr:uid="{00000000-0005-0000-0000-00006DAF0000}"/>
    <cellStyle name="표준 5 5 2 2 4 2 2 4" xfId="22597" xr:uid="{00000000-0005-0000-0000-00006EAF0000}"/>
    <cellStyle name="표준 5 5 2 2 4 2 2 5" xfId="26693" xr:uid="{00000000-0005-0000-0000-00006FAF0000}"/>
    <cellStyle name="표준 5 5 2 2 4 2 2 6" xfId="34904" xr:uid="{00000000-0005-0000-0000-000070AF0000}"/>
    <cellStyle name="표준 5 5 2 2 4 2 2 7" xfId="43097" xr:uid="{00000000-0005-0000-0000-000071AF0000}"/>
    <cellStyle name="표준 5 5 2 2 4 2 3" xfId="8035" xr:uid="{00000000-0005-0000-0000-000072AF0000}"/>
    <cellStyle name="표준 5 5 2 2 4 2 3 2" xfId="28741" xr:uid="{00000000-0005-0000-0000-000073AF0000}"/>
    <cellStyle name="표준 5 5 2 2 4 2 3 3" xfId="36952" xr:uid="{00000000-0005-0000-0000-000074AF0000}"/>
    <cellStyle name="표준 5 5 2 2 4 2 3 4" xfId="45145" xr:uid="{00000000-0005-0000-0000-000075AF0000}"/>
    <cellStyle name="표준 5 5 2 2 4 2 4" xfId="12147" xr:uid="{00000000-0005-0000-0000-000076AF0000}"/>
    <cellStyle name="표준 5 5 2 2 4 2 5" xfId="16387" xr:uid="{00000000-0005-0000-0000-000077AF0000}"/>
    <cellStyle name="표준 5 5 2 2 4 2 6" xfId="20549" xr:uid="{00000000-0005-0000-0000-000078AF0000}"/>
    <cellStyle name="표준 5 5 2 2 4 2 7" xfId="24645" xr:uid="{00000000-0005-0000-0000-000079AF0000}"/>
    <cellStyle name="표준 5 5 2 2 4 2 8" xfId="32856" xr:uid="{00000000-0005-0000-0000-00007AAF0000}"/>
    <cellStyle name="표준 5 5 2 2 4 2 9" xfId="41049" xr:uid="{00000000-0005-0000-0000-00007BAF0000}"/>
    <cellStyle name="표준 5 5 2 2 4 3" xfId="1692" xr:uid="{00000000-0005-0000-0000-00007CAF0000}"/>
    <cellStyle name="표준 5 5 2 2 4 3 2" xfId="10595" xr:uid="{00000000-0005-0000-0000-00007DAF0000}"/>
    <cellStyle name="표준 5 5 2 2 4 3 2 2" xfId="14707" xr:uid="{00000000-0005-0000-0000-00007EAF0000}"/>
    <cellStyle name="표준 5 5 2 2 4 3 2 2 2" xfId="31301" xr:uid="{00000000-0005-0000-0000-00007FAF0000}"/>
    <cellStyle name="표준 5 5 2 2 4 3 2 2 3" xfId="39512" xr:uid="{00000000-0005-0000-0000-000080AF0000}"/>
    <cellStyle name="표준 5 5 2 2 4 3 2 2 4" xfId="47705" xr:uid="{00000000-0005-0000-0000-000081AF0000}"/>
    <cellStyle name="표준 5 5 2 2 4 3 2 3" xfId="18947" xr:uid="{00000000-0005-0000-0000-000082AF0000}"/>
    <cellStyle name="표준 5 5 2 2 4 3 2 4" xfId="23109" xr:uid="{00000000-0005-0000-0000-000083AF0000}"/>
    <cellStyle name="표준 5 5 2 2 4 3 2 5" xfId="27205" xr:uid="{00000000-0005-0000-0000-000084AF0000}"/>
    <cellStyle name="표준 5 5 2 2 4 3 2 6" xfId="35416" xr:uid="{00000000-0005-0000-0000-000085AF0000}"/>
    <cellStyle name="표준 5 5 2 2 4 3 2 7" xfId="43609" xr:uid="{00000000-0005-0000-0000-000086AF0000}"/>
    <cellStyle name="표준 5 5 2 2 4 3 3" xfId="8547" xr:uid="{00000000-0005-0000-0000-000087AF0000}"/>
    <cellStyle name="표준 5 5 2 2 4 3 3 2" xfId="29253" xr:uid="{00000000-0005-0000-0000-000088AF0000}"/>
    <cellStyle name="표준 5 5 2 2 4 3 3 3" xfId="37464" xr:uid="{00000000-0005-0000-0000-000089AF0000}"/>
    <cellStyle name="표준 5 5 2 2 4 3 3 4" xfId="45657" xr:uid="{00000000-0005-0000-0000-00008AAF0000}"/>
    <cellStyle name="표준 5 5 2 2 4 3 4" xfId="12659" xr:uid="{00000000-0005-0000-0000-00008BAF0000}"/>
    <cellStyle name="표준 5 5 2 2 4 3 5" xfId="16899" xr:uid="{00000000-0005-0000-0000-00008CAF0000}"/>
    <cellStyle name="표준 5 5 2 2 4 3 6" xfId="21061" xr:uid="{00000000-0005-0000-0000-00008DAF0000}"/>
    <cellStyle name="표준 5 5 2 2 4 3 7" xfId="25157" xr:uid="{00000000-0005-0000-0000-00008EAF0000}"/>
    <cellStyle name="표준 5 5 2 2 4 3 8" xfId="33368" xr:uid="{00000000-0005-0000-0000-00008FAF0000}"/>
    <cellStyle name="표준 5 5 2 2 4 3 9" xfId="41561" xr:uid="{00000000-0005-0000-0000-000090AF0000}"/>
    <cellStyle name="표준 5 5 2 2 4 4" xfId="2204" xr:uid="{00000000-0005-0000-0000-000091AF0000}"/>
    <cellStyle name="표준 5 5 2 2 4 4 2" xfId="11107" xr:uid="{00000000-0005-0000-0000-000092AF0000}"/>
    <cellStyle name="표준 5 5 2 2 4 4 2 2" xfId="15219" xr:uid="{00000000-0005-0000-0000-000093AF0000}"/>
    <cellStyle name="표준 5 5 2 2 4 4 2 2 2" xfId="31813" xr:uid="{00000000-0005-0000-0000-000094AF0000}"/>
    <cellStyle name="표준 5 5 2 2 4 4 2 2 3" xfId="40024" xr:uid="{00000000-0005-0000-0000-000095AF0000}"/>
    <cellStyle name="표준 5 5 2 2 4 4 2 2 4" xfId="48217" xr:uid="{00000000-0005-0000-0000-000096AF0000}"/>
    <cellStyle name="표준 5 5 2 2 4 4 2 3" xfId="19459" xr:uid="{00000000-0005-0000-0000-000097AF0000}"/>
    <cellStyle name="표준 5 5 2 2 4 4 2 4" xfId="23621" xr:uid="{00000000-0005-0000-0000-000098AF0000}"/>
    <cellStyle name="표준 5 5 2 2 4 4 2 5" xfId="27717" xr:uid="{00000000-0005-0000-0000-000099AF0000}"/>
    <cellStyle name="표준 5 5 2 2 4 4 2 6" xfId="35928" xr:uid="{00000000-0005-0000-0000-00009AAF0000}"/>
    <cellStyle name="표준 5 5 2 2 4 4 2 7" xfId="44121" xr:uid="{00000000-0005-0000-0000-00009BAF0000}"/>
    <cellStyle name="표준 5 5 2 2 4 4 3" xfId="9059" xr:uid="{00000000-0005-0000-0000-00009CAF0000}"/>
    <cellStyle name="표준 5 5 2 2 4 4 3 2" xfId="29765" xr:uid="{00000000-0005-0000-0000-00009DAF0000}"/>
    <cellStyle name="표준 5 5 2 2 4 4 3 3" xfId="37976" xr:uid="{00000000-0005-0000-0000-00009EAF0000}"/>
    <cellStyle name="표준 5 5 2 2 4 4 3 4" xfId="46169" xr:uid="{00000000-0005-0000-0000-00009FAF0000}"/>
    <cellStyle name="표준 5 5 2 2 4 4 4" xfId="13171" xr:uid="{00000000-0005-0000-0000-0000A0AF0000}"/>
    <cellStyle name="표준 5 5 2 2 4 4 5" xfId="17411" xr:uid="{00000000-0005-0000-0000-0000A1AF0000}"/>
    <cellStyle name="표준 5 5 2 2 4 4 6" xfId="21573" xr:uid="{00000000-0005-0000-0000-0000A2AF0000}"/>
    <cellStyle name="표준 5 5 2 2 4 4 7" xfId="25669" xr:uid="{00000000-0005-0000-0000-0000A3AF0000}"/>
    <cellStyle name="표준 5 5 2 2 4 4 8" xfId="33880" xr:uid="{00000000-0005-0000-0000-0000A4AF0000}"/>
    <cellStyle name="표준 5 5 2 2 4 4 9" xfId="42073" xr:uid="{00000000-0005-0000-0000-0000A5AF0000}"/>
    <cellStyle name="표준 5 5 2 2 4 5" xfId="9571" xr:uid="{00000000-0005-0000-0000-0000A6AF0000}"/>
    <cellStyle name="표준 5 5 2 2 4 5 2" xfId="13683" xr:uid="{00000000-0005-0000-0000-0000A7AF0000}"/>
    <cellStyle name="표준 5 5 2 2 4 5 2 2" xfId="30277" xr:uid="{00000000-0005-0000-0000-0000A8AF0000}"/>
    <cellStyle name="표준 5 5 2 2 4 5 2 3" xfId="38488" xr:uid="{00000000-0005-0000-0000-0000A9AF0000}"/>
    <cellStyle name="표준 5 5 2 2 4 5 2 4" xfId="46681" xr:uid="{00000000-0005-0000-0000-0000AAAF0000}"/>
    <cellStyle name="표준 5 5 2 2 4 5 3" xfId="17923" xr:uid="{00000000-0005-0000-0000-0000ABAF0000}"/>
    <cellStyle name="표준 5 5 2 2 4 5 4" xfId="22085" xr:uid="{00000000-0005-0000-0000-0000ACAF0000}"/>
    <cellStyle name="표준 5 5 2 2 4 5 5" xfId="26181" xr:uid="{00000000-0005-0000-0000-0000ADAF0000}"/>
    <cellStyle name="표준 5 5 2 2 4 5 6" xfId="34392" xr:uid="{00000000-0005-0000-0000-0000AEAF0000}"/>
    <cellStyle name="표준 5 5 2 2 4 5 7" xfId="42585" xr:uid="{00000000-0005-0000-0000-0000AFAF0000}"/>
    <cellStyle name="표준 5 5 2 2 4 6" xfId="7523" xr:uid="{00000000-0005-0000-0000-0000B0AF0000}"/>
    <cellStyle name="표준 5 5 2 2 4 6 2" xfId="28229" xr:uid="{00000000-0005-0000-0000-0000B1AF0000}"/>
    <cellStyle name="표준 5 5 2 2 4 6 3" xfId="36440" xr:uid="{00000000-0005-0000-0000-0000B2AF0000}"/>
    <cellStyle name="표준 5 5 2 2 4 6 4" xfId="44633" xr:uid="{00000000-0005-0000-0000-0000B3AF0000}"/>
    <cellStyle name="표준 5 5 2 2 4 7" xfId="11635" xr:uid="{00000000-0005-0000-0000-0000B4AF0000}"/>
    <cellStyle name="표준 5 5 2 2 4 8" xfId="15875" xr:uid="{00000000-0005-0000-0000-0000B5AF0000}"/>
    <cellStyle name="표준 5 5 2 2 4 9" xfId="20037" xr:uid="{00000000-0005-0000-0000-0000B6AF0000}"/>
    <cellStyle name="표준 5 5 2 2 5" xfId="924" xr:uid="{00000000-0005-0000-0000-0000B7AF0000}"/>
    <cellStyle name="표준 5 5 2 2 5 2" xfId="9827" xr:uid="{00000000-0005-0000-0000-0000B8AF0000}"/>
    <cellStyle name="표준 5 5 2 2 5 2 2" xfId="13939" xr:uid="{00000000-0005-0000-0000-0000B9AF0000}"/>
    <cellStyle name="표준 5 5 2 2 5 2 2 2" xfId="30533" xr:uid="{00000000-0005-0000-0000-0000BAAF0000}"/>
    <cellStyle name="표준 5 5 2 2 5 2 2 3" xfId="38744" xr:uid="{00000000-0005-0000-0000-0000BBAF0000}"/>
    <cellStyle name="표준 5 5 2 2 5 2 2 4" xfId="46937" xr:uid="{00000000-0005-0000-0000-0000BCAF0000}"/>
    <cellStyle name="표준 5 5 2 2 5 2 3" xfId="18179" xr:uid="{00000000-0005-0000-0000-0000BDAF0000}"/>
    <cellStyle name="표준 5 5 2 2 5 2 4" xfId="22341" xr:uid="{00000000-0005-0000-0000-0000BEAF0000}"/>
    <cellStyle name="표준 5 5 2 2 5 2 5" xfId="26437" xr:uid="{00000000-0005-0000-0000-0000BFAF0000}"/>
    <cellStyle name="표준 5 5 2 2 5 2 6" xfId="34648" xr:uid="{00000000-0005-0000-0000-0000C0AF0000}"/>
    <cellStyle name="표준 5 5 2 2 5 2 7" xfId="42841" xr:uid="{00000000-0005-0000-0000-0000C1AF0000}"/>
    <cellStyle name="표준 5 5 2 2 5 3" xfId="7779" xr:uid="{00000000-0005-0000-0000-0000C2AF0000}"/>
    <cellStyle name="표준 5 5 2 2 5 3 2" xfId="28485" xr:uid="{00000000-0005-0000-0000-0000C3AF0000}"/>
    <cellStyle name="표준 5 5 2 2 5 3 3" xfId="36696" xr:uid="{00000000-0005-0000-0000-0000C4AF0000}"/>
    <cellStyle name="표준 5 5 2 2 5 3 4" xfId="44889" xr:uid="{00000000-0005-0000-0000-0000C5AF0000}"/>
    <cellStyle name="표준 5 5 2 2 5 4" xfId="11891" xr:uid="{00000000-0005-0000-0000-0000C6AF0000}"/>
    <cellStyle name="표준 5 5 2 2 5 5" xfId="16131" xr:uid="{00000000-0005-0000-0000-0000C7AF0000}"/>
    <cellStyle name="표준 5 5 2 2 5 6" xfId="20293" xr:uid="{00000000-0005-0000-0000-0000C8AF0000}"/>
    <cellStyle name="표준 5 5 2 2 5 7" xfId="24389" xr:uid="{00000000-0005-0000-0000-0000C9AF0000}"/>
    <cellStyle name="표준 5 5 2 2 5 8" xfId="32600" xr:uid="{00000000-0005-0000-0000-0000CAAF0000}"/>
    <cellStyle name="표준 5 5 2 2 5 9" xfId="40793" xr:uid="{00000000-0005-0000-0000-0000CBAF0000}"/>
    <cellStyle name="표준 5 5 2 2 6" xfId="1436" xr:uid="{00000000-0005-0000-0000-0000CCAF0000}"/>
    <cellStyle name="표준 5 5 2 2 6 2" xfId="10339" xr:uid="{00000000-0005-0000-0000-0000CDAF0000}"/>
    <cellStyle name="표준 5 5 2 2 6 2 2" xfId="14451" xr:uid="{00000000-0005-0000-0000-0000CEAF0000}"/>
    <cellStyle name="표준 5 5 2 2 6 2 2 2" xfId="31045" xr:uid="{00000000-0005-0000-0000-0000CFAF0000}"/>
    <cellStyle name="표준 5 5 2 2 6 2 2 3" xfId="39256" xr:uid="{00000000-0005-0000-0000-0000D0AF0000}"/>
    <cellStyle name="표준 5 5 2 2 6 2 2 4" xfId="47449" xr:uid="{00000000-0005-0000-0000-0000D1AF0000}"/>
    <cellStyle name="표준 5 5 2 2 6 2 3" xfId="18691" xr:uid="{00000000-0005-0000-0000-0000D2AF0000}"/>
    <cellStyle name="표준 5 5 2 2 6 2 4" xfId="22853" xr:uid="{00000000-0005-0000-0000-0000D3AF0000}"/>
    <cellStyle name="표준 5 5 2 2 6 2 5" xfId="26949" xr:uid="{00000000-0005-0000-0000-0000D4AF0000}"/>
    <cellStyle name="표준 5 5 2 2 6 2 6" xfId="35160" xr:uid="{00000000-0005-0000-0000-0000D5AF0000}"/>
    <cellStyle name="표준 5 5 2 2 6 2 7" xfId="43353" xr:uid="{00000000-0005-0000-0000-0000D6AF0000}"/>
    <cellStyle name="표준 5 5 2 2 6 3" xfId="8291" xr:uid="{00000000-0005-0000-0000-0000D7AF0000}"/>
    <cellStyle name="표준 5 5 2 2 6 3 2" xfId="28997" xr:uid="{00000000-0005-0000-0000-0000D8AF0000}"/>
    <cellStyle name="표준 5 5 2 2 6 3 3" xfId="37208" xr:uid="{00000000-0005-0000-0000-0000D9AF0000}"/>
    <cellStyle name="표준 5 5 2 2 6 3 4" xfId="45401" xr:uid="{00000000-0005-0000-0000-0000DAAF0000}"/>
    <cellStyle name="표준 5 5 2 2 6 4" xfId="12403" xr:uid="{00000000-0005-0000-0000-0000DBAF0000}"/>
    <cellStyle name="표준 5 5 2 2 6 5" xfId="16643" xr:uid="{00000000-0005-0000-0000-0000DCAF0000}"/>
    <cellStyle name="표준 5 5 2 2 6 6" xfId="20805" xr:uid="{00000000-0005-0000-0000-0000DDAF0000}"/>
    <cellStyle name="표준 5 5 2 2 6 7" xfId="24901" xr:uid="{00000000-0005-0000-0000-0000DEAF0000}"/>
    <cellStyle name="표준 5 5 2 2 6 8" xfId="33112" xr:uid="{00000000-0005-0000-0000-0000DFAF0000}"/>
    <cellStyle name="표준 5 5 2 2 6 9" xfId="41305" xr:uid="{00000000-0005-0000-0000-0000E0AF0000}"/>
    <cellStyle name="표준 5 5 2 2 7" xfId="1948" xr:uid="{00000000-0005-0000-0000-0000E1AF0000}"/>
    <cellStyle name="표준 5 5 2 2 7 2" xfId="10851" xr:uid="{00000000-0005-0000-0000-0000E2AF0000}"/>
    <cellStyle name="표준 5 5 2 2 7 2 2" xfId="14963" xr:uid="{00000000-0005-0000-0000-0000E3AF0000}"/>
    <cellStyle name="표준 5 5 2 2 7 2 2 2" xfId="31557" xr:uid="{00000000-0005-0000-0000-0000E4AF0000}"/>
    <cellStyle name="표준 5 5 2 2 7 2 2 3" xfId="39768" xr:uid="{00000000-0005-0000-0000-0000E5AF0000}"/>
    <cellStyle name="표준 5 5 2 2 7 2 2 4" xfId="47961" xr:uid="{00000000-0005-0000-0000-0000E6AF0000}"/>
    <cellStyle name="표준 5 5 2 2 7 2 3" xfId="19203" xr:uid="{00000000-0005-0000-0000-0000E7AF0000}"/>
    <cellStyle name="표준 5 5 2 2 7 2 4" xfId="23365" xr:uid="{00000000-0005-0000-0000-0000E8AF0000}"/>
    <cellStyle name="표준 5 5 2 2 7 2 5" xfId="27461" xr:uid="{00000000-0005-0000-0000-0000E9AF0000}"/>
    <cellStyle name="표준 5 5 2 2 7 2 6" xfId="35672" xr:uid="{00000000-0005-0000-0000-0000EAAF0000}"/>
    <cellStyle name="표준 5 5 2 2 7 2 7" xfId="43865" xr:uid="{00000000-0005-0000-0000-0000EBAF0000}"/>
    <cellStyle name="표준 5 5 2 2 7 3" xfId="8803" xr:uid="{00000000-0005-0000-0000-0000ECAF0000}"/>
    <cellStyle name="표준 5 5 2 2 7 3 2" xfId="29509" xr:uid="{00000000-0005-0000-0000-0000EDAF0000}"/>
    <cellStyle name="표준 5 5 2 2 7 3 3" xfId="37720" xr:uid="{00000000-0005-0000-0000-0000EEAF0000}"/>
    <cellStyle name="표준 5 5 2 2 7 3 4" xfId="45913" xr:uid="{00000000-0005-0000-0000-0000EFAF0000}"/>
    <cellStyle name="표준 5 5 2 2 7 4" xfId="12915" xr:uid="{00000000-0005-0000-0000-0000F0AF0000}"/>
    <cellStyle name="표준 5 5 2 2 7 5" xfId="17155" xr:uid="{00000000-0005-0000-0000-0000F1AF0000}"/>
    <cellStyle name="표준 5 5 2 2 7 6" xfId="21317" xr:uid="{00000000-0005-0000-0000-0000F2AF0000}"/>
    <cellStyle name="표준 5 5 2 2 7 7" xfId="25413" xr:uid="{00000000-0005-0000-0000-0000F3AF0000}"/>
    <cellStyle name="표준 5 5 2 2 7 8" xfId="33624" xr:uid="{00000000-0005-0000-0000-0000F4AF0000}"/>
    <cellStyle name="표준 5 5 2 2 7 9" xfId="41817" xr:uid="{00000000-0005-0000-0000-0000F5AF0000}"/>
    <cellStyle name="표준 5 5 2 2 8" xfId="7040" xr:uid="{00000000-0005-0000-0000-0000F6AF0000}"/>
    <cellStyle name="표준 5 5 2 2 8 2" xfId="9315" xr:uid="{00000000-0005-0000-0000-0000F7AF0000}"/>
    <cellStyle name="표준 5 5 2 2 8 2 2" xfId="30021" xr:uid="{00000000-0005-0000-0000-0000F8AF0000}"/>
    <cellStyle name="표준 5 5 2 2 8 2 3" xfId="38232" xr:uid="{00000000-0005-0000-0000-0000F9AF0000}"/>
    <cellStyle name="표준 5 5 2 2 8 2 4" xfId="46425" xr:uid="{00000000-0005-0000-0000-0000FAAF0000}"/>
    <cellStyle name="표준 5 5 2 2 8 3" xfId="13427" xr:uid="{00000000-0005-0000-0000-0000FBAF0000}"/>
    <cellStyle name="표준 5 5 2 2 8 4" xfId="17667" xr:uid="{00000000-0005-0000-0000-0000FCAF0000}"/>
    <cellStyle name="표준 5 5 2 2 8 5" xfId="21829" xr:uid="{00000000-0005-0000-0000-0000FDAF0000}"/>
    <cellStyle name="표준 5 5 2 2 8 6" xfId="25925" xr:uid="{00000000-0005-0000-0000-0000FEAF0000}"/>
    <cellStyle name="표준 5 5 2 2 8 7" xfId="34136" xr:uid="{00000000-0005-0000-0000-0000FFAF0000}"/>
    <cellStyle name="표준 5 5 2 2 8 8" xfId="42329" xr:uid="{00000000-0005-0000-0000-000000B00000}"/>
    <cellStyle name="표준 5 5 2 2 9" xfId="7138" xr:uid="{00000000-0005-0000-0000-000001B00000}"/>
    <cellStyle name="표준 5 5 2 2 9 2" xfId="27973" xr:uid="{00000000-0005-0000-0000-000002B00000}"/>
    <cellStyle name="표준 5 5 2 2 9 3" xfId="36184" xr:uid="{00000000-0005-0000-0000-000003B00000}"/>
    <cellStyle name="표준 5 5 2 2 9 4" xfId="44377" xr:uid="{00000000-0005-0000-0000-000004B00000}"/>
    <cellStyle name="표준 5 5 2 3" xfId="444" xr:uid="{00000000-0005-0000-0000-000005B00000}"/>
    <cellStyle name="표준 5 5 2 3 10" xfId="15651" xr:uid="{00000000-0005-0000-0000-000006B00000}"/>
    <cellStyle name="표준 5 5 2 3 11" xfId="19813" xr:uid="{00000000-0005-0000-0000-000007B00000}"/>
    <cellStyle name="표준 5 5 2 3 12" xfId="23909" xr:uid="{00000000-0005-0000-0000-000008B00000}"/>
    <cellStyle name="표준 5 5 2 3 13" xfId="32120" xr:uid="{00000000-0005-0000-0000-000009B00000}"/>
    <cellStyle name="표준 5 5 2 3 14" xfId="40313" xr:uid="{00000000-0005-0000-0000-00000AB00000}"/>
    <cellStyle name="표준 5 5 2 3 2" xfId="572" xr:uid="{00000000-0005-0000-0000-00000BB00000}"/>
    <cellStyle name="표준 5 5 2 3 2 10" xfId="19941" xr:uid="{00000000-0005-0000-0000-00000CB00000}"/>
    <cellStyle name="표준 5 5 2 3 2 11" xfId="24037" xr:uid="{00000000-0005-0000-0000-00000DB00000}"/>
    <cellStyle name="표준 5 5 2 3 2 12" xfId="32248" xr:uid="{00000000-0005-0000-0000-00000EB00000}"/>
    <cellStyle name="표준 5 5 2 3 2 13" xfId="40441" xr:uid="{00000000-0005-0000-0000-00000FB00000}"/>
    <cellStyle name="표준 5 5 2 3 2 2" xfId="828" xr:uid="{00000000-0005-0000-0000-000010B00000}"/>
    <cellStyle name="표준 5 5 2 3 2 2 10" xfId="24293" xr:uid="{00000000-0005-0000-0000-000011B00000}"/>
    <cellStyle name="표준 5 5 2 3 2 2 11" xfId="32504" xr:uid="{00000000-0005-0000-0000-000012B00000}"/>
    <cellStyle name="표준 5 5 2 3 2 2 12" xfId="40697" xr:uid="{00000000-0005-0000-0000-000013B00000}"/>
    <cellStyle name="표준 5 5 2 3 2 2 2" xfId="1340" xr:uid="{00000000-0005-0000-0000-000014B00000}"/>
    <cellStyle name="표준 5 5 2 3 2 2 2 2" xfId="10243" xr:uid="{00000000-0005-0000-0000-000015B00000}"/>
    <cellStyle name="표준 5 5 2 3 2 2 2 2 2" xfId="14355" xr:uid="{00000000-0005-0000-0000-000016B00000}"/>
    <cellStyle name="표준 5 5 2 3 2 2 2 2 2 2" xfId="30949" xr:uid="{00000000-0005-0000-0000-000017B00000}"/>
    <cellStyle name="표준 5 5 2 3 2 2 2 2 2 3" xfId="39160" xr:uid="{00000000-0005-0000-0000-000018B00000}"/>
    <cellStyle name="표준 5 5 2 3 2 2 2 2 2 4" xfId="47353" xr:uid="{00000000-0005-0000-0000-000019B00000}"/>
    <cellStyle name="표준 5 5 2 3 2 2 2 2 3" xfId="18595" xr:uid="{00000000-0005-0000-0000-00001AB00000}"/>
    <cellStyle name="표준 5 5 2 3 2 2 2 2 4" xfId="22757" xr:uid="{00000000-0005-0000-0000-00001BB00000}"/>
    <cellStyle name="표준 5 5 2 3 2 2 2 2 5" xfId="26853" xr:uid="{00000000-0005-0000-0000-00001CB00000}"/>
    <cellStyle name="표준 5 5 2 3 2 2 2 2 6" xfId="35064" xr:uid="{00000000-0005-0000-0000-00001DB00000}"/>
    <cellStyle name="표준 5 5 2 3 2 2 2 2 7" xfId="43257" xr:uid="{00000000-0005-0000-0000-00001EB00000}"/>
    <cellStyle name="표준 5 5 2 3 2 2 2 3" xfId="8195" xr:uid="{00000000-0005-0000-0000-00001FB00000}"/>
    <cellStyle name="표준 5 5 2 3 2 2 2 3 2" xfId="28901" xr:uid="{00000000-0005-0000-0000-000020B00000}"/>
    <cellStyle name="표준 5 5 2 3 2 2 2 3 3" xfId="37112" xr:uid="{00000000-0005-0000-0000-000021B00000}"/>
    <cellStyle name="표준 5 5 2 3 2 2 2 3 4" xfId="45305" xr:uid="{00000000-0005-0000-0000-000022B00000}"/>
    <cellStyle name="표준 5 5 2 3 2 2 2 4" xfId="12307" xr:uid="{00000000-0005-0000-0000-000023B00000}"/>
    <cellStyle name="표준 5 5 2 3 2 2 2 5" xfId="16547" xr:uid="{00000000-0005-0000-0000-000024B00000}"/>
    <cellStyle name="표준 5 5 2 3 2 2 2 6" xfId="20709" xr:uid="{00000000-0005-0000-0000-000025B00000}"/>
    <cellStyle name="표준 5 5 2 3 2 2 2 7" xfId="24805" xr:uid="{00000000-0005-0000-0000-000026B00000}"/>
    <cellStyle name="표준 5 5 2 3 2 2 2 8" xfId="33016" xr:uid="{00000000-0005-0000-0000-000027B00000}"/>
    <cellStyle name="표준 5 5 2 3 2 2 2 9" xfId="41209" xr:uid="{00000000-0005-0000-0000-000028B00000}"/>
    <cellStyle name="표준 5 5 2 3 2 2 3" xfId="1852" xr:uid="{00000000-0005-0000-0000-000029B00000}"/>
    <cellStyle name="표준 5 5 2 3 2 2 3 2" xfId="10755" xr:uid="{00000000-0005-0000-0000-00002AB00000}"/>
    <cellStyle name="표준 5 5 2 3 2 2 3 2 2" xfId="14867" xr:uid="{00000000-0005-0000-0000-00002BB00000}"/>
    <cellStyle name="표준 5 5 2 3 2 2 3 2 2 2" xfId="31461" xr:uid="{00000000-0005-0000-0000-00002CB00000}"/>
    <cellStyle name="표준 5 5 2 3 2 2 3 2 2 3" xfId="39672" xr:uid="{00000000-0005-0000-0000-00002DB00000}"/>
    <cellStyle name="표준 5 5 2 3 2 2 3 2 2 4" xfId="47865" xr:uid="{00000000-0005-0000-0000-00002EB00000}"/>
    <cellStyle name="표준 5 5 2 3 2 2 3 2 3" xfId="19107" xr:uid="{00000000-0005-0000-0000-00002FB00000}"/>
    <cellStyle name="표준 5 5 2 3 2 2 3 2 4" xfId="23269" xr:uid="{00000000-0005-0000-0000-000030B00000}"/>
    <cellStyle name="표준 5 5 2 3 2 2 3 2 5" xfId="27365" xr:uid="{00000000-0005-0000-0000-000031B00000}"/>
    <cellStyle name="표준 5 5 2 3 2 2 3 2 6" xfId="35576" xr:uid="{00000000-0005-0000-0000-000032B00000}"/>
    <cellStyle name="표준 5 5 2 3 2 2 3 2 7" xfId="43769" xr:uid="{00000000-0005-0000-0000-000033B00000}"/>
    <cellStyle name="표준 5 5 2 3 2 2 3 3" xfId="8707" xr:uid="{00000000-0005-0000-0000-000034B00000}"/>
    <cellStyle name="표준 5 5 2 3 2 2 3 3 2" xfId="29413" xr:uid="{00000000-0005-0000-0000-000035B00000}"/>
    <cellStyle name="표준 5 5 2 3 2 2 3 3 3" xfId="37624" xr:uid="{00000000-0005-0000-0000-000036B00000}"/>
    <cellStyle name="표준 5 5 2 3 2 2 3 3 4" xfId="45817" xr:uid="{00000000-0005-0000-0000-000037B00000}"/>
    <cellStyle name="표준 5 5 2 3 2 2 3 4" xfId="12819" xr:uid="{00000000-0005-0000-0000-000038B00000}"/>
    <cellStyle name="표준 5 5 2 3 2 2 3 5" xfId="17059" xr:uid="{00000000-0005-0000-0000-000039B00000}"/>
    <cellStyle name="표준 5 5 2 3 2 2 3 6" xfId="21221" xr:uid="{00000000-0005-0000-0000-00003AB00000}"/>
    <cellStyle name="표준 5 5 2 3 2 2 3 7" xfId="25317" xr:uid="{00000000-0005-0000-0000-00003BB00000}"/>
    <cellStyle name="표준 5 5 2 3 2 2 3 8" xfId="33528" xr:uid="{00000000-0005-0000-0000-00003CB00000}"/>
    <cellStyle name="표준 5 5 2 3 2 2 3 9" xfId="41721" xr:uid="{00000000-0005-0000-0000-00003DB00000}"/>
    <cellStyle name="표준 5 5 2 3 2 2 4" xfId="2364" xr:uid="{00000000-0005-0000-0000-00003EB00000}"/>
    <cellStyle name="표준 5 5 2 3 2 2 4 2" xfId="11267" xr:uid="{00000000-0005-0000-0000-00003FB00000}"/>
    <cellStyle name="표준 5 5 2 3 2 2 4 2 2" xfId="15379" xr:uid="{00000000-0005-0000-0000-000040B00000}"/>
    <cellStyle name="표준 5 5 2 3 2 2 4 2 2 2" xfId="31973" xr:uid="{00000000-0005-0000-0000-000041B00000}"/>
    <cellStyle name="표준 5 5 2 3 2 2 4 2 2 3" xfId="40184" xr:uid="{00000000-0005-0000-0000-000042B00000}"/>
    <cellStyle name="표준 5 5 2 3 2 2 4 2 2 4" xfId="48377" xr:uid="{00000000-0005-0000-0000-000043B00000}"/>
    <cellStyle name="표준 5 5 2 3 2 2 4 2 3" xfId="19619" xr:uid="{00000000-0005-0000-0000-000044B00000}"/>
    <cellStyle name="표준 5 5 2 3 2 2 4 2 4" xfId="23781" xr:uid="{00000000-0005-0000-0000-000045B00000}"/>
    <cellStyle name="표준 5 5 2 3 2 2 4 2 5" xfId="27877" xr:uid="{00000000-0005-0000-0000-000046B00000}"/>
    <cellStyle name="표준 5 5 2 3 2 2 4 2 6" xfId="36088" xr:uid="{00000000-0005-0000-0000-000047B00000}"/>
    <cellStyle name="표준 5 5 2 3 2 2 4 2 7" xfId="44281" xr:uid="{00000000-0005-0000-0000-000048B00000}"/>
    <cellStyle name="표준 5 5 2 3 2 2 4 3" xfId="9219" xr:uid="{00000000-0005-0000-0000-000049B00000}"/>
    <cellStyle name="표준 5 5 2 3 2 2 4 3 2" xfId="29925" xr:uid="{00000000-0005-0000-0000-00004AB00000}"/>
    <cellStyle name="표준 5 5 2 3 2 2 4 3 3" xfId="38136" xr:uid="{00000000-0005-0000-0000-00004BB00000}"/>
    <cellStyle name="표준 5 5 2 3 2 2 4 3 4" xfId="46329" xr:uid="{00000000-0005-0000-0000-00004CB00000}"/>
    <cellStyle name="표준 5 5 2 3 2 2 4 4" xfId="13331" xr:uid="{00000000-0005-0000-0000-00004DB00000}"/>
    <cellStyle name="표준 5 5 2 3 2 2 4 5" xfId="17571" xr:uid="{00000000-0005-0000-0000-00004EB00000}"/>
    <cellStyle name="표준 5 5 2 3 2 2 4 6" xfId="21733" xr:uid="{00000000-0005-0000-0000-00004FB00000}"/>
    <cellStyle name="표준 5 5 2 3 2 2 4 7" xfId="25829" xr:uid="{00000000-0005-0000-0000-000050B00000}"/>
    <cellStyle name="표준 5 5 2 3 2 2 4 8" xfId="34040" xr:uid="{00000000-0005-0000-0000-000051B00000}"/>
    <cellStyle name="표준 5 5 2 3 2 2 4 9" xfId="42233" xr:uid="{00000000-0005-0000-0000-000052B00000}"/>
    <cellStyle name="표준 5 5 2 3 2 2 5" xfId="9731" xr:uid="{00000000-0005-0000-0000-000053B00000}"/>
    <cellStyle name="표준 5 5 2 3 2 2 5 2" xfId="13843" xr:uid="{00000000-0005-0000-0000-000054B00000}"/>
    <cellStyle name="표준 5 5 2 3 2 2 5 2 2" xfId="30437" xr:uid="{00000000-0005-0000-0000-000055B00000}"/>
    <cellStyle name="표준 5 5 2 3 2 2 5 2 3" xfId="38648" xr:uid="{00000000-0005-0000-0000-000056B00000}"/>
    <cellStyle name="표준 5 5 2 3 2 2 5 2 4" xfId="46841" xr:uid="{00000000-0005-0000-0000-000057B00000}"/>
    <cellStyle name="표준 5 5 2 3 2 2 5 3" xfId="18083" xr:uid="{00000000-0005-0000-0000-000058B00000}"/>
    <cellStyle name="표준 5 5 2 3 2 2 5 4" xfId="22245" xr:uid="{00000000-0005-0000-0000-000059B00000}"/>
    <cellStyle name="표준 5 5 2 3 2 2 5 5" xfId="26341" xr:uid="{00000000-0005-0000-0000-00005AB00000}"/>
    <cellStyle name="표준 5 5 2 3 2 2 5 6" xfId="34552" xr:uid="{00000000-0005-0000-0000-00005BB00000}"/>
    <cellStyle name="표준 5 5 2 3 2 2 5 7" xfId="42745" xr:uid="{00000000-0005-0000-0000-00005CB00000}"/>
    <cellStyle name="표준 5 5 2 3 2 2 6" xfId="7683" xr:uid="{00000000-0005-0000-0000-00005DB00000}"/>
    <cellStyle name="표준 5 5 2 3 2 2 6 2" xfId="28389" xr:uid="{00000000-0005-0000-0000-00005EB00000}"/>
    <cellStyle name="표준 5 5 2 3 2 2 6 3" xfId="36600" xr:uid="{00000000-0005-0000-0000-00005FB00000}"/>
    <cellStyle name="표준 5 5 2 3 2 2 6 4" xfId="44793" xr:uid="{00000000-0005-0000-0000-000060B00000}"/>
    <cellStyle name="표준 5 5 2 3 2 2 7" xfId="11795" xr:uid="{00000000-0005-0000-0000-000061B00000}"/>
    <cellStyle name="표준 5 5 2 3 2 2 8" xfId="16035" xr:uid="{00000000-0005-0000-0000-000062B00000}"/>
    <cellStyle name="표준 5 5 2 3 2 2 9" xfId="20197" xr:uid="{00000000-0005-0000-0000-000063B00000}"/>
    <cellStyle name="표준 5 5 2 3 2 3" xfId="1084" xr:uid="{00000000-0005-0000-0000-000064B00000}"/>
    <cellStyle name="표준 5 5 2 3 2 3 2" xfId="9987" xr:uid="{00000000-0005-0000-0000-000065B00000}"/>
    <cellStyle name="표준 5 5 2 3 2 3 2 2" xfId="14099" xr:uid="{00000000-0005-0000-0000-000066B00000}"/>
    <cellStyle name="표준 5 5 2 3 2 3 2 2 2" xfId="30693" xr:uid="{00000000-0005-0000-0000-000067B00000}"/>
    <cellStyle name="표준 5 5 2 3 2 3 2 2 3" xfId="38904" xr:uid="{00000000-0005-0000-0000-000068B00000}"/>
    <cellStyle name="표준 5 5 2 3 2 3 2 2 4" xfId="47097" xr:uid="{00000000-0005-0000-0000-000069B00000}"/>
    <cellStyle name="표준 5 5 2 3 2 3 2 3" xfId="18339" xr:uid="{00000000-0005-0000-0000-00006AB00000}"/>
    <cellStyle name="표준 5 5 2 3 2 3 2 4" xfId="22501" xr:uid="{00000000-0005-0000-0000-00006BB00000}"/>
    <cellStyle name="표준 5 5 2 3 2 3 2 5" xfId="26597" xr:uid="{00000000-0005-0000-0000-00006CB00000}"/>
    <cellStyle name="표준 5 5 2 3 2 3 2 6" xfId="34808" xr:uid="{00000000-0005-0000-0000-00006DB00000}"/>
    <cellStyle name="표준 5 5 2 3 2 3 2 7" xfId="43001" xr:uid="{00000000-0005-0000-0000-00006EB00000}"/>
    <cellStyle name="표준 5 5 2 3 2 3 3" xfId="7939" xr:uid="{00000000-0005-0000-0000-00006FB00000}"/>
    <cellStyle name="표준 5 5 2 3 2 3 3 2" xfId="28645" xr:uid="{00000000-0005-0000-0000-000070B00000}"/>
    <cellStyle name="표준 5 5 2 3 2 3 3 3" xfId="36856" xr:uid="{00000000-0005-0000-0000-000071B00000}"/>
    <cellStyle name="표준 5 5 2 3 2 3 3 4" xfId="45049" xr:uid="{00000000-0005-0000-0000-000072B00000}"/>
    <cellStyle name="표준 5 5 2 3 2 3 4" xfId="12051" xr:uid="{00000000-0005-0000-0000-000073B00000}"/>
    <cellStyle name="표준 5 5 2 3 2 3 5" xfId="16291" xr:uid="{00000000-0005-0000-0000-000074B00000}"/>
    <cellStyle name="표준 5 5 2 3 2 3 6" xfId="20453" xr:uid="{00000000-0005-0000-0000-000075B00000}"/>
    <cellStyle name="표준 5 5 2 3 2 3 7" xfId="24549" xr:uid="{00000000-0005-0000-0000-000076B00000}"/>
    <cellStyle name="표준 5 5 2 3 2 3 8" xfId="32760" xr:uid="{00000000-0005-0000-0000-000077B00000}"/>
    <cellStyle name="표준 5 5 2 3 2 3 9" xfId="40953" xr:uid="{00000000-0005-0000-0000-000078B00000}"/>
    <cellStyle name="표준 5 5 2 3 2 4" xfId="1596" xr:uid="{00000000-0005-0000-0000-000079B00000}"/>
    <cellStyle name="표준 5 5 2 3 2 4 2" xfId="10499" xr:uid="{00000000-0005-0000-0000-00007AB00000}"/>
    <cellStyle name="표준 5 5 2 3 2 4 2 2" xfId="14611" xr:uid="{00000000-0005-0000-0000-00007BB00000}"/>
    <cellStyle name="표준 5 5 2 3 2 4 2 2 2" xfId="31205" xr:uid="{00000000-0005-0000-0000-00007CB00000}"/>
    <cellStyle name="표준 5 5 2 3 2 4 2 2 3" xfId="39416" xr:uid="{00000000-0005-0000-0000-00007DB00000}"/>
    <cellStyle name="표준 5 5 2 3 2 4 2 2 4" xfId="47609" xr:uid="{00000000-0005-0000-0000-00007EB00000}"/>
    <cellStyle name="표준 5 5 2 3 2 4 2 3" xfId="18851" xr:uid="{00000000-0005-0000-0000-00007FB00000}"/>
    <cellStyle name="표준 5 5 2 3 2 4 2 4" xfId="23013" xr:uid="{00000000-0005-0000-0000-000080B00000}"/>
    <cellStyle name="표준 5 5 2 3 2 4 2 5" xfId="27109" xr:uid="{00000000-0005-0000-0000-000081B00000}"/>
    <cellStyle name="표준 5 5 2 3 2 4 2 6" xfId="35320" xr:uid="{00000000-0005-0000-0000-000082B00000}"/>
    <cellStyle name="표준 5 5 2 3 2 4 2 7" xfId="43513" xr:uid="{00000000-0005-0000-0000-000083B00000}"/>
    <cellStyle name="표준 5 5 2 3 2 4 3" xfId="8451" xr:uid="{00000000-0005-0000-0000-000084B00000}"/>
    <cellStyle name="표준 5 5 2 3 2 4 3 2" xfId="29157" xr:uid="{00000000-0005-0000-0000-000085B00000}"/>
    <cellStyle name="표준 5 5 2 3 2 4 3 3" xfId="37368" xr:uid="{00000000-0005-0000-0000-000086B00000}"/>
    <cellStyle name="표준 5 5 2 3 2 4 3 4" xfId="45561" xr:uid="{00000000-0005-0000-0000-000087B00000}"/>
    <cellStyle name="표준 5 5 2 3 2 4 4" xfId="12563" xr:uid="{00000000-0005-0000-0000-000088B00000}"/>
    <cellStyle name="표준 5 5 2 3 2 4 5" xfId="16803" xr:uid="{00000000-0005-0000-0000-000089B00000}"/>
    <cellStyle name="표준 5 5 2 3 2 4 6" xfId="20965" xr:uid="{00000000-0005-0000-0000-00008AB00000}"/>
    <cellStyle name="표준 5 5 2 3 2 4 7" xfId="25061" xr:uid="{00000000-0005-0000-0000-00008BB00000}"/>
    <cellStyle name="표준 5 5 2 3 2 4 8" xfId="33272" xr:uid="{00000000-0005-0000-0000-00008CB00000}"/>
    <cellStyle name="표준 5 5 2 3 2 4 9" xfId="41465" xr:uid="{00000000-0005-0000-0000-00008DB00000}"/>
    <cellStyle name="표준 5 5 2 3 2 5" xfId="2108" xr:uid="{00000000-0005-0000-0000-00008EB00000}"/>
    <cellStyle name="표준 5 5 2 3 2 5 2" xfId="11011" xr:uid="{00000000-0005-0000-0000-00008FB00000}"/>
    <cellStyle name="표준 5 5 2 3 2 5 2 2" xfId="15123" xr:uid="{00000000-0005-0000-0000-000090B00000}"/>
    <cellStyle name="표준 5 5 2 3 2 5 2 2 2" xfId="31717" xr:uid="{00000000-0005-0000-0000-000091B00000}"/>
    <cellStyle name="표준 5 5 2 3 2 5 2 2 3" xfId="39928" xr:uid="{00000000-0005-0000-0000-000092B00000}"/>
    <cellStyle name="표준 5 5 2 3 2 5 2 2 4" xfId="48121" xr:uid="{00000000-0005-0000-0000-000093B00000}"/>
    <cellStyle name="표준 5 5 2 3 2 5 2 3" xfId="19363" xr:uid="{00000000-0005-0000-0000-000094B00000}"/>
    <cellStyle name="표준 5 5 2 3 2 5 2 4" xfId="23525" xr:uid="{00000000-0005-0000-0000-000095B00000}"/>
    <cellStyle name="표준 5 5 2 3 2 5 2 5" xfId="27621" xr:uid="{00000000-0005-0000-0000-000096B00000}"/>
    <cellStyle name="표준 5 5 2 3 2 5 2 6" xfId="35832" xr:uid="{00000000-0005-0000-0000-000097B00000}"/>
    <cellStyle name="표준 5 5 2 3 2 5 2 7" xfId="44025" xr:uid="{00000000-0005-0000-0000-000098B00000}"/>
    <cellStyle name="표준 5 5 2 3 2 5 3" xfId="8963" xr:uid="{00000000-0005-0000-0000-000099B00000}"/>
    <cellStyle name="표준 5 5 2 3 2 5 3 2" xfId="29669" xr:uid="{00000000-0005-0000-0000-00009AB00000}"/>
    <cellStyle name="표준 5 5 2 3 2 5 3 3" xfId="37880" xr:uid="{00000000-0005-0000-0000-00009BB00000}"/>
    <cellStyle name="표준 5 5 2 3 2 5 3 4" xfId="46073" xr:uid="{00000000-0005-0000-0000-00009CB00000}"/>
    <cellStyle name="표준 5 5 2 3 2 5 4" xfId="13075" xr:uid="{00000000-0005-0000-0000-00009DB00000}"/>
    <cellStyle name="표준 5 5 2 3 2 5 5" xfId="17315" xr:uid="{00000000-0005-0000-0000-00009EB00000}"/>
    <cellStyle name="표준 5 5 2 3 2 5 6" xfId="21477" xr:uid="{00000000-0005-0000-0000-00009FB00000}"/>
    <cellStyle name="표준 5 5 2 3 2 5 7" xfId="25573" xr:uid="{00000000-0005-0000-0000-0000A0B00000}"/>
    <cellStyle name="표준 5 5 2 3 2 5 8" xfId="33784" xr:uid="{00000000-0005-0000-0000-0000A1B00000}"/>
    <cellStyle name="표준 5 5 2 3 2 5 9" xfId="41977" xr:uid="{00000000-0005-0000-0000-0000A2B00000}"/>
    <cellStyle name="표준 5 5 2 3 2 6" xfId="9475" xr:uid="{00000000-0005-0000-0000-0000A3B00000}"/>
    <cellStyle name="표준 5 5 2 3 2 6 2" xfId="13587" xr:uid="{00000000-0005-0000-0000-0000A4B00000}"/>
    <cellStyle name="표준 5 5 2 3 2 6 2 2" xfId="30181" xr:uid="{00000000-0005-0000-0000-0000A5B00000}"/>
    <cellStyle name="표준 5 5 2 3 2 6 2 3" xfId="38392" xr:uid="{00000000-0005-0000-0000-0000A6B00000}"/>
    <cellStyle name="표준 5 5 2 3 2 6 2 4" xfId="46585" xr:uid="{00000000-0005-0000-0000-0000A7B00000}"/>
    <cellStyle name="표준 5 5 2 3 2 6 3" xfId="17827" xr:uid="{00000000-0005-0000-0000-0000A8B00000}"/>
    <cellStyle name="표준 5 5 2 3 2 6 4" xfId="21989" xr:uid="{00000000-0005-0000-0000-0000A9B00000}"/>
    <cellStyle name="표준 5 5 2 3 2 6 5" xfId="26085" xr:uid="{00000000-0005-0000-0000-0000AAB00000}"/>
    <cellStyle name="표준 5 5 2 3 2 6 6" xfId="34296" xr:uid="{00000000-0005-0000-0000-0000ABB00000}"/>
    <cellStyle name="표준 5 5 2 3 2 6 7" xfId="42489" xr:uid="{00000000-0005-0000-0000-0000ACB00000}"/>
    <cellStyle name="표준 5 5 2 3 2 7" xfId="7427" xr:uid="{00000000-0005-0000-0000-0000ADB00000}"/>
    <cellStyle name="표준 5 5 2 3 2 7 2" xfId="28133" xr:uid="{00000000-0005-0000-0000-0000AEB00000}"/>
    <cellStyle name="표준 5 5 2 3 2 7 3" xfId="36344" xr:uid="{00000000-0005-0000-0000-0000AFB00000}"/>
    <cellStyle name="표준 5 5 2 3 2 7 4" xfId="44537" xr:uid="{00000000-0005-0000-0000-0000B0B00000}"/>
    <cellStyle name="표준 5 5 2 3 2 8" xfId="11539" xr:uid="{00000000-0005-0000-0000-0000B1B00000}"/>
    <cellStyle name="표준 5 5 2 3 2 9" xfId="15779" xr:uid="{00000000-0005-0000-0000-0000B2B00000}"/>
    <cellStyle name="표준 5 5 2 3 3" xfId="700" xr:uid="{00000000-0005-0000-0000-0000B3B00000}"/>
    <cellStyle name="표준 5 5 2 3 3 10" xfId="24165" xr:uid="{00000000-0005-0000-0000-0000B4B00000}"/>
    <cellStyle name="표준 5 5 2 3 3 11" xfId="32376" xr:uid="{00000000-0005-0000-0000-0000B5B00000}"/>
    <cellStyle name="표준 5 5 2 3 3 12" xfId="40569" xr:uid="{00000000-0005-0000-0000-0000B6B00000}"/>
    <cellStyle name="표준 5 5 2 3 3 2" xfId="1212" xr:uid="{00000000-0005-0000-0000-0000B7B00000}"/>
    <cellStyle name="표준 5 5 2 3 3 2 2" xfId="10115" xr:uid="{00000000-0005-0000-0000-0000B8B00000}"/>
    <cellStyle name="표준 5 5 2 3 3 2 2 2" xfId="14227" xr:uid="{00000000-0005-0000-0000-0000B9B00000}"/>
    <cellStyle name="표준 5 5 2 3 3 2 2 2 2" xfId="30821" xr:uid="{00000000-0005-0000-0000-0000BAB00000}"/>
    <cellStyle name="표준 5 5 2 3 3 2 2 2 3" xfId="39032" xr:uid="{00000000-0005-0000-0000-0000BBB00000}"/>
    <cellStyle name="표준 5 5 2 3 3 2 2 2 4" xfId="47225" xr:uid="{00000000-0005-0000-0000-0000BCB00000}"/>
    <cellStyle name="표준 5 5 2 3 3 2 2 3" xfId="18467" xr:uid="{00000000-0005-0000-0000-0000BDB00000}"/>
    <cellStyle name="표준 5 5 2 3 3 2 2 4" xfId="22629" xr:uid="{00000000-0005-0000-0000-0000BEB00000}"/>
    <cellStyle name="표준 5 5 2 3 3 2 2 5" xfId="26725" xr:uid="{00000000-0005-0000-0000-0000BFB00000}"/>
    <cellStyle name="표준 5 5 2 3 3 2 2 6" xfId="34936" xr:uid="{00000000-0005-0000-0000-0000C0B00000}"/>
    <cellStyle name="표준 5 5 2 3 3 2 2 7" xfId="43129" xr:uid="{00000000-0005-0000-0000-0000C1B00000}"/>
    <cellStyle name="표준 5 5 2 3 3 2 3" xfId="8067" xr:uid="{00000000-0005-0000-0000-0000C2B00000}"/>
    <cellStyle name="표준 5 5 2 3 3 2 3 2" xfId="28773" xr:uid="{00000000-0005-0000-0000-0000C3B00000}"/>
    <cellStyle name="표준 5 5 2 3 3 2 3 3" xfId="36984" xr:uid="{00000000-0005-0000-0000-0000C4B00000}"/>
    <cellStyle name="표준 5 5 2 3 3 2 3 4" xfId="45177" xr:uid="{00000000-0005-0000-0000-0000C5B00000}"/>
    <cellStyle name="표준 5 5 2 3 3 2 4" xfId="12179" xr:uid="{00000000-0005-0000-0000-0000C6B00000}"/>
    <cellStyle name="표준 5 5 2 3 3 2 5" xfId="16419" xr:uid="{00000000-0005-0000-0000-0000C7B00000}"/>
    <cellStyle name="표준 5 5 2 3 3 2 6" xfId="20581" xr:uid="{00000000-0005-0000-0000-0000C8B00000}"/>
    <cellStyle name="표준 5 5 2 3 3 2 7" xfId="24677" xr:uid="{00000000-0005-0000-0000-0000C9B00000}"/>
    <cellStyle name="표준 5 5 2 3 3 2 8" xfId="32888" xr:uid="{00000000-0005-0000-0000-0000CAB00000}"/>
    <cellStyle name="표준 5 5 2 3 3 2 9" xfId="41081" xr:uid="{00000000-0005-0000-0000-0000CBB00000}"/>
    <cellStyle name="표준 5 5 2 3 3 3" xfId="1724" xr:uid="{00000000-0005-0000-0000-0000CCB00000}"/>
    <cellStyle name="표준 5 5 2 3 3 3 2" xfId="10627" xr:uid="{00000000-0005-0000-0000-0000CDB00000}"/>
    <cellStyle name="표준 5 5 2 3 3 3 2 2" xfId="14739" xr:uid="{00000000-0005-0000-0000-0000CEB00000}"/>
    <cellStyle name="표준 5 5 2 3 3 3 2 2 2" xfId="31333" xr:uid="{00000000-0005-0000-0000-0000CFB00000}"/>
    <cellStyle name="표준 5 5 2 3 3 3 2 2 3" xfId="39544" xr:uid="{00000000-0005-0000-0000-0000D0B00000}"/>
    <cellStyle name="표준 5 5 2 3 3 3 2 2 4" xfId="47737" xr:uid="{00000000-0005-0000-0000-0000D1B00000}"/>
    <cellStyle name="표준 5 5 2 3 3 3 2 3" xfId="18979" xr:uid="{00000000-0005-0000-0000-0000D2B00000}"/>
    <cellStyle name="표준 5 5 2 3 3 3 2 4" xfId="23141" xr:uid="{00000000-0005-0000-0000-0000D3B00000}"/>
    <cellStyle name="표준 5 5 2 3 3 3 2 5" xfId="27237" xr:uid="{00000000-0005-0000-0000-0000D4B00000}"/>
    <cellStyle name="표준 5 5 2 3 3 3 2 6" xfId="35448" xr:uid="{00000000-0005-0000-0000-0000D5B00000}"/>
    <cellStyle name="표준 5 5 2 3 3 3 2 7" xfId="43641" xr:uid="{00000000-0005-0000-0000-0000D6B00000}"/>
    <cellStyle name="표준 5 5 2 3 3 3 3" xfId="8579" xr:uid="{00000000-0005-0000-0000-0000D7B00000}"/>
    <cellStyle name="표준 5 5 2 3 3 3 3 2" xfId="29285" xr:uid="{00000000-0005-0000-0000-0000D8B00000}"/>
    <cellStyle name="표준 5 5 2 3 3 3 3 3" xfId="37496" xr:uid="{00000000-0005-0000-0000-0000D9B00000}"/>
    <cellStyle name="표준 5 5 2 3 3 3 3 4" xfId="45689" xr:uid="{00000000-0005-0000-0000-0000DAB00000}"/>
    <cellStyle name="표준 5 5 2 3 3 3 4" xfId="12691" xr:uid="{00000000-0005-0000-0000-0000DBB00000}"/>
    <cellStyle name="표준 5 5 2 3 3 3 5" xfId="16931" xr:uid="{00000000-0005-0000-0000-0000DCB00000}"/>
    <cellStyle name="표준 5 5 2 3 3 3 6" xfId="21093" xr:uid="{00000000-0005-0000-0000-0000DDB00000}"/>
    <cellStyle name="표준 5 5 2 3 3 3 7" xfId="25189" xr:uid="{00000000-0005-0000-0000-0000DEB00000}"/>
    <cellStyle name="표준 5 5 2 3 3 3 8" xfId="33400" xr:uid="{00000000-0005-0000-0000-0000DFB00000}"/>
    <cellStyle name="표준 5 5 2 3 3 3 9" xfId="41593" xr:uid="{00000000-0005-0000-0000-0000E0B00000}"/>
    <cellStyle name="표준 5 5 2 3 3 4" xfId="2236" xr:uid="{00000000-0005-0000-0000-0000E1B00000}"/>
    <cellStyle name="표준 5 5 2 3 3 4 2" xfId="11139" xr:uid="{00000000-0005-0000-0000-0000E2B00000}"/>
    <cellStyle name="표준 5 5 2 3 3 4 2 2" xfId="15251" xr:uid="{00000000-0005-0000-0000-0000E3B00000}"/>
    <cellStyle name="표준 5 5 2 3 3 4 2 2 2" xfId="31845" xr:uid="{00000000-0005-0000-0000-0000E4B00000}"/>
    <cellStyle name="표준 5 5 2 3 3 4 2 2 3" xfId="40056" xr:uid="{00000000-0005-0000-0000-0000E5B00000}"/>
    <cellStyle name="표준 5 5 2 3 3 4 2 2 4" xfId="48249" xr:uid="{00000000-0005-0000-0000-0000E6B00000}"/>
    <cellStyle name="표준 5 5 2 3 3 4 2 3" xfId="19491" xr:uid="{00000000-0005-0000-0000-0000E7B00000}"/>
    <cellStyle name="표준 5 5 2 3 3 4 2 4" xfId="23653" xr:uid="{00000000-0005-0000-0000-0000E8B00000}"/>
    <cellStyle name="표준 5 5 2 3 3 4 2 5" xfId="27749" xr:uid="{00000000-0005-0000-0000-0000E9B00000}"/>
    <cellStyle name="표준 5 5 2 3 3 4 2 6" xfId="35960" xr:uid="{00000000-0005-0000-0000-0000EAB00000}"/>
    <cellStyle name="표준 5 5 2 3 3 4 2 7" xfId="44153" xr:uid="{00000000-0005-0000-0000-0000EBB00000}"/>
    <cellStyle name="표준 5 5 2 3 3 4 3" xfId="9091" xr:uid="{00000000-0005-0000-0000-0000ECB00000}"/>
    <cellStyle name="표준 5 5 2 3 3 4 3 2" xfId="29797" xr:uid="{00000000-0005-0000-0000-0000EDB00000}"/>
    <cellStyle name="표준 5 5 2 3 3 4 3 3" xfId="38008" xr:uid="{00000000-0005-0000-0000-0000EEB00000}"/>
    <cellStyle name="표준 5 5 2 3 3 4 3 4" xfId="46201" xr:uid="{00000000-0005-0000-0000-0000EFB00000}"/>
    <cellStyle name="표준 5 5 2 3 3 4 4" xfId="13203" xr:uid="{00000000-0005-0000-0000-0000F0B00000}"/>
    <cellStyle name="표준 5 5 2 3 3 4 5" xfId="17443" xr:uid="{00000000-0005-0000-0000-0000F1B00000}"/>
    <cellStyle name="표준 5 5 2 3 3 4 6" xfId="21605" xr:uid="{00000000-0005-0000-0000-0000F2B00000}"/>
    <cellStyle name="표준 5 5 2 3 3 4 7" xfId="25701" xr:uid="{00000000-0005-0000-0000-0000F3B00000}"/>
    <cellStyle name="표준 5 5 2 3 3 4 8" xfId="33912" xr:uid="{00000000-0005-0000-0000-0000F4B00000}"/>
    <cellStyle name="표준 5 5 2 3 3 4 9" xfId="42105" xr:uid="{00000000-0005-0000-0000-0000F5B00000}"/>
    <cellStyle name="표준 5 5 2 3 3 5" xfId="9603" xr:uid="{00000000-0005-0000-0000-0000F6B00000}"/>
    <cellStyle name="표준 5 5 2 3 3 5 2" xfId="13715" xr:uid="{00000000-0005-0000-0000-0000F7B00000}"/>
    <cellStyle name="표준 5 5 2 3 3 5 2 2" xfId="30309" xr:uid="{00000000-0005-0000-0000-0000F8B00000}"/>
    <cellStyle name="표준 5 5 2 3 3 5 2 3" xfId="38520" xr:uid="{00000000-0005-0000-0000-0000F9B00000}"/>
    <cellStyle name="표준 5 5 2 3 3 5 2 4" xfId="46713" xr:uid="{00000000-0005-0000-0000-0000FAB00000}"/>
    <cellStyle name="표준 5 5 2 3 3 5 3" xfId="17955" xr:uid="{00000000-0005-0000-0000-0000FBB00000}"/>
    <cellStyle name="표준 5 5 2 3 3 5 4" xfId="22117" xr:uid="{00000000-0005-0000-0000-0000FCB00000}"/>
    <cellStyle name="표준 5 5 2 3 3 5 5" xfId="26213" xr:uid="{00000000-0005-0000-0000-0000FDB00000}"/>
    <cellStyle name="표준 5 5 2 3 3 5 6" xfId="34424" xr:uid="{00000000-0005-0000-0000-0000FEB00000}"/>
    <cellStyle name="표준 5 5 2 3 3 5 7" xfId="42617" xr:uid="{00000000-0005-0000-0000-0000FFB00000}"/>
    <cellStyle name="표준 5 5 2 3 3 6" xfId="7555" xr:uid="{00000000-0005-0000-0000-000000B10000}"/>
    <cellStyle name="표준 5 5 2 3 3 6 2" xfId="28261" xr:uid="{00000000-0005-0000-0000-000001B10000}"/>
    <cellStyle name="표준 5 5 2 3 3 6 3" xfId="36472" xr:uid="{00000000-0005-0000-0000-000002B10000}"/>
    <cellStyle name="표준 5 5 2 3 3 6 4" xfId="44665" xr:uid="{00000000-0005-0000-0000-000003B10000}"/>
    <cellStyle name="표준 5 5 2 3 3 7" xfId="11667" xr:uid="{00000000-0005-0000-0000-000004B10000}"/>
    <cellStyle name="표준 5 5 2 3 3 8" xfId="15907" xr:uid="{00000000-0005-0000-0000-000005B10000}"/>
    <cellStyle name="표준 5 5 2 3 3 9" xfId="20069" xr:uid="{00000000-0005-0000-0000-000006B10000}"/>
    <cellStyle name="표준 5 5 2 3 4" xfId="956" xr:uid="{00000000-0005-0000-0000-000007B10000}"/>
    <cellStyle name="표준 5 5 2 3 4 2" xfId="9859" xr:uid="{00000000-0005-0000-0000-000008B10000}"/>
    <cellStyle name="표준 5 5 2 3 4 2 2" xfId="13971" xr:uid="{00000000-0005-0000-0000-000009B10000}"/>
    <cellStyle name="표준 5 5 2 3 4 2 2 2" xfId="30565" xr:uid="{00000000-0005-0000-0000-00000AB10000}"/>
    <cellStyle name="표준 5 5 2 3 4 2 2 3" xfId="38776" xr:uid="{00000000-0005-0000-0000-00000BB10000}"/>
    <cellStyle name="표준 5 5 2 3 4 2 2 4" xfId="46969" xr:uid="{00000000-0005-0000-0000-00000CB10000}"/>
    <cellStyle name="표준 5 5 2 3 4 2 3" xfId="18211" xr:uid="{00000000-0005-0000-0000-00000DB10000}"/>
    <cellStyle name="표준 5 5 2 3 4 2 4" xfId="22373" xr:uid="{00000000-0005-0000-0000-00000EB10000}"/>
    <cellStyle name="표준 5 5 2 3 4 2 5" xfId="26469" xr:uid="{00000000-0005-0000-0000-00000FB10000}"/>
    <cellStyle name="표준 5 5 2 3 4 2 6" xfId="34680" xr:uid="{00000000-0005-0000-0000-000010B10000}"/>
    <cellStyle name="표준 5 5 2 3 4 2 7" xfId="42873" xr:uid="{00000000-0005-0000-0000-000011B10000}"/>
    <cellStyle name="표준 5 5 2 3 4 3" xfId="7811" xr:uid="{00000000-0005-0000-0000-000012B10000}"/>
    <cellStyle name="표준 5 5 2 3 4 3 2" xfId="28517" xr:uid="{00000000-0005-0000-0000-000013B10000}"/>
    <cellStyle name="표준 5 5 2 3 4 3 3" xfId="36728" xr:uid="{00000000-0005-0000-0000-000014B10000}"/>
    <cellStyle name="표준 5 5 2 3 4 3 4" xfId="44921" xr:uid="{00000000-0005-0000-0000-000015B10000}"/>
    <cellStyle name="표준 5 5 2 3 4 4" xfId="11923" xr:uid="{00000000-0005-0000-0000-000016B10000}"/>
    <cellStyle name="표준 5 5 2 3 4 5" xfId="16163" xr:uid="{00000000-0005-0000-0000-000017B10000}"/>
    <cellStyle name="표준 5 5 2 3 4 6" xfId="20325" xr:uid="{00000000-0005-0000-0000-000018B10000}"/>
    <cellStyle name="표준 5 5 2 3 4 7" xfId="24421" xr:uid="{00000000-0005-0000-0000-000019B10000}"/>
    <cellStyle name="표준 5 5 2 3 4 8" xfId="32632" xr:uid="{00000000-0005-0000-0000-00001AB10000}"/>
    <cellStyle name="표준 5 5 2 3 4 9" xfId="40825" xr:uid="{00000000-0005-0000-0000-00001BB10000}"/>
    <cellStyle name="표준 5 5 2 3 5" xfId="1468" xr:uid="{00000000-0005-0000-0000-00001CB10000}"/>
    <cellStyle name="표준 5 5 2 3 5 2" xfId="10371" xr:uid="{00000000-0005-0000-0000-00001DB10000}"/>
    <cellStyle name="표준 5 5 2 3 5 2 2" xfId="14483" xr:uid="{00000000-0005-0000-0000-00001EB10000}"/>
    <cellStyle name="표준 5 5 2 3 5 2 2 2" xfId="31077" xr:uid="{00000000-0005-0000-0000-00001FB10000}"/>
    <cellStyle name="표준 5 5 2 3 5 2 2 3" xfId="39288" xr:uid="{00000000-0005-0000-0000-000020B10000}"/>
    <cellStyle name="표준 5 5 2 3 5 2 2 4" xfId="47481" xr:uid="{00000000-0005-0000-0000-000021B10000}"/>
    <cellStyle name="표준 5 5 2 3 5 2 3" xfId="18723" xr:uid="{00000000-0005-0000-0000-000022B10000}"/>
    <cellStyle name="표준 5 5 2 3 5 2 4" xfId="22885" xr:uid="{00000000-0005-0000-0000-000023B10000}"/>
    <cellStyle name="표준 5 5 2 3 5 2 5" xfId="26981" xr:uid="{00000000-0005-0000-0000-000024B10000}"/>
    <cellStyle name="표준 5 5 2 3 5 2 6" xfId="35192" xr:uid="{00000000-0005-0000-0000-000025B10000}"/>
    <cellStyle name="표준 5 5 2 3 5 2 7" xfId="43385" xr:uid="{00000000-0005-0000-0000-000026B10000}"/>
    <cellStyle name="표준 5 5 2 3 5 3" xfId="8323" xr:uid="{00000000-0005-0000-0000-000027B10000}"/>
    <cellStyle name="표준 5 5 2 3 5 3 2" xfId="29029" xr:uid="{00000000-0005-0000-0000-000028B10000}"/>
    <cellStyle name="표준 5 5 2 3 5 3 3" xfId="37240" xr:uid="{00000000-0005-0000-0000-000029B10000}"/>
    <cellStyle name="표준 5 5 2 3 5 3 4" xfId="45433" xr:uid="{00000000-0005-0000-0000-00002AB10000}"/>
    <cellStyle name="표준 5 5 2 3 5 4" xfId="12435" xr:uid="{00000000-0005-0000-0000-00002BB10000}"/>
    <cellStyle name="표준 5 5 2 3 5 5" xfId="16675" xr:uid="{00000000-0005-0000-0000-00002CB10000}"/>
    <cellStyle name="표준 5 5 2 3 5 6" xfId="20837" xr:uid="{00000000-0005-0000-0000-00002DB10000}"/>
    <cellStyle name="표준 5 5 2 3 5 7" xfId="24933" xr:uid="{00000000-0005-0000-0000-00002EB10000}"/>
    <cellStyle name="표준 5 5 2 3 5 8" xfId="33144" xr:uid="{00000000-0005-0000-0000-00002FB10000}"/>
    <cellStyle name="표준 5 5 2 3 5 9" xfId="41337" xr:uid="{00000000-0005-0000-0000-000030B10000}"/>
    <cellStyle name="표준 5 5 2 3 6" xfId="1980" xr:uid="{00000000-0005-0000-0000-000031B10000}"/>
    <cellStyle name="표준 5 5 2 3 6 2" xfId="10883" xr:uid="{00000000-0005-0000-0000-000032B10000}"/>
    <cellStyle name="표준 5 5 2 3 6 2 2" xfId="14995" xr:uid="{00000000-0005-0000-0000-000033B10000}"/>
    <cellStyle name="표준 5 5 2 3 6 2 2 2" xfId="31589" xr:uid="{00000000-0005-0000-0000-000034B10000}"/>
    <cellStyle name="표준 5 5 2 3 6 2 2 3" xfId="39800" xr:uid="{00000000-0005-0000-0000-000035B10000}"/>
    <cellStyle name="표준 5 5 2 3 6 2 2 4" xfId="47993" xr:uid="{00000000-0005-0000-0000-000036B10000}"/>
    <cellStyle name="표준 5 5 2 3 6 2 3" xfId="19235" xr:uid="{00000000-0005-0000-0000-000037B10000}"/>
    <cellStyle name="표준 5 5 2 3 6 2 4" xfId="23397" xr:uid="{00000000-0005-0000-0000-000038B10000}"/>
    <cellStyle name="표준 5 5 2 3 6 2 5" xfId="27493" xr:uid="{00000000-0005-0000-0000-000039B10000}"/>
    <cellStyle name="표준 5 5 2 3 6 2 6" xfId="35704" xr:uid="{00000000-0005-0000-0000-00003AB10000}"/>
    <cellStyle name="표준 5 5 2 3 6 2 7" xfId="43897" xr:uid="{00000000-0005-0000-0000-00003BB10000}"/>
    <cellStyle name="표준 5 5 2 3 6 3" xfId="8835" xr:uid="{00000000-0005-0000-0000-00003CB10000}"/>
    <cellStyle name="표준 5 5 2 3 6 3 2" xfId="29541" xr:uid="{00000000-0005-0000-0000-00003DB10000}"/>
    <cellStyle name="표준 5 5 2 3 6 3 3" xfId="37752" xr:uid="{00000000-0005-0000-0000-00003EB10000}"/>
    <cellStyle name="표준 5 5 2 3 6 3 4" xfId="45945" xr:uid="{00000000-0005-0000-0000-00003FB10000}"/>
    <cellStyle name="표준 5 5 2 3 6 4" xfId="12947" xr:uid="{00000000-0005-0000-0000-000040B10000}"/>
    <cellStyle name="표준 5 5 2 3 6 5" xfId="17187" xr:uid="{00000000-0005-0000-0000-000041B10000}"/>
    <cellStyle name="표준 5 5 2 3 6 6" xfId="21349" xr:uid="{00000000-0005-0000-0000-000042B10000}"/>
    <cellStyle name="표준 5 5 2 3 6 7" xfId="25445" xr:uid="{00000000-0005-0000-0000-000043B10000}"/>
    <cellStyle name="표준 5 5 2 3 6 8" xfId="33656" xr:uid="{00000000-0005-0000-0000-000044B10000}"/>
    <cellStyle name="표준 5 5 2 3 6 9" xfId="41849" xr:uid="{00000000-0005-0000-0000-000045B10000}"/>
    <cellStyle name="표준 5 5 2 3 7" xfId="9347" xr:uid="{00000000-0005-0000-0000-000046B10000}"/>
    <cellStyle name="표준 5 5 2 3 7 2" xfId="13459" xr:uid="{00000000-0005-0000-0000-000047B10000}"/>
    <cellStyle name="표준 5 5 2 3 7 2 2" xfId="30053" xr:uid="{00000000-0005-0000-0000-000048B10000}"/>
    <cellStyle name="표준 5 5 2 3 7 2 3" xfId="38264" xr:uid="{00000000-0005-0000-0000-000049B10000}"/>
    <cellStyle name="표준 5 5 2 3 7 2 4" xfId="46457" xr:uid="{00000000-0005-0000-0000-00004AB10000}"/>
    <cellStyle name="표준 5 5 2 3 7 3" xfId="17699" xr:uid="{00000000-0005-0000-0000-00004BB10000}"/>
    <cellStyle name="표준 5 5 2 3 7 4" xfId="21861" xr:uid="{00000000-0005-0000-0000-00004CB10000}"/>
    <cellStyle name="표준 5 5 2 3 7 5" xfId="25957" xr:uid="{00000000-0005-0000-0000-00004DB10000}"/>
    <cellStyle name="표준 5 5 2 3 7 6" xfId="34168" xr:uid="{00000000-0005-0000-0000-00004EB10000}"/>
    <cellStyle name="표준 5 5 2 3 7 7" xfId="42361" xr:uid="{00000000-0005-0000-0000-00004FB10000}"/>
    <cellStyle name="표준 5 5 2 3 8" xfId="7299" xr:uid="{00000000-0005-0000-0000-000050B10000}"/>
    <cellStyle name="표준 5 5 2 3 8 2" xfId="28005" xr:uid="{00000000-0005-0000-0000-000051B10000}"/>
    <cellStyle name="표준 5 5 2 3 8 3" xfId="36216" xr:uid="{00000000-0005-0000-0000-000052B10000}"/>
    <cellStyle name="표준 5 5 2 3 8 4" xfId="44409" xr:uid="{00000000-0005-0000-0000-000053B10000}"/>
    <cellStyle name="표준 5 5 2 3 9" xfId="11411" xr:uid="{00000000-0005-0000-0000-000054B10000}"/>
    <cellStyle name="표준 5 5 2 4" xfId="508" xr:uid="{00000000-0005-0000-0000-000055B10000}"/>
    <cellStyle name="표준 5 5 2 4 10" xfId="19877" xr:uid="{00000000-0005-0000-0000-000056B10000}"/>
    <cellStyle name="표준 5 5 2 4 11" xfId="23973" xr:uid="{00000000-0005-0000-0000-000057B10000}"/>
    <cellStyle name="표준 5 5 2 4 12" xfId="32184" xr:uid="{00000000-0005-0000-0000-000058B10000}"/>
    <cellStyle name="표준 5 5 2 4 13" xfId="40377" xr:uid="{00000000-0005-0000-0000-000059B10000}"/>
    <cellStyle name="표준 5 5 2 4 2" xfId="764" xr:uid="{00000000-0005-0000-0000-00005AB10000}"/>
    <cellStyle name="표준 5 5 2 4 2 10" xfId="24229" xr:uid="{00000000-0005-0000-0000-00005BB10000}"/>
    <cellStyle name="표준 5 5 2 4 2 11" xfId="32440" xr:uid="{00000000-0005-0000-0000-00005CB10000}"/>
    <cellStyle name="표준 5 5 2 4 2 12" xfId="40633" xr:uid="{00000000-0005-0000-0000-00005DB10000}"/>
    <cellStyle name="표준 5 5 2 4 2 2" xfId="1276" xr:uid="{00000000-0005-0000-0000-00005EB10000}"/>
    <cellStyle name="표준 5 5 2 4 2 2 2" xfId="10179" xr:uid="{00000000-0005-0000-0000-00005FB10000}"/>
    <cellStyle name="표준 5 5 2 4 2 2 2 2" xfId="14291" xr:uid="{00000000-0005-0000-0000-000060B10000}"/>
    <cellStyle name="표준 5 5 2 4 2 2 2 2 2" xfId="30885" xr:uid="{00000000-0005-0000-0000-000061B10000}"/>
    <cellStyle name="표준 5 5 2 4 2 2 2 2 3" xfId="39096" xr:uid="{00000000-0005-0000-0000-000062B10000}"/>
    <cellStyle name="표준 5 5 2 4 2 2 2 2 4" xfId="47289" xr:uid="{00000000-0005-0000-0000-000063B10000}"/>
    <cellStyle name="표준 5 5 2 4 2 2 2 3" xfId="18531" xr:uid="{00000000-0005-0000-0000-000064B10000}"/>
    <cellStyle name="표준 5 5 2 4 2 2 2 4" xfId="22693" xr:uid="{00000000-0005-0000-0000-000065B10000}"/>
    <cellStyle name="표준 5 5 2 4 2 2 2 5" xfId="26789" xr:uid="{00000000-0005-0000-0000-000066B10000}"/>
    <cellStyle name="표준 5 5 2 4 2 2 2 6" xfId="35000" xr:uid="{00000000-0005-0000-0000-000067B10000}"/>
    <cellStyle name="표준 5 5 2 4 2 2 2 7" xfId="43193" xr:uid="{00000000-0005-0000-0000-000068B10000}"/>
    <cellStyle name="표준 5 5 2 4 2 2 3" xfId="8131" xr:uid="{00000000-0005-0000-0000-000069B10000}"/>
    <cellStyle name="표준 5 5 2 4 2 2 3 2" xfId="28837" xr:uid="{00000000-0005-0000-0000-00006AB10000}"/>
    <cellStyle name="표준 5 5 2 4 2 2 3 3" xfId="37048" xr:uid="{00000000-0005-0000-0000-00006BB10000}"/>
    <cellStyle name="표준 5 5 2 4 2 2 3 4" xfId="45241" xr:uid="{00000000-0005-0000-0000-00006CB10000}"/>
    <cellStyle name="표준 5 5 2 4 2 2 4" xfId="12243" xr:uid="{00000000-0005-0000-0000-00006DB10000}"/>
    <cellStyle name="표준 5 5 2 4 2 2 5" xfId="16483" xr:uid="{00000000-0005-0000-0000-00006EB10000}"/>
    <cellStyle name="표준 5 5 2 4 2 2 6" xfId="20645" xr:uid="{00000000-0005-0000-0000-00006FB10000}"/>
    <cellStyle name="표준 5 5 2 4 2 2 7" xfId="24741" xr:uid="{00000000-0005-0000-0000-000070B10000}"/>
    <cellStyle name="표준 5 5 2 4 2 2 8" xfId="32952" xr:uid="{00000000-0005-0000-0000-000071B10000}"/>
    <cellStyle name="표준 5 5 2 4 2 2 9" xfId="41145" xr:uid="{00000000-0005-0000-0000-000072B10000}"/>
    <cellStyle name="표준 5 5 2 4 2 3" xfId="1788" xr:uid="{00000000-0005-0000-0000-000073B10000}"/>
    <cellStyle name="표준 5 5 2 4 2 3 2" xfId="10691" xr:uid="{00000000-0005-0000-0000-000074B10000}"/>
    <cellStyle name="표준 5 5 2 4 2 3 2 2" xfId="14803" xr:uid="{00000000-0005-0000-0000-000075B10000}"/>
    <cellStyle name="표준 5 5 2 4 2 3 2 2 2" xfId="31397" xr:uid="{00000000-0005-0000-0000-000076B10000}"/>
    <cellStyle name="표준 5 5 2 4 2 3 2 2 3" xfId="39608" xr:uid="{00000000-0005-0000-0000-000077B10000}"/>
    <cellStyle name="표준 5 5 2 4 2 3 2 2 4" xfId="47801" xr:uid="{00000000-0005-0000-0000-000078B10000}"/>
    <cellStyle name="표준 5 5 2 4 2 3 2 3" xfId="19043" xr:uid="{00000000-0005-0000-0000-000079B10000}"/>
    <cellStyle name="표준 5 5 2 4 2 3 2 4" xfId="23205" xr:uid="{00000000-0005-0000-0000-00007AB10000}"/>
    <cellStyle name="표준 5 5 2 4 2 3 2 5" xfId="27301" xr:uid="{00000000-0005-0000-0000-00007BB10000}"/>
    <cellStyle name="표준 5 5 2 4 2 3 2 6" xfId="35512" xr:uid="{00000000-0005-0000-0000-00007CB10000}"/>
    <cellStyle name="표준 5 5 2 4 2 3 2 7" xfId="43705" xr:uid="{00000000-0005-0000-0000-00007DB10000}"/>
    <cellStyle name="표준 5 5 2 4 2 3 3" xfId="8643" xr:uid="{00000000-0005-0000-0000-00007EB10000}"/>
    <cellStyle name="표준 5 5 2 4 2 3 3 2" xfId="29349" xr:uid="{00000000-0005-0000-0000-00007FB10000}"/>
    <cellStyle name="표준 5 5 2 4 2 3 3 3" xfId="37560" xr:uid="{00000000-0005-0000-0000-000080B10000}"/>
    <cellStyle name="표준 5 5 2 4 2 3 3 4" xfId="45753" xr:uid="{00000000-0005-0000-0000-000081B10000}"/>
    <cellStyle name="표준 5 5 2 4 2 3 4" xfId="12755" xr:uid="{00000000-0005-0000-0000-000082B10000}"/>
    <cellStyle name="표준 5 5 2 4 2 3 5" xfId="16995" xr:uid="{00000000-0005-0000-0000-000083B10000}"/>
    <cellStyle name="표준 5 5 2 4 2 3 6" xfId="21157" xr:uid="{00000000-0005-0000-0000-000084B10000}"/>
    <cellStyle name="표준 5 5 2 4 2 3 7" xfId="25253" xr:uid="{00000000-0005-0000-0000-000085B10000}"/>
    <cellStyle name="표준 5 5 2 4 2 3 8" xfId="33464" xr:uid="{00000000-0005-0000-0000-000086B10000}"/>
    <cellStyle name="표준 5 5 2 4 2 3 9" xfId="41657" xr:uid="{00000000-0005-0000-0000-000087B10000}"/>
    <cellStyle name="표준 5 5 2 4 2 4" xfId="2300" xr:uid="{00000000-0005-0000-0000-000088B10000}"/>
    <cellStyle name="표준 5 5 2 4 2 4 2" xfId="11203" xr:uid="{00000000-0005-0000-0000-000089B10000}"/>
    <cellStyle name="표준 5 5 2 4 2 4 2 2" xfId="15315" xr:uid="{00000000-0005-0000-0000-00008AB10000}"/>
    <cellStyle name="표준 5 5 2 4 2 4 2 2 2" xfId="31909" xr:uid="{00000000-0005-0000-0000-00008BB10000}"/>
    <cellStyle name="표준 5 5 2 4 2 4 2 2 3" xfId="40120" xr:uid="{00000000-0005-0000-0000-00008CB10000}"/>
    <cellStyle name="표준 5 5 2 4 2 4 2 2 4" xfId="48313" xr:uid="{00000000-0005-0000-0000-00008DB10000}"/>
    <cellStyle name="표준 5 5 2 4 2 4 2 3" xfId="19555" xr:uid="{00000000-0005-0000-0000-00008EB10000}"/>
    <cellStyle name="표준 5 5 2 4 2 4 2 4" xfId="23717" xr:uid="{00000000-0005-0000-0000-00008FB10000}"/>
    <cellStyle name="표준 5 5 2 4 2 4 2 5" xfId="27813" xr:uid="{00000000-0005-0000-0000-000090B10000}"/>
    <cellStyle name="표준 5 5 2 4 2 4 2 6" xfId="36024" xr:uid="{00000000-0005-0000-0000-000091B10000}"/>
    <cellStyle name="표준 5 5 2 4 2 4 2 7" xfId="44217" xr:uid="{00000000-0005-0000-0000-000092B10000}"/>
    <cellStyle name="표준 5 5 2 4 2 4 3" xfId="9155" xr:uid="{00000000-0005-0000-0000-000093B10000}"/>
    <cellStyle name="표준 5 5 2 4 2 4 3 2" xfId="29861" xr:uid="{00000000-0005-0000-0000-000094B10000}"/>
    <cellStyle name="표준 5 5 2 4 2 4 3 3" xfId="38072" xr:uid="{00000000-0005-0000-0000-000095B10000}"/>
    <cellStyle name="표준 5 5 2 4 2 4 3 4" xfId="46265" xr:uid="{00000000-0005-0000-0000-000096B10000}"/>
    <cellStyle name="표준 5 5 2 4 2 4 4" xfId="13267" xr:uid="{00000000-0005-0000-0000-000097B10000}"/>
    <cellStyle name="표준 5 5 2 4 2 4 5" xfId="17507" xr:uid="{00000000-0005-0000-0000-000098B10000}"/>
    <cellStyle name="표준 5 5 2 4 2 4 6" xfId="21669" xr:uid="{00000000-0005-0000-0000-000099B10000}"/>
    <cellStyle name="표준 5 5 2 4 2 4 7" xfId="25765" xr:uid="{00000000-0005-0000-0000-00009AB10000}"/>
    <cellStyle name="표준 5 5 2 4 2 4 8" xfId="33976" xr:uid="{00000000-0005-0000-0000-00009BB10000}"/>
    <cellStyle name="표준 5 5 2 4 2 4 9" xfId="42169" xr:uid="{00000000-0005-0000-0000-00009CB10000}"/>
    <cellStyle name="표준 5 5 2 4 2 5" xfId="9667" xr:uid="{00000000-0005-0000-0000-00009DB10000}"/>
    <cellStyle name="표준 5 5 2 4 2 5 2" xfId="13779" xr:uid="{00000000-0005-0000-0000-00009EB10000}"/>
    <cellStyle name="표준 5 5 2 4 2 5 2 2" xfId="30373" xr:uid="{00000000-0005-0000-0000-00009FB10000}"/>
    <cellStyle name="표준 5 5 2 4 2 5 2 3" xfId="38584" xr:uid="{00000000-0005-0000-0000-0000A0B10000}"/>
    <cellStyle name="표준 5 5 2 4 2 5 2 4" xfId="46777" xr:uid="{00000000-0005-0000-0000-0000A1B10000}"/>
    <cellStyle name="표준 5 5 2 4 2 5 3" xfId="18019" xr:uid="{00000000-0005-0000-0000-0000A2B10000}"/>
    <cellStyle name="표준 5 5 2 4 2 5 4" xfId="22181" xr:uid="{00000000-0005-0000-0000-0000A3B10000}"/>
    <cellStyle name="표준 5 5 2 4 2 5 5" xfId="26277" xr:uid="{00000000-0005-0000-0000-0000A4B10000}"/>
    <cellStyle name="표준 5 5 2 4 2 5 6" xfId="34488" xr:uid="{00000000-0005-0000-0000-0000A5B10000}"/>
    <cellStyle name="표준 5 5 2 4 2 5 7" xfId="42681" xr:uid="{00000000-0005-0000-0000-0000A6B10000}"/>
    <cellStyle name="표준 5 5 2 4 2 6" xfId="7619" xr:uid="{00000000-0005-0000-0000-0000A7B10000}"/>
    <cellStyle name="표준 5 5 2 4 2 6 2" xfId="28325" xr:uid="{00000000-0005-0000-0000-0000A8B10000}"/>
    <cellStyle name="표준 5 5 2 4 2 6 3" xfId="36536" xr:uid="{00000000-0005-0000-0000-0000A9B10000}"/>
    <cellStyle name="표준 5 5 2 4 2 6 4" xfId="44729" xr:uid="{00000000-0005-0000-0000-0000AAB10000}"/>
    <cellStyle name="표준 5 5 2 4 2 7" xfId="11731" xr:uid="{00000000-0005-0000-0000-0000ABB10000}"/>
    <cellStyle name="표준 5 5 2 4 2 8" xfId="15971" xr:uid="{00000000-0005-0000-0000-0000ACB10000}"/>
    <cellStyle name="표준 5 5 2 4 2 9" xfId="20133" xr:uid="{00000000-0005-0000-0000-0000ADB10000}"/>
    <cellStyle name="표준 5 5 2 4 3" xfId="1020" xr:uid="{00000000-0005-0000-0000-0000AEB10000}"/>
    <cellStyle name="표준 5 5 2 4 3 2" xfId="9923" xr:uid="{00000000-0005-0000-0000-0000AFB10000}"/>
    <cellStyle name="표준 5 5 2 4 3 2 2" xfId="14035" xr:uid="{00000000-0005-0000-0000-0000B0B10000}"/>
    <cellStyle name="표준 5 5 2 4 3 2 2 2" xfId="30629" xr:uid="{00000000-0005-0000-0000-0000B1B10000}"/>
    <cellStyle name="표준 5 5 2 4 3 2 2 3" xfId="38840" xr:uid="{00000000-0005-0000-0000-0000B2B10000}"/>
    <cellStyle name="표준 5 5 2 4 3 2 2 4" xfId="47033" xr:uid="{00000000-0005-0000-0000-0000B3B10000}"/>
    <cellStyle name="표준 5 5 2 4 3 2 3" xfId="18275" xr:uid="{00000000-0005-0000-0000-0000B4B10000}"/>
    <cellStyle name="표준 5 5 2 4 3 2 4" xfId="22437" xr:uid="{00000000-0005-0000-0000-0000B5B10000}"/>
    <cellStyle name="표준 5 5 2 4 3 2 5" xfId="26533" xr:uid="{00000000-0005-0000-0000-0000B6B10000}"/>
    <cellStyle name="표준 5 5 2 4 3 2 6" xfId="34744" xr:uid="{00000000-0005-0000-0000-0000B7B10000}"/>
    <cellStyle name="표준 5 5 2 4 3 2 7" xfId="42937" xr:uid="{00000000-0005-0000-0000-0000B8B10000}"/>
    <cellStyle name="표준 5 5 2 4 3 3" xfId="7875" xr:uid="{00000000-0005-0000-0000-0000B9B10000}"/>
    <cellStyle name="표준 5 5 2 4 3 3 2" xfId="28581" xr:uid="{00000000-0005-0000-0000-0000BAB10000}"/>
    <cellStyle name="표준 5 5 2 4 3 3 3" xfId="36792" xr:uid="{00000000-0005-0000-0000-0000BBB10000}"/>
    <cellStyle name="표준 5 5 2 4 3 3 4" xfId="44985" xr:uid="{00000000-0005-0000-0000-0000BCB10000}"/>
    <cellStyle name="표준 5 5 2 4 3 4" xfId="11987" xr:uid="{00000000-0005-0000-0000-0000BDB10000}"/>
    <cellStyle name="표준 5 5 2 4 3 5" xfId="16227" xr:uid="{00000000-0005-0000-0000-0000BEB10000}"/>
    <cellStyle name="표준 5 5 2 4 3 6" xfId="20389" xr:uid="{00000000-0005-0000-0000-0000BFB10000}"/>
    <cellStyle name="표준 5 5 2 4 3 7" xfId="24485" xr:uid="{00000000-0005-0000-0000-0000C0B10000}"/>
    <cellStyle name="표준 5 5 2 4 3 8" xfId="32696" xr:uid="{00000000-0005-0000-0000-0000C1B10000}"/>
    <cellStyle name="표준 5 5 2 4 3 9" xfId="40889" xr:uid="{00000000-0005-0000-0000-0000C2B10000}"/>
    <cellStyle name="표준 5 5 2 4 4" xfId="1532" xr:uid="{00000000-0005-0000-0000-0000C3B10000}"/>
    <cellStyle name="표준 5 5 2 4 4 2" xfId="10435" xr:uid="{00000000-0005-0000-0000-0000C4B10000}"/>
    <cellStyle name="표준 5 5 2 4 4 2 2" xfId="14547" xr:uid="{00000000-0005-0000-0000-0000C5B10000}"/>
    <cellStyle name="표준 5 5 2 4 4 2 2 2" xfId="31141" xr:uid="{00000000-0005-0000-0000-0000C6B10000}"/>
    <cellStyle name="표준 5 5 2 4 4 2 2 3" xfId="39352" xr:uid="{00000000-0005-0000-0000-0000C7B10000}"/>
    <cellStyle name="표준 5 5 2 4 4 2 2 4" xfId="47545" xr:uid="{00000000-0005-0000-0000-0000C8B10000}"/>
    <cellStyle name="표준 5 5 2 4 4 2 3" xfId="18787" xr:uid="{00000000-0005-0000-0000-0000C9B10000}"/>
    <cellStyle name="표준 5 5 2 4 4 2 4" xfId="22949" xr:uid="{00000000-0005-0000-0000-0000CAB10000}"/>
    <cellStyle name="표준 5 5 2 4 4 2 5" xfId="27045" xr:uid="{00000000-0005-0000-0000-0000CBB10000}"/>
    <cellStyle name="표준 5 5 2 4 4 2 6" xfId="35256" xr:uid="{00000000-0005-0000-0000-0000CCB10000}"/>
    <cellStyle name="표준 5 5 2 4 4 2 7" xfId="43449" xr:uid="{00000000-0005-0000-0000-0000CDB10000}"/>
    <cellStyle name="표준 5 5 2 4 4 3" xfId="8387" xr:uid="{00000000-0005-0000-0000-0000CEB10000}"/>
    <cellStyle name="표준 5 5 2 4 4 3 2" xfId="29093" xr:uid="{00000000-0005-0000-0000-0000CFB10000}"/>
    <cellStyle name="표준 5 5 2 4 4 3 3" xfId="37304" xr:uid="{00000000-0005-0000-0000-0000D0B10000}"/>
    <cellStyle name="표준 5 5 2 4 4 3 4" xfId="45497" xr:uid="{00000000-0005-0000-0000-0000D1B10000}"/>
    <cellStyle name="표준 5 5 2 4 4 4" xfId="12499" xr:uid="{00000000-0005-0000-0000-0000D2B10000}"/>
    <cellStyle name="표준 5 5 2 4 4 5" xfId="16739" xr:uid="{00000000-0005-0000-0000-0000D3B10000}"/>
    <cellStyle name="표준 5 5 2 4 4 6" xfId="20901" xr:uid="{00000000-0005-0000-0000-0000D4B10000}"/>
    <cellStyle name="표준 5 5 2 4 4 7" xfId="24997" xr:uid="{00000000-0005-0000-0000-0000D5B10000}"/>
    <cellStyle name="표준 5 5 2 4 4 8" xfId="33208" xr:uid="{00000000-0005-0000-0000-0000D6B10000}"/>
    <cellStyle name="표준 5 5 2 4 4 9" xfId="41401" xr:uid="{00000000-0005-0000-0000-0000D7B10000}"/>
    <cellStyle name="표준 5 5 2 4 5" xfId="2044" xr:uid="{00000000-0005-0000-0000-0000D8B10000}"/>
    <cellStyle name="표준 5 5 2 4 5 2" xfId="10947" xr:uid="{00000000-0005-0000-0000-0000D9B10000}"/>
    <cellStyle name="표준 5 5 2 4 5 2 2" xfId="15059" xr:uid="{00000000-0005-0000-0000-0000DAB10000}"/>
    <cellStyle name="표준 5 5 2 4 5 2 2 2" xfId="31653" xr:uid="{00000000-0005-0000-0000-0000DBB10000}"/>
    <cellStyle name="표준 5 5 2 4 5 2 2 3" xfId="39864" xr:uid="{00000000-0005-0000-0000-0000DCB10000}"/>
    <cellStyle name="표준 5 5 2 4 5 2 2 4" xfId="48057" xr:uid="{00000000-0005-0000-0000-0000DDB10000}"/>
    <cellStyle name="표준 5 5 2 4 5 2 3" xfId="19299" xr:uid="{00000000-0005-0000-0000-0000DEB10000}"/>
    <cellStyle name="표준 5 5 2 4 5 2 4" xfId="23461" xr:uid="{00000000-0005-0000-0000-0000DFB10000}"/>
    <cellStyle name="표준 5 5 2 4 5 2 5" xfId="27557" xr:uid="{00000000-0005-0000-0000-0000E0B10000}"/>
    <cellStyle name="표준 5 5 2 4 5 2 6" xfId="35768" xr:uid="{00000000-0005-0000-0000-0000E1B10000}"/>
    <cellStyle name="표준 5 5 2 4 5 2 7" xfId="43961" xr:uid="{00000000-0005-0000-0000-0000E2B10000}"/>
    <cellStyle name="표준 5 5 2 4 5 3" xfId="8899" xr:uid="{00000000-0005-0000-0000-0000E3B10000}"/>
    <cellStyle name="표준 5 5 2 4 5 3 2" xfId="29605" xr:uid="{00000000-0005-0000-0000-0000E4B10000}"/>
    <cellStyle name="표준 5 5 2 4 5 3 3" xfId="37816" xr:uid="{00000000-0005-0000-0000-0000E5B10000}"/>
    <cellStyle name="표준 5 5 2 4 5 3 4" xfId="46009" xr:uid="{00000000-0005-0000-0000-0000E6B10000}"/>
    <cellStyle name="표준 5 5 2 4 5 4" xfId="13011" xr:uid="{00000000-0005-0000-0000-0000E7B10000}"/>
    <cellStyle name="표준 5 5 2 4 5 5" xfId="17251" xr:uid="{00000000-0005-0000-0000-0000E8B10000}"/>
    <cellStyle name="표준 5 5 2 4 5 6" xfId="21413" xr:uid="{00000000-0005-0000-0000-0000E9B10000}"/>
    <cellStyle name="표준 5 5 2 4 5 7" xfId="25509" xr:uid="{00000000-0005-0000-0000-0000EAB10000}"/>
    <cellStyle name="표준 5 5 2 4 5 8" xfId="33720" xr:uid="{00000000-0005-0000-0000-0000EBB10000}"/>
    <cellStyle name="표준 5 5 2 4 5 9" xfId="41913" xr:uid="{00000000-0005-0000-0000-0000ECB10000}"/>
    <cellStyle name="표준 5 5 2 4 6" xfId="9411" xr:uid="{00000000-0005-0000-0000-0000EDB10000}"/>
    <cellStyle name="표준 5 5 2 4 6 2" xfId="13523" xr:uid="{00000000-0005-0000-0000-0000EEB10000}"/>
    <cellStyle name="표준 5 5 2 4 6 2 2" xfId="30117" xr:uid="{00000000-0005-0000-0000-0000EFB10000}"/>
    <cellStyle name="표준 5 5 2 4 6 2 3" xfId="38328" xr:uid="{00000000-0005-0000-0000-0000F0B10000}"/>
    <cellStyle name="표준 5 5 2 4 6 2 4" xfId="46521" xr:uid="{00000000-0005-0000-0000-0000F1B10000}"/>
    <cellStyle name="표준 5 5 2 4 6 3" xfId="17763" xr:uid="{00000000-0005-0000-0000-0000F2B10000}"/>
    <cellStyle name="표준 5 5 2 4 6 4" xfId="21925" xr:uid="{00000000-0005-0000-0000-0000F3B10000}"/>
    <cellStyle name="표준 5 5 2 4 6 5" xfId="26021" xr:uid="{00000000-0005-0000-0000-0000F4B10000}"/>
    <cellStyle name="표준 5 5 2 4 6 6" xfId="34232" xr:uid="{00000000-0005-0000-0000-0000F5B10000}"/>
    <cellStyle name="표준 5 5 2 4 6 7" xfId="42425" xr:uid="{00000000-0005-0000-0000-0000F6B10000}"/>
    <cellStyle name="표준 5 5 2 4 7" xfId="7363" xr:uid="{00000000-0005-0000-0000-0000F7B10000}"/>
    <cellStyle name="표준 5 5 2 4 7 2" xfId="28069" xr:uid="{00000000-0005-0000-0000-0000F8B10000}"/>
    <cellStyle name="표준 5 5 2 4 7 3" xfId="36280" xr:uid="{00000000-0005-0000-0000-0000F9B10000}"/>
    <cellStyle name="표준 5 5 2 4 7 4" xfId="44473" xr:uid="{00000000-0005-0000-0000-0000FAB10000}"/>
    <cellStyle name="표준 5 5 2 4 8" xfId="11475" xr:uid="{00000000-0005-0000-0000-0000FBB10000}"/>
    <cellStyle name="표준 5 5 2 4 9" xfId="15715" xr:uid="{00000000-0005-0000-0000-0000FCB10000}"/>
    <cellStyle name="표준 5 5 2 5" xfId="636" xr:uid="{00000000-0005-0000-0000-0000FDB10000}"/>
    <cellStyle name="표준 5 5 2 5 10" xfId="24101" xr:uid="{00000000-0005-0000-0000-0000FEB10000}"/>
    <cellStyle name="표준 5 5 2 5 11" xfId="32312" xr:uid="{00000000-0005-0000-0000-0000FFB10000}"/>
    <cellStyle name="표준 5 5 2 5 12" xfId="40505" xr:uid="{00000000-0005-0000-0000-000000B20000}"/>
    <cellStyle name="표준 5 5 2 5 2" xfId="1148" xr:uid="{00000000-0005-0000-0000-000001B20000}"/>
    <cellStyle name="표준 5 5 2 5 2 2" xfId="10051" xr:uid="{00000000-0005-0000-0000-000002B20000}"/>
    <cellStyle name="표준 5 5 2 5 2 2 2" xfId="14163" xr:uid="{00000000-0005-0000-0000-000003B20000}"/>
    <cellStyle name="표준 5 5 2 5 2 2 2 2" xfId="30757" xr:uid="{00000000-0005-0000-0000-000004B20000}"/>
    <cellStyle name="표준 5 5 2 5 2 2 2 3" xfId="38968" xr:uid="{00000000-0005-0000-0000-000005B20000}"/>
    <cellStyle name="표준 5 5 2 5 2 2 2 4" xfId="47161" xr:uid="{00000000-0005-0000-0000-000006B20000}"/>
    <cellStyle name="표준 5 5 2 5 2 2 3" xfId="18403" xr:uid="{00000000-0005-0000-0000-000007B20000}"/>
    <cellStyle name="표준 5 5 2 5 2 2 4" xfId="22565" xr:uid="{00000000-0005-0000-0000-000008B20000}"/>
    <cellStyle name="표준 5 5 2 5 2 2 5" xfId="26661" xr:uid="{00000000-0005-0000-0000-000009B20000}"/>
    <cellStyle name="표준 5 5 2 5 2 2 6" xfId="34872" xr:uid="{00000000-0005-0000-0000-00000AB20000}"/>
    <cellStyle name="표준 5 5 2 5 2 2 7" xfId="43065" xr:uid="{00000000-0005-0000-0000-00000BB20000}"/>
    <cellStyle name="표준 5 5 2 5 2 3" xfId="8003" xr:uid="{00000000-0005-0000-0000-00000CB20000}"/>
    <cellStyle name="표준 5 5 2 5 2 3 2" xfId="28709" xr:uid="{00000000-0005-0000-0000-00000DB20000}"/>
    <cellStyle name="표준 5 5 2 5 2 3 3" xfId="36920" xr:uid="{00000000-0005-0000-0000-00000EB20000}"/>
    <cellStyle name="표준 5 5 2 5 2 3 4" xfId="45113" xr:uid="{00000000-0005-0000-0000-00000FB20000}"/>
    <cellStyle name="표준 5 5 2 5 2 4" xfId="12115" xr:uid="{00000000-0005-0000-0000-000010B20000}"/>
    <cellStyle name="표준 5 5 2 5 2 5" xfId="16355" xr:uid="{00000000-0005-0000-0000-000011B20000}"/>
    <cellStyle name="표준 5 5 2 5 2 6" xfId="20517" xr:uid="{00000000-0005-0000-0000-000012B20000}"/>
    <cellStyle name="표준 5 5 2 5 2 7" xfId="24613" xr:uid="{00000000-0005-0000-0000-000013B20000}"/>
    <cellStyle name="표준 5 5 2 5 2 8" xfId="32824" xr:uid="{00000000-0005-0000-0000-000014B20000}"/>
    <cellStyle name="표준 5 5 2 5 2 9" xfId="41017" xr:uid="{00000000-0005-0000-0000-000015B20000}"/>
    <cellStyle name="표준 5 5 2 5 3" xfId="1660" xr:uid="{00000000-0005-0000-0000-000016B20000}"/>
    <cellStyle name="표준 5 5 2 5 3 2" xfId="10563" xr:uid="{00000000-0005-0000-0000-000017B20000}"/>
    <cellStyle name="표준 5 5 2 5 3 2 2" xfId="14675" xr:uid="{00000000-0005-0000-0000-000018B20000}"/>
    <cellStyle name="표준 5 5 2 5 3 2 2 2" xfId="31269" xr:uid="{00000000-0005-0000-0000-000019B20000}"/>
    <cellStyle name="표준 5 5 2 5 3 2 2 3" xfId="39480" xr:uid="{00000000-0005-0000-0000-00001AB20000}"/>
    <cellStyle name="표준 5 5 2 5 3 2 2 4" xfId="47673" xr:uid="{00000000-0005-0000-0000-00001BB20000}"/>
    <cellStyle name="표준 5 5 2 5 3 2 3" xfId="18915" xr:uid="{00000000-0005-0000-0000-00001CB20000}"/>
    <cellStyle name="표준 5 5 2 5 3 2 4" xfId="23077" xr:uid="{00000000-0005-0000-0000-00001DB20000}"/>
    <cellStyle name="표준 5 5 2 5 3 2 5" xfId="27173" xr:uid="{00000000-0005-0000-0000-00001EB20000}"/>
    <cellStyle name="표준 5 5 2 5 3 2 6" xfId="35384" xr:uid="{00000000-0005-0000-0000-00001FB20000}"/>
    <cellStyle name="표준 5 5 2 5 3 2 7" xfId="43577" xr:uid="{00000000-0005-0000-0000-000020B20000}"/>
    <cellStyle name="표준 5 5 2 5 3 3" xfId="8515" xr:uid="{00000000-0005-0000-0000-000021B20000}"/>
    <cellStyle name="표준 5 5 2 5 3 3 2" xfId="29221" xr:uid="{00000000-0005-0000-0000-000022B20000}"/>
    <cellStyle name="표준 5 5 2 5 3 3 3" xfId="37432" xr:uid="{00000000-0005-0000-0000-000023B20000}"/>
    <cellStyle name="표준 5 5 2 5 3 3 4" xfId="45625" xr:uid="{00000000-0005-0000-0000-000024B20000}"/>
    <cellStyle name="표준 5 5 2 5 3 4" xfId="12627" xr:uid="{00000000-0005-0000-0000-000025B20000}"/>
    <cellStyle name="표준 5 5 2 5 3 5" xfId="16867" xr:uid="{00000000-0005-0000-0000-000026B20000}"/>
    <cellStyle name="표준 5 5 2 5 3 6" xfId="21029" xr:uid="{00000000-0005-0000-0000-000027B20000}"/>
    <cellStyle name="표준 5 5 2 5 3 7" xfId="25125" xr:uid="{00000000-0005-0000-0000-000028B20000}"/>
    <cellStyle name="표준 5 5 2 5 3 8" xfId="33336" xr:uid="{00000000-0005-0000-0000-000029B20000}"/>
    <cellStyle name="표준 5 5 2 5 3 9" xfId="41529" xr:uid="{00000000-0005-0000-0000-00002AB20000}"/>
    <cellStyle name="표준 5 5 2 5 4" xfId="2172" xr:uid="{00000000-0005-0000-0000-00002BB20000}"/>
    <cellStyle name="표준 5 5 2 5 4 2" xfId="11075" xr:uid="{00000000-0005-0000-0000-00002CB20000}"/>
    <cellStyle name="표준 5 5 2 5 4 2 2" xfId="15187" xr:uid="{00000000-0005-0000-0000-00002DB20000}"/>
    <cellStyle name="표준 5 5 2 5 4 2 2 2" xfId="31781" xr:uid="{00000000-0005-0000-0000-00002EB20000}"/>
    <cellStyle name="표준 5 5 2 5 4 2 2 3" xfId="39992" xr:uid="{00000000-0005-0000-0000-00002FB20000}"/>
    <cellStyle name="표준 5 5 2 5 4 2 2 4" xfId="48185" xr:uid="{00000000-0005-0000-0000-000030B20000}"/>
    <cellStyle name="표준 5 5 2 5 4 2 3" xfId="19427" xr:uid="{00000000-0005-0000-0000-000031B20000}"/>
    <cellStyle name="표준 5 5 2 5 4 2 4" xfId="23589" xr:uid="{00000000-0005-0000-0000-000032B20000}"/>
    <cellStyle name="표준 5 5 2 5 4 2 5" xfId="27685" xr:uid="{00000000-0005-0000-0000-000033B20000}"/>
    <cellStyle name="표준 5 5 2 5 4 2 6" xfId="35896" xr:uid="{00000000-0005-0000-0000-000034B20000}"/>
    <cellStyle name="표준 5 5 2 5 4 2 7" xfId="44089" xr:uid="{00000000-0005-0000-0000-000035B20000}"/>
    <cellStyle name="표준 5 5 2 5 4 3" xfId="9027" xr:uid="{00000000-0005-0000-0000-000036B20000}"/>
    <cellStyle name="표준 5 5 2 5 4 3 2" xfId="29733" xr:uid="{00000000-0005-0000-0000-000037B20000}"/>
    <cellStyle name="표준 5 5 2 5 4 3 3" xfId="37944" xr:uid="{00000000-0005-0000-0000-000038B20000}"/>
    <cellStyle name="표준 5 5 2 5 4 3 4" xfId="46137" xr:uid="{00000000-0005-0000-0000-000039B20000}"/>
    <cellStyle name="표준 5 5 2 5 4 4" xfId="13139" xr:uid="{00000000-0005-0000-0000-00003AB20000}"/>
    <cellStyle name="표준 5 5 2 5 4 5" xfId="17379" xr:uid="{00000000-0005-0000-0000-00003BB20000}"/>
    <cellStyle name="표준 5 5 2 5 4 6" xfId="21541" xr:uid="{00000000-0005-0000-0000-00003CB20000}"/>
    <cellStyle name="표준 5 5 2 5 4 7" xfId="25637" xr:uid="{00000000-0005-0000-0000-00003DB20000}"/>
    <cellStyle name="표준 5 5 2 5 4 8" xfId="33848" xr:uid="{00000000-0005-0000-0000-00003EB20000}"/>
    <cellStyle name="표준 5 5 2 5 4 9" xfId="42041" xr:uid="{00000000-0005-0000-0000-00003FB20000}"/>
    <cellStyle name="표준 5 5 2 5 5" xfId="9539" xr:uid="{00000000-0005-0000-0000-000040B20000}"/>
    <cellStyle name="표준 5 5 2 5 5 2" xfId="13651" xr:uid="{00000000-0005-0000-0000-000041B20000}"/>
    <cellStyle name="표준 5 5 2 5 5 2 2" xfId="30245" xr:uid="{00000000-0005-0000-0000-000042B20000}"/>
    <cellStyle name="표준 5 5 2 5 5 2 3" xfId="38456" xr:uid="{00000000-0005-0000-0000-000043B20000}"/>
    <cellStyle name="표준 5 5 2 5 5 2 4" xfId="46649" xr:uid="{00000000-0005-0000-0000-000044B20000}"/>
    <cellStyle name="표준 5 5 2 5 5 3" xfId="17891" xr:uid="{00000000-0005-0000-0000-000045B20000}"/>
    <cellStyle name="표준 5 5 2 5 5 4" xfId="22053" xr:uid="{00000000-0005-0000-0000-000046B20000}"/>
    <cellStyle name="표준 5 5 2 5 5 5" xfId="26149" xr:uid="{00000000-0005-0000-0000-000047B20000}"/>
    <cellStyle name="표준 5 5 2 5 5 6" xfId="34360" xr:uid="{00000000-0005-0000-0000-000048B20000}"/>
    <cellStyle name="표준 5 5 2 5 5 7" xfId="42553" xr:uid="{00000000-0005-0000-0000-000049B20000}"/>
    <cellStyle name="표준 5 5 2 5 6" xfId="7491" xr:uid="{00000000-0005-0000-0000-00004AB20000}"/>
    <cellStyle name="표준 5 5 2 5 6 2" xfId="28197" xr:uid="{00000000-0005-0000-0000-00004BB20000}"/>
    <cellStyle name="표준 5 5 2 5 6 3" xfId="36408" xr:uid="{00000000-0005-0000-0000-00004CB20000}"/>
    <cellStyle name="표준 5 5 2 5 6 4" xfId="44601" xr:uid="{00000000-0005-0000-0000-00004DB20000}"/>
    <cellStyle name="표준 5 5 2 5 7" xfId="11603" xr:uid="{00000000-0005-0000-0000-00004EB20000}"/>
    <cellStyle name="표준 5 5 2 5 8" xfId="15843" xr:uid="{00000000-0005-0000-0000-00004FB20000}"/>
    <cellStyle name="표준 5 5 2 5 9" xfId="20005" xr:uid="{00000000-0005-0000-0000-000050B20000}"/>
    <cellStyle name="표준 5 5 2 6" xfId="892" xr:uid="{00000000-0005-0000-0000-000051B20000}"/>
    <cellStyle name="표준 5 5 2 6 2" xfId="9795" xr:uid="{00000000-0005-0000-0000-000052B20000}"/>
    <cellStyle name="표준 5 5 2 6 2 2" xfId="13907" xr:uid="{00000000-0005-0000-0000-000053B20000}"/>
    <cellStyle name="표준 5 5 2 6 2 2 2" xfId="30501" xr:uid="{00000000-0005-0000-0000-000054B20000}"/>
    <cellStyle name="표준 5 5 2 6 2 2 3" xfId="38712" xr:uid="{00000000-0005-0000-0000-000055B20000}"/>
    <cellStyle name="표준 5 5 2 6 2 2 4" xfId="46905" xr:uid="{00000000-0005-0000-0000-000056B20000}"/>
    <cellStyle name="표준 5 5 2 6 2 3" xfId="18147" xr:uid="{00000000-0005-0000-0000-000057B20000}"/>
    <cellStyle name="표준 5 5 2 6 2 4" xfId="22309" xr:uid="{00000000-0005-0000-0000-000058B20000}"/>
    <cellStyle name="표준 5 5 2 6 2 5" xfId="26405" xr:uid="{00000000-0005-0000-0000-000059B20000}"/>
    <cellStyle name="표준 5 5 2 6 2 6" xfId="34616" xr:uid="{00000000-0005-0000-0000-00005AB20000}"/>
    <cellStyle name="표준 5 5 2 6 2 7" xfId="42809" xr:uid="{00000000-0005-0000-0000-00005BB20000}"/>
    <cellStyle name="표준 5 5 2 6 3" xfId="7747" xr:uid="{00000000-0005-0000-0000-00005CB20000}"/>
    <cellStyle name="표준 5 5 2 6 3 2" xfId="28453" xr:uid="{00000000-0005-0000-0000-00005DB20000}"/>
    <cellStyle name="표준 5 5 2 6 3 3" xfId="36664" xr:uid="{00000000-0005-0000-0000-00005EB20000}"/>
    <cellStyle name="표준 5 5 2 6 3 4" xfId="44857" xr:uid="{00000000-0005-0000-0000-00005FB20000}"/>
    <cellStyle name="표준 5 5 2 6 4" xfId="11859" xr:uid="{00000000-0005-0000-0000-000060B20000}"/>
    <cellStyle name="표준 5 5 2 6 5" xfId="16099" xr:uid="{00000000-0005-0000-0000-000061B20000}"/>
    <cellStyle name="표준 5 5 2 6 6" xfId="20261" xr:uid="{00000000-0005-0000-0000-000062B20000}"/>
    <cellStyle name="표준 5 5 2 6 7" xfId="24357" xr:uid="{00000000-0005-0000-0000-000063B20000}"/>
    <cellStyle name="표준 5 5 2 6 8" xfId="32568" xr:uid="{00000000-0005-0000-0000-000064B20000}"/>
    <cellStyle name="표준 5 5 2 6 9" xfId="40761" xr:uid="{00000000-0005-0000-0000-000065B20000}"/>
    <cellStyle name="표준 5 5 2 7" xfId="1404" xr:uid="{00000000-0005-0000-0000-000066B20000}"/>
    <cellStyle name="표준 5 5 2 7 2" xfId="10307" xr:uid="{00000000-0005-0000-0000-000067B20000}"/>
    <cellStyle name="표준 5 5 2 7 2 2" xfId="14419" xr:uid="{00000000-0005-0000-0000-000068B20000}"/>
    <cellStyle name="표준 5 5 2 7 2 2 2" xfId="31013" xr:uid="{00000000-0005-0000-0000-000069B20000}"/>
    <cellStyle name="표준 5 5 2 7 2 2 3" xfId="39224" xr:uid="{00000000-0005-0000-0000-00006AB20000}"/>
    <cellStyle name="표준 5 5 2 7 2 2 4" xfId="47417" xr:uid="{00000000-0005-0000-0000-00006BB20000}"/>
    <cellStyle name="표준 5 5 2 7 2 3" xfId="18659" xr:uid="{00000000-0005-0000-0000-00006CB20000}"/>
    <cellStyle name="표준 5 5 2 7 2 4" xfId="22821" xr:uid="{00000000-0005-0000-0000-00006DB20000}"/>
    <cellStyle name="표준 5 5 2 7 2 5" xfId="26917" xr:uid="{00000000-0005-0000-0000-00006EB20000}"/>
    <cellStyle name="표준 5 5 2 7 2 6" xfId="35128" xr:uid="{00000000-0005-0000-0000-00006FB20000}"/>
    <cellStyle name="표준 5 5 2 7 2 7" xfId="43321" xr:uid="{00000000-0005-0000-0000-000070B20000}"/>
    <cellStyle name="표준 5 5 2 7 3" xfId="8259" xr:uid="{00000000-0005-0000-0000-000071B20000}"/>
    <cellStyle name="표준 5 5 2 7 3 2" xfId="28965" xr:uid="{00000000-0005-0000-0000-000072B20000}"/>
    <cellStyle name="표준 5 5 2 7 3 3" xfId="37176" xr:uid="{00000000-0005-0000-0000-000073B20000}"/>
    <cellStyle name="표준 5 5 2 7 3 4" xfId="45369" xr:uid="{00000000-0005-0000-0000-000074B20000}"/>
    <cellStyle name="표준 5 5 2 7 4" xfId="12371" xr:uid="{00000000-0005-0000-0000-000075B20000}"/>
    <cellStyle name="표준 5 5 2 7 5" xfId="16611" xr:uid="{00000000-0005-0000-0000-000076B20000}"/>
    <cellStyle name="표준 5 5 2 7 6" xfId="20773" xr:uid="{00000000-0005-0000-0000-000077B20000}"/>
    <cellStyle name="표준 5 5 2 7 7" xfId="24869" xr:uid="{00000000-0005-0000-0000-000078B20000}"/>
    <cellStyle name="표준 5 5 2 7 8" xfId="33080" xr:uid="{00000000-0005-0000-0000-000079B20000}"/>
    <cellStyle name="표준 5 5 2 7 9" xfId="41273" xr:uid="{00000000-0005-0000-0000-00007AB20000}"/>
    <cellStyle name="표준 5 5 2 8" xfId="1916" xr:uid="{00000000-0005-0000-0000-00007BB20000}"/>
    <cellStyle name="표준 5 5 2 8 2" xfId="10819" xr:uid="{00000000-0005-0000-0000-00007CB20000}"/>
    <cellStyle name="표준 5 5 2 8 2 2" xfId="14931" xr:uid="{00000000-0005-0000-0000-00007DB20000}"/>
    <cellStyle name="표준 5 5 2 8 2 2 2" xfId="31525" xr:uid="{00000000-0005-0000-0000-00007EB20000}"/>
    <cellStyle name="표준 5 5 2 8 2 2 3" xfId="39736" xr:uid="{00000000-0005-0000-0000-00007FB20000}"/>
    <cellStyle name="표준 5 5 2 8 2 2 4" xfId="47929" xr:uid="{00000000-0005-0000-0000-000080B20000}"/>
    <cellStyle name="표준 5 5 2 8 2 3" xfId="19171" xr:uid="{00000000-0005-0000-0000-000081B20000}"/>
    <cellStyle name="표준 5 5 2 8 2 4" xfId="23333" xr:uid="{00000000-0005-0000-0000-000082B20000}"/>
    <cellStyle name="표준 5 5 2 8 2 5" xfId="27429" xr:uid="{00000000-0005-0000-0000-000083B20000}"/>
    <cellStyle name="표준 5 5 2 8 2 6" xfId="35640" xr:uid="{00000000-0005-0000-0000-000084B20000}"/>
    <cellStyle name="표준 5 5 2 8 2 7" xfId="43833" xr:uid="{00000000-0005-0000-0000-000085B20000}"/>
    <cellStyle name="표준 5 5 2 8 3" xfId="8771" xr:uid="{00000000-0005-0000-0000-000086B20000}"/>
    <cellStyle name="표준 5 5 2 8 3 2" xfId="29477" xr:uid="{00000000-0005-0000-0000-000087B20000}"/>
    <cellStyle name="표준 5 5 2 8 3 3" xfId="37688" xr:uid="{00000000-0005-0000-0000-000088B20000}"/>
    <cellStyle name="표준 5 5 2 8 3 4" xfId="45881" xr:uid="{00000000-0005-0000-0000-000089B20000}"/>
    <cellStyle name="표준 5 5 2 8 4" xfId="12883" xr:uid="{00000000-0005-0000-0000-00008AB20000}"/>
    <cellStyle name="표준 5 5 2 8 5" xfId="17123" xr:uid="{00000000-0005-0000-0000-00008BB20000}"/>
    <cellStyle name="표준 5 5 2 8 6" xfId="21285" xr:uid="{00000000-0005-0000-0000-00008CB20000}"/>
    <cellStyle name="표준 5 5 2 8 7" xfId="25381" xr:uid="{00000000-0005-0000-0000-00008DB20000}"/>
    <cellStyle name="표준 5 5 2 8 8" xfId="33592" xr:uid="{00000000-0005-0000-0000-00008EB20000}"/>
    <cellStyle name="표준 5 5 2 8 9" xfId="41785" xr:uid="{00000000-0005-0000-0000-00008FB20000}"/>
    <cellStyle name="표준 5 5 2 9" xfId="6972" xr:uid="{00000000-0005-0000-0000-000090B20000}"/>
    <cellStyle name="표준 5 5 2 9 2" xfId="9283" xr:uid="{00000000-0005-0000-0000-000091B20000}"/>
    <cellStyle name="표준 5 5 2 9 2 2" xfId="29989" xr:uid="{00000000-0005-0000-0000-000092B20000}"/>
    <cellStyle name="표준 5 5 2 9 2 3" xfId="38200" xr:uid="{00000000-0005-0000-0000-000093B20000}"/>
    <cellStyle name="표준 5 5 2 9 2 4" xfId="46393" xr:uid="{00000000-0005-0000-0000-000094B20000}"/>
    <cellStyle name="표준 5 5 2 9 3" xfId="13395" xr:uid="{00000000-0005-0000-0000-000095B20000}"/>
    <cellStyle name="표준 5 5 2 9 4" xfId="17635" xr:uid="{00000000-0005-0000-0000-000096B20000}"/>
    <cellStyle name="표준 5 5 2 9 5" xfId="21797" xr:uid="{00000000-0005-0000-0000-000097B20000}"/>
    <cellStyle name="표준 5 5 2 9 6" xfId="25893" xr:uid="{00000000-0005-0000-0000-000098B20000}"/>
    <cellStyle name="표준 5 5 2 9 7" xfId="34104" xr:uid="{00000000-0005-0000-0000-000099B20000}"/>
    <cellStyle name="표준 5 5 2 9 8" xfId="42297" xr:uid="{00000000-0005-0000-0000-00009AB20000}"/>
    <cellStyle name="표준 5 5 20" xfId="15427" xr:uid="{00000000-0005-0000-0000-00009BB20000}"/>
    <cellStyle name="표준 5 5 21" xfId="15443" xr:uid="{00000000-0005-0000-0000-00009CB20000}"/>
    <cellStyle name="표준 5 5 22" xfId="15459" xr:uid="{00000000-0005-0000-0000-00009DB20000}"/>
    <cellStyle name="표준 5 5 23" xfId="15555" xr:uid="{00000000-0005-0000-0000-00009EB20000}"/>
    <cellStyle name="표준 5 5 24" xfId="15571" xr:uid="{00000000-0005-0000-0000-00009FB20000}"/>
    <cellStyle name="표준 5 5 25" xfId="19667" xr:uid="{00000000-0005-0000-0000-0000A0B20000}"/>
    <cellStyle name="표준 5 5 26" xfId="19683" xr:uid="{00000000-0005-0000-0000-0000A1B20000}"/>
    <cellStyle name="표준 5 5 27" xfId="19699" xr:uid="{00000000-0005-0000-0000-0000A2B20000}"/>
    <cellStyle name="표준 5 5 28" xfId="19715" xr:uid="{00000000-0005-0000-0000-0000A3B20000}"/>
    <cellStyle name="표준 5 5 29" xfId="19731" xr:uid="{00000000-0005-0000-0000-0000A4B20000}"/>
    <cellStyle name="표준 5 5 3" xfId="304" xr:uid="{00000000-0005-0000-0000-0000A5B20000}"/>
    <cellStyle name="표준 5 5 3 10" xfId="7170" xr:uid="{00000000-0005-0000-0000-0000A6B20000}"/>
    <cellStyle name="표준 5 5 3 11" xfId="7251" xr:uid="{00000000-0005-0000-0000-0000A7B20000}"/>
    <cellStyle name="표준 5 5 3 12" xfId="11363" xr:uid="{00000000-0005-0000-0000-0000A8B20000}"/>
    <cellStyle name="표준 5 5 3 13" xfId="15491" xr:uid="{00000000-0005-0000-0000-0000A9B20000}"/>
    <cellStyle name="표준 5 5 3 14" xfId="15603" xr:uid="{00000000-0005-0000-0000-0000AAB20000}"/>
    <cellStyle name="표준 5 5 3 15" xfId="19765" xr:uid="{00000000-0005-0000-0000-0000ABB20000}"/>
    <cellStyle name="표준 5 5 3 16" xfId="23861" xr:uid="{00000000-0005-0000-0000-0000ACB20000}"/>
    <cellStyle name="표준 5 5 3 17" xfId="32072" xr:uid="{00000000-0005-0000-0000-0000ADB20000}"/>
    <cellStyle name="표준 5 5 3 18" xfId="40265" xr:uid="{00000000-0005-0000-0000-0000AEB20000}"/>
    <cellStyle name="표준 5 5 3 19" xfId="49695" xr:uid="{00000000-0005-0000-0000-0000AFB20000}"/>
    <cellStyle name="표준 5 5 3 2" xfId="460" xr:uid="{00000000-0005-0000-0000-0000B0B20000}"/>
    <cellStyle name="표준 5 5 3 2 10" xfId="11427" xr:uid="{00000000-0005-0000-0000-0000B1B20000}"/>
    <cellStyle name="표준 5 5 3 2 11" xfId="15539" xr:uid="{00000000-0005-0000-0000-0000B2B20000}"/>
    <cellStyle name="표준 5 5 3 2 12" xfId="15667" xr:uid="{00000000-0005-0000-0000-0000B3B20000}"/>
    <cellStyle name="표준 5 5 3 2 13" xfId="19829" xr:uid="{00000000-0005-0000-0000-0000B4B20000}"/>
    <cellStyle name="표준 5 5 3 2 14" xfId="23925" xr:uid="{00000000-0005-0000-0000-0000B5B20000}"/>
    <cellStyle name="표준 5 5 3 2 15" xfId="32136" xr:uid="{00000000-0005-0000-0000-0000B6B20000}"/>
    <cellStyle name="표준 5 5 3 2 16" xfId="40329" xr:uid="{00000000-0005-0000-0000-0000B7B20000}"/>
    <cellStyle name="표준 5 5 3 2 2" xfId="588" xr:uid="{00000000-0005-0000-0000-0000B8B20000}"/>
    <cellStyle name="표준 5 5 3 2 2 10" xfId="19957" xr:uid="{00000000-0005-0000-0000-0000B9B20000}"/>
    <cellStyle name="표준 5 5 3 2 2 11" xfId="24053" xr:uid="{00000000-0005-0000-0000-0000BAB20000}"/>
    <cellStyle name="표준 5 5 3 2 2 12" xfId="32264" xr:uid="{00000000-0005-0000-0000-0000BBB20000}"/>
    <cellStyle name="표준 5 5 3 2 2 13" xfId="40457" xr:uid="{00000000-0005-0000-0000-0000BCB20000}"/>
    <cellStyle name="표준 5 5 3 2 2 2" xfId="844" xr:uid="{00000000-0005-0000-0000-0000BDB20000}"/>
    <cellStyle name="표준 5 5 3 2 2 2 10" xfId="24309" xr:uid="{00000000-0005-0000-0000-0000BEB20000}"/>
    <cellStyle name="표준 5 5 3 2 2 2 11" xfId="32520" xr:uid="{00000000-0005-0000-0000-0000BFB20000}"/>
    <cellStyle name="표준 5 5 3 2 2 2 12" xfId="40713" xr:uid="{00000000-0005-0000-0000-0000C0B20000}"/>
    <cellStyle name="표준 5 5 3 2 2 2 2" xfId="1356" xr:uid="{00000000-0005-0000-0000-0000C1B20000}"/>
    <cellStyle name="표준 5 5 3 2 2 2 2 2" xfId="10259" xr:uid="{00000000-0005-0000-0000-0000C2B20000}"/>
    <cellStyle name="표준 5 5 3 2 2 2 2 2 2" xfId="14371" xr:uid="{00000000-0005-0000-0000-0000C3B20000}"/>
    <cellStyle name="표준 5 5 3 2 2 2 2 2 2 2" xfId="30965" xr:uid="{00000000-0005-0000-0000-0000C4B20000}"/>
    <cellStyle name="표준 5 5 3 2 2 2 2 2 2 3" xfId="39176" xr:uid="{00000000-0005-0000-0000-0000C5B20000}"/>
    <cellStyle name="표준 5 5 3 2 2 2 2 2 2 4" xfId="47369" xr:uid="{00000000-0005-0000-0000-0000C6B20000}"/>
    <cellStyle name="표준 5 5 3 2 2 2 2 2 3" xfId="18611" xr:uid="{00000000-0005-0000-0000-0000C7B20000}"/>
    <cellStyle name="표준 5 5 3 2 2 2 2 2 4" xfId="22773" xr:uid="{00000000-0005-0000-0000-0000C8B20000}"/>
    <cellStyle name="표준 5 5 3 2 2 2 2 2 5" xfId="26869" xr:uid="{00000000-0005-0000-0000-0000C9B20000}"/>
    <cellStyle name="표준 5 5 3 2 2 2 2 2 6" xfId="35080" xr:uid="{00000000-0005-0000-0000-0000CAB20000}"/>
    <cellStyle name="표준 5 5 3 2 2 2 2 2 7" xfId="43273" xr:uid="{00000000-0005-0000-0000-0000CBB20000}"/>
    <cellStyle name="표준 5 5 3 2 2 2 2 3" xfId="8211" xr:uid="{00000000-0005-0000-0000-0000CCB20000}"/>
    <cellStyle name="표준 5 5 3 2 2 2 2 3 2" xfId="28917" xr:uid="{00000000-0005-0000-0000-0000CDB20000}"/>
    <cellStyle name="표준 5 5 3 2 2 2 2 3 3" xfId="37128" xr:uid="{00000000-0005-0000-0000-0000CEB20000}"/>
    <cellStyle name="표준 5 5 3 2 2 2 2 3 4" xfId="45321" xr:uid="{00000000-0005-0000-0000-0000CFB20000}"/>
    <cellStyle name="표준 5 5 3 2 2 2 2 4" xfId="12323" xr:uid="{00000000-0005-0000-0000-0000D0B20000}"/>
    <cellStyle name="표준 5 5 3 2 2 2 2 5" xfId="16563" xr:uid="{00000000-0005-0000-0000-0000D1B20000}"/>
    <cellStyle name="표준 5 5 3 2 2 2 2 6" xfId="20725" xr:uid="{00000000-0005-0000-0000-0000D2B20000}"/>
    <cellStyle name="표준 5 5 3 2 2 2 2 7" xfId="24821" xr:uid="{00000000-0005-0000-0000-0000D3B20000}"/>
    <cellStyle name="표준 5 5 3 2 2 2 2 8" xfId="33032" xr:uid="{00000000-0005-0000-0000-0000D4B20000}"/>
    <cellStyle name="표준 5 5 3 2 2 2 2 9" xfId="41225" xr:uid="{00000000-0005-0000-0000-0000D5B20000}"/>
    <cellStyle name="표준 5 5 3 2 2 2 3" xfId="1868" xr:uid="{00000000-0005-0000-0000-0000D6B20000}"/>
    <cellStyle name="표준 5 5 3 2 2 2 3 2" xfId="10771" xr:uid="{00000000-0005-0000-0000-0000D7B20000}"/>
    <cellStyle name="표준 5 5 3 2 2 2 3 2 2" xfId="14883" xr:uid="{00000000-0005-0000-0000-0000D8B20000}"/>
    <cellStyle name="표준 5 5 3 2 2 2 3 2 2 2" xfId="31477" xr:uid="{00000000-0005-0000-0000-0000D9B20000}"/>
    <cellStyle name="표준 5 5 3 2 2 2 3 2 2 3" xfId="39688" xr:uid="{00000000-0005-0000-0000-0000DAB20000}"/>
    <cellStyle name="표준 5 5 3 2 2 2 3 2 2 4" xfId="47881" xr:uid="{00000000-0005-0000-0000-0000DBB20000}"/>
    <cellStyle name="표준 5 5 3 2 2 2 3 2 3" xfId="19123" xr:uid="{00000000-0005-0000-0000-0000DCB20000}"/>
    <cellStyle name="표준 5 5 3 2 2 2 3 2 4" xfId="23285" xr:uid="{00000000-0005-0000-0000-0000DDB20000}"/>
    <cellStyle name="표준 5 5 3 2 2 2 3 2 5" xfId="27381" xr:uid="{00000000-0005-0000-0000-0000DEB20000}"/>
    <cellStyle name="표준 5 5 3 2 2 2 3 2 6" xfId="35592" xr:uid="{00000000-0005-0000-0000-0000DFB20000}"/>
    <cellStyle name="표준 5 5 3 2 2 2 3 2 7" xfId="43785" xr:uid="{00000000-0005-0000-0000-0000E0B20000}"/>
    <cellStyle name="표준 5 5 3 2 2 2 3 3" xfId="8723" xr:uid="{00000000-0005-0000-0000-0000E1B20000}"/>
    <cellStyle name="표준 5 5 3 2 2 2 3 3 2" xfId="29429" xr:uid="{00000000-0005-0000-0000-0000E2B20000}"/>
    <cellStyle name="표준 5 5 3 2 2 2 3 3 3" xfId="37640" xr:uid="{00000000-0005-0000-0000-0000E3B20000}"/>
    <cellStyle name="표준 5 5 3 2 2 2 3 3 4" xfId="45833" xr:uid="{00000000-0005-0000-0000-0000E4B20000}"/>
    <cellStyle name="표준 5 5 3 2 2 2 3 4" xfId="12835" xr:uid="{00000000-0005-0000-0000-0000E5B20000}"/>
    <cellStyle name="표준 5 5 3 2 2 2 3 5" xfId="17075" xr:uid="{00000000-0005-0000-0000-0000E6B20000}"/>
    <cellStyle name="표준 5 5 3 2 2 2 3 6" xfId="21237" xr:uid="{00000000-0005-0000-0000-0000E7B20000}"/>
    <cellStyle name="표준 5 5 3 2 2 2 3 7" xfId="25333" xr:uid="{00000000-0005-0000-0000-0000E8B20000}"/>
    <cellStyle name="표준 5 5 3 2 2 2 3 8" xfId="33544" xr:uid="{00000000-0005-0000-0000-0000E9B20000}"/>
    <cellStyle name="표준 5 5 3 2 2 2 3 9" xfId="41737" xr:uid="{00000000-0005-0000-0000-0000EAB20000}"/>
    <cellStyle name="표준 5 5 3 2 2 2 4" xfId="2380" xr:uid="{00000000-0005-0000-0000-0000EBB20000}"/>
    <cellStyle name="표준 5 5 3 2 2 2 4 2" xfId="11283" xr:uid="{00000000-0005-0000-0000-0000ECB20000}"/>
    <cellStyle name="표준 5 5 3 2 2 2 4 2 2" xfId="15395" xr:uid="{00000000-0005-0000-0000-0000EDB20000}"/>
    <cellStyle name="표준 5 5 3 2 2 2 4 2 2 2" xfId="31989" xr:uid="{00000000-0005-0000-0000-0000EEB20000}"/>
    <cellStyle name="표준 5 5 3 2 2 2 4 2 2 3" xfId="40200" xr:uid="{00000000-0005-0000-0000-0000EFB20000}"/>
    <cellStyle name="표준 5 5 3 2 2 2 4 2 2 4" xfId="48393" xr:uid="{00000000-0005-0000-0000-0000F0B20000}"/>
    <cellStyle name="표준 5 5 3 2 2 2 4 2 3" xfId="19635" xr:uid="{00000000-0005-0000-0000-0000F1B20000}"/>
    <cellStyle name="표준 5 5 3 2 2 2 4 2 4" xfId="23797" xr:uid="{00000000-0005-0000-0000-0000F2B20000}"/>
    <cellStyle name="표준 5 5 3 2 2 2 4 2 5" xfId="27893" xr:uid="{00000000-0005-0000-0000-0000F3B20000}"/>
    <cellStyle name="표준 5 5 3 2 2 2 4 2 6" xfId="36104" xr:uid="{00000000-0005-0000-0000-0000F4B20000}"/>
    <cellStyle name="표준 5 5 3 2 2 2 4 2 7" xfId="44297" xr:uid="{00000000-0005-0000-0000-0000F5B20000}"/>
    <cellStyle name="표준 5 5 3 2 2 2 4 3" xfId="9235" xr:uid="{00000000-0005-0000-0000-0000F6B20000}"/>
    <cellStyle name="표준 5 5 3 2 2 2 4 3 2" xfId="29941" xr:uid="{00000000-0005-0000-0000-0000F7B20000}"/>
    <cellStyle name="표준 5 5 3 2 2 2 4 3 3" xfId="38152" xr:uid="{00000000-0005-0000-0000-0000F8B20000}"/>
    <cellStyle name="표준 5 5 3 2 2 2 4 3 4" xfId="46345" xr:uid="{00000000-0005-0000-0000-0000F9B20000}"/>
    <cellStyle name="표준 5 5 3 2 2 2 4 4" xfId="13347" xr:uid="{00000000-0005-0000-0000-0000FAB20000}"/>
    <cellStyle name="표준 5 5 3 2 2 2 4 5" xfId="17587" xr:uid="{00000000-0005-0000-0000-0000FBB20000}"/>
    <cellStyle name="표준 5 5 3 2 2 2 4 6" xfId="21749" xr:uid="{00000000-0005-0000-0000-0000FCB20000}"/>
    <cellStyle name="표준 5 5 3 2 2 2 4 7" xfId="25845" xr:uid="{00000000-0005-0000-0000-0000FDB20000}"/>
    <cellStyle name="표준 5 5 3 2 2 2 4 8" xfId="34056" xr:uid="{00000000-0005-0000-0000-0000FEB20000}"/>
    <cellStyle name="표준 5 5 3 2 2 2 4 9" xfId="42249" xr:uid="{00000000-0005-0000-0000-0000FFB20000}"/>
    <cellStyle name="표준 5 5 3 2 2 2 5" xfId="9747" xr:uid="{00000000-0005-0000-0000-000000B30000}"/>
    <cellStyle name="표준 5 5 3 2 2 2 5 2" xfId="13859" xr:uid="{00000000-0005-0000-0000-000001B30000}"/>
    <cellStyle name="표준 5 5 3 2 2 2 5 2 2" xfId="30453" xr:uid="{00000000-0005-0000-0000-000002B30000}"/>
    <cellStyle name="표준 5 5 3 2 2 2 5 2 3" xfId="38664" xr:uid="{00000000-0005-0000-0000-000003B30000}"/>
    <cellStyle name="표준 5 5 3 2 2 2 5 2 4" xfId="46857" xr:uid="{00000000-0005-0000-0000-000004B30000}"/>
    <cellStyle name="표준 5 5 3 2 2 2 5 3" xfId="18099" xr:uid="{00000000-0005-0000-0000-000005B30000}"/>
    <cellStyle name="표준 5 5 3 2 2 2 5 4" xfId="22261" xr:uid="{00000000-0005-0000-0000-000006B30000}"/>
    <cellStyle name="표준 5 5 3 2 2 2 5 5" xfId="26357" xr:uid="{00000000-0005-0000-0000-000007B30000}"/>
    <cellStyle name="표준 5 5 3 2 2 2 5 6" xfId="34568" xr:uid="{00000000-0005-0000-0000-000008B30000}"/>
    <cellStyle name="표준 5 5 3 2 2 2 5 7" xfId="42761" xr:uid="{00000000-0005-0000-0000-000009B30000}"/>
    <cellStyle name="표준 5 5 3 2 2 2 6" xfId="7699" xr:uid="{00000000-0005-0000-0000-00000AB30000}"/>
    <cellStyle name="표준 5 5 3 2 2 2 6 2" xfId="28405" xr:uid="{00000000-0005-0000-0000-00000BB30000}"/>
    <cellStyle name="표준 5 5 3 2 2 2 6 3" xfId="36616" xr:uid="{00000000-0005-0000-0000-00000CB30000}"/>
    <cellStyle name="표준 5 5 3 2 2 2 6 4" xfId="44809" xr:uid="{00000000-0005-0000-0000-00000DB30000}"/>
    <cellStyle name="표준 5 5 3 2 2 2 7" xfId="11811" xr:uid="{00000000-0005-0000-0000-00000EB30000}"/>
    <cellStyle name="표준 5 5 3 2 2 2 8" xfId="16051" xr:uid="{00000000-0005-0000-0000-00000FB30000}"/>
    <cellStyle name="표준 5 5 3 2 2 2 9" xfId="20213" xr:uid="{00000000-0005-0000-0000-000010B30000}"/>
    <cellStyle name="표준 5 5 3 2 2 3" xfId="1100" xr:uid="{00000000-0005-0000-0000-000011B30000}"/>
    <cellStyle name="표준 5 5 3 2 2 3 2" xfId="10003" xr:uid="{00000000-0005-0000-0000-000012B30000}"/>
    <cellStyle name="표준 5 5 3 2 2 3 2 2" xfId="14115" xr:uid="{00000000-0005-0000-0000-000013B30000}"/>
    <cellStyle name="표준 5 5 3 2 2 3 2 2 2" xfId="30709" xr:uid="{00000000-0005-0000-0000-000014B30000}"/>
    <cellStyle name="표준 5 5 3 2 2 3 2 2 3" xfId="38920" xr:uid="{00000000-0005-0000-0000-000015B30000}"/>
    <cellStyle name="표준 5 5 3 2 2 3 2 2 4" xfId="47113" xr:uid="{00000000-0005-0000-0000-000016B30000}"/>
    <cellStyle name="표준 5 5 3 2 2 3 2 3" xfId="18355" xr:uid="{00000000-0005-0000-0000-000017B30000}"/>
    <cellStyle name="표준 5 5 3 2 2 3 2 4" xfId="22517" xr:uid="{00000000-0005-0000-0000-000018B30000}"/>
    <cellStyle name="표준 5 5 3 2 2 3 2 5" xfId="26613" xr:uid="{00000000-0005-0000-0000-000019B30000}"/>
    <cellStyle name="표준 5 5 3 2 2 3 2 6" xfId="34824" xr:uid="{00000000-0005-0000-0000-00001AB30000}"/>
    <cellStyle name="표준 5 5 3 2 2 3 2 7" xfId="43017" xr:uid="{00000000-0005-0000-0000-00001BB30000}"/>
    <cellStyle name="표준 5 5 3 2 2 3 3" xfId="7955" xr:uid="{00000000-0005-0000-0000-00001CB30000}"/>
    <cellStyle name="표준 5 5 3 2 2 3 3 2" xfId="28661" xr:uid="{00000000-0005-0000-0000-00001DB30000}"/>
    <cellStyle name="표준 5 5 3 2 2 3 3 3" xfId="36872" xr:uid="{00000000-0005-0000-0000-00001EB30000}"/>
    <cellStyle name="표준 5 5 3 2 2 3 3 4" xfId="45065" xr:uid="{00000000-0005-0000-0000-00001FB30000}"/>
    <cellStyle name="표준 5 5 3 2 2 3 4" xfId="12067" xr:uid="{00000000-0005-0000-0000-000020B30000}"/>
    <cellStyle name="표준 5 5 3 2 2 3 5" xfId="16307" xr:uid="{00000000-0005-0000-0000-000021B30000}"/>
    <cellStyle name="표준 5 5 3 2 2 3 6" xfId="20469" xr:uid="{00000000-0005-0000-0000-000022B30000}"/>
    <cellStyle name="표준 5 5 3 2 2 3 7" xfId="24565" xr:uid="{00000000-0005-0000-0000-000023B30000}"/>
    <cellStyle name="표준 5 5 3 2 2 3 8" xfId="32776" xr:uid="{00000000-0005-0000-0000-000024B30000}"/>
    <cellStyle name="표준 5 5 3 2 2 3 9" xfId="40969" xr:uid="{00000000-0005-0000-0000-000025B30000}"/>
    <cellStyle name="표준 5 5 3 2 2 4" xfId="1612" xr:uid="{00000000-0005-0000-0000-000026B30000}"/>
    <cellStyle name="표준 5 5 3 2 2 4 2" xfId="10515" xr:uid="{00000000-0005-0000-0000-000027B30000}"/>
    <cellStyle name="표준 5 5 3 2 2 4 2 2" xfId="14627" xr:uid="{00000000-0005-0000-0000-000028B30000}"/>
    <cellStyle name="표준 5 5 3 2 2 4 2 2 2" xfId="31221" xr:uid="{00000000-0005-0000-0000-000029B30000}"/>
    <cellStyle name="표준 5 5 3 2 2 4 2 2 3" xfId="39432" xr:uid="{00000000-0005-0000-0000-00002AB30000}"/>
    <cellStyle name="표준 5 5 3 2 2 4 2 2 4" xfId="47625" xr:uid="{00000000-0005-0000-0000-00002BB30000}"/>
    <cellStyle name="표준 5 5 3 2 2 4 2 3" xfId="18867" xr:uid="{00000000-0005-0000-0000-00002CB30000}"/>
    <cellStyle name="표준 5 5 3 2 2 4 2 4" xfId="23029" xr:uid="{00000000-0005-0000-0000-00002DB30000}"/>
    <cellStyle name="표준 5 5 3 2 2 4 2 5" xfId="27125" xr:uid="{00000000-0005-0000-0000-00002EB30000}"/>
    <cellStyle name="표준 5 5 3 2 2 4 2 6" xfId="35336" xr:uid="{00000000-0005-0000-0000-00002FB30000}"/>
    <cellStyle name="표준 5 5 3 2 2 4 2 7" xfId="43529" xr:uid="{00000000-0005-0000-0000-000030B30000}"/>
    <cellStyle name="표준 5 5 3 2 2 4 3" xfId="8467" xr:uid="{00000000-0005-0000-0000-000031B30000}"/>
    <cellStyle name="표준 5 5 3 2 2 4 3 2" xfId="29173" xr:uid="{00000000-0005-0000-0000-000032B30000}"/>
    <cellStyle name="표준 5 5 3 2 2 4 3 3" xfId="37384" xr:uid="{00000000-0005-0000-0000-000033B30000}"/>
    <cellStyle name="표준 5 5 3 2 2 4 3 4" xfId="45577" xr:uid="{00000000-0005-0000-0000-000034B30000}"/>
    <cellStyle name="표준 5 5 3 2 2 4 4" xfId="12579" xr:uid="{00000000-0005-0000-0000-000035B30000}"/>
    <cellStyle name="표준 5 5 3 2 2 4 5" xfId="16819" xr:uid="{00000000-0005-0000-0000-000036B30000}"/>
    <cellStyle name="표준 5 5 3 2 2 4 6" xfId="20981" xr:uid="{00000000-0005-0000-0000-000037B30000}"/>
    <cellStyle name="표준 5 5 3 2 2 4 7" xfId="25077" xr:uid="{00000000-0005-0000-0000-000038B30000}"/>
    <cellStyle name="표준 5 5 3 2 2 4 8" xfId="33288" xr:uid="{00000000-0005-0000-0000-000039B30000}"/>
    <cellStyle name="표준 5 5 3 2 2 4 9" xfId="41481" xr:uid="{00000000-0005-0000-0000-00003AB30000}"/>
    <cellStyle name="표준 5 5 3 2 2 5" xfId="2124" xr:uid="{00000000-0005-0000-0000-00003BB30000}"/>
    <cellStyle name="표준 5 5 3 2 2 5 2" xfId="11027" xr:uid="{00000000-0005-0000-0000-00003CB30000}"/>
    <cellStyle name="표준 5 5 3 2 2 5 2 2" xfId="15139" xr:uid="{00000000-0005-0000-0000-00003DB30000}"/>
    <cellStyle name="표준 5 5 3 2 2 5 2 2 2" xfId="31733" xr:uid="{00000000-0005-0000-0000-00003EB30000}"/>
    <cellStyle name="표준 5 5 3 2 2 5 2 2 3" xfId="39944" xr:uid="{00000000-0005-0000-0000-00003FB30000}"/>
    <cellStyle name="표준 5 5 3 2 2 5 2 2 4" xfId="48137" xr:uid="{00000000-0005-0000-0000-000040B30000}"/>
    <cellStyle name="표준 5 5 3 2 2 5 2 3" xfId="19379" xr:uid="{00000000-0005-0000-0000-000041B30000}"/>
    <cellStyle name="표준 5 5 3 2 2 5 2 4" xfId="23541" xr:uid="{00000000-0005-0000-0000-000042B30000}"/>
    <cellStyle name="표준 5 5 3 2 2 5 2 5" xfId="27637" xr:uid="{00000000-0005-0000-0000-000043B30000}"/>
    <cellStyle name="표준 5 5 3 2 2 5 2 6" xfId="35848" xr:uid="{00000000-0005-0000-0000-000044B30000}"/>
    <cellStyle name="표준 5 5 3 2 2 5 2 7" xfId="44041" xr:uid="{00000000-0005-0000-0000-000045B30000}"/>
    <cellStyle name="표준 5 5 3 2 2 5 3" xfId="8979" xr:uid="{00000000-0005-0000-0000-000046B30000}"/>
    <cellStyle name="표준 5 5 3 2 2 5 3 2" xfId="29685" xr:uid="{00000000-0005-0000-0000-000047B30000}"/>
    <cellStyle name="표준 5 5 3 2 2 5 3 3" xfId="37896" xr:uid="{00000000-0005-0000-0000-000048B30000}"/>
    <cellStyle name="표준 5 5 3 2 2 5 3 4" xfId="46089" xr:uid="{00000000-0005-0000-0000-000049B30000}"/>
    <cellStyle name="표준 5 5 3 2 2 5 4" xfId="13091" xr:uid="{00000000-0005-0000-0000-00004AB30000}"/>
    <cellStyle name="표준 5 5 3 2 2 5 5" xfId="17331" xr:uid="{00000000-0005-0000-0000-00004BB30000}"/>
    <cellStyle name="표준 5 5 3 2 2 5 6" xfId="21493" xr:uid="{00000000-0005-0000-0000-00004CB30000}"/>
    <cellStyle name="표준 5 5 3 2 2 5 7" xfId="25589" xr:uid="{00000000-0005-0000-0000-00004DB30000}"/>
    <cellStyle name="표준 5 5 3 2 2 5 8" xfId="33800" xr:uid="{00000000-0005-0000-0000-00004EB30000}"/>
    <cellStyle name="표준 5 5 3 2 2 5 9" xfId="41993" xr:uid="{00000000-0005-0000-0000-00004FB30000}"/>
    <cellStyle name="표준 5 5 3 2 2 6" xfId="9491" xr:uid="{00000000-0005-0000-0000-000050B30000}"/>
    <cellStyle name="표준 5 5 3 2 2 6 2" xfId="13603" xr:uid="{00000000-0005-0000-0000-000051B30000}"/>
    <cellStyle name="표준 5 5 3 2 2 6 2 2" xfId="30197" xr:uid="{00000000-0005-0000-0000-000052B30000}"/>
    <cellStyle name="표준 5 5 3 2 2 6 2 3" xfId="38408" xr:uid="{00000000-0005-0000-0000-000053B30000}"/>
    <cellStyle name="표준 5 5 3 2 2 6 2 4" xfId="46601" xr:uid="{00000000-0005-0000-0000-000054B30000}"/>
    <cellStyle name="표준 5 5 3 2 2 6 3" xfId="17843" xr:uid="{00000000-0005-0000-0000-000055B30000}"/>
    <cellStyle name="표준 5 5 3 2 2 6 4" xfId="22005" xr:uid="{00000000-0005-0000-0000-000056B30000}"/>
    <cellStyle name="표준 5 5 3 2 2 6 5" xfId="26101" xr:uid="{00000000-0005-0000-0000-000057B30000}"/>
    <cellStyle name="표준 5 5 3 2 2 6 6" xfId="34312" xr:uid="{00000000-0005-0000-0000-000058B30000}"/>
    <cellStyle name="표준 5 5 3 2 2 6 7" xfId="42505" xr:uid="{00000000-0005-0000-0000-000059B30000}"/>
    <cellStyle name="표준 5 5 3 2 2 7" xfId="7443" xr:uid="{00000000-0005-0000-0000-00005AB30000}"/>
    <cellStyle name="표준 5 5 3 2 2 7 2" xfId="28149" xr:uid="{00000000-0005-0000-0000-00005BB30000}"/>
    <cellStyle name="표준 5 5 3 2 2 7 3" xfId="36360" xr:uid="{00000000-0005-0000-0000-00005CB30000}"/>
    <cellStyle name="표준 5 5 3 2 2 7 4" xfId="44553" xr:uid="{00000000-0005-0000-0000-00005DB30000}"/>
    <cellStyle name="표준 5 5 3 2 2 8" xfId="11555" xr:uid="{00000000-0005-0000-0000-00005EB30000}"/>
    <cellStyle name="표준 5 5 3 2 2 9" xfId="15795" xr:uid="{00000000-0005-0000-0000-00005FB30000}"/>
    <cellStyle name="표준 5 5 3 2 3" xfId="716" xr:uid="{00000000-0005-0000-0000-000060B30000}"/>
    <cellStyle name="표준 5 5 3 2 3 10" xfId="24181" xr:uid="{00000000-0005-0000-0000-000061B30000}"/>
    <cellStyle name="표준 5 5 3 2 3 11" xfId="32392" xr:uid="{00000000-0005-0000-0000-000062B30000}"/>
    <cellStyle name="표준 5 5 3 2 3 12" xfId="40585" xr:uid="{00000000-0005-0000-0000-000063B30000}"/>
    <cellStyle name="표준 5 5 3 2 3 2" xfId="1228" xr:uid="{00000000-0005-0000-0000-000064B30000}"/>
    <cellStyle name="표준 5 5 3 2 3 2 2" xfId="10131" xr:uid="{00000000-0005-0000-0000-000065B30000}"/>
    <cellStyle name="표준 5 5 3 2 3 2 2 2" xfId="14243" xr:uid="{00000000-0005-0000-0000-000066B30000}"/>
    <cellStyle name="표준 5 5 3 2 3 2 2 2 2" xfId="30837" xr:uid="{00000000-0005-0000-0000-000067B30000}"/>
    <cellStyle name="표준 5 5 3 2 3 2 2 2 3" xfId="39048" xr:uid="{00000000-0005-0000-0000-000068B30000}"/>
    <cellStyle name="표준 5 5 3 2 3 2 2 2 4" xfId="47241" xr:uid="{00000000-0005-0000-0000-000069B30000}"/>
    <cellStyle name="표준 5 5 3 2 3 2 2 3" xfId="18483" xr:uid="{00000000-0005-0000-0000-00006AB30000}"/>
    <cellStyle name="표준 5 5 3 2 3 2 2 4" xfId="22645" xr:uid="{00000000-0005-0000-0000-00006BB30000}"/>
    <cellStyle name="표준 5 5 3 2 3 2 2 5" xfId="26741" xr:uid="{00000000-0005-0000-0000-00006CB30000}"/>
    <cellStyle name="표준 5 5 3 2 3 2 2 6" xfId="34952" xr:uid="{00000000-0005-0000-0000-00006DB30000}"/>
    <cellStyle name="표준 5 5 3 2 3 2 2 7" xfId="43145" xr:uid="{00000000-0005-0000-0000-00006EB30000}"/>
    <cellStyle name="표준 5 5 3 2 3 2 3" xfId="8083" xr:uid="{00000000-0005-0000-0000-00006FB30000}"/>
    <cellStyle name="표준 5 5 3 2 3 2 3 2" xfId="28789" xr:uid="{00000000-0005-0000-0000-000070B30000}"/>
    <cellStyle name="표준 5 5 3 2 3 2 3 3" xfId="37000" xr:uid="{00000000-0005-0000-0000-000071B30000}"/>
    <cellStyle name="표준 5 5 3 2 3 2 3 4" xfId="45193" xr:uid="{00000000-0005-0000-0000-000072B30000}"/>
    <cellStyle name="표준 5 5 3 2 3 2 4" xfId="12195" xr:uid="{00000000-0005-0000-0000-000073B30000}"/>
    <cellStyle name="표준 5 5 3 2 3 2 5" xfId="16435" xr:uid="{00000000-0005-0000-0000-000074B30000}"/>
    <cellStyle name="표준 5 5 3 2 3 2 6" xfId="20597" xr:uid="{00000000-0005-0000-0000-000075B30000}"/>
    <cellStyle name="표준 5 5 3 2 3 2 7" xfId="24693" xr:uid="{00000000-0005-0000-0000-000076B30000}"/>
    <cellStyle name="표준 5 5 3 2 3 2 8" xfId="32904" xr:uid="{00000000-0005-0000-0000-000077B30000}"/>
    <cellStyle name="표준 5 5 3 2 3 2 9" xfId="41097" xr:uid="{00000000-0005-0000-0000-000078B30000}"/>
    <cellStyle name="표준 5 5 3 2 3 3" xfId="1740" xr:uid="{00000000-0005-0000-0000-000079B30000}"/>
    <cellStyle name="표준 5 5 3 2 3 3 2" xfId="10643" xr:uid="{00000000-0005-0000-0000-00007AB30000}"/>
    <cellStyle name="표준 5 5 3 2 3 3 2 2" xfId="14755" xr:uid="{00000000-0005-0000-0000-00007BB30000}"/>
    <cellStyle name="표준 5 5 3 2 3 3 2 2 2" xfId="31349" xr:uid="{00000000-0005-0000-0000-00007CB30000}"/>
    <cellStyle name="표준 5 5 3 2 3 3 2 2 3" xfId="39560" xr:uid="{00000000-0005-0000-0000-00007DB30000}"/>
    <cellStyle name="표준 5 5 3 2 3 3 2 2 4" xfId="47753" xr:uid="{00000000-0005-0000-0000-00007EB30000}"/>
    <cellStyle name="표준 5 5 3 2 3 3 2 3" xfId="18995" xr:uid="{00000000-0005-0000-0000-00007FB30000}"/>
    <cellStyle name="표준 5 5 3 2 3 3 2 4" xfId="23157" xr:uid="{00000000-0005-0000-0000-000080B30000}"/>
    <cellStyle name="표준 5 5 3 2 3 3 2 5" xfId="27253" xr:uid="{00000000-0005-0000-0000-000081B30000}"/>
    <cellStyle name="표준 5 5 3 2 3 3 2 6" xfId="35464" xr:uid="{00000000-0005-0000-0000-000082B30000}"/>
    <cellStyle name="표준 5 5 3 2 3 3 2 7" xfId="43657" xr:uid="{00000000-0005-0000-0000-000083B30000}"/>
    <cellStyle name="표준 5 5 3 2 3 3 3" xfId="8595" xr:uid="{00000000-0005-0000-0000-000084B30000}"/>
    <cellStyle name="표준 5 5 3 2 3 3 3 2" xfId="29301" xr:uid="{00000000-0005-0000-0000-000085B30000}"/>
    <cellStyle name="표준 5 5 3 2 3 3 3 3" xfId="37512" xr:uid="{00000000-0005-0000-0000-000086B30000}"/>
    <cellStyle name="표준 5 5 3 2 3 3 3 4" xfId="45705" xr:uid="{00000000-0005-0000-0000-000087B30000}"/>
    <cellStyle name="표준 5 5 3 2 3 3 4" xfId="12707" xr:uid="{00000000-0005-0000-0000-000088B30000}"/>
    <cellStyle name="표준 5 5 3 2 3 3 5" xfId="16947" xr:uid="{00000000-0005-0000-0000-000089B30000}"/>
    <cellStyle name="표준 5 5 3 2 3 3 6" xfId="21109" xr:uid="{00000000-0005-0000-0000-00008AB30000}"/>
    <cellStyle name="표준 5 5 3 2 3 3 7" xfId="25205" xr:uid="{00000000-0005-0000-0000-00008BB30000}"/>
    <cellStyle name="표준 5 5 3 2 3 3 8" xfId="33416" xr:uid="{00000000-0005-0000-0000-00008CB30000}"/>
    <cellStyle name="표준 5 5 3 2 3 3 9" xfId="41609" xr:uid="{00000000-0005-0000-0000-00008DB30000}"/>
    <cellStyle name="표준 5 5 3 2 3 4" xfId="2252" xr:uid="{00000000-0005-0000-0000-00008EB30000}"/>
    <cellStyle name="표준 5 5 3 2 3 4 2" xfId="11155" xr:uid="{00000000-0005-0000-0000-00008FB30000}"/>
    <cellStyle name="표준 5 5 3 2 3 4 2 2" xfId="15267" xr:uid="{00000000-0005-0000-0000-000090B30000}"/>
    <cellStyle name="표준 5 5 3 2 3 4 2 2 2" xfId="31861" xr:uid="{00000000-0005-0000-0000-000091B30000}"/>
    <cellStyle name="표준 5 5 3 2 3 4 2 2 3" xfId="40072" xr:uid="{00000000-0005-0000-0000-000092B30000}"/>
    <cellStyle name="표준 5 5 3 2 3 4 2 2 4" xfId="48265" xr:uid="{00000000-0005-0000-0000-000093B30000}"/>
    <cellStyle name="표준 5 5 3 2 3 4 2 3" xfId="19507" xr:uid="{00000000-0005-0000-0000-000094B30000}"/>
    <cellStyle name="표준 5 5 3 2 3 4 2 4" xfId="23669" xr:uid="{00000000-0005-0000-0000-000095B30000}"/>
    <cellStyle name="표준 5 5 3 2 3 4 2 5" xfId="27765" xr:uid="{00000000-0005-0000-0000-000096B30000}"/>
    <cellStyle name="표준 5 5 3 2 3 4 2 6" xfId="35976" xr:uid="{00000000-0005-0000-0000-000097B30000}"/>
    <cellStyle name="표준 5 5 3 2 3 4 2 7" xfId="44169" xr:uid="{00000000-0005-0000-0000-000098B30000}"/>
    <cellStyle name="표준 5 5 3 2 3 4 3" xfId="9107" xr:uid="{00000000-0005-0000-0000-000099B30000}"/>
    <cellStyle name="표준 5 5 3 2 3 4 3 2" xfId="29813" xr:uid="{00000000-0005-0000-0000-00009AB30000}"/>
    <cellStyle name="표준 5 5 3 2 3 4 3 3" xfId="38024" xr:uid="{00000000-0005-0000-0000-00009BB30000}"/>
    <cellStyle name="표준 5 5 3 2 3 4 3 4" xfId="46217" xr:uid="{00000000-0005-0000-0000-00009CB30000}"/>
    <cellStyle name="표준 5 5 3 2 3 4 4" xfId="13219" xr:uid="{00000000-0005-0000-0000-00009DB30000}"/>
    <cellStyle name="표준 5 5 3 2 3 4 5" xfId="17459" xr:uid="{00000000-0005-0000-0000-00009EB30000}"/>
    <cellStyle name="표준 5 5 3 2 3 4 6" xfId="21621" xr:uid="{00000000-0005-0000-0000-00009FB30000}"/>
    <cellStyle name="표준 5 5 3 2 3 4 7" xfId="25717" xr:uid="{00000000-0005-0000-0000-0000A0B30000}"/>
    <cellStyle name="표준 5 5 3 2 3 4 8" xfId="33928" xr:uid="{00000000-0005-0000-0000-0000A1B30000}"/>
    <cellStyle name="표준 5 5 3 2 3 4 9" xfId="42121" xr:uid="{00000000-0005-0000-0000-0000A2B30000}"/>
    <cellStyle name="표준 5 5 3 2 3 5" xfId="9619" xr:uid="{00000000-0005-0000-0000-0000A3B30000}"/>
    <cellStyle name="표준 5 5 3 2 3 5 2" xfId="13731" xr:uid="{00000000-0005-0000-0000-0000A4B30000}"/>
    <cellStyle name="표준 5 5 3 2 3 5 2 2" xfId="30325" xr:uid="{00000000-0005-0000-0000-0000A5B30000}"/>
    <cellStyle name="표준 5 5 3 2 3 5 2 3" xfId="38536" xr:uid="{00000000-0005-0000-0000-0000A6B30000}"/>
    <cellStyle name="표준 5 5 3 2 3 5 2 4" xfId="46729" xr:uid="{00000000-0005-0000-0000-0000A7B30000}"/>
    <cellStyle name="표준 5 5 3 2 3 5 3" xfId="17971" xr:uid="{00000000-0005-0000-0000-0000A8B30000}"/>
    <cellStyle name="표준 5 5 3 2 3 5 4" xfId="22133" xr:uid="{00000000-0005-0000-0000-0000A9B30000}"/>
    <cellStyle name="표준 5 5 3 2 3 5 5" xfId="26229" xr:uid="{00000000-0005-0000-0000-0000AAB30000}"/>
    <cellStyle name="표준 5 5 3 2 3 5 6" xfId="34440" xr:uid="{00000000-0005-0000-0000-0000ABB30000}"/>
    <cellStyle name="표준 5 5 3 2 3 5 7" xfId="42633" xr:uid="{00000000-0005-0000-0000-0000ACB30000}"/>
    <cellStyle name="표준 5 5 3 2 3 6" xfId="7571" xr:uid="{00000000-0005-0000-0000-0000ADB30000}"/>
    <cellStyle name="표준 5 5 3 2 3 6 2" xfId="28277" xr:uid="{00000000-0005-0000-0000-0000AEB30000}"/>
    <cellStyle name="표준 5 5 3 2 3 6 3" xfId="36488" xr:uid="{00000000-0005-0000-0000-0000AFB30000}"/>
    <cellStyle name="표준 5 5 3 2 3 6 4" xfId="44681" xr:uid="{00000000-0005-0000-0000-0000B0B30000}"/>
    <cellStyle name="표준 5 5 3 2 3 7" xfId="11683" xr:uid="{00000000-0005-0000-0000-0000B1B30000}"/>
    <cellStyle name="표준 5 5 3 2 3 8" xfId="15923" xr:uid="{00000000-0005-0000-0000-0000B2B30000}"/>
    <cellStyle name="표준 5 5 3 2 3 9" xfId="20085" xr:uid="{00000000-0005-0000-0000-0000B3B30000}"/>
    <cellStyle name="표준 5 5 3 2 4" xfId="972" xr:uid="{00000000-0005-0000-0000-0000B4B30000}"/>
    <cellStyle name="표준 5 5 3 2 4 2" xfId="9875" xr:uid="{00000000-0005-0000-0000-0000B5B30000}"/>
    <cellStyle name="표준 5 5 3 2 4 2 2" xfId="13987" xr:uid="{00000000-0005-0000-0000-0000B6B30000}"/>
    <cellStyle name="표준 5 5 3 2 4 2 2 2" xfId="30581" xr:uid="{00000000-0005-0000-0000-0000B7B30000}"/>
    <cellStyle name="표준 5 5 3 2 4 2 2 3" xfId="38792" xr:uid="{00000000-0005-0000-0000-0000B8B30000}"/>
    <cellStyle name="표준 5 5 3 2 4 2 2 4" xfId="46985" xr:uid="{00000000-0005-0000-0000-0000B9B30000}"/>
    <cellStyle name="표준 5 5 3 2 4 2 3" xfId="18227" xr:uid="{00000000-0005-0000-0000-0000BAB30000}"/>
    <cellStyle name="표준 5 5 3 2 4 2 4" xfId="22389" xr:uid="{00000000-0005-0000-0000-0000BBB30000}"/>
    <cellStyle name="표준 5 5 3 2 4 2 5" xfId="26485" xr:uid="{00000000-0005-0000-0000-0000BCB30000}"/>
    <cellStyle name="표준 5 5 3 2 4 2 6" xfId="34696" xr:uid="{00000000-0005-0000-0000-0000BDB30000}"/>
    <cellStyle name="표준 5 5 3 2 4 2 7" xfId="42889" xr:uid="{00000000-0005-0000-0000-0000BEB30000}"/>
    <cellStyle name="표준 5 5 3 2 4 3" xfId="7827" xr:uid="{00000000-0005-0000-0000-0000BFB30000}"/>
    <cellStyle name="표준 5 5 3 2 4 3 2" xfId="28533" xr:uid="{00000000-0005-0000-0000-0000C0B30000}"/>
    <cellStyle name="표준 5 5 3 2 4 3 3" xfId="36744" xr:uid="{00000000-0005-0000-0000-0000C1B30000}"/>
    <cellStyle name="표준 5 5 3 2 4 3 4" xfId="44937" xr:uid="{00000000-0005-0000-0000-0000C2B30000}"/>
    <cellStyle name="표준 5 5 3 2 4 4" xfId="11939" xr:uid="{00000000-0005-0000-0000-0000C3B30000}"/>
    <cellStyle name="표준 5 5 3 2 4 5" xfId="16179" xr:uid="{00000000-0005-0000-0000-0000C4B30000}"/>
    <cellStyle name="표준 5 5 3 2 4 6" xfId="20341" xr:uid="{00000000-0005-0000-0000-0000C5B30000}"/>
    <cellStyle name="표준 5 5 3 2 4 7" xfId="24437" xr:uid="{00000000-0005-0000-0000-0000C6B30000}"/>
    <cellStyle name="표준 5 5 3 2 4 8" xfId="32648" xr:uid="{00000000-0005-0000-0000-0000C7B30000}"/>
    <cellStyle name="표준 5 5 3 2 4 9" xfId="40841" xr:uid="{00000000-0005-0000-0000-0000C8B30000}"/>
    <cellStyle name="표준 5 5 3 2 5" xfId="1484" xr:uid="{00000000-0005-0000-0000-0000C9B30000}"/>
    <cellStyle name="표준 5 5 3 2 5 2" xfId="10387" xr:uid="{00000000-0005-0000-0000-0000CAB30000}"/>
    <cellStyle name="표준 5 5 3 2 5 2 2" xfId="14499" xr:uid="{00000000-0005-0000-0000-0000CBB30000}"/>
    <cellStyle name="표준 5 5 3 2 5 2 2 2" xfId="31093" xr:uid="{00000000-0005-0000-0000-0000CCB30000}"/>
    <cellStyle name="표준 5 5 3 2 5 2 2 3" xfId="39304" xr:uid="{00000000-0005-0000-0000-0000CDB30000}"/>
    <cellStyle name="표준 5 5 3 2 5 2 2 4" xfId="47497" xr:uid="{00000000-0005-0000-0000-0000CEB30000}"/>
    <cellStyle name="표준 5 5 3 2 5 2 3" xfId="18739" xr:uid="{00000000-0005-0000-0000-0000CFB30000}"/>
    <cellStyle name="표준 5 5 3 2 5 2 4" xfId="22901" xr:uid="{00000000-0005-0000-0000-0000D0B30000}"/>
    <cellStyle name="표준 5 5 3 2 5 2 5" xfId="26997" xr:uid="{00000000-0005-0000-0000-0000D1B30000}"/>
    <cellStyle name="표준 5 5 3 2 5 2 6" xfId="35208" xr:uid="{00000000-0005-0000-0000-0000D2B30000}"/>
    <cellStyle name="표준 5 5 3 2 5 2 7" xfId="43401" xr:uid="{00000000-0005-0000-0000-0000D3B30000}"/>
    <cellStyle name="표준 5 5 3 2 5 3" xfId="8339" xr:uid="{00000000-0005-0000-0000-0000D4B30000}"/>
    <cellStyle name="표준 5 5 3 2 5 3 2" xfId="29045" xr:uid="{00000000-0005-0000-0000-0000D5B30000}"/>
    <cellStyle name="표준 5 5 3 2 5 3 3" xfId="37256" xr:uid="{00000000-0005-0000-0000-0000D6B30000}"/>
    <cellStyle name="표준 5 5 3 2 5 3 4" xfId="45449" xr:uid="{00000000-0005-0000-0000-0000D7B30000}"/>
    <cellStyle name="표준 5 5 3 2 5 4" xfId="12451" xr:uid="{00000000-0005-0000-0000-0000D8B30000}"/>
    <cellStyle name="표준 5 5 3 2 5 5" xfId="16691" xr:uid="{00000000-0005-0000-0000-0000D9B30000}"/>
    <cellStyle name="표준 5 5 3 2 5 6" xfId="20853" xr:uid="{00000000-0005-0000-0000-0000DAB30000}"/>
    <cellStyle name="표준 5 5 3 2 5 7" xfId="24949" xr:uid="{00000000-0005-0000-0000-0000DBB30000}"/>
    <cellStyle name="표준 5 5 3 2 5 8" xfId="33160" xr:uid="{00000000-0005-0000-0000-0000DCB30000}"/>
    <cellStyle name="표준 5 5 3 2 5 9" xfId="41353" xr:uid="{00000000-0005-0000-0000-0000DDB30000}"/>
    <cellStyle name="표준 5 5 3 2 6" xfId="1996" xr:uid="{00000000-0005-0000-0000-0000DEB30000}"/>
    <cellStyle name="표준 5 5 3 2 6 2" xfId="10899" xr:uid="{00000000-0005-0000-0000-0000DFB30000}"/>
    <cellStyle name="표준 5 5 3 2 6 2 2" xfId="15011" xr:uid="{00000000-0005-0000-0000-0000E0B30000}"/>
    <cellStyle name="표준 5 5 3 2 6 2 2 2" xfId="31605" xr:uid="{00000000-0005-0000-0000-0000E1B30000}"/>
    <cellStyle name="표준 5 5 3 2 6 2 2 3" xfId="39816" xr:uid="{00000000-0005-0000-0000-0000E2B30000}"/>
    <cellStyle name="표준 5 5 3 2 6 2 2 4" xfId="48009" xr:uid="{00000000-0005-0000-0000-0000E3B30000}"/>
    <cellStyle name="표준 5 5 3 2 6 2 3" xfId="19251" xr:uid="{00000000-0005-0000-0000-0000E4B30000}"/>
    <cellStyle name="표준 5 5 3 2 6 2 4" xfId="23413" xr:uid="{00000000-0005-0000-0000-0000E5B30000}"/>
    <cellStyle name="표준 5 5 3 2 6 2 5" xfId="27509" xr:uid="{00000000-0005-0000-0000-0000E6B30000}"/>
    <cellStyle name="표준 5 5 3 2 6 2 6" xfId="35720" xr:uid="{00000000-0005-0000-0000-0000E7B30000}"/>
    <cellStyle name="표준 5 5 3 2 6 2 7" xfId="43913" xr:uid="{00000000-0005-0000-0000-0000E8B30000}"/>
    <cellStyle name="표준 5 5 3 2 6 3" xfId="8851" xr:uid="{00000000-0005-0000-0000-0000E9B30000}"/>
    <cellStyle name="표준 5 5 3 2 6 3 2" xfId="29557" xr:uid="{00000000-0005-0000-0000-0000EAB30000}"/>
    <cellStyle name="표준 5 5 3 2 6 3 3" xfId="37768" xr:uid="{00000000-0005-0000-0000-0000EBB30000}"/>
    <cellStyle name="표준 5 5 3 2 6 3 4" xfId="45961" xr:uid="{00000000-0005-0000-0000-0000ECB30000}"/>
    <cellStyle name="표준 5 5 3 2 6 4" xfId="12963" xr:uid="{00000000-0005-0000-0000-0000EDB30000}"/>
    <cellStyle name="표준 5 5 3 2 6 5" xfId="17203" xr:uid="{00000000-0005-0000-0000-0000EEB30000}"/>
    <cellStyle name="표준 5 5 3 2 6 6" xfId="21365" xr:uid="{00000000-0005-0000-0000-0000EFB30000}"/>
    <cellStyle name="표준 5 5 3 2 6 7" xfId="25461" xr:uid="{00000000-0005-0000-0000-0000F0B30000}"/>
    <cellStyle name="표준 5 5 3 2 6 8" xfId="33672" xr:uid="{00000000-0005-0000-0000-0000F1B30000}"/>
    <cellStyle name="표준 5 5 3 2 6 9" xfId="41865" xr:uid="{00000000-0005-0000-0000-0000F2B30000}"/>
    <cellStyle name="표준 5 5 3 2 7" xfId="7056" xr:uid="{00000000-0005-0000-0000-0000F3B30000}"/>
    <cellStyle name="표준 5 5 3 2 7 2" xfId="9363" xr:uid="{00000000-0005-0000-0000-0000F4B30000}"/>
    <cellStyle name="표준 5 5 3 2 7 2 2" xfId="30069" xr:uid="{00000000-0005-0000-0000-0000F5B30000}"/>
    <cellStyle name="표준 5 5 3 2 7 2 3" xfId="38280" xr:uid="{00000000-0005-0000-0000-0000F6B30000}"/>
    <cellStyle name="표준 5 5 3 2 7 2 4" xfId="46473" xr:uid="{00000000-0005-0000-0000-0000F7B30000}"/>
    <cellStyle name="표준 5 5 3 2 7 3" xfId="13475" xr:uid="{00000000-0005-0000-0000-0000F8B30000}"/>
    <cellStyle name="표준 5 5 3 2 7 4" xfId="17715" xr:uid="{00000000-0005-0000-0000-0000F9B30000}"/>
    <cellStyle name="표준 5 5 3 2 7 5" xfId="21877" xr:uid="{00000000-0005-0000-0000-0000FAB30000}"/>
    <cellStyle name="표준 5 5 3 2 7 6" xfId="25973" xr:uid="{00000000-0005-0000-0000-0000FBB30000}"/>
    <cellStyle name="표준 5 5 3 2 7 7" xfId="34184" xr:uid="{00000000-0005-0000-0000-0000FCB30000}"/>
    <cellStyle name="표준 5 5 3 2 7 8" xfId="42377" xr:uid="{00000000-0005-0000-0000-0000FDB30000}"/>
    <cellStyle name="표준 5 5 3 2 8" xfId="7122" xr:uid="{00000000-0005-0000-0000-0000FEB30000}"/>
    <cellStyle name="표준 5 5 3 2 8 2" xfId="28021" xr:uid="{00000000-0005-0000-0000-0000FFB30000}"/>
    <cellStyle name="표준 5 5 3 2 8 3" xfId="36232" xr:uid="{00000000-0005-0000-0000-000000B40000}"/>
    <cellStyle name="표준 5 5 3 2 8 4" xfId="44425" xr:uid="{00000000-0005-0000-0000-000001B40000}"/>
    <cellStyle name="표준 5 5 3 2 9" xfId="7315" xr:uid="{00000000-0005-0000-0000-000002B40000}"/>
    <cellStyle name="표준 5 5 3 3" xfId="524" xr:uid="{00000000-0005-0000-0000-000003B40000}"/>
    <cellStyle name="표준 5 5 3 3 10" xfId="19893" xr:uid="{00000000-0005-0000-0000-000004B40000}"/>
    <cellStyle name="표준 5 5 3 3 11" xfId="23989" xr:uid="{00000000-0005-0000-0000-000005B40000}"/>
    <cellStyle name="표준 5 5 3 3 12" xfId="32200" xr:uid="{00000000-0005-0000-0000-000006B40000}"/>
    <cellStyle name="표준 5 5 3 3 13" xfId="40393" xr:uid="{00000000-0005-0000-0000-000007B40000}"/>
    <cellStyle name="표준 5 5 3 3 2" xfId="780" xr:uid="{00000000-0005-0000-0000-000008B40000}"/>
    <cellStyle name="표준 5 5 3 3 2 10" xfId="24245" xr:uid="{00000000-0005-0000-0000-000009B40000}"/>
    <cellStyle name="표준 5 5 3 3 2 11" xfId="32456" xr:uid="{00000000-0005-0000-0000-00000AB40000}"/>
    <cellStyle name="표준 5 5 3 3 2 12" xfId="40649" xr:uid="{00000000-0005-0000-0000-00000BB40000}"/>
    <cellStyle name="표준 5 5 3 3 2 2" xfId="1292" xr:uid="{00000000-0005-0000-0000-00000CB40000}"/>
    <cellStyle name="표준 5 5 3 3 2 2 2" xfId="10195" xr:uid="{00000000-0005-0000-0000-00000DB40000}"/>
    <cellStyle name="표준 5 5 3 3 2 2 2 2" xfId="14307" xr:uid="{00000000-0005-0000-0000-00000EB40000}"/>
    <cellStyle name="표준 5 5 3 3 2 2 2 2 2" xfId="30901" xr:uid="{00000000-0005-0000-0000-00000FB40000}"/>
    <cellStyle name="표준 5 5 3 3 2 2 2 2 3" xfId="39112" xr:uid="{00000000-0005-0000-0000-000010B40000}"/>
    <cellStyle name="표준 5 5 3 3 2 2 2 2 4" xfId="47305" xr:uid="{00000000-0005-0000-0000-000011B40000}"/>
    <cellStyle name="표준 5 5 3 3 2 2 2 3" xfId="18547" xr:uid="{00000000-0005-0000-0000-000012B40000}"/>
    <cellStyle name="표준 5 5 3 3 2 2 2 4" xfId="22709" xr:uid="{00000000-0005-0000-0000-000013B40000}"/>
    <cellStyle name="표준 5 5 3 3 2 2 2 5" xfId="26805" xr:uid="{00000000-0005-0000-0000-000014B40000}"/>
    <cellStyle name="표준 5 5 3 3 2 2 2 6" xfId="35016" xr:uid="{00000000-0005-0000-0000-000015B40000}"/>
    <cellStyle name="표준 5 5 3 3 2 2 2 7" xfId="43209" xr:uid="{00000000-0005-0000-0000-000016B40000}"/>
    <cellStyle name="표준 5 5 3 3 2 2 3" xfId="8147" xr:uid="{00000000-0005-0000-0000-000017B40000}"/>
    <cellStyle name="표준 5 5 3 3 2 2 3 2" xfId="28853" xr:uid="{00000000-0005-0000-0000-000018B40000}"/>
    <cellStyle name="표준 5 5 3 3 2 2 3 3" xfId="37064" xr:uid="{00000000-0005-0000-0000-000019B40000}"/>
    <cellStyle name="표준 5 5 3 3 2 2 3 4" xfId="45257" xr:uid="{00000000-0005-0000-0000-00001AB40000}"/>
    <cellStyle name="표준 5 5 3 3 2 2 4" xfId="12259" xr:uid="{00000000-0005-0000-0000-00001BB40000}"/>
    <cellStyle name="표준 5 5 3 3 2 2 5" xfId="16499" xr:uid="{00000000-0005-0000-0000-00001CB40000}"/>
    <cellStyle name="표준 5 5 3 3 2 2 6" xfId="20661" xr:uid="{00000000-0005-0000-0000-00001DB40000}"/>
    <cellStyle name="표준 5 5 3 3 2 2 7" xfId="24757" xr:uid="{00000000-0005-0000-0000-00001EB40000}"/>
    <cellStyle name="표준 5 5 3 3 2 2 8" xfId="32968" xr:uid="{00000000-0005-0000-0000-00001FB40000}"/>
    <cellStyle name="표준 5 5 3 3 2 2 9" xfId="41161" xr:uid="{00000000-0005-0000-0000-000020B40000}"/>
    <cellStyle name="표준 5 5 3 3 2 3" xfId="1804" xr:uid="{00000000-0005-0000-0000-000021B40000}"/>
    <cellStyle name="표준 5 5 3 3 2 3 2" xfId="10707" xr:uid="{00000000-0005-0000-0000-000022B40000}"/>
    <cellStyle name="표준 5 5 3 3 2 3 2 2" xfId="14819" xr:uid="{00000000-0005-0000-0000-000023B40000}"/>
    <cellStyle name="표준 5 5 3 3 2 3 2 2 2" xfId="31413" xr:uid="{00000000-0005-0000-0000-000024B40000}"/>
    <cellStyle name="표준 5 5 3 3 2 3 2 2 3" xfId="39624" xr:uid="{00000000-0005-0000-0000-000025B40000}"/>
    <cellStyle name="표준 5 5 3 3 2 3 2 2 4" xfId="47817" xr:uid="{00000000-0005-0000-0000-000026B40000}"/>
    <cellStyle name="표준 5 5 3 3 2 3 2 3" xfId="19059" xr:uid="{00000000-0005-0000-0000-000027B40000}"/>
    <cellStyle name="표준 5 5 3 3 2 3 2 4" xfId="23221" xr:uid="{00000000-0005-0000-0000-000028B40000}"/>
    <cellStyle name="표준 5 5 3 3 2 3 2 5" xfId="27317" xr:uid="{00000000-0005-0000-0000-000029B40000}"/>
    <cellStyle name="표준 5 5 3 3 2 3 2 6" xfId="35528" xr:uid="{00000000-0005-0000-0000-00002AB40000}"/>
    <cellStyle name="표준 5 5 3 3 2 3 2 7" xfId="43721" xr:uid="{00000000-0005-0000-0000-00002BB40000}"/>
    <cellStyle name="표준 5 5 3 3 2 3 3" xfId="8659" xr:uid="{00000000-0005-0000-0000-00002CB40000}"/>
    <cellStyle name="표준 5 5 3 3 2 3 3 2" xfId="29365" xr:uid="{00000000-0005-0000-0000-00002DB40000}"/>
    <cellStyle name="표준 5 5 3 3 2 3 3 3" xfId="37576" xr:uid="{00000000-0005-0000-0000-00002EB40000}"/>
    <cellStyle name="표준 5 5 3 3 2 3 3 4" xfId="45769" xr:uid="{00000000-0005-0000-0000-00002FB40000}"/>
    <cellStyle name="표준 5 5 3 3 2 3 4" xfId="12771" xr:uid="{00000000-0005-0000-0000-000030B40000}"/>
    <cellStyle name="표준 5 5 3 3 2 3 5" xfId="17011" xr:uid="{00000000-0005-0000-0000-000031B40000}"/>
    <cellStyle name="표준 5 5 3 3 2 3 6" xfId="21173" xr:uid="{00000000-0005-0000-0000-000032B40000}"/>
    <cellStyle name="표준 5 5 3 3 2 3 7" xfId="25269" xr:uid="{00000000-0005-0000-0000-000033B40000}"/>
    <cellStyle name="표준 5 5 3 3 2 3 8" xfId="33480" xr:uid="{00000000-0005-0000-0000-000034B40000}"/>
    <cellStyle name="표준 5 5 3 3 2 3 9" xfId="41673" xr:uid="{00000000-0005-0000-0000-000035B40000}"/>
    <cellStyle name="표준 5 5 3 3 2 4" xfId="2316" xr:uid="{00000000-0005-0000-0000-000036B40000}"/>
    <cellStyle name="표준 5 5 3 3 2 4 2" xfId="11219" xr:uid="{00000000-0005-0000-0000-000037B40000}"/>
    <cellStyle name="표준 5 5 3 3 2 4 2 2" xfId="15331" xr:uid="{00000000-0005-0000-0000-000038B40000}"/>
    <cellStyle name="표준 5 5 3 3 2 4 2 2 2" xfId="31925" xr:uid="{00000000-0005-0000-0000-000039B40000}"/>
    <cellStyle name="표준 5 5 3 3 2 4 2 2 3" xfId="40136" xr:uid="{00000000-0005-0000-0000-00003AB40000}"/>
    <cellStyle name="표준 5 5 3 3 2 4 2 2 4" xfId="48329" xr:uid="{00000000-0005-0000-0000-00003BB40000}"/>
    <cellStyle name="표준 5 5 3 3 2 4 2 3" xfId="19571" xr:uid="{00000000-0005-0000-0000-00003CB40000}"/>
    <cellStyle name="표준 5 5 3 3 2 4 2 4" xfId="23733" xr:uid="{00000000-0005-0000-0000-00003DB40000}"/>
    <cellStyle name="표준 5 5 3 3 2 4 2 5" xfId="27829" xr:uid="{00000000-0005-0000-0000-00003EB40000}"/>
    <cellStyle name="표준 5 5 3 3 2 4 2 6" xfId="36040" xr:uid="{00000000-0005-0000-0000-00003FB40000}"/>
    <cellStyle name="표준 5 5 3 3 2 4 2 7" xfId="44233" xr:uid="{00000000-0005-0000-0000-000040B40000}"/>
    <cellStyle name="표준 5 5 3 3 2 4 3" xfId="9171" xr:uid="{00000000-0005-0000-0000-000041B40000}"/>
    <cellStyle name="표준 5 5 3 3 2 4 3 2" xfId="29877" xr:uid="{00000000-0005-0000-0000-000042B40000}"/>
    <cellStyle name="표준 5 5 3 3 2 4 3 3" xfId="38088" xr:uid="{00000000-0005-0000-0000-000043B40000}"/>
    <cellStyle name="표준 5 5 3 3 2 4 3 4" xfId="46281" xr:uid="{00000000-0005-0000-0000-000044B40000}"/>
    <cellStyle name="표준 5 5 3 3 2 4 4" xfId="13283" xr:uid="{00000000-0005-0000-0000-000045B40000}"/>
    <cellStyle name="표준 5 5 3 3 2 4 5" xfId="17523" xr:uid="{00000000-0005-0000-0000-000046B40000}"/>
    <cellStyle name="표준 5 5 3 3 2 4 6" xfId="21685" xr:uid="{00000000-0005-0000-0000-000047B40000}"/>
    <cellStyle name="표준 5 5 3 3 2 4 7" xfId="25781" xr:uid="{00000000-0005-0000-0000-000048B40000}"/>
    <cellStyle name="표준 5 5 3 3 2 4 8" xfId="33992" xr:uid="{00000000-0005-0000-0000-000049B40000}"/>
    <cellStyle name="표준 5 5 3 3 2 4 9" xfId="42185" xr:uid="{00000000-0005-0000-0000-00004AB40000}"/>
    <cellStyle name="표준 5 5 3 3 2 5" xfId="9683" xr:uid="{00000000-0005-0000-0000-00004BB40000}"/>
    <cellStyle name="표준 5 5 3 3 2 5 2" xfId="13795" xr:uid="{00000000-0005-0000-0000-00004CB40000}"/>
    <cellStyle name="표준 5 5 3 3 2 5 2 2" xfId="30389" xr:uid="{00000000-0005-0000-0000-00004DB40000}"/>
    <cellStyle name="표준 5 5 3 3 2 5 2 3" xfId="38600" xr:uid="{00000000-0005-0000-0000-00004EB40000}"/>
    <cellStyle name="표준 5 5 3 3 2 5 2 4" xfId="46793" xr:uid="{00000000-0005-0000-0000-00004FB40000}"/>
    <cellStyle name="표준 5 5 3 3 2 5 3" xfId="18035" xr:uid="{00000000-0005-0000-0000-000050B40000}"/>
    <cellStyle name="표준 5 5 3 3 2 5 4" xfId="22197" xr:uid="{00000000-0005-0000-0000-000051B40000}"/>
    <cellStyle name="표준 5 5 3 3 2 5 5" xfId="26293" xr:uid="{00000000-0005-0000-0000-000052B40000}"/>
    <cellStyle name="표준 5 5 3 3 2 5 6" xfId="34504" xr:uid="{00000000-0005-0000-0000-000053B40000}"/>
    <cellStyle name="표준 5 5 3 3 2 5 7" xfId="42697" xr:uid="{00000000-0005-0000-0000-000054B40000}"/>
    <cellStyle name="표준 5 5 3 3 2 6" xfId="7635" xr:uid="{00000000-0005-0000-0000-000055B40000}"/>
    <cellStyle name="표준 5 5 3 3 2 6 2" xfId="28341" xr:uid="{00000000-0005-0000-0000-000056B40000}"/>
    <cellStyle name="표준 5 5 3 3 2 6 3" xfId="36552" xr:uid="{00000000-0005-0000-0000-000057B40000}"/>
    <cellStyle name="표준 5 5 3 3 2 6 4" xfId="44745" xr:uid="{00000000-0005-0000-0000-000058B40000}"/>
    <cellStyle name="표준 5 5 3 3 2 7" xfId="11747" xr:uid="{00000000-0005-0000-0000-000059B40000}"/>
    <cellStyle name="표준 5 5 3 3 2 8" xfId="15987" xr:uid="{00000000-0005-0000-0000-00005AB40000}"/>
    <cellStyle name="표준 5 5 3 3 2 9" xfId="20149" xr:uid="{00000000-0005-0000-0000-00005BB40000}"/>
    <cellStyle name="표준 5 5 3 3 3" xfId="1036" xr:uid="{00000000-0005-0000-0000-00005CB40000}"/>
    <cellStyle name="표준 5 5 3 3 3 2" xfId="9939" xr:uid="{00000000-0005-0000-0000-00005DB40000}"/>
    <cellStyle name="표준 5 5 3 3 3 2 2" xfId="14051" xr:uid="{00000000-0005-0000-0000-00005EB40000}"/>
    <cellStyle name="표준 5 5 3 3 3 2 2 2" xfId="30645" xr:uid="{00000000-0005-0000-0000-00005FB40000}"/>
    <cellStyle name="표준 5 5 3 3 3 2 2 3" xfId="38856" xr:uid="{00000000-0005-0000-0000-000060B40000}"/>
    <cellStyle name="표준 5 5 3 3 3 2 2 4" xfId="47049" xr:uid="{00000000-0005-0000-0000-000061B40000}"/>
    <cellStyle name="표준 5 5 3 3 3 2 3" xfId="18291" xr:uid="{00000000-0005-0000-0000-000062B40000}"/>
    <cellStyle name="표준 5 5 3 3 3 2 4" xfId="22453" xr:uid="{00000000-0005-0000-0000-000063B40000}"/>
    <cellStyle name="표준 5 5 3 3 3 2 5" xfId="26549" xr:uid="{00000000-0005-0000-0000-000064B40000}"/>
    <cellStyle name="표준 5 5 3 3 3 2 6" xfId="34760" xr:uid="{00000000-0005-0000-0000-000065B40000}"/>
    <cellStyle name="표준 5 5 3 3 3 2 7" xfId="42953" xr:uid="{00000000-0005-0000-0000-000066B40000}"/>
    <cellStyle name="표준 5 5 3 3 3 3" xfId="7891" xr:uid="{00000000-0005-0000-0000-000067B40000}"/>
    <cellStyle name="표준 5 5 3 3 3 3 2" xfId="28597" xr:uid="{00000000-0005-0000-0000-000068B40000}"/>
    <cellStyle name="표준 5 5 3 3 3 3 3" xfId="36808" xr:uid="{00000000-0005-0000-0000-000069B40000}"/>
    <cellStyle name="표준 5 5 3 3 3 3 4" xfId="45001" xr:uid="{00000000-0005-0000-0000-00006AB40000}"/>
    <cellStyle name="표준 5 5 3 3 3 4" xfId="12003" xr:uid="{00000000-0005-0000-0000-00006BB40000}"/>
    <cellStyle name="표준 5 5 3 3 3 5" xfId="16243" xr:uid="{00000000-0005-0000-0000-00006CB40000}"/>
    <cellStyle name="표준 5 5 3 3 3 6" xfId="20405" xr:uid="{00000000-0005-0000-0000-00006DB40000}"/>
    <cellStyle name="표준 5 5 3 3 3 7" xfId="24501" xr:uid="{00000000-0005-0000-0000-00006EB40000}"/>
    <cellStyle name="표준 5 5 3 3 3 8" xfId="32712" xr:uid="{00000000-0005-0000-0000-00006FB40000}"/>
    <cellStyle name="표준 5 5 3 3 3 9" xfId="40905" xr:uid="{00000000-0005-0000-0000-000070B40000}"/>
    <cellStyle name="표준 5 5 3 3 4" xfId="1548" xr:uid="{00000000-0005-0000-0000-000071B40000}"/>
    <cellStyle name="표준 5 5 3 3 4 2" xfId="10451" xr:uid="{00000000-0005-0000-0000-000072B40000}"/>
    <cellStyle name="표준 5 5 3 3 4 2 2" xfId="14563" xr:uid="{00000000-0005-0000-0000-000073B40000}"/>
    <cellStyle name="표준 5 5 3 3 4 2 2 2" xfId="31157" xr:uid="{00000000-0005-0000-0000-000074B40000}"/>
    <cellStyle name="표준 5 5 3 3 4 2 2 3" xfId="39368" xr:uid="{00000000-0005-0000-0000-000075B40000}"/>
    <cellStyle name="표준 5 5 3 3 4 2 2 4" xfId="47561" xr:uid="{00000000-0005-0000-0000-000076B40000}"/>
    <cellStyle name="표준 5 5 3 3 4 2 3" xfId="18803" xr:uid="{00000000-0005-0000-0000-000077B40000}"/>
    <cellStyle name="표준 5 5 3 3 4 2 4" xfId="22965" xr:uid="{00000000-0005-0000-0000-000078B40000}"/>
    <cellStyle name="표준 5 5 3 3 4 2 5" xfId="27061" xr:uid="{00000000-0005-0000-0000-000079B40000}"/>
    <cellStyle name="표준 5 5 3 3 4 2 6" xfId="35272" xr:uid="{00000000-0005-0000-0000-00007AB40000}"/>
    <cellStyle name="표준 5 5 3 3 4 2 7" xfId="43465" xr:uid="{00000000-0005-0000-0000-00007BB40000}"/>
    <cellStyle name="표준 5 5 3 3 4 3" xfId="8403" xr:uid="{00000000-0005-0000-0000-00007CB40000}"/>
    <cellStyle name="표준 5 5 3 3 4 3 2" xfId="29109" xr:uid="{00000000-0005-0000-0000-00007DB40000}"/>
    <cellStyle name="표준 5 5 3 3 4 3 3" xfId="37320" xr:uid="{00000000-0005-0000-0000-00007EB40000}"/>
    <cellStyle name="표준 5 5 3 3 4 3 4" xfId="45513" xr:uid="{00000000-0005-0000-0000-00007FB40000}"/>
    <cellStyle name="표준 5 5 3 3 4 4" xfId="12515" xr:uid="{00000000-0005-0000-0000-000080B40000}"/>
    <cellStyle name="표준 5 5 3 3 4 5" xfId="16755" xr:uid="{00000000-0005-0000-0000-000081B40000}"/>
    <cellStyle name="표준 5 5 3 3 4 6" xfId="20917" xr:uid="{00000000-0005-0000-0000-000082B40000}"/>
    <cellStyle name="표준 5 5 3 3 4 7" xfId="25013" xr:uid="{00000000-0005-0000-0000-000083B40000}"/>
    <cellStyle name="표준 5 5 3 3 4 8" xfId="33224" xr:uid="{00000000-0005-0000-0000-000084B40000}"/>
    <cellStyle name="표준 5 5 3 3 4 9" xfId="41417" xr:uid="{00000000-0005-0000-0000-000085B40000}"/>
    <cellStyle name="표준 5 5 3 3 5" xfId="2060" xr:uid="{00000000-0005-0000-0000-000086B40000}"/>
    <cellStyle name="표준 5 5 3 3 5 2" xfId="10963" xr:uid="{00000000-0005-0000-0000-000087B40000}"/>
    <cellStyle name="표준 5 5 3 3 5 2 2" xfId="15075" xr:uid="{00000000-0005-0000-0000-000088B40000}"/>
    <cellStyle name="표준 5 5 3 3 5 2 2 2" xfId="31669" xr:uid="{00000000-0005-0000-0000-000089B40000}"/>
    <cellStyle name="표준 5 5 3 3 5 2 2 3" xfId="39880" xr:uid="{00000000-0005-0000-0000-00008AB40000}"/>
    <cellStyle name="표준 5 5 3 3 5 2 2 4" xfId="48073" xr:uid="{00000000-0005-0000-0000-00008BB40000}"/>
    <cellStyle name="표준 5 5 3 3 5 2 3" xfId="19315" xr:uid="{00000000-0005-0000-0000-00008CB40000}"/>
    <cellStyle name="표준 5 5 3 3 5 2 4" xfId="23477" xr:uid="{00000000-0005-0000-0000-00008DB40000}"/>
    <cellStyle name="표준 5 5 3 3 5 2 5" xfId="27573" xr:uid="{00000000-0005-0000-0000-00008EB40000}"/>
    <cellStyle name="표준 5 5 3 3 5 2 6" xfId="35784" xr:uid="{00000000-0005-0000-0000-00008FB40000}"/>
    <cellStyle name="표준 5 5 3 3 5 2 7" xfId="43977" xr:uid="{00000000-0005-0000-0000-000090B40000}"/>
    <cellStyle name="표준 5 5 3 3 5 3" xfId="8915" xr:uid="{00000000-0005-0000-0000-000091B40000}"/>
    <cellStyle name="표준 5 5 3 3 5 3 2" xfId="29621" xr:uid="{00000000-0005-0000-0000-000092B40000}"/>
    <cellStyle name="표준 5 5 3 3 5 3 3" xfId="37832" xr:uid="{00000000-0005-0000-0000-000093B40000}"/>
    <cellStyle name="표준 5 5 3 3 5 3 4" xfId="46025" xr:uid="{00000000-0005-0000-0000-000094B40000}"/>
    <cellStyle name="표준 5 5 3 3 5 4" xfId="13027" xr:uid="{00000000-0005-0000-0000-000095B40000}"/>
    <cellStyle name="표준 5 5 3 3 5 5" xfId="17267" xr:uid="{00000000-0005-0000-0000-000096B40000}"/>
    <cellStyle name="표준 5 5 3 3 5 6" xfId="21429" xr:uid="{00000000-0005-0000-0000-000097B40000}"/>
    <cellStyle name="표준 5 5 3 3 5 7" xfId="25525" xr:uid="{00000000-0005-0000-0000-000098B40000}"/>
    <cellStyle name="표준 5 5 3 3 5 8" xfId="33736" xr:uid="{00000000-0005-0000-0000-000099B40000}"/>
    <cellStyle name="표준 5 5 3 3 5 9" xfId="41929" xr:uid="{00000000-0005-0000-0000-00009AB40000}"/>
    <cellStyle name="표준 5 5 3 3 6" xfId="9427" xr:uid="{00000000-0005-0000-0000-00009BB40000}"/>
    <cellStyle name="표준 5 5 3 3 6 2" xfId="13539" xr:uid="{00000000-0005-0000-0000-00009CB40000}"/>
    <cellStyle name="표준 5 5 3 3 6 2 2" xfId="30133" xr:uid="{00000000-0005-0000-0000-00009DB40000}"/>
    <cellStyle name="표준 5 5 3 3 6 2 3" xfId="38344" xr:uid="{00000000-0005-0000-0000-00009EB40000}"/>
    <cellStyle name="표준 5 5 3 3 6 2 4" xfId="46537" xr:uid="{00000000-0005-0000-0000-00009FB40000}"/>
    <cellStyle name="표준 5 5 3 3 6 3" xfId="17779" xr:uid="{00000000-0005-0000-0000-0000A0B40000}"/>
    <cellStyle name="표준 5 5 3 3 6 4" xfId="21941" xr:uid="{00000000-0005-0000-0000-0000A1B40000}"/>
    <cellStyle name="표준 5 5 3 3 6 5" xfId="26037" xr:uid="{00000000-0005-0000-0000-0000A2B40000}"/>
    <cellStyle name="표준 5 5 3 3 6 6" xfId="34248" xr:uid="{00000000-0005-0000-0000-0000A3B40000}"/>
    <cellStyle name="표준 5 5 3 3 6 7" xfId="42441" xr:uid="{00000000-0005-0000-0000-0000A4B40000}"/>
    <cellStyle name="표준 5 5 3 3 7" xfId="7379" xr:uid="{00000000-0005-0000-0000-0000A5B40000}"/>
    <cellStyle name="표준 5 5 3 3 7 2" xfId="28085" xr:uid="{00000000-0005-0000-0000-0000A6B40000}"/>
    <cellStyle name="표준 5 5 3 3 7 3" xfId="36296" xr:uid="{00000000-0005-0000-0000-0000A7B40000}"/>
    <cellStyle name="표준 5 5 3 3 7 4" xfId="44489" xr:uid="{00000000-0005-0000-0000-0000A8B40000}"/>
    <cellStyle name="표준 5 5 3 3 8" xfId="11491" xr:uid="{00000000-0005-0000-0000-0000A9B40000}"/>
    <cellStyle name="표준 5 5 3 3 9" xfId="15731" xr:uid="{00000000-0005-0000-0000-0000AAB40000}"/>
    <cellStyle name="표준 5 5 3 4" xfId="652" xr:uid="{00000000-0005-0000-0000-0000ABB40000}"/>
    <cellStyle name="표준 5 5 3 4 10" xfId="24117" xr:uid="{00000000-0005-0000-0000-0000ACB40000}"/>
    <cellStyle name="표준 5 5 3 4 11" xfId="32328" xr:uid="{00000000-0005-0000-0000-0000ADB40000}"/>
    <cellStyle name="표준 5 5 3 4 12" xfId="40521" xr:uid="{00000000-0005-0000-0000-0000AEB40000}"/>
    <cellStyle name="표준 5 5 3 4 2" xfId="1164" xr:uid="{00000000-0005-0000-0000-0000AFB40000}"/>
    <cellStyle name="표준 5 5 3 4 2 2" xfId="10067" xr:uid="{00000000-0005-0000-0000-0000B0B40000}"/>
    <cellStyle name="표준 5 5 3 4 2 2 2" xfId="14179" xr:uid="{00000000-0005-0000-0000-0000B1B40000}"/>
    <cellStyle name="표준 5 5 3 4 2 2 2 2" xfId="30773" xr:uid="{00000000-0005-0000-0000-0000B2B40000}"/>
    <cellStyle name="표준 5 5 3 4 2 2 2 3" xfId="38984" xr:uid="{00000000-0005-0000-0000-0000B3B40000}"/>
    <cellStyle name="표준 5 5 3 4 2 2 2 4" xfId="47177" xr:uid="{00000000-0005-0000-0000-0000B4B40000}"/>
    <cellStyle name="표준 5 5 3 4 2 2 3" xfId="18419" xr:uid="{00000000-0005-0000-0000-0000B5B40000}"/>
    <cellStyle name="표준 5 5 3 4 2 2 4" xfId="22581" xr:uid="{00000000-0005-0000-0000-0000B6B40000}"/>
    <cellStyle name="표준 5 5 3 4 2 2 5" xfId="26677" xr:uid="{00000000-0005-0000-0000-0000B7B40000}"/>
    <cellStyle name="표준 5 5 3 4 2 2 6" xfId="34888" xr:uid="{00000000-0005-0000-0000-0000B8B40000}"/>
    <cellStyle name="표준 5 5 3 4 2 2 7" xfId="43081" xr:uid="{00000000-0005-0000-0000-0000B9B40000}"/>
    <cellStyle name="표준 5 5 3 4 2 3" xfId="8019" xr:uid="{00000000-0005-0000-0000-0000BAB40000}"/>
    <cellStyle name="표준 5 5 3 4 2 3 2" xfId="28725" xr:uid="{00000000-0005-0000-0000-0000BBB40000}"/>
    <cellStyle name="표준 5 5 3 4 2 3 3" xfId="36936" xr:uid="{00000000-0005-0000-0000-0000BCB40000}"/>
    <cellStyle name="표준 5 5 3 4 2 3 4" xfId="45129" xr:uid="{00000000-0005-0000-0000-0000BDB40000}"/>
    <cellStyle name="표준 5 5 3 4 2 4" xfId="12131" xr:uid="{00000000-0005-0000-0000-0000BEB40000}"/>
    <cellStyle name="표준 5 5 3 4 2 5" xfId="16371" xr:uid="{00000000-0005-0000-0000-0000BFB40000}"/>
    <cellStyle name="표준 5 5 3 4 2 6" xfId="20533" xr:uid="{00000000-0005-0000-0000-0000C0B40000}"/>
    <cellStyle name="표준 5 5 3 4 2 7" xfId="24629" xr:uid="{00000000-0005-0000-0000-0000C1B40000}"/>
    <cellStyle name="표준 5 5 3 4 2 8" xfId="32840" xr:uid="{00000000-0005-0000-0000-0000C2B40000}"/>
    <cellStyle name="표준 5 5 3 4 2 9" xfId="41033" xr:uid="{00000000-0005-0000-0000-0000C3B40000}"/>
    <cellStyle name="표준 5 5 3 4 3" xfId="1676" xr:uid="{00000000-0005-0000-0000-0000C4B40000}"/>
    <cellStyle name="표준 5 5 3 4 3 2" xfId="10579" xr:uid="{00000000-0005-0000-0000-0000C5B40000}"/>
    <cellStyle name="표준 5 5 3 4 3 2 2" xfId="14691" xr:uid="{00000000-0005-0000-0000-0000C6B40000}"/>
    <cellStyle name="표준 5 5 3 4 3 2 2 2" xfId="31285" xr:uid="{00000000-0005-0000-0000-0000C7B40000}"/>
    <cellStyle name="표준 5 5 3 4 3 2 2 3" xfId="39496" xr:uid="{00000000-0005-0000-0000-0000C8B40000}"/>
    <cellStyle name="표준 5 5 3 4 3 2 2 4" xfId="47689" xr:uid="{00000000-0005-0000-0000-0000C9B40000}"/>
    <cellStyle name="표준 5 5 3 4 3 2 3" xfId="18931" xr:uid="{00000000-0005-0000-0000-0000CAB40000}"/>
    <cellStyle name="표준 5 5 3 4 3 2 4" xfId="23093" xr:uid="{00000000-0005-0000-0000-0000CBB40000}"/>
    <cellStyle name="표준 5 5 3 4 3 2 5" xfId="27189" xr:uid="{00000000-0005-0000-0000-0000CCB40000}"/>
    <cellStyle name="표준 5 5 3 4 3 2 6" xfId="35400" xr:uid="{00000000-0005-0000-0000-0000CDB40000}"/>
    <cellStyle name="표준 5 5 3 4 3 2 7" xfId="43593" xr:uid="{00000000-0005-0000-0000-0000CEB40000}"/>
    <cellStyle name="표준 5 5 3 4 3 3" xfId="8531" xr:uid="{00000000-0005-0000-0000-0000CFB40000}"/>
    <cellStyle name="표준 5 5 3 4 3 3 2" xfId="29237" xr:uid="{00000000-0005-0000-0000-0000D0B40000}"/>
    <cellStyle name="표준 5 5 3 4 3 3 3" xfId="37448" xr:uid="{00000000-0005-0000-0000-0000D1B40000}"/>
    <cellStyle name="표준 5 5 3 4 3 3 4" xfId="45641" xr:uid="{00000000-0005-0000-0000-0000D2B40000}"/>
    <cellStyle name="표준 5 5 3 4 3 4" xfId="12643" xr:uid="{00000000-0005-0000-0000-0000D3B40000}"/>
    <cellStyle name="표준 5 5 3 4 3 5" xfId="16883" xr:uid="{00000000-0005-0000-0000-0000D4B40000}"/>
    <cellStyle name="표준 5 5 3 4 3 6" xfId="21045" xr:uid="{00000000-0005-0000-0000-0000D5B40000}"/>
    <cellStyle name="표준 5 5 3 4 3 7" xfId="25141" xr:uid="{00000000-0005-0000-0000-0000D6B40000}"/>
    <cellStyle name="표준 5 5 3 4 3 8" xfId="33352" xr:uid="{00000000-0005-0000-0000-0000D7B40000}"/>
    <cellStyle name="표준 5 5 3 4 3 9" xfId="41545" xr:uid="{00000000-0005-0000-0000-0000D8B40000}"/>
    <cellStyle name="표준 5 5 3 4 4" xfId="2188" xr:uid="{00000000-0005-0000-0000-0000D9B40000}"/>
    <cellStyle name="표준 5 5 3 4 4 2" xfId="11091" xr:uid="{00000000-0005-0000-0000-0000DAB40000}"/>
    <cellStyle name="표준 5 5 3 4 4 2 2" xfId="15203" xr:uid="{00000000-0005-0000-0000-0000DBB40000}"/>
    <cellStyle name="표준 5 5 3 4 4 2 2 2" xfId="31797" xr:uid="{00000000-0005-0000-0000-0000DCB40000}"/>
    <cellStyle name="표준 5 5 3 4 4 2 2 3" xfId="40008" xr:uid="{00000000-0005-0000-0000-0000DDB40000}"/>
    <cellStyle name="표준 5 5 3 4 4 2 2 4" xfId="48201" xr:uid="{00000000-0005-0000-0000-0000DEB40000}"/>
    <cellStyle name="표준 5 5 3 4 4 2 3" xfId="19443" xr:uid="{00000000-0005-0000-0000-0000DFB40000}"/>
    <cellStyle name="표준 5 5 3 4 4 2 4" xfId="23605" xr:uid="{00000000-0005-0000-0000-0000E0B40000}"/>
    <cellStyle name="표준 5 5 3 4 4 2 5" xfId="27701" xr:uid="{00000000-0005-0000-0000-0000E1B40000}"/>
    <cellStyle name="표준 5 5 3 4 4 2 6" xfId="35912" xr:uid="{00000000-0005-0000-0000-0000E2B40000}"/>
    <cellStyle name="표준 5 5 3 4 4 2 7" xfId="44105" xr:uid="{00000000-0005-0000-0000-0000E3B40000}"/>
    <cellStyle name="표준 5 5 3 4 4 3" xfId="9043" xr:uid="{00000000-0005-0000-0000-0000E4B40000}"/>
    <cellStyle name="표준 5 5 3 4 4 3 2" xfId="29749" xr:uid="{00000000-0005-0000-0000-0000E5B40000}"/>
    <cellStyle name="표준 5 5 3 4 4 3 3" xfId="37960" xr:uid="{00000000-0005-0000-0000-0000E6B40000}"/>
    <cellStyle name="표준 5 5 3 4 4 3 4" xfId="46153" xr:uid="{00000000-0005-0000-0000-0000E7B40000}"/>
    <cellStyle name="표준 5 5 3 4 4 4" xfId="13155" xr:uid="{00000000-0005-0000-0000-0000E8B40000}"/>
    <cellStyle name="표준 5 5 3 4 4 5" xfId="17395" xr:uid="{00000000-0005-0000-0000-0000E9B40000}"/>
    <cellStyle name="표준 5 5 3 4 4 6" xfId="21557" xr:uid="{00000000-0005-0000-0000-0000EAB40000}"/>
    <cellStyle name="표준 5 5 3 4 4 7" xfId="25653" xr:uid="{00000000-0005-0000-0000-0000EBB40000}"/>
    <cellStyle name="표준 5 5 3 4 4 8" xfId="33864" xr:uid="{00000000-0005-0000-0000-0000ECB40000}"/>
    <cellStyle name="표준 5 5 3 4 4 9" xfId="42057" xr:uid="{00000000-0005-0000-0000-0000EDB40000}"/>
    <cellStyle name="표준 5 5 3 4 5" xfId="9555" xr:uid="{00000000-0005-0000-0000-0000EEB40000}"/>
    <cellStyle name="표준 5 5 3 4 5 2" xfId="13667" xr:uid="{00000000-0005-0000-0000-0000EFB40000}"/>
    <cellStyle name="표준 5 5 3 4 5 2 2" xfId="30261" xr:uid="{00000000-0005-0000-0000-0000F0B40000}"/>
    <cellStyle name="표준 5 5 3 4 5 2 3" xfId="38472" xr:uid="{00000000-0005-0000-0000-0000F1B40000}"/>
    <cellStyle name="표준 5 5 3 4 5 2 4" xfId="46665" xr:uid="{00000000-0005-0000-0000-0000F2B40000}"/>
    <cellStyle name="표준 5 5 3 4 5 3" xfId="17907" xr:uid="{00000000-0005-0000-0000-0000F3B40000}"/>
    <cellStyle name="표준 5 5 3 4 5 4" xfId="22069" xr:uid="{00000000-0005-0000-0000-0000F4B40000}"/>
    <cellStyle name="표준 5 5 3 4 5 5" xfId="26165" xr:uid="{00000000-0005-0000-0000-0000F5B40000}"/>
    <cellStyle name="표준 5 5 3 4 5 6" xfId="34376" xr:uid="{00000000-0005-0000-0000-0000F6B40000}"/>
    <cellStyle name="표준 5 5 3 4 5 7" xfId="42569" xr:uid="{00000000-0005-0000-0000-0000F7B40000}"/>
    <cellStyle name="표준 5 5 3 4 6" xfId="7507" xr:uid="{00000000-0005-0000-0000-0000F8B40000}"/>
    <cellStyle name="표준 5 5 3 4 6 2" xfId="28213" xr:uid="{00000000-0005-0000-0000-0000F9B40000}"/>
    <cellStyle name="표준 5 5 3 4 6 3" xfId="36424" xr:uid="{00000000-0005-0000-0000-0000FAB40000}"/>
    <cellStyle name="표준 5 5 3 4 6 4" xfId="44617" xr:uid="{00000000-0005-0000-0000-0000FBB40000}"/>
    <cellStyle name="표준 5 5 3 4 7" xfId="11619" xr:uid="{00000000-0005-0000-0000-0000FCB40000}"/>
    <cellStyle name="표준 5 5 3 4 8" xfId="15859" xr:uid="{00000000-0005-0000-0000-0000FDB40000}"/>
    <cellStyle name="표준 5 5 3 4 9" xfId="20021" xr:uid="{00000000-0005-0000-0000-0000FEB40000}"/>
    <cellStyle name="표준 5 5 3 5" xfId="908" xr:uid="{00000000-0005-0000-0000-0000FFB40000}"/>
    <cellStyle name="표준 5 5 3 5 2" xfId="9811" xr:uid="{00000000-0005-0000-0000-000000B50000}"/>
    <cellStyle name="표준 5 5 3 5 2 2" xfId="13923" xr:uid="{00000000-0005-0000-0000-000001B50000}"/>
    <cellStyle name="표준 5 5 3 5 2 2 2" xfId="30517" xr:uid="{00000000-0005-0000-0000-000002B50000}"/>
    <cellStyle name="표준 5 5 3 5 2 2 3" xfId="38728" xr:uid="{00000000-0005-0000-0000-000003B50000}"/>
    <cellStyle name="표준 5 5 3 5 2 2 4" xfId="46921" xr:uid="{00000000-0005-0000-0000-000004B50000}"/>
    <cellStyle name="표준 5 5 3 5 2 3" xfId="18163" xr:uid="{00000000-0005-0000-0000-000005B50000}"/>
    <cellStyle name="표준 5 5 3 5 2 4" xfId="22325" xr:uid="{00000000-0005-0000-0000-000006B50000}"/>
    <cellStyle name="표준 5 5 3 5 2 5" xfId="26421" xr:uid="{00000000-0005-0000-0000-000007B50000}"/>
    <cellStyle name="표준 5 5 3 5 2 6" xfId="34632" xr:uid="{00000000-0005-0000-0000-000008B50000}"/>
    <cellStyle name="표준 5 5 3 5 2 7" xfId="42825" xr:uid="{00000000-0005-0000-0000-000009B50000}"/>
    <cellStyle name="표준 5 5 3 5 3" xfId="7763" xr:uid="{00000000-0005-0000-0000-00000AB50000}"/>
    <cellStyle name="표준 5 5 3 5 3 2" xfId="28469" xr:uid="{00000000-0005-0000-0000-00000BB50000}"/>
    <cellStyle name="표준 5 5 3 5 3 3" xfId="36680" xr:uid="{00000000-0005-0000-0000-00000CB50000}"/>
    <cellStyle name="표준 5 5 3 5 3 4" xfId="44873" xr:uid="{00000000-0005-0000-0000-00000DB50000}"/>
    <cellStyle name="표준 5 5 3 5 4" xfId="11875" xr:uid="{00000000-0005-0000-0000-00000EB50000}"/>
    <cellStyle name="표준 5 5 3 5 5" xfId="16115" xr:uid="{00000000-0005-0000-0000-00000FB50000}"/>
    <cellStyle name="표준 5 5 3 5 6" xfId="20277" xr:uid="{00000000-0005-0000-0000-000010B50000}"/>
    <cellStyle name="표준 5 5 3 5 7" xfId="24373" xr:uid="{00000000-0005-0000-0000-000011B50000}"/>
    <cellStyle name="표준 5 5 3 5 8" xfId="32584" xr:uid="{00000000-0005-0000-0000-000012B50000}"/>
    <cellStyle name="표준 5 5 3 5 9" xfId="40777" xr:uid="{00000000-0005-0000-0000-000013B50000}"/>
    <cellStyle name="표준 5 5 3 6" xfId="1420" xr:uid="{00000000-0005-0000-0000-000014B50000}"/>
    <cellStyle name="표준 5 5 3 6 2" xfId="10323" xr:uid="{00000000-0005-0000-0000-000015B50000}"/>
    <cellStyle name="표준 5 5 3 6 2 2" xfId="14435" xr:uid="{00000000-0005-0000-0000-000016B50000}"/>
    <cellStyle name="표준 5 5 3 6 2 2 2" xfId="31029" xr:uid="{00000000-0005-0000-0000-000017B50000}"/>
    <cellStyle name="표준 5 5 3 6 2 2 3" xfId="39240" xr:uid="{00000000-0005-0000-0000-000018B50000}"/>
    <cellStyle name="표준 5 5 3 6 2 2 4" xfId="47433" xr:uid="{00000000-0005-0000-0000-000019B50000}"/>
    <cellStyle name="표준 5 5 3 6 2 3" xfId="18675" xr:uid="{00000000-0005-0000-0000-00001AB50000}"/>
    <cellStyle name="표준 5 5 3 6 2 4" xfId="22837" xr:uid="{00000000-0005-0000-0000-00001BB50000}"/>
    <cellStyle name="표준 5 5 3 6 2 5" xfId="26933" xr:uid="{00000000-0005-0000-0000-00001CB50000}"/>
    <cellStyle name="표준 5 5 3 6 2 6" xfId="35144" xr:uid="{00000000-0005-0000-0000-00001DB50000}"/>
    <cellStyle name="표준 5 5 3 6 2 7" xfId="43337" xr:uid="{00000000-0005-0000-0000-00001EB50000}"/>
    <cellStyle name="표준 5 5 3 6 3" xfId="8275" xr:uid="{00000000-0005-0000-0000-00001FB50000}"/>
    <cellStyle name="표준 5 5 3 6 3 2" xfId="28981" xr:uid="{00000000-0005-0000-0000-000020B50000}"/>
    <cellStyle name="표준 5 5 3 6 3 3" xfId="37192" xr:uid="{00000000-0005-0000-0000-000021B50000}"/>
    <cellStyle name="표준 5 5 3 6 3 4" xfId="45385" xr:uid="{00000000-0005-0000-0000-000022B50000}"/>
    <cellStyle name="표준 5 5 3 6 4" xfId="12387" xr:uid="{00000000-0005-0000-0000-000023B50000}"/>
    <cellStyle name="표준 5 5 3 6 5" xfId="16627" xr:uid="{00000000-0005-0000-0000-000024B50000}"/>
    <cellStyle name="표준 5 5 3 6 6" xfId="20789" xr:uid="{00000000-0005-0000-0000-000025B50000}"/>
    <cellStyle name="표준 5 5 3 6 7" xfId="24885" xr:uid="{00000000-0005-0000-0000-000026B50000}"/>
    <cellStyle name="표준 5 5 3 6 8" xfId="33096" xr:uid="{00000000-0005-0000-0000-000027B50000}"/>
    <cellStyle name="표준 5 5 3 6 9" xfId="41289" xr:uid="{00000000-0005-0000-0000-000028B50000}"/>
    <cellStyle name="표준 5 5 3 7" xfId="1932" xr:uid="{00000000-0005-0000-0000-000029B50000}"/>
    <cellStyle name="표준 5 5 3 7 2" xfId="10835" xr:uid="{00000000-0005-0000-0000-00002AB50000}"/>
    <cellStyle name="표준 5 5 3 7 2 2" xfId="14947" xr:uid="{00000000-0005-0000-0000-00002BB50000}"/>
    <cellStyle name="표준 5 5 3 7 2 2 2" xfId="31541" xr:uid="{00000000-0005-0000-0000-00002CB50000}"/>
    <cellStyle name="표준 5 5 3 7 2 2 3" xfId="39752" xr:uid="{00000000-0005-0000-0000-00002DB50000}"/>
    <cellStyle name="표준 5 5 3 7 2 2 4" xfId="47945" xr:uid="{00000000-0005-0000-0000-00002EB50000}"/>
    <cellStyle name="표준 5 5 3 7 2 3" xfId="19187" xr:uid="{00000000-0005-0000-0000-00002FB50000}"/>
    <cellStyle name="표준 5 5 3 7 2 4" xfId="23349" xr:uid="{00000000-0005-0000-0000-000030B50000}"/>
    <cellStyle name="표준 5 5 3 7 2 5" xfId="27445" xr:uid="{00000000-0005-0000-0000-000031B50000}"/>
    <cellStyle name="표준 5 5 3 7 2 6" xfId="35656" xr:uid="{00000000-0005-0000-0000-000032B50000}"/>
    <cellStyle name="표준 5 5 3 7 2 7" xfId="43849" xr:uid="{00000000-0005-0000-0000-000033B50000}"/>
    <cellStyle name="표준 5 5 3 7 3" xfId="8787" xr:uid="{00000000-0005-0000-0000-000034B50000}"/>
    <cellStyle name="표준 5 5 3 7 3 2" xfId="29493" xr:uid="{00000000-0005-0000-0000-000035B50000}"/>
    <cellStyle name="표준 5 5 3 7 3 3" xfId="37704" xr:uid="{00000000-0005-0000-0000-000036B50000}"/>
    <cellStyle name="표준 5 5 3 7 3 4" xfId="45897" xr:uid="{00000000-0005-0000-0000-000037B50000}"/>
    <cellStyle name="표준 5 5 3 7 4" xfId="12899" xr:uid="{00000000-0005-0000-0000-000038B50000}"/>
    <cellStyle name="표준 5 5 3 7 5" xfId="17139" xr:uid="{00000000-0005-0000-0000-000039B50000}"/>
    <cellStyle name="표준 5 5 3 7 6" xfId="21301" xr:uid="{00000000-0005-0000-0000-00003AB50000}"/>
    <cellStyle name="표준 5 5 3 7 7" xfId="25397" xr:uid="{00000000-0005-0000-0000-00003BB50000}"/>
    <cellStyle name="표준 5 5 3 7 8" xfId="33608" xr:uid="{00000000-0005-0000-0000-00003CB50000}"/>
    <cellStyle name="표준 5 5 3 7 9" xfId="41801" xr:uid="{00000000-0005-0000-0000-00003DB50000}"/>
    <cellStyle name="표준 5 5 3 8" xfId="396" xr:uid="{00000000-0005-0000-0000-00003EB50000}"/>
    <cellStyle name="표준 5 5 3 8 2" xfId="9299" xr:uid="{00000000-0005-0000-0000-00003FB50000}"/>
    <cellStyle name="표준 5 5 3 8 2 2" xfId="30005" xr:uid="{00000000-0005-0000-0000-000040B50000}"/>
    <cellStyle name="표준 5 5 3 8 2 3" xfId="38216" xr:uid="{00000000-0005-0000-0000-000041B50000}"/>
    <cellStyle name="표준 5 5 3 8 2 4" xfId="46409" xr:uid="{00000000-0005-0000-0000-000042B50000}"/>
    <cellStyle name="표준 5 5 3 8 3" xfId="13411" xr:uid="{00000000-0005-0000-0000-000043B50000}"/>
    <cellStyle name="표준 5 5 3 8 4" xfId="17651" xr:uid="{00000000-0005-0000-0000-000044B50000}"/>
    <cellStyle name="표준 5 5 3 8 5" xfId="21813" xr:uid="{00000000-0005-0000-0000-000045B50000}"/>
    <cellStyle name="표준 5 5 3 8 6" xfId="25909" xr:uid="{00000000-0005-0000-0000-000046B50000}"/>
    <cellStyle name="표준 5 5 3 8 7" xfId="34120" xr:uid="{00000000-0005-0000-0000-000047B50000}"/>
    <cellStyle name="표준 5 5 3 8 8" xfId="42313" xr:uid="{00000000-0005-0000-0000-000048B50000}"/>
    <cellStyle name="표준 5 5 3 9" xfId="6998" xr:uid="{00000000-0005-0000-0000-000049B50000}"/>
    <cellStyle name="표준 5 5 3 9 2" xfId="27957" xr:uid="{00000000-0005-0000-0000-00004AB50000}"/>
    <cellStyle name="표준 5 5 3 9 3" xfId="36168" xr:uid="{00000000-0005-0000-0000-00004BB50000}"/>
    <cellStyle name="표준 5 5 3 9 4" xfId="44361" xr:uid="{00000000-0005-0000-0000-00004CB50000}"/>
    <cellStyle name="표준 5 5 30" xfId="23829" xr:uid="{00000000-0005-0000-0000-00004DB50000}"/>
    <cellStyle name="표준 5 5 31" xfId="32023" xr:uid="{00000000-0005-0000-0000-00004EB50000}"/>
    <cellStyle name="표준 5 5 32" xfId="32040" xr:uid="{00000000-0005-0000-0000-00004FB50000}"/>
    <cellStyle name="표준 5 5 33" xfId="40233" xr:uid="{00000000-0005-0000-0000-000050B50000}"/>
    <cellStyle name="표준 5 5 34" xfId="48435" xr:uid="{00000000-0005-0000-0000-000051B50000}"/>
    <cellStyle name="표준 5 5 4" xfId="428" xr:uid="{00000000-0005-0000-0000-000052B50000}"/>
    <cellStyle name="표준 5 5 4 10" xfId="11395" xr:uid="{00000000-0005-0000-0000-000053B50000}"/>
    <cellStyle name="표준 5 5 4 11" xfId="15507" xr:uid="{00000000-0005-0000-0000-000054B50000}"/>
    <cellStyle name="표준 5 5 4 12" xfId="15635" xr:uid="{00000000-0005-0000-0000-000055B50000}"/>
    <cellStyle name="표준 5 5 4 13" xfId="19797" xr:uid="{00000000-0005-0000-0000-000056B50000}"/>
    <cellStyle name="표준 5 5 4 14" xfId="23893" xr:uid="{00000000-0005-0000-0000-000057B50000}"/>
    <cellStyle name="표준 5 5 4 15" xfId="32104" xr:uid="{00000000-0005-0000-0000-000058B50000}"/>
    <cellStyle name="표준 5 5 4 16" xfId="40297" xr:uid="{00000000-0005-0000-0000-000059B50000}"/>
    <cellStyle name="표준 5 5 4 2" xfId="556" xr:uid="{00000000-0005-0000-0000-00005AB50000}"/>
    <cellStyle name="표준 5 5 4 2 10" xfId="19925" xr:uid="{00000000-0005-0000-0000-00005BB50000}"/>
    <cellStyle name="표준 5 5 4 2 11" xfId="24021" xr:uid="{00000000-0005-0000-0000-00005CB50000}"/>
    <cellStyle name="표준 5 5 4 2 12" xfId="32232" xr:uid="{00000000-0005-0000-0000-00005DB50000}"/>
    <cellStyle name="표준 5 5 4 2 13" xfId="40425" xr:uid="{00000000-0005-0000-0000-00005EB50000}"/>
    <cellStyle name="표준 5 5 4 2 2" xfId="812" xr:uid="{00000000-0005-0000-0000-00005FB50000}"/>
    <cellStyle name="표준 5 5 4 2 2 10" xfId="24277" xr:uid="{00000000-0005-0000-0000-000060B50000}"/>
    <cellStyle name="표준 5 5 4 2 2 11" xfId="32488" xr:uid="{00000000-0005-0000-0000-000061B50000}"/>
    <cellStyle name="표준 5 5 4 2 2 12" xfId="40681" xr:uid="{00000000-0005-0000-0000-000062B50000}"/>
    <cellStyle name="표준 5 5 4 2 2 2" xfId="1324" xr:uid="{00000000-0005-0000-0000-000063B50000}"/>
    <cellStyle name="표준 5 5 4 2 2 2 2" xfId="10227" xr:uid="{00000000-0005-0000-0000-000064B50000}"/>
    <cellStyle name="표준 5 5 4 2 2 2 2 2" xfId="14339" xr:uid="{00000000-0005-0000-0000-000065B50000}"/>
    <cellStyle name="표준 5 5 4 2 2 2 2 2 2" xfId="30933" xr:uid="{00000000-0005-0000-0000-000066B50000}"/>
    <cellStyle name="표준 5 5 4 2 2 2 2 2 3" xfId="39144" xr:uid="{00000000-0005-0000-0000-000067B50000}"/>
    <cellStyle name="표준 5 5 4 2 2 2 2 2 4" xfId="47337" xr:uid="{00000000-0005-0000-0000-000068B50000}"/>
    <cellStyle name="표준 5 5 4 2 2 2 2 3" xfId="18579" xr:uid="{00000000-0005-0000-0000-000069B50000}"/>
    <cellStyle name="표준 5 5 4 2 2 2 2 4" xfId="22741" xr:uid="{00000000-0005-0000-0000-00006AB50000}"/>
    <cellStyle name="표준 5 5 4 2 2 2 2 5" xfId="26837" xr:uid="{00000000-0005-0000-0000-00006BB50000}"/>
    <cellStyle name="표준 5 5 4 2 2 2 2 6" xfId="35048" xr:uid="{00000000-0005-0000-0000-00006CB50000}"/>
    <cellStyle name="표준 5 5 4 2 2 2 2 7" xfId="43241" xr:uid="{00000000-0005-0000-0000-00006DB50000}"/>
    <cellStyle name="표준 5 5 4 2 2 2 3" xfId="8179" xr:uid="{00000000-0005-0000-0000-00006EB50000}"/>
    <cellStyle name="표준 5 5 4 2 2 2 3 2" xfId="28885" xr:uid="{00000000-0005-0000-0000-00006FB50000}"/>
    <cellStyle name="표준 5 5 4 2 2 2 3 3" xfId="37096" xr:uid="{00000000-0005-0000-0000-000070B50000}"/>
    <cellStyle name="표준 5 5 4 2 2 2 3 4" xfId="45289" xr:uid="{00000000-0005-0000-0000-000071B50000}"/>
    <cellStyle name="표준 5 5 4 2 2 2 4" xfId="12291" xr:uid="{00000000-0005-0000-0000-000072B50000}"/>
    <cellStyle name="표준 5 5 4 2 2 2 5" xfId="16531" xr:uid="{00000000-0005-0000-0000-000073B50000}"/>
    <cellStyle name="표준 5 5 4 2 2 2 6" xfId="20693" xr:uid="{00000000-0005-0000-0000-000074B50000}"/>
    <cellStyle name="표준 5 5 4 2 2 2 7" xfId="24789" xr:uid="{00000000-0005-0000-0000-000075B50000}"/>
    <cellStyle name="표준 5 5 4 2 2 2 8" xfId="33000" xr:uid="{00000000-0005-0000-0000-000076B50000}"/>
    <cellStyle name="표준 5 5 4 2 2 2 9" xfId="41193" xr:uid="{00000000-0005-0000-0000-000077B50000}"/>
    <cellStyle name="표준 5 5 4 2 2 3" xfId="1836" xr:uid="{00000000-0005-0000-0000-000078B50000}"/>
    <cellStyle name="표준 5 5 4 2 2 3 2" xfId="10739" xr:uid="{00000000-0005-0000-0000-000079B50000}"/>
    <cellStyle name="표준 5 5 4 2 2 3 2 2" xfId="14851" xr:uid="{00000000-0005-0000-0000-00007AB50000}"/>
    <cellStyle name="표준 5 5 4 2 2 3 2 2 2" xfId="31445" xr:uid="{00000000-0005-0000-0000-00007BB50000}"/>
    <cellStyle name="표준 5 5 4 2 2 3 2 2 3" xfId="39656" xr:uid="{00000000-0005-0000-0000-00007CB50000}"/>
    <cellStyle name="표준 5 5 4 2 2 3 2 2 4" xfId="47849" xr:uid="{00000000-0005-0000-0000-00007DB50000}"/>
    <cellStyle name="표준 5 5 4 2 2 3 2 3" xfId="19091" xr:uid="{00000000-0005-0000-0000-00007EB50000}"/>
    <cellStyle name="표준 5 5 4 2 2 3 2 4" xfId="23253" xr:uid="{00000000-0005-0000-0000-00007FB50000}"/>
    <cellStyle name="표준 5 5 4 2 2 3 2 5" xfId="27349" xr:uid="{00000000-0005-0000-0000-000080B50000}"/>
    <cellStyle name="표준 5 5 4 2 2 3 2 6" xfId="35560" xr:uid="{00000000-0005-0000-0000-000081B50000}"/>
    <cellStyle name="표준 5 5 4 2 2 3 2 7" xfId="43753" xr:uid="{00000000-0005-0000-0000-000082B50000}"/>
    <cellStyle name="표준 5 5 4 2 2 3 3" xfId="8691" xr:uid="{00000000-0005-0000-0000-000083B50000}"/>
    <cellStyle name="표준 5 5 4 2 2 3 3 2" xfId="29397" xr:uid="{00000000-0005-0000-0000-000084B50000}"/>
    <cellStyle name="표준 5 5 4 2 2 3 3 3" xfId="37608" xr:uid="{00000000-0005-0000-0000-000085B50000}"/>
    <cellStyle name="표준 5 5 4 2 2 3 3 4" xfId="45801" xr:uid="{00000000-0005-0000-0000-000086B50000}"/>
    <cellStyle name="표준 5 5 4 2 2 3 4" xfId="12803" xr:uid="{00000000-0005-0000-0000-000087B50000}"/>
    <cellStyle name="표준 5 5 4 2 2 3 5" xfId="17043" xr:uid="{00000000-0005-0000-0000-000088B50000}"/>
    <cellStyle name="표준 5 5 4 2 2 3 6" xfId="21205" xr:uid="{00000000-0005-0000-0000-000089B50000}"/>
    <cellStyle name="표준 5 5 4 2 2 3 7" xfId="25301" xr:uid="{00000000-0005-0000-0000-00008AB50000}"/>
    <cellStyle name="표준 5 5 4 2 2 3 8" xfId="33512" xr:uid="{00000000-0005-0000-0000-00008BB50000}"/>
    <cellStyle name="표준 5 5 4 2 2 3 9" xfId="41705" xr:uid="{00000000-0005-0000-0000-00008CB50000}"/>
    <cellStyle name="표준 5 5 4 2 2 4" xfId="2348" xr:uid="{00000000-0005-0000-0000-00008DB50000}"/>
    <cellStyle name="표준 5 5 4 2 2 4 2" xfId="11251" xr:uid="{00000000-0005-0000-0000-00008EB50000}"/>
    <cellStyle name="표준 5 5 4 2 2 4 2 2" xfId="15363" xr:uid="{00000000-0005-0000-0000-00008FB50000}"/>
    <cellStyle name="표준 5 5 4 2 2 4 2 2 2" xfId="31957" xr:uid="{00000000-0005-0000-0000-000090B50000}"/>
    <cellStyle name="표준 5 5 4 2 2 4 2 2 3" xfId="40168" xr:uid="{00000000-0005-0000-0000-000091B50000}"/>
    <cellStyle name="표준 5 5 4 2 2 4 2 2 4" xfId="48361" xr:uid="{00000000-0005-0000-0000-000092B50000}"/>
    <cellStyle name="표준 5 5 4 2 2 4 2 3" xfId="19603" xr:uid="{00000000-0005-0000-0000-000093B50000}"/>
    <cellStyle name="표준 5 5 4 2 2 4 2 4" xfId="23765" xr:uid="{00000000-0005-0000-0000-000094B50000}"/>
    <cellStyle name="표준 5 5 4 2 2 4 2 5" xfId="27861" xr:uid="{00000000-0005-0000-0000-000095B50000}"/>
    <cellStyle name="표준 5 5 4 2 2 4 2 6" xfId="36072" xr:uid="{00000000-0005-0000-0000-000096B50000}"/>
    <cellStyle name="표준 5 5 4 2 2 4 2 7" xfId="44265" xr:uid="{00000000-0005-0000-0000-000097B50000}"/>
    <cellStyle name="표준 5 5 4 2 2 4 3" xfId="9203" xr:uid="{00000000-0005-0000-0000-000098B50000}"/>
    <cellStyle name="표준 5 5 4 2 2 4 3 2" xfId="29909" xr:uid="{00000000-0005-0000-0000-000099B50000}"/>
    <cellStyle name="표준 5 5 4 2 2 4 3 3" xfId="38120" xr:uid="{00000000-0005-0000-0000-00009AB50000}"/>
    <cellStyle name="표준 5 5 4 2 2 4 3 4" xfId="46313" xr:uid="{00000000-0005-0000-0000-00009BB50000}"/>
    <cellStyle name="표준 5 5 4 2 2 4 4" xfId="13315" xr:uid="{00000000-0005-0000-0000-00009CB50000}"/>
    <cellStyle name="표준 5 5 4 2 2 4 5" xfId="17555" xr:uid="{00000000-0005-0000-0000-00009DB50000}"/>
    <cellStyle name="표준 5 5 4 2 2 4 6" xfId="21717" xr:uid="{00000000-0005-0000-0000-00009EB50000}"/>
    <cellStyle name="표준 5 5 4 2 2 4 7" xfId="25813" xr:uid="{00000000-0005-0000-0000-00009FB50000}"/>
    <cellStyle name="표준 5 5 4 2 2 4 8" xfId="34024" xr:uid="{00000000-0005-0000-0000-0000A0B50000}"/>
    <cellStyle name="표준 5 5 4 2 2 4 9" xfId="42217" xr:uid="{00000000-0005-0000-0000-0000A1B50000}"/>
    <cellStyle name="표준 5 5 4 2 2 5" xfId="9715" xr:uid="{00000000-0005-0000-0000-0000A2B50000}"/>
    <cellStyle name="표준 5 5 4 2 2 5 2" xfId="13827" xr:uid="{00000000-0005-0000-0000-0000A3B50000}"/>
    <cellStyle name="표준 5 5 4 2 2 5 2 2" xfId="30421" xr:uid="{00000000-0005-0000-0000-0000A4B50000}"/>
    <cellStyle name="표준 5 5 4 2 2 5 2 3" xfId="38632" xr:uid="{00000000-0005-0000-0000-0000A5B50000}"/>
    <cellStyle name="표준 5 5 4 2 2 5 2 4" xfId="46825" xr:uid="{00000000-0005-0000-0000-0000A6B50000}"/>
    <cellStyle name="표준 5 5 4 2 2 5 3" xfId="18067" xr:uid="{00000000-0005-0000-0000-0000A7B50000}"/>
    <cellStyle name="표준 5 5 4 2 2 5 4" xfId="22229" xr:uid="{00000000-0005-0000-0000-0000A8B50000}"/>
    <cellStyle name="표준 5 5 4 2 2 5 5" xfId="26325" xr:uid="{00000000-0005-0000-0000-0000A9B50000}"/>
    <cellStyle name="표준 5 5 4 2 2 5 6" xfId="34536" xr:uid="{00000000-0005-0000-0000-0000AAB50000}"/>
    <cellStyle name="표준 5 5 4 2 2 5 7" xfId="42729" xr:uid="{00000000-0005-0000-0000-0000ABB50000}"/>
    <cellStyle name="표준 5 5 4 2 2 6" xfId="7667" xr:uid="{00000000-0005-0000-0000-0000ACB50000}"/>
    <cellStyle name="표준 5 5 4 2 2 6 2" xfId="28373" xr:uid="{00000000-0005-0000-0000-0000ADB50000}"/>
    <cellStyle name="표준 5 5 4 2 2 6 3" xfId="36584" xr:uid="{00000000-0005-0000-0000-0000AEB50000}"/>
    <cellStyle name="표준 5 5 4 2 2 6 4" xfId="44777" xr:uid="{00000000-0005-0000-0000-0000AFB50000}"/>
    <cellStyle name="표준 5 5 4 2 2 7" xfId="11779" xr:uid="{00000000-0005-0000-0000-0000B0B50000}"/>
    <cellStyle name="표준 5 5 4 2 2 8" xfId="16019" xr:uid="{00000000-0005-0000-0000-0000B1B50000}"/>
    <cellStyle name="표준 5 5 4 2 2 9" xfId="20181" xr:uid="{00000000-0005-0000-0000-0000B2B50000}"/>
    <cellStyle name="표준 5 5 4 2 3" xfId="1068" xr:uid="{00000000-0005-0000-0000-0000B3B50000}"/>
    <cellStyle name="표준 5 5 4 2 3 2" xfId="9971" xr:uid="{00000000-0005-0000-0000-0000B4B50000}"/>
    <cellStyle name="표준 5 5 4 2 3 2 2" xfId="14083" xr:uid="{00000000-0005-0000-0000-0000B5B50000}"/>
    <cellStyle name="표준 5 5 4 2 3 2 2 2" xfId="30677" xr:uid="{00000000-0005-0000-0000-0000B6B50000}"/>
    <cellStyle name="표준 5 5 4 2 3 2 2 3" xfId="38888" xr:uid="{00000000-0005-0000-0000-0000B7B50000}"/>
    <cellStyle name="표준 5 5 4 2 3 2 2 4" xfId="47081" xr:uid="{00000000-0005-0000-0000-0000B8B50000}"/>
    <cellStyle name="표준 5 5 4 2 3 2 3" xfId="18323" xr:uid="{00000000-0005-0000-0000-0000B9B50000}"/>
    <cellStyle name="표준 5 5 4 2 3 2 4" xfId="22485" xr:uid="{00000000-0005-0000-0000-0000BAB50000}"/>
    <cellStyle name="표준 5 5 4 2 3 2 5" xfId="26581" xr:uid="{00000000-0005-0000-0000-0000BBB50000}"/>
    <cellStyle name="표준 5 5 4 2 3 2 6" xfId="34792" xr:uid="{00000000-0005-0000-0000-0000BCB50000}"/>
    <cellStyle name="표준 5 5 4 2 3 2 7" xfId="42985" xr:uid="{00000000-0005-0000-0000-0000BDB50000}"/>
    <cellStyle name="표준 5 5 4 2 3 3" xfId="7923" xr:uid="{00000000-0005-0000-0000-0000BEB50000}"/>
    <cellStyle name="표준 5 5 4 2 3 3 2" xfId="28629" xr:uid="{00000000-0005-0000-0000-0000BFB50000}"/>
    <cellStyle name="표준 5 5 4 2 3 3 3" xfId="36840" xr:uid="{00000000-0005-0000-0000-0000C0B50000}"/>
    <cellStyle name="표준 5 5 4 2 3 3 4" xfId="45033" xr:uid="{00000000-0005-0000-0000-0000C1B50000}"/>
    <cellStyle name="표준 5 5 4 2 3 4" xfId="12035" xr:uid="{00000000-0005-0000-0000-0000C2B50000}"/>
    <cellStyle name="표준 5 5 4 2 3 5" xfId="16275" xr:uid="{00000000-0005-0000-0000-0000C3B50000}"/>
    <cellStyle name="표준 5 5 4 2 3 6" xfId="20437" xr:uid="{00000000-0005-0000-0000-0000C4B50000}"/>
    <cellStyle name="표준 5 5 4 2 3 7" xfId="24533" xr:uid="{00000000-0005-0000-0000-0000C5B50000}"/>
    <cellStyle name="표준 5 5 4 2 3 8" xfId="32744" xr:uid="{00000000-0005-0000-0000-0000C6B50000}"/>
    <cellStyle name="표준 5 5 4 2 3 9" xfId="40937" xr:uid="{00000000-0005-0000-0000-0000C7B50000}"/>
    <cellStyle name="표준 5 5 4 2 4" xfId="1580" xr:uid="{00000000-0005-0000-0000-0000C8B50000}"/>
    <cellStyle name="표준 5 5 4 2 4 2" xfId="10483" xr:uid="{00000000-0005-0000-0000-0000C9B50000}"/>
    <cellStyle name="표준 5 5 4 2 4 2 2" xfId="14595" xr:uid="{00000000-0005-0000-0000-0000CAB50000}"/>
    <cellStyle name="표준 5 5 4 2 4 2 2 2" xfId="31189" xr:uid="{00000000-0005-0000-0000-0000CBB50000}"/>
    <cellStyle name="표준 5 5 4 2 4 2 2 3" xfId="39400" xr:uid="{00000000-0005-0000-0000-0000CCB50000}"/>
    <cellStyle name="표준 5 5 4 2 4 2 2 4" xfId="47593" xr:uid="{00000000-0005-0000-0000-0000CDB50000}"/>
    <cellStyle name="표준 5 5 4 2 4 2 3" xfId="18835" xr:uid="{00000000-0005-0000-0000-0000CEB50000}"/>
    <cellStyle name="표준 5 5 4 2 4 2 4" xfId="22997" xr:uid="{00000000-0005-0000-0000-0000CFB50000}"/>
    <cellStyle name="표준 5 5 4 2 4 2 5" xfId="27093" xr:uid="{00000000-0005-0000-0000-0000D0B50000}"/>
    <cellStyle name="표준 5 5 4 2 4 2 6" xfId="35304" xr:uid="{00000000-0005-0000-0000-0000D1B50000}"/>
    <cellStyle name="표준 5 5 4 2 4 2 7" xfId="43497" xr:uid="{00000000-0005-0000-0000-0000D2B50000}"/>
    <cellStyle name="표준 5 5 4 2 4 3" xfId="8435" xr:uid="{00000000-0005-0000-0000-0000D3B50000}"/>
    <cellStyle name="표준 5 5 4 2 4 3 2" xfId="29141" xr:uid="{00000000-0005-0000-0000-0000D4B50000}"/>
    <cellStyle name="표준 5 5 4 2 4 3 3" xfId="37352" xr:uid="{00000000-0005-0000-0000-0000D5B50000}"/>
    <cellStyle name="표준 5 5 4 2 4 3 4" xfId="45545" xr:uid="{00000000-0005-0000-0000-0000D6B50000}"/>
    <cellStyle name="표준 5 5 4 2 4 4" xfId="12547" xr:uid="{00000000-0005-0000-0000-0000D7B50000}"/>
    <cellStyle name="표준 5 5 4 2 4 5" xfId="16787" xr:uid="{00000000-0005-0000-0000-0000D8B50000}"/>
    <cellStyle name="표준 5 5 4 2 4 6" xfId="20949" xr:uid="{00000000-0005-0000-0000-0000D9B50000}"/>
    <cellStyle name="표준 5 5 4 2 4 7" xfId="25045" xr:uid="{00000000-0005-0000-0000-0000DAB50000}"/>
    <cellStyle name="표준 5 5 4 2 4 8" xfId="33256" xr:uid="{00000000-0005-0000-0000-0000DBB50000}"/>
    <cellStyle name="표준 5 5 4 2 4 9" xfId="41449" xr:uid="{00000000-0005-0000-0000-0000DCB50000}"/>
    <cellStyle name="표준 5 5 4 2 5" xfId="2092" xr:uid="{00000000-0005-0000-0000-0000DDB50000}"/>
    <cellStyle name="표준 5 5 4 2 5 2" xfId="10995" xr:uid="{00000000-0005-0000-0000-0000DEB50000}"/>
    <cellStyle name="표준 5 5 4 2 5 2 2" xfId="15107" xr:uid="{00000000-0005-0000-0000-0000DFB50000}"/>
    <cellStyle name="표준 5 5 4 2 5 2 2 2" xfId="31701" xr:uid="{00000000-0005-0000-0000-0000E0B50000}"/>
    <cellStyle name="표준 5 5 4 2 5 2 2 3" xfId="39912" xr:uid="{00000000-0005-0000-0000-0000E1B50000}"/>
    <cellStyle name="표준 5 5 4 2 5 2 2 4" xfId="48105" xr:uid="{00000000-0005-0000-0000-0000E2B50000}"/>
    <cellStyle name="표준 5 5 4 2 5 2 3" xfId="19347" xr:uid="{00000000-0005-0000-0000-0000E3B50000}"/>
    <cellStyle name="표준 5 5 4 2 5 2 4" xfId="23509" xr:uid="{00000000-0005-0000-0000-0000E4B50000}"/>
    <cellStyle name="표준 5 5 4 2 5 2 5" xfId="27605" xr:uid="{00000000-0005-0000-0000-0000E5B50000}"/>
    <cellStyle name="표준 5 5 4 2 5 2 6" xfId="35816" xr:uid="{00000000-0005-0000-0000-0000E6B50000}"/>
    <cellStyle name="표준 5 5 4 2 5 2 7" xfId="44009" xr:uid="{00000000-0005-0000-0000-0000E7B50000}"/>
    <cellStyle name="표준 5 5 4 2 5 3" xfId="8947" xr:uid="{00000000-0005-0000-0000-0000E8B50000}"/>
    <cellStyle name="표준 5 5 4 2 5 3 2" xfId="29653" xr:uid="{00000000-0005-0000-0000-0000E9B50000}"/>
    <cellStyle name="표준 5 5 4 2 5 3 3" xfId="37864" xr:uid="{00000000-0005-0000-0000-0000EAB50000}"/>
    <cellStyle name="표준 5 5 4 2 5 3 4" xfId="46057" xr:uid="{00000000-0005-0000-0000-0000EBB50000}"/>
    <cellStyle name="표준 5 5 4 2 5 4" xfId="13059" xr:uid="{00000000-0005-0000-0000-0000ECB50000}"/>
    <cellStyle name="표준 5 5 4 2 5 5" xfId="17299" xr:uid="{00000000-0005-0000-0000-0000EDB50000}"/>
    <cellStyle name="표준 5 5 4 2 5 6" xfId="21461" xr:uid="{00000000-0005-0000-0000-0000EEB50000}"/>
    <cellStyle name="표준 5 5 4 2 5 7" xfId="25557" xr:uid="{00000000-0005-0000-0000-0000EFB50000}"/>
    <cellStyle name="표준 5 5 4 2 5 8" xfId="33768" xr:uid="{00000000-0005-0000-0000-0000F0B50000}"/>
    <cellStyle name="표준 5 5 4 2 5 9" xfId="41961" xr:uid="{00000000-0005-0000-0000-0000F1B50000}"/>
    <cellStyle name="표준 5 5 4 2 6" xfId="9459" xr:uid="{00000000-0005-0000-0000-0000F2B50000}"/>
    <cellStyle name="표준 5 5 4 2 6 2" xfId="13571" xr:uid="{00000000-0005-0000-0000-0000F3B50000}"/>
    <cellStyle name="표준 5 5 4 2 6 2 2" xfId="30165" xr:uid="{00000000-0005-0000-0000-0000F4B50000}"/>
    <cellStyle name="표준 5 5 4 2 6 2 3" xfId="38376" xr:uid="{00000000-0005-0000-0000-0000F5B50000}"/>
    <cellStyle name="표준 5 5 4 2 6 2 4" xfId="46569" xr:uid="{00000000-0005-0000-0000-0000F6B50000}"/>
    <cellStyle name="표준 5 5 4 2 6 3" xfId="17811" xr:uid="{00000000-0005-0000-0000-0000F7B50000}"/>
    <cellStyle name="표준 5 5 4 2 6 4" xfId="21973" xr:uid="{00000000-0005-0000-0000-0000F8B50000}"/>
    <cellStyle name="표준 5 5 4 2 6 5" xfId="26069" xr:uid="{00000000-0005-0000-0000-0000F9B50000}"/>
    <cellStyle name="표준 5 5 4 2 6 6" xfId="34280" xr:uid="{00000000-0005-0000-0000-0000FAB50000}"/>
    <cellStyle name="표준 5 5 4 2 6 7" xfId="42473" xr:uid="{00000000-0005-0000-0000-0000FBB50000}"/>
    <cellStyle name="표준 5 5 4 2 7" xfId="7411" xr:uid="{00000000-0005-0000-0000-0000FCB50000}"/>
    <cellStyle name="표준 5 5 4 2 7 2" xfId="28117" xr:uid="{00000000-0005-0000-0000-0000FDB50000}"/>
    <cellStyle name="표준 5 5 4 2 7 3" xfId="36328" xr:uid="{00000000-0005-0000-0000-0000FEB50000}"/>
    <cellStyle name="표준 5 5 4 2 7 4" xfId="44521" xr:uid="{00000000-0005-0000-0000-0000FFB50000}"/>
    <cellStyle name="표준 5 5 4 2 8" xfId="11523" xr:uid="{00000000-0005-0000-0000-000000B60000}"/>
    <cellStyle name="표준 5 5 4 2 9" xfId="15763" xr:uid="{00000000-0005-0000-0000-000001B60000}"/>
    <cellStyle name="표준 5 5 4 3" xfId="684" xr:uid="{00000000-0005-0000-0000-000002B60000}"/>
    <cellStyle name="표준 5 5 4 3 10" xfId="24149" xr:uid="{00000000-0005-0000-0000-000003B60000}"/>
    <cellStyle name="표준 5 5 4 3 11" xfId="32360" xr:uid="{00000000-0005-0000-0000-000004B60000}"/>
    <cellStyle name="표준 5 5 4 3 12" xfId="40553" xr:uid="{00000000-0005-0000-0000-000005B60000}"/>
    <cellStyle name="표준 5 5 4 3 2" xfId="1196" xr:uid="{00000000-0005-0000-0000-000006B60000}"/>
    <cellStyle name="표준 5 5 4 3 2 2" xfId="10099" xr:uid="{00000000-0005-0000-0000-000007B60000}"/>
    <cellStyle name="표준 5 5 4 3 2 2 2" xfId="14211" xr:uid="{00000000-0005-0000-0000-000008B60000}"/>
    <cellStyle name="표준 5 5 4 3 2 2 2 2" xfId="30805" xr:uid="{00000000-0005-0000-0000-000009B60000}"/>
    <cellStyle name="표준 5 5 4 3 2 2 2 3" xfId="39016" xr:uid="{00000000-0005-0000-0000-00000AB60000}"/>
    <cellStyle name="표준 5 5 4 3 2 2 2 4" xfId="47209" xr:uid="{00000000-0005-0000-0000-00000BB60000}"/>
    <cellStyle name="표준 5 5 4 3 2 2 3" xfId="18451" xr:uid="{00000000-0005-0000-0000-00000CB60000}"/>
    <cellStyle name="표준 5 5 4 3 2 2 4" xfId="22613" xr:uid="{00000000-0005-0000-0000-00000DB60000}"/>
    <cellStyle name="표준 5 5 4 3 2 2 5" xfId="26709" xr:uid="{00000000-0005-0000-0000-00000EB60000}"/>
    <cellStyle name="표준 5 5 4 3 2 2 6" xfId="34920" xr:uid="{00000000-0005-0000-0000-00000FB60000}"/>
    <cellStyle name="표준 5 5 4 3 2 2 7" xfId="43113" xr:uid="{00000000-0005-0000-0000-000010B60000}"/>
    <cellStyle name="표준 5 5 4 3 2 3" xfId="8051" xr:uid="{00000000-0005-0000-0000-000011B60000}"/>
    <cellStyle name="표준 5 5 4 3 2 3 2" xfId="28757" xr:uid="{00000000-0005-0000-0000-000012B60000}"/>
    <cellStyle name="표준 5 5 4 3 2 3 3" xfId="36968" xr:uid="{00000000-0005-0000-0000-000013B60000}"/>
    <cellStyle name="표준 5 5 4 3 2 3 4" xfId="45161" xr:uid="{00000000-0005-0000-0000-000014B60000}"/>
    <cellStyle name="표준 5 5 4 3 2 4" xfId="12163" xr:uid="{00000000-0005-0000-0000-000015B60000}"/>
    <cellStyle name="표준 5 5 4 3 2 5" xfId="16403" xr:uid="{00000000-0005-0000-0000-000016B60000}"/>
    <cellStyle name="표준 5 5 4 3 2 6" xfId="20565" xr:uid="{00000000-0005-0000-0000-000017B60000}"/>
    <cellStyle name="표준 5 5 4 3 2 7" xfId="24661" xr:uid="{00000000-0005-0000-0000-000018B60000}"/>
    <cellStyle name="표준 5 5 4 3 2 8" xfId="32872" xr:uid="{00000000-0005-0000-0000-000019B60000}"/>
    <cellStyle name="표준 5 5 4 3 2 9" xfId="41065" xr:uid="{00000000-0005-0000-0000-00001AB60000}"/>
    <cellStyle name="표준 5 5 4 3 3" xfId="1708" xr:uid="{00000000-0005-0000-0000-00001BB60000}"/>
    <cellStyle name="표준 5 5 4 3 3 2" xfId="10611" xr:uid="{00000000-0005-0000-0000-00001CB60000}"/>
    <cellStyle name="표준 5 5 4 3 3 2 2" xfId="14723" xr:uid="{00000000-0005-0000-0000-00001DB60000}"/>
    <cellStyle name="표준 5 5 4 3 3 2 2 2" xfId="31317" xr:uid="{00000000-0005-0000-0000-00001EB60000}"/>
    <cellStyle name="표준 5 5 4 3 3 2 2 3" xfId="39528" xr:uid="{00000000-0005-0000-0000-00001FB60000}"/>
    <cellStyle name="표준 5 5 4 3 3 2 2 4" xfId="47721" xr:uid="{00000000-0005-0000-0000-000020B60000}"/>
    <cellStyle name="표준 5 5 4 3 3 2 3" xfId="18963" xr:uid="{00000000-0005-0000-0000-000021B60000}"/>
    <cellStyle name="표준 5 5 4 3 3 2 4" xfId="23125" xr:uid="{00000000-0005-0000-0000-000022B60000}"/>
    <cellStyle name="표준 5 5 4 3 3 2 5" xfId="27221" xr:uid="{00000000-0005-0000-0000-000023B60000}"/>
    <cellStyle name="표준 5 5 4 3 3 2 6" xfId="35432" xr:uid="{00000000-0005-0000-0000-000024B60000}"/>
    <cellStyle name="표준 5 5 4 3 3 2 7" xfId="43625" xr:uid="{00000000-0005-0000-0000-000025B60000}"/>
    <cellStyle name="표준 5 5 4 3 3 3" xfId="8563" xr:uid="{00000000-0005-0000-0000-000026B60000}"/>
    <cellStyle name="표준 5 5 4 3 3 3 2" xfId="29269" xr:uid="{00000000-0005-0000-0000-000027B60000}"/>
    <cellStyle name="표준 5 5 4 3 3 3 3" xfId="37480" xr:uid="{00000000-0005-0000-0000-000028B60000}"/>
    <cellStyle name="표준 5 5 4 3 3 3 4" xfId="45673" xr:uid="{00000000-0005-0000-0000-000029B60000}"/>
    <cellStyle name="표준 5 5 4 3 3 4" xfId="12675" xr:uid="{00000000-0005-0000-0000-00002AB60000}"/>
    <cellStyle name="표준 5 5 4 3 3 5" xfId="16915" xr:uid="{00000000-0005-0000-0000-00002BB60000}"/>
    <cellStyle name="표준 5 5 4 3 3 6" xfId="21077" xr:uid="{00000000-0005-0000-0000-00002CB60000}"/>
    <cellStyle name="표준 5 5 4 3 3 7" xfId="25173" xr:uid="{00000000-0005-0000-0000-00002DB60000}"/>
    <cellStyle name="표준 5 5 4 3 3 8" xfId="33384" xr:uid="{00000000-0005-0000-0000-00002EB60000}"/>
    <cellStyle name="표준 5 5 4 3 3 9" xfId="41577" xr:uid="{00000000-0005-0000-0000-00002FB60000}"/>
    <cellStyle name="표준 5 5 4 3 4" xfId="2220" xr:uid="{00000000-0005-0000-0000-000030B60000}"/>
    <cellStyle name="표준 5 5 4 3 4 2" xfId="11123" xr:uid="{00000000-0005-0000-0000-000031B60000}"/>
    <cellStyle name="표준 5 5 4 3 4 2 2" xfId="15235" xr:uid="{00000000-0005-0000-0000-000032B60000}"/>
    <cellStyle name="표준 5 5 4 3 4 2 2 2" xfId="31829" xr:uid="{00000000-0005-0000-0000-000033B60000}"/>
    <cellStyle name="표준 5 5 4 3 4 2 2 3" xfId="40040" xr:uid="{00000000-0005-0000-0000-000034B60000}"/>
    <cellStyle name="표준 5 5 4 3 4 2 2 4" xfId="48233" xr:uid="{00000000-0005-0000-0000-000035B60000}"/>
    <cellStyle name="표준 5 5 4 3 4 2 3" xfId="19475" xr:uid="{00000000-0005-0000-0000-000036B60000}"/>
    <cellStyle name="표준 5 5 4 3 4 2 4" xfId="23637" xr:uid="{00000000-0005-0000-0000-000037B60000}"/>
    <cellStyle name="표준 5 5 4 3 4 2 5" xfId="27733" xr:uid="{00000000-0005-0000-0000-000038B60000}"/>
    <cellStyle name="표준 5 5 4 3 4 2 6" xfId="35944" xr:uid="{00000000-0005-0000-0000-000039B60000}"/>
    <cellStyle name="표준 5 5 4 3 4 2 7" xfId="44137" xr:uid="{00000000-0005-0000-0000-00003AB60000}"/>
    <cellStyle name="표준 5 5 4 3 4 3" xfId="9075" xr:uid="{00000000-0005-0000-0000-00003BB60000}"/>
    <cellStyle name="표준 5 5 4 3 4 3 2" xfId="29781" xr:uid="{00000000-0005-0000-0000-00003CB60000}"/>
    <cellStyle name="표준 5 5 4 3 4 3 3" xfId="37992" xr:uid="{00000000-0005-0000-0000-00003DB60000}"/>
    <cellStyle name="표준 5 5 4 3 4 3 4" xfId="46185" xr:uid="{00000000-0005-0000-0000-00003EB60000}"/>
    <cellStyle name="표준 5 5 4 3 4 4" xfId="13187" xr:uid="{00000000-0005-0000-0000-00003FB60000}"/>
    <cellStyle name="표준 5 5 4 3 4 5" xfId="17427" xr:uid="{00000000-0005-0000-0000-000040B60000}"/>
    <cellStyle name="표준 5 5 4 3 4 6" xfId="21589" xr:uid="{00000000-0005-0000-0000-000041B60000}"/>
    <cellStyle name="표준 5 5 4 3 4 7" xfId="25685" xr:uid="{00000000-0005-0000-0000-000042B60000}"/>
    <cellStyle name="표준 5 5 4 3 4 8" xfId="33896" xr:uid="{00000000-0005-0000-0000-000043B60000}"/>
    <cellStyle name="표준 5 5 4 3 4 9" xfId="42089" xr:uid="{00000000-0005-0000-0000-000044B60000}"/>
    <cellStyle name="표준 5 5 4 3 5" xfId="9587" xr:uid="{00000000-0005-0000-0000-000045B60000}"/>
    <cellStyle name="표준 5 5 4 3 5 2" xfId="13699" xr:uid="{00000000-0005-0000-0000-000046B60000}"/>
    <cellStyle name="표준 5 5 4 3 5 2 2" xfId="30293" xr:uid="{00000000-0005-0000-0000-000047B60000}"/>
    <cellStyle name="표준 5 5 4 3 5 2 3" xfId="38504" xr:uid="{00000000-0005-0000-0000-000048B60000}"/>
    <cellStyle name="표준 5 5 4 3 5 2 4" xfId="46697" xr:uid="{00000000-0005-0000-0000-000049B60000}"/>
    <cellStyle name="표준 5 5 4 3 5 3" xfId="17939" xr:uid="{00000000-0005-0000-0000-00004AB60000}"/>
    <cellStyle name="표준 5 5 4 3 5 4" xfId="22101" xr:uid="{00000000-0005-0000-0000-00004BB60000}"/>
    <cellStyle name="표준 5 5 4 3 5 5" xfId="26197" xr:uid="{00000000-0005-0000-0000-00004CB60000}"/>
    <cellStyle name="표준 5 5 4 3 5 6" xfId="34408" xr:uid="{00000000-0005-0000-0000-00004DB60000}"/>
    <cellStyle name="표준 5 5 4 3 5 7" xfId="42601" xr:uid="{00000000-0005-0000-0000-00004EB60000}"/>
    <cellStyle name="표준 5 5 4 3 6" xfId="7539" xr:uid="{00000000-0005-0000-0000-00004FB60000}"/>
    <cellStyle name="표준 5 5 4 3 6 2" xfId="28245" xr:uid="{00000000-0005-0000-0000-000050B60000}"/>
    <cellStyle name="표준 5 5 4 3 6 3" xfId="36456" xr:uid="{00000000-0005-0000-0000-000051B60000}"/>
    <cellStyle name="표준 5 5 4 3 6 4" xfId="44649" xr:uid="{00000000-0005-0000-0000-000052B60000}"/>
    <cellStyle name="표준 5 5 4 3 7" xfId="11651" xr:uid="{00000000-0005-0000-0000-000053B60000}"/>
    <cellStyle name="표준 5 5 4 3 8" xfId="15891" xr:uid="{00000000-0005-0000-0000-000054B60000}"/>
    <cellStyle name="표준 5 5 4 3 9" xfId="20053" xr:uid="{00000000-0005-0000-0000-000055B60000}"/>
    <cellStyle name="표준 5 5 4 4" xfId="940" xr:uid="{00000000-0005-0000-0000-000056B60000}"/>
    <cellStyle name="표준 5 5 4 4 2" xfId="9843" xr:uid="{00000000-0005-0000-0000-000057B60000}"/>
    <cellStyle name="표준 5 5 4 4 2 2" xfId="13955" xr:uid="{00000000-0005-0000-0000-000058B60000}"/>
    <cellStyle name="표준 5 5 4 4 2 2 2" xfId="30549" xr:uid="{00000000-0005-0000-0000-000059B60000}"/>
    <cellStyle name="표준 5 5 4 4 2 2 3" xfId="38760" xr:uid="{00000000-0005-0000-0000-00005AB60000}"/>
    <cellStyle name="표준 5 5 4 4 2 2 4" xfId="46953" xr:uid="{00000000-0005-0000-0000-00005BB60000}"/>
    <cellStyle name="표준 5 5 4 4 2 3" xfId="18195" xr:uid="{00000000-0005-0000-0000-00005CB60000}"/>
    <cellStyle name="표준 5 5 4 4 2 4" xfId="22357" xr:uid="{00000000-0005-0000-0000-00005DB60000}"/>
    <cellStyle name="표준 5 5 4 4 2 5" xfId="26453" xr:uid="{00000000-0005-0000-0000-00005EB60000}"/>
    <cellStyle name="표준 5 5 4 4 2 6" xfId="34664" xr:uid="{00000000-0005-0000-0000-00005FB60000}"/>
    <cellStyle name="표준 5 5 4 4 2 7" xfId="42857" xr:uid="{00000000-0005-0000-0000-000060B60000}"/>
    <cellStyle name="표준 5 5 4 4 3" xfId="7795" xr:uid="{00000000-0005-0000-0000-000061B60000}"/>
    <cellStyle name="표준 5 5 4 4 3 2" xfId="28501" xr:uid="{00000000-0005-0000-0000-000062B60000}"/>
    <cellStyle name="표준 5 5 4 4 3 3" xfId="36712" xr:uid="{00000000-0005-0000-0000-000063B60000}"/>
    <cellStyle name="표준 5 5 4 4 3 4" xfId="44905" xr:uid="{00000000-0005-0000-0000-000064B60000}"/>
    <cellStyle name="표준 5 5 4 4 4" xfId="11907" xr:uid="{00000000-0005-0000-0000-000065B60000}"/>
    <cellStyle name="표준 5 5 4 4 5" xfId="16147" xr:uid="{00000000-0005-0000-0000-000066B60000}"/>
    <cellStyle name="표준 5 5 4 4 6" xfId="20309" xr:uid="{00000000-0005-0000-0000-000067B60000}"/>
    <cellStyle name="표준 5 5 4 4 7" xfId="24405" xr:uid="{00000000-0005-0000-0000-000068B60000}"/>
    <cellStyle name="표준 5 5 4 4 8" xfId="32616" xr:uid="{00000000-0005-0000-0000-000069B60000}"/>
    <cellStyle name="표준 5 5 4 4 9" xfId="40809" xr:uid="{00000000-0005-0000-0000-00006AB60000}"/>
    <cellStyle name="표준 5 5 4 5" xfId="1452" xr:uid="{00000000-0005-0000-0000-00006BB60000}"/>
    <cellStyle name="표준 5 5 4 5 2" xfId="10355" xr:uid="{00000000-0005-0000-0000-00006CB60000}"/>
    <cellStyle name="표준 5 5 4 5 2 2" xfId="14467" xr:uid="{00000000-0005-0000-0000-00006DB60000}"/>
    <cellStyle name="표준 5 5 4 5 2 2 2" xfId="31061" xr:uid="{00000000-0005-0000-0000-00006EB60000}"/>
    <cellStyle name="표준 5 5 4 5 2 2 3" xfId="39272" xr:uid="{00000000-0005-0000-0000-00006FB60000}"/>
    <cellStyle name="표준 5 5 4 5 2 2 4" xfId="47465" xr:uid="{00000000-0005-0000-0000-000070B60000}"/>
    <cellStyle name="표준 5 5 4 5 2 3" xfId="18707" xr:uid="{00000000-0005-0000-0000-000071B60000}"/>
    <cellStyle name="표준 5 5 4 5 2 4" xfId="22869" xr:uid="{00000000-0005-0000-0000-000072B60000}"/>
    <cellStyle name="표준 5 5 4 5 2 5" xfId="26965" xr:uid="{00000000-0005-0000-0000-000073B60000}"/>
    <cellStyle name="표준 5 5 4 5 2 6" xfId="35176" xr:uid="{00000000-0005-0000-0000-000074B60000}"/>
    <cellStyle name="표준 5 5 4 5 2 7" xfId="43369" xr:uid="{00000000-0005-0000-0000-000075B60000}"/>
    <cellStyle name="표준 5 5 4 5 3" xfId="8307" xr:uid="{00000000-0005-0000-0000-000076B60000}"/>
    <cellStyle name="표준 5 5 4 5 3 2" xfId="29013" xr:uid="{00000000-0005-0000-0000-000077B60000}"/>
    <cellStyle name="표준 5 5 4 5 3 3" xfId="37224" xr:uid="{00000000-0005-0000-0000-000078B60000}"/>
    <cellStyle name="표준 5 5 4 5 3 4" xfId="45417" xr:uid="{00000000-0005-0000-0000-000079B60000}"/>
    <cellStyle name="표준 5 5 4 5 4" xfId="12419" xr:uid="{00000000-0005-0000-0000-00007AB60000}"/>
    <cellStyle name="표준 5 5 4 5 5" xfId="16659" xr:uid="{00000000-0005-0000-0000-00007BB60000}"/>
    <cellStyle name="표준 5 5 4 5 6" xfId="20821" xr:uid="{00000000-0005-0000-0000-00007CB60000}"/>
    <cellStyle name="표준 5 5 4 5 7" xfId="24917" xr:uid="{00000000-0005-0000-0000-00007DB60000}"/>
    <cellStyle name="표준 5 5 4 5 8" xfId="33128" xr:uid="{00000000-0005-0000-0000-00007EB60000}"/>
    <cellStyle name="표준 5 5 4 5 9" xfId="41321" xr:uid="{00000000-0005-0000-0000-00007FB60000}"/>
    <cellStyle name="표준 5 5 4 6" xfId="1964" xr:uid="{00000000-0005-0000-0000-000080B60000}"/>
    <cellStyle name="표준 5 5 4 6 2" xfId="10867" xr:uid="{00000000-0005-0000-0000-000081B60000}"/>
    <cellStyle name="표준 5 5 4 6 2 2" xfId="14979" xr:uid="{00000000-0005-0000-0000-000082B60000}"/>
    <cellStyle name="표준 5 5 4 6 2 2 2" xfId="31573" xr:uid="{00000000-0005-0000-0000-000083B60000}"/>
    <cellStyle name="표준 5 5 4 6 2 2 3" xfId="39784" xr:uid="{00000000-0005-0000-0000-000084B60000}"/>
    <cellStyle name="표준 5 5 4 6 2 2 4" xfId="47977" xr:uid="{00000000-0005-0000-0000-000085B60000}"/>
    <cellStyle name="표준 5 5 4 6 2 3" xfId="19219" xr:uid="{00000000-0005-0000-0000-000086B60000}"/>
    <cellStyle name="표준 5 5 4 6 2 4" xfId="23381" xr:uid="{00000000-0005-0000-0000-000087B60000}"/>
    <cellStyle name="표준 5 5 4 6 2 5" xfId="27477" xr:uid="{00000000-0005-0000-0000-000088B60000}"/>
    <cellStyle name="표준 5 5 4 6 2 6" xfId="35688" xr:uid="{00000000-0005-0000-0000-000089B60000}"/>
    <cellStyle name="표준 5 5 4 6 2 7" xfId="43881" xr:uid="{00000000-0005-0000-0000-00008AB60000}"/>
    <cellStyle name="표준 5 5 4 6 3" xfId="8819" xr:uid="{00000000-0005-0000-0000-00008BB60000}"/>
    <cellStyle name="표준 5 5 4 6 3 2" xfId="29525" xr:uid="{00000000-0005-0000-0000-00008CB60000}"/>
    <cellStyle name="표준 5 5 4 6 3 3" xfId="37736" xr:uid="{00000000-0005-0000-0000-00008DB60000}"/>
    <cellStyle name="표준 5 5 4 6 3 4" xfId="45929" xr:uid="{00000000-0005-0000-0000-00008EB60000}"/>
    <cellStyle name="표준 5 5 4 6 4" xfId="12931" xr:uid="{00000000-0005-0000-0000-00008FB60000}"/>
    <cellStyle name="표준 5 5 4 6 5" xfId="17171" xr:uid="{00000000-0005-0000-0000-000090B60000}"/>
    <cellStyle name="표준 5 5 4 6 6" xfId="21333" xr:uid="{00000000-0005-0000-0000-000091B60000}"/>
    <cellStyle name="표준 5 5 4 6 7" xfId="25429" xr:uid="{00000000-0005-0000-0000-000092B60000}"/>
    <cellStyle name="표준 5 5 4 6 8" xfId="33640" xr:uid="{00000000-0005-0000-0000-000093B60000}"/>
    <cellStyle name="표준 5 5 4 6 9" xfId="41833" xr:uid="{00000000-0005-0000-0000-000094B60000}"/>
    <cellStyle name="표준 5 5 4 7" xfId="7024" xr:uid="{00000000-0005-0000-0000-000095B60000}"/>
    <cellStyle name="표준 5 5 4 7 2" xfId="9331" xr:uid="{00000000-0005-0000-0000-000096B60000}"/>
    <cellStyle name="표준 5 5 4 7 2 2" xfId="30037" xr:uid="{00000000-0005-0000-0000-000097B60000}"/>
    <cellStyle name="표준 5 5 4 7 2 3" xfId="38248" xr:uid="{00000000-0005-0000-0000-000098B60000}"/>
    <cellStyle name="표준 5 5 4 7 2 4" xfId="46441" xr:uid="{00000000-0005-0000-0000-000099B60000}"/>
    <cellStyle name="표준 5 5 4 7 3" xfId="13443" xr:uid="{00000000-0005-0000-0000-00009AB60000}"/>
    <cellStyle name="표준 5 5 4 7 4" xfId="17683" xr:uid="{00000000-0005-0000-0000-00009BB60000}"/>
    <cellStyle name="표준 5 5 4 7 5" xfId="21845" xr:uid="{00000000-0005-0000-0000-00009CB60000}"/>
    <cellStyle name="표준 5 5 4 7 6" xfId="25941" xr:uid="{00000000-0005-0000-0000-00009DB60000}"/>
    <cellStyle name="표준 5 5 4 7 7" xfId="34152" xr:uid="{00000000-0005-0000-0000-00009EB60000}"/>
    <cellStyle name="표준 5 5 4 7 8" xfId="42345" xr:uid="{00000000-0005-0000-0000-00009FB60000}"/>
    <cellStyle name="표준 5 5 4 8" xfId="7154" xr:uid="{00000000-0005-0000-0000-0000A0B60000}"/>
    <cellStyle name="표준 5 5 4 8 2" xfId="27989" xr:uid="{00000000-0005-0000-0000-0000A1B60000}"/>
    <cellStyle name="표준 5 5 4 8 3" xfId="36200" xr:uid="{00000000-0005-0000-0000-0000A2B60000}"/>
    <cellStyle name="표준 5 5 4 8 4" xfId="44393" xr:uid="{00000000-0005-0000-0000-0000A3B60000}"/>
    <cellStyle name="표준 5 5 4 9" xfId="7283" xr:uid="{00000000-0005-0000-0000-0000A4B60000}"/>
    <cellStyle name="표준 5 5 5" xfId="492" xr:uid="{00000000-0005-0000-0000-0000A5B60000}"/>
    <cellStyle name="표준 5 5 5 10" xfId="19861" xr:uid="{00000000-0005-0000-0000-0000A6B60000}"/>
    <cellStyle name="표준 5 5 5 11" xfId="23957" xr:uid="{00000000-0005-0000-0000-0000A7B60000}"/>
    <cellStyle name="표준 5 5 5 12" xfId="32168" xr:uid="{00000000-0005-0000-0000-0000A8B60000}"/>
    <cellStyle name="표준 5 5 5 13" xfId="40361" xr:uid="{00000000-0005-0000-0000-0000A9B60000}"/>
    <cellStyle name="표준 5 5 5 2" xfId="748" xr:uid="{00000000-0005-0000-0000-0000AAB60000}"/>
    <cellStyle name="표준 5 5 5 2 10" xfId="24213" xr:uid="{00000000-0005-0000-0000-0000ABB60000}"/>
    <cellStyle name="표준 5 5 5 2 11" xfId="32424" xr:uid="{00000000-0005-0000-0000-0000ACB60000}"/>
    <cellStyle name="표준 5 5 5 2 12" xfId="40617" xr:uid="{00000000-0005-0000-0000-0000ADB60000}"/>
    <cellStyle name="표준 5 5 5 2 2" xfId="1260" xr:uid="{00000000-0005-0000-0000-0000AEB60000}"/>
    <cellStyle name="표준 5 5 5 2 2 2" xfId="10163" xr:uid="{00000000-0005-0000-0000-0000AFB60000}"/>
    <cellStyle name="표준 5 5 5 2 2 2 2" xfId="14275" xr:uid="{00000000-0005-0000-0000-0000B0B60000}"/>
    <cellStyle name="표준 5 5 5 2 2 2 2 2" xfId="30869" xr:uid="{00000000-0005-0000-0000-0000B1B60000}"/>
    <cellStyle name="표준 5 5 5 2 2 2 2 3" xfId="39080" xr:uid="{00000000-0005-0000-0000-0000B2B60000}"/>
    <cellStyle name="표준 5 5 5 2 2 2 2 4" xfId="47273" xr:uid="{00000000-0005-0000-0000-0000B3B60000}"/>
    <cellStyle name="표준 5 5 5 2 2 2 3" xfId="18515" xr:uid="{00000000-0005-0000-0000-0000B4B60000}"/>
    <cellStyle name="표준 5 5 5 2 2 2 4" xfId="22677" xr:uid="{00000000-0005-0000-0000-0000B5B60000}"/>
    <cellStyle name="표준 5 5 5 2 2 2 5" xfId="26773" xr:uid="{00000000-0005-0000-0000-0000B6B60000}"/>
    <cellStyle name="표준 5 5 5 2 2 2 6" xfId="34984" xr:uid="{00000000-0005-0000-0000-0000B7B60000}"/>
    <cellStyle name="표준 5 5 5 2 2 2 7" xfId="43177" xr:uid="{00000000-0005-0000-0000-0000B8B60000}"/>
    <cellStyle name="표준 5 5 5 2 2 3" xfId="8115" xr:uid="{00000000-0005-0000-0000-0000B9B60000}"/>
    <cellStyle name="표준 5 5 5 2 2 3 2" xfId="28821" xr:uid="{00000000-0005-0000-0000-0000BAB60000}"/>
    <cellStyle name="표준 5 5 5 2 2 3 3" xfId="37032" xr:uid="{00000000-0005-0000-0000-0000BBB60000}"/>
    <cellStyle name="표준 5 5 5 2 2 3 4" xfId="45225" xr:uid="{00000000-0005-0000-0000-0000BCB60000}"/>
    <cellStyle name="표준 5 5 5 2 2 4" xfId="12227" xr:uid="{00000000-0005-0000-0000-0000BDB60000}"/>
    <cellStyle name="표준 5 5 5 2 2 5" xfId="16467" xr:uid="{00000000-0005-0000-0000-0000BEB60000}"/>
    <cellStyle name="표준 5 5 5 2 2 6" xfId="20629" xr:uid="{00000000-0005-0000-0000-0000BFB60000}"/>
    <cellStyle name="표준 5 5 5 2 2 7" xfId="24725" xr:uid="{00000000-0005-0000-0000-0000C0B60000}"/>
    <cellStyle name="표준 5 5 5 2 2 8" xfId="32936" xr:uid="{00000000-0005-0000-0000-0000C1B60000}"/>
    <cellStyle name="표준 5 5 5 2 2 9" xfId="41129" xr:uid="{00000000-0005-0000-0000-0000C2B60000}"/>
    <cellStyle name="표준 5 5 5 2 3" xfId="1772" xr:uid="{00000000-0005-0000-0000-0000C3B60000}"/>
    <cellStyle name="표준 5 5 5 2 3 2" xfId="10675" xr:uid="{00000000-0005-0000-0000-0000C4B60000}"/>
    <cellStyle name="표준 5 5 5 2 3 2 2" xfId="14787" xr:uid="{00000000-0005-0000-0000-0000C5B60000}"/>
    <cellStyle name="표준 5 5 5 2 3 2 2 2" xfId="31381" xr:uid="{00000000-0005-0000-0000-0000C6B60000}"/>
    <cellStyle name="표준 5 5 5 2 3 2 2 3" xfId="39592" xr:uid="{00000000-0005-0000-0000-0000C7B60000}"/>
    <cellStyle name="표준 5 5 5 2 3 2 2 4" xfId="47785" xr:uid="{00000000-0005-0000-0000-0000C8B60000}"/>
    <cellStyle name="표준 5 5 5 2 3 2 3" xfId="19027" xr:uid="{00000000-0005-0000-0000-0000C9B60000}"/>
    <cellStyle name="표준 5 5 5 2 3 2 4" xfId="23189" xr:uid="{00000000-0005-0000-0000-0000CAB60000}"/>
    <cellStyle name="표준 5 5 5 2 3 2 5" xfId="27285" xr:uid="{00000000-0005-0000-0000-0000CBB60000}"/>
    <cellStyle name="표준 5 5 5 2 3 2 6" xfId="35496" xr:uid="{00000000-0005-0000-0000-0000CCB60000}"/>
    <cellStyle name="표준 5 5 5 2 3 2 7" xfId="43689" xr:uid="{00000000-0005-0000-0000-0000CDB60000}"/>
    <cellStyle name="표준 5 5 5 2 3 3" xfId="8627" xr:uid="{00000000-0005-0000-0000-0000CEB60000}"/>
    <cellStyle name="표준 5 5 5 2 3 3 2" xfId="29333" xr:uid="{00000000-0005-0000-0000-0000CFB60000}"/>
    <cellStyle name="표준 5 5 5 2 3 3 3" xfId="37544" xr:uid="{00000000-0005-0000-0000-0000D0B60000}"/>
    <cellStyle name="표준 5 5 5 2 3 3 4" xfId="45737" xr:uid="{00000000-0005-0000-0000-0000D1B60000}"/>
    <cellStyle name="표준 5 5 5 2 3 4" xfId="12739" xr:uid="{00000000-0005-0000-0000-0000D2B60000}"/>
    <cellStyle name="표준 5 5 5 2 3 5" xfId="16979" xr:uid="{00000000-0005-0000-0000-0000D3B60000}"/>
    <cellStyle name="표준 5 5 5 2 3 6" xfId="21141" xr:uid="{00000000-0005-0000-0000-0000D4B60000}"/>
    <cellStyle name="표준 5 5 5 2 3 7" xfId="25237" xr:uid="{00000000-0005-0000-0000-0000D5B60000}"/>
    <cellStyle name="표준 5 5 5 2 3 8" xfId="33448" xr:uid="{00000000-0005-0000-0000-0000D6B60000}"/>
    <cellStyle name="표준 5 5 5 2 3 9" xfId="41641" xr:uid="{00000000-0005-0000-0000-0000D7B60000}"/>
    <cellStyle name="표준 5 5 5 2 4" xfId="2284" xr:uid="{00000000-0005-0000-0000-0000D8B60000}"/>
    <cellStyle name="표준 5 5 5 2 4 2" xfId="11187" xr:uid="{00000000-0005-0000-0000-0000D9B60000}"/>
    <cellStyle name="표준 5 5 5 2 4 2 2" xfId="15299" xr:uid="{00000000-0005-0000-0000-0000DAB60000}"/>
    <cellStyle name="표준 5 5 5 2 4 2 2 2" xfId="31893" xr:uid="{00000000-0005-0000-0000-0000DBB60000}"/>
    <cellStyle name="표준 5 5 5 2 4 2 2 3" xfId="40104" xr:uid="{00000000-0005-0000-0000-0000DCB60000}"/>
    <cellStyle name="표준 5 5 5 2 4 2 2 4" xfId="48297" xr:uid="{00000000-0005-0000-0000-0000DDB60000}"/>
    <cellStyle name="표준 5 5 5 2 4 2 3" xfId="19539" xr:uid="{00000000-0005-0000-0000-0000DEB60000}"/>
    <cellStyle name="표준 5 5 5 2 4 2 4" xfId="23701" xr:uid="{00000000-0005-0000-0000-0000DFB60000}"/>
    <cellStyle name="표준 5 5 5 2 4 2 5" xfId="27797" xr:uid="{00000000-0005-0000-0000-0000E0B60000}"/>
    <cellStyle name="표준 5 5 5 2 4 2 6" xfId="36008" xr:uid="{00000000-0005-0000-0000-0000E1B60000}"/>
    <cellStyle name="표준 5 5 5 2 4 2 7" xfId="44201" xr:uid="{00000000-0005-0000-0000-0000E2B60000}"/>
    <cellStyle name="표준 5 5 5 2 4 3" xfId="9139" xr:uid="{00000000-0005-0000-0000-0000E3B60000}"/>
    <cellStyle name="표준 5 5 5 2 4 3 2" xfId="29845" xr:uid="{00000000-0005-0000-0000-0000E4B60000}"/>
    <cellStyle name="표준 5 5 5 2 4 3 3" xfId="38056" xr:uid="{00000000-0005-0000-0000-0000E5B60000}"/>
    <cellStyle name="표준 5 5 5 2 4 3 4" xfId="46249" xr:uid="{00000000-0005-0000-0000-0000E6B60000}"/>
    <cellStyle name="표준 5 5 5 2 4 4" xfId="13251" xr:uid="{00000000-0005-0000-0000-0000E7B60000}"/>
    <cellStyle name="표준 5 5 5 2 4 5" xfId="17491" xr:uid="{00000000-0005-0000-0000-0000E8B60000}"/>
    <cellStyle name="표준 5 5 5 2 4 6" xfId="21653" xr:uid="{00000000-0005-0000-0000-0000E9B60000}"/>
    <cellStyle name="표준 5 5 5 2 4 7" xfId="25749" xr:uid="{00000000-0005-0000-0000-0000EAB60000}"/>
    <cellStyle name="표준 5 5 5 2 4 8" xfId="33960" xr:uid="{00000000-0005-0000-0000-0000EBB60000}"/>
    <cellStyle name="표준 5 5 5 2 4 9" xfId="42153" xr:uid="{00000000-0005-0000-0000-0000ECB60000}"/>
    <cellStyle name="표준 5 5 5 2 5" xfId="9651" xr:uid="{00000000-0005-0000-0000-0000EDB60000}"/>
    <cellStyle name="표준 5 5 5 2 5 2" xfId="13763" xr:uid="{00000000-0005-0000-0000-0000EEB60000}"/>
    <cellStyle name="표준 5 5 5 2 5 2 2" xfId="30357" xr:uid="{00000000-0005-0000-0000-0000EFB60000}"/>
    <cellStyle name="표준 5 5 5 2 5 2 3" xfId="38568" xr:uid="{00000000-0005-0000-0000-0000F0B60000}"/>
    <cellStyle name="표준 5 5 5 2 5 2 4" xfId="46761" xr:uid="{00000000-0005-0000-0000-0000F1B60000}"/>
    <cellStyle name="표준 5 5 5 2 5 3" xfId="18003" xr:uid="{00000000-0005-0000-0000-0000F2B60000}"/>
    <cellStyle name="표준 5 5 5 2 5 4" xfId="22165" xr:uid="{00000000-0005-0000-0000-0000F3B60000}"/>
    <cellStyle name="표준 5 5 5 2 5 5" xfId="26261" xr:uid="{00000000-0005-0000-0000-0000F4B60000}"/>
    <cellStyle name="표준 5 5 5 2 5 6" xfId="34472" xr:uid="{00000000-0005-0000-0000-0000F5B60000}"/>
    <cellStyle name="표준 5 5 5 2 5 7" xfId="42665" xr:uid="{00000000-0005-0000-0000-0000F6B60000}"/>
    <cellStyle name="표준 5 5 5 2 6" xfId="7603" xr:uid="{00000000-0005-0000-0000-0000F7B60000}"/>
    <cellStyle name="표준 5 5 5 2 6 2" xfId="28309" xr:uid="{00000000-0005-0000-0000-0000F8B60000}"/>
    <cellStyle name="표준 5 5 5 2 6 3" xfId="36520" xr:uid="{00000000-0005-0000-0000-0000F9B60000}"/>
    <cellStyle name="표준 5 5 5 2 6 4" xfId="44713" xr:uid="{00000000-0005-0000-0000-0000FAB60000}"/>
    <cellStyle name="표준 5 5 5 2 7" xfId="11715" xr:uid="{00000000-0005-0000-0000-0000FBB60000}"/>
    <cellStyle name="표준 5 5 5 2 8" xfId="15955" xr:uid="{00000000-0005-0000-0000-0000FCB60000}"/>
    <cellStyle name="표준 5 5 5 2 9" xfId="20117" xr:uid="{00000000-0005-0000-0000-0000FDB60000}"/>
    <cellStyle name="표준 5 5 5 3" xfId="1004" xr:uid="{00000000-0005-0000-0000-0000FEB60000}"/>
    <cellStyle name="표준 5 5 5 3 2" xfId="9907" xr:uid="{00000000-0005-0000-0000-0000FFB60000}"/>
    <cellStyle name="표준 5 5 5 3 2 2" xfId="14019" xr:uid="{00000000-0005-0000-0000-000000B70000}"/>
    <cellStyle name="표준 5 5 5 3 2 2 2" xfId="30613" xr:uid="{00000000-0005-0000-0000-000001B70000}"/>
    <cellStyle name="표준 5 5 5 3 2 2 3" xfId="38824" xr:uid="{00000000-0005-0000-0000-000002B70000}"/>
    <cellStyle name="표준 5 5 5 3 2 2 4" xfId="47017" xr:uid="{00000000-0005-0000-0000-000003B70000}"/>
    <cellStyle name="표준 5 5 5 3 2 3" xfId="18259" xr:uid="{00000000-0005-0000-0000-000004B70000}"/>
    <cellStyle name="표준 5 5 5 3 2 4" xfId="22421" xr:uid="{00000000-0005-0000-0000-000005B70000}"/>
    <cellStyle name="표준 5 5 5 3 2 5" xfId="26517" xr:uid="{00000000-0005-0000-0000-000006B70000}"/>
    <cellStyle name="표준 5 5 5 3 2 6" xfId="34728" xr:uid="{00000000-0005-0000-0000-000007B70000}"/>
    <cellStyle name="표준 5 5 5 3 2 7" xfId="42921" xr:uid="{00000000-0005-0000-0000-000008B70000}"/>
    <cellStyle name="표준 5 5 5 3 3" xfId="7859" xr:uid="{00000000-0005-0000-0000-000009B70000}"/>
    <cellStyle name="표준 5 5 5 3 3 2" xfId="28565" xr:uid="{00000000-0005-0000-0000-00000AB70000}"/>
    <cellStyle name="표준 5 5 5 3 3 3" xfId="36776" xr:uid="{00000000-0005-0000-0000-00000BB70000}"/>
    <cellStyle name="표준 5 5 5 3 3 4" xfId="44969" xr:uid="{00000000-0005-0000-0000-00000CB70000}"/>
    <cellStyle name="표준 5 5 5 3 4" xfId="11971" xr:uid="{00000000-0005-0000-0000-00000DB70000}"/>
    <cellStyle name="표준 5 5 5 3 5" xfId="16211" xr:uid="{00000000-0005-0000-0000-00000EB70000}"/>
    <cellStyle name="표준 5 5 5 3 6" xfId="20373" xr:uid="{00000000-0005-0000-0000-00000FB70000}"/>
    <cellStyle name="표준 5 5 5 3 7" xfId="24469" xr:uid="{00000000-0005-0000-0000-000010B70000}"/>
    <cellStyle name="표준 5 5 5 3 8" xfId="32680" xr:uid="{00000000-0005-0000-0000-000011B70000}"/>
    <cellStyle name="표준 5 5 5 3 9" xfId="40873" xr:uid="{00000000-0005-0000-0000-000012B70000}"/>
    <cellStyle name="표준 5 5 5 4" xfId="1516" xr:uid="{00000000-0005-0000-0000-000013B70000}"/>
    <cellStyle name="표준 5 5 5 4 2" xfId="10419" xr:uid="{00000000-0005-0000-0000-000014B70000}"/>
    <cellStyle name="표준 5 5 5 4 2 2" xfId="14531" xr:uid="{00000000-0005-0000-0000-000015B70000}"/>
    <cellStyle name="표준 5 5 5 4 2 2 2" xfId="31125" xr:uid="{00000000-0005-0000-0000-000016B70000}"/>
    <cellStyle name="표준 5 5 5 4 2 2 3" xfId="39336" xr:uid="{00000000-0005-0000-0000-000017B70000}"/>
    <cellStyle name="표준 5 5 5 4 2 2 4" xfId="47529" xr:uid="{00000000-0005-0000-0000-000018B70000}"/>
    <cellStyle name="표준 5 5 5 4 2 3" xfId="18771" xr:uid="{00000000-0005-0000-0000-000019B70000}"/>
    <cellStyle name="표준 5 5 5 4 2 4" xfId="22933" xr:uid="{00000000-0005-0000-0000-00001AB70000}"/>
    <cellStyle name="표준 5 5 5 4 2 5" xfId="27029" xr:uid="{00000000-0005-0000-0000-00001BB70000}"/>
    <cellStyle name="표준 5 5 5 4 2 6" xfId="35240" xr:uid="{00000000-0005-0000-0000-00001CB70000}"/>
    <cellStyle name="표준 5 5 5 4 2 7" xfId="43433" xr:uid="{00000000-0005-0000-0000-00001DB70000}"/>
    <cellStyle name="표준 5 5 5 4 3" xfId="8371" xr:uid="{00000000-0005-0000-0000-00001EB70000}"/>
    <cellStyle name="표준 5 5 5 4 3 2" xfId="29077" xr:uid="{00000000-0005-0000-0000-00001FB70000}"/>
    <cellStyle name="표준 5 5 5 4 3 3" xfId="37288" xr:uid="{00000000-0005-0000-0000-000020B70000}"/>
    <cellStyle name="표준 5 5 5 4 3 4" xfId="45481" xr:uid="{00000000-0005-0000-0000-000021B70000}"/>
    <cellStyle name="표준 5 5 5 4 4" xfId="12483" xr:uid="{00000000-0005-0000-0000-000022B70000}"/>
    <cellStyle name="표준 5 5 5 4 5" xfId="16723" xr:uid="{00000000-0005-0000-0000-000023B70000}"/>
    <cellStyle name="표준 5 5 5 4 6" xfId="20885" xr:uid="{00000000-0005-0000-0000-000024B70000}"/>
    <cellStyle name="표준 5 5 5 4 7" xfId="24981" xr:uid="{00000000-0005-0000-0000-000025B70000}"/>
    <cellStyle name="표준 5 5 5 4 8" xfId="33192" xr:uid="{00000000-0005-0000-0000-000026B70000}"/>
    <cellStyle name="표준 5 5 5 4 9" xfId="41385" xr:uid="{00000000-0005-0000-0000-000027B70000}"/>
    <cellStyle name="표준 5 5 5 5" xfId="2028" xr:uid="{00000000-0005-0000-0000-000028B70000}"/>
    <cellStyle name="표준 5 5 5 5 2" xfId="10931" xr:uid="{00000000-0005-0000-0000-000029B70000}"/>
    <cellStyle name="표준 5 5 5 5 2 2" xfId="15043" xr:uid="{00000000-0005-0000-0000-00002AB70000}"/>
    <cellStyle name="표준 5 5 5 5 2 2 2" xfId="31637" xr:uid="{00000000-0005-0000-0000-00002BB70000}"/>
    <cellStyle name="표준 5 5 5 5 2 2 3" xfId="39848" xr:uid="{00000000-0005-0000-0000-00002CB70000}"/>
    <cellStyle name="표준 5 5 5 5 2 2 4" xfId="48041" xr:uid="{00000000-0005-0000-0000-00002DB70000}"/>
    <cellStyle name="표준 5 5 5 5 2 3" xfId="19283" xr:uid="{00000000-0005-0000-0000-00002EB70000}"/>
    <cellStyle name="표준 5 5 5 5 2 4" xfId="23445" xr:uid="{00000000-0005-0000-0000-00002FB70000}"/>
    <cellStyle name="표준 5 5 5 5 2 5" xfId="27541" xr:uid="{00000000-0005-0000-0000-000030B70000}"/>
    <cellStyle name="표준 5 5 5 5 2 6" xfId="35752" xr:uid="{00000000-0005-0000-0000-000031B70000}"/>
    <cellStyle name="표준 5 5 5 5 2 7" xfId="43945" xr:uid="{00000000-0005-0000-0000-000032B70000}"/>
    <cellStyle name="표준 5 5 5 5 3" xfId="8883" xr:uid="{00000000-0005-0000-0000-000033B70000}"/>
    <cellStyle name="표준 5 5 5 5 3 2" xfId="29589" xr:uid="{00000000-0005-0000-0000-000034B70000}"/>
    <cellStyle name="표준 5 5 5 5 3 3" xfId="37800" xr:uid="{00000000-0005-0000-0000-000035B70000}"/>
    <cellStyle name="표준 5 5 5 5 3 4" xfId="45993" xr:uid="{00000000-0005-0000-0000-000036B70000}"/>
    <cellStyle name="표준 5 5 5 5 4" xfId="12995" xr:uid="{00000000-0005-0000-0000-000037B70000}"/>
    <cellStyle name="표준 5 5 5 5 5" xfId="17235" xr:uid="{00000000-0005-0000-0000-000038B70000}"/>
    <cellStyle name="표준 5 5 5 5 6" xfId="21397" xr:uid="{00000000-0005-0000-0000-000039B70000}"/>
    <cellStyle name="표준 5 5 5 5 7" xfId="25493" xr:uid="{00000000-0005-0000-0000-00003AB70000}"/>
    <cellStyle name="표준 5 5 5 5 8" xfId="33704" xr:uid="{00000000-0005-0000-0000-00003BB70000}"/>
    <cellStyle name="표준 5 5 5 5 9" xfId="41897" xr:uid="{00000000-0005-0000-0000-00003CB70000}"/>
    <cellStyle name="표준 5 5 5 6" xfId="9395" xr:uid="{00000000-0005-0000-0000-00003DB70000}"/>
    <cellStyle name="표준 5 5 5 6 2" xfId="13507" xr:uid="{00000000-0005-0000-0000-00003EB70000}"/>
    <cellStyle name="표준 5 5 5 6 2 2" xfId="30101" xr:uid="{00000000-0005-0000-0000-00003FB70000}"/>
    <cellStyle name="표준 5 5 5 6 2 3" xfId="38312" xr:uid="{00000000-0005-0000-0000-000040B70000}"/>
    <cellStyle name="표준 5 5 5 6 2 4" xfId="46505" xr:uid="{00000000-0005-0000-0000-000041B70000}"/>
    <cellStyle name="표준 5 5 5 6 3" xfId="17747" xr:uid="{00000000-0005-0000-0000-000042B70000}"/>
    <cellStyle name="표준 5 5 5 6 4" xfId="21909" xr:uid="{00000000-0005-0000-0000-000043B70000}"/>
    <cellStyle name="표준 5 5 5 6 5" xfId="26005" xr:uid="{00000000-0005-0000-0000-000044B70000}"/>
    <cellStyle name="표준 5 5 5 6 6" xfId="34216" xr:uid="{00000000-0005-0000-0000-000045B70000}"/>
    <cellStyle name="표준 5 5 5 6 7" xfId="42409" xr:uid="{00000000-0005-0000-0000-000046B70000}"/>
    <cellStyle name="표준 5 5 5 7" xfId="7347" xr:uid="{00000000-0005-0000-0000-000047B70000}"/>
    <cellStyle name="표준 5 5 5 7 2" xfId="28053" xr:uid="{00000000-0005-0000-0000-000048B70000}"/>
    <cellStyle name="표준 5 5 5 7 3" xfId="36264" xr:uid="{00000000-0005-0000-0000-000049B70000}"/>
    <cellStyle name="표준 5 5 5 7 4" xfId="44457" xr:uid="{00000000-0005-0000-0000-00004AB70000}"/>
    <cellStyle name="표준 5 5 5 8" xfId="11459" xr:uid="{00000000-0005-0000-0000-00004BB70000}"/>
    <cellStyle name="표준 5 5 5 9" xfId="15699" xr:uid="{00000000-0005-0000-0000-00004CB70000}"/>
    <cellStyle name="표준 5 5 6" xfId="620" xr:uid="{00000000-0005-0000-0000-00004DB70000}"/>
    <cellStyle name="표준 5 5 6 10" xfId="24085" xr:uid="{00000000-0005-0000-0000-00004EB70000}"/>
    <cellStyle name="표준 5 5 6 11" xfId="32296" xr:uid="{00000000-0005-0000-0000-00004FB70000}"/>
    <cellStyle name="표준 5 5 6 12" xfId="40489" xr:uid="{00000000-0005-0000-0000-000050B70000}"/>
    <cellStyle name="표준 5 5 6 2" xfId="1132" xr:uid="{00000000-0005-0000-0000-000051B70000}"/>
    <cellStyle name="표준 5 5 6 2 2" xfId="10035" xr:uid="{00000000-0005-0000-0000-000052B70000}"/>
    <cellStyle name="표준 5 5 6 2 2 2" xfId="14147" xr:uid="{00000000-0005-0000-0000-000053B70000}"/>
    <cellStyle name="표준 5 5 6 2 2 2 2" xfId="30741" xr:uid="{00000000-0005-0000-0000-000054B70000}"/>
    <cellStyle name="표준 5 5 6 2 2 2 3" xfId="38952" xr:uid="{00000000-0005-0000-0000-000055B70000}"/>
    <cellStyle name="표준 5 5 6 2 2 2 4" xfId="47145" xr:uid="{00000000-0005-0000-0000-000056B70000}"/>
    <cellStyle name="표준 5 5 6 2 2 3" xfId="18387" xr:uid="{00000000-0005-0000-0000-000057B70000}"/>
    <cellStyle name="표준 5 5 6 2 2 4" xfId="22549" xr:uid="{00000000-0005-0000-0000-000058B70000}"/>
    <cellStyle name="표준 5 5 6 2 2 5" xfId="26645" xr:uid="{00000000-0005-0000-0000-000059B70000}"/>
    <cellStyle name="표준 5 5 6 2 2 6" xfId="34856" xr:uid="{00000000-0005-0000-0000-00005AB70000}"/>
    <cellStyle name="표준 5 5 6 2 2 7" xfId="43049" xr:uid="{00000000-0005-0000-0000-00005BB70000}"/>
    <cellStyle name="표준 5 5 6 2 3" xfId="7987" xr:uid="{00000000-0005-0000-0000-00005CB70000}"/>
    <cellStyle name="표준 5 5 6 2 3 2" xfId="28693" xr:uid="{00000000-0005-0000-0000-00005DB70000}"/>
    <cellStyle name="표준 5 5 6 2 3 3" xfId="36904" xr:uid="{00000000-0005-0000-0000-00005EB70000}"/>
    <cellStyle name="표준 5 5 6 2 3 4" xfId="45097" xr:uid="{00000000-0005-0000-0000-00005FB70000}"/>
    <cellStyle name="표준 5 5 6 2 4" xfId="12099" xr:uid="{00000000-0005-0000-0000-000060B70000}"/>
    <cellStyle name="표준 5 5 6 2 5" xfId="16339" xr:uid="{00000000-0005-0000-0000-000061B70000}"/>
    <cellStyle name="표준 5 5 6 2 6" xfId="20501" xr:uid="{00000000-0005-0000-0000-000062B70000}"/>
    <cellStyle name="표준 5 5 6 2 7" xfId="24597" xr:uid="{00000000-0005-0000-0000-000063B70000}"/>
    <cellStyle name="표준 5 5 6 2 8" xfId="32808" xr:uid="{00000000-0005-0000-0000-000064B70000}"/>
    <cellStyle name="표준 5 5 6 2 9" xfId="41001" xr:uid="{00000000-0005-0000-0000-000065B70000}"/>
    <cellStyle name="표준 5 5 6 3" xfId="1644" xr:uid="{00000000-0005-0000-0000-000066B70000}"/>
    <cellStyle name="표준 5 5 6 3 2" xfId="10547" xr:uid="{00000000-0005-0000-0000-000067B70000}"/>
    <cellStyle name="표준 5 5 6 3 2 2" xfId="14659" xr:uid="{00000000-0005-0000-0000-000068B70000}"/>
    <cellStyle name="표준 5 5 6 3 2 2 2" xfId="31253" xr:uid="{00000000-0005-0000-0000-000069B70000}"/>
    <cellStyle name="표준 5 5 6 3 2 2 3" xfId="39464" xr:uid="{00000000-0005-0000-0000-00006AB70000}"/>
    <cellStyle name="표준 5 5 6 3 2 2 4" xfId="47657" xr:uid="{00000000-0005-0000-0000-00006BB70000}"/>
    <cellStyle name="표준 5 5 6 3 2 3" xfId="18899" xr:uid="{00000000-0005-0000-0000-00006CB70000}"/>
    <cellStyle name="표준 5 5 6 3 2 4" xfId="23061" xr:uid="{00000000-0005-0000-0000-00006DB70000}"/>
    <cellStyle name="표준 5 5 6 3 2 5" xfId="27157" xr:uid="{00000000-0005-0000-0000-00006EB70000}"/>
    <cellStyle name="표준 5 5 6 3 2 6" xfId="35368" xr:uid="{00000000-0005-0000-0000-00006FB70000}"/>
    <cellStyle name="표준 5 5 6 3 2 7" xfId="43561" xr:uid="{00000000-0005-0000-0000-000070B70000}"/>
    <cellStyle name="표준 5 5 6 3 3" xfId="8499" xr:uid="{00000000-0005-0000-0000-000071B70000}"/>
    <cellStyle name="표준 5 5 6 3 3 2" xfId="29205" xr:uid="{00000000-0005-0000-0000-000072B70000}"/>
    <cellStyle name="표준 5 5 6 3 3 3" xfId="37416" xr:uid="{00000000-0005-0000-0000-000073B70000}"/>
    <cellStyle name="표준 5 5 6 3 3 4" xfId="45609" xr:uid="{00000000-0005-0000-0000-000074B70000}"/>
    <cellStyle name="표준 5 5 6 3 4" xfId="12611" xr:uid="{00000000-0005-0000-0000-000075B70000}"/>
    <cellStyle name="표준 5 5 6 3 5" xfId="16851" xr:uid="{00000000-0005-0000-0000-000076B70000}"/>
    <cellStyle name="표준 5 5 6 3 6" xfId="21013" xr:uid="{00000000-0005-0000-0000-000077B70000}"/>
    <cellStyle name="표준 5 5 6 3 7" xfId="25109" xr:uid="{00000000-0005-0000-0000-000078B70000}"/>
    <cellStyle name="표준 5 5 6 3 8" xfId="33320" xr:uid="{00000000-0005-0000-0000-000079B70000}"/>
    <cellStyle name="표준 5 5 6 3 9" xfId="41513" xr:uid="{00000000-0005-0000-0000-00007AB70000}"/>
    <cellStyle name="표준 5 5 6 4" xfId="2156" xr:uid="{00000000-0005-0000-0000-00007BB70000}"/>
    <cellStyle name="표준 5 5 6 4 2" xfId="11059" xr:uid="{00000000-0005-0000-0000-00007CB70000}"/>
    <cellStyle name="표준 5 5 6 4 2 2" xfId="15171" xr:uid="{00000000-0005-0000-0000-00007DB70000}"/>
    <cellStyle name="표준 5 5 6 4 2 2 2" xfId="31765" xr:uid="{00000000-0005-0000-0000-00007EB70000}"/>
    <cellStyle name="표준 5 5 6 4 2 2 3" xfId="39976" xr:uid="{00000000-0005-0000-0000-00007FB70000}"/>
    <cellStyle name="표준 5 5 6 4 2 2 4" xfId="48169" xr:uid="{00000000-0005-0000-0000-000080B70000}"/>
    <cellStyle name="표준 5 5 6 4 2 3" xfId="19411" xr:uid="{00000000-0005-0000-0000-000081B70000}"/>
    <cellStyle name="표준 5 5 6 4 2 4" xfId="23573" xr:uid="{00000000-0005-0000-0000-000082B70000}"/>
    <cellStyle name="표준 5 5 6 4 2 5" xfId="27669" xr:uid="{00000000-0005-0000-0000-000083B70000}"/>
    <cellStyle name="표준 5 5 6 4 2 6" xfId="35880" xr:uid="{00000000-0005-0000-0000-000084B70000}"/>
    <cellStyle name="표준 5 5 6 4 2 7" xfId="44073" xr:uid="{00000000-0005-0000-0000-000085B70000}"/>
    <cellStyle name="표준 5 5 6 4 3" xfId="9011" xr:uid="{00000000-0005-0000-0000-000086B70000}"/>
    <cellStyle name="표준 5 5 6 4 3 2" xfId="29717" xr:uid="{00000000-0005-0000-0000-000087B70000}"/>
    <cellStyle name="표준 5 5 6 4 3 3" xfId="37928" xr:uid="{00000000-0005-0000-0000-000088B70000}"/>
    <cellStyle name="표준 5 5 6 4 3 4" xfId="46121" xr:uid="{00000000-0005-0000-0000-000089B70000}"/>
    <cellStyle name="표준 5 5 6 4 4" xfId="13123" xr:uid="{00000000-0005-0000-0000-00008AB70000}"/>
    <cellStyle name="표준 5 5 6 4 5" xfId="17363" xr:uid="{00000000-0005-0000-0000-00008BB70000}"/>
    <cellStyle name="표준 5 5 6 4 6" xfId="21525" xr:uid="{00000000-0005-0000-0000-00008CB70000}"/>
    <cellStyle name="표준 5 5 6 4 7" xfId="25621" xr:uid="{00000000-0005-0000-0000-00008DB70000}"/>
    <cellStyle name="표준 5 5 6 4 8" xfId="33832" xr:uid="{00000000-0005-0000-0000-00008EB70000}"/>
    <cellStyle name="표준 5 5 6 4 9" xfId="42025" xr:uid="{00000000-0005-0000-0000-00008FB70000}"/>
    <cellStyle name="표준 5 5 6 5" xfId="9523" xr:uid="{00000000-0005-0000-0000-000090B70000}"/>
    <cellStyle name="표준 5 5 6 5 2" xfId="13635" xr:uid="{00000000-0005-0000-0000-000091B70000}"/>
    <cellStyle name="표준 5 5 6 5 2 2" xfId="30229" xr:uid="{00000000-0005-0000-0000-000092B70000}"/>
    <cellStyle name="표준 5 5 6 5 2 3" xfId="38440" xr:uid="{00000000-0005-0000-0000-000093B70000}"/>
    <cellStyle name="표준 5 5 6 5 2 4" xfId="46633" xr:uid="{00000000-0005-0000-0000-000094B70000}"/>
    <cellStyle name="표준 5 5 6 5 3" xfId="17875" xr:uid="{00000000-0005-0000-0000-000095B70000}"/>
    <cellStyle name="표준 5 5 6 5 4" xfId="22037" xr:uid="{00000000-0005-0000-0000-000096B70000}"/>
    <cellStyle name="표준 5 5 6 5 5" xfId="26133" xr:uid="{00000000-0005-0000-0000-000097B70000}"/>
    <cellStyle name="표준 5 5 6 5 6" xfId="34344" xr:uid="{00000000-0005-0000-0000-000098B70000}"/>
    <cellStyle name="표준 5 5 6 5 7" xfId="42537" xr:uid="{00000000-0005-0000-0000-000099B70000}"/>
    <cellStyle name="표준 5 5 6 6" xfId="7475" xr:uid="{00000000-0005-0000-0000-00009AB70000}"/>
    <cellStyle name="표준 5 5 6 6 2" xfId="28181" xr:uid="{00000000-0005-0000-0000-00009BB70000}"/>
    <cellStyle name="표준 5 5 6 6 3" xfId="36392" xr:uid="{00000000-0005-0000-0000-00009CB70000}"/>
    <cellStyle name="표준 5 5 6 6 4" xfId="44585" xr:uid="{00000000-0005-0000-0000-00009DB70000}"/>
    <cellStyle name="표준 5 5 6 7" xfId="11587" xr:uid="{00000000-0005-0000-0000-00009EB70000}"/>
    <cellStyle name="표준 5 5 6 8" xfId="15827" xr:uid="{00000000-0005-0000-0000-00009FB70000}"/>
    <cellStyle name="표준 5 5 6 9" xfId="19989" xr:uid="{00000000-0005-0000-0000-0000A0B70000}"/>
    <cellStyle name="표준 5 5 7" xfId="876" xr:uid="{00000000-0005-0000-0000-0000A1B70000}"/>
    <cellStyle name="표준 5 5 7 2" xfId="9779" xr:uid="{00000000-0005-0000-0000-0000A2B70000}"/>
    <cellStyle name="표준 5 5 7 2 2" xfId="13891" xr:uid="{00000000-0005-0000-0000-0000A3B70000}"/>
    <cellStyle name="표준 5 5 7 2 2 2" xfId="30485" xr:uid="{00000000-0005-0000-0000-0000A4B70000}"/>
    <cellStyle name="표준 5 5 7 2 2 3" xfId="38696" xr:uid="{00000000-0005-0000-0000-0000A5B70000}"/>
    <cellStyle name="표준 5 5 7 2 2 4" xfId="46889" xr:uid="{00000000-0005-0000-0000-0000A6B70000}"/>
    <cellStyle name="표준 5 5 7 2 3" xfId="18131" xr:uid="{00000000-0005-0000-0000-0000A7B70000}"/>
    <cellStyle name="표준 5 5 7 2 4" xfId="22293" xr:uid="{00000000-0005-0000-0000-0000A8B70000}"/>
    <cellStyle name="표준 5 5 7 2 5" xfId="26389" xr:uid="{00000000-0005-0000-0000-0000A9B70000}"/>
    <cellStyle name="표준 5 5 7 2 6" xfId="34600" xr:uid="{00000000-0005-0000-0000-0000AAB70000}"/>
    <cellStyle name="표준 5 5 7 2 7" xfId="42793" xr:uid="{00000000-0005-0000-0000-0000ABB70000}"/>
    <cellStyle name="표준 5 5 7 3" xfId="7731" xr:uid="{00000000-0005-0000-0000-0000ACB70000}"/>
    <cellStyle name="표준 5 5 7 3 2" xfId="28437" xr:uid="{00000000-0005-0000-0000-0000ADB70000}"/>
    <cellStyle name="표준 5 5 7 3 3" xfId="36648" xr:uid="{00000000-0005-0000-0000-0000AEB70000}"/>
    <cellStyle name="표준 5 5 7 3 4" xfId="44841" xr:uid="{00000000-0005-0000-0000-0000AFB70000}"/>
    <cellStyle name="표준 5 5 7 4" xfId="11843" xr:uid="{00000000-0005-0000-0000-0000B0B70000}"/>
    <cellStyle name="표준 5 5 7 5" xfId="16083" xr:uid="{00000000-0005-0000-0000-0000B1B70000}"/>
    <cellStyle name="표준 5 5 7 6" xfId="20245" xr:uid="{00000000-0005-0000-0000-0000B2B70000}"/>
    <cellStyle name="표준 5 5 7 7" xfId="24341" xr:uid="{00000000-0005-0000-0000-0000B3B70000}"/>
    <cellStyle name="표준 5 5 7 8" xfId="32552" xr:uid="{00000000-0005-0000-0000-0000B4B70000}"/>
    <cellStyle name="표준 5 5 7 9" xfId="40745" xr:uid="{00000000-0005-0000-0000-0000B5B70000}"/>
    <cellStyle name="표준 5 5 8" xfId="1388" xr:uid="{00000000-0005-0000-0000-0000B6B70000}"/>
    <cellStyle name="표준 5 5 8 2" xfId="10291" xr:uid="{00000000-0005-0000-0000-0000B7B70000}"/>
    <cellStyle name="표준 5 5 8 2 2" xfId="14403" xr:uid="{00000000-0005-0000-0000-0000B8B70000}"/>
    <cellStyle name="표준 5 5 8 2 2 2" xfId="30997" xr:uid="{00000000-0005-0000-0000-0000B9B70000}"/>
    <cellStyle name="표준 5 5 8 2 2 3" xfId="39208" xr:uid="{00000000-0005-0000-0000-0000BAB70000}"/>
    <cellStyle name="표준 5 5 8 2 2 4" xfId="47401" xr:uid="{00000000-0005-0000-0000-0000BBB70000}"/>
    <cellStyle name="표준 5 5 8 2 3" xfId="18643" xr:uid="{00000000-0005-0000-0000-0000BCB70000}"/>
    <cellStyle name="표준 5 5 8 2 4" xfId="22805" xr:uid="{00000000-0005-0000-0000-0000BDB70000}"/>
    <cellStyle name="표준 5 5 8 2 5" xfId="26901" xr:uid="{00000000-0005-0000-0000-0000BEB70000}"/>
    <cellStyle name="표준 5 5 8 2 6" xfId="35112" xr:uid="{00000000-0005-0000-0000-0000BFB70000}"/>
    <cellStyle name="표준 5 5 8 2 7" xfId="43305" xr:uid="{00000000-0005-0000-0000-0000C0B70000}"/>
    <cellStyle name="표준 5 5 8 3" xfId="8243" xr:uid="{00000000-0005-0000-0000-0000C1B70000}"/>
    <cellStyle name="표준 5 5 8 3 2" xfId="28949" xr:uid="{00000000-0005-0000-0000-0000C2B70000}"/>
    <cellStyle name="표준 5 5 8 3 3" xfId="37160" xr:uid="{00000000-0005-0000-0000-0000C3B70000}"/>
    <cellStyle name="표준 5 5 8 3 4" xfId="45353" xr:uid="{00000000-0005-0000-0000-0000C4B70000}"/>
    <cellStyle name="표준 5 5 8 4" xfId="12355" xr:uid="{00000000-0005-0000-0000-0000C5B70000}"/>
    <cellStyle name="표준 5 5 8 5" xfId="16595" xr:uid="{00000000-0005-0000-0000-0000C6B70000}"/>
    <cellStyle name="표준 5 5 8 6" xfId="20757" xr:uid="{00000000-0005-0000-0000-0000C7B70000}"/>
    <cellStyle name="표준 5 5 8 7" xfId="24853" xr:uid="{00000000-0005-0000-0000-0000C8B70000}"/>
    <cellStyle name="표준 5 5 8 8" xfId="33064" xr:uid="{00000000-0005-0000-0000-0000C9B70000}"/>
    <cellStyle name="표준 5 5 8 9" xfId="41257" xr:uid="{00000000-0005-0000-0000-0000CAB70000}"/>
    <cellStyle name="표준 5 5 9" xfId="1900" xr:uid="{00000000-0005-0000-0000-0000CBB70000}"/>
    <cellStyle name="표준 5 5 9 2" xfId="10803" xr:uid="{00000000-0005-0000-0000-0000CCB70000}"/>
    <cellStyle name="표준 5 5 9 2 2" xfId="14915" xr:uid="{00000000-0005-0000-0000-0000CDB70000}"/>
    <cellStyle name="표준 5 5 9 2 2 2" xfId="31509" xr:uid="{00000000-0005-0000-0000-0000CEB70000}"/>
    <cellStyle name="표준 5 5 9 2 2 3" xfId="39720" xr:uid="{00000000-0005-0000-0000-0000CFB70000}"/>
    <cellStyle name="표준 5 5 9 2 2 4" xfId="47913" xr:uid="{00000000-0005-0000-0000-0000D0B70000}"/>
    <cellStyle name="표준 5 5 9 2 3" xfId="19155" xr:uid="{00000000-0005-0000-0000-0000D1B70000}"/>
    <cellStyle name="표준 5 5 9 2 4" xfId="23317" xr:uid="{00000000-0005-0000-0000-0000D2B70000}"/>
    <cellStyle name="표준 5 5 9 2 5" xfId="27413" xr:uid="{00000000-0005-0000-0000-0000D3B70000}"/>
    <cellStyle name="표준 5 5 9 2 6" xfId="35624" xr:uid="{00000000-0005-0000-0000-0000D4B70000}"/>
    <cellStyle name="표준 5 5 9 2 7" xfId="43817" xr:uid="{00000000-0005-0000-0000-0000D5B70000}"/>
    <cellStyle name="표준 5 5 9 3" xfId="8755" xr:uid="{00000000-0005-0000-0000-0000D6B70000}"/>
    <cellStyle name="표준 5 5 9 3 2" xfId="29461" xr:uid="{00000000-0005-0000-0000-0000D7B70000}"/>
    <cellStyle name="표준 5 5 9 3 3" xfId="37672" xr:uid="{00000000-0005-0000-0000-0000D8B70000}"/>
    <cellStyle name="표준 5 5 9 3 4" xfId="45865" xr:uid="{00000000-0005-0000-0000-0000D9B70000}"/>
    <cellStyle name="표준 5 5 9 4" xfId="12867" xr:uid="{00000000-0005-0000-0000-0000DAB70000}"/>
    <cellStyle name="표준 5 5 9 5" xfId="17107" xr:uid="{00000000-0005-0000-0000-0000DBB70000}"/>
    <cellStyle name="표준 5 5 9 6" xfId="21269" xr:uid="{00000000-0005-0000-0000-0000DCB70000}"/>
    <cellStyle name="표준 5 5 9 7" xfId="25365" xr:uid="{00000000-0005-0000-0000-0000DDB70000}"/>
    <cellStyle name="표준 5 5 9 8" xfId="33576" xr:uid="{00000000-0005-0000-0000-0000DEB70000}"/>
    <cellStyle name="표준 5 5 9 9" xfId="41769" xr:uid="{00000000-0005-0000-0000-0000DFB70000}"/>
    <cellStyle name="표준 5 6" xfId="105" xr:uid="{00000000-0005-0000-0000-0000E0B70000}"/>
    <cellStyle name="표준 5 6 10" xfId="6225" xr:uid="{00000000-0005-0000-0000-0000E1B70000}"/>
    <cellStyle name="표준 5 6 10 2" xfId="27933" xr:uid="{00000000-0005-0000-0000-0000E2B70000}"/>
    <cellStyle name="표준 5 6 10 3" xfId="36144" xr:uid="{00000000-0005-0000-0000-0000E3B70000}"/>
    <cellStyle name="표준 5 6 10 4" xfId="44337" xr:uid="{00000000-0005-0000-0000-0000E4B70000}"/>
    <cellStyle name="표준 5 6 11" xfId="6964" xr:uid="{00000000-0005-0000-0000-0000E5B70000}"/>
    <cellStyle name="표준 5 6 12" xfId="7194" xr:uid="{00000000-0005-0000-0000-0000E6B70000}"/>
    <cellStyle name="표준 5 6 13" xfId="7227" xr:uid="{00000000-0005-0000-0000-0000E7B70000}"/>
    <cellStyle name="표준 5 6 14" xfId="11339" xr:uid="{00000000-0005-0000-0000-0000E8B70000}"/>
    <cellStyle name="표준 5 6 15" xfId="15467" xr:uid="{00000000-0005-0000-0000-0000E9B70000}"/>
    <cellStyle name="표준 5 6 16" xfId="15579" xr:uid="{00000000-0005-0000-0000-0000EAB70000}"/>
    <cellStyle name="표준 5 6 17" xfId="19741" xr:uid="{00000000-0005-0000-0000-0000EBB70000}"/>
    <cellStyle name="표준 5 6 18" xfId="23837" xr:uid="{00000000-0005-0000-0000-0000ECB70000}"/>
    <cellStyle name="표준 5 6 19" xfId="32048" xr:uid="{00000000-0005-0000-0000-0000EDB70000}"/>
    <cellStyle name="표준 5 6 2" xfId="404" xr:uid="{00000000-0005-0000-0000-0000EEB70000}"/>
    <cellStyle name="표준 5 6 2 10" xfId="7259" xr:uid="{00000000-0005-0000-0000-0000EFB70000}"/>
    <cellStyle name="표준 5 6 2 11" xfId="11371" xr:uid="{00000000-0005-0000-0000-0000F0B70000}"/>
    <cellStyle name="표준 5 6 2 12" xfId="15515" xr:uid="{00000000-0005-0000-0000-0000F1B70000}"/>
    <cellStyle name="표준 5 6 2 13" xfId="15611" xr:uid="{00000000-0005-0000-0000-0000F2B70000}"/>
    <cellStyle name="표준 5 6 2 14" xfId="19773" xr:uid="{00000000-0005-0000-0000-0000F3B70000}"/>
    <cellStyle name="표준 5 6 2 15" xfId="23869" xr:uid="{00000000-0005-0000-0000-0000F4B70000}"/>
    <cellStyle name="표준 5 6 2 16" xfId="32080" xr:uid="{00000000-0005-0000-0000-0000F5B70000}"/>
    <cellStyle name="표준 5 6 2 17" xfId="40273" xr:uid="{00000000-0005-0000-0000-0000F6B70000}"/>
    <cellStyle name="표준 5 6 2 2" xfId="468" xr:uid="{00000000-0005-0000-0000-0000F7B70000}"/>
    <cellStyle name="표준 5 6 2 2 10" xfId="15675" xr:uid="{00000000-0005-0000-0000-0000F8B70000}"/>
    <cellStyle name="표준 5 6 2 2 11" xfId="19837" xr:uid="{00000000-0005-0000-0000-0000F9B70000}"/>
    <cellStyle name="표준 5 6 2 2 12" xfId="23933" xr:uid="{00000000-0005-0000-0000-0000FAB70000}"/>
    <cellStyle name="표준 5 6 2 2 13" xfId="32144" xr:uid="{00000000-0005-0000-0000-0000FBB70000}"/>
    <cellStyle name="표준 5 6 2 2 14" xfId="40337" xr:uid="{00000000-0005-0000-0000-0000FCB70000}"/>
    <cellStyle name="표준 5 6 2 2 2" xfId="596" xr:uid="{00000000-0005-0000-0000-0000FDB70000}"/>
    <cellStyle name="표준 5 6 2 2 2 10" xfId="19965" xr:uid="{00000000-0005-0000-0000-0000FEB70000}"/>
    <cellStyle name="표준 5 6 2 2 2 11" xfId="24061" xr:uid="{00000000-0005-0000-0000-0000FFB70000}"/>
    <cellStyle name="표준 5 6 2 2 2 12" xfId="32272" xr:uid="{00000000-0005-0000-0000-000000B80000}"/>
    <cellStyle name="표준 5 6 2 2 2 13" xfId="40465" xr:uid="{00000000-0005-0000-0000-000001B80000}"/>
    <cellStyle name="표준 5 6 2 2 2 2" xfId="852" xr:uid="{00000000-0005-0000-0000-000002B80000}"/>
    <cellStyle name="표준 5 6 2 2 2 2 10" xfId="24317" xr:uid="{00000000-0005-0000-0000-000003B80000}"/>
    <cellStyle name="표준 5 6 2 2 2 2 11" xfId="32528" xr:uid="{00000000-0005-0000-0000-000004B80000}"/>
    <cellStyle name="표준 5 6 2 2 2 2 12" xfId="40721" xr:uid="{00000000-0005-0000-0000-000005B80000}"/>
    <cellStyle name="표준 5 6 2 2 2 2 2" xfId="1364" xr:uid="{00000000-0005-0000-0000-000006B80000}"/>
    <cellStyle name="표준 5 6 2 2 2 2 2 2" xfId="10267" xr:uid="{00000000-0005-0000-0000-000007B80000}"/>
    <cellStyle name="표준 5 6 2 2 2 2 2 2 2" xfId="14379" xr:uid="{00000000-0005-0000-0000-000008B80000}"/>
    <cellStyle name="표준 5 6 2 2 2 2 2 2 2 2" xfId="30973" xr:uid="{00000000-0005-0000-0000-000009B80000}"/>
    <cellStyle name="표준 5 6 2 2 2 2 2 2 2 3" xfId="39184" xr:uid="{00000000-0005-0000-0000-00000AB80000}"/>
    <cellStyle name="표준 5 6 2 2 2 2 2 2 2 4" xfId="47377" xr:uid="{00000000-0005-0000-0000-00000BB80000}"/>
    <cellStyle name="표준 5 6 2 2 2 2 2 2 3" xfId="18619" xr:uid="{00000000-0005-0000-0000-00000CB80000}"/>
    <cellStyle name="표준 5 6 2 2 2 2 2 2 4" xfId="22781" xr:uid="{00000000-0005-0000-0000-00000DB80000}"/>
    <cellStyle name="표준 5 6 2 2 2 2 2 2 5" xfId="26877" xr:uid="{00000000-0005-0000-0000-00000EB80000}"/>
    <cellStyle name="표준 5 6 2 2 2 2 2 2 6" xfId="35088" xr:uid="{00000000-0005-0000-0000-00000FB80000}"/>
    <cellStyle name="표준 5 6 2 2 2 2 2 2 7" xfId="43281" xr:uid="{00000000-0005-0000-0000-000010B80000}"/>
    <cellStyle name="표준 5 6 2 2 2 2 2 3" xfId="8219" xr:uid="{00000000-0005-0000-0000-000011B80000}"/>
    <cellStyle name="표준 5 6 2 2 2 2 2 3 2" xfId="28925" xr:uid="{00000000-0005-0000-0000-000012B80000}"/>
    <cellStyle name="표준 5 6 2 2 2 2 2 3 3" xfId="37136" xr:uid="{00000000-0005-0000-0000-000013B80000}"/>
    <cellStyle name="표준 5 6 2 2 2 2 2 3 4" xfId="45329" xr:uid="{00000000-0005-0000-0000-000014B80000}"/>
    <cellStyle name="표준 5 6 2 2 2 2 2 4" xfId="12331" xr:uid="{00000000-0005-0000-0000-000015B80000}"/>
    <cellStyle name="표준 5 6 2 2 2 2 2 5" xfId="16571" xr:uid="{00000000-0005-0000-0000-000016B80000}"/>
    <cellStyle name="표준 5 6 2 2 2 2 2 6" xfId="20733" xr:uid="{00000000-0005-0000-0000-000017B80000}"/>
    <cellStyle name="표준 5 6 2 2 2 2 2 7" xfId="24829" xr:uid="{00000000-0005-0000-0000-000018B80000}"/>
    <cellStyle name="표준 5 6 2 2 2 2 2 8" xfId="33040" xr:uid="{00000000-0005-0000-0000-000019B80000}"/>
    <cellStyle name="표준 5 6 2 2 2 2 2 9" xfId="41233" xr:uid="{00000000-0005-0000-0000-00001AB80000}"/>
    <cellStyle name="표준 5 6 2 2 2 2 3" xfId="1876" xr:uid="{00000000-0005-0000-0000-00001BB80000}"/>
    <cellStyle name="표준 5 6 2 2 2 2 3 2" xfId="10779" xr:uid="{00000000-0005-0000-0000-00001CB80000}"/>
    <cellStyle name="표준 5 6 2 2 2 2 3 2 2" xfId="14891" xr:uid="{00000000-0005-0000-0000-00001DB80000}"/>
    <cellStyle name="표준 5 6 2 2 2 2 3 2 2 2" xfId="31485" xr:uid="{00000000-0005-0000-0000-00001EB80000}"/>
    <cellStyle name="표준 5 6 2 2 2 2 3 2 2 3" xfId="39696" xr:uid="{00000000-0005-0000-0000-00001FB80000}"/>
    <cellStyle name="표준 5 6 2 2 2 2 3 2 2 4" xfId="47889" xr:uid="{00000000-0005-0000-0000-000020B80000}"/>
    <cellStyle name="표준 5 6 2 2 2 2 3 2 3" xfId="19131" xr:uid="{00000000-0005-0000-0000-000021B80000}"/>
    <cellStyle name="표준 5 6 2 2 2 2 3 2 4" xfId="23293" xr:uid="{00000000-0005-0000-0000-000022B80000}"/>
    <cellStyle name="표준 5 6 2 2 2 2 3 2 5" xfId="27389" xr:uid="{00000000-0005-0000-0000-000023B80000}"/>
    <cellStyle name="표준 5 6 2 2 2 2 3 2 6" xfId="35600" xr:uid="{00000000-0005-0000-0000-000024B80000}"/>
    <cellStyle name="표준 5 6 2 2 2 2 3 2 7" xfId="43793" xr:uid="{00000000-0005-0000-0000-000025B80000}"/>
    <cellStyle name="표준 5 6 2 2 2 2 3 3" xfId="8731" xr:uid="{00000000-0005-0000-0000-000026B80000}"/>
    <cellStyle name="표준 5 6 2 2 2 2 3 3 2" xfId="29437" xr:uid="{00000000-0005-0000-0000-000027B80000}"/>
    <cellStyle name="표준 5 6 2 2 2 2 3 3 3" xfId="37648" xr:uid="{00000000-0005-0000-0000-000028B80000}"/>
    <cellStyle name="표준 5 6 2 2 2 2 3 3 4" xfId="45841" xr:uid="{00000000-0005-0000-0000-000029B80000}"/>
    <cellStyle name="표준 5 6 2 2 2 2 3 4" xfId="12843" xr:uid="{00000000-0005-0000-0000-00002AB80000}"/>
    <cellStyle name="표준 5 6 2 2 2 2 3 5" xfId="17083" xr:uid="{00000000-0005-0000-0000-00002BB80000}"/>
    <cellStyle name="표준 5 6 2 2 2 2 3 6" xfId="21245" xr:uid="{00000000-0005-0000-0000-00002CB80000}"/>
    <cellStyle name="표준 5 6 2 2 2 2 3 7" xfId="25341" xr:uid="{00000000-0005-0000-0000-00002DB80000}"/>
    <cellStyle name="표준 5 6 2 2 2 2 3 8" xfId="33552" xr:uid="{00000000-0005-0000-0000-00002EB80000}"/>
    <cellStyle name="표준 5 6 2 2 2 2 3 9" xfId="41745" xr:uid="{00000000-0005-0000-0000-00002FB80000}"/>
    <cellStyle name="표준 5 6 2 2 2 2 4" xfId="2388" xr:uid="{00000000-0005-0000-0000-000030B80000}"/>
    <cellStyle name="표준 5 6 2 2 2 2 4 2" xfId="11291" xr:uid="{00000000-0005-0000-0000-000031B80000}"/>
    <cellStyle name="표준 5 6 2 2 2 2 4 2 2" xfId="15403" xr:uid="{00000000-0005-0000-0000-000032B80000}"/>
    <cellStyle name="표준 5 6 2 2 2 2 4 2 2 2" xfId="31997" xr:uid="{00000000-0005-0000-0000-000033B80000}"/>
    <cellStyle name="표준 5 6 2 2 2 2 4 2 2 3" xfId="40208" xr:uid="{00000000-0005-0000-0000-000034B80000}"/>
    <cellStyle name="표준 5 6 2 2 2 2 4 2 2 4" xfId="48401" xr:uid="{00000000-0005-0000-0000-000035B80000}"/>
    <cellStyle name="표준 5 6 2 2 2 2 4 2 3" xfId="19643" xr:uid="{00000000-0005-0000-0000-000036B80000}"/>
    <cellStyle name="표준 5 6 2 2 2 2 4 2 4" xfId="23805" xr:uid="{00000000-0005-0000-0000-000037B80000}"/>
    <cellStyle name="표준 5 6 2 2 2 2 4 2 5" xfId="27901" xr:uid="{00000000-0005-0000-0000-000038B80000}"/>
    <cellStyle name="표준 5 6 2 2 2 2 4 2 6" xfId="36112" xr:uid="{00000000-0005-0000-0000-000039B80000}"/>
    <cellStyle name="표준 5 6 2 2 2 2 4 2 7" xfId="44305" xr:uid="{00000000-0005-0000-0000-00003AB80000}"/>
    <cellStyle name="표준 5 6 2 2 2 2 4 3" xfId="9243" xr:uid="{00000000-0005-0000-0000-00003BB80000}"/>
    <cellStyle name="표준 5 6 2 2 2 2 4 3 2" xfId="29949" xr:uid="{00000000-0005-0000-0000-00003CB80000}"/>
    <cellStyle name="표준 5 6 2 2 2 2 4 3 3" xfId="38160" xr:uid="{00000000-0005-0000-0000-00003DB80000}"/>
    <cellStyle name="표준 5 6 2 2 2 2 4 3 4" xfId="46353" xr:uid="{00000000-0005-0000-0000-00003EB80000}"/>
    <cellStyle name="표준 5 6 2 2 2 2 4 4" xfId="13355" xr:uid="{00000000-0005-0000-0000-00003FB80000}"/>
    <cellStyle name="표준 5 6 2 2 2 2 4 5" xfId="17595" xr:uid="{00000000-0005-0000-0000-000040B80000}"/>
    <cellStyle name="표준 5 6 2 2 2 2 4 6" xfId="21757" xr:uid="{00000000-0005-0000-0000-000041B80000}"/>
    <cellStyle name="표준 5 6 2 2 2 2 4 7" xfId="25853" xr:uid="{00000000-0005-0000-0000-000042B80000}"/>
    <cellStyle name="표준 5 6 2 2 2 2 4 8" xfId="34064" xr:uid="{00000000-0005-0000-0000-000043B80000}"/>
    <cellStyle name="표준 5 6 2 2 2 2 4 9" xfId="42257" xr:uid="{00000000-0005-0000-0000-000044B80000}"/>
    <cellStyle name="표준 5 6 2 2 2 2 5" xfId="9755" xr:uid="{00000000-0005-0000-0000-000045B80000}"/>
    <cellStyle name="표준 5 6 2 2 2 2 5 2" xfId="13867" xr:uid="{00000000-0005-0000-0000-000046B80000}"/>
    <cellStyle name="표준 5 6 2 2 2 2 5 2 2" xfId="30461" xr:uid="{00000000-0005-0000-0000-000047B80000}"/>
    <cellStyle name="표준 5 6 2 2 2 2 5 2 3" xfId="38672" xr:uid="{00000000-0005-0000-0000-000048B80000}"/>
    <cellStyle name="표준 5 6 2 2 2 2 5 2 4" xfId="46865" xr:uid="{00000000-0005-0000-0000-000049B80000}"/>
    <cellStyle name="표준 5 6 2 2 2 2 5 3" xfId="18107" xr:uid="{00000000-0005-0000-0000-00004AB80000}"/>
    <cellStyle name="표준 5 6 2 2 2 2 5 4" xfId="22269" xr:uid="{00000000-0005-0000-0000-00004BB80000}"/>
    <cellStyle name="표준 5 6 2 2 2 2 5 5" xfId="26365" xr:uid="{00000000-0005-0000-0000-00004CB80000}"/>
    <cellStyle name="표준 5 6 2 2 2 2 5 6" xfId="34576" xr:uid="{00000000-0005-0000-0000-00004DB80000}"/>
    <cellStyle name="표준 5 6 2 2 2 2 5 7" xfId="42769" xr:uid="{00000000-0005-0000-0000-00004EB80000}"/>
    <cellStyle name="표준 5 6 2 2 2 2 6" xfId="7707" xr:uid="{00000000-0005-0000-0000-00004FB80000}"/>
    <cellStyle name="표준 5 6 2 2 2 2 6 2" xfId="28413" xr:uid="{00000000-0005-0000-0000-000050B80000}"/>
    <cellStyle name="표준 5 6 2 2 2 2 6 3" xfId="36624" xr:uid="{00000000-0005-0000-0000-000051B80000}"/>
    <cellStyle name="표준 5 6 2 2 2 2 6 4" xfId="44817" xr:uid="{00000000-0005-0000-0000-000052B80000}"/>
    <cellStyle name="표준 5 6 2 2 2 2 7" xfId="11819" xr:uid="{00000000-0005-0000-0000-000053B80000}"/>
    <cellStyle name="표준 5 6 2 2 2 2 8" xfId="16059" xr:uid="{00000000-0005-0000-0000-000054B80000}"/>
    <cellStyle name="표준 5 6 2 2 2 2 9" xfId="20221" xr:uid="{00000000-0005-0000-0000-000055B80000}"/>
    <cellStyle name="표준 5 6 2 2 2 3" xfId="1108" xr:uid="{00000000-0005-0000-0000-000056B80000}"/>
    <cellStyle name="표준 5 6 2 2 2 3 2" xfId="10011" xr:uid="{00000000-0005-0000-0000-000057B80000}"/>
    <cellStyle name="표준 5 6 2 2 2 3 2 2" xfId="14123" xr:uid="{00000000-0005-0000-0000-000058B80000}"/>
    <cellStyle name="표준 5 6 2 2 2 3 2 2 2" xfId="30717" xr:uid="{00000000-0005-0000-0000-000059B80000}"/>
    <cellStyle name="표준 5 6 2 2 2 3 2 2 3" xfId="38928" xr:uid="{00000000-0005-0000-0000-00005AB80000}"/>
    <cellStyle name="표준 5 6 2 2 2 3 2 2 4" xfId="47121" xr:uid="{00000000-0005-0000-0000-00005BB80000}"/>
    <cellStyle name="표준 5 6 2 2 2 3 2 3" xfId="18363" xr:uid="{00000000-0005-0000-0000-00005CB80000}"/>
    <cellStyle name="표준 5 6 2 2 2 3 2 4" xfId="22525" xr:uid="{00000000-0005-0000-0000-00005DB80000}"/>
    <cellStyle name="표준 5 6 2 2 2 3 2 5" xfId="26621" xr:uid="{00000000-0005-0000-0000-00005EB80000}"/>
    <cellStyle name="표준 5 6 2 2 2 3 2 6" xfId="34832" xr:uid="{00000000-0005-0000-0000-00005FB80000}"/>
    <cellStyle name="표준 5 6 2 2 2 3 2 7" xfId="43025" xr:uid="{00000000-0005-0000-0000-000060B80000}"/>
    <cellStyle name="표준 5 6 2 2 2 3 3" xfId="7963" xr:uid="{00000000-0005-0000-0000-000061B80000}"/>
    <cellStyle name="표준 5 6 2 2 2 3 3 2" xfId="28669" xr:uid="{00000000-0005-0000-0000-000062B80000}"/>
    <cellStyle name="표준 5 6 2 2 2 3 3 3" xfId="36880" xr:uid="{00000000-0005-0000-0000-000063B80000}"/>
    <cellStyle name="표준 5 6 2 2 2 3 3 4" xfId="45073" xr:uid="{00000000-0005-0000-0000-000064B80000}"/>
    <cellStyle name="표준 5 6 2 2 2 3 4" xfId="12075" xr:uid="{00000000-0005-0000-0000-000065B80000}"/>
    <cellStyle name="표준 5 6 2 2 2 3 5" xfId="16315" xr:uid="{00000000-0005-0000-0000-000066B80000}"/>
    <cellStyle name="표준 5 6 2 2 2 3 6" xfId="20477" xr:uid="{00000000-0005-0000-0000-000067B80000}"/>
    <cellStyle name="표준 5 6 2 2 2 3 7" xfId="24573" xr:uid="{00000000-0005-0000-0000-000068B80000}"/>
    <cellStyle name="표준 5 6 2 2 2 3 8" xfId="32784" xr:uid="{00000000-0005-0000-0000-000069B80000}"/>
    <cellStyle name="표준 5 6 2 2 2 3 9" xfId="40977" xr:uid="{00000000-0005-0000-0000-00006AB80000}"/>
    <cellStyle name="표준 5 6 2 2 2 4" xfId="1620" xr:uid="{00000000-0005-0000-0000-00006BB80000}"/>
    <cellStyle name="표준 5 6 2 2 2 4 2" xfId="10523" xr:uid="{00000000-0005-0000-0000-00006CB80000}"/>
    <cellStyle name="표준 5 6 2 2 2 4 2 2" xfId="14635" xr:uid="{00000000-0005-0000-0000-00006DB80000}"/>
    <cellStyle name="표준 5 6 2 2 2 4 2 2 2" xfId="31229" xr:uid="{00000000-0005-0000-0000-00006EB80000}"/>
    <cellStyle name="표준 5 6 2 2 2 4 2 2 3" xfId="39440" xr:uid="{00000000-0005-0000-0000-00006FB80000}"/>
    <cellStyle name="표준 5 6 2 2 2 4 2 2 4" xfId="47633" xr:uid="{00000000-0005-0000-0000-000070B80000}"/>
    <cellStyle name="표준 5 6 2 2 2 4 2 3" xfId="18875" xr:uid="{00000000-0005-0000-0000-000071B80000}"/>
    <cellStyle name="표준 5 6 2 2 2 4 2 4" xfId="23037" xr:uid="{00000000-0005-0000-0000-000072B80000}"/>
    <cellStyle name="표준 5 6 2 2 2 4 2 5" xfId="27133" xr:uid="{00000000-0005-0000-0000-000073B80000}"/>
    <cellStyle name="표준 5 6 2 2 2 4 2 6" xfId="35344" xr:uid="{00000000-0005-0000-0000-000074B80000}"/>
    <cellStyle name="표준 5 6 2 2 2 4 2 7" xfId="43537" xr:uid="{00000000-0005-0000-0000-000075B80000}"/>
    <cellStyle name="표준 5 6 2 2 2 4 3" xfId="8475" xr:uid="{00000000-0005-0000-0000-000076B80000}"/>
    <cellStyle name="표준 5 6 2 2 2 4 3 2" xfId="29181" xr:uid="{00000000-0005-0000-0000-000077B80000}"/>
    <cellStyle name="표준 5 6 2 2 2 4 3 3" xfId="37392" xr:uid="{00000000-0005-0000-0000-000078B80000}"/>
    <cellStyle name="표준 5 6 2 2 2 4 3 4" xfId="45585" xr:uid="{00000000-0005-0000-0000-000079B80000}"/>
    <cellStyle name="표준 5 6 2 2 2 4 4" xfId="12587" xr:uid="{00000000-0005-0000-0000-00007AB80000}"/>
    <cellStyle name="표준 5 6 2 2 2 4 5" xfId="16827" xr:uid="{00000000-0005-0000-0000-00007BB80000}"/>
    <cellStyle name="표준 5 6 2 2 2 4 6" xfId="20989" xr:uid="{00000000-0005-0000-0000-00007CB80000}"/>
    <cellStyle name="표준 5 6 2 2 2 4 7" xfId="25085" xr:uid="{00000000-0005-0000-0000-00007DB80000}"/>
    <cellStyle name="표준 5 6 2 2 2 4 8" xfId="33296" xr:uid="{00000000-0005-0000-0000-00007EB80000}"/>
    <cellStyle name="표준 5 6 2 2 2 4 9" xfId="41489" xr:uid="{00000000-0005-0000-0000-00007FB80000}"/>
    <cellStyle name="표준 5 6 2 2 2 5" xfId="2132" xr:uid="{00000000-0005-0000-0000-000080B80000}"/>
    <cellStyle name="표준 5 6 2 2 2 5 2" xfId="11035" xr:uid="{00000000-0005-0000-0000-000081B80000}"/>
    <cellStyle name="표준 5 6 2 2 2 5 2 2" xfId="15147" xr:uid="{00000000-0005-0000-0000-000082B80000}"/>
    <cellStyle name="표준 5 6 2 2 2 5 2 2 2" xfId="31741" xr:uid="{00000000-0005-0000-0000-000083B80000}"/>
    <cellStyle name="표준 5 6 2 2 2 5 2 2 3" xfId="39952" xr:uid="{00000000-0005-0000-0000-000084B80000}"/>
    <cellStyle name="표준 5 6 2 2 2 5 2 2 4" xfId="48145" xr:uid="{00000000-0005-0000-0000-000085B80000}"/>
    <cellStyle name="표준 5 6 2 2 2 5 2 3" xfId="19387" xr:uid="{00000000-0005-0000-0000-000086B80000}"/>
    <cellStyle name="표준 5 6 2 2 2 5 2 4" xfId="23549" xr:uid="{00000000-0005-0000-0000-000087B80000}"/>
    <cellStyle name="표준 5 6 2 2 2 5 2 5" xfId="27645" xr:uid="{00000000-0005-0000-0000-000088B80000}"/>
    <cellStyle name="표준 5 6 2 2 2 5 2 6" xfId="35856" xr:uid="{00000000-0005-0000-0000-000089B80000}"/>
    <cellStyle name="표준 5 6 2 2 2 5 2 7" xfId="44049" xr:uid="{00000000-0005-0000-0000-00008AB80000}"/>
    <cellStyle name="표준 5 6 2 2 2 5 3" xfId="8987" xr:uid="{00000000-0005-0000-0000-00008BB80000}"/>
    <cellStyle name="표준 5 6 2 2 2 5 3 2" xfId="29693" xr:uid="{00000000-0005-0000-0000-00008CB80000}"/>
    <cellStyle name="표준 5 6 2 2 2 5 3 3" xfId="37904" xr:uid="{00000000-0005-0000-0000-00008DB80000}"/>
    <cellStyle name="표준 5 6 2 2 2 5 3 4" xfId="46097" xr:uid="{00000000-0005-0000-0000-00008EB80000}"/>
    <cellStyle name="표준 5 6 2 2 2 5 4" xfId="13099" xr:uid="{00000000-0005-0000-0000-00008FB80000}"/>
    <cellStyle name="표준 5 6 2 2 2 5 5" xfId="17339" xr:uid="{00000000-0005-0000-0000-000090B80000}"/>
    <cellStyle name="표준 5 6 2 2 2 5 6" xfId="21501" xr:uid="{00000000-0005-0000-0000-000091B80000}"/>
    <cellStyle name="표준 5 6 2 2 2 5 7" xfId="25597" xr:uid="{00000000-0005-0000-0000-000092B80000}"/>
    <cellStyle name="표준 5 6 2 2 2 5 8" xfId="33808" xr:uid="{00000000-0005-0000-0000-000093B80000}"/>
    <cellStyle name="표준 5 6 2 2 2 5 9" xfId="42001" xr:uid="{00000000-0005-0000-0000-000094B80000}"/>
    <cellStyle name="표준 5 6 2 2 2 6" xfId="9499" xr:uid="{00000000-0005-0000-0000-000095B80000}"/>
    <cellStyle name="표준 5 6 2 2 2 6 2" xfId="13611" xr:uid="{00000000-0005-0000-0000-000096B80000}"/>
    <cellStyle name="표준 5 6 2 2 2 6 2 2" xfId="30205" xr:uid="{00000000-0005-0000-0000-000097B80000}"/>
    <cellStyle name="표준 5 6 2 2 2 6 2 3" xfId="38416" xr:uid="{00000000-0005-0000-0000-000098B80000}"/>
    <cellStyle name="표준 5 6 2 2 2 6 2 4" xfId="46609" xr:uid="{00000000-0005-0000-0000-000099B80000}"/>
    <cellStyle name="표준 5 6 2 2 2 6 3" xfId="17851" xr:uid="{00000000-0005-0000-0000-00009AB80000}"/>
    <cellStyle name="표준 5 6 2 2 2 6 4" xfId="22013" xr:uid="{00000000-0005-0000-0000-00009BB80000}"/>
    <cellStyle name="표준 5 6 2 2 2 6 5" xfId="26109" xr:uid="{00000000-0005-0000-0000-00009CB80000}"/>
    <cellStyle name="표준 5 6 2 2 2 6 6" xfId="34320" xr:uid="{00000000-0005-0000-0000-00009DB80000}"/>
    <cellStyle name="표준 5 6 2 2 2 6 7" xfId="42513" xr:uid="{00000000-0005-0000-0000-00009EB80000}"/>
    <cellStyle name="표준 5 6 2 2 2 7" xfId="7451" xr:uid="{00000000-0005-0000-0000-00009FB80000}"/>
    <cellStyle name="표준 5 6 2 2 2 7 2" xfId="28157" xr:uid="{00000000-0005-0000-0000-0000A0B80000}"/>
    <cellStyle name="표준 5 6 2 2 2 7 3" xfId="36368" xr:uid="{00000000-0005-0000-0000-0000A1B80000}"/>
    <cellStyle name="표준 5 6 2 2 2 7 4" xfId="44561" xr:uid="{00000000-0005-0000-0000-0000A2B80000}"/>
    <cellStyle name="표준 5 6 2 2 2 8" xfId="11563" xr:uid="{00000000-0005-0000-0000-0000A3B80000}"/>
    <cellStyle name="표준 5 6 2 2 2 9" xfId="15803" xr:uid="{00000000-0005-0000-0000-0000A4B80000}"/>
    <cellStyle name="표준 5 6 2 2 3" xfId="724" xr:uid="{00000000-0005-0000-0000-0000A5B80000}"/>
    <cellStyle name="표준 5 6 2 2 3 10" xfId="24189" xr:uid="{00000000-0005-0000-0000-0000A6B80000}"/>
    <cellStyle name="표준 5 6 2 2 3 11" xfId="32400" xr:uid="{00000000-0005-0000-0000-0000A7B80000}"/>
    <cellStyle name="표준 5 6 2 2 3 12" xfId="40593" xr:uid="{00000000-0005-0000-0000-0000A8B80000}"/>
    <cellStyle name="표준 5 6 2 2 3 2" xfId="1236" xr:uid="{00000000-0005-0000-0000-0000A9B80000}"/>
    <cellStyle name="표준 5 6 2 2 3 2 2" xfId="10139" xr:uid="{00000000-0005-0000-0000-0000AAB80000}"/>
    <cellStyle name="표준 5 6 2 2 3 2 2 2" xfId="14251" xr:uid="{00000000-0005-0000-0000-0000ABB80000}"/>
    <cellStyle name="표준 5 6 2 2 3 2 2 2 2" xfId="30845" xr:uid="{00000000-0005-0000-0000-0000ACB80000}"/>
    <cellStyle name="표준 5 6 2 2 3 2 2 2 3" xfId="39056" xr:uid="{00000000-0005-0000-0000-0000ADB80000}"/>
    <cellStyle name="표준 5 6 2 2 3 2 2 2 4" xfId="47249" xr:uid="{00000000-0005-0000-0000-0000AEB80000}"/>
    <cellStyle name="표준 5 6 2 2 3 2 2 3" xfId="18491" xr:uid="{00000000-0005-0000-0000-0000AFB80000}"/>
    <cellStyle name="표준 5 6 2 2 3 2 2 4" xfId="22653" xr:uid="{00000000-0005-0000-0000-0000B0B80000}"/>
    <cellStyle name="표준 5 6 2 2 3 2 2 5" xfId="26749" xr:uid="{00000000-0005-0000-0000-0000B1B80000}"/>
    <cellStyle name="표준 5 6 2 2 3 2 2 6" xfId="34960" xr:uid="{00000000-0005-0000-0000-0000B2B80000}"/>
    <cellStyle name="표준 5 6 2 2 3 2 2 7" xfId="43153" xr:uid="{00000000-0005-0000-0000-0000B3B80000}"/>
    <cellStyle name="표준 5 6 2 2 3 2 3" xfId="8091" xr:uid="{00000000-0005-0000-0000-0000B4B80000}"/>
    <cellStyle name="표준 5 6 2 2 3 2 3 2" xfId="28797" xr:uid="{00000000-0005-0000-0000-0000B5B80000}"/>
    <cellStyle name="표준 5 6 2 2 3 2 3 3" xfId="37008" xr:uid="{00000000-0005-0000-0000-0000B6B80000}"/>
    <cellStyle name="표준 5 6 2 2 3 2 3 4" xfId="45201" xr:uid="{00000000-0005-0000-0000-0000B7B80000}"/>
    <cellStyle name="표준 5 6 2 2 3 2 4" xfId="12203" xr:uid="{00000000-0005-0000-0000-0000B8B80000}"/>
    <cellStyle name="표준 5 6 2 2 3 2 5" xfId="16443" xr:uid="{00000000-0005-0000-0000-0000B9B80000}"/>
    <cellStyle name="표준 5 6 2 2 3 2 6" xfId="20605" xr:uid="{00000000-0005-0000-0000-0000BAB80000}"/>
    <cellStyle name="표준 5 6 2 2 3 2 7" xfId="24701" xr:uid="{00000000-0005-0000-0000-0000BBB80000}"/>
    <cellStyle name="표준 5 6 2 2 3 2 8" xfId="32912" xr:uid="{00000000-0005-0000-0000-0000BCB80000}"/>
    <cellStyle name="표준 5 6 2 2 3 2 9" xfId="41105" xr:uid="{00000000-0005-0000-0000-0000BDB80000}"/>
    <cellStyle name="표준 5 6 2 2 3 3" xfId="1748" xr:uid="{00000000-0005-0000-0000-0000BEB80000}"/>
    <cellStyle name="표준 5 6 2 2 3 3 2" xfId="10651" xr:uid="{00000000-0005-0000-0000-0000BFB80000}"/>
    <cellStyle name="표준 5 6 2 2 3 3 2 2" xfId="14763" xr:uid="{00000000-0005-0000-0000-0000C0B80000}"/>
    <cellStyle name="표준 5 6 2 2 3 3 2 2 2" xfId="31357" xr:uid="{00000000-0005-0000-0000-0000C1B80000}"/>
    <cellStyle name="표준 5 6 2 2 3 3 2 2 3" xfId="39568" xr:uid="{00000000-0005-0000-0000-0000C2B80000}"/>
    <cellStyle name="표준 5 6 2 2 3 3 2 2 4" xfId="47761" xr:uid="{00000000-0005-0000-0000-0000C3B80000}"/>
    <cellStyle name="표준 5 6 2 2 3 3 2 3" xfId="19003" xr:uid="{00000000-0005-0000-0000-0000C4B80000}"/>
    <cellStyle name="표준 5 6 2 2 3 3 2 4" xfId="23165" xr:uid="{00000000-0005-0000-0000-0000C5B80000}"/>
    <cellStyle name="표준 5 6 2 2 3 3 2 5" xfId="27261" xr:uid="{00000000-0005-0000-0000-0000C6B80000}"/>
    <cellStyle name="표준 5 6 2 2 3 3 2 6" xfId="35472" xr:uid="{00000000-0005-0000-0000-0000C7B80000}"/>
    <cellStyle name="표준 5 6 2 2 3 3 2 7" xfId="43665" xr:uid="{00000000-0005-0000-0000-0000C8B80000}"/>
    <cellStyle name="표준 5 6 2 2 3 3 3" xfId="8603" xr:uid="{00000000-0005-0000-0000-0000C9B80000}"/>
    <cellStyle name="표준 5 6 2 2 3 3 3 2" xfId="29309" xr:uid="{00000000-0005-0000-0000-0000CAB80000}"/>
    <cellStyle name="표준 5 6 2 2 3 3 3 3" xfId="37520" xr:uid="{00000000-0005-0000-0000-0000CBB80000}"/>
    <cellStyle name="표준 5 6 2 2 3 3 3 4" xfId="45713" xr:uid="{00000000-0005-0000-0000-0000CCB80000}"/>
    <cellStyle name="표준 5 6 2 2 3 3 4" xfId="12715" xr:uid="{00000000-0005-0000-0000-0000CDB80000}"/>
    <cellStyle name="표준 5 6 2 2 3 3 5" xfId="16955" xr:uid="{00000000-0005-0000-0000-0000CEB80000}"/>
    <cellStyle name="표준 5 6 2 2 3 3 6" xfId="21117" xr:uid="{00000000-0005-0000-0000-0000CFB80000}"/>
    <cellStyle name="표준 5 6 2 2 3 3 7" xfId="25213" xr:uid="{00000000-0005-0000-0000-0000D0B80000}"/>
    <cellStyle name="표준 5 6 2 2 3 3 8" xfId="33424" xr:uid="{00000000-0005-0000-0000-0000D1B80000}"/>
    <cellStyle name="표준 5 6 2 2 3 3 9" xfId="41617" xr:uid="{00000000-0005-0000-0000-0000D2B80000}"/>
    <cellStyle name="표준 5 6 2 2 3 4" xfId="2260" xr:uid="{00000000-0005-0000-0000-0000D3B80000}"/>
    <cellStyle name="표준 5 6 2 2 3 4 2" xfId="11163" xr:uid="{00000000-0005-0000-0000-0000D4B80000}"/>
    <cellStyle name="표준 5 6 2 2 3 4 2 2" xfId="15275" xr:uid="{00000000-0005-0000-0000-0000D5B80000}"/>
    <cellStyle name="표준 5 6 2 2 3 4 2 2 2" xfId="31869" xr:uid="{00000000-0005-0000-0000-0000D6B80000}"/>
    <cellStyle name="표준 5 6 2 2 3 4 2 2 3" xfId="40080" xr:uid="{00000000-0005-0000-0000-0000D7B80000}"/>
    <cellStyle name="표준 5 6 2 2 3 4 2 2 4" xfId="48273" xr:uid="{00000000-0005-0000-0000-0000D8B80000}"/>
    <cellStyle name="표준 5 6 2 2 3 4 2 3" xfId="19515" xr:uid="{00000000-0005-0000-0000-0000D9B80000}"/>
    <cellStyle name="표준 5 6 2 2 3 4 2 4" xfId="23677" xr:uid="{00000000-0005-0000-0000-0000DAB80000}"/>
    <cellStyle name="표준 5 6 2 2 3 4 2 5" xfId="27773" xr:uid="{00000000-0005-0000-0000-0000DBB80000}"/>
    <cellStyle name="표준 5 6 2 2 3 4 2 6" xfId="35984" xr:uid="{00000000-0005-0000-0000-0000DCB80000}"/>
    <cellStyle name="표준 5 6 2 2 3 4 2 7" xfId="44177" xr:uid="{00000000-0005-0000-0000-0000DDB80000}"/>
    <cellStyle name="표준 5 6 2 2 3 4 3" xfId="9115" xr:uid="{00000000-0005-0000-0000-0000DEB80000}"/>
    <cellStyle name="표준 5 6 2 2 3 4 3 2" xfId="29821" xr:uid="{00000000-0005-0000-0000-0000DFB80000}"/>
    <cellStyle name="표준 5 6 2 2 3 4 3 3" xfId="38032" xr:uid="{00000000-0005-0000-0000-0000E0B80000}"/>
    <cellStyle name="표준 5 6 2 2 3 4 3 4" xfId="46225" xr:uid="{00000000-0005-0000-0000-0000E1B80000}"/>
    <cellStyle name="표준 5 6 2 2 3 4 4" xfId="13227" xr:uid="{00000000-0005-0000-0000-0000E2B80000}"/>
    <cellStyle name="표준 5 6 2 2 3 4 5" xfId="17467" xr:uid="{00000000-0005-0000-0000-0000E3B80000}"/>
    <cellStyle name="표준 5 6 2 2 3 4 6" xfId="21629" xr:uid="{00000000-0005-0000-0000-0000E4B80000}"/>
    <cellStyle name="표준 5 6 2 2 3 4 7" xfId="25725" xr:uid="{00000000-0005-0000-0000-0000E5B80000}"/>
    <cellStyle name="표준 5 6 2 2 3 4 8" xfId="33936" xr:uid="{00000000-0005-0000-0000-0000E6B80000}"/>
    <cellStyle name="표준 5 6 2 2 3 4 9" xfId="42129" xr:uid="{00000000-0005-0000-0000-0000E7B80000}"/>
    <cellStyle name="표준 5 6 2 2 3 5" xfId="9627" xr:uid="{00000000-0005-0000-0000-0000E8B80000}"/>
    <cellStyle name="표준 5 6 2 2 3 5 2" xfId="13739" xr:uid="{00000000-0005-0000-0000-0000E9B80000}"/>
    <cellStyle name="표준 5 6 2 2 3 5 2 2" xfId="30333" xr:uid="{00000000-0005-0000-0000-0000EAB80000}"/>
    <cellStyle name="표준 5 6 2 2 3 5 2 3" xfId="38544" xr:uid="{00000000-0005-0000-0000-0000EBB80000}"/>
    <cellStyle name="표준 5 6 2 2 3 5 2 4" xfId="46737" xr:uid="{00000000-0005-0000-0000-0000ECB80000}"/>
    <cellStyle name="표준 5 6 2 2 3 5 3" xfId="17979" xr:uid="{00000000-0005-0000-0000-0000EDB80000}"/>
    <cellStyle name="표준 5 6 2 2 3 5 4" xfId="22141" xr:uid="{00000000-0005-0000-0000-0000EEB80000}"/>
    <cellStyle name="표준 5 6 2 2 3 5 5" xfId="26237" xr:uid="{00000000-0005-0000-0000-0000EFB80000}"/>
    <cellStyle name="표준 5 6 2 2 3 5 6" xfId="34448" xr:uid="{00000000-0005-0000-0000-0000F0B80000}"/>
    <cellStyle name="표준 5 6 2 2 3 5 7" xfId="42641" xr:uid="{00000000-0005-0000-0000-0000F1B80000}"/>
    <cellStyle name="표준 5 6 2 2 3 6" xfId="7579" xr:uid="{00000000-0005-0000-0000-0000F2B80000}"/>
    <cellStyle name="표준 5 6 2 2 3 6 2" xfId="28285" xr:uid="{00000000-0005-0000-0000-0000F3B80000}"/>
    <cellStyle name="표준 5 6 2 2 3 6 3" xfId="36496" xr:uid="{00000000-0005-0000-0000-0000F4B80000}"/>
    <cellStyle name="표준 5 6 2 2 3 6 4" xfId="44689" xr:uid="{00000000-0005-0000-0000-0000F5B80000}"/>
    <cellStyle name="표준 5 6 2 2 3 7" xfId="11691" xr:uid="{00000000-0005-0000-0000-0000F6B80000}"/>
    <cellStyle name="표준 5 6 2 2 3 8" xfId="15931" xr:uid="{00000000-0005-0000-0000-0000F7B80000}"/>
    <cellStyle name="표준 5 6 2 2 3 9" xfId="20093" xr:uid="{00000000-0005-0000-0000-0000F8B80000}"/>
    <cellStyle name="표준 5 6 2 2 4" xfId="980" xr:uid="{00000000-0005-0000-0000-0000F9B80000}"/>
    <cellStyle name="표준 5 6 2 2 4 2" xfId="9883" xr:uid="{00000000-0005-0000-0000-0000FAB80000}"/>
    <cellStyle name="표준 5 6 2 2 4 2 2" xfId="13995" xr:uid="{00000000-0005-0000-0000-0000FBB80000}"/>
    <cellStyle name="표준 5 6 2 2 4 2 2 2" xfId="30589" xr:uid="{00000000-0005-0000-0000-0000FCB80000}"/>
    <cellStyle name="표준 5 6 2 2 4 2 2 3" xfId="38800" xr:uid="{00000000-0005-0000-0000-0000FDB80000}"/>
    <cellStyle name="표준 5 6 2 2 4 2 2 4" xfId="46993" xr:uid="{00000000-0005-0000-0000-0000FEB80000}"/>
    <cellStyle name="표준 5 6 2 2 4 2 3" xfId="18235" xr:uid="{00000000-0005-0000-0000-0000FFB80000}"/>
    <cellStyle name="표준 5 6 2 2 4 2 4" xfId="22397" xr:uid="{00000000-0005-0000-0000-000000B90000}"/>
    <cellStyle name="표준 5 6 2 2 4 2 5" xfId="26493" xr:uid="{00000000-0005-0000-0000-000001B90000}"/>
    <cellStyle name="표준 5 6 2 2 4 2 6" xfId="34704" xr:uid="{00000000-0005-0000-0000-000002B90000}"/>
    <cellStyle name="표준 5 6 2 2 4 2 7" xfId="42897" xr:uid="{00000000-0005-0000-0000-000003B90000}"/>
    <cellStyle name="표준 5 6 2 2 4 3" xfId="7835" xr:uid="{00000000-0005-0000-0000-000004B90000}"/>
    <cellStyle name="표준 5 6 2 2 4 3 2" xfId="28541" xr:uid="{00000000-0005-0000-0000-000005B90000}"/>
    <cellStyle name="표준 5 6 2 2 4 3 3" xfId="36752" xr:uid="{00000000-0005-0000-0000-000006B90000}"/>
    <cellStyle name="표준 5 6 2 2 4 3 4" xfId="44945" xr:uid="{00000000-0005-0000-0000-000007B90000}"/>
    <cellStyle name="표준 5 6 2 2 4 4" xfId="11947" xr:uid="{00000000-0005-0000-0000-000008B90000}"/>
    <cellStyle name="표준 5 6 2 2 4 5" xfId="16187" xr:uid="{00000000-0005-0000-0000-000009B90000}"/>
    <cellStyle name="표준 5 6 2 2 4 6" xfId="20349" xr:uid="{00000000-0005-0000-0000-00000AB90000}"/>
    <cellStyle name="표준 5 6 2 2 4 7" xfId="24445" xr:uid="{00000000-0005-0000-0000-00000BB90000}"/>
    <cellStyle name="표준 5 6 2 2 4 8" xfId="32656" xr:uid="{00000000-0005-0000-0000-00000CB90000}"/>
    <cellStyle name="표준 5 6 2 2 4 9" xfId="40849" xr:uid="{00000000-0005-0000-0000-00000DB90000}"/>
    <cellStyle name="표준 5 6 2 2 5" xfId="1492" xr:uid="{00000000-0005-0000-0000-00000EB90000}"/>
    <cellStyle name="표준 5 6 2 2 5 2" xfId="10395" xr:uid="{00000000-0005-0000-0000-00000FB90000}"/>
    <cellStyle name="표준 5 6 2 2 5 2 2" xfId="14507" xr:uid="{00000000-0005-0000-0000-000010B90000}"/>
    <cellStyle name="표준 5 6 2 2 5 2 2 2" xfId="31101" xr:uid="{00000000-0005-0000-0000-000011B90000}"/>
    <cellStyle name="표준 5 6 2 2 5 2 2 3" xfId="39312" xr:uid="{00000000-0005-0000-0000-000012B90000}"/>
    <cellStyle name="표준 5 6 2 2 5 2 2 4" xfId="47505" xr:uid="{00000000-0005-0000-0000-000013B90000}"/>
    <cellStyle name="표준 5 6 2 2 5 2 3" xfId="18747" xr:uid="{00000000-0005-0000-0000-000014B90000}"/>
    <cellStyle name="표준 5 6 2 2 5 2 4" xfId="22909" xr:uid="{00000000-0005-0000-0000-000015B90000}"/>
    <cellStyle name="표준 5 6 2 2 5 2 5" xfId="27005" xr:uid="{00000000-0005-0000-0000-000016B90000}"/>
    <cellStyle name="표준 5 6 2 2 5 2 6" xfId="35216" xr:uid="{00000000-0005-0000-0000-000017B90000}"/>
    <cellStyle name="표준 5 6 2 2 5 2 7" xfId="43409" xr:uid="{00000000-0005-0000-0000-000018B90000}"/>
    <cellStyle name="표준 5 6 2 2 5 3" xfId="8347" xr:uid="{00000000-0005-0000-0000-000019B90000}"/>
    <cellStyle name="표준 5 6 2 2 5 3 2" xfId="29053" xr:uid="{00000000-0005-0000-0000-00001AB90000}"/>
    <cellStyle name="표준 5 6 2 2 5 3 3" xfId="37264" xr:uid="{00000000-0005-0000-0000-00001BB90000}"/>
    <cellStyle name="표준 5 6 2 2 5 3 4" xfId="45457" xr:uid="{00000000-0005-0000-0000-00001CB90000}"/>
    <cellStyle name="표준 5 6 2 2 5 4" xfId="12459" xr:uid="{00000000-0005-0000-0000-00001DB90000}"/>
    <cellStyle name="표준 5 6 2 2 5 5" xfId="16699" xr:uid="{00000000-0005-0000-0000-00001EB90000}"/>
    <cellStyle name="표준 5 6 2 2 5 6" xfId="20861" xr:uid="{00000000-0005-0000-0000-00001FB90000}"/>
    <cellStyle name="표준 5 6 2 2 5 7" xfId="24957" xr:uid="{00000000-0005-0000-0000-000020B90000}"/>
    <cellStyle name="표준 5 6 2 2 5 8" xfId="33168" xr:uid="{00000000-0005-0000-0000-000021B90000}"/>
    <cellStyle name="표준 5 6 2 2 5 9" xfId="41361" xr:uid="{00000000-0005-0000-0000-000022B90000}"/>
    <cellStyle name="표준 5 6 2 2 6" xfId="2004" xr:uid="{00000000-0005-0000-0000-000023B90000}"/>
    <cellStyle name="표준 5 6 2 2 6 2" xfId="10907" xr:uid="{00000000-0005-0000-0000-000024B90000}"/>
    <cellStyle name="표준 5 6 2 2 6 2 2" xfId="15019" xr:uid="{00000000-0005-0000-0000-000025B90000}"/>
    <cellStyle name="표준 5 6 2 2 6 2 2 2" xfId="31613" xr:uid="{00000000-0005-0000-0000-000026B90000}"/>
    <cellStyle name="표준 5 6 2 2 6 2 2 3" xfId="39824" xr:uid="{00000000-0005-0000-0000-000027B90000}"/>
    <cellStyle name="표준 5 6 2 2 6 2 2 4" xfId="48017" xr:uid="{00000000-0005-0000-0000-000028B90000}"/>
    <cellStyle name="표준 5 6 2 2 6 2 3" xfId="19259" xr:uid="{00000000-0005-0000-0000-000029B90000}"/>
    <cellStyle name="표준 5 6 2 2 6 2 4" xfId="23421" xr:uid="{00000000-0005-0000-0000-00002AB90000}"/>
    <cellStyle name="표준 5 6 2 2 6 2 5" xfId="27517" xr:uid="{00000000-0005-0000-0000-00002BB90000}"/>
    <cellStyle name="표준 5 6 2 2 6 2 6" xfId="35728" xr:uid="{00000000-0005-0000-0000-00002CB90000}"/>
    <cellStyle name="표준 5 6 2 2 6 2 7" xfId="43921" xr:uid="{00000000-0005-0000-0000-00002DB90000}"/>
    <cellStyle name="표준 5 6 2 2 6 3" xfId="8859" xr:uid="{00000000-0005-0000-0000-00002EB90000}"/>
    <cellStyle name="표준 5 6 2 2 6 3 2" xfId="29565" xr:uid="{00000000-0005-0000-0000-00002FB90000}"/>
    <cellStyle name="표준 5 6 2 2 6 3 3" xfId="37776" xr:uid="{00000000-0005-0000-0000-000030B90000}"/>
    <cellStyle name="표준 5 6 2 2 6 3 4" xfId="45969" xr:uid="{00000000-0005-0000-0000-000031B90000}"/>
    <cellStyle name="표준 5 6 2 2 6 4" xfId="12971" xr:uid="{00000000-0005-0000-0000-000032B90000}"/>
    <cellStyle name="표준 5 6 2 2 6 5" xfId="17211" xr:uid="{00000000-0005-0000-0000-000033B90000}"/>
    <cellStyle name="표준 5 6 2 2 6 6" xfId="21373" xr:uid="{00000000-0005-0000-0000-000034B90000}"/>
    <cellStyle name="표준 5 6 2 2 6 7" xfId="25469" xr:uid="{00000000-0005-0000-0000-000035B90000}"/>
    <cellStyle name="표준 5 6 2 2 6 8" xfId="33680" xr:uid="{00000000-0005-0000-0000-000036B90000}"/>
    <cellStyle name="표준 5 6 2 2 6 9" xfId="41873" xr:uid="{00000000-0005-0000-0000-000037B90000}"/>
    <cellStyle name="표준 5 6 2 2 7" xfId="9371" xr:uid="{00000000-0005-0000-0000-000038B90000}"/>
    <cellStyle name="표준 5 6 2 2 7 2" xfId="13483" xr:uid="{00000000-0005-0000-0000-000039B90000}"/>
    <cellStyle name="표준 5 6 2 2 7 2 2" xfId="30077" xr:uid="{00000000-0005-0000-0000-00003AB90000}"/>
    <cellStyle name="표준 5 6 2 2 7 2 3" xfId="38288" xr:uid="{00000000-0005-0000-0000-00003BB90000}"/>
    <cellStyle name="표준 5 6 2 2 7 2 4" xfId="46481" xr:uid="{00000000-0005-0000-0000-00003CB90000}"/>
    <cellStyle name="표준 5 6 2 2 7 3" xfId="17723" xr:uid="{00000000-0005-0000-0000-00003DB90000}"/>
    <cellStyle name="표준 5 6 2 2 7 4" xfId="21885" xr:uid="{00000000-0005-0000-0000-00003EB90000}"/>
    <cellStyle name="표준 5 6 2 2 7 5" xfId="25981" xr:uid="{00000000-0005-0000-0000-00003FB90000}"/>
    <cellStyle name="표준 5 6 2 2 7 6" xfId="34192" xr:uid="{00000000-0005-0000-0000-000040B90000}"/>
    <cellStyle name="표준 5 6 2 2 7 7" xfId="42385" xr:uid="{00000000-0005-0000-0000-000041B90000}"/>
    <cellStyle name="표준 5 6 2 2 8" xfId="7323" xr:uid="{00000000-0005-0000-0000-000042B90000}"/>
    <cellStyle name="표준 5 6 2 2 8 2" xfId="28029" xr:uid="{00000000-0005-0000-0000-000043B90000}"/>
    <cellStyle name="표준 5 6 2 2 8 3" xfId="36240" xr:uid="{00000000-0005-0000-0000-000044B90000}"/>
    <cellStyle name="표준 5 6 2 2 8 4" xfId="44433" xr:uid="{00000000-0005-0000-0000-000045B90000}"/>
    <cellStyle name="표준 5 6 2 2 9" xfId="11435" xr:uid="{00000000-0005-0000-0000-000046B90000}"/>
    <cellStyle name="표준 5 6 2 3" xfId="532" xr:uid="{00000000-0005-0000-0000-000047B90000}"/>
    <cellStyle name="표준 5 6 2 3 10" xfId="19901" xr:uid="{00000000-0005-0000-0000-000048B90000}"/>
    <cellStyle name="표준 5 6 2 3 11" xfId="23997" xr:uid="{00000000-0005-0000-0000-000049B90000}"/>
    <cellStyle name="표준 5 6 2 3 12" xfId="32208" xr:uid="{00000000-0005-0000-0000-00004AB90000}"/>
    <cellStyle name="표준 5 6 2 3 13" xfId="40401" xr:uid="{00000000-0005-0000-0000-00004BB90000}"/>
    <cellStyle name="표준 5 6 2 3 2" xfId="788" xr:uid="{00000000-0005-0000-0000-00004CB90000}"/>
    <cellStyle name="표준 5 6 2 3 2 10" xfId="24253" xr:uid="{00000000-0005-0000-0000-00004DB90000}"/>
    <cellStyle name="표준 5 6 2 3 2 11" xfId="32464" xr:uid="{00000000-0005-0000-0000-00004EB90000}"/>
    <cellStyle name="표준 5 6 2 3 2 12" xfId="40657" xr:uid="{00000000-0005-0000-0000-00004FB90000}"/>
    <cellStyle name="표준 5 6 2 3 2 2" xfId="1300" xr:uid="{00000000-0005-0000-0000-000050B90000}"/>
    <cellStyle name="표준 5 6 2 3 2 2 2" xfId="10203" xr:uid="{00000000-0005-0000-0000-000051B90000}"/>
    <cellStyle name="표준 5 6 2 3 2 2 2 2" xfId="14315" xr:uid="{00000000-0005-0000-0000-000052B90000}"/>
    <cellStyle name="표준 5 6 2 3 2 2 2 2 2" xfId="30909" xr:uid="{00000000-0005-0000-0000-000053B90000}"/>
    <cellStyle name="표준 5 6 2 3 2 2 2 2 3" xfId="39120" xr:uid="{00000000-0005-0000-0000-000054B90000}"/>
    <cellStyle name="표준 5 6 2 3 2 2 2 2 4" xfId="47313" xr:uid="{00000000-0005-0000-0000-000055B90000}"/>
    <cellStyle name="표준 5 6 2 3 2 2 2 3" xfId="18555" xr:uid="{00000000-0005-0000-0000-000056B90000}"/>
    <cellStyle name="표준 5 6 2 3 2 2 2 4" xfId="22717" xr:uid="{00000000-0005-0000-0000-000057B90000}"/>
    <cellStyle name="표준 5 6 2 3 2 2 2 5" xfId="26813" xr:uid="{00000000-0005-0000-0000-000058B90000}"/>
    <cellStyle name="표준 5 6 2 3 2 2 2 6" xfId="35024" xr:uid="{00000000-0005-0000-0000-000059B90000}"/>
    <cellStyle name="표준 5 6 2 3 2 2 2 7" xfId="43217" xr:uid="{00000000-0005-0000-0000-00005AB90000}"/>
    <cellStyle name="표준 5 6 2 3 2 2 3" xfId="8155" xr:uid="{00000000-0005-0000-0000-00005BB90000}"/>
    <cellStyle name="표준 5 6 2 3 2 2 3 2" xfId="28861" xr:uid="{00000000-0005-0000-0000-00005CB90000}"/>
    <cellStyle name="표준 5 6 2 3 2 2 3 3" xfId="37072" xr:uid="{00000000-0005-0000-0000-00005DB90000}"/>
    <cellStyle name="표준 5 6 2 3 2 2 3 4" xfId="45265" xr:uid="{00000000-0005-0000-0000-00005EB90000}"/>
    <cellStyle name="표준 5 6 2 3 2 2 4" xfId="12267" xr:uid="{00000000-0005-0000-0000-00005FB90000}"/>
    <cellStyle name="표준 5 6 2 3 2 2 5" xfId="16507" xr:uid="{00000000-0005-0000-0000-000060B90000}"/>
    <cellStyle name="표준 5 6 2 3 2 2 6" xfId="20669" xr:uid="{00000000-0005-0000-0000-000061B90000}"/>
    <cellStyle name="표준 5 6 2 3 2 2 7" xfId="24765" xr:uid="{00000000-0005-0000-0000-000062B90000}"/>
    <cellStyle name="표준 5 6 2 3 2 2 8" xfId="32976" xr:uid="{00000000-0005-0000-0000-000063B90000}"/>
    <cellStyle name="표준 5 6 2 3 2 2 9" xfId="41169" xr:uid="{00000000-0005-0000-0000-000064B90000}"/>
    <cellStyle name="표준 5 6 2 3 2 3" xfId="1812" xr:uid="{00000000-0005-0000-0000-000065B90000}"/>
    <cellStyle name="표준 5 6 2 3 2 3 2" xfId="10715" xr:uid="{00000000-0005-0000-0000-000066B90000}"/>
    <cellStyle name="표준 5 6 2 3 2 3 2 2" xfId="14827" xr:uid="{00000000-0005-0000-0000-000067B90000}"/>
    <cellStyle name="표준 5 6 2 3 2 3 2 2 2" xfId="31421" xr:uid="{00000000-0005-0000-0000-000068B90000}"/>
    <cellStyle name="표준 5 6 2 3 2 3 2 2 3" xfId="39632" xr:uid="{00000000-0005-0000-0000-000069B90000}"/>
    <cellStyle name="표준 5 6 2 3 2 3 2 2 4" xfId="47825" xr:uid="{00000000-0005-0000-0000-00006AB90000}"/>
    <cellStyle name="표준 5 6 2 3 2 3 2 3" xfId="19067" xr:uid="{00000000-0005-0000-0000-00006BB90000}"/>
    <cellStyle name="표준 5 6 2 3 2 3 2 4" xfId="23229" xr:uid="{00000000-0005-0000-0000-00006CB90000}"/>
    <cellStyle name="표준 5 6 2 3 2 3 2 5" xfId="27325" xr:uid="{00000000-0005-0000-0000-00006DB90000}"/>
    <cellStyle name="표준 5 6 2 3 2 3 2 6" xfId="35536" xr:uid="{00000000-0005-0000-0000-00006EB90000}"/>
    <cellStyle name="표준 5 6 2 3 2 3 2 7" xfId="43729" xr:uid="{00000000-0005-0000-0000-00006FB90000}"/>
    <cellStyle name="표준 5 6 2 3 2 3 3" xfId="8667" xr:uid="{00000000-0005-0000-0000-000070B90000}"/>
    <cellStyle name="표준 5 6 2 3 2 3 3 2" xfId="29373" xr:uid="{00000000-0005-0000-0000-000071B90000}"/>
    <cellStyle name="표준 5 6 2 3 2 3 3 3" xfId="37584" xr:uid="{00000000-0005-0000-0000-000072B90000}"/>
    <cellStyle name="표준 5 6 2 3 2 3 3 4" xfId="45777" xr:uid="{00000000-0005-0000-0000-000073B90000}"/>
    <cellStyle name="표준 5 6 2 3 2 3 4" xfId="12779" xr:uid="{00000000-0005-0000-0000-000074B90000}"/>
    <cellStyle name="표준 5 6 2 3 2 3 5" xfId="17019" xr:uid="{00000000-0005-0000-0000-000075B90000}"/>
    <cellStyle name="표준 5 6 2 3 2 3 6" xfId="21181" xr:uid="{00000000-0005-0000-0000-000076B90000}"/>
    <cellStyle name="표준 5 6 2 3 2 3 7" xfId="25277" xr:uid="{00000000-0005-0000-0000-000077B90000}"/>
    <cellStyle name="표준 5 6 2 3 2 3 8" xfId="33488" xr:uid="{00000000-0005-0000-0000-000078B90000}"/>
    <cellStyle name="표준 5 6 2 3 2 3 9" xfId="41681" xr:uid="{00000000-0005-0000-0000-000079B90000}"/>
    <cellStyle name="표준 5 6 2 3 2 4" xfId="2324" xr:uid="{00000000-0005-0000-0000-00007AB90000}"/>
    <cellStyle name="표준 5 6 2 3 2 4 2" xfId="11227" xr:uid="{00000000-0005-0000-0000-00007BB90000}"/>
    <cellStyle name="표준 5 6 2 3 2 4 2 2" xfId="15339" xr:uid="{00000000-0005-0000-0000-00007CB90000}"/>
    <cellStyle name="표준 5 6 2 3 2 4 2 2 2" xfId="31933" xr:uid="{00000000-0005-0000-0000-00007DB90000}"/>
    <cellStyle name="표준 5 6 2 3 2 4 2 2 3" xfId="40144" xr:uid="{00000000-0005-0000-0000-00007EB90000}"/>
    <cellStyle name="표준 5 6 2 3 2 4 2 2 4" xfId="48337" xr:uid="{00000000-0005-0000-0000-00007FB90000}"/>
    <cellStyle name="표준 5 6 2 3 2 4 2 3" xfId="19579" xr:uid="{00000000-0005-0000-0000-000080B90000}"/>
    <cellStyle name="표준 5 6 2 3 2 4 2 4" xfId="23741" xr:uid="{00000000-0005-0000-0000-000081B90000}"/>
    <cellStyle name="표준 5 6 2 3 2 4 2 5" xfId="27837" xr:uid="{00000000-0005-0000-0000-000082B90000}"/>
    <cellStyle name="표준 5 6 2 3 2 4 2 6" xfId="36048" xr:uid="{00000000-0005-0000-0000-000083B90000}"/>
    <cellStyle name="표준 5 6 2 3 2 4 2 7" xfId="44241" xr:uid="{00000000-0005-0000-0000-000084B90000}"/>
    <cellStyle name="표준 5 6 2 3 2 4 3" xfId="9179" xr:uid="{00000000-0005-0000-0000-000085B90000}"/>
    <cellStyle name="표준 5 6 2 3 2 4 3 2" xfId="29885" xr:uid="{00000000-0005-0000-0000-000086B90000}"/>
    <cellStyle name="표준 5 6 2 3 2 4 3 3" xfId="38096" xr:uid="{00000000-0005-0000-0000-000087B90000}"/>
    <cellStyle name="표준 5 6 2 3 2 4 3 4" xfId="46289" xr:uid="{00000000-0005-0000-0000-000088B90000}"/>
    <cellStyle name="표준 5 6 2 3 2 4 4" xfId="13291" xr:uid="{00000000-0005-0000-0000-000089B90000}"/>
    <cellStyle name="표준 5 6 2 3 2 4 5" xfId="17531" xr:uid="{00000000-0005-0000-0000-00008AB90000}"/>
    <cellStyle name="표준 5 6 2 3 2 4 6" xfId="21693" xr:uid="{00000000-0005-0000-0000-00008BB90000}"/>
    <cellStyle name="표준 5 6 2 3 2 4 7" xfId="25789" xr:uid="{00000000-0005-0000-0000-00008CB90000}"/>
    <cellStyle name="표준 5 6 2 3 2 4 8" xfId="34000" xr:uid="{00000000-0005-0000-0000-00008DB90000}"/>
    <cellStyle name="표준 5 6 2 3 2 4 9" xfId="42193" xr:uid="{00000000-0005-0000-0000-00008EB90000}"/>
    <cellStyle name="표준 5 6 2 3 2 5" xfId="9691" xr:uid="{00000000-0005-0000-0000-00008FB90000}"/>
    <cellStyle name="표준 5 6 2 3 2 5 2" xfId="13803" xr:uid="{00000000-0005-0000-0000-000090B90000}"/>
    <cellStyle name="표준 5 6 2 3 2 5 2 2" xfId="30397" xr:uid="{00000000-0005-0000-0000-000091B90000}"/>
    <cellStyle name="표준 5 6 2 3 2 5 2 3" xfId="38608" xr:uid="{00000000-0005-0000-0000-000092B90000}"/>
    <cellStyle name="표준 5 6 2 3 2 5 2 4" xfId="46801" xr:uid="{00000000-0005-0000-0000-000093B90000}"/>
    <cellStyle name="표준 5 6 2 3 2 5 3" xfId="18043" xr:uid="{00000000-0005-0000-0000-000094B90000}"/>
    <cellStyle name="표준 5 6 2 3 2 5 4" xfId="22205" xr:uid="{00000000-0005-0000-0000-000095B90000}"/>
    <cellStyle name="표준 5 6 2 3 2 5 5" xfId="26301" xr:uid="{00000000-0005-0000-0000-000096B90000}"/>
    <cellStyle name="표준 5 6 2 3 2 5 6" xfId="34512" xr:uid="{00000000-0005-0000-0000-000097B90000}"/>
    <cellStyle name="표준 5 6 2 3 2 5 7" xfId="42705" xr:uid="{00000000-0005-0000-0000-000098B90000}"/>
    <cellStyle name="표준 5 6 2 3 2 6" xfId="7643" xr:uid="{00000000-0005-0000-0000-000099B90000}"/>
    <cellStyle name="표준 5 6 2 3 2 6 2" xfId="28349" xr:uid="{00000000-0005-0000-0000-00009AB90000}"/>
    <cellStyle name="표준 5 6 2 3 2 6 3" xfId="36560" xr:uid="{00000000-0005-0000-0000-00009BB90000}"/>
    <cellStyle name="표준 5 6 2 3 2 6 4" xfId="44753" xr:uid="{00000000-0005-0000-0000-00009CB90000}"/>
    <cellStyle name="표준 5 6 2 3 2 7" xfId="11755" xr:uid="{00000000-0005-0000-0000-00009DB90000}"/>
    <cellStyle name="표준 5 6 2 3 2 8" xfId="15995" xr:uid="{00000000-0005-0000-0000-00009EB90000}"/>
    <cellStyle name="표준 5 6 2 3 2 9" xfId="20157" xr:uid="{00000000-0005-0000-0000-00009FB90000}"/>
    <cellStyle name="표준 5 6 2 3 3" xfId="1044" xr:uid="{00000000-0005-0000-0000-0000A0B90000}"/>
    <cellStyle name="표준 5 6 2 3 3 2" xfId="9947" xr:uid="{00000000-0005-0000-0000-0000A1B90000}"/>
    <cellStyle name="표준 5 6 2 3 3 2 2" xfId="14059" xr:uid="{00000000-0005-0000-0000-0000A2B90000}"/>
    <cellStyle name="표준 5 6 2 3 3 2 2 2" xfId="30653" xr:uid="{00000000-0005-0000-0000-0000A3B90000}"/>
    <cellStyle name="표준 5 6 2 3 3 2 2 3" xfId="38864" xr:uid="{00000000-0005-0000-0000-0000A4B90000}"/>
    <cellStyle name="표준 5 6 2 3 3 2 2 4" xfId="47057" xr:uid="{00000000-0005-0000-0000-0000A5B90000}"/>
    <cellStyle name="표준 5 6 2 3 3 2 3" xfId="18299" xr:uid="{00000000-0005-0000-0000-0000A6B90000}"/>
    <cellStyle name="표준 5 6 2 3 3 2 4" xfId="22461" xr:uid="{00000000-0005-0000-0000-0000A7B90000}"/>
    <cellStyle name="표준 5 6 2 3 3 2 5" xfId="26557" xr:uid="{00000000-0005-0000-0000-0000A8B90000}"/>
    <cellStyle name="표준 5 6 2 3 3 2 6" xfId="34768" xr:uid="{00000000-0005-0000-0000-0000A9B90000}"/>
    <cellStyle name="표준 5 6 2 3 3 2 7" xfId="42961" xr:uid="{00000000-0005-0000-0000-0000AAB90000}"/>
    <cellStyle name="표준 5 6 2 3 3 3" xfId="7899" xr:uid="{00000000-0005-0000-0000-0000ABB90000}"/>
    <cellStyle name="표준 5 6 2 3 3 3 2" xfId="28605" xr:uid="{00000000-0005-0000-0000-0000ACB90000}"/>
    <cellStyle name="표준 5 6 2 3 3 3 3" xfId="36816" xr:uid="{00000000-0005-0000-0000-0000ADB90000}"/>
    <cellStyle name="표준 5 6 2 3 3 3 4" xfId="45009" xr:uid="{00000000-0005-0000-0000-0000AEB90000}"/>
    <cellStyle name="표준 5 6 2 3 3 4" xfId="12011" xr:uid="{00000000-0005-0000-0000-0000AFB90000}"/>
    <cellStyle name="표준 5 6 2 3 3 5" xfId="16251" xr:uid="{00000000-0005-0000-0000-0000B0B90000}"/>
    <cellStyle name="표준 5 6 2 3 3 6" xfId="20413" xr:uid="{00000000-0005-0000-0000-0000B1B90000}"/>
    <cellStyle name="표준 5 6 2 3 3 7" xfId="24509" xr:uid="{00000000-0005-0000-0000-0000B2B90000}"/>
    <cellStyle name="표준 5 6 2 3 3 8" xfId="32720" xr:uid="{00000000-0005-0000-0000-0000B3B90000}"/>
    <cellStyle name="표준 5 6 2 3 3 9" xfId="40913" xr:uid="{00000000-0005-0000-0000-0000B4B90000}"/>
    <cellStyle name="표준 5 6 2 3 4" xfId="1556" xr:uid="{00000000-0005-0000-0000-0000B5B90000}"/>
    <cellStyle name="표준 5 6 2 3 4 2" xfId="10459" xr:uid="{00000000-0005-0000-0000-0000B6B90000}"/>
    <cellStyle name="표준 5 6 2 3 4 2 2" xfId="14571" xr:uid="{00000000-0005-0000-0000-0000B7B90000}"/>
    <cellStyle name="표준 5 6 2 3 4 2 2 2" xfId="31165" xr:uid="{00000000-0005-0000-0000-0000B8B90000}"/>
    <cellStyle name="표준 5 6 2 3 4 2 2 3" xfId="39376" xr:uid="{00000000-0005-0000-0000-0000B9B90000}"/>
    <cellStyle name="표준 5 6 2 3 4 2 2 4" xfId="47569" xr:uid="{00000000-0005-0000-0000-0000BAB90000}"/>
    <cellStyle name="표준 5 6 2 3 4 2 3" xfId="18811" xr:uid="{00000000-0005-0000-0000-0000BBB90000}"/>
    <cellStyle name="표준 5 6 2 3 4 2 4" xfId="22973" xr:uid="{00000000-0005-0000-0000-0000BCB90000}"/>
    <cellStyle name="표준 5 6 2 3 4 2 5" xfId="27069" xr:uid="{00000000-0005-0000-0000-0000BDB90000}"/>
    <cellStyle name="표준 5 6 2 3 4 2 6" xfId="35280" xr:uid="{00000000-0005-0000-0000-0000BEB90000}"/>
    <cellStyle name="표준 5 6 2 3 4 2 7" xfId="43473" xr:uid="{00000000-0005-0000-0000-0000BFB90000}"/>
    <cellStyle name="표준 5 6 2 3 4 3" xfId="8411" xr:uid="{00000000-0005-0000-0000-0000C0B90000}"/>
    <cellStyle name="표준 5 6 2 3 4 3 2" xfId="29117" xr:uid="{00000000-0005-0000-0000-0000C1B90000}"/>
    <cellStyle name="표준 5 6 2 3 4 3 3" xfId="37328" xr:uid="{00000000-0005-0000-0000-0000C2B90000}"/>
    <cellStyle name="표준 5 6 2 3 4 3 4" xfId="45521" xr:uid="{00000000-0005-0000-0000-0000C3B90000}"/>
    <cellStyle name="표준 5 6 2 3 4 4" xfId="12523" xr:uid="{00000000-0005-0000-0000-0000C4B90000}"/>
    <cellStyle name="표준 5 6 2 3 4 5" xfId="16763" xr:uid="{00000000-0005-0000-0000-0000C5B90000}"/>
    <cellStyle name="표준 5 6 2 3 4 6" xfId="20925" xr:uid="{00000000-0005-0000-0000-0000C6B90000}"/>
    <cellStyle name="표준 5 6 2 3 4 7" xfId="25021" xr:uid="{00000000-0005-0000-0000-0000C7B90000}"/>
    <cellStyle name="표준 5 6 2 3 4 8" xfId="33232" xr:uid="{00000000-0005-0000-0000-0000C8B90000}"/>
    <cellStyle name="표준 5 6 2 3 4 9" xfId="41425" xr:uid="{00000000-0005-0000-0000-0000C9B90000}"/>
    <cellStyle name="표준 5 6 2 3 5" xfId="2068" xr:uid="{00000000-0005-0000-0000-0000CAB90000}"/>
    <cellStyle name="표준 5 6 2 3 5 2" xfId="10971" xr:uid="{00000000-0005-0000-0000-0000CBB90000}"/>
    <cellStyle name="표준 5 6 2 3 5 2 2" xfId="15083" xr:uid="{00000000-0005-0000-0000-0000CCB90000}"/>
    <cellStyle name="표준 5 6 2 3 5 2 2 2" xfId="31677" xr:uid="{00000000-0005-0000-0000-0000CDB90000}"/>
    <cellStyle name="표준 5 6 2 3 5 2 2 3" xfId="39888" xr:uid="{00000000-0005-0000-0000-0000CEB90000}"/>
    <cellStyle name="표준 5 6 2 3 5 2 2 4" xfId="48081" xr:uid="{00000000-0005-0000-0000-0000CFB90000}"/>
    <cellStyle name="표준 5 6 2 3 5 2 3" xfId="19323" xr:uid="{00000000-0005-0000-0000-0000D0B90000}"/>
    <cellStyle name="표준 5 6 2 3 5 2 4" xfId="23485" xr:uid="{00000000-0005-0000-0000-0000D1B90000}"/>
    <cellStyle name="표준 5 6 2 3 5 2 5" xfId="27581" xr:uid="{00000000-0005-0000-0000-0000D2B90000}"/>
    <cellStyle name="표준 5 6 2 3 5 2 6" xfId="35792" xr:uid="{00000000-0005-0000-0000-0000D3B90000}"/>
    <cellStyle name="표준 5 6 2 3 5 2 7" xfId="43985" xr:uid="{00000000-0005-0000-0000-0000D4B90000}"/>
    <cellStyle name="표준 5 6 2 3 5 3" xfId="8923" xr:uid="{00000000-0005-0000-0000-0000D5B90000}"/>
    <cellStyle name="표준 5 6 2 3 5 3 2" xfId="29629" xr:uid="{00000000-0005-0000-0000-0000D6B90000}"/>
    <cellStyle name="표준 5 6 2 3 5 3 3" xfId="37840" xr:uid="{00000000-0005-0000-0000-0000D7B90000}"/>
    <cellStyle name="표준 5 6 2 3 5 3 4" xfId="46033" xr:uid="{00000000-0005-0000-0000-0000D8B90000}"/>
    <cellStyle name="표준 5 6 2 3 5 4" xfId="13035" xr:uid="{00000000-0005-0000-0000-0000D9B90000}"/>
    <cellStyle name="표준 5 6 2 3 5 5" xfId="17275" xr:uid="{00000000-0005-0000-0000-0000DAB90000}"/>
    <cellStyle name="표준 5 6 2 3 5 6" xfId="21437" xr:uid="{00000000-0005-0000-0000-0000DBB90000}"/>
    <cellStyle name="표준 5 6 2 3 5 7" xfId="25533" xr:uid="{00000000-0005-0000-0000-0000DCB90000}"/>
    <cellStyle name="표준 5 6 2 3 5 8" xfId="33744" xr:uid="{00000000-0005-0000-0000-0000DDB90000}"/>
    <cellStyle name="표준 5 6 2 3 5 9" xfId="41937" xr:uid="{00000000-0005-0000-0000-0000DEB90000}"/>
    <cellStyle name="표준 5 6 2 3 6" xfId="9435" xr:uid="{00000000-0005-0000-0000-0000DFB90000}"/>
    <cellStyle name="표준 5 6 2 3 6 2" xfId="13547" xr:uid="{00000000-0005-0000-0000-0000E0B90000}"/>
    <cellStyle name="표준 5 6 2 3 6 2 2" xfId="30141" xr:uid="{00000000-0005-0000-0000-0000E1B90000}"/>
    <cellStyle name="표준 5 6 2 3 6 2 3" xfId="38352" xr:uid="{00000000-0005-0000-0000-0000E2B90000}"/>
    <cellStyle name="표준 5 6 2 3 6 2 4" xfId="46545" xr:uid="{00000000-0005-0000-0000-0000E3B90000}"/>
    <cellStyle name="표준 5 6 2 3 6 3" xfId="17787" xr:uid="{00000000-0005-0000-0000-0000E4B90000}"/>
    <cellStyle name="표준 5 6 2 3 6 4" xfId="21949" xr:uid="{00000000-0005-0000-0000-0000E5B90000}"/>
    <cellStyle name="표준 5 6 2 3 6 5" xfId="26045" xr:uid="{00000000-0005-0000-0000-0000E6B90000}"/>
    <cellStyle name="표준 5 6 2 3 6 6" xfId="34256" xr:uid="{00000000-0005-0000-0000-0000E7B90000}"/>
    <cellStyle name="표준 5 6 2 3 6 7" xfId="42449" xr:uid="{00000000-0005-0000-0000-0000E8B90000}"/>
    <cellStyle name="표준 5 6 2 3 7" xfId="7387" xr:uid="{00000000-0005-0000-0000-0000E9B90000}"/>
    <cellStyle name="표준 5 6 2 3 7 2" xfId="28093" xr:uid="{00000000-0005-0000-0000-0000EAB90000}"/>
    <cellStyle name="표준 5 6 2 3 7 3" xfId="36304" xr:uid="{00000000-0005-0000-0000-0000EBB90000}"/>
    <cellStyle name="표준 5 6 2 3 7 4" xfId="44497" xr:uid="{00000000-0005-0000-0000-0000ECB90000}"/>
    <cellStyle name="표준 5 6 2 3 8" xfId="11499" xr:uid="{00000000-0005-0000-0000-0000EDB90000}"/>
    <cellStyle name="표준 5 6 2 3 9" xfId="15739" xr:uid="{00000000-0005-0000-0000-0000EEB90000}"/>
    <cellStyle name="표준 5 6 2 4" xfId="660" xr:uid="{00000000-0005-0000-0000-0000EFB90000}"/>
    <cellStyle name="표준 5 6 2 4 10" xfId="24125" xr:uid="{00000000-0005-0000-0000-0000F0B90000}"/>
    <cellStyle name="표준 5 6 2 4 11" xfId="32336" xr:uid="{00000000-0005-0000-0000-0000F1B90000}"/>
    <cellStyle name="표준 5 6 2 4 12" xfId="40529" xr:uid="{00000000-0005-0000-0000-0000F2B90000}"/>
    <cellStyle name="표준 5 6 2 4 2" xfId="1172" xr:uid="{00000000-0005-0000-0000-0000F3B90000}"/>
    <cellStyle name="표준 5 6 2 4 2 2" xfId="10075" xr:uid="{00000000-0005-0000-0000-0000F4B90000}"/>
    <cellStyle name="표준 5 6 2 4 2 2 2" xfId="14187" xr:uid="{00000000-0005-0000-0000-0000F5B90000}"/>
    <cellStyle name="표준 5 6 2 4 2 2 2 2" xfId="30781" xr:uid="{00000000-0005-0000-0000-0000F6B90000}"/>
    <cellStyle name="표준 5 6 2 4 2 2 2 3" xfId="38992" xr:uid="{00000000-0005-0000-0000-0000F7B90000}"/>
    <cellStyle name="표준 5 6 2 4 2 2 2 4" xfId="47185" xr:uid="{00000000-0005-0000-0000-0000F8B90000}"/>
    <cellStyle name="표준 5 6 2 4 2 2 3" xfId="18427" xr:uid="{00000000-0005-0000-0000-0000F9B90000}"/>
    <cellStyle name="표준 5 6 2 4 2 2 4" xfId="22589" xr:uid="{00000000-0005-0000-0000-0000FAB90000}"/>
    <cellStyle name="표준 5 6 2 4 2 2 5" xfId="26685" xr:uid="{00000000-0005-0000-0000-0000FBB90000}"/>
    <cellStyle name="표준 5 6 2 4 2 2 6" xfId="34896" xr:uid="{00000000-0005-0000-0000-0000FCB90000}"/>
    <cellStyle name="표준 5 6 2 4 2 2 7" xfId="43089" xr:uid="{00000000-0005-0000-0000-0000FDB90000}"/>
    <cellStyle name="표준 5 6 2 4 2 3" xfId="8027" xr:uid="{00000000-0005-0000-0000-0000FEB90000}"/>
    <cellStyle name="표준 5 6 2 4 2 3 2" xfId="28733" xr:uid="{00000000-0005-0000-0000-0000FFB90000}"/>
    <cellStyle name="표준 5 6 2 4 2 3 3" xfId="36944" xr:uid="{00000000-0005-0000-0000-000000BA0000}"/>
    <cellStyle name="표준 5 6 2 4 2 3 4" xfId="45137" xr:uid="{00000000-0005-0000-0000-000001BA0000}"/>
    <cellStyle name="표준 5 6 2 4 2 4" xfId="12139" xr:uid="{00000000-0005-0000-0000-000002BA0000}"/>
    <cellStyle name="표준 5 6 2 4 2 5" xfId="16379" xr:uid="{00000000-0005-0000-0000-000003BA0000}"/>
    <cellStyle name="표준 5 6 2 4 2 6" xfId="20541" xr:uid="{00000000-0005-0000-0000-000004BA0000}"/>
    <cellStyle name="표준 5 6 2 4 2 7" xfId="24637" xr:uid="{00000000-0005-0000-0000-000005BA0000}"/>
    <cellStyle name="표준 5 6 2 4 2 8" xfId="32848" xr:uid="{00000000-0005-0000-0000-000006BA0000}"/>
    <cellStyle name="표준 5 6 2 4 2 9" xfId="41041" xr:uid="{00000000-0005-0000-0000-000007BA0000}"/>
    <cellStyle name="표준 5 6 2 4 3" xfId="1684" xr:uid="{00000000-0005-0000-0000-000008BA0000}"/>
    <cellStyle name="표준 5 6 2 4 3 2" xfId="10587" xr:uid="{00000000-0005-0000-0000-000009BA0000}"/>
    <cellStyle name="표준 5 6 2 4 3 2 2" xfId="14699" xr:uid="{00000000-0005-0000-0000-00000ABA0000}"/>
    <cellStyle name="표준 5 6 2 4 3 2 2 2" xfId="31293" xr:uid="{00000000-0005-0000-0000-00000BBA0000}"/>
    <cellStyle name="표준 5 6 2 4 3 2 2 3" xfId="39504" xr:uid="{00000000-0005-0000-0000-00000CBA0000}"/>
    <cellStyle name="표준 5 6 2 4 3 2 2 4" xfId="47697" xr:uid="{00000000-0005-0000-0000-00000DBA0000}"/>
    <cellStyle name="표준 5 6 2 4 3 2 3" xfId="18939" xr:uid="{00000000-0005-0000-0000-00000EBA0000}"/>
    <cellStyle name="표준 5 6 2 4 3 2 4" xfId="23101" xr:uid="{00000000-0005-0000-0000-00000FBA0000}"/>
    <cellStyle name="표준 5 6 2 4 3 2 5" xfId="27197" xr:uid="{00000000-0005-0000-0000-000010BA0000}"/>
    <cellStyle name="표준 5 6 2 4 3 2 6" xfId="35408" xr:uid="{00000000-0005-0000-0000-000011BA0000}"/>
    <cellStyle name="표준 5 6 2 4 3 2 7" xfId="43601" xr:uid="{00000000-0005-0000-0000-000012BA0000}"/>
    <cellStyle name="표준 5 6 2 4 3 3" xfId="8539" xr:uid="{00000000-0005-0000-0000-000013BA0000}"/>
    <cellStyle name="표준 5 6 2 4 3 3 2" xfId="29245" xr:uid="{00000000-0005-0000-0000-000014BA0000}"/>
    <cellStyle name="표준 5 6 2 4 3 3 3" xfId="37456" xr:uid="{00000000-0005-0000-0000-000015BA0000}"/>
    <cellStyle name="표준 5 6 2 4 3 3 4" xfId="45649" xr:uid="{00000000-0005-0000-0000-000016BA0000}"/>
    <cellStyle name="표준 5 6 2 4 3 4" xfId="12651" xr:uid="{00000000-0005-0000-0000-000017BA0000}"/>
    <cellStyle name="표준 5 6 2 4 3 5" xfId="16891" xr:uid="{00000000-0005-0000-0000-000018BA0000}"/>
    <cellStyle name="표준 5 6 2 4 3 6" xfId="21053" xr:uid="{00000000-0005-0000-0000-000019BA0000}"/>
    <cellStyle name="표준 5 6 2 4 3 7" xfId="25149" xr:uid="{00000000-0005-0000-0000-00001ABA0000}"/>
    <cellStyle name="표준 5 6 2 4 3 8" xfId="33360" xr:uid="{00000000-0005-0000-0000-00001BBA0000}"/>
    <cellStyle name="표준 5 6 2 4 3 9" xfId="41553" xr:uid="{00000000-0005-0000-0000-00001CBA0000}"/>
    <cellStyle name="표준 5 6 2 4 4" xfId="2196" xr:uid="{00000000-0005-0000-0000-00001DBA0000}"/>
    <cellStyle name="표준 5 6 2 4 4 2" xfId="11099" xr:uid="{00000000-0005-0000-0000-00001EBA0000}"/>
    <cellStyle name="표준 5 6 2 4 4 2 2" xfId="15211" xr:uid="{00000000-0005-0000-0000-00001FBA0000}"/>
    <cellStyle name="표준 5 6 2 4 4 2 2 2" xfId="31805" xr:uid="{00000000-0005-0000-0000-000020BA0000}"/>
    <cellStyle name="표준 5 6 2 4 4 2 2 3" xfId="40016" xr:uid="{00000000-0005-0000-0000-000021BA0000}"/>
    <cellStyle name="표준 5 6 2 4 4 2 2 4" xfId="48209" xr:uid="{00000000-0005-0000-0000-000022BA0000}"/>
    <cellStyle name="표준 5 6 2 4 4 2 3" xfId="19451" xr:uid="{00000000-0005-0000-0000-000023BA0000}"/>
    <cellStyle name="표준 5 6 2 4 4 2 4" xfId="23613" xr:uid="{00000000-0005-0000-0000-000024BA0000}"/>
    <cellStyle name="표준 5 6 2 4 4 2 5" xfId="27709" xr:uid="{00000000-0005-0000-0000-000025BA0000}"/>
    <cellStyle name="표준 5 6 2 4 4 2 6" xfId="35920" xr:uid="{00000000-0005-0000-0000-000026BA0000}"/>
    <cellStyle name="표준 5 6 2 4 4 2 7" xfId="44113" xr:uid="{00000000-0005-0000-0000-000027BA0000}"/>
    <cellStyle name="표준 5 6 2 4 4 3" xfId="9051" xr:uid="{00000000-0005-0000-0000-000028BA0000}"/>
    <cellStyle name="표준 5 6 2 4 4 3 2" xfId="29757" xr:uid="{00000000-0005-0000-0000-000029BA0000}"/>
    <cellStyle name="표준 5 6 2 4 4 3 3" xfId="37968" xr:uid="{00000000-0005-0000-0000-00002ABA0000}"/>
    <cellStyle name="표준 5 6 2 4 4 3 4" xfId="46161" xr:uid="{00000000-0005-0000-0000-00002BBA0000}"/>
    <cellStyle name="표준 5 6 2 4 4 4" xfId="13163" xr:uid="{00000000-0005-0000-0000-00002CBA0000}"/>
    <cellStyle name="표준 5 6 2 4 4 5" xfId="17403" xr:uid="{00000000-0005-0000-0000-00002DBA0000}"/>
    <cellStyle name="표준 5 6 2 4 4 6" xfId="21565" xr:uid="{00000000-0005-0000-0000-00002EBA0000}"/>
    <cellStyle name="표준 5 6 2 4 4 7" xfId="25661" xr:uid="{00000000-0005-0000-0000-00002FBA0000}"/>
    <cellStyle name="표준 5 6 2 4 4 8" xfId="33872" xr:uid="{00000000-0005-0000-0000-000030BA0000}"/>
    <cellStyle name="표준 5 6 2 4 4 9" xfId="42065" xr:uid="{00000000-0005-0000-0000-000031BA0000}"/>
    <cellStyle name="표준 5 6 2 4 5" xfId="9563" xr:uid="{00000000-0005-0000-0000-000032BA0000}"/>
    <cellStyle name="표준 5 6 2 4 5 2" xfId="13675" xr:uid="{00000000-0005-0000-0000-000033BA0000}"/>
    <cellStyle name="표준 5 6 2 4 5 2 2" xfId="30269" xr:uid="{00000000-0005-0000-0000-000034BA0000}"/>
    <cellStyle name="표준 5 6 2 4 5 2 3" xfId="38480" xr:uid="{00000000-0005-0000-0000-000035BA0000}"/>
    <cellStyle name="표준 5 6 2 4 5 2 4" xfId="46673" xr:uid="{00000000-0005-0000-0000-000036BA0000}"/>
    <cellStyle name="표준 5 6 2 4 5 3" xfId="17915" xr:uid="{00000000-0005-0000-0000-000037BA0000}"/>
    <cellStyle name="표준 5 6 2 4 5 4" xfId="22077" xr:uid="{00000000-0005-0000-0000-000038BA0000}"/>
    <cellStyle name="표준 5 6 2 4 5 5" xfId="26173" xr:uid="{00000000-0005-0000-0000-000039BA0000}"/>
    <cellStyle name="표준 5 6 2 4 5 6" xfId="34384" xr:uid="{00000000-0005-0000-0000-00003ABA0000}"/>
    <cellStyle name="표준 5 6 2 4 5 7" xfId="42577" xr:uid="{00000000-0005-0000-0000-00003BBA0000}"/>
    <cellStyle name="표준 5 6 2 4 6" xfId="7515" xr:uid="{00000000-0005-0000-0000-00003CBA0000}"/>
    <cellStyle name="표준 5 6 2 4 6 2" xfId="28221" xr:uid="{00000000-0005-0000-0000-00003DBA0000}"/>
    <cellStyle name="표준 5 6 2 4 6 3" xfId="36432" xr:uid="{00000000-0005-0000-0000-00003EBA0000}"/>
    <cellStyle name="표준 5 6 2 4 6 4" xfId="44625" xr:uid="{00000000-0005-0000-0000-00003FBA0000}"/>
    <cellStyle name="표준 5 6 2 4 7" xfId="11627" xr:uid="{00000000-0005-0000-0000-000040BA0000}"/>
    <cellStyle name="표준 5 6 2 4 8" xfId="15867" xr:uid="{00000000-0005-0000-0000-000041BA0000}"/>
    <cellStyle name="표준 5 6 2 4 9" xfId="20029" xr:uid="{00000000-0005-0000-0000-000042BA0000}"/>
    <cellStyle name="표준 5 6 2 5" xfId="916" xr:uid="{00000000-0005-0000-0000-000043BA0000}"/>
    <cellStyle name="표준 5 6 2 5 2" xfId="9819" xr:uid="{00000000-0005-0000-0000-000044BA0000}"/>
    <cellStyle name="표준 5 6 2 5 2 2" xfId="13931" xr:uid="{00000000-0005-0000-0000-000045BA0000}"/>
    <cellStyle name="표준 5 6 2 5 2 2 2" xfId="30525" xr:uid="{00000000-0005-0000-0000-000046BA0000}"/>
    <cellStyle name="표준 5 6 2 5 2 2 3" xfId="38736" xr:uid="{00000000-0005-0000-0000-000047BA0000}"/>
    <cellStyle name="표준 5 6 2 5 2 2 4" xfId="46929" xr:uid="{00000000-0005-0000-0000-000048BA0000}"/>
    <cellStyle name="표준 5 6 2 5 2 3" xfId="18171" xr:uid="{00000000-0005-0000-0000-000049BA0000}"/>
    <cellStyle name="표준 5 6 2 5 2 4" xfId="22333" xr:uid="{00000000-0005-0000-0000-00004ABA0000}"/>
    <cellStyle name="표준 5 6 2 5 2 5" xfId="26429" xr:uid="{00000000-0005-0000-0000-00004BBA0000}"/>
    <cellStyle name="표준 5 6 2 5 2 6" xfId="34640" xr:uid="{00000000-0005-0000-0000-00004CBA0000}"/>
    <cellStyle name="표준 5 6 2 5 2 7" xfId="42833" xr:uid="{00000000-0005-0000-0000-00004DBA0000}"/>
    <cellStyle name="표준 5 6 2 5 3" xfId="7771" xr:uid="{00000000-0005-0000-0000-00004EBA0000}"/>
    <cellStyle name="표준 5 6 2 5 3 2" xfId="28477" xr:uid="{00000000-0005-0000-0000-00004FBA0000}"/>
    <cellStyle name="표준 5 6 2 5 3 3" xfId="36688" xr:uid="{00000000-0005-0000-0000-000050BA0000}"/>
    <cellStyle name="표준 5 6 2 5 3 4" xfId="44881" xr:uid="{00000000-0005-0000-0000-000051BA0000}"/>
    <cellStyle name="표준 5 6 2 5 4" xfId="11883" xr:uid="{00000000-0005-0000-0000-000052BA0000}"/>
    <cellStyle name="표준 5 6 2 5 5" xfId="16123" xr:uid="{00000000-0005-0000-0000-000053BA0000}"/>
    <cellStyle name="표준 5 6 2 5 6" xfId="20285" xr:uid="{00000000-0005-0000-0000-000054BA0000}"/>
    <cellStyle name="표준 5 6 2 5 7" xfId="24381" xr:uid="{00000000-0005-0000-0000-000055BA0000}"/>
    <cellStyle name="표준 5 6 2 5 8" xfId="32592" xr:uid="{00000000-0005-0000-0000-000056BA0000}"/>
    <cellStyle name="표준 5 6 2 5 9" xfId="40785" xr:uid="{00000000-0005-0000-0000-000057BA0000}"/>
    <cellStyle name="표준 5 6 2 6" xfId="1428" xr:uid="{00000000-0005-0000-0000-000058BA0000}"/>
    <cellStyle name="표준 5 6 2 6 2" xfId="10331" xr:uid="{00000000-0005-0000-0000-000059BA0000}"/>
    <cellStyle name="표준 5 6 2 6 2 2" xfId="14443" xr:uid="{00000000-0005-0000-0000-00005ABA0000}"/>
    <cellStyle name="표준 5 6 2 6 2 2 2" xfId="31037" xr:uid="{00000000-0005-0000-0000-00005BBA0000}"/>
    <cellStyle name="표준 5 6 2 6 2 2 3" xfId="39248" xr:uid="{00000000-0005-0000-0000-00005CBA0000}"/>
    <cellStyle name="표준 5 6 2 6 2 2 4" xfId="47441" xr:uid="{00000000-0005-0000-0000-00005DBA0000}"/>
    <cellStyle name="표준 5 6 2 6 2 3" xfId="18683" xr:uid="{00000000-0005-0000-0000-00005EBA0000}"/>
    <cellStyle name="표준 5 6 2 6 2 4" xfId="22845" xr:uid="{00000000-0005-0000-0000-00005FBA0000}"/>
    <cellStyle name="표준 5 6 2 6 2 5" xfId="26941" xr:uid="{00000000-0005-0000-0000-000060BA0000}"/>
    <cellStyle name="표준 5 6 2 6 2 6" xfId="35152" xr:uid="{00000000-0005-0000-0000-000061BA0000}"/>
    <cellStyle name="표준 5 6 2 6 2 7" xfId="43345" xr:uid="{00000000-0005-0000-0000-000062BA0000}"/>
    <cellStyle name="표준 5 6 2 6 3" xfId="8283" xr:uid="{00000000-0005-0000-0000-000063BA0000}"/>
    <cellStyle name="표준 5 6 2 6 3 2" xfId="28989" xr:uid="{00000000-0005-0000-0000-000064BA0000}"/>
    <cellStyle name="표준 5 6 2 6 3 3" xfId="37200" xr:uid="{00000000-0005-0000-0000-000065BA0000}"/>
    <cellStyle name="표준 5 6 2 6 3 4" xfId="45393" xr:uid="{00000000-0005-0000-0000-000066BA0000}"/>
    <cellStyle name="표준 5 6 2 6 4" xfId="12395" xr:uid="{00000000-0005-0000-0000-000067BA0000}"/>
    <cellStyle name="표준 5 6 2 6 5" xfId="16635" xr:uid="{00000000-0005-0000-0000-000068BA0000}"/>
    <cellStyle name="표준 5 6 2 6 6" xfId="20797" xr:uid="{00000000-0005-0000-0000-000069BA0000}"/>
    <cellStyle name="표준 5 6 2 6 7" xfId="24893" xr:uid="{00000000-0005-0000-0000-00006ABA0000}"/>
    <cellStyle name="표준 5 6 2 6 8" xfId="33104" xr:uid="{00000000-0005-0000-0000-00006BBA0000}"/>
    <cellStyle name="표준 5 6 2 6 9" xfId="41297" xr:uid="{00000000-0005-0000-0000-00006CBA0000}"/>
    <cellStyle name="표준 5 6 2 7" xfId="1940" xr:uid="{00000000-0005-0000-0000-00006DBA0000}"/>
    <cellStyle name="표준 5 6 2 7 2" xfId="10843" xr:uid="{00000000-0005-0000-0000-00006EBA0000}"/>
    <cellStyle name="표준 5 6 2 7 2 2" xfId="14955" xr:uid="{00000000-0005-0000-0000-00006FBA0000}"/>
    <cellStyle name="표준 5 6 2 7 2 2 2" xfId="31549" xr:uid="{00000000-0005-0000-0000-000070BA0000}"/>
    <cellStyle name="표준 5 6 2 7 2 2 3" xfId="39760" xr:uid="{00000000-0005-0000-0000-000071BA0000}"/>
    <cellStyle name="표준 5 6 2 7 2 2 4" xfId="47953" xr:uid="{00000000-0005-0000-0000-000072BA0000}"/>
    <cellStyle name="표준 5 6 2 7 2 3" xfId="19195" xr:uid="{00000000-0005-0000-0000-000073BA0000}"/>
    <cellStyle name="표준 5 6 2 7 2 4" xfId="23357" xr:uid="{00000000-0005-0000-0000-000074BA0000}"/>
    <cellStyle name="표준 5 6 2 7 2 5" xfId="27453" xr:uid="{00000000-0005-0000-0000-000075BA0000}"/>
    <cellStyle name="표준 5 6 2 7 2 6" xfId="35664" xr:uid="{00000000-0005-0000-0000-000076BA0000}"/>
    <cellStyle name="표준 5 6 2 7 2 7" xfId="43857" xr:uid="{00000000-0005-0000-0000-000077BA0000}"/>
    <cellStyle name="표준 5 6 2 7 3" xfId="8795" xr:uid="{00000000-0005-0000-0000-000078BA0000}"/>
    <cellStyle name="표준 5 6 2 7 3 2" xfId="29501" xr:uid="{00000000-0005-0000-0000-000079BA0000}"/>
    <cellStyle name="표준 5 6 2 7 3 3" xfId="37712" xr:uid="{00000000-0005-0000-0000-00007ABA0000}"/>
    <cellStyle name="표준 5 6 2 7 3 4" xfId="45905" xr:uid="{00000000-0005-0000-0000-00007BBA0000}"/>
    <cellStyle name="표준 5 6 2 7 4" xfId="12907" xr:uid="{00000000-0005-0000-0000-00007CBA0000}"/>
    <cellStyle name="표준 5 6 2 7 5" xfId="17147" xr:uid="{00000000-0005-0000-0000-00007DBA0000}"/>
    <cellStyle name="표준 5 6 2 7 6" xfId="21309" xr:uid="{00000000-0005-0000-0000-00007EBA0000}"/>
    <cellStyle name="표준 5 6 2 7 7" xfId="25405" xr:uid="{00000000-0005-0000-0000-00007FBA0000}"/>
    <cellStyle name="표준 5 6 2 7 8" xfId="33616" xr:uid="{00000000-0005-0000-0000-000080BA0000}"/>
    <cellStyle name="표준 5 6 2 7 9" xfId="41809" xr:uid="{00000000-0005-0000-0000-000081BA0000}"/>
    <cellStyle name="표준 5 6 2 8" xfId="7032" xr:uid="{00000000-0005-0000-0000-000082BA0000}"/>
    <cellStyle name="표준 5 6 2 8 2" xfId="9307" xr:uid="{00000000-0005-0000-0000-000083BA0000}"/>
    <cellStyle name="표준 5 6 2 8 2 2" xfId="30013" xr:uid="{00000000-0005-0000-0000-000084BA0000}"/>
    <cellStyle name="표준 5 6 2 8 2 3" xfId="38224" xr:uid="{00000000-0005-0000-0000-000085BA0000}"/>
    <cellStyle name="표준 5 6 2 8 2 4" xfId="46417" xr:uid="{00000000-0005-0000-0000-000086BA0000}"/>
    <cellStyle name="표준 5 6 2 8 3" xfId="13419" xr:uid="{00000000-0005-0000-0000-000087BA0000}"/>
    <cellStyle name="표준 5 6 2 8 4" xfId="17659" xr:uid="{00000000-0005-0000-0000-000088BA0000}"/>
    <cellStyle name="표준 5 6 2 8 5" xfId="21821" xr:uid="{00000000-0005-0000-0000-000089BA0000}"/>
    <cellStyle name="표준 5 6 2 8 6" xfId="25917" xr:uid="{00000000-0005-0000-0000-00008ABA0000}"/>
    <cellStyle name="표준 5 6 2 8 7" xfId="34128" xr:uid="{00000000-0005-0000-0000-00008BBA0000}"/>
    <cellStyle name="표준 5 6 2 8 8" xfId="42321" xr:uid="{00000000-0005-0000-0000-00008CBA0000}"/>
    <cellStyle name="표준 5 6 2 9" xfId="7146" xr:uid="{00000000-0005-0000-0000-00008DBA0000}"/>
    <cellStyle name="표준 5 6 2 9 2" xfId="27965" xr:uid="{00000000-0005-0000-0000-00008EBA0000}"/>
    <cellStyle name="표준 5 6 2 9 3" xfId="36176" xr:uid="{00000000-0005-0000-0000-00008FBA0000}"/>
    <cellStyle name="표준 5 6 2 9 4" xfId="44369" xr:uid="{00000000-0005-0000-0000-000090BA0000}"/>
    <cellStyle name="표준 5 6 20" xfId="40241" xr:uid="{00000000-0005-0000-0000-000091BA0000}"/>
    <cellStyle name="표준 5 6 21" xfId="49657" xr:uid="{00000000-0005-0000-0000-000092BA0000}"/>
    <cellStyle name="표준 5 6 3" xfId="436" xr:uid="{00000000-0005-0000-0000-000093BA0000}"/>
    <cellStyle name="표준 5 6 3 10" xfId="15643" xr:uid="{00000000-0005-0000-0000-000094BA0000}"/>
    <cellStyle name="표준 5 6 3 11" xfId="19805" xr:uid="{00000000-0005-0000-0000-000095BA0000}"/>
    <cellStyle name="표준 5 6 3 12" xfId="23901" xr:uid="{00000000-0005-0000-0000-000096BA0000}"/>
    <cellStyle name="표준 5 6 3 13" xfId="32112" xr:uid="{00000000-0005-0000-0000-000097BA0000}"/>
    <cellStyle name="표준 5 6 3 14" xfId="40305" xr:uid="{00000000-0005-0000-0000-000098BA0000}"/>
    <cellStyle name="표준 5 6 3 2" xfId="564" xr:uid="{00000000-0005-0000-0000-000099BA0000}"/>
    <cellStyle name="표준 5 6 3 2 10" xfId="19933" xr:uid="{00000000-0005-0000-0000-00009ABA0000}"/>
    <cellStyle name="표준 5 6 3 2 11" xfId="24029" xr:uid="{00000000-0005-0000-0000-00009BBA0000}"/>
    <cellStyle name="표준 5 6 3 2 12" xfId="32240" xr:uid="{00000000-0005-0000-0000-00009CBA0000}"/>
    <cellStyle name="표준 5 6 3 2 13" xfId="40433" xr:uid="{00000000-0005-0000-0000-00009DBA0000}"/>
    <cellStyle name="표준 5 6 3 2 2" xfId="820" xr:uid="{00000000-0005-0000-0000-00009EBA0000}"/>
    <cellStyle name="표준 5 6 3 2 2 10" xfId="24285" xr:uid="{00000000-0005-0000-0000-00009FBA0000}"/>
    <cellStyle name="표준 5 6 3 2 2 11" xfId="32496" xr:uid="{00000000-0005-0000-0000-0000A0BA0000}"/>
    <cellStyle name="표준 5 6 3 2 2 12" xfId="40689" xr:uid="{00000000-0005-0000-0000-0000A1BA0000}"/>
    <cellStyle name="표준 5 6 3 2 2 2" xfId="1332" xr:uid="{00000000-0005-0000-0000-0000A2BA0000}"/>
    <cellStyle name="표준 5 6 3 2 2 2 2" xfId="10235" xr:uid="{00000000-0005-0000-0000-0000A3BA0000}"/>
    <cellStyle name="표준 5 6 3 2 2 2 2 2" xfId="14347" xr:uid="{00000000-0005-0000-0000-0000A4BA0000}"/>
    <cellStyle name="표준 5 6 3 2 2 2 2 2 2" xfId="30941" xr:uid="{00000000-0005-0000-0000-0000A5BA0000}"/>
    <cellStyle name="표준 5 6 3 2 2 2 2 2 3" xfId="39152" xr:uid="{00000000-0005-0000-0000-0000A6BA0000}"/>
    <cellStyle name="표준 5 6 3 2 2 2 2 2 4" xfId="47345" xr:uid="{00000000-0005-0000-0000-0000A7BA0000}"/>
    <cellStyle name="표준 5 6 3 2 2 2 2 3" xfId="18587" xr:uid="{00000000-0005-0000-0000-0000A8BA0000}"/>
    <cellStyle name="표준 5 6 3 2 2 2 2 4" xfId="22749" xr:uid="{00000000-0005-0000-0000-0000A9BA0000}"/>
    <cellStyle name="표준 5 6 3 2 2 2 2 5" xfId="26845" xr:uid="{00000000-0005-0000-0000-0000AABA0000}"/>
    <cellStyle name="표준 5 6 3 2 2 2 2 6" xfId="35056" xr:uid="{00000000-0005-0000-0000-0000ABBA0000}"/>
    <cellStyle name="표준 5 6 3 2 2 2 2 7" xfId="43249" xr:uid="{00000000-0005-0000-0000-0000ACBA0000}"/>
    <cellStyle name="표준 5 6 3 2 2 2 3" xfId="8187" xr:uid="{00000000-0005-0000-0000-0000ADBA0000}"/>
    <cellStyle name="표준 5 6 3 2 2 2 3 2" xfId="28893" xr:uid="{00000000-0005-0000-0000-0000AEBA0000}"/>
    <cellStyle name="표준 5 6 3 2 2 2 3 3" xfId="37104" xr:uid="{00000000-0005-0000-0000-0000AFBA0000}"/>
    <cellStyle name="표준 5 6 3 2 2 2 3 4" xfId="45297" xr:uid="{00000000-0005-0000-0000-0000B0BA0000}"/>
    <cellStyle name="표준 5 6 3 2 2 2 4" xfId="12299" xr:uid="{00000000-0005-0000-0000-0000B1BA0000}"/>
    <cellStyle name="표준 5 6 3 2 2 2 5" xfId="16539" xr:uid="{00000000-0005-0000-0000-0000B2BA0000}"/>
    <cellStyle name="표준 5 6 3 2 2 2 6" xfId="20701" xr:uid="{00000000-0005-0000-0000-0000B3BA0000}"/>
    <cellStyle name="표준 5 6 3 2 2 2 7" xfId="24797" xr:uid="{00000000-0005-0000-0000-0000B4BA0000}"/>
    <cellStyle name="표준 5 6 3 2 2 2 8" xfId="33008" xr:uid="{00000000-0005-0000-0000-0000B5BA0000}"/>
    <cellStyle name="표준 5 6 3 2 2 2 9" xfId="41201" xr:uid="{00000000-0005-0000-0000-0000B6BA0000}"/>
    <cellStyle name="표준 5 6 3 2 2 3" xfId="1844" xr:uid="{00000000-0005-0000-0000-0000B7BA0000}"/>
    <cellStyle name="표준 5 6 3 2 2 3 2" xfId="10747" xr:uid="{00000000-0005-0000-0000-0000B8BA0000}"/>
    <cellStyle name="표준 5 6 3 2 2 3 2 2" xfId="14859" xr:uid="{00000000-0005-0000-0000-0000B9BA0000}"/>
    <cellStyle name="표준 5 6 3 2 2 3 2 2 2" xfId="31453" xr:uid="{00000000-0005-0000-0000-0000BABA0000}"/>
    <cellStyle name="표준 5 6 3 2 2 3 2 2 3" xfId="39664" xr:uid="{00000000-0005-0000-0000-0000BBBA0000}"/>
    <cellStyle name="표준 5 6 3 2 2 3 2 2 4" xfId="47857" xr:uid="{00000000-0005-0000-0000-0000BCBA0000}"/>
    <cellStyle name="표준 5 6 3 2 2 3 2 3" xfId="19099" xr:uid="{00000000-0005-0000-0000-0000BDBA0000}"/>
    <cellStyle name="표준 5 6 3 2 2 3 2 4" xfId="23261" xr:uid="{00000000-0005-0000-0000-0000BEBA0000}"/>
    <cellStyle name="표준 5 6 3 2 2 3 2 5" xfId="27357" xr:uid="{00000000-0005-0000-0000-0000BFBA0000}"/>
    <cellStyle name="표준 5 6 3 2 2 3 2 6" xfId="35568" xr:uid="{00000000-0005-0000-0000-0000C0BA0000}"/>
    <cellStyle name="표준 5 6 3 2 2 3 2 7" xfId="43761" xr:uid="{00000000-0005-0000-0000-0000C1BA0000}"/>
    <cellStyle name="표준 5 6 3 2 2 3 3" xfId="8699" xr:uid="{00000000-0005-0000-0000-0000C2BA0000}"/>
    <cellStyle name="표준 5 6 3 2 2 3 3 2" xfId="29405" xr:uid="{00000000-0005-0000-0000-0000C3BA0000}"/>
    <cellStyle name="표준 5 6 3 2 2 3 3 3" xfId="37616" xr:uid="{00000000-0005-0000-0000-0000C4BA0000}"/>
    <cellStyle name="표준 5 6 3 2 2 3 3 4" xfId="45809" xr:uid="{00000000-0005-0000-0000-0000C5BA0000}"/>
    <cellStyle name="표준 5 6 3 2 2 3 4" xfId="12811" xr:uid="{00000000-0005-0000-0000-0000C6BA0000}"/>
    <cellStyle name="표준 5 6 3 2 2 3 5" xfId="17051" xr:uid="{00000000-0005-0000-0000-0000C7BA0000}"/>
    <cellStyle name="표준 5 6 3 2 2 3 6" xfId="21213" xr:uid="{00000000-0005-0000-0000-0000C8BA0000}"/>
    <cellStyle name="표준 5 6 3 2 2 3 7" xfId="25309" xr:uid="{00000000-0005-0000-0000-0000C9BA0000}"/>
    <cellStyle name="표준 5 6 3 2 2 3 8" xfId="33520" xr:uid="{00000000-0005-0000-0000-0000CABA0000}"/>
    <cellStyle name="표준 5 6 3 2 2 3 9" xfId="41713" xr:uid="{00000000-0005-0000-0000-0000CBBA0000}"/>
    <cellStyle name="표준 5 6 3 2 2 4" xfId="2356" xr:uid="{00000000-0005-0000-0000-0000CCBA0000}"/>
    <cellStyle name="표준 5 6 3 2 2 4 2" xfId="11259" xr:uid="{00000000-0005-0000-0000-0000CDBA0000}"/>
    <cellStyle name="표준 5 6 3 2 2 4 2 2" xfId="15371" xr:uid="{00000000-0005-0000-0000-0000CEBA0000}"/>
    <cellStyle name="표준 5 6 3 2 2 4 2 2 2" xfId="31965" xr:uid="{00000000-0005-0000-0000-0000CFBA0000}"/>
    <cellStyle name="표준 5 6 3 2 2 4 2 2 3" xfId="40176" xr:uid="{00000000-0005-0000-0000-0000D0BA0000}"/>
    <cellStyle name="표준 5 6 3 2 2 4 2 2 4" xfId="48369" xr:uid="{00000000-0005-0000-0000-0000D1BA0000}"/>
    <cellStyle name="표준 5 6 3 2 2 4 2 3" xfId="19611" xr:uid="{00000000-0005-0000-0000-0000D2BA0000}"/>
    <cellStyle name="표준 5 6 3 2 2 4 2 4" xfId="23773" xr:uid="{00000000-0005-0000-0000-0000D3BA0000}"/>
    <cellStyle name="표준 5 6 3 2 2 4 2 5" xfId="27869" xr:uid="{00000000-0005-0000-0000-0000D4BA0000}"/>
    <cellStyle name="표준 5 6 3 2 2 4 2 6" xfId="36080" xr:uid="{00000000-0005-0000-0000-0000D5BA0000}"/>
    <cellStyle name="표준 5 6 3 2 2 4 2 7" xfId="44273" xr:uid="{00000000-0005-0000-0000-0000D6BA0000}"/>
    <cellStyle name="표준 5 6 3 2 2 4 3" xfId="9211" xr:uid="{00000000-0005-0000-0000-0000D7BA0000}"/>
    <cellStyle name="표준 5 6 3 2 2 4 3 2" xfId="29917" xr:uid="{00000000-0005-0000-0000-0000D8BA0000}"/>
    <cellStyle name="표준 5 6 3 2 2 4 3 3" xfId="38128" xr:uid="{00000000-0005-0000-0000-0000D9BA0000}"/>
    <cellStyle name="표준 5 6 3 2 2 4 3 4" xfId="46321" xr:uid="{00000000-0005-0000-0000-0000DABA0000}"/>
    <cellStyle name="표준 5 6 3 2 2 4 4" xfId="13323" xr:uid="{00000000-0005-0000-0000-0000DBBA0000}"/>
    <cellStyle name="표준 5 6 3 2 2 4 5" xfId="17563" xr:uid="{00000000-0005-0000-0000-0000DCBA0000}"/>
    <cellStyle name="표준 5 6 3 2 2 4 6" xfId="21725" xr:uid="{00000000-0005-0000-0000-0000DDBA0000}"/>
    <cellStyle name="표준 5 6 3 2 2 4 7" xfId="25821" xr:uid="{00000000-0005-0000-0000-0000DEBA0000}"/>
    <cellStyle name="표준 5 6 3 2 2 4 8" xfId="34032" xr:uid="{00000000-0005-0000-0000-0000DFBA0000}"/>
    <cellStyle name="표준 5 6 3 2 2 4 9" xfId="42225" xr:uid="{00000000-0005-0000-0000-0000E0BA0000}"/>
    <cellStyle name="표준 5 6 3 2 2 5" xfId="9723" xr:uid="{00000000-0005-0000-0000-0000E1BA0000}"/>
    <cellStyle name="표준 5 6 3 2 2 5 2" xfId="13835" xr:uid="{00000000-0005-0000-0000-0000E2BA0000}"/>
    <cellStyle name="표준 5 6 3 2 2 5 2 2" xfId="30429" xr:uid="{00000000-0005-0000-0000-0000E3BA0000}"/>
    <cellStyle name="표준 5 6 3 2 2 5 2 3" xfId="38640" xr:uid="{00000000-0005-0000-0000-0000E4BA0000}"/>
    <cellStyle name="표준 5 6 3 2 2 5 2 4" xfId="46833" xr:uid="{00000000-0005-0000-0000-0000E5BA0000}"/>
    <cellStyle name="표준 5 6 3 2 2 5 3" xfId="18075" xr:uid="{00000000-0005-0000-0000-0000E6BA0000}"/>
    <cellStyle name="표준 5 6 3 2 2 5 4" xfId="22237" xr:uid="{00000000-0005-0000-0000-0000E7BA0000}"/>
    <cellStyle name="표준 5 6 3 2 2 5 5" xfId="26333" xr:uid="{00000000-0005-0000-0000-0000E8BA0000}"/>
    <cellStyle name="표준 5 6 3 2 2 5 6" xfId="34544" xr:uid="{00000000-0005-0000-0000-0000E9BA0000}"/>
    <cellStyle name="표준 5 6 3 2 2 5 7" xfId="42737" xr:uid="{00000000-0005-0000-0000-0000EABA0000}"/>
    <cellStyle name="표준 5 6 3 2 2 6" xfId="7675" xr:uid="{00000000-0005-0000-0000-0000EBBA0000}"/>
    <cellStyle name="표준 5 6 3 2 2 6 2" xfId="28381" xr:uid="{00000000-0005-0000-0000-0000ECBA0000}"/>
    <cellStyle name="표준 5 6 3 2 2 6 3" xfId="36592" xr:uid="{00000000-0005-0000-0000-0000EDBA0000}"/>
    <cellStyle name="표준 5 6 3 2 2 6 4" xfId="44785" xr:uid="{00000000-0005-0000-0000-0000EEBA0000}"/>
    <cellStyle name="표준 5 6 3 2 2 7" xfId="11787" xr:uid="{00000000-0005-0000-0000-0000EFBA0000}"/>
    <cellStyle name="표준 5 6 3 2 2 8" xfId="16027" xr:uid="{00000000-0005-0000-0000-0000F0BA0000}"/>
    <cellStyle name="표준 5 6 3 2 2 9" xfId="20189" xr:uid="{00000000-0005-0000-0000-0000F1BA0000}"/>
    <cellStyle name="표준 5 6 3 2 3" xfId="1076" xr:uid="{00000000-0005-0000-0000-0000F2BA0000}"/>
    <cellStyle name="표준 5 6 3 2 3 2" xfId="9979" xr:uid="{00000000-0005-0000-0000-0000F3BA0000}"/>
    <cellStyle name="표준 5 6 3 2 3 2 2" xfId="14091" xr:uid="{00000000-0005-0000-0000-0000F4BA0000}"/>
    <cellStyle name="표준 5 6 3 2 3 2 2 2" xfId="30685" xr:uid="{00000000-0005-0000-0000-0000F5BA0000}"/>
    <cellStyle name="표준 5 6 3 2 3 2 2 3" xfId="38896" xr:uid="{00000000-0005-0000-0000-0000F6BA0000}"/>
    <cellStyle name="표준 5 6 3 2 3 2 2 4" xfId="47089" xr:uid="{00000000-0005-0000-0000-0000F7BA0000}"/>
    <cellStyle name="표준 5 6 3 2 3 2 3" xfId="18331" xr:uid="{00000000-0005-0000-0000-0000F8BA0000}"/>
    <cellStyle name="표준 5 6 3 2 3 2 4" xfId="22493" xr:uid="{00000000-0005-0000-0000-0000F9BA0000}"/>
    <cellStyle name="표준 5 6 3 2 3 2 5" xfId="26589" xr:uid="{00000000-0005-0000-0000-0000FABA0000}"/>
    <cellStyle name="표준 5 6 3 2 3 2 6" xfId="34800" xr:uid="{00000000-0005-0000-0000-0000FBBA0000}"/>
    <cellStyle name="표준 5 6 3 2 3 2 7" xfId="42993" xr:uid="{00000000-0005-0000-0000-0000FCBA0000}"/>
    <cellStyle name="표준 5 6 3 2 3 3" xfId="7931" xr:uid="{00000000-0005-0000-0000-0000FDBA0000}"/>
    <cellStyle name="표준 5 6 3 2 3 3 2" xfId="28637" xr:uid="{00000000-0005-0000-0000-0000FEBA0000}"/>
    <cellStyle name="표준 5 6 3 2 3 3 3" xfId="36848" xr:uid="{00000000-0005-0000-0000-0000FFBA0000}"/>
    <cellStyle name="표준 5 6 3 2 3 3 4" xfId="45041" xr:uid="{00000000-0005-0000-0000-000000BB0000}"/>
    <cellStyle name="표준 5 6 3 2 3 4" xfId="12043" xr:uid="{00000000-0005-0000-0000-000001BB0000}"/>
    <cellStyle name="표준 5 6 3 2 3 5" xfId="16283" xr:uid="{00000000-0005-0000-0000-000002BB0000}"/>
    <cellStyle name="표준 5 6 3 2 3 6" xfId="20445" xr:uid="{00000000-0005-0000-0000-000003BB0000}"/>
    <cellStyle name="표준 5 6 3 2 3 7" xfId="24541" xr:uid="{00000000-0005-0000-0000-000004BB0000}"/>
    <cellStyle name="표준 5 6 3 2 3 8" xfId="32752" xr:uid="{00000000-0005-0000-0000-000005BB0000}"/>
    <cellStyle name="표준 5 6 3 2 3 9" xfId="40945" xr:uid="{00000000-0005-0000-0000-000006BB0000}"/>
    <cellStyle name="표준 5 6 3 2 4" xfId="1588" xr:uid="{00000000-0005-0000-0000-000007BB0000}"/>
    <cellStyle name="표준 5 6 3 2 4 2" xfId="10491" xr:uid="{00000000-0005-0000-0000-000008BB0000}"/>
    <cellStyle name="표준 5 6 3 2 4 2 2" xfId="14603" xr:uid="{00000000-0005-0000-0000-000009BB0000}"/>
    <cellStyle name="표준 5 6 3 2 4 2 2 2" xfId="31197" xr:uid="{00000000-0005-0000-0000-00000ABB0000}"/>
    <cellStyle name="표준 5 6 3 2 4 2 2 3" xfId="39408" xr:uid="{00000000-0005-0000-0000-00000BBB0000}"/>
    <cellStyle name="표준 5 6 3 2 4 2 2 4" xfId="47601" xr:uid="{00000000-0005-0000-0000-00000CBB0000}"/>
    <cellStyle name="표준 5 6 3 2 4 2 3" xfId="18843" xr:uid="{00000000-0005-0000-0000-00000DBB0000}"/>
    <cellStyle name="표준 5 6 3 2 4 2 4" xfId="23005" xr:uid="{00000000-0005-0000-0000-00000EBB0000}"/>
    <cellStyle name="표준 5 6 3 2 4 2 5" xfId="27101" xr:uid="{00000000-0005-0000-0000-00000FBB0000}"/>
    <cellStyle name="표준 5 6 3 2 4 2 6" xfId="35312" xr:uid="{00000000-0005-0000-0000-000010BB0000}"/>
    <cellStyle name="표준 5 6 3 2 4 2 7" xfId="43505" xr:uid="{00000000-0005-0000-0000-000011BB0000}"/>
    <cellStyle name="표준 5 6 3 2 4 3" xfId="8443" xr:uid="{00000000-0005-0000-0000-000012BB0000}"/>
    <cellStyle name="표준 5 6 3 2 4 3 2" xfId="29149" xr:uid="{00000000-0005-0000-0000-000013BB0000}"/>
    <cellStyle name="표준 5 6 3 2 4 3 3" xfId="37360" xr:uid="{00000000-0005-0000-0000-000014BB0000}"/>
    <cellStyle name="표준 5 6 3 2 4 3 4" xfId="45553" xr:uid="{00000000-0005-0000-0000-000015BB0000}"/>
    <cellStyle name="표준 5 6 3 2 4 4" xfId="12555" xr:uid="{00000000-0005-0000-0000-000016BB0000}"/>
    <cellStyle name="표준 5 6 3 2 4 5" xfId="16795" xr:uid="{00000000-0005-0000-0000-000017BB0000}"/>
    <cellStyle name="표준 5 6 3 2 4 6" xfId="20957" xr:uid="{00000000-0005-0000-0000-000018BB0000}"/>
    <cellStyle name="표준 5 6 3 2 4 7" xfId="25053" xr:uid="{00000000-0005-0000-0000-000019BB0000}"/>
    <cellStyle name="표준 5 6 3 2 4 8" xfId="33264" xr:uid="{00000000-0005-0000-0000-00001ABB0000}"/>
    <cellStyle name="표준 5 6 3 2 4 9" xfId="41457" xr:uid="{00000000-0005-0000-0000-00001BBB0000}"/>
    <cellStyle name="표준 5 6 3 2 5" xfId="2100" xr:uid="{00000000-0005-0000-0000-00001CBB0000}"/>
    <cellStyle name="표준 5 6 3 2 5 2" xfId="11003" xr:uid="{00000000-0005-0000-0000-00001DBB0000}"/>
    <cellStyle name="표준 5 6 3 2 5 2 2" xfId="15115" xr:uid="{00000000-0005-0000-0000-00001EBB0000}"/>
    <cellStyle name="표준 5 6 3 2 5 2 2 2" xfId="31709" xr:uid="{00000000-0005-0000-0000-00001FBB0000}"/>
    <cellStyle name="표준 5 6 3 2 5 2 2 3" xfId="39920" xr:uid="{00000000-0005-0000-0000-000020BB0000}"/>
    <cellStyle name="표준 5 6 3 2 5 2 2 4" xfId="48113" xr:uid="{00000000-0005-0000-0000-000021BB0000}"/>
    <cellStyle name="표준 5 6 3 2 5 2 3" xfId="19355" xr:uid="{00000000-0005-0000-0000-000022BB0000}"/>
    <cellStyle name="표준 5 6 3 2 5 2 4" xfId="23517" xr:uid="{00000000-0005-0000-0000-000023BB0000}"/>
    <cellStyle name="표준 5 6 3 2 5 2 5" xfId="27613" xr:uid="{00000000-0005-0000-0000-000024BB0000}"/>
    <cellStyle name="표준 5 6 3 2 5 2 6" xfId="35824" xr:uid="{00000000-0005-0000-0000-000025BB0000}"/>
    <cellStyle name="표준 5 6 3 2 5 2 7" xfId="44017" xr:uid="{00000000-0005-0000-0000-000026BB0000}"/>
    <cellStyle name="표준 5 6 3 2 5 3" xfId="8955" xr:uid="{00000000-0005-0000-0000-000027BB0000}"/>
    <cellStyle name="표준 5 6 3 2 5 3 2" xfId="29661" xr:uid="{00000000-0005-0000-0000-000028BB0000}"/>
    <cellStyle name="표준 5 6 3 2 5 3 3" xfId="37872" xr:uid="{00000000-0005-0000-0000-000029BB0000}"/>
    <cellStyle name="표준 5 6 3 2 5 3 4" xfId="46065" xr:uid="{00000000-0005-0000-0000-00002ABB0000}"/>
    <cellStyle name="표준 5 6 3 2 5 4" xfId="13067" xr:uid="{00000000-0005-0000-0000-00002BBB0000}"/>
    <cellStyle name="표준 5 6 3 2 5 5" xfId="17307" xr:uid="{00000000-0005-0000-0000-00002CBB0000}"/>
    <cellStyle name="표준 5 6 3 2 5 6" xfId="21469" xr:uid="{00000000-0005-0000-0000-00002DBB0000}"/>
    <cellStyle name="표준 5 6 3 2 5 7" xfId="25565" xr:uid="{00000000-0005-0000-0000-00002EBB0000}"/>
    <cellStyle name="표준 5 6 3 2 5 8" xfId="33776" xr:uid="{00000000-0005-0000-0000-00002FBB0000}"/>
    <cellStyle name="표준 5 6 3 2 5 9" xfId="41969" xr:uid="{00000000-0005-0000-0000-000030BB0000}"/>
    <cellStyle name="표준 5 6 3 2 6" xfId="9467" xr:uid="{00000000-0005-0000-0000-000031BB0000}"/>
    <cellStyle name="표준 5 6 3 2 6 2" xfId="13579" xr:uid="{00000000-0005-0000-0000-000032BB0000}"/>
    <cellStyle name="표준 5 6 3 2 6 2 2" xfId="30173" xr:uid="{00000000-0005-0000-0000-000033BB0000}"/>
    <cellStyle name="표준 5 6 3 2 6 2 3" xfId="38384" xr:uid="{00000000-0005-0000-0000-000034BB0000}"/>
    <cellStyle name="표준 5 6 3 2 6 2 4" xfId="46577" xr:uid="{00000000-0005-0000-0000-000035BB0000}"/>
    <cellStyle name="표준 5 6 3 2 6 3" xfId="17819" xr:uid="{00000000-0005-0000-0000-000036BB0000}"/>
    <cellStyle name="표준 5 6 3 2 6 4" xfId="21981" xr:uid="{00000000-0005-0000-0000-000037BB0000}"/>
    <cellStyle name="표준 5 6 3 2 6 5" xfId="26077" xr:uid="{00000000-0005-0000-0000-000038BB0000}"/>
    <cellStyle name="표준 5 6 3 2 6 6" xfId="34288" xr:uid="{00000000-0005-0000-0000-000039BB0000}"/>
    <cellStyle name="표준 5 6 3 2 6 7" xfId="42481" xr:uid="{00000000-0005-0000-0000-00003ABB0000}"/>
    <cellStyle name="표준 5 6 3 2 7" xfId="7419" xr:uid="{00000000-0005-0000-0000-00003BBB0000}"/>
    <cellStyle name="표준 5 6 3 2 7 2" xfId="28125" xr:uid="{00000000-0005-0000-0000-00003CBB0000}"/>
    <cellStyle name="표준 5 6 3 2 7 3" xfId="36336" xr:uid="{00000000-0005-0000-0000-00003DBB0000}"/>
    <cellStyle name="표준 5 6 3 2 7 4" xfId="44529" xr:uid="{00000000-0005-0000-0000-00003EBB0000}"/>
    <cellStyle name="표준 5 6 3 2 8" xfId="11531" xr:uid="{00000000-0005-0000-0000-00003FBB0000}"/>
    <cellStyle name="표준 5 6 3 2 9" xfId="15771" xr:uid="{00000000-0005-0000-0000-000040BB0000}"/>
    <cellStyle name="표준 5 6 3 3" xfId="692" xr:uid="{00000000-0005-0000-0000-000041BB0000}"/>
    <cellStyle name="표준 5 6 3 3 10" xfId="24157" xr:uid="{00000000-0005-0000-0000-000042BB0000}"/>
    <cellStyle name="표준 5 6 3 3 11" xfId="32368" xr:uid="{00000000-0005-0000-0000-000043BB0000}"/>
    <cellStyle name="표준 5 6 3 3 12" xfId="40561" xr:uid="{00000000-0005-0000-0000-000044BB0000}"/>
    <cellStyle name="표준 5 6 3 3 2" xfId="1204" xr:uid="{00000000-0005-0000-0000-000045BB0000}"/>
    <cellStyle name="표준 5 6 3 3 2 2" xfId="10107" xr:uid="{00000000-0005-0000-0000-000046BB0000}"/>
    <cellStyle name="표준 5 6 3 3 2 2 2" xfId="14219" xr:uid="{00000000-0005-0000-0000-000047BB0000}"/>
    <cellStyle name="표준 5 6 3 3 2 2 2 2" xfId="30813" xr:uid="{00000000-0005-0000-0000-000048BB0000}"/>
    <cellStyle name="표준 5 6 3 3 2 2 2 3" xfId="39024" xr:uid="{00000000-0005-0000-0000-000049BB0000}"/>
    <cellStyle name="표준 5 6 3 3 2 2 2 4" xfId="47217" xr:uid="{00000000-0005-0000-0000-00004ABB0000}"/>
    <cellStyle name="표준 5 6 3 3 2 2 3" xfId="18459" xr:uid="{00000000-0005-0000-0000-00004BBB0000}"/>
    <cellStyle name="표준 5 6 3 3 2 2 4" xfId="22621" xr:uid="{00000000-0005-0000-0000-00004CBB0000}"/>
    <cellStyle name="표준 5 6 3 3 2 2 5" xfId="26717" xr:uid="{00000000-0005-0000-0000-00004DBB0000}"/>
    <cellStyle name="표준 5 6 3 3 2 2 6" xfId="34928" xr:uid="{00000000-0005-0000-0000-00004EBB0000}"/>
    <cellStyle name="표준 5 6 3 3 2 2 7" xfId="43121" xr:uid="{00000000-0005-0000-0000-00004FBB0000}"/>
    <cellStyle name="표준 5 6 3 3 2 3" xfId="8059" xr:uid="{00000000-0005-0000-0000-000050BB0000}"/>
    <cellStyle name="표준 5 6 3 3 2 3 2" xfId="28765" xr:uid="{00000000-0005-0000-0000-000051BB0000}"/>
    <cellStyle name="표준 5 6 3 3 2 3 3" xfId="36976" xr:uid="{00000000-0005-0000-0000-000052BB0000}"/>
    <cellStyle name="표준 5 6 3 3 2 3 4" xfId="45169" xr:uid="{00000000-0005-0000-0000-000053BB0000}"/>
    <cellStyle name="표준 5 6 3 3 2 4" xfId="12171" xr:uid="{00000000-0005-0000-0000-000054BB0000}"/>
    <cellStyle name="표준 5 6 3 3 2 5" xfId="16411" xr:uid="{00000000-0005-0000-0000-000055BB0000}"/>
    <cellStyle name="표준 5 6 3 3 2 6" xfId="20573" xr:uid="{00000000-0005-0000-0000-000056BB0000}"/>
    <cellStyle name="표준 5 6 3 3 2 7" xfId="24669" xr:uid="{00000000-0005-0000-0000-000057BB0000}"/>
    <cellStyle name="표준 5 6 3 3 2 8" xfId="32880" xr:uid="{00000000-0005-0000-0000-000058BB0000}"/>
    <cellStyle name="표준 5 6 3 3 2 9" xfId="41073" xr:uid="{00000000-0005-0000-0000-000059BB0000}"/>
    <cellStyle name="표준 5 6 3 3 3" xfId="1716" xr:uid="{00000000-0005-0000-0000-00005ABB0000}"/>
    <cellStyle name="표준 5 6 3 3 3 2" xfId="10619" xr:uid="{00000000-0005-0000-0000-00005BBB0000}"/>
    <cellStyle name="표준 5 6 3 3 3 2 2" xfId="14731" xr:uid="{00000000-0005-0000-0000-00005CBB0000}"/>
    <cellStyle name="표준 5 6 3 3 3 2 2 2" xfId="31325" xr:uid="{00000000-0005-0000-0000-00005DBB0000}"/>
    <cellStyle name="표준 5 6 3 3 3 2 2 3" xfId="39536" xr:uid="{00000000-0005-0000-0000-00005EBB0000}"/>
    <cellStyle name="표준 5 6 3 3 3 2 2 4" xfId="47729" xr:uid="{00000000-0005-0000-0000-00005FBB0000}"/>
    <cellStyle name="표준 5 6 3 3 3 2 3" xfId="18971" xr:uid="{00000000-0005-0000-0000-000060BB0000}"/>
    <cellStyle name="표준 5 6 3 3 3 2 4" xfId="23133" xr:uid="{00000000-0005-0000-0000-000061BB0000}"/>
    <cellStyle name="표준 5 6 3 3 3 2 5" xfId="27229" xr:uid="{00000000-0005-0000-0000-000062BB0000}"/>
    <cellStyle name="표준 5 6 3 3 3 2 6" xfId="35440" xr:uid="{00000000-0005-0000-0000-000063BB0000}"/>
    <cellStyle name="표준 5 6 3 3 3 2 7" xfId="43633" xr:uid="{00000000-0005-0000-0000-000064BB0000}"/>
    <cellStyle name="표준 5 6 3 3 3 3" xfId="8571" xr:uid="{00000000-0005-0000-0000-000065BB0000}"/>
    <cellStyle name="표준 5 6 3 3 3 3 2" xfId="29277" xr:uid="{00000000-0005-0000-0000-000066BB0000}"/>
    <cellStyle name="표준 5 6 3 3 3 3 3" xfId="37488" xr:uid="{00000000-0005-0000-0000-000067BB0000}"/>
    <cellStyle name="표준 5 6 3 3 3 3 4" xfId="45681" xr:uid="{00000000-0005-0000-0000-000068BB0000}"/>
    <cellStyle name="표준 5 6 3 3 3 4" xfId="12683" xr:uid="{00000000-0005-0000-0000-000069BB0000}"/>
    <cellStyle name="표준 5 6 3 3 3 5" xfId="16923" xr:uid="{00000000-0005-0000-0000-00006ABB0000}"/>
    <cellStyle name="표준 5 6 3 3 3 6" xfId="21085" xr:uid="{00000000-0005-0000-0000-00006BBB0000}"/>
    <cellStyle name="표준 5 6 3 3 3 7" xfId="25181" xr:uid="{00000000-0005-0000-0000-00006CBB0000}"/>
    <cellStyle name="표준 5 6 3 3 3 8" xfId="33392" xr:uid="{00000000-0005-0000-0000-00006DBB0000}"/>
    <cellStyle name="표준 5 6 3 3 3 9" xfId="41585" xr:uid="{00000000-0005-0000-0000-00006EBB0000}"/>
    <cellStyle name="표준 5 6 3 3 4" xfId="2228" xr:uid="{00000000-0005-0000-0000-00006FBB0000}"/>
    <cellStyle name="표준 5 6 3 3 4 2" xfId="11131" xr:uid="{00000000-0005-0000-0000-000070BB0000}"/>
    <cellStyle name="표준 5 6 3 3 4 2 2" xfId="15243" xr:uid="{00000000-0005-0000-0000-000071BB0000}"/>
    <cellStyle name="표준 5 6 3 3 4 2 2 2" xfId="31837" xr:uid="{00000000-0005-0000-0000-000072BB0000}"/>
    <cellStyle name="표준 5 6 3 3 4 2 2 3" xfId="40048" xr:uid="{00000000-0005-0000-0000-000073BB0000}"/>
    <cellStyle name="표준 5 6 3 3 4 2 2 4" xfId="48241" xr:uid="{00000000-0005-0000-0000-000074BB0000}"/>
    <cellStyle name="표준 5 6 3 3 4 2 3" xfId="19483" xr:uid="{00000000-0005-0000-0000-000075BB0000}"/>
    <cellStyle name="표준 5 6 3 3 4 2 4" xfId="23645" xr:uid="{00000000-0005-0000-0000-000076BB0000}"/>
    <cellStyle name="표준 5 6 3 3 4 2 5" xfId="27741" xr:uid="{00000000-0005-0000-0000-000077BB0000}"/>
    <cellStyle name="표준 5 6 3 3 4 2 6" xfId="35952" xr:uid="{00000000-0005-0000-0000-000078BB0000}"/>
    <cellStyle name="표준 5 6 3 3 4 2 7" xfId="44145" xr:uid="{00000000-0005-0000-0000-000079BB0000}"/>
    <cellStyle name="표준 5 6 3 3 4 3" xfId="9083" xr:uid="{00000000-0005-0000-0000-00007ABB0000}"/>
    <cellStyle name="표준 5 6 3 3 4 3 2" xfId="29789" xr:uid="{00000000-0005-0000-0000-00007BBB0000}"/>
    <cellStyle name="표준 5 6 3 3 4 3 3" xfId="38000" xr:uid="{00000000-0005-0000-0000-00007CBB0000}"/>
    <cellStyle name="표준 5 6 3 3 4 3 4" xfId="46193" xr:uid="{00000000-0005-0000-0000-00007DBB0000}"/>
    <cellStyle name="표준 5 6 3 3 4 4" xfId="13195" xr:uid="{00000000-0005-0000-0000-00007EBB0000}"/>
    <cellStyle name="표준 5 6 3 3 4 5" xfId="17435" xr:uid="{00000000-0005-0000-0000-00007FBB0000}"/>
    <cellStyle name="표준 5 6 3 3 4 6" xfId="21597" xr:uid="{00000000-0005-0000-0000-000080BB0000}"/>
    <cellStyle name="표준 5 6 3 3 4 7" xfId="25693" xr:uid="{00000000-0005-0000-0000-000081BB0000}"/>
    <cellStyle name="표준 5 6 3 3 4 8" xfId="33904" xr:uid="{00000000-0005-0000-0000-000082BB0000}"/>
    <cellStyle name="표준 5 6 3 3 4 9" xfId="42097" xr:uid="{00000000-0005-0000-0000-000083BB0000}"/>
    <cellStyle name="표준 5 6 3 3 5" xfId="9595" xr:uid="{00000000-0005-0000-0000-000084BB0000}"/>
    <cellStyle name="표준 5 6 3 3 5 2" xfId="13707" xr:uid="{00000000-0005-0000-0000-000085BB0000}"/>
    <cellStyle name="표준 5 6 3 3 5 2 2" xfId="30301" xr:uid="{00000000-0005-0000-0000-000086BB0000}"/>
    <cellStyle name="표준 5 6 3 3 5 2 3" xfId="38512" xr:uid="{00000000-0005-0000-0000-000087BB0000}"/>
    <cellStyle name="표준 5 6 3 3 5 2 4" xfId="46705" xr:uid="{00000000-0005-0000-0000-000088BB0000}"/>
    <cellStyle name="표준 5 6 3 3 5 3" xfId="17947" xr:uid="{00000000-0005-0000-0000-000089BB0000}"/>
    <cellStyle name="표준 5 6 3 3 5 4" xfId="22109" xr:uid="{00000000-0005-0000-0000-00008ABB0000}"/>
    <cellStyle name="표준 5 6 3 3 5 5" xfId="26205" xr:uid="{00000000-0005-0000-0000-00008BBB0000}"/>
    <cellStyle name="표준 5 6 3 3 5 6" xfId="34416" xr:uid="{00000000-0005-0000-0000-00008CBB0000}"/>
    <cellStyle name="표준 5 6 3 3 5 7" xfId="42609" xr:uid="{00000000-0005-0000-0000-00008DBB0000}"/>
    <cellStyle name="표준 5 6 3 3 6" xfId="7547" xr:uid="{00000000-0005-0000-0000-00008EBB0000}"/>
    <cellStyle name="표준 5 6 3 3 6 2" xfId="28253" xr:uid="{00000000-0005-0000-0000-00008FBB0000}"/>
    <cellStyle name="표준 5 6 3 3 6 3" xfId="36464" xr:uid="{00000000-0005-0000-0000-000090BB0000}"/>
    <cellStyle name="표준 5 6 3 3 6 4" xfId="44657" xr:uid="{00000000-0005-0000-0000-000091BB0000}"/>
    <cellStyle name="표준 5 6 3 3 7" xfId="11659" xr:uid="{00000000-0005-0000-0000-000092BB0000}"/>
    <cellStyle name="표준 5 6 3 3 8" xfId="15899" xr:uid="{00000000-0005-0000-0000-000093BB0000}"/>
    <cellStyle name="표준 5 6 3 3 9" xfId="20061" xr:uid="{00000000-0005-0000-0000-000094BB0000}"/>
    <cellStyle name="표준 5 6 3 4" xfId="948" xr:uid="{00000000-0005-0000-0000-000095BB0000}"/>
    <cellStyle name="표준 5 6 3 4 2" xfId="9851" xr:uid="{00000000-0005-0000-0000-000096BB0000}"/>
    <cellStyle name="표준 5 6 3 4 2 2" xfId="13963" xr:uid="{00000000-0005-0000-0000-000097BB0000}"/>
    <cellStyle name="표준 5 6 3 4 2 2 2" xfId="30557" xr:uid="{00000000-0005-0000-0000-000098BB0000}"/>
    <cellStyle name="표준 5 6 3 4 2 2 3" xfId="38768" xr:uid="{00000000-0005-0000-0000-000099BB0000}"/>
    <cellStyle name="표준 5 6 3 4 2 2 4" xfId="46961" xr:uid="{00000000-0005-0000-0000-00009ABB0000}"/>
    <cellStyle name="표준 5 6 3 4 2 3" xfId="18203" xr:uid="{00000000-0005-0000-0000-00009BBB0000}"/>
    <cellStyle name="표준 5 6 3 4 2 4" xfId="22365" xr:uid="{00000000-0005-0000-0000-00009CBB0000}"/>
    <cellStyle name="표준 5 6 3 4 2 5" xfId="26461" xr:uid="{00000000-0005-0000-0000-00009DBB0000}"/>
    <cellStyle name="표준 5 6 3 4 2 6" xfId="34672" xr:uid="{00000000-0005-0000-0000-00009EBB0000}"/>
    <cellStyle name="표준 5 6 3 4 2 7" xfId="42865" xr:uid="{00000000-0005-0000-0000-00009FBB0000}"/>
    <cellStyle name="표준 5 6 3 4 3" xfId="7803" xr:uid="{00000000-0005-0000-0000-0000A0BB0000}"/>
    <cellStyle name="표준 5 6 3 4 3 2" xfId="28509" xr:uid="{00000000-0005-0000-0000-0000A1BB0000}"/>
    <cellStyle name="표준 5 6 3 4 3 3" xfId="36720" xr:uid="{00000000-0005-0000-0000-0000A2BB0000}"/>
    <cellStyle name="표준 5 6 3 4 3 4" xfId="44913" xr:uid="{00000000-0005-0000-0000-0000A3BB0000}"/>
    <cellStyle name="표준 5 6 3 4 4" xfId="11915" xr:uid="{00000000-0005-0000-0000-0000A4BB0000}"/>
    <cellStyle name="표준 5 6 3 4 5" xfId="16155" xr:uid="{00000000-0005-0000-0000-0000A5BB0000}"/>
    <cellStyle name="표준 5 6 3 4 6" xfId="20317" xr:uid="{00000000-0005-0000-0000-0000A6BB0000}"/>
    <cellStyle name="표준 5 6 3 4 7" xfId="24413" xr:uid="{00000000-0005-0000-0000-0000A7BB0000}"/>
    <cellStyle name="표준 5 6 3 4 8" xfId="32624" xr:uid="{00000000-0005-0000-0000-0000A8BB0000}"/>
    <cellStyle name="표준 5 6 3 4 9" xfId="40817" xr:uid="{00000000-0005-0000-0000-0000A9BB0000}"/>
    <cellStyle name="표준 5 6 3 5" xfId="1460" xr:uid="{00000000-0005-0000-0000-0000AABB0000}"/>
    <cellStyle name="표준 5 6 3 5 2" xfId="10363" xr:uid="{00000000-0005-0000-0000-0000ABBB0000}"/>
    <cellStyle name="표준 5 6 3 5 2 2" xfId="14475" xr:uid="{00000000-0005-0000-0000-0000ACBB0000}"/>
    <cellStyle name="표준 5 6 3 5 2 2 2" xfId="31069" xr:uid="{00000000-0005-0000-0000-0000ADBB0000}"/>
    <cellStyle name="표준 5 6 3 5 2 2 3" xfId="39280" xr:uid="{00000000-0005-0000-0000-0000AEBB0000}"/>
    <cellStyle name="표준 5 6 3 5 2 2 4" xfId="47473" xr:uid="{00000000-0005-0000-0000-0000AFBB0000}"/>
    <cellStyle name="표준 5 6 3 5 2 3" xfId="18715" xr:uid="{00000000-0005-0000-0000-0000B0BB0000}"/>
    <cellStyle name="표준 5 6 3 5 2 4" xfId="22877" xr:uid="{00000000-0005-0000-0000-0000B1BB0000}"/>
    <cellStyle name="표준 5 6 3 5 2 5" xfId="26973" xr:uid="{00000000-0005-0000-0000-0000B2BB0000}"/>
    <cellStyle name="표준 5 6 3 5 2 6" xfId="35184" xr:uid="{00000000-0005-0000-0000-0000B3BB0000}"/>
    <cellStyle name="표준 5 6 3 5 2 7" xfId="43377" xr:uid="{00000000-0005-0000-0000-0000B4BB0000}"/>
    <cellStyle name="표준 5 6 3 5 3" xfId="8315" xr:uid="{00000000-0005-0000-0000-0000B5BB0000}"/>
    <cellStyle name="표준 5 6 3 5 3 2" xfId="29021" xr:uid="{00000000-0005-0000-0000-0000B6BB0000}"/>
    <cellStyle name="표준 5 6 3 5 3 3" xfId="37232" xr:uid="{00000000-0005-0000-0000-0000B7BB0000}"/>
    <cellStyle name="표준 5 6 3 5 3 4" xfId="45425" xr:uid="{00000000-0005-0000-0000-0000B8BB0000}"/>
    <cellStyle name="표준 5 6 3 5 4" xfId="12427" xr:uid="{00000000-0005-0000-0000-0000B9BB0000}"/>
    <cellStyle name="표준 5 6 3 5 5" xfId="16667" xr:uid="{00000000-0005-0000-0000-0000BABB0000}"/>
    <cellStyle name="표준 5 6 3 5 6" xfId="20829" xr:uid="{00000000-0005-0000-0000-0000BBBB0000}"/>
    <cellStyle name="표준 5 6 3 5 7" xfId="24925" xr:uid="{00000000-0005-0000-0000-0000BCBB0000}"/>
    <cellStyle name="표준 5 6 3 5 8" xfId="33136" xr:uid="{00000000-0005-0000-0000-0000BDBB0000}"/>
    <cellStyle name="표준 5 6 3 5 9" xfId="41329" xr:uid="{00000000-0005-0000-0000-0000BEBB0000}"/>
    <cellStyle name="표준 5 6 3 6" xfId="1972" xr:uid="{00000000-0005-0000-0000-0000BFBB0000}"/>
    <cellStyle name="표준 5 6 3 6 2" xfId="10875" xr:uid="{00000000-0005-0000-0000-0000C0BB0000}"/>
    <cellStyle name="표준 5 6 3 6 2 2" xfId="14987" xr:uid="{00000000-0005-0000-0000-0000C1BB0000}"/>
    <cellStyle name="표준 5 6 3 6 2 2 2" xfId="31581" xr:uid="{00000000-0005-0000-0000-0000C2BB0000}"/>
    <cellStyle name="표준 5 6 3 6 2 2 3" xfId="39792" xr:uid="{00000000-0005-0000-0000-0000C3BB0000}"/>
    <cellStyle name="표준 5 6 3 6 2 2 4" xfId="47985" xr:uid="{00000000-0005-0000-0000-0000C4BB0000}"/>
    <cellStyle name="표준 5 6 3 6 2 3" xfId="19227" xr:uid="{00000000-0005-0000-0000-0000C5BB0000}"/>
    <cellStyle name="표준 5 6 3 6 2 4" xfId="23389" xr:uid="{00000000-0005-0000-0000-0000C6BB0000}"/>
    <cellStyle name="표준 5 6 3 6 2 5" xfId="27485" xr:uid="{00000000-0005-0000-0000-0000C7BB0000}"/>
    <cellStyle name="표준 5 6 3 6 2 6" xfId="35696" xr:uid="{00000000-0005-0000-0000-0000C8BB0000}"/>
    <cellStyle name="표준 5 6 3 6 2 7" xfId="43889" xr:uid="{00000000-0005-0000-0000-0000C9BB0000}"/>
    <cellStyle name="표준 5 6 3 6 3" xfId="8827" xr:uid="{00000000-0005-0000-0000-0000CABB0000}"/>
    <cellStyle name="표준 5 6 3 6 3 2" xfId="29533" xr:uid="{00000000-0005-0000-0000-0000CBBB0000}"/>
    <cellStyle name="표준 5 6 3 6 3 3" xfId="37744" xr:uid="{00000000-0005-0000-0000-0000CCBB0000}"/>
    <cellStyle name="표준 5 6 3 6 3 4" xfId="45937" xr:uid="{00000000-0005-0000-0000-0000CDBB0000}"/>
    <cellStyle name="표준 5 6 3 6 4" xfId="12939" xr:uid="{00000000-0005-0000-0000-0000CEBB0000}"/>
    <cellStyle name="표준 5 6 3 6 5" xfId="17179" xr:uid="{00000000-0005-0000-0000-0000CFBB0000}"/>
    <cellStyle name="표준 5 6 3 6 6" xfId="21341" xr:uid="{00000000-0005-0000-0000-0000D0BB0000}"/>
    <cellStyle name="표준 5 6 3 6 7" xfId="25437" xr:uid="{00000000-0005-0000-0000-0000D1BB0000}"/>
    <cellStyle name="표준 5 6 3 6 8" xfId="33648" xr:uid="{00000000-0005-0000-0000-0000D2BB0000}"/>
    <cellStyle name="표준 5 6 3 6 9" xfId="41841" xr:uid="{00000000-0005-0000-0000-0000D3BB0000}"/>
    <cellStyle name="표준 5 6 3 7" xfId="9339" xr:uid="{00000000-0005-0000-0000-0000D4BB0000}"/>
    <cellStyle name="표준 5 6 3 7 2" xfId="13451" xr:uid="{00000000-0005-0000-0000-0000D5BB0000}"/>
    <cellStyle name="표준 5 6 3 7 2 2" xfId="30045" xr:uid="{00000000-0005-0000-0000-0000D6BB0000}"/>
    <cellStyle name="표준 5 6 3 7 2 3" xfId="38256" xr:uid="{00000000-0005-0000-0000-0000D7BB0000}"/>
    <cellStyle name="표준 5 6 3 7 2 4" xfId="46449" xr:uid="{00000000-0005-0000-0000-0000D8BB0000}"/>
    <cellStyle name="표준 5 6 3 7 3" xfId="17691" xr:uid="{00000000-0005-0000-0000-0000D9BB0000}"/>
    <cellStyle name="표준 5 6 3 7 4" xfId="21853" xr:uid="{00000000-0005-0000-0000-0000DABB0000}"/>
    <cellStyle name="표준 5 6 3 7 5" xfId="25949" xr:uid="{00000000-0005-0000-0000-0000DBBB0000}"/>
    <cellStyle name="표준 5 6 3 7 6" xfId="34160" xr:uid="{00000000-0005-0000-0000-0000DCBB0000}"/>
    <cellStyle name="표준 5 6 3 7 7" xfId="42353" xr:uid="{00000000-0005-0000-0000-0000DDBB0000}"/>
    <cellStyle name="표준 5 6 3 8" xfId="7291" xr:uid="{00000000-0005-0000-0000-0000DEBB0000}"/>
    <cellStyle name="표준 5 6 3 8 2" xfId="27997" xr:uid="{00000000-0005-0000-0000-0000DFBB0000}"/>
    <cellStyle name="표준 5 6 3 8 3" xfId="36208" xr:uid="{00000000-0005-0000-0000-0000E0BB0000}"/>
    <cellStyle name="표준 5 6 3 8 4" xfId="44401" xr:uid="{00000000-0005-0000-0000-0000E1BB0000}"/>
    <cellStyle name="표준 5 6 3 9" xfId="11403" xr:uid="{00000000-0005-0000-0000-0000E2BB0000}"/>
    <cellStyle name="표준 5 6 4" xfId="500" xr:uid="{00000000-0005-0000-0000-0000E3BB0000}"/>
    <cellStyle name="표준 5 6 4 10" xfId="19869" xr:uid="{00000000-0005-0000-0000-0000E4BB0000}"/>
    <cellStyle name="표준 5 6 4 11" xfId="23965" xr:uid="{00000000-0005-0000-0000-0000E5BB0000}"/>
    <cellStyle name="표준 5 6 4 12" xfId="32176" xr:uid="{00000000-0005-0000-0000-0000E6BB0000}"/>
    <cellStyle name="표준 5 6 4 13" xfId="40369" xr:uid="{00000000-0005-0000-0000-0000E7BB0000}"/>
    <cellStyle name="표준 5 6 4 2" xfId="756" xr:uid="{00000000-0005-0000-0000-0000E8BB0000}"/>
    <cellStyle name="표준 5 6 4 2 10" xfId="24221" xr:uid="{00000000-0005-0000-0000-0000E9BB0000}"/>
    <cellStyle name="표준 5 6 4 2 11" xfId="32432" xr:uid="{00000000-0005-0000-0000-0000EABB0000}"/>
    <cellStyle name="표준 5 6 4 2 12" xfId="40625" xr:uid="{00000000-0005-0000-0000-0000EBBB0000}"/>
    <cellStyle name="표준 5 6 4 2 2" xfId="1268" xr:uid="{00000000-0005-0000-0000-0000ECBB0000}"/>
    <cellStyle name="표준 5 6 4 2 2 2" xfId="10171" xr:uid="{00000000-0005-0000-0000-0000EDBB0000}"/>
    <cellStyle name="표준 5 6 4 2 2 2 2" xfId="14283" xr:uid="{00000000-0005-0000-0000-0000EEBB0000}"/>
    <cellStyle name="표준 5 6 4 2 2 2 2 2" xfId="30877" xr:uid="{00000000-0005-0000-0000-0000EFBB0000}"/>
    <cellStyle name="표준 5 6 4 2 2 2 2 3" xfId="39088" xr:uid="{00000000-0005-0000-0000-0000F0BB0000}"/>
    <cellStyle name="표준 5 6 4 2 2 2 2 4" xfId="47281" xr:uid="{00000000-0005-0000-0000-0000F1BB0000}"/>
    <cellStyle name="표준 5 6 4 2 2 2 3" xfId="18523" xr:uid="{00000000-0005-0000-0000-0000F2BB0000}"/>
    <cellStyle name="표준 5 6 4 2 2 2 4" xfId="22685" xr:uid="{00000000-0005-0000-0000-0000F3BB0000}"/>
    <cellStyle name="표준 5 6 4 2 2 2 5" xfId="26781" xr:uid="{00000000-0005-0000-0000-0000F4BB0000}"/>
    <cellStyle name="표준 5 6 4 2 2 2 6" xfId="34992" xr:uid="{00000000-0005-0000-0000-0000F5BB0000}"/>
    <cellStyle name="표준 5 6 4 2 2 2 7" xfId="43185" xr:uid="{00000000-0005-0000-0000-0000F6BB0000}"/>
    <cellStyle name="표준 5 6 4 2 2 3" xfId="8123" xr:uid="{00000000-0005-0000-0000-0000F7BB0000}"/>
    <cellStyle name="표준 5 6 4 2 2 3 2" xfId="28829" xr:uid="{00000000-0005-0000-0000-0000F8BB0000}"/>
    <cellStyle name="표준 5 6 4 2 2 3 3" xfId="37040" xr:uid="{00000000-0005-0000-0000-0000F9BB0000}"/>
    <cellStyle name="표준 5 6 4 2 2 3 4" xfId="45233" xr:uid="{00000000-0005-0000-0000-0000FABB0000}"/>
    <cellStyle name="표준 5 6 4 2 2 4" xfId="12235" xr:uid="{00000000-0005-0000-0000-0000FBBB0000}"/>
    <cellStyle name="표준 5 6 4 2 2 5" xfId="16475" xr:uid="{00000000-0005-0000-0000-0000FCBB0000}"/>
    <cellStyle name="표준 5 6 4 2 2 6" xfId="20637" xr:uid="{00000000-0005-0000-0000-0000FDBB0000}"/>
    <cellStyle name="표준 5 6 4 2 2 7" xfId="24733" xr:uid="{00000000-0005-0000-0000-0000FEBB0000}"/>
    <cellStyle name="표준 5 6 4 2 2 8" xfId="32944" xr:uid="{00000000-0005-0000-0000-0000FFBB0000}"/>
    <cellStyle name="표준 5 6 4 2 2 9" xfId="41137" xr:uid="{00000000-0005-0000-0000-000000BC0000}"/>
    <cellStyle name="표준 5 6 4 2 3" xfId="1780" xr:uid="{00000000-0005-0000-0000-000001BC0000}"/>
    <cellStyle name="표준 5 6 4 2 3 2" xfId="10683" xr:uid="{00000000-0005-0000-0000-000002BC0000}"/>
    <cellStyle name="표준 5 6 4 2 3 2 2" xfId="14795" xr:uid="{00000000-0005-0000-0000-000003BC0000}"/>
    <cellStyle name="표준 5 6 4 2 3 2 2 2" xfId="31389" xr:uid="{00000000-0005-0000-0000-000004BC0000}"/>
    <cellStyle name="표준 5 6 4 2 3 2 2 3" xfId="39600" xr:uid="{00000000-0005-0000-0000-000005BC0000}"/>
    <cellStyle name="표준 5 6 4 2 3 2 2 4" xfId="47793" xr:uid="{00000000-0005-0000-0000-000006BC0000}"/>
    <cellStyle name="표준 5 6 4 2 3 2 3" xfId="19035" xr:uid="{00000000-0005-0000-0000-000007BC0000}"/>
    <cellStyle name="표준 5 6 4 2 3 2 4" xfId="23197" xr:uid="{00000000-0005-0000-0000-000008BC0000}"/>
    <cellStyle name="표준 5 6 4 2 3 2 5" xfId="27293" xr:uid="{00000000-0005-0000-0000-000009BC0000}"/>
    <cellStyle name="표준 5 6 4 2 3 2 6" xfId="35504" xr:uid="{00000000-0005-0000-0000-00000ABC0000}"/>
    <cellStyle name="표준 5 6 4 2 3 2 7" xfId="43697" xr:uid="{00000000-0005-0000-0000-00000BBC0000}"/>
    <cellStyle name="표준 5 6 4 2 3 3" xfId="8635" xr:uid="{00000000-0005-0000-0000-00000CBC0000}"/>
    <cellStyle name="표준 5 6 4 2 3 3 2" xfId="29341" xr:uid="{00000000-0005-0000-0000-00000DBC0000}"/>
    <cellStyle name="표준 5 6 4 2 3 3 3" xfId="37552" xr:uid="{00000000-0005-0000-0000-00000EBC0000}"/>
    <cellStyle name="표준 5 6 4 2 3 3 4" xfId="45745" xr:uid="{00000000-0005-0000-0000-00000FBC0000}"/>
    <cellStyle name="표준 5 6 4 2 3 4" xfId="12747" xr:uid="{00000000-0005-0000-0000-000010BC0000}"/>
    <cellStyle name="표준 5 6 4 2 3 5" xfId="16987" xr:uid="{00000000-0005-0000-0000-000011BC0000}"/>
    <cellStyle name="표준 5 6 4 2 3 6" xfId="21149" xr:uid="{00000000-0005-0000-0000-000012BC0000}"/>
    <cellStyle name="표준 5 6 4 2 3 7" xfId="25245" xr:uid="{00000000-0005-0000-0000-000013BC0000}"/>
    <cellStyle name="표준 5 6 4 2 3 8" xfId="33456" xr:uid="{00000000-0005-0000-0000-000014BC0000}"/>
    <cellStyle name="표준 5 6 4 2 3 9" xfId="41649" xr:uid="{00000000-0005-0000-0000-000015BC0000}"/>
    <cellStyle name="표준 5 6 4 2 4" xfId="2292" xr:uid="{00000000-0005-0000-0000-000016BC0000}"/>
    <cellStyle name="표준 5 6 4 2 4 2" xfId="11195" xr:uid="{00000000-0005-0000-0000-000017BC0000}"/>
    <cellStyle name="표준 5 6 4 2 4 2 2" xfId="15307" xr:uid="{00000000-0005-0000-0000-000018BC0000}"/>
    <cellStyle name="표준 5 6 4 2 4 2 2 2" xfId="31901" xr:uid="{00000000-0005-0000-0000-000019BC0000}"/>
    <cellStyle name="표준 5 6 4 2 4 2 2 3" xfId="40112" xr:uid="{00000000-0005-0000-0000-00001ABC0000}"/>
    <cellStyle name="표준 5 6 4 2 4 2 2 4" xfId="48305" xr:uid="{00000000-0005-0000-0000-00001BBC0000}"/>
    <cellStyle name="표준 5 6 4 2 4 2 3" xfId="19547" xr:uid="{00000000-0005-0000-0000-00001CBC0000}"/>
    <cellStyle name="표준 5 6 4 2 4 2 4" xfId="23709" xr:uid="{00000000-0005-0000-0000-00001DBC0000}"/>
    <cellStyle name="표준 5 6 4 2 4 2 5" xfId="27805" xr:uid="{00000000-0005-0000-0000-00001EBC0000}"/>
    <cellStyle name="표준 5 6 4 2 4 2 6" xfId="36016" xr:uid="{00000000-0005-0000-0000-00001FBC0000}"/>
    <cellStyle name="표준 5 6 4 2 4 2 7" xfId="44209" xr:uid="{00000000-0005-0000-0000-000020BC0000}"/>
    <cellStyle name="표준 5 6 4 2 4 3" xfId="9147" xr:uid="{00000000-0005-0000-0000-000021BC0000}"/>
    <cellStyle name="표준 5 6 4 2 4 3 2" xfId="29853" xr:uid="{00000000-0005-0000-0000-000022BC0000}"/>
    <cellStyle name="표준 5 6 4 2 4 3 3" xfId="38064" xr:uid="{00000000-0005-0000-0000-000023BC0000}"/>
    <cellStyle name="표준 5 6 4 2 4 3 4" xfId="46257" xr:uid="{00000000-0005-0000-0000-000024BC0000}"/>
    <cellStyle name="표준 5 6 4 2 4 4" xfId="13259" xr:uid="{00000000-0005-0000-0000-000025BC0000}"/>
    <cellStyle name="표준 5 6 4 2 4 5" xfId="17499" xr:uid="{00000000-0005-0000-0000-000026BC0000}"/>
    <cellStyle name="표준 5 6 4 2 4 6" xfId="21661" xr:uid="{00000000-0005-0000-0000-000027BC0000}"/>
    <cellStyle name="표준 5 6 4 2 4 7" xfId="25757" xr:uid="{00000000-0005-0000-0000-000028BC0000}"/>
    <cellStyle name="표준 5 6 4 2 4 8" xfId="33968" xr:uid="{00000000-0005-0000-0000-000029BC0000}"/>
    <cellStyle name="표준 5 6 4 2 4 9" xfId="42161" xr:uid="{00000000-0005-0000-0000-00002ABC0000}"/>
    <cellStyle name="표준 5 6 4 2 5" xfId="9659" xr:uid="{00000000-0005-0000-0000-00002BBC0000}"/>
    <cellStyle name="표준 5 6 4 2 5 2" xfId="13771" xr:uid="{00000000-0005-0000-0000-00002CBC0000}"/>
    <cellStyle name="표준 5 6 4 2 5 2 2" xfId="30365" xr:uid="{00000000-0005-0000-0000-00002DBC0000}"/>
    <cellStyle name="표준 5 6 4 2 5 2 3" xfId="38576" xr:uid="{00000000-0005-0000-0000-00002EBC0000}"/>
    <cellStyle name="표준 5 6 4 2 5 2 4" xfId="46769" xr:uid="{00000000-0005-0000-0000-00002FBC0000}"/>
    <cellStyle name="표준 5 6 4 2 5 3" xfId="18011" xr:uid="{00000000-0005-0000-0000-000030BC0000}"/>
    <cellStyle name="표준 5 6 4 2 5 4" xfId="22173" xr:uid="{00000000-0005-0000-0000-000031BC0000}"/>
    <cellStyle name="표준 5 6 4 2 5 5" xfId="26269" xr:uid="{00000000-0005-0000-0000-000032BC0000}"/>
    <cellStyle name="표준 5 6 4 2 5 6" xfId="34480" xr:uid="{00000000-0005-0000-0000-000033BC0000}"/>
    <cellStyle name="표준 5 6 4 2 5 7" xfId="42673" xr:uid="{00000000-0005-0000-0000-000034BC0000}"/>
    <cellStyle name="표준 5 6 4 2 6" xfId="7611" xr:uid="{00000000-0005-0000-0000-000035BC0000}"/>
    <cellStyle name="표준 5 6 4 2 6 2" xfId="28317" xr:uid="{00000000-0005-0000-0000-000036BC0000}"/>
    <cellStyle name="표준 5 6 4 2 6 3" xfId="36528" xr:uid="{00000000-0005-0000-0000-000037BC0000}"/>
    <cellStyle name="표준 5 6 4 2 6 4" xfId="44721" xr:uid="{00000000-0005-0000-0000-000038BC0000}"/>
    <cellStyle name="표준 5 6 4 2 7" xfId="11723" xr:uid="{00000000-0005-0000-0000-000039BC0000}"/>
    <cellStyle name="표준 5 6 4 2 8" xfId="15963" xr:uid="{00000000-0005-0000-0000-00003ABC0000}"/>
    <cellStyle name="표준 5 6 4 2 9" xfId="20125" xr:uid="{00000000-0005-0000-0000-00003BBC0000}"/>
    <cellStyle name="표준 5 6 4 3" xfId="1012" xr:uid="{00000000-0005-0000-0000-00003CBC0000}"/>
    <cellStyle name="표준 5 6 4 3 2" xfId="9915" xr:uid="{00000000-0005-0000-0000-00003DBC0000}"/>
    <cellStyle name="표준 5 6 4 3 2 2" xfId="14027" xr:uid="{00000000-0005-0000-0000-00003EBC0000}"/>
    <cellStyle name="표준 5 6 4 3 2 2 2" xfId="30621" xr:uid="{00000000-0005-0000-0000-00003FBC0000}"/>
    <cellStyle name="표준 5 6 4 3 2 2 3" xfId="38832" xr:uid="{00000000-0005-0000-0000-000040BC0000}"/>
    <cellStyle name="표준 5 6 4 3 2 2 4" xfId="47025" xr:uid="{00000000-0005-0000-0000-000041BC0000}"/>
    <cellStyle name="표준 5 6 4 3 2 3" xfId="18267" xr:uid="{00000000-0005-0000-0000-000042BC0000}"/>
    <cellStyle name="표준 5 6 4 3 2 4" xfId="22429" xr:uid="{00000000-0005-0000-0000-000043BC0000}"/>
    <cellStyle name="표준 5 6 4 3 2 5" xfId="26525" xr:uid="{00000000-0005-0000-0000-000044BC0000}"/>
    <cellStyle name="표준 5 6 4 3 2 6" xfId="34736" xr:uid="{00000000-0005-0000-0000-000045BC0000}"/>
    <cellStyle name="표준 5 6 4 3 2 7" xfId="42929" xr:uid="{00000000-0005-0000-0000-000046BC0000}"/>
    <cellStyle name="표준 5 6 4 3 3" xfId="7867" xr:uid="{00000000-0005-0000-0000-000047BC0000}"/>
    <cellStyle name="표준 5 6 4 3 3 2" xfId="28573" xr:uid="{00000000-0005-0000-0000-000048BC0000}"/>
    <cellStyle name="표준 5 6 4 3 3 3" xfId="36784" xr:uid="{00000000-0005-0000-0000-000049BC0000}"/>
    <cellStyle name="표준 5 6 4 3 3 4" xfId="44977" xr:uid="{00000000-0005-0000-0000-00004ABC0000}"/>
    <cellStyle name="표준 5 6 4 3 4" xfId="11979" xr:uid="{00000000-0005-0000-0000-00004BBC0000}"/>
    <cellStyle name="표준 5 6 4 3 5" xfId="16219" xr:uid="{00000000-0005-0000-0000-00004CBC0000}"/>
    <cellStyle name="표준 5 6 4 3 6" xfId="20381" xr:uid="{00000000-0005-0000-0000-00004DBC0000}"/>
    <cellStyle name="표준 5 6 4 3 7" xfId="24477" xr:uid="{00000000-0005-0000-0000-00004EBC0000}"/>
    <cellStyle name="표준 5 6 4 3 8" xfId="32688" xr:uid="{00000000-0005-0000-0000-00004FBC0000}"/>
    <cellStyle name="표준 5 6 4 3 9" xfId="40881" xr:uid="{00000000-0005-0000-0000-000050BC0000}"/>
    <cellStyle name="표준 5 6 4 4" xfId="1524" xr:uid="{00000000-0005-0000-0000-000051BC0000}"/>
    <cellStyle name="표준 5 6 4 4 2" xfId="10427" xr:uid="{00000000-0005-0000-0000-000052BC0000}"/>
    <cellStyle name="표준 5 6 4 4 2 2" xfId="14539" xr:uid="{00000000-0005-0000-0000-000053BC0000}"/>
    <cellStyle name="표준 5 6 4 4 2 2 2" xfId="31133" xr:uid="{00000000-0005-0000-0000-000054BC0000}"/>
    <cellStyle name="표준 5 6 4 4 2 2 3" xfId="39344" xr:uid="{00000000-0005-0000-0000-000055BC0000}"/>
    <cellStyle name="표준 5 6 4 4 2 2 4" xfId="47537" xr:uid="{00000000-0005-0000-0000-000056BC0000}"/>
    <cellStyle name="표준 5 6 4 4 2 3" xfId="18779" xr:uid="{00000000-0005-0000-0000-000057BC0000}"/>
    <cellStyle name="표준 5 6 4 4 2 4" xfId="22941" xr:uid="{00000000-0005-0000-0000-000058BC0000}"/>
    <cellStyle name="표준 5 6 4 4 2 5" xfId="27037" xr:uid="{00000000-0005-0000-0000-000059BC0000}"/>
    <cellStyle name="표준 5 6 4 4 2 6" xfId="35248" xr:uid="{00000000-0005-0000-0000-00005ABC0000}"/>
    <cellStyle name="표준 5 6 4 4 2 7" xfId="43441" xr:uid="{00000000-0005-0000-0000-00005BBC0000}"/>
    <cellStyle name="표준 5 6 4 4 3" xfId="8379" xr:uid="{00000000-0005-0000-0000-00005CBC0000}"/>
    <cellStyle name="표준 5 6 4 4 3 2" xfId="29085" xr:uid="{00000000-0005-0000-0000-00005DBC0000}"/>
    <cellStyle name="표준 5 6 4 4 3 3" xfId="37296" xr:uid="{00000000-0005-0000-0000-00005EBC0000}"/>
    <cellStyle name="표준 5 6 4 4 3 4" xfId="45489" xr:uid="{00000000-0005-0000-0000-00005FBC0000}"/>
    <cellStyle name="표준 5 6 4 4 4" xfId="12491" xr:uid="{00000000-0005-0000-0000-000060BC0000}"/>
    <cellStyle name="표준 5 6 4 4 5" xfId="16731" xr:uid="{00000000-0005-0000-0000-000061BC0000}"/>
    <cellStyle name="표준 5 6 4 4 6" xfId="20893" xr:uid="{00000000-0005-0000-0000-000062BC0000}"/>
    <cellStyle name="표준 5 6 4 4 7" xfId="24989" xr:uid="{00000000-0005-0000-0000-000063BC0000}"/>
    <cellStyle name="표준 5 6 4 4 8" xfId="33200" xr:uid="{00000000-0005-0000-0000-000064BC0000}"/>
    <cellStyle name="표준 5 6 4 4 9" xfId="41393" xr:uid="{00000000-0005-0000-0000-000065BC0000}"/>
    <cellStyle name="표준 5 6 4 5" xfId="2036" xr:uid="{00000000-0005-0000-0000-000066BC0000}"/>
    <cellStyle name="표준 5 6 4 5 2" xfId="10939" xr:uid="{00000000-0005-0000-0000-000067BC0000}"/>
    <cellStyle name="표준 5 6 4 5 2 2" xfId="15051" xr:uid="{00000000-0005-0000-0000-000068BC0000}"/>
    <cellStyle name="표준 5 6 4 5 2 2 2" xfId="31645" xr:uid="{00000000-0005-0000-0000-000069BC0000}"/>
    <cellStyle name="표준 5 6 4 5 2 2 3" xfId="39856" xr:uid="{00000000-0005-0000-0000-00006ABC0000}"/>
    <cellStyle name="표준 5 6 4 5 2 2 4" xfId="48049" xr:uid="{00000000-0005-0000-0000-00006BBC0000}"/>
    <cellStyle name="표준 5 6 4 5 2 3" xfId="19291" xr:uid="{00000000-0005-0000-0000-00006CBC0000}"/>
    <cellStyle name="표준 5 6 4 5 2 4" xfId="23453" xr:uid="{00000000-0005-0000-0000-00006DBC0000}"/>
    <cellStyle name="표준 5 6 4 5 2 5" xfId="27549" xr:uid="{00000000-0005-0000-0000-00006EBC0000}"/>
    <cellStyle name="표준 5 6 4 5 2 6" xfId="35760" xr:uid="{00000000-0005-0000-0000-00006FBC0000}"/>
    <cellStyle name="표준 5 6 4 5 2 7" xfId="43953" xr:uid="{00000000-0005-0000-0000-000070BC0000}"/>
    <cellStyle name="표준 5 6 4 5 3" xfId="8891" xr:uid="{00000000-0005-0000-0000-000071BC0000}"/>
    <cellStyle name="표준 5 6 4 5 3 2" xfId="29597" xr:uid="{00000000-0005-0000-0000-000072BC0000}"/>
    <cellStyle name="표준 5 6 4 5 3 3" xfId="37808" xr:uid="{00000000-0005-0000-0000-000073BC0000}"/>
    <cellStyle name="표준 5 6 4 5 3 4" xfId="46001" xr:uid="{00000000-0005-0000-0000-000074BC0000}"/>
    <cellStyle name="표준 5 6 4 5 4" xfId="13003" xr:uid="{00000000-0005-0000-0000-000075BC0000}"/>
    <cellStyle name="표준 5 6 4 5 5" xfId="17243" xr:uid="{00000000-0005-0000-0000-000076BC0000}"/>
    <cellStyle name="표준 5 6 4 5 6" xfId="21405" xr:uid="{00000000-0005-0000-0000-000077BC0000}"/>
    <cellStyle name="표준 5 6 4 5 7" xfId="25501" xr:uid="{00000000-0005-0000-0000-000078BC0000}"/>
    <cellStyle name="표준 5 6 4 5 8" xfId="33712" xr:uid="{00000000-0005-0000-0000-000079BC0000}"/>
    <cellStyle name="표준 5 6 4 5 9" xfId="41905" xr:uid="{00000000-0005-0000-0000-00007ABC0000}"/>
    <cellStyle name="표준 5 6 4 6" xfId="9403" xr:uid="{00000000-0005-0000-0000-00007BBC0000}"/>
    <cellStyle name="표준 5 6 4 6 2" xfId="13515" xr:uid="{00000000-0005-0000-0000-00007CBC0000}"/>
    <cellStyle name="표준 5 6 4 6 2 2" xfId="30109" xr:uid="{00000000-0005-0000-0000-00007DBC0000}"/>
    <cellStyle name="표준 5 6 4 6 2 3" xfId="38320" xr:uid="{00000000-0005-0000-0000-00007EBC0000}"/>
    <cellStyle name="표준 5 6 4 6 2 4" xfId="46513" xr:uid="{00000000-0005-0000-0000-00007FBC0000}"/>
    <cellStyle name="표준 5 6 4 6 3" xfId="17755" xr:uid="{00000000-0005-0000-0000-000080BC0000}"/>
    <cellStyle name="표준 5 6 4 6 4" xfId="21917" xr:uid="{00000000-0005-0000-0000-000081BC0000}"/>
    <cellStyle name="표준 5 6 4 6 5" xfId="26013" xr:uid="{00000000-0005-0000-0000-000082BC0000}"/>
    <cellStyle name="표준 5 6 4 6 6" xfId="34224" xr:uid="{00000000-0005-0000-0000-000083BC0000}"/>
    <cellStyle name="표준 5 6 4 6 7" xfId="42417" xr:uid="{00000000-0005-0000-0000-000084BC0000}"/>
    <cellStyle name="표준 5 6 4 7" xfId="7355" xr:uid="{00000000-0005-0000-0000-000085BC0000}"/>
    <cellStyle name="표준 5 6 4 7 2" xfId="28061" xr:uid="{00000000-0005-0000-0000-000086BC0000}"/>
    <cellStyle name="표준 5 6 4 7 3" xfId="36272" xr:uid="{00000000-0005-0000-0000-000087BC0000}"/>
    <cellStyle name="표준 5 6 4 7 4" xfId="44465" xr:uid="{00000000-0005-0000-0000-000088BC0000}"/>
    <cellStyle name="표준 5 6 4 8" xfId="11467" xr:uid="{00000000-0005-0000-0000-000089BC0000}"/>
    <cellStyle name="표준 5 6 4 9" xfId="15707" xr:uid="{00000000-0005-0000-0000-00008ABC0000}"/>
    <cellStyle name="표준 5 6 5" xfId="628" xr:uid="{00000000-0005-0000-0000-00008BBC0000}"/>
    <cellStyle name="표준 5 6 5 10" xfId="24093" xr:uid="{00000000-0005-0000-0000-00008CBC0000}"/>
    <cellStyle name="표준 5 6 5 11" xfId="32304" xr:uid="{00000000-0005-0000-0000-00008DBC0000}"/>
    <cellStyle name="표준 5 6 5 12" xfId="40497" xr:uid="{00000000-0005-0000-0000-00008EBC0000}"/>
    <cellStyle name="표준 5 6 5 2" xfId="1140" xr:uid="{00000000-0005-0000-0000-00008FBC0000}"/>
    <cellStyle name="표준 5 6 5 2 2" xfId="10043" xr:uid="{00000000-0005-0000-0000-000090BC0000}"/>
    <cellStyle name="표준 5 6 5 2 2 2" xfId="14155" xr:uid="{00000000-0005-0000-0000-000091BC0000}"/>
    <cellStyle name="표준 5 6 5 2 2 2 2" xfId="30749" xr:uid="{00000000-0005-0000-0000-000092BC0000}"/>
    <cellStyle name="표준 5 6 5 2 2 2 3" xfId="38960" xr:uid="{00000000-0005-0000-0000-000093BC0000}"/>
    <cellStyle name="표준 5 6 5 2 2 2 4" xfId="47153" xr:uid="{00000000-0005-0000-0000-000094BC0000}"/>
    <cellStyle name="표준 5 6 5 2 2 3" xfId="18395" xr:uid="{00000000-0005-0000-0000-000095BC0000}"/>
    <cellStyle name="표준 5 6 5 2 2 4" xfId="22557" xr:uid="{00000000-0005-0000-0000-000096BC0000}"/>
    <cellStyle name="표준 5 6 5 2 2 5" xfId="26653" xr:uid="{00000000-0005-0000-0000-000097BC0000}"/>
    <cellStyle name="표준 5 6 5 2 2 6" xfId="34864" xr:uid="{00000000-0005-0000-0000-000098BC0000}"/>
    <cellStyle name="표준 5 6 5 2 2 7" xfId="43057" xr:uid="{00000000-0005-0000-0000-000099BC0000}"/>
    <cellStyle name="표준 5 6 5 2 3" xfId="7995" xr:uid="{00000000-0005-0000-0000-00009ABC0000}"/>
    <cellStyle name="표준 5 6 5 2 3 2" xfId="28701" xr:uid="{00000000-0005-0000-0000-00009BBC0000}"/>
    <cellStyle name="표준 5 6 5 2 3 3" xfId="36912" xr:uid="{00000000-0005-0000-0000-00009CBC0000}"/>
    <cellStyle name="표준 5 6 5 2 3 4" xfId="45105" xr:uid="{00000000-0005-0000-0000-00009DBC0000}"/>
    <cellStyle name="표준 5 6 5 2 4" xfId="12107" xr:uid="{00000000-0005-0000-0000-00009EBC0000}"/>
    <cellStyle name="표준 5 6 5 2 5" xfId="16347" xr:uid="{00000000-0005-0000-0000-00009FBC0000}"/>
    <cellStyle name="표준 5 6 5 2 6" xfId="20509" xr:uid="{00000000-0005-0000-0000-0000A0BC0000}"/>
    <cellStyle name="표준 5 6 5 2 7" xfId="24605" xr:uid="{00000000-0005-0000-0000-0000A1BC0000}"/>
    <cellStyle name="표준 5 6 5 2 8" xfId="32816" xr:uid="{00000000-0005-0000-0000-0000A2BC0000}"/>
    <cellStyle name="표준 5 6 5 2 9" xfId="41009" xr:uid="{00000000-0005-0000-0000-0000A3BC0000}"/>
    <cellStyle name="표준 5 6 5 3" xfId="1652" xr:uid="{00000000-0005-0000-0000-0000A4BC0000}"/>
    <cellStyle name="표준 5 6 5 3 2" xfId="10555" xr:uid="{00000000-0005-0000-0000-0000A5BC0000}"/>
    <cellStyle name="표준 5 6 5 3 2 2" xfId="14667" xr:uid="{00000000-0005-0000-0000-0000A6BC0000}"/>
    <cellStyle name="표준 5 6 5 3 2 2 2" xfId="31261" xr:uid="{00000000-0005-0000-0000-0000A7BC0000}"/>
    <cellStyle name="표준 5 6 5 3 2 2 3" xfId="39472" xr:uid="{00000000-0005-0000-0000-0000A8BC0000}"/>
    <cellStyle name="표준 5 6 5 3 2 2 4" xfId="47665" xr:uid="{00000000-0005-0000-0000-0000A9BC0000}"/>
    <cellStyle name="표준 5 6 5 3 2 3" xfId="18907" xr:uid="{00000000-0005-0000-0000-0000AABC0000}"/>
    <cellStyle name="표준 5 6 5 3 2 4" xfId="23069" xr:uid="{00000000-0005-0000-0000-0000ABBC0000}"/>
    <cellStyle name="표준 5 6 5 3 2 5" xfId="27165" xr:uid="{00000000-0005-0000-0000-0000ACBC0000}"/>
    <cellStyle name="표준 5 6 5 3 2 6" xfId="35376" xr:uid="{00000000-0005-0000-0000-0000ADBC0000}"/>
    <cellStyle name="표준 5 6 5 3 2 7" xfId="43569" xr:uid="{00000000-0005-0000-0000-0000AEBC0000}"/>
    <cellStyle name="표준 5 6 5 3 3" xfId="8507" xr:uid="{00000000-0005-0000-0000-0000AFBC0000}"/>
    <cellStyle name="표준 5 6 5 3 3 2" xfId="29213" xr:uid="{00000000-0005-0000-0000-0000B0BC0000}"/>
    <cellStyle name="표준 5 6 5 3 3 3" xfId="37424" xr:uid="{00000000-0005-0000-0000-0000B1BC0000}"/>
    <cellStyle name="표준 5 6 5 3 3 4" xfId="45617" xr:uid="{00000000-0005-0000-0000-0000B2BC0000}"/>
    <cellStyle name="표준 5 6 5 3 4" xfId="12619" xr:uid="{00000000-0005-0000-0000-0000B3BC0000}"/>
    <cellStyle name="표준 5 6 5 3 5" xfId="16859" xr:uid="{00000000-0005-0000-0000-0000B4BC0000}"/>
    <cellStyle name="표준 5 6 5 3 6" xfId="21021" xr:uid="{00000000-0005-0000-0000-0000B5BC0000}"/>
    <cellStyle name="표준 5 6 5 3 7" xfId="25117" xr:uid="{00000000-0005-0000-0000-0000B6BC0000}"/>
    <cellStyle name="표준 5 6 5 3 8" xfId="33328" xr:uid="{00000000-0005-0000-0000-0000B7BC0000}"/>
    <cellStyle name="표준 5 6 5 3 9" xfId="41521" xr:uid="{00000000-0005-0000-0000-0000B8BC0000}"/>
    <cellStyle name="표준 5 6 5 4" xfId="2164" xr:uid="{00000000-0005-0000-0000-0000B9BC0000}"/>
    <cellStyle name="표준 5 6 5 4 2" xfId="11067" xr:uid="{00000000-0005-0000-0000-0000BABC0000}"/>
    <cellStyle name="표준 5 6 5 4 2 2" xfId="15179" xr:uid="{00000000-0005-0000-0000-0000BBBC0000}"/>
    <cellStyle name="표준 5 6 5 4 2 2 2" xfId="31773" xr:uid="{00000000-0005-0000-0000-0000BCBC0000}"/>
    <cellStyle name="표준 5 6 5 4 2 2 3" xfId="39984" xr:uid="{00000000-0005-0000-0000-0000BDBC0000}"/>
    <cellStyle name="표준 5 6 5 4 2 2 4" xfId="48177" xr:uid="{00000000-0005-0000-0000-0000BEBC0000}"/>
    <cellStyle name="표준 5 6 5 4 2 3" xfId="19419" xr:uid="{00000000-0005-0000-0000-0000BFBC0000}"/>
    <cellStyle name="표준 5 6 5 4 2 4" xfId="23581" xr:uid="{00000000-0005-0000-0000-0000C0BC0000}"/>
    <cellStyle name="표준 5 6 5 4 2 5" xfId="27677" xr:uid="{00000000-0005-0000-0000-0000C1BC0000}"/>
    <cellStyle name="표준 5 6 5 4 2 6" xfId="35888" xr:uid="{00000000-0005-0000-0000-0000C2BC0000}"/>
    <cellStyle name="표준 5 6 5 4 2 7" xfId="44081" xr:uid="{00000000-0005-0000-0000-0000C3BC0000}"/>
    <cellStyle name="표준 5 6 5 4 3" xfId="9019" xr:uid="{00000000-0005-0000-0000-0000C4BC0000}"/>
    <cellStyle name="표준 5 6 5 4 3 2" xfId="29725" xr:uid="{00000000-0005-0000-0000-0000C5BC0000}"/>
    <cellStyle name="표준 5 6 5 4 3 3" xfId="37936" xr:uid="{00000000-0005-0000-0000-0000C6BC0000}"/>
    <cellStyle name="표준 5 6 5 4 3 4" xfId="46129" xr:uid="{00000000-0005-0000-0000-0000C7BC0000}"/>
    <cellStyle name="표준 5 6 5 4 4" xfId="13131" xr:uid="{00000000-0005-0000-0000-0000C8BC0000}"/>
    <cellStyle name="표준 5 6 5 4 5" xfId="17371" xr:uid="{00000000-0005-0000-0000-0000C9BC0000}"/>
    <cellStyle name="표준 5 6 5 4 6" xfId="21533" xr:uid="{00000000-0005-0000-0000-0000CABC0000}"/>
    <cellStyle name="표준 5 6 5 4 7" xfId="25629" xr:uid="{00000000-0005-0000-0000-0000CBBC0000}"/>
    <cellStyle name="표준 5 6 5 4 8" xfId="33840" xr:uid="{00000000-0005-0000-0000-0000CCBC0000}"/>
    <cellStyle name="표준 5 6 5 4 9" xfId="42033" xr:uid="{00000000-0005-0000-0000-0000CDBC0000}"/>
    <cellStyle name="표준 5 6 5 5" xfId="9531" xr:uid="{00000000-0005-0000-0000-0000CEBC0000}"/>
    <cellStyle name="표준 5 6 5 5 2" xfId="13643" xr:uid="{00000000-0005-0000-0000-0000CFBC0000}"/>
    <cellStyle name="표준 5 6 5 5 2 2" xfId="30237" xr:uid="{00000000-0005-0000-0000-0000D0BC0000}"/>
    <cellStyle name="표준 5 6 5 5 2 3" xfId="38448" xr:uid="{00000000-0005-0000-0000-0000D1BC0000}"/>
    <cellStyle name="표준 5 6 5 5 2 4" xfId="46641" xr:uid="{00000000-0005-0000-0000-0000D2BC0000}"/>
    <cellStyle name="표준 5 6 5 5 3" xfId="17883" xr:uid="{00000000-0005-0000-0000-0000D3BC0000}"/>
    <cellStyle name="표준 5 6 5 5 4" xfId="22045" xr:uid="{00000000-0005-0000-0000-0000D4BC0000}"/>
    <cellStyle name="표준 5 6 5 5 5" xfId="26141" xr:uid="{00000000-0005-0000-0000-0000D5BC0000}"/>
    <cellStyle name="표준 5 6 5 5 6" xfId="34352" xr:uid="{00000000-0005-0000-0000-0000D6BC0000}"/>
    <cellStyle name="표준 5 6 5 5 7" xfId="42545" xr:uid="{00000000-0005-0000-0000-0000D7BC0000}"/>
    <cellStyle name="표준 5 6 5 6" xfId="7483" xr:uid="{00000000-0005-0000-0000-0000D8BC0000}"/>
    <cellStyle name="표준 5 6 5 6 2" xfId="28189" xr:uid="{00000000-0005-0000-0000-0000D9BC0000}"/>
    <cellStyle name="표준 5 6 5 6 3" xfId="36400" xr:uid="{00000000-0005-0000-0000-0000DABC0000}"/>
    <cellStyle name="표준 5 6 5 6 4" xfId="44593" xr:uid="{00000000-0005-0000-0000-0000DBBC0000}"/>
    <cellStyle name="표준 5 6 5 7" xfId="11595" xr:uid="{00000000-0005-0000-0000-0000DCBC0000}"/>
    <cellStyle name="표준 5 6 5 8" xfId="15835" xr:uid="{00000000-0005-0000-0000-0000DDBC0000}"/>
    <cellStyle name="표준 5 6 5 9" xfId="19997" xr:uid="{00000000-0005-0000-0000-0000DEBC0000}"/>
    <cellStyle name="표준 5 6 6" xfId="884" xr:uid="{00000000-0005-0000-0000-0000DFBC0000}"/>
    <cellStyle name="표준 5 6 6 2" xfId="9787" xr:uid="{00000000-0005-0000-0000-0000E0BC0000}"/>
    <cellStyle name="표준 5 6 6 2 2" xfId="13899" xr:uid="{00000000-0005-0000-0000-0000E1BC0000}"/>
    <cellStyle name="표준 5 6 6 2 2 2" xfId="30493" xr:uid="{00000000-0005-0000-0000-0000E2BC0000}"/>
    <cellStyle name="표준 5 6 6 2 2 3" xfId="38704" xr:uid="{00000000-0005-0000-0000-0000E3BC0000}"/>
    <cellStyle name="표준 5 6 6 2 2 4" xfId="46897" xr:uid="{00000000-0005-0000-0000-0000E4BC0000}"/>
    <cellStyle name="표준 5 6 6 2 3" xfId="18139" xr:uid="{00000000-0005-0000-0000-0000E5BC0000}"/>
    <cellStyle name="표준 5 6 6 2 4" xfId="22301" xr:uid="{00000000-0005-0000-0000-0000E6BC0000}"/>
    <cellStyle name="표준 5 6 6 2 5" xfId="26397" xr:uid="{00000000-0005-0000-0000-0000E7BC0000}"/>
    <cellStyle name="표준 5 6 6 2 6" xfId="34608" xr:uid="{00000000-0005-0000-0000-0000E8BC0000}"/>
    <cellStyle name="표준 5 6 6 2 7" xfId="42801" xr:uid="{00000000-0005-0000-0000-0000E9BC0000}"/>
    <cellStyle name="표준 5 6 6 3" xfId="7739" xr:uid="{00000000-0005-0000-0000-0000EABC0000}"/>
    <cellStyle name="표준 5 6 6 3 2" xfId="28445" xr:uid="{00000000-0005-0000-0000-0000EBBC0000}"/>
    <cellStyle name="표준 5 6 6 3 3" xfId="36656" xr:uid="{00000000-0005-0000-0000-0000ECBC0000}"/>
    <cellStyle name="표준 5 6 6 3 4" xfId="44849" xr:uid="{00000000-0005-0000-0000-0000EDBC0000}"/>
    <cellStyle name="표준 5 6 6 4" xfId="11851" xr:uid="{00000000-0005-0000-0000-0000EEBC0000}"/>
    <cellStyle name="표준 5 6 6 5" xfId="16091" xr:uid="{00000000-0005-0000-0000-0000EFBC0000}"/>
    <cellStyle name="표준 5 6 6 6" xfId="20253" xr:uid="{00000000-0005-0000-0000-0000F0BC0000}"/>
    <cellStyle name="표준 5 6 6 7" xfId="24349" xr:uid="{00000000-0005-0000-0000-0000F1BC0000}"/>
    <cellStyle name="표준 5 6 6 8" xfId="32560" xr:uid="{00000000-0005-0000-0000-0000F2BC0000}"/>
    <cellStyle name="표준 5 6 6 9" xfId="40753" xr:uid="{00000000-0005-0000-0000-0000F3BC0000}"/>
    <cellStyle name="표준 5 6 7" xfId="1396" xr:uid="{00000000-0005-0000-0000-0000F4BC0000}"/>
    <cellStyle name="표준 5 6 7 2" xfId="10299" xr:uid="{00000000-0005-0000-0000-0000F5BC0000}"/>
    <cellStyle name="표준 5 6 7 2 2" xfId="14411" xr:uid="{00000000-0005-0000-0000-0000F6BC0000}"/>
    <cellStyle name="표준 5 6 7 2 2 2" xfId="31005" xr:uid="{00000000-0005-0000-0000-0000F7BC0000}"/>
    <cellStyle name="표준 5 6 7 2 2 3" xfId="39216" xr:uid="{00000000-0005-0000-0000-0000F8BC0000}"/>
    <cellStyle name="표준 5 6 7 2 2 4" xfId="47409" xr:uid="{00000000-0005-0000-0000-0000F9BC0000}"/>
    <cellStyle name="표준 5 6 7 2 3" xfId="18651" xr:uid="{00000000-0005-0000-0000-0000FABC0000}"/>
    <cellStyle name="표준 5 6 7 2 4" xfId="22813" xr:uid="{00000000-0005-0000-0000-0000FBBC0000}"/>
    <cellStyle name="표준 5 6 7 2 5" xfId="26909" xr:uid="{00000000-0005-0000-0000-0000FCBC0000}"/>
    <cellStyle name="표준 5 6 7 2 6" xfId="35120" xr:uid="{00000000-0005-0000-0000-0000FDBC0000}"/>
    <cellStyle name="표준 5 6 7 2 7" xfId="43313" xr:uid="{00000000-0005-0000-0000-0000FEBC0000}"/>
    <cellStyle name="표준 5 6 7 3" xfId="8251" xr:uid="{00000000-0005-0000-0000-0000FFBC0000}"/>
    <cellStyle name="표준 5 6 7 3 2" xfId="28957" xr:uid="{00000000-0005-0000-0000-000000BD0000}"/>
    <cellStyle name="표준 5 6 7 3 3" xfId="37168" xr:uid="{00000000-0005-0000-0000-000001BD0000}"/>
    <cellStyle name="표준 5 6 7 3 4" xfId="45361" xr:uid="{00000000-0005-0000-0000-000002BD0000}"/>
    <cellStyle name="표준 5 6 7 4" xfId="12363" xr:uid="{00000000-0005-0000-0000-000003BD0000}"/>
    <cellStyle name="표준 5 6 7 5" xfId="16603" xr:uid="{00000000-0005-0000-0000-000004BD0000}"/>
    <cellStyle name="표준 5 6 7 6" xfId="20765" xr:uid="{00000000-0005-0000-0000-000005BD0000}"/>
    <cellStyle name="표준 5 6 7 7" xfId="24861" xr:uid="{00000000-0005-0000-0000-000006BD0000}"/>
    <cellStyle name="표준 5 6 7 8" xfId="33072" xr:uid="{00000000-0005-0000-0000-000007BD0000}"/>
    <cellStyle name="표준 5 6 7 9" xfId="41265" xr:uid="{00000000-0005-0000-0000-000008BD0000}"/>
    <cellStyle name="표준 5 6 8" xfId="1908" xr:uid="{00000000-0005-0000-0000-000009BD0000}"/>
    <cellStyle name="표준 5 6 8 2" xfId="10811" xr:uid="{00000000-0005-0000-0000-00000ABD0000}"/>
    <cellStyle name="표준 5 6 8 2 2" xfId="14923" xr:uid="{00000000-0005-0000-0000-00000BBD0000}"/>
    <cellStyle name="표준 5 6 8 2 2 2" xfId="31517" xr:uid="{00000000-0005-0000-0000-00000CBD0000}"/>
    <cellStyle name="표준 5 6 8 2 2 3" xfId="39728" xr:uid="{00000000-0005-0000-0000-00000DBD0000}"/>
    <cellStyle name="표준 5 6 8 2 2 4" xfId="47921" xr:uid="{00000000-0005-0000-0000-00000EBD0000}"/>
    <cellStyle name="표준 5 6 8 2 3" xfId="19163" xr:uid="{00000000-0005-0000-0000-00000FBD0000}"/>
    <cellStyle name="표준 5 6 8 2 4" xfId="23325" xr:uid="{00000000-0005-0000-0000-000010BD0000}"/>
    <cellStyle name="표준 5 6 8 2 5" xfId="27421" xr:uid="{00000000-0005-0000-0000-000011BD0000}"/>
    <cellStyle name="표준 5 6 8 2 6" xfId="35632" xr:uid="{00000000-0005-0000-0000-000012BD0000}"/>
    <cellStyle name="표준 5 6 8 2 7" xfId="43825" xr:uid="{00000000-0005-0000-0000-000013BD0000}"/>
    <cellStyle name="표준 5 6 8 3" xfId="8763" xr:uid="{00000000-0005-0000-0000-000014BD0000}"/>
    <cellStyle name="표준 5 6 8 3 2" xfId="29469" xr:uid="{00000000-0005-0000-0000-000015BD0000}"/>
    <cellStyle name="표준 5 6 8 3 3" xfId="37680" xr:uid="{00000000-0005-0000-0000-000016BD0000}"/>
    <cellStyle name="표준 5 6 8 3 4" xfId="45873" xr:uid="{00000000-0005-0000-0000-000017BD0000}"/>
    <cellStyle name="표준 5 6 8 4" xfId="12875" xr:uid="{00000000-0005-0000-0000-000018BD0000}"/>
    <cellStyle name="표준 5 6 8 5" xfId="17115" xr:uid="{00000000-0005-0000-0000-000019BD0000}"/>
    <cellStyle name="표준 5 6 8 6" xfId="21277" xr:uid="{00000000-0005-0000-0000-00001ABD0000}"/>
    <cellStyle name="표준 5 6 8 7" xfId="25373" xr:uid="{00000000-0005-0000-0000-00001BBD0000}"/>
    <cellStyle name="표준 5 6 8 8" xfId="33584" xr:uid="{00000000-0005-0000-0000-00001CBD0000}"/>
    <cellStyle name="표준 5 6 8 9" xfId="41777" xr:uid="{00000000-0005-0000-0000-00001DBD0000}"/>
    <cellStyle name="표준 5 6 9" xfId="4341" xr:uid="{00000000-0005-0000-0000-00001EBD0000}"/>
    <cellStyle name="표준 5 6 9 2" xfId="9275" xr:uid="{00000000-0005-0000-0000-00001FBD0000}"/>
    <cellStyle name="표준 5 6 9 2 2" xfId="29981" xr:uid="{00000000-0005-0000-0000-000020BD0000}"/>
    <cellStyle name="표준 5 6 9 2 3" xfId="38192" xr:uid="{00000000-0005-0000-0000-000021BD0000}"/>
    <cellStyle name="표준 5 6 9 2 4" xfId="46385" xr:uid="{00000000-0005-0000-0000-000022BD0000}"/>
    <cellStyle name="표준 5 6 9 3" xfId="13387" xr:uid="{00000000-0005-0000-0000-000023BD0000}"/>
    <cellStyle name="표준 5 6 9 4" xfId="17627" xr:uid="{00000000-0005-0000-0000-000024BD0000}"/>
    <cellStyle name="표준 5 6 9 5" xfId="21789" xr:uid="{00000000-0005-0000-0000-000025BD0000}"/>
    <cellStyle name="표준 5 6 9 6" xfId="25885" xr:uid="{00000000-0005-0000-0000-000026BD0000}"/>
    <cellStyle name="표준 5 6 9 7" xfId="34096" xr:uid="{00000000-0005-0000-0000-000027BD0000}"/>
    <cellStyle name="표준 5 6 9 8" xfId="42289" xr:uid="{00000000-0005-0000-0000-000028BD0000}"/>
    <cellStyle name="표준 5 7" xfId="289" xr:uid="{00000000-0005-0000-0000-000029BD0000}"/>
    <cellStyle name="표준 5 7 10" xfId="6982" xr:uid="{00000000-0005-0000-0000-00002ABD0000}"/>
    <cellStyle name="표준 5 7 11" xfId="7178" xr:uid="{00000000-0005-0000-0000-00002BBD0000}"/>
    <cellStyle name="표준 5 7 12" xfId="7243" xr:uid="{00000000-0005-0000-0000-00002CBD0000}"/>
    <cellStyle name="표준 5 7 13" xfId="11355" xr:uid="{00000000-0005-0000-0000-00002DBD0000}"/>
    <cellStyle name="표준 5 7 14" xfId="15483" xr:uid="{00000000-0005-0000-0000-00002EBD0000}"/>
    <cellStyle name="표준 5 7 15" xfId="15595" xr:uid="{00000000-0005-0000-0000-00002FBD0000}"/>
    <cellStyle name="표준 5 7 16" xfId="19757" xr:uid="{00000000-0005-0000-0000-000030BD0000}"/>
    <cellStyle name="표준 5 7 17" xfId="23853" xr:uid="{00000000-0005-0000-0000-000031BD0000}"/>
    <cellStyle name="표준 5 7 18" xfId="32064" xr:uid="{00000000-0005-0000-0000-000032BD0000}"/>
    <cellStyle name="표준 5 7 19" xfId="40257" xr:uid="{00000000-0005-0000-0000-000033BD0000}"/>
    <cellStyle name="표준 5 7 2" xfId="452" xr:uid="{00000000-0005-0000-0000-000034BD0000}"/>
    <cellStyle name="표준 5 7 2 10" xfId="11419" xr:uid="{00000000-0005-0000-0000-000035BD0000}"/>
    <cellStyle name="표준 5 7 2 11" xfId="15531" xr:uid="{00000000-0005-0000-0000-000036BD0000}"/>
    <cellStyle name="표준 5 7 2 12" xfId="15659" xr:uid="{00000000-0005-0000-0000-000037BD0000}"/>
    <cellStyle name="표준 5 7 2 13" xfId="19821" xr:uid="{00000000-0005-0000-0000-000038BD0000}"/>
    <cellStyle name="표준 5 7 2 14" xfId="23917" xr:uid="{00000000-0005-0000-0000-000039BD0000}"/>
    <cellStyle name="표준 5 7 2 15" xfId="32128" xr:uid="{00000000-0005-0000-0000-00003ABD0000}"/>
    <cellStyle name="표준 5 7 2 16" xfId="40321" xr:uid="{00000000-0005-0000-0000-00003BBD0000}"/>
    <cellStyle name="표준 5 7 2 17" xfId="49718" xr:uid="{00000000-0005-0000-0000-00003CBD0000}"/>
    <cellStyle name="표준 5 7 2 2" xfId="580" xr:uid="{00000000-0005-0000-0000-00003DBD0000}"/>
    <cellStyle name="표준 5 7 2 2 10" xfId="19949" xr:uid="{00000000-0005-0000-0000-00003EBD0000}"/>
    <cellStyle name="표준 5 7 2 2 11" xfId="24045" xr:uid="{00000000-0005-0000-0000-00003FBD0000}"/>
    <cellStyle name="표준 5 7 2 2 12" xfId="32256" xr:uid="{00000000-0005-0000-0000-000040BD0000}"/>
    <cellStyle name="표준 5 7 2 2 13" xfId="40449" xr:uid="{00000000-0005-0000-0000-000041BD0000}"/>
    <cellStyle name="표준 5 7 2 2 2" xfId="836" xr:uid="{00000000-0005-0000-0000-000042BD0000}"/>
    <cellStyle name="표준 5 7 2 2 2 10" xfId="24301" xr:uid="{00000000-0005-0000-0000-000043BD0000}"/>
    <cellStyle name="표준 5 7 2 2 2 11" xfId="32512" xr:uid="{00000000-0005-0000-0000-000044BD0000}"/>
    <cellStyle name="표준 5 7 2 2 2 12" xfId="40705" xr:uid="{00000000-0005-0000-0000-000045BD0000}"/>
    <cellStyle name="표준 5 7 2 2 2 2" xfId="1348" xr:uid="{00000000-0005-0000-0000-000046BD0000}"/>
    <cellStyle name="표준 5 7 2 2 2 2 2" xfId="10251" xr:uid="{00000000-0005-0000-0000-000047BD0000}"/>
    <cellStyle name="표준 5 7 2 2 2 2 2 2" xfId="14363" xr:uid="{00000000-0005-0000-0000-000048BD0000}"/>
    <cellStyle name="표준 5 7 2 2 2 2 2 2 2" xfId="30957" xr:uid="{00000000-0005-0000-0000-000049BD0000}"/>
    <cellStyle name="표준 5 7 2 2 2 2 2 2 3" xfId="39168" xr:uid="{00000000-0005-0000-0000-00004ABD0000}"/>
    <cellStyle name="표준 5 7 2 2 2 2 2 2 4" xfId="47361" xr:uid="{00000000-0005-0000-0000-00004BBD0000}"/>
    <cellStyle name="표준 5 7 2 2 2 2 2 3" xfId="18603" xr:uid="{00000000-0005-0000-0000-00004CBD0000}"/>
    <cellStyle name="표준 5 7 2 2 2 2 2 4" xfId="22765" xr:uid="{00000000-0005-0000-0000-00004DBD0000}"/>
    <cellStyle name="표준 5 7 2 2 2 2 2 5" xfId="26861" xr:uid="{00000000-0005-0000-0000-00004EBD0000}"/>
    <cellStyle name="표준 5 7 2 2 2 2 2 6" xfId="35072" xr:uid="{00000000-0005-0000-0000-00004FBD0000}"/>
    <cellStyle name="표준 5 7 2 2 2 2 2 7" xfId="43265" xr:uid="{00000000-0005-0000-0000-000050BD0000}"/>
    <cellStyle name="표준 5 7 2 2 2 2 3" xfId="8203" xr:uid="{00000000-0005-0000-0000-000051BD0000}"/>
    <cellStyle name="표준 5 7 2 2 2 2 3 2" xfId="28909" xr:uid="{00000000-0005-0000-0000-000052BD0000}"/>
    <cellStyle name="표준 5 7 2 2 2 2 3 3" xfId="37120" xr:uid="{00000000-0005-0000-0000-000053BD0000}"/>
    <cellStyle name="표준 5 7 2 2 2 2 3 4" xfId="45313" xr:uid="{00000000-0005-0000-0000-000054BD0000}"/>
    <cellStyle name="표준 5 7 2 2 2 2 4" xfId="12315" xr:uid="{00000000-0005-0000-0000-000055BD0000}"/>
    <cellStyle name="표준 5 7 2 2 2 2 5" xfId="16555" xr:uid="{00000000-0005-0000-0000-000056BD0000}"/>
    <cellStyle name="표준 5 7 2 2 2 2 6" xfId="20717" xr:uid="{00000000-0005-0000-0000-000057BD0000}"/>
    <cellStyle name="표준 5 7 2 2 2 2 7" xfId="24813" xr:uid="{00000000-0005-0000-0000-000058BD0000}"/>
    <cellStyle name="표준 5 7 2 2 2 2 8" xfId="33024" xr:uid="{00000000-0005-0000-0000-000059BD0000}"/>
    <cellStyle name="표준 5 7 2 2 2 2 9" xfId="41217" xr:uid="{00000000-0005-0000-0000-00005ABD0000}"/>
    <cellStyle name="표준 5 7 2 2 2 3" xfId="1860" xr:uid="{00000000-0005-0000-0000-00005BBD0000}"/>
    <cellStyle name="표준 5 7 2 2 2 3 2" xfId="10763" xr:uid="{00000000-0005-0000-0000-00005CBD0000}"/>
    <cellStyle name="표준 5 7 2 2 2 3 2 2" xfId="14875" xr:uid="{00000000-0005-0000-0000-00005DBD0000}"/>
    <cellStyle name="표준 5 7 2 2 2 3 2 2 2" xfId="31469" xr:uid="{00000000-0005-0000-0000-00005EBD0000}"/>
    <cellStyle name="표준 5 7 2 2 2 3 2 2 3" xfId="39680" xr:uid="{00000000-0005-0000-0000-00005FBD0000}"/>
    <cellStyle name="표준 5 7 2 2 2 3 2 2 4" xfId="47873" xr:uid="{00000000-0005-0000-0000-000060BD0000}"/>
    <cellStyle name="표준 5 7 2 2 2 3 2 3" xfId="19115" xr:uid="{00000000-0005-0000-0000-000061BD0000}"/>
    <cellStyle name="표준 5 7 2 2 2 3 2 4" xfId="23277" xr:uid="{00000000-0005-0000-0000-000062BD0000}"/>
    <cellStyle name="표준 5 7 2 2 2 3 2 5" xfId="27373" xr:uid="{00000000-0005-0000-0000-000063BD0000}"/>
    <cellStyle name="표준 5 7 2 2 2 3 2 6" xfId="35584" xr:uid="{00000000-0005-0000-0000-000064BD0000}"/>
    <cellStyle name="표준 5 7 2 2 2 3 2 7" xfId="43777" xr:uid="{00000000-0005-0000-0000-000065BD0000}"/>
    <cellStyle name="표준 5 7 2 2 2 3 3" xfId="8715" xr:uid="{00000000-0005-0000-0000-000066BD0000}"/>
    <cellStyle name="표준 5 7 2 2 2 3 3 2" xfId="29421" xr:uid="{00000000-0005-0000-0000-000067BD0000}"/>
    <cellStyle name="표준 5 7 2 2 2 3 3 3" xfId="37632" xr:uid="{00000000-0005-0000-0000-000068BD0000}"/>
    <cellStyle name="표준 5 7 2 2 2 3 3 4" xfId="45825" xr:uid="{00000000-0005-0000-0000-000069BD0000}"/>
    <cellStyle name="표준 5 7 2 2 2 3 4" xfId="12827" xr:uid="{00000000-0005-0000-0000-00006ABD0000}"/>
    <cellStyle name="표준 5 7 2 2 2 3 5" xfId="17067" xr:uid="{00000000-0005-0000-0000-00006BBD0000}"/>
    <cellStyle name="표준 5 7 2 2 2 3 6" xfId="21229" xr:uid="{00000000-0005-0000-0000-00006CBD0000}"/>
    <cellStyle name="표준 5 7 2 2 2 3 7" xfId="25325" xr:uid="{00000000-0005-0000-0000-00006DBD0000}"/>
    <cellStyle name="표준 5 7 2 2 2 3 8" xfId="33536" xr:uid="{00000000-0005-0000-0000-00006EBD0000}"/>
    <cellStyle name="표준 5 7 2 2 2 3 9" xfId="41729" xr:uid="{00000000-0005-0000-0000-00006FBD0000}"/>
    <cellStyle name="표준 5 7 2 2 2 4" xfId="2372" xr:uid="{00000000-0005-0000-0000-000070BD0000}"/>
    <cellStyle name="표준 5 7 2 2 2 4 2" xfId="11275" xr:uid="{00000000-0005-0000-0000-000071BD0000}"/>
    <cellStyle name="표준 5 7 2 2 2 4 2 2" xfId="15387" xr:uid="{00000000-0005-0000-0000-000072BD0000}"/>
    <cellStyle name="표준 5 7 2 2 2 4 2 2 2" xfId="31981" xr:uid="{00000000-0005-0000-0000-000073BD0000}"/>
    <cellStyle name="표준 5 7 2 2 2 4 2 2 3" xfId="40192" xr:uid="{00000000-0005-0000-0000-000074BD0000}"/>
    <cellStyle name="표준 5 7 2 2 2 4 2 2 4" xfId="48385" xr:uid="{00000000-0005-0000-0000-000075BD0000}"/>
    <cellStyle name="표준 5 7 2 2 2 4 2 3" xfId="19627" xr:uid="{00000000-0005-0000-0000-000076BD0000}"/>
    <cellStyle name="표준 5 7 2 2 2 4 2 4" xfId="23789" xr:uid="{00000000-0005-0000-0000-000077BD0000}"/>
    <cellStyle name="표준 5 7 2 2 2 4 2 5" xfId="27885" xr:uid="{00000000-0005-0000-0000-000078BD0000}"/>
    <cellStyle name="표준 5 7 2 2 2 4 2 6" xfId="36096" xr:uid="{00000000-0005-0000-0000-000079BD0000}"/>
    <cellStyle name="표준 5 7 2 2 2 4 2 7" xfId="44289" xr:uid="{00000000-0005-0000-0000-00007ABD0000}"/>
    <cellStyle name="표준 5 7 2 2 2 4 3" xfId="9227" xr:uid="{00000000-0005-0000-0000-00007BBD0000}"/>
    <cellStyle name="표준 5 7 2 2 2 4 3 2" xfId="29933" xr:uid="{00000000-0005-0000-0000-00007CBD0000}"/>
    <cellStyle name="표준 5 7 2 2 2 4 3 3" xfId="38144" xr:uid="{00000000-0005-0000-0000-00007DBD0000}"/>
    <cellStyle name="표준 5 7 2 2 2 4 3 4" xfId="46337" xr:uid="{00000000-0005-0000-0000-00007EBD0000}"/>
    <cellStyle name="표준 5 7 2 2 2 4 4" xfId="13339" xr:uid="{00000000-0005-0000-0000-00007FBD0000}"/>
    <cellStyle name="표준 5 7 2 2 2 4 5" xfId="17579" xr:uid="{00000000-0005-0000-0000-000080BD0000}"/>
    <cellStyle name="표준 5 7 2 2 2 4 6" xfId="21741" xr:uid="{00000000-0005-0000-0000-000081BD0000}"/>
    <cellStyle name="표준 5 7 2 2 2 4 7" xfId="25837" xr:uid="{00000000-0005-0000-0000-000082BD0000}"/>
    <cellStyle name="표준 5 7 2 2 2 4 8" xfId="34048" xr:uid="{00000000-0005-0000-0000-000083BD0000}"/>
    <cellStyle name="표준 5 7 2 2 2 4 9" xfId="42241" xr:uid="{00000000-0005-0000-0000-000084BD0000}"/>
    <cellStyle name="표준 5 7 2 2 2 5" xfId="9739" xr:uid="{00000000-0005-0000-0000-000085BD0000}"/>
    <cellStyle name="표준 5 7 2 2 2 5 2" xfId="13851" xr:uid="{00000000-0005-0000-0000-000086BD0000}"/>
    <cellStyle name="표준 5 7 2 2 2 5 2 2" xfId="30445" xr:uid="{00000000-0005-0000-0000-000087BD0000}"/>
    <cellStyle name="표준 5 7 2 2 2 5 2 3" xfId="38656" xr:uid="{00000000-0005-0000-0000-000088BD0000}"/>
    <cellStyle name="표준 5 7 2 2 2 5 2 4" xfId="46849" xr:uid="{00000000-0005-0000-0000-000089BD0000}"/>
    <cellStyle name="표준 5 7 2 2 2 5 3" xfId="18091" xr:uid="{00000000-0005-0000-0000-00008ABD0000}"/>
    <cellStyle name="표준 5 7 2 2 2 5 4" xfId="22253" xr:uid="{00000000-0005-0000-0000-00008BBD0000}"/>
    <cellStyle name="표준 5 7 2 2 2 5 5" xfId="26349" xr:uid="{00000000-0005-0000-0000-00008CBD0000}"/>
    <cellStyle name="표준 5 7 2 2 2 5 6" xfId="34560" xr:uid="{00000000-0005-0000-0000-00008DBD0000}"/>
    <cellStyle name="표준 5 7 2 2 2 5 7" xfId="42753" xr:uid="{00000000-0005-0000-0000-00008EBD0000}"/>
    <cellStyle name="표준 5 7 2 2 2 6" xfId="7691" xr:uid="{00000000-0005-0000-0000-00008FBD0000}"/>
    <cellStyle name="표준 5 7 2 2 2 6 2" xfId="28397" xr:uid="{00000000-0005-0000-0000-000090BD0000}"/>
    <cellStyle name="표준 5 7 2 2 2 6 3" xfId="36608" xr:uid="{00000000-0005-0000-0000-000091BD0000}"/>
    <cellStyle name="표준 5 7 2 2 2 6 4" xfId="44801" xr:uid="{00000000-0005-0000-0000-000092BD0000}"/>
    <cellStyle name="표준 5 7 2 2 2 7" xfId="11803" xr:uid="{00000000-0005-0000-0000-000093BD0000}"/>
    <cellStyle name="표준 5 7 2 2 2 8" xfId="16043" xr:uid="{00000000-0005-0000-0000-000094BD0000}"/>
    <cellStyle name="표준 5 7 2 2 2 9" xfId="20205" xr:uid="{00000000-0005-0000-0000-000095BD0000}"/>
    <cellStyle name="표준 5 7 2 2 3" xfId="1092" xr:uid="{00000000-0005-0000-0000-000096BD0000}"/>
    <cellStyle name="표준 5 7 2 2 3 2" xfId="9995" xr:uid="{00000000-0005-0000-0000-000097BD0000}"/>
    <cellStyle name="표준 5 7 2 2 3 2 2" xfId="14107" xr:uid="{00000000-0005-0000-0000-000098BD0000}"/>
    <cellStyle name="표준 5 7 2 2 3 2 2 2" xfId="30701" xr:uid="{00000000-0005-0000-0000-000099BD0000}"/>
    <cellStyle name="표준 5 7 2 2 3 2 2 3" xfId="38912" xr:uid="{00000000-0005-0000-0000-00009ABD0000}"/>
    <cellStyle name="표준 5 7 2 2 3 2 2 4" xfId="47105" xr:uid="{00000000-0005-0000-0000-00009BBD0000}"/>
    <cellStyle name="표준 5 7 2 2 3 2 3" xfId="18347" xr:uid="{00000000-0005-0000-0000-00009CBD0000}"/>
    <cellStyle name="표준 5 7 2 2 3 2 4" xfId="22509" xr:uid="{00000000-0005-0000-0000-00009DBD0000}"/>
    <cellStyle name="표준 5 7 2 2 3 2 5" xfId="26605" xr:uid="{00000000-0005-0000-0000-00009EBD0000}"/>
    <cellStyle name="표준 5 7 2 2 3 2 6" xfId="34816" xr:uid="{00000000-0005-0000-0000-00009FBD0000}"/>
    <cellStyle name="표준 5 7 2 2 3 2 7" xfId="43009" xr:uid="{00000000-0005-0000-0000-0000A0BD0000}"/>
    <cellStyle name="표준 5 7 2 2 3 3" xfId="7947" xr:uid="{00000000-0005-0000-0000-0000A1BD0000}"/>
    <cellStyle name="표준 5 7 2 2 3 3 2" xfId="28653" xr:uid="{00000000-0005-0000-0000-0000A2BD0000}"/>
    <cellStyle name="표준 5 7 2 2 3 3 3" xfId="36864" xr:uid="{00000000-0005-0000-0000-0000A3BD0000}"/>
    <cellStyle name="표준 5 7 2 2 3 3 4" xfId="45057" xr:uid="{00000000-0005-0000-0000-0000A4BD0000}"/>
    <cellStyle name="표준 5 7 2 2 3 4" xfId="12059" xr:uid="{00000000-0005-0000-0000-0000A5BD0000}"/>
    <cellStyle name="표준 5 7 2 2 3 5" xfId="16299" xr:uid="{00000000-0005-0000-0000-0000A6BD0000}"/>
    <cellStyle name="표준 5 7 2 2 3 6" xfId="20461" xr:uid="{00000000-0005-0000-0000-0000A7BD0000}"/>
    <cellStyle name="표준 5 7 2 2 3 7" xfId="24557" xr:uid="{00000000-0005-0000-0000-0000A8BD0000}"/>
    <cellStyle name="표준 5 7 2 2 3 8" xfId="32768" xr:uid="{00000000-0005-0000-0000-0000A9BD0000}"/>
    <cellStyle name="표준 5 7 2 2 3 9" xfId="40961" xr:uid="{00000000-0005-0000-0000-0000AABD0000}"/>
    <cellStyle name="표준 5 7 2 2 4" xfId="1604" xr:uid="{00000000-0005-0000-0000-0000ABBD0000}"/>
    <cellStyle name="표준 5 7 2 2 4 2" xfId="10507" xr:uid="{00000000-0005-0000-0000-0000ACBD0000}"/>
    <cellStyle name="표준 5 7 2 2 4 2 2" xfId="14619" xr:uid="{00000000-0005-0000-0000-0000ADBD0000}"/>
    <cellStyle name="표준 5 7 2 2 4 2 2 2" xfId="31213" xr:uid="{00000000-0005-0000-0000-0000AEBD0000}"/>
    <cellStyle name="표준 5 7 2 2 4 2 2 3" xfId="39424" xr:uid="{00000000-0005-0000-0000-0000AFBD0000}"/>
    <cellStyle name="표준 5 7 2 2 4 2 2 4" xfId="47617" xr:uid="{00000000-0005-0000-0000-0000B0BD0000}"/>
    <cellStyle name="표준 5 7 2 2 4 2 3" xfId="18859" xr:uid="{00000000-0005-0000-0000-0000B1BD0000}"/>
    <cellStyle name="표준 5 7 2 2 4 2 4" xfId="23021" xr:uid="{00000000-0005-0000-0000-0000B2BD0000}"/>
    <cellStyle name="표준 5 7 2 2 4 2 5" xfId="27117" xr:uid="{00000000-0005-0000-0000-0000B3BD0000}"/>
    <cellStyle name="표준 5 7 2 2 4 2 6" xfId="35328" xr:uid="{00000000-0005-0000-0000-0000B4BD0000}"/>
    <cellStyle name="표준 5 7 2 2 4 2 7" xfId="43521" xr:uid="{00000000-0005-0000-0000-0000B5BD0000}"/>
    <cellStyle name="표준 5 7 2 2 4 3" xfId="8459" xr:uid="{00000000-0005-0000-0000-0000B6BD0000}"/>
    <cellStyle name="표준 5 7 2 2 4 3 2" xfId="29165" xr:uid="{00000000-0005-0000-0000-0000B7BD0000}"/>
    <cellStyle name="표준 5 7 2 2 4 3 3" xfId="37376" xr:uid="{00000000-0005-0000-0000-0000B8BD0000}"/>
    <cellStyle name="표준 5 7 2 2 4 3 4" xfId="45569" xr:uid="{00000000-0005-0000-0000-0000B9BD0000}"/>
    <cellStyle name="표준 5 7 2 2 4 4" xfId="12571" xr:uid="{00000000-0005-0000-0000-0000BABD0000}"/>
    <cellStyle name="표준 5 7 2 2 4 5" xfId="16811" xr:uid="{00000000-0005-0000-0000-0000BBBD0000}"/>
    <cellStyle name="표준 5 7 2 2 4 6" xfId="20973" xr:uid="{00000000-0005-0000-0000-0000BCBD0000}"/>
    <cellStyle name="표준 5 7 2 2 4 7" xfId="25069" xr:uid="{00000000-0005-0000-0000-0000BDBD0000}"/>
    <cellStyle name="표준 5 7 2 2 4 8" xfId="33280" xr:uid="{00000000-0005-0000-0000-0000BEBD0000}"/>
    <cellStyle name="표준 5 7 2 2 4 9" xfId="41473" xr:uid="{00000000-0005-0000-0000-0000BFBD0000}"/>
    <cellStyle name="표준 5 7 2 2 5" xfId="2116" xr:uid="{00000000-0005-0000-0000-0000C0BD0000}"/>
    <cellStyle name="표준 5 7 2 2 5 2" xfId="11019" xr:uid="{00000000-0005-0000-0000-0000C1BD0000}"/>
    <cellStyle name="표준 5 7 2 2 5 2 2" xfId="15131" xr:uid="{00000000-0005-0000-0000-0000C2BD0000}"/>
    <cellStyle name="표준 5 7 2 2 5 2 2 2" xfId="31725" xr:uid="{00000000-0005-0000-0000-0000C3BD0000}"/>
    <cellStyle name="표준 5 7 2 2 5 2 2 3" xfId="39936" xr:uid="{00000000-0005-0000-0000-0000C4BD0000}"/>
    <cellStyle name="표준 5 7 2 2 5 2 2 4" xfId="48129" xr:uid="{00000000-0005-0000-0000-0000C5BD0000}"/>
    <cellStyle name="표준 5 7 2 2 5 2 3" xfId="19371" xr:uid="{00000000-0005-0000-0000-0000C6BD0000}"/>
    <cellStyle name="표준 5 7 2 2 5 2 4" xfId="23533" xr:uid="{00000000-0005-0000-0000-0000C7BD0000}"/>
    <cellStyle name="표준 5 7 2 2 5 2 5" xfId="27629" xr:uid="{00000000-0005-0000-0000-0000C8BD0000}"/>
    <cellStyle name="표준 5 7 2 2 5 2 6" xfId="35840" xr:uid="{00000000-0005-0000-0000-0000C9BD0000}"/>
    <cellStyle name="표준 5 7 2 2 5 2 7" xfId="44033" xr:uid="{00000000-0005-0000-0000-0000CABD0000}"/>
    <cellStyle name="표준 5 7 2 2 5 3" xfId="8971" xr:uid="{00000000-0005-0000-0000-0000CBBD0000}"/>
    <cellStyle name="표준 5 7 2 2 5 3 2" xfId="29677" xr:uid="{00000000-0005-0000-0000-0000CCBD0000}"/>
    <cellStyle name="표준 5 7 2 2 5 3 3" xfId="37888" xr:uid="{00000000-0005-0000-0000-0000CDBD0000}"/>
    <cellStyle name="표준 5 7 2 2 5 3 4" xfId="46081" xr:uid="{00000000-0005-0000-0000-0000CEBD0000}"/>
    <cellStyle name="표준 5 7 2 2 5 4" xfId="13083" xr:uid="{00000000-0005-0000-0000-0000CFBD0000}"/>
    <cellStyle name="표준 5 7 2 2 5 5" xfId="17323" xr:uid="{00000000-0005-0000-0000-0000D0BD0000}"/>
    <cellStyle name="표준 5 7 2 2 5 6" xfId="21485" xr:uid="{00000000-0005-0000-0000-0000D1BD0000}"/>
    <cellStyle name="표준 5 7 2 2 5 7" xfId="25581" xr:uid="{00000000-0005-0000-0000-0000D2BD0000}"/>
    <cellStyle name="표준 5 7 2 2 5 8" xfId="33792" xr:uid="{00000000-0005-0000-0000-0000D3BD0000}"/>
    <cellStyle name="표준 5 7 2 2 5 9" xfId="41985" xr:uid="{00000000-0005-0000-0000-0000D4BD0000}"/>
    <cellStyle name="표준 5 7 2 2 6" xfId="9483" xr:uid="{00000000-0005-0000-0000-0000D5BD0000}"/>
    <cellStyle name="표준 5 7 2 2 6 2" xfId="13595" xr:uid="{00000000-0005-0000-0000-0000D6BD0000}"/>
    <cellStyle name="표준 5 7 2 2 6 2 2" xfId="30189" xr:uid="{00000000-0005-0000-0000-0000D7BD0000}"/>
    <cellStyle name="표준 5 7 2 2 6 2 3" xfId="38400" xr:uid="{00000000-0005-0000-0000-0000D8BD0000}"/>
    <cellStyle name="표준 5 7 2 2 6 2 4" xfId="46593" xr:uid="{00000000-0005-0000-0000-0000D9BD0000}"/>
    <cellStyle name="표준 5 7 2 2 6 3" xfId="17835" xr:uid="{00000000-0005-0000-0000-0000DABD0000}"/>
    <cellStyle name="표준 5 7 2 2 6 4" xfId="21997" xr:uid="{00000000-0005-0000-0000-0000DBBD0000}"/>
    <cellStyle name="표준 5 7 2 2 6 5" xfId="26093" xr:uid="{00000000-0005-0000-0000-0000DCBD0000}"/>
    <cellStyle name="표준 5 7 2 2 6 6" xfId="34304" xr:uid="{00000000-0005-0000-0000-0000DDBD0000}"/>
    <cellStyle name="표준 5 7 2 2 6 7" xfId="42497" xr:uid="{00000000-0005-0000-0000-0000DEBD0000}"/>
    <cellStyle name="표준 5 7 2 2 7" xfId="7435" xr:uid="{00000000-0005-0000-0000-0000DFBD0000}"/>
    <cellStyle name="표준 5 7 2 2 7 2" xfId="28141" xr:uid="{00000000-0005-0000-0000-0000E0BD0000}"/>
    <cellStyle name="표준 5 7 2 2 7 3" xfId="36352" xr:uid="{00000000-0005-0000-0000-0000E1BD0000}"/>
    <cellStyle name="표준 5 7 2 2 7 4" xfId="44545" xr:uid="{00000000-0005-0000-0000-0000E2BD0000}"/>
    <cellStyle name="표준 5 7 2 2 8" xfId="11547" xr:uid="{00000000-0005-0000-0000-0000E3BD0000}"/>
    <cellStyle name="표준 5 7 2 2 9" xfId="15787" xr:uid="{00000000-0005-0000-0000-0000E4BD0000}"/>
    <cellStyle name="표준 5 7 2 3" xfId="708" xr:uid="{00000000-0005-0000-0000-0000E5BD0000}"/>
    <cellStyle name="표준 5 7 2 3 10" xfId="24173" xr:uid="{00000000-0005-0000-0000-0000E6BD0000}"/>
    <cellStyle name="표준 5 7 2 3 11" xfId="32384" xr:uid="{00000000-0005-0000-0000-0000E7BD0000}"/>
    <cellStyle name="표준 5 7 2 3 12" xfId="40577" xr:uid="{00000000-0005-0000-0000-0000E8BD0000}"/>
    <cellStyle name="표준 5 7 2 3 2" xfId="1220" xr:uid="{00000000-0005-0000-0000-0000E9BD0000}"/>
    <cellStyle name="표준 5 7 2 3 2 2" xfId="10123" xr:uid="{00000000-0005-0000-0000-0000EABD0000}"/>
    <cellStyle name="표준 5 7 2 3 2 2 2" xfId="14235" xr:uid="{00000000-0005-0000-0000-0000EBBD0000}"/>
    <cellStyle name="표준 5 7 2 3 2 2 2 2" xfId="30829" xr:uid="{00000000-0005-0000-0000-0000ECBD0000}"/>
    <cellStyle name="표준 5 7 2 3 2 2 2 3" xfId="39040" xr:uid="{00000000-0005-0000-0000-0000EDBD0000}"/>
    <cellStyle name="표준 5 7 2 3 2 2 2 4" xfId="47233" xr:uid="{00000000-0005-0000-0000-0000EEBD0000}"/>
    <cellStyle name="표준 5 7 2 3 2 2 3" xfId="18475" xr:uid="{00000000-0005-0000-0000-0000EFBD0000}"/>
    <cellStyle name="표준 5 7 2 3 2 2 4" xfId="22637" xr:uid="{00000000-0005-0000-0000-0000F0BD0000}"/>
    <cellStyle name="표준 5 7 2 3 2 2 5" xfId="26733" xr:uid="{00000000-0005-0000-0000-0000F1BD0000}"/>
    <cellStyle name="표준 5 7 2 3 2 2 6" xfId="34944" xr:uid="{00000000-0005-0000-0000-0000F2BD0000}"/>
    <cellStyle name="표준 5 7 2 3 2 2 7" xfId="43137" xr:uid="{00000000-0005-0000-0000-0000F3BD0000}"/>
    <cellStyle name="표준 5 7 2 3 2 3" xfId="8075" xr:uid="{00000000-0005-0000-0000-0000F4BD0000}"/>
    <cellStyle name="표준 5 7 2 3 2 3 2" xfId="28781" xr:uid="{00000000-0005-0000-0000-0000F5BD0000}"/>
    <cellStyle name="표준 5 7 2 3 2 3 3" xfId="36992" xr:uid="{00000000-0005-0000-0000-0000F6BD0000}"/>
    <cellStyle name="표준 5 7 2 3 2 3 4" xfId="45185" xr:uid="{00000000-0005-0000-0000-0000F7BD0000}"/>
    <cellStyle name="표준 5 7 2 3 2 4" xfId="12187" xr:uid="{00000000-0005-0000-0000-0000F8BD0000}"/>
    <cellStyle name="표준 5 7 2 3 2 5" xfId="16427" xr:uid="{00000000-0005-0000-0000-0000F9BD0000}"/>
    <cellStyle name="표준 5 7 2 3 2 6" xfId="20589" xr:uid="{00000000-0005-0000-0000-0000FABD0000}"/>
    <cellStyle name="표준 5 7 2 3 2 7" xfId="24685" xr:uid="{00000000-0005-0000-0000-0000FBBD0000}"/>
    <cellStyle name="표준 5 7 2 3 2 8" xfId="32896" xr:uid="{00000000-0005-0000-0000-0000FCBD0000}"/>
    <cellStyle name="표준 5 7 2 3 2 9" xfId="41089" xr:uid="{00000000-0005-0000-0000-0000FDBD0000}"/>
    <cellStyle name="표준 5 7 2 3 3" xfId="1732" xr:uid="{00000000-0005-0000-0000-0000FEBD0000}"/>
    <cellStyle name="표준 5 7 2 3 3 2" xfId="10635" xr:uid="{00000000-0005-0000-0000-0000FFBD0000}"/>
    <cellStyle name="표준 5 7 2 3 3 2 2" xfId="14747" xr:uid="{00000000-0005-0000-0000-000000BE0000}"/>
    <cellStyle name="표준 5 7 2 3 3 2 2 2" xfId="31341" xr:uid="{00000000-0005-0000-0000-000001BE0000}"/>
    <cellStyle name="표준 5 7 2 3 3 2 2 3" xfId="39552" xr:uid="{00000000-0005-0000-0000-000002BE0000}"/>
    <cellStyle name="표준 5 7 2 3 3 2 2 4" xfId="47745" xr:uid="{00000000-0005-0000-0000-000003BE0000}"/>
    <cellStyle name="표준 5 7 2 3 3 2 3" xfId="18987" xr:uid="{00000000-0005-0000-0000-000004BE0000}"/>
    <cellStyle name="표준 5 7 2 3 3 2 4" xfId="23149" xr:uid="{00000000-0005-0000-0000-000005BE0000}"/>
    <cellStyle name="표준 5 7 2 3 3 2 5" xfId="27245" xr:uid="{00000000-0005-0000-0000-000006BE0000}"/>
    <cellStyle name="표준 5 7 2 3 3 2 6" xfId="35456" xr:uid="{00000000-0005-0000-0000-000007BE0000}"/>
    <cellStyle name="표준 5 7 2 3 3 2 7" xfId="43649" xr:uid="{00000000-0005-0000-0000-000008BE0000}"/>
    <cellStyle name="표준 5 7 2 3 3 3" xfId="8587" xr:uid="{00000000-0005-0000-0000-000009BE0000}"/>
    <cellStyle name="표준 5 7 2 3 3 3 2" xfId="29293" xr:uid="{00000000-0005-0000-0000-00000ABE0000}"/>
    <cellStyle name="표준 5 7 2 3 3 3 3" xfId="37504" xr:uid="{00000000-0005-0000-0000-00000BBE0000}"/>
    <cellStyle name="표준 5 7 2 3 3 3 4" xfId="45697" xr:uid="{00000000-0005-0000-0000-00000CBE0000}"/>
    <cellStyle name="표준 5 7 2 3 3 4" xfId="12699" xr:uid="{00000000-0005-0000-0000-00000DBE0000}"/>
    <cellStyle name="표준 5 7 2 3 3 5" xfId="16939" xr:uid="{00000000-0005-0000-0000-00000EBE0000}"/>
    <cellStyle name="표준 5 7 2 3 3 6" xfId="21101" xr:uid="{00000000-0005-0000-0000-00000FBE0000}"/>
    <cellStyle name="표준 5 7 2 3 3 7" xfId="25197" xr:uid="{00000000-0005-0000-0000-000010BE0000}"/>
    <cellStyle name="표준 5 7 2 3 3 8" xfId="33408" xr:uid="{00000000-0005-0000-0000-000011BE0000}"/>
    <cellStyle name="표준 5 7 2 3 3 9" xfId="41601" xr:uid="{00000000-0005-0000-0000-000012BE0000}"/>
    <cellStyle name="표준 5 7 2 3 4" xfId="2244" xr:uid="{00000000-0005-0000-0000-000013BE0000}"/>
    <cellStyle name="표준 5 7 2 3 4 2" xfId="11147" xr:uid="{00000000-0005-0000-0000-000014BE0000}"/>
    <cellStyle name="표준 5 7 2 3 4 2 2" xfId="15259" xr:uid="{00000000-0005-0000-0000-000015BE0000}"/>
    <cellStyle name="표준 5 7 2 3 4 2 2 2" xfId="31853" xr:uid="{00000000-0005-0000-0000-000016BE0000}"/>
    <cellStyle name="표준 5 7 2 3 4 2 2 3" xfId="40064" xr:uid="{00000000-0005-0000-0000-000017BE0000}"/>
    <cellStyle name="표준 5 7 2 3 4 2 2 4" xfId="48257" xr:uid="{00000000-0005-0000-0000-000018BE0000}"/>
    <cellStyle name="표준 5 7 2 3 4 2 3" xfId="19499" xr:uid="{00000000-0005-0000-0000-000019BE0000}"/>
    <cellStyle name="표준 5 7 2 3 4 2 4" xfId="23661" xr:uid="{00000000-0005-0000-0000-00001ABE0000}"/>
    <cellStyle name="표준 5 7 2 3 4 2 5" xfId="27757" xr:uid="{00000000-0005-0000-0000-00001BBE0000}"/>
    <cellStyle name="표준 5 7 2 3 4 2 6" xfId="35968" xr:uid="{00000000-0005-0000-0000-00001CBE0000}"/>
    <cellStyle name="표준 5 7 2 3 4 2 7" xfId="44161" xr:uid="{00000000-0005-0000-0000-00001DBE0000}"/>
    <cellStyle name="표준 5 7 2 3 4 3" xfId="9099" xr:uid="{00000000-0005-0000-0000-00001EBE0000}"/>
    <cellStyle name="표준 5 7 2 3 4 3 2" xfId="29805" xr:uid="{00000000-0005-0000-0000-00001FBE0000}"/>
    <cellStyle name="표준 5 7 2 3 4 3 3" xfId="38016" xr:uid="{00000000-0005-0000-0000-000020BE0000}"/>
    <cellStyle name="표준 5 7 2 3 4 3 4" xfId="46209" xr:uid="{00000000-0005-0000-0000-000021BE0000}"/>
    <cellStyle name="표준 5 7 2 3 4 4" xfId="13211" xr:uid="{00000000-0005-0000-0000-000022BE0000}"/>
    <cellStyle name="표준 5 7 2 3 4 5" xfId="17451" xr:uid="{00000000-0005-0000-0000-000023BE0000}"/>
    <cellStyle name="표준 5 7 2 3 4 6" xfId="21613" xr:uid="{00000000-0005-0000-0000-000024BE0000}"/>
    <cellStyle name="표준 5 7 2 3 4 7" xfId="25709" xr:uid="{00000000-0005-0000-0000-000025BE0000}"/>
    <cellStyle name="표준 5 7 2 3 4 8" xfId="33920" xr:uid="{00000000-0005-0000-0000-000026BE0000}"/>
    <cellStyle name="표준 5 7 2 3 4 9" xfId="42113" xr:uid="{00000000-0005-0000-0000-000027BE0000}"/>
    <cellStyle name="표준 5 7 2 3 5" xfId="9611" xr:uid="{00000000-0005-0000-0000-000028BE0000}"/>
    <cellStyle name="표준 5 7 2 3 5 2" xfId="13723" xr:uid="{00000000-0005-0000-0000-000029BE0000}"/>
    <cellStyle name="표준 5 7 2 3 5 2 2" xfId="30317" xr:uid="{00000000-0005-0000-0000-00002ABE0000}"/>
    <cellStyle name="표준 5 7 2 3 5 2 3" xfId="38528" xr:uid="{00000000-0005-0000-0000-00002BBE0000}"/>
    <cellStyle name="표준 5 7 2 3 5 2 4" xfId="46721" xr:uid="{00000000-0005-0000-0000-00002CBE0000}"/>
    <cellStyle name="표준 5 7 2 3 5 3" xfId="17963" xr:uid="{00000000-0005-0000-0000-00002DBE0000}"/>
    <cellStyle name="표준 5 7 2 3 5 4" xfId="22125" xr:uid="{00000000-0005-0000-0000-00002EBE0000}"/>
    <cellStyle name="표준 5 7 2 3 5 5" xfId="26221" xr:uid="{00000000-0005-0000-0000-00002FBE0000}"/>
    <cellStyle name="표준 5 7 2 3 5 6" xfId="34432" xr:uid="{00000000-0005-0000-0000-000030BE0000}"/>
    <cellStyle name="표준 5 7 2 3 5 7" xfId="42625" xr:uid="{00000000-0005-0000-0000-000031BE0000}"/>
    <cellStyle name="표준 5 7 2 3 6" xfId="7563" xr:uid="{00000000-0005-0000-0000-000032BE0000}"/>
    <cellStyle name="표준 5 7 2 3 6 2" xfId="28269" xr:uid="{00000000-0005-0000-0000-000033BE0000}"/>
    <cellStyle name="표준 5 7 2 3 6 3" xfId="36480" xr:uid="{00000000-0005-0000-0000-000034BE0000}"/>
    <cellStyle name="표준 5 7 2 3 6 4" xfId="44673" xr:uid="{00000000-0005-0000-0000-000035BE0000}"/>
    <cellStyle name="표준 5 7 2 3 7" xfId="11675" xr:uid="{00000000-0005-0000-0000-000036BE0000}"/>
    <cellStyle name="표준 5 7 2 3 8" xfId="15915" xr:uid="{00000000-0005-0000-0000-000037BE0000}"/>
    <cellStyle name="표준 5 7 2 3 9" xfId="20077" xr:uid="{00000000-0005-0000-0000-000038BE0000}"/>
    <cellStyle name="표준 5 7 2 4" xfId="964" xr:uid="{00000000-0005-0000-0000-000039BE0000}"/>
    <cellStyle name="표준 5 7 2 4 2" xfId="9867" xr:uid="{00000000-0005-0000-0000-00003ABE0000}"/>
    <cellStyle name="표준 5 7 2 4 2 2" xfId="13979" xr:uid="{00000000-0005-0000-0000-00003BBE0000}"/>
    <cellStyle name="표준 5 7 2 4 2 2 2" xfId="30573" xr:uid="{00000000-0005-0000-0000-00003CBE0000}"/>
    <cellStyle name="표준 5 7 2 4 2 2 3" xfId="38784" xr:uid="{00000000-0005-0000-0000-00003DBE0000}"/>
    <cellStyle name="표준 5 7 2 4 2 2 4" xfId="46977" xr:uid="{00000000-0005-0000-0000-00003EBE0000}"/>
    <cellStyle name="표준 5 7 2 4 2 3" xfId="18219" xr:uid="{00000000-0005-0000-0000-00003FBE0000}"/>
    <cellStyle name="표준 5 7 2 4 2 4" xfId="22381" xr:uid="{00000000-0005-0000-0000-000040BE0000}"/>
    <cellStyle name="표준 5 7 2 4 2 5" xfId="26477" xr:uid="{00000000-0005-0000-0000-000041BE0000}"/>
    <cellStyle name="표준 5 7 2 4 2 6" xfId="34688" xr:uid="{00000000-0005-0000-0000-000042BE0000}"/>
    <cellStyle name="표준 5 7 2 4 2 7" xfId="42881" xr:uid="{00000000-0005-0000-0000-000043BE0000}"/>
    <cellStyle name="표준 5 7 2 4 3" xfId="7819" xr:uid="{00000000-0005-0000-0000-000044BE0000}"/>
    <cellStyle name="표준 5 7 2 4 3 2" xfId="28525" xr:uid="{00000000-0005-0000-0000-000045BE0000}"/>
    <cellStyle name="표준 5 7 2 4 3 3" xfId="36736" xr:uid="{00000000-0005-0000-0000-000046BE0000}"/>
    <cellStyle name="표준 5 7 2 4 3 4" xfId="44929" xr:uid="{00000000-0005-0000-0000-000047BE0000}"/>
    <cellStyle name="표준 5 7 2 4 4" xfId="11931" xr:uid="{00000000-0005-0000-0000-000048BE0000}"/>
    <cellStyle name="표준 5 7 2 4 5" xfId="16171" xr:uid="{00000000-0005-0000-0000-000049BE0000}"/>
    <cellStyle name="표준 5 7 2 4 6" xfId="20333" xr:uid="{00000000-0005-0000-0000-00004ABE0000}"/>
    <cellStyle name="표준 5 7 2 4 7" xfId="24429" xr:uid="{00000000-0005-0000-0000-00004BBE0000}"/>
    <cellStyle name="표준 5 7 2 4 8" xfId="32640" xr:uid="{00000000-0005-0000-0000-00004CBE0000}"/>
    <cellStyle name="표준 5 7 2 4 9" xfId="40833" xr:uid="{00000000-0005-0000-0000-00004DBE0000}"/>
    <cellStyle name="표준 5 7 2 5" xfId="1476" xr:uid="{00000000-0005-0000-0000-00004EBE0000}"/>
    <cellStyle name="표준 5 7 2 5 2" xfId="10379" xr:uid="{00000000-0005-0000-0000-00004FBE0000}"/>
    <cellStyle name="표준 5 7 2 5 2 2" xfId="14491" xr:uid="{00000000-0005-0000-0000-000050BE0000}"/>
    <cellStyle name="표준 5 7 2 5 2 2 2" xfId="31085" xr:uid="{00000000-0005-0000-0000-000051BE0000}"/>
    <cellStyle name="표준 5 7 2 5 2 2 3" xfId="39296" xr:uid="{00000000-0005-0000-0000-000052BE0000}"/>
    <cellStyle name="표준 5 7 2 5 2 2 4" xfId="47489" xr:uid="{00000000-0005-0000-0000-000053BE0000}"/>
    <cellStyle name="표준 5 7 2 5 2 3" xfId="18731" xr:uid="{00000000-0005-0000-0000-000054BE0000}"/>
    <cellStyle name="표준 5 7 2 5 2 4" xfId="22893" xr:uid="{00000000-0005-0000-0000-000055BE0000}"/>
    <cellStyle name="표준 5 7 2 5 2 5" xfId="26989" xr:uid="{00000000-0005-0000-0000-000056BE0000}"/>
    <cellStyle name="표준 5 7 2 5 2 6" xfId="35200" xr:uid="{00000000-0005-0000-0000-000057BE0000}"/>
    <cellStyle name="표준 5 7 2 5 2 7" xfId="43393" xr:uid="{00000000-0005-0000-0000-000058BE0000}"/>
    <cellStyle name="표준 5 7 2 5 3" xfId="8331" xr:uid="{00000000-0005-0000-0000-000059BE0000}"/>
    <cellStyle name="표준 5 7 2 5 3 2" xfId="29037" xr:uid="{00000000-0005-0000-0000-00005ABE0000}"/>
    <cellStyle name="표준 5 7 2 5 3 3" xfId="37248" xr:uid="{00000000-0005-0000-0000-00005BBE0000}"/>
    <cellStyle name="표준 5 7 2 5 3 4" xfId="45441" xr:uid="{00000000-0005-0000-0000-00005CBE0000}"/>
    <cellStyle name="표준 5 7 2 5 4" xfId="12443" xr:uid="{00000000-0005-0000-0000-00005DBE0000}"/>
    <cellStyle name="표준 5 7 2 5 5" xfId="16683" xr:uid="{00000000-0005-0000-0000-00005EBE0000}"/>
    <cellStyle name="표준 5 7 2 5 6" xfId="20845" xr:uid="{00000000-0005-0000-0000-00005FBE0000}"/>
    <cellStyle name="표준 5 7 2 5 7" xfId="24941" xr:uid="{00000000-0005-0000-0000-000060BE0000}"/>
    <cellStyle name="표준 5 7 2 5 8" xfId="33152" xr:uid="{00000000-0005-0000-0000-000061BE0000}"/>
    <cellStyle name="표준 5 7 2 5 9" xfId="41345" xr:uid="{00000000-0005-0000-0000-000062BE0000}"/>
    <cellStyle name="표준 5 7 2 6" xfId="1988" xr:uid="{00000000-0005-0000-0000-000063BE0000}"/>
    <cellStyle name="표준 5 7 2 6 2" xfId="10891" xr:uid="{00000000-0005-0000-0000-000064BE0000}"/>
    <cellStyle name="표준 5 7 2 6 2 2" xfId="15003" xr:uid="{00000000-0005-0000-0000-000065BE0000}"/>
    <cellStyle name="표준 5 7 2 6 2 2 2" xfId="31597" xr:uid="{00000000-0005-0000-0000-000066BE0000}"/>
    <cellStyle name="표준 5 7 2 6 2 2 3" xfId="39808" xr:uid="{00000000-0005-0000-0000-000067BE0000}"/>
    <cellStyle name="표준 5 7 2 6 2 2 4" xfId="48001" xr:uid="{00000000-0005-0000-0000-000068BE0000}"/>
    <cellStyle name="표준 5 7 2 6 2 3" xfId="19243" xr:uid="{00000000-0005-0000-0000-000069BE0000}"/>
    <cellStyle name="표준 5 7 2 6 2 4" xfId="23405" xr:uid="{00000000-0005-0000-0000-00006ABE0000}"/>
    <cellStyle name="표준 5 7 2 6 2 5" xfId="27501" xr:uid="{00000000-0005-0000-0000-00006BBE0000}"/>
    <cellStyle name="표준 5 7 2 6 2 6" xfId="35712" xr:uid="{00000000-0005-0000-0000-00006CBE0000}"/>
    <cellStyle name="표준 5 7 2 6 2 7" xfId="43905" xr:uid="{00000000-0005-0000-0000-00006DBE0000}"/>
    <cellStyle name="표준 5 7 2 6 3" xfId="8843" xr:uid="{00000000-0005-0000-0000-00006EBE0000}"/>
    <cellStyle name="표준 5 7 2 6 3 2" xfId="29549" xr:uid="{00000000-0005-0000-0000-00006FBE0000}"/>
    <cellStyle name="표준 5 7 2 6 3 3" xfId="37760" xr:uid="{00000000-0005-0000-0000-000070BE0000}"/>
    <cellStyle name="표준 5 7 2 6 3 4" xfId="45953" xr:uid="{00000000-0005-0000-0000-000071BE0000}"/>
    <cellStyle name="표준 5 7 2 6 4" xfId="12955" xr:uid="{00000000-0005-0000-0000-000072BE0000}"/>
    <cellStyle name="표준 5 7 2 6 5" xfId="17195" xr:uid="{00000000-0005-0000-0000-000073BE0000}"/>
    <cellStyle name="표준 5 7 2 6 6" xfId="21357" xr:uid="{00000000-0005-0000-0000-000074BE0000}"/>
    <cellStyle name="표준 5 7 2 6 7" xfId="25453" xr:uid="{00000000-0005-0000-0000-000075BE0000}"/>
    <cellStyle name="표준 5 7 2 6 8" xfId="33664" xr:uid="{00000000-0005-0000-0000-000076BE0000}"/>
    <cellStyle name="표준 5 7 2 6 9" xfId="41857" xr:uid="{00000000-0005-0000-0000-000077BE0000}"/>
    <cellStyle name="표준 5 7 2 7" xfId="7048" xr:uid="{00000000-0005-0000-0000-000078BE0000}"/>
    <cellStyle name="표준 5 7 2 7 2" xfId="9355" xr:uid="{00000000-0005-0000-0000-000079BE0000}"/>
    <cellStyle name="표준 5 7 2 7 2 2" xfId="30061" xr:uid="{00000000-0005-0000-0000-00007ABE0000}"/>
    <cellStyle name="표준 5 7 2 7 2 3" xfId="38272" xr:uid="{00000000-0005-0000-0000-00007BBE0000}"/>
    <cellStyle name="표준 5 7 2 7 2 4" xfId="46465" xr:uid="{00000000-0005-0000-0000-00007CBE0000}"/>
    <cellStyle name="표준 5 7 2 7 3" xfId="13467" xr:uid="{00000000-0005-0000-0000-00007DBE0000}"/>
    <cellStyle name="표준 5 7 2 7 4" xfId="17707" xr:uid="{00000000-0005-0000-0000-00007EBE0000}"/>
    <cellStyle name="표준 5 7 2 7 5" xfId="21869" xr:uid="{00000000-0005-0000-0000-00007FBE0000}"/>
    <cellStyle name="표준 5 7 2 7 6" xfId="25965" xr:uid="{00000000-0005-0000-0000-000080BE0000}"/>
    <cellStyle name="표준 5 7 2 7 7" xfId="34176" xr:uid="{00000000-0005-0000-0000-000081BE0000}"/>
    <cellStyle name="표준 5 7 2 7 8" xfId="42369" xr:uid="{00000000-0005-0000-0000-000082BE0000}"/>
    <cellStyle name="표준 5 7 2 8" xfId="7130" xr:uid="{00000000-0005-0000-0000-000083BE0000}"/>
    <cellStyle name="표준 5 7 2 8 2" xfId="28013" xr:uid="{00000000-0005-0000-0000-000084BE0000}"/>
    <cellStyle name="표준 5 7 2 8 3" xfId="36224" xr:uid="{00000000-0005-0000-0000-000085BE0000}"/>
    <cellStyle name="표준 5 7 2 8 4" xfId="44417" xr:uid="{00000000-0005-0000-0000-000086BE0000}"/>
    <cellStyle name="표준 5 7 2 9" xfId="7307" xr:uid="{00000000-0005-0000-0000-000087BE0000}"/>
    <cellStyle name="표준 5 7 20" xfId="49652" xr:uid="{00000000-0005-0000-0000-000088BE0000}"/>
    <cellStyle name="표준 5 7 3" xfId="516" xr:uid="{00000000-0005-0000-0000-000089BE0000}"/>
    <cellStyle name="표준 5 7 3 10" xfId="19885" xr:uid="{00000000-0005-0000-0000-00008ABE0000}"/>
    <cellStyle name="표준 5 7 3 11" xfId="23981" xr:uid="{00000000-0005-0000-0000-00008BBE0000}"/>
    <cellStyle name="표준 5 7 3 12" xfId="32192" xr:uid="{00000000-0005-0000-0000-00008CBE0000}"/>
    <cellStyle name="표준 5 7 3 13" xfId="40385" xr:uid="{00000000-0005-0000-0000-00008DBE0000}"/>
    <cellStyle name="표준 5 7 3 2" xfId="772" xr:uid="{00000000-0005-0000-0000-00008EBE0000}"/>
    <cellStyle name="표준 5 7 3 2 10" xfId="24237" xr:uid="{00000000-0005-0000-0000-00008FBE0000}"/>
    <cellStyle name="표준 5 7 3 2 11" xfId="32448" xr:uid="{00000000-0005-0000-0000-000090BE0000}"/>
    <cellStyle name="표준 5 7 3 2 12" xfId="40641" xr:uid="{00000000-0005-0000-0000-000091BE0000}"/>
    <cellStyle name="표준 5 7 3 2 2" xfId="1284" xr:uid="{00000000-0005-0000-0000-000092BE0000}"/>
    <cellStyle name="표준 5 7 3 2 2 2" xfId="10187" xr:uid="{00000000-0005-0000-0000-000093BE0000}"/>
    <cellStyle name="표준 5 7 3 2 2 2 2" xfId="14299" xr:uid="{00000000-0005-0000-0000-000094BE0000}"/>
    <cellStyle name="표준 5 7 3 2 2 2 2 2" xfId="30893" xr:uid="{00000000-0005-0000-0000-000095BE0000}"/>
    <cellStyle name="표준 5 7 3 2 2 2 2 3" xfId="39104" xr:uid="{00000000-0005-0000-0000-000096BE0000}"/>
    <cellStyle name="표준 5 7 3 2 2 2 2 4" xfId="47297" xr:uid="{00000000-0005-0000-0000-000097BE0000}"/>
    <cellStyle name="표준 5 7 3 2 2 2 3" xfId="18539" xr:uid="{00000000-0005-0000-0000-000098BE0000}"/>
    <cellStyle name="표준 5 7 3 2 2 2 4" xfId="22701" xr:uid="{00000000-0005-0000-0000-000099BE0000}"/>
    <cellStyle name="표준 5 7 3 2 2 2 5" xfId="26797" xr:uid="{00000000-0005-0000-0000-00009ABE0000}"/>
    <cellStyle name="표준 5 7 3 2 2 2 6" xfId="35008" xr:uid="{00000000-0005-0000-0000-00009BBE0000}"/>
    <cellStyle name="표준 5 7 3 2 2 2 7" xfId="43201" xr:uid="{00000000-0005-0000-0000-00009CBE0000}"/>
    <cellStyle name="표준 5 7 3 2 2 3" xfId="8139" xr:uid="{00000000-0005-0000-0000-00009DBE0000}"/>
    <cellStyle name="표준 5 7 3 2 2 3 2" xfId="28845" xr:uid="{00000000-0005-0000-0000-00009EBE0000}"/>
    <cellStyle name="표준 5 7 3 2 2 3 3" xfId="37056" xr:uid="{00000000-0005-0000-0000-00009FBE0000}"/>
    <cellStyle name="표준 5 7 3 2 2 3 4" xfId="45249" xr:uid="{00000000-0005-0000-0000-0000A0BE0000}"/>
    <cellStyle name="표준 5 7 3 2 2 4" xfId="12251" xr:uid="{00000000-0005-0000-0000-0000A1BE0000}"/>
    <cellStyle name="표준 5 7 3 2 2 5" xfId="16491" xr:uid="{00000000-0005-0000-0000-0000A2BE0000}"/>
    <cellStyle name="표준 5 7 3 2 2 6" xfId="20653" xr:uid="{00000000-0005-0000-0000-0000A3BE0000}"/>
    <cellStyle name="표준 5 7 3 2 2 7" xfId="24749" xr:uid="{00000000-0005-0000-0000-0000A4BE0000}"/>
    <cellStyle name="표준 5 7 3 2 2 8" xfId="32960" xr:uid="{00000000-0005-0000-0000-0000A5BE0000}"/>
    <cellStyle name="표준 5 7 3 2 2 9" xfId="41153" xr:uid="{00000000-0005-0000-0000-0000A6BE0000}"/>
    <cellStyle name="표준 5 7 3 2 3" xfId="1796" xr:uid="{00000000-0005-0000-0000-0000A7BE0000}"/>
    <cellStyle name="표준 5 7 3 2 3 2" xfId="10699" xr:uid="{00000000-0005-0000-0000-0000A8BE0000}"/>
    <cellStyle name="표준 5 7 3 2 3 2 2" xfId="14811" xr:uid="{00000000-0005-0000-0000-0000A9BE0000}"/>
    <cellStyle name="표준 5 7 3 2 3 2 2 2" xfId="31405" xr:uid="{00000000-0005-0000-0000-0000AABE0000}"/>
    <cellStyle name="표준 5 7 3 2 3 2 2 3" xfId="39616" xr:uid="{00000000-0005-0000-0000-0000ABBE0000}"/>
    <cellStyle name="표준 5 7 3 2 3 2 2 4" xfId="47809" xr:uid="{00000000-0005-0000-0000-0000ACBE0000}"/>
    <cellStyle name="표준 5 7 3 2 3 2 3" xfId="19051" xr:uid="{00000000-0005-0000-0000-0000ADBE0000}"/>
    <cellStyle name="표준 5 7 3 2 3 2 4" xfId="23213" xr:uid="{00000000-0005-0000-0000-0000AEBE0000}"/>
    <cellStyle name="표준 5 7 3 2 3 2 5" xfId="27309" xr:uid="{00000000-0005-0000-0000-0000AFBE0000}"/>
    <cellStyle name="표준 5 7 3 2 3 2 6" xfId="35520" xr:uid="{00000000-0005-0000-0000-0000B0BE0000}"/>
    <cellStyle name="표준 5 7 3 2 3 2 7" xfId="43713" xr:uid="{00000000-0005-0000-0000-0000B1BE0000}"/>
    <cellStyle name="표준 5 7 3 2 3 3" xfId="8651" xr:uid="{00000000-0005-0000-0000-0000B2BE0000}"/>
    <cellStyle name="표준 5 7 3 2 3 3 2" xfId="29357" xr:uid="{00000000-0005-0000-0000-0000B3BE0000}"/>
    <cellStyle name="표준 5 7 3 2 3 3 3" xfId="37568" xr:uid="{00000000-0005-0000-0000-0000B4BE0000}"/>
    <cellStyle name="표준 5 7 3 2 3 3 4" xfId="45761" xr:uid="{00000000-0005-0000-0000-0000B5BE0000}"/>
    <cellStyle name="표준 5 7 3 2 3 4" xfId="12763" xr:uid="{00000000-0005-0000-0000-0000B6BE0000}"/>
    <cellStyle name="표준 5 7 3 2 3 5" xfId="17003" xr:uid="{00000000-0005-0000-0000-0000B7BE0000}"/>
    <cellStyle name="표준 5 7 3 2 3 6" xfId="21165" xr:uid="{00000000-0005-0000-0000-0000B8BE0000}"/>
    <cellStyle name="표준 5 7 3 2 3 7" xfId="25261" xr:uid="{00000000-0005-0000-0000-0000B9BE0000}"/>
    <cellStyle name="표준 5 7 3 2 3 8" xfId="33472" xr:uid="{00000000-0005-0000-0000-0000BABE0000}"/>
    <cellStyle name="표준 5 7 3 2 3 9" xfId="41665" xr:uid="{00000000-0005-0000-0000-0000BBBE0000}"/>
    <cellStyle name="표준 5 7 3 2 4" xfId="2308" xr:uid="{00000000-0005-0000-0000-0000BCBE0000}"/>
    <cellStyle name="표준 5 7 3 2 4 2" xfId="11211" xr:uid="{00000000-0005-0000-0000-0000BDBE0000}"/>
    <cellStyle name="표준 5 7 3 2 4 2 2" xfId="15323" xr:uid="{00000000-0005-0000-0000-0000BEBE0000}"/>
    <cellStyle name="표준 5 7 3 2 4 2 2 2" xfId="31917" xr:uid="{00000000-0005-0000-0000-0000BFBE0000}"/>
    <cellStyle name="표준 5 7 3 2 4 2 2 3" xfId="40128" xr:uid="{00000000-0005-0000-0000-0000C0BE0000}"/>
    <cellStyle name="표준 5 7 3 2 4 2 2 4" xfId="48321" xr:uid="{00000000-0005-0000-0000-0000C1BE0000}"/>
    <cellStyle name="표준 5 7 3 2 4 2 3" xfId="19563" xr:uid="{00000000-0005-0000-0000-0000C2BE0000}"/>
    <cellStyle name="표준 5 7 3 2 4 2 4" xfId="23725" xr:uid="{00000000-0005-0000-0000-0000C3BE0000}"/>
    <cellStyle name="표준 5 7 3 2 4 2 5" xfId="27821" xr:uid="{00000000-0005-0000-0000-0000C4BE0000}"/>
    <cellStyle name="표준 5 7 3 2 4 2 6" xfId="36032" xr:uid="{00000000-0005-0000-0000-0000C5BE0000}"/>
    <cellStyle name="표준 5 7 3 2 4 2 7" xfId="44225" xr:uid="{00000000-0005-0000-0000-0000C6BE0000}"/>
    <cellStyle name="표준 5 7 3 2 4 3" xfId="9163" xr:uid="{00000000-0005-0000-0000-0000C7BE0000}"/>
    <cellStyle name="표준 5 7 3 2 4 3 2" xfId="29869" xr:uid="{00000000-0005-0000-0000-0000C8BE0000}"/>
    <cellStyle name="표준 5 7 3 2 4 3 3" xfId="38080" xr:uid="{00000000-0005-0000-0000-0000C9BE0000}"/>
    <cellStyle name="표준 5 7 3 2 4 3 4" xfId="46273" xr:uid="{00000000-0005-0000-0000-0000CABE0000}"/>
    <cellStyle name="표준 5 7 3 2 4 4" xfId="13275" xr:uid="{00000000-0005-0000-0000-0000CBBE0000}"/>
    <cellStyle name="표준 5 7 3 2 4 5" xfId="17515" xr:uid="{00000000-0005-0000-0000-0000CCBE0000}"/>
    <cellStyle name="표준 5 7 3 2 4 6" xfId="21677" xr:uid="{00000000-0005-0000-0000-0000CDBE0000}"/>
    <cellStyle name="표준 5 7 3 2 4 7" xfId="25773" xr:uid="{00000000-0005-0000-0000-0000CEBE0000}"/>
    <cellStyle name="표준 5 7 3 2 4 8" xfId="33984" xr:uid="{00000000-0005-0000-0000-0000CFBE0000}"/>
    <cellStyle name="표준 5 7 3 2 4 9" xfId="42177" xr:uid="{00000000-0005-0000-0000-0000D0BE0000}"/>
    <cellStyle name="표준 5 7 3 2 5" xfId="9675" xr:uid="{00000000-0005-0000-0000-0000D1BE0000}"/>
    <cellStyle name="표준 5 7 3 2 5 2" xfId="13787" xr:uid="{00000000-0005-0000-0000-0000D2BE0000}"/>
    <cellStyle name="표준 5 7 3 2 5 2 2" xfId="30381" xr:uid="{00000000-0005-0000-0000-0000D3BE0000}"/>
    <cellStyle name="표준 5 7 3 2 5 2 3" xfId="38592" xr:uid="{00000000-0005-0000-0000-0000D4BE0000}"/>
    <cellStyle name="표준 5 7 3 2 5 2 4" xfId="46785" xr:uid="{00000000-0005-0000-0000-0000D5BE0000}"/>
    <cellStyle name="표준 5 7 3 2 5 3" xfId="18027" xr:uid="{00000000-0005-0000-0000-0000D6BE0000}"/>
    <cellStyle name="표준 5 7 3 2 5 4" xfId="22189" xr:uid="{00000000-0005-0000-0000-0000D7BE0000}"/>
    <cellStyle name="표준 5 7 3 2 5 5" xfId="26285" xr:uid="{00000000-0005-0000-0000-0000D8BE0000}"/>
    <cellStyle name="표준 5 7 3 2 5 6" xfId="34496" xr:uid="{00000000-0005-0000-0000-0000D9BE0000}"/>
    <cellStyle name="표준 5 7 3 2 5 7" xfId="42689" xr:uid="{00000000-0005-0000-0000-0000DABE0000}"/>
    <cellStyle name="표준 5 7 3 2 6" xfId="7627" xr:uid="{00000000-0005-0000-0000-0000DBBE0000}"/>
    <cellStyle name="표준 5 7 3 2 6 2" xfId="28333" xr:uid="{00000000-0005-0000-0000-0000DCBE0000}"/>
    <cellStyle name="표준 5 7 3 2 6 3" xfId="36544" xr:uid="{00000000-0005-0000-0000-0000DDBE0000}"/>
    <cellStyle name="표준 5 7 3 2 6 4" xfId="44737" xr:uid="{00000000-0005-0000-0000-0000DEBE0000}"/>
    <cellStyle name="표준 5 7 3 2 7" xfId="11739" xr:uid="{00000000-0005-0000-0000-0000DFBE0000}"/>
    <cellStyle name="표준 5 7 3 2 8" xfId="15979" xr:uid="{00000000-0005-0000-0000-0000E0BE0000}"/>
    <cellStyle name="표준 5 7 3 2 9" xfId="20141" xr:uid="{00000000-0005-0000-0000-0000E1BE0000}"/>
    <cellStyle name="표준 5 7 3 3" xfId="1028" xr:uid="{00000000-0005-0000-0000-0000E2BE0000}"/>
    <cellStyle name="표준 5 7 3 3 2" xfId="9931" xr:uid="{00000000-0005-0000-0000-0000E3BE0000}"/>
    <cellStyle name="표준 5 7 3 3 2 2" xfId="14043" xr:uid="{00000000-0005-0000-0000-0000E4BE0000}"/>
    <cellStyle name="표준 5 7 3 3 2 2 2" xfId="30637" xr:uid="{00000000-0005-0000-0000-0000E5BE0000}"/>
    <cellStyle name="표준 5 7 3 3 2 2 3" xfId="38848" xr:uid="{00000000-0005-0000-0000-0000E6BE0000}"/>
    <cellStyle name="표준 5 7 3 3 2 2 4" xfId="47041" xr:uid="{00000000-0005-0000-0000-0000E7BE0000}"/>
    <cellStyle name="표준 5 7 3 3 2 3" xfId="18283" xr:uid="{00000000-0005-0000-0000-0000E8BE0000}"/>
    <cellStyle name="표준 5 7 3 3 2 4" xfId="22445" xr:uid="{00000000-0005-0000-0000-0000E9BE0000}"/>
    <cellStyle name="표준 5 7 3 3 2 5" xfId="26541" xr:uid="{00000000-0005-0000-0000-0000EABE0000}"/>
    <cellStyle name="표준 5 7 3 3 2 6" xfId="34752" xr:uid="{00000000-0005-0000-0000-0000EBBE0000}"/>
    <cellStyle name="표준 5 7 3 3 2 7" xfId="42945" xr:uid="{00000000-0005-0000-0000-0000ECBE0000}"/>
    <cellStyle name="표준 5 7 3 3 3" xfId="7883" xr:uid="{00000000-0005-0000-0000-0000EDBE0000}"/>
    <cellStyle name="표준 5 7 3 3 3 2" xfId="28589" xr:uid="{00000000-0005-0000-0000-0000EEBE0000}"/>
    <cellStyle name="표준 5 7 3 3 3 3" xfId="36800" xr:uid="{00000000-0005-0000-0000-0000EFBE0000}"/>
    <cellStyle name="표준 5 7 3 3 3 4" xfId="44993" xr:uid="{00000000-0005-0000-0000-0000F0BE0000}"/>
    <cellStyle name="표준 5 7 3 3 4" xfId="11995" xr:uid="{00000000-0005-0000-0000-0000F1BE0000}"/>
    <cellStyle name="표준 5 7 3 3 5" xfId="16235" xr:uid="{00000000-0005-0000-0000-0000F2BE0000}"/>
    <cellStyle name="표준 5 7 3 3 6" xfId="20397" xr:uid="{00000000-0005-0000-0000-0000F3BE0000}"/>
    <cellStyle name="표준 5 7 3 3 7" xfId="24493" xr:uid="{00000000-0005-0000-0000-0000F4BE0000}"/>
    <cellStyle name="표준 5 7 3 3 8" xfId="32704" xr:uid="{00000000-0005-0000-0000-0000F5BE0000}"/>
    <cellStyle name="표준 5 7 3 3 9" xfId="40897" xr:uid="{00000000-0005-0000-0000-0000F6BE0000}"/>
    <cellStyle name="표준 5 7 3 4" xfId="1540" xr:uid="{00000000-0005-0000-0000-0000F7BE0000}"/>
    <cellStyle name="표준 5 7 3 4 2" xfId="10443" xr:uid="{00000000-0005-0000-0000-0000F8BE0000}"/>
    <cellStyle name="표준 5 7 3 4 2 2" xfId="14555" xr:uid="{00000000-0005-0000-0000-0000F9BE0000}"/>
    <cellStyle name="표준 5 7 3 4 2 2 2" xfId="31149" xr:uid="{00000000-0005-0000-0000-0000FABE0000}"/>
    <cellStyle name="표준 5 7 3 4 2 2 3" xfId="39360" xr:uid="{00000000-0005-0000-0000-0000FBBE0000}"/>
    <cellStyle name="표준 5 7 3 4 2 2 4" xfId="47553" xr:uid="{00000000-0005-0000-0000-0000FCBE0000}"/>
    <cellStyle name="표준 5 7 3 4 2 3" xfId="18795" xr:uid="{00000000-0005-0000-0000-0000FDBE0000}"/>
    <cellStyle name="표준 5 7 3 4 2 4" xfId="22957" xr:uid="{00000000-0005-0000-0000-0000FEBE0000}"/>
    <cellStyle name="표준 5 7 3 4 2 5" xfId="27053" xr:uid="{00000000-0005-0000-0000-0000FFBE0000}"/>
    <cellStyle name="표준 5 7 3 4 2 6" xfId="35264" xr:uid="{00000000-0005-0000-0000-000000BF0000}"/>
    <cellStyle name="표준 5 7 3 4 2 7" xfId="43457" xr:uid="{00000000-0005-0000-0000-000001BF0000}"/>
    <cellStyle name="표준 5 7 3 4 3" xfId="8395" xr:uid="{00000000-0005-0000-0000-000002BF0000}"/>
    <cellStyle name="표준 5 7 3 4 3 2" xfId="29101" xr:uid="{00000000-0005-0000-0000-000003BF0000}"/>
    <cellStyle name="표준 5 7 3 4 3 3" xfId="37312" xr:uid="{00000000-0005-0000-0000-000004BF0000}"/>
    <cellStyle name="표준 5 7 3 4 3 4" xfId="45505" xr:uid="{00000000-0005-0000-0000-000005BF0000}"/>
    <cellStyle name="표준 5 7 3 4 4" xfId="12507" xr:uid="{00000000-0005-0000-0000-000006BF0000}"/>
    <cellStyle name="표준 5 7 3 4 5" xfId="16747" xr:uid="{00000000-0005-0000-0000-000007BF0000}"/>
    <cellStyle name="표준 5 7 3 4 6" xfId="20909" xr:uid="{00000000-0005-0000-0000-000008BF0000}"/>
    <cellStyle name="표준 5 7 3 4 7" xfId="25005" xr:uid="{00000000-0005-0000-0000-000009BF0000}"/>
    <cellStyle name="표준 5 7 3 4 8" xfId="33216" xr:uid="{00000000-0005-0000-0000-00000ABF0000}"/>
    <cellStyle name="표준 5 7 3 4 9" xfId="41409" xr:uid="{00000000-0005-0000-0000-00000BBF0000}"/>
    <cellStyle name="표준 5 7 3 5" xfId="2052" xr:uid="{00000000-0005-0000-0000-00000CBF0000}"/>
    <cellStyle name="표준 5 7 3 5 2" xfId="10955" xr:uid="{00000000-0005-0000-0000-00000DBF0000}"/>
    <cellStyle name="표준 5 7 3 5 2 2" xfId="15067" xr:uid="{00000000-0005-0000-0000-00000EBF0000}"/>
    <cellStyle name="표준 5 7 3 5 2 2 2" xfId="31661" xr:uid="{00000000-0005-0000-0000-00000FBF0000}"/>
    <cellStyle name="표준 5 7 3 5 2 2 3" xfId="39872" xr:uid="{00000000-0005-0000-0000-000010BF0000}"/>
    <cellStyle name="표준 5 7 3 5 2 2 4" xfId="48065" xr:uid="{00000000-0005-0000-0000-000011BF0000}"/>
    <cellStyle name="표준 5 7 3 5 2 3" xfId="19307" xr:uid="{00000000-0005-0000-0000-000012BF0000}"/>
    <cellStyle name="표준 5 7 3 5 2 4" xfId="23469" xr:uid="{00000000-0005-0000-0000-000013BF0000}"/>
    <cellStyle name="표준 5 7 3 5 2 5" xfId="27565" xr:uid="{00000000-0005-0000-0000-000014BF0000}"/>
    <cellStyle name="표준 5 7 3 5 2 6" xfId="35776" xr:uid="{00000000-0005-0000-0000-000015BF0000}"/>
    <cellStyle name="표준 5 7 3 5 2 7" xfId="43969" xr:uid="{00000000-0005-0000-0000-000016BF0000}"/>
    <cellStyle name="표준 5 7 3 5 3" xfId="8907" xr:uid="{00000000-0005-0000-0000-000017BF0000}"/>
    <cellStyle name="표준 5 7 3 5 3 2" xfId="29613" xr:uid="{00000000-0005-0000-0000-000018BF0000}"/>
    <cellStyle name="표준 5 7 3 5 3 3" xfId="37824" xr:uid="{00000000-0005-0000-0000-000019BF0000}"/>
    <cellStyle name="표준 5 7 3 5 3 4" xfId="46017" xr:uid="{00000000-0005-0000-0000-00001ABF0000}"/>
    <cellStyle name="표준 5 7 3 5 4" xfId="13019" xr:uid="{00000000-0005-0000-0000-00001BBF0000}"/>
    <cellStyle name="표준 5 7 3 5 5" xfId="17259" xr:uid="{00000000-0005-0000-0000-00001CBF0000}"/>
    <cellStyle name="표준 5 7 3 5 6" xfId="21421" xr:uid="{00000000-0005-0000-0000-00001DBF0000}"/>
    <cellStyle name="표준 5 7 3 5 7" xfId="25517" xr:uid="{00000000-0005-0000-0000-00001EBF0000}"/>
    <cellStyle name="표준 5 7 3 5 8" xfId="33728" xr:uid="{00000000-0005-0000-0000-00001FBF0000}"/>
    <cellStyle name="표준 5 7 3 5 9" xfId="41921" xr:uid="{00000000-0005-0000-0000-000020BF0000}"/>
    <cellStyle name="표준 5 7 3 6" xfId="9419" xr:uid="{00000000-0005-0000-0000-000021BF0000}"/>
    <cellStyle name="표준 5 7 3 6 2" xfId="13531" xr:uid="{00000000-0005-0000-0000-000022BF0000}"/>
    <cellStyle name="표준 5 7 3 6 2 2" xfId="30125" xr:uid="{00000000-0005-0000-0000-000023BF0000}"/>
    <cellStyle name="표준 5 7 3 6 2 3" xfId="38336" xr:uid="{00000000-0005-0000-0000-000024BF0000}"/>
    <cellStyle name="표준 5 7 3 6 2 4" xfId="46529" xr:uid="{00000000-0005-0000-0000-000025BF0000}"/>
    <cellStyle name="표준 5 7 3 6 3" xfId="17771" xr:uid="{00000000-0005-0000-0000-000026BF0000}"/>
    <cellStyle name="표준 5 7 3 6 4" xfId="21933" xr:uid="{00000000-0005-0000-0000-000027BF0000}"/>
    <cellStyle name="표준 5 7 3 6 5" xfId="26029" xr:uid="{00000000-0005-0000-0000-000028BF0000}"/>
    <cellStyle name="표준 5 7 3 6 6" xfId="34240" xr:uid="{00000000-0005-0000-0000-000029BF0000}"/>
    <cellStyle name="표준 5 7 3 6 7" xfId="42433" xr:uid="{00000000-0005-0000-0000-00002ABF0000}"/>
    <cellStyle name="표준 5 7 3 7" xfId="7371" xr:uid="{00000000-0005-0000-0000-00002BBF0000}"/>
    <cellStyle name="표준 5 7 3 7 2" xfId="28077" xr:uid="{00000000-0005-0000-0000-00002CBF0000}"/>
    <cellStyle name="표준 5 7 3 7 3" xfId="36288" xr:uid="{00000000-0005-0000-0000-00002DBF0000}"/>
    <cellStyle name="표준 5 7 3 7 4" xfId="44481" xr:uid="{00000000-0005-0000-0000-00002EBF0000}"/>
    <cellStyle name="표준 5 7 3 8" xfId="11483" xr:uid="{00000000-0005-0000-0000-00002FBF0000}"/>
    <cellStyle name="표준 5 7 3 9" xfId="15723" xr:uid="{00000000-0005-0000-0000-000030BF0000}"/>
    <cellStyle name="표준 5 7 4" xfId="644" xr:uid="{00000000-0005-0000-0000-000031BF0000}"/>
    <cellStyle name="표준 5 7 4 10" xfId="24109" xr:uid="{00000000-0005-0000-0000-000032BF0000}"/>
    <cellStyle name="표준 5 7 4 11" xfId="32320" xr:uid="{00000000-0005-0000-0000-000033BF0000}"/>
    <cellStyle name="표준 5 7 4 12" xfId="40513" xr:uid="{00000000-0005-0000-0000-000034BF0000}"/>
    <cellStyle name="표준 5 7 4 2" xfId="1156" xr:uid="{00000000-0005-0000-0000-000035BF0000}"/>
    <cellStyle name="표준 5 7 4 2 2" xfId="10059" xr:uid="{00000000-0005-0000-0000-000036BF0000}"/>
    <cellStyle name="표준 5 7 4 2 2 2" xfId="14171" xr:uid="{00000000-0005-0000-0000-000037BF0000}"/>
    <cellStyle name="표준 5 7 4 2 2 2 2" xfId="30765" xr:uid="{00000000-0005-0000-0000-000038BF0000}"/>
    <cellStyle name="표준 5 7 4 2 2 2 3" xfId="38976" xr:uid="{00000000-0005-0000-0000-000039BF0000}"/>
    <cellStyle name="표준 5 7 4 2 2 2 4" xfId="47169" xr:uid="{00000000-0005-0000-0000-00003ABF0000}"/>
    <cellStyle name="표준 5 7 4 2 2 3" xfId="18411" xr:uid="{00000000-0005-0000-0000-00003BBF0000}"/>
    <cellStyle name="표준 5 7 4 2 2 4" xfId="22573" xr:uid="{00000000-0005-0000-0000-00003CBF0000}"/>
    <cellStyle name="표준 5 7 4 2 2 5" xfId="26669" xr:uid="{00000000-0005-0000-0000-00003DBF0000}"/>
    <cellStyle name="표준 5 7 4 2 2 6" xfId="34880" xr:uid="{00000000-0005-0000-0000-00003EBF0000}"/>
    <cellStyle name="표준 5 7 4 2 2 7" xfId="43073" xr:uid="{00000000-0005-0000-0000-00003FBF0000}"/>
    <cellStyle name="표준 5 7 4 2 3" xfId="8011" xr:uid="{00000000-0005-0000-0000-000040BF0000}"/>
    <cellStyle name="표준 5 7 4 2 3 2" xfId="28717" xr:uid="{00000000-0005-0000-0000-000041BF0000}"/>
    <cellStyle name="표준 5 7 4 2 3 3" xfId="36928" xr:uid="{00000000-0005-0000-0000-000042BF0000}"/>
    <cellStyle name="표준 5 7 4 2 3 4" xfId="45121" xr:uid="{00000000-0005-0000-0000-000043BF0000}"/>
    <cellStyle name="표준 5 7 4 2 4" xfId="12123" xr:uid="{00000000-0005-0000-0000-000044BF0000}"/>
    <cellStyle name="표준 5 7 4 2 5" xfId="16363" xr:uid="{00000000-0005-0000-0000-000045BF0000}"/>
    <cellStyle name="표준 5 7 4 2 6" xfId="20525" xr:uid="{00000000-0005-0000-0000-000046BF0000}"/>
    <cellStyle name="표준 5 7 4 2 7" xfId="24621" xr:uid="{00000000-0005-0000-0000-000047BF0000}"/>
    <cellStyle name="표준 5 7 4 2 8" xfId="32832" xr:uid="{00000000-0005-0000-0000-000048BF0000}"/>
    <cellStyle name="표준 5 7 4 2 9" xfId="41025" xr:uid="{00000000-0005-0000-0000-000049BF0000}"/>
    <cellStyle name="표준 5 7 4 3" xfId="1668" xr:uid="{00000000-0005-0000-0000-00004ABF0000}"/>
    <cellStyle name="표준 5 7 4 3 2" xfId="10571" xr:uid="{00000000-0005-0000-0000-00004BBF0000}"/>
    <cellStyle name="표준 5 7 4 3 2 2" xfId="14683" xr:uid="{00000000-0005-0000-0000-00004CBF0000}"/>
    <cellStyle name="표준 5 7 4 3 2 2 2" xfId="31277" xr:uid="{00000000-0005-0000-0000-00004DBF0000}"/>
    <cellStyle name="표준 5 7 4 3 2 2 3" xfId="39488" xr:uid="{00000000-0005-0000-0000-00004EBF0000}"/>
    <cellStyle name="표준 5 7 4 3 2 2 4" xfId="47681" xr:uid="{00000000-0005-0000-0000-00004FBF0000}"/>
    <cellStyle name="표준 5 7 4 3 2 3" xfId="18923" xr:uid="{00000000-0005-0000-0000-000050BF0000}"/>
    <cellStyle name="표준 5 7 4 3 2 4" xfId="23085" xr:uid="{00000000-0005-0000-0000-000051BF0000}"/>
    <cellStyle name="표준 5 7 4 3 2 5" xfId="27181" xr:uid="{00000000-0005-0000-0000-000052BF0000}"/>
    <cellStyle name="표준 5 7 4 3 2 6" xfId="35392" xr:uid="{00000000-0005-0000-0000-000053BF0000}"/>
    <cellStyle name="표준 5 7 4 3 2 7" xfId="43585" xr:uid="{00000000-0005-0000-0000-000054BF0000}"/>
    <cellStyle name="표준 5 7 4 3 3" xfId="8523" xr:uid="{00000000-0005-0000-0000-000055BF0000}"/>
    <cellStyle name="표준 5 7 4 3 3 2" xfId="29229" xr:uid="{00000000-0005-0000-0000-000056BF0000}"/>
    <cellStyle name="표준 5 7 4 3 3 3" xfId="37440" xr:uid="{00000000-0005-0000-0000-000057BF0000}"/>
    <cellStyle name="표준 5 7 4 3 3 4" xfId="45633" xr:uid="{00000000-0005-0000-0000-000058BF0000}"/>
    <cellStyle name="표준 5 7 4 3 4" xfId="12635" xr:uid="{00000000-0005-0000-0000-000059BF0000}"/>
    <cellStyle name="표준 5 7 4 3 5" xfId="16875" xr:uid="{00000000-0005-0000-0000-00005ABF0000}"/>
    <cellStyle name="표준 5 7 4 3 6" xfId="21037" xr:uid="{00000000-0005-0000-0000-00005BBF0000}"/>
    <cellStyle name="표준 5 7 4 3 7" xfId="25133" xr:uid="{00000000-0005-0000-0000-00005CBF0000}"/>
    <cellStyle name="표준 5 7 4 3 8" xfId="33344" xr:uid="{00000000-0005-0000-0000-00005DBF0000}"/>
    <cellStyle name="표준 5 7 4 3 9" xfId="41537" xr:uid="{00000000-0005-0000-0000-00005EBF0000}"/>
    <cellStyle name="표준 5 7 4 4" xfId="2180" xr:uid="{00000000-0005-0000-0000-00005FBF0000}"/>
    <cellStyle name="표준 5 7 4 4 2" xfId="11083" xr:uid="{00000000-0005-0000-0000-000060BF0000}"/>
    <cellStyle name="표준 5 7 4 4 2 2" xfId="15195" xr:uid="{00000000-0005-0000-0000-000061BF0000}"/>
    <cellStyle name="표준 5 7 4 4 2 2 2" xfId="31789" xr:uid="{00000000-0005-0000-0000-000062BF0000}"/>
    <cellStyle name="표준 5 7 4 4 2 2 3" xfId="40000" xr:uid="{00000000-0005-0000-0000-000063BF0000}"/>
    <cellStyle name="표준 5 7 4 4 2 2 4" xfId="48193" xr:uid="{00000000-0005-0000-0000-000064BF0000}"/>
    <cellStyle name="표준 5 7 4 4 2 3" xfId="19435" xr:uid="{00000000-0005-0000-0000-000065BF0000}"/>
    <cellStyle name="표준 5 7 4 4 2 4" xfId="23597" xr:uid="{00000000-0005-0000-0000-000066BF0000}"/>
    <cellStyle name="표준 5 7 4 4 2 5" xfId="27693" xr:uid="{00000000-0005-0000-0000-000067BF0000}"/>
    <cellStyle name="표준 5 7 4 4 2 6" xfId="35904" xr:uid="{00000000-0005-0000-0000-000068BF0000}"/>
    <cellStyle name="표준 5 7 4 4 2 7" xfId="44097" xr:uid="{00000000-0005-0000-0000-000069BF0000}"/>
    <cellStyle name="표준 5 7 4 4 3" xfId="9035" xr:uid="{00000000-0005-0000-0000-00006ABF0000}"/>
    <cellStyle name="표준 5 7 4 4 3 2" xfId="29741" xr:uid="{00000000-0005-0000-0000-00006BBF0000}"/>
    <cellStyle name="표준 5 7 4 4 3 3" xfId="37952" xr:uid="{00000000-0005-0000-0000-00006CBF0000}"/>
    <cellStyle name="표준 5 7 4 4 3 4" xfId="46145" xr:uid="{00000000-0005-0000-0000-00006DBF0000}"/>
    <cellStyle name="표준 5 7 4 4 4" xfId="13147" xr:uid="{00000000-0005-0000-0000-00006EBF0000}"/>
    <cellStyle name="표준 5 7 4 4 5" xfId="17387" xr:uid="{00000000-0005-0000-0000-00006FBF0000}"/>
    <cellStyle name="표준 5 7 4 4 6" xfId="21549" xr:uid="{00000000-0005-0000-0000-000070BF0000}"/>
    <cellStyle name="표준 5 7 4 4 7" xfId="25645" xr:uid="{00000000-0005-0000-0000-000071BF0000}"/>
    <cellStyle name="표준 5 7 4 4 8" xfId="33856" xr:uid="{00000000-0005-0000-0000-000072BF0000}"/>
    <cellStyle name="표준 5 7 4 4 9" xfId="42049" xr:uid="{00000000-0005-0000-0000-000073BF0000}"/>
    <cellStyle name="표준 5 7 4 5" xfId="9547" xr:uid="{00000000-0005-0000-0000-000074BF0000}"/>
    <cellStyle name="표준 5 7 4 5 2" xfId="13659" xr:uid="{00000000-0005-0000-0000-000075BF0000}"/>
    <cellStyle name="표준 5 7 4 5 2 2" xfId="30253" xr:uid="{00000000-0005-0000-0000-000076BF0000}"/>
    <cellStyle name="표준 5 7 4 5 2 3" xfId="38464" xr:uid="{00000000-0005-0000-0000-000077BF0000}"/>
    <cellStyle name="표준 5 7 4 5 2 4" xfId="46657" xr:uid="{00000000-0005-0000-0000-000078BF0000}"/>
    <cellStyle name="표준 5 7 4 5 3" xfId="17899" xr:uid="{00000000-0005-0000-0000-000079BF0000}"/>
    <cellStyle name="표준 5 7 4 5 4" xfId="22061" xr:uid="{00000000-0005-0000-0000-00007ABF0000}"/>
    <cellStyle name="표준 5 7 4 5 5" xfId="26157" xr:uid="{00000000-0005-0000-0000-00007BBF0000}"/>
    <cellStyle name="표준 5 7 4 5 6" xfId="34368" xr:uid="{00000000-0005-0000-0000-00007CBF0000}"/>
    <cellStyle name="표준 5 7 4 5 7" xfId="42561" xr:uid="{00000000-0005-0000-0000-00007DBF0000}"/>
    <cellStyle name="표준 5 7 4 6" xfId="7499" xr:uid="{00000000-0005-0000-0000-00007EBF0000}"/>
    <cellStyle name="표준 5 7 4 6 2" xfId="28205" xr:uid="{00000000-0005-0000-0000-00007FBF0000}"/>
    <cellStyle name="표준 5 7 4 6 3" xfId="36416" xr:uid="{00000000-0005-0000-0000-000080BF0000}"/>
    <cellStyle name="표준 5 7 4 6 4" xfId="44609" xr:uid="{00000000-0005-0000-0000-000081BF0000}"/>
    <cellStyle name="표준 5 7 4 7" xfId="11611" xr:uid="{00000000-0005-0000-0000-000082BF0000}"/>
    <cellStyle name="표준 5 7 4 8" xfId="15851" xr:uid="{00000000-0005-0000-0000-000083BF0000}"/>
    <cellStyle name="표준 5 7 4 9" xfId="20013" xr:uid="{00000000-0005-0000-0000-000084BF0000}"/>
    <cellStyle name="표준 5 7 5" xfId="900" xr:uid="{00000000-0005-0000-0000-000085BF0000}"/>
    <cellStyle name="표준 5 7 5 2" xfId="9803" xr:uid="{00000000-0005-0000-0000-000086BF0000}"/>
    <cellStyle name="표준 5 7 5 2 2" xfId="13915" xr:uid="{00000000-0005-0000-0000-000087BF0000}"/>
    <cellStyle name="표준 5 7 5 2 2 2" xfId="30509" xr:uid="{00000000-0005-0000-0000-000088BF0000}"/>
    <cellStyle name="표준 5 7 5 2 2 3" xfId="38720" xr:uid="{00000000-0005-0000-0000-000089BF0000}"/>
    <cellStyle name="표준 5 7 5 2 2 4" xfId="46913" xr:uid="{00000000-0005-0000-0000-00008ABF0000}"/>
    <cellStyle name="표준 5 7 5 2 3" xfId="18155" xr:uid="{00000000-0005-0000-0000-00008BBF0000}"/>
    <cellStyle name="표준 5 7 5 2 4" xfId="22317" xr:uid="{00000000-0005-0000-0000-00008CBF0000}"/>
    <cellStyle name="표준 5 7 5 2 5" xfId="26413" xr:uid="{00000000-0005-0000-0000-00008DBF0000}"/>
    <cellStyle name="표준 5 7 5 2 6" xfId="34624" xr:uid="{00000000-0005-0000-0000-00008EBF0000}"/>
    <cellStyle name="표준 5 7 5 2 7" xfId="42817" xr:uid="{00000000-0005-0000-0000-00008FBF0000}"/>
    <cellStyle name="표준 5 7 5 3" xfId="7755" xr:uid="{00000000-0005-0000-0000-000090BF0000}"/>
    <cellStyle name="표준 5 7 5 3 2" xfId="28461" xr:uid="{00000000-0005-0000-0000-000091BF0000}"/>
    <cellStyle name="표준 5 7 5 3 3" xfId="36672" xr:uid="{00000000-0005-0000-0000-000092BF0000}"/>
    <cellStyle name="표준 5 7 5 3 4" xfId="44865" xr:uid="{00000000-0005-0000-0000-000093BF0000}"/>
    <cellStyle name="표준 5 7 5 4" xfId="11867" xr:uid="{00000000-0005-0000-0000-000094BF0000}"/>
    <cellStyle name="표준 5 7 5 5" xfId="16107" xr:uid="{00000000-0005-0000-0000-000095BF0000}"/>
    <cellStyle name="표준 5 7 5 6" xfId="20269" xr:uid="{00000000-0005-0000-0000-000096BF0000}"/>
    <cellStyle name="표준 5 7 5 7" xfId="24365" xr:uid="{00000000-0005-0000-0000-000097BF0000}"/>
    <cellStyle name="표준 5 7 5 8" xfId="32576" xr:uid="{00000000-0005-0000-0000-000098BF0000}"/>
    <cellStyle name="표준 5 7 5 9" xfId="40769" xr:uid="{00000000-0005-0000-0000-000099BF0000}"/>
    <cellStyle name="표준 5 7 6" xfId="1412" xr:uid="{00000000-0005-0000-0000-00009ABF0000}"/>
    <cellStyle name="표준 5 7 6 2" xfId="10315" xr:uid="{00000000-0005-0000-0000-00009BBF0000}"/>
    <cellStyle name="표준 5 7 6 2 2" xfId="14427" xr:uid="{00000000-0005-0000-0000-00009CBF0000}"/>
    <cellStyle name="표준 5 7 6 2 2 2" xfId="31021" xr:uid="{00000000-0005-0000-0000-00009DBF0000}"/>
    <cellStyle name="표준 5 7 6 2 2 3" xfId="39232" xr:uid="{00000000-0005-0000-0000-00009EBF0000}"/>
    <cellStyle name="표준 5 7 6 2 2 4" xfId="47425" xr:uid="{00000000-0005-0000-0000-00009FBF0000}"/>
    <cellStyle name="표준 5 7 6 2 3" xfId="18667" xr:uid="{00000000-0005-0000-0000-0000A0BF0000}"/>
    <cellStyle name="표준 5 7 6 2 4" xfId="22829" xr:uid="{00000000-0005-0000-0000-0000A1BF0000}"/>
    <cellStyle name="표준 5 7 6 2 5" xfId="26925" xr:uid="{00000000-0005-0000-0000-0000A2BF0000}"/>
    <cellStyle name="표준 5 7 6 2 6" xfId="35136" xr:uid="{00000000-0005-0000-0000-0000A3BF0000}"/>
    <cellStyle name="표준 5 7 6 2 7" xfId="43329" xr:uid="{00000000-0005-0000-0000-0000A4BF0000}"/>
    <cellStyle name="표준 5 7 6 3" xfId="8267" xr:uid="{00000000-0005-0000-0000-0000A5BF0000}"/>
    <cellStyle name="표준 5 7 6 3 2" xfId="28973" xr:uid="{00000000-0005-0000-0000-0000A6BF0000}"/>
    <cellStyle name="표준 5 7 6 3 3" xfId="37184" xr:uid="{00000000-0005-0000-0000-0000A7BF0000}"/>
    <cellStyle name="표준 5 7 6 3 4" xfId="45377" xr:uid="{00000000-0005-0000-0000-0000A8BF0000}"/>
    <cellStyle name="표준 5 7 6 4" xfId="12379" xr:uid="{00000000-0005-0000-0000-0000A9BF0000}"/>
    <cellStyle name="표준 5 7 6 5" xfId="16619" xr:uid="{00000000-0005-0000-0000-0000AABF0000}"/>
    <cellStyle name="표준 5 7 6 6" xfId="20781" xr:uid="{00000000-0005-0000-0000-0000ABBF0000}"/>
    <cellStyle name="표준 5 7 6 7" xfId="24877" xr:uid="{00000000-0005-0000-0000-0000ACBF0000}"/>
    <cellStyle name="표준 5 7 6 8" xfId="33088" xr:uid="{00000000-0005-0000-0000-0000ADBF0000}"/>
    <cellStyle name="표준 5 7 6 9" xfId="41281" xr:uid="{00000000-0005-0000-0000-0000AEBF0000}"/>
    <cellStyle name="표준 5 7 7" xfId="1924" xr:uid="{00000000-0005-0000-0000-0000AFBF0000}"/>
    <cellStyle name="표준 5 7 7 2" xfId="10827" xr:uid="{00000000-0005-0000-0000-0000B0BF0000}"/>
    <cellStyle name="표준 5 7 7 2 2" xfId="14939" xr:uid="{00000000-0005-0000-0000-0000B1BF0000}"/>
    <cellStyle name="표준 5 7 7 2 2 2" xfId="31533" xr:uid="{00000000-0005-0000-0000-0000B2BF0000}"/>
    <cellStyle name="표준 5 7 7 2 2 3" xfId="39744" xr:uid="{00000000-0005-0000-0000-0000B3BF0000}"/>
    <cellStyle name="표준 5 7 7 2 2 4" xfId="47937" xr:uid="{00000000-0005-0000-0000-0000B4BF0000}"/>
    <cellStyle name="표준 5 7 7 2 3" xfId="19179" xr:uid="{00000000-0005-0000-0000-0000B5BF0000}"/>
    <cellStyle name="표준 5 7 7 2 4" xfId="23341" xr:uid="{00000000-0005-0000-0000-0000B6BF0000}"/>
    <cellStyle name="표준 5 7 7 2 5" xfId="27437" xr:uid="{00000000-0005-0000-0000-0000B7BF0000}"/>
    <cellStyle name="표준 5 7 7 2 6" xfId="35648" xr:uid="{00000000-0005-0000-0000-0000B8BF0000}"/>
    <cellStyle name="표준 5 7 7 2 7" xfId="43841" xr:uid="{00000000-0005-0000-0000-0000B9BF0000}"/>
    <cellStyle name="표준 5 7 7 3" xfId="8779" xr:uid="{00000000-0005-0000-0000-0000BABF0000}"/>
    <cellStyle name="표준 5 7 7 3 2" xfId="29485" xr:uid="{00000000-0005-0000-0000-0000BBBF0000}"/>
    <cellStyle name="표준 5 7 7 3 3" xfId="37696" xr:uid="{00000000-0005-0000-0000-0000BCBF0000}"/>
    <cellStyle name="표준 5 7 7 3 4" xfId="45889" xr:uid="{00000000-0005-0000-0000-0000BDBF0000}"/>
    <cellStyle name="표준 5 7 7 4" xfId="12891" xr:uid="{00000000-0005-0000-0000-0000BEBF0000}"/>
    <cellStyle name="표준 5 7 7 5" xfId="17131" xr:uid="{00000000-0005-0000-0000-0000BFBF0000}"/>
    <cellStyle name="표준 5 7 7 6" xfId="21293" xr:uid="{00000000-0005-0000-0000-0000C0BF0000}"/>
    <cellStyle name="표준 5 7 7 7" xfId="25389" xr:uid="{00000000-0005-0000-0000-0000C1BF0000}"/>
    <cellStyle name="표준 5 7 7 8" xfId="33600" xr:uid="{00000000-0005-0000-0000-0000C2BF0000}"/>
    <cellStyle name="표준 5 7 7 9" xfId="41793" xr:uid="{00000000-0005-0000-0000-0000C3BF0000}"/>
    <cellStyle name="표준 5 7 8" xfId="388" xr:uid="{00000000-0005-0000-0000-0000C4BF0000}"/>
    <cellStyle name="표준 5 7 8 2" xfId="9291" xr:uid="{00000000-0005-0000-0000-0000C5BF0000}"/>
    <cellStyle name="표준 5 7 8 2 2" xfId="29997" xr:uid="{00000000-0005-0000-0000-0000C6BF0000}"/>
    <cellStyle name="표준 5 7 8 2 3" xfId="38208" xr:uid="{00000000-0005-0000-0000-0000C7BF0000}"/>
    <cellStyle name="표준 5 7 8 2 4" xfId="46401" xr:uid="{00000000-0005-0000-0000-0000C8BF0000}"/>
    <cellStyle name="표준 5 7 8 3" xfId="13403" xr:uid="{00000000-0005-0000-0000-0000C9BF0000}"/>
    <cellStyle name="표준 5 7 8 4" xfId="17643" xr:uid="{00000000-0005-0000-0000-0000CABF0000}"/>
    <cellStyle name="표준 5 7 8 5" xfId="21805" xr:uid="{00000000-0005-0000-0000-0000CBBF0000}"/>
    <cellStyle name="표준 5 7 8 6" xfId="25901" xr:uid="{00000000-0005-0000-0000-0000CCBF0000}"/>
    <cellStyle name="표준 5 7 8 7" xfId="34112" xr:uid="{00000000-0005-0000-0000-0000CDBF0000}"/>
    <cellStyle name="표준 5 7 8 8" xfId="42305" xr:uid="{00000000-0005-0000-0000-0000CEBF0000}"/>
    <cellStyle name="표준 5 7 9" xfId="4342" xr:uid="{00000000-0005-0000-0000-0000CFBF0000}"/>
    <cellStyle name="표준 5 7 9 2" xfId="27949" xr:uid="{00000000-0005-0000-0000-0000D0BF0000}"/>
    <cellStyle name="표준 5 7 9 3" xfId="36160" xr:uid="{00000000-0005-0000-0000-0000D1BF0000}"/>
    <cellStyle name="표준 5 7 9 4" xfId="44353" xr:uid="{00000000-0005-0000-0000-0000D2BF0000}"/>
    <cellStyle name="표준 5 8" xfId="420" xr:uid="{00000000-0005-0000-0000-0000D3BF0000}"/>
    <cellStyle name="표준 5 8 10" xfId="7275" xr:uid="{00000000-0005-0000-0000-0000D4BF0000}"/>
    <cellStyle name="표준 5 8 11" xfId="11387" xr:uid="{00000000-0005-0000-0000-0000D5BF0000}"/>
    <cellStyle name="표준 5 8 12" xfId="15499" xr:uid="{00000000-0005-0000-0000-0000D6BF0000}"/>
    <cellStyle name="표준 5 8 13" xfId="15627" xr:uid="{00000000-0005-0000-0000-0000D7BF0000}"/>
    <cellStyle name="표준 5 8 14" xfId="19789" xr:uid="{00000000-0005-0000-0000-0000D8BF0000}"/>
    <cellStyle name="표준 5 8 15" xfId="23885" xr:uid="{00000000-0005-0000-0000-0000D9BF0000}"/>
    <cellStyle name="표준 5 8 16" xfId="32096" xr:uid="{00000000-0005-0000-0000-0000DABF0000}"/>
    <cellStyle name="표준 5 8 17" xfId="40289" xr:uid="{00000000-0005-0000-0000-0000DBBF0000}"/>
    <cellStyle name="표준 5 8 18" xfId="49687" xr:uid="{00000000-0005-0000-0000-0000DCBF0000}"/>
    <cellStyle name="표준 5 8 2" xfId="548" xr:uid="{00000000-0005-0000-0000-0000DDBF0000}"/>
    <cellStyle name="표준 5 8 2 10" xfId="19917" xr:uid="{00000000-0005-0000-0000-0000DEBF0000}"/>
    <cellStyle name="표준 5 8 2 11" xfId="24013" xr:uid="{00000000-0005-0000-0000-0000DFBF0000}"/>
    <cellStyle name="표준 5 8 2 12" xfId="32224" xr:uid="{00000000-0005-0000-0000-0000E0BF0000}"/>
    <cellStyle name="표준 5 8 2 13" xfId="40417" xr:uid="{00000000-0005-0000-0000-0000E1BF0000}"/>
    <cellStyle name="표준 5 8 2 2" xfId="804" xr:uid="{00000000-0005-0000-0000-0000E2BF0000}"/>
    <cellStyle name="표준 5 8 2 2 10" xfId="24269" xr:uid="{00000000-0005-0000-0000-0000E3BF0000}"/>
    <cellStyle name="표준 5 8 2 2 11" xfId="32480" xr:uid="{00000000-0005-0000-0000-0000E4BF0000}"/>
    <cellStyle name="표준 5 8 2 2 12" xfId="40673" xr:uid="{00000000-0005-0000-0000-0000E5BF0000}"/>
    <cellStyle name="표준 5 8 2 2 2" xfId="1316" xr:uid="{00000000-0005-0000-0000-0000E6BF0000}"/>
    <cellStyle name="표준 5 8 2 2 2 2" xfId="10219" xr:uid="{00000000-0005-0000-0000-0000E7BF0000}"/>
    <cellStyle name="표준 5 8 2 2 2 2 2" xfId="14331" xr:uid="{00000000-0005-0000-0000-0000E8BF0000}"/>
    <cellStyle name="표준 5 8 2 2 2 2 2 2" xfId="30925" xr:uid="{00000000-0005-0000-0000-0000E9BF0000}"/>
    <cellStyle name="표준 5 8 2 2 2 2 2 3" xfId="39136" xr:uid="{00000000-0005-0000-0000-0000EABF0000}"/>
    <cellStyle name="표준 5 8 2 2 2 2 2 4" xfId="47329" xr:uid="{00000000-0005-0000-0000-0000EBBF0000}"/>
    <cellStyle name="표준 5 8 2 2 2 2 3" xfId="18571" xr:uid="{00000000-0005-0000-0000-0000ECBF0000}"/>
    <cellStyle name="표준 5 8 2 2 2 2 4" xfId="22733" xr:uid="{00000000-0005-0000-0000-0000EDBF0000}"/>
    <cellStyle name="표준 5 8 2 2 2 2 5" xfId="26829" xr:uid="{00000000-0005-0000-0000-0000EEBF0000}"/>
    <cellStyle name="표준 5 8 2 2 2 2 6" xfId="35040" xr:uid="{00000000-0005-0000-0000-0000EFBF0000}"/>
    <cellStyle name="표준 5 8 2 2 2 2 7" xfId="43233" xr:uid="{00000000-0005-0000-0000-0000F0BF0000}"/>
    <cellStyle name="표준 5 8 2 2 2 3" xfId="8171" xr:uid="{00000000-0005-0000-0000-0000F1BF0000}"/>
    <cellStyle name="표준 5 8 2 2 2 3 2" xfId="28877" xr:uid="{00000000-0005-0000-0000-0000F2BF0000}"/>
    <cellStyle name="표준 5 8 2 2 2 3 3" xfId="37088" xr:uid="{00000000-0005-0000-0000-0000F3BF0000}"/>
    <cellStyle name="표준 5 8 2 2 2 3 4" xfId="45281" xr:uid="{00000000-0005-0000-0000-0000F4BF0000}"/>
    <cellStyle name="표준 5 8 2 2 2 4" xfId="12283" xr:uid="{00000000-0005-0000-0000-0000F5BF0000}"/>
    <cellStyle name="표준 5 8 2 2 2 5" xfId="16523" xr:uid="{00000000-0005-0000-0000-0000F6BF0000}"/>
    <cellStyle name="표준 5 8 2 2 2 6" xfId="20685" xr:uid="{00000000-0005-0000-0000-0000F7BF0000}"/>
    <cellStyle name="표준 5 8 2 2 2 7" xfId="24781" xr:uid="{00000000-0005-0000-0000-0000F8BF0000}"/>
    <cellStyle name="표준 5 8 2 2 2 8" xfId="32992" xr:uid="{00000000-0005-0000-0000-0000F9BF0000}"/>
    <cellStyle name="표준 5 8 2 2 2 9" xfId="41185" xr:uid="{00000000-0005-0000-0000-0000FABF0000}"/>
    <cellStyle name="표준 5 8 2 2 3" xfId="1828" xr:uid="{00000000-0005-0000-0000-0000FBBF0000}"/>
    <cellStyle name="표준 5 8 2 2 3 2" xfId="10731" xr:uid="{00000000-0005-0000-0000-0000FCBF0000}"/>
    <cellStyle name="표준 5 8 2 2 3 2 2" xfId="14843" xr:uid="{00000000-0005-0000-0000-0000FDBF0000}"/>
    <cellStyle name="표준 5 8 2 2 3 2 2 2" xfId="31437" xr:uid="{00000000-0005-0000-0000-0000FEBF0000}"/>
    <cellStyle name="표준 5 8 2 2 3 2 2 3" xfId="39648" xr:uid="{00000000-0005-0000-0000-0000FFBF0000}"/>
    <cellStyle name="표준 5 8 2 2 3 2 2 4" xfId="47841" xr:uid="{00000000-0005-0000-0000-000000C00000}"/>
    <cellStyle name="표준 5 8 2 2 3 2 3" xfId="19083" xr:uid="{00000000-0005-0000-0000-000001C00000}"/>
    <cellStyle name="표준 5 8 2 2 3 2 4" xfId="23245" xr:uid="{00000000-0005-0000-0000-000002C00000}"/>
    <cellStyle name="표준 5 8 2 2 3 2 5" xfId="27341" xr:uid="{00000000-0005-0000-0000-000003C00000}"/>
    <cellStyle name="표준 5 8 2 2 3 2 6" xfId="35552" xr:uid="{00000000-0005-0000-0000-000004C00000}"/>
    <cellStyle name="표준 5 8 2 2 3 2 7" xfId="43745" xr:uid="{00000000-0005-0000-0000-000005C00000}"/>
    <cellStyle name="표준 5 8 2 2 3 3" xfId="8683" xr:uid="{00000000-0005-0000-0000-000006C00000}"/>
    <cellStyle name="표준 5 8 2 2 3 3 2" xfId="29389" xr:uid="{00000000-0005-0000-0000-000007C00000}"/>
    <cellStyle name="표준 5 8 2 2 3 3 3" xfId="37600" xr:uid="{00000000-0005-0000-0000-000008C00000}"/>
    <cellStyle name="표준 5 8 2 2 3 3 4" xfId="45793" xr:uid="{00000000-0005-0000-0000-000009C00000}"/>
    <cellStyle name="표준 5 8 2 2 3 4" xfId="12795" xr:uid="{00000000-0005-0000-0000-00000AC00000}"/>
    <cellStyle name="표준 5 8 2 2 3 5" xfId="17035" xr:uid="{00000000-0005-0000-0000-00000BC00000}"/>
    <cellStyle name="표준 5 8 2 2 3 6" xfId="21197" xr:uid="{00000000-0005-0000-0000-00000CC00000}"/>
    <cellStyle name="표준 5 8 2 2 3 7" xfId="25293" xr:uid="{00000000-0005-0000-0000-00000DC00000}"/>
    <cellStyle name="표준 5 8 2 2 3 8" xfId="33504" xr:uid="{00000000-0005-0000-0000-00000EC00000}"/>
    <cellStyle name="표준 5 8 2 2 3 9" xfId="41697" xr:uid="{00000000-0005-0000-0000-00000FC00000}"/>
    <cellStyle name="표준 5 8 2 2 4" xfId="2340" xr:uid="{00000000-0005-0000-0000-000010C00000}"/>
    <cellStyle name="표준 5 8 2 2 4 2" xfId="11243" xr:uid="{00000000-0005-0000-0000-000011C00000}"/>
    <cellStyle name="표준 5 8 2 2 4 2 2" xfId="15355" xr:uid="{00000000-0005-0000-0000-000012C00000}"/>
    <cellStyle name="표준 5 8 2 2 4 2 2 2" xfId="31949" xr:uid="{00000000-0005-0000-0000-000013C00000}"/>
    <cellStyle name="표준 5 8 2 2 4 2 2 3" xfId="40160" xr:uid="{00000000-0005-0000-0000-000014C00000}"/>
    <cellStyle name="표준 5 8 2 2 4 2 2 4" xfId="48353" xr:uid="{00000000-0005-0000-0000-000015C00000}"/>
    <cellStyle name="표준 5 8 2 2 4 2 3" xfId="19595" xr:uid="{00000000-0005-0000-0000-000016C00000}"/>
    <cellStyle name="표준 5 8 2 2 4 2 4" xfId="23757" xr:uid="{00000000-0005-0000-0000-000017C00000}"/>
    <cellStyle name="표준 5 8 2 2 4 2 5" xfId="27853" xr:uid="{00000000-0005-0000-0000-000018C00000}"/>
    <cellStyle name="표준 5 8 2 2 4 2 6" xfId="36064" xr:uid="{00000000-0005-0000-0000-000019C00000}"/>
    <cellStyle name="표준 5 8 2 2 4 2 7" xfId="44257" xr:uid="{00000000-0005-0000-0000-00001AC00000}"/>
    <cellStyle name="표준 5 8 2 2 4 3" xfId="9195" xr:uid="{00000000-0005-0000-0000-00001BC00000}"/>
    <cellStyle name="표준 5 8 2 2 4 3 2" xfId="29901" xr:uid="{00000000-0005-0000-0000-00001CC00000}"/>
    <cellStyle name="표준 5 8 2 2 4 3 3" xfId="38112" xr:uid="{00000000-0005-0000-0000-00001DC00000}"/>
    <cellStyle name="표준 5 8 2 2 4 3 4" xfId="46305" xr:uid="{00000000-0005-0000-0000-00001EC00000}"/>
    <cellStyle name="표준 5 8 2 2 4 4" xfId="13307" xr:uid="{00000000-0005-0000-0000-00001FC00000}"/>
    <cellStyle name="표준 5 8 2 2 4 5" xfId="17547" xr:uid="{00000000-0005-0000-0000-000020C00000}"/>
    <cellStyle name="표준 5 8 2 2 4 6" xfId="21709" xr:uid="{00000000-0005-0000-0000-000021C00000}"/>
    <cellStyle name="표준 5 8 2 2 4 7" xfId="25805" xr:uid="{00000000-0005-0000-0000-000022C00000}"/>
    <cellStyle name="표준 5 8 2 2 4 8" xfId="34016" xr:uid="{00000000-0005-0000-0000-000023C00000}"/>
    <cellStyle name="표준 5 8 2 2 4 9" xfId="42209" xr:uid="{00000000-0005-0000-0000-000024C00000}"/>
    <cellStyle name="표준 5 8 2 2 5" xfId="9707" xr:uid="{00000000-0005-0000-0000-000025C00000}"/>
    <cellStyle name="표준 5 8 2 2 5 2" xfId="13819" xr:uid="{00000000-0005-0000-0000-000026C00000}"/>
    <cellStyle name="표준 5 8 2 2 5 2 2" xfId="30413" xr:uid="{00000000-0005-0000-0000-000027C00000}"/>
    <cellStyle name="표준 5 8 2 2 5 2 3" xfId="38624" xr:uid="{00000000-0005-0000-0000-000028C00000}"/>
    <cellStyle name="표준 5 8 2 2 5 2 4" xfId="46817" xr:uid="{00000000-0005-0000-0000-000029C00000}"/>
    <cellStyle name="표준 5 8 2 2 5 3" xfId="18059" xr:uid="{00000000-0005-0000-0000-00002AC00000}"/>
    <cellStyle name="표준 5 8 2 2 5 4" xfId="22221" xr:uid="{00000000-0005-0000-0000-00002BC00000}"/>
    <cellStyle name="표준 5 8 2 2 5 5" xfId="26317" xr:uid="{00000000-0005-0000-0000-00002CC00000}"/>
    <cellStyle name="표준 5 8 2 2 5 6" xfId="34528" xr:uid="{00000000-0005-0000-0000-00002DC00000}"/>
    <cellStyle name="표준 5 8 2 2 5 7" xfId="42721" xr:uid="{00000000-0005-0000-0000-00002EC00000}"/>
    <cellStyle name="표준 5 8 2 2 6" xfId="7659" xr:uid="{00000000-0005-0000-0000-00002FC00000}"/>
    <cellStyle name="표준 5 8 2 2 6 2" xfId="28365" xr:uid="{00000000-0005-0000-0000-000030C00000}"/>
    <cellStyle name="표준 5 8 2 2 6 3" xfId="36576" xr:uid="{00000000-0005-0000-0000-000031C00000}"/>
    <cellStyle name="표준 5 8 2 2 6 4" xfId="44769" xr:uid="{00000000-0005-0000-0000-000032C00000}"/>
    <cellStyle name="표준 5 8 2 2 7" xfId="11771" xr:uid="{00000000-0005-0000-0000-000033C00000}"/>
    <cellStyle name="표준 5 8 2 2 8" xfId="16011" xr:uid="{00000000-0005-0000-0000-000034C00000}"/>
    <cellStyle name="표준 5 8 2 2 9" xfId="20173" xr:uid="{00000000-0005-0000-0000-000035C00000}"/>
    <cellStyle name="표준 5 8 2 3" xfId="1060" xr:uid="{00000000-0005-0000-0000-000036C00000}"/>
    <cellStyle name="표준 5 8 2 3 2" xfId="9963" xr:uid="{00000000-0005-0000-0000-000037C00000}"/>
    <cellStyle name="표준 5 8 2 3 2 2" xfId="14075" xr:uid="{00000000-0005-0000-0000-000038C00000}"/>
    <cellStyle name="표준 5 8 2 3 2 2 2" xfId="30669" xr:uid="{00000000-0005-0000-0000-000039C00000}"/>
    <cellStyle name="표준 5 8 2 3 2 2 3" xfId="38880" xr:uid="{00000000-0005-0000-0000-00003AC00000}"/>
    <cellStyle name="표준 5 8 2 3 2 2 4" xfId="47073" xr:uid="{00000000-0005-0000-0000-00003BC00000}"/>
    <cellStyle name="표준 5 8 2 3 2 3" xfId="18315" xr:uid="{00000000-0005-0000-0000-00003CC00000}"/>
    <cellStyle name="표준 5 8 2 3 2 4" xfId="22477" xr:uid="{00000000-0005-0000-0000-00003DC00000}"/>
    <cellStyle name="표준 5 8 2 3 2 5" xfId="26573" xr:uid="{00000000-0005-0000-0000-00003EC00000}"/>
    <cellStyle name="표준 5 8 2 3 2 6" xfId="34784" xr:uid="{00000000-0005-0000-0000-00003FC00000}"/>
    <cellStyle name="표준 5 8 2 3 2 7" xfId="42977" xr:uid="{00000000-0005-0000-0000-000040C00000}"/>
    <cellStyle name="표준 5 8 2 3 3" xfId="7915" xr:uid="{00000000-0005-0000-0000-000041C00000}"/>
    <cellStyle name="표준 5 8 2 3 3 2" xfId="28621" xr:uid="{00000000-0005-0000-0000-000042C00000}"/>
    <cellStyle name="표준 5 8 2 3 3 3" xfId="36832" xr:uid="{00000000-0005-0000-0000-000043C00000}"/>
    <cellStyle name="표준 5 8 2 3 3 4" xfId="45025" xr:uid="{00000000-0005-0000-0000-000044C00000}"/>
    <cellStyle name="표준 5 8 2 3 4" xfId="12027" xr:uid="{00000000-0005-0000-0000-000045C00000}"/>
    <cellStyle name="표준 5 8 2 3 5" xfId="16267" xr:uid="{00000000-0005-0000-0000-000046C00000}"/>
    <cellStyle name="표준 5 8 2 3 6" xfId="20429" xr:uid="{00000000-0005-0000-0000-000047C00000}"/>
    <cellStyle name="표준 5 8 2 3 7" xfId="24525" xr:uid="{00000000-0005-0000-0000-000048C00000}"/>
    <cellStyle name="표준 5 8 2 3 8" xfId="32736" xr:uid="{00000000-0005-0000-0000-000049C00000}"/>
    <cellStyle name="표준 5 8 2 3 9" xfId="40929" xr:uid="{00000000-0005-0000-0000-00004AC00000}"/>
    <cellStyle name="표준 5 8 2 4" xfId="1572" xr:uid="{00000000-0005-0000-0000-00004BC00000}"/>
    <cellStyle name="표준 5 8 2 4 2" xfId="10475" xr:uid="{00000000-0005-0000-0000-00004CC00000}"/>
    <cellStyle name="표준 5 8 2 4 2 2" xfId="14587" xr:uid="{00000000-0005-0000-0000-00004DC00000}"/>
    <cellStyle name="표준 5 8 2 4 2 2 2" xfId="31181" xr:uid="{00000000-0005-0000-0000-00004EC00000}"/>
    <cellStyle name="표준 5 8 2 4 2 2 3" xfId="39392" xr:uid="{00000000-0005-0000-0000-00004FC00000}"/>
    <cellStyle name="표준 5 8 2 4 2 2 4" xfId="47585" xr:uid="{00000000-0005-0000-0000-000050C00000}"/>
    <cellStyle name="표준 5 8 2 4 2 3" xfId="18827" xr:uid="{00000000-0005-0000-0000-000051C00000}"/>
    <cellStyle name="표준 5 8 2 4 2 4" xfId="22989" xr:uid="{00000000-0005-0000-0000-000052C00000}"/>
    <cellStyle name="표준 5 8 2 4 2 5" xfId="27085" xr:uid="{00000000-0005-0000-0000-000053C00000}"/>
    <cellStyle name="표준 5 8 2 4 2 6" xfId="35296" xr:uid="{00000000-0005-0000-0000-000054C00000}"/>
    <cellStyle name="표준 5 8 2 4 2 7" xfId="43489" xr:uid="{00000000-0005-0000-0000-000055C00000}"/>
    <cellStyle name="표준 5 8 2 4 3" xfId="8427" xr:uid="{00000000-0005-0000-0000-000056C00000}"/>
    <cellStyle name="표준 5 8 2 4 3 2" xfId="29133" xr:uid="{00000000-0005-0000-0000-000057C00000}"/>
    <cellStyle name="표준 5 8 2 4 3 3" xfId="37344" xr:uid="{00000000-0005-0000-0000-000058C00000}"/>
    <cellStyle name="표준 5 8 2 4 3 4" xfId="45537" xr:uid="{00000000-0005-0000-0000-000059C00000}"/>
    <cellStyle name="표준 5 8 2 4 4" xfId="12539" xr:uid="{00000000-0005-0000-0000-00005AC00000}"/>
    <cellStyle name="표준 5 8 2 4 5" xfId="16779" xr:uid="{00000000-0005-0000-0000-00005BC00000}"/>
    <cellStyle name="표준 5 8 2 4 6" xfId="20941" xr:uid="{00000000-0005-0000-0000-00005CC00000}"/>
    <cellStyle name="표준 5 8 2 4 7" xfId="25037" xr:uid="{00000000-0005-0000-0000-00005DC00000}"/>
    <cellStyle name="표준 5 8 2 4 8" xfId="33248" xr:uid="{00000000-0005-0000-0000-00005EC00000}"/>
    <cellStyle name="표준 5 8 2 4 9" xfId="41441" xr:uid="{00000000-0005-0000-0000-00005FC00000}"/>
    <cellStyle name="표준 5 8 2 5" xfId="2084" xr:uid="{00000000-0005-0000-0000-000060C00000}"/>
    <cellStyle name="표준 5 8 2 5 2" xfId="10987" xr:uid="{00000000-0005-0000-0000-000061C00000}"/>
    <cellStyle name="표준 5 8 2 5 2 2" xfId="15099" xr:uid="{00000000-0005-0000-0000-000062C00000}"/>
    <cellStyle name="표준 5 8 2 5 2 2 2" xfId="31693" xr:uid="{00000000-0005-0000-0000-000063C00000}"/>
    <cellStyle name="표준 5 8 2 5 2 2 3" xfId="39904" xr:uid="{00000000-0005-0000-0000-000064C00000}"/>
    <cellStyle name="표준 5 8 2 5 2 2 4" xfId="48097" xr:uid="{00000000-0005-0000-0000-000065C00000}"/>
    <cellStyle name="표준 5 8 2 5 2 3" xfId="19339" xr:uid="{00000000-0005-0000-0000-000066C00000}"/>
    <cellStyle name="표준 5 8 2 5 2 4" xfId="23501" xr:uid="{00000000-0005-0000-0000-000067C00000}"/>
    <cellStyle name="표준 5 8 2 5 2 5" xfId="27597" xr:uid="{00000000-0005-0000-0000-000068C00000}"/>
    <cellStyle name="표준 5 8 2 5 2 6" xfId="35808" xr:uid="{00000000-0005-0000-0000-000069C00000}"/>
    <cellStyle name="표준 5 8 2 5 2 7" xfId="44001" xr:uid="{00000000-0005-0000-0000-00006AC00000}"/>
    <cellStyle name="표준 5 8 2 5 3" xfId="8939" xr:uid="{00000000-0005-0000-0000-00006BC00000}"/>
    <cellStyle name="표준 5 8 2 5 3 2" xfId="29645" xr:uid="{00000000-0005-0000-0000-00006CC00000}"/>
    <cellStyle name="표준 5 8 2 5 3 3" xfId="37856" xr:uid="{00000000-0005-0000-0000-00006DC00000}"/>
    <cellStyle name="표준 5 8 2 5 3 4" xfId="46049" xr:uid="{00000000-0005-0000-0000-00006EC00000}"/>
    <cellStyle name="표준 5 8 2 5 4" xfId="13051" xr:uid="{00000000-0005-0000-0000-00006FC00000}"/>
    <cellStyle name="표준 5 8 2 5 5" xfId="17291" xr:uid="{00000000-0005-0000-0000-000070C00000}"/>
    <cellStyle name="표준 5 8 2 5 6" xfId="21453" xr:uid="{00000000-0005-0000-0000-000071C00000}"/>
    <cellStyle name="표준 5 8 2 5 7" xfId="25549" xr:uid="{00000000-0005-0000-0000-000072C00000}"/>
    <cellStyle name="표준 5 8 2 5 8" xfId="33760" xr:uid="{00000000-0005-0000-0000-000073C00000}"/>
    <cellStyle name="표준 5 8 2 5 9" xfId="41953" xr:uid="{00000000-0005-0000-0000-000074C00000}"/>
    <cellStyle name="표준 5 8 2 6" xfId="9451" xr:uid="{00000000-0005-0000-0000-000075C00000}"/>
    <cellStyle name="표준 5 8 2 6 2" xfId="13563" xr:uid="{00000000-0005-0000-0000-000076C00000}"/>
    <cellStyle name="표준 5 8 2 6 2 2" xfId="30157" xr:uid="{00000000-0005-0000-0000-000077C00000}"/>
    <cellStyle name="표준 5 8 2 6 2 3" xfId="38368" xr:uid="{00000000-0005-0000-0000-000078C00000}"/>
    <cellStyle name="표준 5 8 2 6 2 4" xfId="46561" xr:uid="{00000000-0005-0000-0000-000079C00000}"/>
    <cellStyle name="표준 5 8 2 6 3" xfId="17803" xr:uid="{00000000-0005-0000-0000-00007AC00000}"/>
    <cellStyle name="표준 5 8 2 6 4" xfId="21965" xr:uid="{00000000-0005-0000-0000-00007BC00000}"/>
    <cellStyle name="표준 5 8 2 6 5" xfId="26061" xr:uid="{00000000-0005-0000-0000-00007CC00000}"/>
    <cellStyle name="표준 5 8 2 6 6" xfId="34272" xr:uid="{00000000-0005-0000-0000-00007DC00000}"/>
    <cellStyle name="표준 5 8 2 6 7" xfId="42465" xr:uid="{00000000-0005-0000-0000-00007EC00000}"/>
    <cellStyle name="표준 5 8 2 7" xfId="7403" xr:uid="{00000000-0005-0000-0000-00007FC00000}"/>
    <cellStyle name="표준 5 8 2 7 2" xfId="28109" xr:uid="{00000000-0005-0000-0000-000080C00000}"/>
    <cellStyle name="표준 5 8 2 7 3" xfId="36320" xr:uid="{00000000-0005-0000-0000-000081C00000}"/>
    <cellStyle name="표준 5 8 2 7 4" xfId="44513" xr:uid="{00000000-0005-0000-0000-000082C00000}"/>
    <cellStyle name="표준 5 8 2 8" xfId="11515" xr:uid="{00000000-0005-0000-0000-000083C00000}"/>
    <cellStyle name="표준 5 8 2 9" xfId="15755" xr:uid="{00000000-0005-0000-0000-000084C00000}"/>
    <cellStyle name="표준 5 8 3" xfId="676" xr:uid="{00000000-0005-0000-0000-000085C00000}"/>
    <cellStyle name="표준 5 8 3 10" xfId="24141" xr:uid="{00000000-0005-0000-0000-000086C00000}"/>
    <cellStyle name="표준 5 8 3 11" xfId="32352" xr:uid="{00000000-0005-0000-0000-000087C00000}"/>
    <cellStyle name="표준 5 8 3 12" xfId="40545" xr:uid="{00000000-0005-0000-0000-000088C00000}"/>
    <cellStyle name="표준 5 8 3 2" xfId="1188" xr:uid="{00000000-0005-0000-0000-000089C00000}"/>
    <cellStyle name="표준 5 8 3 2 2" xfId="10091" xr:uid="{00000000-0005-0000-0000-00008AC00000}"/>
    <cellStyle name="표준 5 8 3 2 2 2" xfId="14203" xr:uid="{00000000-0005-0000-0000-00008BC00000}"/>
    <cellStyle name="표준 5 8 3 2 2 2 2" xfId="30797" xr:uid="{00000000-0005-0000-0000-00008CC00000}"/>
    <cellStyle name="표준 5 8 3 2 2 2 3" xfId="39008" xr:uid="{00000000-0005-0000-0000-00008DC00000}"/>
    <cellStyle name="표준 5 8 3 2 2 2 4" xfId="47201" xr:uid="{00000000-0005-0000-0000-00008EC00000}"/>
    <cellStyle name="표준 5 8 3 2 2 3" xfId="18443" xr:uid="{00000000-0005-0000-0000-00008FC00000}"/>
    <cellStyle name="표준 5 8 3 2 2 4" xfId="22605" xr:uid="{00000000-0005-0000-0000-000090C00000}"/>
    <cellStyle name="표준 5 8 3 2 2 5" xfId="26701" xr:uid="{00000000-0005-0000-0000-000091C00000}"/>
    <cellStyle name="표준 5 8 3 2 2 6" xfId="34912" xr:uid="{00000000-0005-0000-0000-000092C00000}"/>
    <cellStyle name="표준 5 8 3 2 2 7" xfId="43105" xr:uid="{00000000-0005-0000-0000-000093C00000}"/>
    <cellStyle name="표준 5 8 3 2 3" xfId="8043" xr:uid="{00000000-0005-0000-0000-000094C00000}"/>
    <cellStyle name="표준 5 8 3 2 3 2" xfId="28749" xr:uid="{00000000-0005-0000-0000-000095C00000}"/>
    <cellStyle name="표준 5 8 3 2 3 3" xfId="36960" xr:uid="{00000000-0005-0000-0000-000096C00000}"/>
    <cellStyle name="표준 5 8 3 2 3 4" xfId="45153" xr:uid="{00000000-0005-0000-0000-000097C00000}"/>
    <cellStyle name="표준 5 8 3 2 4" xfId="12155" xr:uid="{00000000-0005-0000-0000-000098C00000}"/>
    <cellStyle name="표준 5 8 3 2 5" xfId="16395" xr:uid="{00000000-0005-0000-0000-000099C00000}"/>
    <cellStyle name="표준 5 8 3 2 6" xfId="20557" xr:uid="{00000000-0005-0000-0000-00009AC00000}"/>
    <cellStyle name="표준 5 8 3 2 7" xfId="24653" xr:uid="{00000000-0005-0000-0000-00009BC00000}"/>
    <cellStyle name="표준 5 8 3 2 8" xfId="32864" xr:uid="{00000000-0005-0000-0000-00009CC00000}"/>
    <cellStyle name="표준 5 8 3 2 9" xfId="41057" xr:uid="{00000000-0005-0000-0000-00009DC00000}"/>
    <cellStyle name="표준 5 8 3 3" xfId="1700" xr:uid="{00000000-0005-0000-0000-00009EC00000}"/>
    <cellStyle name="표준 5 8 3 3 2" xfId="10603" xr:uid="{00000000-0005-0000-0000-00009FC00000}"/>
    <cellStyle name="표준 5 8 3 3 2 2" xfId="14715" xr:uid="{00000000-0005-0000-0000-0000A0C00000}"/>
    <cellStyle name="표준 5 8 3 3 2 2 2" xfId="31309" xr:uid="{00000000-0005-0000-0000-0000A1C00000}"/>
    <cellStyle name="표준 5 8 3 3 2 2 3" xfId="39520" xr:uid="{00000000-0005-0000-0000-0000A2C00000}"/>
    <cellStyle name="표준 5 8 3 3 2 2 4" xfId="47713" xr:uid="{00000000-0005-0000-0000-0000A3C00000}"/>
    <cellStyle name="표준 5 8 3 3 2 3" xfId="18955" xr:uid="{00000000-0005-0000-0000-0000A4C00000}"/>
    <cellStyle name="표준 5 8 3 3 2 4" xfId="23117" xr:uid="{00000000-0005-0000-0000-0000A5C00000}"/>
    <cellStyle name="표준 5 8 3 3 2 5" xfId="27213" xr:uid="{00000000-0005-0000-0000-0000A6C00000}"/>
    <cellStyle name="표준 5 8 3 3 2 6" xfId="35424" xr:uid="{00000000-0005-0000-0000-0000A7C00000}"/>
    <cellStyle name="표준 5 8 3 3 2 7" xfId="43617" xr:uid="{00000000-0005-0000-0000-0000A8C00000}"/>
    <cellStyle name="표준 5 8 3 3 3" xfId="8555" xr:uid="{00000000-0005-0000-0000-0000A9C00000}"/>
    <cellStyle name="표준 5 8 3 3 3 2" xfId="29261" xr:uid="{00000000-0005-0000-0000-0000AAC00000}"/>
    <cellStyle name="표준 5 8 3 3 3 3" xfId="37472" xr:uid="{00000000-0005-0000-0000-0000ABC00000}"/>
    <cellStyle name="표준 5 8 3 3 3 4" xfId="45665" xr:uid="{00000000-0005-0000-0000-0000ACC00000}"/>
    <cellStyle name="표준 5 8 3 3 4" xfId="12667" xr:uid="{00000000-0005-0000-0000-0000ADC00000}"/>
    <cellStyle name="표준 5 8 3 3 5" xfId="16907" xr:uid="{00000000-0005-0000-0000-0000AEC00000}"/>
    <cellStyle name="표준 5 8 3 3 6" xfId="21069" xr:uid="{00000000-0005-0000-0000-0000AFC00000}"/>
    <cellStyle name="표준 5 8 3 3 7" xfId="25165" xr:uid="{00000000-0005-0000-0000-0000B0C00000}"/>
    <cellStyle name="표준 5 8 3 3 8" xfId="33376" xr:uid="{00000000-0005-0000-0000-0000B1C00000}"/>
    <cellStyle name="표준 5 8 3 3 9" xfId="41569" xr:uid="{00000000-0005-0000-0000-0000B2C00000}"/>
    <cellStyle name="표준 5 8 3 4" xfId="2212" xr:uid="{00000000-0005-0000-0000-0000B3C00000}"/>
    <cellStyle name="표준 5 8 3 4 2" xfId="11115" xr:uid="{00000000-0005-0000-0000-0000B4C00000}"/>
    <cellStyle name="표준 5 8 3 4 2 2" xfId="15227" xr:uid="{00000000-0005-0000-0000-0000B5C00000}"/>
    <cellStyle name="표준 5 8 3 4 2 2 2" xfId="31821" xr:uid="{00000000-0005-0000-0000-0000B6C00000}"/>
    <cellStyle name="표준 5 8 3 4 2 2 3" xfId="40032" xr:uid="{00000000-0005-0000-0000-0000B7C00000}"/>
    <cellStyle name="표준 5 8 3 4 2 2 4" xfId="48225" xr:uid="{00000000-0005-0000-0000-0000B8C00000}"/>
    <cellStyle name="표준 5 8 3 4 2 3" xfId="19467" xr:uid="{00000000-0005-0000-0000-0000B9C00000}"/>
    <cellStyle name="표준 5 8 3 4 2 4" xfId="23629" xr:uid="{00000000-0005-0000-0000-0000BAC00000}"/>
    <cellStyle name="표준 5 8 3 4 2 5" xfId="27725" xr:uid="{00000000-0005-0000-0000-0000BBC00000}"/>
    <cellStyle name="표준 5 8 3 4 2 6" xfId="35936" xr:uid="{00000000-0005-0000-0000-0000BCC00000}"/>
    <cellStyle name="표준 5 8 3 4 2 7" xfId="44129" xr:uid="{00000000-0005-0000-0000-0000BDC00000}"/>
    <cellStyle name="표준 5 8 3 4 3" xfId="9067" xr:uid="{00000000-0005-0000-0000-0000BEC00000}"/>
    <cellStyle name="표준 5 8 3 4 3 2" xfId="29773" xr:uid="{00000000-0005-0000-0000-0000BFC00000}"/>
    <cellStyle name="표준 5 8 3 4 3 3" xfId="37984" xr:uid="{00000000-0005-0000-0000-0000C0C00000}"/>
    <cellStyle name="표준 5 8 3 4 3 4" xfId="46177" xr:uid="{00000000-0005-0000-0000-0000C1C00000}"/>
    <cellStyle name="표준 5 8 3 4 4" xfId="13179" xr:uid="{00000000-0005-0000-0000-0000C2C00000}"/>
    <cellStyle name="표준 5 8 3 4 5" xfId="17419" xr:uid="{00000000-0005-0000-0000-0000C3C00000}"/>
    <cellStyle name="표준 5 8 3 4 6" xfId="21581" xr:uid="{00000000-0005-0000-0000-0000C4C00000}"/>
    <cellStyle name="표준 5 8 3 4 7" xfId="25677" xr:uid="{00000000-0005-0000-0000-0000C5C00000}"/>
    <cellStyle name="표준 5 8 3 4 8" xfId="33888" xr:uid="{00000000-0005-0000-0000-0000C6C00000}"/>
    <cellStyle name="표준 5 8 3 4 9" xfId="42081" xr:uid="{00000000-0005-0000-0000-0000C7C00000}"/>
    <cellStyle name="표준 5 8 3 5" xfId="9579" xr:uid="{00000000-0005-0000-0000-0000C8C00000}"/>
    <cellStyle name="표준 5 8 3 5 2" xfId="13691" xr:uid="{00000000-0005-0000-0000-0000C9C00000}"/>
    <cellStyle name="표준 5 8 3 5 2 2" xfId="30285" xr:uid="{00000000-0005-0000-0000-0000CAC00000}"/>
    <cellStyle name="표준 5 8 3 5 2 3" xfId="38496" xr:uid="{00000000-0005-0000-0000-0000CBC00000}"/>
    <cellStyle name="표준 5 8 3 5 2 4" xfId="46689" xr:uid="{00000000-0005-0000-0000-0000CCC00000}"/>
    <cellStyle name="표준 5 8 3 5 3" xfId="17931" xr:uid="{00000000-0005-0000-0000-0000CDC00000}"/>
    <cellStyle name="표준 5 8 3 5 4" xfId="22093" xr:uid="{00000000-0005-0000-0000-0000CEC00000}"/>
    <cellStyle name="표준 5 8 3 5 5" xfId="26189" xr:uid="{00000000-0005-0000-0000-0000CFC00000}"/>
    <cellStyle name="표준 5 8 3 5 6" xfId="34400" xr:uid="{00000000-0005-0000-0000-0000D0C00000}"/>
    <cellStyle name="표준 5 8 3 5 7" xfId="42593" xr:uid="{00000000-0005-0000-0000-0000D1C00000}"/>
    <cellStyle name="표준 5 8 3 6" xfId="7531" xr:uid="{00000000-0005-0000-0000-0000D2C00000}"/>
    <cellStyle name="표준 5 8 3 6 2" xfId="28237" xr:uid="{00000000-0005-0000-0000-0000D3C00000}"/>
    <cellStyle name="표준 5 8 3 6 3" xfId="36448" xr:uid="{00000000-0005-0000-0000-0000D4C00000}"/>
    <cellStyle name="표준 5 8 3 6 4" xfId="44641" xr:uid="{00000000-0005-0000-0000-0000D5C00000}"/>
    <cellStyle name="표준 5 8 3 7" xfId="11643" xr:uid="{00000000-0005-0000-0000-0000D6C00000}"/>
    <cellStyle name="표준 5 8 3 8" xfId="15883" xr:uid="{00000000-0005-0000-0000-0000D7C00000}"/>
    <cellStyle name="표준 5 8 3 9" xfId="20045" xr:uid="{00000000-0005-0000-0000-0000D8C00000}"/>
    <cellStyle name="표준 5 8 4" xfId="932" xr:uid="{00000000-0005-0000-0000-0000D9C00000}"/>
    <cellStyle name="표준 5 8 4 2" xfId="9835" xr:uid="{00000000-0005-0000-0000-0000DAC00000}"/>
    <cellStyle name="표준 5 8 4 2 2" xfId="13947" xr:uid="{00000000-0005-0000-0000-0000DBC00000}"/>
    <cellStyle name="표준 5 8 4 2 2 2" xfId="30541" xr:uid="{00000000-0005-0000-0000-0000DCC00000}"/>
    <cellStyle name="표준 5 8 4 2 2 3" xfId="38752" xr:uid="{00000000-0005-0000-0000-0000DDC00000}"/>
    <cellStyle name="표준 5 8 4 2 2 4" xfId="46945" xr:uid="{00000000-0005-0000-0000-0000DEC00000}"/>
    <cellStyle name="표준 5 8 4 2 3" xfId="18187" xr:uid="{00000000-0005-0000-0000-0000DFC00000}"/>
    <cellStyle name="표준 5 8 4 2 4" xfId="22349" xr:uid="{00000000-0005-0000-0000-0000E0C00000}"/>
    <cellStyle name="표준 5 8 4 2 5" xfId="26445" xr:uid="{00000000-0005-0000-0000-0000E1C00000}"/>
    <cellStyle name="표준 5 8 4 2 6" xfId="34656" xr:uid="{00000000-0005-0000-0000-0000E2C00000}"/>
    <cellStyle name="표준 5 8 4 2 7" xfId="42849" xr:uid="{00000000-0005-0000-0000-0000E3C00000}"/>
    <cellStyle name="표준 5 8 4 3" xfId="7787" xr:uid="{00000000-0005-0000-0000-0000E4C00000}"/>
    <cellStyle name="표준 5 8 4 3 2" xfId="28493" xr:uid="{00000000-0005-0000-0000-0000E5C00000}"/>
    <cellStyle name="표준 5 8 4 3 3" xfId="36704" xr:uid="{00000000-0005-0000-0000-0000E6C00000}"/>
    <cellStyle name="표준 5 8 4 3 4" xfId="44897" xr:uid="{00000000-0005-0000-0000-0000E7C00000}"/>
    <cellStyle name="표준 5 8 4 4" xfId="11899" xr:uid="{00000000-0005-0000-0000-0000E8C00000}"/>
    <cellStyle name="표준 5 8 4 5" xfId="16139" xr:uid="{00000000-0005-0000-0000-0000E9C00000}"/>
    <cellStyle name="표준 5 8 4 6" xfId="20301" xr:uid="{00000000-0005-0000-0000-0000EAC00000}"/>
    <cellStyle name="표준 5 8 4 7" xfId="24397" xr:uid="{00000000-0005-0000-0000-0000EBC00000}"/>
    <cellStyle name="표준 5 8 4 8" xfId="32608" xr:uid="{00000000-0005-0000-0000-0000ECC00000}"/>
    <cellStyle name="표준 5 8 4 9" xfId="40801" xr:uid="{00000000-0005-0000-0000-0000EDC00000}"/>
    <cellStyle name="표준 5 8 5" xfId="1444" xr:uid="{00000000-0005-0000-0000-0000EEC00000}"/>
    <cellStyle name="표준 5 8 5 2" xfId="10347" xr:uid="{00000000-0005-0000-0000-0000EFC00000}"/>
    <cellStyle name="표준 5 8 5 2 2" xfId="14459" xr:uid="{00000000-0005-0000-0000-0000F0C00000}"/>
    <cellStyle name="표준 5 8 5 2 2 2" xfId="31053" xr:uid="{00000000-0005-0000-0000-0000F1C00000}"/>
    <cellStyle name="표준 5 8 5 2 2 3" xfId="39264" xr:uid="{00000000-0005-0000-0000-0000F2C00000}"/>
    <cellStyle name="표준 5 8 5 2 2 4" xfId="47457" xr:uid="{00000000-0005-0000-0000-0000F3C00000}"/>
    <cellStyle name="표준 5 8 5 2 3" xfId="18699" xr:uid="{00000000-0005-0000-0000-0000F4C00000}"/>
    <cellStyle name="표준 5 8 5 2 4" xfId="22861" xr:uid="{00000000-0005-0000-0000-0000F5C00000}"/>
    <cellStyle name="표준 5 8 5 2 5" xfId="26957" xr:uid="{00000000-0005-0000-0000-0000F6C00000}"/>
    <cellStyle name="표준 5 8 5 2 6" xfId="35168" xr:uid="{00000000-0005-0000-0000-0000F7C00000}"/>
    <cellStyle name="표준 5 8 5 2 7" xfId="43361" xr:uid="{00000000-0005-0000-0000-0000F8C00000}"/>
    <cellStyle name="표준 5 8 5 3" xfId="8299" xr:uid="{00000000-0005-0000-0000-0000F9C00000}"/>
    <cellStyle name="표준 5 8 5 3 2" xfId="29005" xr:uid="{00000000-0005-0000-0000-0000FAC00000}"/>
    <cellStyle name="표준 5 8 5 3 3" xfId="37216" xr:uid="{00000000-0005-0000-0000-0000FBC00000}"/>
    <cellStyle name="표준 5 8 5 3 4" xfId="45409" xr:uid="{00000000-0005-0000-0000-0000FCC00000}"/>
    <cellStyle name="표준 5 8 5 4" xfId="12411" xr:uid="{00000000-0005-0000-0000-0000FDC00000}"/>
    <cellStyle name="표준 5 8 5 5" xfId="16651" xr:uid="{00000000-0005-0000-0000-0000FEC00000}"/>
    <cellStyle name="표준 5 8 5 6" xfId="20813" xr:uid="{00000000-0005-0000-0000-0000FFC00000}"/>
    <cellStyle name="표준 5 8 5 7" xfId="24909" xr:uid="{00000000-0005-0000-0000-000000C10000}"/>
    <cellStyle name="표준 5 8 5 8" xfId="33120" xr:uid="{00000000-0005-0000-0000-000001C10000}"/>
    <cellStyle name="표준 5 8 5 9" xfId="41313" xr:uid="{00000000-0005-0000-0000-000002C10000}"/>
    <cellStyle name="표준 5 8 6" xfId="1956" xr:uid="{00000000-0005-0000-0000-000003C10000}"/>
    <cellStyle name="표준 5 8 6 2" xfId="10859" xr:uid="{00000000-0005-0000-0000-000004C10000}"/>
    <cellStyle name="표준 5 8 6 2 2" xfId="14971" xr:uid="{00000000-0005-0000-0000-000005C10000}"/>
    <cellStyle name="표준 5 8 6 2 2 2" xfId="31565" xr:uid="{00000000-0005-0000-0000-000006C10000}"/>
    <cellStyle name="표준 5 8 6 2 2 3" xfId="39776" xr:uid="{00000000-0005-0000-0000-000007C10000}"/>
    <cellStyle name="표준 5 8 6 2 2 4" xfId="47969" xr:uid="{00000000-0005-0000-0000-000008C10000}"/>
    <cellStyle name="표준 5 8 6 2 3" xfId="19211" xr:uid="{00000000-0005-0000-0000-000009C10000}"/>
    <cellStyle name="표준 5 8 6 2 4" xfId="23373" xr:uid="{00000000-0005-0000-0000-00000AC10000}"/>
    <cellStyle name="표준 5 8 6 2 5" xfId="27469" xr:uid="{00000000-0005-0000-0000-00000BC10000}"/>
    <cellStyle name="표준 5 8 6 2 6" xfId="35680" xr:uid="{00000000-0005-0000-0000-00000CC10000}"/>
    <cellStyle name="표준 5 8 6 2 7" xfId="43873" xr:uid="{00000000-0005-0000-0000-00000DC10000}"/>
    <cellStyle name="표준 5 8 6 3" xfId="8811" xr:uid="{00000000-0005-0000-0000-00000EC10000}"/>
    <cellStyle name="표준 5 8 6 3 2" xfId="29517" xr:uid="{00000000-0005-0000-0000-00000FC10000}"/>
    <cellStyle name="표준 5 8 6 3 3" xfId="37728" xr:uid="{00000000-0005-0000-0000-000010C10000}"/>
    <cellStyle name="표준 5 8 6 3 4" xfId="45921" xr:uid="{00000000-0005-0000-0000-000011C10000}"/>
    <cellStyle name="표준 5 8 6 4" xfId="12923" xr:uid="{00000000-0005-0000-0000-000012C10000}"/>
    <cellStyle name="표준 5 8 6 5" xfId="17163" xr:uid="{00000000-0005-0000-0000-000013C10000}"/>
    <cellStyle name="표준 5 8 6 6" xfId="21325" xr:uid="{00000000-0005-0000-0000-000014C10000}"/>
    <cellStyle name="표준 5 8 6 7" xfId="25421" xr:uid="{00000000-0005-0000-0000-000015C10000}"/>
    <cellStyle name="표준 5 8 6 8" xfId="33632" xr:uid="{00000000-0005-0000-0000-000016C10000}"/>
    <cellStyle name="표준 5 8 6 9" xfId="41825" xr:uid="{00000000-0005-0000-0000-000017C10000}"/>
    <cellStyle name="표준 5 8 7" xfId="4343" xr:uid="{00000000-0005-0000-0000-000018C10000}"/>
    <cellStyle name="표준 5 8 7 2" xfId="9323" xr:uid="{00000000-0005-0000-0000-000019C10000}"/>
    <cellStyle name="표준 5 8 7 2 2" xfId="30029" xr:uid="{00000000-0005-0000-0000-00001AC10000}"/>
    <cellStyle name="표준 5 8 7 2 3" xfId="38240" xr:uid="{00000000-0005-0000-0000-00001BC10000}"/>
    <cellStyle name="표준 5 8 7 2 4" xfId="46433" xr:uid="{00000000-0005-0000-0000-00001CC10000}"/>
    <cellStyle name="표준 5 8 7 3" xfId="13435" xr:uid="{00000000-0005-0000-0000-00001DC10000}"/>
    <cellStyle name="표준 5 8 7 4" xfId="17675" xr:uid="{00000000-0005-0000-0000-00001EC10000}"/>
    <cellStyle name="표준 5 8 7 5" xfId="21837" xr:uid="{00000000-0005-0000-0000-00001FC10000}"/>
    <cellStyle name="표준 5 8 7 6" xfId="25933" xr:uid="{00000000-0005-0000-0000-000020C10000}"/>
    <cellStyle name="표준 5 8 7 7" xfId="34144" xr:uid="{00000000-0005-0000-0000-000021C10000}"/>
    <cellStyle name="표준 5 8 7 8" xfId="42337" xr:uid="{00000000-0005-0000-0000-000022C10000}"/>
    <cellStyle name="표준 5 8 8" xfId="7008" xr:uid="{00000000-0005-0000-0000-000023C10000}"/>
    <cellStyle name="표준 5 8 8 2" xfId="27981" xr:uid="{00000000-0005-0000-0000-000024C10000}"/>
    <cellStyle name="표준 5 8 8 3" xfId="36192" xr:uid="{00000000-0005-0000-0000-000025C10000}"/>
    <cellStyle name="표준 5 8 8 4" xfId="44385" xr:uid="{00000000-0005-0000-0000-000026C10000}"/>
    <cellStyle name="표준 5 8 9" xfId="7162" xr:uid="{00000000-0005-0000-0000-000027C10000}"/>
    <cellStyle name="표준 5 9" xfId="484" xr:uid="{00000000-0005-0000-0000-000028C10000}"/>
    <cellStyle name="표준 5 9 10" xfId="15691" xr:uid="{00000000-0005-0000-0000-000029C10000}"/>
    <cellStyle name="표준 5 9 11" xfId="19853" xr:uid="{00000000-0005-0000-0000-00002AC10000}"/>
    <cellStyle name="표준 5 9 12" xfId="23949" xr:uid="{00000000-0005-0000-0000-00002BC10000}"/>
    <cellStyle name="표준 5 9 13" xfId="32160" xr:uid="{00000000-0005-0000-0000-00002CC10000}"/>
    <cellStyle name="표준 5 9 14" xfId="40353" xr:uid="{00000000-0005-0000-0000-00002DC10000}"/>
    <cellStyle name="표준 5 9 2" xfId="740" xr:uid="{00000000-0005-0000-0000-00002EC10000}"/>
    <cellStyle name="표준 5 9 2 10" xfId="24205" xr:uid="{00000000-0005-0000-0000-00002FC10000}"/>
    <cellStyle name="표준 5 9 2 11" xfId="32416" xr:uid="{00000000-0005-0000-0000-000030C10000}"/>
    <cellStyle name="표준 5 9 2 12" xfId="40609" xr:uid="{00000000-0005-0000-0000-000031C10000}"/>
    <cellStyle name="표준 5 9 2 2" xfId="1252" xr:uid="{00000000-0005-0000-0000-000032C10000}"/>
    <cellStyle name="표준 5 9 2 2 2" xfId="10155" xr:uid="{00000000-0005-0000-0000-000033C10000}"/>
    <cellStyle name="표준 5 9 2 2 2 2" xfId="14267" xr:uid="{00000000-0005-0000-0000-000034C10000}"/>
    <cellStyle name="표준 5 9 2 2 2 2 2" xfId="30861" xr:uid="{00000000-0005-0000-0000-000035C10000}"/>
    <cellStyle name="표준 5 9 2 2 2 2 3" xfId="39072" xr:uid="{00000000-0005-0000-0000-000036C10000}"/>
    <cellStyle name="표준 5 9 2 2 2 2 4" xfId="47265" xr:uid="{00000000-0005-0000-0000-000037C10000}"/>
    <cellStyle name="표준 5 9 2 2 2 3" xfId="18507" xr:uid="{00000000-0005-0000-0000-000038C10000}"/>
    <cellStyle name="표준 5 9 2 2 2 4" xfId="22669" xr:uid="{00000000-0005-0000-0000-000039C10000}"/>
    <cellStyle name="표준 5 9 2 2 2 5" xfId="26765" xr:uid="{00000000-0005-0000-0000-00003AC10000}"/>
    <cellStyle name="표준 5 9 2 2 2 6" xfId="34976" xr:uid="{00000000-0005-0000-0000-00003BC10000}"/>
    <cellStyle name="표준 5 9 2 2 2 7" xfId="43169" xr:uid="{00000000-0005-0000-0000-00003CC10000}"/>
    <cellStyle name="표준 5 9 2 2 3" xfId="8107" xr:uid="{00000000-0005-0000-0000-00003DC10000}"/>
    <cellStyle name="표준 5 9 2 2 3 2" xfId="28813" xr:uid="{00000000-0005-0000-0000-00003EC10000}"/>
    <cellStyle name="표준 5 9 2 2 3 3" xfId="37024" xr:uid="{00000000-0005-0000-0000-00003FC10000}"/>
    <cellStyle name="표준 5 9 2 2 3 4" xfId="45217" xr:uid="{00000000-0005-0000-0000-000040C10000}"/>
    <cellStyle name="표준 5 9 2 2 4" xfId="12219" xr:uid="{00000000-0005-0000-0000-000041C10000}"/>
    <cellStyle name="표준 5 9 2 2 5" xfId="16459" xr:uid="{00000000-0005-0000-0000-000042C10000}"/>
    <cellStyle name="표준 5 9 2 2 6" xfId="20621" xr:uid="{00000000-0005-0000-0000-000043C10000}"/>
    <cellStyle name="표준 5 9 2 2 7" xfId="24717" xr:uid="{00000000-0005-0000-0000-000044C10000}"/>
    <cellStyle name="표준 5 9 2 2 8" xfId="32928" xr:uid="{00000000-0005-0000-0000-000045C10000}"/>
    <cellStyle name="표준 5 9 2 2 9" xfId="41121" xr:uid="{00000000-0005-0000-0000-000046C10000}"/>
    <cellStyle name="표준 5 9 2 3" xfId="1764" xr:uid="{00000000-0005-0000-0000-000047C10000}"/>
    <cellStyle name="표준 5 9 2 3 2" xfId="10667" xr:uid="{00000000-0005-0000-0000-000048C10000}"/>
    <cellStyle name="표준 5 9 2 3 2 2" xfId="14779" xr:uid="{00000000-0005-0000-0000-000049C10000}"/>
    <cellStyle name="표준 5 9 2 3 2 2 2" xfId="31373" xr:uid="{00000000-0005-0000-0000-00004AC10000}"/>
    <cellStyle name="표준 5 9 2 3 2 2 3" xfId="39584" xr:uid="{00000000-0005-0000-0000-00004BC10000}"/>
    <cellStyle name="표준 5 9 2 3 2 2 4" xfId="47777" xr:uid="{00000000-0005-0000-0000-00004CC10000}"/>
    <cellStyle name="표준 5 9 2 3 2 3" xfId="19019" xr:uid="{00000000-0005-0000-0000-00004DC10000}"/>
    <cellStyle name="표준 5 9 2 3 2 4" xfId="23181" xr:uid="{00000000-0005-0000-0000-00004EC10000}"/>
    <cellStyle name="표준 5 9 2 3 2 5" xfId="27277" xr:uid="{00000000-0005-0000-0000-00004FC10000}"/>
    <cellStyle name="표준 5 9 2 3 2 6" xfId="35488" xr:uid="{00000000-0005-0000-0000-000050C10000}"/>
    <cellStyle name="표준 5 9 2 3 2 7" xfId="43681" xr:uid="{00000000-0005-0000-0000-000051C10000}"/>
    <cellStyle name="표준 5 9 2 3 3" xfId="8619" xr:uid="{00000000-0005-0000-0000-000052C10000}"/>
    <cellStyle name="표준 5 9 2 3 3 2" xfId="29325" xr:uid="{00000000-0005-0000-0000-000053C10000}"/>
    <cellStyle name="표준 5 9 2 3 3 3" xfId="37536" xr:uid="{00000000-0005-0000-0000-000054C10000}"/>
    <cellStyle name="표준 5 9 2 3 3 4" xfId="45729" xr:uid="{00000000-0005-0000-0000-000055C10000}"/>
    <cellStyle name="표준 5 9 2 3 4" xfId="12731" xr:uid="{00000000-0005-0000-0000-000056C10000}"/>
    <cellStyle name="표준 5 9 2 3 5" xfId="16971" xr:uid="{00000000-0005-0000-0000-000057C10000}"/>
    <cellStyle name="표준 5 9 2 3 6" xfId="21133" xr:uid="{00000000-0005-0000-0000-000058C10000}"/>
    <cellStyle name="표준 5 9 2 3 7" xfId="25229" xr:uid="{00000000-0005-0000-0000-000059C10000}"/>
    <cellStyle name="표준 5 9 2 3 8" xfId="33440" xr:uid="{00000000-0005-0000-0000-00005AC10000}"/>
    <cellStyle name="표준 5 9 2 3 9" xfId="41633" xr:uid="{00000000-0005-0000-0000-00005BC10000}"/>
    <cellStyle name="표준 5 9 2 4" xfId="2276" xr:uid="{00000000-0005-0000-0000-00005CC10000}"/>
    <cellStyle name="표준 5 9 2 4 2" xfId="11179" xr:uid="{00000000-0005-0000-0000-00005DC10000}"/>
    <cellStyle name="표준 5 9 2 4 2 2" xfId="15291" xr:uid="{00000000-0005-0000-0000-00005EC10000}"/>
    <cellStyle name="표준 5 9 2 4 2 2 2" xfId="31885" xr:uid="{00000000-0005-0000-0000-00005FC10000}"/>
    <cellStyle name="표준 5 9 2 4 2 2 3" xfId="40096" xr:uid="{00000000-0005-0000-0000-000060C10000}"/>
    <cellStyle name="표준 5 9 2 4 2 2 4" xfId="48289" xr:uid="{00000000-0005-0000-0000-000061C10000}"/>
    <cellStyle name="표준 5 9 2 4 2 3" xfId="19531" xr:uid="{00000000-0005-0000-0000-000062C10000}"/>
    <cellStyle name="표준 5 9 2 4 2 4" xfId="23693" xr:uid="{00000000-0005-0000-0000-000063C10000}"/>
    <cellStyle name="표준 5 9 2 4 2 5" xfId="27789" xr:uid="{00000000-0005-0000-0000-000064C10000}"/>
    <cellStyle name="표준 5 9 2 4 2 6" xfId="36000" xr:uid="{00000000-0005-0000-0000-000065C10000}"/>
    <cellStyle name="표준 5 9 2 4 2 7" xfId="44193" xr:uid="{00000000-0005-0000-0000-000066C10000}"/>
    <cellStyle name="표준 5 9 2 4 3" xfId="9131" xr:uid="{00000000-0005-0000-0000-000067C10000}"/>
    <cellStyle name="표준 5 9 2 4 3 2" xfId="29837" xr:uid="{00000000-0005-0000-0000-000068C10000}"/>
    <cellStyle name="표준 5 9 2 4 3 3" xfId="38048" xr:uid="{00000000-0005-0000-0000-000069C10000}"/>
    <cellStyle name="표준 5 9 2 4 3 4" xfId="46241" xr:uid="{00000000-0005-0000-0000-00006AC10000}"/>
    <cellStyle name="표준 5 9 2 4 4" xfId="13243" xr:uid="{00000000-0005-0000-0000-00006BC10000}"/>
    <cellStyle name="표준 5 9 2 4 5" xfId="17483" xr:uid="{00000000-0005-0000-0000-00006CC10000}"/>
    <cellStyle name="표준 5 9 2 4 6" xfId="21645" xr:uid="{00000000-0005-0000-0000-00006DC10000}"/>
    <cellStyle name="표준 5 9 2 4 7" xfId="25741" xr:uid="{00000000-0005-0000-0000-00006EC10000}"/>
    <cellStyle name="표준 5 9 2 4 8" xfId="33952" xr:uid="{00000000-0005-0000-0000-00006FC10000}"/>
    <cellStyle name="표준 5 9 2 4 9" xfId="42145" xr:uid="{00000000-0005-0000-0000-000070C10000}"/>
    <cellStyle name="표준 5 9 2 5" xfId="9643" xr:uid="{00000000-0005-0000-0000-000071C10000}"/>
    <cellStyle name="표준 5 9 2 5 2" xfId="13755" xr:uid="{00000000-0005-0000-0000-000072C10000}"/>
    <cellStyle name="표준 5 9 2 5 2 2" xfId="30349" xr:uid="{00000000-0005-0000-0000-000073C10000}"/>
    <cellStyle name="표준 5 9 2 5 2 3" xfId="38560" xr:uid="{00000000-0005-0000-0000-000074C10000}"/>
    <cellStyle name="표준 5 9 2 5 2 4" xfId="46753" xr:uid="{00000000-0005-0000-0000-000075C10000}"/>
    <cellStyle name="표준 5 9 2 5 3" xfId="17995" xr:uid="{00000000-0005-0000-0000-000076C10000}"/>
    <cellStyle name="표준 5 9 2 5 4" xfId="22157" xr:uid="{00000000-0005-0000-0000-000077C10000}"/>
    <cellStyle name="표준 5 9 2 5 5" xfId="26253" xr:uid="{00000000-0005-0000-0000-000078C10000}"/>
    <cellStyle name="표준 5 9 2 5 6" xfId="34464" xr:uid="{00000000-0005-0000-0000-000079C10000}"/>
    <cellStyle name="표준 5 9 2 5 7" xfId="42657" xr:uid="{00000000-0005-0000-0000-00007AC10000}"/>
    <cellStyle name="표준 5 9 2 6" xfId="7595" xr:uid="{00000000-0005-0000-0000-00007BC10000}"/>
    <cellStyle name="표준 5 9 2 6 2" xfId="28301" xr:uid="{00000000-0005-0000-0000-00007CC10000}"/>
    <cellStyle name="표준 5 9 2 6 3" xfId="36512" xr:uid="{00000000-0005-0000-0000-00007DC10000}"/>
    <cellStyle name="표준 5 9 2 6 4" xfId="44705" xr:uid="{00000000-0005-0000-0000-00007EC10000}"/>
    <cellStyle name="표준 5 9 2 7" xfId="11707" xr:uid="{00000000-0005-0000-0000-00007FC10000}"/>
    <cellStyle name="표준 5 9 2 8" xfId="15947" xr:uid="{00000000-0005-0000-0000-000080C10000}"/>
    <cellStyle name="표준 5 9 2 9" xfId="20109" xr:uid="{00000000-0005-0000-0000-000081C10000}"/>
    <cellStyle name="표준 5 9 3" xfId="996" xr:uid="{00000000-0005-0000-0000-000082C10000}"/>
    <cellStyle name="표준 5 9 3 2" xfId="9899" xr:uid="{00000000-0005-0000-0000-000083C10000}"/>
    <cellStyle name="표준 5 9 3 2 2" xfId="14011" xr:uid="{00000000-0005-0000-0000-000084C10000}"/>
    <cellStyle name="표준 5 9 3 2 2 2" xfId="30605" xr:uid="{00000000-0005-0000-0000-000085C10000}"/>
    <cellStyle name="표준 5 9 3 2 2 3" xfId="38816" xr:uid="{00000000-0005-0000-0000-000086C10000}"/>
    <cellStyle name="표준 5 9 3 2 2 4" xfId="47009" xr:uid="{00000000-0005-0000-0000-000087C10000}"/>
    <cellStyle name="표준 5 9 3 2 3" xfId="18251" xr:uid="{00000000-0005-0000-0000-000088C10000}"/>
    <cellStyle name="표준 5 9 3 2 4" xfId="22413" xr:uid="{00000000-0005-0000-0000-000089C10000}"/>
    <cellStyle name="표준 5 9 3 2 5" xfId="26509" xr:uid="{00000000-0005-0000-0000-00008AC10000}"/>
    <cellStyle name="표준 5 9 3 2 6" xfId="34720" xr:uid="{00000000-0005-0000-0000-00008BC10000}"/>
    <cellStyle name="표준 5 9 3 2 7" xfId="42913" xr:uid="{00000000-0005-0000-0000-00008CC10000}"/>
    <cellStyle name="표준 5 9 3 3" xfId="7851" xr:uid="{00000000-0005-0000-0000-00008DC10000}"/>
    <cellStyle name="표준 5 9 3 3 2" xfId="28557" xr:uid="{00000000-0005-0000-0000-00008EC10000}"/>
    <cellStyle name="표준 5 9 3 3 3" xfId="36768" xr:uid="{00000000-0005-0000-0000-00008FC10000}"/>
    <cellStyle name="표준 5 9 3 3 4" xfId="44961" xr:uid="{00000000-0005-0000-0000-000090C10000}"/>
    <cellStyle name="표준 5 9 3 4" xfId="11963" xr:uid="{00000000-0005-0000-0000-000091C10000}"/>
    <cellStyle name="표준 5 9 3 5" xfId="16203" xr:uid="{00000000-0005-0000-0000-000092C10000}"/>
    <cellStyle name="표준 5 9 3 6" xfId="20365" xr:uid="{00000000-0005-0000-0000-000093C10000}"/>
    <cellStyle name="표준 5 9 3 7" xfId="24461" xr:uid="{00000000-0005-0000-0000-000094C10000}"/>
    <cellStyle name="표준 5 9 3 8" xfId="32672" xr:uid="{00000000-0005-0000-0000-000095C10000}"/>
    <cellStyle name="표준 5 9 3 9" xfId="40865" xr:uid="{00000000-0005-0000-0000-000096C10000}"/>
    <cellStyle name="표준 5 9 4" xfId="1508" xr:uid="{00000000-0005-0000-0000-000097C10000}"/>
    <cellStyle name="표준 5 9 4 2" xfId="10411" xr:uid="{00000000-0005-0000-0000-000098C10000}"/>
    <cellStyle name="표준 5 9 4 2 2" xfId="14523" xr:uid="{00000000-0005-0000-0000-000099C10000}"/>
    <cellStyle name="표준 5 9 4 2 2 2" xfId="31117" xr:uid="{00000000-0005-0000-0000-00009AC10000}"/>
    <cellStyle name="표준 5 9 4 2 2 3" xfId="39328" xr:uid="{00000000-0005-0000-0000-00009BC10000}"/>
    <cellStyle name="표준 5 9 4 2 2 4" xfId="47521" xr:uid="{00000000-0005-0000-0000-00009CC10000}"/>
    <cellStyle name="표준 5 9 4 2 3" xfId="18763" xr:uid="{00000000-0005-0000-0000-00009DC10000}"/>
    <cellStyle name="표준 5 9 4 2 4" xfId="22925" xr:uid="{00000000-0005-0000-0000-00009EC10000}"/>
    <cellStyle name="표준 5 9 4 2 5" xfId="27021" xr:uid="{00000000-0005-0000-0000-00009FC10000}"/>
    <cellStyle name="표준 5 9 4 2 6" xfId="35232" xr:uid="{00000000-0005-0000-0000-0000A0C10000}"/>
    <cellStyle name="표준 5 9 4 2 7" xfId="43425" xr:uid="{00000000-0005-0000-0000-0000A1C10000}"/>
    <cellStyle name="표준 5 9 4 3" xfId="8363" xr:uid="{00000000-0005-0000-0000-0000A2C10000}"/>
    <cellStyle name="표준 5 9 4 3 2" xfId="29069" xr:uid="{00000000-0005-0000-0000-0000A3C10000}"/>
    <cellStyle name="표준 5 9 4 3 3" xfId="37280" xr:uid="{00000000-0005-0000-0000-0000A4C10000}"/>
    <cellStyle name="표준 5 9 4 3 4" xfId="45473" xr:uid="{00000000-0005-0000-0000-0000A5C10000}"/>
    <cellStyle name="표준 5 9 4 4" xfId="12475" xr:uid="{00000000-0005-0000-0000-0000A6C10000}"/>
    <cellStyle name="표준 5 9 4 5" xfId="16715" xr:uid="{00000000-0005-0000-0000-0000A7C10000}"/>
    <cellStyle name="표준 5 9 4 6" xfId="20877" xr:uid="{00000000-0005-0000-0000-0000A8C10000}"/>
    <cellStyle name="표준 5 9 4 7" xfId="24973" xr:uid="{00000000-0005-0000-0000-0000A9C10000}"/>
    <cellStyle name="표준 5 9 4 8" xfId="33184" xr:uid="{00000000-0005-0000-0000-0000AAC10000}"/>
    <cellStyle name="표준 5 9 4 9" xfId="41377" xr:uid="{00000000-0005-0000-0000-0000ABC10000}"/>
    <cellStyle name="표준 5 9 5" xfId="2020" xr:uid="{00000000-0005-0000-0000-0000ACC10000}"/>
    <cellStyle name="표준 5 9 5 2" xfId="10923" xr:uid="{00000000-0005-0000-0000-0000ADC10000}"/>
    <cellStyle name="표준 5 9 5 2 2" xfId="15035" xr:uid="{00000000-0005-0000-0000-0000AEC10000}"/>
    <cellStyle name="표준 5 9 5 2 2 2" xfId="31629" xr:uid="{00000000-0005-0000-0000-0000AFC10000}"/>
    <cellStyle name="표준 5 9 5 2 2 3" xfId="39840" xr:uid="{00000000-0005-0000-0000-0000B0C10000}"/>
    <cellStyle name="표준 5 9 5 2 2 4" xfId="48033" xr:uid="{00000000-0005-0000-0000-0000B1C10000}"/>
    <cellStyle name="표준 5 9 5 2 3" xfId="19275" xr:uid="{00000000-0005-0000-0000-0000B2C10000}"/>
    <cellStyle name="표준 5 9 5 2 4" xfId="23437" xr:uid="{00000000-0005-0000-0000-0000B3C10000}"/>
    <cellStyle name="표준 5 9 5 2 5" xfId="27533" xr:uid="{00000000-0005-0000-0000-0000B4C10000}"/>
    <cellStyle name="표준 5 9 5 2 6" xfId="35744" xr:uid="{00000000-0005-0000-0000-0000B5C10000}"/>
    <cellStyle name="표준 5 9 5 2 7" xfId="43937" xr:uid="{00000000-0005-0000-0000-0000B6C10000}"/>
    <cellStyle name="표준 5 9 5 3" xfId="8875" xr:uid="{00000000-0005-0000-0000-0000B7C10000}"/>
    <cellStyle name="표준 5 9 5 3 2" xfId="29581" xr:uid="{00000000-0005-0000-0000-0000B8C10000}"/>
    <cellStyle name="표준 5 9 5 3 3" xfId="37792" xr:uid="{00000000-0005-0000-0000-0000B9C10000}"/>
    <cellStyle name="표준 5 9 5 3 4" xfId="45985" xr:uid="{00000000-0005-0000-0000-0000BAC10000}"/>
    <cellStyle name="표준 5 9 5 4" xfId="12987" xr:uid="{00000000-0005-0000-0000-0000BBC10000}"/>
    <cellStyle name="표준 5 9 5 5" xfId="17227" xr:uid="{00000000-0005-0000-0000-0000BCC10000}"/>
    <cellStyle name="표준 5 9 5 6" xfId="21389" xr:uid="{00000000-0005-0000-0000-0000BDC10000}"/>
    <cellStyle name="표준 5 9 5 7" xfId="25485" xr:uid="{00000000-0005-0000-0000-0000BEC10000}"/>
    <cellStyle name="표준 5 9 5 8" xfId="33696" xr:uid="{00000000-0005-0000-0000-0000BFC10000}"/>
    <cellStyle name="표준 5 9 5 9" xfId="41889" xr:uid="{00000000-0005-0000-0000-0000C0C10000}"/>
    <cellStyle name="표준 5 9 6" xfId="4344" xr:uid="{00000000-0005-0000-0000-0000C1C10000}"/>
    <cellStyle name="표준 5 9 6 2" xfId="9387" xr:uid="{00000000-0005-0000-0000-0000C2C10000}"/>
    <cellStyle name="표준 5 9 6 2 2" xfId="30093" xr:uid="{00000000-0005-0000-0000-0000C3C10000}"/>
    <cellStyle name="표준 5 9 6 2 3" xfId="38304" xr:uid="{00000000-0005-0000-0000-0000C4C10000}"/>
    <cellStyle name="표준 5 9 6 2 4" xfId="46497" xr:uid="{00000000-0005-0000-0000-0000C5C10000}"/>
    <cellStyle name="표준 5 9 6 3" xfId="13499" xr:uid="{00000000-0005-0000-0000-0000C6C10000}"/>
    <cellStyle name="표준 5 9 6 4" xfId="17739" xr:uid="{00000000-0005-0000-0000-0000C7C10000}"/>
    <cellStyle name="표준 5 9 6 5" xfId="21901" xr:uid="{00000000-0005-0000-0000-0000C8C10000}"/>
    <cellStyle name="표준 5 9 6 6" xfId="25997" xr:uid="{00000000-0005-0000-0000-0000C9C10000}"/>
    <cellStyle name="표준 5 9 6 7" xfId="34208" xr:uid="{00000000-0005-0000-0000-0000CAC10000}"/>
    <cellStyle name="표준 5 9 6 8" xfId="42401" xr:uid="{00000000-0005-0000-0000-0000CBC10000}"/>
    <cellStyle name="표준 5 9 7" xfId="6615" xr:uid="{00000000-0005-0000-0000-0000CCC10000}"/>
    <cellStyle name="표준 5 9 7 2" xfId="28045" xr:uid="{00000000-0005-0000-0000-0000CDC10000}"/>
    <cellStyle name="표준 5 9 7 3" xfId="36256" xr:uid="{00000000-0005-0000-0000-0000CEC10000}"/>
    <cellStyle name="표준 5 9 7 4" xfId="44449" xr:uid="{00000000-0005-0000-0000-0000CFC10000}"/>
    <cellStyle name="표준 5 9 8" xfId="7339" xr:uid="{00000000-0005-0000-0000-0000D0C10000}"/>
    <cellStyle name="표준 5 9 9" xfId="11451" xr:uid="{00000000-0005-0000-0000-0000D1C10000}"/>
    <cellStyle name="표준 5_업체별" xfId="6227" xr:uid="{00000000-0005-0000-0000-0000D2C10000}"/>
    <cellStyle name="표준 50" xfId="4345" xr:uid="{00000000-0005-0000-0000-0000D3C10000}"/>
    <cellStyle name="표준 51" xfId="4346" xr:uid="{00000000-0005-0000-0000-0000D4C10000}"/>
    <cellStyle name="표준 52" xfId="4347" xr:uid="{00000000-0005-0000-0000-0000D5C10000}"/>
    <cellStyle name="표준 53" xfId="84" xr:uid="{00000000-0005-0000-0000-0000D6C10000}"/>
    <cellStyle name="표준 53 2" xfId="4348" xr:uid="{00000000-0005-0000-0000-0000D7C10000}"/>
    <cellStyle name="표준 6" xfId="18" xr:uid="{00000000-0005-0000-0000-0000D8C10000}"/>
    <cellStyle name="표준 6 10" xfId="6667" xr:uid="{00000000-0005-0000-0000-0000D9C10000}"/>
    <cellStyle name="표준 6 11" xfId="6734" xr:uid="{00000000-0005-0000-0000-0000DAC10000}"/>
    <cellStyle name="표준 6 12" xfId="6799" xr:uid="{00000000-0005-0000-0000-0000DBC10000}"/>
    <cellStyle name="표준 6 13" xfId="6862" xr:uid="{00000000-0005-0000-0000-0000DCC10000}"/>
    <cellStyle name="표준 6 14" xfId="6910" xr:uid="{00000000-0005-0000-0000-0000DDC10000}"/>
    <cellStyle name="표준 6 15" xfId="6934" xr:uid="{00000000-0005-0000-0000-0000DEC10000}"/>
    <cellStyle name="표준 6 2" xfId="30" xr:uid="{00000000-0005-0000-0000-0000DFC10000}"/>
    <cellStyle name="표준 6 2 10" xfId="6911" xr:uid="{00000000-0005-0000-0000-0000E0C10000}"/>
    <cellStyle name="표준 6 2 11" xfId="6935" xr:uid="{00000000-0005-0000-0000-0000E1C10000}"/>
    <cellStyle name="표준 6 2 2" xfId="124" xr:uid="{00000000-0005-0000-0000-0000E2C10000}"/>
    <cellStyle name="표준 6 2 2 2" xfId="6228" xr:uid="{00000000-0005-0000-0000-0000E3C10000}"/>
    <cellStyle name="표준 6 2 3" xfId="4350" xr:uid="{00000000-0005-0000-0000-0000E4C10000}"/>
    <cellStyle name="표준 6 2 3 2" xfId="6540" xr:uid="{00000000-0005-0000-0000-0000E5C10000}"/>
    <cellStyle name="표준 6 2 4" xfId="6578" xr:uid="{00000000-0005-0000-0000-0000E6C10000}"/>
    <cellStyle name="표준 6 2 5" xfId="6618" xr:uid="{00000000-0005-0000-0000-0000E7C10000}"/>
    <cellStyle name="표준 6 2 6" xfId="6668" xr:uid="{00000000-0005-0000-0000-0000E8C10000}"/>
    <cellStyle name="표준 6 2 7" xfId="6735" xr:uid="{00000000-0005-0000-0000-0000E9C10000}"/>
    <cellStyle name="표준 6 2 8" xfId="6800" xr:uid="{00000000-0005-0000-0000-0000EAC10000}"/>
    <cellStyle name="표준 6 2 9" xfId="6863" xr:uid="{00000000-0005-0000-0000-0000EBC10000}"/>
    <cellStyle name="표준 6 3" xfId="41" xr:uid="{00000000-0005-0000-0000-0000ECC10000}"/>
    <cellStyle name="표준 6 3 10" xfId="6912" xr:uid="{00000000-0005-0000-0000-0000EDC10000}"/>
    <cellStyle name="표준 6 3 11" xfId="6936" xr:uid="{00000000-0005-0000-0000-0000EEC10000}"/>
    <cellStyle name="표준 6 3 2" xfId="135" xr:uid="{00000000-0005-0000-0000-0000EFC10000}"/>
    <cellStyle name="표준 6 3 2 2" xfId="6229" xr:uid="{00000000-0005-0000-0000-0000F0C10000}"/>
    <cellStyle name="표준 6 3 3" xfId="4351" xr:uid="{00000000-0005-0000-0000-0000F1C10000}"/>
    <cellStyle name="표준 6 3 3 2" xfId="6541" xr:uid="{00000000-0005-0000-0000-0000F2C10000}"/>
    <cellStyle name="표준 6 3 4" xfId="6579" xr:uid="{00000000-0005-0000-0000-0000F3C10000}"/>
    <cellStyle name="표준 6 3 5" xfId="6619" xr:uid="{00000000-0005-0000-0000-0000F4C10000}"/>
    <cellStyle name="표준 6 3 6" xfId="6669" xr:uid="{00000000-0005-0000-0000-0000F5C10000}"/>
    <cellStyle name="표준 6 3 7" xfId="6736" xr:uid="{00000000-0005-0000-0000-0000F6C10000}"/>
    <cellStyle name="표준 6 3 8" xfId="6801" xr:uid="{00000000-0005-0000-0000-0000F7C10000}"/>
    <cellStyle name="표준 6 3 9" xfId="6864" xr:uid="{00000000-0005-0000-0000-0000F8C10000}"/>
    <cellStyle name="표준 6 4" xfId="55" xr:uid="{00000000-0005-0000-0000-0000F9C10000}"/>
    <cellStyle name="표준 6 4 10" xfId="6913" xr:uid="{00000000-0005-0000-0000-0000FAC10000}"/>
    <cellStyle name="표준 6 4 11" xfId="6937" xr:uid="{00000000-0005-0000-0000-0000FBC10000}"/>
    <cellStyle name="표준 6 4 2" xfId="149" xr:uid="{00000000-0005-0000-0000-0000FCC10000}"/>
    <cellStyle name="표준 6 4 2 2" xfId="6230" xr:uid="{00000000-0005-0000-0000-0000FDC10000}"/>
    <cellStyle name="표준 6 4 3" xfId="4352" xr:uid="{00000000-0005-0000-0000-0000FEC10000}"/>
    <cellStyle name="표준 6 4 3 2" xfId="6542" xr:uid="{00000000-0005-0000-0000-0000FFC10000}"/>
    <cellStyle name="표준 6 4 4" xfId="6580" xr:uid="{00000000-0005-0000-0000-000000C20000}"/>
    <cellStyle name="표준 6 4 5" xfId="6620" xr:uid="{00000000-0005-0000-0000-000001C20000}"/>
    <cellStyle name="표준 6 4 6" xfId="6670" xr:uid="{00000000-0005-0000-0000-000002C20000}"/>
    <cellStyle name="표준 6 4 7" xfId="6737" xr:uid="{00000000-0005-0000-0000-000003C20000}"/>
    <cellStyle name="표준 6 4 8" xfId="6802" xr:uid="{00000000-0005-0000-0000-000004C20000}"/>
    <cellStyle name="표준 6 4 9" xfId="6865" xr:uid="{00000000-0005-0000-0000-000005C20000}"/>
    <cellStyle name="표준 6 5" xfId="69" xr:uid="{00000000-0005-0000-0000-000006C20000}"/>
    <cellStyle name="표준 6 5 10" xfId="6914" xr:uid="{00000000-0005-0000-0000-000007C20000}"/>
    <cellStyle name="표준 6 5 11" xfId="6938" xr:uid="{00000000-0005-0000-0000-000008C20000}"/>
    <cellStyle name="표준 6 5 2" xfId="163" xr:uid="{00000000-0005-0000-0000-000009C20000}"/>
    <cellStyle name="표준 6 5 2 2" xfId="6231" xr:uid="{00000000-0005-0000-0000-00000AC20000}"/>
    <cellStyle name="표준 6 5 3" xfId="4353" xr:uid="{00000000-0005-0000-0000-00000BC20000}"/>
    <cellStyle name="표준 6 5 3 2" xfId="6543" xr:uid="{00000000-0005-0000-0000-00000CC20000}"/>
    <cellStyle name="표준 6 5 4" xfId="6581" xr:uid="{00000000-0005-0000-0000-00000DC20000}"/>
    <cellStyle name="표준 6 5 5" xfId="6621" xr:uid="{00000000-0005-0000-0000-00000EC20000}"/>
    <cellStyle name="표준 6 5 6" xfId="6671" xr:uid="{00000000-0005-0000-0000-00000FC20000}"/>
    <cellStyle name="표준 6 5 7" xfId="6738" xr:uid="{00000000-0005-0000-0000-000010C20000}"/>
    <cellStyle name="표준 6 5 8" xfId="6803" xr:uid="{00000000-0005-0000-0000-000011C20000}"/>
    <cellStyle name="표준 6 5 9" xfId="6866" xr:uid="{00000000-0005-0000-0000-000012C20000}"/>
    <cellStyle name="표준 6 6" xfId="112" xr:uid="{00000000-0005-0000-0000-000013C20000}"/>
    <cellStyle name="표준 6 6 2" xfId="4354" xr:uid="{00000000-0005-0000-0000-000014C20000}"/>
    <cellStyle name="표준 6 7" xfId="4355" xr:uid="{00000000-0005-0000-0000-000015C20000}"/>
    <cellStyle name="표준 6 7 2" xfId="6988" xr:uid="{00000000-0005-0000-0000-000016C20000}"/>
    <cellStyle name="표준 6 8" xfId="4349" xr:uid="{00000000-0005-0000-0000-000017C20000}"/>
    <cellStyle name="표준 6 8 2" xfId="7014" xr:uid="{00000000-0005-0000-0000-000018C20000}"/>
    <cellStyle name="표준 6 9" xfId="6617" xr:uid="{00000000-0005-0000-0000-000019C20000}"/>
    <cellStyle name="표준 6_업체별" xfId="6232" xr:uid="{00000000-0005-0000-0000-00001AC20000}"/>
    <cellStyle name="표준 7" xfId="93" xr:uid="{00000000-0005-0000-0000-00001BC20000}"/>
    <cellStyle name="표준 7 10" xfId="4357" xr:uid="{00000000-0005-0000-0000-00001CC20000}"/>
    <cellStyle name="표준 7 10 2" xfId="6915" xr:uid="{00000000-0005-0000-0000-00001DC20000}"/>
    <cellStyle name="표준 7 11" xfId="4358" xr:uid="{00000000-0005-0000-0000-00001EC20000}"/>
    <cellStyle name="표준 7 12" xfId="4359" xr:uid="{00000000-0005-0000-0000-00001FC20000}"/>
    <cellStyle name="표준 7 13" xfId="4356" xr:uid="{00000000-0005-0000-0000-000020C20000}"/>
    <cellStyle name="표준 7 14" xfId="7114" xr:uid="{00000000-0005-0000-0000-000021C20000}"/>
    <cellStyle name="표준 7 15" xfId="48418" xr:uid="{00000000-0005-0000-0000-000022C20000}"/>
    <cellStyle name="표준 7 16" xfId="48443" xr:uid="{00000000-0005-0000-0000-000023C20000}"/>
    <cellStyle name="표준 7 2" xfId="4360" xr:uid="{00000000-0005-0000-0000-000024C20000}"/>
    <cellStyle name="표준 7 3" xfId="4361" xr:uid="{00000000-0005-0000-0000-000025C20000}"/>
    <cellStyle name="표준 7 4" xfId="4362" xr:uid="{00000000-0005-0000-0000-000026C20000}"/>
    <cellStyle name="표준 7 4 2" xfId="6582" xr:uid="{00000000-0005-0000-0000-000027C20000}"/>
    <cellStyle name="표준 7 5" xfId="4363" xr:uid="{00000000-0005-0000-0000-000028C20000}"/>
    <cellStyle name="표준 7 5 2" xfId="6622" xr:uid="{00000000-0005-0000-0000-000029C20000}"/>
    <cellStyle name="표준 7 6" xfId="4364" xr:uid="{00000000-0005-0000-0000-00002AC20000}"/>
    <cellStyle name="표준 7 7" xfId="4365" xr:uid="{00000000-0005-0000-0000-00002BC20000}"/>
    <cellStyle name="표준 7 8" xfId="4366" xr:uid="{00000000-0005-0000-0000-00002CC20000}"/>
    <cellStyle name="표준 7 8 2" xfId="6804" xr:uid="{00000000-0005-0000-0000-00002DC20000}"/>
    <cellStyle name="표준 7 9" xfId="4367" xr:uid="{00000000-0005-0000-0000-00002EC20000}"/>
    <cellStyle name="표준 7 9 2" xfId="6867" xr:uid="{00000000-0005-0000-0000-00002FC20000}"/>
    <cellStyle name="표준 8" xfId="94" xr:uid="{00000000-0005-0000-0000-000030C20000}"/>
    <cellStyle name="표준 8 10" xfId="4369" xr:uid="{00000000-0005-0000-0000-000031C20000}"/>
    <cellStyle name="표준 8 11" xfId="4370" xr:uid="{00000000-0005-0000-0000-000032C20000}"/>
    <cellStyle name="표준 8 12" xfId="4371" xr:uid="{00000000-0005-0000-0000-000033C20000}"/>
    <cellStyle name="표준 8 13" xfId="4372" xr:uid="{00000000-0005-0000-0000-000034C20000}"/>
    <cellStyle name="표준 8 14" xfId="4368" xr:uid="{00000000-0005-0000-0000-000035C20000}"/>
    <cellStyle name="표준 8 15" xfId="49636" xr:uid="{00000000-0005-0000-0000-000036C20000}"/>
    <cellStyle name="표준 8 2" xfId="4373" xr:uid="{00000000-0005-0000-0000-000037C20000}"/>
    <cellStyle name="표준 8 3" xfId="4374" xr:uid="{00000000-0005-0000-0000-000038C20000}"/>
    <cellStyle name="표준 8 4" xfId="4375" xr:uid="{00000000-0005-0000-0000-000039C20000}"/>
    <cellStyle name="표준 8 5" xfId="4376" xr:uid="{00000000-0005-0000-0000-00003AC20000}"/>
    <cellStyle name="표준 8 6" xfId="4377" xr:uid="{00000000-0005-0000-0000-00003BC20000}"/>
    <cellStyle name="표준 8 7" xfId="4378" xr:uid="{00000000-0005-0000-0000-00003CC20000}"/>
    <cellStyle name="표준 8 8" xfId="4379" xr:uid="{00000000-0005-0000-0000-00003DC20000}"/>
    <cellStyle name="표준 8 9" xfId="4380" xr:uid="{00000000-0005-0000-0000-00003EC20000}"/>
    <cellStyle name="표준 9" xfId="212" xr:uid="{00000000-0005-0000-0000-00003FC20000}"/>
    <cellStyle name="표준 9 10" xfId="49658" xr:uid="{00000000-0005-0000-0000-000040C20000}"/>
    <cellStyle name="표준 9 2" xfId="4382" xr:uid="{00000000-0005-0000-0000-000041C20000}"/>
    <cellStyle name="표준 9 3" xfId="4383" xr:uid="{00000000-0005-0000-0000-000042C20000}"/>
    <cellStyle name="표준 9 4" xfId="4384" xr:uid="{00000000-0005-0000-0000-000043C20000}"/>
    <cellStyle name="표준 9 5" xfId="4385" xr:uid="{00000000-0005-0000-0000-000044C20000}"/>
    <cellStyle name="표준 9 6" xfId="4386" xr:uid="{00000000-0005-0000-0000-000045C20000}"/>
    <cellStyle name="표준 9 7" xfId="4387" xr:uid="{00000000-0005-0000-0000-000046C20000}"/>
    <cellStyle name="표준 9 8" xfId="4388" xr:uid="{00000000-0005-0000-0000-000047C20000}"/>
    <cellStyle name="표준 9 9" xfId="4381" xr:uid="{00000000-0005-0000-0000-000048C20000}"/>
    <cellStyle name="표준_Ⅴ.업체별현황 2" xfId="32014" xr:uid="{00000000-0005-0000-0000-000049C20000}"/>
    <cellStyle name="표준_Ⅴ.업체별현황 2 2" xfId="49727" xr:uid="{00000000-0005-0000-0000-00004AC20000}"/>
    <cellStyle name="표준_Sheet1 2 2" xfId="49723" xr:uid="{00000000-0005-0000-0000-00004BC20000}"/>
    <cellStyle name="표준1" xfId="49619" xr:uid="{00000000-0005-0000-0000-00004CC2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FF"/>
      <color rgb="FFFFD7AF"/>
      <color rgb="FF0000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504D"/>
    <pageSetUpPr fitToPage="1"/>
  </sheetPr>
  <dimension ref="A1:L76"/>
  <sheetViews>
    <sheetView tabSelected="1" zoomScale="70" zoomScaleNormal="70" workbookViewId="0">
      <selection sqref="A1:L1"/>
    </sheetView>
  </sheetViews>
  <sheetFormatPr defaultColWidth="7.77734375" defaultRowHeight="14.25"/>
  <cols>
    <col min="1" max="1" width="10.77734375" style="446" customWidth="1"/>
    <col min="2" max="2" width="10.77734375" style="2" customWidth="1"/>
    <col min="3" max="3" width="12.5546875" style="2" customWidth="1"/>
    <col min="4" max="4" width="15" style="2" customWidth="1"/>
    <col min="5" max="5" width="15" style="3" customWidth="1"/>
    <col min="6" max="6" width="14.5546875" style="2" customWidth="1"/>
    <col min="7" max="7" width="15" style="2" customWidth="1"/>
    <col min="8" max="8" width="14" style="2" customWidth="1"/>
    <col min="9" max="9" width="15" style="2" customWidth="1"/>
    <col min="10" max="10" width="15" style="3" customWidth="1"/>
    <col min="11" max="11" width="14.5546875" style="2" customWidth="1"/>
    <col min="12" max="12" width="15" style="2" customWidth="1"/>
    <col min="13" max="16384" width="7.77734375" style="2"/>
  </cols>
  <sheetData>
    <row r="1" spans="1:12" ht="45" customHeight="1" thickBot="1">
      <c r="A1" s="452" t="s">
        <v>831</v>
      </c>
      <c r="B1" s="452"/>
      <c r="C1" s="452"/>
      <c r="D1" s="452"/>
      <c r="E1" s="452"/>
      <c r="F1" s="452"/>
      <c r="G1" s="452"/>
      <c r="H1" s="452"/>
      <c r="I1" s="452"/>
      <c r="J1" s="452"/>
      <c r="K1" s="452"/>
      <c r="L1" s="452"/>
    </row>
    <row r="2" spans="1:12" s="1" customFormat="1" ht="24.95" customHeight="1">
      <c r="A2" s="453" t="s">
        <v>2</v>
      </c>
      <c r="B2" s="455" t="s">
        <v>3</v>
      </c>
      <c r="C2" s="457" t="s">
        <v>1138</v>
      </c>
      <c r="D2" s="457"/>
      <c r="E2" s="457"/>
      <c r="F2" s="457"/>
      <c r="G2" s="457"/>
      <c r="H2" s="457" t="s">
        <v>1117</v>
      </c>
      <c r="I2" s="457"/>
      <c r="J2" s="457"/>
      <c r="K2" s="457"/>
      <c r="L2" s="457"/>
    </row>
    <row r="3" spans="1:12" s="1" customFormat="1" ht="24.95" customHeight="1">
      <c r="A3" s="454"/>
      <c r="B3" s="456"/>
      <c r="C3" s="5" t="s">
        <v>1</v>
      </c>
      <c r="D3" s="4" t="s">
        <v>15</v>
      </c>
      <c r="E3" s="4" t="s">
        <v>16</v>
      </c>
      <c r="F3" s="4" t="s">
        <v>14</v>
      </c>
      <c r="G3" s="4" t="s">
        <v>703</v>
      </c>
      <c r="H3" s="5" t="s">
        <v>1</v>
      </c>
      <c r="I3" s="4" t="s">
        <v>15</v>
      </c>
      <c r="J3" s="4" t="s">
        <v>16</v>
      </c>
      <c r="K3" s="4" t="s">
        <v>14</v>
      </c>
      <c r="L3" s="45" t="s">
        <v>0</v>
      </c>
    </row>
    <row r="4" spans="1:12" s="1" customFormat="1" ht="24.95" customHeight="1">
      <c r="A4" s="113" t="s">
        <v>18</v>
      </c>
      <c r="B4" s="33">
        <f t="shared" ref="B4:B35" si="0">C4-H4</f>
        <v>-707</v>
      </c>
      <c r="C4" s="99">
        <f t="shared" ref="C4:L4" si="1">SUM(C5:C35)</f>
        <v>13802</v>
      </c>
      <c r="D4" s="99">
        <f t="shared" si="1"/>
        <v>327</v>
      </c>
      <c r="E4" s="99">
        <f t="shared" si="1"/>
        <v>542</v>
      </c>
      <c r="F4" s="99">
        <f t="shared" si="1"/>
        <v>10356</v>
      </c>
      <c r="G4" s="99">
        <f t="shared" si="1"/>
        <v>2577</v>
      </c>
      <c r="H4" s="99">
        <f>SUM(H5:H35)</f>
        <v>14509</v>
      </c>
      <c r="I4" s="99">
        <f t="shared" si="1"/>
        <v>329</v>
      </c>
      <c r="J4" s="99">
        <f t="shared" si="1"/>
        <v>629</v>
      </c>
      <c r="K4" s="99">
        <f t="shared" si="1"/>
        <v>10804</v>
      </c>
      <c r="L4" s="100">
        <f t="shared" si="1"/>
        <v>2747</v>
      </c>
    </row>
    <row r="5" spans="1:12" ht="24.95" customHeight="1">
      <c r="A5" s="360" t="s">
        <v>25</v>
      </c>
      <c r="B5" s="33">
        <f t="shared" si="0"/>
        <v>-22</v>
      </c>
      <c r="C5" s="97">
        <f t="shared" ref="C5:C35" si="2">SUM(D5:G5)</f>
        <v>21</v>
      </c>
      <c r="D5" s="24">
        <v>0</v>
      </c>
      <c r="E5" s="24">
        <v>0</v>
      </c>
      <c r="F5" s="24">
        <v>21</v>
      </c>
      <c r="G5" s="24">
        <v>0</v>
      </c>
      <c r="H5" s="97">
        <f>SUM(I5:L5)</f>
        <v>43</v>
      </c>
      <c r="I5" s="24">
        <v>0</v>
      </c>
      <c r="J5" s="24">
        <v>0</v>
      </c>
      <c r="K5" s="24">
        <v>43</v>
      </c>
      <c r="L5" s="24">
        <v>0</v>
      </c>
    </row>
    <row r="6" spans="1:12" s="3" customFormat="1" ht="24.95" customHeight="1">
      <c r="A6" s="360" t="s">
        <v>26</v>
      </c>
      <c r="B6" s="419">
        <f t="shared" si="0"/>
        <v>98</v>
      </c>
      <c r="C6" s="97">
        <f t="shared" si="2"/>
        <v>790</v>
      </c>
      <c r="D6" s="30">
        <v>244</v>
      </c>
      <c r="E6" s="30">
        <v>73</v>
      </c>
      <c r="F6" s="30">
        <v>461</v>
      </c>
      <c r="G6" s="30">
        <v>12</v>
      </c>
      <c r="H6" s="97">
        <f t="shared" ref="H6:H35" si="3">SUM(I6:L6)</f>
        <v>692</v>
      </c>
      <c r="I6" s="30">
        <v>244</v>
      </c>
      <c r="J6" s="30">
        <v>96</v>
      </c>
      <c r="K6" s="30">
        <v>340</v>
      </c>
      <c r="L6" s="30">
        <v>12</v>
      </c>
    </row>
    <row r="7" spans="1:12" s="22" customFormat="1" ht="24.95" customHeight="1">
      <c r="A7" s="360" t="s">
        <v>388</v>
      </c>
      <c r="B7" s="33">
        <f t="shared" si="0"/>
        <v>-1</v>
      </c>
      <c r="C7" s="97">
        <f t="shared" si="2"/>
        <v>53</v>
      </c>
      <c r="D7" s="24">
        <v>1</v>
      </c>
      <c r="E7" s="24">
        <v>0</v>
      </c>
      <c r="F7" s="24">
        <v>52</v>
      </c>
      <c r="G7" s="24">
        <v>0</v>
      </c>
      <c r="H7" s="97">
        <f t="shared" si="3"/>
        <v>54</v>
      </c>
      <c r="I7" s="24">
        <v>1</v>
      </c>
      <c r="J7" s="24">
        <v>0</v>
      </c>
      <c r="K7" s="24">
        <v>53</v>
      </c>
      <c r="L7" s="24">
        <v>0</v>
      </c>
    </row>
    <row r="8" spans="1:12" s="3" customFormat="1" ht="24.95" customHeight="1">
      <c r="A8" s="360" t="s">
        <v>27</v>
      </c>
      <c r="B8" s="33">
        <f t="shared" si="0"/>
        <v>-5</v>
      </c>
      <c r="C8" s="97">
        <f t="shared" si="2"/>
        <v>19</v>
      </c>
      <c r="D8" s="24">
        <v>0</v>
      </c>
      <c r="E8" s="24">
        <v>19</v>
      </c>
      <c r="F8" s="24">
        <v>0</v>
      </c>
      <c r="G8" s="24">
        <v>0</v>
      </c>
      <c r="H8" s="97">
        <f t="shared" si="3"/>
        <v>24</v>
      </c>
      <c r="I8" s="24">
        <v>2</v>
      </c>
      <c r="J8" s="24">
        <v>21</v>
      </c>
      <c r="K8" s="24">
        <v>1</v>
      </c>
      <c r="L8" s="24">
        <v>0</v>
      </c>
    </row>
    <row r="9" spans="1:12" s="25" customFormat="1" ht="24.95" customHeight="1">
      <c r="A9" s="360" t="s">
        <v>28</v>
      </c>
      <c r="B9" s="33">
        <f t="shared" si="0"/>
        <v>0</v>
      </c>
      <c r="C9" s="97">
        <f t="shared" si="2"/>
        <v>57</v>
      </c>
      <c r="D9" s="39">
        <v>0</v>
      </c>
      <c r="E9" s="39">
        <v>41</v>
      </c>
      <c r="F9" s="39">
        <v>13</v>
      </c>
      <c r="G9" s="39">
        <v>3</v>
      </c>
      <c r="H9" s="97">
        <f t="shared" si="3"/>
        <v>57</v>
      </c>
      <c r="I9" s="39">
        <v>0</v>
      </c>
      <c r="J9" s="39">
        <v>41</v>
      </c>
      <c r="K9" s="39">
        <v>13</v>
      </c>
      <c r="L9" s="39">
        <v>3</v>
      </c>
    </row>
    <row r="10" spans="1:12" s="3" customFormat="1" ht="24.95" customHeight="1">
      <c r="A10" s="360" t="s">
        <v>648</v>
      </c>
      <c r="B10" s="33">
        <f t="shared" si="0"/>
        <v>-19</v>
      </c>
      <c r="C10" s="97">
        <f t="shared" si="2"/>
        <v>60</v>
      </c>
      <c r="D10" s="57">
        <v>0</v>
      </c>
      <c r="E10" s="57">
        <v>32</v>
      </c>
      <c r="F10" s="57">
        <v>28</v>
      </c>
      <c r="G10" s="57">
        <v>0</v>
      </c>
      <c r="H10" s="97">
        <f t="shared" si="3"/>
        <v>79</v>
      </c>
      <c r="I10" s="57">
        <v>0</v>
      </c>
      <c r="J10" s="57">
        <v>40</v>
      </c>
      <c r="K10" s="57">
        <v>39</v>
      </c>
      <c r="L10" s="57">
        <v>0</v>
      </c>
    </row>
    <row r="11" spans="1:12" s="3" customFormat="1" ht="24.95" customHeight="1">
      <c r="A11" s="360" t="s">
        <v>19</v>
      </c>
      <c r="B11" s="33">
        <f t="shared" si="0"/>
        <v>-37</v>
      </c>
      <c r="C11" s="97">
        <f t="shared" si="2"/>
        <v>424</v>
      </c>
      <c r="D11" s="24">
        <v>0</v>
      </c>
      <c r="E11" s="24">
        <v>105</v>
      </c>
      <c r="F11" s="24">
        <v>49</v>
      </c>
      <c r="G11" s="24">
        <v>270</v>
      </c>
      <c r="H11" s="97">
        <f t="shared" si="3"/>
        <v>461</v>
      </c>
      <c r="I11" s="24">
        <v>0</v>
      </c>
      <c r="J11" s="24">
        <v>113</v>
      </c>
      <c r="K11" s="24">
        <v>69</v>
      </c>
      <c r="L11" s="24">
        <v>279</v>
      </c>
    </row>
    <row r="12" spans="1:12" s="22" customFormat="1" ht="24.95" customHeight="1">
      <c r="A12" s="360" t="s">
        <v>30</v>
      </c>
      <c r="B12" s="33">
        <f t="shared" si="0"/>
        <v>0</v>
      </c>
      <c r="C12" s="97">
        <f t="shared" si="2"/>
        <v>0</v>
      </c>
      <c r="D12" s="24">
        <v>0</v>
      </c>
      <c r="E12" s="24">
        <v>0</v>
      </c>
      <c r="F12" s="24">
        <v>0</v>
      </c>
      <c r="G12" s="24">
        <v>0</v>
      </c>
      <c r="H12" s="97">
        <f t="shared" si="3"/>
        <v>0</v>
      </c>
      <c r="I12" s="24">
        <v>0</v>
      </c>
      <c r="J12" s="24">
        <v>0</v>
      </c>
      <c r="K12" s="24">
        <v>0</v>
      </c>
      <c r="L12" s="24">
        <v>0</v>
      </c>
    </row>
    <row r="13" spans="1:12" s="22" customFormat="1" ht="24.95" customHeight="1">
      <c r="A13" s="50" t="s">
        <v>310</v>
      </c>
      <c r="B13" s="33">
        <f t="shared" si="0"/>
        <v>-250</v>
      </c>
      <c r="C13" s="97">
        <f t="shared" si="2"/>
        <v>3358</v>
      </c>
      <c r="D13" s="37">
        <v>0</v>
      </c>
      <c r="E13" s="37">
        <v>27</v>
      </c>
      <c r="F13" s="37">
        <v>2173</v>
      </c>
      <c r="G13" s="37">
        <v>1158</v>
      </c>
      <c r="H13" s="97">
        <f t="shared" si="3"/>
        <v>3608</v>
      </c>
      <c r="I13" s="37">
        <v>0</v>
      </c>
      <c r="J13" s="37">
        <v>27</v>
      </c>
      <c r="K13" s="37">
        <v>2372</v>
      </c>
      <c r="L13" s="37">
        <v>1209</v>
      </c>
    </row>
    <row r="14" spans="1:12" s="28" customFormat="1" ht="24.95" customHeight="1">
      <c r="A14" s="360" t="s">
        <v>31</v>
      </c>
      <c r="B14" s="33">
        <f t="shared" si="0"/>
        <v>0</v>
      </c>
      <c r="C14" s="97">
        <f t="shared" si="2"/>
        <v>61</v>
      </c>
      <c r="D14" s="27">
        <v>0</v>
      </c>
      <c r="E14" s="27">
        <v>61</v>
      </c>
      <c r="F14" s="27">
        <v>0</v>
      </c>
      <c r="G14" s="27">
        <v>0</v>
      </c>
      <c r="H14" s="97">
        <f t="shared" si="3"/>
        <v>61</v>
      </c>
      <c r="I14" s="27">
        <v>0</v>
      </c>
      <c r="J14" s="27">
        <v>61</v>
      </c>
      <c r="K14" s="27">
        <v>0</v>
      </c>
      <c r="L14" s="27">
        <v>0</v>
      </c>
    </row>
    <row r="15" spans="1:12" s="3" customFormat="1" ht="24.95" customHeight="1">
      <c r="A15" s="360" t="s">
        <v>32</v>
      </c>
      <c r="B15" s="33">
        <f t="shared" si="0"/>
        <v>-41</v>
      </c>
      <c r="C15" s="97">
        <f t="shared" si="2"/>
        <v>359</v>
      </c>
      <c r="D15" s="51">
        <v>0</v>
      </c>
      <c r="E15" s="51">
        <v>3</v>
      </c>
      <c r="F15" s="51">
        <v>335</v>
      </c>
      <c r="G15" s="51">
        <v>21</v>
      </c>
      <c r="H15" s="97">
        <f t="shared" si="3"/>
        <v>400</v>
      </c>
      <c r="I15" s="51">
        <v>0</v>
      </c>
      <c r="J15" s="51">
        <v>3</v>
      </c>
      <c r="K15" s="51">
        <v>371</v>
      </c>
      <c r="L15" s="51">
        <v>26</v>
      </c>
    </row>
    <row r="16" spans="1:12" s="3" customFormat="1" ht="24.95" customHeight="1">
      <c r="A16" s="360" t="s">
        <v>33</v>
      </c>
      <c r="B16" s="33">
        <f t="shared" si="0"/>
        <v>-22</v>
      </c>
      <c r="C16" s="97">
        <f t="shared" si="2"/>
        <v>765</v>
      </c>
      <c r="D16" s="42">
        <v>0</v>
      </c>
      <c r="E16" s="42">
        <v>0</v>
      </c>
      <c r="F16" s="42">
        <v>741</v>
      </c>
      <c r="G16" s="42">
        <v>24</v>
      </c>
      <c r="H16" s="97">
        <f t="shared" si="3"/>
        <v>787</v>
      </c>
      <c r="I16" s="42">
        <v>0</v>
      </c>
      <c r="J16" s="42">
        <v>0</v>
      </c>
      <c r="K16" s="42">
        <v>763</v>
      </c>
      <c r="L16" s="42">
        <v>24</v>
      </c>
    </row>
    <row r="17" spans="1:12" s="3" customFormat="1" ht="24.95" customHeight="1">
      <c r="A17" s="360" t="s">
        <v>34</v>
      </c>
      <c r="B17" s="33">
        <f t="shared" si="0"/>
        <v>0</v>
      </c>
      <c r="C17" s="97">
        <f t="shared" si="2"/>
        <v>1</v>
      </c>
      <c r="D17" s="24">
        <v>0</v>
      </c>
      <c r="E17" s="24">
        <v>0</v>
      </c>
      <c r="F17" s="24">
        <v>0</v>
      </c>
      <c r="G17" s="24">
        <v>1</v>
      </c>
      <c r="H17" s="97">
        <f t="shared" si="3"/>
        <v>1</v>
      </c>
      <c r="I17" s="24">
        <v>0</v>
      </c>
      <c r="J17" s="24">
        <v>0</v>
      </c>
      <c r="K17" s="24">
        <v>0</v>
      </c>
      <c r="L17" s="24">
        <v>1</v>
      </c>
    </row>
    <row r="18" spans="1:12" s="3" customFormat="1" ht="24.95" customHeight="1">
      <c r="A18" s="360" t="s">
        <v>35</v>
      </c>
      <c r="B18" s="33">
        <f t="shared" si="0"/>
        <v>-17</v>
      </c>
      <c r="C18" s="97">
        <f t="shared" si="2"/>
        <v>783</v>
      </c>
      <c r="D18" s="24">
        <v>82</v>
      </c>
      <c r="E18" s="24">
        <v>36</v>
      </c>
      <c r="F18" s="24">
        <v>616</v>
      </c>
      <c r="G18" s="24">
        <v>49</v>
      </c>
      <c r="H18" s="97">
        <f t="shared" si="3"/>
        <v>800</v>
      </c>
      <c r="I18" s="24">
        <v>82</v>
      </c>
      <c r="J18" s="24">
        <v>36</v>
      </c>
      <c r="K18" s="24">
        <v>630</v>
      </c>
      <c r="L18" s="24">
        <v>52</v>
      </c>
    </row>
    <row r="19" spans="1:12" s="3" customFormat="1" ht="24.95" customHeight="1">
      <c r="A19" s="360" t="s">
        <v>36</v>
      </c>
      <c r="B19" s="33">
        <f t="shared" si="0"/>
        <v>-7</v>
      </c>
      <c r="C19" s="97">
        <f t="shared" si="2"/>
        <v>51</v>
      </c>
      <c r="D19" s="24">
        <v>0</v>
      </c>
      <c r="E19" s="27">
        <v>4</v>
      </c>
      <c r="F19" s="27">
        <v>33</v>
      </c>
      <c r="G19" s="24">
        <v>14</v>
      </c>
      <c r="H19" s="97">
        <f t="shared" si="3"/>
        <v>58</v>
      </c>
      <c r="I19" s="24">
        <v>0</v>
      </c>
      <c r="J19" s="27">
        <v>7</v>
      </c>
      <c r="K19" s="27">
        <v>37</v>
      </c>
      <c r="L19" s="24">
        <v>14</v>
      </c>
    </row>
    <row r="20" spans="1:12" s="3" customFormat="1" ht="24.95" customHeight="1">
      <c r="A20" s="1809" t="s">
        <v>37</v>
      </c>
      <c r="B20" s="419">
        <f t="shared" si="0"/>
        <v>0</v>
      </c>
      <c r="C20" s="97">
        <f t="shared" si="2"/>
        <v>2</v>
      </c>
      <c r="D20" s="24">
        <v>0</v>
      </c>
      <c r="E20" s="24">
        <v>1</v>
      </c>
      <c r="F20" s="24">
        <v>1</v>
      </c>
      <c r="G20" s="24">
        <v>0</v>
      </c>
      <c r="H20" s="97">
        <f t="shared" si="3"/>
        <v>2</v>
      </c>
      <c r="I20" s="24">
        <v>0</v>
      </c>
      <c r="J20" s="24">
        <v>1</v>
      </c>
      <c r="K20" s="24">
        <v>1</v>
      </c>
      <c r="L20" s="24">
        <v>0</v>
      </c>
    </row>
    <row r="21" spans="1:12" s="3" customFormat="1" ht="24.95" customHeight="1">
      <c r="A21" s="360" t="s">
        <v>38</v>
      </c>
      <c r="B21" s="33">
        <f t="shared" si="0"/>
        <v>0</v>
      </c>
      <c r="C21" s="97">
        <f t="shared" si="2"/>
        <v>3</v>
      </c>
      <c r="D21" s="24">
        <v>0</v>
      </c>
      <c r="E21" s="24">
        <v>0</v>
      </c>
      <c r="F21" s="24">
        <v>0</v>
      </c>
      <c r="G21" s="24">
        <v>3</v>
      </c>
      <c r="H21" s="97">
        <f t="shared" si="3"/>
        <v>3</v>
      </c>
      <c r="I21" s="24">
        <v>0</v>
      </c>
      <c r="J21" s="24">
        <v>0</v>
      </c>
      <c r="K21" s="24">
        <v>0</v>
      </c>
      <c r="L21" s="24">
        <v>3</v>
      </c>
    </row>
    <row r="22" spans="1:12" s="25" customFormat="1" ht="24.95" customHeight="1">
      <c r="A22" s="360" t="s">
        <v>39</v>
      </c>
      <c r="B22" s="33">
        <f t="shared" si="0"/>
        <v>0</v>
      </c>
      <c r="C22" s="97">
        <f t="shared" si="2"/>
        <v>0</v>
      </c>
      <c r="D22" s="24">
        <v>0</v>
      </c>
      <c r="E22" s="24">
        <v>0</v>
      </c>
      <c r="F22" s="24">
        <v>0</v>
      </c>
      <c r="G22" s="24">
        <v>0</v>
      </c>
      <c r="H22" s="97">
        <f t="shared" si="3"/>
        <v>0</v>
      </c>
      <c r="I22" s="24">
        <v>0</v>
      </c>
      <c r="J22" s="24">
        <v>0</v>
      </c>
      <c r="K22" s="24">
        <v>0</v>
      </c>
      <c r="L22" s="24">
        <v>0</v>
      </c>
    </row>
    <row r="23" spans="1:12" s="3" customFormat="1" ht="24.95" customHeight="1">
      <c r="A23" s="360" t="s">
        <v>40</v>
      </c>
      <c r="B23" s="33">
        <f t="shared" si="0"/>
        <v>-578</v>
      </c>
      <c r="C23" s="97">
        <f t="shared" si="2"/>
        <v>1268</v>
      </c>
      <c r="D23" s="24">
        <v>0</v>
      </c>
      <c r="E23" s="24">
        <v>0</v>
      </c>
      <c r="F23" s="24">
        <v>1056</v>
      </c>
      <c r="G23" s="24">
        <v>212</v>
      </c>
      <c r="H23" s="97">
        <f t="shared" si="3"/>
        <v>1846</v>
      </c>
      <c r="I23" s="24">
        <v>0</v>
      </c>
      <c r="J23" s="24">
        <v>0</v>
      </c>
      <c r="K23" s="24">
        <v>1564</v>
      </c>
      <c r="L23" s="24">
        <v>282</v>
      </c>
    </row>
    <row r="24" spans="1:12" s="28" customFormat="1" ht="24.95" customHeight="1">
      <c r="A24" s="360" t="s">
        <v>341</v>
      </c>
      <c r="B24" s="33">
        <f t="shared" si="0"/>
        <v>-130</v>
      </c>
      <c r="C24" s="97">
        <f t="shared" si="2"/>
        <v>1807</v>
      </c>
      <c r="D24" s="38">
        <v>0</v>
      </c>
      <c r="E24" s="38">
        <v>6</v>
      </c>
      <c r="F24" s="38">
        <v>1416</v>
      </c>
      <c r="G24" s="38">
        <v>385</v>
      </c>
      <c r="H24" s="97">
        <f t="shared" si="3"/>
        <v>1937</v>
      </c>
      <c r="I24" s="38">
        <v>0</v>
      </c>
      <c r="J24" s="38">
        <v>44</v>
      </c>
      <c r="K24" s="38">
        <v>1483</v>
      </c>
      <c r="L24" s="38">
        <v>410</v>
      </c>
    </row>
    <row r="25" spans="1:12" s="3" customFormat="1" ht="24.95" customHeight="1">
      <c r="A25" s="360" t="s">
        <v>41</v>
      </c>
      <c r="B25" s="33">
        <f t="shared" si="0"/>
        <v>447</v>
      </c>
      <c r="C25" s="97">
        <f t="shared" si="2"/>
        <v>1475</v>
      </c>
      <c r="D25" s="24">
        <v>0</v>
      </c>
      <c r="E25" s="24">
        <v>10</v>
      </c>
      <c r="F25" s="24">
        <v>1362</v>
      </c>
      <c r="G25" s="24">
        <v>103</v>
      </c>
      <c r="H25" s="97">
        <f t="shared" si="3"/>
        <v>1028</v>
      </c>
      <c r="I25" s="24">
        <v>0</v>
      </c>
      <c r="J25" s="24">
        <v>16</v>
      </c>
      <c r="K25" s="24">
        <v>906</v>
      </c>
      <c r="L25" s="24">
        <v>106</v>
      </c>
    </row>
    <row r="26" spans="1:12" s="3" customFormat="1" ht="24.95" customHeight="1">
      <c r="A26" s="360" t="s">
        <v>42</v>
      </c>
      <c r="B26" s="33">
        <f t="shared" si="0"/>
        <v>-12</v>
      </c>
      <c r="C26" s="97">
        <f t="shared" si="2"/>
        <v>0</v>
      </c>
      <c r="D26" s="24">
        <v>0</v>
      </c>
      <c r="E26" s="24">
        <v>0</v>
      </c>
      <c r="F26" s="24">
        <v>0</v>
      </c>
      <c r="G26" s="24">
        <v>0</v>
      </c>
      <c r="H26" s="97">
        <f t="shared" si="3"/>
        <v>12</v>
      </c>
      <c r="I26" s="24">
        <v>0</v>
      </c>
      <c r="J26" s="24">
        <v>0</v>
      </c>
      <c r="K26" s="24">
        <v>12</v>
      </c>
      <c r="L26" s="24">
        <v>0</v>
      </c>
    </row>
    <row r="27" spans="1:12" s="3" customFormat="1" ht="24.95" customHeight="1">
      <c r="A27" s="360" t="s">
        <v>43</v>
      </c>
      <c r="B27" s="33">
        <f t="shared" si="0"/>
        <v>-80</v>
      </c>
      <c r="C27" s="97">
        <f t="shared" si="2"/>
        <v>839</v>
      </c>
      <c r="D27" s="24">
        <v>0</v>
      </c>
      <c r="E27" s="24">
        <v>0</v>
      </c>
      <c r="F27" s="24">
        <v>829</v>
      </c>
      <c r="G27" s="24">
        <v>10</v>
      </c>
      <c r="H27" s="97">
        <f t="shared" si="3"/>
        <v>919</v>
      </c>
      <c r="I27" s="24">
        <v>0</v>
      </c>
      <c r="J27" s="24">
        <v>0</v>
      </c>
      <c r="K27" s="24">
        <v>909</v>
      </c>
      <c r="L27" s="24">
        <v>10</v>
      </c>
    </row>
    <row r="28" spans="1:12" s="29" customFormat="1" ht="24.95" customHeight="1">
      <c r="A28" s="360" t="s">
        <v>44</v>
      </c>
      <c r="B28" s="33">
        <f t="shared" si="0"/>
        <v>0</v>
      </c>
      <c r="C28" s="97">
        <f t="shared" si="2"/>
        <v>0</v>
      </c>
      <c r="D28" s="27">
        <v>0</v>
      </c>
      <c r="E28" s="27">
        <v>0</v>
      </c>
      <c r="F28" s="27">
        <v>0</v>
      </c>
      <c r="G28" s="27">
        <v>0</v>
      </c>
      <c r="H28" s="97">
        <f t="shared" si="3"/>
        <v>0</v>
      </c>
      <c r="I28" s="27">
        <v>0</v>
      </c>
      <c r="J28" s="27">
        <v>0</v>
      </c>
      <c r="K28" s="27">
        <v>0</v>
      </c>
      <c r="L28" s="27">
        <v>0</v>
      </c>
    </row>
    <row r="29" spans="1:12" s="25" customFormat="1" ht="24.95" customHeight="1">
      <c r="A29" s="360" t="s">
        <v>372</v>
      </c>
      <c r="B29" s="33">
        <f t="shared" si="0"/>
        <v>0</v>
      </c>
      <c r="C29" s="97">
        <f t="shared" si="2"/>
        <v>123</v>
      </c>
      <c r="D29" s="24">
        <v>0</v>
      </c>
      <c r="E29" s="24">
        <v>68</v>
      </c>
      <c r="F29" s="24">
        <v>55</v>
      </c>
      <c r="G29" s="24">
        <v>0</v>
      </c>
      <c r="H29" s="97">
        <f t="shared" si="3"/>
        <v>123</v>
      </c>
      <c r="I29" s="24">
        <v>0</v>
      </c>
      <c r="J29" s="24">
        <v>68</v>
      </c>
      <c r="K29" s="24">
        <v>55</v>
      </c>
      <c r="L29" s="24">
        <v>0</v>
      </c>
    </row>
    <row r="30" spans="1:12" s="29" customFormat="1" ht="24.95" customHeight="1">
      <c r="A30" s="360" t="s">
        <v>46</v>
      </c>
      <c r="B30" s="33">
        <f t="shared" si="0"/>
        <v>-7</v>
      </c>
      <c r="C30" s="97">
        <f t="shared" si="2"/>
        <v>292</v>
      </c>
      <c r="D30" s="30">
        <v>0</v>
      </c>
      <c r="E30" s="30">
        <v>13</v>
      </c>
      <c r="F30" s="30">
        <v>275</v>
      </c>
      <c r="G30" s="30">
        <v>4</v>
      </c>
      <c r="H30" s="97">
        <f t="shared" si="3"/>
        <v>299</v>
      </c>
      <c r="I30" s="30">
        <v>0</v>
      </c>
      <c r="J30" s="30">
        <v>12</v>
      </c>
      <c r="K30" s="30">
        <v>283</v>
      </c>
      <c r="L30" s="30">
        <v>4</v>
      </c>
    </row>
    <row r="31" spans="1:12" s="3" customFormat="1" ht="24.95" customHeight="1">
      <c r="A31" s="360" t="s">
        <v>47</v>
      </c>
      <c r="B31" s="33">
        <f t="shared" si="0"/>
        <v>-17</v>
      </c>
      <c r="C31" s="97">
        <f t="shared" si="2"/>
        <v>154</v>
      </c>
      <c r="D31" s="24">
        <v>0</v>
      </c>
      <c r="E31" s="24">
        <v>0</v>
      </c>
      <c r="F31" s="24">
        <v>144</v>
      </c>
      <c r="G31" s="24">
        <v>10</v>
      </c>
      <c r="H31" s="97">
        <f t="shared" si="3"/>
        <v>171</v>
      </c>
      <c r="I31" s="24">
        <v>0</v>
      </c>
      <c r="J31" s="24">
        <v>0</v>
      </c>
      <c r="K31" s="24">
        <v>161</v>
      </c>
      <c r="L31" s="24">
        <v>10</v>
      </c>
    </row>
    <row r="32" spans="1:12" s="29" customFormat="1" ht="24.95" customHeight="1">
      <c r="A32" s="360" t="s">
        <v>24</v>
      </c>
      <c r="B32" s="33">
        <f t="shared" si="0"/>
        <v>0</v>
      </c>
      <c r="C32" s="97">
        <f t="shared" si="2"/>
        <v>137</v>
      </c>
      <c r="D32" s="38">
        <v>0</v>
      </c>
      <c r="E32" s="38">
        <v>8</v>
      </c>
      <c r="F32" s="38">
        <v>129</v>
      </c>
      <c r="G32" s="38">
        <v>0</v>
      </c>
      <c r="H32" s="97">
        <f t="shared" si="3"/>
        <v>137</v>
      </c>
      <c r="I32" s="38">
        <v>0</v>
      </c>
      <c r="J32" s="38">
        <v>8</v>
      </c>
      <c r="K32" s="38">
        <v>129</v>
      </c>
      <c r="L32" s="38">
        <v>0</v>
      </c>
    </row>
    <row r="33" spans="1:12" s="3" customFormat="1" ht="24.95" customHeight="1">
      <c r="A33" s="360" t="s">
        <v>48</v>
      </c>
      <c r="B33" s="33">
        <f t="shared" si="0"/>
        <v>0</v>
      </c>
      <c r="C33" s="97">
        <f t="shared" si="2"/>
        <v>0</v>
      </c>
      <c r="D33" s="24">
        <v>0</v>
      </c>
      <c r="E33" s="24">
        <v>0</v>
      </c>
      <c r="F33" s="24">
        <v>0</v>
      </c>
      <c r="G33" s="24">
        <v>0</v>
      </c>
      <c r="H33" s="97">
        <f t="shared" si="3"/>
        <v>0</v>
      </c>
      <c r="I33" s="24">
        <v>0</v>
      </c>
      <c r="J33" s="24">
        <v>0</v>
      </c>
      <c r="K33" s="24">
        <v>0</v>
      </c>
      <c r="L33" s="24">
        <v>0</v>
      </c>
    </row>
    <row r="34" spans="1:12" s="3" customFormat="1" ht="24.95" customHeight="1">
      <c r="A34" s="361" t="s">
        <v>49</v>
      </c>
      <c r="B34" s="33">
        <f t="shared" si="0"/>
        <v>-5</v>
      </c>
      <c r="C34" s="97">
        <f t="shared" si="2"/>
        <v>870</v>
      </c>
      <c r="D34" s="31">
        <v>0</v>
      </c>
      <c r="E34" s="31">
        <v>35</v>
      </c>
      <c r="F34" s="31">
        <v>567</v>
      </c>
      <c r="G34" s="31">
        <v>268</v>
      </c>
      <c r="H34" s="97">
        <f t="shared" si="3"/>
        <v>875</v>
      </c>
      <c r="I34" s="31">
        <v>0</v>
      </c>
      <c r="J34" s="31">
        <v>35</v>
      </c>
      <c r="K34" s="31">
        <v>570</v>
      </c>
      <c r="L34" s="31">
        <v>270</v>
      </c>
    </row>
    <row r="35" spans="1:12" s="3" customFormat="1" ht="24.95" customHeight="1" thickBot="1">
      <c r="A35" s="388" t="s">
        <v>50</v>
      </c>
      <c r="B35" s="34">
        <f t="shared" si="0"/>
        <v>-2</v>
      </c>
      <c r="C35" s="98">
        <f t="shared" si="2"/>
        <v>30</v>
      </c>
      <c r="D35" s="44">
        <v>0</v>
      </c>
      <c r="E35" s="44">
        <v>0</v>
      </c>
      <c r="F35" s="44">
        <v>0</v>
      </c>
      <c r="G35" s="44">
        <v>30</v>
      </c>
      <c r="H35" s="98">
        <f t="shared" si="3"/>
        <v>32</v>
      </c>
      <c r="I35" s="44">
        <v>0</v>
      </c>
      <c r="J35" s="44">
        <v>0</v>
      </c>
      <c r="K35" s="44">
        <v>0</v>
      </c>
      <c r="L35" s="44">
        <v>32</v>
      </c>
    </row>
    <row r="36" spans="1:12" ht="24.95" customHeight="1">
      <c r="B36" s="3"/>
      <c r="C36" s="3"/>
      <c r="D36" s="3"/>
      <c r="F36" s="3"/>
      <c r="G36" s="3"/>
      <c r="H36" s="3"/>
      <c r="I36" s="3"/>
      <c r="K36" s="3"/>
      <c r="L36" s="3"/>
    </row>
    <row r="37" spans="1:12" s="3" customFormat="1" ht="24.95" customHeight="1">
      <c r="A37" s="447" t="s">
        <v>120</v>
      </c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</row>
    <row r="38" spans="1:12" ht="24.95" customHeight="1" thickBot="1">
      <c r="A38" s="448"/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</row>
    <row r="39" spans="1:12" ht="24.95" customHeight="1">
      <c r="A39" s="453" t="s">
        <v>2</v>
      </c>
      <c r="B39" s="458" t="s">
        <v>3</v>
      </c>
      <c r="C39" s="457" t="s">
        <v>1138</v>
      </c>
      <c r="D39" s="457"/>
      <c r="E39" s="457"/>
      <c r="F39" s="457"/>
      <c r="G39" s="457"/>
      <c r="H39" s="457" t="s">
        <v>1117</v>
      </c>
      <c r="I39" s="457"/>
      <c r="J39" s="457"/>
      <c r="K39" s="457"/>
      <c r="L39" s="457"/>
    </row>
    <row r="40" spans="1:12" ht="24.95" customHeight="1">
      <c r="A40" s="454"/>
      <c r="B40" s="459"/>
      <c r="C40" s="5" t="s">
        <v>1</v>
      </c>
      <c r="D40" s="4" t="s">
        <v>15</v>
      </c>
      <c r="E40" s="4" t="s">
        <v>16</v>
      </c>
      <c r="F40" s="4" t="s">
        <v>14</v>
      </c>
      <c r="G40" s="4" t="s">
        <v>0</v>
      </c>
      <c r="H40" s="5" t="s">
        <v>1</v>
      </c>
      <c r="I40" s="4" t="s">
        <v>15</v>
      </c>
      <c r="J40" s="4" t="s">
        <v>16</v>
      </c>
      <c r="K40" s="4" t="s">
        <v>14</v>
      </c>
      <c r="L40" s="45" t="s">
        <v>0</v>
      </c>
    </row>
    <row r="41" spans="1:12" s="1" customFormat="1" ht="24.95" customHeight="1">
      <c r="A41" s="113" t="s">
        <v>52</v>
      </c>
      <c r="B41" s="33">
        <f t="shared" ref="B41:B72" si="4">C41-H41</f>
        <v>83</v>
      </c>
      <c r="C41" s="117">
        <f t="shared" ref="C41:L41" si="5">SUM(C42:C72)</f>
        <v>2377</v>
      </c>
      <c r="D41" s="101">
        <f t="shared" si="5"/>
        <v>327</v>
      </c>
      <c r="E41" s="101">
        <f t="shared" si="5"/>
        <v>359</v>
      </c>
      <c r="F41" s="101">
        <f t="shared" si="5"/>
        <v>1424</v>
      </c>
      <c r="G41" s="101">
        <f t="shared" si="5"/>
        <v>267</v>
      </c>
      <c r="H41" s="101">
        <f t="shared" si="5"/>
        <v>2294</v>
      </c>
      <c r="I41" s="101">
        <f t="shared" si="5"/>
        <v>329</v>
      </c>
      <c r="J41" s="101">
        <f t="shared" si="5"/>
        <v>366</v>
      </c>
      <c r="K41" s="101">
        <f t="shared" si="5"/>
        <v>1332</v>
      </c>
      <c r="L41" s="102">
        <f t="shared" si="5"/>
        <v>267</v>
      </c>
    </row>
    <row r="42" spans="1:12" s="3" customFormat="1" ht="24.95" customHeight="1">
      <c r="A42" s="360" t="s">
        <v>644</v>
      </c>
      <c r="B42" s="33">
        <f t="shared" si="4"/>
        <v>-7</v>
      </c>
      <c r="C42" s="97">
        <f t="shared" ref="C42:C72" si="6">SUM(D42:G42)</f>
        <v>10</v>
      </c>
      <c r="D42" s="57">
        <v>0</v>
      </c>
      <c r="E42" s="57">
        <v>0</v>
      </c>
      <c r="F42" s="57">
        <v>10</v>
      </c>
      <c r="G42" s="57">
        <v>0</v>
      </c>
      <c r="H42" s="97">
        <f>SUM(I42:L42)</f>
        <v>17</v>
      </c>
      <c r="I42" s="57">
        <v>0</v>
      </c>
      <c r="J42" s="57">
        <v>0</v>
      </c>
      <c r="K42" s="57">
        <v>17</v>
      </c>
      <c r="L42" s="57">
        <v>0</v>
      </c>
    </row>
    <row r="43" spans="1:12" s="3" customFormat="1" ht="24.95" customHeight="1">
      <c r="A43" s="360" t="s">
        <v>645</v>
      </c>
      <c r="B43" s="33">
        <f t="shared" si="4"/>
        <v>-11</v>
      </c>
      <c r="C43" s="97">
        <f t="shared" si="6"/>
        <v>371</v>
      </c>
      <c r="D43" s="57">
        <v>244</v>
      </c>
      <c r="E43" s="57">
        <v>10</v>
      </c>
      <c r="F43" s="57">
        <v>105</v>
      </c>
      <c r="G43" s="57">
        <v>12</v>
      </c>
      <c r="H43" s="97">
        <f t="shared" ref="H43:H72" si="7">SUM(I43:L43)</f>
        <v>382</v>
      </c>
      <c r="I43" s="57">
        <v>244</v>
      </c>
      <c r="J43" s="57">
        <v>10</v>
      </c>
      <c r="K43" s="57">
        <v>116</v>
      </c>
      <c r="L43" s="57">
        <v>12</v>
      </c>
    </row>
    <row r="44" spans="1:12" s="3" customFormat="1" ht="24.95" customHeight="1">
      <c r="A44" s="360" t="s">
        <v>274</v>
      </c>
      <c r="B44" s="33">
        <f t="shared" si="4"/>
        <v>-1</v>
      </c>
      <c r="C44" s="97">
        <f t="shared" si="6"/>
        <v>53</v>
      </c>
      <c r="D44" s="57">
        <v>1</v>
      </c>
      <c r="E44" s="57">
        <v>0</v>
      </c>
      <c r="F44" s="57">
        <v>52</v>
      </c>
      <c r="G44" s="57">
        <v>0</v>
      </c>
      <c r="H44" s="97">
        <f t="shared" si="7"/>
        <v>54</v>
      </c>
      <c r="I44" s="57">
        <v>1</v>
      </c>
      <c r="J44" s="57">
        <v>0</v>
      </c>
      <c r="K44" s="57">
        <v>53</v>
      </c>
      <c r="L44" s="57">
        <v>0</v>
      </c>
    </row>
    <row r="45" spans="1:12" s="3" customFormat="1" ht="24.95" customHeight="1">
      <c r="A45" s="360" t="s">
        <v>646</v>
      </c>
      <c r="B45" s="33">
        <f t="shared" si="4"/>
        <v>-5</v>
      </c>
      <c r="C45" s="97">
        <f t="shared" si="6"/>
        <v>19</v>
      </c>
      <c r="D45" s="57">
        <v>0</v>
      </c>
      <c r="E45" s="57">
        <v>19</v>
      </c>
      <c r="F45" s="57">
        <v>0</v>
      </c>
      <c r="G45" s="57">
        <v>0</v>
      </c>
      <c r="H45" s="97">
        <f t="shared" si="7"/>
        <v>24</v>
      </c>
      <c r="I45" s="57">
        <v>2</v>
      </c>
      <c r="J45" s="57">
        <v>21</v>
      </c>
      <c r="K45" s="57">
        <v>1</v>
      </c>
      <c r="L45" s="57">
        <v>0</v>
      </c>
    </row>
    <row r="46" spans="1:12" s="3" customFormat="1" ht="24.95" customHeight="1">
      <c r="A46" s="360" t="s">
        <v>647</v>
      </c>
      <c r="B46" s="33">
        <f t="shared" si="4"/>
        <v>0</v>
      </c>
      <c r="C46" s="97">
        <f t="shared" si="6"/>
        <v>57</v>
      </c>
      <c r="D46" s="57">
        <v>0</v>
      </c>
      <c r="E46" s="57">
        <v>41</v>
      </c>
      <c r="F46" s="57">
        <v>13</v>
      </c>
      <c r="G46" s="57">
        <v>3</v>
      </c>
      <c r="H46" s="97">
        <f t="shared" si="7"/>
        <v>57</v>
      </c>
      <c r="I46" s="57">
        <v>0</v>
      </c>
      <c r="J46" s="57">
        <v>41</v>
      </c>
      <c r="K46" s="57">
        <v>13</v>
      </c>
      <c r="L46" s="57">
        <v>3</v>
      </c>
    </row>
    <row r="47" spans="1:12" s="29" customFormat="1" ht="24.95" customHeight="1">
      <c r="A47" s="360" t="s">
        <v>648</v>
      </c>
      <c r="B47" s="33">
        <f t="shared" si="4"/>
        <v>-3</v>
      </c>
      <c r="C47" s="97">
        <f t="shared" si="6"/>
        <v>5</v>
      </c>
      <c r="D47" s="57">
        <v>0</v>
      </c>
      <c r="E47" s="57">
        <v>4</v>
      </c>
      <c r="F47" s="57">
        <v>1</v>
      </c>
      <c r="G47" s="57">
        <v>0</v>
      </c>
      <c r="H47" s="97">
        <f t="shared" si="7"/>
        <v>8</v>
      </c>
      <c r="I47" s="57">
        <v>0</v>
      </c>
      <c r="J47" s="57">
        <v>4</v>
      </c>
      <c r="K47" s="57">
        <v>4</v>
      </c>
      <c r="L47" s="57">
        <v>0</v>
      </c>
    </row>
    <row r="48" spans="1:12" s="3" customFormat="1" ht="24.75" customHeight="1">
      <c r="A48" s="360" t="s">
        <v>649</v>
      </c>
      <c r="B48" s="33">
        <f t="shared" si="4"/>
        <v>-9</v>
      </c>
      <c r="C48" s="97">
        <f t="shared" si="6"/>
        <v>311</v>
      </c>
      <c r="D48" s="57">
        <v>0</v>
      </c>
      <c r="E48" s="57">
        <v>105</v>
      </c>
      <c r="F48" s="57">
        <v>6</v>
      </c>
      <c r="G48" s="57">
        <v>200</v>
      </c>
      <c r="H48" s="97">
        <f t="shared" si="7"/>
        <v>320</v>
      </c>
      <c r="I48" s="57">
        <v>0</v>
      </c>
      <c r="J48" s="57">
        <v>113</v>
      </c>
      <c r="K48" s="57">
        <v>7</v>
      </c>
      <c r="L48" s="57">
        <v>200</v>
      </c>
    </row>
    <row r="49" spans="1:12" s="3" customFormat="1" ht="24.95" customHeight="1">
      <c r="A49" s="360" t="s">
        <v>650</v>
      </c>
      <c r="B49" s="33">
        <f t="shared" si="4"/>
        <v>0</v>
      </c>
      <c r="C49" s="97">
        <f t="shared" si="6"/>
        <v>0</v>
      </c>
      <c r="D49" s="57">
        <v>0</v>
      </c>
      <c r="E49" s="57">
        <v>0</v>
      </c>
      <c r="F49" s="57">
        <v>0</v>
      </c>
      <c r="G49" s="57">
        <v>0</v>
      </c>
      <c r="H49" s="97">
        <f t="shared" si="7"/>
        <v>0</v>
      </c>
      <c r="I49" s="57">
        <v>0</v>
      </c>
      <c r="J49" s="57">
        <v>0</v>
      </c>
      <c r="K49" s="57">
        <v>0</v>
      </c>
      <c r="L49" s="57">
        <v>0</v>
      </c>
    </row>
    <row r="50" spans="1:12" s="3" customFormat="1" ht="24.95" customHeight="1">
      <c r="A50" s="50" t="s">
        <v>310</v>
      </c>
      <c r="B50" s="33">
        <f t="shared" si="4"/>
        <v>18</v>
      </c>
      <c r="C50" s="97">
        <f t="shared" si="6"/>
        <v>79</v>
      </c>
      <c r="D50" s="27">
        <v>0</v>
      </c>
      <c r="E50" s="57">
        <v>0</v>
      </c>
      <c r="F50" s="57">
        <v>78</v>
      </c>
      <c r="G50" s="57">
        <v>1</v>
      </c>
      <c r="H50" s="97">
        <f t="shared" si="7"/>
        <v>61</v>
      </c>
      <c r="I50" s="27">
        <v>0</v>
      </c>
      <c r="J50" s="57">
        <v>0</v>
      </c>
      <c r="K50" s="57">
        <v>60</v>
      </c>
      <c r="L50" s="57">
        <v>1</v>
      </c>
    </row>
    <row r="51" spans="1:12" s="29" customFormat="1" ht="24.95" customHeight="1">
      <c r="A51" s="360" t="s">
        <v>651</v>
      </c>
      <c r="B51" s="33">
        <f t="shared" si="4"/>
        <v>0</v>
      </c>
      <c r="C51" s="97">
        <f t="shared" si="6"/>
        <v>61</v>
      </c>
      <c r="D51" s="27">
        <v>0</v>
      </c>
      <c r="E51" s="27">
        <v>61</v>
      </c>
      <c r="F51" s="27">
        <v>0</v>
      </c>
      <c r="G51" s="57">
        <v>0</v>
      </c>
      <c r="H51" s="97">
        <f t="shared" si="7"/>
        <v>61</v>
      </c>
      <c r="I51" s="27">
        <v>0</v>
      </c>
      <c r="J51" s="27">
        <v>61</v>
      </c>
      <c r="K51" s="27">
        <v>0</v>
      </c>
      <c r="L51" s="57">
        <v>0</v>
      </c>
    </row>
    <row r="52" spans="1:12" s="3" customFormat="1" ht="24.95" customHeight="1">
      <c r="A52" s="360" t="s">
        <v>652</v>
      </c>
      <c r="B52" s="33">
        <f t="shared" si="4"/>
        <v>0</v>
      </c>
      <c r="C52" s="97">
        <f t="shared" si="6"/>
        <v>7</v>
      </c>
      <c r="D52" s="216">
        <v>0</v>
      </c>
      <c r="E52" s="216">
        <v>3</v>
      </c>
      <c r="F52" s="216">
        <v>4</v>
      </c>
      <c r="G52" s="216">
        <v>0</v>
      </c>
      <c r="H52" s="97">
        <f t="shared" si="7"/>
        <v>7</v>
      </c>
      <c r="I52" s="216">
        <v>0</v>
      </c>
      <c r="J52" s="216">
        <v>3</v>
      </c>
      <c r="K52" s="216">
        <v>4</v>
      </c>
      <c r="L52" s="216">
        <v>0</v>
      </c>
    </row>
    <row r="53" spans="1:12" s="3" customFormat="1" ht="24.95" customHeight="1">
      <c r="A53" s="360" t="s">
        <v>653</v>
      </c>
      <c r="B53" s="33">
        <f t="shared" si="4"/>
        <v>-5</v>
      </c>
      <c r="C53" s="97">
        <f t="shared" si="6"/>
        <v>47</v>
      </c>
      <c r="D53" s="310">
        <v>0</v>
      </c>
      <c r="E53" s="310">
        <v>0</v>
      </c>
      <c r="F53" s="310">
        <v>45</v>
      </c>
      <c r="G53" s="310">
        <v>2</v>
      </c>
      <c r="H53" s="97">
        <f t="shared" si="7"/>
        <v>52</v>
      </c>
      <c r="I53" s="310">
        <v>0</v>
      </c>
      <c r="J53" s="310">
        <v>0</v>
      </c>
      <c r="K53" s="310">
        <v>50</v>
      </c>
      <c r="L53" s="310">
        <v>2</v>
      </c>
    </row>
    <row r="54" spans="1:12" s="3" customFormat="1" ht="24.95" customHeight="1">
      <c r="A54" s="360" t="s">
        <v>654</v>
      </c>
      <c r="B54" s="33">
        <f t="shared" si="4"/>
        <v>0</v>
      </c>
      <c r="C54" s="97">
        <f t="shared" si="6"/>
        <v>1</v>
      </c>
      <c r="D54" s="57">
        <v>0</v>
      </c>
      <c r="E54" s="57">
        <v>0</v>
      </c>
      <c r="F54" s="57">
        <v>0</v>
      </c>
      <c r="G54" s="57">
        <v>1</v>
      </c>
      <c r="H54" s="97">
        <f t="shared" si="7"/>
        <v>1</v>
      </c>
      <c r="I54" s="57">
        <v>0</v>
      </c>
      <c r="J54" s="57">
        <v>0</v>
      </c>
      <c r="K54" s="57">
        <v>0</v>
      </c>
      <c r="L54" s="57">
        <v>1</v>
      </c>
    </row>
    <row r="55" spans="1:12" s="3" customFormat="1" ht="24.95" customHeight="1">
      <c r="A55" s="360" t="s">
        <v>655</v>
      </c>
      <c r="B55" s="33">
        <f t="shared" si="4"/>
        <v>114</v>
      </c>
      <c r="C55" s="97">
        <f t="shared" si="6"/>
        <v>640</v>
      </c>
      <c r="D55" s="57">
        <v>82</v>
      </c>
      <c r="E55" s="57">
        <v>36</v>
      </c>
      <c r="F55" s="24">
        <v>520</v>
      </c>
      <c r="G55" s="57">
        <v>2</v>
      </c>
      <c r="H55" s="97">
        <f t="shared" si="7"/>
        <v>526</v>
      </c>
      <c r="I55" s="57">
        <v>82</v>
      </c>
      <c r="J55" s="57">
        <v>30</v>
      </c>
      <c r="K55" s="24">
        <v>414</v>
      </c>
      <c r="L55" s="57">
        <v>0</v>
      </c>
    </row>
    <row r="56" spans="1:12" s="25" customFormat="1" ht="24.95" customHeight="1">
      <c r="A56" s="360" t="s">
        <v>656</v>
      </c>
      <c r="B56" s="33">
        <f t="shared" si="4"/>
        <v>-7</v>
      </c>
      <c r="C56" s="97">
        <f t="shared" si="6"/>
        <v>16</v>
      </c>
      <c r="D56" s="57">
        <v>0</v>
      </c>
      <c r="E56" s="57">
        <v>3</v>
      </c>
      <c r="F56" s="57">
        <v>13</v>
      </c>
      <c r="G56" s="57">
        <v>0</v>
      </c>
      <c r="H56" s="97">
        <f t="shared" si="7"/>
        <v>23</v>
      </c>
      <c r="I56" s="57">
        <v>0</v>
      </c>
      <c r="J56" s="57">
        <v>6</v>
      </c>
      <c r="K56" s="57">
        <v>17</v>
      </c>
      <c r="L56" s="57">
        <v>0</v>
      </c>
    </row>
    <row r="57" spans="1:12" s="3" customFormat="1" ht="24.95" customHeight="1">
      <c r="A57" s="360" t="s">
        <v>657</v>
      </c>
      <c r="B57" s="33">
        <f t="shared" si="4"/>
        <v>0</v>
      </c>
      <c r="C57" s="97">
        <f t="shared" si="6"/>
        <v>2</v>
      </c>
      <c r="D57" s="57">
        <v>0</v>
      </c>
      <c r="E57" s="57">
        <v>1</v>
      </c>
      <c r="F57" s="57">
        <v>1</v>
      </c>
      <c r="G57" s="57">
        <v>0</v>
      </c>
      <c r="H57" s="97">
        <f t="shared" si="7"/>
        <v>2</v>
      </c>
      <c r="I57" s="57">
        <v>0</v>
      </c>
      <c r="J57" s="57">
        <v>1</v>
      </c>
      <c r="K57" s="57">
        <v>1</v>
      </c>
      <c r="L57" s="57">
        <v>0</v>
      </c>
    </row>
    <row r="58" spans="1:12" s="3" customFormat="1" ht="24.95" customHeight="1">
      <c r="A58" s="360" t="s">
        <v>658</v>
      </c>
      <c r="B58" s="33">
        <f t="shared" si="4"/>
        <v>0</v>
      </c>
      <c r="C58" s="97">
        <f t="shared" si="6"/>
        <v>3</v>
      </c>
      <c r="D58" s="57">
        <v>0</v>
      </c>
      <c r="E58" s="57">
        <v>0</v>
      </c>
      <c r="F58" s="57">
        <v>0</v>
      </c>
      <c r="G58" s="57">
        <v>3</v>
      </c>
      <c r="H58" s="97">
        <f t="shared" si="7"/>
        <v>3</v>
      </c>
      <c r="I58" s="57">
        <v>0</v>
      </c>
      <c r="J58" s="57">
        <v>0</v>
      </c>
      <c r="K58" s="57">
        <v>0</v>
      </c>
      <c r="L58" s="57">
        <v>3</v>
      </c>
    </row>
    <row r="59" spans="1:12" s="3" customFormat="1" ht="24.95" customHeight="1">
      <c r="A59" s="360" t="s">
        <v>659</v>
      </c>
      <c r="B59" s="33">
        <f t="shared" si="4"/>
        <v>0</v>
      </c>
      <c r="C59" s="97">
        <f t="shared" si="6"/>
        <v>0</v>
      </c>
      <c r="D59" s="57">
        <v>0</v>
      </c>
      <c r="E59" s="57">
        <v>0</v>
      </c>
      <c r="F59" s="57">
        <v>0</v>
      </c>
      <c r="G59" s="57">
        <v>0</v>
      </c>
      <c r="H59" s="97">
        <f t="shared" si="7"/>
        <v>0</v>
      </c>
      <c r="I59" s="57">
        <v>0</v>
      </c>
      <c r="J59" s="57">
        <v>0</v>
      </c>
      <c r="K59" s="57">
        <v>0</v>
      </c>
      <c r="L59" s="57">
        <v>0</v>
      </c>
    </row>
    <row r="60" spans="1:12" s="29" customFormat="1" ht="24.95" customHeight="1">
      <c r="A60" s="360" t="s">
        <v>660</v>
      </c>
      <c r="B60" s="33">
        <f t="shared" si="4"/>
        <v>0</v>
      </c>
      <c r="C60" s="97">
        <f t="shared" si="6"/>
        <v>0</v>
      </c>
      <c r="D60" s="27">
        <v>0</v>
      </c>
      <c r="E60" s="27">
        <v>0</v>
      </c>
      <c r="F60" s="27">
        <v>0</v>
      </c>
      <c r="G60" s="27">
        <v>0</v>
      </c>
      <c r="H60" s="97">
        <f t="shared" si="7"/>
        <v>0</v>
      </c>
      <c r="I60" s="27">
        <v>0</v>
      </c>
      <c r="J60" s="27">
        <v>0</v>
      </c>
      <c r="K60" s="27">
        <v>0</v>
      </c>
      <c r="L60" s="27">
        <v>0</v>
      </c>
    </row>
    <row r="61" spans="1:12" s="3" customFormat="1" ht="24.95" customHeight="1">
      <c r="A61" s="360" t="s">
        <v>341</v>
      </c>
      <c r="B61" s="33">
        <f t="shared" si="4"/>
        <v>0</v>
      </c>
      <c r="C61" s="97">
        <f t="shared" si="6"/>
        <v>199</v>
      </c>
      <c r="D61" s="57">
        <v>0</v>
      </c>
      <c r="E61" s="57">
        <v>0</v>
      </c>
      <c r="F61" s="57">
        <v>199</v>
      </c>
      <c r="G61" s="57">
        <v>0</v>
      </c>
      <c r="H61" s="97">
        <f t="shared" si="7"/>
        <v>199</v>
      </c>
      <c r="I61" s="57">
        <v>0</v>
      </c>
      <c r="J61" s="57">
        <v>0</v>
      </c>
      <c r="K61" s="57">
        <v>199</v>
      </c>
      <c r="L61" s="57">
        <v>0</v>
      </c>
    </row>
    <row r="62" spans="1:12" s="3" customFormat="1" ht="24.95" customHeight="1">
      <c r="A62" s="360" t="s">
        <v>661</v>
      </c>
      <c r="B62" s="33">
        <f t="shared" si="4"/>
        <v>0</v>
      </c>
      <c r="C62" s="97">
        <f t="shared" si="6"/>
        <v>3</v>
      </c>
      <c r="D62" s="57">
        <v>0</v>
      </c>
      <c r="E62" s="57">
        <v>0</v>
      </c>
      <c r="F62" s="57">
        <v>0</v>
      </c>
      <c r="G62" s="57">
        <v>3</v>
      </c>
      <c r="H62" s="97">
        <f t="shared" si="7"/>
        <v>3</v>
      </c>
      <c r="I62" s="57">
        <v>0</v>
      </c>
      <c r="J62" s="57">
        <v>0</v>
      </c>
      <c r="K62" s="57">
        <v>0</v>
      </c>
      <c r="L62" s="57">
        <v>3</v>
      </c>
    </row>
    <row r="63" spans="1:12" s="3" customFormat="1" ht="24.95" customHeight="1">
      <c r="A63" s="360" t="s">
        <v>662</v>
      </c>
      <c r="B63" s="33">
        <f t="shared" si="4"/>
        <v>0</v>
      </c>
      <c r="C63" s="97">
        <f t="shared" si="6"/>
        <v>0</v>
      </c>
      <c r="D63" s="57">
        <v>0</v>
      </c>
      <c r="E63" s="57">
        <v>0</v>
      </c>
      <c r="F63" s="57">
        <v>0</v>
      </c>
      <c r="G63" s="57">
        <v>0</v>
      </c>
      <c r="H63" s="97">
        <f t="shared" si="7"/>
        <v>0</v>
      </c>
      <c r="I63" s="57">
        <v>0</v>
      </c>
      <c r="J63" s="57">
        <v>0</v>
      </c>
      <c r="K63" s="57">
        <v>0</v>
      </c>
      <c r="L63" s="57">
        <v>0</v>
      </c>
    </row>
    <row r="64" spans="1:12" s="3" customFormat="1" ht="22.5" customHeight="1">
      <c r="A64" s="360" t="s">
        <v>127</v>
      </c>
      <c r="B64" s="33">
        <f t="shared" si="4"/>
        <v>1</v>
      </c>
      <c r="C64" s="97">
        <f t="shared" si="6"/>
        <v>123</v>
      </c>
      <c r="D64" s="57">
        <v>0</v>
      </c>
      <c r="E64" s="57">
        <v>0</v>
      </c>
      <c r="F64" s="57">
        <v>113</v>
      </c>
      <c r="G64" s="57">
        <v>10</v>
      </c>
      <c r="H64" s="97">
        <f t="shared" si="7"/>
        <v>122</v>
      </c>
      <c r="I64" s="57">
        <v>0</v>
      </c>
      <c r="J64" s="57">
        <v>0</v>
      </c>
      <c r="K64" s="57">
        <v>112</v>
      </c>
      <c r="L64" s="57">
        <v>10</v>
      </c>
    </row>
    <row r="65" spans="1:12" s="3" customFormat="1" ht="24.75" customHeight="1">
      <c r="A65" s="360" t="s">
        <v>663</v>
      </c>
      <c r="B65" s="33">
        <f t="shared" si="4"/>
        <v>0</v>
      </c>
      <c r="C65" s="97">
        <f t="shared" si="6"/>
        <v>0</v>
      </c>
      <c r="D65" s="57">
        <v>0</v>
      </c>
      <c r="E65" s="57">
        <v>0</v>
      </c>
      <c r="F65" s="57">
        <v>0</v>
      </c>
      <c r="G65" s="57">
        <v>0</v>
      </c>
      <c r="H65" s="97">
        <f t="shared" si="7"/>
        <v>0</v>
      </c>
      <c r="I65" s="57">
        <v>0</v>
      </c>
      <c r="J65" s="57">
        <v>0</v>
      </c>
      <c r="K65" s="57">
        <v>0</v>
      </c>
      <c r="L65" s="57">
        <v>0</v>
      </c>
    </row>
    <row r="66" spans="1:12" s="3" customFormat="1" ht="24.75" customHeight="1">
      <c r="A66" s="360" t="s">
        <v>664</v>
      </c>
      <c r="B66" s="33">
        <f t="shared" si="4"/>
        <v>0</v>
      </c>
      <c r="C66" s="97">
        <f t="shared" si="6"/>
        <v>123</v>
      </c>
      <c r="D66" s="57">
        <v>0</v>
      </c>
      <c r="E66" s="57">
        <v>68</v>
      </c>
      <c r="F66" s="57">
        <v>55</v>
      </c>
      <c r="G66" s="57">
        <v>0</v>
      </c>
      <c r="H66" s="97">
        <f t="shared" si="7"/>
        <v>123</v>
      </c>
      <c r="I66" s="57">
        <v>0</v>
      </c>
      <c r="J66" s="57">
        <v>68</v>
      </c>
      <c r="K66" s="57">
        <v>55</v>
      </c>
      <c r="L66" s="57">
        <v>0</v>
      </c>
    </row>
    <row r="67" spans="1:12" s="3" customFormat="1" ht="24.95" customHeight="1">
      <c r="A67" s="360" t="s">
        <v>665</v>
      </c>
      <c r="B67" s="33">
        <f t="shared" si="4"/>
        <v>0</v>
      </c>
      <c r="C67" s="97">
        <f t="shared" si="6"/>
        <v>80</v>
      </c>
      <c r="D67" s="57">
        <v>0</v>
      </c>
      <c r="E67" s="57">
        <v>0</v>
      </c>
      <c r="F67" s="57">
        <v>80</v>
      </c>
      <c r="G67" s="309">
        <v>0</v>
      </c>
      <c r="H67" s="97">
        <f t="shared" si="7"/>
        <v>80</v>
      </c>
      <c r="I67" s="57">
        <v>0</v>
      </c>
      <c r="J67" s="57">
        <v>0</v>
      </c>
      <c r="K67" s="57">
        <v>80</v>
      </c>
      <c r="L67" s="309">
        <v>0</v>
      </c>
    </row>
    <row r="68" spans="1:12" s="3" customFormat="1" ht="24.95" customHeight="1">
      <c r="A68" s="360" t="s">
        <v>666</v>
      </c>
      <c r="B68" s="33">
        <f t="shared" si="4"/>
        <v>0</v>
      </c>
      <c r="C68" s="97">
        <f t="shared" si="6"/>
        <v>0</v>
      </c>
      <c r="D68" s="57">
        <v>0</v>
      </c>
      <c r="E68" s="57">
        <v>0</v>
      </c>
      <c r="F68" s="57">
        <v>0</v>
      </c>
      <c r="G68" s="57">
        <v>0</v>
      </c>
      <c r="H68" s="97">
        <f t="shared" si="7"/>
        <v>0</v>
      </c>
      <c r="I68" s="57">
        <v>0</v>
      </c>
      <c r="J68" s="57">
        <v>0</v>
      </c>
      <c r="K68" s="57">
        <v>0</v>
      </c>
      <c r="L68" s="57">
        <v>0</v>
      </c>
    </row>
    <row r="69" spans="1:12" s="3" customFormat="1" ht="24.95" customHeight="1">
      <c r="A69" s="360" t="s">
        <v>667</v>
      </c>
      <c r="B69" s="33">
        <f t="shared" si="4"/>
        <v>0</v>
      </c>
      <c r="C69" s="97">
        <f t="shared" si="6"/>
        <v>137</v>
      </c>
      <c r="D69" s="57">
        <v>0</v>
      </c>
      <c r="E69" s="57">
        <v>8</v>
      </c>
      <c r="F69" s="57">
        <v>129</v>
      </c>
      <c r="G69" s="57">
        <v>0</v>
      </c>
      <c r="H69" s="97">
        <f t="shared" si="7"/>
        <v>137</v>
      </c>
      <c r="I69" s="57">
        <v>0</v>
      </c>
      <c r="J69" s="57">
        <v>8</v>
      </c>
      <c r="K69" s="57">
        <v>129</v>
      </c>
      <c r="L69" s="57">
        <v>0</v>
      </c>
    </row>
    <row r="70" spans="1:12" s="3" customFormat="1" ht="24.95" customHeight="1">
      <c r="A70" s="360" t="s">
        <v>668</v>
      </c>
      <c r="B70" s="33">
        <f t="shared" si="4"/>
        <v>0</v>
      </c>
      <c r="C70" s="97">
        <f t="shared" si="6"/>
        <v>0</v>
      </c>
      <c r="D70" s="57">
        <v>0</v>
      </c>
      <c r="E70" s="57">
        <v>0</v>
      </c>
      <c r="F70" s="57">
        <v>0</v>
      </c>
      <c r="G70" s="57">
        <v>0</v>
      </c>
      <c r="H70" s="97">
        <f t="shared" si="7"/>
        <v>0</v>
      </c>
      <c r="I70" s="57">
        <v>0</v>
      </c>
      <c r="J70" s="57">
        <v>0</v>
      </c>
      <c r="K70" s="57">
        <v>0</v>
      </c>
      <c r="L70" s="57">
        <v>0</v>
      </c>
    </row>
    <row r="71" spans="1:12" s="3" customFormat="1" ht="24.95" customHeight="1">
      <c r="A71" s="361" t="s">
        <v>669</v>
      </c>
      <c r="B71" s="33">
        <f t="shared" si="4"/>
        <v>0</v>
      </c>
      <c r="C71" s="97">
        <f t="shared" si="6"/>
        <v>0</v>
      </c>
      <c r="D71" s="57">
        <v>0</v>
      </c>
      <c r="E71" s="57">
        <v>0</v>
      </c>
      <c r="F71" s="57">
        <v>0</v>
      </c>
      <c r="G71" s="57">
        <v>0</v>
      </c>
      <c r="H71" s="97">
        <f t="shared" si="7"/>
        <v>0</v>
      </c>
      <c r="I71" s="57">
        <v>0</v>
      </c>
      <c r="J71" s="57">
        <v>0</v>
      </c>
      <c r="K71" s="57">
        <v>0</v>
      </c>
      <c r="L71" s="57">
        <v>0</v>
      </c>
    </row>
    <row r="72" spans="1:12" s="3" customFormat="1" ht="24.95" customHeight="1" thickBot="1">
      <c r="A72" s="388" t="s">
        <v>180</v>
      </c>
      <c r="B72" s="34">
        <f t="shared" si="4"/>
        <v>-2</v>
      </c>
      <c r="C72" s="98">
        <f t="shared" si="6"/>
        <v>30</v>
      </c>
      <c r="D72" s="217">
        <v>0</v>
      </c>
      <c r="E72" s="217">
        <v>0</v>
      </c>
      <c r="F72" s="217">
        <v>0</v>
      </c>
      <c r="G72" s="217">
        <v>30</v>
      </c>
      <c r="H72" s="98">
        <f t="shared" si="7"/>
        <v>32</v>
      </c>
      <c r="I72" s="217">
        <v>0</v>
      </c>
      <c r="J72" s="217">
        <v>0</v>
      </c>
      <c r="K72" s="217">
        <v>0</v>
      </c>
      <c r="L72" s="217">
        <v>32</v>
      </c>
    </row>
    <row r="73" spans="1:12">
      <c r="A73" s="449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</row>
    <row r="75" spans="1:12">
      <c r="I75" s="451" t="s">
        <v>878</v>
      </c>
      <c r="J75" s="451"/>
      <c r="K75" s="451"/>
      <c r="L75" s="451"/>
    </row>
    <row r="76" spans="1:12">
      <c r="I76" s="451"/>
      <c r="J76" s="451"/>
      <c r="K76" s="451"/>
      <c r="L76" s="451"/>
    </row>
  </sheetData>
  <mergeCells count="10">
    <mergeCell ref="I75:L76"/>
    <mergeCell ref="A1:L1"/>
    <mergeCell ref="A2:A3"/>
    <mergeCell ref="B2:B3"/>
    <mergeCell ref="C2:G2"/>
    <mergeCell ref="H2:L2"/>
    <mergeCell ref="A39:A40"/>
    <mergeCell ref="B39:B40"/>
    <mergeCell ref="C39:G39"/>
    <mergeCell ref="H39:L39"/>
  </mergeCells>
  <phoneticPr fontId="39" type="noConversion"/>
  <printOptions horizontalCentered="1"/>
  <pageMargins left="0.39370078740157483" right="0.39370078740157483" top="0.74803149606299213" bottom="0.31496062992125984" header="0.27559055118110237" footer="0.23622047244094491"/>
  <pageSetup paperSize="9" scale="4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BTT1137"/>
  <sheetViews>
    <sheetView zoomScale="70" zoomScaleNormal="70" zoomScaleSheetLayoutView="90" workbookViewId="0">
      <pane ySplit="6" topLeftCell="A7" activePane="bottomLeft" state="frozen"/>
      <selection pane="bottomLeft" sqref="A1:U1"/>
    </sheetView>
  </sheetViews>
  <sheetFormatPr defaultRowHeight="20.25"/>
  <cols>
    <col min="1" max="1" width="7" style="8" customWidth="1"/>
    <col min="2" max="2" width="12.44140625" style="7" customWidth="1"/>
    <col min="3" max="3" width="7.77734375" style="8" customWidth="1"/>
    <col min="4" max="5" width="8.88671875" style="7"/>
    <col min="6" max="6" width="10.77734375" style="7" customWidth="1"/>
    <col min="7" max="8" width="26.5546875" style="7" customWidth="1"/>
    <col min="9" max="9" width="16.6640625" style="7" customWidth="1"/>
    <col min="10" max="10" width="10.33203125" style="7" customWidth="1"/>
    <col min="11" max="11" width="10.88671875" style="7" customWidth="1"/>
    <col min="12" max="12" width="14.21875" style="48" customWidth="1"/>
    <col min="13" max="13" width="14.21875" style="220" customWidth="1"/>
    <col min="14" max="15" width="12.6640625" style="219" bestFit="1" customWidth="1"/>
    <col min="16" max="16" width="13.44140625" style="107" bestFit="1" customWidth="1"/>
    <col min="17" max="18" width="12.88671875" style="107" customWidth="1"/>
    <col min="19" max="19" width="10.21875" style="108" customWidth="1"/>
    <col min="20" max="20" width="19" style="109" customWidth="1"/>
    <col min="21" max="21" width="10" style="109" customWidth="1"/>
    <col min="22" max="67" width="8.88671875" style="110"/>
    <col min="68" max="16384" width="8.88671875" style="6"/>
  </cols>
  <sheetData>
    <row r="1" spans="1:67" ht="52.5" customHeight="1">
      <c r="A1" s="1250" t="s">
        <v>1141</v>
      </c>
      <c r="B1" s="1250"/>
      <c r="C1" s="1250"/>
      <c r="D1" s="1250"/>
      <c r="E1" s="1250"/>
      <c r="F1" s="1250"/>
      <c r="G1" s="1250"/>
      <c r="H1" s="1250"/>
      <c r="I1" s="1250"/>
      <c r="J1" s="1250"/>
      <c r="K1" s="1250"/>
      <c r="L1" s="1250"/>
      <c r="M1" s="1250"/>
      <c r="N1" s="1250"/>
      <c r="O1" s="1250"/>
      <c r="P1" s="1250"/>
      <c r="Q1" s="1250"/>
      <c r="R1" s="1250"/>
      <c r="S1" s="1250"/>
      <c r="T1" s="1250"/>
      <c r="U1" s="1250"/>
    </row>
    <row r="2" spans="1:67" s="21" customFormat="1" ht="13.5" customHeight="1">
      <c r="A2" s="1251" t="s">
        <v>4</v>
      </c>
      <c r="B2" s="1251"/>
      <c r="C2" s="1251"/>
      <c r="D2" s="1252" t="s">
        <v>756</v>
      </c>
      <c r="E2" s="1253"/>
      <c r="F2" s="1254"/>
      <c r="G2" s="1252" t="s">
        <v>114</v>
      </c>
      <c r="H2" s="1253"/>
      <c r="I2" s="1254"/>
      <c r="J2" s="1261" t="s">
        <v>5</v>
      </c>
      <c r="K2" s="1262"/>
      <c r="L2" s="1282" t="s">
        <v>6</v>
      </c>
      <c r="M2" s="1284" t="s">
        <v>857</v>
      </c>
      <c r="N2" s="1284"/>
      <c r="O2" s="1285"/>
      <c r="P2" s="1279" t="s">
        <v>115</v>
      </c>
      <c r="Q2" s="1279" t="s">
        <v>9</v>
      </c>
      <c r="R2" s="1279" t="s">
        <v>10</v>
      </c>
      <c r="S2" s="1265" t="s">
        <v>113</v>
      </c>
      <c r="T2" s="1268" t="s">
        <v>112</v>
      </c>
      <c r="U2" s="1268" t="s">
        <v>111</v>
      </c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111"/>
      <c r="BN2" s="111"/>
      <c r="BO2" s="111"/>
    </row>
    <row r="3" spans="1:67" s="21" customFormat="1" ht="27" customHeight="1">
      <c r="A3" s="1251"/>
      <c r="B3" s="1251"/>
      <c r="C3" s="1251"/>
      <c r="D3" s="1255"/>
      <c r="E3" s="1256"/>
      <c r="F3" s="1257"/>
      <c r="G3" s="1258"/>
      <c r="H3" s="1259"/>
      <c r="I3" s="1260"/>
      <c r="J3" s="1263"/>
      <c r="K3" s="1264"/>
      <c r="L3" s="1283"/>
      <c r="M3" s="1286"/>
      <c r="N3" s="1286"/>
      <c r="O3" s="1287"/>
      <c r="P3" s="1280"/>
      <c r="Q3" s="1280"/>
      <c r="R3" s="1280"/>
      <c r="S3" s="1266"/>
      <c r="T3" s="1269"/>
      <c r="U3" s="1269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1"/>
      <c r="BF3" s="111"/>
      <c r="BG3" s="111"/>
      <c r="BH3" s="111"/>
      <c r="BI3" s="111"/>
      <c r="BJ3" s="111"/>
      <c r="BK3" s="111"/>
      <c r="BL3" s="111"/>
      <c r="BM3" s="111"/>
      <c r="BN3" s="111"/>
      <c r="BO3" s="111"/>
    </row>
    <row r="4" spans="1:67" s="21" customFormat="1" ht="27" customHeight="1">
      <c r="A4" s="1271" t="s">
        <v>539</v>
      </c>
      <c r="B4" s="1271" t="s">
        <v>543</v>
      </c>
      <c r="C4" s="1273" t="s">
        <v>559</v>
      </c>
      <c r="D4" s="1255"/>
      <c r="E4" s="1256"/>
      <c r="F4" s="1257"/>
      <c r="G4" s="1275" t="s">
        <v>240</v>
      </c>
      <c r="H4" s="1271" t="s">
        <v>588</v>
      </c>
      <c r="I4" s="1271" t="s">
        <v>239</v>
      </c>
      <c r="J4" s="1275" t="s">
        <v>7</v>
      </c>
      <c r="K4" s="1275" t="s">
        <v>8</v>
      </c>
      <c r="L4" s="1277" t="s">
        <v>110</v>
      </c>
      <c r="M4" s="1277" t="s">
        <v>856</v>
      </c>
      <c r="N4" s="1288" t="s">
        <v>1139</v>
      </c>
      <c r="O4" s="1288" t="s">
        <v>1140</v>
      </c>
      <c r="P4" s="1280"/>
      <c r="Q4" s="1280"/>
      <c r="R4" s="1280"/>
      <c r="S4" s="1266"/>
      <c r="T4" s="1269"/>
      <c r="U4" s="1269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</row>
    <row r="5" spans="1:67" s="21" customFormat="1" ht="40.5" customHeight="1">
      <c r="A5" s="1272"/>
      <c r="B5" s="1272"/>
      <c r="C5" s="1274"/>
      <c r="D5" s="1258"/>
      <c r="E5" s="1259"/>
      <c r="F5" s="1260"/>
      <c r="G5" s="1272"/>
      <c r="H5" s="1272"/>
      <c r="I5" s="1272"/>
      <c r="J5" s="1276"/>
      <c r="K5" s="1276"/>
      <c r="L5" s="1278"/>
      <c r="M5" s="1278"/>
      <c r="N5" s="1289"/>
      <c r="O5" s="1289"/>
      <c r="P5" s="1281"/>
      <c r="Q5" s="1281"/>
      <c r="R5" s="1281"/>
      <c r="S5" s="1267"/>
      <c r="T5" s="1270"/>
      <c r="U5" s="1270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  <c r="BM5" s="111"/>
      <c r="BN5" s="111"/>
      <c r="BO5" s="111"/>
    </row>
    <row r="6" spans="1:67" s="20" customFormat="1" ht="30" customHeight="1">
      <c r="A6" s="1290" t="s">
        <v>18</v>
      </c>
      <c r="B6" s="1291"/>
      <c r="C6" s="1292"/>
      <c r="D6" s="1237" t="s">
        <v>109</v>
      </c>
      <c r="E6" s="1238"/>
      <c r="F6" s="1239"/>
      <c r="G6" s="40"/>
      <c r="H6" s="40"/>
      <c r="I6" s="40"/>
      <c r="J6" s="40"/>
      <c r="K6" s="40"/>
      <c r="L6" s="41"/>
      <c r="M6" s="114">
        <f>M20+M53+M70+M136+M253+M280+M387+M484+M509+M518+M573+M630+M768+M774+M802+M872+M902+M918+M928+M938+M984+M991+M1050+M1079+M1103+M1112+M1117+M1137</f>
        <v>85420</v>
      </c>
      <c r="N6" s="389">
        <f>N20+N53+N70+N136+N253+N280+N387+N484+N509+N518+N573+N630+N768+N774+N802+N872+N902+N918+N928+N938+N984+N991+N1050+N1079+N1103+N1112+N1117+N1137</f>
        <v>14509</v>
      </c>
      <c r="O6" s="389">
        <f>O20+O53+O70+O136+O253+O280+O387+O484+O509+O518+O573+O630+O768+O774+O802+O872+O902+O918+O928+O938+O984+O991+O1050+O1079+O1103+O1112+O1117+O1137</f>
        <v>13802</v>
      </c>
      <c r="P6" s="103"/>
      <c r="Q6" s="103"/>
      <c r="R6" s="103"/>
      <c r="S6" s="104"/>
      <c r="T6" s="105"/>
      <c r="U6" s="106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2"/>
      <c r="BK6" s="112"/>
      <c r="BL6" s="112"/>
      <c r="BM6" s="112"/>
      <c r="BN6" s="112"/>
      <c r="BO6" s="112"/>
    </row>
    <row r="7" spans="1:67" s="11" customFormat="1" ht="35.1" customHeight="1">
      <c r="A7" s="1240" t="s">
        <v>18</v>
      </c>
      <c r="B7" s="1321" t="s">
        <v>378</v>
      </c>
      <c r="C7" s="832" t="s">
        <v>611</v>
      </c>
      <c r="D7" s="1296" t="s">
        <v>612</v>
      </c>
      <c r="E7" s="1296"/>
      <c r="F7" s="1296"/>
      <c r="G7" s="876" t="s">
        <v>613</v>
      </c>
      <c r="H7" s="566" t="s">
        <v>614</v>
      </c>
      <c r="I7" s="566" t="s">
        <v>615</v>
      </c>
      <c r="J7" s="687" t="s">
        <v>11</v>
      </c>
      <c r="K7" s="687" t="s">
        <v>12</v>
      </c>
      <c r="L7" s="118" t="s">
        <v>84</v>
      </c>
      <c r="M7" s="221">
        <v>374</v>
      </c>
      <c r="N7" s="132">
        <v>0</v>
      </c>
      <c r="O7" s="132">
        <v>0</v>
      </c>
      <c r="P7" s="618" t="s">
        <v>616</v>
      </c>
      <c r="Q7" s="618" t="s">
        <v>617</v>
      </c>
      <c r="R7" s="618" t="s">
        <v>618</v>
      </c>
      <c r="S7" s="929" t="s">
        <v>619</v>
      </c>
      <c r="T7" s="929" t="s">
        <v>620</v>
      </c>
      <c r="U7" s="929" t="s">
        <v>621</v>
      </c>
    </row>
    <row r="8" spans="1:67" s="11" customFormat="1" ht="35.1" customHeight="1">
      <c r="A8" s="1241"/>
      <c r="B8" s="1321"/>
      <c r="C8" s="832"/>
      <c r="D8" s="1296"/>
      <c r="E8" s="1296"/>
      <c r="F8" s="1296"/>
      <c r="G8" s="882"/>
      <c r="H8" s="568"/>
      <c r="I8" s="568"/>
      <c r="J8" s="689"/>
      <c r="K8" s="689"/>
      <c r="L8" s="118" t="s">
        <v>83</v>
      </c>
      <c r="M8" s="221">
        <v>394</v>
      </c>
      <c r="N8" s="132">
        <v>0</v>
      </c>
      <c r="O8" s="132">
        <v>0</v>
      </c>
      <c r="P8" s="593"/>
      <c r="Q8" s="593"/>
      <c r="R8" s="593"/>
      <c r="S8" s="930"/>
      <c r="T8" s="930"/>
      <c r="U8" s="930"/>
    </row>
    <row r="9" spans="1:67" s="11" customFormat="1" ht="35.1" customHeight="1">
      <c r="A9" s="1241"/>
      <c r="B9" s="1321"/>
      <c r="C9" s="832"/>
      <c r="D9" s="1296"/>
      <c r="E9" s="1296"/>
      <c r="F9" s="1296"/>
      <c r="G9" s="464" t="s">
        <v>329</v>
      </c>
      <c r="H9" s="464"/>
      <c r="I9" s="464"/>
      <c r="J9" s="464"/>
      <c r="K9" s="465"/>
      <c r="L9" s="120"/>
      <c r="M9" s="223">
        <f>SUM(M7:M8)</f>
        <v>768</v>
      </c>
      <c r="N9" s="390">
        <f>SUM(N7:N8)</f>
        <v>0</v>
      </c>
      <c r="O9" s="390">
        <f>SUM(O7:O8)</f>
        <v>0</v>
      </c>
      <c r="P9" s="619"/>
      <c r="Q9" s="619"/>
      <c r="R9" s="619"/>
      <c r="S9" s="931"/>
      <c r="T9" s="931"/>
      <c r="U9" s="931"/>
    </row>
    <row r="10" spans="1:67" s="11" customFormat="1" ht="35.1" customHeight="1">
      <c r="A10" s="1241"/>
      <c r="B10" s="1321"/>
      <c r="C10" s="832" t="s">
        <v>560</v>
      </c>
      <c r="D10" s="1296" t="s">
        <v>888</v>
      </c>
      <c r="E10" s="1296"/>
      <c r="F10" s="1296"/>
      <c r="G10" s="876" t="s">
        <v>880</v>
      </c>
      <c r="H10" s="566" t="s">
        <v>881</v>
      </c>
      <c r="I10" s="566" t="s">
        <v>881</v>
      </c>
      <c r="J10" s="566" t="s">
        <v>11</v>
      </c>
      <c r="K10" s="566" t="s">
        <v>12</v>
      </c>
      <c r="L10" s="314" t="s">
        <v>882</v>
      </c>
      <c r="M10" s="129">
        <v>39</v>
      </c>
      <c r="N10" s="129">
        <v>3</v>
      </c>
      <c r="O10" s="129">
        <v>1</v>
      </c>
      <c r="P10" s="1103" t="s">
        <v>403</v>
      </c>
      <c r="Q10" s="1103" t="s">
        <v>907</v>
      </c>
      <c r="R10" s="1103" t="s">
        <v>405</v>
      </c>
      <c r="S10" s="502" t="s">
        <v>57</v>
      </c>
      <c r="T10" s="499" t="s">
        <v>379</v>
      </c>
      <c r="U10" s="499" t="s">
        <v>11</v>
      </c>
    </row>
    <row r="11" spans="1:67" s="11" customFormat="1" ht="35.1" customHeight="1">
      <c r="A11" s="1241"/>
      <c r="B11" s="1321"/>
      <c r="C11" s="832"/>
      <c r="D11" s="1296"/>
      <c r="E11" s="1296"/>
      <c r="F11" s="1296"/>
      <c r="G11" s="879"/>
      <c r="H11" s="567"/>
      <c r="I11" s="567"/>
      <c r="J11" s="567"/>
      <c r="K11" s="567"/>
      <c r="L11" s="314" t="s">
        <v>883</v>
      </c>
      <c r="M11" s="129">
        <v>39</v>
      </c>
      <c r="N11" s="129">
        <v>1</v>
      </c>
      <c r="O11" s="129">
        <v>1</v>
      </c>
      <c r="P11" s="1104"/>
      <c r="Q11" s="1104"/>
      <c r="R11" s="1104"/>
      <c r="S11" s="503"/>
      <c r="T11" s="500"/>
      <c r="U11" s="500"/>
    </row>
    <row r="12" spans="1:67" s="11" customFormat="1" ht="35.1" customHeight="1">
      <c r="A12" s="1241"/>
      <c r="B12" s="1321"/>
      <c r="C12" s="832"/>
      <c r="D12" s="1296"/>
      <c r="E12" s="1296"/>
      <c r="F12" s="1296"/>
      <c r="G12" s="879"/>
      <c r="H12" s="567"/>
      <c r="I12" s="567"/>
      <c r="J12" s="567"/>
      <c r="K12" s="567"/>
      <c r="L12" s="314" t="s">
        <v>884</v>
      </c>
      <c r="M12" s="129">
        <v>70</v>
      </c>
      <c r="N12" s="129">
        <v>10</v>
      </c>
      <c r="O12" s="129">
        <v>5</v>
      </c>
      <c r="P12" s="1104"/>
      <c r="Q12" s="1104"/>
      <c r="R12" s="1104"/>
      <c r="S12" s="503"/>
      <c r="T12" s="500"/>
      <c r="U12" s="500"/>
    </row>
    <row r="13" spans="1:67" s="11" customFormat="1" ht="35.1" customHeight="1">
      <c r="A13" s="1241"/>
      <c r="B13" s="1321"/>
      <c r="C13" s="832"/>
      <c r="D13" s="1296"/>
      <c r="E13" s="1296"/>
      <c r="F13" s="1296"/>
      <c r="G13" s="879"/>
      <c r="H13" s="567"/>
      <c r="I13" s="567"/>
      <c r="J13" s="567"/>
      <c r="K13" s="567"/>
      <c r="L13" s="314" t="s">
        <v>885</v>
      </c>
      <c r="M13" s="129">
        <v>18</v>
      </c>
      <c r="N13" s="129">
        <v>2</v>
      </c>
      <c r="O13" s="129">
        <v>2</v>
      </c>
      <c r="P13" s="1104"/>
      <c r="Q13" s="1104"/>
      <c r="R13" s="1104"/>
      <c r="S13" s="503"/>
      <c r="T13" s="500"/>
      <c r="U13" s="500"/>
    </row>
    <row r="14" spans="1:67" s="11" customFormat="1" ht="35.1" customHeight="1">
      <c r="A14" s="1241"/>
      <c r="B14" s="1321"/>
      <c r="C14" s="832"/>
      <c r="D14" s="1296"/>
      <c r="E14" s="1296"/>
      <c r="F14" s="1296"/>
      <c r="G14" s="879"/>
      <c r="H14" s="567"/>
      <c r="I14" s="567"/>
      <c r="J14" s="567"/>
      <c r="K14" s="567"/>
      <c r="L14" s="314" t="s">
        <v>886</v>
      </c>
      <c r="M14" s="129">
        <v>18</v>
      </c>
      <c r="N14" s="129">
        <v>1</v>
      </c>
      <c r="O14" s="129">
        <v>1</v>
      </c>
      <c r="P14" s="1104"/>
      <c r="Q14" s="1104"/>
      <c r="R14" s="1104"/>
      <c r="S14" s="503"/>
      <c r="T14" s="500"/>
      <c r="U14" s="500"/>
    </row>
    <row r="15" spans="1:67" s="11" customFormat="1" ht="35.1" customHeight="1">
      <c r="A15" s="1241"/>
      <c r="B15" s="1321"/>
      <c r="C15" s="832"/>
      <c r="D15" s="1296"/>
      <c r="E15" s="1296"/>
      <c r="F15" s="1296"/>
      <c r="G15" s="882"/>
      <c r="H15" s="568"/>
      <c r="I15" s="568"/>
      <c r="J15" s="568"/>
      <c r="K15" s="568"/>
      <c r="L15" s="314" t="s">
        <v>887</v>
      </c>
      <c r="M15" s="129">
        <v>17</v>
      </c>
      <c r="N15" s="129">
        <v>0</v>
      </c>
      <c r="O15" s="129">
        <v>0</v>
      </c>
      <c r="P15" s="1104"/>
      <c r="Q15" s="1104"/>
      <c r="R15" s="1104"/>
      <c r="S15" s="503"/>
      <c r="T15" s="500"/>
      <c r="U15" s="500"/>
    </row>
    <row r="16" spans="1:67" s="11" customFormat="1" ht="35.1" customHeight="1">
      <c r="A16" s="1241"/>
      <c r="B16" s="1321"/>
      <c r="C16" s="832"/>
      <c r="D16" s="1296"/>
      <c r="E16" s="1296"/>
      <c r="F16" s="1296"/>
      <c r="G16" s="464" t="s">
        <v>329</v>
      </c>
      <c r="H16" s="464"/>
      <c r="I16" s="464"/>
      <c r="J16" s="464"/>
      <c r="K16" s="465"/>
      <c r="L16" s="121"/>
      <c r="M16" s="224">
        <f>SUM(M10:M15)</f>
        <v>201</v>
      </c>
      <c r="N16" s="263">
        <f>SUM(N10:N15)</f>
        <v>17</v>
      </c>
      <c r="O16" s="263">
        <f>SUM(O10:O15)</f>
        <v>10</v>
      </c>
      <c r="P16" s="1105"/>
      <c r="Q16" s="1105"/>
      <c r="R16" s="1105"/>
      <c r="S16" s="504"/>
      <c r="T16" s="501"/>
      <c r="U16" s="501"/>
    </row>
    <row r="17" spans="1:21" s="11" customFormat="1" ht="35.1" customHeight="1">
      <c r="A17" s="1241"/>
      <c r="B17" s="1321"/>
      <c r="C17" s="832" t="s">
        <v>560</v>
      </c>
      <c r="D17" s="1296" t="s">
        <v>1056</v>
      </c>
      <c r="E17" s="1296"/>
      <c r="F17" s="1296"/>
      <c r="G17" s="876" t="s">
        <v>1057</v>
      </c>
      <c r="H17" s="566" t="s">
        <v>1065</v>
      </c>
      <c r="I17" s="566" t="s">
        <v>1058</v>
      </c>
      <c r="J17" s="566" t="s">
        <v>11</v>
      </c>
      <c r="K17" s="566" t="s">
        <v>12</v>
      </c>
      <c r="L17" s="314" t="s">
        <v>1059</v>
      </c>
      <c r="M17" s="129">
        <v>58</v>
      </c>
      <c r="N17" s="129">
        <v>13</v>
      </c>
      <c r="O17" s="129">
        <v>6</v>
      </c>
      <c r="P17" s="1103" t="s">
        <v>1060</v>
      </c>
      <c r="Q17" s="923" t="s">
        <v>1061</v>
      </c>
      <c r="R17" s="1103" t="s">
        <v>1062</v>
      </c>
      <c r="S17" s="1103" t="s">
        <v>13</v>
      </c>
      <c r="T17" s="1103" t="s">
        <v>1063</v>
      </c>
      <c r="U17" s="1103" t="s">
        <v>11</v>
      </c>
    </row>
    <row r="18" spans="1:21" s="11" customFormat="1" ht="35.1" customHeight="1">
      <c r="A18" s="1241"/>
      <c r="B18" s="1321"/>
      <c r="C18" s="832"/>
      <c r="D18" s="1296"/>
      <c r="E18" s="1296"/>
      <c r="F18" s="1296"/>
      <c r="G18" s="879"/>
      <c r="H18" s="567"/>
      <c r="I18" s="567"/>
      <c r="J18" s="567"/>
      <c r="K18" s="567"/>
      <c r="L18" s="314" t="s">
        <v>1064</v>
      </c>
      <c r="M18" s="129">
        <v>56</v>
      </c>
      <c r="N18" s="129">
        <v>13</v>
      </c>
      <c r="O18" s="129">
        <v>5</v>
      </c>
      <c r="P18" s="1104"/>
      <c r="Q18" s="924"/>
      <c r="R18" s="1104"/>
      <c r="S18" s="1104"/>
      <c r="T18" s="1104"/>
      <c r="U18" s="1104"/>
    </row>
    <row r="19" spans="1:21" s="11" customFormat="1" ht="35.1" customHeight="1">
      <c r="A19" s="1241"/>
      <c r="B19" s="1321"/>
      <c r="C19" s="832"/>
      <c r="D19" s="1296"/>
      <c r="E19" s="1296"/>
      <c r="F19" s="1296"/>
      <c r="G19" s="464" t="s">
        <v>329</v>
      </c>
      <c r="H19" s="464"/>
      <c r="I19" s="464"/>
      <c r="J19" s="464"/>
      <c r="K19" s="465"/>
      <c r="L19" s="121"/>
      <c r="M19" s="224">
        <f>SUM(M17:M18)</f>
        <v>114</v>
      </c>
      <c r="N19" s="224">
        <f t="shared" ref="N19" si="0">SUM(N17:N18)</f>
        <v>26</v>
      </c>
      <c r="O19" s="224">
        <f t="shared" ref="O19" si="1">SUM(O17:O18)</f>
        <v>11</v>
      </c>
      <c r="P19" s="1104"/>
      <c r="Q19" s="925"/>
      <c r="R19" s="1104"/>
      <c r="S19" s="1104"/>
      <c r="T19" s="1104"/>
      <c r="U19" s="1104"/>
    </row>
    <row r="20" spans="1:21" s="11" customFormat="1" ht="35.1" customHeight="1">
      <c r="A20" s="1241"/>
      <c r="B20" s="620" t="s">
        <v>105</v>
      </c>
      <c r="C20" s="621"/>
      <c r="D20" s="621"/>
      <c r="E20" s="621"/>
      <c r="F20" s="621"/>
      <c r="G20" s="621"/>
      <c r="H20" s="621"/>
      <c r="I20" s="621"/>
      <c r="J20" s="621"/>
      <c r="K20" s="622"/>
      <c r="L20" s="122"/>
      <c r="M20" s="226">
        <f>M9+M16+M19</f>
        <v>1083</v>
      </c>
      <c r="N20" s="226">
        <f t="shared" ref="N20" si="2">N9+N16+N19</f>
        <v>43</v>
      </c>
      <c r="O20" s="226">
        <f t="shared" ref="O20" si="3">O9+O16+O19</f>
        <v>21</v>
      </c>
      <c r="P20" s="123"/>
      <c r="Q20" s="123"/>
      <c r="R20" s="123"/>
      <c r="S20" s="124"/>
      <c r="T20" s="125"/>
      <c r="U20" s="124"/>
    </row>
    <row r="21" spans="1:21" s="11" customFormat="1" ht="35.1" customHeight="1">
      <c r="A21" s="1241"/>
      <c r="B21" s="771" t="s">
        <v>274</v>
      </c>
      <c r="C21" s="1331" t="s">
        <v>189</v>
      </c>
      <c r="D21" s="469" t="s">
        <v>607</v>
      </c>
      <c r="E21" s="470"/>
      <c r="F21" s="471"/>
      <c r="G21" s="632" t="s">
        <v>606</v>
      </c>
      <c r="H21" s="635" t="s">
        <v>606</v>
      </c>
      <c r="I21" s="635" t="s">
        <v>606</v>
      </c>
      <c r="J21" s="632"/>
      <c r="K21" s="632" t="s">
        <v>608</v>
      </c>
      <c r="L21" s="126">
        <v>84.788799999999995</v>
      </c>
      <c r="M21" s="228">
        <v>332</v>
      </c>
      <c r="N21" s="119">
        <v>0</v>
      </c>
      <c r="O21" s="119">
        <v>0</v>
      </c>
      <c r="P21" s="499" t="s">
        <v>978</v>
      </c>
      <c r="Q21" s="499" t="s">
        <v>979</v>
      </c>
      <c r="R21" s="499" t="s">
        <v>980</v>
      </c>
      <c r="S21" s="499" t="s">
        <v>65</v>
      </c>
      <c r="T21" s="499" t="s">
        <v>189</v>
      </c>
      <c r="U21" s="523" t="s">
        <v>189</v>
      </c>
    </row>
    <row r="22" spans="1:21" s="11" customFormat="1" ht="35.1" customHeight="1">
      <c r="A22" s="1241"/>
      <c r="B22" s="772"/>
      <c r="C22" s="1332"/>
      <c r="D22" s="472"/>
      <c r="E22" s="473"/>
      <c r="F22" s="474"/>
      <c r="G22" s="633"/>
      <c r="H22" s="636"/>
      <c r="I22" s="636"/>
      <c r="J22" s="633"/>
      <c r="K22" s="633"/>
      <c r="L22" s="126">
        <v>84.665000000000006</v>
      </c>
      <c r="M22" s="228">
        <v>284</v>
      </c>
      <c r="N22" s="119">
        <v>0</v>
      </c>
      <c r="O22" s="119">
        <v>0</v>
      </c>
      <c r="P22" s="500"/>
      <c r="Q22" s="500"/>
      <c r="R22" s="500"/>
      <c r="S22" s="500"/>
      <c r="T22" s="500"/>
      <c r="U22" s="524"/>
    </row>
    <row r="23" spans="1:21" s="11" customFormat="1" ht="35.1" customHeight="1">
      <c r="A23" s="1241"/>
      <c r="B23" s="772"/>
      <c r="C23" s="1332"/>
      <c r="D23" s="472"/>
      <c r="E23" s="473"/>
      <c r="F23" s="474"/>
      <c r="G23" s="633"/>
      <c r="H23" s="636"/>
      <c r="I23" s="636"/>
      <c r="J23" s="633"/>
      <c r="K23" s="633"/>
      <c r="L23" s="126">
        <v>99.955200000000005</v>
      </c>
      <c r="M23" s="228">
        <v>598</v>
      </c>
      <c r="N23" s="119">
        <v>0</v>
      </c>
      <c r="O23" s="119">
        <v>0</v>
      </c>
      <c r="P23" s="500"/>
      <c r="Q23" s="500"/>
      <c r="R23" s="500"/>
      <c r="S23" s="500"/>
      <c r="T23" s="500"/>
      <c r="U23" s="524"/>
    </row>
    <row r="24" spans="1:21" s="11" customFormat="1" ht="35.1" customHeight="1">
      <c r="A24" s="1241"/>
      <c r="B24" s="772"/>
      <c r="C24" s="1332"/>
      <c r="D24" s="472"/>
      <c r="E24" s="473"/>
      <c r="F24" s="474"/>
      <c r="G24" s="633"/>
      <c r="H24" s="636"/>
      <c r="I24" s="636"/>
      <c r="J24" s="633"/>
      <c r="K24" s="633"/>
      <c r="L24" s="126">
        <v>99.750500000000002</v>
      </c>
      <c r="M24" s="228">
        <v>256</v>
      </c>
      <c r="N24" s="119">
        <v>0</v>
      </c>
      <c r="O24" s="119">
        <v>0</v>
      </c>
      <c r="P24" s="500"/>
      <c r="Q24" s="500"/>
      <c r="R24" s="500"/>
      <c r="S24" s="500"/>
      <c r="T24" s="500"/>
      <c r="U24" s="524"/>
    </row>
    <row r="25" spans="1:21" s="11" customFormat="1" ht="35.1" customHeight="1">
      <c r="A25" s="1241"/>
      <c r="B25" s="772"/>
      <c r="C25" s="1332"/>
      <c r="D25" s="472"/>
      <c r="E25" s="473"/>
      <c r="F25" s="474"/>
      <c r="G25" s="634"/>
      <c r="H25" s="637"/>
      <c r="I25" s="637"/>
      <c r="J25" s="634"/>
      <c r="K25" s="634"/>
      <c r="L25" s="126">
        <v>170.21209999999999</v>
      </c>
      <c r="M25" s="228">
        <v>2</v>
      </c>
      <c r="N25" s="119">
        <v>0</v>
      </c>
      <c r="O25" s="119">
        <v>0</v>
      </c>
      <c r="P25" s="500"/>
      <c r="Q25" s="500"/>
      <c r="R25" s="500"/>
      <c r="S25" s="500"/>
      <c r="T25" s="500"/>
      <c r="U25" s="524"/>
    </row>
    <row r="26" spans="1:21" s="11" customFormat="1" ht="35.1" customHeight="1">
      <c r="A26" s="1241"/>
      <c r="B26" s="772"/>
      <c r="C26" s="1333"/>
      <c r="D26" s="475"/>
      <c r="E26" s="476"/>
      <c r="F26" s="477"/>
      <c r="G26" s="463" t="s">
        <v>329</v>
      </c>
      <c r="H26" s="464"/>
      <c r="I26" s="464"/>
      <c r="J26" s="464"/>
      <c r="K26" s="465"/>
      <c r="L26" s="121"/>
      <c r="M26" s="224">
        <f>SUM(M21:M25)</f>
        <v>1472</v>
      </c>
      <c r="N26" s="263">
        <f>SUM(N21:N25)</f>
        <v>0</v>
      </c>
      <c r="O26" s="263">
        <f>SUM(O21:O25)</f>
        <v>0</v>
      </c>
      <c r="P26" s="501"/>
      <c r="Q26" s="501"/>
      <c r="R26" s="501"/>
      <c r="S26" s="501"/>
      <c r="T26" s="501"/>
      <c r="U26" s="694"/>
    </row>
    <row r="27" spans="1:21" s="11" customFormat="1" ht="35.1" customHeight="1">
      <c r="A27" s="1241"/>
      <c r="B27" s="772"/>
      <c r="C27" s="1225" t="s">
        <v>702</v>
      </c>
      <c r="D27" s="469" t="s">
        <v>691</v>
      </c>
      <c r="E27" s="470"/>
      <c r="F27" s="471"/>
      <c r="G27" s="1244" t="s">
        <v>700</v>
      </c>
      <c r="H27" s="701" t="s">
        <v>700</v>
      </c>
      <c r="I27" s="1244" t="s">
        <v>700</v>
      </c>
      <c r="J27" s="687"/>
      <c r="K27" s="687" t="s">
        <v>66</v>
      </c>
      <c r="L27" s="128">
        <v>59.759099999999997</v>
      </c>
      <c r="M27" s="229">
        <v>0</v>
      </c>
      <c r="N27" s="129">
        <v>0</v>
      </c>
      <c r="O27" s="129">
        <v>0</v>
      </c>
      <c r="P27" s="499" t="s">
        <v>976</v>
      </c>
      <c r="Q27" s="499" t="s">
        <v>976</v>
      </c>
      <c r="R27" s="499" t="s">
        <v>977</v>
      </c>
      <c r="S27" s="499" t="s">
        <v>65</v>
      </c>
      <c r="T27" s="499" t="s">
        <v>189</v>
      </c>
      <c r="U27" s="523" t="s">
        <v>189</v>
      </c>
    </row>
    <row r="28" spans="1:21" s="11" customFormat="1" ht="35.1" customHeight="1">
      <c r="A28" s="1241"/>
      <c r="B28" s="772"/>
      <c r="C28" s="1226"/>
      <c r="D28" s="472"/>
      <c r="E28" s="473"/>
      <c r="F28" s="474"/>
      <c r="G28" s="1245"/>
      <c r="H28" s="702"/>
      <c r="I28" s="1245"/>
      <c r="J28" s="688"/>
      <c r="K28" s="688"/>
      <c r="L28" s="128">
        <v>84.522000000000006</v>
      </c>
      <c r="M28" s="228">
        <v>112</v>
      </c>
      <c r="N28" s="129">
        <v>0</v>
      </c>
      <c r="O28" s="129">
        <v>0</v>
      </c>
      <c r="P28" s="500"/>
      <c r="Q28" s="500"/>
      <c r="R28" s="500"/>
      <c r="S28" s="500"/>
      <c r="T28" s="500"/>
      <c r="U28" s="524"/>
    </row>
    <row r="29" spans="1:21" s="11" customFormat="1" ht="35.1" customHeight="1">
      <c r="A29" s="1241"/>
      <c r="B29" s="772"/>
      <c r="C29" s="1226"/>
      <c r="D29" s="472"/>
      <c r="E29" s="473"/>
      <c r="F29" s="474"/>
      <c r="G29" s="1246"/>
      <c r="H29" s="703"/>
      <c r="I29" s="1246"/>
      <c r="J29" s="689"/>
      <c r="K29" s="689"/>
      <c r="L29" s="128">
        <v>84.489500000000007</v>
      </c>
      <c r="M29" s="228">
        <v>0</v>
      </c>
      <c r="N29" s="127">
        <v>0</v>
      </c>
      <c r="O29" s="127">
        <v>0</v>
      </c>
      <c r="P29" s="500"/>
      <c r="Q29" s="500"/>
      <c r="R29" s="500"/>
      <c r="S29" s="500"/>
      <c r="T29" s="500"/>
      <c r="U29" s="524"/>
    </row>
    <row r="30" spans="1:21" s="11" customFormat="1" ht="35.1" customHeight="1">
      <c r="A30" s="1241"/>
      <c r="B30" s="772"/>
      <c r="C30" s="1227"/>
      <c r="D30" s="475"/>
      <c r="E30" s="476"/>
      <c r="F30" s="477"/>
      <c r="G30" s="463" t="s">
        <v>329</v>
      </c>
      <c r="H30" s="464"/>
      <c r="I30" s="464"/>
      <c r="J30" s="464"/>
      <c r="K30" s="465"/>
      <c r="L30" s="121"/>
      <c r="M30" s="224">
        <f>SUM(M27:M29)</f>
        <v>112</v>
      </c>
      <c r="N30" s="263">
        <f>SUM(N27:N29)</f>
        <v>0</v>
      </c>
      <c r="O30" s="263">
        <f>SUM(O27:O29)</f>
        <v>0</v>
      </c>
      <c r="P30" s="501"/>
      <c r="Q30" s="501"/>
      <c r="R30" s="501"/>
      <c r="S30" s="501"/>
      <c r="T30" s="501"/>
      <c r="U30" s="694"/>
    </row>
    <row r="31" spans="1:21" s="11" customFormat="1" ht="35.1" customHeight="1">
      <c r="A31" s="1241"/>
      <c r="B31" s="772"/>
      <c r="C31" s="1225" t="s">
        <v>54</v>
      </c>
      <c r="D31" s="469" t="s">
        <v>691</v>
      </c>
      <c r="E31" s="470"/>
      <c r="F31" s="471"/>
      <c r="G31" s="1244" t="s">
        <v>54</v>
      </c>
      <c r="H31" s="701" t="s">
        <v>54</v>
      </c>
      <c r="I31" s="1244" t="s">
        <v>54</v>
      </c>
      <c r="J31" s="687"/>
      <c r="K31" s="687" t="s">
        <v>66</v>
      </c>
      <c r="L31" s="130">
        <v>59.759099999999997</v>
      </c>
      <c r="M31" s="230">
        <v>31</v>
      </c>
      <c r="N31" s="392">
        <v>0</v>
      </c>
      <c r="O31" s="392">
        <v>0</v>
      </c>
      <c r="P31" s="499" t="s">
        <v>976</v>
      </c>
      <c r="Q31" s="499" t="s">
        <v>976</v>
      </c>
      <c r="R31" s="499" t="s">
        <v>977</v>
      </c>
      <c r="S31" s="499" t="s">
        <v>65</v>
      </c>
      <c r="T31" s="499" t="s">
        <v>189</v>
      </c>
      <c r="U31" s="523" t="s">
        <v>189</v>
      </c>
    </row>
    <row r="32" spans="1:21" s="11" customFormat="1" ht="35.1" customHeight="1">
      <c r="A32" s="1241"/>
      <c r="B32" s="772"/>
      <c r="C32" s="1226"/>
      <c r="D32" s="472"/>
      <c r="E32" s="473"/>
      <c r="F32" s="474"/>
      <c r="G32" s="1245"/>
      <c r="H32" s="702"/>
      <c r="I32" s="1245"/>
      <c r="J32" s="688"/>
      <c r="K32" s="688"/>
      <c r="L32" s="130">
        <v>59.759099999999997</v>
      </c>
      <c r="M32" s="230">
        <v>2</v>
      </c>
      <c r="N32" s="392">
        <v>0</v>
      </c>
      <c r="O32" s="392">
        <v>0</v>
      </c>
      <c r="P32" s="500"/>
      <c r="Q32" s="500"/>
      <c r="R32" s="500"/>
      <c r="S32" s="500"/>
      <c r="T32" s="500"/>
      <c r="U32" s="524"/>
    </row>
    <row r="33" spans="1:21" s="11" customFormat="1" ht="35.1" customHeight="1">
      <c r="A33" s="1241"/>
      <c r="B33" s="772"/>
      <c r="C33" s="1226"/>
      <c r="D33" s="472"/>
      <c r="E33" s="473"/>
      <c r="F33" s="474"/>
      <c r="G33" s="1246"/>
      <c r="H33" s="703"/>
      <c r="I33" s="1246"/>
      <c r="J33" s="689"/>
      <c r="K33" s="689"/>
      <c r="L33" s="130">
        <v>59.759099999999997</v>
      </c>
      <c r="M33" s="230">
        <v>2</v>
      </c>
      <c r="N33" s="392">
        <v>0</v>
      </c>
      <c r="O33" s="392">
        <v>0</v>
      </c>
      <c r="P33" s="500"/>
      <c r="Q33" s="500"/>
      <c r="R33" s="500"/>
      <c r="S33" s="500"/>
      <c r="T33" s="500"/>
      <c r="U33" s="524"/>
    </row>
    <row r="34" spans="1:21" s="11" customFormat="1" ht="35.1" customHeight="1">
      <c r="A34" s="1241"/>
      <c r="B34" s="772"/>
      <c r="C34" s="1227"/>
      <c r="D34" s="475"/>
      <c r="E34" s="476"/>
      <c r="F34" s="477"/>
      <c r="G34" s="463" t="s">
        <v>329</v>
      </c>
      <c r="H34" s="464"/>
      <c r="I34" s="464"/>
      <c r="J34" s="464"/>
      <c r="K34" s="465"/>
      <c r="L34" s="121"/>
      <c r="M34" s="224">
        <f>SUM(M31:M33)</f>
        <v>35</v>
      </c>
      <c r="N34" s="263">
        <f>SUM(N31:N33)</f>
        <v>0</v>
      </c>
      <c r="O34" s="263">
        <f>SUM(O31:O33)</f>
        <v>0</v>
      </c>
      <c r="P34" s="501"/>
      <c r="Q34" s="501"/>
      <c r="R34" s="501"/>
      <c r="S34" s="501"/>
      <c r="T34" s="501"/>
      <c r="U34" s="694"/>
    </row>
    <row r="35" spans="1:21" s="11" customFormat="1" ht="35.1" customHeight="1">
      <c r="A35" s="1241"/>
      <c r="B35" s="772"/>
      <c r="C35" s="537" t="s">
        <v>561</v>
      </c>
      <c r="D35" s="1334" t="s">
        <v>740</v>
      </c>
      <c r="E35" s="1335"/>
      <c r="F35" s="1336"/>
      <c r="G35" s="566" t="s">
        <v>273</v>
      </c>
      <c r="H35" s="566" t="s">
        <v>273</v>
      </c>
      <c r="I35" s="566" t="s">
        <v>273</v>
      </c>
      <c r="J35" s="982" t="s">
        <v>302</v>
      </c>
      <c r="K35" s="537" t="s">
        <v>303</v>
      </c>
      <c r="L35" s="131">
        <v>72.94</v>
      </c>
      <c r="M35" s="231">
        <v>214</v>
      </c>
      <c r="N35" s="132">
        <v>0</v>
      </c>
      <c r="O35" s="132">
        <v>0</v>
      </c>
      <c r="P35" s="511" t="s">
        <v>406</v>
      </c>
      <c r="Q35" s="511" t="s">
        <v>407</v>
      </c>
      <c r="R35" s="511" t="s">
        <v>408</v>
      </c>
      <c r="S35" s="651" t="s">
        <v>275</v>
      </c>
      <c r="T35" s="629" t="s">
        <v>276</v>
      </c>
      <c r="U35" s="768" t="s">
        <v>277</v>
      </c>
    </row>
    <row r="36" spans="1:21" s="11" customFormat="1" ht="35.1" customHeight="1">
      <c r="A36" s="1241"/>
      <c r="B36" s="772"/>
      <c r="C36" s="538"/>
      <c r="D36" s="1337"/>
      <c r="E36" s="1338"/>
      <c r="F36" s="1339"/>
      <c r="G36" s="567"/>
      <c r="H36" s="567"/>
      <c r="I36" s="567"/>
      <c r="J36" s="983"/>
      <c r="K36" s="538"/>
      <c r="L36" s="131">
        <v>72.95</v>
      </c>
      <c r="M36" s="231">
        <v>214</v>
      </c>
      <c r="N36" s="132">
        <v>0</v>
      </c>
      <c r="O36" s="132">
        <v>0</v>
      </c>
      <c r="P36" s="512"/>
      <c r="Q36" s="512"/>
      <c r="R36" s="512"/>
      <c r="S36" s="652"/>
      <c r="T36" s="630"/>
      <c r="U36" s="769"/>
    </row>
    <row r="37" spans="1:21" s="11" customFormat="1" ht="35.1" customHeight="1">
      <c r="A37" s="1241"/>
      <c r="B37" s="772"/>
      <c r="C37" s="538"/>
      <c r="D37" s="1337"/>
      <c r="E37" s="1338"/>
      <c r="F37" s="1339"/>
      <c r="G37" s="567"/>
      <c r="H37" s="567"/>
      <c r="I37" s="567"/>
      <c r="J37" s="983"/>
      <c r="K37" s="538"/>
      <c r="L37" s="131">
        <v>84.98</v>
      </c>
      <c r="M37" s="231">
        <v>337</v>
      </c>
      <c r="N37" s="132">
        <v>3</v>
      </c>
      <c r="O37" s="132">
        <v>3</v>
      </c>
      <c r="P37" s="512"/>
      <c r="Q37" s="512"/>
      <c r="R37" s="512"/>
      <c r="S37" s="652"/>
      <c r="T37" s="630"/>
      <c r="U37" s="769"/>
    </row>
    <row r="38" spans="1:21" s="11" customFormat="1" ht="35.1" customHeight="1">
      <c r="A38" s="1241"/>
      <c r="B38" s="772"/>
      <c r="C38" s="538"/>
      <c r="D38" s="1337"/>
      <c r="E38" s="1338"/>
      <c r="F38" s="1339"/>
      <c r="G38" s="568"/>
      <c r="H38" s="568"/>
      <c r="I38" s="568"/>
      <c r="J38" s="984"/>
      <c r="K38" s="539"/>
      <c r="L38" s="131">
        <v>84.97</v>
      </c>
      <c r="M38" s="231">
        <v>337</v>
      </c>
      <c r="N38" s="132">
        <v>1</v>
      </c>
      <c r="O38" s="132">
        <v>1</v>
      </c>
      <c r="P38" s="512"/>
      <c r="Q38" s="512"/>
      <c r="R38" s="512"/>
      <c r="S38" s="652"/>
      <c r="T38" s="630"/>
      <c r="U38" s="769"/>
    </row>
    <row r="39" spans="1:21" s="11" customFormat="1" ht="35.1" customHeight="1">
      <c r="A39" s="1241"/>
      <c r="B39" s="772"/>
      <c r="C39" s="539"/>
      <c r="D39" s="1340"/>
      <c r="E39" s="1341"/>
      <c r="F39" s="1342"/>
      <c r="G39" s="463" t="s">
        <v>329</v>
      </c>
      <c r="H39" s="464"/>
      <c r="I39" s="464"/>
      <c r="J39" s="464"/>
      <c r="K39" s="465"/>
      <c r="L39" s="133"/>
      <c r="M39" s="224">
        <f>SUM(M35:M38)</f>
        <v>1102</v>
      </c>
      <c r="N39" s="263">
        <f>SUM(N35:N38)</f>
        <v>4</v>
      </c>
      <c r="O39" s="263">
        <f>SUM(O35:O38)</f>
        <v>4</v>
      </c>
      <c r="P39" s="513"/>
      <c r="Q39" s="513"/>
      <c r="R39" s="513"/>
      <c r="S39" s="653"/>
      <c r="T39" s="631"/>
      <c r="U39" s="770"/>
    </row>
    <row r="40" spans="1:21" s="11" customFormat="1" ht="35.1" customHeight="1">
      <c r="A40" s="1241"/>
      <c r="B40" s="772"/>
      <c r="C40" s="537" t="s">
        <v>562</v>
      </c>
      <c r="D40" s="1334" t="s">
        <v>563</v>
      </c>
      <c r="E40" s="1335"/>
      <c r="F40" s="1336"/>
      <c r="G40" s="566" t="s">
        <v>247</v>
      </c>
      <c r="H40" s="566" t="s">
        <v>108</v>
      </c>
      <c r="I40" s="566" t="s">
        <v>248</v>
      </c>
      <c r="J40" s="537" t="s">
        <v>67</v>
      </c>
      <c r="K40" s="537" t="s">
        <v>66</v>
      </c>
      <c r="L40" s="131">
        <v>84.964699999999993</v>
      </c>
      <c r="M40" s="231">
        <v>40</v>
      </c>
      <c r="N40" s="132">
        <v>17</v>
      </c>
      <c r="O40" s="132">
        <v>16</v>
      </c>
      <c r="P40" s="511" t="s">
        <v>409</v>
      </c>
      <c r="Q40" s="511" t="s">
        <v>409</v>
      </c>
      <c r="R40" s="511" t="s">
        <v>410</v>
      </c>
      <c r="S40" s="651" t="s">
        <v>57</v>
      </c>
      <c r="T40" s="1198" t="s">
        <v>117</v>
      </c>
      <c r="U40" s="768" t="s">
        <v>17</v>
      </c>
    </row>
    <row r="41" spans="1:21" s="11" customFormat="1" ht="35.1" customHeight="1">
      <c r="A41" s="1241"/>
      <c r="B41" s="772"/>
      <c r="C41" s="538"/>
      <c r="D41" s="1337"/>
      <c r="E41" s="1338"/>
      <c r="F41" s="1339"/>
      <c r="G41" s="567"/>
      <c r="H41" s="567"/>
      <c r="I41" s="567"/>
      <c r="J41" s="538"/>
      <c r="K41" s="538"/>
      <c r="L41" s="131">
        <v>84.628699999999995</v>
      </c>
      <c r="M41" s="231">
        <v>20</v>
      </c>
      <c r="N41" s="132">
        <v>16</v>
      </c>
      <c r="O41" s="132">
        <v>16</v>
      </c>
      <c r="P41" s="512"/>
      <c r="Q41" s="512"/>
      <c r="R41" s="512"/>
      <c r="S41" s="652"/>
      <c r="T41" s="1199"/>
      <c r="U41" s="769"/>
    </row>
    <row r="42" spans="1:21" s="11" customFormat="1" ht="35.1" customHeight="1">
      <c r="A42" s="1241"/>
      <c r="B42" s="772"/>
      <c r="C42" s="538"/>
      <c r="D42" s="1337"/>
      <c r="E42" s="1338"/>
      <c r="F42" s="1339"/>
      <c r="G42" s="568"/>
      <c r="H42" s="568"/>
      <c r="I42" s="568"/>
      <c r="J42" s="539"/>
      <c r="K42" s="539"/>
      <c r="L42" s="131">
        <v>84.735699999999994</v>
      </c>
      <c r="M42" s="231">
        <v>20</v>
      </c>
      <c r="N42" s="132">
        <v>16</v>
      </c>
      <c r="O42" s="132">
        <v>16</v>
      </c>
      <c r="P42" s="512"/>
      <c r="Q42" s="512"/>
      <c r="R42" s="512"/>
      <c r="S42" s="652"/>
      <c r="T42" s="1199"/>
      <c r="U42" s="769"/>
    </row>
    <row r="43" spans="1:21" s="11" customFormat="1" ht="35.1" customHeight="1">
      <c r="A43" s="1241"/>
      <c r="B43" s="772"/>
      <c r="C43" s="539"/>
      <c r="D43" s="1340"/>
      <c r="E43" s="1341"/>
      <c r="F43" s="1342"/>
      <c r="G43" s="463" t="s">
        <v>329</v>
      </c>
      <c r="H43" s="464"/>
      <c r="I43" s="464"/>
      <c r="J43" s="464"/>
      <c r="K43" s="465"/>
      <c r="L43" s="133"/>
      <c r="M43" s="224">
        <f>SUM(M40:M42)</f>
        <v>80</v>
      </c>
      <c r="N43" s="263">
        <f>SUM(N40:N42)</f>
        <v>49</v>
      </c>
      <c r="O43" s="263">
        <f>SUM(O40:O42)</f>
        <v>48</v>
      </c>
      <c r="P43" s="513"/>
      <c r="Q43" s="513"/>
      <c r="R43" s="513"/>
      <c r="S43" s="653"/>
      <c r="T43" s="1200"/>
      <c r="U43" s="770"/>
    </row>
    <row r="44" spans="1:21" s="11" customFormat="1" ht="35.1" customHeight="1">
      <c r="A44" s="1241"/>
      <c r="B44" s="772"/>
      <c r="C44" s="566" t="s">
        <v>747</v>
      </c>
      <c r="D44" s="584" t="s">
        <v>691</v>
      </c>
      <c r="E44" s="585"/>
      <c r="F44" s="586"/>
      <c r="G44" s="1343" t="s">
        <v>54</v>
      </c>
      <c r="H44" s="1343" t="s">
        <v>54</v>
      </c>
      <c r="I44" s="1343" t="s">
        <v>54</v>
      </c>
      <c r="J44" s="1244" t="s">
        <v>54</v>
      </c>
      <c r="K44" s="687" t="s">
        <v>12</v>
      </c>
      <c r="L44" s="126">
        <v>59.759099999999997</v>
      </c>
      <c r="M44" s="228">
        <v>10</v>
      </c>
      <c r="N44" s="119">
        <v>0</v>
      </c>
      <c r="O44" s="119">
        <v>0</v>
      </c>
      <c r="P44" s="499" t="s">
        <v>428</v>
      </c>
      <c r="Q44" s="499" t="s">
        <v>976</v>
      </c>
      <c r="R44" s="1195" t="s">
        <v>975</v>
      </c>
      <c r="S44" s="499" t="s">
        <v>65</v>
      </c>
      <c r="T44" s="499" t="s">
        <v>189</v>
      </c>
      <c r="U44" s="499" t="s">
        <v>11</v>
      </c>
    </row>
    <row r="45" spans="1:21" s="11" customFormat="1" ht="35.1" customHeight="1">
      <c r="A45" s="1241"/>
      <c r="B45" s="772"/>
      <c r="C45" s="567"/>
      <c r="D45" s="587"/>
      <c r="E45" s="588"/>
      <c r="F45" s="589"/>
      <c r="G45" s="1344"/>
      <c r="H45" s="1344"/>
      <c r="I45" s="1344"/>
      <c r="J45" s="1245"/>
      <c r="K45" s="688"/>
      <c r="L45" s="126">
        <v>84.522000000000006</v>
      </c>
      <c r="M45" s="228">
        <v>11</v>
      </c>
      <c r="N45" s="119">
        <v>0</v>
      </c>
      <c r="O45" s="119">
        <v>0</v>
      </c>
      <c r="P45" s="500"/>
      <c r="Q45" s="500"/>
      <c r="R45" s="1196"/>
      <c r="S45" s="500"/>
      <c r="T45" s="500"/>
      <c r="U45" s="500"/>
    </row>
    <row r="46" spans="1:21" s="11" customFormat="1" ht="35.1" customHeight="1">
      <c r="A46" s="1241"/>
      <c r="B46" s="772"/>
      <c r="C46" s="567"/>
      <c r="D46" s="587"/>
      <c r="E46" s="588"/>
      <c r="F46" s="589"/>
      <c r="G46" s="1345"/>
      <c r="H46" s="1345"/>
      <c r="I46" s="1345"/>
      <c r="J46" s="1246"/>
      <c r="K46" s="689"/>
      <c r="L46" s="126">
        <v>84.489500000000007</v>
      </c>
      <c r="M46" s="228">
        <v>3</v>
      </c>
      <c r="N46" s="119">
        <v>0</v>
      </c>
      <c r="O46" s="119">
        <v>0</v>
      </c>
      <c r="P46" s="500"/>
      <c r="Q46" s="500"/>
      <c r="R46" s="1196"/>
      <c r="S46" s="500"/>
      <c r="T46" s="500"/>
      <c r="U46" s="500"/>
    </row>
    <row r="47" spans="1:21" s="11" customFormat="1" ht="35.1" customHeight="1">
      <c r="A47" s="1241"/>
      <c r="B47" s="772"/>
      <c r="C47" s="568"/>
      <c r="D47" s="707"/>
      <c r="E47" s="708"/>
      <c r="F47" s="709"/>
      <c r="G47" s="463" t="s">
        <v>329</v>
      </c>
      <c r="H47" s="464"/>
      <c r="I47" s="464"/>
      <c r="J47" s="464"/>
      <c r="K47" s="465"/>
      <c r="L47" s="134"/>
      <c r="M47" s="232">
        <f>SUM(M44,M45,M46)</f>
        <v>24</v>
      </c>
      <c r="N47" s="233">
        <f>SUM(N44,N45,N46)</f>
        <v>0</v>
      </c>
      <c r="O47" s="233">
        <f>SUM(O44,O45,O46)</f>
        <v>0</v>
      </c>
      <c r="P47" s="501"/>
      <c r="Q47" s="501"/>
      <c r="R47" s="1197"/>
      <c r="S47" s="501"/>
      <c r="T47" s="501"/>
      <c r="U47" s="501"/>
    </row>
    <row r="48" spans="1:21" s="11" customFormat="1" ht="35.1" customHeight="1">
      <c r="A48" s="1241"/>
      <c r="B48" s="772"/>
      <c r="C48" s="537" t="s">
        <v>564</v>
      </c>
      <c r="D48" s="570" t="s">
        <v>107</v>
      </c>
      <c r="E48" s="571"/>
      <c r="F48" s="572"/>
      <c r="G48" s="566" t="s">
        <v>249</v>
      </c>
      <c r="H48" s="566" t="s">
        <v>106</v>
      </c>
      <c r="I48" s="566" t="s">
        <v>250</v>
      </c>
      <c r="J48" s="537" t="s">
        <v>67</v>
      </c>
      <c r="K48" s="537" t="s">
        <v>66</v>
      </c>
      <c r="L48" s="131">
        <v>39.9</v>
      </c>
      <c r="M48" s="231">
        <v>74</v>
      </c>
      <c r="N48" s="119">
        <v>0</v>
      </c>
      <c r="O48" s="119">
        <v>0</v>
      </c>
      <c r="P48" s="511" t="s">
        <v>411</v>
      </c>
      <c r="Q48" s="511" t="s">
        <v>412</v>
      </c>
      <c r="R48" s="511" t="s">
        <v>412</v>
      </c>
      <c r="S48" s="651" t="s">
        <v>57</v>
      </c>
      <c r="T48" s="629" t="s">
        <v>189</v>
      </c>
      <c r="U48" s="768" t="s">
        <v>17</v>
      </c>
    </row>
    <row r="49" spans="1:1892" s="11" customFormat="1" ht="35.1" customHeight="1">
      <c r="A49" s="1241"/>
      <c r="B49" s="772"/>
      <c r="C49" s="538"/>
      <c r="D49" s="573"/>
      <c r="E49" s="574"/>
      <c r="F49" s="575"/>
      <c r="G49" s="567"/>
      <c r="H49" s="567"/>
      <c r="I49" s="567"/>
      <c r="J49" s="538"/>
      <c r="K49" s="538"/>
      <c r="L49" s="131">
        <v>40</v>
      </c>
      <c r="M49" s="231">
        <v>116</v>
      </c>
      <c r="N49" s="119">
        <v>1</v>
      </c>
      <c r="O49" s="119">
        <v>1</v>
      </c>
      <c r="P49" s="512"/>
      <c r="Q49" s="512"/>
      <c r="R49" s="512"/>
      <c r="S49" s="652"/>
      <c r="T49" s="630"/>
      <c r="U49" s="769"/>
    </row>
    <row r="50" spans="1:1892" s="11" customFormat="1" ht="35.1" customHeight="1">
      <c r="A50" s="1241"/>
      <c r="B50" s="772"/>
      <c r="C50" s="538"/>
      <c r="D50" s="573"/>
      <c r="E50" s="574"/>
      <c r="F50" s="575"/>
      <c r="G50" s="567"/>
      <c r="H50" s="567"/>
      <c r="I50" s="567"/>
      <c r="J50" s="538"/>
      <c r="K50" s="538"/>
      <c r="L50" s="131">
        <v>52</v>
      </c>
      <c r="M50" s="231">
        <v>44</v>
      </c>
      <c r="N50" s="119">
        <v>0</v>
      </c>
      <c r="O50" s="119">
        <v>0</v>
      </c>
      <c r="P50" s="512"/>
      <c r="Q50" s="512"/>
      <c r="R50" s="512"/>
      <c r="S50" s="652"/>
      <c r="T50" s="630"/>
      <c r="U50" s="769"/>
    </row>
    <row r="51" spans="1:1892" s="11" customFormat="1" ht="35.1" customHeight="1">
      <c r="A51" s="1241"/>
      <c r="B51" s="772"/>
      <c r="C51" s="538"/>
      <c r="D51" s="573"/>
      <c r="E51" s="574"/>
      <c r="F51" s="575"/>
      <c r="G51" s="568"/>
      <c r="H51" s="568"/>
      <c r="I51" s="568"/>
      <c r="J51" s="539"/>
      <c r="K51" s="539"/>
      <c r="L51" s="131">
        <v>60</v>
      </c>
      <c r="M51" s="231">
        <v>24</v>
      </c>
      <c r="N51" s="119">
        <v>0</v>
      </c>
      <c r="O51" s="119">
        <v>0</v>
      </c>
      <c r="P51" s="512"/>
      <c r="Q51" s="512"/>
      <c r="R51" s="512"/>
      <c r="S51" s="652"/>
      <c r="T51" s="630"/>
      <c r="U51" s="769"/>
    </row>
    <row r="52" spans="1:1892" s="11" customFormat="1" ht="35.1" customHeight="1">
      <c r="A52" s="1241"/>
      <c r="B52" s="773"/>
      <c r="C52" s="539"/>
      <c r="D52" s="576"/>
      <c r="E52" s="577"/>
      <c r="F52" s="578"/>
      <c r="G52" s="463" t="s">
        <v>329</v>
      </c>
      <c r="H52" s="464"/>
      <c r="I52" s="464"/>
      <c r="J52" s="464"/>
      <c r="K52" s="465"/>
      <c r="L52" s="133"/>
      <c r="M52" s="224">
        <f>SUM(M48:M51)</f>
        <v>258</v>
      </c>
      <c r="N52" s="263">
        <f>SUM(N48:N51)</f>
        <v>1</v>
      </c>
      <c r="O52" s="263">
        <f>SUM(O48:O51)</f>
        <v>1</v>
      </c>
      <c r="P52" s="513"/>
      <c r="Q52" s="513"/>
      <c r="R52" s="513"/>
      <c r="S52" s="653"/>
      <c r="T52" s="631"/>
      <c r="U52" s="770"/>
    </row>
    <row r="53" spans="1:1892" s="18" customFormat="1" ht="35.1" customHeight="1">
      <c r="A53" s="1241"/>
      <c r="B53" s="620" t="s">
        <v>105</v>
      </c>
      <c r="C53" s="621"/>
      <c r="D53" s="621"/>
      <c r="E53" s="621"/>
      <c r="F53" s="621"/>
      <c r="G53" s="621"/>
      <c r="H53" s="621"/>
      <c r="I53" s="621"/>
      <c r="J53" s="621"/>
      <c r="K53" s="622"/>
      <c r="L53" s="122"/>
      <c r="M53" s="234"/>
      <c r="N53" s="391">
        <f>N52+N47+N43+N39+N34+N30+N26</f>
        <v>54</v>
      </c>
      <c r="O53" s="391">
        <f>O52+O47+O43+O39+O34+O30+O26</f>
        <v>53</v>
      </c>
      <c r="P53" s="123"/>
      <c r="Q53" s="123"/>
      <c r="R53" s="123"/>
      <c r="S53" s="124"/>
      <c r="T53" s="125"/>
      <c r="U53" s="124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/>
      <c r="EQ53" s="19"/>
      <c r="ER53" s="19"/>
      <c r="ES53" s="19"/>
      <c r="ET53" s="19"/>
      <c r="EU53" s="19"/>
      <c r="EV53" s="19"/>
      <c r="EW53" s="19"/>
      <c r="EX53" s="19"/>
      <c r="EY53" s="19"/>
      <c r="EZ53" s="19"/>
      <c r="FA53" s="19"/>
      <c r="FB53" s="19"/>
      <c r="FC53" s="19"/>
      <c r="FD53" s="19"/>
      <c r="FE53" s="19"/>
      <c r="FF53" s="19"/>
      <c r="FG53" s="19"/>
      <c r="FH53" s="19"/>
      <c r="FI53" s="19"/>
      <c r="FJ53" s="19"/>
      <c r="FK53" s="19"/>
      <c r="FL53" s="19"/>
      <c r="FM53" s="19"/>
      <c r="FN53" s="19"/>
      <c r="FO53" s="19"/>
      <c r="FP53" s="19"/>
      <c r="FQ53" s="19"/>
      <c r="FR53" s="19"/>
      <c r="FS53" s="19"/>
      <c r="FT53" s="19"/>
      <c r="FU53" s="19"/>
      <c r="FV53" s="19"/>
      <c r="FW53" s="19"/>
      <c r="FX53" s="19"/>
      <c r="FY53" s="19"/>
      <c r="FZ53" s="19"/>
      <c r="GA53" s="19"/>
      <c r="GB53" s="19"/>
      <c r="GC53" s="19"/>
      <c r="GD53" s="19"/>
      <c r="GE53" s="19"/>
      <c r="GF53" s="19"/>
      <c r="GG53" s="19"/>
      <c r="GH53" s="19"/>
      <c r="GI53" s="19"/>
      <c r="GJ53" s="19"/>
      <c r="GK53" s="19"/>
      <c r="GL53" s="19"/>
      <c r="GM53" s="19"/>
      <c r="GN53" s="19"/>
      <c r="GO53" s="19"/>
      <c r="GP53" s="19"/>
      <c r="GQ53" s="19"/>
      <c r="GR53" s="19"/>
      <c r="GS53" s="19"/>
      <c r="GT53" s="19"/>
      <c r="GU53" s="19"/>
      <c r="GV53" s="19"/>
      <c r="GW53" s="19"/>
      <c r="GX53" s="19"/>
      <c r="GY53" s="19"/>
      <c r="GZ53" s="19"/>
      <c r="HA53" s="19"/>
      <c r="HB53" s="19"/>
      <c r="HC53" s="19"/>
      <c r="HD53" s="19"/>
      <c r="HE53" s="19"/>
      <c r="HF53" s="19"/>
      <c r="HG53" s="19"/>
      <c r="HH53" s="19"/>
      <c r="HI53" s="19"/>
      <c r="HJ53" s="19"/>
      <c r="HK53" s="19"/>
      <c r="HL53" s="19"/>
      <c r="HM53" s="19"/>
      <c r="HN53" s="19"/>
      <c r="HO53" s="19"/>
      <c r="HP53" s="19"/>
      <c r="HQ53" s="19"/>
      <c r="HR53" s="19"/>
      <c r="HS53" s="19"/>
      <c r="HT53" s="19"/>
      <c r="HU53" s="19"/>
      <c r="HV53" s="19"/>
      <c r="HW53" s="19"/>
      <c r="HX53" s="19"/>
      <c r="HY53" s="19"/>
      <c r="HZ53" s="19"/>
      <c r="IA53" s="19"/>
      <c r="IB53" s="19"/>
      <c r="IC53" s="19"/>
      <c r="ID53" s="19"/>
      <c r="IE53" s="19"/>
      <c r="IF53" s="19"/>
      <c r="IG53" s="19"/>
      <c r="IH53" s="19"/>
      <c r="II53" s="19"/>
      <c r="IJ53" s="19"/>
      <c r="IK53" s="19"/>
      <c r="IL53" s="19"/>
      <c r="IM53" s="19"/>
      <c r="IN53" s="19"/>
      <c r="IO53" s="19"/>
      <c r="IP53" s="19"/>
      <c r="IQ53" s="19"/>
      <c r="IR53" s="19"/>
      <c r="IS53" s="19"/>
      <c r="IT53" s="19"/>
      <c r="IU53" s="19"/>
      <c r="IV53" s="19"/>
      <c r="IW53" s="19"/>
      <c r="IX53" s="19"/>
      <c r="IY53" s="19"/>
      <c r="IZ53" s="19"/>
      <c r="JA53" s="19"/>
      <c r="JB53" s="19"/>
      <c r="JC53" s="19"/>
      <c r="JD53" s="19"/>
      <c r="JE53" s="19"/>
      <c r="JF53" s="19"/>
      <c r="JG53" s="19"/>
      <c r="JH53" s="19"/>
      <c r="JI53" s="19"/>
      <c r="JJ53" s="19"/>
      <c r="JK53" s="19"/>
      <c r="JL53" s="19"/>
      <c r="JM53" s="19"/>
      <c r="JN53" s="19"/>
      <c r="JO53" s="19"/>
      <c r="JP53" s="19"/>
      <c r="JQ53" s="19"/>
      <c r="JR53" s="19"/>
      <c r="JS53" s="19"/>
      <c r="JT53" s="19"/>
      <c r="JU53" s="19"/>
      <c r="JV53" s="19"/>
      <c r="JW53" s="19"/>
      <c r="JX53" s="19"/>
      <c r="JY53" s="19"/>
      <c r="JZ53" s="19"/>
      <c r="KA53" s="19"/>
      <c r="KB53" s="19"/>
      <c r="KC53" s="19"/>
      <c r="KD53" s="19"/>
      <c r="KE53" s="19"/>
      <c r="KF53" s="19"/>
      <c r="KG53" s="19"/>
      <c r="KH53" s="19"/>
      <c r="KI53" s="19"/>
      <c r="KJ53" s="19"/>
      <c r="KK53" s="19"/>
      <c r="KL53" s="19"/>
      <c r="KM53" s="19"/>
      <c r="KN53" s="19"/>
      <c r="KO53" s="19"/>
      <c r="KP53" s="19"/>
      <c r="KQ53" s="19"/>
      <c r="KR53" s="19"/>
      <c r="KS53" s="19"/>
      <c r="KT53" s="19"/>
      <c r="KU53" s="19"/>
      <c r="KV53" s="19"/>
      <c r="KW53" s="19"/>
      <c r="KX53" s="19"/>
      <c r="KY53" s="19"/>
      <c r="KZ53" s="19"/>
      <c r="LA53" s="19"/>
      <c r="LB53" s="19"/>
      <c r="LC53" s="19"/>
      <c r="LD53" s="19"/>
      <c r="LE53" s="19"/>
      <c r="LF53" s="19"/>
      <c r="LG53" s="19"/>
      <c r="LH53" s="19"/>
      <c r="LI53" s="19"/>
      <c r="LJ53" s="19"/>
      <c r="LK53" s="19"/>
      <c r="LL53" s="19"/>
      <c r="LM53" s="19"/>
      <c r="LN53" s="19"/>
      <c r="LO53" s="19"/>
      <c r="LP53" s="19"/>
      <c r="LQ53" s="19"/>
      <c r="LR53" s="19"/>
      <c r="LS53" s="19"/>
      <c r="LT53" s="19"/>
      <c r="LU53" s="19"/>
      <c r="LV53" s="19"/>
      <c r="LW53" s="19"/>
      <c r="LX53" s="19"/>
      <c r="LY53" s="19"/>
      <c r="LZ53" s="19"/>
      <c r="MA53" s="19"/>
      <c r="MB53" s="19"/>
      <c r="MC53" s="19"/>
      <c r="MD53" s="19"/>
      <c r="ME53" s="19"/>
      <c r="MF53" s="19"/>
      <c r="MG53" s="19"/>
      <c r="MH53" s="19"/>
      <c r="MI53" s="19"/>
      <c r="MJ53" s="19"/>
      <c r="MK53" s="19"/>
      <c r="ML53" s="19"/>
      <c r="MM53" s="19"/>
      <c r="MN53" s="19"/>
      <c r="MO53" s="19"/>
      <c r="MP53" s="19"/>
      <c r="MQ53" s="19"/>
      <c r="MR53" s="19"/>
      <c r="MS53" s="19"/>
      <c r="MT53" s="19"/>
      <c r="MU53" s="19"/>
      <c r="MV53" s="19"/>
      <c r="MW53" s="19"/>
      <c r="MX53" s="19"/>
      <c r="MY53" s="19"/>
      <c r="MZ53" s="19"/>
      <c r="NA53" s="19"/>
      <c r="NB53" s="19"/>
      <c r="NC53" s="19"/>
      <c r="ND53" s="19"/>
      <c r="NE53" s="19"/>
      <c r="NF53" s="19"/>
      <c r="NG53" s="19"/>
      <c r="NH53" s="19"/>
      <c r="NI53" s="19"/>
      <c r="NJ53" s="19"/>
      <c r="NK53" s="19"/>
      <c r="NL53" s="19"/>
      <c r="NM53" s="19"/>
      <c r="NN53" s="19"/>
      <c r="NO53" s="19"/>
      <c r="NP53" s="19"/>
      <c r="NQ53" s="19"/>
      <c r="NR53" s="19"/>
      <c r="NS53" s="19"/>
      <c r="NT53" s="19"/>
      <c r="NU53" s="19"/>
      <c r="NV53" s="19"/>
      <c r="NW53" s="19"/>
      <c r="NX53" s="19"/>
      <c r="NY53" s="19"/>
      <c r="NZ53" s="19"/>
      <c r="OA53" s="19"/>
      <c r="OB53" s="19"/>
      <c r="OC53" s="19"/>
      <c r="OD53" s="19"/>
      <c r="OE53" s="19"/>
      <c r="OF53" s="19"/>
      <c r="OG53" s="19"/>
      <c r="OH53" s="19"/>
      <c r="OI53" s="19"/>
      <c r="OJ53" s="19"/>
      <c r="OK53" s="19"/>
      <c r="OL53" s="19"/>
      <c r="OM53" s="19"/>
      <c r="ON53" s="19"/>
      <c r="OO53" s="19"/>
      <c r="OP53" s="19"/>
      <c r="OQ53" s="19"/>
      <c r="OR53" s="19"/>
      <c r="OS53" s="19"/>
      <c r="OT53" s="19"/>
      <c r="OU53" s="19"/>
      <c r="OV53" s="19"/>
      <c r="OW53" s="19"/>
      <c r="OX53" s="19"/>
      <c r="OY53" s="19"/>
      <c r="OZ53" s="19"/>
      <c r="PA53" s="19"/>
      <c r="PB53" s="19"/>
      <c r="PC53" s="19"/>
      <c r="PD53" s="19"/>
      <c r="PE53" s="19"/>
      <c r="PF53" s="19"/>
      <c r="PG53" s="19"/>
      <c r="PH53" s="19"/>
      <c r="PI53" s="19"/>
      <c r="PJ53" s="19"/>
      <c r="PK53" s="19"/>
      <c r="PL53" s="19"/>
      <c r="PM53" s="19"/>
      <c r="PN53" s="19"/>
      <c r="PO53" s="19"/>
      <c r="PP53" s="19"/>
      <c r="PQ53" s="19"/>
      <c r="PR53" s="19"/>
      <c r="PS53" s="19"/>
      <c r="PT53" s="19"/>
      <c r="PU53" s="19"/>
      <c r="PV53" s="19"/>
      <c r="PW53" s="19"/>
      <c r="PX53" s="19"/>
      <c r="PY53" s="19"/>
      <c r="PZ53" s="19"/>
      <c r="QA53" s="19"/>
      <c r="QB53" s="19"/>
      <c r="QC53" s="19"/>
      <c r="QD53" s="19"/>
      <c r="QE53" s="19"/>
      <c r="QF53" s="19"/>
      <c r="QG53" s="19"/>
      <c r="QH53" s="19"/>
      <c r="QI53" s="19"/>
      <c r="QJ53" s="19"/>
      <c r="QK53" s="19"/>
      <c r="QL53" s="19"/>
      <c r="QM53" s="19"/>
      <c r="QN53" s="19"/>
      <c r="QO53" s="19"/>
      <c r="QP53" s="19"/>
      <c r="QQ53" s="19"/>
      <c r="QR53" s="19"/>
      <c r="QS53" s="19"/>
      <c r="QT53" s="19"/>
      <c r="QU53" s="19"/>
      <c r="QV53" s="19"/>
      <c r="QW53" s="19"/>
      <c r="QX53" s="19"/>
      <c r="QY53" s="19"/>
      <c r="QZ53" s="19"/>
      <c r="RA53" s="19"/>
      <c r="RB53" s="19"/>
      <c r="RC53" s="19"/>
      <c r="RD53" s="19"/>
      <c r="RE53" s="19"/>
      <c r="RF53" s="19"/>
      <c r="RG53" s="19"/>
      <c r="RH53" s="19"/>
      <c r="RI53" s="19"/>
      <c r="RJ53" s="19"/>
      <c r="RK53" s="19"/>
      <c r="RL53" s="19"/>
      <c r="RM53" s="19"/>
      <c r="RN53" s="19"/>
      <c r="RO53" s="19"/>
      <c r="RP53" s="19"/>
      <c r="RQ53" s="19"/>
      <c r="RR53" s="19"/>
      <c r="RS53" s="19"/>
      <c r="RT53" s="19"/>
      <c r="RU53" s="19"/>
      <c r="RV53" s="19"/>
      <c r="RW53" s="19"/>
      <c r="RX53" s="19"/>
      <c r="RY53" s="19"/>
      <c r="RZ53" s="19"/>
      <c r="SA53" s="19"/>
      <c r="SB53" s="19"/>
      <c r="SC53" s="19"/>
      <c r="SD53" s="19"/>
      <c r="SE53" s="19"/>
      <c r="SF53" s="19"/>
      <c r="SG53" s="19"/>
      <c r="SH53" s="19"/>
      <c r="SI53" s="19"/>
      <c r="SJ53" s="19"/>
      <c r="SK53" s="19"/>
      <c r="SL53" s="19"/>
      <c r="SM53" s="19"/>
      <c r="SN53" s="19"/>
      <c r="SO53" s="19"/>
      <c r="SP53" s="19"/>
      <c r="SQ53" s="19"/>
      <c r="SR53" s="19"/>
      <c r="SS53" s="19"/>
      <c r="ST53" s="19"/>
      <c r="SU53" s="19"/>
      <c r="SV53" s="19"/>
      <c r="SW53" s="19"/>
      <c r="SX53" s="19"/>
      <c r="SY53" s="19"/>
      <c r="SZ53" s="19"/>
      <c r="TA53" s="19"/>
      <c r="TB53" s="19"/>
      <c r="TC53" s="19"/>
      <c r="TD53" s="19"/>
      <c r="TE53" s="19"/>
      <c r="TF53" s="19"/>
      <c r="TG53" s="19"/>
      <c r="TH53" s="19"/>
      <c r="TI53" s="19"/>
      <c r="TJ53" s="19"/>
      <c r="TK53" s="19"/>
      <c r="TL53" s="19"/>
      <c r="TM53" s="19"/>
      <c r="TN53" s="19"/>
      <c r="TO53" s="19"/>
      <c r="TP53" s="19"/>
      <c r="TQ53" s="19"/>
      <c r="TR53" s="19"/>
      <c r="TS53" s="19"/>
      <c r="TT53" s="19"/>
      <c r="TU53" s="19"/>
      <c r="TV53" s="19"/>
      <c r="TW53" s="19"/>
      <c r="TX53" s="19"/>
      <c r="TY53" s="19"/>
      <c r="TZ53" s="19"/>
      <c r="UA53" s="19"/>
      <c r="UB53" s="19"/>
      <c r="UC53" s="19"/>
      <c r="UD53" s="19"/>
      <c r="UE53" s="19"/>
      <c r="UF53" s="19"/>
      <c r="UG53" s="19"/>
      <c r="UH53" s="19"/>
      <c r="UI53" s="19"/>
      <c r="UJ53" s="19"/>
      <c r="UK53" s="19"/>
      <c r="UL53" s="19"/>
      <c r="UM53" s="19"/>
      <c r="UN53" s="19"/>
      <c r="UO53" s="19"/>
      <c r="UP53" s="19"/>
      <c r="UQ53" s="19"/>
      <c r="UR53" s="19"/>
      <c r="US53" s="19"/>
      <c r="UT53" s="19"/>
      <c r="UU53" s="19"/>
      <c r="UV53" s="19"/>
      <c r="UW53" s="19"/>
      <c r="UX53" s="19"/>
      <c r="UY53" s="19"/>
      <c r="UZ53" s="19"/>
      <c r="VA53" s="19"/>
      <c r="VB53" s="19"/>
      <c r="VC53" s="19"/>
      <c r="VD53" s="19"/>
      <c r="VE53" s="19"/>
      <c r="VF53" s="19"/>
      <c r="VG53" s="19"/>
      <c r="VH53" s="19"/>
      <c r="VI53" s="19"/>
      <c r="VJ53" s="19"/>
      <c r="VK53" s="19"/>
      <c r="VL53" s="19"/>
      <c r="VM53" s="19"/>
      <c r="VN53" s="19"/>
      <c r="VO53" s="19"/>
      <c r="VP53" s="19"/>
      <c r="VQ53" s="19"/>
      <c r="VR53" s="19"/>
      <c r="VS53" s="19"/>
      <c r="VT53" s="19"/>
      <c r="VU53" s="19"/>
      <c r="VV53" s="19"/>
      <c r="VW53" s="19"/>
      <c r="VX53" s="19"/>
      <c r="VY53" s="19"/>
      <c r="VZ53" s="19"/>
      <c r="WA53" s="19"/>
      <c r="WB53" s="19"/>
      <c r="WC53" s="19"/>
      <c r="WD53" s="19"/>
      <c r="WE53" s="19"/>
      <c r="WF53" s="19"/>
      <c r="WG53" s="19"/>
      <c r="WH53" s="19"/>
      <c r="WI53" s="19"/>
      <c r="WJ53" s="19"/>
      <c r="WK53" s="19"/>
      <c r="WL53" s="19"/>
      <c r="WM53" s="19"/>
      <c r="WN53" s="19"/>
      <c r="WO53" s="19"/>
      <c r="WP53" s="19"/>
      <c r="WQ53" s="19"/>
      <c r="WR53" s="19"/>
      <c r="WS53" s="19"/>
      <c r="WT53" s="19"/>
      <c r="WU53" s="19"/>
      <c r="WV53" s="19"/>
      <c r="WW53" s="19"/>
      <c r="WX53" s="19"/>
      <c r="WY53" s="19"/>
      <c r="WZ53" s="19"/>
      <c r="XA53" s="19"/>
      <c r="XB53" s="19"/>
      <c r="XC53" s="19"/>
      <c r="XD53" s="19"/>
      <c r="XE53" s="19"/>
      <c r="XF53" s="19"/>
      <c r="XG53" s="19"/>
      <c r="XH53" s="19"/>
      <c r="XI53" s="19"/>
      <c r="XJ53" s="19"/>
      <c r="XK53" s="19"/>
      <c r="XL53" s="19"/>
      <c r="XM53" s="19"/>
      <c r="XN53" s="19"/>
      <c r="XO53" s="19"/>
      <c r="XP53" s="19"/>
      <c r="XQ53" s="19"/>
      <c r="XR53" s="19"/>
      <c r="XS53" s="19"/>
      <c r="XT53" s="19"/>
      <c r="XU53" s="19"/>
      <c r="XV53" s="19"/>
      <c r="XW53" s="19"/>
      <c r="XX53" s="19"/>
      <c r="XY53" s="19"/>
      <c r="XZ53" s="19"/>
      <c r="YA53" s="19"/>
      <c r="YB53" s="19"/>
      <c r="YC53" s="19"/>
      <c r="YD53" s="19"/>
      <c r="YE53" s="19"/>
      <c r="YF53" s="19"/>
      <c r="YG53" s="19"/>
      <c r="YH53" s="19"/>
      <c r="YI53" s="19"/>
      <c r="YJ53" s="19"/>
      <c r="YK53" s="19"/>
      <c r="YL53" s="19"/>
      <c r="YM53" s="19"/>
      <c r="YN53" s="19"/>
      <c r="YO53" s="19"/>
      <c r="YP53" s="19"/>
      <c r="YQ53" s="19"/>
      <c r="YR53" s="19"/>
      <c r="YS53" s="19"/>
      <c r="YT53" s="19"/>
      <c r="YU53" s="19"/>
      <c r="YV53" s="19"/>
      <c r="YW53" s="19"/>
      <c r="YX53" s="19"/>
      <c r="YY53" s="19"/>
      <c r="YZ53" s="19"/>
      <c r="ZA53" s="19"/>
      <c r="ZB53" s="19"/>
      <c r="ZC53" s="19"/>
      <c r="ZD53" s="19"/>
      <c r="ZE53" s="19"/>
      <c r="ZF53" s="19"/>
      <c r="ZG53" s="19"/>
      <c r="ZH53" s="19"/>
      <c r="ZI53" s="19"/>
      <c r="ZJ53" s="19"/>
      <c r="ZK53" s="19"/>
      <c r="ZL53" s="19"/>
      <c r="ZM53" s="19"/>
      <c r="ZN53" s="19"/>
      <c r="ZO53" s="19"/>
      <c r="ZP53" s="19"/>
      <c r="ZQ53" s="19"/>
      <c r="ZR53" s="19"/>
      <c r="ZS53" s="19"/>
      <c r="ZT53" s="19"/>
      <c r="ZU53" s="19"/>
      <c r="ZV53" s="19"/>
      <c r="ZW53" s="19"/>
      <c r="ZX53" s="19"/>
      <c r="ZY53" s="19"/>
      <c r="ZZ53" s="19"/>
      <c r="AAA53" s="19"/>
      <c r="AAB53" s="19"/>
      <c r="AAC53" s="19"/>
      <c r="AAD53" s="19"/>
      <c r="AAE53" s="19"/>
      <c r="AAF53" s="19"/>
      <c r="AAG53" s="19"/>
      <c r="AAH53" s="19"/>
      <c r="AAI53" s="19"/>
      <c r="AAJ53" s="19"/>
      <c r="AAK53" s="19"/>
      <c r="AAL53" s="19"/>
      <c r="AAM53" s="19"/>
      <c r="AAN53" s="19"/>
      <c r="AAO53" s="19"/>
      <c r="AAP53" s="19"/>
      <c r="AAQ53" s="19"/>
      <c r="AAR53" s="19"/>
      <c r="AAS53" s="19"/>
      <c r="AAT53" s="19"/>
      <c r="AAU53" s="19"/>
      <c r="AAV53" s="19"/>
      <c r="AAW53" s="19"/>
      <c r="AAX53" s="19"/>
      <c r="AAY53" s="19"/>
      <c r="AAZ53" s="19"/>
      <c r="ABA53" s="19"/>
      <c r="ABB53" s="19"/>
      <c r="ABC53" s="19"/>
      <c r="ABD53" s="19"/>
      <c r="ABE53" s="19"/>
      <c r="ABF53" s="19"/>
      <c r="ABG53" s="19"/>
      <c r="ABH53" s="19"/>
      <c r="ABI53" s="19"/>
      <c r="ABJ53" s="19"/>
      <c r="ABK53" s="19"/>
      <c r="ABL53" s="19"/>
      <c r="ABM53" s="19"/>
      <c r="ABN53" s="19"/>
      <c r="ABO53" s="19"/>
      <c r="ABP53" s="19"/>
      <c r="ABQ53" s="19"/>
      <c r="ABR53" s="19"/>
      <c r="ABS53" s="19"/>
      <c r="ABT53" s="19"/>
      <c r="ABU53" s="19"/>
      <c r="ABV53" s="19"/>
      <c r="ABW53" s="19"/>
      <c r="ABX53" s="19"/>
      <c r="ABY53" s="19"/>
      <c r="ABZ53" s="19"/>
      <c r="ACA53" s="19"/>
      <c r="ACB53" s="19"/>
      <c r="ACC53" s="19"/>
      <c r="ACD53" s="19"/>
      <c r="ACE53" s="19"/>
      <c r="ACF53" s="19"/>
      <c r="ACG53" s="19"/>
      <c r="ACH53" s="19"/>
      <c r="ACI53" s="19"/>
      <c r="ACJ53" s="19"/>
      <c r="ACK53" s="19"/>
      <c r="ACL53" s="19"/>
      <c r="ACM53" s="19"/>
      <c r="ACN53" s="19"/>
      <c r="ACO53" s="19"/>
      <c r="ACP53" s="19"/>
      <c r="ACQ53" s="19"/>
      <c r="ACR53" s="19"/>
      <c r="ACS53" s="19"/>
      <c r="ACT53" s="19"/>
      <c r="ACU53" s="19"/>
      <c r="ACV53" s="19"/>
      <c r="ACW53" s="19"/>
      <c r="ACX53" s="19"/>
      <c r="ACY53" s="19"/>
      <c r="ACZ53" s="19"/>
      <c r="ADA53" s="19"/>
      <c r="ADB53" s="19"/>
      <c r="ADC53" s="19"/>
      <c r="ADD53" s="19"/>
      <c r="ADE53" s="19"/>
      <c r="ADF53" s="19"/>
      <c r="ADG53" s="19"/>
      <c r="ADH53" s="19"/>
      <c r="ADI53" s="19"/>
      <c r="ADJ53" s="19"/>
      <c r="ADK53" s="19"/>
      <c r="ADL53" s="19"/>
      <c r="ADM53" s="19"/>
      <c r="ADN53" s="19"/>
      <c r="ADO53" s="19"/>
      <c r="ADP53" s="19"/>
      <c r="ADQ53" s="19"/>
      <c r="ADR53" s="19"/>
      <c r="ADS53" s="19"/>
      <c r="ADT53" s="19"/>
      <c r="ADU53" s="19"/>
      <c r="ADV53" s="19"/>
      <c r="ADW53" s="19"/>
      <c r="ADX53" s="19"/>
      <c r="ADY53" s="19"/>
      <c r="ADZ53" s="19"/>
      <c r="AEA53" s="19"/>
      <c r="AEB53" s="19"/>
      <c r="AEC53" s="19"/>
      <c r="AED53" s="19"/>
      <c r="AEE53" s="19"/>
      <c r="AEF53" s="19"/>
      <c r="AEG53" s="19"/>
      <c r="AEH53" s="19"/>
      <c r="AEI53" s="19"/>
      <c r="AEJ53" s="19"/>
      <c r="AEK53" s="19"/>
      <c r="AEL53" s="19"/>
      <c r="AEM53" s="19"/>
      <c r="AEN53" s="19"/>
      <c r="AEO53" s="19"/>
      <c r="AEP53" s="19"/>
      <c r="AEQ53" s="19"/>
      <c r="AER53" s="19"/>
      <c r="AES53" s="19"/>
      <c r="AET53" s="19"/>
      <c r="AEU53" s="19"/>
      <c r="AEV53" s="19"/>
      <c r="AEW53" s="19"/>
      <c r="AEX53" s="19"/>
      <c r="AEY53" s="19"/>
      <c r="AEZ53" s="19"/>
      <c r="AFA53" s="19"/>
      <c r="AFB53" s="19"/>
      <c r="AFC53" s="19"/>
      <c r="AFD53" s="19"/>
      <c r="AFE53" s="19"/>
      <c r="AFF53" s="19"/>
      <c r="AFG53" s="19"/>
      <c r="AFH53" s="19"/>
      <c r="AFI53" s="19"/>
      <c r="AFJ53" s="19"/>
      <c r="AFK53" s="19"/>
      <c r="AFL53" s="19"/>
      <c r="AFM53" s="19"/>
      <c r="AFN53" s="19"/>
      <c r="AFO53" s="19"/>
      <c r="AFP53" s="19"/>
      <c r="AFQ53" s="19"/>
      <c r="AFR53" s="19"/>
      <c r="AFS53" s="19"/>
      <c r="AFT53" s="19"/>
      <c r="AFU53" s="19"/>
      <c r="AFV53" s="19"/>
      <c r="AFW53" s="19"/>
      <c r="AFX53" s="19"/>
      <c r="AFY53" s="19"/>
      <c r="AFZ53" s="19"/>
      <c r="AGA53" s="19"/>
      <c r="AGB53" s="19"/>
      <c r="AGC53" s="19"/>
      <c r="AGD53" s="19"/>
      <c r="AGE53" s="19"/>
      <c r="AGF53" s="19"/>
      <c r="AGG53" s="19"/>
      <c r="AGH53" s="19"/>
      <c r="AGI53" s="19"/>
      <c r="AGJ53" s="19"/>
      <c r="AGK53" s="19"/>
      <c r="AGL53" s="19"/>
      <c r="AGM53" s="19"/>
      <c r="AGN53" s="19"/>
      <c r="AGO53" s="19"/>
      <c r="AGP53" s="19"/>
      <c r="AGQ53" s="19"/>
      <c r="AGR53" s="19"/>
      <c r="AGS53" s="19"/>
      <c r="AGT53" s="19"/>
      <c r="AGU53" s="19"/>
      <c r="AGV53" s="19"/>
      <c r="AGW53" s="19"/>
      <c r="AGX53" s="19"/>
      <c r="AGY53" s="19"/>
      <c r="AGZ53" s="19"/>
      <c r="AHA53" s="19"/>
      <c r="AHB53" s="19"/>
      <c r="AHC53" s="19"/>
      <c r="AHD53" s="19"/>
      <c r="AHE53" s="19"/>
      <c r="AHF53" s="19"/>
      <c r="AHG53" s="19"/>
      <c r="AHH53" s="19"/>
      <c r="AHI53" s="19"/>
      <c r="AHJ53" s="19"/>
      <c r="AHK53" s="19"/>
      <c r="AHL53" s="19"/>
      <c r="AHM53" s="19"/>
      <c r="AHN53" s="19"/>
      <c r="AHO53" s="19"/>
      <c r="AHP53" s="19"/>
      <c r="AHQ53" s="19"/>
      <c r="AHR53" s="19"/>
      <c r="AHS53" s="19"/>
      <c r="AHT53" s="19"/>
      <c r="AHU53" s="19"/>
      <c r="AHV53" s="19"/>
      <c r="AHW53" s="19"/>
      <c r="AHX53" s="19"/>
      <c r="AHY53" s="19"/>
      <c r="AHZ53" s="19"/>
      <c r="AIA53" s="19"/>
      <c r="AIB53" s="19"/>
      <c r="AIC53" s="19"/>
      <c r="AID53" s="19"/>
      <c r="AIE53" s="19"/>
      <c r="AIF53" s="19"/>
      <c r="AIG53" s="19"/>
      <c r="AIH53" s="19"/>
      <c r="AII53" s="19"/>
      <c r="AIJ53" s="19"/>
      <c r="AIK53" s="19"/>
      <c r="AIL53" s="19"/>
      <c r="AIM53" s="19"/>
      <c r="AIN53" s="19"/>
      <c r="AIO53" s="19"/>
      <c r="AIP53" s="19"/>
      <c r="AIQ53" s="19"/>
      <c r="AIR53" s="19"/>
      <c r="AIS53" s="19"/>
      <c r="AIT53" s="19"/>
      <c r="AIU53" s="19"/>
      <c r="AIV53" s="19"/>
      <c r="AIW53" s="19"/>
      <c r="AIX53" s="19"/>
      <c r="AIY53" s="19"/>
      <c r="AIZ53" s="19"/>
      <c r="AJA53" s="19"/>
      <c r="AJB53" s="19"/>
      <c r="AJC53" s="19"/>
      <c r="AJD53" s="19"/>
      <c r="AJE53" s="19"/>
      <c r="AJF53" s="19"/>
      <c r="AJG53" s="19"/>
      <c r="AJH53" s="19"/>
      <c r="AJI53" s="19"/>
      <c r="AJJ53" s="19"/>
      <c r="AJK53" s="19"/>
      <c r="AJL53" s="19"/>
      <c r="AJM53" s="19"/>
      <c r="AJN53" s="19"/>
      <c r="AJO53" s="19"/>
      <c r="AJP53" s="19"/>
      <c r="AJQ53" s="19"/>
      <c r="AJR53" s="19"/>
      <c r="AJS53" s="19"/>
      <c r="AJT53" s="19"/>
      <c r="AJU53" s="19"/>
      <c r="AJV53" s="19"/>
      <c r="AJW53" s="19"/>
      <c r="AJX53" s="19"/>
      <c r="AJY53" s="19"/>
      <c r="AJZ53" s="19"/>
      <c r="AKA53" s="19"/>
      <c r="AKB53" s="19"/>
      <c r="AKC53" s="19"/>
      <c r="AKD53" s="19"/>
      <c r="AKE53" s="19"/>
      <c r="AKF53" s="19"/>
      <c r="AKG53" s="19"/>
      <c r="AKH53" s="19"/>
      <c r="AKI53" s="19"/>
      <c r="AKJ53" s="19"/>
      <c r="AKK53" s="19"/>
      <c r="AKL53" s="19"/>
      <c r="AKM53" s="19"/>
      <c r="AKN53" s="19"/>
      <c r="AKO53" s="19"/>
      <c r="AKP53" s="19"/>
      <c r="AKQ53" s="19"/>
      <c r="AKR53" s="19"/>
      <c r="AKS53" s="19"/>
      <c r="AKT53" s="19"/>
      <c r="AKU53" s="19"/>
      <c r="AKV53" s="19"/>
      <c r="AKW53" s="19"/>
      <c r="AKX53" s="19"/>
      <c r="AKY53" s="19"/>
      <c r="AKZ53" s="19"/>
      <c r="ALA53" s="19"/>
      <c r="ALB53" s="19"/>
      <c r="ALC53" s="19"/>
      <c r="ALD53" s="19"/>
      <c r="ALE53" s="19"/>
      <c r="ALF53" s="19"/>
      <c r="ALG53" s="19"/>
      <c r="ALH53" s="19"/>
      <c r="ALI53" s="19"/>
      <c r="ALJ53" s="19"/>
      <c r="ALK53" s="19"/>
      <c r="ALL53" s="19"/>
      <c r="ALM53" s="19"/>
      <c r="ALN53" s="19"/>
      <c r="ALO53" s="19"/>
      <c r="ALP53" s="19"/>
      <c r="ALQ53" s="19"/>
      <c r="ALR53" s="19"/>
      <c r="ALS53" s="19"/>
      <c r="ALT53" s="19"/>
      <c r="ALU53" s="19"/>
      <c r="ALV53" s="19"/>
      <c r="ALW53" s="19"/>
      <c r="ALX53" s="19"/>
      <c r="ALY53" s="19"/>
      <c r="ALZ53" s="19"/>
      <c r="AMA53" s="19"/>
      <c r="AMB53" s="19"/>
      <c r="AMC53" s="19"/>
      <c r="AMD53" s="19"/>
      <c r="AME53" s="19"/>
      <c r="AMF53" s="19"/>
      <c r="AMG53" s="19"/>
      <c r="AMH53" s="19"/>
      <c r="AMI53" s="19"/>
      <c r="AMJ53" s="19"/>
      <c r="AMK53" s="19"/>
      <c r="AML53" s="19"/>
      <c r="AMM53" s="19"/>
      <c r="AMN53" s="19"/>
      <c r="AMO53" s="19"/>
      <c r="AMP53" s="19"/>
      <c r="AMQ53" s="19"/>
      <c r="AMR53" s="19"/>
      <c r="AMS53" s="19"/>
      <c r="AMT53" s="19"/>
      <c r="AMU53" s="19"/>
      <c r="AMV53" s="19"/>
      <c r="AMW53" s="19"/>
      <c r="AMX53" s="19"/>
      <c r="AMY53" s="19"/>
      <c r="AMZ53" s="19"/>
      <c r="ANA53" s="19"/>
      <c r="ANB53" s="19"/>
      <c r="ANC53" s="19"/>
      <c r="AND53" s="19"/>
      <c r="ANE53" s="19"/>
      <c r="ANF53" s="19"/>
      <c r="ANG53" s="19"/>
      <c r="ANH53" s="19"/>
      <c r="ANI53" s="19"/>
      <c r="ANJ53" s="19"/>
      <c r="ANK53" s="19"/>
      <c r="ANL53" s="19"/>
      <c r="ANM53" s="19"/>
      <c r="ANN53" s="19"/>
      <c r="ANO53" s="19"/>
      <c r="ANP53" s="19"/>
      <c r="ANQ53" s="19"/>
      <c r="ANR53" s="19"/>
      <c r="ANS53" s="19"/>
      <c r="ANT53" s="19"/>
      <c r="ANU53" s="19"/>
      <c r="ANV53" s="19"/>
      <c r="ANW53" s="19"/>
      <c r="ANX53" s="19"/>
      <c r="ANY53" s="19"/>
      <c r="ANZ53" s="19"/>
      <c r="AOA53" s="19"/>
      <c r="AOB53" s="19"/>
      <c r="AOC53" s="19"/>
      <c r="AOD53" s="19"/>
      <c r="AOE53" s="19"/>
      <c r="AOF53" s="19"/>
      <c r="AOG53" s="19"/>
      <c r="AOH53" s="19"/>
      <c r="AOI53" s="19"/>
      <c r="AOJ53" s="19"/>
      <c r="AOK53" s="19"/>
      <c r="AOL53" s="19"/>
      <c r="AOM53" s="19"/>
      <c r="AON53" s="19"/>
      <c r="AOO53" s="19"/>
      <c r="AOP53" s="19"/>
      <c r="AOQ53" s="19"/>
      <c r="AOR53" s="19"/>
      <c r="AOS53" s="19"/>
      <c r="AOT53" s="19"/>
      <c r="AOU53" s="19"/>
      <c r="AOV53" s="19"/>
      <c r="AOW53" s="19"/>
      <c r="AOX53" s="19"/>
      <c r="AOY53" s="19"/>
      <c r="AOZ53" s="19"/>
      <c r="APA53" s="19"/>
      <c r="APB53" s="19"/>
      <c r="APC53" s="19"/>
      <c r="APD53" s="19"/>
      <c r="APE53" s="19"/>
      <c r="APF53" s="19"/>
      <c r="APG53" s="19"/>
      <c r="APH53" s="19"/>
      <c r="API53" s="19"/>
      <c r="APJ53" s="19"/>
      <c r="APK53" s="19"/>
      <c r="APL53" s="19"/>
      <c r="APM53" s="19"/>
      <c r="APN53" s="19"/>
      <c r="APO53" s="19"/>
      <c r="APP53" s="19"/>
      <c r="APQ53" s="19"/>
      <c r="APR53" s="19"/>
      <c r="APS53" s="19"/>
      <c r="APT53" s="19"/>
      <c r="APU53" s="19"/>
      <c r="APV53" s="19"/>
      <c r="APW53" s="19"/>
      <c r="APX53" s="19"/>
      <c r="APY53" s="19"/>
      <c r="APZ53" s="19"/>
      <c r="AQA53" s="19"/>
      <c r="AQB53" s="19"/>
      <c r="AQC53" s="19"/>
      <c r="AQD53" s="19"/>
      <c r="AQE53" s="19"/>
      <c r="AQF53" s="19"/>
      <c r="AQG53" s="19"/>
      <c r="AQH53" s="19"/>
      <c r="AQI53" s="19"/>
      <c r="AQJ53" s="19"/>
      <c r="AQK53" s="19"/>
      <c r="AQL53" s="19"/>
      <c r="AQM53" s="19"/>
      <c r="AQN53" s="19"/>
      <c r="AQO53" s="19"/>
      <c r="AQP53" s="19"/>
      <c r="AQQ53" s="19"/>
      <c r="AQR53" s="19"/>
      <c r="AQS53" s="19"/>
      <c r="AQT53" s="19"/>
      <c r="AQU53" s="19"/>
      <c r="AQV53" s="19"/>
      <c r="AQW53" s="19"/>
      <c r="AQX53" s="19"/>
      <c r="AQY53" s="19"/>
      <c r="AQZ53" s="19"/>
      <c r="ARA53" s="19"/>
      <c r="ARB53" s="19"/>
      <c r="ARC53" s="19"/>
      <c r="ARD53" s="19"/>
      <c r="ARE53" s="19"/>
      <c r="ARF53" s="19"/>
      <c r="ARG53" s="19"/>
      <c r="ARH53" s="19"/>
      <c r="ARI53" s="19"/>
      <c r="ARJ53" s="19"/>
      <c r="ARK53" s="19"/>
      <c r="ARL53" s="19"/>
      <c r="ARM53" s="19"/>
      <c r="ARN53" s="19"/>
      <c r="ARO53" s="19"/>
      <c r="ARP53" s="19"/>
      <c r="ARQ53" s="19"/>
      <c r="ARR53" s="19"/>
      <c r="ARS53" s="19"/>
      <c r="ART53" s="19"/>
      <c r="ARU53" s="19"/>
      <c r="ARV53" s="19"/>
      <c r="ARW53" s="19"/>
      <c r="ARX53" s="19"/>
      <c r="ARY53" s="19"/>
      <c r="ARZ53" s="19"/>
      <c r="ASA53" s="19"/>
      <c r="ASB53" s="19"/>
      <c r="ASC53" s="19"/>
      <c r="ASD53" s="19"/>
      <c r="ASE53" s="19"/>
      <c r="ASF53" s="19"/>
      <c r="ASG53" s="19"/>
      <c r="ASH53" s="19"/>
      <c r="ASI53" s="19"/>
      <c r="ASJ53" s="19"/>
      <c r="ASK53" s="19"/>
      <c r="ASL53" s="19"/>
      <c r="ASM53" s="19"/>
      <c r="ASN53" s="19"/>
      <c r="ASO53" s="19"/>
      <c r="ASP53" s="19"/>
      <c r="ASQ53" s="19"/>
      <c r="ASR53" s="19"/>
      <c r="ASS53" s="19"/>
      <c r="AST53" s="19"/>
      <c r="ASU53" s="19"/>
      <c r="ASV53" s="19"/>
      <c r="ASW53" s="19"/>
      <c r="ASX53" s="19"/>
      <c r="ASY53" s="19"/>
      <c r="ASZ53" s="19"/>
      <c r="ATA53" s="19"/>
      <c r="ATB53" s="19"/>
      <c r="ATC53" s="19"/>
      <c r="ATD53" s="19"/>
      <c r="ATE53" s="19"/>
      <c r="ATF53" s="19"/>
      <c r="ATG53" s="19"/>
      <c r="ATH53" s="19"/>
      <c r="ATI53" s="19"/>
      <c r="ATJ53" s="19"/>
      <c r="ATK53" s="19"/>
      <c r="ATL53" s="19"/>
      <c r="ATM53" s="19"/>
      <c r="ATN53" s="19"/>
      <c r="ATO53" s="19"/>
      <c r="ATP53" s="19"/>
      <c r="ATQ53" s="19"/>
      <c r="ATR53" s="19"/>
      <c r="ATS53" s="19"/>
      <c r="ATT53" s="19"/>
      <c r="ATU53" s="19"/>
      <c r="ATV53" s="19"/>
      <c r="ATW53" s="19"/>
      <c r="ATX53" s="19"/>
      <c r="ATY53" s="19"/>
      <c r="ATZ53" s="19"/>
      <c r="AUA53" s="19"/>
      <c r="AUB53" s="19"/>
      <c r="AUC53" s="19"/>
      <c r="AUD53" s="19"/>
      <c r="AUE53" s="19"/>
      <c r="AUF53" s="19"/>
      <c r="AUG53" s="19"/>
      <c r="AUH53" s="19"/>
      <c r="AUI53" s="19"/>
      <c r="AUJ53" s="19"/>
      <c r="AUK53" s="19"/>
      <c r="AUL53" s="19"/>
      <c r="AUM53" s="19"/>
      <c r="AUN53" s="19"/>
      <c r="AUO53" s="19"/>
      <c r="AUP53" s="19"/>
      <c r="AUQ53" s="19"/>
      <c r="AUR53" s="19"/>
      <c r="AUS53" s="19"/>
      <c r="AUT53" s="19"/>
      <c r="AUU53" s="19"/>
      <c r="AUV53" s="19"/>
      <c r="AUW53" s="19"/>
      <c r="AUX53" s="19"/>
      <c r="AUY53" s="19"/>
      <c r="AUZ53" s="19"/>
      <c r="AVA53" s="19"/>
      <c r="AVB53" s="19"/>
      <c r="AVC53" s="19"/>
      <c r="AVD53" s="19"/>
      <c r="AVE53" s="19"/>
      <c r="AVF53" s="19"/>
      <c r="AVG53" s="19"/>
      <c r="AVH53" s="19"/>
      <c r="AVI53" s="19"/>
      <c r="AVJ53" s="19"/>
      <c r="AVK53" s="19"/>
      <c r="AVL53" s="19"/>
      <c r="AVM53" s="19"/>
      <c r="AVN53" s="19"/>
      <c r="AVO53" s="19"/>
      <c r="AVP53" s="19"/>
      <c r="AVQ53" s="19"/>
      <c r="AVR53" s="19"/>
      <c r="AVS53" s="19"/>
      <c r="AVT53" s="19"/>
      <c r="AVU53" s="19"/>
      <c r="AVV53" s="19"/>
      <c r="AVW53" s="19"/>
      <c r="AVX53" s="19"/>
      <c r="AVY53" s="19"/>
      <c r="AVZ53" s="19"/>
      <c r="AWA53" s="19"/>
      <c r="AWB53" s="19"/>
      <c r="AWC53" s="19"/>
      <c r="AWD53" s="19"/>
      <c r="AWE53" s="19"/>
      <c r="AWF53" s="19"/>
      <c r="AWG53" s="19"/>
      <c r="AWH53" s="19"/>
      <c r="AWI53" s="19"/>
      <c r="AWJ53" s="19"/>
      <c r="AWK53" s="19"/>
      <c r="AWL53" s="19"/>
      <c r="AWM53" s="19"/>
      <c r="AWN53" s="19"/>
      <c r="AWO53" s="19"/>
      <c r="AWP53" s="19"/>
      <c r="AWQ53" s="19"/>
      <c r="AWR53" s="19"/>
      <c r="AWS53" s="19"/>
      <c r="AWT53" s="19"/>
      <c r="AWU53" s="19"/>
      <c r="AWV53" s="19"/>
      <c r="AWW53" s="19"/>
      <c r="AWX53" s="19"/>
      <c r="AWY53" s="19"/>
      <c r="AWZ53" s="19"/>
      <c r="AXA53" s="19"/>
      <c r="AXB53" s="19"/>
      <c r="AXC53" s="19"/>
      <c r="AXD53" s="19"/>
      <c r="AXE53" s="19"/>
      <c r="AXF53" s="19"/>
      <c r="AXG53" s="19"/>
      <c r="AXH53" s="19"/>
      <c r="AXI53" s="19"/>
      <c r="AXJ53" s="19"/>
      <c r="AXK53" s="19"/>
      <c r="AXL53" s="19"/>
      <c r="AXM53" s="19"/>
      <c r="AXN53" s="19"/>
      <c r="AXO53" s="19"/>
      <c r="AXP53" s="19"/>
      <c r="AXQ53" s="19"/>
      <c r="AXR53" s="19"/>
      <c r="AXS53" s="19"/>
      <c r="AXT53" s="19"/>
      <c r="AXU53" s="19"/>
      <c r="AXV53" s="19"/>
      <c r="AXW53" s="19"/>
      <c r="AXX53" s="19"/>
      <c r="AXY53" s="19"/>
      <c r="AXZ53" s="19"/>
      <c r="AYA53" s="19"/>
      <c r="AYB53" s="19"/>
      <c r="AYC53" s="19"/>
      <c r="AYD53" s="19"/>
      <c r="AYE53" s="19"/>
      <c r="AYF53" s="19"/>
      <c r="AYG53" s="19"/>
      <c r="AYH53" s="19"/>
      <c r="AYI53" s="19"/>
      <c r="AYJ53" s="19"/>
      <c r="AYK53" s="19"/>
      <c r="AYL53" s="19"/>
      <c r="AYM53" s="19"/>
      <c r="AYN53" s="19"/>
      <c r="AYO53" s="19"/>
      <c r="AYP53" s="19"/>
      <c r="AYQ53" s="19"/>
      <c r="AYR53" s="19"/>
      <c r="AYS53" s="19"/>
      <c r="AYT53" s="19"/>
      <c r="AYU53" s="19"/>
      <c r="AYV53" s="19"/>
      <c r="AYW53" s="19"/>
      <c r="AYX53" s="19"/>
      <c r="AYY53" s="19"/>
      <c r="AYZ53" s="19"/>
      <c r="AZA53" s="19"/>
      <c r="AZB53" s="19"/>
      <c r="AZC53" s="19"/>
      <c r="AZD53" s="19"/>
      <c r="AZE53" s="19"/>
      <c r="AZF53" s="19"/>
      <c r="AZG53" s="19"/>
      <c r="AZH53" s="19"/>
      <c r="AZI53" s="19"/>
      <c r="AZJ53" s="19"/>
      <c r="AZK53" s="19"/>
      <c r="AZL53" s="19"/>
      <c r="AZM53" s="19"/>
      <c r="AZN53" s="19"/>
      <c r="AZO53" s="19"/>
      <c r="AZP53" s="19"/>
      <c r="AZQ53" s="19"/>
      <c r="AZR53" s="19"/>
      <c r="AZS53" s="19"/>
      <c r="AZT53" s="19"/>
      <c r="AZU53" s="19"/>
      <c r="AZV53" s="19"/>
      <c r="AZW53" s="19"/>
      <c r="AZX53" s="19"/>
      <c r="AZY53" s="19"/>
      <c r="AZZ53" s="19"/>
      <c r="BAA53" s="19"/>
      <c r="BAB53" s="19"/>
      <c r="BAC53" s="19"/>
      <c r="BAD53" s="19"/>
      <c r="BAE53" s="19"/>
      <c r="BAF53" s="19"/>
      <c r="BAG53" s="19"/>
      <c r="BAH53" s="19"/>
      <c r="BAI53" s="19"/>
      <c r="BAJ53" s="19"/>
      <c r="BAK53" s="19"/>
      <c r="BAL53" s="19"/>
      <c r="BAM53" s="19"/>
      <c r="BAN53" s="19"/>
      <c r="BAO53" s="19"/>
      <c r="BAP53" s="19"/>
      <c r="BAQ53" s="19"/>
      <c r="BAR53" s="19"/>
      <c r="BAS53" s="19"/>
      <c r="BAT53" s="19"/>
      <c r="BAU53" s="19"/>
      <c r="BAV53" s="19"/>
      <c r="BAW53" s="19"/>
      <c r="BAX53" s="19"/>
      <c r="BAY53" s="19"/>
      <c r="BAZ53" s="19"/>
      <c r="BBA53" s="19"/>
      <c r="BBB53" s="19"/>
      <c r="BBC53" s="19"/>
      <c r="BBD53" s="19"/>
      <c r="BBE53" s="19"/>
      <c r="BBF53" s="19"/>
      <c r="BBG53" s="19"/>
      <c r="BBH53" s="19"/>
      <c r="BBI53" s="19"/>
      <c r="BBJ53" s="19"/>
      <c r="BBK53" s="19"/>
      <c r="BBL53" s="19"/>
      <c r="BBM53" s="19"/>
      <c r="BBN53" s="19"/>
      <c r="BBO53" s="19"/>
      <c r="BBP53" s="19"/>
      <c r="BBQ53" s="19"/>
      <c r="BBR53" s="19"/>
      <c r="BBS53" s="19"/>
      <c r="BBT53" s="19"/>
      <c r="BBU53" s="19"/>
      <c r="BBV53" s="19"/>
      <c r="BBW53" s="19"/>
      <c r="BBX53" s="19"/>
      <c r="BBY53" s="19"/>
      <c r="BBZ53" s="19"/>
      <c r="BCA53" s="19"/>
      <c r="BCB53" s="19"/>
      <c r="BCC53" s="19"/>
      <c r="BCD53" s="19"/>
      <c r="BCE53" s="19"/>
      <c r="BCF53" s="19"/>
      <c r="BCG53" s="19"/>
      <c r="BCH53" s="19"/>
      <c r="BCI53" s="19"/>
      <c r="BCJ53" s="19"/>
      <c r="BCK53" s="19"/>
      <c r="BCL53" s="19"/>
      <c r="BCM53" s="19"/>
      <c r="BCN53" s="19"/>
      <c r="BCO53" s="19"/>
      <c r="BCP53" s="19"/>
      <c r="BCQ53" s="19"/>
      <c r="BCR53" s="19"/>
      <c r="BCS53" s="19"/>
      <c r="BCT53" s="19"/>
      <c r="BCU53" s="19"/>
      <c r="BCV53" s="19"/>
      <c r="BCW53" s="19"/>
      <c r="BCX53" s="19"/>
      <c r="BCY53" s="19"/>
      <c r="BCZ53" s="19"/>
      <c r="BDA53" s="19"/>
      <c r="BDB53" s="19"/>
      <c r="BDC53" s="19"/>
      <c r="BDD53" s="19"/>
      <c r="BDE53" s="19"/>
      <c r="BDF53" s="19"/>
      <c r="BDG53" s="19"/>
      <c r="BDH53" s="19"/>
      <c r="BDI53" s="19"/>
      <c r="BDJ53" s="19"/>
      <c r="BDK53" s="19"/>
      <c r="BDL53" s="19"/>
      <c r="BDM53" s="19"/>
      <c r="BDN53" s="19"/>
      <c r="BDO53" s="19"/>
      <c r="BDP53" s="19"/>
      <c r="BDQ53" s="19"/>
      <c r="BDR53" s="19"/>
      <c r="BDS53" s="19"/>
      <c r="BDT53" s="19"/>
      <c r="BDU53" s="19"/>
      <c r="BDV53" s="19"/>
      <c r="BDW53" s="19"/>
      <c r="BDX53" s="19"/>
      <c r="BDY53" s="19"/>
      <c r="BDZ53" s="19"/>
      <c r="BEA53" s="19"/>
      <c r="BEB53" s="19"/>
      <c r="BEC53" s="19"/>
      <c r="BED53" s="19"/>
      <c r="BEE53" s="19"/>
      <c r="BEF53" s="19"/>
      <c r="BEG53" s="19"/>
      <c r="BEH53" s="19"/>
      <c r="BEI53" s="19"/>
      <c r="BEJ53" s="19"/>
      <c r="BEK53" s="19"/>
      <c r="BEL53" s="19"/>
      <c r="BEM53" s="19"/>
      <c r="BEN53" s="19"/>
      <c r="BEO53" s="19"/>
      <c r="BEP53" s="19"/>
      <c r="BEQ53" s="19"/>
      <c r="BER53" s="19"/>
      <c r="BES53" s="19"/>
      <c r="BET53" s="19"/>
      <c r="BEU53" s="19"/>
      <c r="BEV53" s="19"/>
      <c r="BEW53" s="19"/>
      <c r="BEX53" s="19"/>
      <c r="BEY53" s="19"/>
      <c r="BEZ53" s="19"/>
      <c r="BFA53" s="19"/>
      <c r="BFB53" s="19"/>
      <c r="BFC53" s="19"/>
      <c r="BFD53" s="19"/>
      <c r="BFE53" s="19"/>
      <c r="BFF53" s="19"/>
      <c r="BFG53" s="19"/>
      <c r="BFH53" s="19"/>
      <c r="BFI53" s="19"/>
      <c r="BFJ53" s="19"/>
      <c r="BFK53" s="19"/>
      <c r="BFL53" s="19"/>
      <c r="BFM53" s="19"/>
      <c r="BFN53" s="19"/>
      <c r="BFO53" s="19"/>
      <c r="BFP53" s="19"/>
      <c r="BFQ53" s="19"/>
      <c r="BFR53" s="19"/>
      <c r="BFS53" s="19"/>
      <c r="BFT53" s="19"/>
      <c r="BFU53" s="19"/>
      <c r="BFV53" s="19"/>
      <c r="BFW53" s="19"/>
      <c r="BFX53" s="19"/>
      <c r="BFY53" s="19"/>
      <c r="BFZ53" s="19"/>
      <c r="BGA53" s="19"/>
      <c r="BGB53" s="19"/>
      <c r="BGC53" s="19"/>
      <c r="BGD53" s="19"/>
      <c r="BGE53" s="19"/>
      <c r="BGF53" s="19"/>
      <c r="BGG53" s="19"/>
      <c r="BGH53" s="19"/>
      <c r="BGI53" s="19"/>
      <c r="BGJ53" s="19"/>
      <c r="BGK53" s="19"/>
      <c r="BGL53" s="19"/>
      <c r="BGM53" s="19"/>
      <c r="BGN53" s="19"/>
      <c r="BGO53" s="19"/>
      <c r="BGP53" s="19"/>
      <c r="BGQ53" s="19"/>
      <c r="BGR53" s="19"/>
      <c r="BGS53" s="19"/>
      <c r="BGT53" s="19"/>
      <c r="BGU53" s="19"/>
      <c r="BGV53" s="19"/>
      <c r="BGW53" s="19"/>
      <c r="BGX53" s="19"/>
      <c r="BGY53" s="19"/>
      <c r="BGZ53" s="19"/>
      <c r="BHA53" s="19"/>
      <c r="BHB53" s="19"/>
      <c r="BHC53" s="19"/>
      <c r="BHD53" s="19"/>
      <c r="BHE53" s="19"/>
      <c r="BHF53" s="19"/>
      <c r="BHG53" s="19"/>
      <c r="BHH53" s="19"/>
      <c r="BHI53" s="19"/>
      <c r="BHJ53" s="19"/>
      <c r="BHK53" s="19"/>
      <c r="BHL53" s="19"/>
      <c r="BHM53" s="19"/>
      <c r="BHN53" s="19"/>
      <c r="BHO53" s="19"/>
      <c r="BHP53" s="19"/>
      <c r="BHQ53" s="19"/>
      <c r="BHR53" s="19"/>
      <c r="BHS53" s="19"/>
      <c r="BHT53" s="19"/>
      <c r="BHU53" s="19"/>
      <c r="BHV53" s="19"/>
      <c r="BHW53" s="19"/>
      <c r="BHX53" s="19"/>
      <c r="BHY53" s="19"/>
      <c r="BHZ53" s="19"/>
      <c r="BIA53" s="19"/>
      <c r="BIB53" s="19"/>
      <c r="BIC53" s="19"/>
      <c r="BID53" s="19"/>
      <c r="BIE53" s="19"/>
      <c r="BIF53" s="19"/>
      <c r="BIG53" s="19"/>
      <c r="BIH53" s="19"/>
      <c r="BII53" s="19"/>
      <c r="BIJ53" s="19"/>
      <c r="BIK53" s="19"/>
      <c r="BIL53" s="19"/>
      <c r="BIM53" s="19"/>
      <c r="BIN53" s="19"/>
      <c r="BIO53" s="19"/>
      <c r="BIP53" s="19"/>
      <c r="BIQ53" s="19"/>
      <c r="BIR53" s="19"/>
      <c r="BIS53" s="19"/>
      <c r="BIT53" s="19"/>
      <c r="BIU53" s="19"/>
      <c r="BIV53" s="19"/>
      <c r="BIW53" s="19"/>
      <c r="BIX53" s="19"/>
      <c r="BIY53" s="19"/>
      <c r="BIZ53" s="19"/>
      <c r="BJA53" s="19"/>
      <c r="BJB53" s="19"/>
      <c r="BJC53" s="19"/>
      <c r="BJD53" s="19"/>
      <c r="BJE53" s="19"/>
      <c r="BJF53" s="19"/>
      <c r="BJG53" s="19"/>
      <c r="BJH53" s="19"/>
      <c r="BJI53" s="19"/>
      <c r="BJJ53" s="19"/>
      <c r="BJK53" s="19"/>
      <c r="BJL53" s="19"/>
      <c r="BJM53" s="19"/>
      <c r="BJN53" s="19"/>
      <c r="BJO53" s="19"/>
      <c r="BJP53" s="19"/>
      <c r="BJQ53" s="19"/>
      <c r="BJR53" s="19"/>
      <c r="BJS53" s="19"/>
      <c r="BJT53" s="19"/>
      <c r="BJU53" s="19"/>
      <c r="BJV53" s="19"/>
      <c r="BJW53" s="19"/>
      <c r="BJX53" s="19"/>
      <c r="BJY53" s="19"/>
      <c r="BJZ53" s="19"/>
      <c r="BKA53" s="19"/>
      <c r="BKB53" s="19"/>
      <c r="BKC53" s="19"/>
      <c r="BKD53" s="19"/>
      <c r="BKE53" s="19"/>
      <c r="BKF53" s="19"/>
      <c r="BKG53" s="19"/>
      <c r="BKH53" s="19"/>
      <c r="BKI53" s="19"/>
      <c r="BKJ53" s="19"/>
      <c r="BKK53" s="19"/>
      <c r="BKL53" s="19"/>
      <c r="BKM53" s="19"/>
      <c r="BKN53" s="19"/>
      <c r="BKO53" s="19"/>
      <c r="BKP53" s="19"/>
      <c r="BKQ53" s="19"/>
      <c r="BKR53" s="19"/>
      <c r="BKS53" s="19"/>
      <c r="BKT53" s="19"/>
      <c r="BKU53" s="19"/>
      <c r="BKV53" s="19"/>
      <c r="BKW53" s="19"/>
      <c r="BKX53" s="19"/>
      <c r="BKY53" s="19"/>
      <c r="BKZ53" s="19"/>
      <c r="BLA53" s="19"/>
      <c r="BLB53" s="19"/>
      <c r="BLC53" s="19"/>
      <c r="BLD53" s="19"/>
      <c r="BLE53" s="19"/>
      <c r="BLF53" s="19"/>
      <c r="BLG53" s="19"/>
      <c r="BLH53" s="19"/>
      <c r="BLI53" s="19"/>
      <c r="BLJ53" s="19"/>
      <c r="BLK53" s="19"/>
      <c r="BLL53" s="19"/>
      <c r="BLM53" s="19"/>
      <c r="BLN53" s="19"/>
      <c r="BLO53" s="19"/>
      <c r="BLP53" s="19"/>
      <c r="BLQ53" s="19"/>
      <c r="BLR53" s="19"/>
      <c r="BLS53" s="19"/>
      <c r="BLT53" s="19"/>
      <c r="BLU53" s="19"/>
      <c r="BLV53" s="19"/>
      <c r="BLW53" s="19"/>
      <c r="BLX53" s="19"/>
      <c r="BLY53" s="19"/>
      <c r="BLZ53" s="19"/>
      <c r="BMA53" s="19"/>
      <c r="BMB53" s="19"/>
      <c r="BMC53" s="19"/>
      <c r="BMD53" s="19"/>
      <c r="BME53" s="19"/>
      <c r="BMF53" s="19"/>
      <c r="BMG53" s="19"/>
      <c r="BMH53" s="19"/>
      <c r="BMI53" s="19"/>
      <c r="BMJ53" s="19"/>
      <c r="BMK53" s="19"/>
      <c r="BML53" s="19"/>
      <c r="BMM53" s="19"/>
      <c r="BMN53" s="19"/>
      <c r="BMO53" s="19"/>
      <c r="BMP53" s="19"/>
      <c r="BMQ53" s="19"/>
      <c r="BMR53" s="19"/>
      <c r="BMS53" s="19"/>
      <c r="BMT53" s="19"/>
      <c r="BMU53" s="19"/>
      <c r="BMV53" s="19"/>
      <c r="BMW53" s="19"/>
      <c r="BMX53" s="19"/>
      <c r="BMY53" s="19"/>
      <c r="BMZ53" s="19"/>
      <c r="BNA53" s="19"/>
      <c r="BNB53" s="19"/>
      <c r="BNC53" s="19"/>
      <c r="BND53" s="19"/>
      <c r="BNE53" s="19"/>
      <c r="BNF53" s="19"/>
      <c r="BNG53" s="19"/>
      <c r="BNH53" s="19"/>
      <c r="BNI53" s="19"/>
      <c r="BNJ53" s="19"/>
      <c r="BNK53" s="19"/>
      <c r="BNL53" s="19"/>
      <c r="BNM53" s="19"/>
      <c r="BNN53" s="19"/>
      <c r="BNO53" s="19"/>
      <c r="BNP53" s="19"/>
      <c r="BNQ53" s="19"/>
      <c r="BNR53" s="19"/>
      <c r="BNS53" s="19"/>
      <c r="BNT53" s="19"/>
      <c r="BNU53" s="19"/>
      <c r="BNV53" s="19"/>
      <c r="BNW53" s="19"/>
      <c r="BNX53" s="19"/>
      <c r="BNY53" s="19"/>
      <c r="BNZ53" s="19"/>
      <c r="BOA53" s="19"/>
      <c r="BOB53" s="19"/>
      <c r="BOC53" s="19"/>
      <c r="BOD53" s="19"/>
      <c r="BOE53" s="19"/>
      <c r="BOF53" s="19"/>
      <c r="BOG53" s="19"/>
      <c r="BOH53" s="19"/>
      <c r="BOI53" s="19"/>
      <c r="BOJ53" s="19"/>
      <c r="BOK53" s="19"/>
      <c r="BOL53" s="19"/>
      <c r="BOM53" s="19"/>
      <c r="BON53" s="19"/>
      <c r="BOO53" s="19"/>
      <c r="BOP53" s="19"/>
      <c r="BOQ53" s="19"/>
      <c r="BOR53" s="19"/>
      <c r="BOS53" s="19"/>
      <c r="BOT53" s="19"/>
      <c r="BOU53" s="19"/>
      <c r="BOV53" s="19"/>
      <c r="BOW53" s="19"/>
      <c r="BOX53" s="19"/>
      <c r="BOY53" s="19"/>
      <c r="BOZ53" s="19"/>
      <c r="BPA53" s="19"/>
      <c r="BPB53" s="19"/>
      <c r="BPC53" s="19"/>
      <c r="BPD53" s="19"/>
      <c r="BPE53" s="19"/>
      <c r="BPF53" s="19"/>
      <c r="BPG53" s="19"/>
      <c r="BPH53" s="19"/>
      <c r="BPI53" s="19"/>
      <c r="BPJ53" s="19"/>
      <c r="BPK53" s="19"/>
      <c r="BPL53" s="19"/>
      <c r="BPM53" s="19"/>
      <c r="BPN53" s="19"/>
      <c r="BPO53" s="19"/>
      <c r="BPP53" s="19"/>
      <c r="BPQ53" s="19"/>
      <c r="BPR53" s="19"/>
      <c r="BPS53" s="19"/>
      <c r="BPT53" s="19"/>
      <c r="BPU53" s="19"/>
      <c r="BPV53" s="19"/>
      <c r="BPW53" s="19"/>
      <c r="BPX53" s="19"/>
      <c r="BPY53" s="19"/>
      <c r="BPZ53" s="19"/>
      <c r="BQA53" s="19"/>
      <c r="BQB53" s="19"/>
      <c r="BQC53" s="19"/>
      <c r="BQD53" s="19"/>
      <c r="BQE53" s="19"/>
      <c r="BQF53" s="19"/>
      <c r="BQG53" s="19"/>
      <c r="BQH53" s="19"/>
      <c r="BQI53" s="19"/>
      <c r="BQJ53" s="19"/>
      <c r="BQK53" s="19"/>
      <c r="BQL53" s="19"/>
      <c r="BQM53" s="19"/>
      <c r="BQN53" s="19"/>
      <c r="BQO53" s="19"/>
      <c r="BQP53" s="19"/>
      <c r="BQQ53" s="19"/>
      <c r="BQR53" s="19"/>
      <c r="BQS53" s="19"/>
      <c r="BQT53" s="19"/>
      <c r="BQU53" s="19"/>
      <c r="BQV53" s="19"/>
      <c r="BQW53" s="19"/>
      <c r="BQX53" s="19"/>
      <c r="BQY53" s="19"/>
      <c r="BQZ53" s="19"/>
      <c r="BRA53" s="19"/>
      <c r="BRB53" s="19"/>
      <c r="BRC53" s="19"/>
      <c r="BRD53" s="19"/>
      <c r="BRE53" s="19"/>
      <c r="BRF53" s="19"/>
      <c r="BRG53" s="19"/>
      <c r="BRH53" s="19"/>
      <c r="BRI53" s="19"/>
      <c r="BRJ53" s="19"/>
      <c r="BRK53" s="19"/>
      <c r="BRL53" s="19"/>
      <c r="BRM53" s="19"/>
      <c r="BRN53" s="19"/>
      <c r="BRO53" s="19"/>
      <c r="BRP53" s="19"/>
      <c r="BRQ53" s="19"/>
      <c r="BRR53" s="19"/>
      <c r="BRS53" s="19"/>
      <c r="BRT53" s="19"/>
      <c r="BRU53" s="19"/>
      <c r="BRV53" s="19"/>
      <c r="BRW53" s="19"/>
      <c r="BRX53" s="19"/>
      <c r="BRY53" s="19"/>
      <c r="BRZ53" s="19"/>
      <c r="BSA53" s="19"/>
      <c r="BSB53" s="19"/>
      <c r="BSC53" s="19"/>
      <c r="BSD53" s="19"/>
      <c r="BSE53" s="19"/>
      <c r="BSF53" s="19"/>
      <c r="BSG53" s="19"/>
      <c r="BSH53" s="19"/>
      <c r="BSI53" s="19"/>
      <c r="BSJ53" s="19"/>
      <c r="BSK53" s="19"/>
      <c r="BSL53" s="19"/>
      <c r="BSM53" s="19"/>
      <c r="BSN53" s="19"/>
      <c r="BSO53" s="19"/>
      <c r="BSP53" s="19"/>
      <c r="BSQ53" s="19"/>
      <c r="BSR53" s="19"/>
      <c r="BSS53" s="19"/>
      <c r="BST53" s="19"/>
      <c r="BSU53" s="19"/>
      <c r="BSV53" s="19"/>
      <c r="BSW53" s="19"/>
      <c r="BSX53" s="19"/>
      <c r="BSY53" s="19"/>
      <c r="BSZ53" s="19"/>
      <c r="BTA53" s="19"/>
      <c r="BTB53" s="19"/>
      <c r="BTC53" s="19"/>
      <c r="BTD53" s="19"/>
      <c r="BTE53" s="19"/>
      <c r="BTF53" s="19"/>
      <c r="BTG53" s="19"/>
      <c r="BTH53" s="19"/>
      <c r="BTI53" s="19"/>
      <c r="BTJ53" s="19"/>
      <c r="BTK53" s="19"/>
      <c r="BTL53" s="19"/>
      <c r="BTM53" s="19"/>
      <c r="BTN53" s="19"/>
      <c r="BTO53" s="19"/>
      <c r="BTP53" s="19"/>
      <c r="BTQ53" s="19"/>
      <c r="BTR53" s="19"/>
      <c r="BTS53" s="19"/>
      <c r="BTT53" s="19"/>
    </row>
    <row r="54" spans="1:1892" s="12" customFormat="1" ht="35.1" customHeight="1">
      <c r="A54" s="1241"/>
      <c r="B54" s="1015" t="s">
        <v>140</v>
      </c>
      <c r="C54" s="1121" t="s">
        <v>565</v>
      </c>
      <c r="D54" s="1133" t="s">
        <v>186</v>
      </c>
      <c r="E54" s="1134"/>
      <c r="F54" s="1135"/>
      <c r="G54" s="1318" t="s">
        <v>187</v>
      </c>
      <c r="H54" s="1318" t="s">
        <v>251</v>
      </c>
      <c r="I54" s="1318" t="s">
        <v>252</v>
      </c>
      <c r="J54" s="1121" t="s">
        <v>11</v>
      </c>
      <c r="K54" s="1121" t="s">
        <v>12</v>
      </c>
      <c r="L54" s="135">
        <v>35.940199999999997</v>
      </c>
      <c r="M54" s="231">
        <v>5</v>
      </c>
      <c r="N54" s="119">
        <v>2</v>
      </c>
      <c r="O54" s="119">
        <v>0</v>
      </c>
      <c r="P54" s="511" t="s">
        <v>413</v>
      </c>
      <c r="Q54" s="511" t="s">
        <v>414</v>
      </c>
      <c r="R54" s="511" t="s">
        <v>415</v>
      </c>
      <c r="S54" s="814" t="s">
        <v>188</v>
      </c>
      <c r="T54" s="629" t="s">
        <v>189</v>
      </c>
      <c r="U54" s="713" t="s">
        <v>67</v>
      </c>
    </row>
    <row r="55" spans="1:1892" s="12" customFormat="1" ht="35.1" customHeight="1">
      <c r="A55" s="1241"/>
      <c r="B55" s="1016"/>
      <c r="C55" s="1122"/>
      <c r="D55" s="1136"/>
      <c r="E55" s="1137"/>
      <c r="F55" s="1138"/>
      <c r="G55" s="1319"/>
      <c r="H55" s="1319"/>
      <c r="I55" s="1319"/>
      <c r="J55" s="1122"/>
      <c r="K55" s="1122"/>
      <c r="L55" s="135">
        <v>35.139000000000003</v>
      </c>
      <c r="M55" s="231">
        <v>9</v>
      </c>
      <c r="N55" s="119">
        <v>0</v>
      </c>
      <c r="O55" s="119">
        <v>0</v>
      </c>
      <c r="P55" s="512"/>
      <c r="Q55" s="512"/>
      <c r="R55" s="512"/>
      <c r="S55" s="815"/>
      <c r="T55" s="630"/>
      <c r="U55" s="714"/>
    </row>
    <row r="56" spans="1:1892" s="12" customFormat="1" ht="35.1" customHeight="1">
      <c r="A56" s="1241"/>
      <c r="B56" s="1016"/>
      <c r="C56" s="1122"/>
      <c r="D56" s="1136"/>
      <c r="E56" s="1137"/>
      <c r="F56" s="1138"/>
      <c r="G56" s="1319"/>
      <c r="H56" s="1319"/>
      <c r="I56" s="1319"/>
      <c r="J56" s="1122"/>
      <c r="K56" s="1122"/>
      <c r="L56" s="135">
        <v>46.865499999999997</v>
      </c>
      <c r="M56" s="231">
        <v>1</v>
      </c>
      <c r="N56" s="119">
        <v>0</v>
      </c>
      <c r="O56" s="119">
        <v>0</v>
      </c>
      <c r="P56" s="512"/>
      <c r="Q56" s="512"/>
      <c r="R56" s="512"/>
      <c r="S56" s="815"/>
      <c r="T56" s="630"/>
      <c r="U56" s="714"/>
    </row>
    <row r="57" spans="1:1892" s="12" customFormat="1" ht="35.1" customHeight="1">
      <c r="A57" s="1241"/>
      <c r="B57" s="1016"/>
      <c r="C57" s="1122"/>
      <c r="D57" s="1136"/>
      <c r="E57" s="1137"/>
      <c r="F57" s="1138"/>
      <c r="G57" s="1319"/>
      <c r="H57" s="1319"/>
      <c r="I57" s="1319"/>
      <c r="J57" s="1122"/>
      <c r="K57" s="1122"/>
      <c r="L57" s="135">
        <v>48.382399999999997</v>
      </c>
      <c r="M57" s="231">
        <v>18</v>
      </c>
      <c r="N57" s="119">
        <v>0</v>
      </c>
      <c r="O57" s="119">
        <v>0</v>
      </c>
      <c r="P57" s="512"/>
      <c r="Q57" s="512"/>
      <c r="R57" s="512"/>
      <c r="S57" s="815"/>
      <c r="T57" s="630"/>
      <c r="U57" s="714"/>
    </row>
    <row r="58" spans="1:1892" s="12" customFormat="1" ht="35.1" customHeight="1">
      <c r="A58" s="1241"/>
      <c r="B58" s="1016"/>
      <c r="C58" s="1122"/>
      <c r="D58" s="1136"/>
      <c r="E58" s="1137"/>
      <c r="F58" s="1138"/>
      <c r="G58" s="1319"/>
      <c r="H58" s="1319"/>
      <c r="I58" s="1319"/>
      <c r="J58" s="1122"/>
      <c r="K58" s="1122"/>
      <c r="L58" s="135">
        <v>50.1828</v>
      </c>
      <c r="M58" s="231">
        <v>2</v>
      </c>
      <c r="N58" s="119">
        <v>2</v>
      </c>
      <c r="O58" s="119">
        <v>2</v>
      </c>
      <c r="P58" s="512"/>
      <c r="Q58" s="512"/>
      <c r="R58" s="512"/>
      <c r="S58" s="815"/>
      <c r="T58" s="630"/>
      <c r="U58" s="714"/>
    </row>
    <row r="59" spans="1:1892" s="12" customFormat="1" ht="35.1" customHeight="1">
      <c r="A59" s="1241"/>
      <c r="B59" s="1016"/>
      <c r="C59" s="1122"/>
      <c r="D59" s="1136"/>
      <c r="E59" s="1137"/>
      <c r="F59" s="1138"/>
      <c r="G59" s="1319"/>
      <c r="H59" s="1319"/>
      <c r="I59" s="1319"/>
      <c r="J59" s="1122"/>
      <c r="K59" s="1122"/>
      <c r="L59" s="135">
        <v>51.718400000000003</v>
      </c>
      <c r="M59" s="231">
        <v>1</v>
      </c>
      <c r="N59" s="119">
        <v>1</v>
      </c>
      <c r="O59" s="119">
        <v>1</v>
      </c>
      <c r="P59" s="512"/>
      <c r="Q59" s="512"/>
      <c r="R59" s="512"/>
      <c r="S59" s="815"/>
      <c r="T59" s="630"/>
      <c r="U59" s="714"/>
    </row>
    <row r="60" spans="1:1892" s="12" customFormat="1" ht="35.1" customHeight="1">
      <c r="A60" s="1241"/>
      <c r="B60" s="1016"/>
      <c r="C60" s="1122"/>
      <c r="D60" s="1136"/>
      <c r="E60" s="1137"/>
      <c r="F60" s="1138"/>
      <c r="G60" s="1319"/>
      <c r="H60" s="1319"/>
      <c r="I60" s="1319"/>
      <c r="J60" s="1122"/>
      <c r="K60" s="1122"/>
      <c r="L60" s="135">
        <v>51.506700000000002</v>
      </c>
      <c r="M60" s="231">
        <v>6</v>
      </c>
      <c r="N60" s="119">
        <v>0</v>
      </c>
      <c r="O60" s="119">
        <v>0</v>
      </c>
      <c r="P60" s="512"/>
      <c r="Q60" s="512"/>
      <c r="R60" s="512"/>
      <c r="S60" s="815"/>
      <c r="T60" s="630"/>
      <c r="U60" s="714"/>
    </row>
    <row r="61" spans="1:1892" s="12" customFormat="1" ht="35.1" customHeight="1">
      <c r="A61" s="1241"/>
      <c r="B61" s="1016"/>
      <c r="C61" s="1122"/>
      <c r="D61" s="1136"/>
      <c r="E61" s="1137"/>
      <c r="F61" s="1138"/>
      <c r="G61" s="1319"/>
      <c r="H61" s="1319"/>
      <c r="I61" s="1319"/>
      <c r="J61" s="1122"/>
      <c r="K61" s="1122"/>
      <c r="L61" s="135">
        <v>51.552599999999998</v>
      </c>
      <c r="M61" s="231">
        <v>9</v>
      </c>
      <c r="N61" s="119">
        <v>3</v>
      </c>
      <c r="O61" s="119">
        <v>3</v>
      </c>
      <c r="P61" s="512"/>
      <c r="Q61" s="512"/>
      <c r="R61" s="512"/>
      <c r="S61" s="815"/>
      <c r="T61" s="630"/>
      <c r="U61" s="714"/>
    </row>
    <row r="62" spans="1:1892" s="12" customFormat="1" ht="35.1" customHeight="1">
      <c r="A62" s="1241"/>
      <c r="B62" s="1016"/>
      <c r="C62" s="1122"/>
      <c r="D62" s="1136"/>
      <c r="E62" s="1137"/>
      <c r="F62" s="1138"/>
      <c r="G62" s="1319"/>
      <c r="H62" s="1319"/>
      <c r="I62" s="1319"/>
      <c r="J62" s="1122"/>
      <c r="K62" s="1122"/>
      <c r="L62" s="135">
        <v>52.9863</v>
      </c>
      <c r="M62" s="231">
        <v>1</v>
      </c>
      <c r="N62" s="119">
        <v>1</v>
      </c>
      <c r="O62" s="119">
        <v>1</v>
      </c>
      <c r="P62" s="512"/>
      <c r="Q62" s="512"/>
      <c r="R62" s="512"/>
      <c r="S62" s="815"/>
      <c r="T62" s="630"/>
      <c r="U62" s="714"/>
    </row>
    <row r="63" spans="1:1892" s="12" customFormat="1" ht="35.1" customHeight="1">
      <c r="A63" s="1241"/>
      <c r="B63" s="1016"/>
      <c r="C63" s="1122"/>
      <c r="D63" s="1136"/>
      <c r="E63" s="1137"/>
      <c r="F63" s="1138"/>
      <c r="G63" s="1319"/>
      <c r="H63" s="1319"/>
      <c r="I63" s="1319"/>
      <c r="J63" s="1122"/>
      <c r="K63" s="1122"/>
      <c r="L63" s="135">
        <v>54.117899999999999</v>
      </c>
      <c r="M63" s="231">
        <v>5</v>
      </c>
      <c r="N63" s="119">
        <v>5</v>
      </c>
      <c r="O63" s="119">
        <v>4</v>
      </c>
      <c r="P63" s="512"/>
      <c r="Q63" s="512"/>
      <c r="R63" s="512"/>
      <c r="S63" s="815"/>
      <c r="T63" s="630"/>
      <c r="U63" s="714"/>
    </row>
    <row r="64" spans="1:1892" s="12" customFormat="1" ht="35.1" customHeight="1">
      <c r="A64" s="1241"/>
      <c r="B64" s="1016"/>
      <c r="C64" s="1122"/>
      <c r="D64" s="1136"/>
      <c r="E64" s="1137"/>
      <c r="F64" s="1138"/>
      <c r="G64" s="1319"/>
      <c r="H64" s="1319"/>
      <c r="I64" s="1319"/>
      <c r="J64" s="1122"/>
      <c r="K64" s="1122"/>
      <c r="L64" s="135">
        <v>55.787999999999997</v>
      </c>
      <c r="M64" s="231">
        <v>3</v>
      </c>
      <c r="N64" s="119">
        <v>3</v>
      </c>
      <c r="O64" s="119">
        <v>3</v>
      </c>
      <c r="P64" s="512"/>
      <c r="Q64" s="512"/>
      <c r="R64" s="512"/>
      <c r="S64" s="815"/>
      <c r="T64" s="630"/>
      <c r="U64" s="714"/>
    </row>
    <row r="65" spans="1:1892" s="12" customFormat="1" ht="35.1" customHeight="1">
      <c r="A65" s="1241"/>
      <c r="B65" s="1016"/>
      <c r="C65" s="1122"/>
      <c r="D65" s="1136"/>
      <c r="E65" s="1137"/>
      <c r="F65" s="1138"/>
      <c r="G65" s="1319"/>
      <c r="H65" s="1319"/>
      <c r="I65" s="1319"/>
      <c r="J65" s="1122"/>
      <c r="K65" s="1122"/>
      <c r="L65" s="135">
        <v>55.511699999999998</v>
      </c>
      <c r="M65" s="231">
        <v>6</v>
      </c>
      <c r="N65" s="119">
        <v>5</v>
      </c>
      <c r="O65" s="119">
        <v>4</v>
      </c>
      <c r="P65" s="512"/>
      <c r="Q65" s="512"/>
      <c r="R65" s="512"/>
      <c r="S65" s="815"/>
      <c r="T65" s="630"/>
      <c r="U65" s="714"/>
    </row>
    <row r="66" spans="1:1892" s="12" customFormat="1" ht="35.1" customHeight="1">
      <c r="A66" s="1241"/>
      <c r="B66" s="1016"/>
      <c r="C66" s="1122"/>
      <c r="D66" s="1136"/>
      <c r="E66" s="1137"/>
      <c r="F66" s="1138"/>
      <c r="G66" s="1319"/>
      <c r="H66" s="1319"/>
      <c r="I66" s="1319"/>
      <c r="J66" s="1122"/>
      <c r="K66" s="1122"/>
      <c r="L66" s="135">
        <v>56.942999999999998</v>
      </c>
      <c r="M66" s="231">
        <v>1</v>
      </c>
      <c r="N66" s="119">
        <v>1</v>
      </c>
      <c r="O66" s="119">
        <v>1</v>
      </c>
      <c r="P66" s="512"/>
      <c r="Q66" s="512"/>
      <c r="R66" s="512"/>
      <c r="S66" s="815"/>
      <c r="T66" s="630"/>
      <c r="U66" s="714"/>
    </row>
    <row r="67" spans="1:1892" s="12" customFormat="1" ht="35.1" customHeight="1">
      <c r="A67" s="1241"/>
      <c r="B67" s="1016"/>
      <c r="C67" s="1122"/>
      <c r="D67" s="1136"/>
      <c r="E67" s="1137"/>
      <c r="F67" s="1138"/>
      <c r="G67" s="1319"/>
      <c r="H67" s="1319"/>
      <c r="I67" s="1319"/>
      <c r="J67" s="1122"/>
      <c r="K67" s="1122"/>
      <c r="L67" s="135">
        <v>60.955500000000001</v>
      </c>
      <c r="M67" s="231">
        <v>1</v>
      </c>
      <c r="N67" s="119">
        <v>1</v>
      </c>
      <c r="O67" s="119">
        <v>0</v>
      </c>
      <c r="P67" s="512"/>
      <c r="Q67" s="512"/>
      <c r="R67" s="512"/>
      <c r="S67" s="815"/>
      <c r="T67" s="630"/>
      <c r="U67" s="714"/>
    </row>
    <row r="68" spans="1:1892" s="12" customFormat="1" ht="35.1" customHeight="1">
      <c r="A68" s="1241"/>
      <c r="B68" s="1016"/>
      <c r="C68" s="1122"/>
      <c r="D68" s="1136"/>
      <c r="E68" s="1137"/>
      <c r="F68" s="1138"/>
      <c r="G68" s="1320"/>
      <c r="H68" s="1320"/>
      <c r="I68" s="1320"/>
      <c r="J68" s="1123"/>
      <c r="K68" s="1123"/>
      <c r="L68" s="135">
        <v>60.274900000000002</v>
      </c>
      <c r="M68" s="231">
        <v>6</v>
      </c>
      <c r="N68" s="119">
        <v>0</v>
      </c>
      <c r="O68" s="119">
        <v>0</v>
      </c>
      <c r="P68" s="512"/>
      <c r="Q68" s="512"/>
      <c r="R68" s="512"/>
      <c r="S68" s="815"/>
      <c r="T68" s="630"/>
      <c r="U68" s="714"/>
    </row>
    <row r="69" spans="1:1892" s="12" customFormat="1" ht="35.1" customHeight="1">
      <c r="A69" s="1241"/>
      <c r="B69" s="1016"/>
      <c r="C69" s="1123"/>
      <c r="D69" s="1139"/>
      <c r="E69" s="1140"/>
      <c r="F69" s="1141"/>
      <c r="G69" s="463" t="s">
        <v>329</v>
      </c>
      <c r="H69" s="464"/>
      <c r="I69" s="464"/>
      <c r="J69" s="464"/>
      <c r="K69" s="465"/>
      <c r="L69" s="136"/>
      <c r="M69" s="235">
        <f>SUM(M54:M68)</f>
        <v>74</v>
      </c>
      <c r="N69" s="393">
        <f>SUM(N54:N68)</f>
        <v>24</v>
      </c>
      <c r="O69" s="393">
        <f>SUM(O54:O68)</f>
        <v>19</v>
      </c>
      <c r="P69" s="513"/>
      <c r="Q69" s="513"/>
      <c r="R69" s="513"/>
      <c r="S69" s="816"/>
      <c r="T69" s="631"/>
      <c r="U69" s="715"/>
    </row>
    <row r="70" spans="1:1892" s="17" customFormat="1" ht="35.1" customHeight="1">
      <c r="A70" s="1241"/>
      <c r="B70" s="620" t="s">
        <v>105</v>
      </c>
      <c r="C70" s="621"/>
      <c r="D70" s="621"/>
      <c r="E70" s="621"/>
      <c r="F70" s="621"/>
      <c r="G70" s="621"/>
      <c r="H70" s="621"/>
      <c r="I70" s="621"/>
      <c r="J70" s="621"/>
      <c r="K70" s="622"/>
      <c r="L70" s="140"/>
      <c r="M70" s="238"/>
      <c r="N70" s="391">
        <f>N69</f>
        <v>24</v>
      </c>
      <c r="O70" s="391">
        <f>O69</f>
        <v>19</v>
      </c>
      <c r="P70" s="123"/>
      <c r="Q70" s="123"/>
      <c r="R70" s="123"/>
      <c r="S70" s="124"/>
      <c r="T70" s="125"/>
      <c r="U70" s="124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  <c r="IL70" s="12"/>
      <c r="IM70" s="12"/>
      <c r="IN70" s="12"/>
      <c r="IO70" s="12"/>
      <c r="IP70" s="12"/>
      <c r="IQ70" s="12"/>
      <c r="IR70" s="12"/>
      <c r="IS70" s="12"/>
      <c r="IT70" s="12"/>
      <c r="IU70" s="12"/>
      <c r="IV70" s="12"/>
      <c r="IW70" s="12"/>
      <c r="IX70" s="12"/>
      <c r="IY70" s="12"/>
      <c r="IZ70" s="12"/>
      <c r="JA70" s="12"/>
      <c r="JB70" s="12"/>
      <c r="JC70" s="12"/>
      <c r="JD70" s="12"/>
      <c r="JE70" s="12"/>
      <c r="JF70" s="12"/>
      <c r="JG70" s="12"/>
      <c r="JH70" s="12"/>
      <c r="JI70" s="12"/>
      <c r="JJ70" s="12"/>
      <c r="JK70" s="12"/>
      <c r="JL70" s="12"/>
      <c r="JM70" s="12"/>
      <c r="JN70" s="12"/>
      <c r="JO70" s="12"/>
      <c r="JP70" s="12"/>
      <c r="JQ70" s="12"/>
      <c r="JR70" s="12"/>
      <c r="JS70" s="12"/>
      <c r="JT70" s="12"/>
      <c r="JU70" s="12"/>
      <c r="JV70" s="12"/>
      <c r="JW70" s="12"/>
      <c r="JX70" s="12"/>
      <c r="JY70" s="12"/>
      <c r="JZ70" s="12"/>
      <c r="KA70" s="12"/>
      <c r="KB70" s="12"/>
      <c r="KC70" s="12"/>
      <c r="KD70" s="12"/>
      <c r="KE70" s="12"/>
      <c r="KF70" s="12"/>
      <c r="KG70" s="12"/>
      <c r="KH70" s="12"/>
      <c r="KI70" s="12"/>
      <c r="KJ70" s="12"/>
      <c r="KK70" s="12"/>
      <c r="KL70" s="12"/>
      <c r="KM70" s="12"/>
      <c r="KN70" s="12"/>
      <c r="KO70" s="12"/>
      <c r="KP70" s="12"/>
      <c r="KQ70" s="12"/>
      <c r="KR70" s="12"/>
      <c r="KS70" s="12"/>
      <c r="KT70" s="12"/>
      <c r="KU70" s="12"/>
      <c r="KV70" s="12"/>
      <c r="KW70" s="12"/>
      <c r="KX70" s="12"/>
      <c r="KY70" s="12"/>
      <c r="KZ70" s="12"/>
      <c r="LA70" s="12"/>
      <c r="LB70" s="12"/>
      <c r="LC70" s="12"/>
      <c r="LD70" s="12"/>
      <c r="LE70" s="12"/>
      <c r="LF70" s="12"/>
      <c r="LG70" s="12"/>
      <c r="LH70" s="12"/>
      <c r="LI70" s="12"/>
      <c r="LJ70" s="12"/>
      <c r="LK70" s="12"/>
      <c r="LL70" s="12"/>
      <c r="LM70" s="12"/>
      <c r="LN70" s="12"/>
      <c r="LO70" s="12"/>
      <c r="LP70" s="12"/>
      <c r="LQ70" s="12"/>
      <c r="LR70" s="12"/>
      <c r="LS70" s="12"/>
      <c r="LT70" s="12"/>
      <c r="LU70" s="12"/>
      <c r="LV70" s="12"/>
      <c r="LW70" s="12"/>
      <c r="LX70" s="12"/>
      <c r="LY70" s="12"/>
      <c r="LZ70" s="12"/>
      <c r="MA70" s="12"/>
      <c r="MB70" s="12"/>
      <c r="MC70" s="12"/>
      <c r="MD70" s="12"/>
      <c r="ME70" s="12"/>
      <c r="MF70" s="12"/>
      <c r="MG70" s="12"/>
      <c r="MH70" s="12"/>
      <c r="MI70" s="12"/>
      <c r="MJ70" s="12"/>
      <c r="MK70" s="12"/>
      <c r="ML70" s="12"/>
      <c r="MM70" s="12"/>
      <c r="MN70" s="12"/>
      <c r="MO70" s="12"/>
      <c r="MP70" s="12"/>
      <c r="MQ70" s="12"/>
      <c r="MR70" s="12"/>
      <c r="MS70" s="12"/>
      <c r="MT70" s="12"/>
      <c r="MU70" s="12"/>
      <c r="MV70" s="12"/>
      <c r="MW70" s="12"/>
      <c r="MX70" s="12"/>
      <c r="MY70" s="12"/>
      <c r="MZ70" s="12"/>
      <c r="NA70" s="12"/>
      <c r="NB70" s="12"/>
      <c r="NC70" s="12"/>
      <c r="ND70" s="12"/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/>
      <c r="NQ70" s="12"/>
      <c r="NR70" s="12"/>
      <c r="NS70" s="12"/>
      <c r="NT70" s="12"/>
      <c r="NU70" s="12"/>
      <c r="NV70" s="12"/>
      <c r="NW70" s="12"/>
      <c r="NX70" s="12"/>
      <c r="NY70" s="12"/>
      <c r="NZ70" s="12"/>
      <c r="OA70" s="12"/>
      <c r="OB70" s="12"/>
      <c r="OC70" s="12"/>
      <c r="OD70" s="12"/>
      <c r="OE70" s="12"/>
      <c r="OF70" s="12"/>
      <c r="OG70" s="12"/>
      <c r="OH70" s="12"/>
      <c r="OI70" s="12"/>
      <c r="OJ70" s="12"/>
      <c r="OK70" s="12"/>
      <c r="OL70" s="12"/>
      <c r="OM70" s="12"/>
      <c r="ON70" s="12"/>
      <c r="OO70" s="12"/>
      <c r="OP70" s="12"/>
      <c r="OQ70" s="12"/>
      <c r="OR70" s="12"/>
      <c r="OS70" s="12"/>
      <c r="OT70" s="12"/>
      <c r="OU70" s="12"/>
      <c r="OV70" s="12"/>
      <c r="OW70" s="12"/>
      <c r="OX70" s="12"/>
      <c r="OY70" s="12"/>
      <c r="OZ70" s="12"/>
      <c r="PA70" s="12"/>
      <c r="PB70" s="12"/>
      <c r="PC70" s="12"/>
      <c r="PD70" s="12"/>
      <c r="PE70" s="12"/>
      <c r="PF70" s="12"/>
      <c r="PG70" s="12"/>
      <c r="PH70" s="12"/>
      <c r="PI70" s="12"/>
      <c r="PJ70" s="12"/>
      <c r="PK70" s="12"/>
      <c r="PL70" s="12"/>
      <c r="PM70" s="12"/>
      <c r="PN70" s="12"/>
      <c r="PO70" s="12"/>
      <c r="PP70" s="12"/>
      <c r="PQ70" s="12"/>
      <c r="PR70" s="12"/>
      <c r="PS70" s="12"/>
      <c r="PT70" s="12"/>
      <c r="PU70" s="12"/>
      <c r="PV70" s="12"/>
      <c r="PW70" s="12"/>
      <c r="PX70" s="12"/>
      <c r="PY70" s="12"/>
      <c r="PZ70" s="12"/>
      <c r="QA70" s="12"/>
      <c r="QB70" s="12"/>
      <c r="QC70" s="12"/>
      <c r="QD70" s="12"/>
      <c r="QE70" s="12"/>
      <c r="QF70" s="12"/>
      <c r="QG70" s="12"/>
      <c r="QH70" s="12"/>
      <c r="QI70" s="12"/>
      <c r="QJ70" s="12"/>
      <c r="QK70" s="12"/>
      <c r="QL70" s="12"/>
      <c r="QM70" s="12"/>
      <c r="QN70" s="12"/>
      <c r="QO70" s="12"/>
      <c r="QP70" s="12"/>
      <c r="QQ70" s="12"/>
      <c r="QR70" s="12"/>
      <c r="QS70" s="12"/>
      <c r="QT70" s="12"/>
      <c r="QU70" s="12"/>
      <c r="QV70" s="12"/>
      <c r="QW70" s="12"/>
      <c r="QX70" s="12"/>
      <c r="QY70" s="12"/>
      <c r="QZ70" s="12"/>
      <c r="RA70" s="12"/>
      <c r="RB70" s="12"/>
      <c r="RC70" s="12"/>
      <c r="RD70" s="12"/>
      <c r="RE70" s="12"/>
      <c r="RF70" s="12"/>
      <c r="RG70" s="12"/>
      <c r="RH70" s="12"/>
      <c r="RI70" s="12"/>
      <c r="RJ70" s="12"/>
      <c r="RK70" s="12"/>
      <c r="RL70" s="12"/>
      <c r="RM70" s="12"/>
      <c r="RN70" s="12"/>
      <c r="RO70" s="12"/>
      <c r="RP70" s="12"/>
      <c r="RQ70" s="12"/>
      <c r="RR70" s="12"/>
      <c r="RS70" s="12"/>
      <c r="RT70" s="12"/>
      <c r="RU70" s="12"/>
      <c r="RV70" s="12"/>
      <c r="RW70" s="12"/>
      <c r="RX70" s="12"/>
      <c r="RY70" s="12"/>
      <c r="RZ70" s="12"/>
      <c r="SA70" s="12"/>
      <c r="SB70" s="12"/>
      <c r="SC70" s="12"/>
      <c r="SD70" s="12"/>
      <c r="SE70" s="12"/>
      <c r="SF70" s="12"/>
      <c r="SG70" s="12"/>
      <c r="SH70" s="12"/>
      <c r="SI70" s="12"/>
      <c r="SJ70" s="12"/>
      <c r="SK70" s="12"/>
      <c r="SL70" s="12"/>
      <c r="SM70" s="12"/>
      <c r="SN70" s="12"/>
      <c r="SO70" s="12"/>
      <c r="SP70" s="12"/>
      <c r="SQ70" s="12"/>
      <c r="SR70" s="12"/>
      <c r="SS70" s="12"/>
      <c r="ST70" s="12"/>
      <c r="SU70" s="12"/>
      <c r="SV70" s="12"/>
      <c r="SW70" s="12"/>
      <c r="SX70" s="12"/>
      <c r="SY70" s="12"/>
      <c r="SZ70" s="12"/>
      <c r="TA70" s="12"/>
      <c r="TB70" s="12"/>
      <c r="TC70" s="12"/>
      <c r="TD70" s="12"/>
      <c r="TE70" s="12"/>
      <c r="TF70" s="12"/>
      <c r="TG70" s="12"/>
      <c r="TH70" s="12"/>
      <c r="TI70" s="12"/>
      <c r="TJ70" s="12"/>
      <c r="TK70" s="12"/>
      <c r="TL70" s="12"/>
      <c r="TM70" s="12"/>
      <c r="TN70" s="12"/>
      <c r="TO70" s="12"/>
      <c r="TP70" s="12"/>
      <c r="TQ70" s="12"/>
      <c r="TR70" s="12"/>
      <c r="TS70" s="12"/>
      <c r="TT70" s="12"/>
      <c r="TU70" s="12"/>
      <c r="TV70" s="12"/>
      <c r="TW70" s="12"/>
      <c r="TX70" s="12"/>
      <c r="TY70" s="12"/>
      <c r="TZ70" s="12"/>
      <c r="UA70" s="12"/>
      <c r="UB70" s="12"/>
      <c r="UC70" s="12"/>
      <c r="UD70" s="12"/>
      <c r="UE70" s="12"/>
      <c r="UF70" s="12"/>
      <c r="UG70" s="12"/>
      <c r="UH70" s="12"/>
      <c r="UI70" s="12"/>
      <c r="UJ70" s="12"/>
      <c r="UK70" s="12"/>
      <c r="UL70" s="12"/>
      <c r="UM70" s="12"/>
      <c r="UN70" s="12"/>
      <c r="UO70" s="12"/>
      <c r="UP70" s="12"/>
      <c r="UQ70" s="12"/>
      <c r="UR70" s="12"/>
      <c r="US70" s="12"/>
      <c r="UT70" s="12"/>
      <c r="UU70" s="12"/>
      <c r="UV70" s="12"/>
      <c r="UW70" s="12"/>
      <c r="UX70" s="12"/>
      <c r="UY70" s="12"/>
      <c r="UZ70" s="12"/>
      <c r="VA70" s="12"/>
      <c r="VB70" s="12"/>
      <c r="VC70" s="12"/>
      <c r="VD70" s="12"/>
      <c r="VE70" s="12"/>
      <c r="VF70" s="12"/>
      <c r="VG70" s="12"/>
      <c r="VH70" s="12"/>
      <c r="VI70" s="12"/>
      <c r="VJ70" s="12"/>
      <c r="VK70" s="12"/>
      <c r="VL70" s="12"/>
      <c r="VM70" s="12"/>
      <c r="VN70" s="12"/>
      <c r="VO70" s="12"/>
      <c r="VP70" s="12"/>
      <c r="VQ70" s="12"/>
      <c r="VR70" s="12"/>
      <c r="VS70" s="12"/>
      <c r="VT70" s="12"/>
      <c r="VU70" s="12"/>
      <c r="VV70" s="12"/>
      <c r="VW70" s="12"/>
      <c r="VX70" s="12"/>
      <c r="VY70" s="12"/>
      <c r="VZ70" s="12"/>
      <c r="WA70" s="12"/>
      <c r="WB70" s="12"/>
      <c r="WC70" s="12"/>
      <c r="WD70" s="12"/>
      <c r="WE70" s="12"/>
      <c r="WF70" s="12"/>
      <c r="WG70" s="12"/>
      <c r="WH70" s="12"/>
      <c r="WI70" s="12"/>
      <c r="WJ70" s="12"/>
      <c r="WK70" s="12"/>
      <c r="WL70" s="12"/>
      <c r="WM70" s="12"/>
      <c r="WN70" s="12"/>
      <c r="WO70" s="12"/>
      <c r="WP70" s="12"/>
      <c r="WQ70" s="12"/>
      <c r="WR70" s="12"/>
      <c r="WS70" s="12"/>
      <c r="WT70" s="12"/>
      <c r="WU70" s="12"/>
      <c r="WV70" s="12"/>
      <c r="WW70" s="12"/>
      <c r="WX70" s="12"/>
      <c r="WY70" s="12"/>
      <c r="WZ70" s="12"/>
      <c r="XA70" s="12"/>
      <c r="XB70" s="12"/>
      <c r="XC70" s="12"/>
      <c r="XD70" s="12"/>
      <c r="XE70" s="12"/>
      <c r="XF70" s="12"/>
      <c r="XG70" s="12"/>
      <c r="XH70" s="12"/>
      <c r="XI70" s="12"/>
      <c r="XJ70" s="12"/>
      <c r="XK70" s="12"/>
      <c r="XL70" s="12"/>
      <c r="XM70" s="12"/>
      <c r="XN70" s="12"/>
      <c r="XO70" s="12"/>
      <c r="XP70" s="12"/>
      <c r="XQ70" s="12"/>
      <c r="XR70" s="12"/>
      <c r="XS70" s="12"/>
      <c r="XT70" s="12"/>
      <c r="XU70" s="12"/>
      <c r="XV70" s="12"/>
      <c r="XW70" s="12"/>
      <c r="XX70" s="12"/>
      <c r="XY70" s="12"/>
      <c r="XZ70" s="12"/>
      <c r="YA70" s="12"/>
      <c r="YB70" s="12"/>
      <c r="YC70" s="12"/>
      <c r="YD70" s="12"/>
      <c r="YE70" s="12"/>
      <c r="YF70" s="12"/>
      <c r="YG70" s="12"/>
      <c r="YH70" s="12"/>
      <c r="YI70" s="12"/>
      <c r="YJ70" s="12"/>
      <c r="YK70" s="12"/>
      <c r="YL70" s="12"/>
      <c r="YM70" s="12"/>
      <c r="YN70" s="12"/>
      <c r="YO70" s="12"/>
      <c r="YP70" s="12"/>
      <c r="YQ70" s="12"/>
      <c r="YR70" s="12"/>
      <c r="YS70" s="12"/>
      <c r="YT70" s="12"/>
      <c r="YU70" s="12"/>
      <c r="YV70" s="12"/>
      <c r="YW70" s="12"/>
      <c r="YX70" s="12"/>
      <c r="YY70" s="12"/>
      <c r="YZ70" s="12"/>
      <c r="ZA70" s="12"/>
      <c r="ZB70" s="12"/>
      <c r="ZC70" s="12"/>
      <c r="ZD70" s="12"/>
      <c r="ZE70" s="12"/>
      <c r="ZF70" s="12"/>
      <c r="ZG70" s="12"/>
      <c r="ZH70" s="12"/>
      <c r="ZI70" s="12"/>
      <c r="ZJ70" s="12"/>
      <c r="ZK70" s="12"/>
      <c r="ZL70" s="12"/>
      <c r="ZM70" s="12"/>
      <c r="ZN70" s="12"/>
      <c r="ZO70" s="12"/>
      <c r="ZP70" s="12"/>
      <c r="ZQ70" s="12"/>
      <c r="ZR70" s="12"/>
      <c r="ZS70" s="12"/>
      <c r="ZT70" s="12"/>
      <c r="ZU70" s="12"/>
      <c r="ZV70" s="12"/>
      <c r="ZW70" s="12"/>
      <c r="ZX70" s="12"/>
      <c r="ZY70" s="12"/>
      <c r="ZZ70" s="12"/>
      <c r="AAA70" s="12"/>
      <c r="AAB70" s="12"/>
      <c r="AAC70" s="12"/>
      <c r="AAD70" s="12"/>
      <c r="AAE70" s="12"/>
      <c r="AAF70" s="12"/>
      <c r="AAG70" s="12"/>
      <c r="AAH70" s="12"/>
      <c r="AAI70" s="12"/>
      <c r="AAJ70" s="12"/>
      <c r="AAK70" s="12"/>
      <c r="AAL70" s="12"/>
      <c r="AAM70" s="12"/>
      <c r="AAN70" s="12"/>
      <c r="AAO70" s="12"/>
      <c r="AAP70" s="12"/>
      <c r="AAQ70" s="12"/>
      <c r="AAR70" s="12"/>
      <c r="AAS70" s="12"/>
      <c r="AAT70" s="12"/>
      <c r="AAU70" s="12"/>
      <c r="AAV70" s="12"/>
      <c r="AAW70" s="12"/>
      <c r="AAX70" s="12"/>
      <c r="AAY70" s="12"/>
      <c r="AAZ70" s="12"/>
      <c r="ABA70" s="12"/>
      <c r="ABB70" s="12"/>
      <c r="ABC70" s="12"/>
      <c r="ABD70" s="12"/>
      <c r="ABE70" s="12"/>
      <c r="ABF70" s="12"/>
      <c r="ABG70" s="12"/>
      <c r="ABH70" s="12"/>
      <c r="ABI70" s="12"/>
      <c r="ABJ70" s="12"/>
      <c r="ABK70" s="12"/>
      <c r="ABL70" s="12"/>
      <c r="ABM70" s="12"/>
      <c r="ABN70" s="12"/>
      <c r="ABO70" s="12"/>
      <c r="ABP70" s="12"/>
      <c r="ABQ70" s="12"/>
      <c r="ABR70" s="12"/>
      <c r="ABS70" s="12"/>
      <c r="ABT70" s="12"/>
      <c r="ABU70" s="12"/>
      <c r="ABV70" s="12"/>
      <c r="ABW70" s="12"/>
      <c r="ABX70" s="12"/>
      <c r="ABY70" s="12"/>
      <c r="ABZ70" s="12"/>
      <c r="ACA70" s="12"/>
      <c r="ACB70" s="12"/>
      <c r="ACC70" s="12"/>
      <c r="ACD70" s="12"/>
      <c r="ACE70" s="12"/>
      <c r="ACF70" s="12"/>
      <c r="ACG70" s="12"/>
      <c r="ACH70" s="12"/>
      <c r="ACI70" s="12"/>
      <c r="ACJ70" s="12"/>
      <c r="ACK70" s="12"/>
      <c r="ACL70" s="12"/>
      <c r="ACM70" s="12"/>
      <c r="ACN70" s="12"/>
      <c r="ACO70" s="12"/>
      <c r="ACP70" s="12"/>
      <c r="ACQ70" s="12"/>
      <c r="ACR70" s="12"/>
      <c r="ACS70" s="12"/>
      <c r="ACT70" s="12"/>
      <c r="ACU70" s="12"/>
      <c r="ACV70" s="12"/>
      <c r="ACW70" s="12"/>
      <c r="ACX70" s="12"/>
      <c r="ACY70" s="12"/>
      <c r="ACZ70" s="12"/>
      <c r="ADA70" s="12"/>
      <c r="ADB70" s="12"/>
      <c r="ADC70" s="12"/>
      <c r="ADD70" s="12"/>
      <c r="ADE70" s="12"/>
      <c r="ADF70" s="12"/>
      <c r="ADG70" s="12"/>
      <c r="ADH70" s="12"/>
      <c r="ADI70" s="12"/>
      <c r="ADJ70" s="12"/>
      <c r="ADK70" s="12"/>
      <c r="ADL70" s="12"/>
      <c r="ADM70" s="12"/>
      <c r="ADN70" s="12"/>
      <c r="ADO70" s="12"/>
      <c r="ADP70" s="12"/>
      <c r="ADQ70" s="12"/>
      <c r="ADR70" s="12"/>
      <c r="ADS70" s="12"/>
      <c r="ADT70" s="12"/>
      <c r="ADU70" s="12"/>
      <c r="ADV70" s="12"/>
      <c r="ADW70" s="12"/>
      <c r="ADX70" s="12"/>
      <c r="ADY70" s="12"/>
      <c r="ADZ70" s="12"/>
      <c r="AEA70" s="12"/>
      <c r="AEB70" s="12"/>
      <c r="AEC70" s="12"/>
      <c r="AED70" s="12"/>
      <c r="AEE70" s="12"/>
      <c r="AEF70" s="12"/>
      <c r="AEG70" s="12"/>
      <c r="AEH70" s="12"/>
      <c r="AEI70" s="12"/>
      <c r="AEJ70" s="12"/>
      <c r="AEK70" s="12"/>
      <c r="AEL70" s="12"/>
      <c r="AEM70" s="12"/>
      <c r="AEN70" s="12"/>
      <c r="AEO70" s="12"/>
      <c r="AEP70" s="12"/>
      <c r="AEQ70" s="12"/>
      <c r="AER70" s="12"/>
      <c r="AES70" s="12"/>
      <c r="AET70" s="12"/>
      <c r="AEU70" s="12"/>
      <c r="AEV70" s="12"/>
      <c r="AEW70" s="12"/>
      <c r="AEX70" s="12"/>
      <c r="AEY70" s="12"/>
      <c r="AEZ70" s="12"/>
      <c r="AFA70" s="12"/>
      <c r="AFB70" s="12"/>
      <c r="AFC70" s="12"/>
      <c r="AFD70" s="12"/>
      <c r="AFE70" s="12"/>
      <c r="AFF70" s="12"/>
      <c r="AFG70" s="12"/>
      <c r="AFH70" s="12"/>
      <c r="AFI70" s="12"/>
      <c r="AFJ70" s="12"/>
      <c r="AFK70" s="12"/>
      <c r="AFL70" s="12"/>
      <c r="AFM70" s="12"/>
      <c r="AFN70" s="12"/>
      <c r="AFO70" s="12"/>
      <c r="AFP70" s="12"/>
      <c r="AFQ70" s="12"/>
      <c r="AFR70" s="12"/>
      <c r="AFS70" s="12"/>
      <c r="AFT70" s="12"/>
      <c r="AFU70" s="12"/>
      <c r="AFV70" s="12"/>
      <c r="AFW70" s="12"/>
      <c r="AFX70" s="12"/>
      <c r="AFY70" s="12"/>
      <c r="AFZ70" s="12"/>
      <c r="AGA70" s="12"/>
      <c r="AGB70" s="12"/>
      <c r="AGC70" s="12"/>
      <c r="AGD70" s="12"/>
      <c r="AGE70" s="12"/>
      <c r="AGF70" s="12"/>
      <c r="AGG70" s="12"/>
      <c r="AGH70" s="12"/>
      <c r="AGI70" s="12"/>
      <c r="AGJ70" s="12"/>
      <c r="AGK70" s="12"/>
      <c r="AGL70" s="12"/>
      <c r="AGM70" s="12"/>
      <c r="AGN70" s="12"/>
      <c r="AGO70" s="12"/>
      <c r="AGP70" s="12"/>
      <c r="AGQ70" s="12"/>
      <c r="AGR70" s="12"/>
      <c r="AGS70" s="12"/>
      <c r="AGT70" s="12"/>
      <c r="AGU70" s="12"/>
      <c r="AGV70" s="12"/>
      <c r="AGW70" s="12"/>
      <c r="AGX70" s="12"/>
      <c r="AGY70" s="12"/>
      <c r="AGZ70" s="12"/>
      <c r="AHA70" s="12"/>
      <c r="AHB70" s="12"/>
      <c r="AHC70" s="12"/>
      <c r="AHD70" s="12"/>
      <c r="AHE70" s="12"/>
      <c r="AHF70" s="12"/>
      <c r="AHG70" s="12"/>
      <c r="AHH70" s="12"/>
      <c r="AHI70" s="12"/>
      <c r="AHJ70" s="12"/>
      <c r="AHK70" s="12"/>
      <c r="AHL70" s="12"/>
      <c r="AHM70" s="12"/>
      <c r="AHN70" s="12"/>
      <c r="AHO70" s="12"/>
      <c r="AHP70" s="12"/>
      <c r="AHQ70" s="12"/>
      <c r="AHR70" s="12"/>
      <c r="AHS70" s="12"/>
      <c r="AHT70" s="12"/>
      <c r="AHU70" s="12"/>
      <c r="AHV70" s="12"/>
      <c r="AHW70" s="12"/>
      <c r="AHX70" s="12"/>
      <c r="AHY70" s="12"/>
      <c r="AHZ70" s="12"/>
      <c r="AIA70" s="12"/>
      <c r="AIB70" s="12"/>
      <c r="AIC70" s="12"/>
      <c r="AID70" s="12"/>
      <c r="AIE70" s="12"/>
      <c r="AIF70" s="12"/>
      <c r="AIG70" s="12"/>
      <c r="AIH70" s="12"/>
      <c r="AII70" s="12"/>
      <c r="AIJ70" s="12"/>
      <c r="AIK70" s="12"/>
      <c r="AIL70" s="12"/>
      <c r="AIM70" s="12"/>
      <c r="AIN70" s="12"/>
      <c r="AIO70" s="12"/>
      <c r="AIP70" s="12"/>
      <c r="AIQ70" s="12"/>
      <c r="AIR70" s="12"/>
      <c r="AIS70" s="12"/>
      <c r="AIT70" s="12"/>
      <c r="AIU70" s="12"/>
      <c r="AIV70" s="12"/>
      <c r="AIW70" s="12"/>
      <c r="AIX70" s="12"/>
      <c r="AIY70" s="12"/>
      <c r="AIZ70" s="12"/>
      <c r="AJA70" s="12"/>
      <c r="AJB70" s="12"/>
      <c r="AJC70" s="12"/>
      <c r="AJD70" s="12"/>
      <c r="AJE70" s="12"/>
      <c r="AJF70" s="12"/>
      <c r="AJG70" s="12"/>
      <c r="AJH70" s="12"/>
      <c r="AJI70" s="12"/>
      <c r="AJJ70" s="12"/>
      <c r="AJK70" s="12"/>
      <c r="AJL70" s="12"/>
      <c r="AJM70" s="12"/>
      <c r="AJN70" s="12"/>
      <c r="AJO70" s="12"/>
      <c r="AJP70" s="12"/>
      <c r="AJQ70" s="12"/>
      <c r="AJR70" s="12"/>
      <c r="AJS70" s="12"/>
      <c r="AJT70" s="12"/>
      <c r="AJU70" s="12"/>
      <c r="AJV70" s="12"/>
      <c r="AJW70" s="12"/>
      <c r="AJX70" s="12"/>
      <c r="AJY70" s="12"/>
      <c r="AJZ70" s="12"/>
      <c r="AKA70" s="12"/>
      <c r="AKB70" s="12"/>
      <c r="AKC70" s="12"/>
      <c r="AKD70" s="12"/>
      <c r="AKE70" s="12"/>
      <c r="AKF70" s="12"/>
      <c r="AKG70" s="12"/>
      <c r="AKH70" s="12"/>
      <c r="AKI70" s="12"/>
      <c r="AKJ70" s="12"/>
      <c r="AKK70" s="12"/>
      <c r="AKL70" s="12"/>
      <c r="AKM70" s="12"/>
      <c r="AKN70" s="12"/>
      <c r="AKO70" s="12"/>
      <c r="AKP70" s="12"/>
      <c r="AKQ70" s="12"/>
      <c r="AKR70" s="12"/>
      <c r="AKS70" s="12"/>
      <c r="AKT70" s="12"/>
      <c r="AKU70" s="12"/>
      <c r="AKV70" s="12"/>
      <c r="AKW70" s="12"/>
      <c r="AKX70" s="12"/>
      <c r="AKY70" s="12"/>
      <c r="AKZ70" s="12"/>
      <c r="ALA70" s="12"/>
      <c r="ALB70" s="12"/>
      <c r="ALC70" s="12"/>
      <c r="ALD70" s="12"/>
      <c r="ALE70" s="12"/>
      <c r="ALF70" s="12"/>
      <c r="ALG70" s="12"/>
      <c r="ALH70" s="12"/>
      <c r="ALI70" s="12"/>
      <c r="ALJ70" s="12"/>
      <c r="ALK70" s="12"/>
      <c r="ALL70" s="12"/>
      <c r="ALM70" s="12"/>
      <c r="ALN70" s="12"/>
      <c r="ALO70" s="12"/>
      <c r="ALP70" s="12"/>
      <c r="ALQ70" s="12"/>
      <c r="ALR70" s="12"/>
      <c r="ALS70" s="12"/>
      <c r="ALT70" s="12"/>
      <c r="ALU70" s="12"/>
      <c r="ALV70" s="12"/>
      <c r="ALW70" s="12"/>
      <c r="ALX70" s="12"/>
      <c r="ALY70" s="12"/>
      <c r="ALZ70" s="12"/>
      <c r="AMA70" s="12"/>
      <c r="AMB70" s="12"/>
      <c r="AMC70" s="12"/>
      <c r="AMD70" s="12"/>
      <c r="AME70" s="12"/>
      <c r="AMF70" s="12"/>
      <c r="AMG70" s="12"/>
      <c r="AMH70" s="12"/>
      <c r="AMI70" s="12"/>
      <c r="AMJ70" s="12"/>
      <c r="AMK70" s="12"/>
      <c r="AML70" s="12"/>
      <c r="AMM70" s="12"/>
      <c r="AMN70" s="12"/>
      <c r="AMO70" s="12"/>
      <c r="AMP70" s="12"/>
      <c r="AMQ70" s="12"/>
      <c r="AMR70" s="12"/>
      <c r="AMS70" s="12"/>
      <c r="AMT70" s="12"/>
      <c r="AMU70" s="12"/>
      <c r="AMV70" s="12"/>
      <c r="AMW70" s="12"/>
      <c r="AMX70" s="12"/>
      <c r="AMY70" s="12"/>
      <c r="AMZ70" s="12"/>
      <c r="ANA70" s="12"/>
      <c r="ANB70" s="12"/>
      <c r="ANC70" s="12"/>
      <c r="AND70" s="12"/>
      <c r="ANE70" s="12"/>
      <c r="ANF70" s="12"/>
      <c r="ANG70" s="12"/>
      <c r="ANH70" s="12"/>
      <c r="ANI70" s="12"/>
      <c r="ANJ70" s="12"/>
      <c r="ANK70" s="12"/>
      <c r="ANL70" s="12"/>
      <c r="ANM70" s="12"/>
      <c r="ANN70" s="12"/>
      <c r="ANO70" s="12"/>
      <c r="ANP70" s="12"/>
      <c r="ANQ70" s="12"/>
      <c r="ANR70" s="12"/>
      <c r="ANS70" s="12"/>
      <c r="ANT70" s="12"/>
      <c r="ANU70" s="12"/>
      <c r="ANV70" s="12"/>
      <c r="ANW70" s="12"/>
      <c r="ANX70" s="12"/>
      <c r="ANY70" s="12"/>
      <c r="ANZ70" s="12"/>
      <c r="AOA70" s="12"/>
      <c r="AOB70" s="12"/>
      <c r="AOC70" s="12"/>
      <c r="AOD70" s="12"/>
      <c r="AOE70" s="12"/>
      <c r="AOF70" s="12"/>
      <c r="AOG70" s="12"/>
      <c r="AOH70" s="12"/>
      <c r="AOI70" s="12"/>
      <c r="AOJ70" s="12"/>
      <c r="AOK70" s="12"/>
      <c r="AOL70" s="12"/>
      <c r="AOM70" s="12"/>
      <c r="AON70" s="12"/>
      <c r="AOO70" s="12"/>
      <c r="AOP70" s="12"/>
      <c r="AOQ70" s="12"/>
      <c r="AOR70" s="12"/>
      <c r="AOS70" s="12"/>
      <c r="AOT70" s="12"/>
      <c r="AOU70" s="12"/>
      <c r="AOV70" s="12"/>
      <c r="AOW70" s="12"/>
      <c r="AOX70" s="12"/>
      <c r="AOY70" s="12"/>
      <c r="AOZ70" s="12"/>
      <c r="APA70" s="12"/>
      <c r="APB70" s="12"/>
      <c r="APC70" s="12"/>
      <c r="APD70" s="12"/>
      <c r="APE70" s="12"/>
      <c r="APF70" s="12"/>
      <c r="APG70" s="12"/>
      <c r="APH70" s="12"/>
      <c r="API70" s="12"/>
      <c r="APJ70" s="12"/>
      <c r="APK70" s="12"/>
      <c r="APL70" s="12"/>
      <c r="APM70" s="12"/>
      <c r="APN70" s="12"/>
      <c r="APO70" s="12"/>
      <c r="APP70" s="12"/>
      <c r="APQ70" s="12"/>
      <c r="APR70" s="12"/>
      <c r="APS70" s="12"/>
      <c r="APT70" s="12"/>
      <c r="APU70" s="12"/>
      <c r="APV70" s="12"/>
      <c r="APW70" s="12"/>
      <c r="APX70" s="12"/>
      <c r="APY70" s="12"/>
      <c r="APZ70" s="12"/>
      <c r="AQA70" s="12"/>
      <c r="AQB70" s="12"/>
      <c r="AQC70" s="12"/>
      <c r="AQD70" s="12"/>
      <c r="AQE70" s="12"/>
      <c r="AQF70" s="12"/>
      <c r="AQG70" s="12"/>
      <c r="AQH70" s="12"/>
      <c r="AQI70" s="12"/>
      <c r="AQJ70" s="12"/>
      <c r="AQK70" s="12"/>
      <c r="AQL70" s="12"/>
      <c r="AQM70" s="12"/>
      <c r="AQN70" s="12"/>
      <c r="AQO70" s="12"/>
      <c r="AQP70" s="12"/>
      <c r="AQQ70" s="12"/>
      <c r="AQR70" s="12"/>
      <c r="AQS70" s="12"/>
      <c r="AQT70" s="12"/>
      <c r="AQU70" s="12"/>
      <c r="AQV70" s="12"/>
      <c r="AQW70" s="12"/>
      <c r="AQX70" s="12"/>
      <c r="AQY70" s="12"/>
      <c r="AQZ70" s="12"/>
      <c r="ARA70" s="12"/>
      <c r="ARB70" s="12"/>
      <c r="ARC70" s="12"/>
      <c r="ARD70" s="12"/>
      <c r="ARE70" s="12"/>
      <c r="ARF70" s="12"/>
      <c r="ARG70" s="12"/>
      <c r="ARH70" s="12"/>
      <c r="ARI70" s="12"/>
      <c r="ARJ70" s="12"/>
      <c r="ARK70" s="12"/>
      <c r="ARL70" s="12"/>
      <c r="ARM70" s="12"/>
      <c r="ARN70" s="12"/>
      <c r="ARO70" s="12"/>
      <c r="ARP70" s="12"/>
      <c r="ARQ70" s="12"/>
      <c r="ARR70" s="12"/>
      <c r="ARS70" s="12"/>
      <c r="ART70" s="12"/>
      <c r="ARU70" s="12"/>
      <c r="ARV70" s="12"/>
      <c r="ARW70" s="12"/>
      <c r="ARX70" s="12"/>
      <c r="ARY70" s="12"/>
      <c r="ARZ70" s="12"/>
      <c r="ASA70" s="12"/>
      <c r="ASB70" s="12"/>
      <c r="ASC70" s="12"/>
      <c r="ASD70" s="12"/>
      <c r="ASE70" s="12"/>
      <c r="ASF70" s="12"/>
      <c r="ASG70" s="12"/>
      <c r="ASH70" s="12"/>
      <c r="ASI70" s="12"/>
      <c r="ASJ70" s="12"/>
      <c r="ASK70" s="12"/>
      <c r="ASL70" s="12"/>
      <c r="ASM70" s="12"/>
      <c r="ASN70" s="12"/>
      <c r="ASO70" s="12"/>
      <c r="ASP70" s="12"/>
      <c r="ASQ70" s="12"/>
      <c r="ASR70" s="12"/>
      <c r="ASS70" s="12"/>
      <c r="AST70" s="12"/>
      <c r="ASU70" s="12"/>
      <c r="ASV70" s="12"/>
      <c r="ASW70" s="12"/>
      <c r="ASX70" s="12"/>
      <c r="ASY70" s="12"/>
      <c r="ASZ70" s="12"/>
      <c r="ATA70" s="12"/>
      <c r="ATB70" s="12"/>
      <c r="ATC70" s="12"/>
      <c r="ATD70" s="12"/>
      <c r="ATE70" s="12"/>
      <c r="ATF70" s="12"/>
      <c r="ATG70" s="12"/>
      <c r="ATH70" s="12"/>
      <c r="ATI70" s="12"/>
      <c r="ATJ70" s="12"/>
      <c r="ATK70" s="12"/>
      <c r="ATL70" s="12"/>
      <c r="ATM70" s="12"/>
      <c r="ATN70" s="12"/>
      <c r="ATO70" s="12"/>
      <c r="ATP70" s="12"/>
      <c r="ATQ70" s="12"/>
      <c r="ATR70" s="12"/>
      <c r="ATS70" s="12"/>
      <c r="ATT70" s="12"/>
      <c r="ATU70" s="12"/>
      <c r="ATV70" s="12"/>
      <c r="ATW70" s="12"/>
      <c r="ATX70" s="12"/>
      <c r="ATY70" s="12"/>
      <c r="ATZ70" s="12"/>
      <c r="AUA70" s="12"/>
      <c r="AUB70" s="12"/>
      <c r="AUC70" s="12"/>
      <c r="AUD70" s="12"/>
      <c r="AUE70" s="12"/>
      <c r="AUF70" s="12"/>
      <c r="AUG70" s="12"/>
      <c r="AUH70" s="12"/>
      <c r="AUI70" s="12"/>
      <c r="AUJ70" s="12"/>
      <c r="AUK70" s="12"/>
      <c r="AUL70" s="12"/>
      <c r="AUM70" s="12"/>
      <c r="AUN70" s="12"/>
      <c r="AUO70" s="12"/>
      <c r="AUP70" s="12"/>
      <c r="AUQ70" s="12"/>
      <c r="AUR70" s="12"/>
      <c r="AUS70" s="12"/>
      <c r="AUT70" s="12"/>
      <c r="AUU70" s="12"/>
      <c r="AUV70" s="12"/>
      <c r="AUW70" s="12"/>
      <c r="AUX70" s="12"/>
      <c r="AUY70" s="12"/>
      <c r="AUZ70" s="12"/>
      <c r="AVA70" s="12"/>
      <c r="AVB70" s="12"/>
      <c r="AVC70" s="12"/>
      <c r="AVD70" s="12"/>
      <c r="AVE70" s="12"/>
      <c r="AVF70" s="12"/>
      <c r="AVG70" s="12"/>
      <c r="AVH70" s="12"/>
      <c r="AVI70" s="12"/>
      <c r="AVJ70" s="12"/>
      <c r="AVK70" s="12"/>
      <c r="AVL70" s="12"/>
      <c r="AVM70" s="12"/>
      <c r="AVN70" s="12"/>
      <c r="AVO70" s="12"/>
      <c r="AVP70" s="12"/>
      <c r="AVQ70" s="12"/>
      <c r="AVR70" s="12"/>
      <c r="AVS70" s="12"/>
      <c r="AVT70" s="12"/>
      <c r="AVU70" s="12"/>
      <c r="AVV70" s="12"/>
      <c r="AVW70" s="12"/>
      <c r="AVX70" s="12"/>
      <c r="AVY70" s="12"/>
      <c r="AVZ70" s="12"/>
      <c r="AWA70" s="12"/>
      <c r="AWB70" s="12"/>
      <c r="AWC70" s="12"/>
      <c r="AWD70" s="12"/>
      <c r="AWE70" s="12"/>
      <c r="AWF70" s="12"/>
      <c r="AWG70" s="12"/>
      <c r="AWH70" s="12"/>
      <c r="AWI70" s="12"/>
      <c r="AWJ70" s="12"/>
      <c r="AWK70" s="12"/>
      <c r="AWL70" s="12"/>
      <c r="AWM70" s="12"/>
      <c r="AWN70" s="12"/>
      <c r="AWO70" s="12"/>
      <c r="AWP70" s="12"/>
      <c r="AWQ70" s="12"/>
      <c r="AWR70" s="12"/>
      <c r="AWS70" s="12"/>
      <c r="AWT70" s="12"/>
      <c r="AWU70" s="12"/>
      <c r="AWV70" s="12"/>
      <c r="AWW70" s="12"/>
      <c r="AWX70" s="12"/>
      <c r="AWY70" s="12"/>
      <c r="AWZ70" s="12"/>
      <c r="AXA70" s="12"/>
      <c r="AXB70" s="12"/>
      <c r="AXC70" s="12"/>
      <c r="AXD70" s="12"/>
      <c r="AXE70" s="12"/>
      <c r="AXF70" s="12"/>
      <c r="AXG70" s="12"/>
      <c r="AXH70" s="12"/>
      <c r="AXI70" s="12"/>
      <c r="AXJ70" s="12"/>
      <c r="AXK70" s="12"/>
      <c r="AXL70" s="12"/>
      <c r="AXM70" s="12"/>
      <c r="AXN70" s="12"/>
      <c r="AXO70" s="12"/>
      <c r="AXP70" s="12"/>
      <c r="AXQ70" s="12"/>
      <c r="AXR70" s="12"/>
      <c r="AXS70" s="12"/>
      <c r="AXT70" s="12"/>
      <c r="AXU70" s="12"/>
      <c r="AXV70" s="12"/>
      <c r="AXW70" s="12"/>
      <c r="AXX70" s="12"/>
      <c r="AXY70" s="12"/>
      <c r="AXZ70" s="12"/>
      <c r="AYA70" s="12"/>
      <c r="AYB70" s="12"/>
      <c r="AYC70" s="12"/>
      <c r="AYD70" s="12"/>
      <c r="AYE70" s="12"/>
      <c r="AYF70" s="12"/>
      <c r="AYG70" s="12"/>
      <c r="AYH70" s="12"/>
      <c r="AYI70" s="12"/>
      <c r="AYJ70" s="12"/>
      <c r="AYK70" s="12"/>
      <c r="AYL70" s="12"/>
      <c r="AYM70" s="12"/>
      <c r="AYN70" s="12"/>
      <c r="AYO70" s="12"/>
      <c r="AYP70" s="12"/>
      <c r="AYQ70" s="12"/>
      <c r="AYR70" s="12"/>
      <c r="AYS70" s="12"/>
      <c r="AYT70" s="12"/>
      <c r="AYU70" s="12"/>
      <c r="AYV70" s="12"/>
      <c r="AYW70" s="12"/>
      <c r="AYX70" s="12"/>
      <c r="AYY70" s="12"/>
      <c r="AYZ70" s="12"/>
      <c r="AZA70" s="12"/>
      <c r="AZB70" s="12"/>
      <c r="AZC70" s="12"/>
      <c r="AZD70" s="12"/>
      <c r="AZE70" s="12"/>
      <c r="AZF70" s="12"/>
      <c r="AZG70" s="12"/>
      <c r="AZH70" s="12"/>
      <c r="AZI70" s="12"/>
      <c r="AZJ70" s="12"/>
      <c r="AZK70" s="12"/>
      <c r="AZL70" s="12"/>
      <c r="AZM70" s="12"/>
      <c r="AZN70" s="12"/>
      <c r="AZO70" s="12"/>
      <c r="AZP70" s="12"/>
      <c r="AZQ70" s="12"/>
      <c r="AZR70" s="12"/>
      <c r="AZS70" s="12"/>
      <c r="AZT70" s="12"/>
      <c r="AZU70" s="12"/>
      <c r="AZV70" s="12"/>
      <c r="AZW70" s="12"/>
      <c r="AZX70" s="12"/>
      <c r="AZY70" s="12"/>
      <c r="AZZ70" s="12"/>
      <c r="BAA70" s="12"/>
      <c r="BAB70" s="12"/>
      <c r="BAC70" s="12"/>
      <c r="BAD70" s="12"/>
      <c r="BAE70" s="12"/>
      <c r="BAF70" s="12"/>
      <c r="BAG70" s="12"/>
      <c r="BAH70" s="12"/>
      <c r="BAI70" s="12"/>
      <c r="BAJ70" s="12"/>
      <c r="BAK70" s="12"/>
      <c r="BAL70" s="12"/>
      <c r="BAM70" s="12"/>
      <c r="BAN70" s="12"/>
      <c r="BAO70" s="12"/>
      <c r="BAP70" s="12"/>
      <c r="BAQ70" s="12"/>
      <c r="BAR70" s="12"/>
      <c r="BAS70" s="12"/>
      <c r="BAT70" s="12"/>
      <c r="BAU70" s="12"/>
      <c r="BAV70" s="12"/>
      <c r="BAW70" s="12"/>
      <c r="BAX70" s="12"/>
      <c r="BAY70" s="12"/>
      <c r="BAZ70" s="12"/>
      <c r="BBA70" s="12"/>
      <c r="BBB70" s="12"/>
      <c r="BBC70" s="12"/>
      <c r="BBD70" s="12"/>
      <c r="BBE70" s="12"/>
      <c r="BBF70" s="12"/>
      <c r="BBG70" s="12"/>
      <c r="BBH70" s="12"/>
      <c r="BBI70" s="12"/>
      <c r="BBJ70" s="12"/>
      <c r="BBK70" s="12"/>
      <c r="BBL70" s="12"/>
      <c r="BBM70" s="12"/>
      <c r="BBN70" s="12"/>
      <c r="BBO70" s="12"/>
      <c r="BBP70" s="12"/>
      <c r="BBQ70" s="12"/>
      <c r="BBR70" s="12"/>
      <c r="BBS70" s="12"/>
      <c r="BBT70" s="12"/>
      <c r="BBU70" s="12"/>
      <c r="BBV70" s="12"/>
      <c r="BBW70" s="12"/>
      <c r="BBX70" s="12"/>
      <c r="BBY70" s="12"/>
      <c r="BBZ70" s="12"/>
      <c r="BCA70" s="12"/>
      <c r="BCB70" s="12"/>
      <c r="BCC70" s="12"/>
      <c r="BCD70" s="12"/>
      <c r="BCE70" s="12"/>
      <c r="BCF70" s="12"/>
      <c r="BCG70" s="12"/>
      <c r="BCH70" s="12"/>
      <c r="BCI70" s="12"/>
      <c r="BCJ70" s="12"/>
      <c r="BCK70" s="12"/>
      <c r="BCL70" s="12"/>
      <c r="BCM70" s="12"/>
      <c r="BCN70" s="12"/>
      <c r="BCO70" s="12"/>
      <c r="BCP70" s="12"/>
      <c r="BCQ70" s="12"/>
      <c r="BCR70" s="12"/>
      <c r="BCS70" s="12"/>
      <c r="BCT70" s="12"/>
      <c r="BCU70" s="12"/>
      <c r="BCV70" s="12"/>
      <c r="BCW70" s="12"/>
      <c r="BCX70" s="12"/>
      <c r="BCY70" s="12"/>
      <c r="BCZ70" s="12"/>
      <c r="BDA70" s="12"/>
      <c r="BDB70" s="12"/>
      <c r="BDC70" s="12"/>
      <c r="BDD70" s="12"/>
      <c r="BDE70" s="12"/>
      <c r="BDF70" s="12"/>
      <c r="BDG70" s="12"/>
      <c r="BDH70" s="12"/>
      <c r="BDI70" s="12"/>
      <c r="BDJ70" s="12"/>
      <c r="BDK70" s="12"/>
      <c r="BDL70" s="12"/>
      <c r="BDM70" s="12"/>
      <c r="BDN70" s="12"/>
      <c r="BDO70" s="12"/>
      <c r="BDP70" s="12"/>
      <c r="BDQ70" s="12"/>
      <c r="BDR70" s="12"/>
      <c r="BDS70" s="12"/>
      <c r="BDT70" s="12"/>
      <c r="BDU70" s="12"/>
      <c r="BDV70" s="12"/>
      <c r="BDW70" s="12"/>
      <c r="BDX70" s="12"/>
      <c r="BDY70" s="12"/>
      <c r="BDZ70" s="12"/>
      <c r="BEA70" s="12"/>
      <c r="BEB70" s="12"/>
      <c r="BEC70" s="12"/>
      <c r="BED70" s="12"/>
      <c r="BEE70" s="12"/>
      <c r="BEF70" s="12"/>
      <c r="BEG70" s="12"/>
      <c r="BEH70" s="12"/>
      <c r="BEI70" s="12"/>
      <c r="BEJ70" s="12"/>
      <c r="BEK70" s="12"/>
      <c r="BEL70" s="12"/>
      <c r="BEM70" s="12"/>
      <c r="BEN70" s="12"/>
      <c r="BEO70" s="12"/>
      <c r="BEP70" s="12"/>
      <c r="BEQ70" s="12"/>
      <c r="BER70" s="12"/>
      <c r="BES70" s="12"/>
      <c r="BET70" s="12"/>
      <c r="BEU70" s="12"/>
      <c r="BEV70" s="12"/>
      <c r="BEW70" s="12"/>
      <c r="BEX70" s="12"/>
      <c r="BEY70" s="12"/>
      <c r="BEZ70" s="12"/>
      <c r="BFA70" s="12"/>
      <c r="BFB70" s="12"/>
      <c r="BFC70" s="12"/>
      <c r="BFD70" s="12"/>
      <c r="BFE70" s="12"/>
      <c r="BFF70" s="12"/>
      <c r="BFG70" s="12"/>
      <c r="BFH70" s="12"/>
      <c r="BFI70" s="12"/>
      <c r="BFJ70" s="12"/>
      <c r="BFK70" s="12"/>
      <c r="BFL70" s="12"/>
      <c r="BFM70" s="12"/>
      <c r="BFN70" s="12"/>
      <c r="BFO70" s="12"/>
      <c r="BFP70" s="12"/>
      <c r="BFQ70" s="12"/>
      <c r="BFR70" s="12"/>
      <c r="BFS70" s="12"/>
      <c r="BFT70" s="12"/>
      <c r="BFU70" s="12"/>
      <c r="BFV70" s="12"/>
      <c r="BFW70" s="12"/>
      <c r="BFX70" s="12"/>
      <c r="BFY70" s="12"/>
      <c r="BFZ70" s="12"/>
      <c r="BGA70" s="12"/>
      <c r="BGB70" s="12"/>
      <c r="BGC70" s="12"/>
      <c r="BGD70" s="12"/>
      <c r="BGE70" s="12"/>
      <c r="BGF70" s="12"/>
      <c r="BGG70" s="12"/>
      <c r="BGH70" s="12"/>
      <c r="BGI70" s="12"/>
      <c r="BGJ70" s="12"/>
      <c r="BGK70" s="12"/>
      <c r="BGL70" s="12"/>
      <c r="BGM70" s="12"/>
      <c r="BGN70" s="12"/>
      <c r="BGO70" s="12"/>
      <c r="BGP70" s="12"/>
      <c r="BGQ70" s="12"/>
      <c r="BGR70" s="12"/>
      <c r="BGS70" s="12"/>
      <c r="BGT70" s="12"/>
      <c r="BGU70" s="12"/>
      <c r="BGV70" s="12"/>
      <c r="BGW70" s="12"/>
      <c r="BGX70" s="12"/>
      <c r="BGY70" s="12"/>
      <c r="BGZ70" s="12"/>
      <c r="BHA70" s="12"/>
      <c r="BHB70" s="12"/>
      <c r="BHC70" s="12"/>
      <c r="BHD70" s="12"/>
      <c r="BHE70" s="12"/>
      <c r="BHF70" s="12"/>
      <c r="BHG70" s="12"/>
      <c r="BHH70" s="12"/>
      <c r="BHI70" s="12"/>
      <c r="BHJ70" s="12"/>
      <c r="BHK70" s="12"/>
      <c r="BHL70" s="12"/>
      <c r="BHM70" s="12"/>
      <c r="BHN70" s="12"/>
      <c r="BHO70" s="12"/>
      <c r="BHP70" s="12"/>
      <c r="BHQ70" s="12"/>
      <c r="BHR70" s="12"/>
      <c r="BHS70" s="12"/>
      <c r="BHT70" s="12"/>
      <c r="BHU70" s="12"/>
      <c r="BHV70" s="12"/>
      <c r="BHW70" s="12"/>
      <c r="BHX70" s="12"/>
      <c r="BHY70" s="12"/>
      <c r="BHZ70" s="12"/>
      <c r="BIA70" s="12"/>
      <c r="BIB70" s="12"/>
      <c r="BIC70" s="12"/>
      <c r="BID70" s="12"/>
      <c r="BIE70" s="12"/>
      <c r="BIF70" s="12"/>
      <c r="BIG70" s="12"/>
      <c r="BIH70" s="12"/>
      <c r="BII70" s="12"/>
      <c r="BIJ70" s="12"/>
      <c r="BIK70" s="12"/>
      <c r="BIL70" s="12"/>
      <c r="BIM70" s="12"/>
      <c r="BIN70" s="12"/>
      <c r="BIO70" s="12"/>
      <c r="BIP70" s="12"/>
      <c r="BIQ70" s="12"/>
      <c r="BIR70" s="12"/>
      <c r="BIS70" s="12"/>
      <c r="BIT70" s="12"/>
      <c r="BIU70" s="12"/>
      <c r="BIV70" s="12"/>
      <c r="BIW70" s="12"/>
      <c r="BIX70" s="12"/>
      <c r="BIY70" s="12"/>
      <c r="BIZ70" s="12"/>
      <c r="BJA70" s="12"/>
      <c r="BJB70" s="12"/>
      <c r="BJC70" s="12"/>
      <c r="BJD70" s="12"/>
      <c r="BJE70" s="12"/>
      <c r="BJF70" s="12"/>
      <c r="BJG70" s="12"/>
      <c r="BJH70" s="12"/>
      <c r="BJI70" s="12"/>
      <c r="BJJ70" s="12"/>
      <c r="BJK70" s="12"/>
      <c r="BJL70" s="12"/>
      <c r="BJM70" s="12"/>
      <c r="BJN70" s="12"/>
      <c r="BJO70" s="12"/>
      <c r="BJP70" s="12"/>
      <c r="BJQ70" s="12"/>
      <c r="BJR70" s="12"/>
      <c r="BJS70" s="12"/>
      <c r="BJT70" s="12"/>
      <c r="BJU70" s="12"/>
      <c r="BJV70" s="12"/>
      <c r="BJW70" s="12"/>
      <c r="BJX70" s="12"/>
      <c r="BJY70" s="12"/>
      <c r="BJZ70" s="12"/>
      <c r="BKA70" s="12"/>
      <c r="BKB70" s="12"/>
      <c r="BKC70" s="12"/>
      <c r="BKD70" s="12"/>
      <c r="BKE70" s="12"/>
      <c r="BKF70" s="12"/>
      <c r="BKG70" s="12"/>
      <c r="BKH70" s="12"/>
      <c r="BKI70" s="12"/>
      <c r="BKJ70" s="12"/>
      <c r="BKK70" s="12"/>
      <c r="BKL70" s="12"/>
      <c r="BKM70" s="12"/>
      <c r="BKN70" s="12"/>
      <c r="BKO70" s="12"/>
      <c r="BKP70" s="12"/>
      <c r="BKQ70" s="12"/>
      <c r="BKR70" s="12"/>
      <c r="BKS70" s="12"/>
      <c r="BKT70" s="12"/>
      <c r="BKU70" s="12"/>
      <c r="BKV70" s="12"/>
      <c r="BKW70" s="12"/>
      <c r="BKX70" s="12"/>
      <c r="BKY70" s="12"/>
      <c r="BKZ70" s="12"/>
      <c r="BLA70" s="12"/>
      <c r="BLB70" s="12"/>
      <c r="BLC70" s="12"/>
      <c r="BLD70" s="12"/>
      <c r="BLE70" s="12"/>
      <c r="BLF70" s="12"/>
      <c r="BLG70" s="12"/>
      <c r="BLH70" s="12"/>
      <c r="BLI70" s="12"/>
      <c r="BLJ70" s="12"/>
      <c r="BLK70" s="12"/>
      <c r="BLL70" s="12"/>
      <c r="BLM70" s="12"/>
      <c r="BLN70" s="12"/>
      <c r="BLO70" s="12"/>
      <c r="BLP70" s="12"/>
      <c r="BLQ70" s="12"/>
      <c r="BLR70" s="12"/>
      <c r="BLS70" s="12"/>
      <c r="BLT70" s="12"/>
      <c r="BLU70" s="12"/>
      <c r="BLV70" s="12"/>
      <c r="BLW70" s="12"/>
      <c r="BLX70" s="12"/>
      <c r="BLY70" s="12"/>
      <c r="BLZ70" s="12"/>
      <c r="BMA70" s="12"/>
      <c r="BMB70" s="12"/>
      <c r="BMC70" s="12"/>
      <c r="BMD70" s="12"/>
      <c r="BME70" s="12"/>
      <c r="BMF70" s="12"/>
      <c r="BMG70" s="12"/>
      <c r="BMH70" s="12"/>
      <c r="BMI70" s="12"/>
      <c r="BMJ70" s="12"/>
      <c r="BMK70" s="12"/>
      <c r="BML70" s="12"/>
      <c r="BMM70" s="12"/>
      <c r="BMN70" s="12"/>
      <c r="BMO70" s="12"/>
      <c r="BMP70" s="12"/>
      <c r="BMQ70" s="12"/>
      <c r="BMR70" s="12"/>
      <c r="BMS70" s="12"/>
      <c r="BMT70" s="12"/>
      <c r="BMU70" s="12"/>
      <c r="BMV70" s="12"/>
      <c r="BMW70" s="12"/>
      <c r="BMX70" s="12"/>
      <c r="BMY70" s="12"/>
      <c r="BMZ70" s="12"/>
      <c r="BNA70" s="12"/>
      <c r="BNB70" s="12"/>
      <c r="BNC70" s="12"/>
      <c r="BND70" s="12"/>
      <c r="BNE70" s="12"/>
      <c r="BNF70" s="12"/>
      <c r="BNG70" s="12"/>
      <c r="BNH70" s="12"/>
      <c r="BNI70" s="12"/>
      <c r="BNJ70" s="12"/>
      <c r="BNK70" s="12"/>
      <c r="BNL70" s="12"/>
      <c r="BNM70" s="12"/>
      <c r="BNN70" s="12"/>
      <c r="BNO70" s="12"/>
      <c r="BNP70" s="12"/>
      <c r="BNQ70" s="12"/>
      <c r="BNR70" s="12"/>
      <c r="BNS70" s="12"/>
      <c r="BNT70" s="12"/>
      <c r="BNU70" s="12"/>
      <c r="BNV70" s="12"/>
      <c r="BNW70" s="12"/>
      <c r="BNX70" s="12"/>
      <c r="BNY70" s="12"/>
      <c r="BNZ70" s="12"/>
      <c r="BOA70" s="12"/>
      <c r="BOB70" s="12"/>
      <c r="BOC70" s="12"/>
      <c r="BOD70" s="12"/>
      <c r="BOE70" s="12"/>
      <c r="BOF70" s="12"/>
      <c r="BOG70" s="12"/>
      <c r="BOH70" s="12"/>
      <c r="BOI70" s="12"/>
      <c r="BOJ70" s="12"/>
      <c r="BOK70" s="12"/>
      <c r="BOL70" s="12"/>
      <c r="BOM70" s="12"/>
      <c r="BON70" s="12"/>
      <c r="BOO70" s="12"/>
      <c r="BOP70" s="12"/>
      <c r="BOQ70" s="12"/>
      <c r="BOR70" s="12"/>
      <c r="BOS70" s="12"/>
      <c r="BOT70" s="12"/>
      <c r="BOU70" s="12"/>
      <c r="BOV70" s="12"/>
      <c r="BOW70" s="12"/>
      <c r="BOX70" s="12"/>
      <c r="BOY70" s="12"/>
      <c r="BOZ70" s="12"/>
      <c r="BPA70" s="12"/>
      <c r="BPB70" s="12"/>
      <c r="BPC70" s="12"/>
      <c r="BPD70" s="12"/>
      <c r="BPE70" s="12"/>
      <c r="BPF70" s="12"/>
      <c r="BPG70" s="12"/>
      <c r="BPH70" s="12"/>
      <c r="BPI70" s="12"/>
      <c r="BPJ70" s="12"/>
      <c r="BPK70" s="12"/>
      <c r="BPL70" s="12"/>
      <c r="BPM70" s="12"/>
      <c r="BPN70" s="12"/>
      <c r="BPO70" s="12"/>
      <c r="BPP70" s="12"/>
      <c r="BPQ70" s="12"/>
      <c r="BPR70" s="12"/>
      <c r="BPS70" s="12"/>
      <c r="BPT70" s="12"/>
      <c r="BPU70" s="12"/>
      <c r="BPV70" s="12"/>
      <c r="BPW70" s="12"/>
      <c r="BPX70" s="12"/>
      <c r="BPY70" s="12"/>
      <c r="BPZ70" s="12"/>
      <c r="BQA70" s="12"/>
      <c r="BQB70" s="12"/>
      <c r="BQC70" s="12"/>
      <c r="BQD70" s="12"/>
      <c r="BQE70" s="12"/>
      <c r="BQF70" s="12"/>
      <c r="BQG70" s="12"/>
      <c r="BQH70" s="12"/>
      <c r="BQI70" s="12"/>
      <c r="BQJ70" s="12"/>
      <c r="BQK70" s="12"/>
      <c r="BQL70" s="12"/>
      <c r="BQM70" s="12"/>
      <c r="BQN70" s="12"/>
      <c r="BQO70" s="12"/>
      <c r="BQP70" s="12"/>
      <c r="BQQ70" s="12"/>
      <c r="BQR70" s="12"/>
      <c r="BQS70" s="12"/>
      <c r="BQT70" s="12"/>
      <c r="BQU70" s="12"/>
      <c r="BQV70" s="12"/>
      <c r="BQW70" s="12"/>
      <c r="BQX70" s="12"/>
      <c r="BQY70" s="12"/>
      <c r="BQZ70" s="12"/>
      <c r="BRA70" s="12"/>
      <c r="BRB70" s="12"/>
      <c r="BRC70" s="12"/>
      <c r="BRD70" s="12"/>
      <c r="BRE70" s="12"/>
      <c r="BRF70" s="12"/>
      <c r="BRG70" s="12"/>
      <c r="BRH70" s="12"/>
      <c r="BRI70" s="12"/>
      <c r="BRJ70" s="12"/>
      <c r="BRK70" s="12"/>
      <c r="BRL70" s="12"/>
      <c r="BRM70" s="12"/>
      <c r="BRN70" s="12"/>
      <c r="BRO70" s="12"/>
      <c r="BRP70" s="12"/>
      <c r="BRQ70" s="12"/>
      <c r="BRR70" s="12"/>
      <c r="BRS70" s="12"/>
      <c r="BRT70" s="12"/>
      <c r="BRU70" s="12"/>
      <c r="BRV70" s="12"/>
      <c r="BRW70" s="12"/>
      <c r="BRX70" s="12"/>
      <c r="BRY70" s="12"/>
      <c r="BRZ70" s="12"/>
      <c r="BSA70" s="12"/>
      <c r="BSB70" s="12"/>
      <c r="BSC70" s="12"/>
      <c r="BSD70" s="12"/>
      <c r="BSE70" s="12"/>
      <c r="BSF70" s="12"/>
      <c r="BSG70" s="12"/>
      <c r="BSH70" s="12"/>
      <c r="BSI70" s="12"/>
      <c r="BSJ70" s="12"/>
      <c r="BSK70" s="12"/>
      <c r="BSL70" s="12"/>
      <c r="BSM70" s="12"/>
      <c r="BSN70" s="12"/>
      <c r="BSO70" s="12"/>
      <c r="BSP70" s="12"/>
      <c r="BSQ70" s="12"/>
      <c r="BSR70" s="12"/>
      <c r="BSS70" s="12"/>
      <c r="BST70" s="12"/>
      <c r="BSU70" s="12"/>
      <c r="BSV70" s="12"/>
      <c r="BSW70" s="12"/>
      <c r="BSX70" s="12"/>
      <c r="BSY70" s="12"/>
      <c r="BSZ70" s="12"/>
      <c r="BTA70" s="12"/>
      <c r="BTB70" s="12"/>
      <c r="BTC70" s="12"/>
      <c r="BTD70" s="12"/>
      <c r="BTE70" s="12"/>
      <c r="BTF70" s="12"/>
      <c r="BTG70" s="12"/>
      <c r="BTH70" s="12"/>
      <c r="BTI70" s="12"/>
      <c r="BTJ70" s="12"/>
      <c r="BTK70" s="12"/>
      <c r="BTL70" s="12"/>
      <c r="BTM70" s="12"/>
      <c r="BTN70" s="12"/>
      <c r="BTO70" s="12"/>
      <c r="BTP70" s="12"/>
      <c r="BTQ70" s="12"/>
      <c r="BTR70" s="12"/>
      <c r="BTS70" s="12"/>
      <c r="BTT70" s="12"/>
    </row>
    <row r="71" spans="1:1892" s="12" customFormat="1" ht="35.1" customHeight="1">
      <c r="A71" s="1241"/>
      <c r="B71" s="537" t="s">
        <v>314</v>
      </c>
      <c r="C71" s="537" t="s">
        <v>555</v>
      </c>
      <c r="D71" s="1309" t="s">
        <v>974</v>
      </c>
      <c r="E71" s="1310"/>
      <c r="F71" s="1311"/>
      <c r="G71" s="1118" t="s">
        <v>556</v>
      </c>
      <c r="H71" s="1118" t="s">
        <v>557</v>
      </c>
      <c r="I71" s="1118" t="s">
        <v>558</v>
      </c>
      <c r="J71" s="1121" t="s">
        <v>11</v>
      </c>
      <c r="K71" s="1121" t="s">
        <v>12</v>
      </c>
      <c r="L71" s="135">
        <v>39</v>
      </c>
      <c r="M71" s="239">
        <v>1</v>
      </c>
      <c r="N71" s="143">
        <v>0</v>
      </c>
      <c r="O71" s="143">
        <v>0</v>
      </c>
      <c r="P71" s="511" t="s">
        <v>531</v>
      </c>
      <c r="Q71" s="511" t="s">
        <v>427</v>
      </c>
      <c r="R71" s="511" t="s">
        <v>427</v>
      </c>
      <c r="S71" s="814" t="s">
        <v>57</v>
      </c>
      <c r="T71" s="629"/>
      <c r="U71" s="713" t="s">
        <v>11</v>
      </c>
    </row>
    <row r="72" spans="1:1892" s="12" customFormat="1" ht="35.1" customHeight="1">
      <c r="A72" s="1241"/>
      <c r="B72" s="538"/>
      <c r="C72" s="538"/>
      <c r="D72" s="1312"/>
      <c r="E72" s="1313"/>
      <c r="F72" s="1314"/>
      <c r="G72" s="1119"/>
      <c r="H72" s="1119"/>
      <c r="I72" s="1119"/>
      <c r="J72" s="1122"/>
      <c r="K72" s="1122"/>
      <c r="L72" s="135">
        <v>51</v>
      </c>
      <c r="M72" s="239">
        <v>8</v>
      </c>
      <c r="N72" s="143">
        <v>0</v>
      </c>
      <c r="O72" s="143">
        <v>0</v>
      </c>
      <c r="P72" s="512"/>
      <c r="Q72" s="512"/>
      <c r="R72" s="512"/>
      <c r="S72" s="815"/>
      <c r="T72" s="630"/>
      <c r="U72" s="714"/>
    </row>
    <row r="73" spans="1:1892" s="12" customFormat="1" ht="35.1" customHeight="1">
      <c r="A73" s="1241"/>
      <c r="B73" s="538"/>
      <c r="C73" s="538"/>
      <c r="D73" s="1312"/>
      <c r="E73" s="1313"/>
      <c r="F73" s="1314"/>
      <c r="G73" s="1119"/>
      <c r="H73" s="1119"/>
      <c r="I73" s="1119"/>
      <c r="J73" s="1122"/>
      <c r="K73" s="1122"/>
      <c r="L73" s="135">
        <v>54</v>
      </c>
      <c r="M73" s="239">
        <v>1</v>
      </c>
      <c r="N73" s="143">
        <v>0</v>
      </c>
      <c r="O73" s="143">
        <v>0</v>
      </c>
      <c r="P73" s="512"/>
      <c r="Q73" s="512"/>
      <c r="R73" s="512"/>
      <c r="S73" s="815"/>
      <c r="T73" s="630"/>
      <c r="U73" s="714"/>
    </row>
    <row r="74" spans="1:1892" s="12" customFormat="1" ht="35.1" customHeight="1">
      <c r="A74" s="1241"/>
      <c r="B74" s="538"/>
      <c r="C74" s="538"/>
      <c r="D74" s="1312"/>
      <c r="E74" s="1313"/>
      <c r="F74" s="1314"/>
      <c r="G74" s="1119"/>
      <c r="H74" s="1119"/>
      <c r="I74" s="1119"/>
      <c r="J74" s="1122"/>
      <c r="K74" s="1122"/>
      <c r="L74" s="135" t="s">
        <v>85</v>
      </c>
      <c r="M74" s="239">
        <v>12</v>
      </c>
      <c r="N74" s="143">
        <v>0</v>
      </c>
      <c r="O74" s="143">
        <v>0</v>
      </c>
      <c r="P74" s="512"/>
      <c r="Q74" s="512"/>
      <c r="R74" s="512"/>
      <c r="S74" s="815"/>
      <c r="T74" s="630"/>
      <c r="U74" s="714"/>
    </row>
    <row r="75" spans="1:1892" s="12" customFormat="1" ht="35.1" customHeight="1">
      <c r="A75" s="1241"/>
      <c r="B75" s="538"/>
      <c r="C75" s="538"/>
      <c r="D75" s="1312"/>
      <c r="E75" s="1313"/>
      <c r="F75" s="1314"/>
      <c r="G75" s="1119"/>
      <c r="H75" s="1119"/>
      <c r="I75" s="1119"/>
      <c r="J75" s="1122"/>
      <c r="K75" s="1122"/>
      <c r="L75" s="135" t="s">
        <v>103</v>
      </c>
      <c r="M75" s="239">
        <v>1</v>
      </c>
      <c r="N75" s="143">
        <v>0</v>
      </c>
      <c r="O75" s="143">
        <v>0</v>
      </c>
      <c r="P75" s="512"/>
      <c r="Q75" s="512"/>
      <c r="R75" s="512"/>
      <c r="S75" s="815"/>
      <c r="T75" s="630"/>
      <c r="U75" s="714"/>
    </row>
    <row r="76" spans="1:1892" s="12" customFormat="1" ht="35.1" customHeight="1">
      <c r="A76" s="1241"/>
      <c r="B76" s="538"/>
      <c r="C76" s="538"/>
      <c r="D76" s="1312"/>
      <c r="E76" s="1313"/>
      <c r="F76" s="1314"/>
      <c r="G76" s="1119"/>
      <c r="H76" s="1119"/>
      <c r="I76" s="1119"/>
      <c r="J76" s="1122"/>
      <c r="K76" s="1122"/>
      <c r="L76" s="135" t="s">
        <v>519</v>
      </c>
      <c r="M76" s="239">
        <v>8</v>
      </c>
      <c r="N76" s="143">
        <v>0</v>
      </c>
      <c r="O76" s="143">
        <v>0</v>
      </c>
      <c r="P76" s="512"/>
      <c r="Q76" s="512"/>
      <c r="R76" s="512"/>
      <c r="S76" s="815"/>
      <c r="T76" s="630"/>
      <c r="U76" s="714"/>
    </row>
    <row r="77" spans="1:1892" s="12" customFormat="1" ht="35.1" customHeight="1">
      <c r="A77" s="1241"/>
      <c r="B77" s="538"/>
      <c r="C77" s="538"/>
      <c r="D77" s="1312"/>
      <c r="E77" s="1313"/>
      <c r="F77" s="1314"/>
      <c r="G77" s="1119"/>
      <c r="H77" s="1119"/>
      <c r="I77" s="1119"/>
      <c r="J77" s="1122"/>
      <c r="K77" s="1122"/>
      <c r="L77" s="135">
        <v>60</v>
      </c>
      <c r="M77" s="239">
        <v>2</v>
      </c>
      <c r="N77" s="143">
        <v>0</v>
      </c>
      <c r="O77" s="143">
        <v>0</v>
      </c>
      <c r="P77" s="512"/>
      <c r="Q77" s="512"/>
      <c r="R77" s="512"/>
      <c r="S77" s="815"/>
      <c r="T77" s="630"/>
      <c r="U77" s="714"/>
    </row>
    <row r="78" spans="1:1892" s="12" customFormat="1" ht="35.1" customHeight="1">
      <c r="A78" s="1241"/>
      <c r="B78" s="538"/>
      <c r="C78" s="538"/>
      <c r="D78" s="1312"/>
      <c r="E78" s="1313"/>
      <c r="F78" s="1314"/>
      <c r="G78" s="1120"/>
      <c r="H78" s="1120"/>
      <c r="I78" s="1120"/>
      <c r="J78" s="1123"/>
      <c r="K78" s="1123"/>
      <c r="L78" s="135">
        <v>61</v>
      </c>
      <c r="M78" s="239">
        <v>5</v>
      </c>
      <c r="N78" s="143">
        <v>0</v>
      </c>
      <c r="O78" s="143">
        <v>0</v>
      </c>
      <c r="P78" s="512"/>
      <c r="Q78" s="512"/>
      <c r="R78" s="512"/>
      <c r="S78" s="815"/>
      <c r="T78" s="630"/>
      <c r="U78" s="714"/>
    </row>
    <row r="79" spans="1:1892" s="12" customFormat="1" ht="35.1" customHeight="1">
      <c r="A79" s="1241"/>
      <c r="B79" s="538"/>
      <c r="C79" s="539"/>
      <c r="D79" s="1315"/>
      <c r="E79" s="1316"/>
      <c r="F79" s="1317"/>
      <c r="G79" s="463" t="s">
        <v>329</v>
      </c>
      <c r="H79" s="464"/>
      <c r="I79" s="464"/>
      <c r="J79" s="464"/>
      <c r="K79" s="465"/>
      <c r="L79" s="136"/>
      <c r="M79" s="240">
        <f>SUM(M71:M78)</f>
        <v>38</v>
      </c>
      <c r="N79" s="263">
        <f>SUM(N71:N78)</f>
        <v>0</v>
      </c>
      <c r="O79" s="263">
        <f>SUM(O71:O78)</f>
        <v>0</v>
      </c>
      <c r="P79" s="513"/>
      <c r="Q79" s="513"/>
      <c r="R79" s="513"/>
      <c r="S79" s="816"/>
      <c r="T79" s="631"/>
      <c r="U79" s="715"/>
    </row>
    <row r="80" spans="1:1892" s="12" customFormat="1" ht="35.1" customHeight="1">
      <c r="A80" s="1241"/>
      <c r="B80" s="538"/>
      <c r="C80" s="1121" t="s">
        <v>198</v>
      </c>
      <c r="D80" s="1133" t="s">
        <v>199</v>
      </c>
      <c r="E80" s="1134"/>
      <c r="F80" s="1135"/>
      <c r="G80" s="1106" t="s">
        <v>253</v>
      </c>
      <c r="H80" s="1106" t="s">
        <v>254</v>
      </c>
      <c r="I80" s="1106" t="s">
        <v>254</v>
      </c>
      <c r="J80" s="1118" t="s">
        <v>11</v>
      </c>
      <c r="K80" s="1118" t="s">
        <v>12</v>
      </c>
      <c r="L80" s="141" t="s">
        <v>200</v>
      </c>
      <c r="M80" s="241">
        <v>24</v>
      </c>
      <c r="N80" s="132">
        <v>0</v>
      </c>
      <c r="O80" s="132">
        <v>0</v>
      </c>
      <c r="P80" s="511" t="s">
        <v>420</v>
      </c>
      <c r="Q80" s="511" t="s">
        <v>421</v>
      </c>
      <c r="R80" s="511" t="s">
        <v>421</v>
      </c>
      <c r="S80" s="1127" t="s">
        <v>57</v>
      </c>
      <c r="T80" s="710"/>
      <c r="U80" s="710" t="s">
        <v>11</v>
      </c>
    </row>
    <row r="81" spans="1:21" s="12" customFormat="1" ht="35.1" customHeight="1">
      <c r="A81" s="1241"/>
      <c r="B81" s="538"/>
      <c r="C81" s="1122"/>
      <c r="D81" s="1136"/>
      <c r="E81" s="1137"/>
      <c r="F81" s="1138"/>
      <c r="G81" s="1107"/>
      <c r="H81" s="1107"/>
      <c r="I81" s="1107"/>
      <c r="J81" s="1119"/>
      <c r="K81" s="1119"/>
      <c r="L81" s="141" t="s">
        <v>201</v>
      </c>
      <c r="M81" s="241">
        <v>24</v>
      </c>
      <c r="N81" s="132">
        <v>0</v>
      </c>
      <c r="O81" s="132">
        <v>0</v>
      </c>
      <c r="P81" s="512"/>
      <c r="Q81" s="512"/>
      <c r="R81" s="512"/>
      <c r="S81" s="1128"/>
      <c r="T81" s="711"/>
      <c r="U81" s="711"/>
    </row>
    <row r="82" spans="1:21" s="12" customFormat="1" ht="35.1" customHeight="1">
      <c r="A82" s="1241"/>
      <c r="B82" s="538"/>
      <c r="C82" s="1122"/>
      <c r="D82" s="1136"/>
      <c r="E82" s="1137"/>
      <c r="F82" s="1138"/>
      <c r="G82" s="1107"/>
      <c r="H82" s="1107"/>
      <c r="I82" s="1107"/>
      <c r="J82" s="1119"/>
      <c r="K82" s="1119"/>
      <c r="L82" s="141" t="s">
        <v>202</v>
      </c>
      <c r="M82" s="241">
        <v>9</v>
      </c>
      <c r="N82" s="132">
        <v>0</v>
      </c>
      <c r="O82" s="132">
        <v>0</v>
      </c>
      <c r="P82" s="512"/>
      <c r="Q82" s="512"/>
      <c r="R82" s="512"/>
      <c r="S82" s="1128"/>
      <c r="T82" s="711"/>
      <c r="U82" s="711"/>
    </row>
    <row r="83" spans="1:21" s="12" customFormat="1" ht="35.1" customHeight="1">
      <c r="A83" s="1241"/>
      <c r="B83" s="538"/>
      <c r="C83" s="1122"/>
      <c r="D83" s="1136"/>
      <c r="E83" s="1137"/>
      <c r="F83" s="1138"/>
      <c r="G83" s="1107"/>
      <c r="H83" s="1107"/>
      <c r="I83" s="1107"/>
      <c r="J83" s="1119"/>
      <c r="K83" s="1119"/>
      <c r="L83" s="141" t="s">
        <v>203</v>
      </c>
      <c r="M83" s="241">
        <v>24</v>
      </c>
      <c r="N83" s="132">
        <v>0</v>
      </c>
      <c r="O83" s="132">
        <v>0</v>
      </c>
      <c r="P83" s="512"/>
      <c r="Q83" s="512"/>
      <c r="R83" s="512"/>
      <c r="S83" s="1128"/>
      <c r="T83" s="711"/>
      <c r="U83" s="711"/>
    </row>
    <row r="84" spans="1:21" s="12" customFormat="1" ht="35.1" customHeight="1">
      <c r="A84" s="1241"/>
      <c r="B84" s="538"/>
      <c r="C84" s="1122"/>
      <c r="D84" s="1136"/>
      <c r="E84" s="1137"/>
      <c r="F84" s="1138"/>
      <c r="G84" s="1107"/>
      <c r="H84" s="1107"/>
      <c r="I84" s="1107"/>
      <c r="J84" s="1119"/>
      <c r="K84" s="1119"/>
      <c r="L84" s="141" t="s">
        <v>204</v>
      </c>
      <c r="M84" s="241">
        <v>9</v>
      </c>
      <c r="N84" s="132">
        <v>0</v>
      </c>
      <c r="O84" s="132">
        <v>0</v>
      </c>
      <c r="P84" s="512"/>
      <c r="Q84" s="512"/>
      <c r="R84" s="512"/>
      <c r="S84" s="1128"/>
      <c r="T84" s="711"/>
      <c r="U84" s="711"/>
    </row>
    <row r="85" spans="1:21" s="12" customFormat="1" ht="35.1" customHeight="1">
      <c r="A85" s="1241"/>
      <c r="B85" s="538"/>
      <c r="C85" s="1122"/>
      <c r="D85" s="1136"/>
      <c r="E85" s="1137"/>
      <c r="F85" s="1138"/>
      <c r="G85" s="1107"/>
      <c r="H85" s="1107"/>
      <c r="I85" s="1107"/>
      <c r="J85" s="1119"/>
      <c r="K85" s="1119"/>
      <c r="L85" s="141" t="s">
        <v>205</v>
      </c>
      <c r="M85" s="241">
        <v>24</v>
      </c>
      <c r="N85" s="132">
        <v>0</v>
      </c>
      <c r="O85" s="132">
        <v>0</v>
      </c>
      <c r="P85" s="512"/>
      <c r="Q85" s="512"/>
      <c r="R85" s="512"/>
      <c r="S85" s="1128"/>
      <c r="T85" s="711"/>
      <c r="U85" s="711"/>
    </row>
    <row r="86" spans="1:21" s="12" customFormat="1" ht="35.1" customHeight="1">
      <c r="A86" s="1241"/>
      <c r="B86" s="538"/>
      <c r="C86" s="1122"/>
      <c r="D86" s="1136"/>
      <c r="E86" s="1137"/>
      <c r="F86" s="1138"/>
      <c r="G86" s="1107"/>
      <c r="H86" s="1107"/>
      <c r="I86" s="1107"/>
      <c r="J86" s="1119"/>
      <c r="K86" s="1119"/>
      <c r="L86" s="141" t="s">
        <v>206</v>
      </c>
      <c r="M86" s="241">
        <v>9</v>
      </c>
      <c r="N86" s="132">
        <v>0</v>
      </c>
      <c r="O86" s="132">
        <v>0</v>
      </c>
      <c r="P86" s="512"/>
      <c r="Q86" s="512"/>
      <c r="R86" s="512"/>
      <c r="S86" s="1128"/>
      <c r="T86" s="711"/>
      <c r="U86" s="711"/>
    </row>
    <row r="87" spans="1:21" s="12" customFormat="1" ht="35.1" customHeight="1">
      <c r="A87" s="1241"/>
      <c r="B87" s="538"/>
      <c r="C87" s="1122"/>
      <c r="D87" s="1136"/>
      <c r="E87" s="1137"/>
      <c r="F87" s="1138"/>
      <c r="G87" s="1108"/>
      <c r="H87" s="1108"/>
      <c r="I87" s="1108"/>
      <c r="J87" s="1120"/>
      <c r="K87" s="1120"/>
      <c r="L87" s="141" t="s">
        <v>207</v>
      </c>
      <c r="M87" s="241">
        <v>9</v>
      </c>
      <c r="N87" s="132">
        <v>0</v>
      </c>
      <c r="O87" s="132">
        <v>0</v>
      </c>
      <c r="P87" s="512"/>
      <c r="Q87" s="512"/>
      <c r="R87" s="512"/>
      <c r="S87" s="1128"/>
      <c r="T87" s="711"/>
      <c r="U87" s="711"/>
    </row>
    <row r="88" spans="1:21" s="12" customFormat="1" ht="35.1" customHeight="1">
      <c r="A88" s="1241"/>
      <c r="B88" s="538"/>
      <c r="C88" s="1123"/>
      <c r="D88" s="1139"/>
      <c r="E88" s="1140"/>
      <c r="F88" s="1141"/>
      <c r="G88" s="463" t="s">
        <v>329</v>
      </c>
      <c r="H88" s="464"/>
      <c r="I88" s="464"/>
      <c r="J88" s="464"/>
      <c r="K88" s="465"/>
      <c r="L88" s="136"/>
      <c r="M88" s="240">
        <f>SUM(M80:M87)</f>
        <v>132</v>
      </c>
      <c r="N88" s="263">
        <f>SUM(N80:N87)</f>
        <v>0</v>
      </c>
      <c r="O88" s="263">
        <f>SUM(O80:O87)</f>
        <v>0</v>
      </c>
      <c r="P88" s="513"/>
      <c r="Q88" s="513"/>
      <c r="R88" s="513"/>
      <c r="S88" s="1129"/>
      <c r="T88" s="712"/>
      <c r="U88" s="712"/>
    </row>
    <row r="89" spans="1:21" s="12" customFormat="1" ht="35.1" customHeight="1">
      <c r="A89" s="1241"/>
      <c r="B89" s="538"/>
      <c r="C89" s="1121" t="s">
        <v>104</v>
      </c>
      <c r="D89" s="678" t="s">
        <v>208</v>
      </c>
      <c r="E89" s="679"/>
      <c r="F89" s="680"/>
      <c r="G89" s="1106" t="s">
        <v>255</v>
      </c>
      <c r="H89" s="1106" t="s">
        <v>256</v>
      </c>
      <c r="I89" s="1106" t="s">
        <v>345</v>
      </c>
      <c r="J89" s="537" t="s">
        <v>11</v>
      </c>
      <c r="K89" s="537" t="s">
        <v>12</v>
      </c>
      <c r="L89" s="141" t="s">
        <v>209</v>
      </c>
      <c r="M89" s="242">
        <v>24</v>
      </c>
      <c r="N89" s="132">
        <v>0</v>
      </c>
      <c r="O89" s="132">
        <v>0</v>
      </c>
      <c r="P89" s="511" t="s">
        <v>413</v>
      </c>
      <c r="Q89" s="511" t="s">
        <v>422</v>
      </c>
      <c r="R89" s="511" t="s">
        <v>423</v>
      </c>
      <c r="S89" s="1127" t="s">
        <v>57</v>
      </c>
      <c r="T89" s="710"/>
      <c r="U89" s="710" t="s">
        <v>11</v>
      </c>
    </row>
    <row r="90" spans="1:21" s="12" customFormat="1" ht="35.1" customHeight="1">
      <c r="A90" s="1241"/>
      <c r="B90" s="538"/>
      <c r="C90" s="1122"/>
      <c r="D90" s="681"/>
      <c r="E90" s="682"/>
      <c r="F90" s="683"/>
      <c r="G90" s="1107"/>
      <c r="H90" s="1107"/>
      <c r="I90" s="1107"/>
      <c r="J90" s="538"/>
      <c r="K90" s="538"/>
      <c r="L90" s="141" t="s">
        <v>94</v>
      </c>
      <c r="M90" s="242">
        <v>28</v>
      </c>
      <c r="N90" s="132">
        <v>0</v>
      </c>
      <c r="O90" s="132">
        <v>0</v>
      </c>
      <c r="P90" s="512"/>
      <c r="Q90" s="512"/>
      <c r="R90" s="512"/>
      <c r="S90" s="1128"/>
      <c r="T90" s="711"/>
      <c r="U90" s="711"/>
    </row>
    <row r="91" spans="1:21" s="12" customFormat="1" ht="35.1" customHeight="1">
      <c r="A91" s="1241"/>
      <c r="B91" s="538"/>
      <c r="C91" s="1122"/>
      <c r="D91" s="681"/>
      <c r="E91" s="682"/>
      <c r="F91" s="683"/>
      <c r="G91" s="1107"/>
      <c r="H91" s="1107"/>
      <c r="I91" s="1107"/>
      <c r="J91" s="538"/>
      <c r="K91" s="538"/>
      <c r="L91" s="141" t="s">
        <v>210</v>
      </c>
      <c r="M91" s="242">
        <v>24</v>
      </c>
      <c r="N91" s="132">
        <v>0</v>
      </c>
      <c r="O91" s="132">
        <v>0</v>
      </c>
      <c r="P91" s="512"/>
      <c r="Q91" s="512"/>
      <c r="R91" s="512"/>
      <c r="S91" s="1128"/>
      <c r="T91" s="711"/>
      <c r="U91" s="711"/>
    </row>
    <row r="92" spans="1:21" s="12" customFormat="1" ht="35.1" customHeight="1">
      <c r="A92" s="1241"/>
      <c r="B92" s="538"/>
      <c r="C92" s="1122"/>
      <c r="D92" s="681"/>
      <c r="E92" s="682"/>
      <c r="F92" s="683"/>
      <c r="G92" s="1107"/>
      <c r="H92" s="1107"/>
      <c r="I92" s="1107"/>
      <c r="J92" s="538"/>
      <c r="K92" s="538"/>
      <c r="L92" s="141" t="s">
        <v>203</v>
      </c>
      <c r="M92" s="242">
        <v>28</v>
      </c>
      <c r="N92" s="132">
        <v>0</v>
      </c>
      <c r="O92" s="132">
        <v>0</v>
      </c>
      <c r="P92" s="512"/>
      <c r="Q92" s="512"/>
      <c r="R92" s="512"/>
      <c r="S92" s="1128"/>
      <c r="T92" s="711"/>
      <c r="U92" s="711"/>
    </row>
    <row r="93" spans="1:21" s="12" customFormat="1" ht="35.1" customHeight="1">
      <c r="A93" s="1241"/>
      <c r="B93" s="538"/>
      <c r="C93" s="1122"/>
      <c r="D93" s="681"/>
      <c r="E93" s="682"/>
      <c r="F93" s="683"/>
      <c r="G93" s="1107"/>
      <c r="H93" s="1107"/>
      <c r="I93" s="1107"/>
      <c r="J93" s="538"/>
      <c r="K93" s="538"/>
      <c r="L93" s="141" t="s">
        <v>211</v>
      </c>
      <c r="M93" s="242">
        <v>28</v>
      </c>
      <c r="N93" s="132">
        <v>0</v>
      </c>
      <c r="O93" s="132">
        <v>0</v>
      </c>
      <c r="P93" s="512"/>
      <c r="Q93" s="512"/>
      <c r="R93" s="512"/>
      <c r="S93" s="1128"/>
      <c r="T93" s="711"/>
      <c r="U93" s="711"/>
    </row>
    <row r="94" spans="1:21" s="12" customFormat="1" ht="35.1" customHeight="1">
      <c r="A94" s="1241"/>
      <c r="B94" s="538"/>
      <c r="C94" s="1122"/>
      <c r="D94" s="681"/>
      <c r="E94" s="682"/>
      <c r="F94" s="683"/>
      <c r="G94" s="1108"/>
      <c r="H94" s="1108"/>
      <c r="I94" s="1108"/>
      <c r="J94" s="539"/>
      <c r="K94" s="539"/>
      <c r="L94" s="141" t="s">
        <v>212</v>
      </c>
      <c r="M94" s="242">
        <v>28</v>
      </c>
      <c r="N94" s="132">
        <v>0</v>
      </c>
      <c r="O94" s="132">
        <v>0</v>
      </c>
      <c r="P94" s="512"/>
      <c r="Q94" s="512"/>
      <c r="R94" s="512"/>
      <c r="S94" s="1128"/>
      <c r="T94" s="711"/>
      <c r="U94" s="711"/>
    </row>
    <row r="95" spans="1:21" s="12" customFormat="1" ht="35.1" customHeight="1">
      <c r="A95" s="1241"/>
      <c r="B95" s="538"/>
      <c r="C95" s="1123"/>
      <c r="D95" s="684"/>
      <c r="E95" s="685"/>
      <c r="F95" s="686"/>
      <c r="G95" s="463" t="s">
        <v>329</v>
      </c>
      <c r="H95" s="464"/>
      <c r="I95" s="464"/>
      <c r="J95" s="464"/>
      <c r="K95" s="465"/>
      <c r="L95" s="136"/>
      <c r="M95" s="240">
        <f>SUM(M89:M94)</f>
        <v>160</v>
      </c>
      <c r="N95" s="263">
        <f>SUM(N89:N94)</f>
        <v>0</v>
      </c>
      <c r="O95" s="263">
        <f>SUM(O89:O94)</f>
        <v>0</v>
      </c>
      <c r="P95" s="513"/>
      <c r="Q95" s="513"/>
      <c r="R95" s="513"/>
      <c r="S95" s="1129"/>
      <c r="T95" s="712"/>
      <c r="U95" s="712"/>
    </row>
    <row r="96" spans="1:21" s="12" customFormat="1" ht="35.1" customHeight="1">
      <c r="A96" s="1241"/>
      <c r="B96" s="538"/>
      <c r="C96" s="1121" t="s">
        <v>104</v>
      </c>
      <c r="D96" s="678" t="s">
        <v>213</v>
      </c>
      <c r="E96" s="679"/>
      <c r="F96" s="680"/>
      <c r="G96" s="1106" t="s">
        <v>257</v>
      </c>
      <c r="H96" s="1106" t="s">
        <v>257</v>
      </c>
      <c r="I96" s="1106" t="s">
        <v>257</v>
      </c>
      <c r="J96" s="537" t="s">
        <v>11</v>
      </c>
      <c r="K96" s="537" t="s">
        <v>12</v>
      </c>
      <c r="L96" s="141" t="s">
        <v>214</v>
      </c>
      <c r="M96" s="231">
        <v>38</v>
      </c>
      <c r="N96" s="119">
        <v>0</v>
      </c>
      <c r="O96" s="119">
        <v>0</v>
      </c>
      <c r="P96" s="618" t="s">
        <v>413</v>
      </c>
      <c r="Q96" s="618" t="s">
        <v>414</v>
      </c>
      <c r="R96" s="618" t="s">
        <v>449</v>
      </c>
      <c r="S96" s="651" t="s">
        <v>57</v>
      </c>
      <c r="T96" s="1183"/>
      <c r="U96" s="1183" t="s">
        <v>11</v>
      </c>
    </row>
    <row r="97" spans="1:21" s="12" customFormat="1" ht="35.1" customHeight="1">
      <c r="A97" s="1241"/>
      <c r="B97" s="538"/>
      <c r="C97" s="1122"/>
      <c r="D97" s="681"/>
      <c r="E97" s="682"/>
      <c r="F97" s="683"/>
      <c r="G97" s="1107"/>
      <c r="H97" s="1107"/>
      <c r="I97" s="1107"/>
      <c r="J97" s="538"/>
      <c r="K97" s="538"/>
      <c r="L97" s="141" t="s">
        <v>215</v>
      </c>
      <c r="M97" s="231">
        <v>26</v>
      </c>
      <c r="N97" s="119">
        <v>0</v>
      </c>
      <c r="O97" s="119">
        <v>0</v>
      </c>
      <c r="P97" s="593"/>
      <c r="Q97" s="593"/>
      <c r="R97" s="593"/>
      <c r="S97" s="652"/>
      <c r="T97" s="1184"/>
      <c r="U97" s="1184"/>
    </row>
    <row r="98" spans="1:21" s="12" customFormat="1" ht="35.1" customHeight="1">
      <c r="A98" s="1241"/>
      <c r="B98" s="538"/>
      <c r="C98" s="1122"/>
      <c r="D98" s="681"/>
      <c r="E98" s="682"/>
      <c r="F98" s="683"/>
      <c r="G98" s="1108"/>
      <c r="H98" s="1108"/>
      <c r="I98" s="1108"/>
      <c r="J98" s="539"/>
      <c r="K98" s="539"/>
      <c r="L98" s="141">
        <v>78</v>
      </c>
      <c r="M98" s="231">
        <v>102</v>
      </c>
      <c r="N98" s="119">
        <v>0</v>
      </c>
      <c r="O98" s="119">
        <v>0</v>
      </c>
      <c r="P98" s="593"/>
      <c r="Q98" s="593"/>
      <c r="R98" s="593"/>
      <c r="S98" s="652"/>
      <c r="T98" s="1184"/>
      <c r="U98" s="1184"/>
    </row>
    <row r="99" spans="1:21" s="12" customFormat="1" ht="35.1" customHeight="1">
      <c r="A99" s="1241"/>
      <c r="B99" s="538"/>
      <c r="C99" s="1123"/>
      <c r="D99" s="684"/>
      <c r="E99" s="685"/>
      <c r="F99" s="686"/>
      <c r="G99" s="463" t="s">
        <v>329</v>
      </c>
      <c r="H99" s="464"/>
      <c r="I99" s="464"/>
      <c r="J99" s="464"/>
      <c r="K99" s="465"/>
      <c r="L99" s="136"/>
      <c r="M99" s="225">
        <f>SUM(M96:M98)</f>
        <v>166</v>
      </c>
      <c r="N99" s="263">
        <f>SUM(N96:N98)</f>
        <v>0</v>
      </c>
      <c r="O99" s="263">
        <f>SUM(O96:O98)</f>
        <v>0</v>
      </c>
      <c r="P99" s="619"/>
      <c r="Q99" s="619"/>
      <c r="R99" s="619"/>
      <c r="S99" s="653"/>
      <c r="T99" s="1185"/>
      <c r="U99" s="1185"/>
    </row>
    <row r="100" spans="1:21" s="12" customFormat="1" ht="35.1" customHeight="1">
      <c r="A100" s="1241"/>
      <c r="B100" s="538"/>
      <c r="C100" s="1015" t="s">
        <v>704</v>
      </c>
      <c r="D100" s="1322" t="s">
        <v>705</v>
      </c>
      <c r="E100" s="1323"/>
      <c r="F100" s="1324"/>
      <c r="G100" s="1124" t="s">
        <v>706</v>
      </c>
      <c r="H100" s="1124" t="s">
        <v>707</v>
      </c>
      <c r="I100" s="1124" t="s">
        <v>708</v>
      </c>
      <c r="J100" s="1207" t="s">
        <v>709</v>
      </c>
      <c r="K100" s="1207" t="s">
        <v>710</v>
      </c>
      <c r="L100" s="142">
        <v>58</v>
      </c>
      <c r="M100" s="241">
        <v>8</v>
      </c>
      <c r="N100" s="143">
        <v>0</v>
      </c>
      <c r="O100" s="143">
        <v>0</v>
      </c>
      <c r="P100" s="1172" t="s">
        <v>736</v>
      </c>
      <c r="Q100" s="1172" t="s">
        <v>435</v>
      </c>
      <c r="R100" s="1172" t="s">
        <v>737</v>
      </c>
      <c r="S100" s="1201" t="s">
        <v>188</v>
      </c>
      <c r="T100" s="1189"/>
      <c r="U100" s="1186"/>
    </row>
    <row r="101" spans="1:21" s="12" customFormat="1" ht="35.1" customHeight="1">
      <c r="A101" s="1241"/>
      <c r="B101" s="538"/>
      <c r="C101" s="1016"/>
      <c r="D101" s="1325"/>
      <c r="E101" s="1326"/>
      <c r="F101" s="1327"/>
      <c r="G101" s="1125"/>
      <c r="H101" s="1125"/>
      <c r="I101" s="1125"/>
      <c r="J101" s="1208"/>
      <c r="K101" s="1208"/>
      <c r="L101" s="142">
        <v>61</v>
      </c>
      <c r="M101" s="241">
        <v>14</v>
      </c>
      <c r="N101" s="143">
        <v>0</v>
      </c>
      <c r="O101" s="143">
        <v>0</v>
      </c>
      <c r="P101" s="1173"/>
      <c r="Q101" s="1173"/>
      <c r="R101" s="1173"/>
      <c r="S101" s="1202"/>
      <c r="T101" s="1190"/>
      <c r="U101" s="1187"/>
    </row>
    <row r="102" spans="1:21" s="12" customFormat="1" ht="35.1" customHeight="1">
      <c r="A102" s="1241"/>
      <c r="B102" s="538"/>
      <c r="C102" s="1016"/>
      <c r="D102" s="1325"/>
      <c r="E102" s="1326"/>
      <c r="F102" s="1327"/>
      <c r="G102" s="1125"/>
      <c r="H102" s="1125"/>
      <c r="I102" s="1125"/>
      <c r="J102" s="1208"/>
      <c r="K102" s="1208"/>
      <c r="L102" s="142">
        <v>69</v>
      </c>
      <c r="M102" s="241">
        <v>4</v>
      </c>
      <c r="N102" s="143">
        <v>0</v>
      </c>
      <c r="O102" s="143">
        <v>0</v>
      </c>
      <c r="P102" s="1173"/>
      <c r="Q102" s="1173"/>
      <c r="R102" s="1173"/>
      <c r="S102" s="1202"/>
      <c r="T102" s="1190"/>
      <c r="U102" s="1187"/>
    </row>
    <row r="103" spans="1:21" s="12" customFormat="1" ht="35.1" customHeight="1">
      <c r="A103" s="1241"/>
      <c r="B103" s="538"/>
      <c r="C103" s="1016"/>
      <c r="D103" s="1325"/>
      <c r="E103" s="1326"/>
      <c r="F103" s="1327"/>
      <c r="G103" s="1126"/>
      <c r="H103" s="1126"/>
      <c r="I103" s="1126"/>
      <c r="J103" s="1209"/>
      <c r="K103" s="1209"/>
      <c r="L103" s="142">
        <v>77</v>
      </c>
      <c r="M103" s="241">
        <v>14</v>
      </c>
      <c r="N103" s="143">
        <v>4</v>
      </c>
      <c r="O103" s="143">
        <v>1</v>
      </c>
      <c r="P103" s="1173"/>
      <c r="Q103" s="1173"/>
      <c r="R103" s="1173"/>
      <c r="S103" s="1202"/>
      <c r="T103" s="1190"/>
      <c r="U103" s="1187"/>
    </row>
    <row r="104" spans="1:21" s="12" customFormat="1" ht="35.1" customHeight="1">
      <c r="A104" s="1241"/>
      <c r="B104" s="538"/>
      <c r="C104" s="1017"/>
      <c r="D104" s="1328"/>
      <c r="E104" s="1329"/>
      <c r="F104" s="1330"/>
      <c r="G104" s="463" t="s">
        <v>329</v>
      </c>
      <c r="H104" s="464"/>
      <c r="I104" s="464"/>
      <c r="J104" s="464"/>
      <c r="K104" s="465"/>
      <c r="L104" s="139"/>
      <c r="M104" s="225">
        <f>SUM(M100:M103)</f>
        <v>40</v>
      </c>
      <c r="N104" s="263">
        <f t="shared" ref="N104" si="4">SUM(N100:N103)</f>
        <v>4</v>
      </c>
      <c r="O104" s="263">
        <f t="shared" ref="O104" si="5">SUM(O100:O103)</f>
        <v>1</v>
      </c>
      <c r="P104" s="1174"/>
      <c r="Q104" s="1174"/>
      <c r="R104" s="1174"/>
      <c r="S104" s="1203"/>
      <c r="T104" s="1191"/>
      <c r="U104" s="1188"/>
    </row>
    <row r="105" spans="1:21" s="12" customFormat="1" ht="35.1" customHeight="1">
      <c r="A105" s="1241"/>
      <c r="B105" s="538"/>
      <c r="C105" s="1015" t="s">
        <v>784</v>
      </c>
      <c r="D105" s="1300" t="s">
        <v>785</v>
      </c>
      <c r="E105" s="1301"/>
      <c r="F105" s="1302"/>
      <c r="G105" s="1166" t="s">
        <v>786</v>
      </c>
      <c r="H105" s="1166" t="s">
        <v>787</v>
      </c>
      <c r="I105" s="1166" t="s">
        <v>788</v>
      </c>
      <c r="J105" s="1189" t="s">
        <v>11</v>
      </c>
      <c r="K105" s="1189" t="s">
        <v>12</v>
      </c>
      <c r="L105" s="142">
        <v>46</v>
      </c>
      <c r="M105" s="241">
        <v>20</v>
      </c>
      <c r="N105" s="143">
        <v>0</v>
      </c>
      <c r="O105" s="143">
        <v>0</v>
      </c>
      <c r="P105" s="618" t="s">
        <v>796</v>
      </c>
      <c r="Q105" s="618" t="s">
        <v>797</v>
      </c>
      <c r="R105" s="1210" t="s">
        <v>789</v>
      </c>
      <c r="S105" s="1130" t="s">
        <v>57</v>
      </c>
      <c r="T105" s="704" t="s">
        <v>54</v>
      </c>
      <c r="U105" s="654" t="s">
        <v>11</v>
      </c>
    </row>
    <row r="106" spans="1:21" s="12" customFormat="1" ht="35.1" customHeight="1">
      <c r="A106" s="1241"/>
      <c r="B106" s="538"/>
      <c r="C106" s="1016"/>
      <c r="D106" s="1303"/>
      <c r="E106" s="1304"/>
      <c r="F106" s="1305"/>
      <c r="G106" s="1167"/>
      <c r="H106" s="1167"/>
      <c r="I106" s="1167"/>
      <c r="J106" s="1190"/>
      <c r="K106" s="1190"/>
      <c r="L106" s="142">
        <v>48</v>
      </c>
      <c r="M106" s="241">
        <v>6</v>
      </c>
      <c r="N106" s="143">
        <v>0</v>
      </c>
      <c r="O106" s="143">
        <v>0</v>
      </c>
      <c r="P106" s="593"/>
      <c r="Q106" s="593"/>
      <c r="R106" s="1211"/>
      <c r="S106" s="1131"/>
      <c r="T106" s="705"/>
      <c r="U106" s="730"/>
    </row>
    <row r="107" spans="1:21" s="12" customFormat="1" ht="35.1" customHeight="1">
      <c r="A107" s="1241"/>
      <c r="B107" s="538"/>
      <c r="C107" s="1016"/>
      <c r="D107" s="1303"/>
      <c r="E107" s="1304"/>
      <c r="F107" s="1305"/>
      <c r="G107" s="1168"/>
      <c r="H107" s="1168"/>
      <c r="I107" s="1168"/>
      <c r="J107" s="1191"/>
      <c r="K107" s="1191"/>
      <c r="L107" s="142">
        <v>58</v>
      </c>
      <c r="M107" s="241">
        <v>21</v>
      </c>
      <c r="N107" s="143">
        <v>3</v>
      </c>
      <c r="O107" s="143">
        <v>3</v>
      </c>
      <c r="P107" s="593"/>
      <c r="Q107" s="593"/>
      <c r="R107" s="1211"/>
      <c r="S107" s="1131"/>
      <c r="T107" s="705"/>
      <c r="U107" s="730"/>
    </row>
    <row r="108" spans="1:21" s="12" customFormat="1" ht="35.1" customHeight="1">
      <c r="A108" s="1241"/>
      <c r="B108" s="538"/>
      <c r="C108" s="1017"/>
      <c r="D108" s="1306"/>
      <c r="E108" s="1307"/>
      <c r="F108" s="1308"/>
      <c r="G108" s="463" t="s">
        <v>329</v>
      </c>
      <c r="H108" s="464"/>
      <c r="I108" s="464"/>
      <c r="J108" s="464"/>
      <c r="K108" s="465"/>
      <c r="L108" s="245"/>
      <c r="M108" s="246">
        <f>SUM(M105:M107)</f>
        <v>47</v>
      </c>
      <c r="N108" s="246">
        <f>SUM(N105:N107)</f>
        <v>3</v>
      </c>
      <c r="O108" s="246">
        <f>SUM(O105:O107)</f>
        <v>3</v>
      </c>
      <c r="P108" s="619"/>
      <c r="Q108" s="619"/>
      <c r="R108" s="1212"/>
      <c r="S108" s="1132"/>
      <c r="T108" s="706"/>
      <c r="U108" s="655"/>
    </row>
    <row r="109" spans="1:21" s="12" customFormat="1" ht="35.1" customHeight="1">
      <c r="A109" s="1241"/>
      <c r="B109" s="538"/>
      <c r="C109" s="1204" t="s">
        <v>198</v>
      </c>
      <c r="D109" s="678" t="s">
        <v>496</v>
      </c>
      <c r="E109" s="679"/>
      <c r="F109" s="680"/>
      <c r="G109" s="1106" t="s">
        <v>497</v>
      </c>
      <c r="H109" s="1106" t="s">
        <v>498</v>
      </c>
      <c r="I109" s="1106" t="s">
        <v>499</v>
      </c>
      <c r="J109" s="1204" t="s">
        <v>11</v>
      </c>
      <c r="K109" s="1204" t="s">
        <v>12</v>
      </c>
      <c r="L109" s="144">
        <v>49.91</v>
      </c>
      <c r="M109" s="243">
        <v>5</v>
      </c>
      <c r="N109" s="143">
        <v>1</v>
      </c>
      <c r="O109" s="143">
        <v>1</v>
      </c>
      <c r="P109" s="1151">
        <v>44896</v>
      </c>
      <c r="Q109" s="1228">
        <v>44927</v>
      </c>
      <c r="R109" s="1180">
        <v>44835</v>
      </c>
      <c r="S109" s="1192" t="s">
        <v>57</v>
      </c>
      <c r="T109" s="1115" t="s">
        <v>54</v>
      </c>
      <c r="U109" s="1121" t="s">
        <v>11</v>
      </c>
    </row>
    <row r="110" spans="1:21" s="12" customFormat="1" ht="35.1" customHeight="1">
      <c r="A110" s="1241"/>
      <c r="B110" s="538"/>
      <c r="C110" s="1205"/>
      <c r="D110" s="681"/>
      <c r="E110" s="682"/>
      <c r="F110" s="683"/>
      <c r="G110" s="1107"/>
      <c r="H110" s="1107"/>
      <c r="I110" s="1107"/>
      <c r="J110" s="1205"/>
      <c r="K110" s="1205"/>
      <c r="L110" s="144">
        <v>48.74</v>
      </c>
      <c r="M110" s="243">
        <v>10</v>
      </c>
      <c r="N110" s="143">
        <v>0</v>
      </c>
      <c r="O110" s="143">
        <v>0</v>
      </c>
      <c r="P110" s="1152"/>
      <c r="Q110" s="1229"/>
      <c r="R110" s="1181"/>
      <c r="S110" s="1193"/>
      <c r="T110" s="1116"/>
      <c r="U110" s="1122"/>
    </row>
    <row r="111" spans="1:21" s="12" customFormat="1" ht="35.1" customHeight="1">
      <c r="A111" s="1241"/>
      <c r="B111" s="538"/>
      <c r="C111" s="1205"/>
      <c r="D111" s="681"/>
      <c r="E111" s="682"/>
      <c r="F111" s="683"/>
      <c r="G111" s="1107"/>
      <c r="H111" s="1107"/>
      <c r="I111" s="1107"/>
      <c r="J111" s="1205"/>
      <c r="K111" s="1205"/>
      <c r="L111" s="144">
        <v>52.89</v>
      </c>
      <c r="M111" s="243">
        <v>10</v>
      </c>
      <c r="N111" s="143">
        <v>0</v>
      </c>
      <c r="O111" s="143">
        <v>0</v>
      </c>
      <c r="P111" s="1152"/>
      <c r="Q111" s="1229"/>
      <c r="R111" s="1181"/>
      <c r="S111" s="1193"/>
      <c r="T111" s="1116"/>
      <c r="U111" s="1122"/>
    </row>
    <row r="112" spans="1:21" s="12" customFormat="1" ht="35.1" customHeight="1">
      <c r="A112" s="1241"/>
      <c r="B112" s="538"/>
      <c r="C112" s="1205"/>
      <c r="D112" s="681"/>
      <c r="E112" s="682"/>
      <c r="F112" s="683"/>
      <c r="G112" s="1108"/>
      <c r="H112" s="1108"/>
      <c r="I112" s="1108"/>
      <c r="J112" s="1206"/>
      <c r="K112" s="1206"/>
      <c r="L112" s="144">
        <v>52.97</v>
      </c>
      <c r="M112" s="243">
        <v>10</v>
      </c>
      <c r="N112" s="143">
        <v>0</v>
      </c>
      <c r="O112" s="143">
        <v>0</v>
      </c>
      <c r="P112" s="1152"/>
      <c r="Q112" s="1229"/>
      <c r="R112" s="1181"/>
      <c r="S112" s="1193"/>
      <c r="T112" s="1116"/>
      <c r="U112" s="1122"/>
    </row>
    <row r="113" spans="1:22" s="12" customFormat="1" ht="35.1" customHeight="1">
      <c r="A113" s="1241"/>
      <c r="B113" s="538"/>
      <c r="C113" s="1206"/>
      <c r="D113" s="684"/>
      <c r="E113" s="685"/>
      <c r="F113" s="686"/>
      <c r="G113" s="463" t="s">
        <v>329</v>
      </c>
      <c r="H113" s="464"/>
      <c r="I113" s="464"/>
      <c r="J113" s="464"/>
      <c r="K113" s="465"/>
      <c r="L113" s="145"/>
      <c r="M113" s="244">
        <f>SUM(M109:M112)</f>
        <v>35</v>
      </c>
      <c r="N113" s="246">
        <f>SUM(N109:N112)</f>
        <v>1</v>
      </c>
      <c r="O113" s="246">
        <f>SUM(O109:O112)</f>
        <v>1</v>
      </c>
      <c r="P113" s="1153"/>
      <c r="Q113" s="1230"/>
      <c r="R113" s="1182"/>
      <c r="S113" s="1194"/>
      <c r="T113" s="1117"/>
      <c r="U113" s="1123"/>
    </row>
    <row r="114" spans="1:22" s="12" customFormat="1" ht="35.1" customHeight="1">
      <c r="A114" s="1241"/>
      <c r="B114" s="538"/>
      <c r="C114" s="1204" t="s">
        <v>1026</v>
      </c>
      <c r="D114" s="678" t="s">
        <v>1027</v>
      </c>
      <c r="E114" s="679"/>
      <c r="F114" s="680"/>
      <c r="G114" s="678" t="s">
        <v>1028</v>
      </c>
      <c r="H114" s="679" t="s">
        <v>1029</v>
      </c>
      <c r="I114" s="679" t="s">
        <v>1030</v>
      </c>
      <c r="J114" s="1349" t="s">
        <v>67</v>
      </c>
      <c r="K114" s="1234" t="s">
        <v>66</v>
      </c>
      <c r="L114" s="381">
        <v>52</v>
      </c>
      <c r="M114" s="382">
        <v>18</v>
      </c>
      <c r="N114" s="132">
        <v>8</v>
      </c>
      <c r="O114" s="132">
        <v>6</v>
      </c>
      <c r="P114" s="1213">
        <v>46082</v>
      </c>
      <c r="Q114" s="1213">
        <v>46113</v>
      </c>
      <c r="R114" s="1217">
        <v>46935</v>
      </c>
      <c r="S114" s="1121" t="s">
        <v>65</v>
      </c>
      <c r="T114" s="1115" t="s">
        <v>54</v>
      </c>
      <c r="U114" s="1121" t="s">
        <v>11</v>
      </c>
    </row>
    <row r="115" spans="1:22" s="12" customFormat="1" ht="35.1" customHeight="1">
      <c r="A115" s="1241"/>
      <c r="B115" s="538"/>
      <c r="C115" s="1205"/>
      <c r="D115" s="681"/>
      <c r="E115" s="682"/>
      <c r="F115" s="683"/>
      <c r="G115" s="681"/>
      <c r="H115" s="682"/>
      <c r="I115" s="682"/>
      <c r="J115" s="1350"/>
      <c r="K115" s="1235"/>
      <c r="L115" s="381">
        <v>55</v>
      </c>
      <c r="M115" s="382">
        <v>22</v>
      </c>
      <c r="N115" s="132">
        <v>8</v>
      </c>
      <c r="O115" s="132">
        <v>4</v>
      </c>
      <c r="P115" s="1214"/>
      <c r="Q115" s="1214"/>
      <c r="R115" s="1218"/>
      <c r="S115" s="1122"/>
      <c r="T115" s="1116"/>
      <c r="U115" s="1122"/>
    </row>
    <row r="116" spans="1:22" s="12" customFormat="1" ht="35.1" customHeight="1">
      <c r="A116" s="1241"/>
      <c r="B116" s="538"/>
      <c r="C116" s="1205"/>
      <c r="D116" s="681"/>
      <c r="E116" s="682"/>
      <c r="F116" s="683"/>
      <c r="G116" s="681"/>
      <c r="H116" s="682"/>
      <c r="I116" s="682"/>
      <c r="J116" s="1350"/>
      <c r="K116" s="1235"/>
      <c r="L116" s="381" t="s">
        <v>1031</v>
      </c>
      <c r="M116" s="382">
        <v>27</v>
      </c>
      <c r="N116" s="132">
        <v>12</v>
      </c>
      <c r="O116" s="132">
        <v>11</v>
      </c>
      <c r="P116" s="1214"/>
      <c r="Q116" s="1214"/>
      <c r="R116" s="1218"/>
      <c r="S116" s="1122"/>
      <c r="T116" s="1116"/>
      <c r="U116" s="1122"/>
    </row>
    <row r="117" spans="1:22" s="12" customFormat="1" ht="35.1" customHeight="1">
      <c r="A117" s="1241"/>
      <c r="B117" s="538"/>
      <c r="C117" s="1205"/>
      <c r="D117" s="681"/>
      <c r="E117" s="682"/>
      <c r="F117" s="683"/>
      <c r="G117" s="681"/>
      <c r="H117" s="682"/>
      <c r="I117" s="682"/>
      <c r="J117" s="1350"/>
      <c r="K117" s="1235"/>
      <c r="L117" s="381" t="s">
        <v>1032</v>
      </c>
      <c r="M117" s="382">
        <v>21</v>
      </c>
      <c r="N117" s="132">
        <v>10</v>
      </c>
      <c r="O117" s="132">
        <v>9</v>
      </c>
      <c r="P117" s="1214"/>
      <c r="Q117" s="1214"/>
      <c r="R117" s="1218"/>
      <c r="S117" s="1122"/>
      <c r="T117" s="1116"/>
      <c r="U117" s="1122"/>
    </row>
    <row r="118" spans="1:22" s="12" customFormat="1" ht="35.1" customHeight="1">
      <c r="A118" s="1241"/>
      <c r="B118" s="538"/>
      <c r="C118" s="1205"/>
      <c r="D118" s="681"/>
      <c r="E118" s="682"/>
      <c r="F118" s="683"/>
      <c r="G118" s="684"/>
      <c r="H118" s="685"/>
      <c r="I118" s="685"/>
      <c r="J118" s="1351"/>
      <c r="K118" s="1236"/>
      <c r="L118" s="381">
        <v>67</v>
      </c>
      <c r="M118" s="382">
        <v>5</v>
      </c>
      <c r="N118" s="132">
        <v>2</v>
      </c>
      <c r="O118" s="132">
        <v>0</v>
      </c>
      <c r="P118" s="1214"/>
      <c r="Q118" s="1214"/>
      <c r="R118" s="1218"/>
      <c r="S118" s="1122"/>
      <c r="T118" s="1116"/>
      <c r="U118" s="1122"/>
    </row>
    <row r="119" spans="1:22" s="12" customFormat="1" ht="35.1" customHeight="1">
      <c r="A119" s="1241"/>
      <c r="B119" s="538"/>
      <c r="C119" s="1206"/>
      <c r="D119" s="684"/>
      <c r="E119" s="685"/>
      <c r="F119" s="686"/>
      <c r="G119" s="1653" t="s">
        <v>1033</v>
      </c>
      <c r="H119" s="1654"/>
      <c r="I119" s="1654"/>
      <c r="J119" s="1654"/>
      <c r="K119" s="1655"/>
      <c r="L119" s="383"/>
      <c r="M119" s="244">
        <v>93</v>
      </c>
      <c r="N119" s="246">
        <f>SUM(N114:N118)</f>
        <v>40</v>
      </c>
      <c r="O119" s="246">
        <f>SUM(O114:O118)</f>
        <v>30</v>
      </c>
      <c r="P119" s="1215"/>
      <c r="Q119" s="1215"/>
      <c r="R119" s="1219"/>
      <c r="S119" s="1123"/>
      <c r="T119" s="1117"/>
      <c r="U119" s="1122"/>
    </row>
    <row r="120" spans="1:22" s="12" customFormat="1" ht="35.1" customHeight="1">
      <c r="A120" s="1241"/>
      <c r="B120" s="538"/>
      <c r="C120" s="738" t="s">
        <v>1034</v>
      </c>
      <c r="D120" s="741" t="s">
        <v>1035</v>
      </c>
      <c r="E120" s="742"/>
      <c r="F120" s="743"/>
      <c r="G120" s="675" t="s">
        <v>1036</v>
      </c>
      <c r="H120" s="675" t="s">
        <v>1037</v>
      </c>
      <c r="I120" s="675" t="s">
        <v>1038</v>
      </c>
      <c r="J120" s="750" t="s">
        <v>11</v>
      </c>
      <c r="K120" s="750" t="s">
        <v>12</v>
      </c>
      <c r="L120" s="384" t="s">
        <v>85</v>
      </c>
      <c r="M120" s="385">
        <v>96</v>
      </c>
      <c r="N120" s="386">
        <v>0</v>
      </c>
      <c r="O120" s="386">
        <v>0</v>
      </c>
      <c r="P120" s="717">
        <v>46054</v>
      </c>
      <c r="Q120" s="717">
        <v>46082</v>
      </c>
      <c r="R120" s="1231" t="s">
        <v>956</v>
      </c>
      <c r="S120" s="1220" t="s">
        <v>13</v>
      </c>
      <c r="T120" s="1216" t="s">
        <v>54</v>
      </c>
      <c r="U120" s="1122" t="s">
        <v>67</v>
      </c>
    </row>
    <row r="121" spans="1:22" s="12" customFormat="1" ht="35.1" customHeight="1">
      <c r="A121" s="1241"/>
      <c r="B121" s="538"/>
      <c r="C121" s="739"/>
      <c r="D121" s="744"/>
      <c r="E121" s="1656"/>
      <c r="F121" s="746"/>
      <c r="G121" s="676"/>
      <c r="H121" s="676"/>
      <c r="I121" s="676"/>
      <c r="J121" s="751"/>
      <c r="K121" s="751"/>
      <c r="L121" s="384" t="s">
        <v>103</v>
      </c>
      <c r="M121" s="385">
        <v>130</v>
      </c>
      <c r="N121" s="386">
        <v>0</v>
      </c>
      <c r="O121" s="386">
        <v>0</v>
      </c>
      <c r="P121" s="718"/>
      <c r="Q121" s="718"/>
      <c r="R121" s="1232"/>
      <c r="S121" s="1221"/>
      <c r="T121" s="1116"/>
      <c r="U121" s="1122"/>
    </row>
    <row r="122" spans="1:22" s="12" customFormat="1" ht="35.1" customHeight="1">
      <c r="A122" s="1241"/>
      <c r="B122" s="538"/>
      <c r="C122" s="739"/>
      <c r="D122" s="744"/>
      <c r="E122" s="1656"/>
      <c r="F122" s="746"/>
      <c r="G122" s="677"/>
      <c r="H122" s="677"/>
      <c r="I122" s="677"/>
      <c r="J122" s="752"/>
      <c r="K122" s="752"/>
      <c r="L122" s="384" t="s">
        <v>83</v>
      </c>
      <c r="M122" s="385">
        <v>4</v>
      </c>
      <c r="N122" s="386">
        <v>0</v>
      </c>
      <c r="O122" s="386">
        <v>0</v>
      </c>
      <c r="P122" s="718"/>
      <c r="Q122" s="718"/>
      <c r="R122" s="1232"/>
      <c r="S122" s="1221"/>
      <c r="T122" s="1116"/>
      <c r="U122" s="1122"/>
    </row>
    <row r="123" spans="1:22" s="12" customFormat="1" ht="35.1" customHeight="1">
      <c r="A123" s="1241"/>
      <c r="B123" s="538"/>
      <c r="C123" s="740"/>
      <c r="D123" s="747"/>
      <c r="E123" s="748"/>
      <c r="F123" s="749"/>
      <c r="G123" s="1169" t="s">
        <v>942</v>
      </c>
      <c r="H123" s="1170"/>
      <c r="I123" s="1170"/>
      <c r="J123" s="1170"/>
      <c r="K123" s="1170"/>
      <c r="L123" s="1171"/>
      <c r="M123" s="387">
        <f>SUM(M120:M122)</f>
        <v>230</v>
      </c>
      <c r="N123" s="246">
        <f>SUM(N120:N122)</f>
        <v>0</v>
      </c>
      <c r="O123" s="246">
        <f>SUM(O120:O122)</f>
        <v>0</v>
      </c>
      <c r="P123" s="719"/>
      <c r="Q123" s="719"/>
      <c r="R123" s="1233"/>
      <c r="S123" s="1222"/>
      <c r="T123" s="1117"/>
      <c r="U123" s="1123"/>
    </row>
    <row r="124" spans="1:22" s="12" customFormat="1" ht="35.1" customHeight="1">
      <c r="A124" s="1241"/>
      <c r="B124" s="538"/>
      <c r="C124" s="738" t="s">
        <v>1034</v>
      </c>
      <c r="D124" s="741" t="s">
        <v>1078</v>
      </c>
      <c r="E124" s="742"/>
      <c r="F124" s="743"/>
      <c r="G124" s="675" t="s">
        <v>1036</v>
      </c>
      <c r="H124" s="675" t="s">
        <v>1079</v>
      </c>
      <c r="I124" s="675" t="s">
        <v>1079</v>
      </c>
      <c r="J124" s="750" t="s">
        <v>11</v>
      </c>
      <c r="K124" s="750" t="s">
        <v>12</v>
      </c>
      <c r="L124" s="384">
        <v>46</v>
      </c>
      <c r="M124" s="385">
        <v>15</v>
      </c>
      <c r="N124" s="386">
        <v>9</v>
      </c>
      <c r="O124" s="386">
        <v>9</v>
      </c>
      <c r="P124" s="717">
        <v>46156</v>
      </c>
      <c r="Q124" s="717">
        <v>46190</v>
      </c>
      <c r="R124" s="717" t="s">
        <v>618</v>
      </c>
      <c r="S124" s="717" t="s">
        <v>65</v>
      </c>
      <c r="T124" s="1142" t="s">
        <v>54</v>
      </c>
      <c r="U124" s="717" t="s">
        <v>11</v>
      </c>
      <c r="V124" s="732" t="s">
        <v>1080</v>
      </c>
    </row>
    <row r="125" spans="1:22" s="12" customFormat="1" ht="35.1" customHeight="1">
      <c r="A125" s="1241"/>
      <c r="B125" s="538"/>
      <c r="C125" s="739"/>
      <c r="D125" s="744"/>
      <c r="E125" s="745"/>
      <c r="F125" s="746"/>
      <c r="G125" s="676"/>
      <c r="H125" s="676"/>
      <c r="I125" s="676"/>
      <c r="J125" s="751"/>
      <c r="K125" s="751"/>
      <c r="L125" s="384">
        <v>59</v>
      </c>
      <c r="M125" s="385">
        <v>19</v>
      </c>
      <c r="N125" s="386">
        <v>9</v>
      </c>
      <c r="O125" s="386">
        <v>9</v>
      </c>
      <c r="P125" s="718"/>
      <c r="Q125" s="718"/>
      <c r="R125" s="718"/>
      <c r="S125" s="718"/>
      <c r="T125" s="1143"/>
      <c r="U125" s="718"/>
      <c r="V125" s="733"/>
    </row>
    <row r="126" spans="1:22" s="12" customFormat="1" ht="35.1" customHeight="1">
      <c r="A126" s="1241"/>
      <c r="B126" s="538"/>
      <c r="C126" s="739"/>
      <c r="D126" s="744"/>
      <c r="E126" s="745"/>
      <c r="F126" s="746"/>
      <c r="G126" s="676"/>
      <c r="H126" s="676"/>
      <c r="I126" s="676"/>
      <c r="J126" s="751"/>
      <c r="K126" s="751"/>
      <c r="L126" s="384" t="s">
        <v>94</v>
      </c>
      <c r="M126" s="385">
        <v>2</v>
      </c>
      <c r="N126" s="386">
        <v>2</v>
      </c>
      <c r="O126" s="386">
        <v>2</v>
      </c>
      <c r="P126" s="718"/>
      <c r="Q126" s="718"/>
      <c r="R126" s="718"/>
      <c r="S126" s="718"/>
      <c r="T126" s="1143"/>
      <c r="U126" s="718"/>
      <c r="V126" s="733"/>
    </row>
    <row r="127" spans="1:22" s="12" customFormat="1" ht="35.1" customHeight="1">
      <c r="A127" s="1241"/>
      <c r="B127" s="538"/>
      <c r="C127" s="739"/>
      <c r="D127" s="744"/>
      <c r="E127" s="745"/>
      <c r="F127" s="746"/>
      <c r="G127" s="677"/>
      <c r="H127" s="677"/>
      <c r="I127" s="677"/>
      <c r="J127" s="752"/>
      <c r="K127" s="752"/>
      <c r="L127" s="384" t="s">
        <v>93</v>
      </c>
      <c r="M127" s="385">
        <v>8</v>
      </c>
      <c r="N127" s="386">
        <v>6</v>
      </c>
      <c r="O127" s="386">
        <v>5</v>
      </c>
      <c r="P127" s="718"/>
      <c r="Q127" s="718"/>
      <c r="R127" s="718"/>
      <c r="S127" s="718"/>
      <c r="T127" s="1143"/>
      <c r="U127" s="718"/>
      <c r="V127" s="733"/>
    </row>
    <row r="128" spans="1:22" s="12" customFormat="1" ht="35.1" customHeight="1">
      <c r="A128" s="1241"/>
      <c r="B128" s="538"/>
      <c r="C128" s="740"/>
      <c r="D128" s="747"/>
      <c r="E128" s="748"/>
      <c r="F128" s="749"/>
      <c r="G128" s="735" t="s">
        <v>942</v>
      </c>
      <c r="H128" s="736"/>
      <c r="I128" s="736"/>
      <c r="J128" s="736"/>
      <c r="K128" s="736"/>
      <c r="L128" s="737"/>
      <c r="M128" s="387">
        <f>SUM(M124:M127)</f>
        <v>44</v>
      </c>
      <c r="N128" s="387">
        <f t="shared" ref="N128" si="6">SUM(N124:N127)</f>
        <v>26</v>
      </c>
      <c r="O128" s="387">
        <f t="shared" ref="O128" si="7">SUM(O124:O127)</f>
        <v>25</v>
      </c>
      <c r="P128" s="719"/>
      <c r="Q128" s="719"/>
      <c r="R128" s="719"/>
      <c r="S128" s="719"/>
      <c r="T128" s="1144"/>
      <c r="U128" s="719"/>
      <c r="V128" s="734"/>
    </row>
    <row r="129" spans="1:1892" s="12" customFormat="1" ht="35.1" customHeight="1">
      <c r="A129" s="1241"/>
      <c r="B129" s="538"/>
      <c r="C129" s="738" t="s">
        <v>1081</v>
      </c>
      <c r="D129" s="741" t="s">
        <v>1082</v>
      </c>
      <c r="E129" s="742"/>
      <c r="F129" s="743"/>
      <c r="G129" s="675" t="s">
        <v>1083</v>
      </c>
      <c r="H129" s="675" t="s">
        <v>1084</v>
      </c>
      <c r="I129" s="675" t="s">
        <v>1085</v>
      </c>
      <c r="J129" s="750" t="s">
        <v>11</v>
      </c>
      <c r="K129" s="750" t="s">
        <v>12</v>
      </c>
      <c r="L129" s="384" t="s">
        <v>85</v>
      </c>
      <c r="M129" s="385">
        <v>374</v>
      </c>
      <c r="N129" s="385">
        <v>1</v>
      </c>
      <c r="O129" s="385">
        <v>0</v>
      </c>
      <c r="P129" s="717">
        <v>46135</v>
      </c>
      <c r="Q129" s="717">
        <v>46171</v>
      </c>
      <c r="R129" s="717">
        <v>47392</v>
      </c>
      <c r="S129" s="717" t="s">
        <v>65</v>
      </c>
      <c r="T129" s="1142" t="s">
        <v>54</v>
      </c>
      <c r="U129" s="717" t="s">
        <v>11</v>
      </c>
      <c r="V129" s="423"/>
    </row>
    <row r="130" spans="1:1892" s="12" customFormat="1" ht="35.1" customHeight="1">
      <c r="A130" s="1241"/>
      <c r="B130" s="538"/>
      <c r="C130" s="739"/>
      <c r="D130" s="744"/>
      <c r="E130" s="745"/>
      <c r="F130" s="746"/>
      <c r="G130" s="676"/>
      <c r="H130" s="676"/>
      <c r="I130" s="676"/>
      <c r="J130" s="751"/>
      <c r="K130" s="751"/>
      <c r="L130" s="384" t="s">
        <v>103</v>
      </c>
      <c r="M130" s="385">
        <v>107</v>
      </c>
      <c r="N130" s="385">
        <v>1</v>
      </c>
      <c r="O130" s="385">
        <v>0</v>
      </c>
      <c r="P130" s="718"/>
      <c r="Q130" s="718"/>
      <c r="R130" s="718"/>
      <c r="S130" s="718"/>
      <c r="T130" s="1223"/>
      <c r="U130" s="718"/>
      <c r="V130" s="423"/>
    </row>
    <row r="131" spans="1:1892" s="12" customFormat="1" ht="35.1" customHeight="1">
      <c r="A131" s="1241"/>
      <c r="B131" s="538"/>
      <c r="C131" s="739"/>
      <c r="D131" s="744"/>
      <c r="E131" s="745"/>
      <c r="F131" s="746"/>
      <c r="G131" s="676"/>
      <c r="H131" s="676"/>
      <c r="I131" s="676"/>
      <c r="J131" s="751"/>
      <c r="K131" s="751"/>
      <c r="L131" s="384" t="s">
        <v>94</v>
      </c>
      <c r="M131" s="385">
        <v>208</v>
      </c>
      <c r="N131" s="385">
        <v>1</v>
      </c>
      <c r="O131" s="385">
        <v>0</v>
      </c>
      <c r="P131" s="718"/>
      <c r="Q131" s="718"/>
      <c r="R131" s="718"/>
      <c r="S131" s="718"/>
      <c r="T131" s="1223"/>
      <c r="U131" s="718"/>
      <c r="V131" s="423"/>
    </row>
    <row r="132" spans="1:1892" s="12" customFormat="1" ht="35.1" customHeight="1">
      <c r="A132" s="1241"/>
      <c r="B132" s="538"/>
      <c r="C132" s="739"/>
      <c r="D132" s="744"/>
      <c r="E132" s="745"/>
      <c r="F132" s="746"/>
      <c r="G132" s="676"/>
      <c r="H132" s="676"/>
      <c r="I132" s="676"/>
      <c r="J132" s="751"/>
      <c r="K132" s="751"/>
      <c r="L132" s="384" t="s">
        <v>93</v>
      </c>
      <c r="M132" s="385">
        <v>108</v>
      </c>
      <c r="N132" s="385">
        <v>1</v>
      </c>
      <c r="O132" s="385">
        <v>0</v>
      </c>
      <c r="P132" s="718"/>
      <c r="Q132" s="718"/>
      <c r="R132" s="718"/>
      <c r="S132" s="718"/>
      <c r="T132" s="1223"/>
      <c r="U132" s="718"/>
      <c r="V132" s="423"/>
    </row>
    <row r="133" spans="1:1892" s="12" customFormat="1" ht="35.1" customHeight="1">
      <c r="A133" s="1241"/>
      <c r="B133" s="538"/>
      <c r="C133" s="739"/>
      <c r="D133" s="744"/>
      <c r="E133" s="745"/>
      <c r="F133" s="746"/>
      <c r="G133" s="676"/>
      <c r="H133" s="676"/>
      <c r="I133" s="676"/>
      <c r="J133" s="751"/>
      <c r="K133" s="751"/>
      <c r="L133" s="384" t="s">
        <v>84</v>
      </c>
      <c r="M133" s="385">
        <v>73</v>
      </c>
      <c r="N133" s="385">
        <v>1</v>
      </c>
      <c r="O133" s="385">
        <v>0</v>
      </c>
      <c r="P133" s="718"/>
      <c r="Q133" s="718"/>
      <c r="R133" s="718"/>
      <c r="S133" s="718"/>
      <c r="T133" s="1223"/>
      <c r="U133" s="718"/>
      <c r="V133" s="423"/>
    </row>
    <row r="134" spans="1:1892" s="12" customFormat="1" ht="35.1" customHeight="1">
      <c r="A134" s="1241"/>
      <c r="B134" s="538"/>
      <c r="C134" s="739"/>
      <c r="D134" s="744"/>
      <c r="E134" s="745"/>
      <c r="F134" s="746"/>
      <c r="G134" s="677"/>
      <c r="H134" s="677"/>
      <c r="I134" s="677"/>
      <c r="J134" s="752"/>
      <c r="K134" s="752"/>
      <c r="L134" s="384" t="s">
        <v>83</v>
      </c>
      <c r="M134" s="385">
        <v>27</v>
      </c>
      <c r="N134" s="385">
        <v>0</v>
      </c>
      <c r="O134" s="385">
        <v>0</v>
      </c>
      <c r="P134" s="718"/>
      <c r="Q134" s="718"/>
      <c r="R134" s="718"/>
      <c r="S134" s="718"/>
      <c r="T134" s="1223"/>
      <c r="U134" s="718"/>
      <c r="V134" s="423"/>
    </row>
    <row r="135" spans="1:1892" s="12" customFormat="1" ht="35.1" customHeight="1">
      <c r="A135" s="1241"/>
      <c r="B135" s="539"/>
      <c r="C135" s="740"/>
      <c r="D135" s="747"/>
      <c r="E135" s="748"/>
      <c r="F135" s="749"/>
      <c r="G135" s="693" t="s">
        <v>942</v>
      </c>
      <c r="H135" s="693"/>
      <c r="I135" s="693"/>
      <c r="J135" s="693"/>
      <c r="K135" s="693"/>
      <c r="L135" s="693"/>
      <c r="M135" s="387">
        <f>SUM(M129:M134)</f>
        <v>897</v>
      </c>
      <c r="N135" s="387">
        <f t="shared" ref="N135" si="8">SUM(N129:N134)</f>
        <v>5</v>
      </c>
      <c r="O135" s="387">
        <f t="shared" ref="O135" si="9">SUM(O129:O134)</f>
        <v>0</v>
      </c>
      <c r="P135" s="719"/>
      <c r="Q135" s="719"/>
      <c r="R135" s="719"/>
      <c r="S135" s="719"/>
      <c r="T135" s="1224"/>
      <c r="U135" s="719"/>
      <c r="V135" s="423"/>
    </row>
    <row r="136" spans="1:1892" s="17" customFormat="1" ht="35.1" customHeight="1">
      <c r="A136" s="1241"/>
      <c r="B136" s="620" t="s">
        <v>105</v>
      </c>
      <c r="C136" s="621"/>
      <c r="D136" s="621"/>
      <c r="E136" s="621"/>
      <c r="F136" s="621"/>
      <c r="G136" s="621"/>
      <c r="H136" s="621"/>
      <c r="I136" s="621"/>
      <c r="J136" s="621"/>
      <c r="K136" s="622"/>
      <c r="L136" s="140"/>
      <c r="M136" s="226">
        <f>M123+M119+M113+M108+M104+M99+M95+M88+M79+M128+M135</f>
        <v>1882</v>
      </c>
      <c r="N136" s="226">
        <f>N123+N119+N113+N108+N104+N99+N95+N88+N79+N128+N135</f>
        <v>79</v>
      </c>
      <c r="O136" s="226">
        <f>O123+O119+O113+O108+O104+O99+O95+O88+O79+O128+O135</f>
        <v>60</v>
      </c>
      <c r="P136" s="123"/>
      <c r="Q136" s="123"/>
      <c r="R136" s="123"/>
      <c r="S136" s="124"/>
      <c r="T136" s="125"/>
      <c r="U136" s="124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2"/>
      <c r="EV136" s="12"/>
      <c r="EW136" s="12"/>
      <c r="EX136" s="12"/>
      <c r="EY136" s="12"/>
      <c r="EZ136" s="12"/>
      <c r="FA136" s="12"/>
      <c r="FB136" s="12"/>
      <c r="FC136" s="12"/>
      <c r="FD136" s="12"/>
      <c r="FE136" s="12"/>
      <c r="FF136" s="12"/>
      <c r="FG136" s="12"/>
      <c r="FH136" s="12"/>
      <c r="FI136" s="12"/>
      <c r="FJ136" s="12"/>
      <c r="FK136" s="12"/>
      <c r="FL136" s="12"/>
      <c r="FM136" s="12"/>
      <c r="FN136" s="12"/>
      <c r="FO136" s="12"/>
      <c r="FP136" s="12"/>
      <c r="FQ136" s="12"/>
      <c r="FR136" s="12"/>
      <c r="FS136" s="12"/>
      <c r="FT136" s="12"/>
      <c r="FU136" s="12"/>
      <c r="FV136" s="12"/>
      <c r="FW136" s="12"/>
      <c r="FX136" s="12"/>
      <c r="FY136" s="12"/>
      <c r="FZ136" s="12"/>
      <c r="GA136" s="12"/>
      <c r="GB136" s="12"/>
      <c r="GC136" s="12"/>
      <c r="GD136" s="12"/>
      <c r="GE136" s="12"/>
      <c r="GF136" s="12"/>
      <c r="GG136" s="12"/>
      <c r="GH136" s="12"/>
      <c r="GI136" s="12"/>
      <c r="GJ136" s="12"/>
      <c r="GK136" s="12"/>
      <c r="GL136" s="12"/>
      <c r="GM136" s="12"/>
      <c r="GN136" s="12"/>
      <c r="GO136" s="12"/>
      <c r="GP136" s="12"/>
      <c r="GQ136" s="12"/>
      <c r="GR136" s="12"/>
      <c r="GS136" s="12"/>
      <c r="GT136" s="12"/>
      <c r="GU136" s="12"/>
      <c r="GV136" s="12"/>
      <c r="GW136" s="12"/>
      <c r="GX136" s="12"/>
      <c r="GY136" s="12"/>
      <c r="GZ136" s="12"/>
      <c r="HA136" s="12"/>
      <c r="HB136" s="12"/>
      <c r="HC136" s="12"/>
      <c r="HD136" s="12"/>
      <c r="HE136" s="12"/>
      <c r="HF136" s="12"/>
      <c r="HG136" s="12"/>
      <c r="HH136" s="12"/>
      <c r="HI136" s="12"/>
      <c r="HJ136" s="12"/>
      <c r="HK136" s="12"/>
      <c r="HL136" s="12"/>
      <c r="HM136" s="12"/>
      <c r="HN136" s="12"/>
      <c r="HO136" s="12"/>
      <c r="HP136" s="12"/>
      <c r="HQ136" s="12"/>
      <c r="HR136" s="12"/>
      <c r="HS136" s="12"/>
      <c r="HT136" s="12"/>
      <c r="HU136" s="12"/>
      <c r="HV136" s="12"/>
      <c r="HW136" s="12"/>
      <c r="HX136" s="12"/>
      <c r="HY136" s="12"/>
      <c r="HZ136" s="12"/>
      <c r="IA136" s="12"/>
      <c r="IB136" s="12"/>
      <c r="IC136" s="12"/>
      <c r="ID136" s="12"/>
      <c r="IE136" s="12"/>
      <c r="IF136" s="12"/>
      <c r="IG136" s="12"/>
      <c r="IH136" s="12"/>
      <c r="II136" s="12"/>
      <c r="IJ136" s="12"/>
      <c r="IK136" s="12"/>
      <c r="IL136" s="12"/>
      <c r="IM136" s="12"/>
      <c r="IN136" s="12"/>
      <c r="IO136" s="12"/>
      <c r="IP136" s="12"/>
      <c r="IQ136" s="12"/>
      <c r="IR136" s="12"/>
      <c r="IS136" s="12"/>
      <c r="IT136" s="12"/>
      <c r="IU136" s="12"/>
      <c r="IV136" s="12"/>
      <c r="IW136" s="12"/>
      <c r="IX136" s="12"/>
      <c r="IY136" s="12"/>
      <c r="IZ136" s="12"/>
      <c r="JA136" s="12"/>
      <c r="JB136" s="12"/>
      <c r="JC136" s="12"/>
      <c r="JD136" s="12"/>
      <c r="JE136" s="12"/>
      <c r="JF136" s="12"/>
      <c r="JG136" s="12"/>
      <c r="JH136" s="12"/>
      <c r="JI136" s="12"/>
      <c r="JJ136" s="12"/>
      <c r="JK136" s="12"/>
      <c r="JL136" s="12"/>
      <c r="JM136" s="12"/>
      <c r="JN136" s="12"/>
      <c r="JO136" s="12"/>
      <c r="JP136" s="12"/>
      <c r="JQ136" s="12"/>
      <c r="JR136" s="12"/>
      <c r="JS136" s="12"/>
      <c r="JT136" s="12"/>
      <c r="JU136" s="12"/>
      <c r="JV136" s="12"/>
      <c r="JW136" s="12"/>
      <c r="JX136" s="12"/>
      <c r="JY136" s="12"/>
      <c r="JZ136" s="12"/>
      <c r="KA136" s="12"/>
      <c r="KB136" s="12"/>
      <c r="KC136" s="12"/>
      <c r="KD136" s="12"/>
      <c r="KE136" s="12"/>
      <c r="KF136" s="12"/>
      <c r="KG136" s="12"/>
      <c r="KH136" s="12"/>
      <c r="KI136" s="12"/>
      <c r="KJ136" s="12"/>
      <c r="KK136" s="12"/>
      <c r="KL136" s="12"/>
      <c r="KM136" s="12"/>
      <c r="KN136" s="12"/>
      <c r="KO136" s="12"/>
      <c r="KP136" s="12"/>
      <c r="KQ136" s="12"/>
      <c r="KR136" s="12"/>
      <c r="KS136" s="12"/>
      <c r="KT136" s="12"/>
      <c r="KU136" s="12"/>
      <c r="KV136" s="12"/>
      <c r="KW136" s="12"/>
      <c r="KX136" s="12"/>
      <c r="KY136" s="12"/>
      <c r="KZ136" s="12"/>
      <c r="LA136" s="12"/>
      <c r="LB136" s="12"/>
      <c r="LC136" s="12"/>
      <c r="LD136" s="12"/>
      <c r="LE136" s="12"/>
      <c r="LF136" s="12"/>
      <c r="LG136" s="12"/>
      <c r="LH136" s="12"/>
      <c r="LI136" s="12"/>
      <c r="LJ136" s="12"/>
      <c r="LK136" s="12"/>
      <c r="LL136" s="12"/>
      <c r="LM136" s="12"/>
      <c r="LN136" s="12"/>
      <c r="LO136" s="12"/>
      <c r="LP136" s="12"/>
      <c r="LQ136" s="12"/>
      <c r="LR136" s="12"/>
      <c r="LS136" s="12"/>
      <c r="LT136" s="12"/>
      <c r="LU136" s="12"/>
      <c r="LV136" s="12"/>
      <c r="LW136" s="12"/>
      <c r="LX136" s="12"/>
      <c r="LY136" s="12"/>
      <c r="LZ136" s="12"/>
      <c r="MA136" s="12"/>
      <c r="MB136" s="12"/>
      <c r="MC136" s="12"/>
      <c r="MD136" s="12"/>
      <c r="ME136" s="12"/>
      <c r="MF136" s="12"/>
      <c r="MG136" s="12"/>
      <c r="MH136" s="12"/>
      <c r="MI136" s="12"/>
      <c r="MJ136" s="12"/>
      <c r="MK136" s="12"/>
      <c r="ML136" s="12"/>
      <c r="MM136" s="12"/>
      <c r="MN136" s="12"/>
      <c r="MO136" s="12"/>
      <c r="MP136" s="12"/>
      <c r="MQ136" s="12"/>
      <c r="MR136" s="12"/>
      <c r="MS136" s="12"/>
      <c r="MT136" s="12"/>
      <c r="MU136" s="12"/>
      <c r="MV136" s="12"/>
      <c r="MW136" s="12"/>
      <c r="MX136" s="12"/>
      <c r="MY136" s="12"/>
      <c r="MZ136" s="12"/>
      <c r="NA136" s="12"/>
      <c r="NB136" s="12"/>
      <c r="NC136" s="12"/>
      <c r="ND136" s="12"/>
      <c r="NE136" s="12"/>
      <c r="NF136" s="12"/>
      <c r="NG136" s="12"/>
      <c r="NH136" s="12"/>
      <c r="NI136" s="12"/>
      <c r="NJ136" s="12"/>
      <c r="NK136" s="12"/>
      <c r="NL136" s="12"/>
      <c r="NM136" s="12"/>
      <c r="NN136" s="12"/>
      <c r="NO136" s="12"/>
      <c r="NP136" s="12"/>
      <c r="NQ136" s="12"/>
      <c r="NR136" s="12"/>
      <c r="NS136" s="12"/>
      <c r="NT136" s="12"/>
      <c r="NU136" s="12"/>
      <c r="NV136" s="12"/>
      <c r="NW136" s="12"/>
      <c r="NX136" s="12"/>
      <c r="NY136" s="12"/>
      <c r="NZ136" s="12"/>
      <c r="OA136" s="12"/>
      <c r="OB136" s="12"/>
      <c r="OC136" s="12"/>
      <c r="OD136" s="12"/>
      <c r="OE136" s="12"/>
      <c r="OF136" s="12"/>
      <c r="OG136" s="12"/>
      <c r="OH136" s="12"/>
      <c r="OI136" s="12"/>
      <c r="OJ136" s="12"/>
      <c r="OK136" s="12"/>
      <c r="OL136" s="12"/>
      <c r="OM136" s="12"/>
      <c r="ON136" s="12"/>
      <c r="OO136" s="12"/>
      <c r="OP136" s="12"/>
      <c r="OQ136" s="12"/>
      <c r="OR136" s="12"/>
      <c r="OS136" s="12"/>
      <c r="OT136" s="12"/>
      <c r="OU136" s="12"/>
      <c r="OV136" s="12"/>
      <c r="OW136" s="12"/>
      <c r="OX136" s="12"/>
      <c r="OY136" s="12"/>
      <c r="OZ136" s="12"/>
      <c r="PA136" s="12"/>
      <c r="PB136" s="12"/>
      <c r="PC136" s="12"/>
      <c r="PD136" s="12"/>
      <c r="PE136" s="12"/>
      <c r="PF136" s="12"/>
      <c r="PG136" s="12"/>
      <c r="PH136" s="12"/>
      <c r="PI136" s="12"/>
      <c r="PJ136" s="12"/>
      <c r="PK136" s="12"/>
      <c r="PL136" s="12"/>
      <c r="PM136" s="12"/>
      <c r="PN136" s="12"/>
      <c r="PO136" s="12"/>
      <c r="PP136" s="12"/>
      <c r="PQ136" s="12"/>
      <c r="PR136" s="12"/>
      <c r="PS136" s="12"/>
      <c r="PT136" s="12"/>
      <c r="PU136" s="12"/>
      <c r="PV136" s="12"/>
      <c r="PW136" s="12"/>
      <c r="PX136" s="12"/>
      <c r="PY136" s="12"/>
      <c r="PZ136" s="12"/>
      <c r="QA136" s="12"/>
      <c r="QB136" s="12"/>
      <c r="QC136" s="12"/>
      <c r="QD136" s="12"/>
      <c r="QE136" s="12"/>
      <c r="QF136" s="12"/>
      <c r="QG136" s="12"/>
      <c r="QH136" s="12"/>
      <c r="QI136" s="12"/>
      <c r="QJ136" s="12"/>
      <c r="QK136" s="12"/>
      <c r="QL136" s="12"/>
      <c r="QM136" s="12"/>
      <c r="QN136" s="12"/>
      <c r="QO136" s="12"/>
      <c r="QP136" s="12"/>
      <c r="QQ136" s="12"/>
      <c r="QR136" s="12"/>
      <c r="QS136" s="12"/>
      <c r="QT136" s="12"/>
      <c r="QU136" s="12"/>
      <c r="QV136" s="12"/>
      <c r="QW136" s="12"/>
      <c r="QX136" s="12"/>
      <c r="QY136" s="12"/>
      <c r="QZ136" s="12"/>
      <c r="RA136" s="12"/>
      <c r="RB136" s="12"/>
      <c r="RC136" s="12"/>
      <c r="RD136" s="12"/>
      <c r="RE136" s="12"/>
      <c r="RF136" s="12"/>
      <c r="RG136" s="12"/>
      <c r="RH136" s="12"/>
      <c r="RI136" s="12"/>
      <c r="RJ136" s="12"/>
      <c r="RK136" s="12"/>
      <c r="RL136" s="12"/>
      <c r="RM136" s="12"/>
      <c r="RN136" s="12"/>
      <c r="RO136" s="12"/>
      <c r="RP136" s="12"/>
      <c r="RQ136" s="12"/>
      <c r="RR136" s="12"/>
      <c r="RS136" s="12"/>
      <c r="RT136" s="12"/>
      <c r="RU136" s="12"/>
      <c r="RV136" s="12"/>
      <c r="RW136" s="12"/>
      <c r="RX136" s="12"/>
      <c r="RY136" s="12"/>
      <c r="RZ136" s="12"/>
      <c r="SA136" s="12"/>
      <c r="SB136" s="12"/>
      <c r="SC136" s="12"/>
      <c r="SD136" s="12"/>
      <c r="SE136" s="12"/>
      <c r="SF136" s="12"/>
      <c r="SG136" s="12"/>
      <c r="SH136" s="12"/>
      <c r="SI136" s="12"/>
      <c r="SJ136" s="12"/>
      <c r="SK136" s="12"/>
      <c r="SL136" s="12"/>
      <c r="SM136" s="12"/>
      <c r="SN136" s="12"/>
      <c r="SO136" s="12"/>
      <c r="SP136" s="12"/>
      <c r="SQ136" s="12"/>
      <c r="SR136" s="12"/>
      <c r="SS136" s="12"/>
      <c r="ST136" s="12"/>
      <c r="SU136" s="12"/>
      <c r="SV136" s="12"/>
      <c r="SW136" s="12"/>
      <c r="SX136" s="12"/>
      <c r="SY136" s="12"/>
      <c r="SZ136" s="12"/>
      <c r="TA136" s="12"/>
      <c r="TB136" s="12"/>
      <c r="TC136" s="12"/>
      <c r="TD136" s="12"/>
      <c r="TE136" s="12"/>
      <c r="TF136" s="12"/>
      <c r="TG136" s="12"/>
      <c r="TH136" s="12"/>
      <c r="TI136" s="12"/>
      <c r="TJ136" s="12"/>
      <c r="TK136" s="12"/>
      <c r="TL136" s="12"/>
      <c r="TM136" s="12"/>
      <c r="TN136" s="12"/>
      <c r="TO136" s="12"/>
      <c r="TP136" s="12"/>
      <c r="TQ136" s="12"/>
      <c r="TR136" s="12"/>
      <c r="TS136" s="12"/>
      <c r="TT136" s="12"/>
      <c r="TU136" s="12"/>
      <c r="TV136" s="12"/>
      <c r="TW136" s="12"/>
      <c r="TX136" s="12"/>
      <c r="TY136" s="12"/>
      <c r="TZ136" s="12"/>
      <c r="UA136" s="12"/>
      <c r="UB136" s="12"/>
      <c r="UC136" s="12"/>
      <c r="UD136" s="12"/>
      <c r="UE136" s="12"/>
      <c r="UF136" s="12"/>
      <c r="UG136" s="12"/>
      <c r="UH136" s="12"/>
      <c r="UI136" s="12"/>
      <c r="UJ136" s="12"/>
      <c r="UK136" s="12"/>
      <c r="UL136" s="12"/>
      <c r="UM136" s="12"/>
      <c r="UN136" s="12"/>
      <c r="UO136" s="12"/>
      <c r="UP136" s="12"/>
      <c r="UQ136" s="12"/>
      <c r="UR136" s="12"/>
      <c r="US136" s="12"/>
      <c r="UT136" s="12"/>
      <c r="UU136" s="12"/>
      <c r="UV136" s="12"/>
      <c r="UW136" s="12"/>
      <c r="UX136" s="12"/>
      <c r="UY136" s="12"/>
      <c r="UZ136" s="12"/>
      <c r="VA136" s="12"/>
      <c r="VB136" s="12"/>
      <c r="VC136" s="12"/>
      <c r="VD136" s="12"/>
      <c r="VE136" s="12"/>
      <c r="VF136" s="12"/>
      <c r="VG136" s="12"/>
      <c r="VH136" s="12"/>
      <c r="VI136" s="12"/>
      <c r="VJ136" s="12"/>
      <c r="VK136" s="12"/>
      <c r="VL136" s="12"/>
      <c r="VM136" s="12"/>
      <c r="VN136" s="12"/>
      <c r="VO136" s="12"/>
      <c r="VP136" s="12"/>
      <c r="VQ136" s="12"/>
      <c r="VR136" s="12"/>
      <c r="VS136" s="12"/>
      <c r="VT136" s="12"/>
      <c r="VU136" s="12"/>
      <c r="VV136" s="12"/>
      <c r="VW136" s="12"/>
      <c r="VX136" s="12"/>
      <c r="VY136" s="12"/>
      <c r="VZ136" s="12"/>
      <c r="WA136" s="12"/>
      <c r="WB136" s="12"/>
      <c r="WC136" s="12"/>
      <c r="WD136" s="12"/>
      <c r="WE136" s="12"/>
      <c r="WF136" s="12"/>
      <c r="WG136" s="12"/>
      <c r="WH136" s="12"/>
      <c r="WI136" s="12"/>
      <c r="WJ136" s="12"/>
      <c r="WK136" s="12"/>
      <c r="WL136" s="12"/>
      <c r="WM136" s="12"/>
      <c r="WN136" s="12"/>
      <c r="WO136" s="12"/>
      <c r="WP136" s="12"/>
      <c r="WQ136" s="12"/>
      <c r="WR136" s="12"/>
      <c r="WS136" s="12"/>
      <c r="WT136" s="12"/>
      <c r="WU136" s="12"/>
      <c r="WV136" s="12"/>
      <c r="WW136" s="12"/>
      <c r="WX136" s="12"/>
      <c r="WY136" s="12"/>
      <c r="WZ136" s="12"/>
      <c r="XA136" s="12"/>
      <c r="XB136" s="12"/>
      <c r="XC136" s="12"/>
      <c r="XD136" s="12"/>
      <c r="XE136" s="12"/>
      <c r="XF136" s="12"/>
      <c r="XG136" s="12"/>
      <c r="XH136" s="12"/>
      <c r="XI136" s="12"/>
      <c r="XJ136" s="12"/>
      <c r="XK136" s="12"/>
      <c r="XL136" s="12"/>
      <c r="XM136" s="12"/>
      <c r="XN136" s="12"/>
      <c r="XO136" s="12"/>
      <c r="XP136" s="12"/>
      <c r="XQ136" s="12"/>
      <c r="XR136" s="12"/>
      <c r="XS136" s="12"/>
      <c r="XT136" s="12"/>
      <c r="XU136" s="12"/>
      <c r="XV136" s="12"/>
      <c r="XW136" s="12"/>
      <c r="XX136" s="12"/>
      <c r="XY136" s="12"/>
      <c r="XZ136" s="12"/>
      <c r="YA136" s="12"/>
      <c r="YB136" s="12"/>
      <c r="YC136" s="12"/>
      <c r="YD136" s="12"/>
      <c r="YE136" s="12"/>
      <c r="YF136" s="12"/>
      <c r="YG136" s="12"/>
      <c r="YH136" s="12"/>
      <c r="YI136" s="12"/>
      <c r="YJ136" s="12"/>
      <c r="YK136" s="12"/>
      <c r="YL136" s="12"/>
      <c r="YM136" s="12"/>
      <c r="YN136" s="12"/>
      <c r="YO136" s="12"/>
      <c r="YP136" s="12"/>
      <c r="YQ136" s="12"/>
      <c r="YR136" s="12"/>
      <c r="YS136" s="12"/>
      <c r="YT136" s="12"/>
      <c r="YU136" s="12"/>
      <c r="YV136" s="12"/>
      <c r="YW136" s="12"/>
      <c r="YX136" s="12"/>
      <c r="YY136" s="12"/>
      <c r="YZ136" s="12"/>
      <c r="ZA136" s="12"/>
      <c r="ZB136" s="12"/>
      <c r="ZC136" s="12"/>
      <c r="ZD136" s="12"/>
      <c r="ZE136" s="12"/>
      <c r="ZF136" s="12"/>
      <c r="ZG136" s="12"/>
      <c r="ZH136" s="12"/>
      <c r="ZI136" s="12"/>
      <c r="ZJ136" s="12"/>
      <c r="ZK136" s="12"/>
      <c r="ZL136" s="12"/>
      <c r="ZM136" s="12"/>
      <c r="ZN136" s="12"/>
      <c r="ZO136" s="12"/>
      <c r="ZP136" s="12"/>
      <c r="ZQ136" s="12"/>
      <c r="ZR136" s="12"/>
      <c r="ZS136" s="12"/>
      <c r="ZT136" s="12"/>
      <c r="ZU136" s="12"/>
      <c r="ZV136" s="12"/>
      <c r="ZW136" s="12"/>
      <c r="ZX136" s="12"/>
      <c r="ZY136" s="12"/>
      <c r="ZZ136" s="12"/>
      <c r="AAA136" s="12"/>
      <c r="AAB136" s="12"/>
      <c r="AAC136" s="12"/>
      <c r="AAD136" s="12"/>
      <c r="AAE136" s="12"/>
      <c r="AAF136" s="12"/>
      <c r="AAG136" s="12"/>
      <c r="AAH136" s="12"/>
      <c r="AAI136" s="12"/>
      <c r="AAJ136" s="12"/>
      <c r="AAK136" s="12"/>
      <c r="AAL136" s="12"/>
      <c r="AAM136" s="12"/>
      <c r="AAN136" s="12"/>
      <c r="AAO136" s="12"/>
      <c r="AAP136" s="12"/>
      <c r="AAQ136" s="12"/>
      <c r="AAR136" s="12"/>
      <c r="AAS136" s="12"/>
      <c r="AAT136" s="12"/>
      <c r="AAU136" s="12"/>
      <c r="AAV136" s="12"/>
      <c r="AAW136" s="12"/>
      <c r="AAX136" s="12"/>
      <c r="AAY136" s="12"/>
      <c r="AAZ136" s="12"/>
      <c r="ABA136" s="12"/>
      <c r="ABB136" s="12"/>
      <c r="ABC136" s="12"/>
      <c r="ABD136" s="12"/>
      <c r="ABE136" s="12"/>
      <c r="ABF136" s="12"/>
      <c r="ABG136" s="12"/>
      <c r="ABH136" s="12"/>
      <c r="ABI136" s="12"/>
      <c r="ABJ136" s="12"/>
      <c r="ABK136" s="12"/>
      <c r="ABL136" s="12"/>
      <c r="ABM136" s="12"/>
      <c r="ABN136" s="12"/>
      <c r="ABO136" s="12"/>
      <c r="ABP136" s="12"/>
      <c r="ABQ136" s="12"/>
      <c r="ABR136" s="12"/>
      <c r="ABS136" s="12"/>
      <c r="ABT136" s="12"/>
      <c r="ABU136" s="12"/>
      <c r="ABV136" s="12"/>
      <c r="ABW136" s="12"/>
      <c r="ABX136" s="12"/>
      <c r="ABY136" s="12"/>
      <c r="ABZ136" s="12"/>
      <c r="ACA136" s="12"/>
      <c r="ACB136" s="12"/>
      <c r="ACC136" s="12"/>
      <c r="ACD136" s="12"/>
      <c r="ACE136" s="12"/>
      <c r="ACF136" s="12"/>
      <c r="ACG136" s="12"/>
      <c r="ACH136" s="12"/>
      <c r="ACI136" s="12"/>
      <c r="ACJ136" s="12"/>
      <c r="ACK136" s="12"/>
      <c r="ACL136" s="12"/>
      <c r="ACM136" s="12"/>
      <c r="ACN136" s="12"/>
      <c r="ACO136" s="12"/>
      <c r="ACP136" s="12"/>
      <c r="ACQ136" s="12"/>
      <c r="ACR136" s="12"/>
      <c r="ACS136" s="12"/>
      <c r="ACT136" s="12"/>
      <c r="ACU136" s="12"/>
      <c r="ACV136" s="12"/>
      <c r="ACW136" s="12"/>
      <c r="ACX136" s="12"/>
      <c r="ACY136" s="12"/>
      <c r="ACZ136" s="12"/>
      <c r="ADA136" s="12"/>
      <c r="ADB136" s="12"/>
      <c r="ADC136" s="12"/>
      <c r="ADD136" s="12"/>
      <c r="ADE136" s="12"/>
      <c r="ADF136" s="12"/>
      <c r="ADG136" s="12"/>
      <c r="ADH136" s="12"/>
      <c r="ADI136" s="12"/>
      <c r="ADJ136" s="12"/>
      <c r="ADK136" s="12"/>
      <c r="ADL136" s="12"/>
      <c r="ADM136" s="12"/>
      <c r="ADN136" s="12"/>
      <c r="ADO136" s="12"/>
      <c r="ADP136" s="12"/>
      <c r="ADQ136" s="12"/>
      <c r="ADR136" s="12"/>
      <c r="ADS136" s="12"/>
      <c r="ADT136" s="12"/>
      <c r="ADU136" s="12"/>
      <c r="ADV136" s="12"/>
      <c r="ADW136" s="12"/>
      <c r="ADX136" s="12"/>
      <c r="ADY136" s="12"/>
      <c r="ADZ136" s="12"/>
      <c r="AEA136" s="12"/>
      <c r="AEB136" s="12"/>
      <c r="AEC136" s="12"/>
      <c r="AED136" s="12"/>
      <c r="AEE136" s="12"/>
      <c r="AEF136" s="12"/>
      <c r="AEG136" s="12"/>
      <c r="AEH136" s="12"/>
      <c r="AEI136" s="12"/>
      <c r="AEJ136" s="12"/>
      <c r="AEK136" s="12"/>
      <c r="AEL136" s="12"/>
      <c r="AEM136" s="12"/>
      <c r="AEN136" s="12"/>
      <c r="AEO136" s="12"/>
      <c r="AEP136" s="12"/>
      <c r="AEQ136" s="12"/>
      <c r="AER136" s="12"/>
      <c r="AES136" s="12"/>
      <c r="AET136" s="12"/>
      <c r="AEU136" s="12"/>
      <c r="AEV136" s="12"/>
      <c r="AEW136" s="12"/>
      <c r="AEX136" s="12"/>
      <c r="AEY136" s="12"/>
      <c r="AEZ136" s="12"/>
      <c r="AFA136" s="12"/>
      <c r="AFB136" s="12"/>
      <c r="AFC136" s="12"/>
      <c r="AFD136" s="12"/>
      <c r="AFE136" s="12"/>
      <c r="AFF136" s="12"/>
      <c r="AFG136" s="12"/>
      <c r="AFH136" s="12"/>
      <c r="AFI136" s="12"/>
      <c r="AFJ136" s="12"/>
      <c r="AFK136" s="12"/>
      <c r="AFL136" s="12"/>
      <c r="AFM136" s="12"/>
      <c r="AFN136" s="12"/>
      <c r="AFO136" s="12"/>
      <c r="AFP136" s="12"/>
      <c r="AFQ136" s="12"/>
      <c r="AFR136" s="12"/>
      <c r="AFS136" s="12"/>
      <c r="AFT136" s="12"/>
      <c r="AFU136" s="12"/>
      <c r="AFV136" s="12"/>
      <c r="AFW136" s="12"/>
      <c r="AFX136" s="12"/>
      <c r="AFY136" s="12"/>
      <c r="AFZ136" s="12"/>
      <c r="AGA136" s="12"/>
      <c r="AGB136" s="12"/>
      <c r="AGC136" s="12"/>
      <c r="AGD136" s="12"/>
      <c r="AGE136" s="12"/>
      <c r="AGF136" s="12"/>
      <c r="AGG136" s="12"/>
      <c r="AGH136" s="12"/>
      <c r="AGI136" s="12"/>
      <c r="AGJ136" s="12"/>
      <c r="AGK136" s="12"/>
      <c r="AGL136" s="12"/>
      <c r="AGM136" s="12"/>
      <c r="AGN136" s="12"/>
      <c r="AGO136" s="12"/>
      <c r="AGP136" s="12"/>
      <c r="AGQ136" s="12"/>
      <c r="AGR136" s="12"/>
      <c r="AGS136" s="12"/>
      <c r="AGT136" s="12"/>
      <c r="AGU136" s="12"/>
      <c r="AGV136" s="12"/>
      <c r="AGW136" s="12"/>
      <c r="AGX136" s="12"/>
      <c r="AGY136" s="12"/>
      <c r="AGZ136" s="12"/>
      <c r="AHA136" s="12"/>
      <c r="AHB136" s="12"/>
      <c r="AHC136" s="12"/>
      <c r="AHD136" s="12"/>
      <c r="AHE136" s="12"/>
      <c r="AHF136" s="12"/>
      <c r="AHG136" s="12"/>
      <c r="AHH136" s="12"/>
      <c r="AHI136" s="12"/>
      <c r="AHJ136" s="12"/>
      <c r="AHK136" s="12"/>
      <c r="AHL136" s="12"/>
      <c r="AHM136" s="12"/>
      <c r="AHN136" s="12"/>
      <c r="AHO136" s="12"/>
      <c r="AHP136" s="12"/>
      <c r="AHQ136" s="12"/>
      <c r="AHR136" s="12"/>
      <c r="AHS136" s="12"/>
      <c r="AHT136" s="12"/>
      <c r="AHU136" s="12"/>
      <c r="AHV136" s="12"/>
      <c r="AHW136" s="12"/>
      <c r="AHX136" s="12"/>
      <c r="AHY136" s="12"/>
      <c r="AHZ136" s="12"/>
      <c r="AIA136" s="12"/>
      <c r="AIB136" s="12"/>
      <c r="AIC136" s="12"/>
      <c r="AID136" s="12"/>
      <c r="AIE136" s="12"/>
      <c r="AIF136" s="12"/>
      <c r="AIG136" s="12"/>
      <c r="AIH136" s="12"/>
      <c r="AII136" s="12"/>
      <c r="AIJ136" s="12"/>
      <c r="AIK136" s="12"/>
      <c r="AIL136" s="12"/>
      <c r="AIM136" s="12"/>
      <c r="AIN136" s="12"/>
      <c r="AIO136" s="12"/>
      <c r="AIP136" s="12"/>
      <c r="AIQ136" s="12"/>
      <c r="AIR136" s="12"/>
      <c r="AIS136" s="12"/>
      <c r="AIT136" s="12"/>
      <c r="AIU136" s="12"/>
      <c r="AIV136" s="12"/>
      <c r="AIW136" s="12"/>
      <c r="AIX136" s="12"/>
      <c r="AIY136" s="12"/>
      <c r="AIZ136" s="12"/>
      <c r="AJA136" s="12"/>
      <c r="AJB136" s="12"/>
      <c r="AJC136" s="12"/>
      <c r="AJD136" s="12"/>
      <c r="AJE136" s="12"/>
      <c r="AJF136" s="12"/>
      <c r="AJG136" s="12"/>
      <c r="AJH136" s="12"/>
      <c r="AJI136" s="12"/>
      <c r="AJJ136" s="12"/>
      <c r="AJK136" s="12"/>
      <c r="AJL136" s="12"/>
      <c r="AJM136" s="12"/>
      <c r="AJN136" s="12"/>
      <c r="AJO136" s="12"/>
      <c r="AJP136" s="12"/>
      <c r="AJQ136" s="12"/>
      <c r="AJR136" s="12"/>
      <c r="AJS136" s="12"/>
      <c r="AJT136" s="12"/>
      <c r="AJU136" s="12"/>
      <c r="AJV136" s="12"/>
      <c r="AJW136" s="12"/>
      <c r="AJX136" s="12"/>
      <c r="AJY136" s="12"/>
      <c r="AJZ136" s="12"/>
      <c r="AKA136" s="12"/>
      <c r="AKB136" s="12"/>
      <c r="AKC136" s="12"/>
      <c r="AKD136" s="12"/>
      <c r="AKE136" s="12"/>
      <c r="AKF136" s="12"/>
      <c r="AKG136" s="12"/>
      <c r="AKH136" s="12"/>
      <c r="AKI136" s="12"/>
      <c r="AKJ136" s="12"/>
      <c r="AKK136" s="12"/>
      <c r="AKL136" s="12"/>
      <c r="AKM136" s="12"/>
      <c r="AKN136" s="12"/>
      <c r="AKO136" s="12"/>
      <c r="AKP136" s="12"/>
      <c r="AKQ136" s="12"/>
      <c r="AKR136" s="12"/>
      <c r="AKS136" s="12"/>
      <c r="AKT136" s="12"/>
      <c r="AKU136" s="12"/>
      <c r="AKV136" s="12"/>
      <c r="AKW136" s="12"/>
      <c r="AKX136" s="12"/>
      <c r="AKY136" s="12"/>
      <c r="AKZ136" s="12"/>
      <c r="ALA136" s="12"/>
      <c r="ALB136" s="12"/>
      <c r="ALC136" s="12"/>
      <c r="ALD136" s="12"/>
      <c r="ALE136" s="12"/>
      <c r="ALF136" s="12"/>
      <c r="ALG136" s="12"/>
      <c r="ALH136" s="12"/>
      <c r="ALI136" s="12"/>
      <c r="ALJ136" s="12"/>
      <c r="ALK136" s="12"/>
      <c r="ALL136" s="12"/>
      <c r="ALM136" s="12"/>
      <c r="ALN136" s="12"/>
      <c r="ALO136" s="12"/>
      <c r="ALP136" s="12"/>
      <c r="ALQ136" s="12"/>
      <c r="ALR136" s="12"/>
      <c r="ALS136" s="12"/>
      <c r="ALT136" s="12"/>
      <c r="ALU136" s="12"/>
      <c r="ALV136" s="12"/>
      <c r="ALW136" s="12"/>
      <c r="ALX136" s="12"/>
      <c r="ALY136" s="12"/>
      <c r="ALZ136" s="12"/>
      <c r="AMA136" s="12"/>
      <c r="AMB136" s="12"/>
      <c r="AMC136" s="12"/>
      <c r="AMD136" s="12"/>
      <c r="AME136" s="12"/>
      <c r="AMF136" s="12"/>
      <c r="AMG136" s="12"/>
      <c r="AMH136" s="12"/>
      <c r="AMI136" s="12"/>
      <c r="AMJ136" s="12"/>
      <c r="AMK136" s="12"/>
      <c r="AML136" s="12"/>
      <c r="AMM136" s="12"/>
      <c r="AMN136" s="12"/>
      <c r="AMO136" s="12"/>
      <c r="AMP136" s="12"/>
      <c r="AMQ136" s="12"/>
      <c r="AMR136" s="12"/>
      <c r="AMS136" s="12"/>
      <c r="AMT136" s="12"/>
      <c r="AMU136" s="12"/>
      <c r="AMV136" s="12"/>
      <c r="AMW136" s="12"/>
      <c r="AMX136" s="12"/>
      <c r="AMY136" s="12"/>
      <c r="AMZ136" s="12"/>
      <c r="ANA136" s="12"/>
      <c r="ANB136" s="12"/>
      <c r="ANC136" s="12"/>
      <c r="AND136" s="12"/>
      <c r="ANE136" s="12"/>
      <c r="ANF136" s="12"/>
      <c r="ANG136" s="12"/>
      <c r="ANH136" s="12"/>
      <c r="ANI136" s="12"/>
      <c r="ANJ136" s="12"/>
      <c r="ANK136" s="12"/>
      <c r="ANL136" s="12"/>
      <c r="ANM136" s="12"/>
      <c r="ANN136" s="12"/>
      <c r="ANO136" s="12"/>
      <c r="ANP136" s="12"/>
      <c r="ANQ136" s="12"/>
      <c r="ANR136" s="12"/>
      <c r="ANS136" s="12"/>
      <c r="ANT136" s="12"/>
      <c r="ANU136" s="12"/>
      <c r="ANV136" s="12"/>
      <c r="ANW136" s="12"/>
      <c r="ANX136" s="12"/>
      <c r="ANY136" s="12"/>
      <c r="ANZ136" s="12"/>
      <c r="AOA136" s="12"/>
      <c r="AOB136" s="12"/>
      <c r="AOC136" s="12"/>
      <c r="AOD136" s="12"/>
      <c r="AOE136" s="12"/>
      <c r="AOF136" s="12"/>
      <c r="AOG136" s="12"/>
      <c r="AOH136" s="12"/>
      <c r="AOI136" s="12"/>
      <c r="AOJ136" s="12"/>
      <c r="AOK136" s="12"/>
      <c r="AOL136" s="12"/>
      <c r="AOM136" s="12"/>
      <c r="AON136" s="12"/>
      <c r="AOO136" s="12"/>
      <c r="AOP136" s="12"/>
      <c r="AOQ136" s="12"/>
      <c r="AOR136" s="12"/>
      <c r="AOS136" s="12"/>
      <c r="AOT136" s="12"/>
      <c r="AOU136" s="12"/>
      <c r="AOV136" s="12"/>
      <c r="AOW136" s="12"/>
      <c r="AOX136" s="12"/>
      <c r="AOY136" s="12"/>
      <c r="AOZ136" s="12"/>
      <c r="APA136" s="12"/>
      <c r="APB136" s="12"/>
      <c r="APC136" s="12"/>
      <c r="APD136" s="12"/>
      <c r="APE136" s="12"/>
      <c r="APF136" s="12"/>
      <c r="APG136" s="12"/>
      <c r="APH136" s="12"/>
      <c r="API136" s="12"/>
      <c r="APJ136" s="12"/>
      <c r="APK136" s="12"/>
      <c r="APL136" s="12"/>
      <c r="APM136" s="12"/>
      <c r="APN136" s="12"/>
      <c r="APO136" s="12"/>
      <c r="APP136" s="12"/>
      <c r="APQ136" s="12"/>
      <c r="APR136" s="12"/>
      <c r="APS136" s="12"/>
      <c r="APT136" s="12"/>
      <c r="APU136" s="12"/>
      <c r="APV136" s="12"/>
      <c r="APW136" s="12"/>
      <c r="APX136" s="12"/>
      <c r="APY136" s="12"/>
      <c r="APZ136" s="12"/>
      <c r="AQA136" s="12"/>
      <c r="AQB136" s="12"/>
      <c r="AQC136" s="12"/>
      <c r="AQD136" s="12"/>
      <c r="AQE136" s="12"/>
      <c r="AQF136" s="12"/>
      <c r="AQG136" s="12"/>
      <c r="AQH136" s="12"/>
      <c r="AQI136" s="12"/>
      <c r="AQJ136" s="12"/>
      <c r="AQK136" s="12"/>
      <c r="AQL136" s="12"/>
      <c r="AQM136" s="12"/>
      <c r="AQN136" s="12"/>
      <c r="AQO136" s="12"/>
      <c r="AQP136" s="12"/>
      <c r="AQQ136" s="12"/>
      <c r="AQR136" s="12"/>
      <c r="AQS136" s="12"/>
      <c r="AQT136" s="12"/>
      <c r="AQU136" s="12"/>
      <c r="AQV136" s="12"/>
      <c r="AQW136" s="12"/>
      <c r="AQX136" s="12"/>
      <c r="AQY136" s="12"/>
      <c r="AQZ136" s="12"/>
      <c r="ARA136" s="12"/>
      <c r="ARB136" s="12"/>
      <c r="ARC136" s="12"/>
      <c r="ARD136" s="12"/>
      <c r="ARE136" s="12"/>
      <c r="ARF136" s="12"/>
      <c r="ARG136" s="12"/>
      <c r="ARH136" s="12"/>
      <c r="ARI136" s="12"/>
      <c r="ARJ136" s="12"/>
      <c r="ARK136" s="12"/>
      <c r="ARL136" s="12"/>
      <c r="ARM136" s="12"/>
      <c r="ARN136" s="12"/>
      <c r="ARO136" s="12"/>
      <c r="ARP136" s="12"/>
      <c r="ARQ136" s="12"/>
      <c r="ARR136" s="12"/>
      <c r="ARS136" s="12"/>
      <c r="ART136" s="12"/>
      <c r="ARU136" s="12"/>
      <c r="ARV136" s="12"/>
      <c r="ARW136" s="12"/>
      <c r="ARX136" s="12"/>
      <c r="ARY136" s="12"/>
      <c r="ARZ136" s="12"/>
      <c r="ASA136" s="12"/>
      <c r="ASB136" s="12"/>
      <c r="ASC136" s="12"/>
      <c r="ASD136" s="12"/>
      <c r="ASE136" s="12"/>
      <c r="ASF136" s="12"/>
      <c r="ASG136" s="12"/>
      <c r="ASH136" s="12"/>
      <c r="ASI136" s="12"/>
      <c r="ASJ136" s="12"/>
      <c r="ASK136" s="12"/>
      <c r="ASL136" s="12"/>
      <c r="ASM136" s="12"/>
      <c r="ASN136" s="12"/>
      <c r="ASO136" s="12"/>
      <c r="ASP136" s="12"/>
      <c r="ASQ136" s="12"/>
      <c r="ASR136" s="12"/>
      <c r="ASS136" s="12"/>
      <c r="AST136" s="12"/>
      <c r="ASU136" s="12"/>
      <c r="ASV136" s="12"/>
      <c r="ASW136" s="12"/>
      <c r="ASX136" s="12"/>
      <c r="ASY136" s="12"/>
      <c r="ASZ136" s="12"/>
      <c r="ATA136" s="12"/>
      <c r="ATB136" s="12"/>
      <c r="ATC136" s="12"/>
      <c r="ATD136" s="12"/>
      <c r="ATE136" s="12"/>
      <c r="ATF136" s="12"/>
      <c r="ATG136" s="12"/>
      <c r="ATH136" s="12"/>
      <c r="ATI136" s="12"/>
      <c r="ATJ136" s="12"/>
      <c r="ATK136" s="12"/>
      <c r="ATL136" s="12"/>
      <c r="ATM136" s="12"/>
      <c r="ATN136" s="12"/>
      <c r="ATO136" s="12"/>
      <c r="ATP136" s="12"/>
      <c r="ATQ136" s="12"/>
      <c r="ATR136" s="12"/>
      <c r="ATS136" s="12"/>
      <c r="ATT136" s="12"/>
      <c r="ATU136" s="12"/>
      <c r="ATV136" s="12"/>
      <c r="ATW136" s="12"/>
      <c r="ATX136" s="12"/>
      <c r="ATY136" s="12"/>
      <c r="ATZ136" s="12"/>
      <c r="AUA136" s="12"/>
      <c r="AUB136" s="12"/>
      <c r="AUC136" s="12"/>
      <c r="AUD136" s="12"/>
      <c r="AUE136" s="12"/>
      <c r="AUF136" s="12"/>
      <c r="AUG136" s="12"/>
      <c r="AUH136" s="12"/>
      <c r="AUI136" s="12"/>
      <c r="AUJ136" s="12"/>
      <c r="AUK136" s="12"/>
      <c r="AUL136" s="12"/>
      <c r="AUM136" s="12"/>
      <c r="AUN136" s="12"/>
      <c r="AUO136" s="12"/>
      <c r="AUP136" s="12"/>
      <c r="AUQ136" s="12"/>
      <c r="AUR136" s="12"/>
      <c r="AUS136" s="12"/>
      <c r="AUT136" s="12"/>
      <c r="AUU136" s="12"/>
      <c r="AUV136" s="12"/>
      <c r="AUW136" s="12"/>
      <c r="AUX136" s="12"/>
      <c r="AUY136" s="12"/>
      <c r="AUZ136" s="12"/>
      <c r="AVA136" s="12"/>
      <c r="AVB136" s="12"/>
      <c r="AVC136" s="12"/>
      <c r="AVD136" s="12"/>
      <c r="AVE136" s="12"/>
      <c r="AVF136" s="12"/>
      <c r="AVG136" s="12"/>
      <c r="AVH136" s="12"/>
      <c r="AVI136" s="12"/>
      <c r="AVJ136" s="12"/>
      <c r="AVK136" s="12"/>
      <c r="AVL136" s="12"/>
      <c r="AVM136" s="12"/>
      <c r="AVN136" s="12"/>
      <c r="AVO136" s="12"/>
      <c r="AVP136" s="12"/>
      <c r="AVQ136" s="12"/>
      <c r="AVR136" s="12"/>
      <c r="AVS136" s="12"/>
      <c r="AVT136" s="12"/>
      <c r="AVU136" s="12"/>
      <c r="AVV136" s="12"/>
      <c r="AVW136" s="12"/>
      <c r="AVX136" s="12"/>
      <c r="AVY136" s="12"/>
      <c r="AVZ136" s="12"/>
      <c r="AWA136" s="12"/>
      <c r="AWB136" s="12"/>
      <c r="AWC136" s="12"/>
      <c r="AWD136" s="12"/>
      <c r="AWE136" s="12"/>
      <c r="AWF136" s="12"/>
      <c r="AWG136" s="12"/>
      <c r="AWH136" s="12"/>
      <c r="AWI136" s="12"/>
      <c r="AWJ136" s="12"/>
      <c r="AWK136" s="12"/>
      <c r="AWL136" s="12"/>
      <c r="AWM136" s="12"/>
      <c r="AWN136" s="12"/>
      <c r="AWO136" s="12"/>
      <c r="AWP136" s="12"/>
      <c r="AWQ136" s="12"/>
      <c r="AWR136" s="12"/>
      <c r="AWS136" s="12"/>
      <c r="AWT136" s="12"/>
      <c r="AWU136" s="12"/>
      <c r="AWV136" s="12"/>
      <c r="AWW136" s="12"/>
      <c r="AWX136" s="12"/>
      <c r="AWY136" s="12"/>
      <c r="AWZ136" s="12"/>
      <c r="AXA136" s="12"/>
      <c r="AXB136" s="12"/>
      <c r="AXC136" s="12"/>
      <c r="AXD136" s="12"/>
      <c r="AXE136" s="12"/>
      <c r="AXF136" s="12"/>
      <c r="AXG136" s="12"/>
      <c r="AXH136" s="12"/>
      <c r="AXI136" s="12"/>
      <c r="AXJ136" s="12"/>
      <c r="AXK136" s="12"/>
      <c r="AXL136" s="12"/>
      <c r="AXM136" s="12"/>
      <c r="AXN136" s="12"/>
      <c r="AXO136" s="12"/>
      <c r="AXP136" s="12"/>
      <c r="AXQ136" s="12"/>
      <c r="AXR136" s="12"/>
      <c r="AXS136" s="12"/>
      <c r="AXT136" s="12"/>
      <c r="AXU136" s="12"/>
      <c r="AXV136" s="12"/>
      <c r="AXW136" s="12"/>
      <c r="AXX136" s="12"/>
      <c r="AXY136" s="12"/>
      <c r="AXZ136" s="12"/>
      <c r="AYA136" s="12"/>
      <c r="AYB136" s="12"/>
      <c r="AYC136" s="12"/>
      <c r="AYD136" s="12"/>
      <c r="AYE136" s="12"/>
      <c r="AYF136" s="12"/>
      <c r="AYG136" s="12"/>
      <c r="AYH136" s="12"/>
      <c r="AYI136" s="12"/>
      <c r="AYJ136" s="12"/>
      <c r="AYK136" s="12"/>
      <c r="AYL136" s="12"/>
      <c r="AYM136" s="12"/>
      <c r="AYN136" s="12"/>
      <c r="AYO136" s="12"/>
      <c r="AYP136" s="12"/>
      <c r="AYQ136" s="12"/>
      <c r="AYR136" s="12"/>
      <c r="AYS136" s="12"/>
      <c r="AYT136" s="12"/>
      <c r="AYU136" s="12"/>
      <c r="AYV136" s="12"/>
      <c r="AYW136" s="12"/>
      <c r="AYX136" s="12"/>
      <c r="AYY136" s="12"/>
      <c r="AYZ136" s="12"/>
      <c r="AZA136" s="12"/>
      <c r="AZB136" s="12"/>
      <c r="AZC136" s="12"/>
      <c r="AZD136" s="12"/>
      <c r="AZE136" s="12"/>
      <c r="AZF136" s="12"/>
      <c r="AZG136" s="12"/>
      <c r="AZH136" s="12"/>
      <c r="AZI136" s="12"/>
      <c r="AZJ136" s="12"/>
      <c r="AZK136" s="12"/>
      <c r="AZL136" s="12"/>
      <c r="AZM136" s="12"/>
      <c r="AZN136" s="12"/>
      <c r="AZO136" s="12"/>
      <c r="AZP136" s="12"/>
      <c r="AZQ136" s="12"/>
      <c r="AZR136" s="12"/>
      <c r="AZS136" s="12"/>
      <c r="AZT136" s="12"/>
      <c r="AZU136" s="12"/>
      <c r="AZV136" s="12"/>
      <c r="AZW136" s="12"/>
      <c r="AZX136" s="12"/>
      <c r="AZY136" s="12"/>
      <c r="AZZ136" s="12"/>
      <c r="BAA136" s="12"/>
      <c r="BAB136" s="12"/>
      <c r="BAC136" s="12"/>
      <c r="BAD136" s="12"/>
      <c r="BAE136" s="12"/>
      <c r="BAF136" s="12"/>
      <c r="BAG136" s="12"/>
      <c r="BAH136" s="12"/>
      <c r="BAI136" s="12"/>
      <c r="BAJ136" s="12"/>
      <c r="BAK136" s="12"/>
      <c r="BAL136" s="12"/>
      <c r="BAM136" s="12"/>
      <c r="BAN136" s="12"/>
      <c r="BAO136" s="12"/>
      <c r="BAP136" s="12"/>
      <c r="BAQ136" s="12"/>
      <c r="BAR136" s="12"/>
      <c r="BAS136" s="12"/>
      <c r="BAT136" s="12"/>
      <c r="BAU136" s="12"/>
      <c r="BAV136" s="12"/>
      <c r="BAW136" s="12"/>
      <c r="BAX136" s="12"/>
      <c r="BAY136" s="12"/>
      <c r="BAZ136" s="12"/>
      <c r="BBA136" s="12"/>
      <c r="BBB136" s="12"/>
      <c r="BBC136" s="12"/>
      <c r="BBD136" s="12"/>
      <c r="BBE136" s="12"/>
      <c r="BBF136" s="12"/>
      <c r="BBG136" s="12"/>
      <c r="BBH136" s="12"/>
      <c r="BBI136" s="12"/>
      <c r="BBJ136" s="12"/>
      <c r="BBK136" s="12"/>
      <c r="BBL136" s="12"/>
      <c r="BBM136" s="12"/>
      <c r="BBN136" s="12"/>
      <c r="BBO136" s="12"/>
      <c r="BBP136" s="12"/>
      <c r="BBQ136" s="12"/>
      <c r="BBR136" s="12"/>
      <c r="BBS136" s="12"/>
      <c r="BBT136" s="12"/>
      <c r="BBU136" s="12"/>
      <c r="BBV136" s="12"/>
      <c r="BBW136" s="12"/>
      <c r="BBX136" s="12"/>
      <c r="BBY136" s="12"/>
      <c r="BBZ136" s="12"/>
      <c r="BCA136" s="12"/>
      <c r="BCB136" s="12"/>
      <c r="BCC136" s="12"/>
      <c r="BCD136" s="12"/>
      <c r="BCE136" s="12"/>
      <c r="BCF136" s="12"/>
      <c r="BCG136" s="12"/>
      <c r="BCH136" s="12"/>
      <c r="BCI136" s="12"/>
      <c r="BCJ136" s="12"/>
      <c r="BCK136" s="12"/>
      <c r="BCL136" s="12"/>
      <c r="BCM136" s="12"/>
      <c r="BCN136" s="12"/>
      <c r="BCO136" s="12"/>
      <c r="BCP136" s="12"/>
      <c r="BCQ136" s="12"/>
      <c r="BCR136" s="12"/>
      <c r="BCS136" s="12"/>
      <c r="BCT136" s="12"/>
      <c r="BCU136" s="12"/>
      <c r="BCV136" s="12"/>
      <c r="BCW136" s="12"/>
      <c r="BCX136" s="12"/>
      <c r="BCY136" s="12"/>
      <c r="BCZ136" s="12"/>
      <c r="BDA136" s="12"/>
      <c r="BDB136" s="12"/>
      <c r="BDC136" s="12"/>
      <c r="BDD136" s="12"/>
      <c r="BDE136" s="12"/>
      <c r="BDF136" s="12"/>
      <c r="BDG136" s="12"/>
      <c r="BDH136" s="12"/>
      <c r="BDI136" s="12"/>
      <c r="BDJ136" s="12"/>
      <c r="BDK136" s="12"/>
      <c r="BDL136" s="12"/>
      <c r="BDM136" s="12"/>
      <c r="BDN136" s="12"/>
      <c r="BDO136" s="12"/>
      <c r="BDP136" s="12"/>
      <c r="BDQ136" s="12"/>
      <c r="BDR136" s="12"/>
      <c r="BDS136" s="12"/>
      <c r="BDT136" s="12"/>
      <c r="BDU136" s="12"/>
      <c r="BDV136" s="12"/>
      <c r="BDW136" s="12"/>
      <c r="BDX136" s="12"/>
      <c r="BDY136" s="12"/>
      <c r="BDZ136" s="12"/>
      <c r="BEA136" s="12"/>
      <c r="BEB136" s="12"/>
      <c r="BEC136" s="12"/>
      <c r="BED136" s="12"/>
      <c r="BEE136" s="12"/>
      <c r="BEF136" s="12"/>
      <c r="BEG136" s="12"/>
      <c r="BEH136" s="12"/>
      <c r="BEI136" s="12"/>
      <c r="BEJ136" s="12"/>
      <c r="BEK136" s="12"/>
      <c r="BEL136" s="12"/>
      <c r="BEM136" s="12"/>
      <c r="BEN136" s="12"/>
      <c r="BEO136" s="12"/>
      <c r="BEP136" s="12"/>
      <c r="BEQ136" s="12"/>
      <c r="BER136" s="12"/>
      <c r="BES136" s="12"/>
      <c r="BET136" s="12"/>
      <c r="BEU136" s="12"/>
      <c r="BEV136" s="12"/>
      <c r="BEW136" s="12"/>
      <c r="BEX136" s="12"/>
      <c r="BEY136" s="12"/>
      <c r="BEZ136" s="12"/>
      <c r="BFA136" s="12"/>
      <c r="BFB136" s="12"/>
      <c r="BFC136" s="12"/>
      <c r="BFD136" s="12"/>
      <c r="BFE136" s="12"/>
      <c r="BFF136" s="12"/>
      <c r="BFG136" s="12"/>
      <c r="BFH136" s="12"/>
      <c r="BFI136" s="12"/>
      <c r="BFJ136" s="12"/>
      <c r="BFK136" s="12"/>
      <c r="BFL136" s="12"/>
      <c r="BFM136" s="12"/>
      <c r="BFN136" s="12"/>
      <c r="BFO136" s="12"/>
      <c r="BFP136" s="12"/>
      <c r="BFQ136" s="12"/>
      <c r="BFR136" s="12"/>
      <c r="BFS136" s="12"/>
      <c r="BFT136" s="12"/>
      <c r="BFU136" s="12"/>
      <c r="BFV136" s="12"/>
      <c r="BFW136" s="12"/>
      <c r="BFX136" s="12"/>
      <c r="BFY136" s="12"/>
      <c r="BFZ136" s="12"/>
      <c r="BGA136" s="12"/>
      <c r="BGB136" s="12"/>
      <c r="BGC136" s="12"/>
      <c r="BGD136" s="12"/>
      <c r="BGE136" s="12"/>
      <c r="BGF136" s="12"/>
      <c r="BGG136" s="12"/>
      <c r="BGH136" s="12"/>
      <c r="BGI136" s="12"/>
      <c r="BGJ136" s="12"/>
      <c r="BGK136" s="12"/>
      <c r="BGL136" s="12"/>
      <c r="BGM136" s="12"/>
      <c r="BGN136" s="12"/>
      <c r="BGO136" s="12"/>
      <c r="BGP136" s="12"/>
      <c r="BGQ136" s="12"/>
      <c r="BGR136" s="12"/>
      <c r="BGS136" s="12"/>
      <c r="BGT136" s="12"/>
      <c r="BGU136" s="12"/>
      <c r="BGV136" s="12"/>
      <c r="BGW136" s="12"/>
      <c r="BGX136" s="12"/>
      <c r="BGY136" s="12"/>
      <c r="BGZ136" s="12"/>
      <c r="BHA136" s="12"/>
      <c r="BHB136" s="12"/>
      <c r="BHC136" s="12"/>
      <c r="BHD136" s="12"/>
      <c r="BHE136" s="12"/>
      <c r="BHF136" s="12"/>
      <c r="BHG136" s="12"/>
      <c r="BHH136" s="12"/>
      <c r="BHI136" s="12"/>
      <c r="BHJ136" s="12"/>
      <c r="BHK136" s="12"/>
      <c r="BHL136" s="12"/>
      <c r="BHM136" s="12"/>
      <c r="BHN136" s="12"/>
      <c r="BHO136" s="12"/>
      <c r="BHP136" s="12"/>
      <c r="BHQ136" s="12"/>
      <c r="BHR136" s="12"/>
      <c r="BHS136" s="12"/>
      <c r="BHT136" s="12"/>
      <c r="BHU136" s="12"/>
      <c r="BHV136" s="12"/>
      <c r="BHW136" s="12"/>
      <c r="BHX136" s="12"/>
      <c r="BHY136" s="12"/>
      <c r="BHZ136" s="12"/>
      <c r="BIA136" s="12"/>
      <c r="BIB136" s="12"/>
      <c r="BIC136" s="12"/>
      <c r="BID136" s="12"/>
      <c r="BIE136" s="12"/>
      <c r="BIF136" s="12"/>
      <c r="BIG136" s="12"/>
      <c r="BIH136" s="12"/>
      <c r="BII136" s="12"/>
      <c r="BIJ136" s="12"/>
      <c r="BIK136" s="12"/>
      <c r="BIL136" s="12"/>
      <c r="BIM136" s="12"/>
      <c r="BIN136" s="12"/>
      <c r="BIO136" s="12"/>
      <c r="BIP136" s="12"/>
      <c r="BIQ136" s="12"/>
      <c r="BIR136" s="12"/>
      <c r="BIS136" s="12"/>
      <c r="BIT136" s="12"/>
      <c r="BIU136" s="12"/>
      <c r="BIV136" s="12"/>
      <c r="BIW136" s="12"/>
      <c r="BIX136" s="12"/>
      <c r="BIY136" s="12"/>
      <c r="BIZ136" s="12"/>
      <c r="BJA136" s="12"/>
      <c r="BJB136" s="12"/>
      <c r="BJC136" s="12"/>
      <c r="BJD136" s="12"/>
      <c r="BJE136" s="12"/>
      <c r="BJF136" s="12"/>
      <c r="BJG136" s="12"/>
      <c r="BJH136" s="12"/>
      <c r="BJI136" s="12"/>
      <c r="BJJ136" s="12"/>
      <c r="BJK136" s="12"/>
      <c r="BJL136" s="12"/>
      <c r="BJM136" s="12"/>
      <c r="BJN136" s="12"/>
      <c r="BJO136" s="12"/>
      <c r="BJP136" s="12"/>
      <c r="BJQ136" s="12"/>
      <c r="BJR136" s="12"/>
      <c r="BJS136" s="12"/>
      <c r="BJT136" s="12"/>
      <c r="BJU136" s="12"/>
      <c r="BJV136" s="12"/>
      <c r="BJW136" s="12"/>
      <c r="BJX136" s="12"/>
      <c r="BJY136" s="12"/>
      <c r="BJZ136" s="12"/>
      <c r="BKA136" s="12"/>
      <c r="BKB136" s="12"/>
      <c r="BKC136" s="12"/>
      <c r="BKD136" s="12"/>
      <c r="BKE136" s="12"/>
      <c r="BKF136" s="12"/>
      <c r="BKG136" s="12"/>
      <c r="BKH136" s="12"/>
      <c r="BKI136" s="12"/>
      <c r="BKJ136" s="12"/>
      <c r="BKK136" s="12"/>
      <c r="BKL136" s="12"/>
      <c r="BKM136" s="12"/>
      <c r="BKN136" s="12"/>
      <c r="BKO136" s="12"/>
      <c r="BKP136" s="12"/>
      <c r="BKQ136" s="12"/>
      <c r="BKR136" s="12"/>
      <c r="BKS136" s="12"/>
      <c r="BKT136" s="12"/>
      <c r="BKU136" s="12"/>
      <c r="BKV136" s="12"/>
      <c r="BKW136" s="12"/>
      <c r="BKX136" s="12"/>
      <c r="BKY136" s="12"/>
      <c r="BKZ136" s="12"/>
      <c r="BLA136" s="12"/>
      <c r="BLB136" s="12"/>
      <c r="BLC136" s="12"/>
      <c r="BLD136" s="12"/>
      <c r="BLE136" s="12"/>
      <c r="BLF136" s="12"/>
      <c r="BLG136" s="12"/>
      <c r="BLH136" s="12"/>
      <c r="BLI136" s="12"/>
      <c r="BLJ136" s="12"/>
      <c r="BLK136" s="12"/>
      <c r="BLL136" s="12"/>
      <c r="BLM136" s="12"/>
      <c r="BLN136" s="12"/>
      <c r="BLO136" s="12"/>
      <c r="BLP136" s="12"/>
      <c r="BLQ136" s="12"/>
      <c r="BLR136" s="12"/>
      <c r="BLS136" s="12"/>
      <c r="BLT136" s="12"/>
      <c r="BLU136" s="12"/>
      <c r="BLV136" s="12"/>
      <c r="BLW136" s="12"/>
      <c r="BLX136" s="12"/>
      <c r="BLY136" s="12"/>
      <c r="BLZ136" s="12"/>
      <c r="BMA136" s="12"/>
      <c r="BMB136" s="12"/>
      <c r="BMC136" s="12"/>
      <c r="BMD136" s="12"/>
      <c r="BME136" s="12"/>
      <c r="BMF136" s="12"/>
      <c r="BMG136" s="12"/>
      <c r="BMH136" s="12"/>
      <c r="BMI136" s="12"/>
      <c r="BMJ136" s="12"/>
      <c r="BMK136" s="12"/>
      <c r="BML136" s="12"/>
      <c r="BMM136" s="12"/>
      <c r="BMN136" s="12"/>
      <c r="BMO136" s="12"/>
      <c r="BMP136" s="12"/>
      <c r="BMQ136" s="12"/>
      <c r="BMR136" s="12"/>
      <c r="BMS136" s="12"/>
      <c r="BMT136" s="12"/>
      <c r="BMU136" s="12"/>
      <c r="BMV136" s="12"/>
      <c r="BMW136" s="12"/>
      <c r="BMX136" s="12"/>
      <c r="BMY136" s="12"/>
      <c r="BMZ136" s="12"/>
      <c r="BNA136" s="12"/>
      <c r="BNB136" s="12"/>
      <c r="BNC136" s="12"/>
      <c r="BND136" s="12"/>
      <c r="BNE136" s="12"/>
      <c r="BNF136" s="12"/>
      <c r="BNG136" s="12"/>
      <c r="BNH136" s="12"/>
      <c r="BNI136" s="12"/>
      <c r="BNJ136" s="12"/>
      <c r="BNK136" s="12"/>
      <c r="BNL136" s="12"/>
      <c r="BNM136" s="12"/>
      <c r="BNN136" s="12"/>
      <c r="BNO136" s="12"/>
      <c r="BNP136" s="12"/>
      <c r="BNQ136" s="12"/>
      <c r="BNR136" s="12"/>
      <c r="BNS136" s="12"/>
      <c r="BNT136" s="12"/>
      <c r="BNU136" s="12"/>
      <c r="BNV136" s="12"/>
      <c r="BNW136" s="12"/>
      <c r="BNX136" s="12"/>
      <c r="BNY136" s="12"/>
      <c r="BNZ136" s="12"/>
      <c r="BOA136" s="12"/>
      <c r="BOB136" s="12"/>
      <c r="BOC136" s="12"/>
      <c r="BOD136" s="12"/>
      <c r="BOE136" s="12"/>
      <c r="BOF136" s="12"/>
      <c r="BOG136" s="12"/>
      <c r="BOH136" s="12"/>
      <c r="BOI136" s="12"/>
      <c r="BOJ136" s="12"/>
      <c r="BOK136" s="12"/>
      <c r="BOL136" s="12"/>
      <c r="BOM136" s="12"/>
      <c r="BON136" s="12"/>
      <c r="BOO136" s="12"/>
      <c r="BOP136" s="12"/>
      <c r="BOQ136" s="12"/>
      <c r="BOR136" s="12"/>
      <c r="BOS136" s="12"/>
      <c r="BOT136" s="12"/>
      <c r="BOU136" s="12"/>
      <c r="BOV136" s="12"/>
      <c r="BOW136" s="12"/>
      <c r="BOX136" s="12"/>
      <c r="BOY136" s="12"/>
      <c r="BOZ136" s="12"/>
      <c r="BPA136" s="12"/>
      <c r="BPB136" s="12"/>
      <c r="BPC136" s="12"/>
      <c r="BPD136" s="12"/>
      <c r="BPE136" s="12"/>
      <c r="BPF136" s="12"/>
      <c r="BPG136" s="12"/>
      <c r="BPH136" s="12"/>
      <c r="BPI136" s="12"/>
      <c r="BPJ136" s="12"/>
      <c r="BPK136" s="12"/>
      <c r="BPL136" s="12"/>
      <c r="BPM136" s="12"/>
      <c r="BPN136" s="12"/>
      <c r="BPO136" s="12"/>
      <c r="BPP136" s="12"/>
      <c r="BPQ136" s="12"/>
      <c r="BPR136" s="12"/>
      <c r="BPS136" s="12"/>
      <c r="BPT136" s="12"/>
      <c r="BPU136" s="12"/>
      <c r="BPV136" s="12"/>
      <c r="BPW136" s="12"/>
      <c r="BPX136" s="12"/>
      <c r="BPY136" s="12"/>
      <c r="BPZ136" s="12"/>
      <c r="BQA136" s="12"/>
      <c r="BQB136" s="12"/>
      <c r="BQC136" s="12"/>
      <c r="BQD136" s="12"/>
      <c r="BQE136" s="12"/>
      <c r="BQF136" s="12"/>
      <c r="BQG136" s="12"/>
      <c r="BQH136" s="12"/>
      <c r="BQI136" s="12"/>
      <c r="BQJ136" s="12"/>
      <c r="BQK136" s="12"/>
      <c r="BQL136" s="12"/>
      <c r="BQM136" s="12"/>
      <c r="BQN136" s="12"/>
      <c r="BQO136" s="12"/>
      <c r="BQP136" s="12"/>
      <c r="BQQ136" s="12"/>
      <c r="BQR136" s="12"/>
      <c r="BQS136" s="12"/>
      <c r="BQT136" s="12"/>
      <c r="BQU136" s="12"/>
      <c r="BQV136" s="12"/>
      <c r="BQW136" s="12"/>
      <c r="BQX136" s="12"/>
      <c r="BQY136" s="12"/>
      <c r="BQZ136" s="12"/>
      <c r="BRA136" s="12"/>
      <c r="BRB136" s="12"/>
      <c r="BRC136" s="12"/>
      <c r="BRD136" s="12"/>
      <c r="BRE136" s="12"/>
      <c r="BRF136" s="12"/>
      <c r="BRG136" s="12"/>
      <c r="BRH136" s="12"/>
      <c r="BRI136" s="12"/>
      <c r="BRJ136" s="12"/>
      <c r="BRK136" s="12"/>
      <c r="BRL136" s="12"/>
      <c r="BRM136" s="12"/>
      <c r="BRN136" s="12"/>
      <c r="BRO136" s="12"/>
      <c r="BRP136" s="12"/>
      <c r="BRQ136" s="12"/>
      <c r="BRR136" s="12"/>
      <c r="BRS136" s="12"/>
      <c r="BRT136" s="12"/>
      <c r="BRU136" s="12"/>
      <c r="BRV136" s="12"/>
      <c r="BRW136" s="12"/>
      <c r="BRX136" s="12"/>
      <c r="BRY136" s="12"/>
      <c r="BRZ136" s="12"/>
      <c r="BSA136" s="12"/>
      <c r="BSB136" s="12"/>
      <c r="BSC136" s="12"/>
      <c r="BSD136" s="12"/>
      <c r="BSE136" s="12"/>
      <c r="BSF136" s="12"/>
      <c r="BSG136" s="12"/>
      <c r="BSH136" s="12"/>
      <c r="BSI136" s="12"/>
      <c r="BSJ136" s="12"/>
      <c r="BSK136" s="12"/>
      <c r="BSL136" s="12"/>
      <c r="BSM136" s="12"/>
      <c r="BSN136" s="12"/>
      <c r="BSO136" s="12"/>
      <c r="BSP136" s="12"/>
      <c r="BSQ136" s="12"/>
      <c r="BSR136" s="12"/>
      <c r="BSS136" s="12"/>
      <c r="BST136" s="12"/>
      <c r="BSU136" s="12"/>
      <c r="BSV136" s="12"/>
      <c r="BSW136" s="12"/>
      <c r="BSX136" s="12"/>
      <c r="BSY136" s="12"/>
      <c r="BSZ136" s="12"/>
      <c r="BTA136" s="12"/>
      <c r="BTB136" s="12"/>
      <c r="BTC136" s="12"/>
      <c r="BTD136" s="12"/>
      <c r="BTE136" s="12"/>
      <c r="BTF136" s="12"/>
      <c r="BTG136" s="12"/>
      <c r="BTH136" s="12"/>
      <c r="BTI136" s="12"/>
      <c r="BTJ136" s="12"/>
      <c r="BTK136" s="12"/>
      <c r="BTL136" s="12"/>
      <c r="BTM136" s="12"/>
      <c r="BTN136" s="12"/>
      <c r="BTO136" s="12"/>
      <c r="BTP136" s="12"/>
      <c r="BTQ136" s="12"/>
      <c r="BTR136" s="12"/>
      <c r="BTS136" s="12"/>
      <c r="BTT136" s="12"/>
    </row>
    <row r="137" spans="1:1892" s="10" customFormat="1" ht="35.1" customHeight="1">
      <c r="A137" s="1241"/>
      <c r="B137" s="1297" t="s">
        <v>645</v>
      </c>
      <c r="C137" s="982" t="s">
        <v>566</v>
      </c>
      <c r="D137" s="570" t="s">
        <v>116</v>
      </c>
      <c r="E137" s="571"/>
      <c r="F137" s="572"/>
      <c r="G137" s="566" t="s">
        <v>241</v>
      </c>
      <c r="H137" s="566" t="s">
        <v>242</v>
      </c>
      <c r="I137" s="566" t="s">
        <v>243</v>
      </c>
      <c r="J137" s="537" t="s">
        <v>56</v>
      </c>
      <c r="K137" s="537" t="s">
        <v>55</v>
      </c>
      <c r="L137" s="146">
        <v>19</v>
      </c>
      <c r="M137" s="222">
        <v>212</v>
      </c>
      <c r="N137" s="132">
        <v>212</v>
      </c>
      <c r="O137" s="132">
        <v>212</v>
      </c>
      <c r="P137" s="511" t="s">
        <v>425</v>
      </c>
      <c r="Q137" s="511" t="s">
        <v>425</v>
      </c>
      <c r="R137" s="695" t="s">
        <v>981</v>
      </c>
      <c r="S137" s="651" t="s">
        <v>57</v>
      </c>
      <c r="T137" s="1066"/>
      <c r="U137" s="713" t="s">
        <v>11</v>
      </c>
    </row>
    <row r="138" spans="1:1892" s="10" customFormat="1" ht="35.1" customHeight="1">
      <c r="A138" s="1241"/>
      <c r="B138" s="1298"/>
      <c r="C138" s="983"/>
      <c r="D138" s="573"/>
      <c r="E138" s="574"/>
      <c r="F138" s="575"/>
      <c r="G138" s="567"/>
      <c r="H138" s="567"/>
      <c r="I138" s="567"/>
      <c r="J138" s="538"/>
      <c r="K138" s="538"/>
      <c r="L138" s="146">
        <v>25</v>
      </c>
      <c r="M138" s="222">
        <v>32</v>
      </c>
      <c r="N138" s="132">
        <v>32</v>
      </c>
      <c r="O138" s="132">
        <v>32</v>
      </c>
      <c r="P138" s="512"/>
      <c r="Q138" s="512"/>
      <c r="R138" s="696"/>
      <c r="S138" s="652"/>
      <c r="T138" s="1067"/>
      <c r="U138" s="714"/>
    </row>
    <row r="139" spans="1:1892" s="10" customFormat="1" ht="35.1" customHeight="1">
      <c r="A139" s="1241"/>
      <c r="B139" s="1298"/>
      <c r="C139" s="983"/>
      <c r="D139" s="573"/>
      <c r="E139" s="574"/>
      <c r="F139" s="575"/>
      <c r="G139" s="568"/>
      <c r="H139" s="568"/>
      <c r="I139" s="568"/>
      <c r="J139" s="539"/>
      <c r="K139" s="539"/>
      <c r="L139" s="146">
        <v>40.86</v>
      </c>
      <c r="M139" s="222">
        <v>10</v>
      </c>
      <c r="N139" s="132">
        <v>10</v>
      </c>
      <c r="O139" s="132">
        <v>10</v>
      </c>
      <c r="P139" s="512"/>
      <c r="Q139" s="512"/>
      <c r="R139" s="696"/>
      <c r="S139" s="652"/>
      <c r="T139" s="1067"/>
      <c r="U139" s="714"/>
    </row>
    <row r="140" spans="1:1892" s="10" customFormat="1" ht="35.1" customHeight="1">
      <c r="A140" s="1241"/>
      <c r="B140" s="1298"/>
      <c r="C140" s="984"/>
      <c r="D140" s="576"/>
      <c r="E140" s="577"/>
      <c r="F140" s="578"/>
      <c r="G140" s="463" t="s">
        <v>329</v>
      </c>
      <c r="H140" s="464"/>
      <c r="I140" s="464"/>
      <c r="J140" s="464"/>
      <c r="K140" s="465"/>
      <c r="L140" s="133"/>
      <c r="M140" s="224">
        <f>SUM(M137:M139)</f>
        <v>254</v>
      </c>
      <c r="N140" s="263">
        <f>SUM(N137:N139)</f>
        <v>254</v>
      </c>
      <c r="O140" s="263">
        <f>SUM(O137:O139)</f>
        <v>254</v>
      </c>
      <c r="P140" s="513"/>
      <c r="Q140" s="513"/>
      <c r="R140" s="697"/>
      <c r="S140" s="653"/>
      <c r="T140" s="1068"/>
      <c r="U140" s="715"/>
    </row>
    <row r="141" spans="1:1892" s="10" customFormat="1" ht="35.1" customHeight="1">
      <c r="A141" s="1241"/>
      <c r="B141" s="1298"/>
      <c r="C141" s="566" t="s">
        <v>349</v>
      </c>
      <c r="D141" s="584" t="s">
        <v>567</v>
      </c>
      <c r="E141" s="585"/>
      <c r="F141" s="586"/>
      <c r="G141" s="566" t="s">
        <v>525</v>
      </c>
      <c r="H141" s="566" t="s">
        <v>526</v>
      </c>
      <c r="I141" s="566" t="s">
        <v>525</v>
      </c>
      <c r="J141" s="687" t="s">
        <v>11</v>
      </c>
      <c r="K141" s="687" t="s">
        <v>12</v>
      </c>
      <c r="L141" s="118" t="s">
        <v>195</v>
      </c>
      <c r="M141" s="221">
        <v>201</v>
      </c>
      <c r="N141" s="119">
        <v>0</v>
      </c>
      <c r="O141" s="119">
        <v>0</v>
      </c>
      <c r="P141" s="499" t="s">
        <v>434</v>
      </c>
      <c r="Q141" s="499" t="s">
        <v>424</v>
      </c>
      <c r="R141" s="499" t="s">
        <v>527</v>
      </c>
      <c r="S141" s="499" t="s">
        <v>13</v>
      </c>
      <c r="T141" s="499" t="s">
        <v>528</v>
      </c>
      <c r="U141" s="499" t="s">
        <v>11</v>
      </c>
    </row>
    <row r="142" spans="1:1892" s="10" customFormat="1" ht="35.1" customHeight="1">
      <c r="A142" s="1241"/>
      <c r="B142" s="1298"/>
      <c r="C142" s="567"/>
      <c r="D142" s="587"/>
      <c r="E142" s="588"/>
      <c r="F142" s="589"/>
      <c r="G142" s="567"/>
      <c r="H142" s="567"/>
      <c r="I142" s="567"/>
      <c r="J142" s="688"/>
      <c r="K142" s="688"/>
      <c r="L142" s="118" t="s">
        <v>196</v>
      </c>
      <c r="M142" s="221">
        <v>109</v>
      </c>
      <c r="N142" s="119">
        <v>1</v>
      </c>
      <c r="O142" s="119">
        <v>1</v>
      </c>
      <c r="P142" s="500"/>
      <c r="Q142" s="500"/>
      <c r="R142" s="500"/>
      <c r="S142" s="500"/>
      <c r="T142" s="500"/>
      <c r="U142" s="500"/>
    </row>
    <row r="143" spans="1:1892" s="10" customFormat="1" ht="35.1" customHeight="1">
      <c r="A143" s="1241"/>
      <c r="B143" s="1298"/>
      <c r="C143" s="567"/>
      <c r="D143" s="587"/>
      <c r="E143" s="588"/>
      <c r="F143" s="589"/>
      <c r="G143" s="567"/>
      <c r="H143" s="567"/>
      <c r="I143" s="567"/>
      <c r="J143" s="688"/>
      <c r="K143" s="688"/>
      <c r="L143" s="118" t="s">
        <v>197</v>
      </c>
      <c r="M143" s="221">
        <v>107</v>
      </c>
      <c r="N143" s="119">
        <v>0</v>
      </c>
      <c r="O143" s="119">
        <v>0</v>
      </c>
      <c r="P143" s="500"/>
      <c r="Q143" s="500"/>
      <c r="R143" s="500"/>
      <c r="S143" s="500"/>
      <c r="T143" s="500"/>
      <c r="U143" s="500"/>
    </row>
    <row r="144" spans="1:1892" s="10" customFormat="1" ht="35.1" customHeight="1">
      <c r="A144" s="1241"/>
      <c r="B144" s="1298"/>
      <c r="C144" s="567"/>
      <c r="D144" s="587"/>
      <c r="E144" s="588"/>
      <c r="F144" s="589"/>
      <c r="G144" s="567"/>
      <c r="H144" s="567"/>
      <c r="I144" s="567"/>
      <c r="J144" s="688"/>
      <c r="K144" s="688"/>
      <c r="L144" s="118" t="s">
        <v>529</v>
      </c>
      <c r="M144" s="221">
        <v>35</v>
      </c>
      <c r="N144" s="119">
        <v>0</v>
      </c>
      <c r="O144" s="119">
        <v>0</v>
      </c>
      <c r="P144" s="500"/>
      <c r="Q144" s="500"/>
      <c r="R144" s="500"/>
      <c r="S144" s="500"/>
      <c r="T144" s="500"/>
      <c r="U144" s="500"/>
    </row>
    <row r="145" spans="1:21" s="10" customFormat="1" ht="35.1" customHeight="1">
      <c r="A145" s="1241"/>
      <c r="B145" s="1298"/>
      <c r="C145" s="567"/>
      <c r="D145" s="587"/>
      <c r="E145" s="588"/>
      <c r="F145" s="589"/>
      <c r="G145" s="568"/>
      <c r="H145" s="568"/>
      <c r="I145" s="568"/>
      <c r="J145" s="689"/>
      <c r="K145" s="689"/>
      <c r="L145" s="147">
        <v>100</v>
      </c>
      <c r="M145" s="221">
        <v>20</v>
      </c>
      <c r="N145" s="119">
        <v>0</v>
      </c>
      <c r="O145" s="119">
        <v>0</v>
      </c>
      <c r="P145" s="500"/>
      <c r="Q145" s="500"/>
      <c r="R145" s="500"/>
      <c r="S145" s="500"/>
      <c r="T145" s="500"/>
      <c r="U145" s="500"/>
    </row>
    <row r="146" spans="1:21" s="10" customFormat="1" ht="35.1" customHeight="1">
      <c r="A146" s="1241"/>
      <c r="B146" s="1298"/>
      <c r="C146" s="568"/>
      <c r="D146" s="707"/>
      <c r="E146" s="708"/>
      <c r="F146" s="709"/>
      <c r="G146" s="463" t="s">
        <v>329</v>
      </c>
      <c r="H146" s="464"/>
      <c r="I146" s="464"/>
      <c r="J146" s="464"/>
      <c r="K146" s="465"/>
      <c r="L146" s="133"/>
      <c r="M146" s="224">
        <f>SUM(M141:M145)</f>
        <v>472</v>
      </c>
      <c r="N146" s="263">
        <f>SUM(N141:N145)</f>
        <v>1</v>
      </c>
      <c r="O146" s="263">
        <f>SUM(O141:O145)</f>
        <v>1</v>
      </c>
      <c r="P146" s="501"/>
      <c r="Q146" s="501"/>
      <c r="R146" s="501"/>
      <c r="S146" s="501"/>
      <c r="T146" s="501"/>
      <c r="U146" s="501"/>
    </row>
    <row r="147" spans="1:21" s="10" customFormat="1" ht="35.1" customHeight="1">
      <c r="A147" s="1241"/>
      <c r="B147" s="1298"/>
      <c r="C147" s="982" t="s">
        <v>349</v>
      </c>
      <c r="D147" s="584" t="s">
        <v>216</v>
      </c>
      <c r="E147" s="585"/>
      <c r="F147" s="586"/>
      <c r="G147" s="1247" t="s">
        <v>244</v>
      </c>
      <c r="H147" s="566" t="s">
        <v>245</v>
      </c>
      <c r="I147" s="566" t="s">
        <v>246</v>
      </c>
      <c r="J147" s="687" t="s">
        <v>11</v>
      </c>
      <c r="K147" s="687" t="s">
        <v>12</v>
      </c>
      <c r="L147" s="148">
        <v>48.98</v>
      </c>
      <c r="M147" s="221">
        <v>16</v>
      </c>
      <c r="N147" s="132">
        <v>0</v>
      </c>
      <c r="O147" s="132">
        <v>0</v>
      </c>
      <c r="P147" s="511" t="s">
        <v>426</v>
      </c>
      <c r="Q147" s="511" t="s">
        <v>426</v>
      </c>
      <c r="R147" s="511" t="s">
        <v>426</v>
      </c>
      <c r="S147" s="651" t="s">
        <v>57</v>
      </c>
      <c r="T147" s="765"/>
      <c r="U147" s="765" t="s">
        <v>217</v>
      </c>
    </row>
    <row r="148" spans="1:21" s="10" customFormat="1" ht="35.1" customHeight="1">
      <c r="A148" s="1241"/>
      <c r="B148" s="1298"/>
      <c r="C148" s="983"/>
      <c r="D148" s="587"/>
      <c r="E148" s="588"/>
      <c r="F148" s="589"/>
      <c r="G148" s="1248"/>
      <c r="H148" s="567"/>
      <c r="I148" s="567"/>
      <c r="J148" s="688"/>
      <c r="K148" s="688"/>
      <c r="L148" s="148">
        <v>37.47</v>
      </c>
      <c r="M148" s="221">
        <v>16</v>
      </c>
      <c r="N148" s="132">
        <v>0</v>
      </c>
      <c r="O148" s="132">
        <v>0</v>
      </c>
      <c r="P148" s="512"/>
      <c r="Q148" s="512"/>
      <c r="R148" s="512"/>
      <c r="S148" s="652"/>
      <c r="T148" s="766"/>
      <c r="U148" s="766"/>
    </row>
    <row r="149" spans="1:21" s="10" customFormat="1" ht="35.1" customHeight="1">
      <c r="A149" s="1241"/>
      <c r="B149" s="1298"/>
      <c r="C149" s="983"/>
      <c r="D149" s="587"/>
      <c r="E149" s="588"/>
      <c r="F149" s="589"/>
      <c r="G149" s="1248"/>
      <c r="H149" s="567"/>
      <c r="I149" s="567"/>
      <c r="J149" s="688"/>
      <c r="K149" s="688"/>
      <c r="L149" s="148">
        <v>49.89</v>
      </c>
      <c r="M149" s="221">
        <v>16</v>
      </c>
      <c r="N149" s="132">
        <v>0</v>
      </c>
      <c r="O149" s="132">
        <v>0</v>
      </c>
      <c r="P149" s="512"/>
      <c r="Q149" s="512"/>
      <c r="R149" s="512"/>
      <c r="S149" s="652"/>
      <c r="T149" s="766"/>
      <c r="U149" s="766"/>
    </row>
    <row r="150" spans="1:21" s="10" customFormat="1" ht="35.1" customHeight="1">
      <c r="A150" s="1241"/>
      <c r="B150" s="1298"/>
      <c r="C150" s="983"/>
      <c r="D150" s="587"/>
      <c r="E150" s="588"/>
      <c r="F150" s="589"/>
      <c r="G150" s="1249"/>
      <c r="H150" s="568"/>
      <c r="I150" s="568"/>
      <c r="J150" s="689"/>
      <c r="K150" s="689"/>
      <c r="L150" s="148">
        <v>41.13</v>
      </c>
      <c r="M150" s="221">
        <v>32</v>
      </c>
      <c r="N150" s="132">
        <v>0</v>
      </c>
      <c r="O150" s="132">
        <v>0</v>
      </c>
      <c r="P150" s="512"/>
      <c r="Q150" s="512"/>
      <c r="R150" s="512"/>
      <c r="S150" s="652"/>
      <c r="T150" s="766"/>
      <c r="U150" s="766"/>
    </row>
    <row r="151" spans="1:21" s="10" customFormat="1" ht="35.1" customHeight="1">
      <c r="A151" s="1241"/>
      <c r="B151" s="1298"/>
      <c r="C151" s="984"/>
      <c r="D151" s="707"/>
      <c r="E151" s="708"/>
      <c r="F151" s="709"/>
      <c r="G151" s="463" t="s">
        <v>329</v>
      </c>
      <c r="H151" s="464"/>
      <c r="I151" s="464"/>
      <c r="J151" s="464"/>
      <c r="K151" s="465"/>
      <c r="L151" s="149"/>
      <c r="M151" s="224">
        <f>SUM(M147:M150)</f>
        <v>80</v>
      </c>
      <c r="N151" s="263">
        <f>SUM(N147:N150)</f>
        <v>0</v>
      </c>
      <c r="O151" s="263">
        <f>SUM(O147:O150)</f>
        <v>0</v>
      </c>
      <c r="P151" s="513"/>
      <c r="Q151" s="513"/>
      <c r="R151" s="513"/>
      <c r="S151" s="653"/>
      <c r="T151" s="767"/>
      <c r="U151" s="767"/>
    </row>
    <row r="152" spans="1:21" s="10" customFormat="1" ht="35.1" customHeight="1">
      <c r="A152" s="1241"/>
      <c r="B152" s="1298"/>
      <c r="C152" s="1346" t="s">
        <v>54</v>
      </c>
      <c r="D152" s="584" t="s">
        <v>311</v>
      </c>
      <c r="E152" s="585"/>
      <c r="F152" s="586"/>
      <c r="G152" s="632" t="s">
        <v>54</v>
      </c>
      <c r="H152" s="632" t="s">
        <v>54</v>
      </c>
      <c r="I152" s="632" t="s">
        <v>54</v>
      </c>
      <c r="J152" s="632" t="s">
        <v>11</v>
      </c>
      <c r="K152" s="632" t="s">
        <v>12</v>
      </c>
      <c r="L152" s="150">
        <v>39.375999999999998</v>
      </c>
      <c r="M152" s="221">
        <v>11</v>
      </c>
      <c r="N152" s="248">
        <v>0</v>
      </c>
      <c r="O152" s="248">
        <v>0</v>
      </c>
      <c r="P152" s="511" t="s">
        <v>54</v>
      </c>
      <c r="Q152" s="511" t="s">
        <v>54</v>
      </c>
      <c r="R152" s="511" t="s">
        <v>54</v>
      </c>
      <c r="S152" s="840" t="s">
        <v>188</v>
      </c>
      <c r="T152" s="511" t="s">
        <v>54</v>
      </c>
      <c r="U152" s="511" t="s">
        <v>54</v>
      </c>
    </row>
    <row r="153" spans="1:21" s="10" customFormat="1" ht="35.1" customHeight="1">
      <c r="A153" s="1241"/>
      <c r="B153" s="1298"/>
      <c r="C153" s="1347"/>
      <c r="D153" s="587"/>
      <c r="E153" s="588"/>
      <c r="F153" s="589"/>
      <c r="G153" s="633"/>
      <c r="H153" s="633"/>
      <c r="I153" s="633"/>
      <c r="J153" s="633"/>
      <c r="K153" s="633"/>
      <c r="L153" s="150">
        <v>47.6768</v>
      </c>
      <c r="M153" s="221">
        <v>13</v>
      </c>
      <c r="N153" s="132">
        <v>0</v>
      </c>
      <c r="O153" s="132">
        <v>0</v>
      </c>
      <c r="P153" s="512"/>
      <c r="Q153" s="512"/>
      <c r="R153" s="512"/>
      <c r="S153" s="1178"/>
      <c r="T153" s="512"/>
      <c r="U153" s="512"/>
    </row>
    <row r="154" spans="1:21" s="10" customFormat="1" ht="35.1" customHeight="1">
      <c r="A154" s="1241"/>
      <c r="B154" s="1298"/>
      <c r="C154" s="1347"/>
      <c r="D154" s="587"/>
      <c r="E154" s="588"/>
      <c r="F154" s="589"/>
      <c r="G154" s="633"/>
      <c r="H154" s="633"/>
      <c r="I154" s="633"/>
      <c r="J154" s="633"/>
      <c r="K154" s="633"/>
      <c r="L154" s="150">
        <v>64.143900000000002</v>
      </c>
      <c r="M154" s="221">
        <v>13</v>
      </c>
      <c r="N154" s="248">
        <v>0</v>
      </c>
      <c r="O154" s="248">
        <v>0</v>
      </c>
      <c r="P154" s="512"/>
      <c r="Q154" s="512"/>
      <c r="R154" s="512"/>
      <c r="S154" s="1178"/>
      <c r="T154" s="512"/>
      <c r="U154" s="512"/>
    </row>
    <row r="155" spans="1:21" s="10" customFormat="1" ht="35.1" customHeight="1">
      <c r="A155" s="1241"/>
      <c r="B155" s="1298"/>
      <c r="C155" s="1347"/>
      <c r="D155" s="587"/>
      <c r="E155" s="588"/>
      <c r="F155" s="589"/>
      <c r="G155" s="633"/>
      <c r="H155" s="633"/>
      <c r="I155" s="633"/>
      <c r="J155" s="633"/>
      <c r="K155" s="633"/>
      <c r="L155" s="150">
        <v>70.085599999999999</v>
      </c>
      <c r="M155" s="221">
        <v>30</v>
      </c>
      <c r="N155" s="248">
        <v>0</v>
      </c>
      <c r="O155" s="248">
        <v>0</v>
      </c>
      <c r="P155" s="512"/>
      <c r="Q155" s="512"/>
      <c r="R155" s="512"/>
      <c r="S155" s="1178"/>
      <c r="T155" s="512"/>
      <c r="U155" s="512"/>
    </row>
    <row r="156" spans="1:21" s="10" customFormat="1" ht="35.1" customHeight="1">
      <c r="A156" s="1241"/>
      <c r="B156" s="1298"/>
      <c r="C156" s="1347"/>
      <c r="D156" s="587"/>
      <c r="E156" s="588"/>
      <c r="F156" s="589"/>
      <c r="G156" s="633"/>
      <c r="H156" s="633"/>
      <c r="I156" s="633"/>
      <c r="J156" s="633"/>
      <c r="K156" s="633"/>
      <c r="L156" s="150">
        <v>81.899799999999999</v>
      </c>
      <c r="M156" s="221">
        <v>21</v>
      </c>
      <c r="N156" s="248">
        <v>10</v>
      </c>
      <c r="O156" s="248">
        <v>3</v>
      </c>
      <c r="P156" s="512"/>
      <c r="Q156" s="512"/>
      <c r="R156" s="512"/>
      <c r="S156" s="1178"/>
      <c r="T156" s="512"/>
      <c r="U156" s="512"/>
    </row>
    <row r="157" spans="1:21" s="10" customFormat="1" ht="35.1" customHeight="1">
      <c r="A157" s="1241"/>
      <c r="B157" s="1298"/>
      <c r="C157" s="1347"/>
      <c r="D157" s="587"/>
      <c r="E157" s="588"/>
      <c r="F157" s="589"/>
      <c r="G157" s="633"/>
      <c r="H157" s="633"/>
      <c r="I157" s="633"/>
      <c r="J157" s="633"/>
      <c r="K157" s="633"/>
      <c r="L157" s="150">
        <v>97.680800000000005</v>
      </c>
      <c r="M157" s="221">
        <v>2</v>
      </c>
      <c r="N157" s="248">
        <v>2</v>
      </c>
      <c r="O157" s="248">
        <v>2</v>
      </c>
      <c r="P157" s="512"/>
      <c r="Q157" s="512"/>
      <c r="R157" s="512"/>
      <c r="S157" s="1178"/>
      <c r="T157" s="512"/>
      <c r="U157" s="512"/>
    </row>
    <row r="158" spans="1:21" s="10" customFormat="1" ht="35.1" customHeight="1">
      <c r="A158" s="1241"/>
      <c r="B158" s="1298"/>
      <c r="C158" s="1347"/>
      <c r="D158" s="587"/>
      <c r="E158" s="588"/>
      <c r="F158" s="589"/>
      <c r="G158" s="634"/>
      <c r="H158" s="634"/>
      <c r="I158" s="634"/>
      <c r="J158" s="634"/>
      <c r="K158" s="634"/>
      <c r="L158" s="150">
        <v>102.9706</v>
      </c>
      <c r="M158" s="221">
        <v>4</v>
      </c>
      <c r="N158" s="248">
        <v>4</v>
      </c>
      <c r="O158" s="248">
        <v>4</v>
      </c>
      <c r="P158" s="512"/>
      <c r="Q158" s="512"/>
      <c r="R158" s="512"/>
      <c r="S158" s="1178"/>
      <c r="T158" s="512"/>
      <c r="U158" s="512"/>
    </row>
    <row r="159" spans="1:21" s="10" customFormat="1" ht="35.1" customHeight="1">
      <c r="A159" s="1241"/>
      <c r="B159" s="1298"/>
      <c r="C159" s="1348"/>
      <c r="D159" s="707"/>
      <c r="E159" s="708"/>
      <c r="F159" s="709"/>
      <c r="G159" s="463" t="s">
        <v>329</v>
      </c>
      <c r="H159" s="464"/>
      <c r="I159" s="464"/>
      <c r="J159" s="464"/>
      <c r="K159" s="465"/>
      <c r="L159" s="139"/>
      <c r="M159" s="249">
        <f>SUM(M152:M158)</f>
        <v>94</v>
      </c>
      <c r="N159" s="246">
        <f>SUM(N152:N158)</f>
        <v>16</v>
      </c>
      <c r="O159" s="246">
        <f>SUM(O152:O158)</f>
        <v>9</v>
      </c>
      <c r="P159" s="513"/>
      <c r="Q159" s="513"/>
      <c r="R159" s="513"/>
      <c r="S159" s="1179"/>
      <c r="T159" s="513"/>
      <c r="U159" s="513"/>
    </row>
    <row r="160" spans="1:21" s="10" customFormat="1" ht="35.1" customHeight="1">
      <c r="A160" s="1241"/>
      <c r="B160" s="1298"/>
      <c r="C160" s="1666" t="s">
        <v>541</v>
      </c>
      <c r="D160" s="1018" t="s">
        <v>910</v>
      </c>
      <c r="E160" s="1019"/>
      <c r="F160" s="1020"/>
      <c r="G160" s="698" t="s">
        <v>911</v>
      </c>
      <c r="H160" s="698" t="s">
        <v>912</v>
      </c>
      <c r="I160" s="698" t="s">
        <v>913</v>
      </c>
      <c r="J160" s="698" t="s">
        <v>11</v>
      </c>
      <c r="K160" s="698" t="s">
        <v>12</v>
      </c>
      <c r="L160" s="180" t="s">
        <v>195</v>
      </c>
      <c r="M160" s="231">
        <v>534</v>
      </c>
      <c r="N160" s="132">
        <v>0</v>
      </c>
      <c r="O160" s="132">
        <v>0</v>
      </c>
      <c r="P160" s="1148" t="s">
        <v>437</v>
      </c>
      <c r="Q160" s="1148" t="s">
        <v>438</v>
      </c>
      <c r="R160" s="1148" t="s">
        <v>914</v>
      </c>
      <c r="S160" s="1112" t="s">
        <v>13</v>
      </c>
      <c r="T160" s="1154" t="s">
        <v>915</v>
      </c>
      <c r="U160" s="496" t="s">
        <v>11</v>
      </c>
    </row>
    <row r="161" spans="1:21" s="10" customFormat="1" ht="35.1" customHeight="1">
      <c r="A161" s="1241"/>
      <c r="B161" s="1298"/>
      <c r="C161" s="1667"/>
      <c r="D161" s="1021"/>
      <c r="E161" s="1022"/>
      <c r="F161" s="1023"/>
      <c r="G161" s="699"/>
      <c r="H161" s="699"/>
      <c r="I161" s="699"/>
      <c r="J161" s="699"/>
      <c r="K161" s="699"/>
      <c r="L161" s="180" t="s">
        <v>196</v>
      </c>
      <c r="M161" s="231">
        <v>385</v>
      </c>
      <c r="N161" s="132">
        <v>0</v>
      </c>
      <c r="O161" s="132">
        <v>0</v>
      </c>
      <c r="P161" s="1149"/>
      <c r="Q161" s="1149"/>
      <c r="R161" s="1149"/>
      <c r="S161" s="1113"/>
      <c r="T161" s="1155"/>
      <c r="U161" s="497"/>
    </row>
    <row r="162" spans="1:21" s="10" customFormat="1" ht="35.1" customHeight="1">
      <c r="A162" s="1241"/>
      <c r="B162" s="1298"/>
      <c r="C162" s="1667"/>
      <c r="D162" s="1021"/>
      <c r="E162" s="1022"/>
      <c r="F162" s="1023"/>
      <c r="G162" s="700"/>
      <c r="H162" s="700"/>
      <c r="I162" s="700"/>
      <c r="J162" s="700"/>
      <c r="K162" s="700"/>
      <c r="L162" s="180">
        <v>123</v>
      </c>
      <c r="M162" s="231">
        <v>78</v>
      </c>
      <c r="N162" s="132">
        <v>0</v>
      </c>
      <c r="O162" s="132">
        <v>0</v>
      </c>
      <c r="P162" s="1149"/>
      <c r="Q162" s="1149"/>
      <c r="R162" s="1149"/>
      <c r="S162" s="1113"/>
      <c r="T162" s="1155"/>
      <c r="U162" s="497"/>
    </row>
    <row r="163" spans="1:21" s="10" customFormat="1" ht="35.1" customHeight="1">
      <c r="A163" s="1241"/>
      <c r="B163" s="1298"/>
      <c r="C163" s="1668"/>
      <c r="D163" s="1024"/>
      <c r="E163" s="1025"/>
      <c r="F163" s="1026"/>
      <c r="G163" s="1293" t="s">
        <v>329</v>
      </c>
      <c r="H163" s="1294"/>
      <c r="I163" s="1294"/>
      <c r="J163" s="1294"/>
      <c r="K163" s="1295"/>
      <c r="L163" s="160"/>
      <c r="M163" s="224">
        <f>SUM(M160:M162)</f>
        <v>997</v>
      </c>
      <c r="N163" s="263">
        <f>SUM(N160:N162)</f>
        <v>0</v>
      </c>
      <c r="O163" s="263">
        <f>SUM(O160:O162)</f>
        <v>0</v>
      </c>
      <c r="P163" s="1150"/>
      <c r="Q163" s="1150"/>
      <c r="R163" s="1150"/>
      <c r="S163" s="1114"/>
      <c r="T163" s="1156"/>
      <c r="U163" s="498"/>
    </row>
    <row r="164" spans="1:21" s="10" customFormat="1" ht="35.1" customHeight="1">
      <c r="A164" s="1241"/>
      <c r="B164" s="1298"/>
      <c r="C164" s="478" t="s">
        <v>349</v>
      </c>
      <c r="D164" s="584" t="s">
        <v>542</v>
      </c>
      <c r="E164" s="585"/>
      <c r="F164" s="586"/>
      <c r="G164" s="1244" t="s">
        <v>346</v>
      </c>
      <c r="H164" s="1244" t="s">
        <v>347</v>
      </c>
      <c r="I164" s="701" t="s">
        <v>348</v>
      </c>
      <c r="J164" s="701" t="s">
        <v>11</v>
      </c>
      <c r="K164" s="701" t="s">
        <v>12</v>
      </c>
      <c r="L164" s="151">
        <v>59.808999999999997</v>
      </c>
      <c r="M164" s="243">
        <v>105</v>
      </c>
      <c r="N164" s="394">
        <v>0</v>
      </c>
      <c r="O164" s="394">
        <v>0</v>
      </c>
      <c r="P164" s="656" t="s">
        <v>429</v>
      </c>
      <c r="Q164" s="656" t="s">
        <v>416</v>
      </c>
      <c r="R164" s="656" t="s">
        <v>427</v>
      </c>
      <c r="S164" s="559" t="s">
        <v>57</v>
      </c>
      <c r="T164" s="544"/>
      <c r="U164" s="544" t="s">
        <v>11</v>
      </c>
    </row>
    <row r="165" spans="1:21" s="10" customFormat="1" ht="35.1" customHeight="1">
      <c r="A165" s="1241"/>
      <c r="B165" s="1298"/>
      <c r="C165" s="479"/>
      <c r="D165" s="587"/>
      <c r="E165" s="588"/>
      <c r="F165" s="589"/>
      <c r="G165" s="1245"/>
      <c r="H165" s="1245"/>
      <c r="I165" s="702"/>
      <c r="J165" s="702"/>
      <c r="K165" s="702"/>
      <c r="L165" s="151">
        <v>59.925699999999999</v>
      </c>
      <c r="M165" s="243">
        <v>21</v>
      </c>
      <c r="N165" s="392">
        <v>0</v>
      </c>
      <c r="O165" s="392">
        <v>0</v>
      </c>
      <c r="P165" s="657"/>
      <c r="Q165" s="657"/>
      <c r="R165" s="657"/>
      <c r="S165" s="560"/>
      <c r="T165" s="545"/>
      <c r="U165" s="545"/>
    </row>
    <row r="166" spans="1:21" s="10" customFormat="1" ht="35.1" customHeight="1">
      <c r="A166" s="1241"/>
      <c r="B166" s="1298"/>
      <c r="C166" s="479"/>
      <c r="D166" s="587"/>
      <c r="E166" s="588"/>
      <c r="F166" s="589"/>
      <c r="G166" s="1245"/>
      <c r="H166" s="1245"/>
      <c r="I166" s="702"/>
      <c r="J166" s="702"/>
      <c r="K166" s="702"/>
      <c r="L166" s="151">
        <v>59.977400000000003</v>
      </c>
      <c r="M166" s="243">
        <v>3</v>
      </c>
      <c r="N166" s="392">
        <v>0</v>
      </c>
      <c r="O166" s="392">
        <v>0</v>
      </c>
      <c r="P166" s="657"/>
      <c r="Q166" s="657"/>
      <c r="R166" s="657"/>
      <c r="S166" s="560"/>
      <c r="T166" s="545"/>
      <c r="U166" s="545"/>
    </row>
    <row r="167" spans="1:21" s="32" customFormat="1" ht="35.1" customHeight="1">
      <c r="A167" s="1241"/>
      <c r="B167" s="1298"/>
      <c r="C167" s="479"/>
      <c r="D167" s="587"/>
      <c r="E167" s="588"/>
      <c r="F167" s="589"/>
      <c r="G167" s="1245"/>
      <c r="H167" s="1245"/>
      <c r="I167" s="702"/>
      <c r="J167" s="702"/>
      <c r="K167" s="702"/>
      <c r="L167" s="151">
        <v>74.9589</v>
      </c>
      <c r="M167" s="243">
        <v>152</v>
      </c>
      <c r="N167" s="392">
        <v>0</v>
      </c>
      <c r="O167" s="392">
        <v>0</v>
      </c>
      <c r="P167" s="657"/>
      <c r="Q167" s="657"/>
      <c r="R167" s="657"/>
      <c r="S167" s="560"/>
      <c r="T167" s="545"/>
      <c r="U167" s="545"/>
    </row>
    <row r="168" spans="1:21" s="10" customFormat="1" ht="35.1" customHeight="1">
      <c r="A168" s="1241"/>
      <c r="B168" s="1298"/>
      <c r="C168" s="479"/>
      <c r="D168" s="587"/>
      <c r="E168" s="588"/>
      <c r="F168" s="589"/>
      <c r="G168" s="1245"/>
      <c r="H168" s="1245"/>
      <c r="I168" s="702"/>
      <c r="J168" s="702"/>
      <c r="K168" s="702"/>
      <c r="L168" s="151">
        <v>84.995400000000004</v>
      </c>
      <c r="M168" s="243">
        <v>461</v>
      </c>
      <c r="N168" s="392">
        <v>51</v>
      </c>
      <c r="O168" s="392">
        <v>51</v>
      </c>
      <c r="P168" s="657"/>
      <c r="Q168" s="657"/>
      <c r="R168" s="657"/>
      <c r="S168" s="560"/>
      <c r="T168" s="545"/>
      <c r="U168" s="545"/>
    </row>
    <row r="169" spans="1:21" s="10" customFormat="1" ht="35.1" customHeight="1">
      <c r="A169" s="1241"/>
      <c r="B169" s="1298"/>
      <c r="C169" s="479"/>
      <c r="D169" s="587"/>
      <c r="E169" s="588"/>
      <c r="F169" s="589"/>
      <c r="G169" s="1245"/>
      <c r="H169" s="1245"/>
      <c r="I169" s="702"/>
      <c r="J169" s="702"/>
      <c r="K169" s="702"/>
      <c r="L169" s="151">
        <v>84.890299999999996</v>
      </c>
      <c r="M169" s="243">
        <v>97</v>
      </c>
      <c r="N169" s="392">
        <v>0</v>
      </c>
      <c r="O169" s="392">
        <v>0</v>
      </c>
      <c r="P169" s="657"/>
      <c r="Q169" s="657"/>
      <c r="R169" s="657"/>
      <c r="S169" s="560"/>
      <c r="T169" s="545"/>
      <c r="U169" s="545"/>
    </row>
    <row r="170" spans="1:21" s="10" customFormat="1" ht="35.1" customHeight="1">
      <c r="A170" s="1241"/>
      <c r="B170" s="1298"/>
      <c r="C170" s="479"/>
      <c r="D170" s="587"/>
      <c r="E170" s="588"/>
      <c r="F170" s="589"/>
      <c r="G170" s="1245"/>
      <c r="H170" s="1245"/>
      <c r="I170" s="702"/>
      <c r="J170" s="702"/>
      <c r="K170" s="702"/>
      <c r="L170" s="151">
        <v>84.675600000000003</v>
      </c>
      <c r="M170" s="243">
        <v>135</v>
      </c>
      <c r="N170" s="392">
        <v>0</v>
      </c>
      <c r="O170" s="392">
        <v>0</v>
      </c>
      <c r="P170" s="657"/>
      <c r="Q170" s="657"/>
      <c r="R170" s="657"/>
      <c r="S170" s="560"/>
      <c r="T170" s="545"/>
      <c r="U170" s="545"/>
    </row>
    <row r="171" spans="1:21" s="10" customFormat="1" ht="35.1" customHeight="1">
      <c r="A171" s="1241"/>
      <c r="B171" s="1298"/>
      <c r="C171" s="479"/>
      <c r="D171" s="587"/>
      <c r="E171" s="588"/>
      <c r="F171" s="589"/>
      <c r="G171" s="1245"/>
      <c r="H171" s="1245"/>
      <c r="I171" s="702"/>
      <c r="J171" s="702"/>
      <c r="K171" s="702"/>
      <c r="L171" s="151">
        <v>84.779600000000002</v>
      </c>
      <c r="M171" s="243">
        <v>21</v>
      </c>
      <c r="N171" s="392">
        <v>0</v>
      </c>
      <c r="O171" s="392">
        <v>0</v>
      </c>
      <c r="P171" s="657"/>
      <c r="Q171" s="657"/>
      <c r="R171" s="657"/>
      <c r="S171" s="560"/>
      <c r="T171" s="545"/>
      <c r="U171" s="545"/>
    </row>
    <row r="172" spans="1:21" s="10" customFormat="1" ht="35.1" customHeight="1">
      <c r="A172" s="1241"/>
      <c r="B172" s="1298"/>
      <c r="C172" s="479"/>
      <c r="D172" s="587"/>
      <c r="E172" s="588"/>
      <c r="F172" s="589"/>
      <c r="G172" s="1245"/>
      <c r="H172" s="1245"/>
      <c r="I172" s="702"/>
      <c r="J172" s="702"/>
      <c r="K172" s="702"/>
      <c r="L172" s="151">
        <v>84.894499999999994</v>
      </c>
      <c r="M172" s="243">
        <v>2</v>
      </c>
      <c r="N172" s="392">
        <v>0</v>
      </c>
      <c r="O172" s="392">
        <v>0</v>
      </c>
      <c r="P172" s="657"/>
      <c r="Q172" s="657"/>
      <c r="R172" s="657"/>
      <c r="S172" s="560"/>
      <c r="T172" s="545"/>
      <c r="U172" s="545"/>
    </row>
    <row r="173" spans="1:21" s="10" customFormat="1" ht="35.1" customHeight="1">
      <c r="A173" s="1241"/>
      <c r="B173" s="1298"/>
      <c r="C173" s="479"/>
      <c r="D173" s="587"/>
      <c r="E173" s="588"/>
      <c r="F173" s="589"/>
      <c r="G173" s="1246"/>
      <c r="H173" s="1246"/>
      <c r="I173" s="703"/>
      <c r="J173" s="703"/>
      <c r="K173" s="703"/>
      <c r="L173" s="151">
        <v>84.814800000000005</v>
      </c>
      <c r="M173" s="243">
        <v>2</v>
      </c>
      <c r="N173" s="392">
        <v>0</v>
      </c>
      <c r="O173" s="392">
        <v>0</v>
      </c>
      <c r="P173" s="657"/>
      <c r="Q173" s="657"/>
      <c r="R173" s="657"/>
      <c r="S173" s="560"/>
      <c r="T173" s="545"/>
      <c r="U173" s="545"/>
    </row>
    <row r="174" spans="1:21" s="10" customFormat="1" ht="35.1" customHeight="1">
      <c r="A174" s="1241"/>
      <c r="B174" s="1298"/>
      <c r="C174" s="480"/>
      <c r="D174" s="707"/>
      <c r="E174" s="708"/>
      <c r="F174" s="709"/>
      <c r="G174" s="463" t="s">
        <v>329</v>
      </c>
      <c r="H174" s="464"/>
      <c r="I174" s="464"/>
      <c r="J174" s="464"/>
      <c r="K174" s="465"/>
      <c r="L174" s="138"/>
      <c r="M174" s="249">
        <f>SUM(M164:M173)</f>
        <v>999</v>
      </c>
      <c r="N174" s="246">
        <f>SUM(N164:N173)</f>
        <v>51</v>
      </c>
      <c r="O174" s="246">
        <f>SUM(O164:O173)</f>
        <v>51</v>
      </c>
      <c r="P174" s="658"/>
      <c r="Q174" s="658"/>
      <c r="R174" s="658"/>
      <c r="S174" s="561"/>
      <c r="T174" s="546"/>
      <c r="U174" s="546"/>
    </row>
    <row r="175" spans="1:21" s="10" customFormat="1" ht="35.1" customHeight="1">
      <c r="A175" s="1241"/>
      <c r="B175" s="1298"/>
      <c r="C175" s="478" t="s">
        <v>538</v>
      </c>
      <c r="D175" s="584" t="s">
        <v>384</v>
      </c>
      <c r="E175" s="585"/>
      <c r="F175" s="586"/>
      <c r="G175" s="1244" t="s">
        <v>385</v>
      </c>
      <c r="H175" s="1244" t="s">
        <v>386</v>
      </c>
      <c r="I175" s="701" t="s">
        <v>387</v>
      </c>
      <c r="J175" s="701" t="s">
        <v>11</v>
      </c>
      <c r="K175" s="520" t="s">
        <v>12</v>
      </c>
      <c r="L175" s="152">
        <v>84.824299999999994</v>
      </c>
      <c r="M175" s="230">
        <v>17</v>
      </c>
      <c r="N175" s="143">
        <v>0</v>
      </c>
      <c r="O175" s="143">
        <v>0</v>
      </c>
      <c r="P175" s="690" t="s">
        <v>403</v>
      </c>
      <c r="Q175" s="690" t="s">
        <v>430</v>
      </c>
      <c r="R175" s="690" t="s">
        <v>404</v>
      </c>
      <c r="S175" s="502" t="s">
        <v>57</v>
      </c>
      <c r="T175" s="499"/>
      <c r="U175" s="523" t="s">
        <v>11</v>
      </c>
    </row>
    <row r="176" spans="1:21" s="10" customFormat="1" ht="35.1" customHeight="1">
      <c r="A176" s="1241"/>
      <c r="B176" s="1298"/>
      <c r="C176" s="479"/>
      <c r="D176" s="587"/>
      <c r="E176" s="588"/>
      <c r="F176" s="589"/>
      <c r="G176" s="1245"/>
      <c r="H176" s="1245"/>
      <c r="I176" s="702"/>
      <c r="J176" s="702"/>
      <c r="K176" s="521"/>
      <c r="L176" s="152">
        <v>84.895099999999999</v>
      </c>
      <c r="M176" s="230">
        <v>25</v>
      </c>
      <c r="N176" s="143">
        <v>0</v>
      </c>
      <c r="O176" s="143">
        <v>0</v>
      </c>
      <c r="P176" s="691"/>
      <c r="Q176" s="691"/>
      <c r="R176" s="691"/>
      <c r="S176" s="503"/>
      <c r="T176" s="500"/>
      <c r="U176" s="524"/>
    </row>
    <row r="177" spans="1:21" s="10" customFormat="1" ht="35.1" customHeight="1">
      <c r="A177" s="1241"/>
      <c r="B177" s="1298"/>
      <c r="C177" s="479"/>
      <c r="D177" s="587"/>
      <c r="E177" s="588"/>
      <c r="F177" s="589"/>
      <c r="G177" s="1245"/>
      <c r="H177" s="1245"/>
      <c r="I177" s="702"/>
      <c r="J177" s="702"/>
      <c r="K177" s="521"/>
      <c r="L177" s="152">
        <v>84.895099999999999</v>
      </c>
      <c r="M177" s="230">
        <v>1</v>
      </c>
      <c r="N177" s="143">
        <v>0</v>
      </c>
      <c r="O177" s="143">
        <v>0</v>
      </c>
      <c r="P177" s="691"/>
      <c r="Q177" s="691"/>
      <c r="R177" s="691"/>
      <c r="S177" s="503"/>
      <c r="T177" s="500"/>
      <c r="U177" s="524"/>
    </row>
    <row r="178" spans="1:21" s="10" customFormat="1" ht="35.1" customHeight="1">
      <c r="A178" s="1241"/>
      <c r="B178" s="1298"/>
      <c r="C178" s="479"/>
      <c r="D178" s="587"/>
      <c r="E178" s="588"/>
      <c r="F178" s="589"/>
      <c r="G178" s="1245"/>
      <c r="H178" s="1245"/>
      <c r="I178" s="702"/>
      <c r="J178" s="702"/>
      <c r="K178" s="521"/>
      <c r="L178" s="153">
        <v>84.824299999999994</v>
      </c>
      <c r="M178" s="230">
        <v>6</v>
      </c>
      <c r="N178" s="143">
        <v>0</v>
      </c>
      <c r="O178" s="143">
        <v>0</v>
      </c>
      <c r="P178" s="691"/>
      <c r="Q178" s="691"/>
      <c r="R178" s="691"/>
      <c r="S178" s="503"/>
      <c r="T178" s="500"/>
      <c r="U178" s="524"/>
    </row>
    <row r="179" spans="1:21" s="10" customFormat="1" ht="35.1" customHeight="1">
      <c r="A179" s="1241"/>
      <c r="B179" s="1298"/>
      <c r="C179" s="479"/>
      <c r="D179" s="587"/>
      <c r="E179" s="588"/>
      <c r="F179" s="589"/>
      <c r="G179" s="1245"/>
      <c r="H179" s="1245"/>
      <c r="I179" s="702"/>
      <c r="J179" s="702"/>
      <c r="K179" s="521"/>
      <c r="L179" s="152">
        <v>84.824299999999994</v>
      </c>
      <c r="M179" s="230">
        <v>1</v>
      </c>
      <c r="N179" s="143">
        <v>0</v>
      </c>
      <c r="O179" s="143">
        <v>0</v>
      </c>
      <c r="P179" s="691"/>
      <c r="Q179" s="691"/>
      <c r="R179" s="691"/>
      <c r="S179" s="503"/>
      <c r="T179" s="500"/>
      <c r="U179" s="524"/>
    </row>
    <row r="180" spans="1:21" s="10" customFormat="1" ht="35.1" customHeight="1">
      <c r="A180" s="1241"/>
      <c r="B180" s="1298"/>
      <c r="C180" s="479"/>
      <c r="D180" s="587"/>
      <c r="E180" s="588"/>
      <c r="F180" s="589"/>
      <c r="G180" s="1245"/>
      <c r="H180" s="1245"/>
      <c r="I180" s="702"/>
      <c r="J180" s="702"/>
      <c r="K180" s="521"/>
      <c r="L180" s="152">
        <v>84.879900000000006</v>
      </c>
      <c r="M180" s="230">
        <v>11</v>
      </c>
      <c r="N180" s="143">
        <v>0</v>
      </c>
      <c r="O180" s="143">
        <v>0</v>
      </c>
      <c r="P180" s="691"/>
      <c r="Q180" s="691"/>
      <c r="R180" s="691"/>
      <c r="S180" s="503"/>
      <c r="T180" s="500"/>
      <c r="U180" s="524"/>
    </row>
    <row r="181" spans="1:21" s="10" customFormat="1" ht="35.1" customHeight="1">
      <c r="A181" s="1241"/>
      <c r="B181" s="1298"/>
      <c r="C181" s="479"/>
      <c r="D181" s="587"/>
      <c r="E181" s="588"/>
      <c r="F181" s="589"/>
      <c r="G181" s="1245"/>
      <c r="H181" s="1245"/>
      <c r="I181" s="702"/>
      <c r="J181" s="702"/>
      <c r="K181" s="521"/>
      <c r="L181" s="153">
        <v>84.932500000000005</v>
      </c>
      <c r="M181" s="230">
        <v>13</v>
      </c>
      <c r="N181" s="143">
        <v>0</v>
      </c>
      <c r="O181" s="143">
        <v>0</v>
      </c>
      <c r="P181" s="691"/>
      <c r="Q181" s="691"/>
      <c r="R181" s="691"/>
      <c r="S181" s="503"/>
      <c r="T181" s="500"/>
      <c r="U181" s="524"/>
    </row>
    <row r="182" spans="1:21" s="10" customFormat="1" ht="35.1" customHeight="1">
      <c r="A182" s="1241"/>
      <c r="B182" s="1298"/>
      <c r="C182" s="479"/>
      <c r="D182" s="587"/>
      <c r="E182" s="588"/>
      <c r="F182" s="589"/>
      <c r="G182" s="1245"/>
      <c r="H182" s="1245"/>
      <c r="I182" s="702"/>
      <c r="J182" s="702"/>
      <c r="K182" s="521"/>
      <c r="L182" s="152">
        <v>84.877899999999997</v>
      </c>
      <c r="M182" s="230">
        <v>16</v>
      </c>
      <c r="N182" s="143">
        <v>0</v>
      </c>
      <c r="O182" s="143">
        <v>0</v>
      </c>
      <c r="P182" s="691"/>
      <c r="Q182" s="691"/>
      <c r="R182" s="691"/>
      <c r="S182" s="503"/>
      <c r="T182" s="500"/>
      <c r="U182" s="524"/>
    </row>
    <row r="183" spans="1:21" s="10" customFormat="1" ht="35.1" customHeight="1">
      <c r="A183" s="1241"/>
      <c r="B183" s="1298"/>
      <c r="C183" s="479"/>
      <c r="D183" s="587"/>
      <c r="E183" s="588"/>
      <c r="F183" s="589"/>
      <c r="G183" s="1245"/>
      <c r="H183" s="1245"/>
      <c r="I183" s="702"/>
      <c r="J183" s="702"/>
      <c r="K183" s="521"/>
      <c r="L183" s="152">
        <v>84.862700000000004</v>
      </c>
      <c r="M183" s="230">
        <v>16</v>
      </c>
      <c r="N183" s="143">
        <v>0</v>
      </c>
      <c r="O183" s="143">
        <v>0</v>
      </c>
      <c r="P183" s="691"/>
      <c r="Q183" s="691"/>
      <c r="R183" s="691"/>
      <c r="S183" s="503"/>
      <c r="T183" s="500"/>
      <c r="U183" s="524"/>
    </row>
    <row r="184" spans="1:21" s="10" customFormat="1" ht="35.1" customHeight="1">
      <c r="A184" s="1241"/>
      <c r="B184" s="1298"/>
      <c r="C184" s="479"/>
      <c r="D184" s="587"/>
      <c r="E184" s="588"/>
      <c r="F184" s="589"/>
      <c r="G184" s="1245"/>
      <c r="H184" s="1245"/>
      <c r="I184" s="702"/>
      <c r="J184" s="702"/>
      <c r="K184" s="521"/>
      <c r="L184" s="153">
        <v>84.990499999999997</v>
      </c>
      <c r="M184" s="230">
        <v>18</v>
      </c>
      <c r="N184" s="143">
        <v>0</v>
      </c>
      <c r="O184" s="143">
        <v>0</v>
      </c>
      <c r="P184" s="691"/>
      <c r="Q184" s="691"/>
      <c r="R184" s="691"/>
      <c r="S184" s="503"/>
      <c r="T184" s="500"/>
      <c r="U184" s="524"/>
    </row>
    <row r="185" spans="1:21" s="10" customFormat="1" ht="35.1" customHeight="1">
      <c r="A185" s="1241"/>
      <c r="B185" s="1298"/>
      <c r="C185" s="479"/>
      <c r="D185" s="587"/>
      <c r="E185" s="588"/>
      <c r="F185" s="589"/>
      <c r="G185" s="1245"/>
      <c r="H185" s="1245"/>
      <c r="I185" s="702"/>
      <c r="J185" s="702"/>
      <c r="K185" s="521"/>
      <c r="L185" s="152">
        <v>84.885999999999996</v>
      </c>
      <c r="M185" s="230">
        <v>18</v>
      </c>
      <c r="N185" s="143">
        <v>0</v>
      </c>
      <c r="O185" s="143">
        <v>0</v>
      </c>
      <c r="P185" s="691"/>
      <c r="Q185" s="691"/>
      <c r="R185" s="691"/>
      <c r="S185" s="503"/>
      <c r="T185" s="500"/>
      <c r="U185" s="524"/>
    </row>
    <row r="186" spans="1:21" s="10" customFormat="1" ht="35.1" customHeight="1">
      <c r="A186" s="1241"/>
      <c r="B186" s="1298"/>
      <c r="C186" s="479"/>
      <c r="D186" s="587"/>
      <c r="E186" s="588"/>
      <c r="F186" s="589"/>
      <c r="G186" s="1245"/>
      <c r="H186" s="1245"/>
      <c r="I186" s="702"/>
      <c r="J186" s="702"/>
      <c r="K186" s="521"/>
      <c r="L186" s="152">
        <v>84.885999999999996</v>
      </c>
      <c r="M186" s="230">
        <v>1</v>
      </c>
      <c r="N186" s="143">
        <v>0</v>
      </c>
      <c r="O186" s="143">
        <v>0</v>
      </c>
      <c r="P186" s="691"/>
      <c r="Q186" s="691"/>
      <c r="R186" s="691"/>
      <c r="S186" s="503"/>
      <c r="T186" s="500"/>
      <c r="U186" s="524"/>
    </row>
    <row r="187" spans="1:21" s="10" customFormat="1" ht="35.1" customHeight="1">
      <c r="A187" s="1241"/>
      <c r="B187" s="1298"/>
      <c r="C187" s="479"/>
      <c r="D187" s="587"/>
      <c r="E187" s="588"/>
      <c r="F187" s="589"/>
      <c r="G187" s="1245"/>
      <c r="H187" s="1245"/>
      <c r="I187" s="702"/>
      <c r="J187" s="702"/>
      <c r="K187" s="521"/>
      <c r="L187" s="152">
        <v>84.915400000000005</v>
      </c>
      <c r="M187" s="230">
        <v>13</v>
      </c>
      <c r="N187" s="143">
        <v>0</v>
      </c>
      <c r="O187" s="143">
        <v>0</v>
      </c>
      <c r="P187" s="691"/>
      <c r="Q187" s="691"/>
      <c r="R187" s="691"/>
      <c r="S187" s="503"/>
      <c r="T187" s="500"/>
      <c r="U187" s="524"/>
    </row>
    <row r="188" spans="1:21" s="10" customFormat="1" ht="35.1" customHeight="1">
      <c r="A188" s="1241"/>
      <c r="B188" s="1298"/>
      <c r="C188" s="479"/>
      <c r="D188" s="587"/>
      <c r="E188" s="588"/>
      <c r="F188" s="589"/>
      <c r="G188" s="1245"/>
      <c r="H188" s="1245"/>
      <c r="I188" s="702"/>
      <c r="J188" s="702"/>
      <c r="K188" s="521"/>
      <c r="L188" s="152">
        <v>84.937600000000003</v>
      </c>
      <c r="M188" s="230">
        <v>7</v>
      </c>
      <c r="N188" s="143">
        <v>0</v>
      </c>
      <c r="O188" s="143">
        <v>0</v>
      </c>
      <c r="P188" s="691"/>
      <c r="Q188" s="691"/>
      <c r="R188" s="691"/>
      <c r="S188" s="503"/>
      <c r="T188" s="500"/>
      <c r="U188" s="524"/>
    </row>
    <row r="189" spans="1:21" s="10" customFormat="1" ht="35.1" customHeight="1">
      <c r="A189" s="1241"/>
      <c r="B189" s="1298"/>
      <c r="C189" s="479"/>
      <c r="D189" s="587"/>
      <c r="E189" s="588"/>
      <c r="F189" s="589"/>
      <c r="G189" s="1245"/>
      <c r="H189" s="1245"/>
      <c r="I189" s="702"/>
      <c r="J189" s="702"/>
      <c r="K189" s="521"/>
      <c r="L189" s="152">
        <v>84.937600000000003</v>
      </c>
      <c r="M189" s="230">
        <v>1</v>
      </c>
      <c r="N189" s="143">
        <v>0</v>
      </c>
      <c r="O189" s="143">
        <v>0</v>
      </c>
      <c r="P189" s="691"/>
      <c r="Q189" s="691"/>
      <c r="R189" s="691"/>
      <c r="S189" s="503"/>
      <c r="T189" s="500"/>
      <c r="U189" s="524"/>
    </row>
    <row r="190" spans="1:21" s="10" customFormat="1" ht="35.1" customHeight="1">
      <c r="A190" s="1241"/>
      <c r="B190" s="1298"/>
      <c r="C190" s="479"/>
      <c r="D190" s="587"/>
      <c r="E190" s="588"/>
      <c r="F190" s="589"/>
      <c r="G190" s="1245"/>
      <c r="H190" s="1245"/>
      <c r="I190" s="702"/>
      <c r="J190" s="702"/>
      <c r="K190" s="521"/>
      <c r="L190" s="152">
        <v>118.9605</v>
      </c>
      <c r="M190" s="230">
        <v>1</v>
      </c>
      <c r="N190" s="143">
        <v>1</v>
      </c>
      <c r="O190" s="143">
        <v>1</v>
      </c>
      <c r="P190" s="691"/>
      <c r="Q190" s="691"/>
      <c r="R190" s="691"/>
      <c r="S190" s="503"/>
      <c r="T190" s="500"/>
      <c r="U190" s="524"/>
    </row>
    <row r="191" spans="1:21" s="10" customFormat="1" ht="35.1" customHeight="1">
      <c r="A191" s="1241"/>
      <c r="B191" s="1298"/>
      <c r="C191" s="479"/>
      <c r="D191" s="587"/>
      <c r="E191" s="588"/>
      <c r="F191" s="589"/>
      <c r="G191" s="1245"/>
      <c r="H191" s="1245"/>
      <c r="I191" s="702"/>
      <c r="J191" s="702"/>
      <c r="K191" s="521"/>
      <c r="L191" s="152">
        <v>130.89349999999999</v>
      </c>
      <c r="M191" s="230">
        <v>1</v>
      </c>
      <c r="N191" s="143">
        <v>0</v>
      </c>
      <c r="O191" s="143">
        <v>0</v>
      </c>
      <c r="P191" s="691"/>
      <c r="Q191" s="691"/>
      <c r="R191" s="691"/>
      <c r="S191" s="503"/>
      <c r="T191" s="500"/>
      <c r="U191" s="524"/>
    </row>
    <row r="192" spans="1:21" s="10" customFormat="1" ht="35.1" customHeight="1">
      <c r="A192" s="1241"/>
      <c r="B192" s="1298"/>
      <c r="C192" s="479"/>
      <c r="D192" s="587"/>
      <c r="E192" s="588"/>
      <c r="F192" s="589"/>
      <c r="G192" s="1245"/>
      <c r="H192" s="1245"/>
      <c r="I192" s="702"/>
      <c r="J192" s="702"/>
      <c r="K192" s="521"/>
      <c r="L192" s="152">
        <v>131.53620000000001</v>
      </c>
      <c r="M192" s="230">
        <v>1</v>
      </c>
      <c r="N192" s="143">
        <v>1</v>
      </c>
      <c r="O192" s="143">
        <v>1</v>
      </c>
      <c r="P192" s="691"/>
      <c r="Q192" s="691"/>
      <c r="R192" s="691"/>
      <c r="S192" s="503"/>
      <c r="T192" s="500"/>
      <c r="U192" s="524"/>
    </row>
    <row r="193" spans="1:21" s="10" customFormat="1" ht="35.1" customHeight="1">
      <c r="A193" s="1241"/>
      <c r="B193" s="1298"/>
      <c r="C193" s="479"/>
      <c r="D193" s="587"/>
      <c r="E193" s="588"/>
      <c r="F193" s="589"/>
      <c r="G193" s="1245"/>
      <c r="H193" s="1245"/>
      <c r="I193" s="702"/>
      <c r="J193" s="702"/>
      <c r="K193" s="521"/>
      <c r="L193" s="152">
        <v>131.78360000000001</v>
      </c>
      <c r="M193" s="230">
        <v>1</v>
      </c>
      <c r="N193" s="143">
        <v>1</v>
      </c>
      <c r="O193" s="143">
        <v>1</v>
      </c>
      <c r="P193" s="691"/>
      <c r="Q193" s="691"/>
      <c r="R193" s="691"/>
      <c r="S193" s="503"/>
      <c r="T193" s="500"/>
      <c r="U193" s="524"/>
    </row>
    <row r="194" spans="1:21" s="10" customFormat="1" ht="35.1" customHeight="1">
      <c r="A194" s="1241"/>
      <c r="B194" s="1298"/>
      <c r="C194" s="479"/>
      <c r="D194" s="587"/>
      <c r="E194" s="588"/>
      <c r="F194" s="589"/>
      <c r="G194" s="1245"/>
      <c r="H194" s="1245"/>
      <c r="I194" s="702"/>
      <c r="J194" s="702"/>
      <c r="K194" s="521"/>
      <c r="L194" s="152">
        <v>132.4306</v>
      </c>
      <c r="M194" s="230">
        <v>1</v>
      </c>
      <c r="N194" s="143">
        <v>1</v>
      </c>
      <c r="O194" s="143">
        <v>1</v>
      </c>
      <c r="P194" s="691"/>
      <c r="Q194" s="691"/>
      <c r="R194" s="691"/>
      <c r="S194" s="503"/>
      <c r="T194" s="500"/>
      <c r="U194" s="524"/>
    </row>
    <row r="195" spans="1:21" s="10" customFormat="1" ht="35.1" customHeight="1">
      <c r="A195" s="1241"/>
      <c r="B195" s="1298"/>
      <c r="C195" s="479"/>
      <c r="D195" s="587"/>
      <c r="E195" s="588"/>
      <c r="F195" s="589"/>
      <c r="G195" s="1245"/>
      <c r="H195" s="1245"/>
      <c r="I195" s="702"/>
      <c r="J195" s="702"/>
      <c r="K195" s="521"/>
      <c r="L195" s="152">
        <v>133.6139</v>
      </c>
      <c r="M195" s="230">
        <v>1</v>
      </c>
      <c r="N195" s="143">
        <v>1</v>
      </c>
      <c r="O195" s="143">
        <v>1</v>
      </c>
      <c r="P195" s="691"/>
      <c r="Q195" s="691"/>
      <c r="R195" s="691"/>
      <c r="S195" s="503"/>
      <c r="T195" s="500"/>
      <c r="U195" s="524"/>
    </row>
    <row r="196" spans="1:21" s="10" customFormat="1" ht="35.1" customHeight="1">
      <c r="A196" s="1241"/>
      <c r="B196" s="1298"/>
      <c r="C196" s="479"/>
      <c r="D196" s="587"/>
      <c r="E196" s="588"/>
      <c r="F196" s="589"/>
      <c r="G196" s="1246"/>
      <c r="H196" s="154"/>
      <c r="I196" s="703"/>
      <c r="J196" s="703"/>
      <c r="K196" s="522"/>
      <c r="L196" s="152">
        <v>139.9067</v>
      </c>
      <c r="M196" s="230">
        <v>1</v>
      </c>
      <c r="N196" s="143">
        <v>1</v>
      </c>
      <c r="O196" s="143">
        <v>1</v>
      </c>
      <c r="P196" s="691"/>
      <c r="Q196" s="691"/>
      <c r="R196" s="691"/>
      <c r="S196" s="503"/>
      <c r="T196" s="500"/>
      <c r="U196" s="524"/>
    </row>
    <row r="197" spans="1:21" s="10" customFormat="1" ht="35.1" customHeight="1">
      <c r="A197" s="1241"/>
      <c r="B197" s="1298"/>
      <c r="C197" s="480"/>
      <c r="D197" s="707"/>
      <c r="E197" s="708"/>
      <c r="F197" s="709"/>
      <c r="G197" s="463" t="s">
        <v>329</v>
      </c>
      <c r="H197" s="464"/>
      <c r="I197" s="464"/>
      <c r="J197" s="464"/>
      <c r="K197" s="465"/>
      <c r="L197" s="139"/>
      <c r="M197" s="249">
        <f t="shared" ref="M197:N197" si="10">SUM(M175:M196)</f>
        <v>171</v>
      </c>
      <c r="N197" s="246">
        <f t="shared" si="10"/>
        <v>6</v>
      </c>
      <c r="O197" s="246">
        <f t="shared" ref="O197" si="11">SUM(O175:O196)</f>
        <v>6</v>
      </c>
      <c r="P197" s="692"/>
      <c r="Q197" s="692"/>
      <c r="R197" s="692"/>
      <c r="S197" s="504"/>
      <c r="T197" s="501"/>
      <c r="U197" s="694"/>
    </row>
    <row r="198" spans="1:21" s="10" customFormat="1" ht="35.1" customHeight="1">
      <c r="A198" s="1241"/>
      <c r="B198" s="1298"/>
      <c r="C198" s="478" t="s">
        <v>540</v>
      </c>
      <c r="D198" s="584" t="s">
        <v>484</v>
      </c>
      <c r="E198" s="585"/>
      <c r="F198" s="586"/>
      <c r="G198" s="478" t="s">
        <v>485</v>
      </c>
      <c r="H198" s="478" t="s">
        <v>486</v>
      </c>
      <c r="I198" s="478" t="s">
        <v>487</v>
      </c>
      <c r="J198" s="687" t="s">
        <v>11</v>
      </c>
      <c r="K198" s="687" t="s">
        <v>12</v>
      </c>
      <c r="L198" s="118">
        <v>59.945500000000003</v>
      </c>
      <c r="M198" s="243">
        <v>118</v>
      </c>
      <c r="N198" s="127">
        <v>0</v>
      </c>
      <c r="O198" s="127">
        <v>0</v>
      </c>
      <c r="P198" s="523" t="s">
        <v>493</v>
      </c>
      <c r="Q198" s="523" t="s">
        <v>493</v>
      </c>
      <c r="R198" s="499" t="s">
        <v>495</v>
      </c>
      <c r="S198" s="499" t="s">
        <v>13</v>
      </c>
      <c r="T198" s="499" t="s">
        <v>54</v>
      </c>
      <c r="U198" s="499" t="s">
        <v>11</v>
      </c>
    </row>
    <row r="199" spans="1:21" s="10" customFormat="1" ht="35.1" customHeight="1">
      <c r="A199" s="1241"/>
      <c r="B199" s="1298"/>
      <c r="C199" s="479"/>
      <c r="D199" s="587"/>
      <c r="E199" s="588"/>
      <c r="F199" s="589"/>
      <c r="G199" s="479"/>
      <c r="H199" s="479"/>
      <c r="I199" s="479"/>
      <c r="J199" s="688"/>
      <c r="K199" s="688"/>
      <c r="L199" s="118">
        <v>59.990200000000002</v>
      </c>
      <c r="M199" s="243">
        <v>14</v>
      </c>
      <c r="N199" s="127">
        <v>0</v>
      </c>
      <c r="O199" s="127">
        <v>0</v>
      </c>
      <c r="P199" s="524"/>
      <c r="Q199" s="524"/>
      <c r="R199" s="500"/>
      <c r="S199" s="500"/>
      <c r="T199" s="500"/>
      <c r="U199" s="500"/>
    </row>
    <row r="200" spans="1:21" s="10" customFormat="1" ht="35.1" customHeight="1">
      <c r="A200" s="1241"/>
      <c r="B200" s="1298"/>
      <c r="C200" s="479"/>
      <c r="D200" s="587"/>
      <c r="E200" s="588"/>
      <c r="F200" s="589"/>
      <c r="G200" s="479"/>
      <c r="H200" s="479"/>
      <c r="I200" s="479"/>
      <c r="J200" s="688"/>
      <c r="K200" s="688"/>
      <c r="L200" s="118">
        <v>74.993499999999997</v>
      </c>
      <c r="M200" s="243">
        <v>62</v>
      </c>
      <c r="N200" s="127">
        <v>8</v>
      </c>
      <c r="O200" s="127">
        <v>8</v>
      </c>
      <c r="P200" s="524"/>
      <c r="Q200" s="524"/>
      <c r="R200" s="500"/>
      <c r="S200" s="500"/>
      <c r="T200" s="500"/>
      <c r="U200" s="500"/>
    </row>
    <row r="201" spans="1:21" s="10" customFormat="1" ht="35.1" customHeight="1">
      <c r="A201" s="1241"/>
      <c r="B201" s="1298"/>
      <c r="C201" s="479"/>
      <c r="D201" s="587"/>
      <c r="E201" s="588"/>
      <c r="F201" s="589"/>
      <c r="G201" s="479"/>
      <c r="H201" s="479"/>
      <c r="I201" s="479"/>
      <c r="J201" s="688"/>
      <c r="K201" s="688"/>
      <c r="L201" s="118">
        <v>84.992400000000004</v>
      </c>
      <c r="M201" s="243">
        <v>128</v>
      </c>
      <c r="N201" s="127">
        <v>1</v>
      </c>
      <c r="O201" s="127">
        <v>1</v>
      </c>
      <c r="P201" s="524"/>
      <c r="Q201" s="524"/>
      <c r="R201" s="500"/>
      <c r="S201" s="500"/>
      <c r="T201" s="500"/>
      <c r="U201" s="500"/>
    </row>
    <row r="202" spans="1:21" s="10" customFormat="1" ht="35.1" customHeight="1">
      <c r="A202" s="1241"/>
      <c r="B202" s="1298"/>
      <c r="C202" s="479"/>
      <c r="D202" s="587"/>
      <c r="E202" s="588"/>
      <c r="F202" s="589"/>
      <c r="G202" s="479"/>
      <c r="H202" s="479"/>
      <c r="I202" s="479"/>
      <c r="J202" s="688"/>
      <c r="K202" s="688"/>
      <c r="L202" s="118">
        <v>84.988299999999995</v>
      </c>
      <c r="M202" s="243">
        <v>13</v>
      </c>
      <c r="N202" s="127">
        <v>9</v>
      </c>
      <c r="O202" s="127">
        <v>9</v>
      </c>
      <c r="P202" s="524"/>
      <c r="Q202" s="524"/>
      <c r="R202" s="500"/>
      <c r="S202" s="500"/>
      <c r="T202" s="500"/>
      <c r="U202" s="500"/>
    </row>
    <row r="203" spans="1:21" s="10" customFormat="1" ht="35.1" customHeight="1">
      <c r="A203" s="1241"/>
      <c r="B203" s="1298"/>
      <c r="C203" s="479"/>
      <c r="D203" s="587"/>
      <c r="E203" s="588"/>
      <c r="F203" s="589"/>
      <c r="G203" s="480"/>
      <c r="H203" s="480"/>
      <c r="I203" s="480"/>
      <c r="J203" s="689"/>
      <c r="K203" s="689"/>
      <c r="L203" s="118">
        <v>84.916200000000003</v>
      </c>
      <c r="M203" s="243">
        <v>13</v>
      </c>
      <c r="N203" s="127">
        <v>10</v>
      </c>
      <c r="O203" s="127">
        <v>10</v>
      </c>
      <c r="P203" s="524"/>
      <c r="Q203" s="524"/>
      <c r="R203" s="500"/>
      <c r="S203" s="500"/>
      <c r="T203" s="500"/>
      <c r="U203" s="500"/>
    </row>
    <row r="204" spans="1:21" s="10" customFormat="1" ht="35.1" customHeight="1">
      <c r="A204" s="1241"/>
      <c r="B204" s="1298"/>
      <c r="C204" s="480"/>
      <c r="D204" s="707"/>
      <c r="E204" s="708"/>
      <c r="F204" s="709"/>
      <c r="G204" s="463" t="s">
        <v>329</v>
      </c>
      <c r="H204" s="464"/>
      <c r="I204" s="464"/>
      <c r="J204" s="464"/>
      <c r="K204" s="465"/>
      <c r="L204" s="139"/>
      <c r="M204" s="249">
        <f>SUM(M198:M203)</f>
        <v>348</v>
      </c>
      <c r="N204" s="246">
        <f>SUM(N198:N203)</f>
        <v>28</v>
      </c>
      <c r="O204" s="246">
        <f>SUM(O198:O203)</f>
        <v>28</v>
      </c>
      <c r="P204" s="694"/>
      <c r="Q204" s="694"/>
      <c r="R204" s="501"/>
      <c r="S204" s="501"/>
      <c r="T204" s="501"/>
      <c r="U204" s="501"/>
    </row>
    <row r="205" spans="1:21" s="10" customFormat="1" ht="35.1" customHeight="1">
      <c r="A205" s="1241"/>
      <c r="B205" s="1298"/>
      <c r="C205" s="478" t="s">
        <v>538</v>
      </c>
      <c r="D205" s="584" t="s">
        <v>573</v>
      </c>
      <c r="E205" s="585"/>
      <c r="F205" s="586"/>
      <c r="G205" s="566" t="s">
        <v>488</v>
      </c>
      <c r="H205" s="566" t="s">
        <v>489</v>
      </c>
      <c r="I205" s="566" t="s">
        <v>490</v>
      </c>
      <c r="J205" s="687" t="s">
        <v>11</v>
      </c>
      <c r="K205" s="687" t="s">
        <v>12</v>
      </c>
      <c r="L205" s="118">
        <v>84.83</v>
      </c>
      <c r="M205" s="221">
        <v>34</v>
      </c>
      <c r="N205" s="127">
        <v>30</v>
      </c>
      <c r="O205" s="127">
        <v>29</v>
      </c>
      <c r="P205" s="499" t="s">
        <v>492</v>
      </c>
      <c r="Q205" s="844" t="s">
        <v>494</v>
      </c>
      <c r="R205" s="499" t="s">
        <v>438</v>
      </c>
      <c r="S205" s="502" t="s">
        <v>188</v>
      </c>
      <c r="T205" s="499" t="s">
        <v>491</v>
      </c>
      <c r="U205" s="499" t="s">
        <v>547</v>
      </c>
    </row>
    <row r="206" spans="1:21" s="10" customFormat="1" ht="35.1" customHeight="1">
      <c r="A206" s="1241"/>
      <c r="B206" s="1298"/>
      <c r="C206" s="479"/>
      <c r="D206" s="587"/>
      <c r="E206" s="588"/>
      <c r="F206" s="589"/>
      <c r="G206" s="567"/>
      <c r="H206" s="567"/>
      <c r="I206" s="567"/>
      <c r="J206" s="688"/>
      <c r="K206" s="688"/>
      <c r="L206" s="118">
        <v>84.730999999999995</v>
      </c>
      <c r="M206" s="221">
        <v>18</v>
      </c>
      <c r="N206" s="127">
        <v>13</v>
      </c>
      <c r="O206" s="127">
        <v>12</v>
      </c>
      <c r="P206" s="500"/>
      <c r="Q206" s="845"/>
      <c r="R206" s="500"/>
      <c r="S206" s="503"/>
      <c r="T206" s="500"/>
      <c r="U206" s="500"/>
    </row>
    <row r="207" spans="1:21" s="10" customFormat="1" ht="35.1" customHeight="1">
      <c r="A207" s="1241"/>
      <c r="B207" s="1298"/>
      <c r="C207" s="479"/>
      <c r="D207" s="587"/>
      <c r="E207" s="588"/>
      <c r="F207" s="589"/>
      <c r="G207" s="567"/>
      <c r="H207" s="567"/>
      <c r="I207" s="567"/>
      <c r="J207" s="688"/>
      <c r="K207" s="688"/>
      <c r="L207" s="118">
        <v>84.694999999999993</v>
      </c>
      <c r="M207" s="221">
        <v>18</v>
      </c>
      <c r="N207" s="127">
        <v>1</v>
      </c>
      <c r="O207" s="127">
        <v>0</v>
      </c>
      <c r="P207" s="500"/>
      <c r="Q207" s="845"/>
      <c r="R207" s="500"/>
      <c r="S207" s="503"/>
      <c r="T207" s="500"/>
      <c r="U207" s="500"/>
    </row>
    <row r="208" spans="1:21" s="10" customFormat="1" ht="35.1" customHeight="1">
      <c r="A208" s="1241"/>
      <c r="B208" s="1298"/>
      <c r="C208" s="479"/>
      <c r="D208" s="587"/>
      <c r="E208" s="588"/>
      <c r="F208" s="589"/>
      <c r="G208" s="567"/>
      <c r="H208" s="567"/>
      <c r="I208" s="567"/>
      <c r="J208" s="688"/>
      <c r="K208" s="688"/>
      <c r="L208" s="118">
        <v>84.626999999999995</v>
      </c>
      <c r="M208" s="221">
        <v>9</v>
      </c>
      <c r="N208" s="127">
        <v>2</v>
      </c>
      <c r="O208" s="127">
        <v>2</v>
      </c>
      <c r="P208" s="500"/>
      <c r="Q208" s="845"/>
      <c r="R208" s="500"/>
      <c r="S208" s="503"/>
      <c r="T208" s="500"/>
      <c r="U208" s="500"/>
    </row>
    <row r="209" spans="1:21" s="10" customFormat="1" ht="35.1" customHeight="1">
      <c r="A209" s="1241"/>
      <c r="B209" s="1298"/>
      <c r="C209" s="479"/>
      <c r="D209" s="587"/>
      <c r="E209" s="588"/>
      <c r="F209" s="589"/>
      <c r="G209" s="567"/>
      <c r="H209" s="567"/>
      <c r="I209" s="567"/>
      <c r="J209" s="688"/>
      <c r="K209" s="688"/>
      <c r="L209" s="118">
        <v>84.694999999999993</v>
      </c>
      <c r="M209" s="221">
        <v>4</v>
      </c>
      <c r="N209" s="127">
        <v>0</v>
      </c>
      <c r="O209" s="127">
        <v>0</v>
      </c>
      <c r="P209" s="500"/>
      <c r="Q209" s="845"/>
      <c r="R209" s="500"/>
      <c r="S209" s="503"/>
      <c r="T209" s="500"/>
      <c r="U209" s="500"/>
    </row>
    <row r="210" spans="1:21" s="10" customFormat="1" ht="35.1" customHeight="1">
      <c r="A210" s="1241"/>
      <c r="B210" s="1298"/>
      <c r="C210" s="479"/>
      <c r="D210" s="587"/>
      <c r="E210" s="588"/>
      <c r="F210" s="589"/>
      <c r="G210" s="567"/>
      <c r="H210" s="567"/>
      <c r="I210" s="567"/>
      <c r="J210" s="688"/>
      <c r="K210" s="688"/>
      <c r="L210" s="118">
        <v>84.626999999999995</v>
      </c>
      <c r="M210" s="221">
        <v>2</v>
      </c>
      <c r="N210" s="127">
        <v>0</v>
      </c>
      <c r="O210" s="127">
        <v>0</v>
      </c>
      <c r="P210" s="500"/>
      <c r="Q210" s="845"/>
      <c r="R210" s="500"/>
      <c r="S210" s="503"/>
      <c r="T210" s="500"/>
      <c r="U210" s="500"/>
    </row>
    <row r="211" spans="1:21" s="10" customFormat="1" ht="35.1" customHeight="1">
      <c r="A211" s="1241"/>
      <c r="B211" s="1298"/>
      <c r="C211" s="479"/>
      <c r="D211" s="587"/>
      <c r="E211" s="588"/>
      <c r="F211" s="589"/>
      <c r="G211" s="568"/>
      <c r="H211" s="568"/>
      <c r="I211" s="568"/>
      <c r="J211" s="689"/>
      <c r="K211" s="689"/>
      <c r="L211" s="118">
        <v>84.664900000000003</v>
      </c>
      <c r="M211" s="221">
        <v>9</v>
      </c>
      <c r="N211" s="127">
        <v>9</v>
      </c>
      <c r="O211" s="127">
        <v>8</v>
      </c>
      <c r="P211" s="500"/>
      <c r="Q211" s="845"/>
      <c r="R211" s="500"/>
      <c r="S211" s="503"/>
      <c r="T211" s="500"/>
      <c r="U211" s="500"/>
    </row>
    <row r="212" spans="1:21" s="10" customFormat="1" ht="35.1" customHeight="1">
      <c r="A212" s="1241"/>
      <c r="B212" s="1298"/>
      <c r="C212" s="480"/>
      <c r="D212" s="707"/>
      <c r="E212" s="708"/>
      <c r="F212" s="709"/>
      <c r="G212" s="463" t="s">
        <v>329</v>
      </c>
      <c r="H212" s="464"/>
      <c r="I212" s="464"/>
      <c r="J212" s="464"/>
      <c r="K212" s="465"/>
      <c r="L212" s="139"/>
      <c r="M212" s="249">
        <f>SUM(M205:M211)</f>
        <v>94</v>
      </c>
      <c r="N212" s="246">
        <f>SUM(N205:N211)</f>
        <v>55</v>
      </c>
      <c r="O212" s="246">
        <f>SUM(O205:O211)</f>
        <v>51</v>
      </c>
      <c r="P212" s="501"/>
      <c r="Q212" s="846"/>
      <c r="R212" s="501"/>
      <c r="S212" s="504"/>
      <c r="T212" s="501"/>
      <c r="U212" s="501"/>
    </row>
    <row r="213" spans="1:21" s="10" customFormat="1" ht="35.1" customHeight="1">
      <c r="A213" s="1241"/>
      <c r="B213" s="1298"/>
      <c r="C213" s="478" t="s">
        <v>541</v>
      </c>
      <c r="D213" s="584" t="s">
        <v>554</v>
      </c>
      <c r="E213" s="585"/>
      <c r="F213" s="586"/>
      <c r="G213" s="478" t="s">
        <v>544</v>
      </c>
      <c r="H213" s="478" t="s">
        <v>545</v>
      </c>
      <c r="I213" s="566" t="s">
        <v>546</v>
      </c>
      <c r="J213" s="566" t="s">
        <v>553</v>
      </c>
      <c r="K213" s="687" t="s">
        <v>12</v>
      </c>
      <c r="L213" s="118">
        <v>59.998600000000003</v>
      </c>
      <c r="M213" s="221">
        <v>29</v>
      </c>
      <c r="N213" s="119">
        <v>0</v>
      </c>
      <c r="O213" s="119">
        <v>0</v>
      </c>
      <c r="P213" s="523" t="s">
        <v>552</v>
      </c>
      <c r="Q213" s="499" t="s">
        <v>551</v>
      </c>
      <c r="R213" s="499" t="s">
        <v>550</v>
      </c>
      <c r="S213" s="499" t="s">
        <v>549</v>
      </c>
      <c r="T213" s="499" t="s">
        <v>548</v>
      </c>
      <c r="U213" s="499" t="s">
        <v>547</v>
      </c>
    </row>
    <row r="214" spans="1:21" s="10" customFormat="1" ht="35.1" customHeight="1">
      <c r="A214" s="1241"/>
      <c r="B214" s="1298"/>
      <c r="C214" s="479"/>
      <c r="D214" s="587"/>
      <c r="E214" s="588"/>
      <c r="F214" s="589"/>
      <c r="G214" s="479"/>
      <c r="H214" s="479"/>
      <c r="I214" s="567"/>
      <c r="J214" s="567"/>
      <c r="K214" s="688"/>
      <c r="L214" s="118">
        <v>59.998699999999999</v>
      </c>
      <c r="M214" s="221">
        <v>42</v>
      </c>
      <c r="N214" s="119">
        <v>0</v>
      </c>
      <c r="O214" s="119">
        <v>0</v>
      </c>
      <c r="P214" s="524"/>
      <c r="Q214" s="500"/>
      <c r="R214" s="500"/>
      <c r="S214" s="500"/>
      <c r="T214" s="500"/>
      <c r="U214" s="500"/>
    </row>
    <row r="215" spans="1:21" s="10" customFormat="1" ht="35.1" customHeight="1">
      <c r="A215" s="1241"/>
      <c r="B215" s="1298"/>
      <c r="C215" s="479"/>
      <c r="D215" s="587"/>
      <c r="E215" s="588"/>
      <c r="F215" s="589"/>
      <c r="G215" s="479"/>
      <c r="H215" s="479"/>
      <c r="I215" s="567"/>
      <c r="J215" s="567"/>
      <c r="K215" s="688"/>
      <c r="L215" s="118">
        <v>74.998800000000003</v>
      </c>
      <c r="M215" s="221">
        <v>13</v>
      </c>
      <c r="N215" s="119">
        <v>0</v>
      </c>
      <c r="O215" s="119">
        <v>0</v>
      </c>
      <c r="P215" s="524"/>
      <c r="Q215" s="500"/>
      <c r="R215" s="500"/>
      <c r="S215" s="500"/>
      <c r="T215" s="500"/>
      <c r="U215" s="500"/>
    </row>
    <row r="216" spans="1:21" s="10" customFormat="1" ht="35.1" customHeight="1">
      <c r="A216" s="1241"/>
      <c r="B216" s="1298"/>
      <c r="C216" s="479"/>
      <c r="D216" s="587"/>
      <c r="E216" s="588"/>
      <c r="F216" s="589"/>
      <c r="G216" s="479"/>
      <c r="H216" s="479"/>
      <c r="I216" s="567"/>
      <c r="J216" s="567"/>
      <c r="K216" s="688"/>
      <c r="L216" s="118">
        <v>74.991200000000006</v>
      </c>
      <c r="M216" s="221">
        <v>2</v>
      </c>
      <c r="N216" s="119">
        <v>0</v>
      </c>
      <c r="O216" s="119">
        <v>0</v>
      </c>
      <c r="P216" s="524"/>
      <c r="Q216" s="500"/>
      <c r="R216" s="500"/>
      <c r="S216" s="500"/>
      <c r="T216" s="500"/>
      <c r="U216" s="500"/>
    </row>
    <row r="217" spans="1:21" s="10" customFormat="1" ht="35.1" customHeight="1">
      <c r="A217" s="1241"/>
      <c r="B217" s="1298"/>
      <c r="C217" s="479"/>
      <c r="D217" s="587"/>
      <c r="E217" s="588"/>
      <c r="F217" s="589"/>
      <c r="G217" s="479"/>
      <c r="H217" s="479"/>
      <c r="I217" s="567"/>
      <c r="J217" s="567"/>
      <c r="K217" s="688"/>
      <c r="L217" s="118">
        <v>84.994699999999995</v>
      </c>
      <c r="M217" s="221">
        <v>30</v>
      </c>
      <c r="N217" s="119">
        <v>0</v>
      </c>
      <c r="O217" s="119">
        <v>0</v>
      </c>
      <c r="P217" s="524"/>
      <c r="Q217" s="500"/>
      <c r="R217" s="500"/>
      <c r="S217" s="500"/>
      <c r="T217" s="500"/>
      <c r="U217" s="500"/>
    </row>
    <row r="218" spans="1:21" s="10" customFormat="1" ht="35.1" customHeight="1">
      <c r="A218" s="1241"/>
      <c r="B218" s="1298"/>
      <c r="C218" s="479"/>
      <c r="D218" s="587"/>
      <c r="E218" s="588"/>
      <c r="F218" s="589"/>
      <c r="G218" s="479"/>
      <c r="H218" s="479"/>
      <c r="I218" s="567"/>
      <c r="J218" s="567"/>
      <c r="K218" s="688"/>
      <c r="L218" s="118">
        <v>84.995599999999996</v>
      </c>
      <c r="M218" s="221">
        <v>9</v>
      </c>
      <c r="N218" s="119">
        <v>0</v>
      </c>
      <c r="O218" s="119">
        <v>0</v>
      </c>
      <c r="P218" s="524"/>
      <c r="Q218" s="500"/>
      <c r="R218" s="500"/>
      <c r="S218" s="500"/>
      <c r="T218" s="500"/>
      <c r="U218" s="500"/>
    </row>
    <row r="219" spans="1:21" s="10" customFormat="1" ht="35.1" customHeight="1">
      <c r="A219" s="1241"/>
      <c r="B219" s="1298"/>
      <c r="C219" s="479"/>
      <c r="D219" s="587"/>
      <c r="E219" s="588"/>
      <c r="F219" s="589"/>
      <c r="G219" s="480"/>
      <c r="H219" s="480"/>
      <c r="I219" s="568"/>
      <c r="J219" s="568"/>
      <c r="K219" s="689"/>
      <c r="L219" s="118">
        <v>84.998699999999999</v>
      </c>
      <c r="M219" s="221">
        <v>9</v>
      </c>
      <c r="N219" s="119">
        <v>0</v>
      </c>
      <c r="O219" s="119">
        <v>0</v>
      </c>
      <c r="P219" s="524"/>
      <c r="Q219" s="500"/>
      <c r="R219" s="500"/>
      <c r="S219" s="500"/>
      <c r="T219" s="500"/>
      <c r="U219" s="500"/>
    </row>
    <row r="220" spans="1:21" s="10" customFormat="1" ht="35.1" customHeight="1">
      <c r="A220" s="1241"/>
      <c r="B220" s="1298"/>
      <c r="C220" s="480"/>
      <c r="D220" s="707"/>
      <c r="E220" s="708"/>
      <c r="F220" s="709"/>
      <c r="G220" s="463" t="s">
        <v>329</v>
      </c>
      <c r="H220" s="464"/>
      <c r="I220" s="464"/>
      <c r="J220" s="464"/>
      <c r="K220" s="465"/>
      <c r="L220" s="139"/>
      <c r="M220" s="249">
        <f>SUM(M213:M219)</f>
        <v>134</v>
      </c>
      <c r="N220" s="246">
        <f>SUM(N213:N219)</f>
        <v>0</v>
      </c>
      <c r="O220" s="246">
        <f>SUM(O213:O219)</f>
        <v>0</v>
      </c>
      <c r="P220" s="694"/>
      <c r="Q220" s="501"/>
      <c r="R220" s="501"/>
      <c r="S220" s="501"/>
      <c r="T220" s="501"/>
      <c r="U220" s="501"/>
    </row>
    <row r="221" spans="1:21" s="10" customFormat="1" ht="35.1" customHeight="1">
      <c r="A221" s="1241"/>
      <c r="B221" s="1298"/>
      <c r="C221" s="478" t="s">
        <v>541</v>
      </c>
      <c r="D221" s="469" t="s">
        <v>1066</v>
      </c>
      <c r="E221" s="470"/>
      <c r="F221" s="471"/>
      <c r="G221" s="478" t="s">
        <v>795</v>
      </c>
      <c r="H221" s="478" t="s">
        <v>1069</v>
      </c>
      <c r="I221" s="566" t="s">
        <v>1070</v>
      </c>
      <c r="J221" s="566" t="s">
        <v>11</v>
      </c>
      <c r="K221" s="566" t="s">
        <v>12</v>
      </c>
      <c r="L221" s="118" t="s">
        <v>365</v>
      </c>
      <c r="M221" s="221">
        <v>100</v>
      </c>
      <c r="N221" s="221">
        <v>0</v>
      </c>
      <c r="O221" s="221">
        <v>0</v>
      </c>
      <c r="P221" s="523" t="s">
        <v>1071</v>
      </c>
      <c r="Q221" s="499" t="s">
        <v>1073</v>
      </c>
      <c r="R221" s="499" t="s">
        <v>1072</v>
      </c>
      <c r="S221" s="523" t="s">
        <v>13</v>
      </c>
      <c r="T221" s="523" t="s">
        <v>1067</v>
      </c>
      <c r="U221" s="523" t="s">
        <v>11</v>
      </c>
    </row>
    <row r="222" spans="1:21" s="10" customFormat="1" ht="35.1" customHeight="1">
      <c r="A222" s="1241"/>
      <c r="B222" s="1298"/>
      <c r="C222" s="479"/>
      <c r="D222" s="472"/>
      <c r="E222" s="473"/>
      <c r="F222" s="474"/>
      <c r="G222" s="479"/>
      <c r="H222" s="479"/>
      <c r="I222" s="567"/>
      <c r="J222" s="567"/>
      <c r="K222" s="567"/>
      <c r="L222" s="118" t="s">
        <v>84</v>
      </c>
      <c r="M222" s="221">
        <v>481</v>
      </c>
      <c r="N222" s="221">
        <v>0</v>
      </c>
      <c r="O222" s="221">
        <v>0</v>
      </c>
      <c r="P222" s="524"/>
      <c r="Q222" s="500"/>
      <c r="R222" s="500"/>
      <c r="S222" s="524"/>
      <c r="T222" s="524"/>
      <c r="U222" s="524"/>
    </row>
    <row r="223" spans="1:21" s="10" customFormat="1" ht="35.1" customHeight="1">
      <c r="A223" s="1241"/>
      <c r="B223" s="1298"/>
      <c r="C223" s="479"/>
      <c r="D223" s="472"/>
      <c r="E223" s="473"/>
      <c r="F223" s="474"/>
      <c r="G223" s="479"/>
      <c r="H223" s="479"/>
      <c r="I223" s="567"/>
      <c r="J223" s="567"/>
      <c r="K223" s="567"/>
      <c r="L223" s="118" t="s">
        <v>83</v>
      </c>
      <c r="M223" s="221">
        <v>187</v>
      </c>
      <c r="N223" s="221">
        <v>0</v>
      </c>
      <c r="O223" s="221">
        <v>0</v>
      </c>
      <c r="P223" s="524"/>
      <c r="Q223" s="500"/>
      <c r="R223" s="500"/>
      <c r="S223" s="524"/>
      <c r="T223" s="524"/>
      <c r="U223" s="524"/>
    </row>
    <row r="224" spans="1:21" s="10" customFormat="1" ht="35.1" customHeight="1">
      <c r="A224" s="1241"/>
      <c r="B224" s="1298"/>
      <c r="C224" s="479"/>
      <c r="D224" s="472"/>
      <c r="E224" s="473"/>
      <c r="F224" s="474"/>
      <c r="G224" s="479"/>
      <c r="H224" s="479"/>
      <c r="I224" s="567"/>
      <c r="J224" s="567"/>
      <c r="K224" s="567"/>
      <c r="L224" s="118" t="s">
        <v>1068</v>
      </c>
      <c r="M224" s="221">
        <v>92</v>
      </c>
      <c r="N224" s="221">
        <v>0</v>
      </c>
      <c r="O224" s="221">
        <v>0</v>
      </c>
      <c r="P224" s="524"/>
      <c r="Q224" s="500"/>
      <c r="R224" s="500"/>
      <c r="S224" s="524"/>
      <c r="T224" s="524"/>
      <c r="U224" s="524"/>
    </row>
    <row r="225" spans="1:21" s="10" customFormat="1" ht="35.1" customHeight="1">
      <c r="A225" s="1241"/>
      <c r="B225" s="1298"/>
      <c r="C225" s="479"/>
      <c r="D225" s="475"/>
      <c r="E225" s="476"/>
      <c r="F225" s="477"/>
      <c r="G225" s="463" t="s">
        <v>329</v>
      </c>
      <c r="H225" s="464"/>
      <c r="I225" s="464"/>
      <c r="J225" s="464"/>
      <c r="K225" s="465"/>
      <c r="L225" s="139"/>
      <c r="M225" s="249">
        <f>SUM(M221:M224)</f>
        <v>860</v>
      </c>
      <c r="N225" s="249">
        <f t="shared" ref="N225" si="12">SUM(N221:N224)</f>
        <v>0</v>
      </c>
      <c r="O225" s="249">
        <f t="shared" ref="O225" si="13">SUM(O221:O224)</f>
        <v>0</v>
      </c>
      <c r="P225" s="524"/>
      <c r="Q225" s="500"/>
      <c r="R225" s="500"/>
      <c r="S225" s="524"/>
      <c r="T225" s="524"/>
      <c r="U225" s="524"/>
    </row>
    <row r="226" spans="1:21" s="10" customFormat="1" ht="35.1" customHeight="1">
      <c r="A226" s="1241"/>
      <c r="B226" s="1298"/>
      <c r="C226" s="1357" t="s">
        <v>1116</v>
      </c>
      <c r="D226" s="1756" t="s">
        <v>1110</v>
      </c>
      <c r="E226" s="1757"/>
      <c r="F226" s="1758"/>
      <c r="G226" s="1157" t="s">
        <v>1111</v>
      </c>
      <c r="H226" s="1158"/>
      <c r="I226" s="1158"/>
      <c r="J226" s="1158"/>
      <c r="K226" s="1159"/>
      <c r="L226" s="118" t="s">
        <v>85</v>
      </c>
      <c r="M226" s="221">
        <v>74</v>
      </c>
      <c r="N226" s="221">
        <v>67</v>
      </c>
      <c r="O226" s="221">
        <v>7</v>
      </c>
      <c r="P226" s="525" t="s">
        <v>1112</v>
      </c>
      <c r="Q226" s="525" t="s">
        <v>1113</v>
      </c>
      <c r="R226" s="525" t="s">
        <v>1114</v>
      </c>
      <c r="S226" s="525" t="s">
        <v>13</v>
      </c>
      <c r="T226" s="525" t="s">
        <v>1115</v>
      </c>
      <c r="U226" s="525" t="s">
        <v>11</v>
      </c>
    </row>
    <row r="227" spans="1:21" s="10" customFormat="1" ht="35.1" customHeight="1">
      <c r="A227" s="1241"/>
      <c r="B227" s="1298"/>
      <c r="C227" s="1358"/>
      <c r="D227" s="1759"/>
      <c r="E227" s="1760"/>
      <c r="F227" s="1761"/>
      <c r="G227" s="1160"/>
      <c r="H227" s="1161"/>
      <c r="I227" s="1161"/>
      <c r="J227" s="1161"/>
      <c r="K227" s="1162"/>
      <c r="L227" s="118" t="s">
        <v>365</v>
      </c>
      <c r="M227" s="221">
        <v>129</v>
      </c>
      <c r="N227" s="221">
        <v>38</v>
      </c>
      <c r="O227" s="221">
        <v>91</v>
      </c>
      <c r="P227" s="526"/>
      <c r="Q227" s="526"/>
      <c r="R227" s="526"/>
      <c r="S227" s="526"/>
      <c r="T227" s="526"/>
      <c r="U227" s="526"/>
    </row>
    <row r="228" spans="1:21" s="10" customFormat="1" ht="35.1" customHeight="1">
      <c r="A228" s="1241"/>
      <c r="B228" s="1298"/>
      <c r="C228" s="1358"/>
      <c r="D228" s="1759"/>
      <c r="E228" s="1760"/>
      <c r="F228" s="1761"/>
      <c r="G228" s="1160"/>
      <c r="H228" s="1161"/>
      <c r="I228" s="1161"/>
      <c r="J228" s="1161"/>
      <c r="K228" s="1162"/>
      <c r="L228" s="118" t="s">
        <v>366</v>
      </c>
      <c r="M228" s="221">
        <v>41</v>
      </c>
      <c r="N228" s="221">
        <v>1</v>
      </c>
      <c r="O228" s="221">
        <v>40</v>
      </c>
      <c r="P228" s="526"/>
      <c r="Q228" s="526"/>
      <c r="R228" s="526"/>
      <c r="S228" s="526"/>
      <c r="T228" s="526"/>
      <c r="U228" s="526"/>
    </row>
    <row r="229" spans="1:21" s="10" customFormat="1" ht="35.1" customHeight="1">
      <c r="A229" s="1241"/>
      <c r="B229" s="1298"/>
      <c r="C229" s="1358"/>
      <c r="D229" s="1759"/>
      <c r="E229" s="1760"/>
      <c r="F229" s="1761"/>
      <c r="G229" s="1160"/>
      <c r="H229" s="1161"/>
      <c r="I229" s="1161"/>
      <c r="J229" s="1161"/>
      <c r="K229" s="1162"/>
      <c r="L229" s="118" t="s">
        <v>84</v>
      </c>
      <c r="M229" s="221">
        <v>70</v>
      </c>
      <c r="N229" s="221">
        <v>35</v>
      </c>
      <c r="O229" s="221">
        <v>35</v>
      </c>
      <c r="P229" s="526"/>
      <c r="Q229" s="526"/>
      <c r="R229" s="526"/>
      <c r="S229" s="526"/>
      <c r="T229" s="526"/>
      <c r="U229" s="526"/>
    </row>
    <row r="230" spans="1:21" s="10" customFormat="1" ht="35.1" customHeight="1">
      <c r="A230" s="1241"/>
      <c r="B230" s="1298"/>
      <c r="C230" s="1358"/>
      <c r="D230" s="1759"/>
      <c r="E230" s="1760"/>
      <c r="F230" s="1761"/>
      <c r="G230" s="1163"/>
      <c r="H230" s="1164"/>
      <c r="I230" s="1164"/>
      <c r="J230" s="1164"/>
      <c r="K230" s="1165"/>
      <c r="L230" s="118" t="s">
        <v>83</v>
      </c>
      <c r="M230" s="221">
        <v>36</v>
      </c>
      <c r="N230" s="221">
        <v>0</v>
      </c>
      <c r="O230" s="221">
        <v>36</v>
      </c>
      <c r="P230" s="526"/>
      <c r="Q230" s="526"/>
      <c r="R230" s="526"/>
      <c r="S230" s="526"/>
      <c r="T230" s="526"/>
      <c r="U230" s="526"/>
    </row>
    <row r="231" spans="1:21" s="10" customFormat="1" ht="35.1" customHeight="1">
      <c r="A231" s="1241"/>
      <c r="B231" s="1298"/>
      <c r="C231" s="1359"/>
      <c r="D231" s="1762"/>
      <c r="E231" s="1763"/>
      <c r="F231" s="1764"/>
      <c r="G231" s="463" t="s">
        <v>329</v>
      </c>
      <c r="H231" s="464"/>
      <c r="I231" s="464"/>
      <c r="J231" s="464"/>
      <c r="K231" s="465"/>
      <c r="L231" s="139"/>
      <c r="M231" s="249">
        <f>SUM(M226:M230)</f>
        <v>350</v>
      </c>
      <c r="N231" s="249">
        <f t="shared" ref="N231:O231" si="14">SUM(N226:N230)</f>
        <v>141</v>
      </c>
      <c r="O231" s="249">
        <f t="shared" si="14"/>
        <v>209</v>
      </c>
      <c r="P231" s="527"/>
      <c r="Q231" s="527"/>
      <c r="R231" s="527"/>
      <c r="S231" s="527"/>
      <c r="T231" s="527"/>
      <c r="U231" s="527"/>
    </row>
    <row r="232" spans="1:21" s="10" customFormat="1" ht="35.1" customHeight="1">
      <c r="A232" s="1241"/>
      <c r="B232" s="1298"/>
      <c r="C232" s="478" t="s">
        <v>541</v>
      </c>
      <c r="D232" s="469" t="s">
        <v>1074</v>
      </c>
      <c r="E232" s="470"/>
      <c r="F232" s="471"/>
      <c r="G232" s="469" t="s">
        <v>1111</v>
      </c>
      <c r="H232" s="470"/>
      <c r="I232" s="470"/>
      <c r="J232" s="470"/>
      <c r="K232" s="471"/>
      <c r="L232" s="118" t="s">
        <v>85</v>
      </c>
      <c r="M232" s="221">
        <v>187</v>
      </c>
      <c r="N232" s="221">
        <v>1</v>
      </c>
      <c r="O232" s="221">
        <v>0</v>
      </c>
      <c r="P232" s="466" t="s">
        <v>852</v>
      </c>
      <c r="Q232" s="466" t="s">
        <v>1076</v>
      </c>
      <c r="R232" s="466" t="s">
        <v>1077</v>
      </c>
      <c r="S232" s="523" t="s">
        <v>13</v>
      </c>
      <c r="T232" s="523" t="s">
        <v>1075</v>
      </c>
      <c r="U232" s="523" t="s">
        <v>11</v>
      </c>
    </row>
    <row r="233" spans="1:21" s="10" customFormat="1" ht="35.1" customHeight="1">
      <c r="A233" s="1241"/>
      <c r="B233" s="1298"/>
      <c r="C233" s="479"/>
      <c r="D233" s="472"/>
      <c r="E233" s="473"/>
      <c r="F233" s="474"/>
      <c r="G233" s="472"/>
      <c r="H233" s="473"/>
      <c r="I233" s="473"/>
      <c r="J233" s="473"/>
      <c r="K233" s="474"/>
      <c r="L233" s="118" t="s">
        <v>103</v>
      </c>
      <c r="M233" s="221">
        <v>79</v>
      </c>
      <c r="N233" s="221">
        <v>11</v>
      </c>
      <c r="O233" s="221">
        <v>1</v>
      </c>
      <c r="P233" s="524"/>
      <c r="Q233" s="524"/>
      <c r="R233" s="524"/>
      <c r="S233" s="524"/>
      <c r="T233" s="524"/>
      <c r="U233" s="524"/>
    </row>
    <row r="234" spans="1:21" s="10" customFormat="1" ht="35.1" customHeight="1">
      <c r="A234" s="1241"/>
      <c r="B234" s="1298"/>
      <c r="C234" s="479"/>
      <c r="D234" s="472"/>
      <c r="E234" s="473"/>
      <c r="F234" s="474"/>
      <c r="G234" s="472"/>
      <c r="H234" s="473"/>
      <c r="I234" s="473"/>
      <c r="J234" s="473"/>
      <c r="K234" s="474"/>
      <c r="L234" s="118" t="s">
        <v>519</v>
      </c>
      <c r="M234" s="221">
        <v>63</v>
      </c>
      <c r="N234" s="221">
        <v>6</v>
      </c>
      <c r="O234" s="221">
        <v>3</v>
      </c>
      <c r="P234" s="524"/>
      <c r="Q234" s="524"/>
      <c r="R234" s="524"/>
      <c r="S234" s="524"/>
      <c r="T234" s="524"/>
      <c r="U234" s="524"/>
    </row>
    <row r="235" spans="1:21" s="10" customFormat="1" ht="35.1" customHeight="1">
      <c r="A235" s="1241"/>
      <c r="B235" s="1298"/>
      <c r="C235" s="479"/>
      <c r="D235" s="472"/>
      <c r="E235" s="473"/>
      <c r="F235" s="474"/>
      <c r="G235" s="472"/>
      <c r="H235" s="473"/>
      <c r="I235" s="473"/>
      <c r="J235" s="473"/>
      <c r="K235" s="474"/>
      <c r="L235" s="118">
        <v>69</v>
      </c>
      <c r="M235" s="221">
        <v>114</v>
      </c>
      <c r="N235" s="221">
        <v>30</v>
      </c>
      <c r="O235" s="221">
        <v>14</v>
      </c>
      <c r="P235" s="524"/>
      <c r="Q235" s="524"/>
      <c r="R235" s="524"/>
      <c r="S235" s="524"/>
      <c r="T235" s="524"/>
      <c r="U235" s="524"/>
    </row>
    <row r="236" spans="1:21" s="10" customFormat="1" ht="35.1" customHeight="1">
      <c r="A236" s="1241"/>
      <c r="B236" s="1298"/>
      <c r="C236" s="479"/>
      <c r="D236" s="472"/>
      <c r="E236" s="473"/>
      <c r="F236" s="474"/>
      <c r="G236" s="472"/>
      <c r="H236" s="473"/>
      <c r="I236" s="473"/>
      <c r="J236" s="473"/>
      <c r="K236" s="474"/>
      <c r="L236" s="118" t="s">
        <v>94</v>
      </c>
      <c r="M236" s="221">
        <v>36</v>
      </c>
      <c r="N236" s="221">
        <v>2</v>
      </c>
      <c r="O236" s="221">
        <v>0</v>
      </c>
      <c r="P236" s="524"/>
      <c r="Q236" s="524"/>
      <c r="R236" s="524"/>
      <c r="S236" s="524"/>
      <c r="T236" s="524"/>
      <c r="U236" s="524"/>
    </row>
    <row r="237" spans="1:21" s="10" customFormat="1" ht="35.1" customHeight="1">
      <c r="A237" s="1241"/>
      <c r="B237" s="1298"/>
      <c r="C237" s="479"/>
      <c r="D237" s="472"/>
      <c r="E237" s="473"/>
      <c r="F237" s="474"/>
      <c r="G237" s="472"/>
      <c r="H237" s="473"/>
      <c r="I237" s="473"/>
      <c r="J237" s="473"/>
      <c r="K237" s="474"/>
      <c r="L237" s="118" t="s">
        <v>93</v>
      </c>
      <c r="M237" s="221">
        <v>46</v>
      </c>
      <c r="N237" s="221">
        <v>27</v>
      </c>
      <c r="O237" s="221">
        <v>12</v>
      </c>
      <c r="P237" s="524"/>
      <c r="Q237" s="524"/>
      <c r="R237" s="524"/>
      <c r="S237" s="524"/>
      <c r="T237" s="524"/>
      <c r="U237" s="524"/>
    </row>
    <row r="238" spans="1:21" s="10" customFormat="1" ht="35.1" customHeight="1">
      <c r="A238" s="1241"/>
      <c r="B238" s="1298"/>
      <c r="C238" s="479"/>
      <c r="D238" s="472"/>
      <c r="E238" s="473"/>
      <c r="F238" s="474"/>
      <c r="G238" s="472"/>
      <c r="H238" s="473"/>
      <c r="I238" s="473"/>
      <c r="J238" s="473"/>
      <c r="K238" s="474"/>
      <c r="L238" s="118" t="s">
        <v>84</v>
      </c>
      <c r="M238" s="221">
        <v>58</v>
      </c>
      <c r="N238" s="221">
        <v>25</v>
      </c>
      <c r="O238" s="221">
        <v>4</v>
      </c>
      <c r="P238" s="524"/>
      <c r="Q238" s="524"/>
      <c r="R238" s="524"/>
      <c r="S238" s="524"/>
      <c r="T238" s="524"/>
      <c r="U238" s="524"/>
    </row>
    <row r="239" spans="1:21" s="10" customFormat="1" ht="35.1" customHeight="1">
      <c r="A239" s="1241"/>
      <c r="B239" s="1298"/>
      <c r="C239" s="479"/>
      <c r="D239" s="472"/>
      <c r="E239" s="473"/>
      <c r="F239" s="474"/>
      <c r="G239" s="475"/>
      <c r="H239" s="476"/>
      <c r="I239" s="476"/>
      <c r="J239" s="476"/>
      <c r="K239" s="477"/>
      <c r="L239" s="118" t="s">
        <v>83</v>
      </c>
      <c r="M239" s="221">
        <v>46</v>
      </c>
      <c r="N239" s="221">
        <v>34</v>
      </c>
      <c r="O239" s="221">
        <v>16</v>
      </c>
      <c r="P239" s="524"/>
      <c r="Q239" s="524"/>
      <c r="R239" s="524"/>
      <c r="S239" s="524"/>
      <c r="T239" s="524"/>
      <c r="U239" s="524"/>
    </row>
    <row r="240" spans="1:21" s="10" customFormat="1" ht="35.1" customHeight="1">
      <c r="A240" s="1241"/>
      <c r="B240" s="1298"/>
      <c r="C240" s="480"/>
      <c r="D240" s="475"/>
      <c r="E240" s="476"/>
      <c r="F240" s="477"/>
      <c r="G240" s="463" t="s">
        <v>329</v>
      </c>
      <c r="H240" s="464"/>
      <c r="I240" s="464"/>
      <c r="J240" s="464"/>
      <c r="K240" s="465"/>
      <c r="L240" s="139"/>
      <c r="M240" s="249">
        <f>SUM(M232:M239)</f>
        <v>629</v>
      </c>
      <c r="N240" s="249">
        <f t="shared" ref="N240" si="15">SUM(N232:N239)</f>
        <v>136</v>
      </c>
      <c r="O240" s="249">
        <f t="shared" ref="O240" si="16">SUM(O232:O239)</f>
        <v>50</v>
      </c>
      <c r="P240" s="694"/>
      <c r="Q240" s="694"/>
      <c r="R240" s="694"/>
      <c r="S240" s="694"/>
      <c r="T240" s="694"/>
      <c r="U240" s="694"/>
    </row>
    <row r="241" spans="1:21" s="10" customFormat="1" ht="35.1" customHeight="1">
      <c r="A241" s="1241"/>
      <c r="B241" s="1298"/>
      <c r="C241" s="478" t="s">
        <v>1119</v>
      </c>
      <c r="D241" s="469" t="s">
        <v>1120</v>
      </c>
      <c r="E241" s="470"/>
      <c r="F241" s="471"/>
      <c r="G241" s="478" t="s">
        <v>1121</v>
      </c>
      <c r="H241" s="478" t="s">
        <v>1122</v>
      </c>
      <c r="I241" s="478" t="s">
        <v>1123</v>
      </c>
      <c r="J241" s="478" t="s">
        <v>11</v>
      </c>
      <c r="K241" s="478" t="s">
        <v>12</v>
      </c>
      <c r="L241" s="118" t="s">
        <v>103</v>
      </c>
      <c r="M241" s="221">
        <v>1</v>
      </c>
      <c r="N241" s="221">
        <v>1</v>
      </c>
      <c r="O241" s="221">
        <v>1</v>
      </c>
      <c r="P241" s="466" t="s">
        <v>1124</v>
      </c>
      <c r="Q241" s="466" t="s">
        <v>1125</v>
      </c>
      <c r="R241" s="466" t="s">
        <v>1126</v>
      </c>
      <c r="S241" s="466" t="s">
        <v>13</v>
      </c>
      <c r="T241" s="466" t="s">
        <v>1127</v>
      </c>
      <c r="U241" s="466" t="s">
        <v>11</v>
      </c>
    </row>
    <row r="242" spans="1:21" s="10" customFormat="1" ht="35.1" customHeight="1">
      <c r="A242" s="1241"/>
      <c r="B242" s="1298"/>
      <c r="C242" s="479"/>
      <c r="D242" s="472"/>
      <c r="E242" s="473"/>
      <c r="F242" s="474"/>
      <c r="G242" s="479"/>
      <c r="H242" s="479"/>
      <c r="I242" s="479"/>
      <c r="J242" s="479"/>
      <c r="K242" s="479"/>
      <c r="L242" s="118" t="s">
        <v>94</v>
      </c>
      <c r="M242" s="221">
        <v>2</v>
      </c>
      <c r="N242" s="221">
        <v>2</v>
      </c>
      <c r="O242" s="221">
        <v>2</v>
      </c>
      <c r="P242" s="524"/>
      <c r="Q242" s="524"/>
      <c r="R242" s="524"/>
      <c r="S242" s="524"/>
      <c r="T242" s="524"/>
      <c r="U242" s="524"/>
    </row>
    <row r="243" spans="1:21" s="10" customFormat="1" ht="35.1" customHeight="1">
      <c r="A243" s="1241"/>
      <c r="B243" s="1298"/>
      <c r="C243" s="479"/>
      <c r="D243" s="472"/>
      <c r="E243" s="473"/>
      <c r="F243" s="474"/>
      <c r="G243" s="479"/>
      <c r="H243" s="479"/>
      <c r="I243" s="479"/>
      <c r="J243" s="479"/>
      <c r="K243" s="479"/>
      <c r="L243" s="118" t="s">
        <v>84</v>
      </c>
      <c r="M243" s="221">
        <v>1</v>
      </c>
      <c r="N243" s="221">
        <v>0</v>
      </c>
      <c r="O243" s="221">
        <v>0</v>
      </c>
      <c r="P243" s="524"/>
      <c r="Q243" s="524"/>
      <c r="R243" s="524"/>
      <c r="S243" s="524"/>
      <c r="T243" s="524"/>
      <c r="U243" s="524"/>
    </row>
    <row r="244" spans="1:21" s="10" customFormat="1" ht="35.1" customHeight="1">
      <c r="A244" s="1241"/>
      <c r="B244" s="1298"/>
      <c r="C244" s="479"/>
      <c r="D244" s="472"/>
      <c r="E244" s="473"/>
      <c r="F244" s="474"/>
      <c r="G244" s="479"/>
      <c r="H244" s="479"/>
      <c r="I244" s="479"/>
      <c r="J244" s="479"/>
      <c r="K244" s="479"/>
      <c r="L244" s="118" t="s">
        <v>83</v>
      </c>
      <c r="M244" s="221">
        <v>1</v>
      </c>
      <c r="N244" s="221">
        <v>1</v>
      </c>
      <c r="O244" s="221">
        <v>1</v>
      </c>
      <c r="P244" s="524"/>
      <c r="Q244" s="524"/>
      <c r="R244" s="524"/>
      <c r="S244" s="524"/>
      <c r="T244" s="524"/>
      <c r="U244" s="524"/>
    </row>
    <row r="245" spans="1:21" s="10" customFormat="1" ht="35.1" customHeight="1">
      <c r="A245" s="1241"/>
      <c r="B245" s="1298"/>
      <c r="C245" s="479"/>
      <c r="D245" s="475"/>
      <c r="E245" s="476"/>
      <c r="F245" s="477"/>
      <c r="G245" s="463" t="s">
        <v>329</v>
      </c>
      <c r="H245" s="464"/>
      <c r="I245" s="464"/>
      <c r="J245" s="464"/>
      <c r="K245" s="465"/>
      <c r="L245" s="139"/>
      <c r="M245" s="249">
        <f>SUM(M241:M244)</f>
        <v>5</v>
      </c>
      <c r="N245" s="249">
        <f t="shared" ref="N245" si="17">SUM(N241:N244)</f>
        <v>4</v>
      </c>
      <c r="O245" s="249">
        <f t="shared" ref="O245" si="18">SUM(O241:O244)</f>
        <v>4</v>
      </c>
      <c r="P245" s="524"/>
      <c r="Q245" s="524"/>
      <c r="R245" s="524"/>
      <c r="S245" s="524"/>
      <c r="T245" s="524"/>
      <c r="U245" s="524"/>
    </row>
    <row r="246" spans="1:21" s="10" customFormat="1" ht="35.1" customHeight="1">
      <c r="A246" s="1241"/>
      <c r="B246" s="1298"/>
      <c r="C246" s="478" t="s">
        <v>1119</v>
      </c>
      <c r="D246" s="469" t="s">
        <v>1147</v>
      </c>
      <c r="E246" s="470"/>
      <c r="F246" s="471"/>
      <c r="G246" s="478" t="s">
        <v>1148</v>
      </c>
      <c r="H246" s="478" t="s">
        <v>1149</v>
      </c>
      <c r="I246" s="478" t="s">
        <v>1150</v>
      </c>
      <c r="J246" s="478" t="s">
        <v>11</v>
      </c>
      <c r="K246" s="478" t="s">
        <v>12</v>
      </c>
      <c r="L246" s="118" t="s">
        <v>85</v>
      </c>
      <c r="M246" s="221">
        <v>175</v>
      </c>
      <c r="N246" s="221"/>
      <c r="O246" s="221">
        <v>39</v>
      </c>
      <c r="P246" s="466" t="s">
        <v>1142</v>
      </c>
      <c r="Q246" s="466" t="s">
        <v>1143</v>
      </c>
      <c r="R246" s="466" t="s">
        <v>1144</v>
      </c>
      <c r="S246" s="466" t="s">
        <v>13</v>
      </c>
      <c r="T246" s="466" t="s">
        <v>1145</v>
      </c>
      <c r="U246" s="466" t="s">
        <v>17</v>
      </c>
    </row>
    <row r="247" spans="1:21" s="10" customFormat="1" ht="35.1" customHeight="1">
      <c r="A247" s="1241"/>
      <c r="B247" s="1298"/>
      <c r="C247" s="479"/>
      <c r="D247" s="472"/>
      <c r="E247" s="473"/>
      <c r="F247" s="474"/>
      <c r="G247" s="479"/>
      <c r="H247" s="479"/>
      <c r="I247" s="479"/>
      <c r="J247" s="479"/>
      <c r="K247" s="479"/>
      <c r="L247" s="118" t="s">
        <v>103</v>
      </c>
      <c r="M247" s="221">
        <v>112</v>
      </c>
      <c r="N247" s="221"/>
      <c r="O247" s="221">
        <v>0</v>
      </c>
      <c r="P247" s="467"/>
      <c r="Q247" s="467"/>
      <c r="R247" s="467"/>
      <c r="S247" s="467"/>
      <c r="T247" s="467"/>
      <c r="U247" s="467"/>
    </row>
    <row r="248" spans="1:21" s="10" customFormat="1" ht="35.1" customHeight="1">
      <c r="A248" s="1241"/>
      <c r="B248" s="1298"/>
      <c r="C248" s="479"/>
      <c r="D248" s="472"/>
      <c r="E248" s="473"/>
      <c r="F248" s="474"/>
      <c r="G248" s="479"/>
      <c r="H248" s="479"/>
      <c r="I248" s="479"/>
      <c r="J248" s="479"/>
      <c r="K248" s="479"/>
      <c r="L248" s="118" t="s">
        <v>519</v>
      </c>
      <c r="M248" s="221">
        <v>38</v>
      </c>
      <c r="N248" s="221"/>
      <c r="O248" s="221">
        <v>12</v>
      </c>
      <c r="P248" s="467"/>
      <c r="Q248" s="467"/>
      <c r="R248" s="467"/>
      <c r="S248" s="467"/>
      <c r="T248" s="467"/>
      <c r="U248" s="467"/>
    </row>
    <row r="249" spans="1:21" s="10" customFormat="1" ht="35.1" customHeight="1">
      <c r="A249" s="1241"/>
      <c r="B249" s="1298"/>
      <c r="C249" s="479"/>
      <c r="D249" s="472"/>
      <c r="E249" s="473"/>
      <c r="F249" s="474"/>
      <c r="G249" s="479"/>
      <c r="H249" s="479"/>
      <c r="I249" s="479"/>
      <c r="J249" s="479"/>
      <c r="K249" s="479"/>
      <c r="L249" s="118" t="s">
        <v>1146</v>
      </c>
      <c r="M249" s="221">
        <v>38</v>
      </c>
      <c r="N249" s="221"/>
      <c r="O249" s="221">
        <v>15</v>
      </c>
      <c r="P249" s="467"/>
      <c r="Q249" s="467"/>
      <c r="R249" s="467"/>
      <c r="S249" s="467"/>
      <c r="T249" s="467"/>
      <c r="U249" s="467"/>
    </row>
    <row r="250" spans="1:21" s="10" customFormat="1" ht="35.1" customHeight="1">
      <c r="A250" s="1241"/>
      <c r="B250" s="1298"/>
      <c r="C250" s="479"/>
      <c r="D250" s="472"/>
      <c r="E250" s="473"/>
      <c r="F250" s="474"/>
      <c r="G250" s="479"/>
      <c r="H250" s="479"/>
      <c r="I250" s="479"/>
      <c r="J250" s="479"/>
      <c r="K250" s="479"/>
      <c r="L250" s="118" t="s">
        <v>209</v>
      </c>
      <c r="M250" s="221">
        <v>78</v>
      </c>
      <c r="N250" s="221"/>
      <c r="O250" s="221">
        <v>38</v>
      </c>
      <c r="P250" s="467"/>
      <c r="Q250" s="467"/>
      <c r="R250" s="467"/>
      <c r="S250" s="467"/>
      <c r="T250" s="467"/>
      <c r="U250" s="467"/>
    </row>
    <row r="251" spans="1:21" s="10" customFormat="1" ht="35.1" customHeight="1">
      <c r="A251" s="1241"/>
      <c r="B251" s="1298"/>
      <c r="C251" s="479"/>
      <c r="D251" s="472"/>
      <c r="E251" s="473"/>
      <c r="F251" s="474"/>
      <c r="G251" s="480"/>
      <c r="H251" s="480"/>
      <c r="I251" s="480"/>
      <c r="J251" s="480"/>
      <c r="K251" s="480"/>
      <c r="L251" s="118" t="s">
        <v>84</v>
      </c>
      <c r="M251" s="221">
        <v>148</v>
      </c>
      <c r="N251" s="221"/>
      <c r="O251" s="221">
        <v>23</v>
      </c>
      <c r="P251" s="467"/>
      <c r="Q251" s="467"/>
      <c r="R251" s="467"/>
      <c r="S251" s="467"/>
      <c r="T251" s="467"/>
      <c r="U251" s="467"/>
    </row>
    <row r="252" spans="1:21" s="10" customFormat="1" ht="35.1" customHeight="1">
      <c r="A252" s="1241"/>
      <c r="B252" s="1299"/>
      <c r="C252" s="480"/>
      <c r="D252" s="475"/>
      <c r="E252" s="476"/>
      <c r="F252" s="477"/>
      <c r="G252" s="463" t="s">
        <v>329</v>
      </c>
      <c r="H252" s="464"/>
      <c r="I252" s="464"/>
      <c r="J252" s="464"/>
      <c r="K252" s="465"/>
      <c r="L252" s="139"/>
      <c r="M252" s="249">
        <f>SUM(M246:M251)</f>
        <v>589</v>
      </c>
      <c r="N252" s="249">
        <f t="shared" ref="N252:O252" si="19">SUM(N246:N251)</f>
        <v>0</v>
      </c>
      <c r="O252" s="249">
        <f t="shared" si="19"/>
        <v>127</v>
      </c>
      <c r="P252" s="468"/>
      <c r="Q252" s="468"/>
      <c r="R252" s="468"/>
      <c r="S252" s="468"/>
      <c r="T252" s="468"/>
      <c r="U252" s="468"/>
    </row>
    <row r="253" spans="1:21" s="10" customFormat="1" ht="35.1" customHeight="1">
      <c r="A253" s="1241"/>
      <c r="B253" s="620" t="s">
        <v>105</v>
      </c>
      <c r="C253" s="621"/>
      <c r="D253" s="621"/>
      <c r="E253" s="621"/>
      <c r="F253" s="621"/>
      <c r="G253" s="621"/>
      <c r="H253" s="621"/>
      <c r="I253" s="621"/>
      <c r="J253" s="621"/>
      <c r="K253" s="622"/>
      <c r="L253" s="122"/>
      <c r="M253" s="395">
        <f>M220+M212+M204+M197+M174+M163+M159+M151+M146+M140+M225+M231+M240</f>
        <v>5482</v>
      </c>
      <c r="N253" s="395">
        <f>N220+N212+N204+N197+N174+N163+N159+N151+N146+N140+N225+N231+N240+N245</f>
        <v>692</v>
      </c>
      <c r="O253" s="395">
        <f>O220+O212+O204+O197+O174+O163+O159+O151+O146+O140+O225+O231+O240+O245+O252</f>
        <v>790</v>
      </c>
      <c r="P253" s="155"/>
      <c r="Q253" s="155"/>
      <c r="R253" s="155"/>
      <c r="S253" s="156"/>
      <c r="T253" s="125"/>
      <c r="U253" s="156"/>
    </row>
    <row r="254" spans="1:21" s="11" customFormat="1" ht="35.1" customHeight="1">
      <c r="A254" s="1241"/>
      <c r="B254" s="537" t="s">
        <v>102</v>
      </c>
      <c r="C254" s="982" t="s">
        <v>100</v>
      </c>
      <c r="D254" s="570" t="s">
        <v>568</v>
      </c>
      <c r="E254" s="571"/>
      <c r="F254" s="572"/>
      <c r="G254" s="566" t="s">
        <v>278</v>
      </c>
      <c r="H254" s="566" t="s">
        <v>278</v>
      </c>
      <c r="I254" s="566" t="s">
        <v>279</v>
      </c>
      <c r="J254" s="982" t="s">
        <v>11</v>
      </c>
      <c r="K254" s="982" t="s">
        <v>66</v>
      </c>
      <c r="L254" s="713">
        <v>148</v>
      </c>
      <c r="M254" s="1145">
        <v>390</v>
      </c>
      <c r="N254" s="988">
        <v>99</v>
      </c>
      <c r="O254" s="988">
        <v>99</v>
      </c>
      <c r="P254" s="695" t="s">
        <v>431</v>
      </c>
      <c r="Q254" s="695" t="s">
        <v>432</v>
      </c>
      <c r="R254" s="695" t="s">
        <v>433</v>
      </c>
      <c r="S254" s="651" t="s">
        <v>57</v>
      </c>
      <c r="T254" s="629" t="s">
        <v>101</v>
      </c>
      <c r="U254" s="713" t="s">
        <v>11</v>
      </c>
    </row>
    <row r="255" spans="1:21" s="11" customFormat="1" ht="35.1" customHeight="1">
      <c r="A255" s="1241"/>
      <c r="B255" s="538"/>
      <c r="C255" s="983"/>
      <c r="D255" s="573"/>
      <c r="E255" s="574"/>
      <c r="F255" s="575"/>
      <c r="G255" s="567"/>
      <c r="H255" s="567"/>
      <c r="I255" s="567"/>
      <c r="J255" s="983"/>
      <c r="K255" s="983"/>
      <c r="L255" s="714"/>
      <c r="M255" s="1146"/>
      <c r="N255" s="989"/>
      <c r="O255" s="989"/>
      <c r="P255" s="696"/>
      <c r="Q255" s="696"/>
      <c r="R255" s="696"/>
      <c r="S255" s="652"/>
      <c r="T255" s="630"/>
      <c r="U255" s="714"/>
    </row>
    <row r="256" spans="1:21" s="11" customFormat="1" ht="35.1" customHeight="1">
      <c r="A256" s="1241"/>
      <c r="B256" s="538"/>
      <c r="C256" s="983"/>
      <c r="D256" s="573"/>
      <c r="E256" s="574"/>
      <c r="F256" s="575"/>
      <c r="G256" s="568"/>
      <c r="H256" s="568"/>
      <c r="I256" s="568"/>
      <c r="J256" s="984"/>
      <c r="K256" s="984"/>
      <c r="L256" s="715"/>
      <c r="M256" s="1147"/>
      <c r="N256" s="990"/>
      <c r="O256" s="990"/>
      <c r="P256" s="696"/>
      <c r="Q256" s="696"/>
      <c r="R256" s="696"/>
      <c r="S256" s="652"/>
      <c r="T256" s="630"/>
      <c r="U256" s="714"/>
    </row>
    <row r="257" spans="1:21" s="11" customFormat="1" ht="35.1" customHeight="1">
      <c r="A257" s="1241"/>
      <c r="B257" s="538"/>
      <c r="C257" s="984"/>
      <c r="D257" s="576"/>
      <c r="E257" s="577"/>
      <c r="F257" s="578"/>
      <c r="G257" s="463" t="s">
        <v>329</v>
      </c>
      <c r="H257" s="464"/>
      <c r="I257" s="464"/>
      <c r="J257" s="464"/>
      <c r="K257" s="465"/>
      <c r="L257" s="133"/>
      <c r="M257" s="251">
        <f>SUM(M254:M256)</f>
        <v>390</v>
      </c>
      <c r="N257" s="396">
        <f>SUM(N254:N256)</f>
        <v>99</v>
      </c>
      <c r="O257" s="396">
        <f>SUM(O254:O256)</f>
        <v>99</v>
      </c>
      <c r="P257" s="697"/>
      <c r="Q257" s="697"/>
      <c r="R257" s="697"/>
      <c r="S257" s="653"/>
      <c r="T257" s="631"/>
      <c r="U257" s="715"/>
    </row>
    <row r="258" spans="1:21" s="11" customFormat="1" ht="35.1" customHeight="1">
      <c r="A258" s="1241"/>
      <c r="B258" s="538"/>
      <c r="C258" s="982" t="s">
        <v>100</v>
      </c>
      <c r="D258" s="570" t="s">
        <v>569</v>
      </c>
      <c r="E258" s="571"/>
      <c r="F258" s="572"/>
      <c r="G258" s="566" t="s">
        <v>278</v>
      </c>
      <c r="H258" s="566" t="s">
        <v>278</v>
      </c>
      <c r="I258" s="566" t="s">
        <v>279</v>
      </c>
      <c r="J258" s="982" t="s">
        <v>11</v>
      </c>
      <c r="K258" s="982" t="s">
        <v>66</v>
      </c>
      <c r="L258" s="713">
        <v>148</v>
      </c>
      <c r="M258" s="1145">
        <v>148</v>
      </c>
      <c r="N258" s="988">
        <v>95</v>
      </c>
      <c r="O258" s="988">
        <v>95</v>
      </c>
      <c r="P258" s="695" t="s">
        <v>431</v>
      </c>
      <c r="Q258" s="695" t="s">
        <v>432</v>
      </c>
      <c r="R258" s="695" t="s">
        <v>433</v>
      </c>
      <c r="S258" s="651" t="s">
        <v>57</v>
      </c>
      <c r="T258" s="629" t="s">
        <v>99</v>
      </c>
      <c r="U258" s="713" t="s">
        <v>11</v>
      </c>
    </row>
    <row r="259" spans="1:21" s="11" customFormat="1" ht="35.1" customHeight="1">
      <c r="A259" s="1241"/>
      <c r="B259" s="538"/>
      <c r="C259" s="983"/>
      <c r="D259" s="573"/>
      <c r="E259" s="574"/>
      <c r="F259" s="575"/>
      <c r="G259" s="567"/>
      <c r="H259" s="567"/>
      <c r="I259" s="567"/>
      <c r="J259" s="983"/>
      <c r="K259" s="983"/>
      <c r="L259" s="714"/>
      <c r="M259" s="1146"/>
      <c r="N259" s="989"/>
      <c r="O259" s="989"/>
      <c r="P259" s="696"/>
      <c r="Q259" s="696"/>
      <c r="R259" s="696"/>
      <c r="S259" s="652"/>
      <c r="T259" s="630"/>
      <c r="U259" s="714"/>
    </row>
    <row r="260" spans="1:21" s="11" customFormat="1" ht="35.1" customHeight="1">
      <c r="A260" s="1241"/>
      <c r="B260" s="538"/>
      <c r="C260" s="983"/>
      <c r="D260" s="573"/>
      <c r="E260" s="574"/>
      <c r="F260" s="575"/>
      <c r="G260" s="568"/>
      <c r="H260" s="568"/>
      <c r="I260" s="568"/>
      <c r="J260" s="984"/>
      <c r="K260" s="984"/>
      <c r="L260" s="715"/>
      <c r="M260" s="1147"/>
      <c r="N260" s="990"/>
      <c r="O260" s="990"/>
      <c r="P260" s="696"/>
      <c r="Q260" s="696"/>
      <c r="R260" s="696"/>
      <c r="S260" s="652"/>
      <c r="T260" s="630"/>
      <c r="U260" s="714"/>
    </row>
    <row r="261" spans="1:21" s="11" customFormat="1" ht="35.1" customHeight="1">
      <c r="A261" s="1241"/>
      <c r="B261" s="538"/>
      <c r="C261" s="984"/>
      <c r="D261" s="576"/>
      <c r="E261" s="577"/>
      <c r="F261" s="578"/>
      <c r="G261" s="463" t="s">
        <v>329</v>
      </c>
      <c r="H261" s="464"/>
      <c r="I261" s="464"/>
      <c r="J261" s="464"/>
      <c r="K261" s="465"/>
      <c r="L261" s="133"/>
      <c r="M261" s="251">
        <f>SUM(M258:M260)</f>
        <v>148</v>
      </c>
      <c r="N261" s="396">
        <f>SUM(N258:N260)</f>
        <v>95</v>
      </c>
      <c r="O261" s="396">
        <f>SUM(O258:O260)</f>
        <v>95</v>
      </c>
      <c r="P261" s="697"/>
      <c r="Q261" s="697"/>
      <c r="R261" s="697"/>
      <c r="S261" s="653"/>
      <c r="T261" s="631"/>
      <c r="U261" s="715"/>
    </row>
    <row r="262" spans="1:21" s="11" customFormat="1" ht="35.1" customHeight="1">
      <c r="A262" s="1241"/>
      <c r="B262" s="538"/>
      <c r="C262" s="566" t="s">
        <v>1129</v>
      </c>
      <c r="D262" s="874" t="s">
        <v>1130</v>
      </c>
      <c r="E262" s="875"/>
      <c r="F262" s="876"/>
      <c r="G262" s="566" t="s">
        <v>1131</v>
      </c>
      <c r="H262" s="566" t="s">
        <v>1131</v>
      </c>
      <c r="I262" s="566" t="s">
        <v>1132</v>
      </c>
      <c r="J262" s="566" t="s">
        <v>11</v>
      </c>
      <c r="K262" s="566" t="s">
        <v>12</v>
      </c>
      <c r="L262" s="157" t="s">
        <v>1133</v>
      </c>
      <c r="M262" s="253">
        <v>48</v>
      </c>
      <c r="N262" s="253">
        <v>0</v>
      </c>
      <c r="O262" s="253">
        <v>0</v>
      </c>
      <c r="P262" s="618" t="s">
        <v>1134</v>
      </c>
      <c r="Q262" s="618" t="s">
        <v>789</v>
      </c>
      <c r="R262" s="618" t="s">
        <v>535</v>
      </c>
      <c r="S262" s="618" t="s">
        <v>13</v>
      </c>
      <c r="T262" s="618" t="s">
        <v>1135</v>
      </c>
      <c r="U262" s="985" t="s">
        <v>11</v>
      </c>
    </row>
    <row r="263" spans="1:21" s="11" customFormat="1" ht="35.1" customHeight="1">
      <c r="A263" s="1241"/>
      <c r="B263" s="538"/>
      <c r="C263" s="567"/>
      <c r="D263" s="877"/>
      <c r="E263" s="878"/>
      <c r="F263" s="879"/>
      <c r="G263" s="567"/>
      <c r="H263" s="567"/>
      <c r="I263" s="567"/>
      <c r="J263" s="567"/>
      <c r="K263" s="567"/>
      <c r="L263" s="157" t="s">
        <v>84</v>
      </c>
      <c r="M263" s="253">
        <v>133</v>
      </c>
      <c r="N263" s="253">
        <v>43</v>
      </c>
      <c r="O263" s="253">
        <v>26</v>
      </c>
      <c r="P263" s="593"/>
      <c r="Q263" s="593"/>
      <c r="R263" s="593"/>
      <c r="S263" s="593"/>
      <c r="T263" s="593"/>
      <c r="U263" s="986"/>
    </row>
    <row r="264" spans="1:21" s="11" customFormat="1" ht="35.1" customHeight="1">
      <c r="A264" s="1241"/>
      <c r="B264" s="538"/>
      <c r="C264" s="567"/>
      <c r="D264" s="877"/>
      <c r="E264" s="878"/>
      <c r="F264" s="879"/>
      <c r="G264" s="567"/>
      <c r="H264" s="567"/>
      <c r="I264" s="567"/>
      <c r="J264" s="567"/>
      <c r="K264" s="567"/>
      <c r="L264" s="157" t="s">
        <v>83</v>
      </c>
      <c r="M264" s="253">
        <v>33</v>
      </c>
      <c r="N264" s="253">
        <v>19</v>
      </c>
      <c r="O264" s="253">
        <v>17</v>
      </c>
      <c r="P264" s="593"/>
      <c r="Q264" s="593"/>
      <c r="R264" s="593"/>
      <c r="S264" s="593"/>
      <c r="T264" s="593"/>
      <c r="U264" s="986"/>
    </row>
    <row r="265" spans="1:21" s="11" customFormat="1" ht="35.1" customHeight="1">
      <c r="A265" s="1241"/>
      <c r="B265" s="538"/>
      <c r="C265" s="567"/>
      <c r="D265" s="877"/>
      <c r="E265" s="878"/>
      <c r="F265" s="879"/>
      <c r="G265" s="567"/>
      <c r="H265" s="567"/>
      <c r="I265" s="567"/>
      <c r="J265" s="567"/>
      <c r="K265" s="567"/>
      <c r="L265" s="157" t="s">
        <v>1136</v>
      </c>
      <c r="M265" s="253">
        <v>137</v>
      </c>
      <c r="N265" s="253">
        <v>69</v>
      </c>
      <c r="O265" s="253">
        <v>62</v>
      </c>
      <c r="P265" s="593"/>
      <c r="Q265" s="593"/>
      <c r="R265" s="593"/>
      <c r="S265" s="593"/>
      <c r="T265" s="593"/>
      <c r="U265" s="986"/>
    </row>
    <row r="266" spans="1:21" s="11" customFormat="1" ht="35.1" customHeight="1">
      <c r="A266" s="1241"/>
      <c r="B266" s="538"/>
      <c r="C266" s="567"/>
      <c r="D266" s="877"/>
      <c r="E266" s="878"/>
      <c r="F266" s="879"/>
      <c r="G266" s="568"/>
      <c r="H266" s="568"/>
      <c r="I266" s="568"/>
      <c r="J266" s="568"/>
      <c r="K266" s="568"/>
      <c r="L266" s="157" t="s">
        <v>1137</v>
      </c>
      <c r="M266" s="253">
        <v>10</v>
      </c>
      <c r="N266" s="253">
        <v>10</v>
      </c>
      <c r="O266" s="253">
        <v>8</v>
      </c>
      <c r="P266" s="593"/>
      <c r="Q266" s="593"/>
      <c r="R266" s="593"/>
      <c r="S266" s="593"/>
      <c r="T266" s="593"/>
      <c r="U266" s="986"/>
    </row>
    <row r="267" spans="1:21" s="11" customFormat="1" ht="35.1" customHeight="1">
      <c r="A267" s="1241"/>
      <c r="B267" s="538"/>
      <c r="C267" s="567"/>
      <c r="D267" s="880"/>
      <c r="E267" s="881"/>
      <c r="F267" s="882"/>
      <c r="G267" s="463" t="s">
        <v>329</v>
      </c>
      <c r="H267" s="464"/>
      <c r="I267" s="464"/>
      <c r="J267" s="464"/>
      <c r="K267" s="465"/>
      <c r="L267" s="139"/>
      <c r="M267" s="249">
        <f>SUM(M262:M266)</f>
        <v>361</v>
      </c>
      <c r="N267" s="249">
        <f t="shared" ref="N267" si="20">SUM(N262:N266)</f>
        <v>141</v>
      </c>
      <c r="O267" s="249">
        <f t="shared" ref="O267" si="21">SUM(O262:O266)</f>
        <v>113</v>
      </c>
      <c r="P267" s="593"/>
      <c r="Q267" s="593"/>
      <c r="R267" s="593"/>
      <c r="S267" s="593"/>
      <c r="T267" s="593"/>
      <c r="U267" s="987"/>
    </row>
    <row r="268" spans="1:21" s="11" customFormat="1" ht="35.1" customHeight="1">
      <c r="A268" s="1241"/>
      <c r="B268" s="538"/>
      <c r="C268" s="993" t="s">
        <v>100</v>
      </c>
      <c r="D268" s="847" t="s">
        <v>570</v>
      </c>
      <c r="E268" s="848"/>
      <c r="F268" s="849"/>
      <c r="G268" s="993" t="s">
        <v>352</v>
      </c>
      <c r="H268" s="993" t="s">
        <v>353</v>
      </c>
      <c r="I268" s="993" t="s">
        <v>354</v>
      </c>
      <c r="J268" s="991" t="s">
        <v>11</v>
      </c>
      <c r="K268" s="991" t="s">
        <v>12</v>
      </c>
      <c r="L268" s="158">
        <v>84</v>
      </c>
      <c r="M268" s="230">
        <v>25</v>
      </c>
      <c r="N268" s="392">
        <v>0</v>
      </c>
      <c r="O268" s="392">
        <v>0</v>
      </c>
      <c r="P268" s="656" t="s">
        <v>422</v>
      </c>
      <c r="Q268" s="656" t="s">
        <v>400</v>
      </c>
      <c r="R268" s="656">
        <v>45931</v>
      </c>
      <c r="S268" s="626" t="s">
        <v>57</v>
      </c>
      <c r="T268" s="508" t="s">
        <v>356</v>
      </c>
      <c r="U268" s="508" t="s">
        <v>67</v>
      </c>
    </row>
    <row r="269" spans="1:21" s="11" customFormat="1" ht="35.1" customHeight="1">
      <c r="A269" s="1241"/>
      <c r="B269" s="538"/>
      <c r="C269" s="1352"/>
      <c r="D269" s="850"/>
      <c r="E269" s="851"/>
      <c r="F269" s="852"/>
      <c r="G269" s="1352"/>
      <c r="H269" s="1352"/>
      <c r="I269" s="1352"/>
      <c r="J269" s="995"/>
      <c r="K269" s="995"/>
      <c r="L269" s="158">
        <v>84</v>
      </c>
      <c r="M269" s="230">
        <v>75</v>
      </c>
      <c r="N269" s="392">
        <v>0</v>
      </c>
      <c r="O269" s="392">
        <v>0</v>
      </c>
      <c r="P269" s="657"/>
      <c r="Q269" s="657"/>
      <c r="R269" s="657"/>
      <c r="S269" s="627"/>
      <c r="T269" s="509"/>
      <c r="U269" s="509"/>
    </row>
    <row r="270" spans="1:21" s="11" customFormat="1" ht="35.1" customHeight="1">
      <c r="A270" s="1241"/>
      <c r="B270" s="538"/>
      <c r="C270" s="1352"/>
      <c r="D270" s="850"/>
      <c r="E270" s="851"/>
      <c r="F270" s="852"/>
      <c r="G270" s="1352"/>
      <c r="H270" s="1352"/>
      <c r="I270" s="1352"/>
      <c r="J270" s="995"/>
      <c r="K270" s="995"/>
      <c r="L270" s="158">
        <v>98</v>
      </c>
      <c r="M270" s="230">
        <v>75</v>
      </c>
      <c r="N270" s="132">
        <v>1</v>
      </c>
      <c r="O270" s="132">
        <v>1</v>
      </c>
      <c r="P270" s="657"/>
      <c r="Q270" s="657"/>
      <c r="R270" s="657"/>
      <c r="S270" s="627"/>
      <c r="T270" s="509"/>
      <c r="U270" s="509"/>
    </row>
    <row r="271" spans="1:21" s="11" customFormat="1" ht="35.1" customHeight="1">
      <c r="A271" s="1241"/>
      <c r="B271" s="538"/>
      <c r="C271" s="1352"/>
      <c r="D271" s="850"/>
      <c r="E271" s="851"/>
      <c r="F271" s="852"/>
      <c r="G271" s="1352"/>
      <c r="H271" s="1352"/>
      <c r="I271" s="1352"/>
      <c r="J271" s="995"/>
      <c r="K271" s="995"/>
      <c r="L271" s="158">
        <v>98</v>
      </c>
      <c r="M271" s="230">
        <v>25</v>
      </c>
      <c r="N271" s="392">
        <v>0</v>
      </c>
      <c r="O271" s="392">
        <v>0</v>
      </c>
      <c r="P271" s="657"/>
      <c r="Q271" s="657"/>
      <c r="R271" s="657"/>
      <c r="S271" s="627"/>
      <c r="T271" s="509"/>
      <c r="U271" s="509"/>
    </row>
    <row r="272" spans="1:21" s="11" customFormat="1" ht="35.1" customHeight="1">
      <c r="A272" s="1241"/>
      <c r="B272" s="538"/>
      <c r="C272" s="1352"/>
      <c r="D272" s="850"/>
      <c r="E272" s="851"/>
      <c r="F272" s="852"/>
      <c r="G272" s="994"/>
      <c r="H272" s="994"/>
      <c r="I272" s="994"/>
      <c r="J272" s="992"/>
      <c r="K272" s="992"/>
      <c r="L272" s="158">
        <v>98</v>
      </c>
      <c r="M272" s="230">
        <v>50</v>
      </c>
      <c r="N272" s="392">
        <v>5</v>
      </c>
      <c r="O272" s="392">
        <v>5</v>
      </c>
      <c r="P272" s="657"/>
      <c r="Q272" s="657"/>
      <c r="R272" s="657"/>
      <c r="S272" s="627"/>
      <c r="T272" s="509"/>
      <c r="U272" s="509"/>
    </row>
    <row r="273" spans="1:1892" s="11" customFormat="1" ht="35.1" customHeight="1">
      <c r="A273" s="1241"/>
      <c r="B273" s="538"/>
      <c r="C273" s="994"/>
      <c r="D273" s="853"/>
      <c r="E273" s="854"/>
      <c r="F273" s="855"/>
      <c r="G273" s="463" t="s">
        <v>329</v>
      </c>
      <c r="H273" s="464"/>
      <c r="I273" s="464"/>
      <c r="J273" s="464"/>
      <c r="K273" s="465"/>
      <c r="L273" s="139"/>
      <c r="M273" s="224">
        <f>SUM(M268:M272)</f>
        <v>250</v>
      </c>
      <c r="N273" s="263">
        <f>SUM(N268:N272)</f>
        <v>6</v>
      </c>
      <c r="O273" s="263">
        <f>SUM(O268:O272)</f>
        <v>6</v>
      </c>
      <c r="P273" s="658"/>
      <c r="Q273" s="658"/>
      <c r="R273" s="658"/>
      <c r="S273" s="628"/>
      <c r="T273" s="510"/>
      <c r="U273" s="510"/>
    </row>
    <row r="274" spans="1:1892" s="11" customFormat="1" ht="35.1" customHeight="1">
      <c r="A274" s="1241"/>
      <c r="B274" s="538"/>
      <c r="C274" s="993" t="s">
        <v>100</v>
      </c>
      <c r="D274" s="847" t="s">
        <v>571</v>
      </c>
      <c r="E274" s="848"/>
      <c r="F274" s="849"/>
      <c r="G274" s="993" t="s">
        <v>357</v>
      </c>
      <c r="H274" s="993" t="s">
        <v>358</v>
      </c>
      <c r="I274" s="993" t="s">
        <v>359</v>
      </c>
      <c r="J274" s="991" t="s">
        <v>11</v>
      </c>
      <c r="K274" s="991" t="s">
        <v>12</v>
      </c>
      <c r="L274" s="158">
        <v>59.8</v>
      </c>
      <c r="M274" s="230">
        <v>92</v>
      </c>
      <c r="N274" s="392">
        <v>73</v>
      </c>
      <c r="O274" s="392">
        <v>70</v>
      </c>
      <c r="P274" s="656" t="s">
        <v>400</v>
      </c>
      <c r="Q274" s="656" t="s">
        <v>401</v>
      </c>
      <c r="R274" s="505" t="s">
        <v>739</v>
      </c>
      <c r="S274" s="626" t="s">
        <v>57</v>
      </c>
      <c r="T274" s="508" t="s">
        <v>361</v>
      </c>
      <c r="U274" s="508" t="s">
        <v>67</v>
      </c>
    </row>
    <row r="275" spans="1:1892" s="11" customFormat="1" ht="35.1" customHeight="1">
      <c r="A275" s="1241"/>
      <c r="B275" s="538"/>
      <c r="C275" s="1352"/>
      <c r="D275" s="850"/>
      <c r="E275" s="851"/>
      <c r="F275" s="852"/>
      <c r="G275" s="994"/>
      <c r="H275" s="994"/>
      <c r="I275" s="994"/>
      <c r="J275" s="992"/>
      <c r="K275" s="992"/>
      <c r="L275" s="158">
        <v>59.9</v>
      </c>
      <c r="M275" s="230">
        <v>46</v>
      </c>
      <c r="N275" s="392">
        <v>34</v>
      </c>
      <c r="O275" s="392">
        <v>32</v>
      </c>
      <c r="P275" s="657"/>
      <c r="Q275" s="657"/>
      <c r="R275" s="506"/>
      <c r="S275" s="627"/>
      <c r="T275" s="509"/>
      <c r="U275" s="509"/>
    </row>
    <row r="276" spans="1:1892" s="11" customFormat="1" ht="35.1" customHeight="1">
      <c r="A276" s="1241"/>
      <c r="B276" s="538"/>
      <c r="C276" s="994"/>
      <c r="D276" s="853"/>
      <c r="E276" s="854"/>
      <c r="F276" s="855"/>
      <c r="G276" s="463" t="s">
        <v>329</v>
      </c>
      <c r="H276" s="464"/>
      <c r="I276" s="464"/>
      <c r="J276" s="464"/>
      <c r="K276" s="465"/>
      <c r="L276" s="139"/>
      <c r="M276" s="224">
        <f>SUM(M274:M275)</f>
        <v>138</v>
      </c>
      <c r="N276" s="263">
        <f>SUM(N274:N275)</f>
        <v>107</v>
      </c>
      <c r="O276" s="263">
        <f>SUM(O274:O275)</f>
        <v>102</v>
      </c>
      <c r="P276" s="658"/>
      <c r="Q276" s="658"/>
      <c r="R276" s="507"/>
      <c r="S276" s="628"/>
      <c r="T276" s="510"/>
      <c r="U276" s="510"/>
    </row>
    <row r="277" spans="1:1892" s="11" customFormat="1" ht="35.1" customHeight="1">
      <c r="A277" s="1241"/>
      <c r="B277" s="538"/>
      <c r="C277" s="616" t="s">
        <v>383</v>
      </c>
      <c r="D277" s="1018" t="s">
        <v>572</v>
      </c>
      <c r="E277" s="1019"/>
      <c r="F277" s="1020"/>
      <c r="G277" s="616" t="s">
        <v>362</v>
      </c>
      <c r="H277" s="616" t="s">
        <v>363</v>
      </c>
      <c r="I277" s="616" t="s">
        <v>364</v>
      </c>
      <c r="J277" s="820" t="s">
        <v>11</v>
      </c>
      <c r="K277" s="820" t="s">
        <v>12</v>
      </c>
      <c r="L277" s="159" t="s">
        <v>360</v>
      </c>
      <c r="M277" s="231">
        <v>26</v>
      </c>
      <c r="N277" s="392">
        <v>6</v>
      </c>
      <c r="O277" s="392">
        <v>3</v>
      </c>
      <c r="P277" s="511">
        <v>7</v>
      </c>
      <c r="Q277" s="511" t="s">
        <v>416</v>
      </c>
      <c r="R277" s="511" t="s">
        <v>430</v>
      </c>
      <c r="S277" s="1175" t="s">
        <v>57</v>
      </c>
      <c r="T277" s="665" t="s">
        <v>54</v>
      </c>
      <c r="U277" s="665" t="s">
        <v>54</v>
      </c>
    </row>
    <row r="278" spans="1:1892" s="11" customFormat="1" ht="35.1" customHeight="1">
      <c r="A278" s="1241"/>
      <c r="B278" s="538"/>
      <c r="C278" s="583"/>
      <c r="D278" s="1021"/>
      <c r="E278" s="1022"/>
      <c r="F278" s="1023"/>
      <c r="G278" s="617"/>
      <c r="H278" s="617"/>
      <c r="I278" s="617"/>
      <c r="J278" s="822"/>
      <c r="K278" s="822"/>
      <c r="L278" s="159" t="s">
        <v>355</v>
      </c>
      <c r="M278" s="231">
        <v>13</v>
      </c>
      <c r="N278" s="392">
        <v>7</v>
      </c>
      <c r="O278" s="392">
        <v>6</v>
      </c>
      <c r="P278" s="512"/>
      <c r="Q278" s="512"/>
      <c r="R278" s="512"/>
      <c r="S278" s="1176"/>
      <c r="T278" s="666"/>
      <c r="U278" s="666"/>
    </row>
    <row r="279" spans="1:1892" s="11" customFormat="1" ht="35.1" customHeight="1">
      <c r="A279" s="1241"/>
      <c r="B279" s="539"/>
      <c r="C279" s="617"/>
      <c r="D279" s="1024"/>
      <c r="E279" s="1025"/>
      <c r="F279" s="1026"/>
      <c r="G279" s="463" t="s">
        <v>329</v>
      </c>
      <c r="H279" s="464"/>
      <c r="I279" s="464"/>
      <c r="J279" s="464"/>
      <c r="K279" s="465"/>
      <c r="L279" s="160"/>
      <c r="M279" s="224">
        <f>SUM(M277:M278)</f>
        <v>39</v>
      </c>
      <c r="N279" s="263">
        <f>SUM(N277:N278)</f>
        <v>13</v>
      </c>
      <c r="O279" s="263">
        <f>SUM(O277:O278)</f>
        <v>9</v>
      </c>
      <c r="P279" s="513"/>
      <c r="Q279" s="513"/>
      <c r="R279" s="513"/>
      <c r="S279" s="1177"/>
      <c r="T279" s="667"/>
      <c r="U279" s="667"/>
    </row>
    <row r="280" spans="1:1892" s="16" customFormat="1" ht="35.1" customHeight="1">
      <c r="A280" s="1241"/>
      <c r="B280" s="620" t="s">
        <v>105</v>
      </c>
      <c r="C280" s="621"/>
      <c r="D280" s="621"/>
      <c r="E280" s="621"/>
      <c r="F280" s="621"/>
      <c r="G280" s="621"/>
      <c r="H280" s="621"/>
      <c r="I280" s="621"/>
      <c r="J280" s="621"/>
      <c r="K280" s="622"/>
      <c r="L280" s="122"/>
      <c r="M280" s="254">
        <f>M257+M261+M267+M273+M276+M279</f>
        <v>1326</v>
      </c>
      <c r="N280" s="254">
        <f t="shared" ref="N280" si="22">N257+N261+N267+N273+N276+N279</f>
        <v>461</v>
      </c>
      <c r="O280" s="254">
        <f t="shared" ref="O280" si="23">O257+O261+O267+O273+O276+O279</f>
        <v>424</v>
      </c>
      <c r="P280" s="161"/>
      <c r="Q280" s="161"/>
      <c r="R280" s="161"/>
      <c r="S280" s="162"/>
      <c r="T280" s="163"/>
      <c r="U280" s="162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  <c r="CD280" s="11"/>
      <c r="CE280" s="11"/>
      <c r="CF280" s="11"/>
      <c r="CG280" s="11"/>
      <c r="CH280" s="11"/>
      <c r="CI280" s="11"/>
      <c r="CJ280" s="11"/>
      <c r="CK280" s="11"/>
      <c r="CL280" s="11"/>
      <c r="CM280" s="11"/>
      <c r="CN280" s="11"/>
      <c r="CO280" s="11"/>
      <c r="CP280" s="11"/>
      <c r="CQ280" s="11"/>
      <c r="CR280" s="11"/>
      <c r="CS280" s="11"/>
      <c r="CT280" s="11"/>
      <c r="CU280" s="11"/>
      <c r="CV280" s="11"/>
      <c r="CW280" s="11"/>
      <c r="CX280" s="11"/>
      <c r="CY280" s="11"/>
      <c r="CZ280" s="11"/>
      <c r="DA280" s="11"/>
      <c r="DB280" s="11"/>
      <c r="DC280" s="11"/>
      <c r="DD280" s="11"/>
      <c r="DE280" s="11"/>
      <c r="DF280" s="11"/>
      <c r="DG280" s="11"/>
      <c r="DH280" s="11"/>
      <c r="DI280" s="11"/>
      <c r="DJ280" s="11"/>
      <c r="DK280" s="11"/>
      <c r="DL280" s="11"/>
      <c r="DM280" s="11"/>
      <c r="DN280" s="11"/>
      <c r="DO280" s="11"/>
      <c r="DP280" s="11"/>
      <c r="DQ280" s="11"/>
      <c r="DR280" s="11"/>
      <c r="DS280" s="11"/>
      <c r="DT280" s="11"/>
      <c r="DU280" s="11"/>
      <c r="DV280" s="11"/>
      <c r="DW280" s="11"/>
      <c r="DX280" s="11"/>
      <c r="DY280" s="11"/>
      <c r="DZ280" s="11"/>
      <c r="EA280" s="11"/>
      <c r="EB280" s="11"/>
      <c r="EC280" s="11"/>
      <c r="ED280" s="11"/>
      <c r="EE280" s="11"/>
      <c r="EF280" s="11"/>
      <c r="EG280" s="11"/>
      <c r="EH280" s="11"/>
      <c r="EI280" s="11"/>
      <c r="EJ280" s="11"/>
      <c r="EK280" s="11"/>
      <c r="EL280" s="11"/>
      <c r="EM280" s="11"/>
      <c r="EN280" s="11"/>
      <c r="EO280" s="11"/>
      <c r="EP280" s="11"/>
      <c r="EQ280" s="11"/>
      <c r="ER280" s="11"/>
      <c r="ES280" s="11"/>
      <c r="ET280" s="11"/>
      <c r="EU280" s="11"/>
      <c r="EV280" s="11"/>
      <c r="EW280" s="11"/>
      <c r="EX280" s="11"/>
      <c r="EY280" s="11"/>
      <c r="EZ280" s="11"/>
      <c r="FA280" s="11"/>
      <c r="FB280" s="11"/>
      <c r="FC280" s="11"/>
      <c r="FD280" s="11"/>
      <c r="FE280" s="11"/>
      <c r="FF280" s="11"/>
      <c r="FG280" s="11"/>
      <c r="FH280" s="11"/>
      <c r="FI280" s="11"/>
      <c r="FJ280" s="11"/>
      <c r="FK280" s="11"/>
      <c r="FL280" s="11"/>
      <c r="FM280" s="11"/>
      <c r="FN280" s="11"/>
      <c r="FO280" s="11"/>
      <c r="FP280" s="11"/>
      <c r="FQ280" s="11"/>
      <c r="FR280" s="11"/>
      <c r="FS280" s="11"/>
      <c r="FT280" s="11"/>
      <c r="FU280" s="11"/>
      <c r="FV280" s="11"/>
      <c r="FW280" s="11"/>
      <c r="FX280" s="11"/>
      <c r="FY280" s="11"/>
      <c r="FZ280" s="11"/>
      <c r="GA280" s="11"/>
      <c r="GB280" s="11"/>
      <c r="GC280" s="11"/>
      <c r="GD280" s="11"/>
      <c r="GE280" s="11"/>
      <c r="GF280" s="11"/>
      <c r="GG280" s="11"/>
      <c r="GH280" s="11"/>
      <c r="GI280" s="11"/>
      <c r="GJ280" s="11"/>
      <c r="GK280" s="11"/>
      <c r="GL280" s="11"/>
      <c r="GM280" s="11"/>
      <c r="GN280" s="11"/>
      <c r="GO280" s="11"/>
      <c r="GP280" s="11"/>
      <c r="GQ280" s="11"/>
      <c r="GR280" s="11"/>
      <c r="GS280" s="11"/>
      <c r="GT280" s="11"/>
      <c r="GU280" s="11"/>
      <c r="GV280" s="11"/>
      <c r="GW280" s="11"/>
      <c r="GX280" s="11"/>
      <c r="GY280" s="11"/>
      <c r="GZ280" s="11"/>
      <c r="HA280" s="11"/>
      <c r="HB280" s="11"/>
      <c r="HC280" s="11"/>
      <c r="HD280" s="11"/>
      <c r="HE280" s="11"/>
      <c r="HF280" s="11"/>
      <c r="HG280" s="11"/>
      <c r="HH280" s="11"/>
      <c r="HI280" s="11"/>
      <c r="HJ280" s="11"/>
      <c r="HK280" s="11"/>
      <c r="HL280" s="11"/>
      <c r="HM280" s="11"/>
      <c r="HN280" s="11"/>
      <c r="HO280" s="11"/>
      <c r="HP280" s="11"/>
      <c r="HQ280" s="11"/>
      <c r="HR280" s="11"/>
      <c r="HS280" s="11"/>
      <c r="HT280" s="11"/>
      <c r="HU280" s="11"/>
      <c r="HV280" s="11"/>
      <c r="HW280" s="11"/>
      <c r="HX280" s="11"/>
      <c r="HY280" s="11"/>
      <c r="HZ280" s="11"/>
      <c r="IA280" s="11"/>
      <c r="IB280" s="11"/>
      <c r="IC280" s="11"/>
      <c r="ID280" s="11"/>
      <c r="IE280" s="11"/>
      <c r="IF280" s="11"/>
      <c r="IG280" s="11"/>
      <c r="IH280" s="11"/>
      <c r="II280" s="11"/>
      <c r="IJ280" s="11"/>
      <c r="IK280" s="11"/>
      <c r="IL280" s="11"/>
      <c r="IM280" s="11"/>
      <c r="IN280" s="11"/>
      <c r="IO280" s="11"/>
      <c r="IP280" s="11"/>
      <c r="IQ280" s="11"/>
      <c r="IR280" s="11"/>
      <c r="IS280" s="11"/>
      <c r="IT280" s="11"/>
      <c r="IU280" s="11"/>
      <c r="IV280" s="11"/>
      <c r="IW280" s="11"/>
      <c r="IX280" s="11"/>
      <c r="IY280" s="11"/>
      <c r="IZ280" s="11"/>
      <c r="JA280" s="11"/>
      <c r="JB280" s="11"/>
      <c r="JC280" s="11"/>
      <c r="JD280" s="11"/>
      <c r="JE280" s="11"/>
      <c r="JF280" s="11"/>
      <c r="JG280" s="11"/>
      <c r="JH280" s="11"/>
      <c r="JI280" s="11"/>
      <c r="JJ280" s="11"/>
      <c r="JK280" s="11"/>
      <c r="JL280" s="11"/>
      <c r="JM280" s="11"/>
      <c r="JN280" s="11"/>
      <c r="JO280" s="11"/>
      <c r="JP280" s="11"/>
      <c r="JQ280" s="11"/>
      <c r="JR280" s="11"/>
      <c r="JS280" s="11"/>
      <c r="JT280" s="11"/>
      <c r="JU280" s="11"/>
      <c r="JV280" s="11"/>
      <c r="JW280" s="11"/>
      <c r="JX280" s="11"/>
      <c r="JY280" s="11"/>
      <c r="JZ280" s="11"/>
      <c r="KA280" s="11"/>
      <c r="KB280" s="11"/>
      <c r="KC280" s="11"/>
      <c r="KD280" s="11"/>
      <c r="KE280" s="11"/>
      <c r="KF280" s="11"/>
      <c r="KG280" s="11"/>
      <c r="KH280" s="11"/>
      <c r="KI280" s="11"/>
      <c r="KJ280" s="11"/>
      <c r="KK280" s="11"/>
      <c r="KL280" s="11"/>
      <c r="KM280" s="11"/>
      <c r="KN280" s="11"/>
      <c r="KO280" s="11"/>
      <c r="KP280" s="11"/>
      <c r="KQ280" s="11"/>
      <c r="KR280" s="11"/>
      <c r="KS280" s="11"/>
      <c r="KT280" s="11"/>
      <c r="KU280" s="11"/>
      <c r="KV280" s="11"/>
      <c r="KW280" s="11"/>
      <c r="KX280" s="11"/>
      <c r="KY280" s="11"/>
      <c r="KZ280" s="11"/>
      <c r="LA280" s="11"/>
      <c r="LB280" s="11"/>
      <c r="LC280" s="11"/>
      <c r="LD280" s="11"/>
      <c r="LE280" s="11"/>
      <c r="LF280" s="11"/>
      <c r="LG280" s="11"/>
      <c r="LH280" s="11"/>
      <c r="LI280" s="11"/>
      <c r="LJ280" s="11"/>
      <c r="LK280" s="11"/>
      <c r="LL280" s="11"/>
      <c r="LM280" s="11"/>
      <c r="LN280" s="11"/>
      <c r="LO280" s="11"/>
      <c r="LP280" s="11"/>
      <c r="LQ280" s="11"/>
      <c r="LR280" s="11"/>
      <c r="LS280" s="11"/>
      <c r="LT280" s="11"/>
      <c r="LU280" s="11"/>
      <c r="LV280" s="11"/>
      <c r="LW280" s="11"/>
      <c r="LX280" s="11"/>
      <c r="LY280" s="11"/>
      <c r="LZ280" s="11"/>
      <c r="MA280" s="11"/>
      <c r="MB280" s="11"/>
      <c r="MC280" s="11"/>
      <c r="MD280" s="11"/>
      <c r="ME280" s="11"/>
      <c r="MF280" s="11"/>
      <c r="MG280" s="11"/>
      <c r="MH280" s="11"/>
      <c r="MI280" s="11"/>
      <c r="MJ280" s="11"/>
      <c r="MK280" s="11"/>
      <c r="ML280" s="11"/>
      <c r="MM280" s="11"/>
      <c r="MN280" s="11"/>
      <c r="MO280" s="11"/>
      <c r="MP280" s="11"/>
      <c r="MQ280" s="11"/>
      <c r="MR280" s="11"/>
      <c r="MS280" s="11"/>
      <c r="MT280" s="11"/>
      <c r="MU280" s="11"/>
      <c r="MV280" s="11"/>
      <c r="MW280" s="11"/>
      <c r="MX280" s="11"/>
      <c r="MY280" s="11"/>
      <c r="MZ280" s="11"/>
      <c r="NA280" s="11"/>
      <c r="NB280" s="11"/>
      <c r="NC280" s="11"/>
      <c r="ND280" s="11"/>
      <c r="NE280" s="11"/>
      <c r="NF280" s="11"/>
      <c r="NG280" s="11"/>
      <c r="NH280" s="11"/>
      <c r="NI280" s="11"/>
      <c r="NJ280" s="11"/>
      <c r="NK280" s="11"/>
      <c r="NL280" s="11"/>
      <c r="NM280" s="11"/>
      <c r="NN280" s="11"/>
      <c r="NO280" s="11"/>
      <c r="NP280" s="11"/>
      <c r="NQ280" s="11"/>
      <c r="NR280" s="11"/>
      <c r="NS280" s="11"/>
      <c r="NT280" s="11"/>
      <c r="NU280" s="11"/>
      <c r="NV280" s="11"/>
      <c r="NW280" s="11"/>
      <c r="NX280" s="11"/>
      <c r="NY280" s="11"/>
      <c r="NZ280" s="11"/>
      <c r="OA280" s="11"/>
      <c r="OB280" s="11"/>
      <c r="OC280" s="11"/>
      <c r="OD280" s="11"/>
      <c r="OE280" s="11"/>
      <c r="OF280" s="11"/>
      <c r="OG280" s="11"/>
      <c r="OH280" s="11"/>
      <c r="OI280" s="11"/>
      <c r="OJ280" s="11"/>
      <c r="OK280" s="11"/>
      <c r="OL280" s="11"/>
      <c r="OM280" s="11"/>
      <c r="ON280" s="11"/>
      <c r="OO280" s="11"/>
      <c r="OP280" s="11"/>
      <c r="OQ280" s="11"/>
      <c r="OR280" s="11"/>
      <c r="OS280" s="11"/>
      <c r="OT280" s="11"/>
      <c r="OU280" s="11"/>
      <c r="OV280" s="11"/>
      <c r="OW280" s="11"/>
      <c r="OX280" s="11"/>
      <c r="OY280" s="11"/>
      <c r="OZ280" s="11"/>
      <c r="PA280" s="11"/>
      <c r="PB280" s="11"/>
      <c r="PC280" s="11"/>
      <c r="PD280" s="11"/>
      <c r="PE280" s="11"/>
      <c r="PF280" s="11"/>
      <c r="PG280" s="11"/>
      <c r="PH280" s="11"/>
      <c r="PI280" s="11"/>
      <c r="PJ280" s="11"/>
      <c r="PK280" s="11"/>
      <c r="PL280" s="11"/>
      <c r="PM280" s="11"/>
      <c r="PN280" s="11"/>
      <c r="PO280" s="11"/>
      <c r="PP280" s="11"/>
      <c r="PQ280" s="11"/>
      <c r="PR280" s="11"/>
      <c r="PS280" s="11"/>
      <c r="PT280" s="11"/>
      <c r="PU280" s="11"/>
      <c r="PV280" s="11"/>
      <c r="PW280" s="11"/>
      <c r="PX280" s="11"/>
      <c r="PY280" s="11"/>
      <c r="PZ280" s="11"/>
      <c r="QA280" s="11"/>
      <c r="QB280" s="11"/>
      <c r="QC280" s="11"/>
      <c r="QD280" s="11"/>
      <c r="QE280" s="11"/>
      <c r="QF280" s="11"/>
      <c r="QG280" s="11"/>
      <c r="QH280" s="11"/>
      <c r="QI280" s="11"/>
      <c r="QJ280" s="11"/>
      <c r="QK280" s="11"/>
      <c r="QL280" s="11"/>
      <c r="QM280" s="11"/>
      <c r="QN280" s="11"/>
      <c r="QO280" s="11"/>
      <c r="QP280" s="11"/>
      <c r="QQ280" s="11"/>
      <c r="QR280" s="11"/>
      <c r="QS280" s="11"/>
      <c r="QT280" s="11"/>
      <c r="QU280" s="11"/>
      <c r="QV280" s="11"/>
      <c r="QW280" s="11"/>
      <c r="QX280" s="11"/>
      <c r="QY280" s="11"/>
      <c r="QZ280" s="11"/>
      <c r="RA280" s="11"/>
      <c r="RB280" s="11"/>
      <c r="RC280" s="11"/>
      <c r="RD280" s="11"/>
      <c r="RE280" s="11"/>
      <c r="RF280" s="11"/>
      <c r="RG280" s="11"/>
      <c r="RH280" s="11"/>
      <c r="RI280" s="11"/>
      <c r="RJ280" s="11"/>
      <c r="RK280" s="11"/>
      <c r="RL280" s="11"/>
      <c r="RM280" s="11"/>
      <c r="RN280" s="11"/>
      <c r="RO280" s="11"/>
      <c r="RP280" s="11"/>
      <c r="RQ280" s="11"/>
      <c r="RR280" s="11"/>
      <c r="RS280" s="11"/>
      <c r="RT280" s="11"/>
      <c r="RU280" s="11"/>
      <c r="RV280" s="11"/>
      <c r="RW280" s="11"/>
      <c r="RX280" s="11"/>
      <c r="RY280" s="11"/>
      <c r="RZ280" s="11"/>
      <c r="SA280" s="11"/>
      <c r="SB280" s="11"/>
      <c r="SC280" s="11"/>
      <c r="SD280" s="11"/>
      <c r="SE280" s="11"/>
      <c r="SF280" s="11"/>
      <c r="SG280" s="11"/>
      <c r="SH280" s="11"/>
      <c r="SI280" s="11"/>
      <c r="SJ280" s="11"/>
      <c r="SK280" s="11"/>
      <c r="SL280" s="11"/>
      <c r="SM280" s="11"/>
      <c r="SN280" s="11"/>
      <c r="SO280" s="11"/>
      <c r="SP280" s="11"/>
      <c r="SQ280" s="11"/>
      <c r="SR280" s="11"/>
      <c r="SS280" s="11"/>
      <c r="ST280" s="11"/>
      <c r="SU280" s="11"/>
      <c r="SV280" s="11"/>
      <c r="SW280" s="11"/>
      <c r="SX280" s="11"/>
      <c r="SY280" s="11"/>
      <c r="SZ280" s="11"/>
      <c r="TA280" s="11"/>
      <c r="TB280" s="11"/>
      <c r="TC280" s="11"/>
      <c r="TD280" s="11"/>
      <c r="TE280" s="11"/>
      <c r="TF280" s="11"/>
      <c r="TG280" s="11"/>
      <c r="TH280" s="11"/>
      <c r="TI280" s="11"/>
      <c r="TJ280" s="11"/>
      <c r="TK280" s="11"/>
      <c r="TL280" s="11"/>
      <c r="TM280" s="11"/>
      <c r="TN280" s="11"/>
      <c r="TO280" s="11"/>
      <c r="TP280" s="11"/>
      <c r="TQ280" s="11"/>
      <c r="TR280" s="11"/>
      <c r="TS280" s="11"/>
      <c r="TT280" s="11"/>
      <c r="TU280" s="11"/>
      <c r="TV280" s="11"/>
      <c r="TW280" s="11"/>
      <c r="TX280" s="11"/>
      <c r="TY280" s="11"/>
      <c r="TZ280" s="11"/>
      <c r="UA280" s="11"/>
      <c r="UB280" s="11"/>
      <c r="UC280" s="11"/>
      <c r="UD280" s="11"/>
      <c r="UE280" s="11"/>
      <c r="UF280" s="11"/>
      <c r="UG280" s="11"/>
      <c r="UH280" s="11"/>
      <c r="UI280" s="11"/>
      <c r="UJ280" s="11"/>
      <c r="UK280" s="11"/>
      <c r="UL280" s="11"/>
      <c r="UM280" s="11"/>
      <c r="UN280" s="11"/>
      <c r="UO280" s="11"/>
      <c r="UP280" s="11"/>
      <c r="UQ280" s="11"/>
      <c r="UR280" s="11"/>
      <c r="US280" s="11"/>
      <c r="UT280" s="11"/>
      <c r="UU280" s="11"/>
      <c r="UV280" s="11"/>
      <c r="UW280" s="11"/>
      <c r="UX280" s="11"/>
      <c r="UY280" s="11"/>
      <c r="UZ280" s="11"/>
      <c r="VA280" s="11"/>
      <c r="VB280" s="11"/>
      <c r="VC280" s="11"/>
      <c r="VD280" s="11"/>
      <c r="VE280" s="11"/>
      <c r="VF280" s="11"/>
      <c r="VG280" s="11"/>
      <c r="VH280" s="11"/>
      <c r="VI280" s="11"/>
      <c r="VJ280" s="11"/>
      <c r="VK280" s="11"/>
      <c r="VL280" s="11"/>
      <c r="VM280" s="11"/>
      <c r="VN280" s="11"/>
      <c r="VO280" s="11"/>
      <c r="VP280" s="11"/>
      <c r="VQ280" s="11"/>
      <c r="VR280" s="11"/>
      <c r="VS280" s="11"/>
      <c r="VT280" s="11"/>
      <c r="VU280" s="11"/>
      <c r="VV280" s="11"/>
      <c r="VW280" s="11"/>
      <c r="VX280" s="11"/>
      <c r="VY280" s="11"/>
      <c r="VZ280" s="11"/>
      <c r="WA280" s="11"/>
      <c r="WB280" s="11"/>
      <c r="WC280" s="11"/>
      <c r="WD280" s="11"/>
      <c r="WE280" s="11"/>
      <c r="WF280" s="11"/>
      <c r="WG280" s="11"/>
      <c r="WH280" s="11"/>
      <c r="WI280" s="11"/>
      <c r="WJ280" s="11"/>
      <c r="WK280" s="11"/>
      <c r="WL280" s="11"/>
      <c r="WM280" s="11"/>
      <c r="WN280" s="11"/>
      <c r="WO280" s="11"/>
      <c r="WP280" s="11"/>
      <c r="WQ280" s="11"/>
      <c r="WR280" s="11"/>
      <c r="WS280" s="11"/>
      <c r="WT280" s="11"/>
      <c r="WU280" s="11"/>
      <c r="WV280" s="11"/>
      <c r="WW280" s="11"/>
      <c r="WX280" s="11"/>
      <c r="WY280" s="11"/>
      <c r="WZ280" s="11"/>
      <c r="XA280" s="11"/>
      <c r="XB280" s="11"/>
      <c r="XC280" s="11"/>
      <c r="XD280" s="11"/>
      <c r="XE280" s="11"/>
      <c r="XF280" s="11"/>
      <c r="XG280" s="11"/>
      <c r="XH280" s="11"/>
      <c r="XI280" s="11"/>
      <c r="XJ280" s="11"/>
      <c r="XK280" s="11"/>
      <c r="XL280" s="11"/>
      <c r="XM280" s="11"/>
      <c r="XN280" s="11"/>
      <c r="XO280" s="11"/>
      <c r="XP280" s="11"/>
      <c r="XQ280" s="11"/>
      <c r="XR280" s="11"/>
      <c r="XS280" s="11"/>
      <c r="XT280" s="11"/>
      <c r="XU280" s="11"/>
      <c r="XV280" s="11"/>
      <c r="XW280" s="11"/>
      <c r="XX280" s="11"/>
      <c r="XY280" s="11"/>
      <c r="XZ280" s="11"/>
      <c r="YA280" s="11"/>
      <c r="YB280" s="11"/>
      <c r="YC280" s="11"/>
      <c r="YD280" s="11"/>
      <c r="YE280" s="11"/>
      <c r="YF280" s="11"/>
      <c r="YG280" s="11"/>
      <c r="YH280" s="11"/>
      <c r="YI280" s="11"/>
      <c r="YJ280" s="11"/>
      <c r="YK280" s="11"/>
      <c r="YL280" s="11"/>
      <c r="YM280" s="11"/>
      <c r="YN280" s="11"/>
      <c r="YO280" s="11"/>
      <c r="YP280" s="11"/>
      <c r="YQ280" s="11"/>
      <c r="YR280" s="11"/>
      <c r="YS280" s="11"/>
      <c r="YT280" s="11"/>
      <c r="YU280" s="11"/>
      <c r="YV280" s="11"/>
      <c r="YW280" s="11"/>
      <c r="YX280" s="11"/>
      <c r="YY280" s="11"/>
      <c r="YZ280" s="11"/>
      <c r="ZA280" s="11"/>
      <c r="ZB280" s="11"/>
      <c r="ZC280" s="11"/>
      <c r="ZD280" s="11"/>
      <c r="ZE280" s="11"/>
      <c r="ZF280" s="11"/>
      <c r="ZG280" s="11"/>
      <c r="ZH280" s="11"/>
      <c r="ZI280" s="11"/>
      <c r="ZJ280" s="11"/>
      <c r="ZK280" s="11"/>
      <c r="ZL280" s="11"/>
      <c r="ZM280" s="11"/>
      <c r="ZN280" s="11"/>
      <c r="ZO280" s="11"/>
      <c r="ZP280" s="11"/>
      <c r="ZQ280" s="11"/>
      <c r="ZR280" s="11"/>
      <c r="ZS280" s="11"/>
      <c r="ZT280" s="11"/>
      <c r="ZU280" s="11"/>
      <c r="ZV280" s="11"/>
      <c r="ZW280" s="11"/>
      <c r="ZX280" s="11"/>
      <c r="ZY280" s="11"/>
      <c r="ZZ280" s="11"/>
      <c r="AAA280" s="11"/>
      <c r="AAB280" s="11"/>
      <c r="AAC280" s="11"/>
      <c r="AAD280" s="11"/>
      <c r="AAE280" s="11"/>
      <c r="AAF280" s="11"/>
      <c r="AAG280" s="11"/>
      <c r="AAH280" s="11"/>
      <c r="AAI280" s="11"/>
      <c r="AAJ280" s="11"/>
      <c r="AAK280" s="11"/>
      <c r="AAL280" s="11"/>
      <c r="AAM280" s="11"/>
      <c r="AAN280" s="11"/>
      <c r="AAO280" s="11"/>
      <c r="AAP280" s="11"/>
      <c r="AAQ280" s="11"/>
      <c r="AAR280" s="11"/>
      <c r="AAS280" s="11"/>
      <c r="AAT280" s="11"/>
      <c r="AAU280" s="11"/>
      <c r="AAV280" s="11"/>
      <c r="AAW280" s="11"/>
      <c r="AAX280" s="11"/>
      <c r="AAY280" s="11"/>
      <c r="AAZ280" s="11"/>
      <c r="ABA280" s="11"/>
      <c r="ABB280" s="11"/>
      <c r="ABC280" s="11"/>
      <c r="ABD280" s="11"/>
      <c r="ABE280" s="11"/>
      <c r="ABF280" s="11"/>
      <c r="ABG280" s="11"/>
      <c r="ABH280" s="11"/>
      <c r="ABI280" s="11"/>
      <c r="ABJ280" s="11"/>
      <c r="ABK280" s="11"/>
      <c r="ABL280" s="11"/>
      <c r="ABM280" s="11"/>
      <c r="ABN280" s="11"/>
      <c r="ABO280" s="11"/>
      <c r="ABP280" s="11"/>
      <c r="ABQ280" s="11"/>
      <c r="ABR280" s="11"/>
      <c r="ABS280" s="11"/>
      <c r="ABT280" s="11"/>
      <c r="ABU280" s="11"/>
      <c r="ABV280" s="11"/>
      <c r="ABW280" s="11"/>
      <c r="ABX280" s="11"/>
      <c r="ABY280" s="11"/>
      <c r="ABZ280" s="11"/>
      <c r="ACA280" s="11"/>
      <c r="ACB280" s="11"/>
      <c r="ACC280" s="11"/>
      <c r="ACD280" s="11"/>
      <c r="ACE280" s="11"/>
      <c r="ACF280" s="11"/>
      <c r="ACG280" s="11"/>
      <c r="ACH280" s="11"/>
      <c r="ACI280" s="11"/>
      <c r="ACJ280" s="11"/>
      <c r="ACK280" s="11"/>
      <c r="ACL280" s="11"/>
      <c r="ACM280" s="11"/>
      <c r="ACN280" s="11"/>
      <c r="ACO280" s="11"/>
      <c r="ACP280" s="11"/>
      <c r="ACQ280" s="11"/>
      <c r="ACR280" s="11"/>
      <c r="ACS280" s="11"/>
      <c r="ACT280" s="11"/>
      <c r="ACU280" s="11"/>
      <c r="ACV280" s="11"/>
      <c r="ACW280" s="11"/>
      <c r="ACX280" s="11"/>
      <c r="ACY280" s="11"/>
      <c r="ACZ280" s="11"/>
      <c r="ADA280" s="11"/>
      <c r="ADB280" s="11"/>
      <c r="ADC280" s="11"/>
      <c r="ADD280" s="11"/>
      <c r="ADE280" s="11"/>
      <c r="ADF280" s="11"/>
      <c r="ADG280" s="11"/>
      <c r="ADH280" s="11"/>
      <c r="ADI280" s="11"/>
      <c r="ADJ280" s="11"/>
      <c r="ADK280" s="11"/>
      <c r="ADL280" s="11"/>
      <c r="ADM280" s="11"/>
      <c r="ADN280" s="11"/>
      <c r="ADO280" s="11"/>
      <c r="ADP280" s="11"/>
      <c r="ADQ280" s="11"/>
      <c r="ADR280" s="11"/>
      <c r="ADS280" s="11"/>
      <c r="ADT280" s="11"/>
      <c r="ADU280" s="11"/>
      <c r="ADV280" s="11"/>
      <c r="ADW280" s="11"/>
      <c r="ADX280" s="11"/>
      <c r="ADY280" s="11"/>
      <c r="ADZ280" s="11"/>
      <c r="AEA280" s="11"/>
      <c r="AEB280" s="11"/>
      <c r="AEC280" s="11"/>
      <c r="AED280" s="11"/>
      <c r="AEE280" s="11"/>
      <c r="AEF280" s="11"/>
      <c r="AEG280" s="11"/>
      <c r="AEH280" s="11"/>
      <c r="AEI280" s="11"/>
      <c r="AEJ280" s="11"/>
      <c r="AEK280" s="11"/>
      <c r="AEL280" s="11"/>
      <c r="AEM280" s="11"/>
      <c r="AEN280" s="11"/>
      <c r="AEO280" s="11"/>
      <c r="AEP280" s="11"/>
      <c r="AEQ280" s="11"/>
      <c r="AER280" s="11"/>
      <c r="AES280" s="11"/>
      <c r="AET280" s="11"/>
      <c r="AEU280" s="11"/>
      <c r="AEV280" s="11"/>
      <c r="AEW280" s="11"/>
      <c r="AEX280" s="11"/>
      <c r="AEY280" s="11"/>
      <c r="AEZ280" s="11"/>
      <c r="AFA280" s="11"/>
      <c r="AFB280" s="11"/>
      <c r="AFC280" s="11"/>
      <c r="AFD280" s="11"/>
      <c r="AFE280" s="11"/>
      <c r="AFF280" s="11"/>
      <c r="AFG280" s="11"/>
      <c r="AFH280" s="11"/>
      <c r="AFI280" s="11"/>
      <c r="AFJ280" s="11"/>
      <c r="AFK280" s="11"/>
      <c r="AFL280" s="11"/>
      <c r="AFM280" s="11"/>
      <c r="AFN280" s="11"/>
      <c r="AFO280" s="11"/>
      <c r="AFP280" s="11"/>
      <c r="AFQ280" s="11"/>
      <c r="AFR280" s="11"/>
      <c r="AFS280" s="11"/>
      <c r="AFT280" s="11"/>
      <c r="AFU280" s="11"/>
      <c r="AFV280" s="11"/>
      <c r="AFW280" s="11"/>
      <c r="AFX280" s="11"/>
      <c r="AFY280" s="11"/>
      <c r="AFZ280" s="11"/>
      <c r="AGA280" s="11"/>
      <c r="AGB280" s="11"/>
      <c r="AGC280" s="11"/>
      <c r="AGD280" s="11"/>
      <c r="AGE280" s="11"/>
      <c r="AGF280" s="11"/>
      <c r="AGG280" s="11"/>
      <c r="AGH280" s="11"/>
      <c r="AGI280" s="11"/>
      <c r="AGJ280" s="11"/>
      <c r="AGK280" s="11"/>
      <c r="AGL280" s="11"/>
      <c r="AGM280" s="11"/>
      <c r="AGN280" s="11"/>
      <c r="AGO280" s="11"/>
      <c r="AGP280" s="11"/>
      <c r="AGQ280" s="11"/>
      <c r="AGR280" s="11"/>
      <c r="AGS280" s="11"/>
      <c r="AGT280" s="11"/>
      <c r="AGU280" s="11"/>
      <c r="AGV280" s="11"/>
      <c r="AGW280" s="11"/>
      <c r="AGX280" s="11"/>
      <c r="AGY280" s="11"/>
      <c r="AGZ280" s="11"/>
      <c r="AHA280" s="11"/>
      <c r="AHB280" s="11"/>
      <c r="AHC280" s="11"/>
      <c r="AHD280" s="11"/>
      <c r="AHE280" s="11"/>
      <c r="AHF280" s="11"/>
      <c r="AHG280" s="11"/>
      <c r="AHH280" s="11"/>
      <c r="AHI280" s="11"/>
      <c r="AHJ280" s="11"/>
      <c r="AHK280" s="11"/>
      <c r="AHL280" s="11"/>
      <c r="AHM280" s="11"/>
      <c r="AHN280" s="11"/>
      <c r="AHO280" s="11"/>
      <c r="AHP280" s="11"/>
      <c r="AHQ280" s="11"/>
      <c r="AHR280" s="11"/>
      <c r="AHS280" s="11"/>
      <c r="AHT280" s="11"/>
      <c r="AHU280" s="11"/>
      <c r="AHV280" s="11"/>
      <c r="AHW280" s="11"/>
      <c r="AHX280" s="11"/>
      <c r="AHY280" s="11"/>
      <c r="AHZ280" s="11"/>
      <c r="AIA280" s="11"/>
      <c r="AIB280" s="11"/>
      <c r="AIC280" s="11"/>
      <c r="AID280" s="11"/>
      <c r="AIE280" s="11"/>
      <c r="AIF280" s="11"/>
      <c r="AIG280" s="11"/>
      <c r="AIH280" s="11"/>
      <c r="AII280" s="11"/>
      <c r="AIJ280" s="11"/>
      <c r="AIK280" s="11"/>
      <c r="AIL280" s="11"/>
      <c r="AIM280" s="11"/>
      <c r="AIN280" s="11"/>
      <c r="AIO280" s="11"/>
      <c r="AIP280" s="11"/>
      <c r="AIQ280" s="11"/>
      <c r="AIR280" s="11"/>
      <c r="AIS280" s="11"/>
      <c r="AIT280" s="11"/>
      <c r="AIU280" s="11"/>
      <c r="AIV280" s="11"/>
      <c r="AIW280" s="11"/>
      <c r="AIX280" s="11"/>
      <c r="AIY280" s="11"/>
      <c r="AIZ280" s="11"/>
      <c r="AJA280" s="11"/>
      <c r="AJB280" s="11"/>
      <c r="AJC280" s="11"/>
      <c r="AJD280" s="11"/>
      <c r="AJE280" s="11"/>
      <c r="AJF280" s="11"/>
      <c r="AJG280" s="11"/>
      <c r="AJH280" s="11"/>
      <c r="AJI280" s="11"/>
      <c r="AJJ280" s="11"/>
      <c r="AJK280" s="11"/>
      <c r="AJL280" s="11"/>
      <c r="AJM280" s="11"/>
      <c r="AJN280" s="11"/>
      <c r="AJO280" s="11"/>
      <c r="AJP280" s="11"/>
      <c r="AJQ280" s="11"/>
      <c r="AJR280" s="11"/>
      <c r="AJS280" s="11"/>
      <c r="AJT280" s="11"/>
      <c r="AJU280" s="11"/>
      <c r="AJV280" s="11"/>
      <c r="AJW280" s="11"/>
      <c r="AJX280" s="11"/>
      <c r="AJY280" s="11"/>
      <c r="AJZ280" s="11"/>
      <c r="AKA280" s="11"/>
      <c r="AKB280" s="11"/>
      <c r="AKC280" s="11"/>
      <c r="AKD280" s="11"/>
      <c r="AKE280" s="11"/>
      <c r="AKF280" s="11"/>
      <c r="AKG280" s="11"/>
      <c r="AKH280" s="11"/>
      <c r="AKI280" s="11"/>
      <c r="AKJ280" s="11"/>
      <c r="AKK280" s="11"/>
      <c r="AKL280" s="11"/>
      <c r="AKM280" s="11"/>
      <c r="AKN280" s="11"/>
      <c r="AKO280" s="11"/>
      <c r="AKP280" s="11"/>
      <c r="AKQ280" s="11"/>
      <c r="AKR280" s="11"/>
      <c r="AKS280" s="11"/>
      <c r="AKT280" s="11"/>
      <c r="AKU280" s="11"/>
      <c r="AKV280" s="11"/>
      <c r="AKW280" s="11"/>
      <c r="AKX280" s="11"/>
      <c r="AKY280" s="11"/>
      <c r="AKZ280" s="11"/>
      <c r="ALA280" s="11"/>
      <c r="ALB280" s="11"/>
      <c r="ALC280" s="11"/>
      <c r="ALD280" s="11"/>
      <c r="ALE280" s="11"/>
      <c r="ALF280" s="11"/>
      <c r="ALG280" s="11"/>
      <c r="ALH280" s="11"/>
      <c r="ALI280" s="11"/>
      <c r="ALJ280" s="11"/>
      <c r="ALK280" s="11"/>
      <c r="ALL280" s="11"/>
      <c r="ALM280" s="11"/>
      <c r="ALN280" s="11"/>
      <c r="ALO280" s="11"/>
      <c r="ALP280" s="11"/>
      <c r="ALQ280" s="11"/>
      <c r="ALR280" s="11"/>
      <c r="ALS280" s="11"/>
      <c r="ALT280" s="11"/>
      <c r="ALU280" s="11"/>
      <c r="ALV280" s="11"/>
      <c r="ALW280" s="11"/>
      <c r="ALX280" s="11"/>
      <c r="ALY280" s="11"/>
      <c r="ALZ280" s="11"/>
      <c r="AMA280" s="11"/>
      <c r="AMB280" s="11"/>
      <c r="AMC280" s="11"/>
      <c r="AMD280" s="11"/>
      <c r="AME280" s="11"/>
      <c r="AMF280" s="11"/>
      <c r="AMG280" s="11"/>
      <c r="AMH280" s="11"/>
      <c r="AMI280" s="11"/>
      <c r="AMJ280" s="11"/>
      <c r="AMK280" s="11"/>
      <c r="AML280" s="11"/>
      <c r="AMM280" s="11"/>
      <c r="AMN280" s="11"/>
      <c r="AMO280" s="11"/>
      <c r="AMP280" s="11"/>
      <c r="AMQ280" s="11"/>
      <c r="AMR280" s="11"/>
      <c r="AMS280" s="11"/>
      <c r="AMT280" s="11"/>
      <c r="AMU280" s="11"/>
      <c r="AMV280" s="11"/>
      <c r="AMW280" s="11"/>
      <c r="AMX280" s="11"/>
      <c r="AMY280" s="11"/>
      <c r="AMZ280" s="11"/>
      <c r="ANA280" s="11"/>
      <c r="ANB280" s="11"/>
      <c r="ANC280" s="11"/>
      <c r="AND280" s="11"/>
      <c r="ANE280" s="11"/>
      <c r="ANF280" s="11"/>
      <c r="ANG280" s="11"/>
      <c r="ANH280" s="11"/>
      <c r="ANI280" s="11"/>
      <c r="ANJ280" s="11"/>
      <c r="ANK280" s="11"/>
      <c r="ANL280" s="11"/>
      <c r="ANM280" s="11"/>
      <c r="ANN280" s="11"/>
      <c r="ANO280" s="11"/>
      <c r="ANP280" s="11"/>
      <c r="ANQ280" s="11"/>
      <c r="ANR280" s="11"/>
      <c r="ANS280" s="11"/>
      <c r="ANT280" s="11"/>
      <c r="ANU280" s="11"/>
      <c r="ANV280" s="11"/>
      <c r="ANW280" s="11"/>
      <c r="ANX280" s="11"/>
      <c r="ANY280" s="11"/>
      <c r="ANZ280" s="11"/>
      <c r="AOA280" s="11"/>
      <c r="AOB280" s="11"/>
      <c r="AOC280" s="11"/>
      <c r="AOD280" s="11"/>
      <c r="AOE280" s="11"/>
      <c r="AOF280" s="11"/>
      <c r="AOG280" s="11"/>
      <c r="AOH280" s="11"/>
      <c r="AOI280" s="11"/>
      <c r="AOJ280" s="11"/>
      <c r="AOK280" s="11"/>
      <c r="AOL280" s="11"/>
      <c r="AOM280" s="11"/>
      <c r="AON280" s="11"/>
      <c r="AOO280" s="11"/>
      <c r="AOP280" s="11"/>
      <c r="AOQ280" s="11"/>
      <c r="AOR280" s="11"/>
      <c r="AOS280" s="11"/>
      <c r="AOT280" s="11"/>
      <c r="AOU280" s="11"/>
      <c r="AOV280" s="11"/>
      <c r="AOW280" s="11"/>
      <c r="AOX280" s="11"/>
      <c r="AOY280" s="11"/>
      <c r="AOZ280" s="11"/>
      <c r="APA280" s="11"/>
      <c r="APB280" s="11"/>
      <c r="APC280" s="11"/>
      <c r="APD280" s="11"/>
      <c r="APE280" s="11"/>
      <c r="APF280" s="11"/>
      <c r="APG280" s="11"/>
      <c r="APH280" s="11"/>
      <c r="API280" s="11"/>
      <c r="APJ280" s="11"/>
      <c r="APK280" s="11"/>
      <c r="APL280" s="11"/>
      <c r="APM280" s="11"/>
      <c r="APN280" s="11"/>
      <c r="APO280" s="11"/>
      <c r="APP280" s="11"/>
      <c r="APQ280" s="11"/>
      <c r="APR280" s="11"/>
      <c r="APS280" s="11"/>
      <c r="APT280" s="11"/>
      <c r="APU280" s="11"/>
      <c r="APV280" s="11"/>
      <c r="APW280" s="11"/>
      <c r="APX280" s="11"/>
      <c r="APY280" s="11"/>
      <c r="APZ280" s="11"/>
      <c r="AQA280" s="11"/>
      <c r="AQB280" s="11"/>
      <c r="AQC280" s="11"/>
      <c r="AQD280" s="11"/>
      <c r="AQE280" s="11"/>
      <c r="AQF280" s="11"/>
      <c r="AQG280" s="11"/>
      <c r="AQH280" s="11"/>
      <c r="AQI280" s="11"/>
      <c r="AQJ280" s="11"/>
      <c r="AQK280" s="11"/>
      <c r="AQL280" s="11"/>
      <c r="AQM280" s="11"/>
      <c r="AQN280" s="11"/>
      <c r="AQO280" s="11"/>
      <c r="AQP280" s="11"/>
      <c r="AQQ280" s="11"/>
      <c r="AQR280" s="11"/>
      <c r="AQS280" s="11"/>
      <c r="AQT280" s="11"/>
      <c r="AQU280" s="11"/>
      <c r="AQV280" s="11"/>
      <c r="AQW280" s="11"/>
      <c r="AQX280" s="11"/>
      <c r="AQY280" s="11"/>
      <c r="AQZ280" s="11"/>
      <c r="ARA280" s="11"/>
      <c r="ARB280" s="11"/>
      <c r="ARC280" s="11"/>
      <c r="ARD280" s="11"/>
      <c r="ARE280" s="11"/>
      <c r="ARF280" s="11"/>
      <c r="ARG280" s="11"/>
      <c r="ARH280" s="11"/>
      <c r="ARI280" s="11"/>
      <c r="ARJ280" s="11"/>
      <c r="ARK280" s="11"/>
      <c r="ARL280" s="11"/>
      <c r="ARM280" s="11"/>
      <c r="ARN280" s="11"/>
      <c r="ARO280" s="11"/>
      <c r="ARP280" s="11"/>
      <c r="ARQ280" s="11"/>
      <c r="ARR280" s="11"/>
      <c r="ARS280" s="11"/>
      <c r="ART280" s="11"/>
      <c r="ARU280" s="11"/>
      <c r="ARV280" s="11"/>
      <c r="ARW280" s="11"/>
      <c r="ARX280" s="11"/>
      <c r="ARY280" s="11"/>
      <c r="ARZ280" s="11"/>
      <c r="ASA280" s="11"/>
      <c r="ASB280" s="11"/>
      <c r="ASC280" s="11"/>
      <c r="ASD280" s="11"/>
      <c r="ASE280" s="11"/>
      <c r="ASF280" s="11"/>
      <c r="ASG280" s="11"/>
      <c r="ASH280" s="11"/>
      <c r="ASI280" s="11"/>
      <c r="ASJ280" s="11"/>
      <c r="ASK280" s="11"/>
      <c r="ASL280" s="11"/>
      <c r="ASM280" s="11"/>
      <c r="ASN280" s="11"/>
      <c r="ASO280" s="11"/>
      <c r="ASP280" s="11"/>
      <c r="ASQ280" s="11"/>
      <c r="ASR280" s="11"/>
      <c r="ASS280" s="11"/>
      <c r="AST280" s="11"/>
      <c r="ASU280" s="11"/>
      <c r="ASV280" s="11"/>
      <c r="ASW280" s="11"/>
      <c r="ASX280" s="11"/>
      <c r="ASY280" s="11"/>
      <c r="ASZ280" s="11"/>
      <c r="ATA280" s="11"/>
      <c r="ATB280" s="11"/>
      <c r="ATC280" s="11"/>
      <c r="ATD280" s="11"/>
      <c r="ATE280" s="11"/>
      <c r="ATF280" s="11"/>
      <c r="ATG280" s="11"/>
      <c r="ATH280" s="11"/>
      <c r="ATI280" s="11"/>
      <c r="ATJ280" s="11"/>
      <c r="ATK280" s="11"/>
      <c r="ATL280" s="11"/>
      <c r="ATM280" s="11"/>
      <c r="ATN280" s="11"/>
      <c r="ATO280" s="11"/>
      <c r="ATP280" s="11"/>
      <c r="ATQ280" s="11"/>
      <c r="ATR280" s="11"/>
      <c r="ATS280" s="11"/>
      <c r="ATT280" s="11"/>
      <c r="ATU280" s="11"/>
      <c r="ATV280" s="11"/>
      <c r="ATW280" s="11"/>
      <c r="ATX280" s="11"/>
      <c r="ATY280" s="11"/>
      <c r="ATZ280" s="11"/>
      <c r="AUA280" s="11"/>
      <c r="AUB280" s="11"/>
      <c r="AUC280" s="11"/>
      <c r="AUD280" s="11"/>
      <c r="AUE280" s="11"/>
      <c r="AUF280" s="11"/>
      <c r="AUG280" s="11"/>
      <c r="AUH280" s="11"/>
      <c r="AUI280" s="11"/>
      <c r="AUJ280" s="11"/>
      <c r="AUK280" s="11"/>
      <c r="AUL280" s="11"/>
      <c r="AUM280" s="11"/>
      <c r="AUN280" s="11"/>
      <c r="AUO280" s="11"/>
      <c r="AUP280" s="11"/>
      <c r="AUQ280" s="11"/>
      <c r="AUR280" s="11"/>
      <c r="AUS280" s="11"/>
      <c r="AUT280" s="11"/>
      <c r="AUU280" s="11"/>
      <c r="AUV280" s="11"/>
      <c r="AUW280" s="11"/>
      <c r="AUX280" s="11"/>
      <c r="AUY280" s="11"/>
      <c r="AUZ280" s="11"/>
      <c r="AVA280" s="11"/>
      <c r="AVB280" s="11"/>
      <c r="AVC280" s="11"/>
      <c r="AVD280" s="11"/>
      <c r="AVE280" s="11"/>
      <c r="AVF280" s="11"/>
      <c r="AVG280" s="11"/>
      <c r="AVH280" s="11"/>
      <c r="AVI280" s="11"/>
      <c r="AVJ280" s="11"/>
      <c r="AVK280" s="11"/>
      <c r="AVL280" s="11"/>
      <c r="AVM280" s="11"/>
      <c r="AVN280" s="11"/>
      <c r="AVO280" s="11"/>
      <c r="AVP280" s="11"/>
      <c r="AVQ280" s="11"/>
      <c r="AVR280" s="11"/>
      <c r="AVS280" s="11"/>
      <c r="AVT280" s="11"/>
      <c r="AVU280" s="11"/>
      <c r="AVV280" s="11"/>
      <c r="AVW280" s="11"/>
      <c r="AVX280" s="11"/>
      <c r="AVY280" s="11"/>
      <c r="AVZ280" s="11"/>
      <c r="AWA280" s="11"/>
      <c r="AWB280" s="11"/>
      <c r="AWC280" s="11"/>
      <c r="AWD280" s="11"/>
      <c r="AWE280" s="11"/>
      <c r="AWF280" s="11"/>
      <c r="AWG280" s="11"/>
      <c r="AWH280" s="11"/>
      <c r="AWI280" s="11"/>
      <c r="AWJ280" s="11"/>
      <c r="AWK280" s="11"/>
      <c r="AWL280" s="11"/>
      <c r="AWM280" s="11"/>
      <c r="AWN280" s="11"/>
      <c r="AWO280" s="11"/>
      <c r="AWP280" s="11"/>
      <c r="AWQ280" s="11"/>
      <c r="AWR280" s="11"/>
      <c r="AWS280" s="11"/>
      <c r="AWT280" s="11"/>
      <c r="AWU280" s="11"/>
      <c r="AWV280" s="11"/>
      <c r="AWW280" s="11"/>
      <c r="AWX280" s="11"/>
      <c r="AWY280" s="11"/>
      <c r="AWZ280" s="11"/>
      <c r="AXA280" s="11"/>
      <c r="AXB280" s="11"/>
      <c r="AXC280" s="11"/>
      <c r="AXD280" s="11"/>
      <c r="AXE280" s="11"/>
      <c r="AXF280" s="11"/>
      <c r="AXG280" s="11"/>
      <c r="AXH280" s="11"/>
      <c r="AXI280" s="11"/>
      <c r="AXJ280" s="11"/>
      <c r="AXK280" s="11"/>
      <c r="AXL280" s="11"/>
      <c r="AXM280" s="11"/>
      <c r="AXN280" s="11"/>
      <c r="AXO280" s="11"/>
      <c r="AXP280" s="11"/>
      <c r="AXQ280" s="11"/>
      <c r="AXR280" s="11"/>
      <c r="AXS280" s="11"/>
      <c r="AXT280" s="11"/>
      <c r="AXU280" s="11"/>
      <c r="AXV280" s="11"/>
      <c r="AXW280" s="11"/>
      <c r="AXX280" s="11"/>
      <c r="AXY280" s="11"/>
      <c r="AXZ280" s="11"/>
      <c r="AYA280" s="11"/>
      <c r="AYB280" s="11"/>
      <c r="AYC280" s="11"/>
      <c r="AYD280" s="11"/>
      <c r="AYE280" s="11"/>
      <c r="AYF280" s="11"/>
      <c r="AYG280" s="11"/>
      <c r="AYH280" s="11"/>
      <c r="AYI280" s="11"/>
      <c r="AYJ280" s="11"/>
      <c r="AYK280" s="11"/>
      <c r="AYL280" s="11"/>
      <c r="AYM280" s="11"/>
      <c r="AYN280" s="11"/>
      <c r="AYO280" s="11"/>
      <c r="AYP280" s="11"/>
      <c r="AYQ280" s="11"/>
      <c r="AYR280" s="11"/>
      <c r="AYS280" s="11"/>
      <c r="AYT280" s="11"/>
      <c r="AYU280" s="11"/>
      <c r="AYV280" s="11"/>
      <c r="AYW280" s="11"/>
      <c r="AYX280" s="11"/>
      <c r="AYY280" s="11"/>
      <c r="AYZ280" s="11"/>
      <c r="AZA280" s="11"/>
      <c r="AZB280" s="11"/>
      <c r="AZC280" s="11"/>
      <c r="AZD280" s="11"/>
      <c r="AZE280" s="11"/>
      <c r="AZF280" s="11"/>
      <c r="AZG280" s="11"/>
      <c r="AZH280" s="11"/>
      <c r="AZI280" s="11"/>
      <c r="AZJ280" s="11"/>
      <c r="AZK280" s="11"/>
      <c r="AZL280" s="11"/>
      <c r="AZM280" s="11"/>
      <c r="AZN280" s="11"/>
      <c r="AZO280" s="11"/>
      <c r="AZP280" s="11"/>
      <c r="AZQ280" s="11"/>
      <c r="AZR280" s="11"/>
      <c r="AZS280" s="11"/>
      <c r="AZT280" s="11"/>
      <c r="AZU280" s="11"/>
      <c r="AZV280" s="11"/>
      <c r="AZW280" s="11"/>
      <c r="AZX280" s="11"/>
      <c r="AZY280" s="11"/>
      <c r="AZZ280" s="11"/>
      <c r="BAA280" s="11"/>
      <c r="BAB280" s="11"/>
      <c r="BAC280" s="11"/>
      <c r="BAD280" s="11"/>
      <c r="BAE280" s="11"/>
      <c r="BAF280" s="11"/>
      <c r="BAG280" s="11"/>
      <c r="BAH280" s="11"/>
      <c r="BAI280" s="11"/>
      <c r="BAJ280" s="11"/>
      <c r="BAK280" s="11"/>
      <c r="BAL280" s="11"/>
      <c r="BAM280" s="11"/>
      <c r="BAN280" s="11"/>
      <c r="BAO280" s="11"/>
      <c r="BAP280" s="11"/>
      <c r="BAQ280" s="11"/>
      <c r="BAR280" s="11"/>
      <c r="BAS280" s="11"/>
      <c r="BAT280" s="11"/>
      <c r="BAU280" s="11"/>
      <c r="BAV280" s="11"/>
      <c r="BAW280" s="11"/>
      <c r="BAX280" s="11"/>
      <c r="BAY280" s="11"/>
      <c r="BAZ280" s="11"/>
      <c r="BBA280" s="11"/>
      <c r="BBB280" s="11"/>
      <c r="BBC280" s="11"/>
      <c r="BBD280" s="11"/>
      <c r="BBE280" s="11"/>
      <c r="BBF280" s="11"/>
      <c r="BBG280" s="11"/>
      <c r="BBH280" s="11"/>
      <c r="BBI280" s="11"/>
      <c r="BBJ280" s="11"/>
      <c r="BBK280" s="11"/>
      <c r="BBL280" s="11"/>
      <c r="BBM280" s="11"/>
      <c r="BBN280" s="11"/>
      <c r="BBO280" s="11"/>
      <c r="BBP280" s="11"/>
      <c r="BBQ280" s="11"/>
      <c r="BBR280" s="11"/>
      <c r="BBS280" s="11"/>
      <c r="BBT280" s="11"/>
      <c r="BBU280" s="11"/>
      <c r="BBV280" s="11"/>
      <c r="BBW280" s="11"/>
      <c r="BBX280" s="11"/>
      <c r="BBY280" s="11"/>
      <c r="BBZ280" s="11"/>
      <c r="BCA280" s="11"/>
      <c r="BCB280" s="11"/>
      <c r="BCC280" s="11"/>
      <c r="BCD280" s="11"/>
      <c r="BCE280" s="11"/>
      <c r="BCF280" s="11"/>
      <c r="BCG280" s="11"/>
      <c r="BCH280" s="11"/>
      <c r="BCI280" s="11"/>
      <c r="BCJ280" s="11"/>
      <c r="BCK280" s="11"/>
      <c r="BCL280" s="11"/>
      <c r="BCM280" s="11"/>
      <c r="BCN280" s="11"/>
      <c r="BCO280" s="11"/>
      <c r="BCP280" s="11"/>
      <c r="BCQ280" s="11"/>
      <c r="BCR280" s="11"/>
      <c r="BCS280" s="11"/>
      <c r="BCT280" s="11"/>
      <c r="BCU280" s="11"/>
      <c r="BCV280" s="11"/>
      <c r="BCW280" s="11"/>
      <c r="BCX280" s="11"/>
      <c r="BCY280" s="11"/>
      <c r="BCZ280" s="11"/>
      <c r="BDA280" s="11"/>
      <c r="BDB280" s="11"/>
      <c r="BDC280" s="11"/>
      <c r="BDD280" s="11"/>
      <c r="BDE280" s="11"/>
      <c r="BDF280" s="11"/>
      <c r="BDG280" s="11"/>
      <c r="BDH280" s="11"/>
      <c r="BDI280" s="11"/>
      <c r="BDJ280" s="11"/>
      <c r="BDK280" s="11"/>
      <c r="BDL280" s="11"/>
      <c r="BDM280" s="11"/>
      <c r="BDN280" s="11"/>
      <c r="BDO280" s="11"/>
      <c r="BDP280" s="11"/>
      <c r="BDQ280" s="11"/>
      <c r="BDR280" s="11"/>
      <c r="BDS280" s="11"/>
      <c r="BDT280" s="11"/>
      <c r="BDU280" s="11"/>
      <c r="BDV280" s="11"/>
      <c r="BDW280" s="11"/>
      <c r="BDX280" s="11"/>
      <c r="BDY280" s="11"/>
      <c r="BDZ280" s="11"/>
      <c r="BEA280" s="11"/>
      <c r="BEB280" s="11"/>
      <c r="BEC280" s="11"/>
      <c r="BED280" s="11"/>
      <c r="BEE280" s="11"/>
      <c r="BEF280" s="11"/>
      <c r="BEG280" s="11"/>
      <c r="BEH280" s="11"/>
      <c r="BEI280" s="11"/>
      <c r="BEJ280" s="11"/>
      <c r="BEK280" s="11"/>
      <c r="BEL280" s="11"/>
      <c r="BEM280" s="11"/>
      <c r="BEN280" s="11"/>
      <c r="BEO280" s="11"/>
      <c r="BEP280" s="11"/>
      <c r="BEQ280" s="11"/>
      <c r="BER280" s="11"/>
      <c r="BES280" s="11"/>
      <c r="BET280" s="11"/>
      <c r="BEU280" s="11"/>
      <c r="BEV280" s="11"/>
      <c r="BEW280" s="11"/>
      <c r="BEX280" s="11"/>
      <c r="BEY280" s="11"/>
      <c r="BEZ280" s="11"/>
      <c r="BFA280" s="11"/>
      <c r="BFB280" s="11"/>
      <c r="BFC280" s="11"/>
      <c r="BFD280" s="11"/>
      <c r="BFE280" s="11"/>
      <c r="BFF280" s="11"/>
      <c r="BFG280" s="11"/>
      <c r="BFH280" s="11"/>
      <c r="BFI280" s="11"/>
      <c r="BFJ280" s="11"/>
      <c r="BFK280" s="11"/>
      <c r="BFL280" s="11"/>
      <c r="BFM280" s="11"/>
      <c r="BFN280" s="11"/>
      <c r="BFO280" s="11"/>
      <c r="BFP280" s="11"/>
      <c r="BFQ280" s="11"/>
      <c r="BFR280" s="11"/>
      <c r="BFS280" s="11"/>
      <c r="BFT280" s="11"/>
      <c r="BFU280" s="11"/>
      <c r="BFV280" s="11"/>
      <c r="BFW280" s="11"/>
      <c r="BFX280" s="11"/>
      <c r="BFY280" s="11"/>
      <c r="BFZ280" s="11"/>
      <c r="BGA280" s="11"/>
      <c r="BGB280" s="11"/>
      <c r="BGC280" s="11"/>
      <c r="BGD280" s="11"/>
      <c r="BGE280" s="11"/>
      <c r="BGF280" s="11"/>
      <c r="BGG280" s="11"/>
      <c r="BGH280" s="11"/>
      <c r="BGI280" s="11"/>
      <c r="BGJ280" s="11"/>
      <c r="BGK280" s="11"/>
      <c r="BGL280" s="11"/>
      <c r="BGM280" s="11"/>
      <c r="BGN280" s="11"/>
      <c r="BGO280" s="11"/>
      <c r="BGP280" s="11"/>
      <c r="BGQ280" s="11"/>
      <c r="BGR280" s="11"/>
      <c r="BGS280" s="11"/>
      <c r="BGT280" s="11"/>
      <c r="BGU280" s="11"/>
      <c r="BGV280" s="11"/>
      <c r="BGW280" s="11"/>
      <c r="BGX280" s="11"/>
      <c r="BGY280" s="11"/>
      <c r="BGZ280" s="11"/>
      <c r="BHA280" s="11"/>
      <c r="BHB280" s="11"/>
      <c r="BHC280" s="11"/>
      <c r="BHD280" s="11"/>
      <c r="BHE280" s="11"/>
      <c r="BHF280" s="11"/>
      <c r="BHG280" s="11"/>
      <c r="BHH280" s="11"/>
      <c r="BHI280" s="11"/>
      <c r="BHJ280" s="11"/>
      <c r="BHK280" s="11"/>
      <c r="BHL280" s="11"/>
      <c r="BHM280" s="11"/>
      <c r="BHN280" s="11"/>
      <c r="BHO280" s="11"/>
      <c r="BHP280" s="11"/>
      <c r="BHQ280" s="11"/>
      <c r="BHR280" s="11"/>
      <c r="BHS280" s="11"/>
      <c r="BHT280" s="11"/>
      <c r="BHU280" s="11"/>
      <c r="BHV280" s="11"/>
      <c r="BHW280" s="11"/>
      <c r="BHX280" s="11"/>
      <c r="BHY280" s="11"/>
      <c r="BHZ280" s="11"/>
      <c r="BIA280" s="11"/>
      <c r="BIB280" s="11"/>
      <c r="BIC280" s="11"/>
      <c r="BID280" s="11"/>
      <c r="BIE280" s="11"/>
      <c r="BIF280" s="11"/>
      <c r="BIG280" s="11"/>
      <c r="BIH280" s="11"/>
      <c r="BII280" s="11"/>
      <c r="BIJ280" s="11"/>
      <c r="BIK280" s="11"/>
      <c r="BIL280" s="11"/>
      <c r="BIM280" s="11"/>
      <c r="BIN280" s="11"/>
      <c r="BIO280" s="11"/>
      <c r="BIP280" s="11"/>
      <c r="BIQ280" s="11"/>
      <c r="BIR280" s="11"/>
      <c r="BIS280" s="11"/>
      <c r="BIT280" s="11"/>
      <c r="BIU280" s="11"/>
      <c r="BIV280" s="11"/>
      <c r="BIW280" s="11"/>
      <c r="BIX280" s="11"/>
      <c r="BIY280" s="11"/>
      <c r="BIZ280" s="11"/>
      <c r="BJA280" s="11"/>
      <c r="BJB280" s="11"/>
      <c r="BJC280" s="11"/>
      <c r="BJD280" s="11"/>
      <c r="BJE280" s="11"/>
      <c r="BJF280" s="11"/>
      <c r="BJG280" s="11"/>
      <c r="BJH280" s="11"/>
      <c r="BJI280" s="11"/>
      <c r="BJJ280" s="11"/>
      <c r="BJK280" s="11"/>
      <c r="BJL280" s="11"/>
      <c r="BJM280" s="11"/>
      <c r="BJN280" s="11"/>
      <c r="BJO280" s="11"/>
      <c r="BJP280" s="11"/>
      <c r="BJQ280" s="11"/>
      <c r="BJR280" s="11"/>
      <c r="BJS280" s="11"/>
      <c r="BJT280" s="11"/>
      <c r="BJU280" s="11"/>
      <c r="BJV280" s="11"/>
      <c r="BJW280" s="11"/>
      <c r="BJX280" s="11"/>
      <c r="BJY280" s="11"/>
      <c r="BJZ280" s="11"/>
      <c r="BKA280" s="11"/>
      <c r="BKB280" s="11"/>
      <c r="BKC280" s="11"/>
      <c r="BKD280" s="11"/>
      <c r="BKE280" s="11"/>
      <c r="BKF280" s="11"/>
      <c r="BKG280" s="11"/>
      <c r="BKH280" s="11"/>
      <c r="BKI280" s="11"/>
      <c r="BKJ280" s="11"/>
      <c r="BKK280" s="11"/>
      <c r="BKL280" s="11"/>
      <c r="BKM280" s="11"/>
      <c r="BKN280" s="11"/>
      <c r="BKO280" s="11"/>
      <c r="BKP280" s="11"/>
      <c r="BKQ280" s="11"/>
      <c r="BKR280" s="11"/>
      <c r="BKS280" s="11"/>
      <c r="BKT280" s="11"/>
      <c r="BKU280" s="11"/>
      <c r="BKV280" s="11"/>
      <c r="BKW280" s="11"/>
      <c r="BKX280" s="11"/>
      <c r="BKY280" s="11"/>
      <c r="BKZ280" s="11"/>
      <c r="BLA280" s="11"/>
      <c r="BLB280" s="11"/>
      <c r="BLC280" s="11"/>
      <c r="BLD280" s="11"/>
      <c r="BLE280" s="11"/>
      <c r="BLF280" s="11"/>
      <c r="BLG280" s="11"/>
      <c r="BLH280" s="11"/>
      <c r="BLI280" s="11"/>
      <c r="BLJ280" s="11"/>
      <c r="BLK280" s="11"/>
      <c r="BLL280" s="11"/>
      <c r="BLM280" s="11"/>
      <c r="BLN280" s="11"/>
      <c r="BLO280" s="11"/>
      <c r="BLP280" s="11"/>
      <c r="BLQ280" s="11"/>
      <c r="BLR280" s="11"/>
      <c r="BLS280" s="11"/>
      <c r="BLT280" s="11"/>
      <c r="BLU280" s="11"/>
      <c r="BLV280" s="11"/>
      <c r="BLW280" s="11"/>
      <c r="BLX280" s="11"/>
      <c r="BLY280" s="11"/>
      <c r="BLZ280" s="11"/>
      <c r="BMA280" s="11"/>
      <c r="BMB280" s="11"/>
      <c r="BMC280" s="11"/>
      <c r="BMD280" s="11"/>
      <c r="BME280" s="11"/>
      <c r="BMF280" s="11"/>
      <c r="BMG280" s="11"/>
      <c r="BMH280" s="11"/>
      <c r="BMI280" s="11"/>
      <c r="BMJ280" s="11"/>
      <c r="BMK280" s="11"/>
      <c r="BML280" s="11"/>
      <c r="BMM280" s="11"/>
      <c r="BMN280" s="11"/>
      <c r="BMO280" s="11"/>
      <c r="BMP280" s="11"/>
      <c r="BMQ280" s="11"/>
      <c r="BMR280" s="11"/>
      <c r="BMS280" s="11"/>
      <c r="BMT280" s="11"/>
      <c r="BMU280" s="11"/>
      <c r="BMV280" s="11"/>
      <c r="BMW280" s="11"/>
      <c r="BMX280" s="11"/>
      <c r="BMY280" s="11"/>
      <c r="BMZ280" s="11"/>
      <c r="BNA280" s="11"/>
      <c r="BNB280" s="11"/>
      <c r="BNC280" s="11"/>
      <c r="BND280" s="11"/>
      <c r="BNE280" s="11"/>
      <c r="BNF280" s="11"/>
      <c r="BNG280" s="11"/>
      <c r="BNH280" s="11"/>
      <c r="BNI280" s="11"/>
      <c r="BNJ280" s="11"/>
      <c r="BNK280" s="11"/>
      <c r="BNL280" s="11"/>
      <c r="BNM280" s="11"/>
      <c r="BNN280" s="11"/>
      <c r="BNO280" s="11"/>
      <c r="BNP280" s="11"/>
      <c r="BNQ280" s="11"/>
      <c r="BNR280" s="11"/>
      <c r="BNS280" s="11"/>
      <c r="BNT280" s="11"/>
      <c r="BNU280" s="11"/>
      <c r="BNV280" s="11"/>
      <c r="BNW280" s="11"/>
      <c r="BNX280" s="11"/>
      <c r="BNY280" s="11"/>
      <c r="BNZ280" s="11"/>
      <c r="BOA280" s="11"/>
      <c r="BOB280" s="11"/>
      <c r="BOC280" s="11"/>
      <c r="BOD280" s="11"/>
      <c r="BOE280" s="11"/>
      <c r="BOF280" s="11"/>
      <c r="BOG280" s="11"/>
      <c r="BOH280" s="11"/>
      <c r="BOI280" s="11"/>
      <c r="BOJ280" s="11"/>
      <c r="BOK280" s="11"/>
      <c r="BOL280" s="11"/>
      <c r="BOM280" s="11"/>
      <c r="BON280" s="11"/>
      <c r="BOO280" s="11"/>
      <c r="BOP280" s="11"/>
      <c r="BOQ280" s="11"/>
      <c r="BOR280" s="11"/>
      <c r="BOS280" s="11"/>
      <c r="BOT280" s="11"/>
      <c r="BOU280" s="11"/>
      <c r="BOV280" s="11"/>
      <c r="BOW280" s="11"/>
      <c r="BOX280" s="11"/>
      <c r="BOY280" s="11"/>
      <c r="BOZ280" s="11"/>
      <c r="BPA280" s="11"/>
      <c r="BPB280" s="11"/>
      <c r="BPC280" s="11"/>
      <c r="BPD280" s="11"/>
      <c r="BPE280" s="11"/>
      <c r="BPF280" s="11"/>
      <c r="BPG280" s="11"/>
      <c r="BPH280" s="11"/>
      <c r="BPI280" s="11"/>
      <c r="BPJ280" s="11"/>
      <c r="BPK280" s="11"/>
      <c r="BPL280" s="11"/>
      <c r="BPM280" s="11"/>
      <c r="BPN280" s="11"/>
      <c r="BPO280" s="11"/>
      <c r="BPP280" s="11"/>
      <c r="BPQ280" s="11"/>
      <c r="BPR280" s="11"/>
      <c r="BPS280" s="11"/>
      <c r="BPT280" s="11"/>
      <c r="BPU280" s="11"/>
      <c r="BPV280" s="11"/>
      <c r="BPW280" s="11"/>
      <c r="BPX280" s="11"/>
      <c r="BPY280" s="11"/>
      <c r="BPZ280" s="11"/>
      <c r="BQA280" s="11"/>
      <c r="BQB280" s="11"/>
      <c r="BQC280" s="11"/>
      <c r="BQD280" s="11"/>
      <c r="BQE280" s="11"/>
      <c r="BQF280" s="11"/>
      <c r="BQG280" s="11"/>
      <c r="BQH280" s="11"/>
      <c r="BQI280" s="11"/>
      <c r="BQJ280" s="11"/>
      <c r="BQK280" s="11"/>
      <c r="BQL280" s="11"/>
      <c r="BQM280" s="11"/>
      <c r="BQN280" s="11"/>
      <c r="BQO280" s="11"/>
      <c r="BQP280" s="11"/>
      <c r="BQQ280" s="11"/>
      <c r="BQR280" s="11"/>
      <c r="BQS280" s="11"/>
      <c r="BQT280" s="11"/>
      <c r="BQU280" s="11"/>
      <c r="BQV280" s="11"/>
      <c r="BQW280" s="11"/>
      <c r="BQX280" s="11"/>
      <c r="BQY280" s="11"/>
      <c r="BQZ280" s="11"/>
      <c r="BRA280" s="11"/>
      <c r="BRB280" s="11"/>
      <c r="BRC280" s="11"/>
      <c r="BRD280" s="11"/>
      <c r="BRE280" s="11"/>
      <c r="BRF280" s="11"/>
      <c r="BRG280" s="11"/>
      <c r="BRH280" s="11"/>
      <c r="BRI280" s="11"/>
      <c r="BRJ280" s="11"/>
      <c r="BRK280" s="11"/>
      <c r="BRL280" s="11"/>
      <c r="BRM280" s="11"/>
      <c r="BRN280" s="11"/>
      <c r="BRO280" s="11"/>
      <c r="BRP280" s="11"/>
      <c r="BRQ280" s="11"/>
      <c r="BRR280" s="11"/>
      <c r="BRS280" s="11"/>
      <c r="BRT280" s="11"/>
      <c r="BRU280" s="11"/>
      <c r="BRV280" s="11"/>
      <c r="BRW280" s="11"/>
      <c r="BRX280" s="11"/>
      <c r="BRY280" s="11"/>
      <c r="BRZ280" s="11"/>
      <c r="BSA280" s="11"/>
      <c r="BSB280" s="11"/>
      <c r="BSC280" s="11"/>
      <c r="BSD280" s="11"/>
      <c r="BSE280" s="11"/>
      <c r="BSF280" s="11"/>
      <c r="BSG280" s="11"/>
      <c r="BSH280" s="11"/>
      <c r="BSI280" s="11"/>
      <c r="BSJ280" s="11"/>
      <c r="BSK280" s="11"/>
      <c r="BSL280" s="11"/>
      <c r="BSM280" s="11"/>
      <c r="BSN280" s="11"/>
      <c r="BSO280" s="11"/>
      <c r="BSP280" s="11"/>
      <c r="BSQ280" s="11"/>
      <c r="BSR280" s="11"/>
      <c r="BSS280" s="11"/>
      <c r="BST280" s="11"/>
      <c r="BSU280" s="11"/>
      <c r="BSV280" s="11"/>
      <c r="BSW280" s="11"/>
      <c r="BSX280" s="11"/>
      <c r="BSY280" s="11"/>
      <c r="BSZ280" s="11"/>
      <c r="BTA280" s="11"/>
      <c r="BTB280" s="11"/>
      <c r="BTC280" s="11"/>
      <c r="BTD280" s="11"/>
      <c r="BTE280" s="11"/>
      <c r="BTF280" s="11"/>
      <c r="BTG280" s="11"/>
      <c r="BTH280" s="11"/>
      <c r="BTI280" s="11"/>
      <c r="BTJ280" s="11"/>
      <c r="BTK280" s="11"/>
      <c r="BTL280" s="11"/>
      <c r="BTM280" s="11"/>
      <c r="BTN280" s="11"/>
      <c r="BTO280" s="11"/>
      <c r="BTP280" s="11"/>
      <c r="BTQ280" s="11"/>
      <c r="BTR280" s="11"/>
      <c r="BTS280" s="11"/>
      <c r="BTT280" s="11"/>
    </row>
    <row r="281" spans="1:1892" s="11" customFormat="1" ht="35.1" customHeight="1">
      <c r="A281" s="1241"/>
      <c r="B281" s="1353" t="s">
        <v>310</v>
      </c>
      <c r="C281" s="534" t="s">
        <v>223</v>
      </c>
      <c r="D281" s="484" t="s">
        <v>342</v>
      </c>
      <c r="E281" s="485"/>
      <c r="F281" s="486"/>
      <c r="G281" s="460" t="s">
        <v>673</v>
      </c>
      <c r="H281" s="460" t="s">
        <v>627</v>
      </c>
      <c r="I281" s="460" t="s">
        <v>343</v>
      </c>
      <c r="J281" s="460" t="s">
        <v>11</v>
      </c>
      <c r="K281" s="460" t="s">
        <v>12</v>
      </c>
      <c r="L281" s="348">
        <v>72</v>
      </c>
      <c r="M281" s="255">
        <v>149</v>
      </c>
      <c r="N281" s="337">
        <v>3</v>
      </c>
      <c r="O281" s="337">
        <v>3</v>
      </c>
      <c r="P281" s="556" t="s">
        <v>417</v>
      </c>
      <c r="Q281" s="528" t="s">
        <v>440</v>
      </c>
      <c r="R281" s="668" t="s">
        <v>967</v>
      </c>
      <c r="S281" s="670" t="s">
        <v>57</v>
      </c>
      <c r="T281" s="514" t="s">
        <v>225</v>
      </c>
      <c r="U281" s="514" t="s">
        <v>11</v>
      </c>
    </row>
    <row r="282" spans="1:1892" s="11" customFormat="1" ht="35.1" customHeight="1">
      <c r="A282" s="1241"/>
      <c r="B282" s="1354"/>
      <c r="C282" s="535"/>
      <c r="D282" s="487"/>
      <c r="E282" s="488"/>
      <c r="F282" s="489"/>
      <c r="G282" s="461"/>
      <c r="H282" s="461"/>
      <c r="I282" s="461"/>
      <c r="J282" s="461"/>
      <c r="K282" s="461"/>
      <c r="L282" s="348">
        <v>76</v>
      </c>
      <c r="M282" s="255">
        <v>76</v>
      </c>
      <c r="N282" s="337">
        <v>1</v>
      </c>
      <c r="O282" s="337">
        <v>3</v>
      </c>
      <c r="P282" s="557"/>
      <c r="Q282" s="529"/>
      <c r="R282" s="529"/>
      <c r="S282" s="671"/>
      <c r="T282" s="515"/>
      <c r="U282" s="515"/>
    </row>
    <row r="283" spans="1:1892" s="11" customFormat="1" ht="35.1" customHeight="1">
      <c r="A283" s="1241"/>
      <c r="B283" s="1354"/>
      <c r="C283" s="535"/>
      <c r="D283" s="487"/>
      <c r="E283" s="488"/>
      <c r="F283" s="489"/>
      <c r="G283" s="461"/>
      <c r="H283" s="461"/>
      <c r="I283" s="461"/>
      <c r="J283" s="461"/>
      <c r="K283" s="461"/>
      <c r="L283" s="348" t="s">
        <v>84</v>
      </c>
      <c r="M283" s="255">
        <v>929</v>
      </c>
      <c r="N283" s="337">
        <v>10</v>
      </c>
      <c r="O283" s="337">
        <v>24</v>
      </c>
      <c r="P283" s="557"/>
      <c r="Q283" s="529"/>
      <c r="R283" s="529"/>
      <c r="S283" s="671"/>
      <c r="T283" s="515"/>
      <c r="U283" s="515"/>
    </row>
    <row r="284" spans="1:1892" s="11" customFormat="1" ht="35.1" customHeight="1">
      <c r="A284" s="1241"/>
      <c r="B284" s="1354"/>
      <c r="C284" s="535"/>
      <c r="D284" s="487"/>
      <c r="E284" s="488"/>
      <c r="F284" s="489"/>
      <c r="G284" s="461"/>
      <c r="H284" s="461"/>
      <c r="I284" s="461"/>
      <c r="J284" s="461"/>
      <c r="K284" s="461"/>
      <c r="L284" s="348" t="s">
        <v>83</v>
      </c>
      <c r="M284" s="255">
        <v>315</v>
      </c>
      <c r="N284" s="337">
        <v>32</v>
      </c>
      <c r="O284" s="337">
        <v>33</v>
      </c>
      <c r="P284" s="557"/>
      <c r="Q284" s="529"/>
      <c r="R284" s="529"/>
      <c r="S284" s="671"/>
      <c r="T284" s="515"/>
      <c r="U284" s="515"/>
    </row>
    <row r="285" spans="1:1892" s="11" customFormat="1" ht="35.1" customHeight="1">
      <c r="A285" s="1241"/>
      <c r="B285" s="1354"/>
      <c r="C285" s="535"/>
      <c r="D285" s="487"/>
      <c r="E285" s="488"/>
      <c r="F285" s="489"/>
      <c r="G285" s="462"/>
      <c r="H285" s="462"/>
      <c r="I285" s="462"/>
      <c r="J285" s="462"/>
      <c r="K285" s="462"/>
      <c r="L285" s="348" t="s">
        <v>82</v>
      </c>
      <c r="M285" s="255">
        <v>102</v>
      </c>
      <c r="N285" s="337">
        <v>14</v>
      </c>
      <c r="O285" s="337">
        <v>15</v>
      </c>
      <c r="P285" s="557"/>
      <c r="Q285" s="529"/>
      <c r="R285" s="529"/>
      <c r="S285" s="671"/>
      <c r="T285" s="515"/>
      <c r="U285" s="515"/>
    </row>
    <row r="286" spans="1:1892" s="11" customFormat="1" ht="35.1" customHeight="1">
      <c r="A286" s="1241"/>
      <c r="B286" s="1354"/>
      <c r="C286" s="536"/>
      <c r="D286" s="490"/>
      <c r="E286" s="491"/>
      <c r="F286" s="492"/>
      <c r="G286" s="463" t="s">
        <v>329</v>
      </c>
      <c r="H286" s="464"/>
      <c r="I286" s="464"/>
      <c r="J286" s="464"/>
      <c r="K286" s="465"/>
      <c r="L286" s="165" t="s">
        <v>224</v>
      </c>
      <c r="M286" s="256">
        <f>SUM(M281:M285)</f>
        <v>1571</v>
      </c>
      <c r="N286" s="397">
        <f>SUM(N281:N285)</f>
        <v>60</v>
      </c>
      <c r="O286" s="397">
        <f>SUM(O281:O285)</f>
        <v>78</v>
      </c>
      <c r="P286" s="558"/>
      <c r="Q286" s="530"/>
      <c r="R286" s="530"/>
      <c r="S286" s="672"/>
      <c r="T286" s="516"/>
      <c r="U286" s="516"/>
    </row>
    <row r="287" spans="1:1892" s="11" customFormat="1" ht="35.1" customHeight="1">
      <c r="A287" s="1241"/>
      <c r="B287" s="1354"/>
      <c r="C287" s="550" t="s">
        <v>54</v>
      </c>
      <c r="D287" s="484" t="s">
        <v>500</v>
      </c>
      <c r="E287" s="485"/>
      <c r="F287" s="486"/>
      <c r="G287" s="460" t="s">
        <v>54</v>
      </c>
      <c r="H287" s="460" t="s">
        <v>54</v>
      </c>
      <c r="I287" s="460" t="s">
        <v>54</v>
      </c>
      <c r="J287" s="460" t="s">
        <v>11</v>
      </c>
      <c r="K287" s="460" t="s">
        <v>12</v>
      </c>
      <c r="L287" s="435" t="s">
        <v>85</v>
      </c>
      <c r="M287" s="221">
        <v>465</v>
      </c>
      <c r="N287" s="439">
        <v>0</v>
      </c>
      <c r="O287" s="439">
        <v>0</v>
      </c>
      <c r="P287" s="618" t="s">
        <v>54</v>
      </c>
      <c r="Q287" s="618" t="s">
        <v>54</v>
      </c>
      <c r="R287" s="618" t="s">
        <v>54</v>
      </c>
      <c r="S287" s="618" t="s">
        <v>54</v>
      </c>
      <c r="T287" s="618" t="s">
        <v>54</v>
      </c>
      <c r="U287" s="618" t="s">
        <v>54</v>
      </c>
    </row>
    <row r="288" spans="1:1892" s="11" customFormat="1" ht="35.1" customHeight="1">
      <c r="A288" s="1241"/>
      <c r="B288" s="1354"/>
      <c r="C288" s="551"/>
      <c r="D288" s="487"/>
      <c r="E288" s="488"/>
      <c r="F288" s="489"/>
      <c r="G288" s="461"/>
      <c r="H288" s="461"/>
      <c r="I288" s="461"/>
      <c r="J288" s="461"/>
      <c r="K288" s="461"/>
      <c r="L288" s="435" t="s">
        <v>103</v>
      </c>
      <c r="M288" s="221">
        <v>103</v>
      </c>
      <c r="N288" s="439">
        <v>0</v>
      </c>
      <c r="O288" s="439">
        <v>0</v>
      </c>
      <c r="P288" s="593"/>
      <c r="Q288" s="593"/>
      <c r="R288" s="593"/>
      <c r="S288" s="593"/>
      <c r="T288" s="593"/>
      <c r="U288" s="593"/>
    </row>
    <row r="289" spans="1:67" s="11" customFormat="1" ht="35.1" customHeight="1">
      <c r="A289" s="1241"/>
      <c r="B289" s="1354"/>
      <c r="C289" s="551"/>
      <c r="D289" s="487"/>
      <c r="E289" s="488"/>
      <c r="F289" s="489"/>
      <c r="G289" s="461"/>
      <c r="H289" s="461"/>
      <c r="I289" s="461"/>
      <c r="J289" s="461"/>
      <c r="K289" s="461"/>
      <c r="L289" s="435" t="s">
        <v>84</v>
      </c>
      <c r="M289" s="221">
        <v>1051</v>
      </c>
      <c r="N289" s="439">
        <v>313</v>
      </c>
      <c r="O289" s="439">
        <v>310</v>
      </c>
      <c r="P289" s="593"/>
      <c r="Q289" s="593"/>
      <c r="R289" s="593"/>
      <c r="S289" s="593"/>
      <c r="T289" s="593"/>
      <c r="U289" s="593"/>
    </row>
    <row r="290" spans="1:67" s="11" customFormat="1" ht="35.1" customHeight="1">
      <c r="A290" s="1241"/>
      <c r="B290" s="1354"/>
      <c r="C290" s="551"/>
      <c r="D290" s="487"/>
      <c r="E290" s="488"/>
      <c r="F290" s="489"/>
      <c r="G290" s="461"/>
      <c r="H290" s="461"/>
      <c r="I290" s="461"/>
      <c r="J290" s="461"/>
      <c r="K290" s="461"/>
      <c r="L290" s="435" t="s">
        <v>83</v>
      </c>
      <c r="M290" s="221">
        <v>204</v>
      </c>
      <c r="N290" s="439">
        <v>7</v>
      </c>
      <c r="O290" s="439">
        <v>7</v>
      </c>
      <c r="P290" s="593"/>
      <c r="Q290" s="593"/>
      <c r="R290" s="593"/>
      <c r="S290" s="593"/>
      <c r="T290" s="593"/>
      <c r="U290" s="593"/>
    </row>
    <row r="291" spans="1:67" s="11" customFormat="1" ht="35.1" customHeight="1">
      <c r="A291" s="1241"/>
      <c r="B291" s="1354"/>
      <c r="C291" s="551"/>
      <c r="D291" s="487"/>
      <c r="E291" s="488"/>
      <c r="F291" s="489"/>
      <c r="G291" s="462"/>
      <c r="H291" s="462"/>
      <c r="I291" s="462"/>
      <c r="J291" s="462"/>
      <c r="K291" s="462"/>
      <c r="L291" s="435" t="s">
        <v>82</v>
      </c>
      <c r="M291" s="221">
        <v>157</v>
      </c>
      <c r="N291" s="439">
        <v>36</v>
      </c>
      <c r="O291" s="439">
        <v>35</v>
      </c>
      <c r="P291" s="593"/>
      <c r="Q291" s="593"/>
      <c r="R291" s="593"/>
      <c r="S291" s="593"/>
      <c r="T291" s="593"/>
      <c r="U291" s="593"/>
    </row>
    <row r="292" spans="1:67" s="11" customFormat="1" ht="35.1" customHeight="1">
      <c r="A292" s="1241"/>
      <c r="B292" s="1354"/>
      <c r="C292" s="552"/>
      <c r="D292" s="490"/>
      <c r="E292" s="491"/>
      <c r="F292" s="492"/>
      <c r="G292" s="463" t="s">
        <v>329</v>
      </c>
      <c r="H292" s="464"/>
      <c r="I292" s="464"/>
      <c r="J292" s="464"/>
      <c r="K292" s="465"/>
      <c r="L292" s="165" t="s">
        <v>224</v>
      </c>
      <c r="M292" s="256">
        <f>SUM(M287:M291)</f>
        <v>1980</v>
      </c>
      <c r="N292" s="397">
        <f>SUM(N287:N291)</f>
        <v>356</v>
      </c>
      <c r="O292" s="397">
        <f>SUM(O287:O291)</f>
        <v>352</v>
      </c>
      <c r="P292" s="619"/>
      <c r="Q292" s="619"/>
      <c r="R292" s="619"/>
      <c r="S292" s="619"/>
      <c r="T292" s="619"/>
      <c r="U292" s="619"/>
    </row>
    <row r="293" spans="1:67" s="11" customFormat="1" ht="35.1" customHeight="1">
      <c r="A293" s="1241"/>
      <c r="B293" s="1354"/>
      <c r="C293" s="534" t="s">
        <v>351</v>
      </c>
      <c r="D293" s="484" t="s">
        <v>674</v>
      </c>
      <c r="E293" s="485"/>
      <c r="F293" s="486"/>
      <c r="G293" s="460" t="s">
        <v>501</v>
      </c>
      <c r="H293" s="460" t="s">
        <v>502</v>
      </c>
      <c r="I293" s="460" t="s">
        <v>503</v>
      </c>
      <c r="J293" s="460" t="s">
        <v>11</v>
      </c>
      <c r="K293" s="460" t="s">
        <v>12</v>
      </c>
      <c r="L293" s="349" t="s">
        <v>504</v>
      </c>
      <c r="M293" s="257">
        <v>896</v>
      </c>
      <c r="N293" s="143">
        <v>0</v>
      </c>
      <c r="O293" s="143">
        <v>0</v>
      </c>
      <c r="P293" s="511" t="s">
        <v>434</v>
      </c>
      <c r="Q293" s="511" t="s">
        <v>424</v>
      </c>
      <c r="R293" s="511" t="s">
        <v>505</v>
      </c>
      <c r="S293" s="517" t="s">
        <v>13</v>
      </c>
      <c r="T293" s="514" t="s">
        <v>350</v>
      </c>
      <c r="U293" s="514" t="s">
        <v>11</v>
      </c>
    </row>
    <row r="294" spans="1:67" s="11" customFormat="1" ht="35.1" customHeight="1">
      <c r="A294" s="1241"/>
      <c r="B294" s="1354"/>
      <c r="C294" s="535"/>
      <c r="D294" s="487"/>
      <c r="E294" s="488"/>
      <c r="F294" s="489"/>
      <c r="G294" s="461"/>
      <c r="H294" s="461"/>
      <c r="I294" s="461"/>
      <c r="J294" s="461"/>
      <c r="K294" s="461"/>
      <c r="L294" s="349" t="s">
        <v>83</v>
      </c>
      <c r="M294" s="257">
        <v>114</v>
      </c>
      <c r="N294" s="143">
        <v>0</v>
      </c>
      <c r="O294" s="143">
        <v>0</v>
      </c>
      <c r="P294" s="512"/>
      <c r="Q294" s="512"/>
      <c r="R294" s="512"/>
      <c r="S294" s="518"/>
      <c r="T294" s="515"/>
      <c r="U294" s="515"/>
    </row>
    <row r="295" spans="1:67" s="35" customFormat="1" ht="35.1" customHeight="1">
      <c r="A295" s="1241"/>
      <c r="B295" s="1354"/>
      <c r="C295" s="535"/>
      <c r="D295" s="487"/>
      <c r="E295" s="488"/>
      <c r="F295" s="489"/>
      <c r="G295" s="462"/>
      <c r="H295" s="462"/>
      <c r="I295" s="462"/>
      <c r="J295" s="462"/>
      <c r="K295" s="462"/>
      <c r="L295" s="349">
        <v>113</v>
      </c>
      <c r="M295" s="257">
        <v>330</v>
      </c>
      <c r="N295" s="143">
        <v>9</v>
      </c>
      <c r="O295" s="143">
        <v>9</v>
      </c>
      <c r="P295" s="512"/>
      <c r="Q295" s="512"/>
      <c r="R295" s="512"/>
      <c r="S295" s="518"/>
      <c r="T295" s="515"/>
      <c r="U295" s="515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</row>
    <row r="296" spans="1:67" s="35" customFormat="1" ht="35.1" customHeight="1">
      <c r="A296" s="1241"/>
      <c r="B296" s="1354"/>
      <c r="C296" s="536"/>
      <c r="D296" s="490"/>
      <c r="E296" s="491"/>
      <c r="F296" s="492"/>
      <c r="G296" s="463" t="s">
        <v>329</v>
      </c>
      <c r="H296" s="464"/>
      <c r="I296" s="464"/>
      <c r="J296" s="464"/>
      <c r="K296" s="465"/>
      <c r="L296" s="165" t="s">
        <v>224</v>
      </c>
      <c r="M296" s="256">
        <f>SUM(M293:M295)</f>
        <v>1340</v>
      </c>
      <c r="N296" s="397">
        <f>SUM(N293:N295)</f>
        <v>9</v>
      </c>
      <c r="O296" s="397">
        <f>SUM(O293:O295)</f>
        <v>9</v>
      </c>
      <c r="P296" s="513"/>
      <c r="Q296" s="513"/>
      <c r="R296" s="513"/>
      <c r="S296" s="519"/>
      <c r="T296" s="516"/>
      <c r="U296" s="516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</row>
    <row r="297" spans="1:67" s="35" customFormat="1" ht="35.1" customHeight="1">
      <c r="A297" s="1241"/>
      <c r="B297" s="1354"/>
      <c r="C297" s="534" t="s">
        <v>520</v>
      </c>
      <c r="D297" s="484" t="s">
        <v>521</v>
      </c>
      <c r="E297" s="485"/>
      <c r="F297" s="486"/>
      <c r="G297" s="460" t="s">
        <v>522</v>
      </c>
      <c r="H297" s="460" t="s">
        <v>523</v>
      </c>
      <c r="I297" s="460" t="s">
        <v>524</v>
      </c>
      <c r="J297" s="460" t="s">
        <v>11</v>
      </c>
      <c r="K297" s="460" t="s">
        <v>12</v>
      </c>
      <c r="L297" s="351" t="s">
        <v>85</v>
      </c>
      <c r="M297" s="257">
        <v>234</v>
      </c>
      <c r="N297" s="392">
        <v>2</v>
      </c>
      <c r="O297" s="392">
        <v>2</v>
      </c>
      <c r="P297" s="511" t="s">
        <v>738</v>
      </c>
      <c r="Q297" s="511" t="s">
        <v>435</v>
      </c>
      <c r="R297" s="511" t="s">
        <v>505</v>
      </c>
      <c r="S297" s="514" t="s">
        <v>13</v>
      </c>
      <c r="T297" s="514" t="s">
        <v>370</v>
      </c>
      <c r="U297" s="514" t="s">
        <v>11</v>
      </c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</row>
    <row r="298" spans="1:67" s="35" customFormat="1" ht="35.1" customHeight="1">
      <c r="A298" s="1241"/>
      <c r="B298" s="1354"/>
      <c r="C298" s="535"/>
      <c r="D298" s="487"/>
      <c r="E298" s="488"/>
      <c r="F298" s="489"/>
      <c r="G298" s="461"/>
      <c r="H298" s="461"/>
      <c r="I298" s="461"/>
      <c r="J298" s="461"/>
      <c r="K298" s="461"/>
      <c r="L298" s="351" t="s">
        <v>103</v>
      </c>
      <c r="M298" s="257">
        <v>104</v>
      </c>
      <c r="N298" s="392">
        <v>0</v>
      </c>
      <c r="O298" s="392">
        <v>0</v>
      </c>
      <c r="P298" s="512"/>
      <c r="Q298" s="512"/>
      <c r="R298" s="512"/>
      <c r="S298" s="515"/>
      <c r="T298" s="515"/>
      <c r="U298" s="515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</row>
    <row r="299" spans="1:67" s="35" customFormat="1" ht="35.1" customHeight="1">
      <c r="A299" s="1241"/>
      <c r="B299" s="1354"/>
      <c r="C299" s="535"/>
      <c r="D299" s="487"/>
      <c r="E299" s="488"/>
      <c r="F299" s="489"/>
      <c r="G299" s="461"/>
      <c r="H299" s="461"/>
      <c r="I299" s="461"/>
      <c r="J299" s="461"/>
      <c r="K299" s="461"/>
      <c r="L299" s="351" t="s">
        <v>84</v>
      </c>
      <c r="M299" s="257">
        <v>606</v>
      </c>
      <c r="N299" s="164">
        <v>32</v>
      </c>
      <c r="O299" s="164">
        <v>32</v>
      </c>
      <c r="P299" s="512"/>
      <c r="Q299" s="512"/>
      <c r="R299" s="512"/>
      <c r="S299" s="515"/>
      <c r="T299" s="515"/>
      <c r="U299" s="515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</row>
    <row r="300" spans="1:67" s="35" customFormat="1" ht="35.1" customHeight="1">
      <c r="A300" s="1241"/>
      <c r="B300" s="1354"/>
      <c r="C300" s="535"/>
      <c r="D300" s="487"/>
      <c r="E300" s="488"/>
      <c r="F300" s="489"/>
      <c r="G300" s="461"/>
      <c r="H300" s="461"/>
      <c r="I300" s="461"/>
      <c r="J300" s="461"/>
      <c r="K300" s="461"/>
      <c r="L300" s="351" t="s">
        <v>83</v>
      </c>
      <c r="M300" s="257">
        <v>136</v>
      </c>
      <c r="N300" s="392">
        <v>0</v>
      </c>
      <c r="O300" s="392">
        <v>0</v>
      </c>
      <c r="P300" s="512"/>
      <c r="Q300" s="512"/>
      <c r="R300" s="512"/>
      <c r="S300" s="515"/>
      <c r="T300" s="515"/>
      <c r="U300" s="515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</row>
    <row r="301" spans="1:67" s="35" customFormat="1" ht="35.1" customHeight="1">
      <c r="A301" s="1241"/>
      <c r="B301" s="1354"/>
      <c r="C301" s="535"/>
      <c r="D301" s="487"/>
      <c r="E301" s="488"/>
      <c r="F301" s="489"/>
      <c r="G301" s="462"/>
      <c r="H301" s="462"/>
      <c r="I301" s="462"/>
      <c r="J301" s="462"/>
      <c r="K301" s="462"/>
      <c r="L301" s="351" t="s">
        <v>82</v>
      </c>
      <c r="M301" s="257">
        <v>102</v>
      </c>
      <c r="N301" s="392">
        <v>1</v>
      </c>
      <c r="O301" s="392">
        <v>1</v>
      </c>
      <c r="P301" s="512"/>
      <c r="Q301" s="512"/>
      <c r="R301" s="512"/>
      <c r="S301" s="515"/>
      <c r="T301" s="515"/>
      <c r="U301" s="515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</row>
    <row r="302" spans="1:67" s="35" customFormat="1" ht="35.1" customHeight="1">
      <c r="A302" s="1241"/>
      <c r="B302" s="1354"/>
      <c r="C302" s="536"/>
      <c r="D302" s="490"/>
      <c r="E302" s="491"/>
      <c r="F302" s="492"/>
      <c r="G302" s="463" t="s">
        <v>329</v>
      </c>
      <c r="H302" s="464"/>
      <c r="I302" s="464"/>
      <c r="J302" s="464"/>
      <c r="K302" s="465"/>
      <c r="L302" s="165" t="s">
        <v>224</v>
      </c>
      <c r="M302" s="256">
        <f>SUM(M297:M301)</f>
        <v>1182</v>
      </c>
      <c r="N302" s="397">
        <f>SUM(N297:N301)</f>
        <v>35</v>
      </c>
      <c r="O302" s="397">
        <f>SUM(O297:O301)</f>
        <v>35</v>
      </c>
      <c r="P302" s="513"/>
      <c r="Q302" s="513"/>
      <c r="R302" s="513"/>
      <c r="S302" s="516"/>
      <c r="T302" s="516"/>
      <c r="U302" s="516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</row>
    <row r="303" spans="1:67" s="35" customFormat="1" ht="35.1" customHeight="1">
      <c r="A303" s="1241"/>
      <c r="B303" s="1354"/>
      <c r="C303" s="613"/>
      <c r="D303" s="484" t="s">
        <v>675</v>
      </c>
      <c r="E303" s="485"/>
      <c r="F303" s="486"/>
      <c r="G303" s="493" t="s">
        <v>54</v>
      </c>
      <c r="H303" s="493" t="s">
        <v>54</v>
      </c>
      <c r="I303" s="493" t="s">
        <v>54</v>
      </c>
      <c r="J303" s="493" t="s">
        <v>54</v>
      </c>
      <c r="K303" s="493" t="s">
        <v>54</v>
      </c>
      <c r="L303" s="166">
        <v>99</v>
      </c>
      <c r="M303" s="257">
        <v>366</v>
      </c>
      <c r="N303" s="392">
        <v>0</v>
      </c>
      <c r="O303" s="392">
        <v>0</v>
      </c>
      <c r="P303" s="659" t="s">
        <v>189</v>
      </c>
      <c r="Q303" s="659" t="s">
        <v>189</v>
      </c>
      <c r="R303" s="511" t="s">
        <v>189</v>
      </c>
      <c r="S303" s="514" t="s">
        <v>189</v>
      </c>
      <c r="T303" s="613" t="s">
        <v>189</v>
      </c>
      <c r="U303" s="514" t="s">
        <v>189</v>
      </c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</row>
    <row r="304" spans="1:67" s="35" customFormat="1" ht="35.1" customHeight="1">
      <c r="A304" s="1241"/>
      <c r="B304" s="1354"/>
      <c r="C304" s="614"/>
      <c r="D304" s="487"/>
      <c r="E304" s="488"/>
      <c r="F304" s="489"/>
      <c r="G304" s="494"/>
      <c r="H304" s="494"/>
      <c r="I304" s="494"/>
      <c r="J304" s="494"/>
      <c r="K304" s="494"/>
      <c r="L304" s="166" t="s">
        <v>820</v>
      </c>
      <c r="M304" s="257">
        <v>683</v>
      </c>
      <c r="N304" s="392">
        <v>432</v>
      </c>
      <c r="O304" s="392">
        <v>414</v>
      </c>
      <c r="P304" s="660"/>
      <c r="Q304" s="660"/>
      <c r="R304" s="512"/>
      <c r="S304" s="515"/>
      <c r="T304" s="614"/>
      <c r="U304" s="515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</row>
    <row r="305" spans="1:67" s="35" customFormat="1" ht="35.1" customHeight="1">
      <c r="A305" s="1241"/>
      <c r="B305" s="1354"/>
      <c r="C305" s="614"/>
      <c r="D305" s="487"/>
      <c r="E305" s="488"/>
      <c r="F305" s="489"/>
      <c r="G305" s="494"/>
      <c r="H305" s="494"/>
      <c r="I305" s="494"/>
      <c r="J305" s="494"/>
      <c r="K305" s="494"/>
      <c r="L305" s="166" t="s">
        <v>821</v>
      </c>
      <c r="M305" s="257">
        <v>298</v>
      </c>
      <c r="N305" s="392">
        <v>263</v>
      </c>
      <c r="O305" s="392">
        <v>261</v>
      </c>
      <c r="P305" s="660"/>
      <c r="Q305" s="660"/>
      <c r="R305" s="512"/>
      <c r="S305" s="515"/>
      <c r="T305" s="614"/>
      <c r="U305" s="515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</row>
    <row r="306" spans="1:67" s="35" customFormat="1" ht="35.1" customHeight="1">
      <c r="A306" s="1241"/>
      <c r="B306" s="1354"/>
      <c r="C306" s="614"/>
      <c r="D306" s="487"/>
      <c r="E306" s="488"/>
      <c r="F306" s="489"/>
      <c r="G306" s="495"/>
      <c r="H306" s="495"/>
      <c r="I306" s="495"/>
      <c r="J306" s="495"/>
      <c r="K306" s="495"/>
      <c r="L306" s="166" t="s">
        <v>822</v>
      </c>
      <c r="M306" s="257">
        <v>66</v>
      </c>
      <c r="N306" s="392">
        <v>63</v>
      </c>
      <c r="O306" s="392">
        <v>61</v>
      </c>
      <c r="P306" s="660"/>
      <c r="Q306" s="660"/>
      <c r="R306" s="512"/>
      <c r="S306" s="515"/>
      <c r="T306" s="614"/>
      <c r="U306" s="515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</row>
    <row r="307" spans="1:67" s="35" customFormat="1" ht="35.1" customHeight="1">
      <c r="A307" s="1241"/>
      <c r="B307" s="1354"/>
      <c r="C307" s="615"/>
      <c r="D307" s="490"/>
      <c r="E307" s="491"/>
      <c r="F307" s="492"/>
      <c r="G307" s="463" t="s">
        <v>329</v>
      </c>
      <c r="H307" s="464"/>
      <c r="I307" s="464"/>
      <c r="J307" s="464"/>
      <c r="K307" s="465"/>
      <c r="L307" s="167"/>
      <c r="M307" s="256">
        <f>SUM(M303:M306)</f>
        <v>1413</v>
      </c>
      <c r="N307" s="397">
        <f>SUM(N303:N306)</f>
        <v>758</v>
      </c>
      <c r="O307" s="397">
        <f>SUM(O303:O306)</f>
        <v>736</v>
      </c>
      <c r="P307" s="661"/>
      <c r="Q307" s="661"/>
      <c r="R307" s="513"/>
      <c r="S307" s="516"/>
      <c r="T307" s="615"/>
      <c r="U307" s="516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</row>
    <row r="308" spans="1:67" s="35" customFormat="1" ht="35.1" customHeight="1">
      <c r="A308" s="1241"/>
      <c r="B308" s="1354"/>
      <c r="C308" s="534" t="s">
        <v>223</v>
      </c>
      <c r="D308" s="484" t="s">
        <v>579</v>
      </c>
      <c r="E308" s="485"/>
      <c r="F308" s="486"/>
      <c r="G308" s="460" t="s">
        <v>344</v>
      </c>
      <c r="H308" s="460" t="s">
        <v>577</v>
      </c>
      <c r="I308" s="460" t="s">
        <v>578</v>
      </c>
      <c r="J308" s="460" t="s">
        <v>11</v>
      </c>
      <c r="K308" s="460" t="s">
        <v>12</v>
      </c>
      <c r="L308" s="351" t="s">
        <v>85</v>
      </c>
      <c r="M308" s="257">
        <v>145</v>
      </c>
      <c r="N308" s="164">
        <v>6</v>
      </c>
      <c r="O308" s="164">
        <v>6</v>
      </c>
      <c r="P308" s="481" t="s">
        <v>574</v>
      </c>
      <c r="Q308" s="481" t="s">
        <v>575</v>
      </c>
      <c r="R308" s="481" t="s">
        <v>576</v>
      </c>
      <c r="S308" s="517" t="s">
        <v>13</v>
      </c>
      <c r="T308" s="514" t="s">
        <v>225</v>
      </c>
      <c r="U308" s="514" t="s">
        <v>11</v>
      </c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</row>
    <row r="309" spans="1:67" s="35" customFormat="1" ht="35.1" customHeight="1">
      <c r="A309" s="1241"/>
      <c r="B309" s="1354"/>
      <c r="C309" s="535"/>
      <c r="D309" s="487"/>
      <c r="E309" s="488"/>
      <c r="F309" s="489"/>
      <c r="G309" s="461"/>
      <c r="H309" s="461"/>
      <c r="I309" s="461"/>
      <c r="J309" s="461"/>
      <c r="K309" s="461"/>
      <c r="L309" s="351" t="s">
        <v>103</v>
      </c>
      <c r="M309" s="257">
        <v>84</v>
      </c>
      <c r="N309" s="164">
        <v>14</v>
      </c>
      <c r="O309" s="164">
        <v>14</v>
      </c>
      <c r="P309" s="482"/>
      <c r="Q309" s="482"/>
      <c r="R309" s="482"/>
      <c r="S309" s="518"/>
      <c r="T309" s="515"/>
      <c r="U309" s="515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</row>
    <row r="310" spans="1:67" s="35" customFormat="1" ht="35.1" customHeight="1">
      <c r="A310" s="1241"/>
      <c r="B310" s="1354"/>
      <c r="C310" s="535"/>
      <c r="D310" s="487"/>
      <c r="E310" s="488"/>
      <c r="F310" s="489"/>
      <c r="G310" s="462"/>
      <c r="H310" s="462"/>
      <c r="I310" s="462"/>
      <c r="J310" s="462"/>
      <c r="K310" s="462"/>
      <c r="L310" s="349">
        <v>84</v>
      </c>
      <c r="M310" s="257">
        <v>161</v>
      </c>
      <c r="N310" s="164">
        <v>4</v>
      </c>
      <c r="O310" s="164">
        <v>4</v>
      </c>
      <c r="P310" s="482"/>
      <c r="Q310" s="482"/>
      <c r="R310" s="482"/>
      <c r="S310" s="518"/>
      <c r="T310" s="515"/>
      <c r="U310" s="515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</row>
    <row r="311" spans="1:67" s="35" customFormat="1" ht="35.1" customHeight="1">
      <c r="A311" s="1241"/>
      <c r="B311" s="1354"/>
      <c r="C311" s="536"/>
      <c r="D311" s="490"/>
      <c r="E311" s="491"/>
      <c r="F311" s="492"/>
      <c r="G311" s="463" t="s">
        <v>329</v>
      </c>
      <c r="H311" s="464"/>
      <c r="I311" s="464"/>
      <c r="J311" s="464"/>
      <c r="K311" s="465"/>
      <c r="L311" s="165" t="s">
        <v>224</v>
      </c>
      <c r="M311" s="256">
        <f>SUM(M308:M310)</f>
        <v>390</v>
      </c>
      <c r="N311" s="397">
        <f>SUM(N308:N310)</f>
        <v>24</v>
      </c>
      <c r="O311" s="397">
        <f>SUM(O308:O310)</f>
        <v>24</v>
      </c>
      <c r="P311" s="483"/>
      <c r="Q311" s="483"/>
      <c r="R311" s="483"/>
      <c r="S311" s="519"/>
      <c r="T311" s="516"/>
      <c r="U311" s="516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</row>
    <row r="312" spans="1:67" s="35" customFormat="1" ht="35.1" customHeight="1">
      <c r="A312" s="1241"/>
      <c r="B312" s="1354"/>
      <c r="C312" s="534" t="s">
        <v>223</v>
      </c>
      <c r="D312" s="484" t="s">
        <v>596</v>
      </c>
      <c r="E312" s="485"/>
      <c r="F312" s="486"/>
      <c r="G312" s="460" t="s">
        <v>597</v>
      </c>
      <c r="H312" s="460" t="s">
        <v>676</v>
      </c>
      <c r="I312" s="460" t="s">
        <v>677</v>
      </c>
      <c r="J312" s="460" t="s">
        <v>11</v>
      </c>
      <c r="K312" s="460" t="s">
        <v>12</v>
      </c>
      <c r="L312" s="349" t="s">
        <v>504</v>
      </c>
      <c r="M312" s="257">
        <v>341</v>
      </c>
      <c r="N312" s="164">
        <v>34</v>
      </c>
      <c r="O312" s="164">
        <v>20</v>
      </c>
      <c r="P312" s="481" t="s">
        <v>575</v>
      </c>
      <c r="Q312" s="481" t="s">
        <v>678</v>
      </c>
      <c r="R312" s="481" t="s">
        <v>679</v>
      </c>
      <c r="S312" s="517" t="s">
        <v>13</v>
      </c>
      <c r="T312" s="514" t="s">
        <v>225</v>
      </c>
      <c r="U312" s="514" t="s">
        <v>11</v>
      </c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</row>
    <row r="313" spans="1:67" s="35" customFormat="1" ht="35.1" customHeight="1">
      <c r="A313" s="1241"/>
      <c r="B313" s="1354"/>
      <c r="C313" s="535"/>
      <c r="D313" s="487"/>
      <c r="E313" s="488"/>
      <c r="F313" s="489"/>
      <c r="G313" s="461"/>
      <c r="H313" s="461"/>
      <c r="I313" s="461"/>
      <c r="J313" s="461"/>
      <c r="K313" s="461"/>
      <c r="L313" s="349" t="s">
        <v>83</v>
      </c>
      <c r="M313" s="257">
        <v>300</v>
      </c>
      <c r="N313" s="164">
        <v>13</v>
      </c>
      <c r="O313" s="164">
        <v>5</v>
      </c>
      <c r="P313" s="482"/>
      <c r="Q313" s="482"/>
      <c r="R313" s="482"/>
      <c r="S313" s="518"/>
      <c r="T313" s="515"/>
      <c r="U313" s="515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</row>
    <row r="314" spans="1:67" s="35" customFormat="1" ht="35.1" customHeight="1">
      <c r="A314" s="1241"/>
      <c r="B314" s="1354"/>
      <c r="C314" s="535"/>
      <c r="D314" s="487"/>
      <c r="E314" s="488"/>
      <c r="F314" s="489"/>
      <c r="G314" s="461"/>
      <c r="H314" s="461"/>
      <c r="I314" s="461"/>
      <c r="J314" s="461"/>
      <c r="K314" s="461"/>
      <c r="L314" s="166" t="s">
        <v>197</v>
      </c>
      <c r="M314" s="257">
        <v>112</v>
      </c>
      <c r="N314" s="164">
        <v>11</v>
      </c>
      <c r="O314" s="164">
        <v>7</v>
      </c>
      <c r="P314" s="482"/>
      <c r="Q314" s="482"/>
      <c r="R314" s="482"/>
      <c r="S314" s="518"/>
      <c r="T314" s="515"/>
      <c r="U314" s="515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</row>
    <row r="315" spans="1:67" s="35" customFormat="1" ht="35.1" customHeight="1">
      <c r="A315" s="1241"/>
      <c r="B315" s="1354"/>
      <c r="C315" s="535"/>
      <c r="D315" s="487"/>
      <c r="E315" s="488"/>
      <c r="F315" s="489"/>
      <c r="G315" s="462"/>
      <c r="H315" s="462"/>
      <c r="I315" s="462"/>
      <c r="J315" s="462"/>
      <c r="K315" s="462"/>
      <c r="L315" s="349" t="s">
        <v>81</v>
      </c>
      <c r="M315" s="257">
        <v>246</v>
      </c>
      <c r="N315" s="164">
        <v>23</v>
      </c>
      <c r="O315" s="164">
        <v>8</v>
      </c>
      <c r="P315" s="482"/>
      <c r="Q315" s="482"/>
      <c r="R315" s="482"/>
      <c r="S315" s="518"/>
      <c r="T315" s="515"/>
      <c r="U315" s="515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</row>
    <row r="316" spans="1:67" s="35" customFormat="1" ht="35.1" customHeight="1">
      <c r="A316" s="1241"/>
      <c r="B316" s="1354"/>
      <c r="C316" s="536"/>
      <c r="D316" s="490"/>
      <c r="E316" s="491"/>
      <c r="F316" s="492"/>
      <c r="G316" s="463" t="s">
        <v>329</v>
      </c>
      <c r="H316" s="464"/>
      <c r="I316" s="464"/>
      <c r="J316" s="464"/>
      <c r="K316" s="465"/>
      <c r="L316" s="165" t="s">
        <v>224</v>
      </c>
      <c r="M316" s="256">
        <f>SUM(M312:M315)</f>
        <v>999</v>
      </c>
      <c r="N316" s="397">
        <f>SUM(N312:N315)</f>
        <v>81</v>
      </c>
      <c r="O316" s="397">
        <f>SUM(O312:O315)</f>
        <v>40</v>
      </c>
      <c r="P316" s="483"/>
      <c r="Q316" s="483"/>
      <c r="R316" s="483"/>
      <c r="S316" s="519"/>
      <c r="T316" s="516"/>
      <c r="U316" s="516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</row>
    <row r="317" spans="1:67" s="35" customFormat="1" ht="35.1" customHeight="1">
      <c r="A317" s="1241"/>
      <c r="B317" s="1354"/>
      <c r="C317" s="550" t="s">
        <v>54</v>
      </c>
      <c r="D317" s="484" t="s">
        <v>582</v>
      </c>
      <c r="E317" s="485"/>
      <c r="F317" s="486"/>
      <c r="G317" s="641" t="s">
        <v>54</v>
      </c>
      <c r="H317" s="642"/>
      <c r="I317" s="643"/>
      <c r="J317" s="460" t="s">
        <v>11</v>
      </c>
      <c r="K317" s="460" t="s">
        <v>12</v>
      </c>
      <c r="L317" s="348">
        <v>59</v>
      </c>
      <c r="M317" s="255">
        <v>232</v>
      </c>
      <c r="N317" s="143">
        <v>0</v>
      </c>
      <c r="O317" s="143">
        <v>0</v>
      </c>
      <c r="P317" s="481" t="s">
        <v>968</v>
      </c>
      <c r="Q317" s="481" t="s">
        <v>969</v>
      </c>
      <c r="R317" s="481" t="s">
        <v>970</v>
      </c>
      <c r="S317" s="481" t="s">
        <v>65</v>
      </c>
      <c r="T317" s="481" t="s">
        <v>189</v>
      </c>
      <c r="U317" s="481" t="s">
        <v>67</v>
      </c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</row>
    <row r="318" spans="1:67" s="35" customFormat="1" ht="35.1" customHeight="1">
      <c r="A318" s="1241"/>
      <c r="B318" s="1354"/>
      <c r="C318" s="551"/>
      <c r="D318" s="487"/>
      <c r="E318" s="488"/>
      <c r="F318" s="489"/>
      <c r="G318" s="647"/>
      <c r="H318" s="648"/>
      <c r="I318" s="649"/>
      <c r="J318" s="462"/>
      <c r="K318" s="462"/>
      <c r="L318" s="348">
        <v>84</v>
      </c>
      <c r="M318" s="255">
        <v>657</v>
      </c>
      <c r="N318" s="164">
        <v>0</v>
      </c>
      <c r="O318" s="164">
        <v>0</v>
      </c>
      <c r="P318" s="482"/>
      <c r="Q318" s="482"/>
      <c r="R318" s="482"/>
      <c r="S318" s="482"/>
      <c r="T318" s="482"/>
      <c r="U318" s="482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</row>
    <row r="319" spans="1:67" s="35" customFormat="1" ht="35.1" customHeight="1">
      <c r="A319" s="1241"/>
      <c r="B319" s="1354"/>
      <c r="C319" s="552"/>
      <c r="D319" s="490"/>
      <c r="E319" s="491"/>
      <c r="F319" s="492"/>
      <c r="G319" s="463" t="s">
        <v>329</v>
      </c>
      <c r="H319" s="464"/>
      <c r="I319" s="464"/>
      <c r="J319" s="464"/>
      <c r="K319" s="465"/>
      <c r="L319" s="165"/>
      <c r="M319" s="256">
        <f>SUM(M317:M318)</f>
        <v>889</v>
      </c>
      <c r="N319" s="397">
        <f>SUM(N317:N318)</f>
        <v>0</v>
      </c>
      <c r="O319" s="397">
        <f>SUM(O317:O318)</f>
        <v>0</v>
      </c>
      <c r="P319" s="483"/>
      <c r="Q319" s="483"/>
      <c r="R319" s="483"/>
      <c r="S319" s="483"/>
      <c r="T319" s="483"/>
      <c r="U319" s="483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</row>
    <row r="320" spans="1:67" s="35" customFormat="1" ht="35.1" customHeight="1">
      <c r="A320" s="1241"/>
      <c r="B320" s="1354"/>
      <c r="C320" s="550" t="s">
        <v>54</v>
      </c>
      <c r="D320" s="484" t="s">
        <v>582</v>
      </c>
      <c r="E320" s="485"/>
      <c r="F320" s="486"/>
      <c r="G320" s="641" t="s">
        <v>189</v>
      </c>
      <c r="H320" s="642"/>
      <c r="I320" s="643"/>
      <c r="J320" s="460" t="s">
        <v>11</v>
      </c>
      <c r="K320" s="460" t="s">
        <v>12</v>
      </c>
      <c r="L320" s="351">
        <v>59.986600000000003</v>
      </c>
      <c r="M320" s="255">
        <v>97</v>
      </c>
      <c r="N320" s="440">
        <v>0</v>
      </c>
      <c r="O320" s="440">
        <v>0</v>
      </c>
      <c r="P320" s="481" t="s">
        <v>968</v>
      </c>
      <c r="Q320" s="481" t="s">
        <v>969</v>
      </c>
      <c r="R320" s="481" t="s">
        <v>971</v>
      </c>
      <c r="S320" s="517" t="s">
        <v>65</v>
      </c>
      <c r="T320" s="514" t="s">
        <v>189</v>
      </c>
      <c r="U320" s="514" t="s">
        <v>67</v>
      </c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</row>
    <row r="321" spans="1:67" s="35" customFormat="1" ht="35.1" customHeight="1">
      <c r="A321" s="1241"/>
      <c r="B321" s="1354"/>
      <c r="C321" s="551"/>
      <c r="D321" s="487"/>
      <c r="E321" s="488"/>
      <c r="F321" s="489"/>
      <c r="G321" s="644"/>
      <c r="H321" s="645"/>
      <c r="I321" s="646"/>
      <c r="J321" s="461"/>
      <c r="K321" s="461"/>
      <c r="L321" s="351">
        <v>59.993299999999998</v>
      </c>
      <c r="M321" s="255">
        <v>97</v>
      </c>
      <c r="N321" s="440">
        <v>0</v>
      </c>
      <c r="O321" s="440">
        <v>0</v>
      </c>
      <c r="P321" s="482"/>
      <c r="Q321" s="482"/>
      <c r="R321" s="482"/>
      <c r="S321" s="518"/>
      <c r="T321" s="515"/>
      <c r="U321" s="515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</row>
    <row r="322" spans="1:67" s="35" customFormat="1" ht="35.1" customHeight="1">
      <c r="A322" s="1241"/>
      <c r="B322" s="1354"/>
      <c r="C322" s="551"/>
      <c r="D322" s="487"/>
      <c r="E322" s="488"/>
      <c r="F322" s="489"/>
      <c r="G322" s="644"/>
      <c r="H322" s="645"/>
      <c r="I322" s="646"/>
      <c r="J322" s="461"/>
      <c r="K322" s="461"/>
      <c r="L322" s="351">
        <v>84.973799999999997</v>
      </c>
      <c r="M322" s="255">
        <v>1089</v>
      </c>
      <c r="N322" s="440">
        <v>0</v>
      </c>
      <c r="O322" s="440">
        <v>0</v>
      </c>
      <c r="P322" s="482"/>
      <c r="Q322" s="482"/>
      <c r="R322" s="482"/>
      <c r="S322" s="518"/>
      <c r="T322" s="515"/>
      <c r="U322" s="515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</row>
    <row r="323" spans="1:67" s="35" customFormat="1" ht="35.1" customHeight="1">
      <c r="A323" s="1241"/>
      <c r="B323" s="1354"/>
      <c r="C323" s="551"/>
      <c r="D323" s="487"/>
      <c r="E323" s="488"/>
      <c r="F323" s="489"/>
      <c r="G323" s="644"/>
      <c r="H323" s="645"/>
      <c r="I323" s="646"/>
      <c r="J323" s="461"/>
      <c r="K323" s="461"/>
      <c r="L323" s="351">
        <v>84.995199999999997</v>
      </c>
      <c r="M323" s="255">
        <v>233</v>
      </c>
      <c r="N323" s="440">
        <v>0</v>
      </c>
      <c r="O323" s="440">
        <v>0</v>
      </c>
      <c r="P323" s="482"/>
      <c r="Q323" s="482"/>
      <c r="R323" s="482"/>
      <c r="S323" s="518"/>
      <c r="T323" s="515"/>
      <c r="U323" s="515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</row>
    <row r="324" spans="1:67" s="35" customFormat="1" ht="35.1" customHeight="1">
      <c r="A324" s="1241"/>
      <c r="B324" s="1354"/>
      <c r="C324" s="551"/>
      <c r="D324" s="487"/>
      <c r="E324" s="488"/>
      <c r="F324" s="489"/>
      <c r="G324" s="644"/>
      <c r="H324" s="645"/>
      <c r="I324" s="646"/>
      <c r="J324" s="461"/>
      <c r="K324" s="461"/>
      <c r="L324" s="351">
        <v>119.9817</v>
      </c>
      <c r="M324" s="255">
        <v>372</v>
      </c>
      <c r="N324" s="440">
        <v>148</v>
      </c>
      <c r="O324" s="440">
        <v>147</v>
      </c>
      <c r="P324" s="482"/>
      <c r="Q324" s="482"/>
      <c r="R324" s="482"/>
      <c r="S324" s="518"/>
      <c r="T324" s="515"/>
      <c r="U324" s="515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</row>
    <row r="325" spans="1:67" s="35" customFormat="1" ht="35.1" customHeight="1">
      <c r="A325" s="1241"/>
      <c r="B325" s="1354"/>
      <c r="C325" s="551"/>
      <c r="D325" s="487"/>
      <c r="E325" s="488"/>
      <c r="F325" s="489"/>
      <c r="G325" s="647"/>
      <c r="H325" s="648"/>
      <c r="I325" s="649"/>
      <c r="J325" s="462"/>
      <c r="K325" s="462"/>
      <c r="L325" s="351">
        <v>119.98180000000001</v>
      </c>
      <c r="M325" s="255">
        <v>102</v>
      </c>
      <c r="N325" s="440">
        <v>30</v>
      </c>
      <c r="O325" s="440">
        <v>30</v>
      </c>
      <c r="P325" s="482"/>
      <c r="Q325" s="482"/>
      <c r="R325" s="482"/>
      <c r="S325" s="518"/>
      <c r="T325" s="515"/>
      <c r="U325" s="515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</row>
    <row r="326" spans="1:67" s="35" customFormat="1" ht="35.1" customHeight="1">
      <c r="A326" s="1241"/>
      <c r="B326" s="1354"/>
      <c r="C326" s="552"/>
      <c r="D326" s="490"/>
      <c r="E326" s="491"/>
      <c r="F326" s="492"/>
      <c r="G326" s="463" t="s">
        <v>329</v>
      </c>
      <c r="H326" s="464"/>
      <c r="I326" s="464"/>
      <c r="J326" s="464"/>
      <c r="K326" s="465"/>
      <c r="L326" s="165"/>
      <c r="M326" s="256">
        <f>SUM(M320:M325)</f>
        <v>1990</v>
      </c>
      <c r="N326" s="397">
        <f>SUM(N320:N325)</f>
        <v>178</v>
      </c>
      <c r="O326" s="397">
        <f>SUM(O320:O325)</f>
        <v>177</v>
      </c>
      <c r="P326" s="483"/>
      <c r="Q326" s="483"/>
      <c r="R326" s="483"/>
      <c r="S326" s="519"/>
      <c r="T326" s="516"/>
      <c r="U326" s="516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</row>
    <row r="327" spans="1:67" s="35" customFormat="1" ht="35.1" customHeight="1">
      <c r="A327" s="1241"/>
      <c r="B327" s="1354"/>
      <c r="C327" s="1356" t="s">
        <v>1153</v>
      </c>
      <c r="D327" s="484" t="s">
        <v>582</v>
      </c>
      <c r="E327" s="485"/>
      <c r="F327" s="486"/>
      <c r="G327" s="1770" t="s">
        <v>189</v>
      </c>
      <c r="H327" s="1771"/>
      <c r="I327" s="1772"/>
      <c r="J327" s="460" t="s">
        <v>11</v>
      </c>
      <c r="K327" s="460" t="s">
        <v>12</v>
      </c>
      <c r="L327" s="351">
        <v>84.9499</v>
      </c>
      <c r="M327" s="255">
        <v>262</v>
      </c>
      <c r="N327" s="164">
        <v>0</v>
      </c>
      <c r="O327" s="164">
        <v>0</v>
      </c>
      <c r="P327" s="481" t="s">
        <v>972</v>
      </c>
      <c r="Q327" s="481" t="s">
        <v>969</v>
      </c>
      <c r="R327" s="481" t="s">
        <v>973</v>
      </c>
      <c r="S327" s="670" t="s">
        <v>188</v>
      </c>
      <c r="T327" s="514" t="s">
        <v>189</v>
      </c>
      <c r="U327" s="514" t="s">
        <v>189</v>
      </c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</row>
    <row r="328" spans="1:67" s="35" customFormat="1" ht="35.1" customHeight="1">
      <c r="A328" s="1241"/>
      <c r="B328" s="1354"/>
      <c r="C328" s="535"/>
      <c r="D328" s="487"/>
      <c r="E328" s="488"/>
      <c r="F328" s="489"/>
      <c r="G328" s="1773"/>
      <c r="H328" s="1774"/>
      <c r="I328" s="1775"/>
      <c r="J328" s="461"/>
      <c r="K328" s="461"/>
      <c r="L328" s="351">
        <v>84.941299999999998</v>
      </c>
      <c r="M328" s="255">
        <v>145</v>
      </c>
      <c r="N328" s="164">
        <v>0</v>
      </c>
      <c r="O328" s="164">
        <v>0</v>
      </c>
      <c r="P328" s="482"/>
      <c r="Q328" s="482"/>
      <c r="R328" s="482"/>
      <c r="S328" s="671"/>
      <c r="T328" s="515"/>
      <c r="U328" s="515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</row>
    <row r="329" spans="1:67" s="35" customFormat="1" ht="35.1" customHeight="1">
      <c r="A329" s="1241"/>
      <c r="B329" s="1354"/>
      <c r="C329" s="535"/>
      <c r="D329" s="487"/>
      <c r="E329" s="488"/>
      <c r="F329" s="489"/>
      <c r="G329" s="1776"/>
      <c r="H329" s="1777"/>
      <c r="I329" s="1778"/>
      <c r="J329" s="462"/>
      <c r="K329" s="462"/>
      <c r="L329" s="351">
        <v>99.887900000000002</v>
      </c>
      <c r="M329" s="255">
        <v>235</v>
      </c>
      <c r="N329" s="164">
        <v>1</v>
      </c>
      <c r="O329" s="164">
        <v>1</v>
      </c>
      <c r="P329" s="482"/>
      <c r="Q329" s="482"/>
      <c r="R329" s="482"/>
      <c r="S329" s="671"/>
      <c r="T329" s="515"/>
      <c r="U329" s="515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</row>
    <row r="330" spans="1:67" s="35" customFormat="1" ht="35.1" customHeight="1">
      <c r="A330" s="1241"/>
      <c r="B330" s="1354"/>
      <c r="C330" s="536"/>
      <c r="D330" s="490"/>
      <c r="E330" s="491"/>
      <c r="F330" s="492"/>
      <c r="G330" s="463" t="s">
        <v>329</v>
      </c>
      <c r="H330" s="464"/>
      <c r="I330" s="464"/>
      <c r="J330" s="464"/>
      <c r="K330" s="465"/>
      <c r="L330" s="165"/>
      <c r="M330" s="256">
        <f>SUM(M327:M329)</f>
        <v>642</v>
      </c>
      <c r="N330" s="397">
        <f>SUM(N327:N329)</f>
        <v>1</v>
      </c>
      <c r="O330" s="397">
        <f>SUM(O327:O329)</f>
        <v>1</v>
      </c>
      <c r="P330" s="483"/>
      <c r="Q330" s="483"/>
      <c r="R330" s="483"/>
      <c r="S330" s="672"/>
      <c r="T330" s="516"/>
      <c r="U330" s="516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</row>
    <row r="331" spans="1:67" s="35" customFormat="1" ht="35.1" customHeight="1">
      <c r="A331" s="1241"/>
      <c r="B331" s="1354"/>
      <c r="C331" s="534"/>
      <c r="D331" s="484" t="s">
        <v>581</v>
      </c>
      <c r="E331" s="485"/>
      <c r="F331" s="486"/>
      <c r="G331" s="641"/>
      <c r="H331" s="642"/>
      <c r="I331" s="643"/>
      <c r="J331" s="1779" t="s">
        <v>11</v>
      </c>
      <c r="K331" s="460"/>
      <c r="L331" s="351">
        <v>59</v>
      </c>
      <c r="M331" s="255">
        <v>102</v>
      </c>
      <c r="N331" s="337">
        <v>0</v>
      </c>
      <c r="O331" s="337">
        <v>0</v>
      </c>
      <c r="P331" s="481"/>
      <c r="Q331" s="481"/>
      <c r="R331" s="481"/>
      <c r="S331" s="517"/>
      <c r="T331" s="514"/>
      <c r="U331" s="514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</row>
    <row r="332" spans="1:67" s="35" customFormat="1" ht="35.1" customHeight="1">
      <c r="A332" s="1241"/>
      <c r="B332" s="1354"/>
      <c r="C332" s="535"/>
      <c r="D332" s="487"/>
      <c r="E332" s="488"/>
      <c r="F332" s="489"/>
      <c r="G332" s="647"/>
      <c r="H332" s="648"/>
      <c r="I332" s="649"/>
      <c r="J332" s="1780"/>
      <c r="K332" s="462"/>
      <c r="L332" s="349">
        <v>84</v>
      </c>
      <c r="M332" s="255">
        <v>268</v>
      </c>
      <c r="N332" s="337">
        <v>0</v>
      </c>
      <c r="O332" s="337">
        <v>0</v>
      </c>
      <c r="P332" s="482"/>
      <c r="Q332" s="482"/>
      <c r="R332" s="482"/>
      <c r="S332" s="518"/>
      <c r="T332" s="515"/>
      <c r="U332" s="515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</row>
    <row r="333" spans="1:67" s="35" customFormat="1" ht="35.1" customHeight="1">
      <c r="A333" s="1241"/>
      <c r="B333" s="1354"/>
      <c r="C333" s="536"/>
      <c r="D333" s="490"/>
      <c r="E333" s="491"/>
      <c r="F333" s="492"/>
      <c r="G333" s="463" t="s">
        <v>329</v>
      </c>
      <c r="H333" s="464"/>
      <c r="I333" s="464"/>
      <c r="J333" s="464"/>
      <c r="K333" s="465"/>
      <c r="L333" s="165"/>
      <c r="M333" s="256">
        <f>SUM(M331:M332)</f>
        <v>370</v>
      </c>
      <c r="N333" s="397">
        <f>SUM(N331:N332)</f>
        <v>0</v>
      </c>
      <c r="O333" s="397">
        <f>SUM(O331:O332)</f>
        <v>0</v>
      </c>
      <c r="P333" s="483"/>
      <c r="Q333" s="483"/>
      <c r="R333" s="483"/>
      <c r="S333" s="519"/>
      <c r="T333" s="516"/>
      <c r="U333" s="516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</row>
    <row r="334" spans="1:67" s="35" customFormat="1" ht="35.1" customHeight="1">
      <c r="A334" s="1241"/>
      <c r="B334" s="1354"/>
      <c r="C334" s="553" t="s">
        <v>54</v>
      </c>
      <c r="D334" s="484" t="s">
        <v>580</v>
      </c>
      <c r="E334" s="485"/>
      <c r="F334" s="486"/>
      <c r="G334" s="1006" t="s">
        <v>853</v>
      </c>
      <c r="H334" s="1007"/>
      <c r="I334" s="1008"/>
      <c r="J334" s="460" t="s">
        <v>11</v>
      </c>
      <c r="K334" s="460" t="s">
        <v>12</v>
      </c>
      <c r="L334" s="169">
        <v>45.95</v>
      </c>
      <c r="M334" s="255">
        <v>32</v>
      </c>
      <c r="N334" s="164">
        <v>0</v>
      </c>
      <c r="O334" s="164">
        <v>0</v>
      </c>
      <c r="P334" s="556" t="s">
        <v>189</v>
      </c>
      <c r="Q334" s="528" t="s">
        <v>189</v>
      </c>
      <c r="R334" s="528" t="s">
        <v>189</v>
      </c>
      <c r="S334" s="562" t="s">
        <v>189</v>
      </c>
      <c r="T334" s="514" t="s">
        <v>189</v>
      </c>
      <c r="U334" s="514" t="s">
        <v>189</v>
      </c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</row>
    <row r="335" spans="1:67" s="35" customFormat="1" ht="35.1" customHeight="1">
      <c r="A335" s="1241"/>
      <c r="B335" s="1354"/>
      <c r="C335" s="554"/>
      <c r="D335" s="487"/>
      <c r="E335" s="488"/>
      <c r="F335" s="489"/>
      <c r="G335" s="1009"/>
      <c r="H335" s="1010"/>
      <c r="I335" s="1011"/>
      <c r="J335" s="461"/>
      <c r="K335" s="461"/>
      <c r="L335" s="169">
        <v>59.96</v>
      </c>
      <c r="M335" s="255">
        <v>279</v>
      </c>
      <c r="N335" s="164">
        <v>0</v>
      </c>
      <c r="O335" s="164">
        <v>0</v>
      </c>
      <c r="P335" s="557"/>
      <c r="Q335" s="529"/>
      <c r="R335" s="529"/>
      <c r="S335" s="563"/>
      <c r="T335" s="515"/>
      <c r="U335" s="515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</row>
    <row r="336" spans="1:67" s="35" customFormat="1" ht="35.1" customHeight="1">
      <c r="A336" s="1241"/>
      <c r="B336" s="1354"/>
      <c r="C336" s="554"/>
      <c r="D336" s="487"/>
      <c r="E336" s="488"/>
      <c r="F336" s="489"/>
      <c r="G336" s="1009"/>
      <c r="H336" s="1010"/>
      <c r="I336" s="1011"/>
      <c r="J336" s="461"/>
      <c r="K336" s="461"/>
      <c r="L336" s="169">
        <v>59.96</v>
      </c>
      <c r="M336" s="255">
        <v>103</v>
      </c>
      <c r="N336" s="164">
        <v>0</v>
      </c>
      <c r="O336" s="164">
        <v>0</v>
      </c>
      <c r="P336" s="557"/>
      <c r="Q336" s="529"/>
      <c r="R336" s="529"/>
      <c r="S336" s="563"/>
      <c r="T336" s="515"/>
      <c r="U336" s="515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</row>
    <row r="337" spans="1:67" s="35" customFormat="1" ht="35.1" customHeight="1">
      <c r="A337" s="1241"/>
      <c r="B337" s="1354"/>
      <c r="C337" s="554"/>
      <c r="D337" s="487"/>
      <c r="E337" s="488"/>
      <c r="F337" s="489"/>
      <c r="G337" s="1009"/>
      <c r="H337" s="1010"/>
      <c r="I337" s="1011"/>
      <c r="J337" s="461"/>
      <c r="K337" s="461"/>
      <c r="L337" s="169">
        <v>74.989999999999995</v>
      </c>
      <c r="M337" s="255">
        <v>45</v>
      </c>
      <c r="N337" s="164">
        <v>2</v>
      </c>
      <c r="O337" s="164">
        <v>1</v>
      </c>
      <c r="P337" s="557"/>
      <c r="Q337" s="529"/>
      <c r="R337" s="529"/>
      <c r="S337" s="563"/>
      <c r="T337" s="515"/>
      <c r="U337" s="515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</row>
    <row r="338" spans="1:67" s="35" customFormat="1" ht="35.1" customHeight="1">
      <c r="A338" s="1241"/>
      <c r="B338" s="1354"/>
      <c r="C338" s="554"/>
      <c r="D338" s="487"/>
      <c r="E338" s="488"/>
      <c r="F338" s="489"/>
      <c r="G338" s="1009"/>
      <c r="H338" s="1010"/>
      <c r="I338" s="1011"/>
      <c r="J338" s="461"/>
      <c r="K338" s="461"/>
      <c r="L338" s="169">
        <v>74.959999999999994</v>
      </c>
      <c r="M338" s="255">
        <v>27</v>
      </c>
      <c r="N338" s="164">
        <v>0</v>
      </c>
      <c r="O338" s="164">
        <v>0</v>
      </c>
      <c r="P338" s="557"/>
      <c r="Q338" s="529"/>
      <c r="R338" s="529"/>
      <c r="S338" s="563"/>
      <c r="T338" s="515"/>
      <c r="U338" s="515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</row>
    <row r="339" spans="1:67" s="35" customFormat="1" ht="35.1" customHeight="1">
      <c r="A339" s="1241"/>
      <c r="B339" s="1354"/>
      <c r="C339" s="554"/>
      <c r="D339" s="487"/>
      <c r="E339" s="488"/>
      <c r="F339" s="489"/>
      <c r="G339" s="1009"/>
      <c r="H339" s="1010"/>
      <c r="I339" s="1011"/>
      <c r="J339" s="461"/>
      <c r="K339" s="461"/>
      <c r="L339" s="169">
        <v>74.959999999999994</v>
      </c>
      <c r="M339" s="255">
        <v>3</v>
      </c>
      <c r="N339" s="164">
        <v>1</v>
      </c>
      <c r="O339" s="164">
        <v>0</v>
      </c>
      <c r="P339" s="557"/>
      <c r="Q339" s="529"/>
      <c r="R339" s="529"/>
      <c r="S339" s="563"/>
      <c r="T339" s="515"/>
      <c r="U339" s="515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</row>
    <row r="340" spans="1:67" s="35" customFormat="1" ht="35.1" customHeight="1">
      <c r="A340" s="1241"/>
      <c r="B340" s="1354"/>
      <c r="C340" s="554"/>
      <c r="D340" s="487"/>
      <c r="E340" s="488"/>
      <c r="F340" s="489"/>
      <c r="G340" s="1009"/>
      <c r="H340" s="1010"/>
      <c r="I340" s="1011"/>
      <c r="J340" s="461"/>
      <c r="K340" s="461"/>
      <c r="L340" s="169">
        <v>84.99</v>
      </c>
      <c r="M340" s="255">
        <v>14</v>
      </c>
      <c r="N340" s="164">
        <v>0</v>
      </c>
      <c r="O340" s="164">
        <v>0</v>
      </c>
      <c r="P340" s="557"/>
      <c r="Q340" s="529"/>
      <c r="R340" s="529"/>
      <c r="S340" s="563"/>
      <c r="T340" s="515"/>
      <c r="U340" s="515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</row>
    <row r="341" spans="1:67" s="35" customFormat="1" ht="35.1" customHeight="1">
      <c r="A341" s="1241"/>
      <c r="B341" s="1354"/>
      <c r="C341" s="554"/>
      <c r="D341" s="487"/>
      <c r="E341" s="488"/>
      <c r="F341" s="489"/>
      <c r="G341" s="1009"/>
      <c r="H341" s="1010"/>
      <c r="I341" s="1011"/>
      <c r="J341" s="461"/>
      <c r="K341" s="461"/>
      <c r="L341" s="169">
        <v>84.93</v>
      </c>
      <c r="M341" s="255">
        <v>12</v>
      </c>
      <c r="N341" s="164">
        <v>0</v>
      </c>
      <c r="O341" s="164">
        <v>0</v>
      </c>
      <c r="P341" s="557"/>
      <c r="Q341" s="529"/>
      <c r="R341" s="529"/>
      <c r="S341" s="563"/>
      <c r="T341" s="515"/>
      <c r="U341" s="515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</row>
    <row r="342" spans="1:67" s="35" customFormat="1" ht="35.1" customHeight="1">
      <c r="A342" s="1241"/>
      <c r="B342" s="1354"/>
      <c r="C342" s="554"/>
      <c r="D342" s="487"/>
      <c r="E342" s="488"/>
      <c r="F342" s="489"/>
      <c r="G342" s="1009"/>
      <c r="H342" s="1010"/>
      <c r="I342" s="1011"/>
      <c r="J342" s="461"/>
      <c r="K342" s="461"/>
      <c r="L342" s="169">
        <v>84.13</v>
      </c>
      <c r="M342" s="255">
        <v>80</v>
      </c>
      <c r="N342" s="164">
        <v>0</v>
      </c>
      <c r="O342" s="164">
        <v>0</v>
      </c>
      <c r="P342" s="557"/>
      <c r="Q342" s="529"/>
      <c r="R342" s="529"/>
      <c r="S342" s="563"/>
      <c r="T342" s="515"/>
      <c r="U342" s="515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</row>
    <row r="343" spans="1:67" s="35" customFormat="1" ht="35.1" customHeight="1">
      <c r="A343" s="1241"/>
      <c r="B343" s="1354"/>
      <c r="C343" s="554"/>
      <c r="D343" s="487"/>
      <c r="E343" s="488"/>
      <c r="F343" s="489"/>
      <c r="G343" s="1012"/>
      <c r="H343" s="1013"/>
      <c r="I343" s="1014"/>
      <c r="J343" s="462"/>
      <c r="K343" s="462"/>
      <c r="L343" s="169">
        <v>112.92</v>
      </c>
      <c r="M343" s="255">
        <v>4</v>
      </c>
      <c r="N343" s="164">
        <v>0</v>
      </c>
      <c r="O343" s="164">
        <v>0</v>
      </c>
      <c r="P343" s="557"/>
      <c r="Q343" s="529"/>
      <c r="R343" s="529"/>
      <c r="S343" s="563"/>
      <c r="T343" s="515"/>
      <c r="U343" s="515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</row>
    <row r="344" spans="1:67" s="35" customFormat="1" ht="35.1" customHeight="1">
      <c r="A344" s="1241"/>
      <c r="B344" s="1354"/>
      <c r="C344" s="555"/>
      <c r="D344" s="490"/>
      <c r="E344" s="491"/>
      <c r="F344" s="492"/>
      <c r="G344" s="463" t="s">
        <v>329</v>
      </c>
      <c r="H344" s="464"/>
      <c r="I344" s="464"/>
      <c r="J344" s="464"/>
      <c r="K344" s="465"/>
      <c r="L344" s="165"/>
      <c r="M344" s="256">
        <f>SUM(M334:M343)</f>
        <v>599</v>
      </c>
      <c r="N344" s="397">
        <f>SUM(N334:N343)</f>
        <v>3</v>
      </c>
      <c r="O344" s="397">
        <f>SUM(O334:O343)</f>
        <v>1</v>
      </c>
      <c r="P344" s="558"/>
      <c r="Q344" s="530"/>
      <c r="R344" s="530"/>
      <c r="S344" s="564"/>
      <c r="T344" s="516"/>
      <c r="U344" s="516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</row>
    <row r="345" spans="1:67" s="35" customFormat="1" ht="35.1" customHeight="1">
      <c r="A345" s="1241"/>
      <c r="B345" s="1354"/>
      <c r="C345" s="553" t="s">
        <v>54</v>
      </c>
      <c r="D345" s="484" t="s">
        <v>580</v>
      </c>
      <c r="E345" s="485"/>
      <c r="F345" s="486"/>
      <c r="G345" s="641" t="s">
        <v>581</v>
      </c>
      <c r="H345" s="642"/>
      <c r="I345" s="643"/>
      <c r="J345" s="460" t="s">
        <v>11</v>
      </c>
      <c r="K345" s="460" t="s">
        <v>12</v>
      </c>
      <c r="L345" s="351">
        <v>84</v>
      </c>
      <c r="M345" s="255">
        <v>511</v>
      </c>
      <c r="N345" s="168">
        <v>0</v>
      </c>
      <c r="O345" s="168">
        <v>0</v>
      </c>
      <c r="P345" s="541" t="s">
        <v>819</v>
      </c>
      <c r="Q345" s="541" t="s">
        <v>819</v>
      </c>
      <c r="R345" s="541" t="s">
        <v>819</v>
      </c>
      <c r="S345" s="541" t="s">
        <v>819</v>
      </c>
      <c r="T345" s="541" t="s">
        <v>819</v>
      </c>
      <c r="U345" s="541" t="s">
        <v>819</v>
      </c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</row>
    <row r="346" spans="1:67" s="35" customFormat="1" ht="35.1" customHeight="1">
      <c r="A346" s="1241"/>
      <c r="B346" s="1354"/>
      <c r="C346" s="554"/>
      <c r="D346" s="487"/>
      <c r="E346" s="488"/>
      <c r="F346" s="489"/>
      <c r="G346" s="644"/>
      <c r="H346" s="645"/>
      <c r="I346" s="646"/>
      <c r="J346" s="461"/>
      <c r="K346" s="461"/>
      <c r="L346" s="351">
        <v>110</v>
      </c>
      <c r="M346" s="255">
        <v>270</v>
      </c>
      <c r="N346" s="168">
        <v>0</v>
      </c>
      <c r="O346" s="168">
        <v>0</v>
      </c>
      <c r="P346" s="542"/>
      <c r="Q346" s="542"/>
      <c r="R346" s="542"/>
      <c r="S346" s="542"/>
      <c r="T346" s="542"/>
      <c r="U346" s="542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</row>
    <row r="347" spans="1:67" s="35" customFormat="1" ht="35.1" customHeight="1">
      <c r="A347" s="1241"/>
      <c r="B347" s="1354"/>
      <c r="C347" s="554"/>
      <c r="D347" s="487"/>
      <c r="E347" s="488"/>
      <c r="F347" s="489"/>
      <c r="G347" s="647"/>
      <c r="H347" s="648"/>
      <c r="I347" s="649"/>
      <c r="J347" s="462"/>
      <c r="K347" s="462"/>
      <c r="L347" s="351">
        <v>134</v>
      </c>
      <c r="M347" s="255">
        <v>3</v>
      </c>
      <c r="N347" s="168">
        <v>0</v>
      </c>
      <c r="O347" s="168">
        <v>0</v>
      </c>
      <c r="P347" s="542"/>
      <c r="Q347" s="542"/>
      <c r="R347" s="542"/>
      <c r="S347" s="542"/>
      <c r="T347" s="542"/>
      <c r="U347" s="542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</row>
    <row r="348" spans="1:67" s="35" customFormat="1" ht="35.1" customHeight="1">
      <c r="A348" s="1241"/>
      <c r="B348" s="1354"/>
      <c r="C348" s="555"/>
      <c r="D348" s="490"/>
      <c r="E348" s="491"/>
      <c r="F348" s="492"/>
      <c r="G348" s="463" t="s">
        <v>329</v>
      </c>
      <c r="H348" s="464"/>
      <c r="I348" s="464"/>
      <c r="J348" s="464"/>
      <c r="K348" s="465"/>
      <c r="L348" s="165"/>
      <c r="M348" s="256">
        <f>SUM(M345:M347)</f>
        <v>784</v>
      </c>
      <c r="N348" s="397">
        <f>SUM(N345:N347)</f>
        <v>0</v>
      </c>
      <c r="O348" s="397">
        <f>SUM(O345:O347)</f>
        <v>0</v>
      </c>
      <c r="P348" s="543"/>
      <c r="Q348" s="543"/>
      <c r="R348" s="543"/>
      <c r="S348" s="543"/>
      <c r="T348" s="543"/>
      <c r="U348" s="543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</row>
    <row r="349" spans="1:67" s="35" customFormat="1" ht="35.1" customHeight="1">
      <c r="A349" s="1241"/>
      <c r="B349" s="1354"/>
      <c r="C349" s="553" t="s">
        <v>54</v>
      </c>
      <c r="D349" s="484" t="s">
        <v>582</v>
      </c>
      <c r="E349" s="485"/>
      <c r="F349" s="486"/>
      <c r="G349" s="641" t="s">
        <v>582</v>
      </c>
      <c r="H349" s="642"/>
      <c r="I349" s="643"/>
      <c r="J349" s="460" t="s">
        <v>11</v>
      </c>
      <c r="K349" s="460" t="s">
        <v>12</v>
      </c>
      <c r="L349" s="170" t="s">
        <v>85</v>
      </c>
      <c r="M349" s="258">
        <v>176</v>
      </c>
      <c r="N349" s="164">
        <v>0</v>
      </c>
      <c r="O349" s="164">
        <v>0</v>
      </c>
      <c r="P349" s="541" t="s">
        <v>54</v>
      </c>
      <c r="Q349" s="541" t="s">
        <v>54</v>
      </c>
      <c r="R349" s="541" t="s">
        <v>54</v>
      </c>
      <c r="S349" s="541" t="s">
        <v>54</v>
      </c>
      <c r="T349" s="541" t="s">
        <v>54</v>
      </c>
      <c r="U349" s="541" t="s">
        <v>54</v>
      </c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</row>
    <row r="350" spans="1:67" s="35" customFormat="1" ht="35.1" customHeight="1">
      <c r="A350" s="1241"/>
      <c r="B350" s="1354"/>
      <c r="C350" s="554"/>
      <c r="D350" s="487"/>
      <c r="E350" s="488"/>
      <c r="F350" s="489"/>
      <c r="G350" s="644"/>
      <c r="H350" s="645"/>
      <c r="I350" s="646"/>
      <c r="J350" s="461"/>
      <c r="K350" s="461"/>
      <c r="L350" s="170" t="s">
        <v>103</v>
      </c>
      <c r="M350" s="258">
        <v>29</v>
      </c>
      <c r="N350" s="164">
        <v>0</v>
      </c>
      <c r="O350" s="164">
        <v>0</v>
      </c>
      <c r="P350" s="542"/>
      <c r="Q350" s="542"/>
      <c r="R350" s="542"/>
      <c r="S350" s="542"/>
      <c r="T350" s="542"/>
      <c r="U350" s="542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</row>
    <row r="351" spans="1:67" s="35" customFormat="1" ht="35.1" customHeight="1">
      <c r="A351" s="1241"/>
      <c r="B351" s="1354"/>
      <c r="C351" s="554"/>
      <c r="D351" s="487"/>
      <c r="E351" s="488"/>
      <c r="F351" s="489"/>
      <c r="G351" s="644"/>
      <c r="H351" s="645"/>
      <c r="I351" s="646"/>
      <c r="J351" s="461"/>
      <c r="K351" s="461"/>
      <c r="L351" s="170" t="s">
        <v>84</v>
      </c>
      <c r="M351" s="258">
        <v>194</v>
      </c>
      <c r="N351" s="337">
        <v>0</v>
      </c>
      <c r="O351" s="337">
        <v>0</v>
      </c>
      <c r="P351" s="542"/>
      <c r="Q351" s="542"/>
      <c r="R351" s="542"/>
      <c r="S351" s="542"/>
      <c r="T351" s="542"/>
      <c r="U351" s="542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</row>
    <row r="352" spans="1:67" s="35" customFormat="1" ht="35.1" customHeight="1">
      <c r="A352" s="1241"/>
      <c r="B352" s="1354"/>
      <c r="C352" s="554"/>
      <c r="D352" s="487"/>
      <c r="E352" s="488"/>
      <c r="F352" s="489"/>
      <c r="G352" s="644"/>
      <c r="H352" s="645"/>
      <c r="I352" s="646"/>
      <c r="J352" s="461"/>
      <c r="K352" s="461"/>
      <c r="L352" s="170" t="s">
        <v>83</v>
      </c>
      <c r="M352" s="258">
        <v>225</v>
      </c>
      <c r="N352" s="337">
        <v>0</v>
      </c>
      <c r="O352" s="337">
        <v>0</v>
      </c>
      <c r="P352" s="542"/>
      <c r="Q352" s="542"/>
      <c r="R352" s="542"/>
      <c r="S352" s="542"/>
      <c r="T352" s="542"/>
      <c r="U352" s="542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</row>
    <row r="353" spans="1:67" s="35" customFormat="1" ht="35.1" customHeight="1">
      <c r="A353" s="1241"/>
      <c r="B353" s="1354"/>
      <c r="C353" s="554"/>
      <c r="D353" s="487"/>
      <c r="E353" s="488"/>
      <c r="F353" s="489"/>
      <c r="G353" s="644"/>
      <c r="H353" s="645"/>
      <c r="I353" s="646"/>
      <c r="J353" s="461"/>
      <c r="K353" s="461"/>
      <c r="L353" s="170" t="s">
        <v>82</v>
      </c>
      <c r="M353" s="258">
        <v>303</v>
      </c>
      <c r="N353" s="337">
        <v>0</v>
      </c>
      <c r="O353" s="337">
        <v>0</v>
      </c>
      <c r="P353" s="542"/>
      <c r="Q353" s="542"/>
      <c r="R353" s="542"/>
      <c r="S353" s="542"/>
      <c r="T353" s="542"/>
      <c r="U353" s="542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</row>
    <row r="354" spans="1:67" s="35" customFormat="1" ht="35.1" customHeight="1">
      <c r="A354" s="1241"/>
      <c r="B354" s="1354"/>
      <c r="C354" s="554"/>
      <c r="D354" s="487"/>
      <c r="E354" s="488"/>
      <c r="F354" s="489"/>
      <c r="G354" s="647"/>
      <c r="H354" s="648"/>
      <c r="I354" s="649"/>
      <c r="J354" s="462"/>
      <c r="K354" s="462"/>
      <c r="L354" s="170" t="s">
        <v>81</v>
      </c>
      <c r="M354" s="258">
        <v>64</v>
      </c>
      <c r="N354" s="337">
        <v>0</v>
      </c>
      <c r="O354" s="337">
        <v>0</v>
      </c>
      <c r="P354" s="542"/>
      <c r="Q354" s="542"/>
      <c r="R354" s="542"/>
      <c r="S354" s="542"/>
      <c r="T354" s="542"/>
      <c r="U354" s="542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</row>
    <row r="355" spans="1:67" s="35" customFormat="1" ht="35.1" customHeight="1">
      <c r="A355" s="1241"/>
      <c r="B355" s="1354"/>
      <c r="C355" s="555"/>
      <c r="D355" s="490"/>
      <c r="E355" s="491"/>
      <c r="F355" s="492"/>
      <c r="G355" s="1370"/>
      <c r="H355" s="1371"/>
      <c r="I355" s="1371"/>
      <c r="J355" s="1371"/>
      <c r="K355" s="1371"/>
      <c r="L355" s="1372"/>
      <c r="M355" s="259">
        <f>SUM(M349:M354)</f>
        <v>991</v>
      </c>
      <c r="N355" s="260">
        <f>SUM(N349:N354)</f>
        <v>0</v>
      </c>
      <c r="O355" s="260">
        <f>SUM(O349:O354)</f>
        <v>0</v>
      </c>
      <c r="P355" s="543"/>
      <c r="Q355" s="543"/>
      <c r="R355" s="543"/>
      <c r="S355" s="543"/>
      <c r="T355" s="543"/>
      <c r="U355" s="543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</row>
    <row r="356" spans="1:67" s="35" customFormat="1" ht="35.1" customHeight="1">
      <c r="A356" s="1241"/>
      <c r="B356" s="1354"/>
      <c r="C356" s="553" t="s">
        <v>54</v>
      </c>
      <c r="D356" s="484" t="s">
        <v>582</v>
      </c>
      <c r="E356" s="485"/>
      <c r="F356" s="486"/>
      <c r="G356" s="1360" t="s">
        <v>582</v>
      </c>
      <c r="H356" s="1361"/>
      <c r="I356" s="1362"/>
      <c r="J356" s="460" t="s">
        <v>11</v>
      </c>
      <c r="K356" s="460" t="s">
        <v>12</v>
      </c>
      <c r="L356" s="170" t="s">
        <v>85</v>
      </c>
      <c r="M356" s="308">
        <v>98</v>
      </c>
      <c r="N356" s="336">
        <v>0</v>
      </c>
      <c r="O356" s="336">
        <v>0</v>
      </c>
      <c r="P356" s="541" t="s">
        <v>189</v>
      </c>
      <c r="Q356" s="541" t="s">
        <v>189</v>
      </c>
      <c r="R356" s="541" t="s">
        <v>189</v>
      </c>
      <c r="S356" s="541" t="s">
        <v>189</v>
      </c>
      <c r="T356" s="541" t="s">
        <v>189</v>
      </c>
      <c r="U356" s="541" t="s">
        <v>189</v>
      </c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</row>
    <row r="357" spans="1:67" s="35" customFormat="1" ht="35.1" customHeight="1">
      <c r="A357" s="1241"/>
      <c r="B357" s="1354"/>
      <c r="C357" s="554"/>
      <c r="D357" s="487"/>
      <c r="E357" s="488"/>
      <c r="F357" s="489"/>
      <c r="G357" s="1363"/>
      <c r="H357" s="1364"/>
      <c r="I357" s="1365"/>
      <c r="J357" s="461"/>
      <c r="K357" s="461"/>
      <c r="L357" s="170" t="s">
        <v>103</v>
      </c>
      <c r="M357" s="308">
        <v>54</v>
      </c>
      <c r="N357" s="336">
        <v>0</v>
      </c>
      <c r="O357" s="336">
        <v>0</v>
      </c>
      <c r="P357" s="542"/>
      <c r="Q357" s="542"/>
      <c r="R357" s="542"/>
      <c r="S357" s="542"/>
      <c r="T357" s="542"/>
      <c r="U357" s="542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</row>
    <row r="358" spans="1:67" s="35" customFormat="1" ht="35.1" customHeight="1">
      <c r="A358" s="1241"/>
      <c r="B358" s="1354"/>
      <c r="C358" s="554"/>
      <c r="D358" s="487"/>
      <c r="E358" s="488"/>
      <c r="F358" s="489"/>
      <c r="G358" s="1363"/>
      <c r="H358" s="1364"/>
      <c r="I358" s="1365"/>
      <c r="J358" s="461"/>
      <c r="K358" s="461"/>
      <c r="L358" s="170" t="s">
        <v>84</v>
      </c>
      <c r="M358" s="308">
        <v>563</v>
      </c>
      <c r="N358" s="336">
        <v>142</v>
      </c>
      <c r="O358" s="336">
        <v>104</v>
      </c>
      <c r="P358" s="542"/>
      <c r="Q358" s="542"/>
      <c r="R358" s="542"/>
      <c r="S358" s="542"/>
      <c r="T358" s="542"/>
      <c r="U358" s="542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</row>
    <row r="359" spans="1:67" s="35" customFormat="1" ht="35.1" customHeight="1">
      <c r="A359" s="1241"/>
      <c r="B359" s="1354"/>
      <c r="C359" s="554"/>
      <c r="D359" s="487"/>
      <c r="E359" s="488"/>
      <c r="F359" s="489"/>
      <c r="G359" s="1363"/>
      <c r="H359" s="1364"/>
      <c r="I359" s="1365"/>
      <c r="J359" s="461"/>
      <c r="K359" s="461"/>
      <c r="L359" s="170" t="s">
        <v>83</v>
      </c>
      <c r="M359" s="308">
        <v>167</v>
      </c>
      <c r="N359" s="336">
        <v>2</v>
      </c>
      <c r="O359" s="336">
        <v>2</v>
      </c>
      <c r="P359" s="542"/>
      <c r="Q359" s="542"/>
      <c r="R359" s="542"/>
      <c r="S359" s="542"/>
      <c r="T359" s="542"/>
      <c r="U359" s="542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</row>
    <row r="360" spans="1:67" s="35" customFormat="1" ht="35.1" customHeight="1">
      <c r="A360" s="1241"/>
      <c r="B360" s="1354"/>
      <c r="C360" s="554"/>
      <c r="D360" s="487"/>
      <c r="E360" s="488"/>
      <c r="F360" s="489"/>
      <c r="G360" s="1366"/>
      <c r="H360" s="1367"/>
      <c r="I360" s="1368"/>
      <c r="J360" s="462"/>
      <c r="K360" s="462"/>
      <c r="L360" s="170">
        <v>101</v>
      </c>
      <c r="M360" s="308">
        <v>333</v>
      </c>
      <c r="N360" s="336">
        <v>138</v>
      </c>
      <c r="O360" s="336">
        <v>106</v>
      </c>
      <c r="P360" s="542"/>
      <c r="Q360" s="542"/>
      <c r="R360" s="542"/>
      <c r="S360" s="542"/>
      <c r="T360" s="542"/>
      <c r="U360" s="542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</row>
    <row r="361" spans="1:67" s="35" customFormat="1" ht="35.1" customHeight="1">
      <c r="A361" s="1241"/>
      <c r="B361" s="1354"/>
      <c r="C361" s="554"/>
      <c r="D361" s="487"/>
      <c r="E361" s="488"/>
      <c r="F361" s="489"/>
      <c r="G361" s="463" t="s">
        <v>329</v>
      </c>
      <c r="H361" s="464"/>
      <c r="I361" s="464"/>
      <c r="J361" s="464"/>
      <c r="K361" s="464"/>
      <c r="L361" s="311"/>
      <c r="M361" s="249">
        <f>SUM(M356:M360)</f>
        <v>1215</v>
      </c>
      <c r="N361" s="249">
        <f t="shared" ref="N361" si="24">SUM(N356:N360)</f>
        <v>282</v>
      </c>
      <c r="O361" s="249">
        <f t="shared" ref="O361" si="25">SUM(O356:O360)</f>
        <v>212</v>
      </c>
      <c r="P361" s="542"/>
      <c r="Q361" s="542"/>
      <c r="R361" s="542"/>
      <c r="S361" s="542"/>
      <c r="T361" s="542"/>
      <c r="U361" s="542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</row>
    <row r="362" spans="1:67" s="35" customFormat="1" ht="35.1" customHeight="1">
      <c r="A362" s="1241"/>
      <c r="B362" s="1354"/>
      <c r="C362" s="554"/>
      <c r="D362" s="487"/>
      <c r="E362" s="488"/>
      <c r="F362" s="489"/>
      <c r="G362" s="1360" t="s">
        <v>582</v>
      </c>
      <c r="H362" s="1361"/>
      <c r="I362" s="1362"/>
      <c r="J362" s="460" t="s">
        <v>11</v>
      </c>
      <c r="K362" s="460" t="s">
        <v>12</v>
      </c>
      <c r="L362" s="357">
        <v>59</v>
      </c>
      <c r="M362" s="308">
        <v>283</v>
      </c>
      <c r="N362" s="336">
        <v>5</v>
      </c>
      <c r="O362" s="336">
        <v>5</v>
      </c>
      <c r="P362" s="542"/>
      <c r="Q362" s="542"/>
      <c r="R362" s="542"/>
      <c r="S362" s="542"/>
      <c r="T362" s="542"/>
      <c r="U362" s="542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</row>
    <row r="363" spans="1:67" s="35" customFormat="1" ht="35.1" customHeight="1">
      <c r="A363" s="1241"/>
      <c r="B363" s="1354"/>
      <c r="C363" s="554"/>
      <c r="D363" s="487"/>
      <c r="E363" s="488"/>
      <c r="F363" s="489"/>
      <c r="G363" s="1363"/>
      <c r="H363" s="1364"/>
      <c r="I363" s="1365"/>
      <c r="J363" s="461"/>
      <c r="K363" s="461"/>
      <c r="L363" s="357" t="s">
        <v>195</v>
      </c>
      <c r="M363" s="308">
        <v>279</v>
      </c>
      <c r="N363" s="336">
        <v>28</v>
      </c>
      <c r="O363" s="336">
        <v>25</v>
      </c>
      <c r="P363" s="542"/>
      <c r="Q363" s="542"/>
      <c r="R363" s="542"/>
      <c r="S363" s="542"/>
      <c r="T363" s="542"/>
      <c r="U363" s="542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</row>
    <row r="364" spans="1:67" s="35" customFormat="1" ht="35.1" customHeight="1">
      <c r="A364" s="1241"/>
      <c r="B364" s="1354"/>
      <c r="C364" s="554"/>
      <c r="D364" s="487"/>
      <c r="E364" s="488"/>
      <c r="F364" s="489"/>
      <c r="G364" s="1363"/>
      <c r="H364" s="1364"/>
      <c r="I364" s="1365"/>
      <c r="J364" s="461"/>
      <c r="K364" s="461"/>
      <c r="L364" s="357" t="s">
        <v>196</v>
      </c>
      <c r="M364" s="308">
        <v>468</v>
      </c>
      <c r="N364" s="336">
        <v>33</v>
      </c>
      <c r="O364" s="336">
        <v>30</v>
      </c>
      <c r="P364" s="542"/>
      <c r="Q364" s="542"/>
      <c r="R364" s="542"/>
      <c r="S364" s="542"/>
      <c r="T364" s="542"/>
      <c r="U364" s="542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</row>
    <row r="365" spans="1:67" s="35" customFormat="1" ht="35.1" customHeight="1">
      <c r="A365" s="1241"/>
      <c r="B365" s="1354"/>
      <c r="C365" s="554"/>
      <c r="D365" s="487"/>
      <c r="E365" s="488"/>
      <c r="F365" s="489"/>
      <c r="G365" s="1363"/>
      <c r="H365" s="1364"/>
      <c r="I365" s="1365"/>
      <c r="J365" s="461"/>
      <c r="K365" s="461"/>
      <c r="L365" s="357" t="s">
        <v>197</v>
      </c>
      <c r="M365" s="308">
        <v>192</v>
      </c>
      <c r="N365" s="336">
        <v>17</v>
      </c>
      <c r="O365" s="336">
        <v>16</v>
      </c>
      <c r="P365" s="542"/>
      <c r="Q365" s="542"/>
      <c r="R365" s="542"/>
      <c r="S365" s="542"/>
      <c r="T365" s="542"/>
      <c r="U365" s="542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</row>
    <row r="366" spans="1:67" s="35" customFormat="1" ht="35.1" customHeight="1">
      <c r="A366" s="1241"/>
      <c r="B366" s="1354"/>
      <c r="C366" s="554"/>
      <c r="D366" s="487"/>
      <c r="E366" s="488"/>
      <c r="F366" s="489"/>
      <c r="G366" s="1366"/>
      <c r="H366" s="1367"/>
      <c r="I366" s="1368"/>
      <c r="J366" s="462"/>
      <c r="K366" s="462"/>
      <c r="L366" s="357">
        <v>106</v>
      </c>
      <c r="M366" s="308">
        <v>378</v>
      </c>
      <c r="N366" s="336">
        <v>285</v>
      </c>
      <c r="O366" s="336">
        <v>279</v>
      </c>
      <c r="P366" s="542"/>
      <c r="Q366" s="542"/>
      <c r="R366" s="542"/>
      <c r="S366" s="542"/>
      <c r="T366" s="542"/>
      <c r="U366" s="542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</row>
    <row r="367" spans="1:67" s="35" customFormat="1" ht="35.1" customHeight="1">
      <c r="A367" s="1241"/>
      <c r="B367" s="1354"/>
      <c r="C367" s="555"/>
      <c r="D367" s="490"/>
      <c r="E367" s="491"/>
      <c r="F367" s="492"/>
      <c r="G367" s="463" t="s">
        <v>329</v>
      </c>
      <c r="H367" s="464"/>
      <c r="I367" s="464"/>
      <c r="J367" s="464"/>
      <c r="K367" s="464"/>
      <c r="L367" s="311"/>
      <c r="M367" s="249">
        <f>SUM(M362:M366)</f>
        <v>1600</v>
      </c>
      <c r="N367" s="249">
        <f t="shared" ref="N367" si="26">SUM(N362:N366)</f>
        <v>368</v>
      </c>
      <c r="O367" s="249">
        <f t="shared" ref="O367" si="27">SUM(O362:O366)</f>
        <v>355</v>
      </c>
      <c r="P367" s="543"/>
      <c r="Q367" s="543"/>
      <c r="R367" s="543"/>
      <c r="S367" s="543"/>
      <c r="T367" s="543"/>
      <c r="U367" s="543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</row>
    <row r="368" spans="1:67" s="35" customFormat="1" ht="35.1" customHeight="1">
      <c r="A368" s="1241"/>
      <c r="B368" s="1354"/>
      <c r="C368" s="1669"/>
      <c r="D368" s="1670" t="s">
        <v>582</v>
      </c>
      <c r="E368" s="1670"/>
      <c r="F368" s="1670"/>
      <c r="G368" s="1369" t="s">
        <v>582</v>
      </c>
      <c r="H368" s="1369"/>
      <c r="I368" s="1369"/>
      <c r="J368" s="1395" t="s">
        <v>11</v>
      </c>
      <c r="K368" s="1395" t="s">
        <v>12</v>
      </c>
      <c r="L368" s="170">
        <v>74</v>
      </c>
      <c r="M368" s="308">
        <v>64</v>
      </c>
      <c r="N368" s="336">
        <v>32</v>
      </c>
      <c r="O368" s="336">
        <v>19</v>
      </c>
      <c r="P368" s="431"/>
      <c r="Q368" s="431"/>
      <c r="R368" s="431"/>
      <c r="S368" s="431"/>
      <c r="T368" s="431"/>
      <c r="U368" s="43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</row>
    <row r="369" spans="1:67" s="35" customFormat="1" ht="35.1" customHeight="1">
      <c r="A369" s="1241"/>
      <c r="B369" s="1354"/>
      <c r="C369" s="1669"/>
      <c r="D369" s="1670"/>
      <c r="E369" s="1670"/>
      <c r="F369" s="1670"/>
      <c r="G369" s="1369"/>
      <c r="H369" s="1369"/>
      <c r="I369" s="1369"/>
      <c r="J369" s="1395"/>
      <c r="K369" s="1395"/>
      <c r="L369" s="170">
        <v>84</v>
      </c>
      <c r="M369" s="308">
        <v>166</v>
      </c>
      <c r="N369" s="336">
        <v>143</v>
      </c>
      <c r="O369" s="336">
        <v>138</v>
      </c>
      <c r="P369" s="431"/>
      <c r="Q369" s="431"/>
      <c r="R369" s="431"/>
      <c r="S369" s="431"/>
      <c r="T369" s="431"/>
      <c r="U369" s="43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</row>
    <row r="370" spans="1:67" s="35" customFormat="1" ht="35.1" customHeight="1">
      <c r="A370" s="1241"/>
      <c r="B370" s="1354"/>
      <c r="C370" s="1669"/>
      <c r="D370" s="1670"/>
      <c r="E370" s="1670"/>
      <c r="F370" s="1670"/>
      <c r="G370" s="1369"/>
      <c r="H370" s="1369"/>
      <c r="I370" s="1369"/>
      <c r="J370" s="1395"/>
      <c r="K370" s="1395"/>
      <c r="L370" s="170">
        <v>115</v>
      </c>
      <c r="M370" s="308">
        <v>91</v>
      </c>
      <c r="N370" s="336">
        <v>81</v>
      </c>
      <c r="O370" s="336">
        <v>80</v>
      </c>
      <c r="P370" s="431"/>
      <c r="Q370" s="431"/>
      <c r="R370" s="431"/>
      <c r="S370" s="431"/>
      <c r="T370" s="431"/>
      <c r="U370" s="43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</row>
    <row r="371" spans="1:67" s="35" customFormat="1" ht="35.1" customHeight="1">
      <c r="A371" s="1241"/>
      <c r="B371" s="1354"/>
      <c r="C371" s="1669"/>
      <c r="D371" s="1670"/>
      <c r="E371" s="1670"/>
      <c r="F371" s="1670"/>
      <c r="G371" s="565" t="s">
        <v>329</v>
      </c>
      <c r="H371" s="565"/>
      <c r="I371" s="565"/>
      <c r="J371" s="565"/>
      <c r="K371" s="565"/>
      <c r="L371" s="432"/>
      <c r="M371" s="249">
        <f>SUM(M368:M370)</f>
        <v>321</v>
      </c>
      <c r="N371" s="249">
        <f>SUM(N368:N370)</f>
        <v>256</v>
      </c>
      <c r="O371" s="249">
        <f>SUM(O368:O370)</f>
        <v>237</v>
      </c>
      <c r="P371" s="431"/>
      <c r="Q371" s="431"/>
      <c r="R371" s="431"/>
      <c r="S371" s="431"/>
      <c r="T371" s="431"/>
      <c r="U371" s="43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</row>
    <row r="372" spans="1:67" s="35" customFormat="1" ht="35.1" customHeight="1">
      <c r="A372" s="1241"/>
      <c r="B372" s="1354"/>
      <c r="C372" s="669" t="s">
        <v>54</v>
      </c>
      <c r="D372" s="484" t="s">
        <v>582</v>
      </c>
      <c r="E372" s="485"/>
      <c r="F372" s="486"/>
      <c r="G372" s="569" t="s">
        <v>582</v>
      </c>
      <c r="H372" s="569"/>
      <c r="I372" s="569"/>
      <c r="J372" s="650" t="s">
        <v>11</v>
      </c>
      <c r="K372" s="650" t="s">
        <v>12</v>
      </c>
      <c r="L372" s="441" t="s">
        <v>84</v>
      </c>
      <c r="M372" s="308">
        <v>181</v>
      </c>
      <c r="N372" s="308">
        <v>64</v>
      </c>
      <c r="O372" s="308">
        <v>26</v>
      </c>
      <c r="P372" s="437"/>
      <c r="Q372" s="437"/>
      <c r="R372" s="437"/>
      <c r="S372" s="437"/>
      <c r="T372" s="437"/>
      <c r="U372" s="436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</row>
    <row r="373" spans="1:67" s="35" customFormat="1" ht="35.1" customHeight="1">
      <c r="A373" s="1241"/>
      <c r="B373" s="1354"/>
      <c r="C373" s="669"/>
      <c r="D373" s="487"/>
      <c r="E373" s="488"/>
      <c r="F373" s="489"/>
      <c r="G373" s="569"/>
      <c r="H373" s="569"/>
      <c r="I373" s="569"/>
      <c r="J373" s="650"/>
      <c r="K373" s="650"/>
      <c r="L373" s="441" t="s">
        <v>83</v>
      </c>
      <c r="M373" s="308">
        <v>147</v>
      </c>
      <c r="N373" s="308">
        <v>121</v>
      </c>
      <c r="O373" s="308">
        <v>113</v>
      </c>
      <c r="P373" s="437"/>
      <c r="Q373" s="437"/>
      <c r="R373" s="437"/>
      <c r="S373" s="437"/>
      <c r="T373" s="437"/>
      <c r="U373" s="436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</row>
    <row r="374" spans="1:67" s="35" customFormat="1" ht="35.1" customHeight="1">
      <c r="A374" s="1241"/>
      <c r="B374" s="1354"/>
      <c r="C374" s="669"/>
      <c r="D374" s="487"/>
      <c r="E374" s="488"/>
      <c r="F374" s="489"/>
      <c r="G374" s="569"/>
      <c r="H374" s="569"/>
      <c r="I374" s="569"/>
      <c r="J374" s="650"/>
      <c r="K374" s="650"/>
      <c r="L374" s="441" t="s">
        <v>82</v>
      </c>
      <c r="M374" s="308">
        <v>97</v>
      </c>
      <c r="N374" s="308">
        <v>31</v>
      </c>
      <c r="O374" s="308">
        <v>20</v>
      </c>
      <c r="P374" s="437"/>
      <c r="Q374" s="437"/>
      <c r="R374" s="437"/>
      <c r="S374" s="437"/>
      <c r="T374" s="437"/>
      <c r="U374" s="436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</row>
    <row r="375" spans="1:67" s="35" customFormat="1" ht="35.1" customHeight="1">
      <c r="A375" s="1241"/>
      <c r="B375" s="1354"/>
      <c r="C375" s="669"/>
      <c r="D375" s="487"/>
      <c r="E375" s="488"/>
      <c r="F375" s="489"/>
      <c r="G375" s="569"/>
      <c r="H375" s="569"/>
      <c r="I375" s="569"/>
      <c r="J375" s="650"/>
      <c r="K375" s="650"/>
      <c r="L375" s="441">
        <v>101</v>
      </c>
      <c r="M375" s="308">
        <v>245</v>
      </c>
      <c r="N375" s="308">
        <v>222</v>
      </c>
      <c r="O375" s="308">
        <v>215</v>
      </c>
      <c r="P375" s="437"/>
      <c r="Q375" s="437"/>
      <c r="R375" s="437"/>
      <c r="S375" s="437"/>
      <c r="T375" s="437"/>
      <c r="U375" s="436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</row>
    <row r="376" spans="1:67" s="35" customFormat="1" ht="35.1" customHeight="1">
      <c r="A376" s="1241"/>
      <c r="B376" s="1354"/>
      <c r="C376" s="669"/>
      <c r="D376" s="490"/>
      <c r="E376" s="491"/>
      <c r="F376" s="492"/>
      <c r="G376" s="565" t="s">
        <v>329</v>
      </c>
      <c r="H376" s="565"/>
      <c r="I376" s="565"/>
      <c r="J376" s="565"/>
      <c r="K376" s="565"/>
      <c r="L376" s="432"/>
      <c r="M376" s="249">
        <f>SUM(M372:M375)</f>
        <v>670</v>
      </c>
      <c r="N376" s="249">
        <f t="shared" ref="N376:O376" si="28">SUM(N372:N375)</f>
        <v>438</v>
      </c>
      <c r="O376" s="249">
        <f t="shared" si="28"/>
        <v>374</v>
      </c>
      <c r="P376" s="437"/>
      <c r="Q376" s="437"/>
      <c r="R376" s="437"/>
      <c r="S376" s="437"/>
      <c r="T376" s="437"/>
      <c r="U376" s="436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</row>
    <row r="377" spans="1:67" s="35" customFormat="1" ht="35.1" customHeight="1">
      <c r="A377" s="1241"/>
      <c r="B377" s="1354"/>
      <c r="C377" s="669" t="s">
        <v>54</v>
      </c>
      <c r="D377" s="484" t="s">
        <v>582</v>
      </c>
      <c r="E377" s="485"/>
      <c r="F377" s="486"/>
      <c r="G377" s="569" t="s">
        <v>582</v>
      </c>
      <c r="H377" s="569"/>
      <c r="I377" s="569"/>
      <c r="J377" s="650" t="s">
        <v>11</v>
      </c>
      <c r="K377" s="650" t="s">
        <v>12</v>
      </c>
      <c r="L377" s="441" t="s">
        <v>84</v>
      </c>
      <c r="M377" s="308">
        <v>123</v>
      </c>
      <c r="N377" s="308">
        <v>95</v>
      </c>
      <c r="O377" s="308">
        <v>83</v>
      </c>
      <c r="P377" s="437"/>
      <c r="Q377" s="437"/>
      <c r="R377" s="437"/>
      <c r="S377" s="437"/>
      <c r="T377" s="437"/>
      <c r="U377" s="436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</row>
    <row r="378" spans="1:67" s="35" customFormat="1" ht="35.1" customHeight="1">
      <c r="A378" s="1241"/>
      <c r="B378" s="1354"/>
      <c r="C378" s="669"/>
      <c r="D378" s="487"/>
      <c r="E378" s="488"/>
      <c r="F378" s="489"/>
      <c r="G378" s="569"/>
      <c r="H378" s="569"/>
      <c r="I378" s="569"/>
      <c r="J378" s="650"/>
      <c r="K378" s="650"/>
      <c r="L378" s="441" t="s">
        <v>83</v>
      </c>
      <c r="M378" s="308">
        <v>105</v>
      </c>
      <c r="N378" s="308">
        <v>85</v>
      </c>
      <c r="O378" s="308">
        <v>85</v>
      </c>
      <c r="P378" s="437"/>
      <c r="Q378" s="437"/>
      <c r="R378" s="437"/>
      <c r="S378" s="437"/>
      <c r="T378" s="437"/>
      <c r="U378" s="436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</row>
    <row r="379" spans="1:67" s="35" customFormat="1" ht="35.1" customHeight="1">
      <c r="A379" s="1241"/>
      <c r="B379" s="1354"/>
      <c r="C379" s="669"/>
      <c r="D379" s="487"/>
      <c r="E379" s="488"/>
      <c r="F379" s="489"/>
      <c r="G379" s="569"/>
      <c r="H379" s="569"/>
      <c r="I379" s="569"/>
      <c r="J379" s="650"/>
      <c r="K379" s="650"/>
      <c r="L379" s="441" t="s">
        <v>82</v>
      </c>
      <c r="M379" s="308">
        <v>61</v>
      </c>
      <c r="N379" s="308">
        <v>50</v>
      </c>
      <c r="O379" s="308">
        <v>43</v>
      </c>
      <c r="P379" s="437"/>
      <c r="Q379" s="437"/>
      <c r="R379" s="437"/>
      <c r="S379" s="437"/>
      <c r="T379" s="437"/>
      <c r="U379" s="436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</row>
    <row r="380" spans="1:67" s="35" customFormat="1" ht="35.1" customHeight="1">
      <c r="A380" s="1241"/>
      <c r="B380" s="1354"/>
      <c r="C380" s="669"/>
      <c r="D380" s="487"/>
      <c r="E380" s="488"/>
      <c r="F380" s="489"/>
      <c r="G380" s="569"/>
      <c r="H380" s="569"/>
      <c r="I380" s="569"/>
      <c r="J380" s="650"/>
      <c r="K380" s="650"/>
      <c r="L380" s="441">
        <v>101</v>
      </c>
      <c r="M380" s="308">
        <v>167</v>
      </c>
      <c r="N380" s="308">
        <v>150</v>
      </c>
      <c r="O380" s="308">
        <v>147</v>
      </c>
      <c r="P380" s="437"/>
      <c r="Q380" s="437"/>
      <c r="R380" s="437"/>
      <c r="S380" s="437"/>
      <c r="T380" s="437"/>
      <c r="U380" s="436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</row>
    <row r="381" spans="1:67" s="35" customFormat="1" ht="35.1" customHeight="1">
      <c r="A381" s="1241"/>
      <c r="B381" s="1354"/>
      <c r="C381" s="669"/>
      <c r="D381" s="490"/>
      <c r="E381" s="491"/>
      <c r="F381" s="492"/>
      <c r="G381" s="565" t="s">
        <v>329</v>
      </c>
      <c r="H381" s="565"/>
      <c r="I381" s="565"/>
      <c r="J381" s="565"/>
      <c r="K381" s="565"/>
      <c r="L381" s="432"/>
      <c r="M381" s="249">
        <f>SUM(M377:M380)</f>
        <v>456</v>
      </c>
      <c r="N381" s="249">
        <f t="shared" ref="N381:O381" si="29">SUM(N377:N380)</f>
        <v>380</v>
      </c>
      <c r="O381" s="249">
        <f t="shared" si="29"/>
        <v>358</v>
      </c>
      <c r="P381" s="437"/>
      <c r="Q381" s="437"/>
      <c r="R381" s="437"/>
      <c r="S381" s="437"/>
      <c r="T381" s="437"/>
      <c r="U381" s="436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</row>
    <row r="382" spans="1:67" s="35" customFormat="1" ht="35.1" customHeight="1">
      <c r="A382" s="1241"/>
      <c r="B382" s="1354"/>
      <c r="C382" s="1671" t="s">
        <v>1118</v>
      </c>
      <c r="D382" s="484" t="s">
        <v>582</v>
      </c>
      <c r="E382" s="485"/>
      <c r="F382" s="486"/>
      <c r="G382" s="569" t="s">
        <v>582</v>
      </c>
      <c r="H382" s="569"/>
      <c r="I382" s="569"/>
      <c r="J382" s="1672" t="s">
        <v>11</v>
      </c>
      <c r="K382" s="1672" t="s">
        <v>12</v>
      </c>
      <c r="L382" s="441" t="s">
        <v>84</v>
      </c>
      <c r="M382" s="308">
        <v>107</v>
      </c>
      <c r="N382" s="308">
        <v>91</v>
      </c>
      <c r="O382" s="308">
        <v>86</v>
      </c>
      <c r="P382" s="443"/>
      <c r="Q382" s="443"/>
      <c r="R382" s="443"/>
      <c r="S382" s="443"/>
      <c r="T382" s="443"/>
      <c r="U382" s="442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</row>
    <row r="383" spans="1:67" s="35" customFormat="1" ht="35.1" customHeight="1">
      <c r="A383" s="1241"/>
      <c r="B383" s="1354"/>
      <c r="C383" s="1671"/>
      <c r="D383" s="487"/>
      <c r="E383" s="488"/>
      <c r="F383" s="489"/>
      <c r="G383" s="569"/>
      <c r="H383" s="569"/>
      <c r="I383" s="569"/>
      <c r="J383" s="1672"/>
      <c r="K383" s="1672"/>
      <c r="L383" s="441" t="s">
        <v>83</v>
      </c>
      <c r="M383" s="308">
        <v>90</v>
      </c>
      <c r="N383" s="308">
        <v>89</v>
      </c>
      <c r="O383" s="308">
        <v>88</v>
      </c>
      <c r="P383" s="443"/>
      <c r="Q383" s="443"/>
      <c r="R383" s="443"/>
      <c r="S383" s="443"/>
      <c r="T383" s="443"/>
      <c r="U383" s="442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</row>
    <row r="384" spans="1:67" s="35" customFormat="1" ht="35.1" customHeight="1">
      <c r="A384" s="1241"/>
      <c r="B384" s="1354"/>
      <c r="C384" s="1671"/>
      <c r="D384" s="487"/>
      <c r="E384" s="488"/>
      <c r="F384" s="489"/>
      <c r="G384" s="569"/>
      <c r="H384" s="569"/>
      <c r="I384" s="569"/>
      <c r="J384" s="1672"/>
      <c r="K384" s="1672"/>
      <c r="L384" s="441" t="s">
        <v>82</v>
      </c>
      <c r="M384" s="308">
        <v>59</v>
      </c>
      <c r="N384" s="308">
        <v>54</v>
      </c>
      <c r="O384" s="308">
        <v>51</v>
      </c>
      <c r="P384" s="443"/>
      <c r="Q384" s="443"/>
      <c r="R384" s="443"/>
      <c r="S384" s="443"/>
      <c r="T384" s="443"/>
      <c r="U384" s="442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</row>
    <row r="385" spans="1:1892" s="35" customFormat="1" ht="35.1" customHeight="1">
      <c r="A385" s="1241"/>
      <c r="B385" s="1354"/>
      <c r="C385" s="1671"/>
      <c r="D385" s="487"/>
      <c r="E385" s="488"/>
      <c r="F385" s="489"/>
      <c r="G385" s="569"/>
      <c r="H385" s="569"/>
      <c r="I385" s="569"/>
      <c r="J385" s="1672"/>
      <c r="K385" s="1672"/>
      <c r="L385" s="441">
        <v>101</v>
      </c>
      <c r="M385" s="308">
        <v>147</v>
      </c>
      <c r="N385" s="308">
        <v>145</v>
      </c>
      <c r="O385" s="308">
        <v>144</v>
      </c>
      <c r="P385" s="443"/>
      <c r="Q385" s="443"/>
      <c r="R385" s="443"/>
      <c r="S385" s="443"/>
      <c r="T385" s="443"/>
      <c r="U385" s="442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</row>
    <row r="386" spans="1:1892" s="35" customFormat="1" ht="35.1" customHeight="1">
      <c r="A386" s="1241"/>
      <c r="B386" s="1355"/>
      <c r="C386" s="1671"/>
      <c r="D386" s="490"/>
      <c r="E386" s="491"/>
      <c r="F386" s="492"/>
      <c r="G386" s="565" t="s">
        <v>329</v>
      </c>
      <c r="H386" s="565"/>
      <c r="I386" s="565"/>
      <c r="J386" s="565"/>
      <c r="K386" s="565"/>
      <c r="L386" s="432"/>
      <c r="M386" s="249">
        <f>SUM(M382:M385)</f>
        <v>403</v>
      </c>
      <c r="N386" s="249">
        <f t="shared" ref="N386" si="30">SUM(N382:N385)</f>
        <v>379</v>
      </c>
      <c r="O386" s="249">
        <f t="shared" ref="O386" si="31">SUM(O382:O385)</f>
        <v>369</v>
      </c>
      <c r="P386" s="443"/>
      <c r="Q386" s="443"/>
      <c r="R386" s="443"/>
      <c r="S386" s="443"/>
      <c r="T386" s="443"/>
      <c r="U386" s="442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</row>
    <row r="387" spans="1:1892" s="16" customFormat="1" ht="35.1" customHeight="1">
      <c r="A387" s="1241"/>
      <c r="B387" s="171" t="s">
        <v>105</v>
      </c>
      <c r="C387" s="424"/>
      <c r="D387" s="424"/>
      <c r="E387" s="424"/>
      <c r="F387" s="424"/>
      <c r="G387" s="424"/>
      <c r="H387" s="424"/>
      <c r="I387" s="424"/>
      <c r="J387" s="424"/>
      <c r="K387" s="425"/>
      <c r="L387" s="426"/>
      <c r="M387" s="427">
        <f t="shared" ref="M387" si="32">M286+M292+M296+M302+M307+M311+M316+M319+M326+M330+M333+M344+M348+M355+M361+M367+M371+M376+M381+M386</f>
        <v>19805</v>
      </c>
      <c r="N387" s="427">
        <f>N286+N292+N296+N302+N307+N311+N316+N319+N326+N330+N333+N344+N348+N355+N361+N367+N371+N376+N381+N386</f>
        <v>3608</v>
      </c>
      <c r="O387" s="427">
        <f>O286+O292+O296+O302+O307+O311+O316+O319+O326+O330+O333+O344+O348+O355+O361+O367+O371+O376+O381+O386</f>
        <v>3358</v>
      </c>
      <c r="P387" s="428"/>
      <c r="Q387" s="428"/>
      <c r="R387" s="428"/>
      <c r="S387" s="429"/>
      <c r="T387" s="430"/>
      <c r="U387" s="218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  <c r="BU387" s="11"/>
      <c r="BV387" s="11"/>
      <c r="BW387" s="11"/>
      <c r="BX387" s="11"/>
      <c r="BY387" s="11"/>
      <c r="BZ387" s="11"/>
      <c r="CA387" s="11"/>
      <c r="CB387" s="11"/>
      <c r="CC387" s="11"/>
      <c r="CD387" s="11"/>
      <c r="CE387" s="11"/>
      <c r="CF387" s="11"/>
      <c r="CG387" s="11"/>
      <c r="CH387" s="11"/>
      <c r="CI387" s="11"/>
      <c r="CJ387" s="11"/>
      <c r="CK387" s="11"/>
      <c r="CL387" s="11"/>
      <c r="CM387" s="11"/>
      <c r="CN387" s="11"/>
      <c r="CO387" s="11"/>
      <c r="CP387" s="11"/>
      <c r="CQ387" s="11"/>
      <c r="CR387" s="11"/>
      <c r="CS387" s="11"/>
      <c r="CT387" s="11"/>
      <c r="CU387" s="11"/>
      <c r="CV387" s="11"/>
      <c r="CW387" s="11"/>
      <c r="CX387" s="11"/>
      <c r="CY387" s="11"/>
      <c r="CZ387" s="11"/>
      <c r="DA387" s="11"/>
      <c r="DB387" s="11"/>
      <c r="DC387" s="11"/>
      <c r="DD387" s="11"/>
      <c r="DE387" s="11"/>
      <c r="DF387" s="11"/>
      <c r="DG387" s="11"/>
      <c r="DH387" s="11"/>
      <c r="DI387" s="11"/>
      <c r="DJ387" s="11"/>
      <c r="DK387" s="11"/>
      <c r="DL387" s="11"/>
      <c r="DM387" s="11"/>
      <c r="DN387" s="11"/>
      <c r="DO387" s="11"/>
      <c r="DP387" s="11"/>
      <c r="DQ387" s="11"/>
      <c r="DR387" s="11"/>
      <c r="DS387" s="11"/>
      <c r="DT387" s="11"/>
      <c r="DU387" s="11"/>
      <c r="DV387" s="11"/>
      <c r="DW387" s="11"/>
      <c r="DX387" s="11"/>
      <c r="DY387" s="11"/>
      <c r="DZ387" s="11"/>
      <c r="EA387" s="11"/>
      <c r="EB387" s="11"/>
      <c r="EC387" s="11"/>
      <c r="ED387" s="11"/>
      <c r="EE387" s="11"/>
      <c r="EF387" s="11"/>
      <c r="EG387" s="11"/>
      <c r="EH387" s="11"/>
      <c r="EI387" s="11"/>
      <c r="EJ387" s="11"/>
      <c r="EK387" s="11"/>
      <c r="EL387" s="11"/>
      <c r="EM387" s="11"/>
      <c r="EN387" s="11"/>
      <c r="EO387" s="11"/>
      <c r="EP387" s="11"/>
      <c r="EQ387" s="11"/>
      <c r="ER387" s="11"/>
      <c r="ES387" s="11"/>
      <c r="ET387" s="11"/>
      <c r="EU387" s="11"/>
      <c r="EV387" s="11"/>
      <c r="EW387" s="11"/>
      <c r="EX387" s="11"/>
      <c r="EY387" s="11"/>
      <c r="EZ387" s="11"/>
      <c r="FA387" s="11"/>
      <c r="FB387" s="11"/>
      <c r="FC387" s="11"/>
      <c r="FD387" s="11"/>
      <c r="FE387" s="11"/>
      <c r="FF387" s="11"/>
      <c r="FG387" s="11"/>
      <c r="FH387" s="11"/>
      <c r="FI387" s="11"/>
      <c r="FJ387" s="11"/>
      <c r="FK387" s="11"/>
      <c r="FL387" s="11"/>
      <c r="FM387" s="11"/>
      <c r="FN387" s="11"/>
      <c r="FO387" s="11"/>
      <c r="FP387" s="11"/>
      <c r="FQ387" s="11"/>
      <c r="FR387" s="11"/>
      <c r="FS387" s="11"/>
      <c r="FT387" s="11"/>
      <c r="FU387" s="11"/>
      <c r="FV387" s="11"/>
      <c r="FW387" s="11"/>
      <c r="FX387" s="11"/>
      <c r="FY387" s="11"/>
      <c r="FZ387" s="11"/>
      <c r="GA387" s="11"/>
      <c r="GB387" s="11"/>
      <c r="GC387" s="11"/>
      <c r="GD387" s="11"/>
      <c r="GE387" s="11"/>
      <c r="GF387" s="11"/>
      <c r="GG387" s="11"/>
      <c r="GH387" s="11"/>
      <c r="GI387" s="11"/>
      <c r="GJ387" s="11"/>
      <c r="GK387" s="11"/>
      <c r="GL387" s="11"/>
      <c r="GM387" s="11"/>
      <c r="GN387" s="11"/>
      <c r="GO387" s="11"/>
      <c r="GP387" s="11"/>
      <c r="GQ387" s="11"/>
      <c r="GR387" s="11"/>
      <c r="GS387" s="11"/>
      <c r="GT387" s="11"/>
      <c r="GU387" s="11"/>
      <c r="GV387" s="11"/>
      <c r="GW387" s="11"/>
      <c r="GX387" s="11"/>
      <c r="GY387" s="11"/>
      <c r="GZ387" s="11"/>
      <c r="HA387" s="11"/>
      <c r="HB387" s="11"/>
      <c r="HC387" s="11"/>
      <c r="HD387" s="11"/>
      <c r="HE387" s="11"/>
      <c r="HF387" s="11"/>
      <c r="HG387" s="11"/>
      <c r="HH387" s="11"/>
      <c r="HI387" s="11"/>
      <c r="HJ387" s="11"/>
      <c r="HK387" s="11"/>
      <c r="HL387" s="11"/>
      <c r="HM387" s="11"/>
      <c r="HN387" s="11"/>
      <c r="HO387" s="11"/>
      <c r="HP387" s="11"/>
      <c r="HQ387" s="11"/>
      <c r="HR387" s="11"/>
      <c r="HS387" s="11"/>
      <c r="HT387" s="11"/>
      <c r="HU387" s="11"/>
      <c r="HV387" s="11"/>
      <c r="HW387" s="11"/>
      <c r="HX387" s="11"/>
      <c r="HY387" s="11"/>
      <c r="HZ387" s="11"/>
      <c r="IA387" s="11"/>
      <c r="IB387" s="11"/>
      <c r="IC387" s="11"/>
      <c r="ID387" s="11"/>
      <c r="IE387" s="11"/>
      <c r="IF387" s="11"/>
      <c r="IG387" s="11"/>
      <c r="IH387" s="11"/>
      <c r="II387" s="11"/>
      <c r="IJ387" s="11"/>
      <c r="IK387" s="11"/>
      <c r="IL387" s="11"/>
      <c r="IM387" s="11"/>
      <c r="IN387" s="11"/>
      <c r="IO387" s="11"/>
      <c r="IP387" s="11"/>
      <c r="IQ387" s="11"/>
      <c r="IR387" s="11"/>
      <c r="IS387" s="11"/>
      <c r="IT387" s="11"/>
      <c r="IU387" s="11"/>
      <c r="IV387" s="11"/>
      <c r="IW387" s="11"/>
      <c r="IX387" s="11"/>
      <c r="IY387" s="11"/>
      <c r="IZ387" s="11"/>
      <c r="JA387" s="11"/>
      <c r="JB387" s="11"/>
      <c r="JC387" s="11"/>
      <c r="JD387" s="11"/>
      <c r="JE387" s="11"/>
      <c r="JF387" s="11"/>
      <c r="JG387" s="11"/>
      <c r="JH387" s="11"/>
      <c r="JI387" s="11"/>
      <c r="JJ387" s="11"/>
      <c r="JK387" s="11"/>
      <c r="JL387" s="11"/>
      <c r="JM387" s="11"/>
      <c r="JN387" s="11"/>
      <c r="JO387" s="11"/>
      <c r="JP387" s="11"/>
      <c r="JQ387" s="11"/>
      <c r="JR387" s="11"/>
      <c r="JS387" s="11"/>
      <c r="JT387" s="11"/>
      <c r="JU387" s="11"/>
      <c r="JV387" s="11"/>
      <c r="JW387" s="11"/>
      <c r="JX387" s="11"/>
      <c r="JY387" s="11"/>
      <c r="JZ387" s="11"/>
      <c r="KA387" s="11"/>
      <c r="KB387" s="11"/>
      <c r="KC387" s="11"/>
      <c r="KD387" s="11"/>
      <c r="KE387" s="11"/>
      <c r="KF387" s="11"/>
      <c r="KG387" s="11"/>
      <c r="KH387" s="11"/>
      <c r="KI387" s="11"/>
      <c r="KJ387" s="11"/>
      <c r="KK387" s="11"/>
      <c r="KL387" s="11"/>
      <c r="KM387" s="11"/>
      <c r="KN387" s="11"/>
      <c r="KO387" s="11"/>
      <c r="KP387" s="11"/>
      <c r="KQ387" s="11"/>
      <c r="KR387" s="11"/>
      <c r="KS387" s="11"/>
      <c r="KT387" s="11"/>
      <c r="KU387" s="11"/>
      <c r="KV387" s="11"/>
      <c r="KW387" s="11"/>
      <c r="KX387" s="11"/>
      <c r="KY387" s="11"/>
      <c r="KZ387" s="11"/>
      <c r="LA387" s="11"/>
      <c r="LB387" s="11"/>
      <c r="LC387" s="11"/>
      <c r="LD387" s="11"/>
      <c r="LE387" s="11"/>
      <c r="LF387" s="11"/>
      <c r="LG387" s="11"/>
      <c r="LH387" s="11"/>
      <c r="LI387" s="11"/>
      <c r="LJ387" s="11"/>
      <c r="LK387" s="11"/>
      <c r="LL387" s="11"/>
      <c r="LM387" s="11"/>
      <c r="LN387" s="11"/>
      <c r="LO387" s="11"/>
      <c r="LP387" s="11"/>
      <c r="LQ387" s="11"/>
      <c r="LR387" s="11"/>
      <c r="LS387" s="11"/>
      <c r="LT387" s="11"/>
      <c r="LU387" s="11"/>
      <c r="LV387" s="11"/>
      <c r="LW387" s="11"/>
      <c r="LX387" s="11"/>
      <c r="LY387" s="11"/>
      <c r="LZ387" s="11"/>
      <c r="MA387" s="11"/>
      <c r="MB387" s="11"/>
      <c r="MC387" s="11"/>
      <c r="MD387" s="11"/>
      <c r="ME387" s="11"/>
      <c r="MF387" s="11"/>
      <c r="MG387" s="11"/>
      <c r="MH387" s="11"/>
      <c r="MI387" s="11"/>
      <c r="MJ387" s="11"/>
      <c r="MK387" s="11"/>
      <c r="ML387" s="11"/>
      <c r="MM387" s="11"/>
      <c r="MN387" s="11"/>
      <c r="MO387" s="11"/>
      <c r="MP387" s="11"/>
      <c r="MQ387" s="11"/>
      <c r="MR387" s="11"/>
      <c r="MS387" s="11"/>
      <c r="MT387" s="11"/>
      <c r="MU387" s="11"/>
      <c r="MV387" s="11"/>
      <c r="MW387" s="11"/>
      <c r="MX387" s="11"/>
      <c r="MY387" s="11"/>
      <c r="MZ387" s="11"/>
      <c r="NA387" s="11"/>
      <c r="NB387" s="11"/>
      <c r="NC387" s="11"/>
      <c r="ND387" s="11"/>
      <c r="NE387" s="11"/>
      <c r="NF387" s="11"/>
      <c r="NG387" s="11"/>
      <c r="NH387" s="11"/>
      <c r="NI387" s="11"/>
      <c r="NJ387" s="11"/>
      <c r="NK387" s="11"/>
      <c r="NL387" s="11"/>
      <c r="NM387" s="11"/>
      <c r="NN387" s="11"/>
      <c r="NO387" s="11"/>
      <c r="NP387" s="11"/>
      <c r="NQ387" s="11"/>
      <c r="NR387" s="11"/>
      <c r="NS387" s="11"/>
      <c r="NT387" s="11"/>
      <c r="NU387" s="11"/>
      <c r="NV387" s="11"/>
      <c r="NW387" s="11"/>
      <c r="NX387" s="11"/>
      <c r="NY387" s="11"/>
      <c r="NZ387" s="11"/>
      <c r="OA387" s="11"/>
      <c r="OB387" s="11"/>
      <c r="OC387" s="11"/>
      <c r="OD387" s="11"/>
      <c r="OE387" s="11"/>
      <c r="OF387" s="11"/>
      <c r="OG387" s="11"/>
      <c r="OH387" s="11"/>
      <c r="OI387" s="11"/>
      <c r="OJ387" s="11"/>
      <c r="OK387" s="11"/>
      <c r="OL387" s="11"/>
      <c r="OM387" s="11"/>
      <c r="ON387" s="11"/>
      <c r="OO387" s="11"/>
      <c r="OP387" s="11"/>
      <c r="OQ387" s="11"/>
      <c r="OR387" s="11"/>
      <c r="OS387" s="11"/>
      <c r="OT387" s="11"/>
      <c r="OU387" s="11"/>
      <c r="OV387" s="11"/>
      <c r="OW387" s="11"/>
      <c r="OX387" s="11"/>
      <c r="OY387" s="11"/>
      <c r="OZ387" s="11"/>
      <c r="PA387" s="11"/>
      <c r="PB387" s="11"/>
      <c r="PC387" s="11"/>
      <c r="PD387" s="11"/>
      <c r="PE387" s="11"/>
      <c r="PF387" s="11"/>
      <c r="PG387" s="11"/>
      <c r="PH387" s="11"/>
      <c r="PI387" s="11"/>
      <c r="PJ387" s="11"/>
      <c r="PK387" s="11"/>
      <c r="PL387" s="11"/>
      <c r="PM387" s="11"/>
      <c r="PN387" s="11"/>
      <c r="PO387" s="11"/>
      <c r="PP387" s="11"/>
      <c r="PQ387" s="11"/>
      <c r="PR387" s="11"/>
      <c r="PS387" s="11"/>
      <c r="PT387" s="11"/>
      <c r="PU387" s="11"/>
      <c r="PV387" s="11"/>
      <c r="PW387" s="11"/>
      <c r="PX387" s="11"/>
      <c r="PY387" s="11"/>
      <c r="PZ387" s="11"/>
      <c r="QA387" s="11"/>
      <c r="QB387" s="11"/>
      <c r="QC387" s="11"/>
      <c r="QD387" s="11"/>
      <c r="QE387" s="11"/>
      <c r="QF387" s="11"/>
      <c r="QG387" s="11"/>
      <c r="QH387" s="11"/>
      <c r="QI387" s="11"/>
      <c r="QJ387" s="11"/>
      <c r="QK387" s="11"/>
      <c r="QL387" s="11"/>
      <c r="QM387" s="11"/>
      <c r="QN387" s="11"/>
      <c r="QO387" s="11"/>
      <c r="QP387" s="11"/>
      <c r="QQ387" s="11"/>
      <c r="QR387" s="11"/>
      <c r="QS387" s="11"/>
      <c r="QT387" s="11"/>
      <c r="QU387" s="11"/>
      <c r="QV387" s="11"/>
      <c r="QW387" s="11"/>
      <c r="QX387" s="11"/>
      <c r="QY387" s="11"/>
      <c r="QZ387" s="11"/>
      <c r="RA387" s="11"/>
      <c r="RB387" s="11"/>
      <c r="RC387" s="11"/>
      <c r="RD387" s="11"/>
      <c r="RE387" s="11"/>
      <c r="RF387" s="11"/>
      <c r="RG387" s="11"/>
      <c r="RH387" s="11"/>
      <c r="RI387" s="11"/>
      <c r="RJ387" s="11"/>
      <c r="RK387" s="11"/>
      <c r="RL387" s="11"/>
      <c r="RM387" s="11"/>
      <c r="RN387" s="11"/>
      <c r="RO387" s="11"/>
      <c r="RP387" s="11"/>
      <c r="RQ387" s="11"/>
      <c r="RR387" s="11"/>
      <c r="RS387" s="11"/>
      <c r="RT387" s="11"/>
      <c r="RU387" s="11"/>
      <c r="RV387" s="11"/>
      <c r="RW387" s="11"/>
      <c r="RX387" s="11"/>
      <c r="RY387" s="11"/>
      <c r="RZ387" s="11"/>
      <c r="SA387" s="11"/>
      <c r="SB387" s="11"/>
      <c r="SC387" s="11"/>
      <c r="SD387" s="11"/>
      <c r="SE387" s="11"/>
      <c r="SF387" s="11"/>
      <c r="SG387" s="11"/>
      <c r="SH387" s="11"/>
      <c r="SI387" s="11"/>
      <c r="SJ387" s="11"/>
      <c r="SK387" s="11"/>
      <c r="SL387" s="11"/>
      <c r="SM387" s="11"/>
      <c r="SN387" s="11"/>
      <c r="SO387" s="11"/>
      <c r="SP387" s="11"/>
      <c r="SQ387" s="11"/>
      <c r="SR387" s="11"/>
      <c r="SS387" s="11"/>
      <c r="ST387" s="11"/>
      <c r="SU387" s="11"/>
      <c r="SV387" s="11"/>
      <c r="SW387" s="11"/>
      <c r="SX387" s="11"/>
      <c r="SY387" s="11"/>
      <c r="SZ387" s="11"/>
      <c r="TA387" s="11"/>
      <c r="TB387" s="11"/>
      <c r="TC387" s="11"/>
      <c r="TD387" s="11"/>
      <c r="TE387" s="11"/>
      <c r="TF387" s="11"/>
      <c r="TG387" s="11"/>
      <c r="TH387" s="11"/>
      <c r="TI387" s="11"/>
      <c r="TJ387" s="11"/>
      <c r="TK387" s="11"/>
      <c r="TL387" s="11"/>
      <c r="TM387" s="11"/>
      <c r="TN387" s="11"/>
      <c r="TO387" s="11"/>
      <c r="TP387" s="11"/>
      <c r="TQ387" s="11"/>
      <c r="TR387" s="11"/>
      <c r="TS387" s="11"/>
      <c r="TT387" s="11"/>
      <c r="TU387" s="11"/>
      <c r="TV387" s="11"/>
      <c r="TW387" s="11"/>
      <c r="TX387" s="11"/>
      <c r="TY387" s="11"/>
      <c r="TZ387" s="11"/>
      <c r="UA387" s="11"/>
      <c r="UB387" s="11"/>
      <c r="UC387" s="11"/>
      <c r="UD387" s="11"/>
      <c r="UE387" s="11"/>
      <c r="UF387" s="11"/>
      <c r="UG387" s="11"/>
      <c r="UH387" s="11"/>
      <c r="UI387" s="11"/>
      <c r="UJ387" s="11"/>
      <c r="UK387" s="11"/>
      <c r="UL387" s="11"/>
      <c r="UM387" s="11"/>
      <c r="UN387" s="11"/>
      <c r="UO387" s="11"/>
      <c r="UP387" s="11"/>
      <c r="UQ387" s="11"/>
      <c r="UR387" s="11"/>
      <c r="US387" s="11"/>
      <c r="UT387" s="11"/>
      <c r="UU387" s="11"/>
      <c r="UV387" s="11"/>
      <c r="UW387" s="11"/>
      <c r="UX387" s="11"/>
      <c r="UY387" s="11"/>
      <c r="UZ387" s="11"/>
      <c r="VA387" s="11"/>
      <c r="VB387" s="11"/>
      <c r="VC387" s="11"/>
      <c r="VD387" s="11"/>
      <c r="VE387" s="11"/>
      <c r="VF387" s="11"/>
      <c r="VG387" s="11"/>
      <c r="VH387" s="11"/>
      <c r="VI387" s="11"/>
      <c r="VJ387" s="11"/>
      <c r="VK387" s="11"/>
      <c r="VL387" s="11"/>
      <c r="VM387" s="11"/>
      <c r="VN387" s="11"/>
      <c r="VO387" s="11"/>
      <c r="VP387" s="11"/>
      <c r="VQ387" s="11"/>
      <c r="VR387" s="11"/>
      <c r="VS387" s="11"/>
      <c r="VT387" s="11"/>
      <c r="VU387" s="11"/>
      <c r="VV387" s="11"/>
      <c r="VW387" s="11"/>
      <c r="VX387" s="11"/>
      <c r="VY387" s="11"/>
      <c r="VZ387" s="11"/>
      <c r="WA387" s="11"/>
      <c r="WB387" s="11"/>
      <c r="WC387" s="11"/>
      <c r="WD387" s="11"/>
      <c r="WE387" s="11"/>
      <c r="WF387" s="11"/>
      <c r="WG387" s="11"/>
      <c r="WH387" s="11"/>
      <c r="WI387" s="11"/>
      <c r="WJ387" s="11"/>
      <c r="WK387" s="11"/>
      <c r="WL387" s="11"/>
      <c r="WM387" s="11"/>
      <c r="WN387" s="11"/>
      <c r="WO387" s="11"/>
      <c r="WP387" s="11"/>
      <c r="WQ387" s="11"/>
      <c r="WR387" s="11"/>
      <c r="WS387" s="11"/>
      <c r="WT387" s="11"/>
      <c r="WU387" s="11"/>
      <c r="WV387" s="11"/>
      <c r="WW387" s="11"/>
      <c r="WX387" s="11"/>
      <c r="WY387" s="11"/>
      <c r="WZ387" s="11"/>
      <c r="XA387" s="11"/>
      <c r="XB387" s="11"/>
      <c r="XC387" s="11"/>
      <c r="XD387" s="11"/>
      <c r="XE387" s="11"/>
      <c r="XF387" s="11"/>
      <c r="XG387" s="11"/>
      <c r="XH387" s="11"/>
      <c r="XI387" s="11"/>
      <c r="XJ387" s="11"/>
      <c r="XK387" s="11"/>
      <c r="XL387" s="11"/>
      <c r="XM387" s="11"/>
      <c r="XN387" s="11"/>
      <c r="XO387" s="11"/>
      <c r="XP387" s="11"/>
      <c r="XQ387" s="11"/>
      <c r="XR387" s="11"/>
      <c r="XS387" s="11"/>
      <c r="XT387" s="11"/>
      <c r="XU387" s="11"/>
      <c r="XV387" s="11"/>
      <c r="XW387" s="11"/>
      <c r="XX387" s="11"/>
      <c r="XY387" s="11"/>
      <c r="XZ387" s="11"/>
      <c r="YA387" s="11"/>
      <c r="YB387" s="11"/>
      <c r="YC387" s="11"/>
      <c r="YD387" s="11"/>
      <c r="YE387" s="11"/>
      <c r="YF387" s="11"/>
      <c r="YG387" s="11"/>
      <c r="YH387" s="11"/>
      <c r="YI387" s="11"/>
      <c r="YJ387" s="11"/>
      <c r="YK387" s="11"/>
      <c r="YL387" s="11"/>
      <c r="YM387" s="11"/>
      <c r="YN387" s="11"/>
      <c r="YO387" s="11"/>
      <c r="YP387" s="11"/>
      <c r="YQ387" s="11"/>
      <c r="YR387" s="11"/>
      <c r="YS387" s="11"/>
      <c r="YT387" s="11"/>
      <c r="YU387" s="11"/>
      <c r="YV387" s="11"/>
      <c r="YW387" s="11"/>
      <c r="YX387" s="11"/>
      <c r="YY387" s="11"/>
      <c r="YZ387" s="11"/>
      <c r="ZA387" s="11"/>
      <c r="ZB387" s="11"/>
      <c r="ZC387" s="11"/>
      <c r="ZD387" s="11"/>
      <c r="ZE387" s="11"/>
      <c r="ZF387" s="11"/>
      <c r="ZG387" s="11"/>
      <c r="ZH387" s="11"/>
      <c r="ZI387" s="11"/>
      <c r="ZJ387" s="11"/>
      <c r="ZK387" s="11"/>
      <c r="ZL387" s="11"/>
      <c r="ZM387" s="11"/>
      <c r="ZN387" s="11"/>
      <c r="ZO387" s="11"/>
      <c r="ZP387" s="11"/>
      <c r="ZQ387" s="11"/>
      <c r="ZR387" s="11"/>
      <c r="ZS387" s="11"/>
      <c r="ZT387" s="11"/>
      <c r="ZU387" s="11"/>
      <c r="ZV387" s="11"/>
      <c r="ZW387" s="11"/>
      <c r="ZX387" s="11"/>
      <c r="ZY387" s="11"/>
      <c r="ZZ387" s="11"/>
      <c r="AAA387" s="11"/>
      <c r="AAB387" s="11"/>
      <c r="AAC387" s="11"/>
      <c r="AAD387" s="11"/>
      <c r="AAE387" s="11"/>
      <c r="AAF387" s="11"/>
      <c r="AAG387" s="11"/>
      <c r="AAH387" s="11"/>
      <c r="AAI387" s="11"/>
      <c r="AAJ387" s="11"/>
      <c r="AAK387" s="11"/>
      <c r="AAL387" s="11"/>
      <c r="AAM387" s="11"/>
      <c r="AAN387" s="11"/>
      <c r="AAO387" s="11"/>
      <c r="AAP387" s="11"/>
      <c r="AAQ387" s="11"/>
      <c r="AAR387" s="11"/>
      <c r="AAS387" s="11"/>
      <c r="AAT387" s="11"/>
      <c r="AAU387" s="11"/>
      <c r="AAV387" s="11"/>
      <c r="AAW387" s="11"/>
      <c r="AAX387" s="11"/>
      <c r="AAY387" s="11"/>
      <c r="AAZ387" s="11"/>
      <c r="ABA387" s="11"/>
      <c r="ABB387" s="11"/>
      <c r="ABC387" s="11"/>
      <c r="ABD387" s="11"/>
      <c r="ABE387" s="11"/>
      <c r="ABF387" s="11"/>
      <c r="ABG387" s="11"/>
      <c r="ABH387" s="11"/>
      <c r="ABI387" s="11"/>
      <c r="ABJ387" s="11"/>
      <c r="ABK387" s="11"/>
      <c r="ABL387" s="11"/>
      <c r="ABM387" s="11"/>
      <c r="ABN387" s="11"/>
      <c r="ABO387" s="11"/>
      <c r="ABP387" s="11"/>
      <c r="ABQ387" s="11"/>
      <c r="ABR387" s="11"/>
      <c r="ABS387" s="11"/>
      <c r="ABT387" s="11"/>
      <c r="ABU387" s="11"/>
      <c r="ABV387" s="11"/>
      <c r="ABW387" s="11"/>
      <c r="ABX387" s="11"/>
      <c r="ABY387" s="11"/>
      <c r="ABZ387" s="11"/>
      <c r="ACA387" s="11"/>
      <c r="ACB387" s="11"/>
      <c r="ACC387" s="11"/>
      <c r="ACD387" s="11"/>
      <c r="ACE387" s="11"/>
      <c r="ACF387" s="11"/>
      <c r="ACG387" s="11"/>
      <c r="ACH387" s="11"/>
      <c r="ACI387" s="11"/>
      <c r="ACJ387" s="11"/>
      <c r="ACK387" s="11"/>
      <c r="ACL387" s="11"/>
      <c r="ACM387" s="11"/>
      <c r="ACN387" s="11"/>
      <c r="ACO387" s="11"/>
      <c r="ACP387" s="11"/>
      <c r="ACQ387" s="11"/>
      <c r="ACR387" s="11"/>
      <c r="ACS387" s="11"/>
      <c r="ACT387" s="11"/>
      <c r="ACU387" s="11"/>
      <c r="ACV387" s="11"/>
      <c r="ACW387" s="11"/>
      <c r="ACX387" s="11"/>
      <c r="ACY387" s="11"/>
      <c r="ACZ387" s="11"/>
      <c r="ADA387" s="11"/>
      <c r="ADB387" s="11"/>
      <c r="ADC387" s="11"/>
      <c r="ADD387" s="11"/>
      <c r="ADE387" s="11"/>
      <c r="ADF387" s="11"/>
      <c r="ADG387" s="11"/>
      <c r="ADH387" s="11"/>
      <c r="ADI387" s="11"/>
      <c r="ADJ387" s="11"/>
      <c r="ADK387" s="11"/>
      <c r="ADL387" s="11"/>
      <c r="ADM387" s="11"/>
      <c r="ADN387" s="11"/>
      <c r="ADO387" s="11"/>
      <c r="ADP387" s="11"/>
      <c r="ADQ387" s="11"/>
      <c r="ADR387" s="11"/>
      <c r="ADS387" s="11"/>
      <c r="ADT387" s="11"/>
      <c r="ADU387" s="11"/>
      <c r="ADV387" s="11"/>
      <c r="ADW387" s="11"/>
      <c r="ADX387" s="11"/>
      <c r="ADY387" s="11"/>
      <c r="ADZ387" s="11"/>
      <c r="AEA387" s="11"/>
      <c r="AEB387" s="11"/>
      <c r="AEC387" s="11"/>
      <c r="AED387" s="11"/>
      <c r="AEE387" s="11"/>
      <c r="AEF387" s="11"/>
      <c r="AEG387" s="11"/>
      <c r="AEH387" s="11"/>
      <c r="AEI387" s="11"/>
      <c r="AEJ387" s="11"/>
      <c r="AEK387" s="11"/>
      <c r="AEL387" s="11"/>
      <c r="AEM387" s="11"/>
      <c r="AEN387" s="11"/>
      <c r="AEO387" s="11"/>
      <c r="AEP387" s="11"/>
      <c r="AEQ387" s="11"/>
      <c r="AER387" s="11"/>
      <c r="AES387" s="11"/>
      <c r="AET387" s="11"/>
      <c r="AEU387" s="11"/>
      <c r="AEV387" s="11"/>
      <c r="AEW387" s="11"/>
      <c r="AEX387" s="11"/>
      <c r="AEY387" s="11"/>
      <c r="AEZ387" s="11"/>
      <c r="AFA387" s="11"/>
      <c r="AFB387" s="11"/>
      <c r="AFC387" s="11"/>
      <c r="AFD387" s="11"/>
      <c r="AFE387" s="11"/>
      <c r="AFF387" s="11"/>
      <c r="AFG387" s="11"/>
      <c r="AFH387" s="11"/>
      <c r="AFI387" s="11"/>
      <c r="AFJ387" s="11"/>
      <c r="AFK387" s="11"/>
      <c r="AFL387" s="11"/>
      <c r="AFM387" s="11"/>
      <c r="AFN387" s="11"/>
      <c r="AFO387" s="11"/>
      <c r="AFP387" s="11"/>
      <c r="AFQ387" s="11"/>
      <c r="AFR387" s="11"/>
      <c r="AFS387" s="11"/>
      <c r="AFT387" s="11"/>
      <c r="AFU387" s="11"/>
      <c r="AFV387" s="11"/>
      <c r="AFW387" s="11"/>
      <c r="AFX387" s="11"/>
      <c r="AFY387" s="11"/>
      <c r="AFZ387" s="11"/>
      <c r="AGA387" s="11"/>
      <c r="AGB387" s="11"/>
      <c r="AGC387" s="11"/>
      <c r="AGD387" s="11"/>
      <c r="AGE387" s="11"/>
      <c r="AGF387" s="11"/>
      <c r="AGG387" s="11"/>
      <c r="AGH387" s="11"/>
      <c r="AGI387" s="11"/>
      <c r="AGJ387" s="11"/>
      <c r="AGK387" s="11"/>
      <c r="AGL387" s="11"/>
      <c r="AGM387" s="11"/>
      <c r="AGN387" s="11"/>
      <c r="AGO387" s="11"/>
      <c r="AGP387" s="11"/>
      <c r="AGQ387" s="11"/>
      <c r="AGR387" s="11"/>
      <c r="AGS387" s="11"/>
      <c r="AGT387" s="11"/>
      <c r="AGU387" s="11"/>
      <c r="AGV387" s="11"/>
      <c r="AGW387" s="11"/>
      <c r="AGX387" s="11"/>
      <c r="AGY387" s="11"/>
      <c r="AGZ387" s="11"/>
      <c r="AHA387" s="11"/>
      <c r="AHB387" s="11"/>
      <c r="AHC387" s="11"/>
      <c r="AHD387" s="11"/>
      <c r="AHE387" s="11"/>
      <c r="AHF387" s="11"/>
      <c r="AHG387" s="11"/>
      <c r="AHH387" s="11"/>
      <c r="AHI387" s="11"/>
      <c r="AHJ387" s="11"/>
      <c r="AHK387" s="11"/>
      <c r="AHL387" s="11"/>
      <c r="AHM387" s="11"/>
      <c r="AHN387" s="11"/>
      <c r="AHO387" s="11"/>
      <c r="AHP387" s="11"/>
      <c r="AHQ387" s="11"/>
      <c r="AHR387" s="11"/>
      <c r="AHS387" s="11"/>
      <c r="AHT387" s="11"/>
      <c r="AHU387" s="11"/>
      <c r="AHV387" s="11"/>
      <c r="AHW387" s="11"/>
      <c r="AHX387" s="11"/>
      <c r="AHY387" s="11"/>
      <c r="AHZ387" s="11"/>
      <c r="AIA387" s="11"/>
      <c r="AIB387" s="11"/>
      <c r="AIC387" s="11"/>
      <c r="AID387" s="11"/>
      <c r="AIE387" s="11"/>
      <c r="AIF387" s="11"/>
      <c r="AIG387" s="11"/>
      <c r="AIH387" s="11"/>
      <c r="AII387" s="11"/>
      <c r="AIJ387" s="11"/>
      <c r="AIK387" s="11"/>
      <c r="AIL387" s="11"/>
      <c r="AIM387" s="11"/>
      <c r="AIN387" s="11"/>
      <c r="AIO387" s="11"/>
      <c r="AIP387" s="11"/>
      <c r="AIQ387" s="11"/>
      <c r="AIR387" s="11"/>
      <c r="AIS387" s="11"/>
      <c r="AIT387" s="11"/>
      <c r="AIU387" s="11"/>
      <c r="AIV387" s="11"/>
      <c r="AIW387" s="11"/>
      <c r="AIX387" s="11"/>
      <c r="AIY387" s="11"/>
      <c r="AIZ387" s="11"/>
      <c r="AJA387" s="11"/>
      <c r="AJB387" s="11"/>
      <c r="AJC387" s="11"/>
      <c r="AJD387" s="11"/>
      <c r="AJE387" s="11"/>
      <c r="AJF387" s="11"/>
      <c r="AJG387" s="11"/>
      <c r="AJH387" s="11"/>
      <c r="AJI387" s="11"/>
      <c r="AJJ387" s="11"/>
      <c r="AJK387" s="11"/>
      <c r="AJL387" s="11"/>
      <c r="AJM387" s="11"/>
      <c r="AJN387" s="11"/>
      <c r="AJO387" s="11"/>
      <c r="AJP387" s="11"/>
      <c r="AJQ387" s="11"/>
      <c r="AJR387" s="11"/>
      <c r="AJS387" s="11"/>
      <c r="AJT387" s="11"/>
      <c r="AJU387" s="11"/>
      <c r="AJV387" s="11"/>
      <c r="AJW387" s="11"/>
      <c r="AJX387" s="11"/>
      <c r="AJY387" s="11"/>
      <c r="AJZ387" s="11"/>
      <c r="AKA387" s="11"/>
      <c r="AKB387" s="11"/>
      <c r="AKC387" s="11"/>
      <c r="AKD387" s="11"/>
      <c r="AKE387" s="11"/>
      <c r="AKF387" s="11"/>
      <c r="AKG387" s="11"/>
      <c r="AKH387" s="11"/>
      <c r="AKI387" s="11"/>
      <c r="AKJ387" s="11"/>
      <c r="AKK387" s="11"/>
      <c r="AKL387" s="11"/>
      <c r="AKM387" s="11"/>
      <c r="AKN387" s="11"/>
      <c r="AKO387" s="11"/>
      <c r="AKP387" s="11"/>
      <c r="AKQ387" s="11"/>
      <c r="AKR387" s="11"/>
      <c r="AKS387" s="11"/>
      <c r="AKT387" s="11"/>
      <c r="AKU387" s="11"/>
      <c r="AKV387" s="11"/>
      <c r="AKW387" s="11"/>
      <c r="AKX387" s="11"/>
      <c r="AKY387" s="11"/>
      <c r="AKZ387" s="11"/>
      <c r="ALA387" s="11"/>
      <c r="ALB387" s="11"/>
      <c r="ALC387" s="11"/>
      <c r="ALD387" s="11"/>
      <c r="ALE387" s="11"/>
      <c r="ALF387" s="11"/>
      <c r="ALG387" s="11"/>
      <c r="ALH387" s="11"/>
      <c r="ALI387" s="11"/>
      <c r="ALJ387" s="11"/>
      <c r="ALK387" s="11"/>
      <c r="ALL387" s="11"/>
      <c r="ALM387" s="11"/>
      <c r="ALN387" s="11"/>
      <c r="ALO387" s="11"/>
      <c r="ALP387" s="11"/>
      <c r="ALQ387" s="11"/>
      <c r="ALR387" s="11"/>
      <c r="ALS387" s="11"/>
      <c r="ALT387" s="11"/>
      <c r="ALU387" s="11"/>
      <c r="ALV387" s="11"/>
      <c r="ALW387" s="11"/>
      <c r="ALX387" s="11"/>
      <c r="ALY387" s="11"/>
      <c r="ALZ387" s="11"/>
      <c r="AMA387" s="11"/>
      <c r="AMB387" s="11"/>
      <c r="AMC387" s="11"/>
      <c r="AMD387" s="11"/>
      <c r="AME387" s="11"/>
      <c r="AMF387" s="11"/>
      <c r="AMG387" s="11"/>
      <c r="AMH387" s="11"/>
      <c r="AMI387" s="11"/>
      <c r="AMJ387" s="11"/>
      <c r="AMK387" s="11"/>
      <c r="AML387" s="11"/>
      <c r="AMM387" s="11"/>
      <c r="AMN387" s="11"/>
      <c r="AMO387" s="11"/>
      <c r="AMP387" s="11"/>
      <c r="AMQ387" s="11"/>
      <c r="AMR387" s="11"/>
      <c r="AMS387" s="11"/>
      <c r="AMT387" s="11"/>
      <c r="AMU387" s="11"/>
      <c r="AMV387" s="11"/>
      <c r="AMW387" s="11"/>
      <c r="AMX387" s="11"/>
      <c r="AMY387" s="11"/>
      <c r="AMZ387" s="11"/>
      <c r="ANA387" s="11"/>
      <c r="ANB387" s="11"/>
      <c r="ANC387" s="11"/>
      <c r="AND387" s="11"/>
      <c r="ANE387" s="11"/>
      <c r="ANF387" s="11"/>
      <c r="ANG387" s="11"/>
      <c r="ANH387" s="11"/>
      <c r="ANI387" s="11"/>
      <c r="ANJ387" s="11"/>
      <c r="ANK387" s="11"/>
      <c r="ANL387" s="11"/>
      <c r="ANM387" s="11"/>
      <c r="ANN387" s="11"/>
      <c r="ANO387" s="11"/>
      <c r="ANP387" s="11"/>
      <c r="ANQ387" s="11"/>
      <c r="ANR387" s="11"/>
      <c r="ANS387" s="11"/>
      <c r="ANT387" s="11"/>
      <c r="ANU387" s="11"/>
      <c r="ANV387" s="11"/>
      <c r="ANW387" s="11"/>
      <c r="ANX387" s="11"/>
      <c r="ANY387" s="11"/>
      <c r="ANZ387" s="11"/>
      <c r="AOA387" s="11"/>
      <c r="AOB387" s="11"/>
      <c r="AOC387" s="11"/>
      <c r="AOD387" s="11"/>
      <c r="AOE387" s="11"/>
      <c r="AOF387" s="11"/>
      <c r="AOG387" s="11"/>
      <c r="AOH387" s="11"/>
      <c r="AOI387" s="11"/>
      <c r="AOJ387" s="11"/>
      <c r="AOK387" s="11"/>
      <c r="AOL387" s="11"/>
      <c r="AOM387" s="11"/>
      <c r="AON387" s="11"/>
      <c r="AOO387" s="11"/>
      <c r="AOP387" s="11"/>
      <c r="AOQ387" s="11"/>
      <c r="AOR387" s="11"/>
      <c r="AOS387" s="11"/>
      <c r="AOT387" s="11"/>
      <c r="AOU387" s="11"/>
      <c r="AOV387" s="11"/>
      <c r="AOW387" s="11"/>
      <c r="AOX387" s="11"/>
      <c r="AOY387" s="11"/>
      <c r="AOZ387" s="11"/>
      <c r="APA387" s="11"/>
      <c r="APB387" s="11"/>
      <c r="APC387" s="11"/>
      <c r="APD387" s="11"/>
      <c r="APE387" s="11"/>
      <c r="APF387" s="11"/>
      <c r="APG387" s="11"/>
      <c r="APH387" s="11"/>
      <c r="API387" s="11"/>
      <c r="APJ387" s="11"/>
      <c r="APK387" s="11"/>
      <c r="APL387" s="11"/>
      <c r="APM387" s="11"/>
      <c r="APN387" s="11"/>
      <c r="APO387" s="11"/>
      <c r="APP387" s="11"/>
      <c r="APQ387" s="11"/>
      <c r="APR387" s="11"/>
      <c r="APS387" s="11"/>
      <c r="APT387" s="11"/>
      <c r="APU387" s="11"/>
      <c r="APV387" s="11"/>
      <c r="APW387" s="11"/>
      <c r="APX387" s="11"/>
      <c r="APY387" s="11"/>
      <c r="APZ387" s="11"/>
      <c r="AQA387" s="11"/>
      <c r="AQB387" s="11"/>
      <c r="AQC387" s="11"/>
      <c r="AQD387" s="11"/>
      <c r="AQE387" s="11"/>
      <c r="AQF387" s="11"/>
      <c r="AQG387" s="11"/>
      <c r="AQH387" s="11"/>
      <c r="AQI387" s="11"/>
      <c r="AQJ387" s="11"/>
      <c r="AQK387" s="11"/>
      <c r="AQL387" s="11"/>
      <c r="AQM387" s="11"/>
      <c r="AQN387" s="11"/>
      <c r="AQO387" s="11"/>
      <c r="AQP387" s="11"/>
      <c r="AQQ387" s="11"/>
      <c r="AQR387" s="11"/>
      <c r="AQS387" s="11"/>
      <c r="AQT387" s="11"/>
      <c r="AQU387" s="11"/>
      <c r="AQV387" s="11"/>
      <c r="AQW387" s="11"/>
      <c r="AQX387" s="11"/>
      <c r="AQY387" s="11"/>
      <c r="AQZ387" s="11"/>
      <c r="ARA387" s="11"/>
      <c r="ARB387" s="11"/>
      <c r="ARC387" s="11"/>
      <c r="ARD387" s="11"/>
      <c r="ARE387" s="11"/>
      <c r="ARF387" s="11"/>
      <c r="ARG387" s="11"/>
      <c r="ARH387" s="11"/>
      <c r="ARI387" s="11"/>
      <c r="ARJ387" s="11"/>
      <c r="ARK387" s="11"/>
      <c r="ARL387" s="11"/>
      <c r="ARM387" s="11"/>
      <c r="ARN387" s="11"/>
      <c r="ARO387" s="11"/>
      <c r="ARP387" s="11"/>
      <c r="ARQ387" s="11"/>
      <c r="ARR387" s="11"/>
      <c r="ARS387" s="11"/>
      <c r="ART387" s="11"/>
      <c r="ARU387" s="11"/>
      <c r="ARV387" s="11"/>
      <c r="ARW387" s="11"/>
      <c r="ARX387" s="11"/>
      <c r="ARY387" s="11"/>
      <c r="ARZ387" s="11"/>
      <c r="ASA387" s="11"/>
      <c r="ASB387" s="11"/>
      <c r="ASC387" s="11"/>
      <c r="ASD387" s="11"/>
      <c r="ASE387" s="11"/>
      <c r="ASF387" s="11"/>
      <c r="ASG387" s="11"/>
      <c r="ASH387" s="11"/>
      <c r="ASI387" s="11"/>
      <c r="ASJ387" s="11"/>
      <c r="ASK387" s="11"/>
      <c r="ASL387" s="11"/>
      <c r="ASM387" s="11"/>
      <c r="ASN387" s="11"/>
      <c r="ASO387" s="11"/>
      <c r="ASP387" s="11"/>
      <c r="ASQ387" s="11"/>
      <c r="ASR387" s="11"/>
      <c r="ASS387" s="11"/>
      <c r="AST387" s="11"/>
      <c r="ASU387" s="11"/>
      <c r="ASV387" s="11"/>
      <c r="ASW387" s="11"/>
      <c r="ASX387" s="11"/>
      <c r="ASY387" s="11"/>
      <c r="ASZ387" s="11"/>
      <c r="ATA387" s="11"/>
      <c r="ATB387" s="11"/>
      <c r="ATC387" s="11"/>
      <c r="ATD387" s="11"/>
      <c r="ATE387" s="11"/>
      <c r="ATF387" s="11"/>
      <c r="ATG387" s="11"/>
      <c r="ATH387" s="11"/>
      <c r="ATI387" s="11"/>
      <c r="ATJ387" s="11"/>
      <c r="ATK387" s="11"/>
      <c r="ATL387" s="11"/>
      <c r="ATM387" s="11"/>
      <c r="ATN387" s="11"/>
      <c r="ATO387" s="11"/>
      <c r="ATP387" s="11"/>
      <c r="ATQ387" s="11"/>
      <c r="ATR387" s="11"/>
      <c r="ATS387" s="11"/>
      <c r="ATT387" s="11"/>
      <c r="ATU387" s="11"/>
      <c r="ATV387" s="11"/>
      <c r="ATW387" s="11"/>
      <c r="ATX387" s="11"/>
      <c r="ATY387" s="11"/>
      <c r="ATZ387" s="11"/>
      <c r="AUA387" s="11"/>
      <c r="AUB387" s="11"/>
      <c r="AUC387" s="11"/>
      <c r="AUD387" s="11"/>
      <c r="AUE387" s="11"/>
      <c r="AUF387" s="11"/>
      <c r="AUG387" s="11"/>
      <c r="AUH387" s="11"/>
      <c r="AUI387" s="11"/>
      <c r="AUJ387" s="11"/>
      <c r="AUK387" s="11"/>
      <c r="AUL387" s="11"/>
      <c r="AUM387" s="11"/>
      <c r="AUN387" s="11"/>
      <c r="AUO387" s="11"/>
      <c r="AUP387" s="11"/>
      <c r="AUQ387" s="11"/>
      <c r="AUR387" s="11"/>
      <c r="AUS387" s="11"/>
      <c r="AUT387" s="11"/>
      <c r="AUU387" s="11"/>
      <c r="AUV387" s="11"/>
      <c r="AUW387" s="11"/>
      <c r="AUX387" s="11"/>
      <c r="AUY387" s="11"/>
      <c r="AUZ387" s="11"/>
      <c r="AVA387" s="11"/>
      <c r="AVB387" s="11"/>
      <c r="AVC387" s="11"/>
      <c r="AVD387" s="11"/>
      <c r="AVE387" s="11"/>
      <c r="AVF387" s="11"/>
      <c r="AVG387" s="11"/>
      <c r="AVH387" s="11"/>
      <c r="AVI387" s="11"/>
      <c r="AVJ387" s="11"/>
      <c r="AVK387" s="11"/>
      <c r="AVL387" s="11"/>
      <c r="AVM387" s="11"/>
      <c r="AVN387" s="11"/>
      <c r="AVO387" s="11"/>
      <c r="AVP387" s="11"/>
      <c r="AVQ387" s="11"/>
      <c r="AVR387" s="11"/>
      <c r="AVS387" s="11"/>
      <c r="AVT387" s="11"/>
      <c r="AVU387" s="11"/>
      <c r="AVV387" s="11"/>
      <c r="AVW387" s="11"/>
      <c r="AVX387" s="11"/>
      <c r="AVY387" s="11"/>
      <c r="AVZ387" s="11"/>
      <c r="AWA387" s="11"/>
      <c r="AWB387" s="11"/>
      <c r="AWC387" s="11"/>
      <c r="AWD387" s="11"/>
      <c r="AWE387" s="11"/>
      <c r="AWF387" s="11"/>
      <c r="AWG387" s="11"/>
      <c r="AWH387" s="11"/>
      <c r="AWI387" s="11"/>
      <c r="AWJ387" s="11"/>
      <c r="AWK387" s="11"/>
      <c r="AWL387" s="11"/>
      <c r="AWM387" s="11"/>
      <c r="AWN387" s="11"/>
      <c r="AWO387" s="11"/>
      <c r="AWP387" s="11"/>
      <c r="AWQ387" s="11"/>
      <c r="AWR387" s="11"/>
      <c r="AWS387" s="11"/>
      <c r="AWT387" s="11"/>
      <c r="AWU387" s="11"/>
      <c r="AWV387" s="11"/>
      <c r="AWW387" s="11"/>
      <c r="AWX387" s="11"/>
      <c r="AWY387" s="11"/>
      <c r="AWZ387" s="11"/>
      <c r="AXA387" s="11"/>
      <c r="AXB387" s="11"/>
      <c r="AXC387" s="11"/>
      <c r="AXD387" s="11"/>
      <c r="AXE387" s="11"/>
      <c r="AXF387" s="11"/>
      <c r="AXG387" s="11"/>
      <c r="AXH387" s="11"/>
      <c r="AXI387" s="11"/>
      <c r="AXJ387" s="11"/>
      <c r="AXK387" s="11"/>
      <c r="AXL387" s="11"/>
      <c r="AXM387" s="11"/>
      <c r="AXN387" s="11"/>
      <c r="AXO387" s="11"/>
      <c r="AXP387" s="11"/>
      <c r="AXQ387" s="11"/>
      <c r="AXR387" s="11"/>
      <c r="AXS387" s="11"/>
      <c r="AXT387" s="11"/>
      <c r="AXU387" s="11"/>
      <c r="AXV387" s="11"/>
      <c r="AXW387" s="11"/>
      <c r="AXX387" s="11"/>
      <c r="AXY387" s="11"/>
      <c r="AXZ387" s="11"/>
      <c r="AYA387" s="11"/>
      <c r="AYB387" s="11"/>
      <c r="AYC387" s="11"/>
      <c r="AYD387" s="11"/>
      <c r="AYE387" s="11"/>
      <c r="AYF387" s="11"/>
      <c r="AYG387" s="11"/>
      <c r="AYH387" s="11"/>
      <c r="AYI387" s="11"/>
      <c r="AYJ387" s="11"/>
      <c r="AYK387" s="11"/>
      <c r="AYL387" s="11"/>
      <c r="AYM387" s="11"/>
      <c r="AYN387" s="11"/>
      <c r="AYO387" s="11"/>
      <c r="AYP387" s="11"/>
      <c r="AYQ387" s="11"/>
      <c r="AYR387" s="11"/>
      <c r="AYS387" s="11"/>
      <c r="AYT387" s="11"/>
      <c r="AYU387" s="11"/>
      <c r="AYV387" s="11"/>
      <c r="AYW387" s="11"/>
      <c r="AYX387" s="11"/>
      <c r="AYY387" s="11"/>
      <c r="AYZ387" s="11"/>
      <c r="AZA387" s="11"/>
      <c r="AZB387" s="11"/>
      <c r="AZC387" s="11"/>
      <c r="AZD387" s="11"/>
      <c r="AZE387" s="11"/>
      <c r="AZF387" s="11"/>
      <c r="AZG387" s="11"/>
      <c r="AZH387" s="11"/>
      <c r="AZI387" s="11"/>
      <c r="AZJ387" s="11"/>
      <c r="AZK387" s="11"/>
      <c r="AZL387" s="11"/>
      <c r="AZM387" s="11"/>
      <c r="AZN387" s="11"/>
      <c r="AZO387" s="11"/>
      <c r="AZP387" s="11"/>
      <c r="AZQ387" s="11"/>
      <c r="AZR387" s="11"/>
      <c r="AZS387" s="11"/>
      <c r="AZT387" s="11"/>
      <c r="AZU387" s="11"/>
      <c r="AZV387" s="11"/>
      <c r="AZW387" s="11"/>
      <c r="AZX387" s="11"/>
      <c r="AZY387" s="11"/>
      <c r="AZZ387" s="11"/>
      <c r="BAA387" s="11"/>
      <c r="BAB387" s="11"/>
      <c r="BAC387" s="11"/>
      <c r="BAD387" s="11"/>
      <c r="BAE387" s="11"/>
      <c r="BAF387" s="11"/>
      <c r="BAG387" s="11"/>
      <c r="BAH387" s="11"/>
      <c r="BAI387" s="11"/>
      <c r="BAJ387" s="11"/>
      <c r="BAK387" s="11"/>
      <c r="BAL387" s="11"/>
      <c r="BAM387" s="11"/>
      <c r="BAN387" s="11"/>
      <c r="BAO387" s="11"/>
      <c r="BAP387" s="11"/>
      <c r="BAQ387" s="11"/>
      <c r="BAR387" s="11"/>
      <c r="BAS387" s="11"/>
      <c r="BAT387" s="11"/>
      <c r="BAU387" s="11"/>
      <c r="BAV387" s="11"/>
      <c r="BAW387" s="11"/>
      <c r="BAX387" s="11"/>
      <c r="BAY387" s="11"/>
      <c r="BAZ387" s="11"/>
      <c r="BBA387" s="11"/>
      <c r="BBB387" s="11"/>
      <c r="BBC387" s="11"/>
      <c r="BBD387" s="11"/>
      <c r="BBE387" s="11"/>
      <c r="BBF387" s="11"/>
      <c r="BBG387" s="11"/>
      <c r="BBH387" s="11"/>
      <c r="BBI387" s="11"/>
      <c r="BBJ387" s="11"/>
      <c r="BBK387" s="11"/>
      <c r="BBL387" s="11"/>
      <c r="BBM387" s="11"/>
      <c r="BBN387" s="11"/>
      <c r="BBO387" s="11"/>
      <c r="BBP387" s="11"/>
      <c r="BBQ387" s="11"/>
      <c r="BBR387" s="11"/>
      <c r="BBS387" s="11"/>
      <c r="BBT387" s="11"/>
      <c r="BBU387" s="11"/>
      <c r="BBV387" s="11"/>
      <c r="BBW387" s="11"/>
      <c r="BBX387" s="11"/>
      <c r="BBY387" s="11"/>
      <c r="BBZ387" s="11"/>
      <c r="BCA387" s="11"/>
      <c r="BCB387" s="11"/>
      <c r="BCC387" s="11"/>
      <c r="BCD387" s="11"/>
      <c r="BCE387" s="11"/>
      <c r="BCF387" s="11"/>
      <c r="BCG387" s="11"/>
      <c r="BCH387" s="11"/>
      <c r="BCI387" s="11"/>
      <c r="BCJ387" s="11"/>
      <c r="BCK387" s="11"/>
      <c r="BCL387" s="11"/>
      <c r="BCM387" s="11"/>
      <c r="BCN387" s="11"/>
      <c r="BCO387" s="11"/>
      <c r="BCP387" s="11"/>
      <c r="BCQ387" s="11"/>
      <c r="BCR387" s="11"/>
      <c r="BCS387" s="11"/>
      <c r="BCT387" s="11"/>
      <c r="BCU387" s="11"/>
      <c r="BCV387" s="11"/>
      <c r="BCW387" s="11"/>
      <c r="BCX387" s="11"/>
      <c r="BCY387" s="11"/>
      <c r="BCZ387" s="11"/>
      <c r="BDA387" s="11"/>
      <c r="BDB387" s="11"/>
      <c r="BDC387" s="11"/>
      <c r="BDD387" s="11"/>
      <c r="BDE387" s="11"/>
      <c r="BDF387" s="11"/>
      <c r="BDG387" s="11"/>
      <c r="BDH387" s="11"/>
      <c r="BDI387" s="11"/>
      <c r="BDJ387" s="11"/>
      <c r="BDK387" s="11"/>
      <c r="BDL387" s="11"/>
      <c r="BDM387" s="11"/>
      <c r="BDN387" s="11"/>
      <c r="BDO387" s="11"/>
      <c r="BDP387" s="11"/>
      <c r="BDQ387" s="11"/>
      <c r="BDR387" s="11"/>
      <c r="BDS387" s="11"/>
      <c r="BDT387" s="11"/>
      <c r="BDU387" s="11"/>
      <c r="BDV387" s="11"/>
      <c r="BDW387" s="11"/>
      <c r="BDX387" s="11"/>
      <c r="BDY387" s="11"/>
      <c r="BDZ387" s="11"/>
      <c r="BEA387" s="11"/>
      <c r="BEB387" s="11"/>
      <c r="BEC387" s="11"/>
      <c r="BED387" s="11"/>
      <c r="BEE387" s="11"/>
      <c r="BEF387" s="11"/>
      <c r="BEG387" s="11"/>
      <c r="BEH387" s="11"/>
      <c r="BEI387" s="11"/>
      <c r="BEJ387" s="11"/>
      <c r="BEK387" s="11"/>
      <c r="BEL387" s="11"/>
      <c r="BEM387" s="11"/>
      <c r="BEN387" s="11"/>
      <c r="BEO387" s="11"/>
      <c r="BEP387" s="11"/>
      <c r="BEQ387" s="11"/>
      <c r="BER387" s="11"/>
      <c r="BES387" s="11"/>
      <c r="BET387" s="11"/>
      <c r="BEU387" s="11"/>
      <c r="BEV387" s="11"/>
      <c r="BEW387" s="11"/>
      <c r="BEX387" s="11"/>
      <c r="BEY387" s="11"/>
      <c r="BEZ387" s="11"/>
      <c r="BFA387" s="11"/>
      <c r="BFB387" s="11"/>
      <c r="BFC387" s="11"/>
      <c r="BFD387" s="11"/>
      <c r="BFE387" s="11"/>
      <c r="BFF387" s="11"/>
      <c r="BFG387" s="11"/>
      <c r="BFH387" s="11"/>
      <c r="BFI387" s="11"/>
      <c r="BFJ387" s="11"/>
      <c r="BFK387" s="11"/>
      <c r="BFL387" s="11"/>
      <c r="BFM387" s="11"/>
      <c r="BFN387" s="11"/>
      <c r="BFO387" s="11"/>
      <c r="BFP387" s="11"/>
      <c r="BFQ387" s="11"/>
      <c r="BFR387" s="11"/>
      <c r="BFS387" s="11"/>
      <c r="BFT387" s="11"/>
      <c r="BFU387" s="11"/>
      <c r="BFV387" s="11"/>
      <c r="BFW387" s="11"/>
      <c r="BFX387" s="11"/>
      <c r="BFY387" s="11"/>
      <c r="BFZ387" s="11"/>
      <c r="BGA387" s="11"/>
      <c r="BGB387" s="11"/>
      <c r="BGC387" s="11"/>
      <c r="BGD387" s="11"/>
      <c r="BGE387" s="11"/>
      <c r="BGF387" s="11"/>
      <c r="BGG387" s="11"/>
      <c r="BGH387" s="11"/>
      <c r="BGI387" s="11"/>
      <c r="BGJ387" s="11"/>
      <c r="BGK387" s="11"/>
      <c r="BGL387" s="11"/>
      <c r="BGM387" s="11"/>
      <c r="BGN387" s="11"/>
      <c r="BGO387" s="11"/>
      <c r="BGP387" s="11"/>
      <c r="BGQ387" s="11"/>
      <c r="BGR387" s="11"/>
      <c r="BGS387" s="11"/>
      <c r="BGT387" s="11"/>
      <c r="BGU387" s="11"/>
      <c r="BGV387" s="11"/>
      <c r="BGW387" s="11"/>
      <c r="BGX387" s="11"/>
      <c r="BGY387" s="11"/>
      <c r="BGZ387" s="11"/>
      <c r="BHA387" s="11"/>
      <c r="BHB387" s="11"/>
      <c r="BHC387" s="11"/>
      <c r="BHD387" s="11"/>
      <c r="BHE387" s="11"/>
      <c r="BHF387" s="11"/>
      <c r="BHG387" s="11"/>
      <c r="BHH387" s="11"/>
      <c r="BHI387" s="11"/>
      <c r="BHJ387" s="11"/>
      <c r="BHK387" s="11"/>
      <c r="BHL387" s="11"/>
      <c r="BHM387" s="11"/>
      <c r="BHN387" s="11"/>
      <c r="BHO387" s="11"/>
      <c r="BHP387" s="11"/>
      <c r="BHQ387" s="11"/>
      <c r="BHR387" s="11"/>
      <c r="BHS387" s="11"/>
      <c r="BHT387" s="11"/>
      <c r="BHU387" s="11"/>
      <c r="BHV387" s="11"/>
      <c r="BHW387" s="11"/>
      <c r="BHX387" s="11"/>
      <c r="BHY387" s="11"/>
      <c r="BHZ387" s="11"/>
      <c r="BIA387" s="11"/>
      <c r="BIB387" s="11"/>
      <c r="BIC387" s="11"/>
      <c r="BID387" s="11"/>
      <c r="BIE387" s="11"/>
      <c r="BIF387" s="11"/>
      <c r="BIG387" s="11"/>
      <c r="BIH387" s="11"/>
      <c r="BII387" s="11"/>
      <c r="BIJ387" s="11"/>
      <c r="BIK387" s="11"/>
      <c r="BIL387" s="11"/>
      <c r="BIM387" s="11"/>
      <c r="BIN387" s="11"/>
      <c r="BIO387" s="11"/>
      <c r="BIP387" s="11"/>
      <c r="BIQ387" s="11"/>
      <c r="BIR387" s="11"/>
      <c r="BIS387" s="11"/>
      <c r="BIT387" s="11"/>
      <c r="BIU387" s="11"/>
      <c r="BIV387" s="11"/>
      <c r="BIW387" s="11"/>
      <c r="BIX387" s="11"/>
      <c r="BIY387" s="11"/>
      <c r="BIZ387" s="11"/>
      <c r="BJA387" s="11"/>
      <c r="BJB387" s="11"/>
      <c r="BJC387" s="11"/>
      <c r="BJD387" s="11"/>
      <c r="BJE387" s="11"/>
      <c r="BJF387" s="11"/>
      <c r="BJG387" s="11"/>
      <c r="BJH387" s="11"/>
      <c r="BJI387" s="11"/>
      <c r="BJJ387" s="11"/>
      <c r="BJK387" s="11"/>
      <c r="BJL387" s="11"/>
      <c r="BJM387" s="11"/>
      <c r="BJN387" s="11"/>
      <c r="BJO387" s="11"/>
      <c r="BJP387" s="11"/>
      <c r="BJQ387" s="11"/>
      <c r="BJR387" s="11"/>
      <c r="BJS387" s="11"/>
      <c r="BJT387" s="11"/>
      <c r="BJU387" s="11"/>
      <c r="BJV387" s="11"/>
      <c r="BJW387" s="11"/>
      <c r="BJX387" s="11"/>
      <c r="BJY387" s="11"/>
      <c r="BJZ387" s="11"/>
      <c r="BKA387" s="11"/>
      <c r="BKB387" s="11"/>
      <c r="BKC387" s="11"/>
      <c r="BKD387" s="11"/>
      <c r="BKE387" s="11"/>
      <c r="BKF387" s="11"/>
      <c r="BKG387" s="11"/>
      <c r="BKH387" s="11"/>
      <c r="BKI387" s="11"/>
      <c r="BKJ387" s="11"/>
      <c r="BKK387" s="11"/>
      <c r="BKL387" s="11"/>
      <c r="BKM387" s="11"/>
      <c r="BKN387" s="11"/>
      <c r="BKO387" s="11"/>
      <c r="BKP387" s="11"/>
      <c r="BKQ387" s="11"/>
      <c r="BKR387" s="11"/>
      <c r="BKS387" s="11"/>
      <c r="BKT387" s="11"/>
      <c r="BKU387" s="11"/>
      <c r="BKV387" s="11"/>
      <c r="BKW387" s="11"/>
      <c r="BKX387" s="11"/>
      <c r="BKY387" s="11"/>
      <c r="BKZ387" s="11"/>
      <c r="BLA387" s="11"/>
      <c r="BLB387" s="11"/>
      <c r="BLC387" s="11"/>
      <c r="BLD387" s="11"/>
      <c r="BLE387" s="11"/>
      <c r="BLF387" s="11"/>
      <c r="BLG387" s="11"/>
      <c r="BLH387" s="11"/>
      <c r="BLI387" s="11"/>
      <c r="BLJ387" s="11"/>
      <c r="BLK387" s="11"/>
      <c r="BLL387" s="11"/>
      <c r="BLM387" s="11"/>
      <c r="BLN387" s="11"/>
      <c r="BLO387" s="11"/>
      <c r="BLP387" s="11"/>
      <c r="BLQ387" s="11"/>
      <c r="BLR387" s="11"/>
      <c r="BLS387" s="11"/>
      <c r="BLT387" s="11"/>
      <c r="BLU387" s="11"/>
      <c r="BLV387" s="11"/>
      <c r="BLW387" s="11"/>
      <c r="BLX387" s="11"/>
      <c r="BLY387" s="11"/>
      <c r="BLZ387" s="11"/>
      <c r="BMA387" s="11"/>
      <c r="BMB387" s="11"/>
      <c r="BMC387" s="11"/>
      <c r="BMD387" s="11"/>
      <c r="BME387" s="11"/>
      <c r="BMF387" s="11"/>
      <c r="BMG387" s="11"/>
      <c r="BMH387" s="11"/>
      <c r="BMI387" s="11"/>
      <c r="BMJ387" s="11"/>
      <c r="BMK387" s="11"/>
      <c r="BML387" s="11"/>
      <c r="BMM387" s="11"/>
      <c r="BMN387" s="11"/>
      <c r="BMO387" s="11"/>
      <c r="BMP387" s="11"/>
      <c r="BMQ387" s="11"/>
      <c r="BMR387" s="11"/>
      <c r="BMS387" s="11"/>
      <c r="BMT387" s="11"/>
      <c r="BMU387" s="11"/>
      <c r="BMV387" s="11"/>
      <c r="BMW387" s="11"/>
      <c r="BMX387" s="11"/>
      <c r="BMY387" s="11"/>
      <c r="BMZ387" s="11"/>
      <c r="BNA387" s="11"/>
      <c r="BNB387" s="11"/>
      <c r="BNC387" s="11"/>
      <c r="BND387" s="11"/>
      <c r="BNE387" s="11"/>
      <c r="BNF387" s="11"/>
      <c r="BNG387" s="11"/>
      <c r="BNH387" s="11"/>
      <c r="BNI387" s="11"/>
      <c r="BNJ387" s="11"/>
      <c r="BNK387" s="11"/>
      <c r="BNL387" s="11"/>
      <c r="BNM387" s="11"/>
      <c r="BNN387" s="11"/>
      <c r="BNO387" s="11"/>
      <c r="BNP387" s="11"/>
      <c r="BNQ387" s="11"/>
      <c r="BNR387" s="11"/>
      <c r="BNS387" s="11"/>
      <c r="BNT387" s="11"/>
      <c r="BNU387" s="11"/>
      <c r="BNV387" s="11"/>
      <c r="BNW387" s="11"/>
      <c r="BNX387" s="11"/>
      <c r="BNY387" s="11"/>
      <c r="BNZ387" s="11"/>
      <c r="BOA387" s="11"/>
      <c r="BOB387" s="11"/>
      <c r="BOC387" s="11"/>
      <c r="BOD387" s="11"/>
      <c r="BOE387" s="11"/>
      <c r="BOF387" s="11"/>
      <c r="BOG387" s="11"/>
      <c r="BOH387" s="11"/>
      <c r="BOI387" s="11"/>
      <c r="BOJ387" s="11"/>
      <c r="BOK387" s="11"/>
      <c r="BOL387" s="11"/>
      <c r="BOM387" s="11"/>
      <c r="BON387" s="11"/>
      <c r="BOO387" s="11"/>
      <c r="BOP387" s="11"/>
      <c r="BOQ387" s="11"/>
      <c r="BOR387" s="11"/>
      <c r="BOS387" s="11"/>
      <c r="BOT387" s="11"/>
      <c r="BOU387" s="11"/>
      <c r="BOV387" s="11"/>
      <c r="BOW387" s="11"/>
      <c r="BOX387" s="11"/>
      <c r="BOY387" s="11"/>
      <c r="BOZ387" s="11"/>
      <c r="BPA387" s="11"/>
      <c r="BPB387" s="11"/>
      <c r="BPC387" s="11"/>
      <c r="BPD387" s="11"/>
      <c r="BPE387" s="11"/>
      <c r="BPF387" s="11"/>
      <c r="BPG387" s="11"/>
      <c r="BPH387" s="11"/>
      <c r="BPI387" s="11"/>
      <c r="BPJ387" s="11"/>
      <c r="BPK387" s="11"/>
      <c r="BPL387" s="11"/>
      <c r="BPM387" s="11"/>
      <c r="BPN387" s="11"/>
      <c r="BPO387" s="11"/>
      <c r="BPP387" s="11"/>
      <c r="BPQ387" s="11"/>
      <c r="BPR387" s="11"/>
      <c r="BPS387" s="11"/>
      <c r="BPT387" s="11"/>
      <c r="BPU387" s="11"/>
      <c r="BPV387" s="11"/>
      <c r="BPW387" s="11"/>
      <c r="BPX387" s="11"/>
      <c r="BPY387" s="11"/>
      <c r="BPZ387" s="11"/>
      <c r="BQA387" s="11"/>
      <c r="BQB387" s="11"/>
      <c r="BQC387" s="11"/>
      <c r="BQD387" s="11"/>
      <c r="BQE387" s="11"/>
      <c r="BQF387" s="11"/>
      <c r="BQG387" s="11"/>
      <c r="BQH387" s="11"/>
      <c r="BQI387" s="11"/>
      <c r="BQJ387" s="11"/>
      <c r="BQK387" s="11"/>
      <c r="BQL387" s="11"/>
      <c r="BQM387" s="11"/>
      <c r="BQN387" s="11"/>
      <c r="BQO387" s="11"/>
      <c r="BQP387" s="11"/>
      <c r="BQQ387" s="11"/>
      <c r="BQR387" s="11"/>
      <c r="BQS387" s="11"/>
      <c r="BQT387" s="11"/>
      <c r="BQU387" s="11"/>
      <c r="BQV387" s="11"/>
      <c r="BQW387" s="11"/>
      <c r="BQX387" s="11"/>
      <c r="BQY387" s="11"/>
      <c r="BQZ387" s="11"/>
      <c r="BRA387" s="11"/>
      <c r="BRB387" s="11"/>
      <c r="BRC387" s="11"/>
      <c r="BRD387" s="11"/>
      <c r="BRE387" s="11"/>
      <c r="BRF387" s="11"/>
      <c r="BRG387" s="11"/>
      <c r="BRH387" s="11"/>
      <c r="BRI387" s="11"/>
      <c r="BRJ387" s="11"/>
      <c r="BRK387" s="11"/>
      <c r="BRL387" s="11"/>
      <c r="BRM387" s="11"/>
      <c r="BRN387" s="11"/>
      <c r="BRO387" s="11"/>
      <c r="BRP387" s="11"/>
      <c r="BRQ387" s="11"/>
      <c r="BRR387" s="11"/>
      <c r="BRS387" s="11"/>
      <c r="BRT387" s="11"/>
      <c r="BRU387" s="11"/>
      <c r="BRV387" s="11"/>
      <c r="BRW387" s="11"/>
      <c r="BRX387" s="11"/>
      <c r="BRY387" s="11"/>
      <c r="BRZ387" s="11"/>
      <c r="BSA387" s="11"/>
      <c r="BSB387" s="11"/>
      <c r="BSC387" s="11"/>
      <c r="BSD387" s="11"/>
      <c r="BSE387" s="11"/>
      <c r="BSF387" s="11"/>
      <c r="BSG387" s="11"/>
      <c r="BSH387" s="11"/>
      <c r="BSI387" s="11"/>
      <c r="BSJ387" s="11"/>
      <c r="BSK387" s="11"/>
      <c r="BSL387" s="11"/>
      <c r="BSM387" s="11"/>
      <c r="BSN387" s="11"/>
      <c r="BSO387" s="11"/>
      <c r="BSP387" s="11"/>
      <c r="BSQ387" s="11"/>
      <c r="BSR387" s="11"/>
      <c r="BSS387" s="11"/>
      <c r="BST387" s="11"/>
      <c r="BSU387" s="11"/>
      <c r="BSV387" s="11"/>
      <c r="BSW387" s="11"/>
      <c r="BSX387" s="11"/>
      <c r="BSY387" s="11"/>
      <c r="BSZ387" s="11"/>
      <c r="BTA387" s="11"/>
      <c r="BTB387" s="11"/>
      <c r="BTC387" s="11"/>
      <c r="BTD387" s="11"/>
      <c r="BTE387" s="11"/>
      <c r="BTF387" s="11"/>
      <c r="BTG387" s="11"/>
      <c r="BTH387" s="11"/>
      <c r="BTI387" s="11"/>
      <c r="BTJ387" s="11"/>
      <c r="BTK387" s="11"/>
      <c r="BTL387" s="11"/>
      <c r="BTM387" s="11"/>
      <c r="BTN387" s="11"/>
      <c r="BTO387" s="11"/>
      <c r="BTP387" s="11"/>
      <c r="BTQ387" s="11"/>
      <c r="BTR387" s="11"/>
      <c r="BTS387" s="11"/>
      <c r="BTT387" s="11"/>
    </row>
    <row r="388" spans="1:1892" s="10" customFormat="1" ht="35.1" customHeight="1">
      <c r="A388" s="1241"/>
      <c r="B388" s="537" t="s">
        <v>22</v>
      </c>
      <c r="C388" s="537" t="s">
        <v>96</v>
      </c>
      <c r="D388" s="570" t="s">
        <v>98</v>
      </c>
      <c r="E388" s="571"/>
      <c r="F388" s="572"/>
      <c r="G388" s="566" t="s">
        <v>258</v>
      </c>
      <c r="H388" s="566" t="s">
        <v>259</v>
      </c>
      <c r="I388" s="566" t="s">
        <v>259</v>
      </c>
      <c r="J388" s="537" t="s">
        <v>67</v>
      </c>
      <c r="K388" s="537" t="s">
        <v>66</v>
      </c>
      <c r="L388" s="131">
        <v>10.44</v>
      </c>
      <c r="M388" s="231">
        <v>12</v>
      </c>
      <c r="N388" s="132">
        <v>0</v>
      </c>
      <c r="O388" s="132">
        <v>0</v>
      </c>
      <c r="P388" s="511" t="s">
        <v>441</v>
      </c>
      <c r="Q388" s="511" t="s">
        <v>441</v>
      </c>
      <c r="R388" s="511" t="s">
        <v>442</v>
      </c>
      <c r="S388" s="651" t="s">
        <v>57</v>
      </c>
      <c r="T388" s="629"/>
      <c r="U388" s="629" t="s">
        <v>11</v>
      </c>
    </row>
    <row r="389" spans="1:1892" s="10" customFormat="1" ht="35.1" customHeight="1">
      <c r="A389" s="1241"/>
      <c r="B389" s="538"/>
      <c r="C389" s="538"/>
      <c r="D389" s="573"/>
      <c r="E389" s="574"/>
      <c r="F389" s="575"/>
      <c r="G389" s="567"/>
      <c r="H389" s="567"/>
      <c r="I389" s="567"/>
      <c r="J389" s="538"/>
      <c r="K389" s="538"/>
      <c r="L389" s="131">
        <v>13.44</v>
      </c>
      <c r="M389" s="231">
        <v>12</v>
      </c>
      <c r="N389" s="132">
        <v>0</v>
      </c>
      <c r="O389" s="132">
        <v>0</v>
      </c>
      <c r="P389" s="512"/>
      <c r="Q389" s="512"/>
      <c r="R389" s="512"/>
      <c r="S389" s="652"/>
      <c r="T389" s="630"/>
      <c r="U389" s="630"/>
    </row>
    <row r="390" spans="1:1892" s="10" customFormat="1" ht="35.1" customHeight="1">
      <c r="A390" s="1241"/>
      <c r="B390" s="538"/>
      <c r="C390" s="538"/>
      <c r="D390" s="573"/>
      <c r="E390" s="574"/>
      <c r="F390" s="575"/>
      <c r="G390" s="567"/>
      <c r="H390" s="567"/>
      <c r="I390" s="567"/>
      <c r="J390" s="538"/>
      <c r="K390" s="538"/>
      <c r="L390" s="131">
        <v>13.58</v>
      </c>
      <c r="M390" s="231">
        <v>12</v>
      </c>
      <c r="N390" s="132">
        <v>0</v>
      </c>
      <c r="O390" s="132">
        <v>0</v>
      </c>
      <c r="P390" s="512"/>
      <c r="Q390" s="512"/>
      <c r="R390" s="512"/>
      <c r="S390" s="652"/>
      <c r="T390" s="630"/>
      <c r="U390" s="630"/>
    </row>
    <row r="391" spans="1:1892" s="10" customFormat="1" ht="35.1" customHeight="1">
      <c r="A391" s="1241"/>
      <c r="B391" s="538"/>
      <c r="C391" s="538"/>
      <c r="D391" s="573"/>
      <c r="E391" s="574"/>
      <c r="F391" s="575"/>
      <c r="G391" s="567"/>
      <c r="H391" s="567"/>
      <c r="I391" s="567"/>
      <c r="J391" s="538"/>
      <c r="K391" s="538"/>
      <c r="L391" s="131">
        <v>14.86</v>
      </c>
      <c r="M391" s="231">
        <v>12</v>
      </c>
      <c r="N391" s="132">
        <v>0</v>
      </c>
      <c r="O391" s="132">
        <v>0</v>
      </c>
      <c r="P391" s="512"/>
      <c r="Q391" s="512"/>
      <c r="R391" s="512"/>
      <c r="S391" s="652"/>
      <c r="T391" s="630"/>
      <c r="U391" s="630"/>
    </row>
    <row r="392" spans="1:1892" s="10" customFormat="1" ht="35.1" customHeight="1">
      <c r="A392" s="1241"/>
      <c r="B392" s="538"/>
      <c r="C392" s="538"/>
      <c r="D392" s="573"/>
      <c r="E392" s="574"/>
      <c r="F392" s="575"/>
      <c r="G392" s="567"/>
      <c r="H392" s="567"/>
      <c r="I392" s="567"/>
      <c r="J392" s="538"/>
      <c r="K392" s="538"/>
      <c r="L392" s="131">
        <v>18.739999999999998</v>
      </c>
      <c r="M392" s="231">
        <v>12</v>
      </c>
      <c r="N392" s="132">
        <v>0</v>
      </c>
      <c r="O392" s="132">
        <v>0</v>
      </c>
      <c r="P392" s="512"/>
      <c r="Q392" s="512"/>
      <c r="R392" s="512"/>
      <c r="S392" s="652"/>
      <c r="T392" s="630"/>
      <c r="U392" s="630"/>
    </row>
    <row r="393" spans="1:1892" s="10" customFormat="1" ht="35.1" customHeight="1">
      <c r="A393" s="1241"/>
      <c r="B393" s="538"/>
      <c r="C393" s="538"/>
      <c r="D393" s="573"/>
      <c r="E393" s="574"/>
      <c r="F393" s="575"/>
      <c r="G393" s="567"/>
      <c r="H393" s="567"/>
      <c r="I393" s="567"/>
      <c r="J393" s="538"/>
      <c r="K393" s="538"/>
      <c r="L393" s="131">
        <v>19.600000000000001</v>
      </c>
      <c r="M393" s="231">
        <v>12</v>
      </c>
      <c r="N393" s="132">
        <v>0</v>
      </c>
      <c r="O393" s="132">
        <v>0</v>
      </c>
      <c r="P393" s="512"/>
      <c r="Q393" s="512"/>
      <c r="R393" s="512"/>
      <c r="S393" s="652"/>
      <c r="T393" s="630"/>
      <c r="U393" s="630"/>
    </row>
    <row r="394" spans="1:1892" s="10" customFormat="1" ht="35.1" customHeight="1">
      <c r="A394" s="1241"/>
      <c r="B394" s="538"/>
      <c r="C394" s="538"/>
      <c r="D394" s="573"/>
      <c r="E394" s="574"/>
      <c r="F394" s="575"/>
      <c r="G394" s="568"/>
      <c r="H394" s="568"/>
      <c r="I394" s="568"/>
      <c r="J394" s="539"/>
      <c r="K394" s="539"/>
      <c r="L394" s="131">
        <v>21.09</v>
      </c>
      <c r="M394" s="231">
        <v>12</v>
      </c>
      <c r="N394" s="132">
        <v>0</v>
      </c>
      <c r="O394" s="132">
        <v>0</v>
      </c>
      <c r="P394" s="512"/>
      <c r="Q394" s="512"/>
      <c r="R394" s="512"/>
      <c r="S394" s="652"/>
      <c r="T394" s="630"/>
      <c r="U394" s="630"/>
    </row>
    <row r="395" spans="1:1892" s="10" customFormat="1" ht="35.1" customHeight="1">
      <c r="A395" s="1241"/>
      <c r="B395" s="538"/>
      <c r="C395" s="539"/>
      <c r="D395" s="576"/>
      <c r="E395" s="577"/>
      <c r="F395" s="578"/>
      <c r="G395" s="463" t="s">
        <v>329</v>
      </c>
      <c r="H395" s="464"/>
      <c r="I395" s="464"/>
      <c r="J395" s="464"/>
      <c r="K395" s="465"/>
      <c r="L395" s="133"/>
      <c r="M395" s="225">
        <f>SUM(M388:M394)</f>
        <v>84</v>
      </c>
      <c r="N395" s="263">
        <f>SUM(N388:N394)</f>
        <v>0</v>
      </c>
      <c r="O395" s="263">
        <f>SUM(O388:O394)</f>
        <v>0</v>
      </c>
      <c r="P395" s="513"/>
      <c r="Q395" s="513"/>
      <c r="R395" s="513"/>
      <c r="S395" s="653"/>
      <c r="T395" s="631"/>
      <c r="U395" s="631"/>
    </row>
    <row r="396" spans="1:1892" s="12" customFormat="1" ht="35.1" customHeight="1">
      <c r="A396" s="1241"/>
      <c r="B396" s="538"/>
      <c r="C396" s="537" t="s">
        <v>312</v>
      </c>
      <c r="D396" s="570" t="s">
        <v>313</v>
      </c>
      <c r="E396" s="571"/>
      <c r="F396" s="572"/>
      <c r="G396" s="654" t="s">
        <v>260</v>
      </c>
      <c r="H396" s="654" t="s">
        <v>260</v>
      </c>
      <c r="I396" s="654" t="s">
        <v>260</v>
      </c>
      <c r="J396" s="537" t="s">
        <v>67</v>
      </c>
      <c r="K396" s="537" t="s">
        <v>66</v>
      </c>
      <c r="L396" s="131">
        <v>84.926500000000004</v>
      </c>
      <c r="M396" s="231">
        <v>622</v>
      </c>
      <c r="N396" s="132">
        <v>0</v>
      </c>
      <c r="O396" s="132">
        <v>0</v>
      </c>
      <c r="P396" s="511" t="s">
        <v>443</v>
      </c>
      <c r="Q396" s="511" t="s">
        <v>444</v>
      </c>
      <c r="R396" s="511" t="s">
        <v>445</v>
      </c>
      <c r="S396" s="814" t="s">
        <v>57</v>
      </c>
      <c r="T396" s="629" t="s">
        <v>97</v>
      </c>
      <c r="U396" s="629" t="s">
        <v>17</v>
      </c>
    </row>
    <row r="397" spans="1:1892" s="12" customFormat="1" ht="35.1" customHeight="1">
      <c r="A397" s="1241"/>
      <c r="B397" s="538"/>
      <c r="C397" s="538"/>
      <c r="D397" s="573"/>
      <c r="E397" s="574"/>
      <c r="F397" s="575"/>
      <c r="G397" s="655"/>
      <c r="H397" s="655"/>
      <c r="I397" s="655"/>
      <c r="J397" s="539"/>
      <c r="K397" s="539"/>
      <c r="L397" s="131">
        <v>84.926500000000004</v>
      </c>
      <c r="M397" s="231">
        <v>100</v>
      </c>
      <c r="N397" s="132">
        <v>0</v>
      </c>
      <c r="O397" s="132">
        <v>0</v>
      </c>
      <c r="P397" s="512"/>
      <c r="Q397" s="512"/>
      <c r="R397" s="512"/>
      <c r="S397" s="815"/>
      <c r="T397" s="630"/>
      <c r="U397" s="630"/>
    </row>
    <row r="398" spans="1:1892" s="12" customFormat="1" ht="35.1" customHeight="1">
      <c r="A398" s="1241"/>
      <c r="B398" s="538"/>
      <c r="C398" s="539"/>
      <c r="D398" s="576"/>
      <c r="E398" s="577"/>
      <c r="F398" s="578"/>
      <c r="G398" s="463" t="s">
        <v>329</v>
      </c>
      <c r="H398" s="464"/>
      <c r="I398" s="464"/>
      <c r="J398" s="464"/>
      <c r="K398" s="465"/>
      <c r="L398" s="136"/>
      <c r="M398" s="236">
        <f>SUM(M396:M397)</f>
        <v>722</v>
      </c>
      <c r="N398" s="393">
        <f>SUM(N396:N397)</f>
        <v>0</v>
      </c>
      <c r="O398" s="393">
        <f>SUM(O396:O397)</f>
        <v>0</v>
      </c>
      <c r="P398" s="513"/>
      <c r="Q398" s="513"/>
      <c r="R398" s="513"/>
      <c r="S398" s="816"/>
      <c r="T398" s="631"/>
      <c r="U398" s="631"/>
    </row>
    <row r="399" spans="1:1892" s="12" customFormat="1" ht="35.1" customHeight="1">
      <c r="A399" s="1241"/>
      <c r="B399" s="538"/>
      <c r="C399" s="537" t="s">
        <v>96</v>
      </c>
      <c r="D399" s="570" t="s">
        <v>95</v>
      </c>
      <c r="E399" s="571"/>
      <c r="F399" s="572"/>
      <c r="G399" s="635" t="s">
        <v>261</v>
      </c>
      <c r="H399" s="635" t="s">
        <v>261</v>
      </c>
      <c r="I399" s="635" t="s">
        <v>261</v>
      </c>
      <c r="J399" s="537" t="s">
        <v>67</v>
      </c>
      <c r="K399" s="537" t="s">
        <v>66</v>
      </c>
      <c r="L399" s="131">
        <v>33.343000000000004</v>
      </c>
      <c r="M399" s="231">
        <v>17</v>
      </c>
      <c r="N399" s="132">
        <v>0</v>
      </c>
      <c r="O399" s="132">
        <v>0</v>
      </c>
      <c r="P399" s="511" t="s">
        <v>426</v>
      </c>
      <c r="Q399" s="511" t="s">
        <v>446</v>
      </c>
      <c r="R399" s="511" t="s">
        <v>446</v>
      </c>
      <c r="S399" s="814" t="s">
        <v>57</v>
      </c>
      <c r="T399" s="629"/>
      <c r="U399" s="629" t="s">
        <v>11</v>
      </c>
    </row>
    <row r="400" spans="1:1892" s="12" customFormat="1" ht="35.1" customHeight="1">
      <c r="A400" s="1241"/>
      <c r="B400" s="538"/>
      <c r="C400" s="538"/>
      <c r="D400" s="573"/>
      <c r="E400" s="574"/>
      <c r="F400" s="575"/>
      <c r="G400" s="636"/>
      <c r="H400" s="636"/>
      <c r="I400" s="636"/>
      <c r="J400" s="538"/>
      <c r="K400" s="538"/>
      <c r="L400" s="131">
        <v>66.69</v>
      </c>
      <c r="M400" s="231">
        <v>17</v>
      </c>
      <c r="N400" s="132">
        <v>0</v>
      </c>
      <c r="O400" s="132">
        <v>0</v>
      </c>
      <c r="P400" s="512"/>
      <c r="Q400" s="512"/>
      <c r="R400" s="512"/>
      <c r="S400" s="815"/>
      <c r="T400" s="630"/>
      <c r="U400" s="630"/>
    </row>
    <row r="401" spans="1:21" s="12" customFormat="1" ht="35.1" customHeight="1">
      <c r="A401" s="1241"/>
      <c r="B401" s="538"/>
      <c r="C401" s="538"/>
      <c r="D401" s="573"/>
      <c r="E401" s="574"/>
      <c r="F401" s="575"/>
      <c r="G401" s="637"/>
      <c r="H401" s="637"/>
      <c r="I401" s="637"/>
      <c r="J401" s="539"/>
      <c r="K401" s="539"/>
      <c r="L401" s="131">
        <v>71.734499999999997</v>
      </c>
      <c r="M401" s="231">
        <v>17</v>
      </c>
      <c r="N401" s="132">
        <v>0</v>
      </c>
      <c r="O401" s="132">
        <v>0</v>
      </c>
      <c r="P401" s="512"/>
      <c r="Q401" s="512"/>
      <c r="R401" s="512"/>
      <c r="S401" s="815"/>
      <c r="T401" s="630"/>
      <c r="U401" s="630"/>
    </row>
    <row r="402" spans="1:21" s="12" customFormat="1" ht="35.1" customHeight="1">
      <c r="A402" s="1241"/>
      <c r="B402" s="538"/>
      <c r="C402" s="539"/>
      <c r="D402" s="576"/>
      <c r="E402" s="577"/>
      <c r="F402" s="578"/>
      <c r="G402" s="463" t="s">
        <v>329</v>
      </c>
      <c r="H402" s="464"/>
      <c r="I402" s="464"/>
      <c r="J402" s="464"/>
      <c r="K402" s="465"/>
      <c r="L402" s="136"/>
      <c r="M402" s="236">
        <f>SUM(M399:M401)</f>
        <v>51</v>
      </c>
      <c r="N402" s="393">
        <f>SUM(N399:N401)</f>
        <v>0</v>
      </c>
      <c r="O402" s="393">
        <f>SUM(O399:O401)</f>
        <v>0</v>
      </c>
      <c r="P402" s="513"/>
      <c r="Q402" s="513"/>
      <c r="R402" s="513"/>
      <c r="S402" s="816"/>
      <c r="T402" s="631"/>
      <c r="U402" s="631"/>
    </row>
    <row r="403" spans="1:21" s="12" customFormat="1" ht="35.1" customHeight="1">
      <c r="A403" s="1241"/>
      <c r="B403" s="538"/>
      <c r="C403" s="478" t="s">
        <v>96</v>
      </c>
      <c r="D403" s="1657" t="s">
        <v>330</v>
      </c>
      <c r="E403" s="1658"/>
      <c r="F403" s="1659"/>
      <c r="G403" s="566" t="s">
        <v>331</v>
      </c>
      <c r="H403" s="566" t="s">
        <v>332</v>
      </c>
      <c r="I403" s="566" t="s">
        <v>333</v>
      </c>
      <c r="J403" s="687" t="s">
        <v>11</v>
      </c>
      <c r="K403" s="687" t="s">
        <v>12</v>
      </c>
      <c r="L403" s="172" t="s">
        <v>334</v>
      </c>
      <c r="M403" s="231">
        <v>18</v>
      </c>
      <c r="N403" s="261">
        <v>18</v>
      </c>
      <c r="O403" s="261">
        <v>18</v>
      </c>
      <c r="P403" s="656" t="s">
        <v>436</v>
      </c>
      <c r="Q403" s="511" t="s">
        <v>417</v>
      </c>
      <c r="R403" s="511" t="s">
        <v>440</v>
      </c>
      <c r="S403" s="559" t="s">
        <v>57</v>
      </c>
      <c r="T403" s="544"/>
      <c r="U403" s="544" t="s">
        <v>11</v>
      </c>
    </row>
    <row r="404" spans="1:21" s="12" customFormat="1" ht="35.1" customHeight="1">
      <c r="A404" s="1241"/>
      <c r="B404" s="538"/>
      <c r="C404" s="479"/>
      <c r="D404" s="1660"/>
      <c r="E404" s="1661"/>
      <c r="F404" s="1662"/>
      <c r="G404" s="567"/>
      <c r="H404" s="567"/>
      <c r="I404" s="567"/>
      <c r="J404" s="688"/>
      <c r="K404" s="688"/>
      <c r="L404" s="172" t="s">
        <v>335</v>
      </c>
      <c r="M404" s="231">
        <v>18</v>
      </c>
      <c r="N404" s="261">
        <v>18</v>
      </c>
      <c r="O404" s="261">
        <v>18</v>
      </c>
      <c r="P404" s="657"/>
      <c r="Q404" s="512"/>
      <c r="R404" s="512"/>
      <c r="S404" s="560"/>
      <c r="T404" s="545"/>
      <c r="U404" s="545"/>
    </row>
    <row r="405" spans="1:21" s="12" customFormat="1" ht="35.1" customHeight="1">
      <c r="A405" s="1241"/>
      <c r="B405" s="538"/>
      <c r="C405" s="479"/>
      <c r="D405" s="1660"/>
      <c r="E405" s="1661"/>
      <c r="F405" s="1662"/>
      <c r="G405" s="567"/>
      <c r="H405" s="567"/>
      <c r="I405" s="567"/>
      <c r="J405" s="688"/>
      <c r="K405" s="688"/>
      <c r="L405" s="172" t="s">
        <v>336</v>
      </c>
      <c r="M405" s="231">
        <v>18</v>
      </c>
      <c r="N405" s="261">
        <v>18</v>
      </c>
      <c r="O405" s="261">
        <v>18</v>
      </c>
      <c r="P405" s="657"/>
      <c r="Q405" s="512"/>
      <c r="R405" s="512"/>
      <c r="S405" s="560"/>
      <c r="T405" s="545"/>
      <c r="U405" s="545"/>
    </row>
    <row r="406" spans="1:21" s="12" customFormat="1" ht="35.1" customHeight="1">
      <c r="A406" s="1241"/>
      <c r="B406" s="538"/>
      <c r="C406" s="479"/>
      <c r="D406" s="1660"/>
      <c r="E406" s="1661"/>
      <c r="F406" s="1662"/>
      <c r="G406" s="567"/>
      <c r="H406" s="567"/>
      <c r="I406" s="567"/>
      <c r="J406" s="688"/>
      <c r="K406" s="688"/>
      <c r="L406" s="172" t="s">
        <v>337</v>
      </c>
      <c r="M406" s="231">
        <v>17</v>
      </c>
      <c r="N406" s="261">
        <v>17</v>
      </c>
      <c r="O406" s="261">
        <v>17</v>
      </c>
      <c r="P406" s="657"/>
      <c r="Q406" s="512"/>
      <c r="R406" s="512"/>
      <c r="S406" s="560"/>
      <c r="T406" s="545"/>
      <c r="U406" s="545"/>
    </row>
    <row r="407" spans="1:21" s="12" customFormat="1" ht="35.1" customHeight="1">
      <c r="A407" s="1241"/>
      <c r="B407" s="538"/>
      <c r="C407" s="479"/>
      <c r="D407" s="1660"/>
      <c r="E407" s="1661"/>
      <c r="F407" s="1662"/>
      <c r="G407" s="567"/>
      <c r="H407" s="567"/>
      <c r="I407" s="567"/>
      <c r="J407" s="688"/>
      <c r="K407" s="688"/>
      <c r="L407" s="172" t="s">
        <v>338</v>
      </c>
      <c r="M407" s="231">
        <v>17</v>
      </c>
      <c r="N407" s="261">
        <v>13</v>
      </c>
      <c r="O407" s="261">
        <v>13</v>
      </c>
      <c r="P407" s="657"/>
      <c r="Q407" s="512"/>
      <c r="R407" s="512"/>
      <c r="S407" s="560"/>
      <c r="T407" s="545"/>
      <c r="U407" s="545"/>
    </row>
    <row r="408" spans="1:21" s="12" customFormat="1" ht="35.1" customHeight="1">
      <c r="A408" s="1241"/>
      <c r="B408" s="538"/>
      <c r="C408" s="479"/>
      <c r="D408" s="1660"/>
      <c r="E408" s="1661"/>
      <c r="F408" s="1662"/>
      <c r="G408" s="567"/>
      <c r="H408" s="567"/>
      <c r="I408" s="567"/>
      <c r="J408" s="688"/>
      <c r="K408" s="688"/>
      <c r="L408" s="172" t="s">
        <v>339</v>
      </c>
      <c r="M408" s="231">
        <v>18</v>
      </c>
      <c r="N408" s="261">
        <v>16</v>
      </c>
      <c r="O408" s="261">
        <v>16</v>
      </c>
      <c r="P408" s="657"/>
      <c r="Q408" s="512"/>
      <c r="R408" s="512"/>
      <c r="S408" s="560"/>
      <c r="T408" s="545"/>
      <c r="U408" s="545"/>
    </row>
    <row r="409" spans="1:21" s="12" customFormat="1" ht="35.1" customHeight="1">
      <c r="A409" s="1241"/>
      <c r="B409" s="538"/>
      <c r="C409" s="479"/>
      <c r="D409" s="1660"/>
      <c r="E409" s="1661"/>
      <c r="F409" s="1662"/>
      <c r="G409" s="568"/>
      <c r="H409" s="568"/>
      <c r="I409" s="568"/>
      <c r="J409" s="689"/>
      <c r="K409" s="689"/>
      <c r="L409" s="172" t="s">
        <v>340</v>
      </c>
      <c r="M409" s="231">
        <v>1</v>
      </c>
      <c r="N409" s="261">
        <v>1</v>
      </c>
      <c r="O409" s="261">
        <v>1</v>
      </c>
      <c r="P409" s="657"/>
      <c r="Q409" s="512"/>
      <c r="R409" s="512"/>
      <c r="S409" s="560"/>
      <c r="T409" s="545"/>
      <c r="U409" s="545"/>
    </row>
    <row r="410" spans="1:21" s="12" customFormat="1" ht="35.1" customHeight="1">
      <c r="A410" s="1241"/>
      <c r="B410" s="538"/>
      <c r="C410" s="480"/>
      <c r="D410" s="1663"/>
      <c r="E410" s="1664"/>
      <c r="F410" s="1665"/>
      <c r="G410" s="463" t="s">
        <v>329</v>
      </c>
      <c r="H410" s="464"/>
      <c r="I410" s="464"/>
      <c r="J410" s="464"/>
      <c r="K410" s="465"/>
      <c r="L410" s="145"/>
      <c r="M410" s="225">
        <f>SUM(M403:M409)</f>
        <v>107</v>
      </c>
      <c r="N410" s="263">
        <f>SUM(N403:N409)</f>
        <v>101</v>
      </c>
      <c r="O410" s="263">
        <f>SUM(O403:O409)</f>
        <v>101</v>
      </c>
      <c r="P410" s="658"/>
      <c r="Q410" s="513"/>
      <c r="R410" s="513"/>
      <c r="S410" s="561"/>
      <c r="T410" s="546"/>
      <c r="U410" s="546"/>
    </row>
    <row r="411" spans="1:21" s="12" customFormat="1" ht="35.1" customHeight="1">
      <c r="A411" s="1241"/>
      <c r="B411" s="538"/>
      <c r="C411" s="537" t="s">
        <v>96</v>
      </c>
      <c r="D411" s="756" t="s">
        <v>135</v>
      </c>
      <c r="E411" s="757"/>
      <c r="F411" s="758"/>
      <c r="G411" s="638" t="s">
        <v>262</v>
      </c>
      <c r="H411" s="638" t="s">
        <v>263</v>
      </c>
      <c r="I411" s="638" t="s">
        <v>289</v>
      </c>
      <c r="J411" s="547" t="s">
        <v>11</v>
      </c>
      <c r="K411" s="547" t="s">
        <v>12</v>
      </c>
      <c r="L411" s="131" t="s">
        <v>125</v>
      </c>
      <c r="M411" s="231">
        <v>102</v>
      </c>
      <c r="N411" s="132">
        <v>0</v>
      </c>
      <c r="O411" s="132">
        <v>0</v>
      </c>
      <c r="P411" s="511" t="s">
        <v>447</v>
      </c>
      <c r="Q411" s="511" t="s">
        <v>448</v>
      </c>
      <c r="R411" s="999">
        <v>45261</v>
      </c>
      <c r="S411" s="662" t="s">
        <v>518</v>
      </c>
      <c r="T411" s="547"/>
      <c r="U411" s="547" t="s">
        <v>11</v>
      </c>
    </row>
    <row r="412" spans="1:21" s="12" customFormat="1" ht="35.1" customHeight="1">
      <c r="A412" s="1241"/>
      <c r="B412" s="538"/>
      <c r="C412" s="538"/>
      <c r="D412" s="759"/>
      <c r="E412" s="760"/>
      <c r="F412" s="761"/>
      <c r="G412" s="640"/>
      <c r="H412" s="640"/>
      <c r="I412" s="640"/>
      <c r="J412" s="549"/>
      <c r="K412" s="549"/>
      <c r="L412" s="131" t="s">
        <v>126</v>
      </c>
      <c r="M412" s="231">
        <v>52</v>
      </c>
      <c r="N412" s="132">
        <v>0</v>
      </c>
      <c r="O412" s="132">
        <v>0</v>
      </c>
      <c r="P412" s="512"/>
      <c r="Q412" s="512"/>
      <c r="R412" s="1000"/>
      <c r="S412" s="663"/>
      <c r="T412" s="548"/>
      <c r="U412" s="548"/>
    </row>
    <row r="413" spans="1:21" s="12" customFormat="1" ht="35.1" customHeight="1">
      <c r="A413" s="1241"/>
      <c r="B413" s="538"/>
      <c r="C413" s="539"/>
      <c r="D413" s="762"/>
      <c r="E413" s="763"/>
      <c r="F413" s="764"/>
      <c r="G413" s="463" t="s">
        <v>329</v>
      </c>
      <c r="H413" s="464"/>
      <c r="I413" s="464"/>
      <c r="J413" s="464"/>
      <c r="K413" s="465"/>
      <c r="L413" s="136"/>
      <c r="M413" s="236">
        <f>SUM(M411:M412)</f>
        <v>154</v>
      </c>
      <c r="N413" s="393">
        <f>SUM(N411:N412)</f>
        <v>0</v>
      </c>
      <c r="O413" s="393">
        <f>SUM(O411:O412)</f>
        <v>0</v>
      </c>
      <c r="P413" s="513"/>
      <c r="Q413" s="513"/>
      <c r="R413" s="1001"/>
      <c r="S413" s="664"/>
      <c r="T413" s="549"/>
      <c r="U413" s="549"/>
    </row>
    <row r="414" spans="1:21" s="12" customFormat="1" ht="35.1" customHeight="1">
      <c r="A414" s="1241"/>
      <c r="B414" s="538"/>
      <c r="C414" s="537" t="s">
        <v>96</v>
      </c>
      <c r="D414" s="756" t="s">
        <v>131</v>
      </c>
      <c r="E414" s="757"/>
      <c r="F414" s="758"/>
      <c r="G414" s="635" t="s">
        <v>264</v>
      </c>
      <c r="H414" s="635" t="s">
        <v>265</v>
      </c>
      <c r="I414" s="638" t="s">
        <v>290</v>
      </c>
      <c r="J414" s="632" t="s">
        <v>11</v>
      </c>
      <c r="K414" s="632" t="s">
        <v>12</v>
      </c>
      <c r="L414" s="131">
        <v>63.734200000000001</v>
      </c>
      <c r="M414" s="231">
        <v>32</v>
      </c>
      <c r="N414" s="132">
        <v>0</v>
      </c>
      <c r="O414" s="132">
        <v>0</v>
      </c>
      <c r="P414" s="511" t="s">
        <v>415</v>
      </c>
      <c r="Q414" s="511" t="s">
        <v>420</v>
      </c>
      <c r="R414" s="511" t="s">
        <v>403</v>
      </c>
      <c r="S414" s="662" t="s">
        <v>57</v>
      </c>
      <c r="T414" s="547"/>
      <c r="U414" s="547" t="s">
        <v>11</v>
      </c>
    </row>
    <row r="415" spans="1:21" s="12" customFormat="1" ht="35.1" customHeight="1">
      <c r="A415" s="1241"/>
      <c r="B415" s="538"/>
      <c r="C415" s="538"/>
      <c r="D415" s="759"/>
      <c r="E415" s="760"/>
      <c r="F415" s="761"/>
      <c r="G415" s="636"/>
      <c r="H415" s="636"/>
      <c r="I415" s="639"/>
      <c r="J415" s="633"/>
      <c r="K415" s="633"/>
      <c r="L415" s="131" t="s">
        <v>133</v>
      </c>
      <c r="M415" s="231">
        <v>32</v>
      </c>
      <c r="N415" s="132">
        <v>0</v>
      </c>
      <c r="O415" s="132">
        <v>0</v>
      </c>
      <c r="P415" s="512"/>
      <c r="Q415" s="512"/>
      <c r="R415" s="512"/>
      <c r="S415" s="663"/>
      <c r="T415" s="548"/>
      <c r="U415" s="548"/>
    </row>
    <row r="416" spans="1:21" s="12" customFormat="1" ht="35.1" customHeight="1">
      <c r="A416" s="1241"/>
      <c r="B416" s="538"/>
      <c r="C416" s="538"/>
      <c r="D416" s="759"/>
      <c r="E416" s="760"/>
      <c r="F416" s="761"/>
      <c r="G416" s="637"/>
      <c r="H416" s="637"/>
      <c r="I416" s="640"/>
      <c r="J416" s="634"/>
      <c r="K416" s="634"/>
      <c r="L416" s="131" t="s">
        <v>134</v>
      </c>
      <c r="M416" s="231">
        <v>32</v>
      </c>
      <c r="N416" s="132">
        <v>0</v>
      </c>
      <c r="O416" s="132">
        <v>0</v>
      </c>
      <c r="P416" s="512"/>
      <c r="Q416" s="512"/>
      <c r="R416" s="512"/>
      <c r="S416" s="663"/>
      <c r="T416" s="548"/>
      <c r="U416" s="548"/>
    </row>
    <row r="417" spans="1:21" s="12" customFormat="1" ht="35.1" customHeight="1">
      <c r="A417" s="1241"/>
      <c r="B417" s="538"/>
      <c r="C417" s="539"/>
      <c r="D417" s="762"/>
      <c r="E417" s="763"/>
      <c r="F417" s="764"/>
      <c r="G417" s="463" t="s">
        <v>329</v>
      </c>
      <c r="H417" s="464"/>
      <c r="I417" s="464"/>
      <c r="J417" s="464"/>
      <c r="K417" s="465"/>
      <c r="L417" s="136"/>
      <c r="M417" s="236">
        <f>SUM(M414:M416)</f>
        <v>96</v>
      </c>
      <c r="N417" s="393">
        <f>SUM(N414:N416)</f>
        <v>0</v>
      </c>
      <c r="O417" s="393">
        <f>SUM(O414:O416)</f>
        <v>0</v>
      </c>
      <c r="P417" s="513"/>
      <c r="Q417" s="513"/>
      <c r="R417" s="513"/>
      <c r="S417" s="664"/>
      <c r="T417" s="549"/>
      <c r="U417" s="549"/>
    </row>
    <row r="418" spans="1:21" s="12" customFormat="1" ht="35.1" customHeight="1">
      <c r="A418" s="1241"/>
      <c r="B418" s="538"/>
      <c r="C418" s="537" t="s">
        <v>96</v>
      </c>
      <c r="D418" s="1644" t="s">
        <v>218</v>
      </c>
      <c r="E418" s="1645"/>
      <c r="F418" s="1646"/>
      <c r="G418" s="638" t="s">
        <v>266</v>
      </c>
      <c r="H418" s="638" t="s">
        <v>267</v>
      </c>
      <c r="I418" s="638" t="s">
        <v>291</v>
      </c>
      <c r="J418" s="673" t="s">
        <v>11</v>
      </c>
      <c r="K418" s="673" t="s">
        <v>12</v>
      </c>
      <c r="L418" s="173" t="s">
        <v>219</v>
      </c>
      <c r="M418" s="230">
        <v>78</v>
      </c>
      <c r="N418" s="392">
        <v>39</v>
      </c>
      <c r="O418" s="392">
        <v>39</v>
      </c>
      <c r="P418" s="656" t="s">
        <v>414</v>
      </c>
      <c r="Q418" s="656" t="s">
        <v>422</v>
      </c>
      <c r="R418" s="656" t="s">
        <v>449</v>
      </c>
      <c r="S418" s="662" t="s">
        <v>188</v>
      </c>
      <c r="T418" s="547"/>
      <c r="U418" s="547" t="s">
        <v>11</v>
      </c>
    </row>
    <row r="419" spans="1:21" s="12" customFormat="1" ht="35.1" customHeight="1">
      <c r="A419" s="1241"/>
      <c r="B419" s="538"/>
      <c r="C419" s="538"/>
      <c r="D419" s="1647"/>
      <c r="E419" s="1648"/>
      <c r="F419" s="1649"/>
      <c r="G419" s="640"/>
      <c r="H419" s="640"/>
      <c r="I419" s="640"/>
      <c r="J419" s="674"/>
      <c r="K419" s="674"/>
      <c r="L419" s="173" t="s">
        <v>220</v>
      </c>
      <c r="M419" s="230">
        <v>4</v>
      </c>
      <c r="N419" s="392">
        <v>3</v>
      </c>
      <c r="O419" s="392">
        <v>3</v>
      </c>
      <c r="P419" s="657"/>
      <c r="Q419" s="657"/>
      <c r="R419" s="657"/>
      <c r="S419" s="663"/>
      <c r="T419" s="548"/>
      <c r="U419" s="548"/>
    </row>
    <row r="420" spans="1:21" s="12" customFormat="1" ht="35.1" customHeight="1">
      <c r="A420" s="1241"/>
      <c r="B420" s="538"/>
      <c r="C420" s="539"/>
      <c r="D420" s="1650"/>
      <c r="E420" s="1651"/>
      <c r="F420" s="1652"/>
      <c r="G420" s="463" t="s">
        <v>329</v>
      </c>
      <c r="H420" s="464"/>
      <c r="I420" s="464"/>
      <c r="J420" s="464"/>
      <c r="K420" s="465"/>
      <c r="L420" s="174"/>
      <c r="M420" s="225">
        <f>SUM(M418:M419)</f>
        <v>82</v>
      </c>
      <c r="N420" s="263">
        <f>SUM(N418:N419)</f>
        <v>42</v>
      </c>
      <c r="O420" s="263">
        <f>SUM(O418:O419)</f>
        <v>42</v>
      </c>
      <c r="P420" s="658"/>
      <c r="Q420" s="658"/>
      <c r="R420" s="658"/>
      <c r="S420" s="664"/>
      <c r="T420" s="549"/>
      <c r="U420" s="549"/>
    </row>
    <row r="421" spans="1:21" s="12" customFormat="1" ht="35.1" customHeight="1">
      <c r="A421" s="1241"/>
      <c r="B421" s="538"/>
      <c r="C421" s="537" t="s">
        <v>226</v>
      </c>
      <c r="D421" s="756" t="s">
        <v>238</v>
      </c>
      <c r="E421" s="757"/>
      <c r="F421" s="758"/>
      <c r="G421" s="635" t="s">
        <v>227</v>
      </c>
      <c r="H421" s="635" t="s">
        <v>228</v>
      </c>
      <c r="I421" s="638" t="s">
        <v>292</v>
      </c>
      <c r="J421" s="673" t="s">
        <v>236</v>
      </c>
      <c r="K421" s="673" t="s">
        <v>237</v>
      </c>
      <c r="L421" s="150" t="s">
        <v>229</v>
      </c>
      <c r="M421" s="231">
        <v>109</v>
      </c>
      <c r="N421" s="132">
        <v>0</v>
      </c>
      <c r="O421" s="132">
        <v>0</v>
      </c>
      <c r="P421" s="656" t="s">
        <v>414</v>
      </c>
      <c r="Q421" s="511" t="s">
        <v>422</v>
      </c>
      <c r="R421" s="511" t="s">
        <v>536</v>
      </c>
      <c r="S421" s="836" t="s">
        <v>57</v>
      </c>
      <c r="T421" s="547"/>
      <c r="U421" s="547" t="s">
        <v>236</v>
      </c>
    </row>
    <row r="422" spans="1:21" s="12" customFormat="1" ht="35.1" customHeight="1">
      <c r="A422" s="1241"/>
      <c r="B422" s="538"/>
      <c r="C422" s="538"/>
      <c r="D422" s="759"/>
      <c r="E422" s="760"/>
      <c r="F422" s="761"/>
      <c r="G422" s="636"/>
      <c r="H422" s="636"/>
      <c r="I422" s="639"/>
      <c r="J422" s="716"/>
      <c r="K422" s="716"/>
      <c r="L422" s="150" t="s">
        <v>230</v>
      </c>
      <c r="M422" s="231">
        <v>60</v>
      </c>
      <c r="N422" s="132">
        <v>0</v>
      </c>
      <c r="O422" s="132">
        <v>0</v>
      </c>
      <c r="P422" s="657"/>
      <c r="Q422" s="512"/>
      <c r="R422" s="512"/>
      <c r="S422" s="837"/>
      <c r="T422" s="548"/>
      <c r="U422" s="548"/>
    </row>
    <row r="423" spans="1:21" s="12" customFormat="1" ht="35.1" customHeight="1">
      <c r="A423" s="1241"/>
      <c r="B423" s="538"/>
      <c r="C423" s="538"/>
      <c r="D423" s="759"/>
      <c r="E423" s="760"/>
      <c r="F423" s="761"/>
      <c r="G423" s="636"/>
      <c r="H423" s="636"/>
      <c r="I423" s="639"/>
      <c r="J423" s="716"/>
      <c r="K423" s="716"/>
      <c r="L423" s="150" t="s">
        <v>231</v>
      </c>
      <c r="M423" s="231">
        <v>63</v>
      </c>
      <c r="N423" s="132">
        <v>0</v>
      </c>
      <c r="O423" s="132">
        <v>0</v>
      </c>
      <c r="P423" s="657"/>
      <c r="Q423" s="512"/>
      <c r="R423" s="512"/>
      <c r="S423" s="837"/>
      <c r="T423" s="548"/>
      <c r="U423" s="548"/>
    </row>
    <row r="424" spans="1:21" s="12" customFormat="1" ht="35.1" customHeight="1">
      <c r="A424" s="1241"/>
      <c r="B424" s="538"/>
      <c r="C424" s="538"/>
      <c r="D424" s="759"/>
      <c r="E424" s="760"/>
      <c r="F424" s="761"/>
      <c r="G424" s="636"/>
      <c r="H424" s="636"/>
      <c r="I424" s="639"/>
      <c r="J424" s="716"/>
      <c r="K424" s="716"/>
      <c r="L424" s="150" t="s">
        <v>232</v>
      </c>
      <c r="M424" s="231">
        <v>118</v>
      </c>
      <c r="N424" s="132">
        <v>6</v>
      </c>
      <c r="O424" s="132">
        <v>6</v>
      </c>
      <c r="P424" s="657"/>
      <c r="Q424" s="512"/>
      <c r="R424" s="512"/>
      <c r="S424" s="837"/>
      <c r="T424" s="548"/>
      <c r="U424" s="548"/>
    </row>
    <row r="425" spans="1:21" s="12" customFormat="1" ht="35.1" customHeight="1">
      <c r="A425" s="1241"/>
      <c r="B425" s="538"/>
      <c r="C425" s="538"/>
      <c r="D425" s="759"/>
      <c r="E425" s="760"/>
      <c r="F425" s="761"/>
      <c r="G425" s="636"/>
      <c r="H425" s="636"/>
      <c r="I425" s="639"/>
      <c r="J425" s="716"/>
      <c r="K425" s="716"/>
      <c r="L425" s="150" t="s">
        <v>233</v>
      </c>
      <c r="M425" s="231">
        <v>77</v>
      </c>
      <c r="N425" s="132">
        <v>8</v>
      </c>
      <c r="O425" s="132">
        <v>8</v>
      </c>
      <c r="P425" s="657"/>
      <c r="Q425" s="512"/>
      <c r="R425" s="512"/>
      <c r="S425" s="837"/>
      <c r="T425" s="548"/>
      <c r="U425" s="548"/>
    </row>
    <row r="426" spans="1:21" s="12" customFormat="1" ht="35.1" customHeight="1">
      <c r="A426" s="1241"/>
      <c r="B426" s="538"/>
      <c r="C426" s="538"/>
      <c r="D426" s="759"/>
      <c r="E426" s="760"/>
      <c r="F426" s="761"/>
      <c r="G426" s="636"/>
      <c r="H426" s="636"/>
      <c r="I426" s="639"/>
      <c r="J426" s="716"/>
      <c r="K426" s="716"/>
      <c r="L426" s="150" t="s">
        <v>234</v>
      </c>
      <c r="M426" s="231">
        <v>132</v>
      </c>
      <c r="N426" s="132">
        <v>8</v>
      </c>
      <c r="O426" s="132">
        <v>8</v>
      </c>
      <c r="P426" s="657"/>
      <c r="Q426" s="512"/>
      <c r="R426" s="512"/>
      <c r="S426" s="837"/>
      <c r="T426" s="548"/>
      <c r="U426" s="548"/>
    </row>
    <row r="427" spans="1:21" s="12" customFormat="1" ht="35.1" customHeight="1">
      <c r="A427" s="1241"/>
      <c r="B427" s="538"/>
      <c r="C427" s="538"/>
      <c r="D427" s="759"/>
      <c r="E427" s="760"/>
      <c r="F427" s="761"/>
      <c r="G427" s="637"/>
      <c r="H427" s="637"/>
      <c r="I427" s="640"/>
      <c r="J427" s="674"/>
      <c r="K427" s="674"/>
      <c r="L427" s="150" t="s">
        <v>235</v>
      </c>
      <c r="M427" s="231">
        <v>77</v>
      </c>
      <c r="N427" s="132">
        <v>18</v>
      </c>
      <c r="O427" s="132">
        <v>18</v>
      </c>
      <c r="P427" s="657"/>
      <c r="Q427" s="512"/>
      <c r="R427" s="512"/>
      <c r="S427" s="837"/>
      <c r="T427" s="548"/>
      <c r="U427" s="548"/>
    </row>
    <row r="428" spans="1:21" s="12" customFormat="1" ht="35.1" customHeight="1">
      <c r="A428" s="1241"/>
      <c r="B428" s="538"/>
      <c r="C428" s="539"/>
      <c r="D428" s="762"/>
      <c r="E428" s="763"/>
      <c r="F428" s="764"/>
      <c r="G428" s="463" t="s">
        <v>329</v>
      </c>
      <c r="H428" s="464"/>
      <c r="I428" s="464"/>
      <c r="J428" s="464"/>
      <c r="K428" s="465"/>
      <c r="L428" s="174"/>
      <c r="M428" s="225">
        <f>SUM(M421:M427)</f>
        <v>636</v>
      </c>
      <c r="N428" s="263">
        <f>SUM(N421:N427)</f>
        <v>40</v>
      </c>
      <c r="O428" s="263">
        <f>SUM(O421:O427)</f>
        <v>40</v>
      </c>
      <c r="P428" s="658"/>
      <c r="Q428" s="513"/>
      <c r="R428" s="513"/>
      <c r="S428" s="838"/>
      <c r="T428" s="549"/>
      <c r="U428" s="549"/>
    </row>
    <row r="429" spans="1:21" s="12" customFormat="1" ht="35.1" customHeight="1">
      <c r="A429" s="1241"/>
      <c r="B429" s="538"/>
      <c r="C429" s="537" t="s">
        <v>96</v>
      </c>
      <c r="D429" s="540" t="s">
        <v>983</v>
      </c>
      <c r="E429" s="540"/>
      <c r="F429" s="540"/>
      <c r="G429" s="540" t="s">
        <v>984</v>
      </c>
      <c r="H429" s="540" t="s">
        <v>985</v>
      </c>
      <c r="I429" s="540" t="s">
        <v>986</v>
      </c>
      <c r="J429" s="540" t="s">
        <v>11</v>
      </c>
      <c r="K429" s="673" t="s">
        <v>12</v>
      </c>
      <c r="L429" s="150">
        <v>59.124699999999997</v>
      </c>
      <c r="M429" s="231">
        <v>12</v>
      </c>
      <c r="N429" s="231">
        <v>11</v>
      </c>
      <c r="O429" s="231">
        <v>11</v>
      </c>
      <c r="P429" s="723" t="s">
        <v>423</v>
      </c>
      <c r="Q429" s="723" t="s">
        <v>423</v>
      </c>
      <c r="R429" s="723" t="s">
        <v>427</v>
      </c>
      <c r="S429" s="839" t="s">
        <v>57</v>
      </c>
      <c r="T429" s="723"/>
      <c r="U429" s="723" t="s">
        <v>11</v>
      </c>
    </row>
    <row r="430" spans="1:21" s="12" customFormat="1" ht="35.1" customHeight="1">
      <c r="A430" s="1241"/>
      <c r="B430" s="538"/>
      <c r="C430" s="538"/>
      <c r="D430" s="540"/>
      <c r="E430" s="540"/>
      <c r="F430" s="540"/>
      <c r="G430" s="540"/>
      <c r="H430" s="540"/>
      <c r="I430" s="540"/>
      <c r="J430" s="540"/>
      <c r="K430" s="716"/>
      <c r="L430" s="150">
        <v>60.226300000000002</v>
      </c>
      <c r="M430" s="231">
        <v>14</v>
      </c>
      <c r="N430" s="231">
        <v>14</v>
      </c>
      <c r="O430" s="231">
        <v>14</v>
      </c>
      <c r="P430" s="723"/>
      <c r="Q430" s="723"/>
      <c r="R430" s="723"/>
      <c r="S430" s="839"/>
      <c r="T430" s="723"/>
      <c r="U430" s="723"/>
    </row>
    <row r="431" spans="1:21" s="12" customFormat="1" ht="35.1" customHeight="1">
      <c r="A431" s="1241"/>
      <c r="B431" s="538"/>
      <c r="C431" s="538"/>
      <c r="D431" s="540"/>
      <c r="E431" s="540"/>
      <c r="F431" s="540"/>
      <c r="G431" s="540"/>
      <c r="H431" s="540"/>
      <c r="I431" s="540"/>
      <c r="J431" s="540"/>
      <c r="K431" s="716"/>
      <c r="L431" s="150">
        <v>61.203800000000001</v>
      </c>
      <c r="M431" s="231">
        <v>14</v>
      </c>
      <c r="N431" s="231">
        <v>14</v>
      </c>
      <c r="O431" s="231">
        <v>14</v>
      </c>
      <c r="P431" s="723"/>
      <c r="Q431" s="723"/>
      <c r="R431" s="723"/>
      <c r="S431" s="839"/>
      <c r="T431" s="723"/>
      <c r="U431" s="723"/>
    </row>
    <row r="432" spans="1:21" s="12" customFormat="1" ht="35.1" customHeight="1">
      <c r="A432" s="1241"/>
      <c r="B432" s="538"/>
      <c r="C432" s="538"/>
      <c r="D432" s="540"/>
      <c r="E432" s="540"/>
      <c r="F432" s="540"/>
      <c r="G432" s="540"/>
      <c r="H432" s="540"/>
      <c r="I432" s="540"/>
      <c r="J432" s="540"/>
      <c r="K432" s="716"/>
      <c r="L432" s="150">
        <v>73.575800000000001</v>
      </c>
      <c r="M432" s="231">
        <v>12</v>
      </c>
      <c r="N432" s="231">
        <v>12</v>
      </c>
      <c r="O432" s="231">
        <v>12</v>
      </c>
      <c r="P432" s="723"/>
      <c r="Q432" s="723"/>
      <c r="R432" s="723"/>
      <c r="S432" s="839"/>
      <c r="T432" s="723"/>
      <c r="U432" s="723"/>
    </row>
    <row r="433" spans="1:21" s="12" customFormat="1" ht="35.1" customHeight="1">
      <c r="A433" s="1241"/>
      <c r="B433" s="538"/>
      <c r="C433" s="538"/>
      <c r="D433" s="540"/>
      <c r="E433" s="540"/>
      <c r="F433" s="540"/>
      <c r="G433" s="540"/>
      <c r="H433" s="540"/>
      <c r="I433" s="540"/>
      <c r="J433" s="540"/>
      <c r="K433" s="716"/>
      <c r="L433" s="150">
        <v>74.254199999999997</v>
      </c>
      <c r="M433" s="231">
        <v>12</v>
      </c>
      <c r="N433" s="231">
        <v>12</v>
      </c>
      <c r="O433" s="231">
        <v>12</v>
      </c>
      <c r="P433" s="723"/>
      <c r="Q433" s="723"/>
      <c r="R433" s="723"/>
      <c r="S433" s="839"/>
      <c r="T433" s="723"/>
      <c r="U433" s="723"/>
    </row>
    <row r="434" spans="1:21" s="12" customFormat="1" ht="35.1" customHeight="1">
      <c r="A434" s="1241"/>
      <c r="B434" s="538"/>
      <c r="C434" s="538"/>
      <c r="D434" s="720"/>
      <c r="E434" s="720"/>
      <c r="F434" s="720"/>
      <c r="G434" s="807" t="s">
        <v>329</v>
      </c>
      <c r="H434" s="807"/>
      <c r="I434" s="807"/>
      <c r="J434" s="807"/>
      <c r="K434" s="807"/>
      <c r="L434" s="174"/>
      <c r="M434" s="237">
        <f t="shared" ref="M434:N434" si="33">SUM(M429:M433)</f>
        <v>64</v>
      </c>
      <c r="N434" s="237">
        <f t="shared" si="33"/>
        <v>63</v>
      </c>
      <c r="O434" s="237">
        <f t="shared" ref="O434" si="34">SUM(O429:O433)</f>
        <v>63</v>
      </c>
      <c r="P434" s="656"/>
      <c r="Q434" s="656"/>
      <c r="R434" s="656"/>
      <c r="S434" s="840"/>
      <c r="T434" s="656"/>
      <c r="U434" s="656"/>
    </row>
    <row r="435" spans="1:21" s="12" customFormat="1" ht="35.1" customHeight="1">
      <c r="A435" s="1241"/>
      <c r="B435" s="538"/>
      <c r="C435" s="832" t="s">
        <v>987</v>
      </c>
      <c r="D435" s="540" t="s">
        <v>988</v>
      </c>
      <c r="E435" s="540"/>
      <c r="F435" s="540"/>
      <c r="G435" s="540" t="s">
        <v>989</v>
      </c>
      <c r="H435" s="540" t="s">
        <v>990</v>
      </c>
      <c r="I435" s="540" t="s">
        <v>991</v>
      </c>
      <c r="J435" s="540" t="s">
        <v>11</v>
      </c>
      <c r="K435" s="540" t="s">
        <v>12</v>
      </c>
      <c r="L435" s="359" t="s">
        <v>992</v>
      </c>
      <c r="M435" s="231">
        <v>46</v>
      </c>
      <c r="N435" s="231">
        <v>44</v>
      </c>
      <c r="O435" s="231">
        <v>44</v>
      </c>
      <c r="P435" s="779" t="s">
        <v>428</v>
      </c>
      <c r="Q435" s="779" t="s">
        <v>428</v>
      </c>
      <c r="R435" s="779" t="s">
        <v>993</v>
      </c>
      <c r="S435" s="1002" t="s">
        <v>57</v>
      </c>
      <c r="T435" s="731"/>
      <c r="U435" s="779" t="s">
        <v>11</v>
      </c>
    </row>
    <row r="436" spans="1:21" s="12" customFormat="1" ht="35.1" customHeight="1">
      <c r="A436" s="1241"/>
      <c r="B436" s="538"/>
      <c r="C436" s="832"/>
      <c r="D436" s="540"/>
      <c r="E436" s="540"/>
      <c r="F436" s="540"/>
      <c r="G436" s="540"/>
      <c r="H436" s="540"/>
      <c r="I436" s="540"/>
      <c r="J436" s="540"/>
      <c r="K436" s="540"/>
      <c r="L436" s="359" t="s">
        <v>994</v>
      </c>
      <c r="M436" s="231">
        <v>46</v>
      </c>
      <c r="N436" s="231">
        <v>46</v>
      </c>
      <c r="O436" s="231">
        <v>46</v>
      </c>
      <c r="P436" s="779"/>
      <c r="Q436" s="779"/>
      <c r="R436" s="779"/>
      <c r="S436" s="1002"/>
      <c r="T436" s="731"/>
      <c r="U436" s="779"/>
    </row>
    <row r="437" spans="1:21" s="12" customFormat="1" ht="35.1" customHeight="1">
      <c r="A437" s="1241"/>
      <c r="B437" s="538"/>
      <c r="C437" s="832"/>
      <c r="D437" s="540"/>
      <c r="E437" s="540"/>
      <c r="F437" s="540"/>
      <c r="G437" s="565" t="s">
        <v>329</v>
      </c>
      <c r="H437" s="565"/>
      <c r="I437" s="565"/>
      <c r="J437" s="565"/>
      <c r="K437" s="565"/>
      <c r="L437" s="136"/>
      <c r="M437" s="235">
        <f t="shared" ref="M437:N437" si="35">SUM(M435:M436)</f>
        <v>92</v>
      </c>
      <c r="N437" s="235">
        <f t="shared" si="35"/>
        <v>90</v>
      </c>
      <c r="O437" s="235">
        <f t="shared" ref="O437" si="36">SUM(O435:O436)</f>
        <v>90</v>
      </c>
      <c r="P437" s="779"/>
      <c r="Q437" s="779"/>
      <c r="R437" s="779"/>
      <c r="S437" s="1002"/>
      <c r="T437" s="731"/>
      <c r="U437" s="779"/>
    </row>
    <row r="438" spans="1:21" s="12" customFormat="1" ht="35.1" customHeight="1">
      <c r="A438" s="1241"/>
      <c r="B438" s="538"/>
      <c r="C438" s="720" t="s">
        <v>96</v>
      </c>
      <c r="D438" s="756" t="s">
        <v>995</v>
      </c>
      <c r="E438" s="757"/>
      <c r="F438" s="758"/>
      <c r="G438" s="720" t="s">
        <v>898</v>
      </c>
      <c r="H438" s="720" t="s">
        <v>996</v>
      </c>
      <c r="I438" s="720" t="s">
        <v>997</v>
      </c>
      <c r="J438" s="720" t="s">
        <v>11</v>
      </c>
      <c r="K438" s="720" t="s">
        <v>12</v>
      </c>
      <c r="L438" s="359">
        <v>59.244199999999999</v>
      </c>
      <c r="M438" s="231">
        <v>29</v>
      </c>
      <c r="N438" s="231">
        <v>6</v>
      </c>
      <c r="O438" s="231">
        <v>6</v>
      </c>
      <c r="P438" s="826" t="s">
        <v>1001</v>
      </c>
      <c r="Q438" s="774" t="s">
        <v>1002</v>
      </c>
      <c r="R438" s="774" t="s">
        <v>533</v>
      </c>
      <c r="S438" s="808" t="s">
        <v>188</v>
      </c>
      <c r="T438" s="358"/>
      <c r="U438" s="774" t="s">
        <v>11</v>
      </c>
    </row>
    <row r="439" spans="1:21" s="12" customFormat="1" ht="35.1" customHeight="1">
      <c r="A439" s="1241"/>
      <c r="B439" s="538"/>
      <c r="C439" s="721"/>
      <c r="D439" s="759"/>
      <c r="E439" s="760"/>
      <c r="F439" s="761"/>
      <c r="G439" s="721"/>
      <c r="H439" s="721"/>
      <c r="I439" s="721"/>
      <c r="J439" s="721"/>
      <c r="K439" s="721"/>
      <c r="L439" s="359">
        <v>77.031199999999998</v>
      </c>
      <c r="M439" s="231">
        <v>30</v>
      </c>
      <c r="N439" s="231">
        <v>26</v>
      </c>
      <c r="O439" s="231">
        <v>26</v>
      </c>
      <c r="P439" s="827"/>
      <c r="Q439" s="775"/>
      <c r="R439" s="775"/>
      <c r="S439" s="809"/>
      <c r="T439" s="358"/>
      <c r="U439" s="775"/>
    </row>
    <row r="440" spans="1:21" s="12" customFormat="1" ht="35.1" customHeight="1">
      <c r="A440" s="1241"/>
      <c r="B440" s="538"/>
      <c r="C440" s="721"/>
      <c r="D440" s="759"/>
      <c r="E440" s="760"/>
      <c r="F440" s="761"/>
      <c r="G440" s="721"/>
      <c r="H440" s="721"/>
      <c r="I440" s="721"/>
      <c r="J440" s="721"/>
      <c r="K440" s="721"/>
      <c r="L440" s="359" t="s">
        <v>998</v>
      </c>
      <c r="M440" s="231">
        <v>30</v>
      </c>
      <c r="N440" s="231">
        <v>30</v>
      </c>
      <c r="O440" s="231">
        <v>30</v>
      </c>
      <c r="P440" s="827"/>
      <c r="Q440" s="775"/>
      <c r="R440" s="775"/>
      <c r="S440" s="809"/>
      <c r="T440" s="358"/>
      <c r="U440" s="775"/>
    </row>
    <row r="441" spans="1:21" s="12" customFormat="1" ht="35.1" customHeight="1">
      <c r="A441" s="1241"/>
      <c r="B441" s="538"/>
      <c r="C441" s="721"/>
      <c r="D441" s="759"/>
      <c r="E441" s="760"/>
      <c r="F441" s="761"/>
      <c r="G441" s="721"/>
      <c r="H441" s="721"/>
      <c r="I441" s="721"/>
      <c r="J441" s="721"/>
      <c r="K441" s="721"/>
      <c r="L441" s="359" t="s">
        <v>999</v>
      </c>
      <c r="M441" s="231">
        <v>30</v>
      </c>
      <c r="N441" s="231">
        <v>28</v>
      </c>
      <c r="O441" s="231">
        <v>28</v>
      </c>
      <c r="P441" s="827"/>
      <c r="Q441" s="775"/>
      <c r="R441" s="775"/>
      <c r="S441" s="809"/>
      <c r="T441" s="358"/>
      <c r="U441" s="775"/>
    </row>
    <row r="442" spans="1:21" s="12" customFormat="1" ht="35.1" customHeight="1">
      <c r="A442" s="1241"/>
      <c r="B442" s="538"/>
      <c r="C442" s="721"/>
      <c r="D442" s="759"/>
      <c r="E442" s="760"/>
      <c r="F442" s="761"/>
      <c r="G442" s="721"/>
      <c r="H442" s="721"/>
      <c r="I442" s="721"/>
      <c r="J442" s="721"/>
      <c r="K442" s="721"/>
      <c r="L442" s="359" t="s">
        <v>1000</v>
      </c>
      <c r="M442" s="231">
        <v>29</v>
      </c>
      <c r="N442" s="231">
        <v>22</v>
      </c>
      <c r="O442" s="231">
        <v>22</v>
      </c>
      <c r="P442" s="827"/>
      <c r="Q442" s="775"/>
      <c r="R442" s="775"/>
      <c r="S442" s="809"/>
      <c r="T442" s="358"/>
      <c r="U442" s="775"/>
    </row>
    <row r="443" spans="1:21" s="12" customFormat="1" ht="35.1" customHeight="1">
      <c r="A443" s="1241"/>
      <c r="B443" s="538"/>
      <c r="C443" s="721"/>
      <c r="D443" s="759"/>
      <c r="E443" s="760"/>
      <c r="F443" s="761"/>
      <c r="G443" s="721"/>
      <c r="H443" s="721"/>
      <c r="I443" s="721"/>
      <c r="J443" s="721"/>
      <c r="K443" s="721"/>
      <c r="L443" s="359">
        <v>134.6919</v>
      </c>
      <c r="M443" s="231">
        <v>1</v>
      </c>
      <c r="N443" s="231">
        <v>1</v>
      </c>
      <c r="O443" s="231">
        <v>1</v>
      </c>
      <c r="P443" s="827"/>
      <c r="Q443" s="775"/>
      <c r="R443" s="775"/>
      <c r="S443" s="809"/>
      <c r="T443" s="358"/>
      <c r="U443" s="775"/>
    </row>
    <row r="444" spans="1:21" s="12" customFormat="1" ht="35.1" customHeight="1">
      <c r="A444" s="1241"/>
      <c r="B444" s="538"/>
      <c r="C444" s="721"/>
      <c r="D444" s="759"/>
      <c r="E444" s="760"/>
      <c r="F444" s="761"/>
      <c r="G444" s="722"/>
      <c r="H444" s="722"/>
      <c r="I444" s="722"/>
      <c r="J444" s="722"/>
      <c r="K444" s="722"/>
      <c r="L444" s="359">
        <v>136.66540000000001</v>
      </c>
      <c r="M444" s="231">
        <v>1</v>
      </c>
      <c r="N444" s="231">
        <v>1</v>
      </c>
      <c r="O444" s="231">
        <v>1</v>
      </c>
      <c r="P444" s="827"/>
      <c r="Q444" s="775"/>
      <c r="R444" s="775"/>
      <c r="S444" s="809"/>
      <c r="T444" s="358"/>
      <c r="U444" s="775"/>
    </row>
    <row r="445" spans="1:21" s="12" customFormat="1" ht="35.1" customHeight="1">
      <c r="A445" s="1241"/>
      <c r="B445" s="538"/>
      <c r="C445" s="722"/>
      <c r="D445" s="762"/>
      <c r="E445" s="763"/>
      <c r="F445" s="764"/>
      <c r="G445" s="807" t="s">
        <v>329</v>
      </c>
      <c r="H445" s="807"/>
      <c r="I445" s="807"/>
      <c r="J445" s="807"/>
      <c r="K445" s="807"/>
      <c r="L445" s="174"/>
      <c r="M445" s="237">
        <f t="shared" ref="M445:N445" si="37">SUM(M438:M444)</f>
        <v>150</v>
      </c>
      <c r="N445" s="237">
        <f t="shared" si="37"/>
        <v>114</v>
      </c>
      <c r="O445" s="237">
        <f t="shared" ref="O445" si="38">SUM(O438:O444)</f>
        <v>114</v>
      </c>
      <c r="P445" s="828"/>
      <c r="Q445" s="776"/>
      <c r="R445" s="776"/>
      <c r="S445" s="810"/>
      <c r="T445" s="358"/>
      <c r="U445" s="776"/>
    </row>
    <row r="446" spans="1:21" s="12" customFormat="1" ht="35.1" customHeight="1">
      <c r="A446" s="1241"/>
      <c r="B446" s="538"/>
      <c r="C446" s="654" t="s">
        <v>389</v>
      </c>
      <c r="D446" s="584" t="s">
        <v>390</v>
      </c>
      <c r="E446" s="585"/>
      <c r="F446" s="586"/>
      <c r="G446" s="635" t="s">
        <v>391</v>
      </c>
      <c r="H446" s="635" t="s">
        <v>392</v>
      </c>
      <c r="I446" s="638" t="s">
        <v>393</v>
      </c>
      <c r="J446" s="632" t="s">
        <v>11</v>
      </c>
      <c r="K446" s="632" t="s">
        <v>12</v>
      </c>
      <c r="L446" s="150" t="s">
        <v>394</v>
      </c>
      <c r="M446" s="231">
        <v>246</v>
      </c>
      <c r="N446" s="132">
        <v>0</v>
      </c>
      <c r="O446" s="132">
        <v>0</v>
      </c>
      <c r="P446" s="833" t="s">
        <v>450</v>
      </c>
      <c r="Q446" s="823" t="s">
        <v>450</v>
      </c>
      <c r="R446" s="823" t="s">
        <v>451</v>
      </c>
      <c r="S446" s="727" t="s">
        <v>13</v>
      </c>
      <c r="T446" s="175"/>
      <c r="U446" s="727" t="s">
        <v>11</v>
      </c>
    </row>
    <row r="447" spans="1:21" s="12" customFormat="1" ht="35.1" customHeight="1">
      <c r="A447" s="1241"/>
      <c r="B447" s="538"/>
      <c r="C447" s="730"/>
      <c r="D447" s="587"/>
      <c r="E447" s="588"/>
      <c r="F447" s="589"/>
      <c r="G447" s="636"/>
      <c r="H447" s="636"/>
      <c r="I447" s="639"/>
      <c r="J447" s="633"/>
      <c r="K447" s="633"/>
      <c r="L447" s="150" t="s">
        <v>395</v>
      </c>
      <c r="M447" s="231">
        <v>41</v>
      </c>
      <c r="N447" s="132">
        <v>0</v>
      </c>
      <c r="O447" s="132">
        <v>0</v>
      </c>
      <c r="P447" s="834"/>
      <c r="Q447" s="824"/>
      <c r="R447" s="824"/>
      <c r="S447" s="728"/>
      <c r="T447" s="176"/>
      <c r="U447" s="728"/>
    </row>
    <row r="448" spans="1:21" s="12" customFormat="1" ht="35.1" customHeight="1">
      <c r="A448" s="1241"/>
      <c r="B448" s="538"/>
      <c r="C448" s="730"/>
      <c r="D448" s="587"/>
      <c r="E448" s="588"/>
      <c r="F448" s="589"/>
      <c r="G448" s="636"/>
      <c r="H448" s="636"/>
      <c r="I448" s="639"/>
      <c r="J448" s="633"/>
      <c r="K448" s="633"/>
      <c r="L448" s="150" t="s">
        <v>396</v>
      </c>
      <c r="M448" s="231">
        <v>123</v>
      </c>
      <c r="N448" s="132">
        <v>0</v>
      </c>
      <c r="O448" s="132">
        <v>0</v>
      </c>
      <c r="P448" s="834"/>
      <c r="Q448" s="824"/>
      <c r="R448" s="824"/>
      <c r="S448" s="728"/>
      <c r="T448" s="176"/>
      <c r="U448" s="728"/>
    </row>
    <row r="449" spans="1:21" s="12" customFormat="1" ht="35.1" customHeight="1">
      <c r="A449" s="1241"/>
      <c r="B449" s="538"/>
      <c r="C449" s="730"/>
      <c r="D449" s="587"/>
      <c r="E449" s="588"/>
      <c r="F449" s="589"/>
      <c r="G449" s="636"/>
      <c r="H449" s="636"/>
      <c r="I449" s="639"/>
      <c r="J449" s="633"/>
      <c r="K449" s="633"/>
      <c r="L449" s="150" t="s">
        <v>397</v>
      </c>
      <c r="M449" s="231">
        <v>82</v>
      </c>
      <c r="N449" s="132">
        <v>0</v>
      </c>
      <c r="O449" s="132">
        <v>0</v>
      </c>
      <c r="P449" s="834"/>
      <c r="Q449" s="824"/>
      <c r="R449" s="824"/>
      <c r="S449" s="728"/>
      <c r="T449" s="176"/>
      <c r="U449" s="728"/>
    </row>
    <row r="450" spans="1:21" s="12" customFormat="1" ht="35.1" customHeight="1">
      <c r="A450" s="1241"/>
      <c r="B450" s="538"/>
      <c r="C450" s="730"/>
      <c r="D450" s="587"/>
      <c r="E450" s="588"/>
      <c r="F450" s="589"/>
      <c r="G450" s="636"/>
      <c r="H450" s="636"/>
      <c r="I450" s="639"/>
      <c r="J450" s="633"/>
      <c r="K450" s="633"/>
      <c r="L450" s="150" t="s">
        <v>398</v>
      </c>
      <c r="M450" s="231">
        <v>82</v>
      </c>
      <c r="N450" s="132">
        <v>0</v>
      </c>
      <c r="O450" s="132">
        <v>0</v>
      </c>
      <c r="P450" s="834"/>
      <c r="Q450" s="824"/>
      <c r="R450" s="824"/>
      <c r="S450" s="728"/>
      <c r="T450" s="176"/>
      <c r="U450" s="728"/>
    </row>
    <row r="451" spans="1:21" s="12" customFormat="1" ht="35.1" customHeight="1">
      <c r="A451" s="1241"/>
      <c r="B451" s="538"/>
      <c r="C451" s="730"/>
      <c r="D451" s="587"/>
      <c r="E451" s="588"/>
      <c r="F451" s="589"/>
      <c r="G451" s="637"/>
      <c r="H451" s="637"/>
      <c r="I451" s="640"/>
      <c r="J451" s="634"/>
      <c r="K451" s="634"/>
      <c r="L451" s="150" t="s">
        <v>399</v>
      </c>
      <c r="M451" s="231">
        <v>82</v>
      </c>
      <c r="N451" s="132">
        <v>0</v>
      </c>
      <c r="O451" s="132">
        <v>0</v>
      </c>
      <c r="P451" s="834"/>
      <c r="Q451" s="824"/>
      <c r="R451" s="824"/>
      <c r="S451" s="728"/>
      <c r="T451" s="176"/>
      <c r="U451" s="728"/>
    </row>
    <row r="452" spans="1:21" s="12" customFormat="1" ht="35.1" customHeight="1">
      <c r="A452" s="1241"/>
      <c r="B452" s="538"/>
      <c r="C452" s="655"/>
      <c r="D452" s="707"/>
      <c r="E452" s="708"/>
      <c r="F452" s="709"/>
      <c r="G452" s="463" t="s">
        <v>329</v>
      </c>
      <c r="H452" s="464"/>
      <c r="I452" s="464"/>
      <c r="J452" s="464"/>
      <c r="K452" s="465"/>
      <c r="L452" s="139"/>
      <c r="M452" s="225">
        <f>SUM(M446:M451)</f>
        <v>656</v>
      </c>
      <c r="N452" s="263">
        <f>SUM(N446:N451)</f>
        <v>0</v>
      </c>
      <c r="O452" s="263">
        <f>SUM(O446:O451)</f>
        <v>0</v>
      </c>
      <c r="P452" s="835"/>
      <c r="Q452" s="825"/>
      <c r="R452" s="825"/>
      <c r="S452" s="729"/>
      <c r="T452" s="177"/>
      <c r="U452" s="729"/>
    </row>
    <row r="453" spans="1:21" s="12" customFormat="1" ht="35.1" customHeight="1">
      <c r="A453" s="1241"/>
      <c r="B453" s="538"/>
      <c r="C453" s="654" t="s">
        <v>389</v>
      </c>
      <c r="D453" s="570" t="s">
        <v>625</v>
      </c>
      <c r="E453" s="571"/>
      <c r="F453" s="572"/>
      <c r="G453" s="654" t="s">
        <v>626</v>
      </c>
      <c r="H453" s="654" t="s">
        <v>627</v>
      </c>
      <c r="I453" s="654" t="s">
        <v>628</v>
      </c>
      <c r="J453" s="537" t="s">
        <v>67</v>
      </c>
      <c r="K453" s="537" t="s">
        <v>66</v>
      </c>
      <c r="L453" s="178" t="s">
        <v>629</v>
      </c>
      <c r="M453" s="231">
        <v>212</v>
      </c>
      <c r="N453" s="132">
        <v>0</v>
      </c>
      <c r="O453" s="132">
        <v>0</v>
      </c>
      <c r="P453" s="656" t="s">
        <v>624</v>
      </c>
      <c r="Q453" s="511" t="s">
        <v>617</v>
      </c>
      <c r="R453" s="511" t="s">
        <v>630</v>
      </c>
      <c r="S453" s="780" t="s">
        <v>13</v>
      </c>
      <c r="T453" s="771"/>
      <c r="U453" s="771" t="s">
        <v>11</v>
      </c>
    </row>
    <row r="454" spans="1:21" s="12" customFormat="1" ht="35.1" customHeight="1">
      <c r="A454" s="1241"/>
      <c r="B454" s="538"/>
      <c r="C454" s="730"/>
      <c r="D454" s="573"/>
      <c r="E454" s="574"/>
      <c r="F454" s="575"/>
      <c r="G454" s="730"/>
      <c r="H454" s="730"/>
      <c r="I454" s="730"/>
      <c r="J454" s="538"/>
      <c r="K454" s="538"/>
      <c r="L454" s="178" t="s">
        <v>631</v>
      </c>
      <c r="M454" s="231">
        <v>109</v>
      </c>
      <c r="N454" s="132">
        <v>0</v>
      </c>
      <c r="O454" s="132">
        <v>0</v>
      </c>
      <c r="P454" s="657"/>
      <c r="Q454" s="512"/>
      <c r="R454" s="512"/>
      <c r="S454" s="781"/>
      <c r="T454" s="772"/>
      <c r="U454" s="772"/>
    </row>
    <row r="455" spans="1:21" s="12" customFormat="1" ht="35.1" customHeight="1">
      <c r="A455" s="1241"/>
      <c r="B455" s="538"/>
      <c r="C455" s="730"/>
      <c r="D455" s="573"/>
      <c r="E455" s="574"/>
      <c r="F455" s="575"/>
      <c r="G455" s="730"/>
      <c r="H455" s="730"/>
      <c r="I455" s="730"/>
      <c r="J455" s="538"/>
      <c r="K455" s="538"/>
      <c r="L455" s="178" t="s">
        <v>601</v>
      </c>
      <c r="M455" s="231">
        <v>109</v>
      </c>
      <c r="N455" s="132">
        <v>0</v>
      </c>
      <c r="O455" s="132">
        <v>0</v>
      </c>
      <c r="P455" s="657"/>
      <c r="Q455" s="512"/>
      <c r="R455" s="512"/>
      <c r="S455" s="781"/>
      <c r="T455" s="772"/>
      <c r="U455" s="772"/>
    </row>
    <row r="456" spans="1:21" s="12" customFormat="1" ht="35.1" customHeight="1">
      <c r="A456" s="1241"/>
      <c r="B456" s="538"/>
      <c r="C456" s="730"/>
      <c r="D456" s="573"/>
      <c r="E456" s="574"/>
      <c r="F456" s="575"/>
      <c r="G456" s="730"/>
      <c r="H456" s="730"/>
      <c r="I456" s="730"/>
      <c r="J456" s="538"/>
      <c r="K456" s="538"/>
      <c r="L456" s="178">
        <v>102.99720000000001</v>
      </c>
      <c r="M456" s="231">
        <v>144</v>
      </c>
      <c r="N456" s="132">
        <v>12</v>
      </c>
      <c r="O456" s="132">
        <v>10</v>
      </c>
      <c r="P456" s="657"/>
      <c r="Q456" s="512"/>
      <c r="R456" s="512"/>
      <c r="S456" s="781"/>
      <c r="T456" s="772"/>
      <c r="U456" s="772"/>
    </row>
    <row r="457" spans="1:21" s="12" customFormat="1" ht="35.1" customHeight="1">
      <c r="A457" s="1241"/>
      <c r="B457" s="538"/>
      <c r="C457" s="730"/>
      <c r="D457" s="573"/>
      <c r="E457" s="574"/>
      <c r="F457" s="575"/>
      <c r="G457" s="730"/>
      <c r="H457" s="730"/>
      <c r="I457" s="730"/>
      <c r="J457" s="538"/>
      <c r="K457" s="538"/>
      <c r="L457" s="178">
        <v>115.9907</v>
      </c>
      <c r="M457" s="231">
        <v>56</v>
      </c>
      <c r="N457" s="132">
        <v>13</v>
      </c>
      <c r="O457" s="132">
        <v>12</v>
      </c>
      <c r="P457" s="657"/>
      <c r="Q457" s="512"/>
      <c r="R457" s="512"/>
      <c r="S457" s="781"/>
      <c r="T457" s="772"/>
      <c r="U457" s="772"/>
    </row>
    <row r="458" spans="1:21" s="12" customFormat="1" ht="35.1" customHeight="1">
      <c r="A458" s="1241"/>
      <c r="B458" s="538"/>
      <c r="C458" s="730"/>
      <c r="D458" s="573"/>
      <c r="E458" s="574"/>
      <c r="F458" s="575"/>
      <c r="G458" s="730"/>
      <c r="H458" s="730"/>
      <c r="I458" s="730"/>
      <c r="J458" s="538"/>
      <c r="K458" s="538"/>
      <c r="L458" s="178">
        <v>148.99180000000001</v>
      </c>
      <c r="M458" s="231">
        <v>35</v>
      </c>
      <c r="N458" s="132">
        <v>25</v>
      </c>
      <c r="O458" s="132">
        <v>25</v>
      </c>
      <c r="P458" s="657"/>
      <c r="Q458" s="512"/>
      <c r="R458" s="512"/>
      <c r="S458" s="781"/>
      <c r="T458" s="772"/>
      <c r="U458" s="772"/>
    </row>
    <row r="459" spans="1:21" s="12" customFormat="1" ht="35.1" customHeight="1">
      <c r="A459" s="1241"/>
      <c r="B459" s="538"/>
      <c r="C459" s="730"/>
      <c r="D459" s="573"/>
      <c r="E459" s="574"/>
      <c r="F459" s="575"/>
      <c r="G459" s="730"/>
      <c r="H459" s="730"/>
      <c r="I459" s="730"/>
      <c r="J459" s="538"/>
      <c r="K459" s="538"/>
      <c r="L459" s="178" t="s">
        <v>632</v>
      </c>
      <c r="M459" s="231">
        <v>2</v>
      </c>
      <c r="N459" s="132">
        <v>0</v>
      </c>
      <c r="O459" s="132">
        <v>0</v>
      </c>
      <c r="P459" s="657"/>
      <c r="Q459" s="512"/>
      <c r="R459" s="512"/>
      <c r="S459" s="781"/>
      <c r="T459" s="772"/>
      <c r="U459" s="772"/>
    </row>
    <row r="460" spans="1:21" s="12" customFormat="1" ht="35.1" customHeight="1">
      <c r="A460" s="1241"/>
      <c r="B460" s="538"/>
      <c r="C460" s="730"/>
      <c r="D460" s="573"/>
      <c r="E460" s="574"/>
      <c r="F460" s="575"/>
      <c r="G460" s="730"/>
      <c r="H460" s="730"/>
      <c r="I460" s="730"/>
      <c r="J460" s="538"/>
      <c r="K460" s="538"/>
      <c r="L460" s="178" t="s">
        <v>633</v>
      </c>
      <c r="M460" s="231">
        <v>2</v>
      </c>
      <c r="N460" s="132">
        <v>0</v>
      </c>
      <c r="O460" s="132">
        <v>0</v>
      </c>
      <c r="P460" s="657"/>
      <c r="Q460" s="512"/>
      <c r="R460" s="512"/>
      <c r="S460" s="781"/>
      <c r="T460" s="772"/>
      <c r="U460" s="772"/>
    </row>
    <row r="461" spans="1:21" s="12" customFormat="1" ht="35.1" customHeight="1">
      <c r="A461" s="1241"/>
      <c r="B461" s="538"/>
      <c r="C461" s="730"/>
      <c r="D461" s="573"/>
      <c r="E461" s="574"/>
      <c r="F461" s="575"/>
      <c r="G461" s="655"/>
      <c r="H461" s="655"/>
      <c r="I461" s="655"/>
      <c r="J461" s="539"/>
      <c r="K461" s="539"/>
      <c r="L461" s="178" t="s">
        <v>634</v>
      </c>
      <c r="M461" s="231">
        <v>2</v>
      </c>
      <c r="N461" s="132">
        <v>0</v>
      </c>
      <c r="O461" s="132">
        <v>0</v>
      </c>
      <c r="P461" s="657"/>
      <c r="Q461" s="512"/>
      <c r="R461" s="512"/>
      <c r="S461" s="781"/>
      <c r="T461" s="772"/>
      <c r="U461" s="772"/>
    </row>
    <row r="462" spans="1:21" s="12" customFormat="1" ht="35.1" customHeight="1">
      <c r="A462" s="1241"/>
      <c r="B462" s="538"/>
      <c r="C462" s="655"/>
      <c r="D462" s="576"/>
      <c r="E462" s="577"/>
      <c r="F462" s="578"/>
      <c r="G462" s="463" t="s">
        <v>329</v>
      </c>
      <c r="H462" s="464"/>
      <c r="I462" s="464"/>
      <c r="J462" s="464"/>
      <c r="K462" s="465"/>
      <c r="L462" s="311"/>
      <c r="M462" s="225">
        <f>SUM(M453:M461)</f>
        <v>671</v>
      </c>
      <c r="N462" s="263">
        <f>SUM(N453:N461)</f>
        <v>50</v>
      </c>
      <c r="O462" s="263">
        <f>SUM(O453:O461)</f>
        <v>47</v>
      </c>
      <c r="P462" s="658"/>
      <c r="Q462" s="513"/>
      <c r="R462" s="513"/>
      <c r="S462" s="782"/>
      <c r="T462" s="773"/>
      <c r="U462" s="773"/>
    </row>
    <row r="463" spans="1:21" s="12" customFormat="1" ht="35.1" customHeight="1">
      <c r="A463" s="1241"/>
      <c r="B463" s="538"/>
      <c r="C463" s="654" t="s">
        <v>848</v>
      </c>
      <c r="D463" s="570" t="s">
        <v>849</v>
      </c>
      <c r="E463" s="571"/>
      <c r="F463" s="572"/>
      <c r="G463" s="792" t="s">
        <v>855</v>
      </c>
      <c r="H463" s="792" t="s">
        <v>627</v>
      </c>
      <c r="I463" s="792" t="s">
        <v>850</v>
      </c>
      <c r="J463" s="792" t="s">
        <v>851</v>
      </c>
      <c r="K463" s="514" t="s">
        <v>66</v>
      </c>
      <c r="L463" s="262" t="s">
        <v>85</v>
      </c>
      <c r="M463" s="231">
        <v>50</v>
      </c>
      <c r="N463" s="132">
        <v>0</v>
      </c>
      <c r="O463" s="132">
        <v>0</v>
      </c>
      <c r="P463" s="777" t="s">
        <v>437</v>
      </c>
      <c r="Q463" s="804" t="s">
        <v>438</v>
      </c>
      <c r="R463" s="804" t="s">
        <v>852</v>
      </c>
      <c r="S463" s="1003" t="s">
        <v>57</v>
      </c>
      <c r="T463" s="771"/>
      <c r="U463" s="771" t="s">
        <v>11</v>
      </c>
    </row>
    <row r="464" spans="1:21" s="12" customFormat="1" ht="35.1" customHeight="1">
      <c r="A464" s="1241"/>
      <c r="B464" s="538"/>
      <c r="C464" s="730"/>
      <c r="D464" s="573"/>
      <c r="E464" s="574"/>
      <c r="F464" s="575"/>
      <c r="G464" s="793"/>
      <c r="H464" s="793"/>
      <c r="I464" s="793"/>
      <c r="J464" s="793"/>
      <c r="K464" s="515"/>
      <c r="L464" s="262" t="s">
        <v>103</v>
      </c>
      <c r="M464" s="231">
        <v>109</v>
      </c>
      <c r="N464" s="132">
        <v>0</v>
      </c>
      <c r="O464" s="132">
        <v>0</v>
      </c>
      <c r="P464" s="778"/>
      <c r="Q464" s="805"/>
      <c r="R464" s="805"/>
      <c r="S464" s="1004"/>
      <c r="T464" s="772"/>
      <c r="U464" s="772"/>
    </row>
    <row r="465" spans="1:24" s="12" customFormat="1" ht="35.1" customHeight="1">
      <c r="A465" s="1241"/>
      <c r="B465" s="538"/>
      <c r="C465" s="730"/>
      <c r="D465" s="573"/>
      <c r="E465" s="574"/>
      <c r="F465" s="575"/>
      <c r="G465" s="793"/>
      <c r="H465" s="793"/>
      <c r="I465" s="793"/>
      <c r="J465" s="793"/>
      <c r="K465" s="515"/>
      <c r="L465" s="262" t="s">
        <v>519</v>
      </c>
      <c r="M465" s="231">
        <v>43</v>
      </c>
      <c r="N465" s="132">
        <v>0</v>
      </c>
      <c r="O465" s="132">
        <v>0</v>
      </c>
      <c r="P465" s="778"/>
      <c r="Q465" s="805"/>
      <c r="R465" s="805"/>
      <c r="S465" s="1004"/>
      <c r="T465" s="772"/>
      <c r="U465" s="772"/>
    </row>
    <row r="466" spans="1:24" s="12" customFormat="1" ht="35.1" customHeight="1">
      <c r="A466" s="1241"/>
      <c r="B466" s="538"/>
      <c r="C466" s="730"/>
      <c r="D466" s="573"/>
      <c r="E466" s="574"/>
      <c r="F466" s="575"/>
      <c r="G466" s="793"/>
      <c r="H466" s="793"/>
      <c r="I466" s="793"/>
      <c r="J466" s="793"/>
      <c r="K466" s="515"/>
      <c r="L466" s="262" t="s">
        <v>84</v>
      </c>
      <c r="M466" s="231">
        <v>382</v>
      </c>
      <c r="N466" s="132">
        <v>137</v>
      </c>
      <c r="O466" s="132">
        <v>137</v>
      </c>
      <c r="P466" s="778"/>
      <c r="Q466" s="805"/>
      <c r="R466" s="805"/>
      <c r="S466" s="1004"/>
      <c r="T466" s="772"/>
      <c r="U466" s="772"/>
    </row>
    <row r="467" spans="1:24" s="12" customFormat="1" ht="35.1" customHeight="1">
      <c r="A467" s="1241"/>
      <c r="B467" s="538"/>
      <c r="C467" s="730"/>
      <c r="D467" s="573"/>
      <c r="E467" s="574"/>
      <c r="F467" s="575"/>
      <c r="G467" s="793"/>
      <c r="H467" s="793"/>
      <c r="I467" s="793"/>
      <c r="J467" s="793"/>
      <c r="K467" s="515"/>
      <c r="L467" s="262" t="s">
        <v>83</v>
      </c>
      <c r="M467" s="231">
        <v>40</v>
      </c>
      <c r="N467" s="132">
        <v>24</v>
      </c>
      <c r="O467" s="132">
        <v>24</v>
      </c>
      <c r="P467" s="778"/>
      <c r="Q467" s="805"/>
      <c r="R467" s="805"/>
      <c r="S467" s="1004"/>
      <c r="T467" s="772"/>
      <c r="U467" s="772"/>
    </row>
    <row r="468" spans="1:24" s="12" customFormat="1" ht="35.1" customHeight="1">
      <c r="A468" s="1241"/>
      <c r="B468" s="538"/>
      <c r="C468" s="730"/>
      <c r="D468" s="573"/>
      <c r="E468" s="574"/>
      <c r="F468" s="575"/>
      <c r="G468" s="794"/>
      <c r="H468" s="794"/>
      <c r="I468" s="794"/>
      <c r="J468" s="794"/>
      <c r="K468" s="516"/>
      <c r="L468" s="262" t="s">
        <v>82</v>
      </c>
      <c r="M468" s="231">
        <v>50</v>
      </c>
      <c r="N468" s="132">
        <v>29</v>
      </c>
      <c r="O468" s="132">
        <v>29</v>
      </c>
      <c r="P468" s="778"/>
      <c r="Q468" s="805"/>
      <c r="R468" s="805"/>
      <c r="S468" s="1004"/>
      <c r="T468" s="772"/>
      <c r="U468" s="772"/>
    </row>
    <row r="469" spans="1:24" s="12" customFormat="1" ht="35.1" customHeight="1">
      <c r="A469" s="1241"/>
      <c r="B469" s="538"/>
      <c r="C469" s="655"/>
      <c r="D469" s="576"/>
      <c r="E469" s="577"/>
      <c r="F469" s="578"/>
      <c r="G469" s="463" t="s">
        <v>329</v>
      </c>
      <c r="H469" s="464"/>
      <c r="I469" s="464"/>
      <c r="J469" s="464"/>
      <c r="K469" s="465"/>
      <c r="L469" s="311"/>
      <c r="M469" s="263">
        <f>SUM(M463:M468)</f>
        <v>674</v>
      </c>
      <c r="N469" s="263">
        <f>SUM(N463:N468)</f>
        <v>190</v>
      </c>
      <c r="O469" s="263">
        <f>SUM(O463:O468)</f>
        <v>190</v>
      </c>
      <c r="P469" s="972"/>
      <c r="Q469" s="806"/>
      <c r="R469" s="806"/>
      <c r="S469" s="1005"/>
      <c r="T469" s="773"/>
      <c r="U469" s="773"/>
    </row>
    <row r="470" spans="1:24" s="12" customFormat="1" ht="35.1" customHeight="1">
      <c r="A470" s="1241"/>
      <c r="B470" s="538"/>
      <c r="C470" s="654" t="s">
        <v>226</v>
      </c>
      <c r="D470" s="570" t="s">
        <v>858</v>
      </c>
      <c r="E470" s="571"/>
      <c r="F470" s="572"/>
      <c r="G470" s="792" t="s">
        <v>879</v>
      </c>
      <c r="H470" s="792" t="s">
        <v>879</v>
      </c>
      <c r="I470" s="792" t="s">
        <v>859</v>
      </c>
      <c r="J470" s="537" t="s">
        <v>67</v>
      </c>
      <c r="K470" s="514" t="s">
        <v>66</v>
      </c>
      <c r="L470" s="262" t="s">
        <v>85</v>
      </c>
      <c r="M470" s="231">
        <v>197</v>
      </c>
      <c r="N470" s="306">
        <v>0</v>
      </c>
      <c r="O470" s="306">
        <v>0</v>
      </c>
      <c r="P470" s="777" t="s">
        <v>860</v>
      </c>
      <c r="Q470" s="804" t="s">
        <v>861</v>
      </c>
      <c r="R470" s="804" t="s">
        <v>862</v>
      </c>
      <c r="S470" s="780" t="s">
        <v>13</v>
      </c>
      <c r="T470" s="771"/>
      <c r="U470" s="771" t="s">
        <v>11</v>
      </c>
    </row>
    <row r="471" spans="1:24" s="12" customFormat="1" ht="35.1" customHeight="1">
      <c r="A471" s="1241"/>
      <c r="B471" s="538"/>
      <c r="C471" s="730"/>
      <c r="D471" s="573"/>
      <c r="E471" s="574"/>
      <c r="F471" s="575"/>
      <c r="G471" s="793"/>
      <c r="H471" s="793"/>
      <c r="I471" s="793"/>
      <c r="J471" s="538"/>
      <c r="K471" s="515"/>
      <c r="L471" s="262" t="s">
        <v>84</v>
      </c>
      <c r="M471" s="231">
        <v>212</v>
      </c>
      <c r="N471" s="306">
        <v>0</v>
      </c>
      <c r="O471" s="306">
        <v>0</v>
      </c>
      <c r="P471" s="778"/>
      <c r="Q471" s="805"/>
      <c r="R471" s="805"/>
      <c r="S471" s="781"/>
      <c r="T471" s="772"/>
      <c r="U471" s="772"/>
    </row>
    <row r="472" spans="1:24" s="12" customFormat="1" ht="35.1" customHeight="1">
      <c r="A472" s="1241"/>
      <c r="B472" s="538"/>
      <c r="C472" s="730"/>
      <c r="D472" s="573"/>
      <c r="E472" s="574"/>
      <c r="F472" s="575"/>
      <c r="G472" s="793"/>
      <c r="H472" s="793"/>
      <c r="I472" s="793"/>
      <c r="J472" s="538"/>
      <c r="K472" s="515"/>
      <c r="L472" s="262" t="s">
        <v>83</v>
      </c>
      <c r="M472" s="231">
        <v>127</v>
      </c>
      <c r="N472" s="306">
        <v>0</v>
      </c>
      <c r="O472" s="306">
        <v>0</v>
      </c>
      <c r="P472" s="778"/>
      <c r="Q472" s="805"/>
      <c r="R472" s="805"/>
      <c r="S472" s="781"/>
      <c r="T472" s="772"/>
      <c r="U472" s="772"/>
    </row>
    <row r="473" spans="1:24" s="12" customFormat="1" ht="35.1" customHeight="1">
      <c r="A473" s="1241"/>
      <c r="B473" s="538"/>
      <c r="C473" s="730"/>
      <c r="D473" s="573"/>
      <c r="E473" s="574"/>
      <c r="F473" s="575"/>
      <c r="G473" s="793"/>
      <c r="H473" s="793"/>
      <c r="I473" s="793"/>
      <c r="J473" s="538"/>
      <c r="K473" s="515"/>
      <c r="L473" s="262" t="s">
        <v>82</v>
      </c>
      <c r="M473" s="231">
        <v>27</v>
      </c>
      <c r="N473" s="306">
        <v>0</v>
      </c>
      <c r="O473" s="306">
        <v>0</v>
      </c>
      <c r="P473" s="778"/>
      <c r="Q473" s="805"/>
      <c r="R473" s="805"/>
      <c r="S473" s="781"/>
      <c r="T473" s="772"/>
      <c r="U473" s="772"/>
    </row>
    <row r="474" spans="1:24" s="12" customFormat="1" ht="35.1" customHeight="1">
      <c r="A474" s="1241"/>
      <c r="B474" s="538"/>
      <c r="C474" s="730"/>
      <c r="D474" s="573"/>
      <c r="E474" s="574"/>
      <c r="F474" s="575"/>
      <c r="G474" s="793"/>
      <c r="H474" s="793"/>
      <c r="I474" s="793"/>
      <c r="J474" s="538"/>
      <c r="K474" s="515"/>
      <c r="L474" s="262" t="s">
        <v>81</v>
      </c>
      <c r="M474" s="231">
        <v>104</v>
      </c>
      <c r="N474" s="306">
        <v>0</v>
      </c>
      <c r="O474" s="306">
        <v>0</v>
      </c>
      <c r="P474" s="778"/>
      <c r="Q474" s="805"/>
      <c r="R474" s="805"/>
      <c r="S474" s="781"/>
      <c r="T474" s="772"/>
      <c r="U474" s="772"/>
    </row>
    <row r="475" spans="1:24" s="12" customFormat="1" ht="35.1" customHeight="1">
      <c r="A475" s="1241"/>
      <c r="B475" s="538"/>
      <c r="C475" s="730"/>
      <c r="D475" s="573"/>
      <c r="E475" s="574"/>
      <c r="F475" s="575"/>
      <c r="G475" s="793"/>
      <c r="H475" s="793"/>
      <c r="I475" s="793"/>
      <c r="J475" s="538"/>
      <c r="K475" s="515"/>
      <c r="L475" s="262" t="s">
        <v>380</v>
      </c>
      <c r="M475" s="231">
        <v>99</v>
      </c>
      <c r="N475" s="306">
        <v>0</v>
      </c>
      <c r="O475" s="306">
        <v>0</v>
      </c>
      <c r="P475" s="778"/>
      <c r="Q475" s="805"/>
      <c r="R475" s="805"/>
      <c r="S475" s="781"/>
      <c r="T475" s="772"/>
      <c r="U475" s="772"/>
    </row>
    <row r="476" spans="1:24" s="12" customFormat="1" ht="35.1" customHeight="1">
      <c r="A476" s="1241"/>
      <c r="B476" s="538"/>
      <c r="C476" s="730"/>
      <c r="D476" s="573"/>
      <c r="E476" s="574"/>
      <c r="F476" s="575"/>
      <c r="G476" s="793"/>
      <c r="H476" s="793"/>
      <c r="I476" s="793"/>
      <c r="J476" s="538"/>
      <c r="K476" s="515"/>
      <c r="L476" s="262" t="s">
        <v>381</v>
      </c>
      <c r="M476" s="231">
        <v>50</v>
      </c>
      <c r="N476" s="306">
        <v>0</v>
      </c>
      <c r="O476" s="306">
        <v>0</v>
      </c>
      <c r="P476" s="778"/>
      <c r="Q476" s="805"/>
      <c r="R476" s="805"/>
      <c r="S476" s="781"/>
      <c r="T476" s="772"/>
      <c r="U476" s="772"/>
    </row>
    <row r="477" spans="1:24" s="12" customFormat="1" ht="35.1" customHeight="1">
      <c r="A477" s="1241"/>
      <c r="B477" s="538"/>
      <c r="C477" s="730"/>
      <c r="D477" s="573"/>
      <c r="E477" s="574"/>
      <c r="F477" s="575"/>
      <c r="G477" s="793"/>
      <c r="H477" s="793"/>
      <c r="I477" s="793"/>
      <c r="J477" s="538"/>
      <c r="K477" s="515"/>
      <c r="L477" s="262" t="s">
        <v>863</v>
      </c>
      <c r="M477" s="231">
        <v>104</v>
      </c>
      <c r="N477" s="306">
        <v>0</v>
      </c>
      <c r="O477" s="306">
        <v>0</v>
      </c>
      <c r="P477" s="778"/>
      <c r="Q477" s="805"/>
      <c r="R477" s="805"/>
      <c r="S477" s="781"/>
      <c r="T477" s="772"/>
      <c r="U477" s="772"/>
    </row>
    <row r="478" spans="1:24" s="12" customFormat="1" ht="35.1" customHeight="1">
      <c r="A478" s="1241"/>
      <c r="B478" s="538"/>
      <c r="C478" s="730"/>
      <c r="D478" s="573"/>
      <c r="E478" s="574"/>
      <c r="F478" s="575"/>
      <c r="G478" s="794"/>
      <c r="H478" s="794"/>
      <c r="I478" s="794"/>
      <c r="J478" s="539"/>
      <c r="K478" s="516"/>
      <c r="L478" s="262" t="s">
        <v>207</v>
      </c>
      <c r="M478" s="231">
        <v>15</v>
      </c>
      <c r="N478" s="306">
        <v>0</v>
      </c>
      <c r="O478" s="306">
        <v>0</v>
      </c>
      <c r="P478" s="778"/>
      <c r="Q478" s="805"/>
      <c r="R478" s="805"/>
      <c r="S478" s="781"/>
      <c r="T478" s="772"/>
      <c r="U478" s="772"/>
    </row>
    <row r="479" spans="1:24" s="12" customFormat="1" ht="35.1" customHeight="1">
      <c r="A479" s="1241"/>
      <c r="B479" s="538"/>
      <c r="C479" s="655"/>
      <c r="D479" s="576"/>
      <c r="E479" s="577"/>
      <c r="F479" s="578"/>
      <c r="G479" s="463" t="s">
        <v>329</v>
      </c>
      <c r="H479" s="464"/>
      <c r="I479" s="464"/>
      <c r="J479" s="464"/>
      <c r="K479" s="465"/>
      <c r="L479" s="311"/>
      <c r="M479" s="263">
        <f>SUM(M470:M478)</f>
        <v>935</v>
      </c>
      <c r="N479" s="263">
        <f>SUM(N470:N478)</f>
        <v>0</v>
      </c>
      <c r="O479" s="263">
        <f>SUM(O470:O478)</f>
        <v>0</v>
      </c>
      <c r="P479" s="972"/>
      <c r="Q479" s="806"/>
      <c r="R479" s="806"/>
      <c r="S479" s="782"/>
      <c r="T479" s="773"/>
      <c r="U479" s="773"/>
    </row>
    <row r="480" spans="1:24" s="12" customFormat="1" ht="35.1" customHeight="1">
      <c r="A480" s="1241"/>
      <c r="B480" s="538"/>
      <c r="C480" s="654" t="s">
        <v>96</v>
      </c>
      <c r="D480" s="570" t="s">
        <v>1086</v>
      </c>
      <c r="E480" s="571"/>
      <c r="F480" s="572"/>
      <c r="G480" s="792" t="s">
        <v>1087</v>
      </c>
      <c r="H480" s="792" t="s">
        <v>1087</v>
      </c>
      <c r="I480" s="792" t="s">
        <v>1088</v>
      </c>
      <c r="J480" s="792" t="s">
        <v>11</v>
      </c>
      <c r="K480" s="792" t="s">
        <v>12</v>
      </c>
      <c r="L480" s="262" t="s">
        <v>94</v>
      </c>
      <c r="M480" s="231">
        <v>80</v>
      </c>
      <c r="N480" s="231">
        <v>0</v>
      </c>
      <c r="O480" s="231">
        <v>0</v>
      </c>
      <c r="P480" s="777" t="s">
        <v>1089</v>
      </c>
      <c r="Q480" s="777" t="s">
        <v>1090</v>
      </c>
      <c r="R480" s="777" t="s">
        <v>1091</v>
      </c>
      <c r="S480" s="777" t="s">
        <v>13</v>
      </c>
      <c r="T480" s="996"/>
      <c r="U480" s="777" t="s">
        <v>11</v>
      </c>
      <c r="V480" s="1698"/>
      <c r="W480" s="1698"/>
      <c r="X480" s="1698"/>
    </row>
    <row r="481" spans="1:1892" s="12" customFormat="1" ht="35.1" customHeight="1">
      <c r="A481" s="1241"/>
      <c r="B481" s="538"/>
      <c r="C481" s="730"/>
      <c r="D481" s="573"/>
      <c r="E481" s="574"/>
      <c r="F481" s="575"/>
      <c r="G481" s="793"/>
      <c r="H481" s="793"/>
      <c r="I481" s="793"/>
      <c r="J481" s="793"/>
      <c r="K481" s="793"/>
      <c r="L481" s="262" t="s">
        <v>84</v>
      </c>
      <c r="M481" s="231">
        <v>160</v>
      </c>
      <c r="N481" s="231">
        <v>44</v>
      </c>
      <c r="O481" s="231">
        <v>41</v>
      </c>
      <c r="P481" s="778"/>
      <c r="Q481" s="778"/>
      <c r="R481" s="778"/>
      <c r="S481" s="778"/>
      <c r="T481" s="997"/>
      <c r="U481" s="778"/>
      <c r="V481" s="1699"/>
      <c r="W481" s="1699"/>
      <c r="X481" s="1699"/>
    </row>
    <row r="482" spans="1:1892" s="12" customFormat="1" ht="35.25" customHeight="1">
      <c r="A482" s="1241"/>
      <c r="B482" s="538"/>
      <c r="C482" s="730"/>
      <c r="D482" s="573"/>
      <c r="E482" s="574"/>
      <c r="F482" s="575"/>
      <c r="G482" s="793"/>
      <c r="H482" s="793"/>
      <c r="I482" s="793"/>
      <c r="J482" s="793"/>
      <c r="K482" s="793"/>
      <c r="L482" s="262" t="s">
        <v>83</v>
      </c>
      <c r="M482" s="231">
        <v>160</v>
      </c>
      <c r="N482" s="231">
        <v>66</v>
      </c>
      <c r="O482" s="231">
        <v>55</v>
      </c>
      <c r="P482" s="778"/>
      <c r="Q482" s="778"/>
      <c r="R482" s="778"/>
      <c r="S482" s="778"/>
      <c r="T482" s="997"/>
      <c r="U482" s="778"/>
      <c r="V482" s="1699"/>
      <c r="W482" s="1699"/>
      <c r="X482" s="1699"/>
    </row>
    <row r="483" spans="1:1892" s="12" customFormat="1" ht="35.25" customHeight="1">
      <c r="A483" s="1241"/>
      <c r="B483" s="539"/>
      <c r="C483" s="730"/>
      <c r="D483" s="573"/>
      <c r="E483" s="574"/>
      <c r="F483" s="575"/>
      <c r="G483" s="463" t="s">
        <v>329</v>
      </c>
      <c r="H483" s="464"/>
      <c r="I483" s="464"/>
      <c r="J483" s="464"/>
      <c r="K483" s="465"/>
      <c r="L483" s="311"/>
      <c r="M483" s="263">
        <f>SUM(M480:M482)</f>
        <v>400</v>
      </c>
      <c r="N483" s="263">
        <f t="shared" ref="N483" si="39">SUM(N480:N482)</f>
        <v>110</v>
      </c>
      <c r="O483" s="263">
        <f t="shared" ref="O483" si="40">SUM(O480:O482)</f>
        <v>96</v>
      </c>
      <c r="P483" s="778"/>
      <c r="Q483" s="778"/>
      <c r="R483" s="778"/>
      <c r="S483" s="778"/>
      <c r="T483" s="998"/>
      <c r="U483" s="778"/>
      <c r="V483" s="1700"/>
      <c r="W483" s="1700"/>
      <c r="X483" s="1700"/>
    </row>
    <row r="484" spans="1:1892" s="9" customFormat="1" ht="35.1" customHeight="1">
      <c r="A484" s="1241"/>
      <c r="B484" s="620" t="s">
        <v>105</v>
      </c>
      <c r="C484" s="621"/>
      <c r="D484" s="621"/>
      <c r="E484" s="621"/>
      <c r="F484" s="621"/>
      <c r="G484" s="621"/>
      <c r="H484" s="621"/>
      <c r="I484" s="621"/>
      <c r="J484" s="621"/>
      <c r="K484" s="622"/>
      <c r="L484" s="122"/>
      <c r="M484" s="226">
        <f t="shared" ref="M484" si="41">M395+M398+M402+M410+M413+M417+M420+M428+M434+M437+M445+M452+M462+M469+M479+M483</f>
        <v>5574</v>
      </c>
      <c r="N484" s="226">
        <f>N395+N398+N402+N410+N413+N417+N420+N428+N434+N437+N445+N452+N462+N469+N479+N483</f>
        <v>800</v>
      </c>
      <c r="O484" s="226">
        <f>O395+O398+O402+O410+O413+O417+O420+O428+O434+O437+O445+O452+O462+O469+O479+O483</f>
        <v>783</v>
      </c>
      <c r="P484" s="123"/>
      <c r="Q484" s="123"/>
      <c r="R484" s="123"/>
      <c r="S484" s="156"/>
      <c r="T484" s="125"/>
      <c r="U484" s="156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  <c r="BV484" s="10"/>
      <c r="BW484" s="10"/>
      <c r="BX484" s="10"/>
      <c r="BY484" s="10"/>
      <c r="BZ484" s="10"/>
      <c r="CA484" s="10"/>
      <c r="CB484" s="10"/>
      <c r="CC484" s="10"/>
      <c r="CD484" s="10"/>
      <c r="CE484" s="10"/>
      <c r="CF484" s="10"/>
      <c r="CG484" s="10"/>
      <c r="CH484" s="10"/>
      <c r="CI484" s="10"/>
      <c r="CJ484" s="10"/>
      <c r="CK484" s="10"/>
      <c r="CL484" s="10"/>
      <c r="CM484" s="10"/>
      <c r="CN484" s="10"/>
      <c r="CO484" s="10"/>
      <c r="CP484" s="10"/>
      <c r="CQ484" s="10"/>
      <c r="CR484" s="10"/>
      <c r="CS484" s="10"/>
      <c r="CT484" s="10"/>
      <c r="CU484" s="10"/>
      <c r="CV484" s="10"/>
      <c r="CW484" s="10"/>
      <c r="CX484" s="10"/>
      <c r="CY484" s="10"/>
      <c r="CZ484" s="10"/>
      <c r="DA484" s="10"/>
      <c r="DB484" s="10"/>
      <c r="DC484" s="10"/>
      <c r="DD484" s="10"/>
      <c r="DE484" s="10"/>
      <c r="DF484" s="10"/>
      <c r="DG484" s="10"/>
      <c r="DH484" s="10"/>
      <c r="DI484" s="10"/>
      <c r="DJ484" s="10"/>
      <c r="DK484" s="10"/>
      <c r="DL484" s="10"/>
      <c r="DM484" s="10"/>
      <c r="DN484" s="10"/>
      <c r="DO484" s="10"/>
      <c r="DP484" s="10"/>
      <c r="DQ484" s="10"/>
      <c r="DR484" s="10"/>
      <c r="DS484" s="10"/>
      <c r="DT484" s="10"/>
      <c r="DU484" s="10"/>
      <c r="DV484" s="10"/>
      <c r="DW484" s="10"/>
      <c r="DX484" s="10"/>
      <c r="DY484" s="10"/>
      <c r="DZ484" s="10"/>
      <c r="EA484" s="10"/>
      <c r="EB484" s="10"/>
      <c r="EC484" s="10"/>
      <c r="ED484" s="10"/>
      <c r="EE484" s="10"/>
      <c r="EF484" s="10"/>
      <c r="EG484" s="10"/>
      <c r="EH484" s="10"/>
      <c r="EI484" s="10"/>
      <c r="EJ484" s="10"/>
      <c r="EK484" s="10"/>
      <c r="EL484" s="10"/>
      <c r="EM484" s="10"/>
      <c r="EN484" s="10"/>
      <c r="EO484" s="10"/>
      <c r="EP484" s="10"/>
      <c r="EQ484" s="10"/>
      <c r="ER484" s="10"/>
      <c r="ES484" s="10"/>
      <c r="ET484" s="10"/>
      <c r="EU484" s="10"/>
      <c r="EV484" s="10"/>
      <c r="EW484" s="10"/>
      <c r="EX484" s="10"/>
      <c r="EY484" s="10"/>
      <c r="EZ484" s="10"/>
      <c r="FA484" s="10"/>
      <c r="FB484" s="10"/>
      <c r="FC484" s="10"/>
      <c r="FD484" s="10"/>
      <c r="FE484" s="10"/>
      <c r="FF484" s="10"/>
      <c r="FG484" s="10"/>
      <c r="FH484" s="10"/>
      <c r="FI484" s="10"/>
      <c r="FJ484" s="10"/>
      <c r="FK484" s="10"/>
      <c r="FL484" s="10"/>
      <c r="FM484" s="10"/>
      <c r="FN484" s="10"/>
      <c r="FO484" s="10"/>
      <c r="FP484" s="10"/>
      <c r="FQ484" s="10"/>
      <c r="FR484" s="10"/>
      <c r="FS484" s="10"/>
      <c r="FT484" s="10"/>
      <c r="FU484" s="10"/>
      <c r="FV484" s="10"/>
      <c r="FW484" s="10"/>
      <c r="FX484" s="10"/>
      <c r="FY484" s="10"/>
      <c r="FZ484" s="10"/>
      <c r="GA484" s="10"/>
      <c r="GB484" s="10"/>
      <c r="GC484" s="10"/>
      <c r="GD484" s="10"/>
      <c r="GE484" s="10"/>
      <c r="GF484" s="10"/>
      <c r="GG484" s="10"/>
      <c r="GH484" s="10"/>
      <c r="GI484" s="10"/>
      <c r="GJ484" s="10"/>
      <c r="GK484" s="10"/>
      <c r="GL484" s="10"/>
      <c r="GM484" s="10"/>
      <c r="GN484" s="10"/>
      <c r="GO484" s="10"/>
      <c r="GP484" s="10"/>
      <c r="GQ484" s="10"/>
      <c r="GR484" s="10"/>
      <c r="GS484" s="10"/>
      <c r="GT484" s="10"/>
      <c r="GU484" s="10"/>
      <c r="GV484" s="10"/>
      <c r="GW484" s="10"/>
      <c r="GX484" s="10"/>
      <c r="GY484" s="10"/>
      <c r="GZ484" s="10"/>
      <c r="HA484" s="10"/>
      <c r="HB484" s="10"/>
      <c r="HC484" s="10"/>
      <c r="HD484" s="10"/>
      <c r="HE484" s="10"/>
      <c r="HF484" s="10"/>
      <c r="HG484" s="10"/>
      <c r="HH484" s="10"/>
      <c r="HI484" s="10"/>
      <c r="HJ484" s="10"/>
      <c r="HK484" s="10"/>
      <c r="HL484" s="10"/>
      <c r="HM484" s="10"/>
      <c r="HN484" s="10"/>
      <c r="HO484" s="10"/>
      <c r="HP484" s="10"/>
      <c r="HQ484" s="10"/>
      <c r="HR484" s="10"/>
      <c r="HS484" s="10"/>
      <c r="HT484" s="10"/>
      <c r="HU484" s="10"/>
      <c r="HV484" s="10"/>
      <c r="HW484" s="10"/>
      <c r="HX484" s="10"/>
      <c r="HY484" s="10"/>
      <c r="HZ484" s="10"/>
      <c r="IA484" s="10"/>
      <c r="IB484" s="10"/>
      <c r="IC484" s="10"/>
      <c r="ID484" s="10"/>
      <c r="IE484" s="10"/>
      <c r="IF484" s="10"/>
      <c r="IG484" s="10"/>
      <c r="IH484" s="10"/>
      <c r="II484" s="10"/>
      <c r="IJ484" s="10"/>
      <c r="IK484" s="10"/>
      <c r="IL484" s="10"/>
      <c r="IM484" s="10"/>
      <c r="IN484" s="10"/>
      <c r="IO484" s="10"/>
      <c r="IP484" s="10"/>
      <c r="IQ484" s="10"/>
      <c r="IR484" s="10"/>
      <c r="IS484" s="10"/>
      <c r="IT484" s="10"/>
      <c r="IU484" s="10"/>
      <c r="IV484" s="10"/>
      <c r="IW484" s="10"/>
      <c r="IX484" s="10"/>
      <c r="IY484" s="10"/>
      <c r="IZ484" s="10"/>
      <c r="JA484" s="10"/>
      <c r="JB484" s="10"/>
      <c r="JC484" s="10"/>
      <c r="JD484" s="10"/>
      <c r="JE484" s="10"/>
      <c r="JF484" s="10"/>
      <c r="JG484" s="10"/>
      <c r="JH484" s="10"/>
      <c r="JI484" s="10"/>
      <c r="JJ484" s="10"/>
      <c r="JK484" s="10"/>
      <c r="JL484" s="10"/>
      <c r="JM484" s="10"/>
      <c r="JN484" s="10"/>
      <c r="JO484" s="10"/>
      <c r="JP484" s="10"/>
      <c r="JQ484" s="10"/>
      <c r="JR484" s="10"/>
      <c r="JS484" s="10"/>
      <c r="JT484" s="10"/>
      <c r="JU484" s="10"/>
      <c r="JV484" s="10"/>
      <c r="JW484" s="10"/>
      <c r="JX484" s="10"/>
      <c r="JY484" s="10"/>
      <c r="JZ484" s="10"/>
      <c r="KA484" s="10"/>
      <c r="KB484" s="10"/>
      <c r="KC484" s="10"/>
      <c r="KD484" s="10"/>
      <c r="KE484" s="10"/>
      <c r="KF484" s="10"/>
      <c r="KG484" s="10"/>
      <c r="KH484" s="10"/>
      <c r="KI484" s="10"/>
      <c r="KJ484" s="10"/>
      <c r="KK484" s="10"/>
      <c r="KL484" s="10"/>
      <c r="KM484" s="10"/>
      <c r="KN484" s="10"/>
      <c r="KO484" s="10"/>
      <c r="KP484" s="10"/>
      <c r="KQ484" s="10"/>
      <c r="KR484" s="10"/>
      <c r="KS484" s="10"/>
      <c r="KT484" s="10"/>
      <c r="KU484" s="10"/>
      <c r="KV484" s="10"/>
      <c r="KW484" s="10"/>
      <c r="KX484" s="10"/>
      <c r="KY484" s="10"/>
      <c r="KZ484" s="10"/>
      <c r="LA484" s="10"/>
      <c r="LB484" s="10"/>
      <c r="LC484" s="10"/>
      <c r="LD484" s="10"/>
      <c r="LE484" s="10"/>
      <c r="LF484" s="10"/>
      <c r="LG484" s="10"/>
      <c r="LH484" s="10"/>
      <c r="LI484" s="10"/>
      <c r="LJ484" s="10"/>
      <c r="LK484" s="10"/>
      <c r="LL484" s="10"/>
      <c r="LM484" s="10"/>
      <c r="LN484" s="10"/>
      <c r="LO484" s="10"/>
      <c r="LP484" s="10"/>
      <c r="LQ484" s="10"/>
      <c r="LR484" s="10"/>
      <c r="LS484" s="10"/>
      <c r="LT484" s="10"/>
      <c r="LU484" s="10"/>
      <c r="LV484" s="10"/>
      <c r="LW484" s="10"/>
      <c r="LX484" s="10"/>
      <c r="LY484" s="10"/>
      <c r="LZ484" s="10"/>
      <c r="MA484" s="10"/>
      <c r="MB484" s="10"/>
      <c r="MC484" s="10"/>
      <c r="MD484" s="10"/>
      <c r="ME484" s="10"/>
      <c r="MF484" s="10"/>
      <c r="MG484" s="10"/>
      <c r="MH484" s="10"/>
      <c r="MI484" s="10"/>
      <c r="MJ484" s="10"/>
      <c r="MK484" s="10"/>
      <c r="ML484" s="10"/>
      <c r="MM484" s="10"/>
      <c r="MN484" s="10"/>
      <c r="MO484" s="10"/>
      <c r="MP484" s="10"/>
      <c r="MQ484" s="10"/>
      <c r="MR484" s="10"/>
      <c r="MS484" s="10"/>
      <c r="MT484" s="10"/>
      <c r="MU484" s="10"/>
      <c r="MV484" s="10"/>
      <c r="MW484" s="10"/>
      <c r="MX484" s="10"/>
      <c r="MY484" s="10"/>
      <c r="MZ484" s="10"/>
      <c r="NA484" s="10"/>
      <c r="NB484" s="10"/>
      <c r="NC484" s="10"/>
      <c r="ND484" s="10"/>
      <c r="NE484" s="10"/>
      <c r="NF484" s="10"/>
      <c r="NG484" s="10"/>
      <c r="NH484" s="10"/>
      <c r="NI484" s="10"/>
      <c r="NJ484" s="10"/>
      <c r="NK484" s="10"/>
      <c r="NL484" s="10"/>
      <c r="NM484" s="10"/>
      <c r="NN484" s="10"/>
      <c r="NO484" s="10"/>
      <c r="NP484" s="10"/>
      <c r="NQ484" s="10"/>
      <c r="NR484" s="10"/>
      <c r="NS484" s="10"/>
      <c r="NT484" s="10"/>
      <c r="NU484" s="10"/>
      <c r="NV484" s="10"/>
      <c r="NW484" s="10"/>
      <c r="NX484" s="10"/>
      <c r="NY484" s="10"/>
      <c r="NZ484" s="10"/>
      <c r="OA484" s="10"/>
      <c r="OB484" s="10"/>
      <c r="OC484" s="10"/>
      <c r="OD484" s="10"/>
      <c r="OE484" s="10"/>
      <c r="OF484" s="10"/>
      <c r="OG484" s="10"/>
      <c r="OH484" s="10"/>
      <c r="OI484" s="10"/>
      <c r="OJ484" s="10"/>
      <c r="OK484" s="10"/>
      <c r="OL484" s="10"/>
      <c r="OM484" s="10"/>
      <c r="ON484" s="10"/>
      <c r="OO484" s="10"/>
      <c r="OP484" s="10"/>
      <c r="OQ484" s="10"/>
      <c r="OR484" s="10"/>
      <c r="OS484" s="10"/>
      <c r="OT484" s="10"/>
      <c r="OU484" s="10"/>
      <c r="OV484" s="10"/>
      <c r="OW484" s="10"/>
      <c r="OX484" s="10"/>
      <c r="OY484" s="10"/>
      <c r="OZ484" s="10"/>
      <c r="PA484" s="10"/>
      <c r="PB484" s="10"/>
      <c r="PC484" s="10"/>
      <c r="PD484" s="10"/>
      <c r="PE484" s="10"/>
      <c r="PF484" s="10"/>
      <c r="PG484" s="10"/>
      <c r="PH484" s="10"/>
      <c r="PI484" s="10"/>
      <c r="PJ484" s="10"/>
      <c r="PK484" s="10"/>
      <c r="PL484" s="10"/>
      <c r="PM484" s="10"/>
      <c r="PN484" s="10"/>
      <c r="PO484" s="10"/>
      <c r="PP484" s="10"/>
      <c r="PQ484" s="10"/>
      <c r="PR484" s="10"/>
      <c r="PS484" s="10"/>
      <c r="PT484" s="10"/>
      <c r="PU484" s="10"/>
      <c r="PV484" s="10"/>
      <c r="PW484" s="10"/>
      <c r="PX484" s="10"/>
      <c r="PY484" s="10"/>
      <c r="PZ484" s="10"/>
      <c r="QA484" s="10"/>
      <c r="QB484" s="10"/>
      <c r="QC484" s="10"/>
      <c r="QD484" s="10"/>
      <c r="QE484" s="10"/>
      <c r="QF484" s="10"/>
      <c r="QG484" s="10"/>
      <c r="QH484" s="10"/>
      <c r="QI484" s="10"/>
      <c r="QJ484" s="10"/>
      <c r="QK484" s="10"/>
      <c r="QL484" s="10"/>
      <c r="QM484" s="10"/>
      <c r="QN484" s="10"/>
      <c r="QO484" s="10"/>
      <c r="QP484" s="10"/>
      <c r="QQ484" s="10"/>
      <c r="QR484" s="10"/>
      <c r="QS484" s="10"/>
      <c r="QT484" s="10"/>
      <c r="QU484" s="10"/>
      <c r="QV484" s="10"/>
      <c r="QW484" s="10"/>
      <c r="QX484" s="10"/>
      <c r="QY484" s="10"/>
      <c r="QZ484" s="10"/>
      <c r="RA484" s="10"/>
      <c r="RB484" s="10"/>
      <c r="RC484" s="10"/>
      <c r="RD484" s="10"/>
      <c r="RE484" s="10"/>
      <c r="RF484" s="10"/>
      <c r="RG484" s="10"/>
      <c r="RH484" s="10"/>
      <c r="RI484" s="10"/>
      <c r="RJ484" s="10"/>
      <c r="RK484" s="10"/>
      <c r="RL484" s="10"/>
      <c r="RM484" s="10"/>
      <c r="RN484" s="10"/>
      <c r="RO484" s="10"/>
      <c r="RP484" s="10"/>
      <c r="RQ484" s="10"/>
      <c r="RR484" s="10"/>
      <c r="RS484" s="10"/>
      <c r="RT484" s="10"/>
      <c r="RU484" s="10"/>
      <c r="RV484" s="10"/>
      <c r="RW484" s="10"/>
      <c r="RX484" s="10"/>
      <c r="RY484" s="10"/>
      <c r="RZ484" s="10"/>
      <c r="SA484" s="10"/>
      <c r="SB484" s="10"/>
      <c r="SC484" s="10"/>
      <c r="SD484" s="10"/>
      <c r="SE484" s="10"/>
      <c r="SF484" s="10"/>
      <c r="SG484" s="10"/>
      <c r="SH484" s="10"/>
      <c r="SI484" s="10"/>
      <c r="SJ484" s="10"/>
      <c r="SK484" s="10"/>
      <c r="SL484" s="10"/>
      <c r="SM484" s="10"/>
      <c r="SN484" s="10"/>
      <c r="SO484" s="10"/>
      <c r="SP484" s="10"/>
      <c r="SQ484" s="10"/>
      <c r="SR484" s="10"/>
      <c r="SS484" s="10"/>
      <c r="ST484" s="10"/>
      <c r="SU484" s="10"/>
      <c r="SV484" s="10"/>
      <c r="SW484" s="10"/>
      <c r="SX484" s="10"/>
      <c r="SY484" s="10"/>
      <c r="SZ484" s="10"/>
      <c r="TA484" s="10"/>
      <c r="TB484" s="10"/>
      <c r="TC484" s="10"/>
      <c r="TD484" s="10"/>
      <c r="TE484" s="10"/>
      <c r="TF484" s="10"/>
      <c r="TG484" s="10"/>
      <c r="TH484" s="10"/>
      <c r="TI484" s="10"/>
      <c r="TJ484" s="10"/>
      <c r="TK484" s="10"/>
      <c r="TL484" s="10"/>
      <c r="TM484" s="10"/>
      <c r="TN484" s="10"/>
      <c r="TO484" s="10"/>
      <c r="TP484" s="10"/>
      <c r="TQ484" s="10"/>
      <c r="TR484" s="10"/>
      <c r="TS484" s="10"/>
      <c r="TT484" s="10"/>
      <c r="TU484" s="10"/>
      <c r="TV484" s="10"/>
      <c r="TW484" s="10"/>
      <c r="TX484" s="10"/>
      <c r="TY484" s="10"/>
      <c r="TZ484" s="10"/>
      <c r="UA484" s="10"/>
      <c r="UB484" s="10"/>
      <c r="UC484" s="10"/>
      <c r="UD484" s="10"/>
      <c r="UE484" s="10"/>
      <c r="UF484" s="10"/>
      <c r="UG484" s="10"/>
      <c r="UH484" s="10"/>
      <c r="UI484" s="10"/>
      <c r="UJ484" s="10"/>
      <c r="UK484" s="10"/>
      <c r="UL484" s="10"/>
      <c r="UM484" s="10"/>
      <c r="UN484" s="10"/>
      <c r="UO484" s="10"/>
      <c r="UP484" s="10"/>
      <c r="UQ484" s="10"/>
      <c r="UR484" s="10"/>
      <c r="US484" s="10"/>
      <c r="UT484" s="10"/>
      <c r="UU484" s="10"/>
      <c r="UV484" s="10"/>
      <c r="UW484" s="10"/>
      <c r="UX484" s="10"/>
      <c r="UY484" s="10"/>
      <c r="UZ484" s="10"/>
      <c r="VA484" s="10"/>
      <c r="VB484" s="10"/>
      <c r="VC484" s="10"/>
      <c r="VD484" s="10"/>
      <c r="VE484" s="10"/>
      <c r="VF484" s="10"/>
      <c r="VG484" s="10"/>
      <c r="VH484" s="10"/>
      <c r="VI484" s="10"/>
      <c r="VJ484" s="10"/>
      <c r="VK484" s="10"/>
      <c r="VL484" s="10"/>
      <c r="VM484" s="10"/>
      <c r="VN484" s="10"/>
      <c r="VO484" s="10"/>
      <c r="VP484" s="10"/>
      <c r="VQ484" s="10"/>
      <c r="VR484" s="10"/>
      <c r="VS484" s="10"/>
      <c r="VT484" s="10"/>
      <c r="VU484" s="10"/>
      <c r="VV484" s="10"/>
      <c r="VW484" s="10"/>
      <c r="VX484" s="10"/>
      <c r="VY484" s="10"/>
      <c r="VZ484" s="10"/>
      <c r="WA484" s="10"/>
      <c r="WB484" s="10"/>
      <c r="WC484" s="10"/>
      <c r="WD484" s="10"/>
      <c r="WE484" s="10"/>
      <c r="WF484" s="10"/>
      <c r="WG484" s="10"/>
      <c r="WH484" s="10"/>
      <c r="WI484" s="10"/>
      <c r="WJ484" s="10"/>
      <c r="WK484" s="10"/>
      <c r="WL484" s="10"/>
      <c r="WM484" s="10"/>
      <c r="WN484" s="10"/>
      <c r="WO484" s="10"/>
      <c r="WP484" s="10"/>
      <c r="WQ484" s="10"/>
      <c r="WR484" s="10"/>
      <c r="WS484" s="10"/>
      <c r="WT484" s="10"/>
      <c r="WU484" s="10"/>
      <c r="WV484" s="10"/>
      <c r="WW484" s="10"/>
      <c r="WX484" s="10"/>
      <c r="WY484" s="10"/>
      <c r="WZ484" s="10"/>
      <c r="XA484" s="10"/>
      <c r="XB484" s="10"/>
      <c r="XC484" s="10"/>
      <c r="XD484" s="10"/>
      <c r="XE484" s="10"/>
      <c r="XF484" s="10"/>
      <c r="XG484" s="10"/>
      <c r="XH484" s="10"/>
      <c r="XI484" s="10"/>
      <c r="XJ484" s="10"/>
      <c r="XK484" s="10"/>
      <c r="XL484" s="10"/>
      <c r="XM484" s="10"/>
      <c r="XN484" s="10"/>
      <c r="XO484" s="10"/>
      <c r="XP484" s="10"/>
      <c r="XQ484" s="10"/>
      <c r="XR484" s="10"/>
      <c r="XS484" s="10"/>
      <c r="XT484" s="10"/>
      <c r="XU484" s="10"/>
      <c r="XV484" s="10"/>
      <c r="XW484" s="10"/>
      <c r="XX484" s="10"/>
      <c r="XY484" s="10"/>
      <c r="XZ484" s="10"/>
      <c r="YA484" s="10"/>
      <c r="YB484" s="10"/>
      <c r="YC484" s="10"/>
      <c r="YD484" s="10"/>
      <c r="YE484" s="10"/>
      <c r="YF484" s="10"/>
      <c r="YG484" s="10"/>
      <c r="YH484" s="10"/>
      <c r="YI484" s="10"/>
      <c r="YJ484" s="10"/>
      <c r="YK484" s="10"/>
      <c r="YL484" s="10"/>
      <c r="YM484" s="10"/>
      <c r="YN484" s="10"/>
      <c r="YO484" s="10"/>
      <c r="YP484" s="10"/>
      <c r="YQ484" s="10"/>
      <c r="YR484" s="10"/>
      <c r="YS484" s="10"/>
      <c r="YT484" s="10"/>
      <c r="YU484" s="10"/>
      <c r="YV484" s="10"/>
      <c r="YW484" s="10"/>
      <c r="YX484" s="10"/>
      <c r="YY484" s="10"/>
      <c r="YZ484" s="10"/>
      <c r="ZA484" s="10"/>
      <c r="ZB484" s="10"/>
      <c r="ZC484" s="10"/>
      <c r="ZD484" s="10"/>
      <c r="ZE484" s="10"/>
      <c r="ZF484" s="10"/>
      <c r="ZG484" s="10"/>
      <c r="ZH484" s="10"/>
      <c r="ZI484" s="10"/>
      <c r="ZJ484" s="10"/>
      <c r="ZK484" s="10"/>
      <c r="ZL484" s="10"/>
      <c r="ZM484" s="10"/>
      <c r="ZN484" s="10"/>
      <c r="ZO484" s="10"/>
      <c r="ZP484" s="10"/>
      <c r="ZQ484" s="10"/>
      <c r="ZR484" s="10"/>
      <c r="ZS484" s="10"/>
      <c r="ZT484" s="10"/>
      <c r="ZU484" s="10"/>
      <c r="ZV484" s="10"/>
      <c r="ZW484" s="10"/>
      <c r="ZX484" s="10"/>
      <c r="ZY484" s="10"/>
      <c r="ZZ484" s="10"/>
      <c r="AAA484" s="10"/>
      <c r="AAB484" s="10"/>
      <c r="AAC484" s="10"/>
      <c r="AAD484" s="10"/>
      <c r="AAE484" s="10"/>
      <c r="AAF484" s="10"/>
      <c r="AAG484" s="10"/>
      <c r="AAH484" s="10"/>
      <c r="AAI484" s="10"/>
      <c r="AAJ484" s="10"/>
      <c r="AAK484" s="10"/>
      <c r="AAL484" s="10"/>
      <c r="AAM484" s="10"/>
      <c r="AAN484" s="10"/>
      <c r="AAO484" s="10"/>
      <c r="AAP484" s="10"/>
      <c r="AAQ484" s="10"/>
      <c r="AAR484" s="10"/>
      <c r="AAS484" s="10"/>
      <c r="AAT484" s="10"/>
      <c r="AAU484" s="10"/>
      <c r="AAV484" s="10"/>
      <c r="AAW484" s="10"/>
      <c r="AAX484" s="10"/>
      <c r="AAY484" s="10"/>
      <c r="AAZ484" s="10"/>
      <c r="ABA484" s="10"/>
      <c r="ABB484" s="10"/>
      <c r="ABC484" s="10"/>
      <c r="ABD484" s="10"/>
      <c r="ABE484" s="10"/>
      <c r="ABF484" s="10"/>
      <c r="ABG484" s="10"/>
      <c r="ABH484" s="10"/>
      <c r="ABI484" s="10"/>
      <c r="ABJ484" s="10"/>
      <c r="ABK484" s="10"/>
      <c r="ABL484" s="10"/>
      <c r="ABM484" s="10"/>
      <c r="ABN484" s="10"/>
      <c r="ABO484" s="10"/>
      <c r="ABP484" s="10"/>
      <c r="ABQ484" s="10"/>
      <c r="ABR484" s="10"/>
      <c r="ABS484" s="10"/>
      <c r="ABT484" s="10"/>
      <c r="ABU484" s="10"/>
      <c r="ABV484" s="10"/>
      <c r="ABW484" s="10"/>
      <c r="ABX484" s="10"/>
      <c r="ABY484" s="10"/>
      <c r="ABZ484" s="10"/>
      <c r="ACA484" s="10"/>
      <c r="ACB484" s="10"/>
      <c r="ACC484" s="10"/>
      <c r="ACD484" s="10"/>
      <c r="ACE484" s="10"/>
      <c r="ACF484" s="10"/>
      <c r="ACG484" s="10"/>
      <c r="ACH484" s="10"/>
      <c r="ACI484" s="10"/>
      <c r="ACJ484" s="10"/>
      <c r="ACK484" s="10"/>
      <c r="ACL484" s="10"/>
      <c r="ACM484" s="10"/>
      <c r="ACN484" s="10"/>
      <c r="ACO484" s="10"/>
      <c r="ACP484" s="10"/>
      <c r="ACQ484" s="10"/>
      <c r="ACR484" s="10"/>
      <c r="ACS484" s="10"/>
      <c r="ACT484" s="10"/>
      <c r="ACU484" s="10"/>
      <c r="ACV484" s="10"/>
      <c r="ACW484" s="10"/>
      <c r="ACX484" s="10"/>
      <c r="ACY484" s="10"/>
      <c r="ACZ484" s="10"/>
      <c r="ADA484" s="10"/>
      <c r="ADB484" s="10"/>
      <c r="ADC484" s="10"/>
      <c r="ADD484" s="10"/>
      <c r="ADE484" s="10"/>
      <c r="ADF484" s="10"/>
      <c r="ADG484" s="10"/>
      <c r="ADH484" s="10"/>
      <c r="ADI484" s="10"/>
      <c r="ADJ484" s="10"/>
      <c r="ADK484" s="10"/>
      <c r="ADL484" s="10"/>
      <c r="ADM484" s="10"/>
      <c r="ADN484" s="10"/>
      <c r="ADO484" s="10"/>
      <c r="ADP484" s="10"/>
      <c r="ADQ484" s="10"/>
      <c r="ADR484" s="10"/>
      <c r="ADS484" s="10"/>
      <c r="ADT484" s="10"/>
      <c r="ADU484" s="10"/>
      <c r="ADV484" s="10"/>
      <c r="ADW484" s="10"/>
      <c r="ADX484" s="10"/>
      <c r="ADY484" s="10"/>
      <c r="ADZ484" s="10"/>
      <c r="AEA484" s="10"/>
      <c r="AEB484" s="10"/>
      <c r="AEC484" s="10"/>
      <c r="AED484" s="10"/>
      <c r="AEE484" s="10"/>
      <c r="AEF484" s="10"/>
      <c r="AEG484" s="10"/>
      <c r="AEH484" s="10"/>
      <c r="AEI484" s="10"/>
      <c r="AEJ484" s="10"/>
      <c r="AEK484" s="10"/>
      <c r="AEL484" s="10"/>
      <c r="AEM484" s="10"/>
      <c r="AEN484" s="10"/>
      <c r="AEO484" s="10"/>
      <c r="AEP484" s="10"/>
      <c r="AEQ484" s="10"/>
      <c r="AER484" s="10"/>
      <c r="AES484" s="10"/>
      <c r="AET484" s="10"/>
      <c r="AEU484" s="10"/>
      <c r="AEV484" s="10"/>
      <c r="AEW484" s="10"/>
      <c r="AEX484" s="10"/>
      <c r="AEY484" s="10"/>
      <c r="AEZ484" s="10"/>
      <c r="AFA484" s="10"/>
      <c r="AFB484" s="10"/>
      <c r="AFC484" s="10"/>
      <c r="AFD484" s="10"/>
      <c r="AFE484" s="10"/>
      <c r="AFF484" s="10"/>
      <c r="AFG484" s="10"/>
      <c r="AFH484" s="10"/>
      <c r="AFI484" s="10"/>
      <c r="AFJ484" s="10"/>
      <c r="AFK484" s="10"/>
      <c r="AFL484" s="10"/>
      <c r="AFM484" s="10"/>
      <c r="AFN484" s="10"/>
      <c r="AFO484" s="10"/>
      <c r="AFP484" s="10"/>
      <c r="AFQ484" s="10"/>
      <c r="AFR484" s="10"/>
      <c r="AFS484" s="10"/>
      <c r="AFT484" s="10"/>
      <c r="AFU484" s="10"/>
      <c r="AFV484" s="10"/>
      <c r="AFW484" s="10"/>
      <c r="AFX484" s="10"/>
      <c r="AFY484" s="10"/>
      <c r="AFZ484" s="10"/>
      <c r="AGA484" s="10"/>
      <c r="AGB484" s="10"/>
      <c r="AGC484" s="10"/>
      <c r="AGD484" s="10"/>
      <c r="AGE484" s="10"/>
      <c r="AGF484" s="10"/>
      <c r="AGG484" s="10"/>
      <c r="AGH484" s="10"/>
      <c r="AGI484" s="10"/>
      <c r="AGJ484" s="10"/>
      <c r="AGK484" s="10"/>
      <c r="AGL484" s="10"/>
      <c r="AGM484" s="10"/>
      <c r="AGN484" s="10"/>
      <c r="AGO484" s="10"/>
      <c r="AGP484" s="10"/>
      <c r="AGQ484" s="10"/>
      <c r="AGR484" s="10"/>
      <c r="AGS484" s="10"/>
      <c r="AGT484" s="10"/>
      <c r="AGU484" s="10"/>
      <c r="AGV484" s="10"/>
      <c r="AGW484" s="10"/>
      <c r="AGX484" s="10"/>
      <c r="AGY484" s="10"/>
      <c r="AGZ484" s="10"/>
      <c r="AHA484" s="10"/>
      <c r="AHB484" s="10"/>
      <c r="AHC484" s="10"/>
      <c r="AHD484" s="10"/>
      <c r="AHE484" s="10"/>
      <c r="AHF484" s="10"/>
      <c r="AHG484" s="10"/>
      <c r="AHH484" s="10"/>
      <c r="AHI484" s="10"/>
      <c r="AHJ484" s="10"/>
      <c r="AHK484" s="10"/>
      <c r="AHL484" s="10"/>
      <c r="AHM484" s="10"/>
      <c r="AHN484" s="10"/>
      <c r="AHO484" s="10"/>
      <c r="AHP484" s="10"/>
      <c r="AHQ484" s="10"/>
      <c r="AHR484" s="10"/>
      <c r="AHS484" s="10"/>
      <c r="AHT484" s="10"/>
      <c r="AHU484" s="10"/>
      <c r="AHV484" s="10"/>
      <c r="AHW484" s="10"/>
      <c r="AHX484" s="10"/>
      <c r="AHY484" s="10"/>
      <c r="AHZ484" s="10"/>
      <c r="AIA484" s="10"/>
      <c r="AIB484" s="10"/>
      <c r="AIC484" s="10"/>
      <c r="AID484" s="10"/>
      <c r="AIE484" s="10"/>
      <c r="AIF484" s="10"/>
      <c r="AIG484" s="10"/>
      <c r="AIH484" s="10"/>
      <c r="AII484" s="10"/>
      <c r="AIJ484" s="10"/>
      <c r="AIK484" s="10"/>
      <c r="AIL484" s="10"/>
      <c r="AIM484" s="10"/>
      <c r="AIN484" s="10"/>
      <c r="AIO484" s="10"/>
      <c r="AIP484" s="10"/>
      <c r="AIQ484" s="10"/>
      <c r="AIR484" s="10"/>
      <c r="AIS484" s="10"/>
      <c r="AIT484" s="10"/>
      <c r="AIU484" s="10"/>
      <c r="AIV484" s="10"/>
      <c r="AIW484" s="10"/>
      <c r="AIX484" s="10"/>
      <c r="AIY484" s="10"/>
      <c r="AIZ484" s="10"/>
      <c r="AJA484" s="10"/>
      <c r="AJB484" s="10"/>
      <c r="AJC484" s="10"/>
      <c r="AJD484" s="10"/>
      <c r="AJE484" s="10"/>
      <c r="AJF484" s="10"/>
      <c r="AJG484" s="10"/>
      <c r="AJH484" s="10"/>
      <c r="AJI484" s="10"/>
      <c r="AJJ484" s="10"/>
      <c r="AJK484" s="10"/>
      <c r="AJL484" s="10"/>
      <c r="AJM484" s="10"/>
      <c r="AJN484" s="10"/>
      <c r="AJO484" s="10"/>
      <c r="AJP484" s="10"/>
      <c r="AJQ484" s="10"/>
      <c r="AJR484" s="10"/>
      <c r="AJS484" s="10"/>
      <c r="AJT484" s="10"/>
      <c r="AJU484" s="10"/>
      <c r="AJV484" s="10"/>
      <c r="AJW484" s="10"/>
      <c r="AJX484" s="10"/>
      <c r="AJY484" s="10"/>
      <c r="AJZ484" s="10"/>
      <c r="AKA484" s="10"/>
      <c r="AKB484" s="10"/>
      <c r="AKC484" s="10"/>
      <c r="AKD484" s="10"/>
      <c r="AKE484" s="10"/>
      <c r="AKF484" s="10"/>
      <c r="AKG484" s="10"/>
      <c r="AKH484" s="10"/>
      <c r="AKI484" s="10"/>
      <c r="AKJ484" s="10"/>
      <c r="AKK484" s="10"/>
      <c r="AKL484" s="10"/>
      <c r="AKM484" s="10"/>
      <c r="AKN484" s="10"/>
      <c r="AKO484" s="10"/>
      <c r="AKP484" s="10"/>
      <c r="AKQ484" s="10"/>
      <c r="AKR484" s="10"/>
      <c r="AKS484" s="10"/>
      <c r="AKT484" s="10"/>
      <c r="AKU484" s="10"/>
      <c r="AKV484" s="10"/>
      <c r="AKW484" s="10"/>
      <c r="AKX484" s="10"/>
      <c r="AKY484" s="10"/>
      <c r="AKZ484" s="10"/>
      <c r="ALA484" s="10"/>
      <c r="ALB484" s="10"/>
      <c r="ALC484" s="10"/>
      <c r="ALD484" s="10"/>
      <c r="ALE484" s="10"/>
      <c r="ALF484" s="10"/>
      <c r="ALG484" s="10"/>
      <c r="ALH484" s="10"/>
      <c r="ALI484" s="10"/>
      <c r="ALJ484" s="10"/>
      <c r="ALK484" s="10"/>
      <c r="ALL484" s="10"/>
      <c r="ALM484" s="10"/>
      <c r="ALN484" s="10"/>
      <c r="ALO484" s="10"/>
      <c r="ALP484" s="10"/>
      <c r="ALQ484" s="10"/>
      <c r="ALR484" s="10"/>
      <c r="ALS484" s="10"/>
      <c r="ALT484" s="10"/>
      <c r="ALU484" s="10"/>
      <c r="ALV484" s="10"/>
      <c r="ALW484" s="10"/>
      <c r="ALX484" s="10"/>
      <c r="ALY484" s="10"/>
      <c r="ALZ484" s="10"/>
      <c r="AMA484" s="10"/>
      <c r="AMB484" s="10"/>
      <c r="AMC484" s="10"/>
      <c r="AMD484" s="10"/>
      <c r="AME484" s="10"/>
      <c r="AMF484" s="10"/>
      <c r="AMG484" s="10"/>
      <c r="AMH484" s="10"/>
      <c r="AMI484" s="10"/>
      <c r="AMJ484" s="10"/>
      <c r="AMK484" s="10"/>
      <c r="AML484" s="10"/>
      <c r="AMM484" s="10"/>
      <c r="AMN484" s="10"/>
      <c r="AMO484" s="10"/>
      <c r="AMP484" s="10"/>
      <c r="AMQ484" s="10"/>
      <c r="AMR484" s="10"/>
      <c r="AMS484" s="10"/>
      <c r="AMT484" s="10"/>
      <c r="AMU484" s="10"/>
      <c r="AMV484" s="10"/>
      <c r="AMW484" s="10"/>
      <c r="AMX484" s="10"/>
      <c r="AMY484" s="10"/>
      <c r="AMZ484" s="10"/>
      <c r="ANA484" s="10"/>
      <c r="ANB484" s="10"/>
      <c r="ANC484" s="10"/>
      <c r="AND484" s="10"/>
      <c r="ANE484" s="10"/>
      <c r="ANF484" s="10"/>
      <c r="ANG484" s="10"/>
      <c r="ANH484" s="10"/>
      <c r="ANI484" s="10"/>
      <c r="ANJ484" s="10"/>
      <c r="ANK484" s="10"/>
      <c r="ANL484" s="10"/>
      <c r="ANM484" s="10"/>
      <c r="ANN484" s="10"/>
      <c r="ANO484" s="10"/>
      <c r="ANP484" s="10"/>
      <c r="ANQ484" s="10"/>
      <c r="ANR484" s="10"/>
      <c r="ANS484" s="10"/>
      <c r="ANT484" s="10"/>
      <c r="ANU484" s="10"/>
      <c r="ANV484" s="10"/>
      <c r="ANW484" s="10"/>
      <c r="ANX484" s="10"/>
      <c r="ANY484" s="10"/>
      <c r="ANZ484" s="10"/>
      <c r="AOA484" s="10"/>
      <c r="AOB484" s="10"/>
      <c r="AOC484" s="10"/>
      <c r="AOD484" s="10"/>
      <c r="AOE484" s="10"/>
      <c r="AOF484" s="10"/>
      <c r="AOG484" s="10"/>
      <c r="AOH484" s="10"/>
      <c r="AOI484" s="10"/>
      <c r="AOJ484" s="10"/>
      <c r="AOK484" s="10"/>
      <c r="AOL484" s="10"/>
      <c r="AOM484" s="10"/>
      <c r="AON484" s="10"/>
      <c r="AOO484" s="10"/>
      <c r="AOP484" s="10"/>
      <c r="AOQ484" s="10"/>
      <c r="AOR484" s="10"/>
      <c r="AOS484" s="10"/>
      <c r="AOT484" s="10"/>
      <c r="AOU484" s="10"/>
      <c r="AOV484" s="10"/>
      <c r="AOW484" s="10"/>
      <c r="AOX484" s="10"/>
      <c r="AOY484" s="10"/>
      <c r="AOZ484" s="10"/>
      <c r="APA484" s="10"/>
      <c r="APB484" s="10"/>
      <c r="APC484" s="10"/>
      <c r="APD484" s="10"/>
      <c r="APE484" s="10"/>
      <c r="APF484" s="10"/>
      <c r="APG484" s="10"/>
      <c r="APH484" s="10"/>
      <c r="API484" s="10"/>
      <c r="APJ484" s="10"/>
      <c r="APK484" s="10"/>
      <c r="APL484" s="10"/>
      <c r="APM484" s="10"/>
      <c r="APN484" s="10"/>
      <c r="APO484" s="10"/>
      <c r="APP484" s="10"/>
      <c r="APQ484" s="10"/>
      <c r="APR484" s="10"/>
      <c r="APS484" s="10"/>
      <c r="APT484" s="10"/>
      <c r="APU484" s="10"/>
      <c r="APV484" s="10"/>
      <c r="APW484" s="10"/>
      <c r="APX484" s="10"/>
      <c r="APY484" s="10"/>
      <c r="APZ484" s="10"/>
      <c r="AQA484" s="10"/>
      <c r="AQB484" s="10"/>
      <c r="AQC484" s="10"/>
      <c r="AQD484" s="10"/>
      <c r="AQE484" s="10"/>
      <c r="AQF484" s="10"/>
      <c r="AQG484" s="10"/>
      <c r="AQH484" s="10"/>
      <c r="AQI484" s="10"/>
      <c r="AQJ484" s="10"/>
      <c r="AQK484" s="10"/>
      <c r="AQL484" s="10"/>
      <c r="AQM484" s="10"/>
      <c r="AQN484" s="10"/>
      <c r="AQO484" s="10"/>
      <c r="AQP484" s="10"/>
      <c r="AQQ484" s="10"/>
      <c r="AQR484" s="10"/>
      <c r="AQS484" s="10"/>
      <c r="AQT484" s="10"/>
      <c r="AQU484" s="10"/>
      <c r="AQV484" s="10"/>
      <c r="AQW484" s="10"/>
      <c r="AQX484" s="10"/>
      <c r="AQY484" s="10"/>
      <c r="AQZ484" s="10"/>
      <c r="ARA484" s="10"/>
      <c r="ARB484" s="10"/>
      <c r="ARC484" s="10"/>
      <c r="ARD484" s="10"/>
      <c r="ARE484" s="10"/>
      <c r="ARF484" s="10"/>
      <c r="ARG484" s="10"/>
      <c r="ARH484" s="10"/>
      <c r="ARI484" s="10"/>
      <c r="ARJ484" s="10"/>
      <c r="ARK484" s="10"/>
      <c r="ARL484" s="10"/>
      <c r="ARM484" s="10"/>
      <c r="ARN484" s="10"/>
      <c r="ARO484" s="10"/>
      <c r="ARP484" s="10"/>
      <c r="ARQ484" s="10"/>
      <c r="ARR484" s="10"/>
      <c r="ARS484" s="10"/>
      <c r="ART484" s="10"/>
      <c r="ARU484" s="10"/>
      <c r="ARV484" s="10"/>
      <c r="ARW484" s="10"/>
      <c r="ARX484" s="10"/>
      <c r="ARY484" s="10"/>
      <c r="ARZ484" s="10"/>
      <c r="ASA484" s="10"/>
      <c r="ASB484" s="10"/>
      <c r="ASC484" s="10"/>
      <c r="ASD484" s="10"/>
      <c r="ASE484" s="10"/>
      <c r="ASF484" s="10"/>
      <c r="ASG484" s="10"/>
      <c r="ASH484" s="10"/>
      <c r="ASI484" s="10"/>
      <c r="ASJ484" s="10"/>
      <c r="ASK484" s="10"/>
      <c r="ASL484" s="10"/>
      <c r="ASM484" s="10"/>
      <c r="ASN484" s="10"/>
      <c r="ASO484" s="10"/>
      <c r="ASP484" s="10"/>
      <c r="ASQ484" s="10"/>
      <c r="ASR484" s="10"/>
      <c r="ASS484" s="10"/>
      <c r="AST484" s="10"/>
      <c r="ASU484" s="10"/>
      <c r="ASV484" s="10"/>
      <c r="ASW484" s="10"/>
      <c r="ASX484" s="10"/>
      <c r="ASY484" s="10"/>
      <c r="ASZ484" s="10"/>
      <c r="ATA484" s="10"/>
      <c r="ATB484" s="10"/>
      <c r="ATC484" s="10"/>
      <c r="ATD484" s="10"/>
      <c r="ATE484" s="10"/>
      <c r="ATF484" s="10"/>
      <c r="ATG484" s="10"/>
      <c r="ATH484" s="10"/>
      <c r="ATI484" s="10"/>
      <c r="ATJ484" s="10"/>
      <c r="ATK484" s="10"/>
      <c r="ATL484" s="10"/>
      <c r="ATM484" s="10"/>
      <c r="ATN484" s="10"/>
      <c r="ATO484" s="10"/>
      <c r="ATP484" s="10"/>
      <c r="ATQ484" s="10"/>
      <c r="ATR484" s="10"/>
      <c r="ATS484" s="10"/>
      <c r="ATT484" s="10"/>
      <c r="ATU484" s="10"/>
      <c r="ATV484" s="10"/>
      <c r="ATW484" s="10"/>
      <c r="ATX484" s="10"/>
      <c r="ATY484" s="10"/>
      <c r="ATZ484" s="10"/>
      <c r="AUA484" s="10"/>
      <c r="AUB484" s="10"/>
      <c r="AUC484" s="10"/>
      <c r="AUD484" s="10"/>
      <c r="AUE484" s="10"/>
      <c r="AUF484" s="10"/>
      <c r="AUG484" s="10"/>
      <c r="AUH484" s="10"/>
      <c r="AUI484" s="10"/>
      <c r="AUJ484" s="10"/>
      <c r="AUK484" s="10"/>
      <c r="AUL484" s="10"/>
      <c r="AUM484" s="10"/>
      <c r="AUN484" s="10"/>
      <c r="AUO484" s="10"/>
      <c r="AUP484" s="10"/>
      <c r="AUQ484" s="10"/>
      <c r="AUR484" s="10"/>
      <c r="AUS484" s="10"/>
      <c r="AUT484" s="10"/>
      <c r="AUU484" s="10"/>
      <c r="AUV484" s="10"/>
      <c r="AUW484" s="10"/>
      <c r="AUX484" s="10"/>
      <c r="AUY484" s="10"/>
      <c r="AUZ484" s="10"/>
      <c r="AVA484" s="10"/>
      <c r="AVB484" s="10"/>
      <c r="AVC484" s="10"/>
      <c r="AVD484" s="10"/>
      <c r="AVE484" s="10"/>
      <c r="AVF484" s="10"/>
      <c r="AVG484" s="10"/>
      <c r="AVH484" s="10"/>
      <c r="AVI484" s="10"/>
      <c r="AVJ484" s="10"/>
      <c r="AVK484" s="10"/>
      <c r="AVL484" s="10"/>
      <c r="AVM484" s="10"/>
      <c r="AVN484" s="10"/>
      <c r="AVO484" s="10"/>
      <c r="AVP484" s="10"/>
      <c r="AVQ484" s="10"/>
      <c r="AVR484" s="10"/>
      <c r="AVS484" s="10"/>
      <c r="AVT484" s="10"/>
      <c r="AVU484" s="10"/>
      <c r="AVV484" s="10"/>
      <c r="AVW484" s="10"/>
      <c r="AVX484" s="10"/>
      <c r="AVY484" s="10"/>
      <c r="AVZ484" s="10"/>
      <c r="AWA484" s="10"/>
      <c r="AWB484" s="10"/>
      <c r="AWC484" s="10"/>
      <c r="AWD484" s="10"/>
      <c r="AWE484" s="10"/>
      <c r="AWF484" s="10"/>
      <c r="AWG484" s="10"/>
      <c r="AWH484" s="10"/>
      <c r="AWI484" s="10"/>
      <c r="AWJ484" s="10"/>
      <c r="AWK484" s="10"/>
      <c r="AWL484" s="10"/>
      <c r="AWM484" s="10"/>
      <c r="AWN484" s="10"/>
      <c r="AWO484" s="10"/>
      <c r="AWP484" s="10"/>
      <c r="AWQ484" s="10"/>
      <c r="AWR484" s="10"/>
      <c r="AWS484" s="10"/>
      <c r="AWT484" s="10"/>
      <c r="AWU484" s="10"/>
      <c r="AWV484" s="10"/>
      <c r="AWW484" s="10"/>
      <c r="AWX484" s="10"/>
      <c r="AWY484" s="10"/>
      <c r="AWZ484" s="10"/>
      <c r="AXA484" s="10"/>
      <c r="AXB484" s="10"/>
      <c r="AXC484" s="10"/>
      <c r="AXD484" s="10"/>
      <c r="AXE484" s="10"/>
      <c r="AXF484" s="10"/>
      <c r="AXG484" s="10"/>
      <c r="AXH484" s="10"/>
      <c r="AXI484" s="10"/>
      <c r="AXJ484" s="10"/>
      <c r="AXK484" s="10"/>
      <c r="AXL484" s="10"/>
      <c r="AXM484" s="10"/>
      <c r="AXN484" s="10"/>
      <c r="AXO484" s="10"/>
      <c r="AXP484" s="10"/>
      <c r="AXQ484" s="10"/>
      <c r="AXR484" s="10"/>
      <c r="AXS484" s="10"/>
      <c r="AXT484" s="10"/>
      <c r="AXU484" s="10"/>
      <c r="AXV484" s="10"/>
      <c r="AXW484" s="10"/>
      <c r="AXX484" s="10"/>
      <c r="AXY484" s="10"/>
      <c r="AXZ484" s="10"/>
      <c r="AYA484" s="10"/>
      <c r="AYB484" s="10"/>
      <c r="AYC484" s="10"/>
      <c r="AYD484" s="10"/>
      <c r="AYE484" s="10"/>
      <c r="AYF484" s="10"/>
      <c r="AYG484" s="10"/>
      <c r="AYH484" s="10"/>
      <c r="AYI484" s="10"/>
      <c r="AYJ484" s="10"/>
      <c r="AYK484" s="10"/>
      <c r="AYL484" s="10"/>
      <c r="AYM484" s="10"/>
      <c r="AYN484" s="10"/>
      <c r="AYO484" s="10"/>
      <c r="AYP484" s="10"/>
      <c r="AYQ484" s="10"/>
      <c r="AYR484" s="10"/>
      <c r="AYS484" s="10"/>
      <c r="AYT484" s="10"/>
      <c r="AYU484" s="10"/>
      <c r="AYV484" s="10"/>
      <c r="AYW484" s="10"/>
      <c r="AYX484" s="10"/>
      <c r="AYY484" s="10"/>
      <c r="AYZ484" s="10"/>
      <c r="AZA484" s="10"/>
      <c r="AZB484" s="10"/>
      <c r="AZC484" s="10"/>
      <c r="AZD484" s="10"/>
      <c r="AZE484" s="10"/>
      <c r="AZF484" s="10"/>
      <c r="AZG484" s="10"/>
      <c r="AZH484" s="10"/>
      <c r="AZI484" s="10"/>
      <c r="AZJ484" s="10"/>
      <c r="AZK484" s="10"/>
      <c r="AZL484" s="10"/>
      <c r="AZM484" s="10"/>
      <c r="AZN484" s="10"/>
      <c r="AZO484" s="10"/>
      <c r="AZP484" s="10"/>
      <c r="AZQ484" s="10"/>
      <c r="AZR484" s="10"/>
      <c r="AZS484" s="10"/>
      <c r="AZT484" s="10"/>
      <c r="AZU484" s="10"/>
      <c r="AZV484" s="10"/>
      <c r="AZW484" s="10"/>
      <c r="AZX484" s="10"/>
      <c r="AZY484" s="10"/>
      <c r="AZZ484" s="10"/>
      <c r="BAA484" s="10"/>
      <c r="BAB484" s="10"/>
      <c r="BAC484" s="10"/>
      <c r="BAD484" s="10"/>
      <c r="BAE484" s="10"/>
      <c r="BAF484" s="10"/>
      <c r="BAG484" s="10"/>
      <c r="BAH484" s="10"/>
      <c r="BAI484" s="10"/>
      <c r="BAJ484" s="10"/>
      <c r="BAK484" s="10"/>
      <c r="BAL484" s="10"/>
      <c r="BAM484" s="10"/>
      <c r="BAN484" s="10"/>
      <c r="BAO484" s="10"/>
      <c r="BAP484" s="10"/>
      <c r="BAQ484" s="10"/>
      <c r="BAR484" s="10"/>
      <c r="BAS484" s="10"/>
      <c r="BAT484" s="10"/>
      <c r="BAU484" s="10"/>
      <c r="BAV484" s="10"/>
      <c r="BAW484" s="10"/>
      <c r="BAX484" s="10"/>
      <c r="BAY484" s="10"/>
      <c r="BAZ484" s="10"/>
      <c r="BBA484" s="10"/>
      <c r="BBB484" s="10"/>
      <c r="BBC484" s="10"/>
      <c r="BBD484" s="10"/>
      <c r="BBE484" s="10"/>
      <c r="BBF484" s="10"/>
      <c r="BBG484" s="10"/>
      <c r="BBH484" s="10"/>
      <c r="BBI484" s="10"/>
      <c r="BBJ484" s="10"/>
      <c r="BBK484" s="10"/>
      <c r="BBL484" s="10"/>
      <c r="BBM484" s="10"/>
      <c r="BBN484" s="10"/>
      <c r="BBO484" s="10"/>
      <c r="BBP484" s="10"/>
      <c r="BBQ484" s="10"/>
      <c r="BBR484" s="10"/>
      <c r="BBS484" s="10"/>
      <c r="BBT484" s="10"/>
      <c r="BBU484" s="10"/>
      <c r="BBV484" s="10"/>
      <c r="BBW484" s="10"/>
      <c r="BBX484" s="10"/>
      <c r="BBY484" s="10"/>
      <c r="BBZ484" s="10"/>
      <c r="BCA484" s="10"/>
      <c r="BCB484" s="10"/>
      <c r="BCC484" s="10"/>
      <c r="BCD484" s="10"/>
      <c r="BCE484" s="10"/>
      <c r="BCF484" s="10"/>
      <c r="BCG484" s="10"/>
      <c r="BCH484" s="10"/>
      <c r="BCI484" s="10"/>
      <c r="BCJ484" s="10"/>
      <c r="BCK484" s="10"/>
      <c r="BCL484" s="10"/>
      <c r="BCM484" s="10"/>
      <c r="BCN484" s="10"/>
      <c r="BCO484" s="10"/>
      <c r="BCP484" s="10"/>
      <c r="BCQ484" s="10"/>
      <c r="BCR484" s="10"/>
      <c r="BCS484" s="10"/>
      <c r="BCT484" s="10"/>
      <c r="BCU484" s="10"/>
      <c r="BCV484" s="10"/>
      <c r="BCW484" s="10"/>
      <c r="BCX484" s="10"/>
      <c r="BCY484" s="10"/>
      <c r="BCZ484" s="10"/>
      <c r="BDA484" s="10"/>
      <c r="BDB484" s="10"/>
      <c r="BDC484" s="10"/>
      <c r="BDD484" s="10"/>
      <c r="BDE484" s="10"/>
      <c r="BDF484" s="10"/>
      <c r="BDG484" s="10"/>
      <c r="BDH484" s="10"/>
      <c r="BDI484" s="10"/>
      <c r="BDJ484" s="10"/>
      <c r="BDK484" s="10"/>
      <c r="BDL484" s="10"/>
      <c r="BDM484" s="10"/>
      <c r="BDN484" s="10"/>
      <c r="BDO484" s="10"/>
      <c r="BDP484" s="10"/>
      <c r="BDQ484" s="10"/>
      <c r="BDR484" s="10"/>
      <c r="BDS484" s="10"/>
      <c r="BDT484" s="10"/>
      <c r="BDU484" s="10"/>
      <c r="BDV484" s="10"/>
      <c r="BDW484" s="10"/>
      <c r="BDX484" s="10"/>
      <c r="BDY484" s="10"/>
      <c r="BDZ484" s="10"/>
      <c r="BEA484" s="10"/>
      <c r="BEB484" s="10"/>
      <c r="BEC484" s="10"/>
      <c r="BED484" s="10"/>
      <c r="BEE484" s="10"/>
      <c r="BEF484" s="10"/>
      <c r="BEG484" s="10"/>
      <c r="BEH484" s="10"/>
      <c r="BEI484" s="10"/>
      <c r="BEJ484" s="10"/>
      <c r="BEK484" s="10"/>
      <c r="BEL484" s="10"/>
      <c r="BEM484" s="10"/>
      <c r="BEN484" s="10"/>
      <c r="BEO484" s="10"/>
      <c r="BEP484" s="10"/>
      <c r="BEQ484" s="10"/>
      <c r="BER484" s="10"/>
      <c r="BES484" s="10"/>
      <c r="BET484" s="10"/>
      <c r="BEU484" s="10"/>
      <c r="BEV484" s="10"/>
      <c r="BEW484" s="10"/>
      <c r="BEX484" s="10"/>
      <c r="BEY484" s="10"/>
      <c r="BEZ484" s="10"/>
      <c r="BFA484" s="10"/>
      <c r="BFB484" s="10"/>
      <c r="BFC484" s="10"/>
      <c r="BFD484" s="10"/>
      <c r="BFE484" s="10"/>
      <c r="BFF484" s="10"/>
      <c r="BFG484" s="10"/>
      <c r="BFH484" s="10"/>
      <c r="BFI484" s="10"/>
      <c r="BFJ484" s="10"/>
      <c r="BFK484" s="10"/>
      <c r="BFL484" s="10"/>
      <c r="BFM484" s="10"/>
      <c r="BFN484" s="10"/>
      <c r="BFO484" s="10"/>
      <c r="BFP484" s="10"/>
      <c r="BFQ484" s="10"/>
      <c r="BFR484" s="10"/>
      <c r="BFS484" s="10"/>
      <c r="BFT484" s="10"/>
      <c r="BFU484" s="10"/>
      <c r="BFV484" s="10"/>
      <c r="BFW484" s="10"/>
      <c r="BFX484" s="10"/>
      <c r="BFY484" s="10"/>
      <c r="BFZ484" s="10"/>
      <c r="BGA484" s="10"/>
      <c r="BGB484" s="10"/>
      <c r="BGC484" s="10"/>
      <c r="BGD484" s="10"/>
      <c r="BGE484" s="10"/>
      <c r="BGF484" s="10"/>
      <c r="BGG484" s="10"/>
      <c r="BGH484" s="10"/>
      <c r="BGI484" s="10"/>
      <c r="BGJ484" s="10"/>
      <c r="BGK484" s="10"/>
      <c r="BGL484" s="10"/>
      <c r="BGM484" s="10"/>
      <c r="BGN484" s="10"/>
      <c r="BGO484" s="10"/>
      <c r="BGP484" s="10"/>
      <c r="BGQ484" s="10"/>
      <c r="BGR484" s="10"/>
      <c r="BGS484" s="10"/>
      <c r="BGT484" s="10"/>
      <c r="BGU484" s="10"/>
      <c r="BGV484" s="10"/>
      <c r="BGW484" s="10"/>
      <c r="BGX484" s="10"/>
      <c r="BGY484" s="10"/>
      <c r="BGZ484" s="10"/>
      <c r="BHA484" s="10"/>
      <c r="BHB484" s="10"/>
      <c r="BHC484" s="10"/>
      <c r="BHD484" s="10"/>
      <c r="BHE484" s="10"/>
      <c r="BHF484" s="10"/>
      <c r="BHG484" s="10"/>
      <c r="BHH484" s="10"/>
      <c r="BHI484" s="10"/>
      <c r="BHJ484" s="10"/>
      <c r="BHK484" s="10"/>
      <c r="BHL484" s="10"/>
      <c r="BHM484" s="10"/>
      <c r="BHN484" s="10"/>
      <c r="BHO484" s="10"/>
      <c r="BHP484" s="10"/>
      <c r="BHQ484" s="10"/>
      <c r="BHR484" s="10"/>
      <c r="BHS484" s="10"/>
      <c r="BHT484" s="10"/>
      <c r="BHU484" s="10"/>
      <c r="BHV484" s="10"/>
      <c r="BHW484" s="10"/>
      <c r="BHX484" s="10"/>
      <c r="BHY484" s="10"/>
      <c r="BHZ484" s="10"/>
      <c r="BIA484" s="10"/>
      <c r="BIB484" s="10"/>
      <c r="BIC484" s="10"/>
      <c r="BID484" s="10"/>
      <c r="BIE484" s="10"/>
      <c r="BIF484" s="10"/>
      <c r="BIG484" s="10"/>
      <c r="BIH484" s="10"/>
      <c r="BII484" s="10"/>
      <c r="BIJ484" s="10"/>
      <c r="BIK484" s="10"/>
      <c r="BIL484" s="10"/>
      <c r="BIM484" s="10"/>
      <c r="BIN484" s="10"/>
      <c r="BIO484" s="10"/>
      <c r="BIP484" s="10"/>
      <c r="BIQ484" s="10"/>
      <c r="BIR484" s="10"/>
      <c r="BIS484" s="10"/>
      <c r="BIT484" s="10"/>
      <c r="BIU484" s="10"/>
      <c r="BIV484" s="10"/>
      <c r="BIW484" s="10"/>
      <c r="BIX484" s="10"/>
      <c r="BIY484" s="10"/>
      <c r="BIZ484" s="10"/>
      <c r="BJA484" s="10"/>
      <c r="BJB484" s="10"/>
      <c r="BJC484" s="10"/>
      <c r="BJD484" s="10"/>
      <c r="BJE484" s="10"/>
      <c r="BJF484" s="10"/>
      <c r="BJG484" s="10"/>
      <c r="BJH484" s="10"/>
      <c r="BJI484" s="10"/>
      <c r="BJJ484" s="10"/>
      <c r="BJK484" s="10"/>
      <c r="BJL484" s="10"/>
      <c r="BJM484" s="10"/>
      <c r="BJN484" s="10"/>
      <c r="BJO484" s="10"/>
      <c r="BJP484" s="10"/>
      <c r="BJQ484" s="10"/>
      <c r="BJR484" s="10"/>
      <c r="BJS484" s="10"/>
      <c r="BJT484" s="10"/>
      <c r="BJU484" s="10"/>
      <c r="BJV484" s="10"/>
      <c r="BJW484" s="10"/>
      <c r="BJX484" s="10"/>
      <c r="BJY484" s="10"/>
      <c r="BJZ484" s="10"/>
      <c r="BKA484" s="10"/>
      <c r="BKB484" s="10"/>
      <c r="BKC484" s="10"/>
      <c r="BKD484" s="10"/>
      <c r="BKE484" s="10"/>
      <c r="BKF484" s="10"/>
      <c r="BKG484" s="10"/>
      <c r="BKH484" s="10"/>
      <c r="BKI484" s="10"/>
      <c r="BKJ484" s="10"/>
      <c r="BKK484" s="10"/>
      <c r="BKL484" s="10"/>
      <c r="BKM484" s="10"/>
      <c r="BKN484" s="10"/>
      <c r="BKO484" s="10"/>
      <c r="BKP484" s="10"/>
      <c r="BKQ484" s="10"/>
      <c r="BKR484" s="10"/>
      <c r="BKS484" s="10"/>
      <c r="BKT484" s="10"/>
      <c r="BKU484" s="10"/>
      <c r="BKV484" s="10"/>
      <c r="BKW484" s="10"/>
      <c r="BKX484" s="10"/>
      <c r="BKY484" s="10"/>
      <c r="BKZ484" s="10"/>
      <c r="BLA484" s="10"/>
      <c r="BLB484" s="10"/>
      <c r="BLC484" s="10"/>
      <c r="BLD484" s="10"/>
      <c r="BLE484" s="10"/>
      <c r="BLF484" s="10"/>
      <c r="BLG484" s="10"/>
      <c r="BLH484" s="10"/>
      <c r="BLI484" s="10"/>
      <c r="BLJ484" s="10"/>
      <c r="BLK484" s="10"/>
      <c r="BLL484" s="10"/>
      <c r="BLM484" s="10"/>
      <c r="BLN484" s="10"/>
      <c r="BLO484" s="10"/>
      <c r="BLP484" s="10"/>
      <c r="BLQ484" s="10"/>
      <c r="BLR484" s="10"/>
      <c r="BLS484" s="10"/>
      <c r="BLT484" s="10"/>
      <c r="BLU484" s="10"/>
      <c r="BLV484" s="10"/>
      <c r="BLW484" s="10"/>
      <c r="BLX484" s="10"/>
      <c r="BLY484" s="10"/>
      <c r="BLZ484" s="10"/>
      <c r="BMA484" s="10"/>
      <c r="BMB484" s="10"/>
      <c r="BMC484" s="10"/>
      <c r="BMD484" s="10"/>
      <c r="BME484" s="10"/>
      <c r="BMF484" s="10"/>
      <c r="BMG484" s="10"/>
      <c r="BMH484" s="10"/>
      <c r="BMI484" s="10"/>
      <c r="BMJ484" s="10"/>
      <c r="BMK484" s="10"/>
      <c r="BML484" s="10"/>
      <c r="BMM484" s="10"/>
      <c r="BMN484" s="10"/>
      <c r="BMO484" s="10"/>
      <c r="BMP484" s="10"/>
      <c r="BMQ484" s="10"/>
      <c r="BMR484" s="10"/>
      <c r="BMS484" s="10"/>
      <c r="BMT484" s="10"/>
      <c r="BMU484" s="10"/>
      <c r="BMV484" s="10"/>
      <c r="BMW484" s="10"/>
      <c r="BMX484" s="10"/>
      <c r="BMY484" s="10"/>
      <c r="BMZ484" s="10"/>
      <c r="BNA484" s="10"/>
      <c r="BNB484" s="10"/>
      <c r="BNC484" s="10"/>
      <c r="BND484" s="10"/>
      <c r="BNE484" s="10"/>
      <c r="BNF484" s="10"/>
      <c r="BNG484" s="10"/>
      <c r="BNH484" s="10"/>
      <c r="BNI484" s="10"/>
      <c r="BNJ484" s="10"/>
      <c r="BNK484" s="10"/>
      <c r="BNL484" s="10"/>
      <c r="BNM484" s="10"/>
      <c r="BNN484" s="10"/>
      <c r="BNO484" s="10"/>
      <c r="BNP484" s="10"/>
      <c r="BNQ484" s="10"/>
      <c r="BNR484" s="10"/>
      <c r="BNS484" s="10"/>
      <c r="BNT484" s="10"/>
      <c r="BNU484" s="10"/>
      <c r="BNV484" s="10"/>
      <c r="BNW484" s="10"/>
      <c r="BNX484" s="10"/>
      <c r="BNY484" s="10"/>
      <c r="BNZ484" s="10"/>
      <c r="BOA484" s="10"/>
      <c r="BOB484" s="10"/>
      <c r="BOC484" s="10"/>
      <c r="BOD484" s="10"/>
      <c r="BOE484" s="10"/>
      <c r="BOF484" s="10"/>
      <c r="BOG484" s="10"/>
      <c r="BOH484" s="10"/>
      <c r="BOI484" s="10"/>
      <c r="BOJ484" s="10"/>
      <c r="BOK484" s="10"/>
      <c r="BOL484" s="10"/>
      <c r="BOM484" s="10"/>
      <c r="BON484" s="10"/>
      <c r="BOO484" s="10"/>
      <c r="BOP484" s="10"/>
      <c r="BOQ484" s="10"/>
      <c r="BOR484" s="10"/>
      <c r="BOS484" s="10"/>
      <c r="BOT484" s="10"/>
      <c r="BOU484" s="10"/>
      <c r="BOV484" s="10"/>
      <c r="BOW484" s="10"/>
      <c r="BOX484" s="10"/>
      <c r="BOY484" s="10"/>
      <c r="BOZ484" s="10"/>
      <c r="BPA484" s="10"/>
      <c r="BPB484" s="10"/>
      <c r="BPC484" s="10"/>
      <c r="BPD484" s="10"/>
      <c r="BPE484" s="10"/>
      <c r="BPF484" s="10"/>
      <c r="BPG484" s="10"/>
      <c r="BPH484" s="10"/>
      <c r="BPI484" s="10"/>
      <c r="BPJ484" s="10"/>
      <c r="BPK484" s="10"/>
      <c r="BPL484" s="10"/>
      <c r="BPM484" s="10"/>
      <c r="BPN484" s="10"/>
      <c r="BPO484" s="10"/>
      <c r="BPP484" s="10"/>
      <c r="BPQ484" s="10"/>
      <c r="BPR484" s="10"/>
      <c r="BPS484" s="10"/>
      <c r="BPT484" s="10"/>
      <c r="BPU484" s="10"/>
      <c r="BPV484" s="10"/>
      <c r="BPW484" s="10"/>
      <c r="BPX484" s="10"/>
      <c r="BPY484" s="10"/>
      <c r="BPZ484" s="10"/>
      <c r="BQA484" s="10"/>
      <c r="BQB484" s="10"/>
      <c r="BQC484" s="10"/>
      <c r="BQD484" s="10"/>
      <c r="BQE484" s="10"/>
      <c r="BQF484" s="10"/>
      <c r="BQG484" s="10"/>
      <c r="BQH484" s="10"/>
      <c r="BQI484" s="10"/>
      <c r="BQJ484" s="10"/>
      <c r="BQK484" s="10"/>
      <c r="BQL484" s="10"/>
      <c r="BQM484" s="10"/>
      <c r="BQN484" s="10"/>
      <c r="BQO484" s="10"/>
      <c r="BQP484" s="10"/>
      <c r="BQQ484" s="10"/>
      <c r="BQR484" s="10"/>
      <c r="BQS484" s="10"/>
      <c r="BQT484" s="10"/>
      <c r="BQU484" s="10"/>
      <c r="BQV484" s="10"/>
      <c r="BQW484" s="10"/>
      <c r="BQX484" s="10"/>
      <c r="BQY484" s="10"/>
      <c r="BQZ484" s="10"/>
      <c r="BRA484" s="10"/>
      <c r="BRB484" s="10"/>
      <c r="BRC484" s="10"/>
      <c r="BRD484" s="10"/>
      <c r="BRE484" s="10"/>
      <c r="BRF484" s="10"/>
      <c r="BRG484" s="10"/>
      <c r="BRH484" s="10"/>
      <c r="BRI484" s="10"/>
      <c r="BRJ484" s="10"/>
      <c r="BRK484" s="10"/>
      <c r="BRL484" s="10"/>
      <c r="BRM484" s="10"/>
      <c r="BRN484" s="10"/>
      <c r="BRO484" s="10"/>
      <c r="BRP484" s="10"/>
      <c r="BRQ484" s="10"/>
      <c r="BRR484" s="10"/>
      <c r="BRS484" s="10"/>
      <c r="BRT484" s="10"/>
      <c r="BRU484" s="10"/>
      <c r="BRV484" s="10"/>
      <c r="BRW484" s="10"/>
      <c r="BRX484" s="10"/>
      <c r="BRY484" s="10"/>
      <c r="BRZ484" s="10"/>
      <c r="BSA484" s="10"/>
      <c r="BSB484" s="10"/>
      <c r="BSC484" s="10"/>
      <c r="BSD484" s="10"/>
      <c r="BSE484" s="10"/>
      <c r="BSF484" s="10"/>
      <c r="BSG484" s="10"/>
      <c r="BSH484" s="10"/>
      <c r="BSI484" s="10"/>
      <c r="BSJ484" s="10"/>
      <c r="BSK484" s="10"/>
      <c r="BSL484" s="10"/>
      <c r="BSM484" s="10"/>
      <c r="BSN484" s="10"/>
      <c r="BSO484" s="10"/>
      <c r="BSP484" s="10"/>
      <c r="BSQ484" s="10"/>
      <c r="BSR484" s="10"/>
      <c r="BSS484" s="10"/>
      <c r="BST484" s="10"/>
      <c r="BSU484" s="10"/>
      <c r="BSV484" s="10"/>
      <c r="BSW484" s="10"/>
      <c r="BSX484" s="10"/>
      <c r="BSY484" s="10"/>
      <c r="BSZ484" s="10"/>
      <c r="BTA484" s="10"/>
      <c r="BTB484" s="10"/>
      <c r="BTC484" s="10"/>
      <c r="BTD484" s="10"/>
      <c r="BTE484" s="10"/>
      <c r="BTF484" s="10"/>
      <c r="BTG484" s="10"/>
      <c r="BTH484" s="10"/>
      <c r="BTI484" s="10"/>
      <c r="BTJ484" s="10"/>
      <c r="BTK484" s="10"/>
      <c r="BTL484" s="10"/>
      <c r="BTM484" s="10"/>
      <c r="BTN484" s="10"/>
      <c r="BTO484" s="10"/>
      <c r="BTP484" s="10"/>
      <c r="BTQ484" s="10"/>
      <c r="BTR484" s="10"/>
      <c r="BTS484" s="10"/>
      <c r="BTT484" s="10"/>
    </row>
    <row r="485" spans="1:1892" s="10" customFormat="1" ht="35.1" customHeight="1">
      <c r="A485" s="1241"/>
      <c r="B485" s="982" t="s">
        <v>647</v>
      </c>
      <c r="C485" s="616" t="s">
        <v>88</v>
      </c>
      <c r="D485" s="783" t="s">
        <v>315</v>
      </c>
      <c r="E485" s="784"/>
      <c r="F485" s="785"/>
      <c r="G485" s="566" t="s">
        <v>283</v>
      </c>
      <c r="H485" s="566" t="s">
        <v>371</v>
      </c>
      <c r="I485" s="566" t="s">
        <v>284</v>
      </c>
      <c r="J485" s="534" t="s">
        <v>11</v>
      </c>
      <c r="K485" s="534" t="s">
        <v>12</v>
      </c>
      <c r="L485" s="180" t="s">
        <v>316</v>
      </c>
      <c r="M485" s="231">
        <v>28</v>
      </c>
      <c r="N485" s="392">
        <v>0</v>
      </c>
      <c r="O485" s="392">
        <v>0</v>
      </c>
      <c r="P485" s="656" t="s">
        <v>452</v>
      </c>
      <c r="Q485" s="656" t="s">
        <v>409</v>
      </c>
      <c r="R485" s="656" t="s">
        <v>417</v>
      </c>
      <c r="S485" s="979" t="s">
        <v>57</v>
      </c>
      <c r="T485" s="724" t="s">
        <v>87</v>
      </c>
      <c r="U485" s="724" t="s">
        <v>86</v>
      </c>
    </row>
    <row r="486" spans="1:1892" s="10" customFormat="1" ht="35.1" customHeight="1">
      <c r="A486" s="1241"/>
      <c r="B486" s="983"/>
      <c r="C486" s="583"/>
      <c r="D486" s="786"/>
      <c r="E486" s="787"/>
      <c r="F486" s="788"/>
      <c r="G486" s="567"/>
      <c r="H486" s="567"/>
      <c r="I486" s="567"/>
      <c r="J486" s="535"/>
      <c r="K486" s="535"/>
      <c r="L486" s="180" t="s">
        <v>317</v>
      </c>
      <c r="M486" s="231">
        <v>170</v>
      </c>
      <c r="N486" s="392">
        <v>0</v>
      </c>
      <c r="O486" s="392">
        <v>0</v>
      </c>
      <c r="P486" s="657"/>
      <c r="Q486" s="657"/>
      <c r="R486" s="657"/>
      <c r="S486" s="980"/>
      <c r="T486" s="725"/>
      <c r="U486" s="725"/>
    </row>
    <row r="487" spans="1:1892" s="10" customFormat="1" ht="35.1" customHeight="1">
      <c r="A487" s="1241"/>
      <c r="B487" s="983"/>
      <c r="C487" s="583"/>
      <c r="D487" s="786"/>
      <c r="E487" s="787"/>
      <c r="F487" s="788"/>
      <c r="G487" s="567"/>
      <c r="H487" s="567"/>
      <c r="I487" s="567"/>
      <c r="J487" s="535"/>
      <c r="K487" s="535"/>
      <c r="L487" s="180" t="s">
        <v>318</v>
      </c>
      <c r="M487" s="231">
        <v>142</v>
      </c>
      <c r="N487" s="392"/>
      <c r="O487" s="392"/>
      <c r="P487" s="657"/>
      <c r="Q487" s="657"/>
      <c r="R487" s="657"/>
      <c r="S487" s="980"/>
      <c r="T487" s="725"/>
      <c r="U487" s="725"/>
    </row>
    <row r="488" spans="1:1892" s="10" customFormat="1" ht="35.1" customHeight="1">
      <c r="A488" s="1241"/>
      <c r="B488" s="983"/>
      <c r="C488" s="583"/>
      <c r="D488" s="786"/>
      <c r="E488" s="787"/>
      <c r="F488" s="788"/>
      <c r="G488" s="567"/>
      <c r="H488" s="567"/>
      <c r="I488" s="567"/>
      <c r="J488" s="535"/>
      <c r="K488" s="535"/>
      <c r="L488" s="180">
        <v>107</v>
      </c>
      <c r="M488" s="231">
        <v>84</v>
      </c>
      <c r="N488" s="392">
        <v>0</v>
      </c>
      <c r="O488" s="392">
        <v>0</v>
      </c>
      <c r="P488" s="657"/>
      <c r="Q488" s="657"/>
      <c r="R488" s="657"/>
      <c r="S488" s="980"/>
      <c r="T488" s="725"/>
      <c r="U488" s="725"/>
    </row>
    <row r="489" spans="1:1892" s="10" customFormat="1" ht="35.1" customHeight="1">
      <c r="A489" s="1241"/>
      <c r="B489" s="983"/>
      <c r="C489" s="583"/>
      <c r="D489" s="786"/>
      <c r="E489" s="787"/>
      <c r="F489" s="788"/>
      <c r="G489" s="567"/>
      <c r="H489" s="567"/>
      <c r="I489" s="567"/>
      <c r="J489" s="535"/>
      <c r="K489" s="535"/>
      <c r="L489" s="180" t="s">
        <v>319</v>
      </c>
      <c r="M489" s="231">
        <v>2</v>
      </c>
      <c r="N489" s="392">
        <v>1</v>
      </c>
      <c r="O489" s="392">
        <v>1</v>
      </c>
      <c r="P489" s="657"/>
      <c r="Q489" s="657"/>
      <c r="R489" s="657"/>
      <c r="S489" s="980"/>
      <c r="T489" s="725"/>
      <c r="U489" s="725"/>
    </row>
    <row r="490" spans="1:1892" s="10" customFormat="1" ht="35.1" customHeight="1">
      <c r="A490" s="1241"/>
      <c r="B490" s="983"/>
      <c r="C490" s="583"/>
      <c r="D490" s="786"/>
      <c r="E490" s="787"/>
      <c r="F490" s="788"/>
      <c r="G490" s="568"/>
      <c r="H490" s="568"/>
      <c r="I490" s="568"/>
      <c r="J490" s="536"/>
      <c r="K490" s="536"/>
      <c r="L490" s="180" t="s">
        <v>320</v>
      </c>
      <c r="M490" s="231">
        <v>2</v>
      </c>
      <c r="N490" s="392">
        <v>1</v>
      </c>
      <c r="O490" s="392">
        <v>1</v>
      </c>
      <c r="P490" s="657"/>
      <c r="Q490" s="657"/>
      <c r="R490" s="657"/>
      <c r="S490" s="980"/>
      <c r="T490" s="725"/>
      <c r="U490" s="725"/>
    </row>
    <row r="491" spans="1:1892" s="10" customFormat="1" ht="35.1" customHeight="1">
      <c r="A491" s="1241"/>
      <c r="B491" s="983"/>
      <c r="C491" s="617"/>
      <c r="D491" s="789"/>
      <c r="E491" s="790"/>
      <c r="F491" s="791"/>
      <c r="G491" s="463" t="s">
        <v>329</v>
      </c>
      <c r="H491" s="464"/>
      <c r="I491" s="464"/>
      <c r="J491" s="464"/>
      <c r="K491" s="465"/>
      <c r="L491" s="181"/>
      <c r="M491" s="224">
        <f t="shared" ref="M491" si="42">SUM(M485:M490)</f>
        <v>428</v>
      </c>
      <c r="N491" s="263">
        <f t="shared" ref="N491" si="43">SUM(N485:N490)</f>
        <v>2</v>
      </c>
      <c r="O491" s="263">
        <f t="shared" ref="O491" si="44">SUM(O485:O490)</f>
        <v>2</v>
      </c>
      <c r="P491" s="658"/>
      <c r="Q491" s="658"/>
      <c r="R491" s="658"/>
      <c r="S491" s="981"/>
      <c r="T491" s="726"/>
      <c r="U491" s="726"/>
    </row>
    <row r="492" spans="1:1892" s="10" customFormat="1" ht="35.1" customHeight="1">
      <c r="A492" s="1241"/>
      <c r="B492" s="983"/>
      <c r="C492" s="566" t="s">
        <v>92</v>
      </c>
      <c r="D492" s="783" t="s">
        <v>321</v>
      </c>
      <c r="E492" s="784"/>
      <c r="F492" s="785"/>
      <c r="G492" s="566" t="s">
        <v>280</v>
      </c>
      <c r="H492" s="566" t="s">
        <v>281</v>
      </c>
      <c r="I492" s="566" t="s">
        <v>282</v>
      </c>
      <c r="J492" s="687" t="s">
        <v>11</v>
      </c>
      <c r="K492" s="687" t="s">
        <v>12</v>
      </c>
      <c r="L492" s="137" t="s">
        <v>91</v>
      </c>
      <c r="M492" s="221">
        <v>315</v>
      </c>
      <c r="N492" s="143">
        <v>1</v>
      </c>
      <c r="O492" s="143">
        <v>1</v>
      </c>
      <c r="P492" s="973" t="s">
        <v>453</v>
      </c>
      <c r="Q492" s="973" t="s">
        <v>454</v>
      </c>
      <c r="R492" s="973" t="s">
        <v>455</v>
      </c>
      <c r="S492" s="559" t="s">
        <v>57</v>
      </c>
      <c r="T492" s="801" t="s">
        <v>962</v>
      </c>
      <c r="U492" s="544" t="s">
        <v>17</v>
      </c>
    </row>
    <row r="493" spans="1:1892" s="10" customFormat="1" ht="35.1" customHeight="1">
      <c r="A493" s="1241"/>
      <c r="B493" s="983"/>
      <c r="C493" s="567"/>
      <c r="D493" s="786"/>
      <c r="E493" s="787"/>
      <c r="F493" s="788"/>
      <c r="G493" s="567"/>
      <c r="H493" s="567"/>
      <c r="I493" s="567"/>
      <c r="J493" s="688"/>
      <c r="K493" s="688"/>
      <c r="L493" s="137" t="s">
        <v>90</v>
      </c>
      <c r="M493" s="221">
        <v>79</v>
      </c>
      <c r="N493" s="143">
        <v>0</v>
      </c>
      <c r="O493" s="143">
        <v>0</v>
      </c>
      <c r="P493" s="974"/>
      <c r="Q493" s="974"/>
      <c r="R493" s="974"/>
      <c r="S493" s="560"/>
      <c r="T493" s="802"/>
      <c r="U493" s="545"/>
    </row>
    <row r="494" spans="1:1892" s="10" customFormat="1" ht="35.1" customHeight="1">
      <c r="A494" s="1241"/>
      <c r="B494" s="983"/>
      <c r="C494" s="567"/>
      <c r="D494" s="786"/>
      <c r="E494" s="787"/>
      <c r="F494" s="788"/>
      <c r="G494" s="567"/>
      <c r="H494" s="567"/>
      <c r="I494" s="567"/>
      <c r="J494" s="688"/>
      <c r="K494" s="688"/>
      <c r="L494" s="137" t="s">
        <v>89</v>
      </c>
      <c r="M494" s="221">
        <v>115</v>
      </c>
      <c r="N494" s="143">
        <v>0</v>
      </c>
      <c r="O494" s="143">
        <v>0</v>
      </c>
      <c r="P494" s="974"/>
      <c r="Q494" s="974"/>
      <c r="R494" s="974"/>
      <c r="S494" s="560"/>
      <c r="T494" s="802"/>
      <c r="U494" s="545"/>
    </row>
    <row r="495" spans="1:1892" s="10" customFormat="1" ht="35.1" customHeight="1">
      <c r="A495" s="1241"/>
      <c r="B495" s="983"/>
      <c r="C495" s="567"/>
      <c r="D495" s="786"/>
      <c r="E495" s="787"/>
      <c r="F495" s="788"/>
      <c r="G495" s="568"/>
      <c r="H495" s="568"/>
      <c r="I495" s="568"/>
      <c r="J495" s="689"/>
      <c r="K495" s="689"/>
      <c r="L495" s="137">
        <v>99.993700000000004</v>
      </c>
      <c r="M495" s="221">
        <v>76</v>
      </c>
      <c r="N495" s="143">
        <v>1</v>
      </c>
      <c r="O495" s="143">
        <v>1</v>
      </c>
      <c r="P495" s="974"/>
      <c r="Q495" s="974"/>
      <c r="R495" s="974"/>
      <c r="S495" s="560"/>
      <c r="T495" s="802"/>
      <c r="U495" s="545"/>
    </row>
    <row r="496" spans="1:1892" s="10" customFormat="1" ht="35.1" customHeight="1">
      <c r="A496" s="1241"/>
      <c r="B496" s="983"/>
      <c r="C496" s="568"/>
      <c r="D496" s="789"/>
      <c r="E496" s="790"/>
      <c r="F496" s="791"/>
      <c r="G496" s="463" t="s">
        <v>329</v>
      </c>
      <c r="H496" s="464"/>
      <c r="I496" s="464"/>
      <c r="J496" s="464"/>
      <c r="K496" s="465"/>
      <c r="L496" s="145"/>
      <c r="M496" s="249">
        <f>SUM(M492:M495)</f>
        <v>585</v>
      </c>
      <c r="N496" s="246">
        <f>SUM(N492:N495)</f>
        <v>2</v>
      </c>
      <c r="O496" s="246">
        <f>SUM(O492:O495)</f>
        <v>2</v>
      </c>
      <c r="P496" s="975"/>
      <c r="Q496" s="975"/>
      <c r="R496" s="975"/>
      <c r="S496" s="561"/>
      <c r="T496" s="803"/>
      <c r="U496" s="546"/>
    </row>
    <row r="497" spans="1:1892" s="15" customFormat="1" ht="35.1" customHeight="1">
      <c r="A497" s="1241"/>
      <c r="B497" s="983"/>
      <c r="C497" s="1071" t="s">
        <v>80</v>
      </c>
      <c r="D497" s="783" t="s">
        <v>79</v>
      </c>
      <c r="E497" s="784"/>
      <c r="F497" s="785"/>
      <c r="G497" s="566" t="s">
        <v>285</v>
      </c>
      <c r="H497" s="566" t="s">
        <v>286</v>
      </c>
      <c r="I497" s="566" t="s">
        <v>287</v>
      </c>
      <c r="J497" s="795" t="s">
        <v>11</v>
      </c>
      <c r="K497" s="795" t="s">
        <v>12</v>
      </c>
      <c r="L497" s="179" t="s">
        <v>322</v>
      </c>
      <c r="M497" s="264">
        <v>16</v>
      </c>
      <c r="N497" s="143">
        <v>0</v>
      </c>
      <c r="O497" s="143">
        <v>0</v>
      </c>
      <c r="P497" s="956" t="s">
        <v>456</v>
      </c>
      <c r="Q497" s="956" t="s">
        <v>457</v>
      </c>
      <c r="R497" s="956" t="s">
        <v>458</v>
      </c>
      <c r="S497" s="559" t="s">
        <v>57</v>
      </c>
      <c r="T497" s="753" t="s">
        <v>54</v>
      </c>
      <c r="U497" s="753" t="s">
        <v>11</v>
      </c>
    </row>
    <row r="498" spans="1:1892" s="15" customFormat="1" ht="35.1" customHeight="1">
      <c r="A498" s="1241"/>
      <c r="B498" s="983"/>
      <c r="C498" s="1072"/>
      <c r="D498" s="786"/>
      <c r="E498" s="787"/>
      <c r="F498" s="788"/>
      <c r="G498" s="567"/>
      <c r="H498" s="567"/>
      <c r="I498" s="567"/>
      <c r="J498" s="796"/>
      <c r="K498" s="796"/>
      <c r="L498" s="179" t="s">
        <v>323</v>
      </c>
      <c r="M498" s="264">
        <v>176</v>
      </c>
      <c r="N498" s="398">
        <v>0</v>
      </c>
      <c r="O498" s="398">
        <v>0</v>
      </c>
      <c r="P498" s="957"/>
      <c r="Q498" s="957"/>
      <c r="R498" s="957"/>
      <c r="S498" s="560"/>
      <c r="T498" s="754"/>
      <c r="U498" s="754"/>
    </row>
    <row r="499" spans="1:1892" s="15" customFormat="1" ht="35.1" customHeight="1">
      <c r="A499" s="1241"/>
      <c r="B499" s="983"/>
      <c r="C499" s="1072"/>
      <c r="D499" s="786"/>
      <c r="E499" s="787"/>
      <c r="F499" s="788"/>
      <c r="G499" s="567"/>
      <c r="H499" s="567"/>
      <c r="I499" s="567"/>
      <c r="J499" s="796"/>
      <c r="K499" s="796"/>
      <c r="L499" s="179" t="s">
        <v>324</v>
      </c>
      <c r="M499" s="264">
        <v>16</v>
      </c>
      <c r="N499" s="398">
        <v>0</v>
      </c>
      <c r="O499" s="398">
        <v>0</v>
      </c>
      <c r="P499" s="957"/>
      <c r="Q499" s="957"/>
      <c r="R499" s="957"/>
      <c r="S499" s="560"/>
      <c r="T499" s="754"/>
      <c r="U499" s="754"/>
    </row>
    <row r="500" spans="1:1892" s="15" customFormat="1" ht="35.1" customHeight="1">
      <c r="A500" s="1241"/>
      <c r="B500" s="983"/>
      <c r="C500" s="1072"/>
      <c r="D500" s="786"/>
      <c r="E500" s="787"/>
      <c r="F500" s="788"/>
      <c r="G500" s="567"/>
      <c r="H500" s="567"/>
      <c r="I500" s="567"/>
      <c r="J500" s="796"/>
      <c r="K500" s="796"/>
      <c r="L500" s="179" t="s">
        <v>325</v>
      </c>
      <c r="M500" s="264">
        <v>16</v>
      </c>
      <c r="N500" s="398">
        <v>0</v>
      </c>
      <c r="O500" s="398">
        <v>0</v>
      </c>
      <c r="P500" s="957"/>
      <c r="Q500" s="957"/>
      <c r="R500" s="957"/>
      <c r="S500" s="560"/>
      <c r="T500" s="754"/>
      <c r="U500" s="754"/>
    </row>
    <row r="501" spans="1:1892" s="15" customFormat="1" ht="35.1" customHeight="1">
      <c r="A501" s="1241"/>
      <c r="B501" s="983"/>
      <c r="C501" s="1072"/>
      <c r="D501" s="786"/>
      <c r="E501" s="787"/>
      <c r="F501" s="788"/>
      <c r="G501" s="567"/>
      <c r="H501" s="567"/>
      <c r="I501" s="567"/>
      <c r="J501" s="796"/>
      <c r="K501" s="796"/>
      <c r="L501" s="179" t="s">
        <v>326</v>
      </c>
      <c r="M501" s="264">
        <v>48</v>
      </c>
      <c r="N501" s="398">
        <v>0</v>
      </c>
      <c r="O501" s="398">
        <v>0</v>
      </c>
      <c r="P501" s="957"/>
      <c r="Q501" s="957"/>
      <c r="R501" s="957"/>
      <c r="S501" s="560"/>
      <c r="T501" s="754"/>
      <c r="U501" s="754"/>
    </row>
    <row r="502" spans="1:1892" s="15" customFormat="1" ht="35.1" customHeight="1">
      <c r="A502" s="1241"/>
      <c r="B502" s="983"/>
      <c r="C502" s="1072"/>
      <c r="D502" s="786"/>
      <c r="E502" s="787"/>
      <c r="F502" s="788"/>
      <c r="G502" s="568"/>
      <c r="H502" s="568"/>
      <c r="I502" s="568"/>
      <c r="J502" s="797"/>
      <c r="K502" s="797"/>
      <c r="L502" s="179" t="s">
        <v>327</v>
      </c>
      <c r="M502" s="264">
        <v>16</v>
      </c>
      <c r="N502" s="398">
        <v>0</v>
      </c>
      <c r="O502" s="398">
        <v>0</v>
      </c>
      <c r="P502" s="957"/>
      <c r="Q502" s="957"/>
      <c r="R502" s="957"/>
      <c r="S502" s="560"/>
      <c r="T502" s="754"/>
      <c r="U502" s="754"/>
    </row>
    <row r="503" spans="1:1892" s="15" customFormat="1" ht="35.1" customHeight="1">
      <c r="A503" s="1241"/>
      <c r="B503" s="983"/>
      <c r="C503" s="1073"/>
      <c r="D503" s="789"/>
      <c r="E503" s="790"/>
      <c r="F503" s="791"/>
      <c r="G503" s="463" t="s">
        <v>329</v>
      </c>
      <c r="H503" s="464"/>
      <c r="I503" s="464"/>
      <c r="J503" s="464"/>
      <c r="K503" s="465"/>
      <c r="L503" s="145"/>
      <c r="M503" s="249">
        <f>SUM(M497:M502)</f>
        <v>288</v>
      </c>
      <c r="N503" s="246">
        <f>SUM(N497:N502)</f>
        <v>0</v>
      </c>
      <c r="O503" s="246">
        <f>SUM(O497:O502)</f>
        <v>0</v>
      </c>
      <c r="P503" s="958"/>
      <c r="Q503" s="958"/>
      <c r="R503" s="958"/>
      <c r="S503" s="561"/>
      <c r="T503" s="755"/>
      <c r="U503" s="755"/>
    </row>
    <row r="504" spans="1:1892" s="15" customFormat="1" ht="35.1" customHeight="1">
      <c r="A504" s="1241"/>
      <c r="B504" s="983"/>
      <c r="C504" s="1071" t="s">
        <v>304</v>
      </c>
      <c r="D504" s="783" t="s">
        <v>305</v>
      </c>
      <c r="E504" s="784"/>
      <c r="F504" s="785"/>
      <c r="G504" s="566" t="s">
        <v>306</v>
      </c>
      <c r="H504" s="566" t="s">
        <v>307</v>
      </c>
      <c r="I504" s="566" t="s">
        <v>328</v>
      </c>
      <c r="J504" s="687" t="s">
        <v>11</v>
      </c>
      <c r="K504" s="687" t="s">
        <v>12</v>
      </c>
      <c r="L504" s="118">
        <v>59.980899999999998</v>
      </c>
      <c r="M504" s="221">
        <v>145</v>
      </c>
      <c r="N504" s="129">
        <v>26</v>
      </c>
      <c r="O504" s="129">
        <v>26</v>
      </c>
      <c r="P504" s="618" t="s">
        <v>401</v>
      </c>
      <c r="Q504" s="618" t="s">
        <v>410</v>
      </c>
      <c r="R504" s="829" t="s">
        <v>467</v>
      </c>
      <c r="S504" s="559" t="s">
        <v>188</v>
      </c>
      <c r="T504" s="929" t="s">
        <v>308</v>
      </c>
      <c r="U504" s="929" t="s">
        <v>11</v>
      </c>
    </row>
    <row r="505" spans="1:1892" s="15" customFormat="1" ht="35.1" customHeight="1">
      <c r="A505" s="1241"/>
      <c r="B505" s="983"/>
      <c r="C505" s="1072"/>
      <c r="D505" s="786"/>
      <c r="E505" s="787"/>
      <c r="F505" s="788"/>
      <c r="G505" s="567"/>
      <c r="H505" s="567"/>
      <c r="I505" s="567"/>
      <c r="J505" s="688"/>
      <c r="K505" s="688"/>
      <c r="L505" s="118">
        <v>59.988999999999997</v>
      </c>
      <c r="M505" s="221">
        <v>37</v>
      </c>
      <c r="N505" s="129">
        <v>15</v>
      </c>
      <c r="O505" s="129">
        <v>15</v>
      </c>
      <c r="P505" s="593"/>
      <c r="Q505" s="593"/>
      <c r="R505" s="830"/>
      <c r="S505" s="560"/>
      <c r="T505" s="930"/>
      <c r="U505" s="930"/>
    </row>
    <row r="506" spans="1:1892" s="15" customFormat="1" ht="35.1" customHeight="1">
      <c r="A506" s="1241"/>
      <c r="B506" s="983"/>
      <c r="C506" s="1072"/>
      <c r="D506" s="786"/>
      <c r="E506" s="787"/>
      <c r="F506" s="788"/>
      <c r="G506" s="567"/>
      <c r="H506" s="567"/>
      <c r="I506" s="567"/>
      <c r="J506" s="688"/>
      <c r="K506" s="688"/>
      <c r="L506" s="118">
        <v>79.922399999999996</v>
      </c>
      <c r="M506" s="221">
        <v>9</v>
      </c>
      <c r="N506" s="129">
        <v>1</v>
      </c>
      <c r="O506" s="129">
        <v>1</v>
      </c>
      <c r="P506" s="593"/>
      <c r="Q506" s="593"/>
      <c r="R506" s="830"/>
      <c r="S506" s="560"/>
      <c r="T506" s="930"/>
      <c r="U506" s="930"/>
    </row>
    <row r="507" spans="1:1892" s="15" customFormat="1" ht="35.1" customHeight="1">
      <c r="A507" s="1241"/>
      <c r="B507" s="983"/>
      <c r="C507" s="1072"/>
      <c r="D507" s="786"/>
      <c r="E507" s="787"/>
      <c r="F507" s="788"/>
      <c r="G507" s="568"/>
      <c r="H507" s="568"/>
      <c r="I507" s="568"/>
      <c r="J507" s="689"/>
      <c r="K507" s="689"/>
      <c r="L507" s="118">
        <v>79.973500000000001</v>
      </c>
      <c r="M507" s="221">
        <v>33</v>
      </c>
      <c r="N507" s="129">
        <v>11</v>
      </c>
      <c r="O507" s="129">
        <v>11</v>
      </c>
      <c r="P507" s="593"/>
      <c r="Q507" s="593"/>
      <c r="R507" s="830"/>
      <c r="S507" s="560"/>
      <c r="T507" s="930"/>
      <c r="U507" s="930"/>
    </row>
    <row r="508" spans="1:1892" s="15" customFormat="1" ht="35.1" customHeight="1">
      <c r="A508" s="1241"/>
      <c r="B508" s="984"/>
      <c r="C508" s="1073"/>
      <c r="D508" s="789"/>
      <c r="E508" s="790"/>
      <c r="F508" s="791"/>
      <c r="G508" s="463" t="s">
        <v>329</v>
      </c>
      <c r="H508" s="464"/>
      <c r="I508" s="464"/>
      <c r="J508" s="464"/>
      <c r="K508" s="465"/>
      <c r="L508" s="139"/>
      <c r="M508" s="249">
        <f>SUM(M504:M507)</f>
        <v>224</v>
      </c>
      <c r="N508" s="246">
        <f>SUM(N504:N507)</f>
        <v>53</v>
      </c>
      <c r="O508" s="246">
        <f>SUM(O504:O507)</f>
        <v>53</v>
      </c>
      <c r="P508" s="619"/>
      <c r="Q508" s="619"/>
      <c r="R508" s="831"/>
      <c r="S508" s="561"/>
      <c r="T508" s="931"/>
      <c r="U508" s="931"/>
    </row>
    <row r="509" spans="1:1892" s="9" customFormat="1" ht="35.1" customHeight="1">
      <c r="A509" s="1241"/>
      <c r="B509" s="620" t="s">
        <v>105</v>
      </c>
      <c r="C509" s="621"/>
      <c r="D509" s="621"/>
      <c r="E509" s="621"/>
      <c r="F509" s="621"/>
      <c r="G509" s="621"/>
      <c r="H509" s="621"/>
      <c r="I509" s="621"/>
      <c r="J509" s="621"/>
      <c r="K509" s="622"/>
      <c r="L509" s="122"/>
      <c r="M509" s="226">
        <f>M508+M503+M496+M491</f>
        <v>1525</v>
      </c>
      <c r="N509" s="391">
        <f>N508+N503+N496+N491</f>
        <v>57</v>
      </c>
      <c r="O509" s="391">
        <f>O508+O503+O496+O491</f>
        <v>57</v>
      </c>
      <c r="P509" s="123"/>
      <c r="Q509" s="123"/>
      <c r="R509" s="123"/>
      <c r="S509" s="124"/>
      <c r="T509" s="125"/>
      <c r="U509" s="124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  <c r="CW509" s="10"/>
      <c r="CX509" s="10"/>
      <c r="CY509" s="10"/>
      <c r="CZ509" s="10"/>
      <c r="DA509" s="10"/>
      <c r="DB509" s="10"/>
      <c r="DC509" s="10"/>
      <c r="DD509" s="10"/>
      <c r="DE509" s="10"/>
      <c r="DF509" s="10"/>
      <c r="DG509" s="10"/>
      <c r="DH509" s="10"/>
      <c r="DI509" s="10"/>
      <c r="DJ509" s="10"/>
      <c r="DK509" s="10"/>
      <c r="DL509" s="10"/>
      <c r="DM509" s="10"/>
      <c r="DN509" s="10"/>
      <c r="DO509" s="10"/>
      <c r="DP509" s="10"/>
      <c r="DQ509" s="10"/>
      <c r="DR509" s="10"/>
      <c r="DS509" s="10"/>
      <c r="DT509" s="10"/>
      <c r="DU509" s="10"/>
      <c r="DV509" s="10"/>
      <c r="DW509" s="10"/>
      <c r="DX509" s="10"/>
      <c r="DY509" s="10"/>
      <c r="DZ509" s="10"/>
      <c r="EA509" s="10"/>
      <c r="EB509" s="10"/>
      <c r="EC509" s="10"/>
      <c r="ED509" s="10"/>
      <c r="EE509" s="10"/>
      <c r="EF509" s="10"/>
      <c r="EG509" s="10"/>
      <c r="EH509" s="10"/>
      <c r="EI509" s="10"/>
      <c r="EJ509" s="10"/>
      <c r="EK509" s="10"/>
      <c r="EL509" s="10"/>
      <c r="EM509" s="10"/>
      <c r="EN509" s="10"/>
      <c r="EO509" s="10"/>
      <c r="EP509" s="10"/>
      <c r="EQ509" s="10"/>
      <c r="ER509" s="10"/>
      <c r="ES509" s="10"/>
      <c r="ET509" s="10"/>
      <c r="EU509" s="10"/>
      <c r="EV509" s="10"/>
      <c r="EW509" s="10"/>
      <c r="EX509" s="10"/>
      <c r="EY509" s="10"/>
      <c r="EZ509" s="10"/>
      <c r="FA509" s="10"/>
      <c r="FB509" s="10"/>
      <c r="FC509" s="10"/>
      <c r="FD509" s="10"/>
      <c r="FE509" s="10"/>
      <c r="FF509" s="10"/>
      <c r="FG509" s="10"/>
      <c r="FH509" s="10"/>
      <c r="FI509" s="10"/>
      <c r="FJ509" s="10"/>
      <c r="FK509" s="10"/>
      <c r="FL509" s="10"/>
      <c r="FM509" s="10"/>
      <c r="FN509" s="10"/>
      <c r="FO509" s="10"/>
      <c r="FP509" s="10"/>
      <c r="FQ509" s="10"/>
      <c r="FR509" s="10"/>
      <c r="FS509" s="10"/>
      <c r="FT509" s="10"/>
      <c r="FU509" s="10"/>
      <c r="FV509" s="10"/>
      <c r="FW509" s="10"/>
      <c r="FX509" s="10"/>
      <c r="FY509" s="10"/>
      <c r="FZ509" s="10"/>
      <c r="GA509" s="10"/>
      <c r="GB509" s="10"/>
      <c r="GC509" s="10"/>
      <c r="GD509" s="10"/>
      <c r="GE509" s="10"/>
      <c r="GF509" s="10"/>
      <c r="GG509" s="10"/>
      <c r="GH509" s="10"/>
      <c r="GI509" s="10"/>
      <c r="GJ509" s="10"/>
      <c r="GK509" s="10"/>
      <c r="GL509" s="10"/>
      <c r="GM509" s="10"/>
      <c r="GN509" s="10"/>
      <c r="GO509" s="10"/>
      <c r="GP509" s="10"/>
      <c r="GQ509" s="10"/>
      <c r="GR509" s="10"/>
      <c r="GS509" s="10"/>
      <c r="GT509" s="10"/>
      <c r="GU509" s="10"/>
      <c r="GV509" s="10"/>
      <c r="GW509" s="10"/>
      <c r="GX509" s="10"/>
      <c r="GY509" s="10"/>
      <c r="GZ509" s="10"/>
      <c r="HA509" s="10"/>
      <c r="HB509" s="10"/>
      <c r="HC509" s="10"/>
      <c r="HD509" s="10"/>
      <c r="HE509" s="10"/>
      <c r="HF509" s="10"/>
      <c r="HG509" s="10"/>
      <c r="HH509" s="10"/>
      <c r="HI509" s="10"/>
      <c r="HJ509" s="10"/>
      <c r="HK509" s="10"/>
      <c r="HL509" s="10"/>
      <c r="HM509" s="10"/>
      <c r="HN509" s="10"/>
      <c r="HO509" s="10"/>
      <c r="HP509" s="10"/>
      <c r="HQ509" s="10"/>
      <c r="HR509" s="10"/>
      <c r="HS509" s="10"/>
      <c r="HT509" s="10"/>
      <c r="HU509" s="10"/>
      <c r="HV509" s="10"/>
      <c r="HW509" s="10"/>
      <c r="HX509" s="10"/>
      <c r="HY509" s="10"/>
      <c r="HZ509" s="10"/>
      <c r="IA509" s="10"/>
      <c r="IB509" s="10"/>
      <c r="IC509" s="10"/>
      <c r="ID509" s="10"/>
      <c r="IE509" s="10"/>
      <c r="IF509" s="10"/>
      <c r="IG509" s="10"/>
      <c r="IH509" s="10"/>
      <c r="II509" s="10"/>
      <c r="IJ509" s="10"/>
      <c r="IK509" s="10"/>
      <c r="IL509" s="10"/>
      <c r="IM509" s="10"/>
      <c r="IN509" s="10"/>
      <c r="IO509" s="10"/>
      <c r="IP509" s="10"/>
      <c r="IQ509" s="10"/>
      <c r="IR509" s="10"/>
      <c r="IS509" s="10"/>
      <c r="IT509" s="10"/>
      <c r="IU509" s="10"/>
      <c r="IV509" s="10"/>
      <c r="IW509" s="10"/>
      <c r="IX509" s="10"/>
      <c r="IY509" s="10"/>
      <c r="IZ509" s="10"/>
      <c r="JA509" s="10"/>
      <c r="JB509" s="10"/>
      <c r="JC509" s="10"/>
      <c r="JD509" s="10"/>
      <c r="JE509" s="10"/>
      <c r="JF509" s="10"/>
      <c r="JG509" s="10"/>
      <c r="JH509" s="10"/>
      <c r="JI509" s="10"/>
      <c r="JJ509" s="10"/>
      <c r="JK509" s="10"/>
      <c r="JL509" s="10"/>
      <c r="JM509" s="10"/>
      <c r="JN509" s="10"/>
      <c r="JO509" s="10"/>
      <c r="JP509" s="10"/>
      <c r="JQ509" s="10"/>
      <c r="JR509" s="10"/>
      <c r="JS509" s="10"/>
      <c r="JT509" s="10"/>
      <c r="JU509" s="10"/>
      <c r="JV509" s="10"/>
      <c r="JW509" s="10"/>
      <c r="JX509" s="10"/>
      <c r="JY509" s="10"/>
      <c r="JZ509" s="10"/>
      <c r="KA509" s="10"/>
      <c r="KB509" s="10"/>
      <c r="KC509" s="10"/>
      <c r="KD509" s="10"/>
      <c r="KE509" s="10"/>
      <c r="KF509" s="10"/>
      <c r="KG509" s="10"/>
      <c r="KH509" s="10"/>
      <c r="KI509" s="10"/>
      <c r="KJ509" s="10"/>
      <c r="KK509" s="10"/>
      <c r="KL509" s="10"/>
      <c r="KM509" s="10"/>
      <c r="KN509" s="10"/>
      <c r="KO509" s="10"/>
      <c r="KP509" s="10"/>
      <c r="KQ509" s="10"/>
      <c r="KR509" s="10"/>
      <c r="KS509" s="10"/>
      <c r="KT509" s="10"/>
      <c r="KU509" s="10"/>
      <c r="KV509" s="10"/>
      <c r="KW509" s="10"/>
      <c r="KX509" s="10"/>
      <c r="KY509" s="10"/>
      <c r="KZ509" s="10"/>
      <c r="LA509" s="10"/>
      <c r="LB509" s="10"/>
      <c r="LC509" s="10"/>
      <c r="LD509" s="10"/>
      <c r="LE509" s="10"/>
      <c r="LF509" s="10"/>
      <c r="LG509" s="10"/>
      <c r="LH509" s="10"/>
      <c r="LI509" s="10"/>
      <c r="LJ509" s="10"/>
      <c r="LK509" s="10"/>
      <c r="LL509" s="10"/>
      <c r="LM509" s="10"/>
      <c r="LN509" s="10"/>
      <c r="LO509" s="10"/>
      <c r="LP509" s="10"/>
      <c r="LQ509" s="10"/>
      <c r="LR509" s="10"/>
      <c r="LS509" s="10"/>
      <c r="LT509" s="10"/>
      <c r="LU509" s="10"/>
      <c r="LV509" s="10"/>
      <c r="LW509" s="10"/>
      <c r="LX509" s="10"/>
      <c r="LY509" s="10"/>
      <c r="LZ509" s="10"/>
      <c r="MA509" s="10"/>
      <c r="MB509" s="10"/>
      <c r="MC509" s="10"/>
      <c r="MD509" s="10"/>
      <c r="ME509" s="10"/>
      <c r="MF509" s="10"/>
      <c r="MG509" s="10"/>
      <c r="MH509" s="10"/>
      <c r="MI509" s="10"/>
      <c r="MJ509" s="10"/>
      <c r="MK509" s="10"/>
      <c r="ML509" s="10"/>
      <c r="MM509" s="10"/>
      <c r="MN509" s="10"/>
      <c r="MO509" s="10"/>
      <c r="MP509" s="10"/>
      <c r="MQ509" s="10"/>
      <c r="MR509" s="10"/>
      <c r="MS509" s="10"/>
      <c r="MT509" s="10"/>
      <c r="MU509" s="10"/>
      <c r="MV509" s="10"/>
      <c r="MW509" s="10"/>
      <c r="MX509" s="10"/>
      <c r="MY509" s="10"/>
      <c r="MZ509" s="10"/>
      <c r="NA509" s="10"/>
      <c r="NB509" s="10"/>
      <c r="NC509" s="10"/>
      <c r="ND509" s="10"/>
      <c r="NE509" s="10"/>
      <c r="NF509" s="10"/>
      <c r="NG509" s="10"/>
      <c r="NH509" s="10"/>
      <c r="NI509" s="10"/>
      <c r="NJ509" s="10"/>
      <c r="NK509" s="10"/>
      <c r="NL509" s="10"/>
      <c r="NM509" s="10"/>
      <c r="NN509" s="10"/>
      <c r="NO509" s="10"/>
      <c r="NP509" s="10"/>
      <c r="NQ509" s="10"/>
      <c r="NR509" s="10"/>
      <c r="NS509" s="10"/>
      <c r="NT509" s="10"/>
      <c r="NU509" s="10"/>
      <c r="NV509" s="10"/>
      <c r="NW509" s="10"/>
      <c r="NX509" s="10"/>
      <c r="NY509" s="10"/>
      <c r="NZ509" s="10"/>
      <c r="OA509" s="10"/>
      <c r="OB509" s="10"/>
      <c r="OC509" s="10"/>
      <c r="OD509" s="10"/>
      <c r="OE509" s="10"/>
      <c r="OF509" s="10"/>
      <c r="OG509" s="10"/>
      <c r="OH509" s="10"/>
      <c r="OI509" s="10"/>
      <c r="OJ509" s="10"/>
      <c r="OK509" s="10"/>
      <c r="OL509" s="10"/>
      <c r="OM509" s="10"/>
      <c r="ON509" s="10"/>
      <c r="OO509" s="10"/>
      <c r="OP509" s="10"/>
      <c r="OQ509" s="10"/>
      <c r="OR509" s="10"/>
      <c r="OS509" s="10"/>
      <c r="OT509" s="10"/>
      <c r="OU509" s="10"/>
      <c r="OV509" s="10"/>
      <c r="OW509" s="10"/>
      <c r="OX509" s="10"/>
      <c r="OY509" s="10"/>
      <c r="OZ509" s="10"/>
      <c r="PA509" s="10"/>
      <c r="PB509" s="10"/>
      <c r="PC509" s="10"/>
      <c r="PD509" s="10"/>
      <c r="PE509" s="10"/>
      <c r="PF509" s="10"/>
      <c r="PG509" s="10"/>
      <c r="PH509" s="10"/>
      <c r="PI509" s="10"/>
      <c r="PJ509" s="10"/>
      <c r="PK509" s="10"/>
      <c r="PL509" s="10"/>
      <c r="PM509" s="10"/>
      <c r="PN509" s="10"/>
      <c r="PO509" s="10"/>
      <c r="PP509" s="10"/>
      <c r="PQ509" s="10"/>
      <c r="PR509" s="10"/>
      <c r="PS509" s="10"/>
      <c r="PT509" s="10"/>
      <c r="PU509" s="10"/>
      <c r="PV509" s="10"/>
      <c r="PW509" s="10"/>
      <c r="PX509" s="10"/>
      <c r="PY509" s="10"/>
      <c r="PZ509" s="10"/>
      <c r="QA509" s="10"/>
      <c r="QB509" s="10"/>
      <c r="QC509" s="10"/>
      <c r="QD509" s="10"/>
      <c r="QE509" s="10"/>
      <c r="QF509" s="10"/>
      <c r="QG509" s="10"/>
      <c r="QH509" s="10"/>
      <c r="QI509" s="10"/>
      <c r="QJ509" s="10"/>
      <c r="QK509" s="10"/>
      <c r="QL509" s="10"/>
      <c r="QM509" s="10"/>
      <c r="QN509" s="10"/>
      <c r="QO509" s="10"/>
      <c r="QP509" s="10"/>
      <c r="QQ509" s="10"/>
      <c r="QR509" s="10"/>
      <c r="QS509" s="10"/>
      <c r="QT509" s="10"/>
      <c r="QU509" s="10"/>
      <c r="QV509" s="10"/>
      <c r="QW509" s="10"/>
      <c r="QX509" s="10"/>
      <c r="QY509" s="10"/>
      <c r="QZ509" s="10"/>
      <c r="RA509" s="10"/>
      <c r="RB509" s="10"/>
      <c r="RC509" s="10"/>
      <c r="RD509" s="10"/>
      <c r="RE509" s="10"/>
      <c r="RF509" s="10"/>
      <c r="RG509" s="10"/>
      <c r="RH509" s="10"/>
      <c r="RI509" s="10"/>
      <c r="RJ509" s="10"/>
      <c r="RK509" s="10"/>
      <c r="RL509" s="10"/>
      <c r="RM509" s="10"/>
      <c r="RN509" s="10"/>
      <c r="RO509" s="10"/>
      <c r="RP509" s="10"/>
      <c r="RQ509" s="10"/>
      <c r="RR509" s="10"/>
      <c r="RS509" s="10"/>
      <c r="RT509" s="10"/>
      <c r="RU509" s="10"/>
      <c r="RV509" s="10"/>
      <c r="RW509" s="10"/>
      <c r="RX509" s="10"/>
      <c r="RY509" s="10"/>
      <c r="RZ509" s="10"/>
      <c r="SA509" s="10"/>
      <c r="SB509" s="10"/>
      <c r="SC509" s="10"/>
      <c r="SD509" s="10"/>
      <c r="SE509" s="10"/>
      <c r="SF509" s="10"/>
      <c r="SG509" s="10"/>
      <c r="SH509" s="10"/>
      <c r="SI509" s="10"/>
      <c r="SJ509" s="10"/>
      <c r="SK509" s="10"/>
      <c r="SL509" s="10"/>
      <c r="SM509" s="10"/>
      <c r="SN509" s="10"/>
      <c r="SO509" s="10"/>
      <c r="SP509" s="10"/>
      <c r="SQ509" s="10"/>
      <c r="SR509" s="10"/>
      <c r="SS509" s="10"/>
      <c r="ST509" s="10"/>
      <c r="SU509" s="10"/>
      <c r="SV509" s="10"/>
      <c r="SW509" s="10"/>
      <c r="SX509" s="10"/>
      <c r="SY509" s="10"/>
      <c r="SZ509" s="10"/>
      <c r="TA509" s="10"/>
      <c r="TB509" s="10"/>
      <c r="TC509" s="10"/>
      <c r="TD509" s="10"/>
      <c r="TE509" s="10"/>
      <c r="TF509" s="10"/>
      <c r="TG509" s="10"/>
      <c r="TH509" s="10"/>
      <c r="TI509" s="10"/>
      <c r="TJ509" s="10"/>
      <c r="TK509" s="10"/>
      <c r="TL509" s="10"/>
      <c r="TM509" s="10"/>
      <c r="TN509" s="10"/>
      <c r="TO509" s="10"/>
      <c r="TP509" s="10"/>
      <c r="TQ509" s="10"/>
      <c r="TR509" s="10"/>
      <c r="TS509" s="10"/>
      <c r="TT509" s="10"/>
      <c r="TU509" s="10"/>
      <c r="TV509" s="10"/>
      <c r="TW509" s="10"/>
      <c r="TX509" s="10"/>
      <c r="TY509" s="10"/>
      <c r="TZ509" s="10"/>
      <c r="UA509" s="10"/>
      <c r="UB509" s="10"/>
      <c r="UC509" s="10"/>
      <c r="UD509" s="10"/>
      <c r="UE509" s="10"/>
      <c r="UF509" s="10"/>
      <c r="UG509" s="10"/>
      <c r="UH509" s="10"/>
      <c r="UI509" s="10"/>
      <c r="UJ509" s="10"/>
      <c r="UK509" s="10"/>
      <c r="UL509" s="10"/>
      <c r="UM509" s="10"/>
      <c r="UN509" s="10"/>
      <c r="UO509" s="10"/>
      <c r="UP509" s="10"/>
      <c r="UQ509" s="10"/>
      <c r="UR509" s="10"/>
      <c r="US509" s="10"/>
      <c r="UT509" s="10"/>
      <c r="UU509" s="10"/>
      <c r="UV509" s="10"/>
      <c r="UW509" s="10"/>
      <c r="UX509" s="10"/>
      <c r="UY509" s="10"/>
      <c r="UZ509" s="10"/>
      <c r="VA509" s="10"/>
      <c r="VB509" s="10"/>
      <c r="VC509" s="10"/>
      <c r="VD509" s="10"/>
      <c r="VE509" s="10"/>
      <c r="VF509" s="10"/>
      <c r="VG509" s="10"/>
      <c r="VH509" s="10"/>
      <c r="VI509" s="10"/>
      <c r="VJ509" s="10"/>
      <c r="VK509" s="10"/>
      <c r="VL509" s="10"/>
      <c r="VM509" s="10"/>
      <c r="VN509" s="10"/>
      <c r="VO509" s="10"/>
      <c r="VP509" s="10"/>
      <c r="VQ509" s="10"/>
      <c r="VR509" s="10"/>
      <c r="VS509" s="10"/>
      <c r="VT509" s="10"/>
      <c r="VU509" s="10"/>
      <c r="VV509" s="10"/>
      <c r="VW509" s="10"/>
      <c r="VX509" s="10"/>
      <c r="VY509" s="10"/>
      <c r="VZ509" s="10"/>
      <c r="WA509" s="10"/>
      <c r="WB509" s="10"/>
      <c r="WC509" s="10"/>
      <c r="WD509" s="10"/>
      <c r="WE509" s="10"/>
      <c r="WF509" s="10"/>
      <c r="WG509" s="10"/>
      <c r="WH509" s="10"/>
      <c r="WI509" s="10"/>
      <c r="WJ509" s="10"/>
      <c r="WK509" s="10"/>
      <c r="WL509" s="10"/>
      <c r="WM509" s="10"/>
      <c r="WN509" s="10"/>
      <c r="WO509" s="10"/>
      <c r="WP509" s="10"/>
      <c r="WQ509" s="10"/>
      <c r="WR509" s="10"/>
      <c r="WS509" s="10"/>
      <c r="WT509" s="10"/>
      <c r="WU509" s="10"/>
      <c r="WV509" s="10"/>
      <c r="WW509" s="10"/>
      <c r="WX509" s="10"/>
      <c r="WY509" s="10"/>
      <c r="WZ509" s="10"/>
      <c r="XA509" s="10"/>
      <c r="XB509" s="10"/>
      <c r="XC509" s="10"/>
      <c r="XD509" s="10"/>
      <c r="XE509" s="10"/>
      <c r="XF509" s="10"/>
      <c r="XG509" s="10"/>
      <c r="XH509" s="10"/>
      <c r="XI509" s="10"/>
      <c r="XJ509" s="10"/>
      <c r="XK509" s="10"/>
      <c r="XL509" s="10"/>
      <c r="XM509" s="10"/>
      <c r="XN509" s="10"/>
      <c r="XO509" s="10"/>
      <c r="XP509" s="10"/>
      <c r="XQ509" s="10"/>
      <c r="XR509" s="10"/>
      <c r="XS509" s="10"/>
      <c r="XT509" s="10"/>
      <c r="XU509" s="10"/>
      <c r="XV509" s="10"/>
      <c r="XW509" s="10"/>
      <c r="XX509" s="10"/>
      <c r="XY509" s="10"/>
      <c r="XZ509" s="10"/>
      <c r="YA509" s="10"/>
      <c r="YB509" s="10"/>
      <c r="YC509" s="10"/>
      <c r="YD509" s="10"/>
      <c r="YE509" s="10"/>
      <c r="YF509" s="10"/>
      <c r="YG509" s="10"/>
      <c r="YH509" s="10"/>
      <c r="YI509" s="10"/>
      <c r="YJ509" s="10"/>
      <c r="YK509" s="10"/>
      <c r="YL509" s="10"/>
      <c r="YM509" s="10"/>
      <c r="YN509" s="10"/>
      <c r="YO509" s="10"/>
      <c r="YP509" s="10"/>
      <c r="YQ509" s="10"/>
      <c r="YR509" s="10"/>
      <c r="YS509" s="10"/>
      <c r="YT509" s="10"/>
      <c r="YU509" s="10"/>
      <c r="YV509" s="10"/>
      <c r="YW509" s="10"/>
      <c r="YX509" s="10"/>
      <c r="YY509" s="10"/>
      <c r="YZ509" s="10"/>
      <c r="ZA509" s="10"/>
      <c r="ZB509" s="10"/>
      <c r="ZC509" s="10"/>
      <c r="ZD509" s="10"/>
      <c r="ZE509" s="10"/>
      <c r="ZF509" s="10"/>
      <c r="ZG509" s="10"/>
      <c r="ZH509" s="10"/>
      <c r="ZI509" s="10"/>
      <c r="ZJ509" s="10"/>
      <c r="ZK509" s="10"/>
      <c r="ZL509" s="10"/>
      <c r="ZM509" s="10"/>
      <c r="ZN509" s="10"/>
      <c r="ZO509" s="10"/>
      <c r="ZP509" s="10"/>
      <c r="ZQ509" s="10"/>
      <c r="ZR509" s="10"/>
      <c r="ZS509" s="10"/>
      <c r="ZT509" s="10"/>
      <c r="ZU509" s="10"/>
      <c r="ZV509" s="10"/>
      <c r="ZW509" s="10"/>
      <c r="ZX509" s="10"/>
      <c r="ZY509" s="10"/>
      <c r="ZZ509" s="10"/>
      <c r="AAA509" s="10"/>
      <c r="AAB509" s="10"/>
      <c r="AAC509" s="10"/>
      <c r="AAD509" s="10"/>
      <c r="AAE509" s="10"/>
      <c r="AAF509" s="10"/>
      <c r="AAG509" s="10"/>
      <c r="AAH509" s="10"/>
      <c r="AAI509" s="10"/>
      <c r="AAJ509" s="10"/>
      <c r="AAK509" s="10"/>
      <c r="AAL509" s="10"/>
      <c r="AAM509" s="10"/>
      <c r="AAN509" s="10"/>
      <c r="AAO509" s="10"/>
      <c r="AAP509" s="10"/>
      <c r="AAQ509" s="10"/>
      <c r="AAR509" s="10"/>
      <c r="AAS509" s="10"/>
      <c r="AAT509" s="10"/>
      <c r="AAU509" s="10"/>
      <c r="AAV509" s="10"/>
      <c r="AAW509" s="10"/>
      <c r="AAX509" s="10"/>
      <c r="AAY509" s="10"/>
      <c r="AAZ509" s="10"/>
      <c r="ABA509" s="10"/>
      <c r="ABB509" s="10"/>
      <c r="ABC509" s="10"/>
      <c r="ABD509" s="10"/>
      <c r="ABE509" s="10"/>
      <c r="ABF509" s="10"/>
      <c r="ABG509" s="10"/>
      <c r="ABH509" s="10"/>
      <c r="ABI509" s="10"/>
      <c r="ABJ509" s="10"/>
      <c r="ABK509" s="10"/>
      <c r="ABL509" s="10"/>
      <c r="ABM509" s="10"/>
      <c r="ABN509" s="10"/>
      <c r="ABO509" s="10"/>
      <c r="ABP509" s="10"/>
      <c r="ABQ509" s="10"/>
      <c r="ABR509" s="10"/>
      <c r="ABS509" s="10"/>
      <c r="ABT509" s="10"/>
      <c r="ABU509" s="10"/>
      <c r="ABV509" s="10"/>
      <c r="ABW509" s="10"/>
      <c r="ABX509" s="10"/>
      <c r="ABY509" s="10"/>
      <c r="ABZ509" s="10"/>
      <c r="ACA509" s="10"/>
      <c r="ACB509" s="10"/>
      <c r="ACC509" s="10"/>
      <c r="ACD509" s="10"/>
      <c r="ACE509" s="10"/>
      <c r="ACF509" s="10"/>
      <c r="ACG509" s="10"/>
      <c r="ACH509" s="10"/>
      <c r="ACI509" s="10"/>
      <c r="ACJ509" s="10"/>
      <c r="ACK509" s="10"/>
      <c r="ACL509" s="10"/>
      <c r="ACM509" s="10"/>
      <c r="ACN509" s="10"/>
      <c r="ACO509" s="10"/>
      <c r="ACP509" s="10"/>
      <c r="ACQ509" s="10"/>
      <c r="ACR509" s="10"/>
      <c r="ACS509" s="10"/>
      <c r="ACT509" s="10"/>
      <c r="ACU509" s="10"/>
      <c r="ACV509" s="10"/>
      <c r="ACW509" s="10"/>
      <c r="ACX509" s="10"/>
      <c r="ACY509" s="10"/>
      <c r="ACZ509" s="10"/>
      <c r="ADA509" s="10"/>
      <c r="ADB509" s="10"/>
      <c r="ADC509" s="10"/>
      <c r="ADD509" s="10"/>
      <c r="ADE509" s="10"/>
      <c r="ADF509" s="10"/>
      <c r="ADG509" s="10"/>
      <c r="ADH509" s="10"/>
      <c r="ADI509" s="10"/>
      <c r="ADJ509" s="10"/>
      <c r="ADK509" s="10"/>
      <c r="ADL509" s="10"/>
      <c r="ADM509" s="10"/>
      <c r="ADN509" s="10"/>
      <c r="ADO509" s="10"/>
      <c r="ADP509" s="10"/>
      <c r="ADQ509" s="10"/>
      <c r="ADR509" s="10"/>
      <c r="ADS509" s="10"/>
      <c r="ADT509" s="10"/>
      <c r="ADU509" s="10"/>
      <c r="ADV509" s="10"/>
      <c r="ADW509" s="10"/>
      <c r="ADX509" s="10"/>
      <c r="ADY509" s="10"/>
      <c r="ADZ509" s="10"/>
      <c r="AEA509" s="10"/>
      <c r="AEB509" s="10"/>
      <c r="AEC509" s="10"/>
      <c r="AED509" s="10"/>
      <c r="AEE509" s="10"/>
      <c r="AEF509" s="10"/>
      <c r="AEG509" s="10"/>
      <c r="AEH509" s="10"/>
      <c r="AEI509" s="10"/>
      <c r="AEJ509" s="10"/>
      <c r="AEK509" s="10"/>
      <c r="AEL509" s="10"/>
      <c r="AEM509" s="10"/>
      <c r="AEN509" s="10"/>
      <c r="AEO509" s="10"/>
      <c r="AEP509" s="10"/>
      <c r="AEQ509" s="10"/>
      <c r="AER509" s="10"/>
      <c r="AES509" s="10"/>
      <c r="AET509" s="10"/>
      <c r="AEU509" s="10"/>
      <c r="AEV509" s="10"/>
      <c r="AEW509" s="10"/>
      <c r="AEX509" s="10"/>
      <c r="AEY509" s="10"/>
      <c r="AEZ509" s="10"/>
      <c r="AFA509" s="10"/>
      <c r="AFB509" s="10"/>
      <c r="AFC509" s="10"/>
      <c r="AFD509" s="10"/>
      <c r="AFE509" s="10"/>
      <c r="AFF509" s="10"/>
      <c r="AFG509" s="10"/>
      <c r="AFH509" s="10"/>
      <c r="AFI509" s="10"/>
      <c r="AFJ509" s="10"/>
      <c r="AFK509" s="10"/>
      <c r="AFL509" s="10"/>
      <c r="AFM509" s="10"/>
      <c r="AFN509" s="10"/>
      <c r="AFO509" s="10"/>
      <c r="AFP509" s="10"/>
      <c r="AFQ509" s="10"/>
      <c r="AFR509" s="10"/>
      <c r="AFS509" s="10"/>
      <c r="AFT509" s="10"/>
      <c r="AFU509" s="10"/>
      <c r="AFV509" s="10"/>
      <c r="AFW509" s="10"/>
      <c r="AFX509" s="10"/>
      <c r="AFY509" s="10"/>
      <c r="AFZ509" s="10"/>
      <c r="AGA509" s="10"/>
      <c r="AGB509" s="10"/>
      <c r="AGC509" s="10"/>
      <c r="AGD509" s="10"/>
      <c r="AGE509" s="10"/>
      <c r="AGF509" s="10"/>
      <c r="AGG509" s="10"/>
      <c r="AGH509" s="10"/>
      <c r="AGI509" s="10"/>
      <c r="AGJ509" s="10"/>
      <c r="AGK509" s="10"/>
      <c r="AGL509" s="10"/>
      <c r="AGM509" s="10"/>
      <c r="AGN509" s="10"/>
      <c r="AGO509" s="10"/>
      <c r="AGP509" s="10"/>
      <c r="AGQ509" s="10"/>
      <c r="AGR509" s="10"/>
      <c r="AGS509" s="10"/>
      <c r="AGT509" s="10"/>
      <c r="AGU509" s="10"/>
      <c r="AGV509" s="10"/>
      <c r="AGW509" s="10"/>
      <c r="AGX509" s="10"/>
      <c r="AGY509" s="10"/>
      <c r="AGZ509" s="10"/>
      <c r="AHA509" s="10"/>
      <c r="AHB509" s="10"/>
      <c r="AHC509" s="10"/>
      <c r="AHD509" s="10"/>
      <c r="AHE509" s="10"/>
      <c r="AHF509" s="10"/>
      <c r="AHG509" s="10"/>
      <c r="AHH509" s="10"/>
      <c r="AHI509" s="10"/>
      <c r="AHJ509" s="10"/>
      <c r="AHK509" s="10"/>
      <c r="AHL509" s="10"/>
      <c r="AHM509" s="10"/>
      <c r="AHN509" s="10"/>
      <c r="AHO509" s="10"/>
      <c r="AHP509" s="10"/>
      <c r="AHQ509" s="10"/>
      <c r="AHR509" s="10"/>
      <c r="AHS509" s="10"/>
      <c r="AHT509" s="10"/>
      <c r="AHU509" s="10"/>
      <c r="AHV509" s="10"/>
      <c r="AHW509" s="10"/>
      <c r="AHX509" s="10"/>
      <c r="AHY509" s="10"/>
      <c r="AHZ509" s="10"/>
      <c r="AIA509" s="10"/>
      <c r="AIB509" s="10"/>
      <c r="AIC509" s="10"/>
      <c r="AID509" s="10"/>
      <c r="AIE509" s="10"/>
      <c r="AIF509" s="10"/>
      <c r="AIG509" s="10"/>
      <c r="AIH509" s="10"/>
      <c r="AII509" s="10"/>
      <c r="AIJ509" s="10"/>
      <c r="AIK509" s="10"/>
      <c r="AIL509" s="10"/>
      <c r="AIM509" s="10"/>
      <c r="AIN509" s="10"/>
      <c r="AIO509" s="10"/>
      <c r="AIP509" s="10"/>
      <c r="AIQ509" s="10"/>
      <c r="AIR509" s="10"/>
      <c r="AIS509" s="10"/>
      <c r="AIT509" s="10"/>
      <c r="AIU509" s="10"/>
      <c r="AIV509" s="10"/>
      <c r="AIW509" s="10"/>
      <c r="AIX509" s="10"/>
      <c r="AIY509" s="10"/>
      <c r="AIZ509" s="10"/>
      <c r="AJA509" s="10"/>
      <c r="AJB509" s="10"/>
      <c r="AJC509" s="10"/>
      <c r="AJD509" s="10"/>
      <c r="AJE509" s="10"/>
      <c r="AJF509" s="10"/>
      <c r="AJG509" s="10"/>
      <c r="AJH509" s="10"/>
      <c r="AJI509" s="10"/>
      <c r="AJJ509" s="10"/>
      <c r="AJK509" s="10"/>
      <c r="AJL509" s="10"/>
      <c r="AJM509" s="10"/>
      <c r="AJN509" s="10"/>
      <c r="AJO509" s="10"/>
      <c r="AJP509" s="10"/>
      <c r="AJQ509" s="10"/>
      <c r="AJR509" s="10"/>
      <c r="AJS509" s="10"/>
      <c r="AJT509" s="10"/>
      <c r="AJU509" s="10"/>
      <c r="AJV509" s="10"/>
      <c r="AJW509" s="10"/>
      <c r="AJX509" s="10"/>
      <c r="AJY509" s="10"/>
      <c r="AJZ509" s="10"/>
      <c r="AKA509" s="10"/>
      <c r="AKB509" s="10"/>
      <c r="AKC509" s="10"/>
      <c r="AKD509" s="10"/>
      <c r="AKE509" s="10"/>
      <c r="AKF509" s="10"/>
      <c r="AKG509" s="10"/>
      <c r="AKH509" s="10"/>
      <c r="AKI509" s="10"/>
      <c r="AKJ509" s="10"/>
      <c r="AKK509" s="10"/>
      <c r="AKL509" s="10"/>
      <c r="AKM509" s="10"/>
      <c r="AKN509" s="10"/>
      <c r="AKO509" s="10"/>
      <c r="AKP509" s="10"/>
      <c r="AKQ509" s="10"/>
      <c r="AKR509" s="10"/>
      <c r="AKS509" s="10"/>
      <c r="AKT509" s="10"/>
      <c r="AKU509" s="10"/>
      <c r="AKV509" s="10"/>
      <c r="AKW509" s="10"/>
      <c r="AKX509" s="10"/>
      <c r="AKY509" s="10"/>
      <c r="AKZ509" s="10"/>
      <c r="ALA509" s="10"/>
      <c r="ALB509" s="10"/>
      <c r="ALC509" s="10"/>
      <c r="ALD509" s="10"/>
      <c r="ALE509" s="10"/>
      <c r="ALF509" s="10"/>
      <c r="ALG509" s="10"/>
      <c r="ALH509" s="10"/>
      <c r="ALI509" s="10"/>
      <c r="ALJ509" s="10"/>
      <c r="ALK509" s="10"/>
      <c r="ALL509" s="10"/>
      <c r="ALM509" s="10"/>
      <c r="ALN509" s="10"/>
      <c r="ALO509" s="10"/>
      <c r="ALP509" s="10"/>
      <c r="ALQ509" s="10"/>
      <c r="ALR509" s="10"/>
      <c r="ALS509" s="10"/>
      <c r="ALT509" s="10"/>
      <c r="ALU509" s="10"/>
      <c r="ALV509" s="10"/>
      <c r="ALW509" s="10"/>
      <c r="ALX509" s="10"/>
      <c r="ALY509" s="10"/>
      <c r="ALZ509" s="10"/>
      <c r="AMA509" s="10"/>
      <c r="AMB509" s="10"/>
      <c r="AMC509" s="10"/>
      <c r="AMD509" s="10"/>
      <c r="AME509" s="10"/>
      <c r="AMF509" s="10"/>
      <c r="AMG509" s="10"/>
      <c r="AMH509" s="10"/>
      <c r="AMI509" s="10"/>
      <c r="AMJ509" s="10"/>
      <c r="AMK509" s="10"/>
      <c r="AML509" s="10"/>
      <c r="AMM509" s="10"/>
      <c r="AMN509" s="10"/>
      <c r="AMO509" s="10"/>
      <c r="AMP509" s="10"/>
      <c r="AMQ509" s="10"/>
      <c r="AMR509" s="10"/>
      <c r="AMS509" s="10"/>
      <c r="AMT509" s="10"/>
      <c r="AMU509" s="10"/>
      <c r="AMV509" s="10"/>
      <c r="AMW509" s="10"/>
      <c r="AMX509" s="10"/>
      <c r="AMY509" s="10"/>
      <c r="AMZ509" s="10"/>
      <c r="ANA509" s="10"/>
      <c r="ANB509" s="10"/>
      <c r="ANC509" s="10"/>
      <c r="AND509" s="10"/>
      <c r="ANE509" s="10"/>
      <c r="ANF509" s="10"/>
      <c r="ANG509" s="10"/>
      <c r="ANH509" s="10"/>
      <c r="ANI509" s="10"/>
      <c r="ANJ509" s="10"/>
      <c r="ANK509" s="10"/>
      <c r="ANL509" s="10"/>
      <c r="ANM509" s="10"/>
      <c r="ANN509" s="10"/>
      <c r="ANO509" s="10"/>
      <c r="ANP509" s="10"/>
      <c r="ANQ509" s="10"/>
      <c r="ANR509" s="10"/>
      <c r="ANS509" s="10"/>
      <c r="ANT509" s="10"/>
      <c r="ANU509" s="10"/>
      <c r="ANV509" s="10"/>
      <c r="ANW509" s="10"/>
      <c r="ANX509" s="10"/>
      <c r="ANY509" s="10"/>
      <c r="ANZ509" s="10"/>
      <c r="AOA509" s="10"/>
      <c r="AOB509" s="10"/>
      <c r="AOC509" s="10"/>
      <c r="AOD509" s="10"/>
      <c r="AOE509" s="10"/>
      <c r="AOF509" s="10"/>
      <c r="AOG509" s="10"/>
      <c r="AOH509" s="10"/>
      <c r="AOI509" s="10"/>
      <c r="AOJ509" s="10"/>
      <c r="AOK509" s="10"/>
      <c r="AOL509" s="10"/>
      <c r="AOM509" s="10"/>
      <c r="AON509" s="10"/>
      <c r="AOO509" s="10"/>
      <c r="AOP509" s="10"/>
      <c r="AOQ509" s="10"/>
      <c r="AOR509" s="10"/>
      <c r="AOS509" s="10"/>
      <c r="AOT509" s="10"/>
      <c r="AOU509" s="10"/>
      <c r="AOV509" s="10"/>
      <c r="AOW509" s="10"/>
      <c r="AOX509" s="10"/>
      <c r="AOY509" s="10"/>
      <c r="AOZ509" s="10"/>
      <c r="APA509" s="10"/>
      <c r="APB509" s="10"/>
      <c r="APC509" s="10"/>
      <c r="APD509" s="10"/>
      <c r="APE509" s="10"/>
      <c r="APF509" s="10"/>
      <c r="APG509" s="10"/>
      <c r="APH509" s="10"/>
      <c r="API509" s="10"/>
      <c r="APJ509" s="10"/>
      <c r="APK509" s="10"/>
      <c r="APL509" s="10"/>
      <c r="APM509" s="10"/>
      <c r="APN509" s="10"/>
      <c r="APO509" s="10"/>
      <c r="APP509" s="10"/>
      <c r="APQ509" s="10"/>
      <c r="APR509" s="10"/>
      <c r="APS509" s="10"/>
      <c r="APT509" s="10"/>
      <c r="APU509" s="10"/>
      <c r="APV509" s="10"/>
      <c r="APW509" s="10"/>
      <c r="APX509" s="10"/>
      <c r="APY509" s="10"/>
      <c r="APZ509" s="10"/>
      <c r="AQA509" s="10"/>
      <c r="AQB509" s="10"/>
      <c r="AQC509" s="10"/>
      <c r="AQD509" s="10"/>
      <c r="AQE509" s="10"/>
      <c r="AQF509" s="10"/>
      <c r="AQG509" s="10"/>
      <c r="AQH509" s="10"/>
      <c r="AQI509" s="10"/>
      <c r="AQJ509" s="10"/>
      <c r="AQK509" s="10"/>
      <c r="AQL509" s="10"/>
      <c r="AQM509" s="10"/>
      <c r="AQN509" s="10"/>
      <c r="AQO509" s="10"/>
      <c r="AQP509" s="10"/>
      <c r="AQQ509" s="10"/>
      <c r="AQR509" s="10"/>
      <c r="AQS509" s="10"/>
      <c r="AQT509" s="10"/>
      <c r="AQU509" s="10"/>
      <c r="AQV509" s="10"/>
      <c r="AQW509" s="10"/>
      <c r="AQX509" s="10"/>
      <c r="AQY509" s="10"/>
      <c r="AQZ509" s="10"/>
      <c r="ARA509" s="10"/>
      <c r="ARB509" s="10"/>
      <c r="ARC509" s="10"/>
      <c r="ARD509" s="10"/>
      <c r="ARE509" s="10"/>
      <c r="ARF509" s="10"/>
      <c r="ARG509" s="10"/>
      <c r="ARH509" s="10"/>
      <c r="ARI509" s="10"/>
      <c r="ARJ509" s="10"/>
      <c r="ARK509" s="10"/>
      <c r="ARL509" s="10"/>
      <c r="ARM509" s="10"/>
      <c r="ARN509" s="10"/>
      <c r="ARO509" s="10"/>
      <c r="ARP509" s="10"/>
      <c r="ARQ509" s="10"/>
      <c r="ARR509" s="10"/>
      <c r="ARS509" s="10"/>
      <c r="ART509" s="10"/>
      <c r="ARU509" s="10"/>
      <c r="ARV509" s="10"/>
      <c r="ARW509" s="10"/>
      <c r="ARX509" s="10"/>
      <c r="ARY509" s="10"/>
      <c r="ARZ509" s="10"/>
      <c r="ASA509" s="10"/>
      <c r="ASB509" s="10"/>
      <c r="ASC509" s="10"/>
      <c r="ASD509" s="10"/>
      <c r="ASE509" s="10"/>
      <c r="ASF509" s="10"/>
      <c r="ASG509" s="10"/>
      <c r="ASH509" s="10"/>
      <c r="ASI509" s="10"/>
      <c r="ASJ509" s="10"/>
      <c r="ASK509" s="10"/>
      <c r="ASL509" s="10"/>
      <c r="ASM509" s="10"/>
      <c r="ASN509" s="10"/>
      <c r="ASO509" s="10"/>
      <c r="ASP509" s="10"/>
      <c r="ASQ509" s="10"/>
      <c r="ASR509" s="10"/>
      <c r="ASS509" s="10"/>
      <c r="AST509" s="10"/>
      <c r="ASU509" s="10"/>
      <c r="ASV509" s="10"/>
      <c r="ASW509" s="10"/>
      <c r="ASX509" s="10"/>
      <c r="ASY509" s="10"/>
      <c r="ASZ509" s="10"/>
      <c r="ATA509" s="10"/>
      <c r="ATB509" s="10"/>
      <c r="ATC509" s="10"/>
      <c r="ATD509" s="10"/>
      <c r="ATE509" s="10"/>
      <c r="ATF509" s="10"/>
      <c r="ATG509" s="10"/>
      <c r="ATH509" s="10"/>
      <c r="ATI509" s="10"/>
      <c r="ATJ509" s="10"/>
      <c r="ATK509" s="10"/>
      <c r="ATL509" s="10"/>
      <c r="ATM509" s="10"/>
      <c r="ATN509" s="10"/>
      <c r="ATO509" s="10"/>
      <c r="ATP509" s="10"/>
      <c r="ATQ509" s="10"/>
      <c r="ATR509" s="10"/>
      <c r="ATS509" s="10"/>
      <c r="ATT509" s="10"/>
      <c r="ATU509" s="10"/>
      <c r="ATV509" s="10"/>
      <c r="ATW509" s="10"/>
      <c r="ATX509" s="10"/>
      <c r="ATY509" s="10"/>
      <c r="ATZ509" s="10"/>
      <c r="AUA509" s="10"/>
      <c r="AUB509" s="10"/>
      <c r="AUC509" s="10"/>
      <c r="AUD509" s="10"/>
      <c r="AUE509" s="10"/>
      <c r="AUF509" s="10"/>
      <c r="AUG509" s="10"/>
      <c r="AUH509" s="10"/>
      <c r="AUI509" s="10"/>
      <c r="AUJ509" s="10"/>
      <c r="AUK509" s="10"/>
      <c r="AUL509" s="10"/>
      <c r="AUM509" s="10"/>
      <c r="AUN509" s="10"/>
      <c r="AUO509" s="10"/>
      <c r="AUP509" s="10"/>
      <c r="AUQ509" s="10"/>
      <c r="AUR509" s="10"/>
      <c r="AUS509" s="10"/>
      <c r="AUT509" s="10"/>
      <c r="AUU509" s="10"/>
      <c r="AUV509" s="10"/>
      <c r="AUW509" s="10"/>
      <c r="AUX509" s="10"/>
      <c r="AUY509" s="10"/>
      <c r="AUZ509" s="10"/>
      <c r="AVA509" s="10"/>
      <c r="AVB509" s="10"/>
      <c r="AVC509" s="10"/>
      <c r="AVD509" s="10"/>
      <c r="AVE509" s="10"/>
      <c r="AVF509" s="10"/>
      <c r="AVG509" s="10"/>
      <c r="AVH509" s="10"/>
      <c r="AVI509" s="10"/>
      <c r="AVJ509" s="10"/>
      <c r="AVK509" s="10"/>
      <c r="AVL509" s="10"/>
      <c r="AVM509" s="10"/>
      <c r="AVN509" s="10"/>
      <c r="AVO509" s="10"/>
      <c r="AVP509" s="10"/>
      <c r="AVQ509" s="10"/>
      <c r="AVR509" s="10"/>
      <c r="AVS509" s="10"/>
      <c r="AVT509" s="10"/>
      <c r="AVU509" s="10"/>
      <c r="AVV509" s="10"/>
      <c r="AVW509" s="10"/>
      <c r="AVX509" s="10"/>
      <c r="AVY509" s="10"/>
      <c r="AVZ509" s="10"/>
      <c r="AWA509" s="10"/>
      <c r="AWB509" s="10"/>
      <c r="AWC509" s="10"/>
      <c r="AWD509" s="10"/>
      <c r="AWE509" s="10"/>
      <c r="AWF509" s="10"/>
      <c r="AWG509" s="10"/>
      <c r="AWH509" s="10"/>
      <c r="AWI509" s="10"/>
      <c r="AWJ509" s="10"/>
      <c r="AWK509" s="10"/>
      <c r="AWL509" s="10"/>
      <c r="AWM509" s="10"/>
      <c r="AWN509" s="10"/>
      <c r="AWO509" s="10"/>
      <c r="AWP509" s="10"/>
      <c r="AWQ509" s="10"/>
      <c r="AWR509" s="10"/>
      <c r="AWS509" s="10"/>
      <c r="AWT509" s="10"/>
      <c r="AWU509" s="10"/>
      <c r="AWV509" s="10"/>
      <c r="AWW509" s="10"/>
      <c r="AWX509" s="10"/>
      <c r="AWY509" s="10"/>
      <c r="AWZ509" s="10"/>
      <c r="AXA509" s="10"/>
      <c r="AXB509" s="10"/>
      <c r="AXC509" s="10"/>
      <c r="AXD509" s="10"/>
      <c r="AXE509" s="10"/>
      <c r="AXF509" s="10"/>
      <c r="AXG509" s="10"/>
      <c r="AXH509" s="10"/>
      <c r="AXI509" s="10"/>
      <c r="AXJ509" s="10"/>
      <c r="AXK509" s="10"/>
      <c r="AXL509" s="10"/>
      <c r="AXM509" s="10"/>
      <c r="AXN509" s="10"/>
      <c r="AXO509" s="10"/>
      <c r="AXP509" s="10"/>
      <c r="AXQ509" s="10"/>
      <c r="AXR509" s="10"/>
      <c r="AXS509" s="10"/>
      <c r="AXT509" s="10"/>
      <c r="AXU509" s="10"/>
      <c r="AXV509" s="10"/>
      <c r="AXW509" s="10"/>
      <c r="AXX509" s="10"/>
      <c r="AXY509" s="10"/>
      <c r="AXZ509" s="10"/>
      <c r="AYA509" s="10"/>
      <c r="AYB509" s="10"/>
      <c r="AYC509" s="10"/>
      <c r="AYD509" s="10"/>
      <c r="AYE509" s="10"/>
      <c r="AYF509" s="10"/>
      <c r="AYG509" s="10"/>
      <c r="AYH509" s="10"/>
      <c r="AYI509" s="10"/>
      <c r="AYJ509" s="10"/>
      <c r="AYK509" s="10"/>
      <c r="AYL509" s="10"/>
      <c r="AYM509" s="10"/>
      <c r="AYN509" s="10"/>
      <c r="AYO509" s="10"/>
      <c r="AYP509" s="10"/>
      <c r="AYQ509" s="10"/>
      <c r="AYR509" s="10"/>
      <c r="AYS509" s="10"/>
      <c r="AYT509" s="10"/>
      <c r="AYU509" s="10"/>
      <c r="AYV509" s="10"/>
      <c r="AYW509" s="10"/>
      <c r="AYX509" s="10"/>
      <c r="AYY509" s="10"/>
      <c r="AYZ509" s="10"/>
      <c r="AZA509" s="10"/>
      <c r="AZB509" s="10"/>
      <c r="AZC509" s="10"/>
      <c r="AZD509" s="10"/>
      <c r="AZE509" s="10"/>
      <c r="AZF509" s="10"/>
      <c r="AZG509" s="10"/>
      <c r="AZH509" s="10"/>
      <c r="AZI509" s="10"/>
      <c r="AZJ509" s="10"/>
      <c r="AZK509" s="10"/>
      <c r="AZL509" s="10"/>
      <c r="AZM509" s="10"/>
      <c r="AZN509" s="10"/>
      <c r="AZO509" s="10"/>
      <c r="AZP509" s="10"/>
      <c r="AZQ509" s="10"/>
      <c r="AZR509" s="10"/>
      <c r="AZS509" s="10"/>
      <c r="AZT509" s="10"/>
      <c r="AZU509" s="10"/>
      <c r="AZV509" s="10"/>
      <c r="AZW509" s="10"/>
      <c r="AZX509" s="10"/>
      <c r="AZY509" s="10"/>
      <c r="AZZ509" s="10"/>
      <c r="BAA509" s="10"/>
      <c r="BAB509" s="10"/>
      <c r="BAC509" s="10"/>
      <c r="BAD509" s="10"/>
      <c r="BAE509" s="10"/>
      <c r="BAF509" s="10"/>
      <c r="BAG509" s="10"/>
      <c r="BAH509" s="10"/>
      <c r="BAI509" s="10"/>
      <c r="BAJ509" s="10"/>
      <c r="BAK509" s="10"/>
      <c r="BAL509" s="10"/>
      <c r="BAM509" s="10"/>
      <c r="BAN509" s="10"/>
      <c r="BAO509" s="10"/>
      <c r="BAP509" s="10"/>
      <c r="BAQ509" s="10"/>
      <c r="BAR509" s="10"/>
      <c r="BAS509" s="10"/>
      <c r="BAT509" s="10"/>
      <c r="BAU509" s="10"/>
      <c r="BAV509" s="10"/>
      <c r="BAW509" s="10"/>
      <c r="BAX509" s="10"/>
      <c r="BAY509" s="10"/>
      <c r="BAZ509" s="10"/>
      <c r="BBA509" s="10"/>
      <c r="BBB509" s="10"/>
      <c r="BBC509" s="10"/>
      <c r="BBD509" s="10"/>
      <c r="BBE509" s="10"/>
      <c r="BBF509" s="10"/>
      <c r="BBG509" s="10"/>
      <c r="BBH509" s="10"/>
      <c r="BBI509" s="10"/>
      <c r="BBJ509" s="10"/>
      <c r="BBK509" s="10"/>
      <c r="BBL509" s="10"/>
      <c r="BBM509" s="10"/>
      <c r="BBN509" s="10"/>
      <c r="BBO509" s="10"/>
      <c r="BBP509" s="10"/>
      <c r="BBQ509" s="10"/>
      <c r="BBR509" s="10"/>
      <c r="BBS509" s="10"/>
      <c r="BBT509" s="10"/>
      <c r="BBU509" s="10"/>
      <c r="BBV509" s="10"/>
      <c r="BBW509" s="10"/>
      <c r="BBX509" s="10"/>
      <c r="BBY509" s="10"/>
      <c r="BBZ509" s="10"/>
      <c r="BCA509" s="10"/>
      <c r="BCB509" s="10"/>
      <c r="BCC509" s="10"/>
      <c r="BCD509" s="10"/>
      <c r="BCE509" s="10"/>
      <c r="BCF509" s="10"/>
      <c r="BCG509" s="10"/>
      <c r="BCH509" s="10"/>
      <c r="BCI509" s="10"/>
      <c r="BCJ509" s="10"/>
      <c r="BCK509" s="10"/>
      <c r="BCL509" s="10"/>
      <c r="BCM509" s="10"/>
      <c r="BCN509" s="10"/>
      <c r="BCO509" s="10"/>
      <c r="BCP509" s="10"/>
      <c r="BCQ509" s="10"/>
      <c r="BCR509" s="10"/>
      <c r="BCS509" s="10"/>
      <c r="BCT509" s="10"/>
      <c r="BCU509" s="10"/>
      <c r="BCV509" s="10"/>
      <c r="BCW509" s="10"/>
      <c r="BCX509" s="10"/>
      <c r="BCY509" s="10"/>
      <c r="BCZ509" s="10"/>
      <c r="BDA509" s="10"/>
      <c r="BDB509" s="10"/>
      <c r="BDC509" s="10"/>
      <c r="BDD509" s="10"/>
      <c r="BDE509" s="10"/>
      <c r="BDF509" s="10"/>
      <c r="BDG509" s="10"/>
      <c r="BDH509" s="10"/>
      <c r="BDI509" s="10"/>
      <c r="BDJ509" s="10"/>
      <c r="BDK509" s="10"/>
      <c r="BDL509" s="10"/>
      <c r="BDM509" s="10"/>
      <c r="BDN509" s="10"/>
      <c r="BDO509" s="10"/>
      <c r="BDP509" s="10"/>
      <c r="BDQ509" s="10"/>
      <c r="BDR509" s="10"/>
      <c r="BDS509" s="10"/>
      <c r="BDT509" s="10"/>
      <c r="BDU509" s="10"/>
      <c r="BDV509" s="10"/>
      <c r="BDW509" s="10"/>
      <c r="BDX509" s="10"/>
      <c r="BDY509" s="10"/>
      <c r="BDZ509" s="10"/>
      <c r="BEA509" s="10"/>
      <c r="BEB509" s="10"/>
      <c r="BEC509" s="10"/>
      <c r="BED509" s="10"/>
      <c r="BEE509" s="10"/>
      <c r="BEF509" s="10"/>
      <c r="BEG509" s="10"/>
      <c r="BEH509" s="10"/>
      <c r="BEI509" s="10"/>
      <c r="BEJ509" s="10"/>
      <c r="BEK509" s="10"/>
      <c r="BEL509" s="10"/>
      <c r="BEM509" s="10"/>
      <c r="BEN509" s="10"/>
      <c r="BEO509" s="10"/>
      <c r="BEP509" s="10"/>
      <c r="BEQ509" s="10"/>
      <c r="BER509" s="10"/>
      <c r="BES509" s="10"/>
      <c r="BET509" s="10"/>
      <c r="BEU509" s="10"/>
      <c r="BEV509" s="10"/>
      <c r="BEW509" s="10"/>
      <c r="BEX509" s="10"/>
      <c r="BEY509" s="10"/>
      <c r="BEZ509" s="10"/>
      <c r="BFA509" s="10"/>
      <c r="BFB509" s="10"/>
      <c r="BFC509" s="10"/>
      <c r="BFD509" s="10"/>
      <c r="BFE509" s="10"/>
      <c r="BFF509" s="10"/>
      <c r="BFG509" s="10"/>
      <c r="BFH509" s="10"/>
      <c r="BFI509" s="10"/>
      <c r="BFJ509" s="10"/>
      <c r="BFK509" s="10"/>
      <c r="BFL509" s="10"/>
      <c r="BFM509" s="10"/>
      <c r="BFN509" s="10"/>
      <c r="BFO509" s="10"/>
      <c r="BFP509" s="10"/>
      <c r="BFQ509" s="10"/>
      <c r="BFR509" s="10"/>
      <c r="BFS509" s="10"/>
      <c r="BFT509" s="10"/>
      <c r="BFU509" s="10"/>
      <c r="BFV509" s="10"/>
      <c r="BFW509" s="10"/>
      <c r="BFX509" s="10"/>
      <c r="BFY509" s="10"/>
      <c r="BFZ509" s="10"/>
      <c r="BGA509" s="10"/>
      <c r="BGB509" s="10"/>
      <c r="BGC509" s="10"/>
      <c r="BGD509" s="10"/>
      <c r="BGE509" s="10"/>
      <c r="BGF509" s="10"/>
      <c r="BGG509" s="10"/>
      <c r="BGH509" s="10"/>
      <c r="BGI509" s="10"/>
      <c r="BGJ509" s="10"/>
      <c r="BGK509" s="10"/>
      <c r="BGL509" s="10"/>
      <c r="BGM509" s="10"/>
      <c r="BGN509" s="10"/>
      <c r="BGO509" s="10"/>
      <c r="BGP509" s="10"/>
      <c r="BGQ509" s="10"/>
      <c r="BGR509" s="10"/>
      <c r="BGS509" s="10"/>
      <c r="BGT509" s="10"/>
      <c r="BGU509" s="10"/>
      <c r="BGV509" s="10"/>
      <c r="BGW509" s="10"/>
      <c r="BGX509" s="10"/>
      <c r="BGY509" s="10"/>
      <c r="BGZ509" s="10"/>
      <c r="BHA509" s="10"/>
      <c r="BHB509" s="10"/>
      <c r="BHC509" s="10"/>
      <c r="BHD509" s="10"/>
      <c r="BHE509" s="10"/>
      <c r="BHF509" s="10"/>
      <c r="BHG509" s="10"/>
      <c r="BHH509" s="10"/>
      <c r="BHI509" s="10"/>
      <c r="BHJ509" s="10"/>
      <c r="BHK509" s="10"/>
      <c r="BHL509" s="10"/>
      <c r="BHM509" s="10"/>
      <c r="BHN509" s="10"/>
      <c r="BHO509" s="10"/>
      <c r="BHP509" s="10"/>
      <c r="BHQ509" s="10"/>
      <c r="BHR509" s="10"/>
      <c r="BHS509" s="10"/>
      <c r="BHT509" s="10"/>
      <c r="BHU509" s="10"/>
      <c r="BHV509" s="10"/>
      <c r="BHW509" s="10"/>
      <c r="BHX509" s="10"/>
      <c r="BHY509" s="10"/>
      <c r="BHZ509" s="10"/>
      <c r="BIA509" s="10"/>
      <c r="BIB509" s="10"/>
      <c r="BIC509" s="10"/>
      <c r="BID509" s="10"/>
      <c r="BIE509" s="10"/>
      <c r="BIF509" s="10"/>
      <c r="BIG509" s="10"/>
      <c r="BIH509" s="10"/>
      <c r="BII509" s="10"/>
      <c r="BIJ509" s="10"/>
      <c r="BIK509" s="10"/>
      <c r="BIL509" s="10"/>
      <c r="BIM509" s="10"/>
      <c r="BIN509" s="10"/>
      <c r="BIO509" s="10"/>
      <c r="BIP509" s="10"/>
      <c r="BIQ509" s="10"/>
      <c r="BIR509" s="10"/>
      <c r="BIS509" s="10"/>
      <c r="BIT509" s="10"/>
      <c r="BIU509" s="10"/>
      <c r="BIV509" s="10"/>
      <c r="BIW509" s="10"/>
      <c r="BIX509" s="10"/>
      <c r="BIY509" s="10"/>
      <c r="BIZ509" s="10"/>
      <c r="BJA509" s="10"/>
      <c r="BJB509" s="10"/>
      <c r="BJC509" s="10"/>
      <c r="BJD509" s="10"/>
      <c r="BJE509" s="10"/>
      <c r="BJF509" s="10"/>
      <c r="BJG509" s="10"/>
      <c r="BJH509" s="10"/>
      <c r="BJI509" s="10"/>
      <c r="BJJ509" s="10"/>
      <c r="BJK509" s="10"/>
      <c r="BJL509" s="10"/>
      <c r="BJM509" s="10"/>
      <c r="BJN509" s="10"/>
      <c r="BJO509" s="10"/>
      <c r="BJP509" s="10"/>
      <c r="BJQ509" s="10"/>
      <c r="BJR509" s="10"/>
      <c r="BJS509" s="10"/>
      <c r="BJT509" s="10"/>
      <c r="BJU509" s="10"/>
      <c r="BJV509" s="10"/>
      <c r="BJW509" s="10"/>
      <c r="BJX509" s="10"/>
      <c r="BJY509" s="10"/>
      <c r="BJZ509" s="10"/>
      <c r="BKA509" s="10"/>
      <c r="BKB509" s="10"/>
      <c r="BKC509" s="10"/>
      <c r="BKD509" s="10"/>
      <c r="BKE509" s="10"/>
      <c r="BKF509" s="10"/>
      <c r="BKG509" s="10"/>
      <c r="BKH509" s="10"/>
      <c r="BKI509" s="10"/>
      <c r="BKJ509" s="10"/>
      <c r="BKK509" s="10"/>
      <c r="BKL509" s="10"/>
      <c r="BKM509" s="10"/>
      <c r="BKN509" s="10"/>
      <c r="BKO509" s="10"/>
      <c r="BKP509" s="10"/>
      <c r="BKQ509" s="10"/>
      <c r="BKR509" s="10"/>
      <c r="BKS509" s="10"/>
      <c r="BKT509" s="10"/>
      <c r="BKU509" s="10"/>
      <c r="BKV509" s="10"/>
      <c r="BKW509" s="10"/>
      <c r="BKX509" s="10"/>
      <c r="BKY509" s="10"/>
      <c r="BKZ509" s="10"/>
      <c r="BLA509" s="10"/>
      <c r="BLB509" s="10"/>
      <c r="BLC509" s="10"/>
      <c r="BLD509" s="10"/>
      <c r="BLE509" s="10"/>
      <c r="BLF509" s="10"/>
      <c r="BLG509" s="10"/>
      <c r="BLH509" s="10"/>
      <c r="BLI509" s="10"/>
      <c r="BLJ509" s="10"/>
      <c r="BLK509" s="10"/>
      <c r="BLL509" s="10"/>
      <c r="BLM509" s="10"/>
      <c r="BLN509" s="10"/>
      <c r="BLO509" s="10"/>
      <c r="BLP509" s="10"/>
      <c r="BLQ509" s="10"/>
      <c r="BLR509" s="10"/>
      <c r="BLS509" s="10"/>
      <c r="BLT509" s="10"/>
      <c r="BLU509" s="10"/>
      <c r="BLV509" s="10"/>
      <c r="BLW509" s="10"/>
      <c r="BLX509" s="10"/>
      <c r="BLY509" s="10"/>
      <c r="BLZ509" s="10"/>
      <c r="BMA509" s="10"/>
      <c r="BMB509" s="10"/>
      <c r="BMC509" s="10"/>
      <c r="BMD509" s="10"/>
      <c r="BME509" s="10"/>
      <c r="BMF509" s="10"/>
      <c r="BMG509" s="10"/>
      <c r="BMH509" s="10"/>
      <c r="BMI509" s="10"/>
      <c r="BMJ509" s="10"/>
      <c r="BMK509" s="10"/>
      <c r="BML509" s="10"/>
      <c r="BMM509" s="10"/>
      <c r="BMN509" s="10"/>
      <c r="BMO509" s="10"/>
      <c r="BMP509" s="10"/>
      <c r="BMQ509" s="10"/>
      <c r="BMR509" s="10"/>
      <c r="BMS509" s="10"/>
      <c r="BMT509" s="10"/>
      <c r="BMU509" s="10"/>
      <c r="BMV509" s="10"/>
      <c r="BMW509" s="10"/>
      <c r="BMX509" s="10"/>
      <c r="BMY509" s="10"/>
      <c r="BMZ509" s="10"/>
      <c r="BNA509" s="10"/>
      <c r="BNB509" s="10"/>
      <c r="BNC509" s="10"/>
      <c r="BND509" s="10"/>
      <c r="BNE509" s="10"/>
      <c r="BNF509" s="10"/>
      <c r="BNG509" s="10"/>
      <c r="BNH509" s="10"/>
      <c r="BNI509" s="10"/>
      <c r="BNJ509" s="10"/>
      <c r="BNK509" s="10"/>
      <c r="BNL509" s="10"/>
      <c r="BNM509" s="10"/>
      <c r="BNN509" s="10"/>
      <c r="BNO509" s="10"/>
      <c r="BNP509" s="10"/>
      <c r="BNQ509" s="10"/>
      <c r="BNR509" s="10"/>
      <c r="BNS509" s="10"/>
      <c r="BNT509" s="10"/>
      <c r="BNU509" s="10"/>
      <c r="BNV509" s="10"/>
      <c r="BNW509" s="10"/>
      <c r="BNX509" s="10"/>
      <c r="BNY509" s="10"/>
      <c r="BNZ509" s="10"/>
      <c r="BOA509" s="10"/>
      <c r="BOB509" s="10"/>
      <c r="BOC509" s="10"/>
      <c r="BOD509" s="10"/>
      <c r="BOE509" s="10"/>
      <c r="BOF509" s="10"/>
      <c r="BOG509" s="10"/>
      <c r="BOH509" s="10"/>
      <c r="BOI509" s="10"/>
      <c r="BOJ509" s="10"/>
      <c r="BOK509" s="10"/>
      <c r="BOL509" s="10"/>
      <c r="BOM509" s="10"/>
      <c r="BON509" s="10"/>
      <c r="BOO509" s="10"/>
      <c r="BOP509" s="10"/>
      <c r="BOQ509" s="10"/>
      <c r="BOR509" s="10"/>
      <c r="BOS509" s="10"/>
      <c r="BOT509" s="10"/>
      <c r="BOU509" s="10"/>
      <c r="BOV509" s="10"/>
      <c r="BOW509" s="10"/>
      <c r="BOX509" s="10"/>
      <c r="BOY509" s="10"/>
      <c r="BOZ509" s="10"/>
      <c r="BPA509" s="10"/>
      <c r="BPB509" s="10"/>
      <c r="BPC509" s="10"/>
      <c r="BPD509" s="10"/>
      <c r="BPE509" s="10"/>
      <c r="BPF509" s="10"/>
      <c r="BPG509" s="10"/>
      <c r="BPH509" s="10"/>
      <c r="BPI509" s="10"/>
      <c r="BPJ509" s="10"/>
      <c r="BPK509" s="10"/>
      <c r="BPL509" s="10"/>
      <c r="BPM509" s="10"/>
      <c r="BPN509" s="10"/>
      <c r="BPO509" s="10"/>
      <c r="BPP509" s="10"/>
      <c r="BPQ509" s="10"/>
      <c r="BPR509" s="10"/>
      <c r="BPS509" s="10"/>
      <c r="BPT509" s="10"/>
      <c r="BPU509" s="10"/>
      <c r="BPV509" s="10"/>
      <c r="BPW509" s="10"/>
      <c r="BPX509" s="10"/>
      <c r="BPY509" s="10"/>
      <c r="BPZ509" s="10"/>
      <c r="BQA509" s="10"/>
      <c r="BQB509" s="10"/>
      <c r="BQC509" s="10"/>
      <c r="BQD509" s="10"/>
      <c r="BQE509" s="10"/>
      <c r="BQF509" s="10"/>
      <c r="BQG509" s="10"/>
      <c r="BQH509" s="10"/>
      <c r="BQI509" s="10"/>
      <c r="BQJ509" s="10"/>
      <c r="BQK509" s="10"/>
      <c r="BQL509" s="10"/>
      <c r="BQM509" s="10"/>
      <c r="BQN509" s="10"/>
      <c r="BQO509" s="10"/>
      <c r="BQP509" s="10"/>
      <c r="BQQ509" s="10"/>
      <c r="BQR509" s="10"/>
      <c r="BQS509" s="10"/>
      <c r="BQT509" s="10"/>
      <c r="BQU509" s="10"/>
      <c r="BQV509" s="10"/>
      <c r="BQW509" s="10"/>
      <c r="BQX509" s="10"/>
      <c r="BQY509" s="10"/>
      <c r="BQZ509" s="10"/>
      <c r="BRA509" s="10"/>
      <c r="BRB509" s="10"/>
      <c r="BRC509" s="10"/>
      <c r="BRD509" s="10"/>
      <c r="BRE509" s="10"/>
      <c r="BRF509" s="10"/>
      <c r="BRG509" s="10"/>
      <c r="BRH509" s="10"/>
      <c r="BRI509" s="10"/>
      <c r="BRJ509" s="10"/>
      <c r="BRK509" s="10"/>
      <c r="BRL509" s="10"/>
      <c r="BRM509" s="10"/>
      <c r="BRN509" s="10"/>
      <c r="BRO509" s="10"/>
      <c r="BRP509" s="10"/>
      <c r="BRQ509" s="10"/>
      <c r="BRR509" s="10"/>
      <c r="BRS509" s="10"/>
      <c r="BRT509" s="10"/>
      <c r="BRU509" s="10"/>
      <c r="BRV509" s="10"/>
      <c r="BRW509" s="10"/>
      <c r="BRX509" s="10"/>
      <c r="BRY509" s="10"/>
      <c r="BRZ509" s="10"/>
      <c r="BSA509" s="10"/>
      <c r="BSB509" s="10"/>
      <c r="BSC509" s="10"/>
      <c r="BSD509" s="10"/>
      <c r="BSE509" s="10"/>
      <c r="BSF509" s="10"/>
      <c r="BSG509" s="10"/>
      <c r="BSH509" s="10"/>
      <c r="BSI509" s="10"/>
      <c r="BSJ509" s="10"/>
      <c r="BSK509" s="10"/>
      <c r="BSL509" s="10"/>
      <c r="BSM509" s="10"/>
      <c r="BSN509" s="10"/>
      <c r="BSO509" s="10"/>
      <c r="BSP509" s="10"/>
      <c r="BSQ509" s="10"/>
      <c r="BSR509" s="10"/>
      <c r="BSS509" s="10"/>
      <c r="BST509" s="10"/>
      <c r="BSU509" s="10"/>
      <c r="BSV509" s="10"/>
      <c r="BSW509" s="10"/>
      <c r="BSX509" s="10"/>
      <c r="BSY509" s="10"/>
      <c r="BSZ509" s="10"/>
      <c r="BTA509" s="10"/>
      <c r="BTB509" s="10"/>
      <c r="BTC509" s="10"/>
      <c r="BTD509" s="10"/>
      <c r="BTE509" s="10"/>
      <c r="BTF509" s="10"/>
      <c r="BTG509" s="10"/>
      <c r="BTH509" s="10"/>
      <c r="BTI509" s="10"/>
      <c r="BTJ509" s="10"/>
      <c r="BTK509" s="10"/>
      <c r="BTL509" s="10"/>
      <c r="BTM509" s="10"/>
      <c r="BTN509" s="10"/>
      <c r="BTO509" s="10"/>
      <c r="BTP509" s="10"/>
      <c r="BTQ509" s="10"/>
      <c r="BTR509" s="10"/>
      <c r="BTS509" s="10"/>
      <c r="BTT509" s="10"/>
    </row>
    <row r="510" spans="1:1892" s="14" customFormat="1" ht="35.1" customHeight="1">
      <c r="A510" s="1241"/>
      <c r="B510" s="537" t="s">
        <v>21</v>
      </c>
      <c r="C510" s="537" t="s">
        <v>78</v>
      </c>
      <c r="D510" s="1673" t="s">
        <v>77</v>
      </c>
      <c r="E510" s="1674"/>
      <c r="F510" s="1675"/>
      <c r="G510" s="982" t="s">
        <v>76</v>
      </c>
      <c r="H510" s="982" t="s">
        <v>75</v>
      </c>
      <c r="I510" s="982" t="s">
        <v>288</v>
      </c>
      <c r="J510" s="982" t="s">
        <v>67</v>
      </c>
      <c r="K510" s="982" t="s">
        <v>66</v>
      </c>
      <c r="L510" s="182">
        <v>63.887</v>
      </c>
      <c r="M510" s="231">
        <v>131</v>
      </c>
      <c r="N510" s="132">
        <v>0</v>
      </c>
      <c r="O510" s="132">
        <v>0</v>
      </c>
      <c r="P510" s="511" t="s">
        <v>459</v>
      </c>
      <c r="Q510" s="511" t="s">
        <v>460</v>
      </c>
      <c r="R510" s="511" t="s">
        <v>433</v>
      </c>
      <c r="S510" s="651" t="s">
        <v>57</v>
      </c>
      <c r="T510" s="629" t="s">
        <v>54</v>
      </c>
      <c r="U510" s="765"/>
    </row>
    <row r="511" spans="1:1892" s="14" customFormat="1" ht="35.1" customHeight="1">
      <c r="A511" s="1241"/>
      <c r="B511" s="538"/>
      <c r="C511" s="538"/>
      <c r="D511" s="1676"/>
      <c r="E511" s="1677"/>
      <c r="F511" s="1678"/>
      <c r="G511" s="983"/>
      <c r="H511" s="983"/>
      <c r="I511" s="983"/>
      <c r="J511" s="983"/>
      <c r="K511" s="983"/>
      <c r="L511" s="182">
        <v>84.864000000000004</v>
      </c>
      <c r="M511" s="231">
        <v>417</v>
      </c>
      <c r="N511" s="132">
        <v>0</v>
      </c>
      <c r="O511" s="132">
        <v>0</v>
      </c>
      <c r="P511" s="512"/>
      <c r="Q511" s="512"/>
      <c r="R511" s="512"/>
      <c r="S511" s="652"/>
      <c r="T511" s="630"/>
      <c r="U511" s="766"/>
    </row>
    <row r="512" spans="1:1892" s="14" customFormat="1" ht="35.1" customHeight="1">
      <c r="A512" s="1241"/>
      <c r="B512" s="538"/>
      <c r="C512" s="538"/>
      <c r="D512" s="1676"/>
      <c r="E512" s="1677"/>
      <c r="F512" s="1678"/>
      <c r="G512" s="983"/>
      <c r="H512" s="983"/>
      <c r="I512" s="983"/>
      <c r="J512" s="983"/>
      <c r="K512" s="983"/>
      <c r="L512" s="182">
        <v>84.864000000000004</v>
      </c>
      <c r="M512" s="231">
        <v>56</v>
      </c>
      <c r="N512" s="132">
        <v>0</v>
      </c>
      <c r="O512" s="132">
        <v>0</v>
      </c>
      <c r="P512" s="512"/>
      <c r="Q512" s="512"/>
      <c r="R512" s="512"/>
      <c r="S512" s="652"/>
      <c r="T512" s="630"/>
      <c r="U512" s="766"/>
    </row>
    <row r="513" spans="1:1892" s="14" customFormat="1" ht="35.1" customHeight="1">
      <c r="A513" s="1241"/>
      <c r="B513" s="538"/>
      <c r="C513" s="538"/>
      <c r="D513" s="1676"/>
      <c r="E513" s="1677"/>
      <c r="F513" s="1678"/>
      <c r="G513" s="983"/>
      <c r="H513" s="983"/>
      <c r="I513" s="983"/>
      <c r="J513" s="983"/>
      <c r="K513" s="983"/>
      <c r="L513" s="182">
        <v>84.777000000000001</v>
      </c>
      <c r="M513" s="231">
        <v>230</v>
      </c>
      <c r="N513" s="132">
        <v>0</v>
      </c>
      <c r="O513" s="132">
        <v>0</v>
      </c>
      <c r="P513" s="512"/>
      <c r="Q513" s="512"/>
      <c r="R513" s="512"/>
      <c r="S513" s="652"/>
      <c r="T513" s="630"/>
      <c r="U513" s="766"/>
    </row>
    <row r="514" spans="1:1892" s="14" customFormat="1" ht="35.1" customHeight="1">
      <c r="A514" s="1241"/>
      <c r="B514" s="538"/>
      <c r="C514" s="538"/>
      <c r="D514" s="1676"/>
      <c r="E514" s="1677"/>
      <c r="F514" s="1678"/>
      <c r="G514" s="983"/>
      <c r="H514" s="983"/>
      <c r="I514" s="983"/>
      <c r="J514" s="983"/>
      <c r="K514" s="983"/>
      <c r="L514" s="182">
        <v>101.81100000000001</v>
      </c>
      <c r="M514" s="231">
        <v>136</v>
      </c>
      <c r="N514" s="132">
        <v>1</v>
      </c>
      <c r="O514" s="132">
        <v>1</v>
      </c>
      <c r="P514" s="512"/>
      <c r="Q514" s="512"/>
      <c r="R514" s="512"/>
      <c r="S514" s="652"/>
      <c r="T514" s="630"/>
      <c r="U514" s="766"/>
    </row>
    <row r="515" spans="1:1892" s="14" customFormat="1" ht="35.1" customHeight="1">
      <c r="A515" s="1241"/>
      <c r="B515" s="538"/>
      <c r="C515" s="538"/>
      <c r="D515" s="1676"/>
      <c r="E515" s="1677"/>
      <c r="F515" s="1678"/>
      <c r="G515" s="983"/>
      <c r="H515" s="983"/>
      <c r="I515" s="983"/>
      <c r="J515" s="983"/>
      <c r="K515" s="983"/>
      <c r="L515" s="182">
        <v>110.476</v>
      </c>
      <c r="M515" s="231">
        <v>26</v>
      </c>
      <c r="N515" s="132">
        <v>0</v>
      </c>
      <c r="O515" s="132">
        <v>0</v>
      </c>
      <c r="P515" s="512"/>
      <c r="Q515" s="512"/>
      <c r="R515" s="512"/>
      <c r="S515" s="652"/>
      <c r="T515" s="630"/>
      <c r="U515" s="766"/>
    </row>
    <row r="516" spans="1:1892" s="14" customFormat="1" ht="35.1" customHeight="1">
      <c r="A516" s="1241"/>
      <c r="B516" s="538"/>
      <c r="C516" s="538"/>
      <c r="D516" s="1676"/>
      <c r="E516" s="1677"/>
      <c r="F516" s="1678"/>
      <c r="G516" s="984"/>
      <c r="H516" s="984"/>
      <c r="I516" s="984"/>
      <c r="J516" s="984"/>
      <c r="K516" s="984"/>
      <c r="L516" s="182">
        <v>117.197</v>
      </c>
      <c r="M516" s="231">
        <v>10</v>
      </c>
      <c r="N516" s="132">
        <v>0</v>
      </c>
      <c r="O516" s="132">
        <v>0</v>
      </c>
      <c r="P516" s="512"/>
      <c r="Q516" s="512"/>
      <c r="R516" s="512"/>
      <c r="S516" s="652"/>
      <c r="T516" s="630"/>
      <c r="U516" s="766"/>
    </row>
    <row r="517" spans="1:1892" s="14" customFormat="1" ht="35.1" customHeight="1">
      <c r="A517" s="1241"/>
      <c r="B517" s="539"/>
      <c r="C517" s="539"/>
      <c r="D517" s="1679"/>
      <c r="E517" s="1680"/>
      <c r="F517" s="1681"/>
      <c r="G517" s="463" t="s">
        <v>329</v>
      </c>
      <c r="H517" s="464"/>
      <c r="I517" s="464"/>
      <c r="J517" s="464"/>
      <c r="K517" s="465"/>
      <c r="L517" s="183"/>
      <c r="M517" s="224">
        <f>SUM(M510:M516)</f>
        <v>1006</v>
      </c>
      <c r="N517" s="263">
        <f>SUM(N510:N516)</f>
        <v>1</v>
      </c>
      <c r="O517" s="263">
        <f>SUM(O510:O516)</f>
        <v>1</v>
      </c>
      <c r="P517" s="513"/>
      <c r="Q517" s="513"/>
      <c r="R517" s="513"/>
      <c r="S517" s="653"/>
      <c r="T517" s="631"/>
      <c r="U517" s="767"/>
    </row>
    <row r="518" spans="1:1892" s="13" customFormat="1" ht="35.1" customHeight="1">
      <c r="A518" s="1241"/>
      <c r="B518" s="620" t="s">
        <v>105</v>
      </c>
      <c r="C518" s="621"/>
      <c r="D518" s="621"/>
      <c r="E518" s="621"/>
      <c r="F518" s="621"/>
      <c r="G518" s="621"/>
      <c r="H518" s="621"/>
      <c r="I518" s="621"/>
      <c r="J518" s="621"/>
      <c r="K518" s="622"/>
      <c r="L518" s="122"/>
      <c r="M518" s="265">
        <f>M517</f>
        <v>1006</v>
      </c>
      <c r="N518" s="399">
        <f>N517</f>
        <v>1</v>
      </c>
      <c r="O518" s="399">
        <f>O517</f>
        <v>1</v>
      </c>
      <c r="P518" s="123"/>
      <c r="Q518" s="123"/>
      <c r="R518" s="123"/>
      <c r="S518" s="124"/>
      <c r="T518" s="125"/>
      <c r="U518" s="12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  <c r="AZ518" s="14"/>
      <c r="BA518" s="14"/>
      <c r="BB518" s="14"/>
      <c r="BC518" s="14"/>
      <c r="BD518" s="14"/>
      <c r="BE518" s="14"/>
      <c r="BF518" s="14"/>
      <c r="BG518" s="14"/>
      <c r="BH518" s="14"/>
      <c r="BI518" s="14"/>
      <c r="BJ518" s="14"/>
      <c r="BK518" s="14"/>
      <c r="BL518" s="14"/>
      <c r="BM518" s="14"/>
      <c r="BN518" s="14"/>
      <c r="BO518" s="14"/>
      <c r="BP518" s="14"/>
      <c r="BQ518" s="14"/>
      <c r="BR518" s="14"/>
      <c r="BS518" s="14"/>
      <c r="BT518" s="14"/>
      <c r="BU518" s="14"/>
      <c r="BV518" s="14"/>
      <c r="BW518" s="14"/>
      <c r="BX518" s="14"/>
      <c r="BY518" s="14"/>
      <c r="BZ518" s="14"/>
      <c r="CA518" s="14"/>
      <c r="CB518" s="14"/>
      <c r="CC518" s="14"/>
      <c r="CD518" s="14"/>
      <c r="CE518" s="14"/>
      <c r="CF518" s="14"/>
      <c r="CG518" s="14"/>
      <c r="CH518" s="14"/>
      <c r="CI518" s="14"/>
      <c r="CJ518" s="14"/>
      <c r="CK518" s="14"/>
      <c r="CL518" s="14"/>
      <c r="CM518" s="14"/>
      <c r="CN518" s="14"/>
      <c r="CO518" s="14"/>
      <c r="CP518" s="14"/>
      <c r="CQ518" s="14"/>
      <c r="CR518" s="14"/>
      <c r="CS518" s="14"/>
      <c r="CT518" s="14"/>
      <c r="CU518" s="14"/>
      <c r="CV518" s="14"/>
      <c r="CW518" s="14"/>
      <c r="CX518" s="14"/>
      <c r="CY518" s="14"/>
      <c r="CZ518" s="14"/>
      <c r="DA518" s="14"/>
      <c r="DB518" s="14"/>
      <c r="DC518" s="14"/>
      <c r="DD518" s="14"/>
      <c r="DE518" s="14"/>
      <c r="DF518" s="14"/>
      <c r="DG518" s="14"/>
      <c r="DH518" s="14"/>
      <c r="DI518" s="14"/>
      <c r="DJ518" s="14"/>
      <c r="DK518" s="14"/>
      <c r="DL518" s="14"/>
      <c r="DM518" s="14"/>
      <c r="DN518" s="14"/>
      <c r="DO518" s="14"/>
      <c r="DP518" s="14"/>
      <c r="DQ518" s="14"/>
      <c r="DR518" s="14"/>
      <c r="DS518" s="14"/>
      <c r="DT518" s="14"/>
      <c r="DU518" s="14"/>
      <c r="DV518" s="14"/>
      <c r="DW518" s="14"/>
      <c r="DX518" s="14"/>
      <c r="DY518" s="14"/>
      <c r="DZ518" s="14"/>
      <c r="EA518" s="14"/>
      <c r="EB518" s="14"/>
      <c r="EC518" s="14"/>
      <c r="ED518" s="14"/>
      <c r="EE518" s="14"/>
      <c r="EF518" s="14"/>
      <c r="EG518" s="14"/>
      <c r="EH518" s="14"/>
      <c r="EI518" s="14"/>
      <c r="EJ518" s="14"/>
      <c r="EK518" s="14"/>
      <c r="EL518" s="14"/>
      <c r="EM518" s="14"/>
      <c r="EN518" s="14"/>
      <c r="EO518" s="14"/>
      <c r="EP518" s="14"/>
      <c r="EQ518" s="14"/>
      <c r="ER518" s="14"/>
      <c r="ES518" s="14"/>
      <c r="ET518" s="14"/>
      <c r="EU518" s="14"/>
      <c r="EV518" s="14"/>
      <c r="EW518" s="14"/>
      <c r="EX518" s="14"/>
      <c r="EY518" s="14"/>
      <c r="EZ518" s="14"/>
      <c r="FA518" s="14"/>
      <c r="FB518" s="14"/>
      <c r="FC518" s="14"/>
      <c r="FD518" s="14"/>
      <c r="FE518" s="14"/>
      <c r="FF518" s="14"/>
      <c r="FG518" s="14"/>
      <c r="FH518" s="14"/>
      <c r="FI518" s="14"/>
      <c r="FJ518" s="14"/>
      <c r="FK518" s="14"/>
      <c r="FL518" s="14"/>
      <c r="FM518" s="14"/>
      <c r="FN518" s="14"/>
      <c r="FO518" s="14"/>
      <c r="FP518" s="14"/>
      <c r="FQ518" s="14"/>
      <c r="FR518" s="14"/>
      <c r="FS518" s="14"/>
      <c r="FT518" s="14"/>
      <c r="FU518" s="14"/>
      <c r="FV518" s="14"/>
      <c r="FW518" s="14"/>
      <c r="FX518" s="14"/>
      <c r="FY518" s="14"/>
      <c r="FZ518" s="14"/>
      <c r="GA518" s="14"/>
      <c r="GB518" s="14"/>
      <c r="GC518" s="14"/>
      <c r="GD518" s="14"/>
      <c r="GE518" s="14"/>
      <c r="GF518" s="14"/>
      <c r="GG518" s="14"/>
      <c r="GH518" s="14"/>
      <c r="GI518" s="14"/>
      <c r="GJ518" s="14"/>
      <c r="GK518" s="14"/>
      <c r="GL518" s="14"/>
      <c r="GM518" s="14"/>
      <c r="GN518" s="14"/>
      <c r="GO518" s="14"/>
      <c r="GP518" s="14"/>
      <c r="GQ518" s="14"/>
      <c r="GR518" s="14"/>
      <c r="GS518" s="14"/>
      <c r="GT518" s="14"/>
      <c r="GU518" s="14"/>
      <c r="GV518" s="14"/>
      <c r="GW518" s="14"/>
      <c r="GX518" s="14"/>
      <c r="GY518" s="14"/>
      <c r="GZ518" s="14"/>
      <c r="HA518" s="14"/>
      <c r="HB518" s="14"/>
      <c r="HC518" s="14"/>
      <c r="HD518" s="14"/>
      <c r="HE518" s="14"/>
      <c r="HF518" s="14"/>
      <c r="HG518" s="14"/>
      <c r="HH518" s="14"/>
      <c r="HI518" s="14"/>
      <c r="HJ518" s="14"/>
      <c r="HK518" s="14"/>
      <c r="HL518" s="14"/>
      <c r="HM518" s="14"/>
      <c r="HN518" s="14"/>
      <c r="HO518" s="14"/>
      <c r="HP518" s="14"/>
      <c r="HQ518" s="14"/>
      <c r="HR518" s="14"/>
      <c r="HS518" s="14"/>
      <c r="HT518" s="14"/>
      <c r="HU518" s="14"/>
      <c r="HV518" s="14"/>
      <c r="HW518" s="14"/>
      <c r="HX518" s="14"/>
      <c r="HY518" s="14"/>
      <c r="HZ518" s="14"/>
      <c r="IA518" s="14"/>
      <c r="IB518" s="14"/>
      <c r="IC518" s="14"/>
      <c r="ID518" s="14"/>
      <c r="IE518" s="14"/>
      <c r="IF518" s="14"/>
      <c r="IG518" s="14"/>
      <c r="IH518" s="14"/>
      <c r="II518" s="14"/>
      <c r="IJ518" s="14"/>
      <c r="IK518" s="14"/>
      <c r="IL518" s="14"/>
      <c r="IM518" s="14"/>
      <c r="IN518" s="14"/>
      <c r="IO518" s="14"/>
      <c r="IP518" s="14"/>
      <c r="IQ518" s="14"/>
      <c r="IR518" s="14"/>
      <c r="IS518" s="14"/>
      <c r="IT518" s="14"/>
      <c r="IU518" s="14"/>
      <c r="IV518" s="14"/>
      <c r="IW518" s="14"/>
      <c r="IX518" s="14"/>
      <c r="IY518" s="14"/>
      <c r="IZ518" s="14"/>
      <c r="JA518" s="14"/>
      <c r="JB518" s="14"/>
      <c r="JC518" s="14"/>
      <c r="JD518" s="14"/>
      <c r="JE518" s="14"/>
      <c r="JF518" s="14"/>
      <c r="JG518" s="14"/>
      <c r="JH518" s="14"/>
      <c r="JI518" s="14"/>
      <c r="JJ518" s="14"/>
      <c r="JK518" s="14"/>
      <c r="JL518" s="14"/>
      <c r="JM518" s="14"/>
      <c r="JN518" s="14"/>
      <c r="JO518" s="14"/>
      <c r="JP518" s="14"/>
      <c r="JQ518" s="14"/>
      <c r="JR518" s="14"/>
      <c r="JS518" s="14"/>
      <c r="JT518" s="14"/>
      <c r="JU518" s="14"/>
      <c r="JV518" s="14"/>
      <c r="JW518" s="14"/>
      <c r="JX518" s="14"/>
      <c r="JY518" s="14"/>
      <c r="JZ518" s="14"/>
      <c r="KA518" s="14"/>
      <c r="KB518" s="14"/>
      <c r="KC518" s="14"/>
      <c r="KD518" s="14"/>
      <c r="KE518" s="14"/>
      <c r="KF518" s="14"/>
      <c r="KG518" s="14"/>
      <c r="KH518" s="14"/>
      <c r="KI518" s="14"/>
      <c r="KJ518" s="14"/>
      <c r="KK518" s="14"/>
      <c r="KL518" s="14"/>
      <c r="KM518" s="14"/>
      <c r="KN518" s="14"/>
      <c r="KO518" s="14"/>
      <c r="KP518" s="14"/>
      <c r="KQ518" s="14"/>
      <c r="KR518" s="14"/>
      <c r="KS518" s="14"/>
      <c r="KT518" s="14"/>
      <c r="KU518" s="14"/>
      <c r="KV518" s="14"/>
      <c r="KW518" s="14"/>
      <c r="KX518" s="14"/>
      <c r="KY518" s="14"/>
      <c r="KZ518" s="14"/>
      <c r="LA518" s="14"/>
      <c r="LB518" s="14"/>
      <c r="LC518" s="14"/>
      <c r="LD518" s="14"/>
      <c r="LE518" s="14"/>
      <c r="LF518" s="14"/>
      <c r="LG518" s="14"/>
      <c r="LH518" s="14"/>
      <c r="LI518" s="14"/>
      <c r="LJ518" s="14"/>
      <c r="LK518" s="14"/>
      <c r="LL518" s="14"/>
      <c r="LM518" s="14"/>
      <c r="LN518" s="14"/>
      <c r="LO518" s="14"/>
      <c r="LP518" s="14"/>
      <c r="LQ518" s="14"/>
      <c r="LR518" s="14"/>
      <c r="LS518" s="14"/>
      <c r="LT518" s="14"/>
      <c r="LU518" s="14"/>
      <c r="LV518" s="14"/>
      <c r="LW518" s="14"/>
      <c r="LX518" s="14"/>
      <c r="LY518" s="14"/>
      <c r="LZ518" s="14"/>
      <c r="MA518" s="14"/>
      <c r="MB518" s="14"/>
      <c r="MC518" s="14"/>
      <c r="MD518" s="14"/>
      <c r="ME518" s="14"/>
      <c r="MF518" s="14"/>
      <c r="MG518" s="14"/>
      <c r="MH518" s="14"/>
      <c r="MI518" s="14"/>
      <c r="MJ518" s="14"/>
      <c r="MK518" s="14"/>
      <c r="ML518" s="14"/>
      <c r="MM518" s="14"/>
      <c r="MN518" s="14"/>
      <c r="MO518" s="14"/>
      <c r="MP518" s="14"/>
      <c r="MQ518" s="14"/>
      <c r="MR518" s="14"/>
      <c r="MS518" s="14"/>
      <c r="MT518" s="14"/>
      <c r="MU518" s="14"/>
      <c r="MV518" s="14"/>
      <c r="MW518" s="14"/>
      <c r="MX518" s="14"/>
      <c r="MY518" s="14"/>
      <c r="MZ518" s="14"/>
      <c r="NA518" s="14"/>
      <c r="NB518" s="14"/>
      <c r="NC518" s="14"/>
      <c r="ND518" s="14"/>
      <c r="NE518" s="14"/>
      <c r="NF518" s="14"/>
      <c r="NG518" s="14"/>
      <c r="NH518" s="14"/>
      <c r="NI518" s="14"/>
      <c r="NJ518" s="14"/>
      <c r="NK518" s="14"/>
      <c r="NL518" s="14"/>
      <c r="NM518" s="14"/>
      <c r="NN518" s="14"/>
      <c r="NO518" s="14"/>
      <c r="NP518" s="14"/>
      <c r="NQ518" s="14"/>
      <c r="NR518" s="14"/>
      <c r="NS518" s="14"/>
      <c r="NT518" s="14"/>
      <c r="NU518" s="14"/>
      <c r="NV518" s="14"/>
      <c r="NW518" s="14"/>
      <c r="NX518" s="14"/>
      <c r="NY518" s="14"/>
      <c r="NZ518" s="14"/>
      <c r="OA518" s="14"/>
      <c r="OB518" s="14"/>
      <c r="OC518" s="14"/>
      <c r="OD518" s="14"/>
      <c r="OE518" s="14"/>
      <c r="OF518" s="14"/>
      <c r="OG518" s="14"/>
      <c r="OH518" s="14"/>
      <c r="OI518" s="14"/>
      <c r="OJ518" s="14"/>
      <c r="OK518" s="14"/>
      <c r="OL518" s="14"/>
      <c r="OM518" s="14"/>
      <c r="ON518" s="14"/>
      <c r="OO518" s="14"/>
      <c r="OP518" s="14"/>
      <c r="OQ518" s="14"/>
      <c r="OR518" s="14"/>
      <c r="OS518" s="14"/>
      <c r="OT518" s="14"/>
      <c r="OU518" s="14"/>
      <c r="OV518" s="14"/>
      <c r="OW518" s="14"/>
      <c r="OX518" s="14"/>
      <c r="OY518" s="14"/>
      <c r="OZ518" s="14"/>
      <c r="PA518" s="14"/>
      <c r="PB518" s="14"/>
      <c r="PC518" s="14"/>
      <c r="PD518" s="14"/>
      <c r="PE518" s="14"/>
      <c r="PF518" s="14"/>
      <c r="PG518" s="14"/>
      <c r="PH518" s="14"/>
      <c r="PI518" s="14"/>
      <c r="PJ518" s="14"/>
      <c r="PK518" s="14"/>
      <c r="PL518" s="14"/>
      <c r="PM518" s="14"/>
      <c r="PN518" s="14"/>
      <c r="PO518" s="14"/>
      <c r="PP518" s="14"/>
      <c r="PQ518" s="14"/>
      <c r="PR518" s="14"/>
      <c r="PS518" s="14"/>
      <c r="PT518" s="14"/>
      <c r="PU518" s="14"/>
      <c r="PV518" s="14"/>
      <c r="PW518" s="14"/>
      <c r="PX518" s="14"/>
      <c r="PY518" s="14"/>
      <c r="PZ518" s="14"/>
      <c r="QA518" s="14"/>
      <c r="QB518" s="14"/>
      <c r="QC518" s="14"/>
      <c r="QD518" s="14"/>
      <c r="QE518" s="14"/>
      <c r="QF518" s="14"/>
      <c r="QG518" s="14"/>
      <c r="QH518" s="14"/>
      <c r="QI518" s="14"/>
      <c r="QJ518" s="14"/>
      <c r="QK518" s="14"/>
      <c r="QL518" s="14"/>
      <c r="QM518" s="14"/>
      <c r="QN518" s="14"/>
      <c r="QO518" s="14"/>
      <c r="QP518" s="14"/>
      <c r="QQ518" s="14"/>
      <c r="QR518" s="14"/>
      <c r="QS518" s="14"/>
      <c r="QT518" s="14"/>
      <c r="QU518" s="14"/>
      <c r="QV518" s="14"/>
      <c r="QW518" s="14"/>
      <c r="QX518" s="14"/>
      <c r="QY518" s="14"/>
      <c r="QZ518" s="14"/>
      <c r="RA518" s="14"/>
      <c r="RB518" s="14"/>
      <c r="RC518" s="14"/>
      <c r="RD518" s="14"/>
      <c r="RE518" s="14"/>
      <c r="RF518" s="14"/>
      <c r="RG518" s="14"/>
      <c r="RH518" s="14"/>
      <c r="RI518" s="14"/>
      <c r="RJ518" s="14"/>
      <c r="RK518" s="14"/>
      <c r="RL518" s="14"/>
      <c r="RM518" s="14"/>
      <c r="RN518" s="14"/>
      <c r="RO518" s="14"/>
      <c r="RP518" s="14"/>
      <c r="RQ518" s="14"/>
      <c r="RR518" s="14"/>
      <c r="RS518" s="14"/>
      <c r="RT518" s="14"/>
      <c r="RU518" s="14"/>
      <c r="RV518" s="14"/>
      <c r="RW518" s="14"/>
      <c r="RX518" s="14"/>
      <c r="RY518" s="14"/>
      <c r="RZ518" s="14"/>
      <c r="SA518" s="14"/>
      <c r="SB518" s="14"/>
      <c r="SC518" s="14"/>
      <c r="SD518" s="14"/>
      <c r="SE518" s="14"/>
      <c r="SF518" s="14"/>
      <c r="SG518" s="14"/>
      <c r="SH518" s="14"/>
      <c r="SI518" s="14"/>
      <c r="SJ518" s="14"/>
      <c r="SK518" s="14"/>
      <c r="SL518" s="14"/>
      <c r="SM518" s="14"/>
      <c r="SN518" s="14"/>
      <c r="SO518" s="14"/>
      <c r="SP518" s="14"/>
      <c r="SQ518" s="14"/>
      <c r="SR518" s="14"/>
      <c r="SS518" s="14"/>
      <c r="ST518" s="14"/>
      <c r="SU518" s="14"/>
      <c r="SV518" s="14"/>
      <c r="SW518" s="14"/>
      <c r="SX518" s="14"/>
      <c r="SY518" s="14"/>
      <c r="SZ518" s="14"/>
      <c r="TA518" s="14"/>
      <c r="TB518" s="14"/>
      <c r="TC518" s="14"/>
      <c r="TD518" s="14"/>
      <c r="TE518" s="14"/>
      <c r="TF518" s="14"/>
      <c r="TG518" s="14"/>
      <c r="TH518" s="14"/>
      <c r="TI518" s="14"/>
      <c r="TJ518" s="14"/>
      <c r="TK518" s="14"/>
      <c r="TL518" s="14"/>
      <c r="TM518" s="14"/>
      <c r="TN518" s="14"/>
      <c r="TO518" s="14"/>
      <c r="TP518" s="14"/>
      <c r="TQ518" s="14"/>
      <c r="TR518" s="14"/>
      <c r="TS518" s="14"/>
      <c r="TT518" s="14"/>
      <c r="TU518" s="14"/>
      <c r="TV518" s="14"/>
      <c r="TW518" s="14"/>
      <c r="TX518" s="14"/>
      <c r="TY518" s="14"/>
      <c r="TZ518" s="14"/>
      <c r="UA518" s="14"/>
      <c r="UB518" s="14"/>
      <c r="UC518" s="14"/>
      <c r="UD518" s="14"/>
      <c r="UE518" s="14"/>
      <c r="UF518" s="14"/>
      <c r="UG518" s="14"/>
      <c r="UH518" s="14"/>
      <c r="UI518" s="14"/>
      <c r="UJ518" s="14"/>
      <c r="UK518" s="14"/>
      <c r="UL518" s="14"/>
      <c r="UM518" s="14"/>
      <c r="UN518" s="14"/>
      <c r="UO518" s="14"/>
      <c r="UP518" s="14"/>
      <c r="UQ518" s="14"/>
      <c r="UR518" s="14"/>
      <c r="US518" s="14"/>
      <c r="UT518" s="14"/>
      <c r="UU518" s="14"/>
      <c r="UV518" s="14"/>
      <c r="UW518" s="14"/>
      <c r="UX518" s="14"/>
      <c r="UY518" s="14"/>
      <c r="UZ518" s="14"/>
      <c r="VA518" s="14"/>
      <c r="VB518" s="14"/>
      <c r="VC518" s="14"/>
      <c r="VD518" s="14"/>
      <c r="VE518" s="14"/>
      <c r="VF518" s="14"/>
      <c r="VG518" s="14"/>
      <c r="VH518" s="14"/>
      <c r="VI518" s="14"/>
      <c r="VJ518" s="14"/>
      <c r="VK518" s="14"/>
      <c r="VL518" s="14"/>
      <c r="VM518" s="14"/>
      <c r="VN518" s="14"/>
      <c r="VO518" s="14"/>
      <c r="VP518" s="14"/>
      <c r="VQ518" s="14"/>
      <c r="VR518" s="14"/>
      <c r="VS518" s="14"/>
      <c r="VT518" s="14"/>
      <c r="VU518" s="14"/>
      <c r="VV518" s="14"/>
      <c r="VW518" s="14"/>
      <c r="VX518" s="14"/>
      <c r="VY518" s="14"/>
      <c r="VZ518" s="14"/>
      <c r="WA518" s="14"/>
      <c r="WB518" s="14"/>
      <c r="WC518" s="14"/>
      <c r="WD518" s="14"/>
      <c r="WE518" s="14"/>
      <c r="WF518" s="14"/>
      <c r="WG518" s="14"/>
      <c r="WH518" s="14"/>
      <c r="WI518" s="14"/>
      <c r="WJ518" s="14"/>
      <c r="WK518" s="14"/>
      <c r="WL518" s="14"/>
      <c r="WM518" s="14"/>
      <c r="WN518" s="14"/>
      <c r="WO518" s="14"/>
      <c r="WP518" s="14"/>
      <c r="WQ518" s="14"/>
      <c r="WR518" s="14"/>
      <c r="WS518" s="14"/>
      <c r="WT518" s="14"/>
      <c r="WU518" s="14"/>
      <c r="WV518" s="14"/>
      <c r="WW518" s="14"/>
      <c r="WX518" s="14"/>
      <c r="WY518" s="14"/>
      <c r="WZ518" s="14"/>
      <c r="XA518" s="14"/>
      <c r="XB518" s="14"/>
      <c r="XC518" s="14"/>
      <c r="XD518" s="14"/>
      <c r="XE518" s="14"/>
      <c r="XF518" s="14"/>
      <c r="XG518" s="14"/>
      <c r="XH518" s="14"/>
      <c r="XI518" s="14"/>
      <c r="XJ518" s="14"/>
      <c r="XK518" s="14"/>
      <c r="XL518" s="14"/>
      <c r="XM518" s="14"/>
      <c r="XN518" s="14"/>
      <c r="XO518" s="14"/>
      <c r="XP518" s="14"/>
      <c r="XQ518" s="14"/>
      <c r="XR518" s="14"/>
      <c r="XS518" s="14"/>
      <c r="XT518" s="14"/>
      <c r="XU518" s="14"/>
      <c r="XV518" s="14"/>
      <c r="XW518" s="14"/>
      <c r="XX518" s="14"/>
      <c r="XY518" s="14"/>
      <c r="XZ518" s="14"/>
      <c r="YA518" s="14"/>
      <c r="YB518" s="14"/>
      <c r="YC518" s="14"/>
      <c r="YD518" s="14"/>
      <c r="YE518" s="14"/>
      <c r="YF518" s="14"/>
      <c r="YG518" s="14"/>
      <c r="YH518" s="14"/>
      <c r="YI518" s="14"/>
      <c r="YJ518" s="14"/>
      <c r="YK518" s="14"/>
      <c r="YL518" s="14"/>
      <c r="YM518" s="14"/>
      <c r="YN518" s="14"/>
      <c r="YO518" s="14"/>
      <c r="YP518" s="14"/>
      <c r="YQ518" s="14"/>
      <c r="YR518" s="14"/>
      <c r="YS518" s="14"/>
      <c r="YT518" s="14"/>
      <c r="YU518" s="14"/>
      <c r="YV518" s="14"/>
      <c r="YW518" s="14"/>
      <c r="YX518" s="14"/>
      <c r="YY518" s="14"/>
      <c r="YZ518" s="14"/>
      <c r="ZA518" s="14"/>
      <c r="ZB518" s="14"/>
      <c r="ZC518" s="14"/>
      <c r="ZD518" s="14"/>
      <c r="ZE518" s="14"/>
      <c r="ZF518" s="14"/>
      <c r="ZG518" s="14"/>
      <c r="ZH518" s="14"/>
      <c r="ZI518" s="14"/>
      <c r="ZJ518" s="14"/>
      <c r="ZK518" s="14"/>
      <c r="ZL518" s="14"/>
      <c r="ZM518" s="14"/>
      <c r="ZN518" s="14"/>
      <c r="ZO518" s="14"/>
      <c r="ZP518" s="14"/>
      <c r="ZQ518" s="14"/>
      <c r="ZR518" s="14"/>
      <c r="ZS518" s="14"/>
      <c r="ZT518" s="14"/>
      <c r="ZU518" s="14"/>
      <c r="ZV518" s="14"/>
      <c r="ZW518" s="14"/>
      <c r="ZX518" s="14"/>
      <c r="ZY518" s="14"/>
      <c r="ZZ518" s="14"/>
      <c r="AAA518" s="14"/>
      <c r="AAB518" s="14"/>
      <c r="AAC518" s="14"/>
      <c r="AAD518" s="14"/>
      <c r="AAE518" s="14"/>
      <c r="AAF518" s="14"/>
      <c r="AAG518" s="14"/>
      <c r="AAH518" s="14"/>
      <c r="AAI518" s="14"/>
      <c r="AAJ518" s="14"/>
      <c r="AAK518" s="14"/>
      <c r="AAL518" s="14"/>
      <c r="AAM518" s="14"/>
      <c r="AAN518" s="14"/>
      <c r="AAO518" s="14"/>
      <c r="AAP518" s="14"/>
      <c r="AAQ518" s="14"/>
      <c r="AAR518" s="14"/>
      <c r="AAS518" s="14"/>
      <c r="AAT518" s="14"/>
      <c r="AAU518" s="14"/>
      <c r="AAV518" s="14"/>
      <c r="AAW518" s="14"/>
      <c r="AAX518" s="14"/>
      <c r="AAY518" s="14"/>
      <c r="AAZ518" s="14"/>
      <c r="ABA518" s="14"/>
      <c r="ABB518" s="14"/>
      <c r="ABC518" s="14"/>
      <c r="ABD518" s="14"/>
      <c r="ABE518" s="14"/>
      <c r="ABF518" s="14"/>
      <c r="ABG518" s="14"/>
      <c r="ABH518" s="14"/>
      <c r="ABI518" s="14"/>
      <c r="ABJ518" s="14"/>
      <c r="ABK518" s="14"/>
      <c r="ABL518" s="14"/>
      <c r="ABM518" s="14"/>
      <c r="ABN518" s="14"/>
      <c r="ABO518" s="14"/>
      <c r="ABP518" s="14"/>
      <c r="ABQ518" s="14"/>
      <c r="ABR518" s="14"/>
      <c r="ABS518" s="14"/>
      <c r="ABT518" s="14"/>
      <c r="ABU518" s="14"/>
      <c r="ABV518" s="14"/>
      <c r="ABW518" s="14"/>
      <c r="ABX518" s="14"/>
      <c r="ABY518" s="14"/>
      <c r="ABZ518" s="14"/>
      <c r="ACA518" s="14"/>
      <c r="ACB518" s="14"/>
      <c r="ACC518" s="14"/>
      <c r="ACD518" s="14"/>
      <c r="ACE518" s="14"/>
      <c r="ACF518" s="14"/>
      <c r="ACG518" s="14"/>
      <c r="ACH518" s="14"/>
      <c r="ACI518" s="14"/>
      <c r="ACJ518" s="14"/>
      <c r="ACK518" s="14"/>
      <c r="ACL518" s="14"/>
      <c r="ACM518" s="14"/>
      <c r="ACN518" s="14"/>
      <c r="ACO518" s="14"/>
      <c r="ACP518" s="14"/>
      <c r="ACQ518" s="14"/>
      <c r="ACR518" s="14"/>
      <c r="ACS518" s="14"/>
      <c r="ACT518" s="14"/>
      <c r="ACU518" s="14"/>
      <c r="ACV518" s="14"/>
      <c r="ACW518" s="14"/>
      <c r="ACX518" s="14"/>
      <c r="ACY518" s="14"/>
      <c r="ACZ518" s="14"/>
      <c r="ADA518" s="14"/>
      <c r="ADB518" s="14"/>
      <c r="ADC518" s="14"/>
      <c r="ADD518" s="14"/>
      <c r="ADE518" s="14"/>
      <c r="ADF518" s="14"/>
      <c r="ADG518" s="14"/>
      <c r="ADH518" s="14"/>
      <c r="ADI518" s="14"/>
      <c r="ADJ518" s="14"/>
      <c r="ADK518" s="14"/>
      <c r="ADL518" s="14"/>
      <c r="ADM518" s="14"/>
      <c r="ADN518" s="14"/>
      <c r="ADO518" s="14"/>
      <c r="ADP518" s="14"/>
      <c r="ADQ518" s="14"/>
      <c r="ADR518" s="14"/>
      <c r="ADS518" s="14"/>
      <c r="ADT518" s="14"/>
      <c r="ADU518" s="14"/>
      <c r="ADV518" s="14"/>
      <c r="ADW518" s="14"/>
      <c r="ADX518" s="14"/>
      <c r="ADY518" s="14"/>
      <c r="ADZ518" s="14"/>
      <c r="AEA518" s="14"/>
      <c r="AEB518" s="14"/>
      <c r="AEC518" s="14"/>
      <c r="AED518" s="14"/>
      <c r="AEE518" s="14"/>
      <c r="AEF518" s="14"/>
      <c r="AEG518" s="14"/>
      <c r="AEH518" s="14"/>
      <c r="AEI518" s="14"/>
      <c r="AEJ518" s="14"/>
      <c r="AEK518" s="14"/>
      <c r="AEL518" s="14"/>
      <c r="AEM518" s="14"/>
      <c r="AEN518" s="14"/>
      <c r="AEO518" s="14"/>
      <c r="AEP518" s="14"/>
      <c r="AEQ518" s="14"/>
      <c r="AER518" s="14"/>
      <c r="AES518" s="14"/>
      <c r="AET518" s="14"/>
      <c r="AEU518" s="14"/>
      <c r="AEV518" s="14"/>
      <c r="AEW518" s="14"/>
      <c r="AEX518" s="14"/>
      <c r="AEY518" s="14"/>
      <c r="AEZ518" s="14"/>
      <c r="AFA518" s="14"/>
      <c r="AFB518" s="14"/>
      <c r="AFC518" s="14"/>
      <c r="AFD518" s="14"/>
      <c r="AFE518" s="14"/>
      <c r="AFF518" s="14"/>
      <c r="AFG518" s="14"/>
      <c r="AFH518" s="14"/>
      <c r="AFI518" s="14"/>
      <c r="AFJ518" s="14"/>
      <c r="AFK518" s="14"/>
      <c r="AFL518" s="14"/>
      <c r="AFM518" s="14"/>
      <c r="AFN518" s="14"/>
      <c r="AFO518" s="14"/>
      <c r="AFP518" s="14"/>
      <c r="AFQ518" s="14"/>
      <c r="AFR518" s="14"/>
      <c r="AFS518" s="14"/>
      <c r="AFT518" s="14"/>
      <c r="AFU518" s="14"/>
      <c r="AFV518" s="14"/>
      <c r="AFW518" s="14"/>
      <c r="AFX518" s="14"/>
      <c r="AFY518" s="14"/>
      <c r="AFZ518" s="14"/>
      <c r="AGA518" s="14"/>
      <c r="AGB518" s="14"/>
      <c r="AGC518" s="14"/>
      <c r="AGD518" s="14"/>
      <c r="AGE518" s="14"/>
      <c r="AGF518" s="14"/>
      <c r="AGG518" s="14"/>
      <c r="AGH518" s="14"/>
      <c r="AGI518" s="14"/>
      <c r="AGJ518" s="14"/>
      <c r="AGK518" s="14"/>
      <c r="AGL518" s="14"/>
      <c r="AGM518" s="14"/>
      <c r="AGN518" s="14"/>
      <c r="AGO518" s="14"/>
      <c r="AGP518" s="14"/>
      <c r="AGQ518" s="14"/>
      <c r="AGR518" s="14"/>
      <c r="AGS518" s="14"/>
      <c r="AGT518" s="14"/>
      <c r="AGU518" s="14"/>
      <c r="AGV518" s="14"/>
      <c r="AGW518" s="14"/>
      <c r="AGX518" s="14"/>
      <c r="AGY518" s="14"/>
      <c r="AGZ518" s="14"/>
      <c r="AHA518" s="14"/>
      <c r="AHB518" s="14"/>
      <c r="AHC518" s="14"/>
      <c r="AHD518" s="14"/>
      <c r="AHE518" s="14"/>
      <c r="AHF518" s="14"/>
      <c r="AHG518" s="14"/>
      <c r="AHH518" s="14"/>
      <c r="AHI518" s="14"/>
      <c r="AHJ518" s="14"/>
      <c r="AHK518" s="14"/>
      <c r="AHL518" s="14"/>
      <c r="AHM518" s="14"/>
      <c r="AHN518" s="14"/>
      <c r="AHO518" s="14"/>
      <c r="AHP518" s="14"/>
      <c r="AHQ518" s="14"/>
      <c r="AHR518" s="14"/>
      <c r="AHS518" s="14"/>
      <c r="AHT518" s="14"/>
      <c r="AHU518" s="14"/>
      <c r="AHV518" s="14"/>
      <c r="AHW518" s="14"/>
      <c r="AHX518" s="14"/>
      <c r="AHY518" s="14"/>
      <c r="AHZ518" s="14"/>
      <c r="AIA518" s="14"/>
      <c r="AIB518" s="14"/>
      <c r="AIC518" s="14"/>
      <c r="AID518" s="14"/>
      <c r="AIE518" s="14"/>
      <c r="AIF518" s="14"/>
      <c r="AIG518" s="14"/>
      <c r="AIH518" s="14"/>
      <c r="AII518" s="14"/>
      <c r="AIJ518" s="14"/>
      <c r="AIK518" s="14"/>
      <c r="AIL518" s="14"/>
      <c r="AIM518" s="14"/>
      <c r="AIN518" s="14"/>
      <c r="AIO518" s="14"/>
      <c r="AIP518" s="14"/>
      <c r="AIQ518" s="14"/>
      <c r="AIR518" s="14"/>
      <c r="AIS518" s="14"/>
      <c r="AIT518" s="14"/>
      <c r="AIU518" s="14"/>
      <c r="AIV518" s="14"/>
      <c r="AIW518" s="14"/>
      <c r="AIX518" s="14"/>
      <c r="AIY518" s="14"/>
      <c r="AIZ518" s="14"/>
      <c r="AJA518" s="14"/>
      <c r="AJB518" s="14"/>
      <c r="AJC518" s="14"/>
      <c r="AJD518" s="14"/>
      <c r="AJE518" s="14"/>
      <c r="AJF518" s="14"/>
      <c r="AJG518" s="14"/>
      <c r="AJH518" s="14"/>
      <c r="AJI518" s="14"/>
      <c r="AJJ518" s="14"/>
      <c r="AJK518" s="14"/>
      <c r="AJL518" s="14"/>
      <c r="AJM518" s="14"/>
      <c r="AJN518" s="14"/>
      <c r="AJO518" s="14"/>
      <c r="AJP518" s="14"/>
      <c r="AJQ518" s="14"/>
      <c r="AJR518" s="14"/>
      <c r="AJS518" s="14"/>
      <c r="AJT518" s="14"/>
      <c r="AJU518" s="14"/>
      <c r="AJV518" s="14"/>
      <c r="AJW518" s="14"/>
      <c r="AJX518" s="14"/>
      <c r="AJY518" s="14"/>
      <c r="AJZ518" s="14"/>
      <c r="AKA518" s="14"/>
      <c r="AKB518" s="14"/>
      <c r="AKC518" s="14"/>
      <c r="AKD518" s="14"/>
      <c r="AKE518" s="14"/>
      <c r="AKF518" s="14"/>
      <c r="AKG518" s="14"/>
      <c r="AKH518" s="14"/>
      <c r="AKI518" s="14"/>
      <c r="AKJ518" s="14"/>
      <c r="AKK518" s="14"/>
      <c r="AKL518" s="14"/>
      <c r="AKM518" s="14"/>
      <c r="AKN518" s="14"/>
      <c r="AKO518" s="14"/>
      <c r="AKP518" s="14"/>
      <c r="AKQ518" s="14"/>
      <c r="AKR518" s="14"/>
      <c r="AKS518" s="14"/>
      <c r="AKT518" s="14"/>
      <c r="AKU518" s="14"/>
      <c r="AKV518" s="14"/>
      <c r="AKW518" s="14"/>
      <c r="AKX518" s="14"/>
      <c r="AKY518" s="14"/>
      <c r="AKZ518" s="14"/>
      <c r="ALA518" s="14"/>
      <c r="ALB518" s="14"/>
      <c r="ALC518" s="14"/>
      <c r="ALD518" s="14"/>
      <c r="ALE518" s="14"/>
      <c r="ALF518" s="14"/>
      <c r="ALG518" s="14"/>
      <c r="ALH518" s="14"/>
      <c r="ALI518" s="14"/>
      <c r="ALJ518" s="14"/>
      <c r="ALK518" s="14"/>
      <c r="ALL518" s="14"/>
      <c r="ALM518" s="14"/>
      <c r="ALN518" s="14"/>
      <c r="ALO518" s="14"/>
      <c r="ALP518" s="14"/>
      <c r="ALQ518" s="14"/>
      <c r="ALR518" s="14"/>
      <c r="ALS518" s="14"/>
      <c r="ALT518" s="14"/>
      <c r="ALU518" s="14"/>
      <c r="ALV518" s="14"/>
      <c r="ALW518" s="14"/>
      <c r="ALX518" s="14"/>
      <c r="ALY518" s="14"/>
      <c r="ALZ518" s="14"/>
      <c r="AMA518" s="14"/>
      <c r="AMB518" s="14"/>
      <c r="AMC518" s="14"/>
      <c r="AMD518" s="14"/>
      <c r="AME518" s="14"/>
      <c r="AMF518" s="14"/>
      <c r="AMG518" s="14"/>
      <c r="AMH518" s="14"/>
      <c r="AMI518" s="14"/>
      <c r="AMJ518" s="14"/>
      <c r="AMK518" s="14"/>
      <c r="AML518" s="14"/>
      <c r="AMM518" s="14"/>
      <c r="AMN518" s="14"/>
      <c r="AMO518" s="14"/>
      <c r="AMP518" s="14"/>
      <c r="AMQ518" s="14"/>
      <c r="AMR518" s="14"/>
      <c r="AMS518" s="14"/>
      <c r="AMT518" s="14"/>
      <c r="AMU518" s="14"/>
      <c r="AMV518" s="14"/>
      <c r="AMW518" s="14"/>
      <c r="AMX518" s="14"/>
      <c r="AMY518" s="14"/>
      <c r="AMZ518" s="14"/>
      <c r="ANA518" s="14"/>
      <c r="ANB518" s="14"/>
      <c r="ANC518" s="14"/>
      <c r="AND518" s="14"/>
      <c r="ANE518" s="14"/>
      <c r="ANF518" s="14"/>
      <c r="ANG518" s="14"/>
      <c r="ANH518" s="14"/>
      <c r="ANI518" s="14"/>
      <c r="ANJ518" s="14"/>
      <c r="ANK518" s="14"/>
      <c r="ANL518" s="14"/>
      <c r="ANM518" s="14"/>
      <c r="ANN518" s="14"/>
      <c r="ANO518" s="14"/>
      <c r="ANP518" s="14"/>
      <c r="ANQ518" s="14"/>
      <c r="ANR518" s="14"/>
      <c r="ANS518" s="14"/>
      <c r="ANT518" s="14"/>
      <c r="ANU518" s="14"/>
      <c r="ANV518" s="14"/>
      <c r="ANW518" s="14"/>
      <c r="ANX518" s="14"/>
      <c r="ANY518" s="14"/>
      <c r="ANZ518" s="14"/>
      <c r="AOA518" s="14"/>
      <c r="AOB518" s="14"/>
      <c r="AOC518" s="14"/>
      <c r="AOD518" s="14"/>
      <c r="AOE518" s="14"/>
      <c r="AOF518" s="14"/>
      <c r="AOG518" s="14"/>
      <c r="AOH518" s="14"/>
      <c r="AOI518" s="14"/>
      <c r="AOJ518" s="14"/>
      <c r="AOK518" s="14"/>
      <c r="AOL518" s="14"/>
      <c r="AOM518" s="14"/>
      <c r="AON518" s="14"/>
      <c r="AOO518" s="14"/>
      <c r="AOP518" s="14"/>
      <c r="AOQ518" s="14"/>
      <c r="AOR518" s="14"/>
      <c r="AOS518" s="14"/>
      <c r="AOT518" s="14"/>
      <c r="AOU518" s="14"/>
      <c r="AOV518" s="14"/>
      <c r="AOW518" s="14"/>
      <c r="AOX518" s="14"/>
      <c r="AOY518" s="14"/>
      <c r="AOZ518" s="14"/>
      <c r="APA518" s="14"/>
      <c r="APB518" s="14"/>
      <c r="APC518" s="14"/>
      <c r="APD518" s="14"/>
      <c r="APE518" s="14"/>
      <c r="APF518" s="14"/>
      <c r="APG518" s="14"/>
      <c r="APH518" s="14"/>
      <c r="API518" s="14"/>
      <c r="APJ518" s="14"/>
      <c r="APK518" s="14"/>
      <c r="APL518" s="14"/>
      <c r="APM518" s="14"/>
      <c r="APN518" s="14"/>
      <c r="APO518" s="14"/>
      <c r="APP518" s="14"/>
      <c r="APQ518" s="14"/>
      <c r="APR518" s="14"/>
      <c r="APS518" s="14"/>
      <c r="APT518" s="14"/>
      <c r="APU518" s="14"/>
      <c r="APV518" s="14"/>
      <c r="APW518" s="14"/>
      <c r="APX518" s="14"/>
      <c r="APY518" s="14"/>
      <c r="APZ518" s="14"/>
      <c r="AQA518" s="14"/>
      <c r="AQB518" s="14"/>
      <c r="AQC518" s="14"/>
      <c r="AQD518" s="14"/>
      <c r="AQE518" s="14"/>
      <c r="AQF518" s="14"/>
      <c r="AQG518" s="14"/>
      <c r="AQH518" s="14"/>
      <c r="AQI518" s="14"/>
      <c r="AQJ518" s="14"/>
      <c r="AQK518" s="14"/>
      <c r="AQL518" s="14"/>
      <c r="AQM518" s="14"/>
      <c r="AQN518" s="14"/>
      <c r="AQO518" s="14"/>
      <c r="AQP518" s="14"/>
      <c r="AQQ518" s="14"/>
      <c r="AQR518" s="14"/>
      <c r="AQS518" s="14"/>
      <c r="AQT518" s="14"/>
      <c r="AQU518" s="14"/>
      <c r="AQV518" s="14"/>
      <c r="AQW518" s="14"/>
      <c r="AQX518" s="14"/>
      <c r="AQY518" s="14"/>
      <c r="AQZ518" s="14"/>
      <c r="ARA518" s="14"/>
      <c r="ARB518" s="14"/>
      <c r="ARC518" s="14"/>
      <c r="ARD518" s="14"/>
      <c r="ARE518" s="14"/>
      <c r="ARF518" s="14"/>
      <c r="ARG518" s="14"/>
      <c r="ARH518" s="14"/>
      <c r="ARI518" s="14"/>
      <c r="ARJ518" s="14"/>
      <c r="ARK518" s="14"/>
      <c r="ARL518" s="14"/>
      <c r="ARM518" s="14"/>
      <c r="ARN518" s="14"/>
      <c r="ARO518" s="14"/>
      <c r="ARP518" s="14"/>
      <c r="ARQ518" s="14"/>
      <c r="ARR518" s="14"/>
      <c r="ARS518" s="14"/>
      <c r="ART518" s="14"/>
      <c r="ARU518" s="14"/>
      <c r="ARV518" s="14"/>
      <c r="ARW518" s="14"/>
      <c r="ARX518" s="14"/>
      <c r="ARY518" s="14"/>
      <c r="ARZ518" s="14"/>
      <c r="ASA518" s="14"/>
      <c r="ASB518" s="14"/>
      <c r="ASC518" s="14"/>
      <c r="ASD518" s="14"/>
      <c r="ASE518" s="14"/>
      <c r="ASF518" s="14"/>
      <c r="ASG518" s="14"/>
      <c r="ASH518" s="14"/>
      <c r="ASI518" s="14"/>
      <c r="ASJ518" s="14"/>
      <c r="ASK518" s="14"/>
      <c r="ASL518" s="14"/>
      <c r="ASM518" s="14"/>
      <c r="ASN518" s="14"/>
      <c r="ASO518" s="14"/>
      <c r="ASP518" s="14"/>
      <c r="ASQ518" s="14"/>
      <c r="ASR518" s="14"/>
      <c r="ASS518" s="14"/>
      <c r="AST518" s="14"/>
      <c r="ASU518" s="14"/>
      <c r="ASV518" s="14"/>
      <c r="ASW518" s="14"/>
      <c r="ASX518" s="14"/>
      <c r="ASY518" s="14"/>
      <c r="ASZ518" s="14"/>
      <c r="ATA518" s="14"/>
      <c r="ATB518" s="14"/>
      <c r="ATC518" s="14"/>
      <c r="ATD518" s="14"/>
      <c r="ATE518" s="14"/>
      <c r="ATF518" s="14"/>
      <c r="ATG518" s="14"/>
      <c r="ATH518" s="14"/>
      <c r="ATI518" s="14"/>
      <c r="ATJ518" s="14"/>
      <c r="ATK518" s="14"/>
      <c r="ATL518" s="14"/>
      <c r="ATM518" s="14"/>
      <c r="ATN518" s="14"/>
      <c r="ATO518" s="14"/>
      <c r="ATP518" s="14"/>
      <c r="ATQ518" s="14"/>
      <c r="ATR518" s="14"/>
      <c r="ATS518" s="14"/>
      <c r="ATT518" s="14"/>
      <c r="ATU518" s="14"/>
      <c r="ATV518" s="14"/>
      <c r="ATW518" s="14"/>
      <c r="ATX518" s="14"/>
      <c r="ATY518" s="14"/>
      <c r="ATZ518" s="14"/>
      <c r="AUA518" s="14"/>
      <c r="AUB518" s="14"/>
      <c r="AUC518" s="14"/>
      <c r="AUD518" s="14"/>
      <c r="AUE518" s="14"/>
      <c r="AUF518" s="14"/>
      <c r="AUG518" s="14"/>
      <c r="AUH518" s="14"/>
      <c r="AUI518" s="14"/>
      <c r="AUJ518" s="14"/>
      <c r="AUK518" s="14"/>
      <c r="AUL518" s="14"/>
      <c r="AUM518" s="14"/>
      <c r="AUN518" s="14"/>
      <c r="AUO518" s="14"/>
      <c r="AUP518" s="14"/>
      <c r="AUQ518" s="14"/>
      <c r="AUR518" s="14"/>
      <c r="AUS518" s="14"/>
      <c r="AUT518" s="14"/>
      <c r="AUU518" s="14"/>
      <c r="AUV518" s="14"/>
      <c r="AUW518" s="14"/>
      <c r="AUX518" s="14"/>
      <c r="AUY518" s="14"/>
      <c r="AUZ518" s="14"/>
      <c r="AVA518" s="14"/>
      <c r="AVB518" s="14"/>
      <c r="AVC518" s="14"/>
      <c r="AVD518" s="14"/>
      <c r="AVE518" s="14"/>
      <c r="AVF518" s="14"/>
      <c r="AVG518" s="14"/>
      <c r="AVH518" s="14"/>
      <c r="AVI518" s="14"/>
      <c r="AVJ518" s="14"/>
      <c r="AVK518" s="14"/>
      <c r="AVL518" s="14"/>
      <c r="AVM518" s="14"/>
      <c r="AVN518" s="14"/>
      <c r="AVO518" s="14"/>
      <c r="AVP518" s="14"/>
      <c r="AVQ518" s="14"/>
      <c r="AVR518" s="14"/>
      <c r="AVS518" s="14"/>
      <c r="AVT518" s="14"/>
      <c r="AVU518" s="14"/>
      <c r="AVV518" s="14"/>
      <c r="AVW518" s="14"/>
      <c r="AVX518" s="14"/>
      <c r="AVY518" s="14"/>
      <c r="AVZ518" s="14"/>
      <c r="AWA518" s="14"/>
      <c r="AWB518" s="14"/>
      <c r="AWC518" s="14"/>
      <c r="AWD518" s="14"/>
      <c r="AWE518" s="14"/>
      <c r="AWF518" s="14"/>
      <c r="AWG518" s="14"/>
      <c r="AWH518" s="14"/>
      <c r="AWI518" s="14"/>
      <c r="AWJ518" s="14"/>
      <c r="AWK518" s="14"/>
      <c r="AWL518" s="14"/>
      <c r="AWM518" s="14"/>
      <c r="AWN518" s="14"/>
      <c r="AWO518" s="14"/>
      <c r="AWP518" s="14"/>
      <c r="AWQ518" s="14"/>
      <c r="AWR518" s="14"/>
      <c r="AWS518" s="14"/>
      <c r="AWT518" s="14"/>
      <c r="AWU518" s="14"/>
      <c r="AWV518" s="14"/>
      <c r="AWW518" s="14"/>
      <c r="AWX518" s="14"/>
      <c r="AWY518" s="14"/>
      <c r="AWZ518" s="14"/>
      <c r="AXA518" s="14"/>
      <c r="AXB518" s="14"/>
      <c r="AXC518" s="14"/>
      <c r="AXD518" s="14"/>
      <c r="AXE518" s="14"/>
      <c r="AXF518" s="14"/>
      <c r="AXG518" s="14"/>
      <c r="AXH518" s="14"/>
      <c r="AXI518" s="14"/>
      <c r="AXJ518" s="14"/>
      <c r="AXK518" s="14"/>
      <c r="AXL518" s="14"/>
      <c r="AXM518" s="14"/>
      <c r="AXN518" s="14"/>
      <c r="AXO518" s="14"/>
      <c r="AXP518" s="14"/>
      <c r="AXQ518" s="14"/>
      <c r="AXR518" s="14"/>
      <c r="AXS518" s="14"/>
      <c r="AXT518" s="14"/>
      <c r="AXU518" s="14"/>
      <c r="AXV518" s="14"/>
      <c r="AXW518" s="14"/>
      <c r="AXX518" s="14"/>
      <c r="AXY518" s="14"/>
      <c r="AXZ518" s="14"/>
      <c r="AYA518" s="14"/>
      <c r="AYB518" s="14"/>
      <c r="AYC518" s="14"/>
      <c r="AYD518" s="14"/>
      <c r="AYE518" s="14"/>
      <c r="AYF518" s="14"/>
      <c r="AYG518" s="14"/>
      <c r="AYH518" s="14"/>
      <c r="AYI518" s="14"/>
      <c r="AYJ518" s="14"/>
      <c r="AYK518" s="14"/>
      <c r="AYL518" s="14"/>
      <c r="AYM518" s="14"/>
      <c r="AYN518" s="14"/>
      <c r="AYO518" s="14"/>
      <c r="AYP518" s="14"/>
      <c r="AYQ518" s="14"/>
      <c r="AYR518" s="14"/>
      <c r="AYS518" s="14"/>
      <c r="AYT518" s="14"/>
      <c r="AYU518" s="14"/>
      <c r="AYV518" s="14"/>
      <c r="AYW518" s="14"/>
      <c r="AYX518" s="14"/>
      <c r="AYY518" s="14"/>
      <c r="AYZ518" s="14"/>
      <c r="AZA518" s="14"/>
      <c r="AZB518" s="14"/>
      <c r="AZC518" s="14"/>
      <c r="AZD518" s="14"/>
      <c r="AZE518" s="14"/>
      <c r="AZF518" s="14"/>
      <c r="AZG518" s="14"/>
      <c r="AZH518" s="14"/>
      <c r="AZI518" s="14"/>
      <c r="AZJ518" s="14"/>
      <c r="AZK518" s="14"/>
      <c r="AZL518" s="14"/>
      <c r="AZM518" s="14"/>
      <c r="AZN518" s="14"/>
      <c r="AZO518" s="14"/>
      <c r="AZP518" s="14"/>
      <c r="AZQ518" s="14"/>
      <c r="AZR518" s="14"/>
      <c r="AZS518" s="14"/>
      <c r="AZT518" s="14"/>
      <c r="AZU518" s="14"/>
      <c r="AZV518" s="14"/>
      <c r="AZW518" s="14"/>
      <c r="AZX518" s="14"/>
      <c r="AZY518" s="14"/>
      <c r="AZZ518" s="14"/>
      <c r="BAA518" s="14"/>
      <c r="BAB518" s="14"/>
      <c r="BAC518" s="14"/>
      <c r="BAD518" s="14"/>
      <c r="BAE518" s="14"/>
      <c r="BAF518" s="14"/>
      <c r="BAG518" s="14"/>
      <c r="BAH518" s="14"/>
      <c r="BAI518" s="14"/>
      <c r="BAJ518" s="14"/>
      <c r="BAK518" s="14"/>
      <c r="BAL518" s="14"/>
      <c r="BAM518" s="14"/>
      <c r="BAN518" s="14"/>
      <c r="BAO518" s="14"/>
      <c r="BAP518" s="14"/>
      <c r="BAQ518" s="14"/>
      <c r="BAR518" s="14"/>
      <c r="BAS518" s="14"/>
      <c r="BAT518" s="14"/>
      <c r="BAU518" s="14"/>
      <c r="BAV518" s="14"/>
      <c r="BAW518" s="14"/>
      <c r="BAX518" s="14"/>
      <c r="BAY518" s="14"/>
      <c r="BAZ518" s="14"/>
      <c r="BBA518" s="14"/>
      <c r="BBB518" s="14"/>
      <c r="BBC518" s="14"/>
      <c r="BBD518" s="14"/>
      <c r="BBE518" s="14"/>
      <c r="BBF518" s="14"/>
      <c r="BBG518" s="14"/>
      <c r="BBH518" s="14"/>
      <c r="BBI518" s="14"/>
      <c r="BBJ518" s="14"/>
      <c r="BBK518" s="14"/>
      <c r="BBL518" s="14"/>
      <c r="BBM518" s="14"/>
      <c r="BBN518" s="14"/>
      <c r="BBO518" s="14"/>
      <c r="BBP518" s="14"/>
      <c r="BBQ518" s="14"/>
      <c r="BBR518" s="14"/>
      <c r="BBS518" s="14"/>
      <c r="BBT518" s="14"/>
      <c r="BBU518" s="14"/>
      <c r="BBV518" s="14"/>
      <c r="BBW518" s="14"/>
      <c r="BBX518" s="14"/>
      <c r="BBY518" s="14"/>
      <c r="BBZ518" s="14"/>
      <c r="BCA518" s="14"/>
      <c r="BCB518" s="14"/>
      <c r="BCC518" s="14"/>
      <c r="BCD518" s="14"/>
      <c r="BCE518" s="14"/>
      <c r="BCF518" s="14"/>
      <c r="BCG518" s="14"/>
      <c r="BCH518" s="14"/>
      <c r="BCI518" s="14"/>
      <c r="BCJ518" s="14"/>
      <c r="BCK518" s="14"/>
      <c r="BCL518" s="14"/>
      <c r="BCM518" s="14"/>
      <c r="BCN518" s="14"/>
      <c r="BCO518" s="14"/>
      <c r="BCP518" s="14"/>
      <c r="BCQ518" s="14"/>
      <c r="BCR518" s="14"/>
      <c r="BCS518" s="14"/>
      <c r="BCT518" s="14"/>
      <c r="BCU518" s="14"/>
      <c r="BCV518" s="14"/>
      <c r="BCW518" s="14"/>
      <c r="BCX518" s="14"/>
      <c r="BCY518" s="14"/>
      <c r="BCZ518" s="14"/>
      <c r="BDA518" s="14"/>
      <c r="BDB518" s="14"/>
      <c r="BDC518" s="14"/>
      <c r="BDD518" s="14"/>
      <c r="BDE518" s="14"/>
      <c r="BDF518" s="14"/>
      <c r="BDG518" s="14"/>
      <c r="BDH518" s="14"/>
      <c r="BDI518" s="14"/>
      <c r="BDJ518" s="14"/>
      <c r="BDK518" s="14"/>
      <c r="BDL518" s="14"/>
      <c r="BDM518" s="14"/>
      <c r="BDN518" s="14"/>
      <c r="BDO518" s="14"/>
      <c r="BDP518" s="14"/>
      <c r="BDQ518" s="14"/>
      <c r="BDR518" s="14"/>
      <c r="BDS518" s="14"/>
      <c r="BDT518" s="14"/>
      <c r="BDU518" s="14"/>
      <c r="BDV518" s="14"/>
      <c r="BDW518" s="14"/>
      <c r="BDX518" s="14"/>
      <c r="BDY518" s="14"/>
      <c r="BDZ518" s="14"/>
      <c r="BEA518" s="14"/>
      <c r="BEB518" s="14"/>
      <c r="BEC518" s="14"/>
      <c r="BED518" s="14"/>
      <c r="BEE518" s="14"/>
      <c r="BEF518" s="14"/>
      <c r="BEG518" s="14"/>
      <c r="BEH518" s="14"/>
      <c r="BEI518" s="14"/>
      <c r="BEJ518" s="14"/>
      <c r="BEK518" s="14"/>
      <c r="BEL518" s="14"/>
      <c r="BEM518" s="14"/>
      <c r="BEN518" s="14"/>
      <c r="BEO518" s="14"/>
      <c r="BEP518" s="14"/>
      <c r="BEQ518" s="14"/>
      <c r="BER518" s="14"/>
      <c r="BES518" s="14"/>
      <c r="BET518" s="14"/>
      <c r="BEU518" s="14"/>
      <c r="BEV518" s="14"/>
      <c r="BEW518" s="14"/>
      <c r="BEX518" s="14"/>
      <c r="BEY518" s="14"/>
      <c r="BEZ518" s="14"/>
      <c r="BFA518" s="14"/>
      <c r="BFB518" s="14"/>
      <c r="BFC518" s="14"/>
      <c r="BFD518" s="14"/>
      <c r="BFE518" s="14"/>
      <c r="BFF518" s="14"/>
      <c r="BFG518" s="14"/>
      <c r="BFH518" s="14"/>
      <c r="BFI518" s="14"/>
      <c r="BFJ518" s="14"/>
      <c r="BFK518" s="14"/>
      <c r="BFL518" s="14"/>
      <c r="BFM518" s="14"/>
      <c r="BFN518" s="14"/>
      <c r="BFO518" s="14"/>
      <c r="BFP518" s="14"/>
      <c r="BFQ518" s="14"/>
      <c r="BFR518" s="14"/>
      <c r="BFS518" s="14"/>
      <c r="BFT518" s="14"/>
      <c r="BFU518" s="14"/>
      <c r="BFV518" s="14"/>
      <c r="BFW518" s="14"/>
      <c r="BFX518" s="14"/>
      <c r="BFY518" s="14"/>
      <c r="BFZ518" s="14"/>
      <c r="BGA518" s="14"/>
      <c r="BGB518" s="14"/>
      <c r="BGC518" s="14"/>
      <c r="BGD518" s="14"/>
      <c r="BGE518" s="14"/>
      <c r="BGF518" s="14"/>
      <c r="BGG518" s="14"/>
      <c r="BGH518" s="14"/>
      <c r="BGI518" s="14"/>
      <c r="BGJ518" s="14"/>
      <c r="BGK518" s="14"/>
      <c r="BGL518" s="14"/>
      <c r="BGM518" s="14"/>
      <c r="BGN518" s="14"/>
      <c r="BGO518" s="14"/>
      <c r="BGP518" s="14"/>
      <c r="BGQ518" s="14"/>
      <c r="BGR518" s="14"/>
      <c r="BGS518" s="14"/>
      <c r="BGT518" s="14"/>
      <c r="BGU518" s="14"/>
      <c r="BGV518" s="14"/>
      <c r="BGW518" s="14"/>
      <c r="BGX518" s="14"/>
      <c r="BGY518" s="14"/>
      <c r="BGZ518" s="14"/>
      <c r="BHA518" s="14"/>
      <c r="BHB518" s="14"/>
      <c r="BHC518" s="14"/>
      <c r="BHD518" s="14"/>
      <c r="BHE518" s="14"/>
      <c r="BHF518" s="14"/>
      <c r="BHG518" s="14"/>
      <c r="BHH518" s="14"/>
      <c r="BHI518" s="14"/>
      <c r="BHJ518" s="14"/>
      <c r="BHK518" s="14"/>
      <c r="BHL518" s="14"/>
      <c r="BHM518" s="14"/>
      <c r="BHN518" s="14"/>
      <c r="BHO518" s="14"/>
      <c r="BHP518" s="14"/>
      <c r="BHQ518" s="14"/>
      <c r="BHR518" s="14"/>
      <c r="BHS518" s="14"/>
      <c r="BHT518" s="14"/>
      <c r="BHU518" s="14"/>
      <c r="BHV518" s="14"/>
      <c r="BHW518" s="14"/>
      <c r="BHX518" s="14"/>
      <c r="BHY518" s="14"/>
      <c r="BHZ518" s="14"/>
      <c r="BIA518" s="14"/>
      <c r="BIB518" s="14"/>
      <c r="BIC518" s="14"/>
      <c r="BID518" s="14"/>
      <c r="BIE518" s="14"/>
      <c r="BIF518" s="14"/>
      <c r="BIG518" s="14"/>
      <c r="BIH518" s="14"/>
      <c r="BII518" s="14"/>
      <c r="BIJ518" s="14"/>
      <c r="BIK518" s="14"/>
      <c r="BIL518" s="14"/>
      <c r="BIM518" s="14"/>
      <c r="BIN518" s="14"/>
      <c r="BIO518" s="14"/>
      <c r="BIP518" s="14"/>
      <c r="BIQ518" s="14"/>
      <c r="BIR518" s="14"/>
      <c r="BIS518" s="14"/>
      <c r="BIT518" s="14"/>
      <c r="BIU518" s="14"/>
      <c r="BIV518" s="14"/>
      <c r="BIW518" s="14"/>
      <c r="BIX518" s="14"/>
      <c r="BIY518" s="14"/>
      <c r="BIZ518" s="14"/>
      <c r="BJA518" s="14"/>
      <c r="BJB518" s="14"/>
      <c r="BJC518" s="14"/>
      <c r="BJD518" s="14"/>
      <c r="BJE518" s="14"/>
      <c r="BJF518" s="14"/>
      <c r="BJG518" s="14"/>
      <c r="BJH518" s="14"/>
      <c r="BJI518" s="14"/>
      <c r="BJJ518" s="14"/>
      <c r="BJK518" s="14"/>
      <c r="BJL518" s="14"/>
      <c r="BJM518" s="14"/>
      <c r="BJN518" s="14"/>
      <c r="BJO518" s="14"/>
      <c r="BJP518" s="14"/>
      <c r="BJQ518" s="14"/>
      <c r="BJR518" s="14"/>
      <c r="BJS518" s="14"/>
      <c r="BJT518" s="14"/>
      <c r="BJU518" s="14"/>
      <c r="BJV518" s="14"/>
      <c r="BJW518" s="14"/>
      <c r="BJX518" s="14"/>
      <c r="BJY518" s="14"/>
      <c r="BJZ518" s="14"/>
      <c r="BKA518" s="14"/>
      <c r="BKB518" s="14"/>
      <c r="BKC518" s="14"/>
      <c r="BKD518" s="14"/>
      <c r="BKE518" s="14"/>
      <c r="BKF518" s="14"/>
      <c r="BKG518" s="14"/>
      <c r="BKH518" s="14"/>
      <c r="BKI518" s="14"/>
      <c r="BKJ518" s="14"/>
      <c r="BKK518" s="14"/>
      <c r="BKL518" s="14"/>
      <c r="BKM518" s="14"/>
      <c r="BKN518" s="14"/>
      <c r="BKO518" s="14"/>
      <c r="BKP518" s="14"/>
      <c r="BKQ518" s="14"/>
      <c r="BKR518" s="14"/>
      <c r="BKS518" s="14"/>
      <c r="BKT518" s="14"/>
      <c r="BKU518" s="14"/>
      <c r="BKV518" s="14"/>
      <c r="BKW518" s="14"/>
      <c r="BKX518" s="14"/>
      <c r="BKY518" s="14"/>
      <c r="BKZ518" s="14"/>
      <c r="BLA518" s="14"/>
      <c r="BLB518" s="14"/>
      <c r="BLC518" s="14"/>
      <c r="BLD518" s="14"/>
      <c r="BLE518" s="14"/>
      <c r="BLF518" s="14"/>
      <c r="BLG518" s="14"/>
      <c r="BLH518" s="14"/>
      <c r="BLI518" s="14"/>
      <c r="BLJ518" s="14"/>
      <c r="BLK518" s="14"/>
      <c r="BLL518" s="14"/>
      <c r="BLM518" s="14"/>
      <c r="BLN518" s="14"/>
      <c r="BLO518" s="14"/>
      <c r="BLP518" s="14"/>
      <c r="BLQ518" s="14"/>
      <c r="BLR518" s="14"/>
      <c r="BLS518" s="14"/>
      <c r="BLT518" s="14"/>
      <c r="BLU518" s="14"/>
      <c r="BLV518" s="14"/>
      <c r="BLW518" s="14"/>
      <c r="BLX518" s="14"/>
      <c r="BLY518" s="14"/>
      <c r="BLZ518" s="14"/>
      <c r="BMA518" s="14"/>
      <c r="BMB518" s="14"/>
      <c r="BMC518" s="14"/>
      <c r="BMD518" s="14"/>
      <c r="BME518" s="14"/>
      <c r="BMF518" s="14"/>
      <c r="BMG518" s="14"/>
      <c r="BMH518" s="14"/>
      <c r="BMI518" s="14"/>
      <c r="BMJ518" s="14"/>
      <c r="BMK518" s="14"/>
      <c r="BML518" s="14"/>
      <c r="BMM518" s="14"/>
      <c r="BMN518" s="14"/>
      <c r="BMO518" s="14"/>
      <c r="BMP518" s="14"/>
      <c r="BMQ518" s="14"/>
      <c r="BMR518" s="14"/>
      <c r="BMS518" s="14"/>
      <c r="BMT518" s="14"/>
      <c r="BMU518" s="14"/>
      <c r="BMV518" s="14"/>
      <c r="BMW518" s="14"/>
      <c r="BMX518" s="14"/>
      <c r="BMY518" s="14"/>
      <c r="BMZ518" s="14"/>
      <c r="BNA518" s="14"/>
      <c r="BNB518" s="14"/>
      <c r="BNC518" s="14"/>
      <c r="BND518" s="14"/>
      <c r="BNE518" s="14"/>
      <c r="BNF518" s="14"/>
      <c r="BNG518" s="14"/>
      <c r="BNH518" s="14"/>
      <c r="BNI518" s="14"/>
      <c r="BNJ518" s="14"/>
      <c r="BNK518" s="14"/>
      <c r="BNL518" s="14"/>
      <c r="BNM518" s="14"/>
      <c r="BNN518" s="14"/>
      <c r="BNO518" s="14"/>
      <c r="BNP518" s="14"/>
      <c r="BNQ518" s="14"/>
      <c r="BNR518" s="14"/>
      <c r="BNS518" s="14"/>
      <c r="BNT518" s="14"/>
      <c r="BNU518" s="14"/>
      <c r="BNV518" s="14"/>
      <c r="BNW518" s="14"/>
      <c r="BNX518" s="14"/>
      <c r="BNY518" s="14"/>
      <c r="BNZ518" s="14"/>
      <c r="BOA518" s="14"/>
      <c r="BOB518" s="14"/>
      <c r="BOC518" s="14"/>
      <c r="BOD518" s="14"/>
      <c r="BOE518" s="14"/>
      <c r="BOF518" s="14"/>
      <c r="BOG518" s="14"/>
      <c r="BOH518" s="14"/>
      <c r="BOI518" s="14"/>
      <c r="BOJ518" s="14"/>
      <c r="BOK518" s="14"/>
      <c r="BOL518" s="14"/>
      <c r="BOM518" s="14"/>
      <c r="BON518" s="14"/>
      <c r="BOO518" s="14"/>
      <c r="BOP518" s="14"/>
      <c r="BOQ518" s="14"/>
      <c r="BOR518" s="14"/>
      <c r="BOS518" s="14"/>
      <c r="BOT518" s="14"/>
      <c r="BOU518" s="14"/>
      <c r="BOV518" s="14"/>
      <c r="BOW518" s="14"/>
      <c r="BOX518" s="14"/>
      <c r="BOY518" s="14"/>
      <c r="BOZ518" s="14"/>
      <c r="BPA518" s="14"/>
      <c r="BPB518" s="14"/>
      <c r="BPC518" s="14"/>
      <c r="BPD518" s="14"/>
      <c r="BPE518" s="14"/>
      <c r="BPF518" s="14"/>
      <c r="BPG518" s="14"/>
      <c r="BPH518" s="14"/>
      <c r="BPI518" s="14"/>
      <c r="BPJ518" s="14"/>
      <c r="BPK518" s="14"/>
      <c r="BPL518" s="14"/>
      <c r="BPM518" s="14"/>
      <c r="BPN518" s="14"/>
      <c r="BPO518" s="14"/>
      <c r="BPP518" s="14"/>
      <c r="BPQ518" s="14"/>
      <c r="BPR518" s="14"/>
      <c r="BPS518" s="14"/>
      <c r="BPT518" s="14"/>
      <c r="BPU518" s="14"/>
      <c r="BPV518" s="14"/>
      <c r="BPW518" s="14"/>
      <c r="BPX518" s="14"/>
      <c r="BPY518" s="14"/>
      <c r="BPZ518" s="14"/>
      <c r="BQA518" s="14"/>
      <c r="BQB518" s="14"/>
      <c r="BQC518" s="14"/>
      <c r="BQD518" s="14"/>
      <c r="BQE518" s="14"/>
      <c r="BQF518" s="14"/>
      <c r="BQG518" s="14"/>
      <c r="BQH518" s="14"/>
      <c r="BQI518" s="14"/>
      <c r="BQJ518" s="14"/>
      <c r="BQK518" s="14"/>
      <c r="BQL518" s="14"/>
      <c r="BQM518" s="14"/>
      <c r="BQN518" s="14"/>
      <c r="BQO518" s="14"/>
      <c r="BQP518" s="14"/>
      <c r="BQQ518" s="14"/>
      <c r="BQR518" s="14"/>
      <c r="BQS518" s="14"/>
      <c r="BQT518" s="14"/>
      <c r="BQU518" s="14"/>
      <c r="BQV518" s="14"/>
      <c r="BQW518" s="14"/>
      <c r="BQX518" s="14"/>
      <c r="BQY518" s="14"/>
      <c r="BQZ518" s="14"/>
      <c r="BRA518" s="14"/>
      <c r="BRB518" s="14"/>
      <c r="BRC518" s="14"/>
      <c r="BRD518" s="14"/>
      <c r="BRE518" s="14"/>
      <c r="BRF518" s="14"/>
      <c r="BRG518" s="14"/>
      <c r="BRH518" s="14"/>
      <c r="BRI518" s="14"/>
      <c r="BRJ518" s="14"/>
      <c r="BRK518" s="14"/>
      <c r="BRL518" s="14"/>
      <c r="BRM518" s="14"/>
      <c r="BRN518" s="14"/>
      <c r="BRO518" s="14"/>
      <c r="BRP518" s="14"/>
      <c r="BRQ518" s="14"/>
      <c r="BRR518" s="14"/>
      <c r="BRS518" s="14"/>
      <c r="BRT518" s="14"/>
      <c r="BRU518" s="14"/>
      <c r="BRV518" s="14"/>
      <c r="BRW518" s="14"/>
      <c r="BRX518" s="14"/>
      <c r="BRY518" s="14"/>
      <c r="BRZ518" s="14"/>
      <c r="BSA518" s="14"/>
      <c r="BSB518" s="14"/>
      <c r="BSC518" s="14"/>
      <c r="BSD518" s="14"/>
      <c r="BSE518" s="14"/>
      <c r="BSF518" s="14"/>
      <c r="BSG518" s="14"/>
      <c r="BSH518" s="14"/>
      <c r="BSI518" s="14"/>
      <c r="BSJ518" s="14"/>
      <c r="BSK518" s="14"/>
      <c r="BSL518" s="14"/>
      <c r="BSM518" s="14"/>
      <c r="BSN518" s="14"/>
      <c r="BSO518" s="14"/>
      <c r="BSP518" s="14"/>
      <c r="BSQ518" s="14"/>
      <c r="BSR518" s="14"/>
      <c r="BSS518" s="14"/>
      <c r="BST518" s="14"/>
      <c r="BSU518" s="14"/>
      <c r="BSV518" s="14"/>
      <c r="BSW518" s="14"/>
      <c r="BSX518" s="14"/>
      <c r="BSY518" s="14"/>
      <c r="BSZ518" s="14"/>
      <c r="BTA518" s="14"/>
      <c r="BTB518" s="14"/>
      <c r="BTC518" s="14"/>
      <c r="BTD518" s="14"/>
      <c r="BTE518" s="14"/>
      <c r="BTF518" s="14"/>
      <c r="BTG518" s="14"/>
      <c r="BTH518" s="14"/>
      <c r="BTI518" s="14"/>
      <c r="BTJ518" s="14"/>
      <c r="BTK518" s="14"/>
      <c r="BTL518" s="14"/>
      <c r="BTM518" s="14"/>
      <c r="BTN518" s="14"/>
      <c r="BTO518" s="14"/>
      <c r="BTP518" s="14"/>
      <c r="BTQ518" s="14"/>
      <c r="BTR518" s="14"/>
      <c r="BTS518" s="14"/>
      <c r="BTT518" s="14"/>
    </row>
    <row r="519" spans="1:1892" s="10" customFormat="1" ht="35.1" customHeight="1">
      <c r="A519" s="1241"/>
      <c r="B519" s="982" t="s">
        <v>656</v>
      </c>
      <c r="C519" s="982" t="s">
        <v>74</v>
      </c>
      <c r="D519" s="570" t="s">
        <v>73</v>
      </c>
      <c r="E519" s="571"/>
      <c r="F519" s="572"/>
      <c r="G519" s="566" t="s">
        <v>293</v>
      </c>
      <c r="H519" s="566" t="s">
        <v>294</v>
      </c>
      <c r="I519" s="566" t="s">
        <v>295</v>
      </c>
      <c r="J519" s="673" t="s">
        <v>67</v>
      </c>
      <c r="K519" s="673" t="s">
        <v>66</v>
      </c>
      <c r="L519" s="182">
        <v>74.977500000000006</v>
      </c>
      <c r="M519" s="231">
        <v>110</v>
      </c>
      <c r="N519" s="132">
        <v>1</v>
      </c>
      <c r="O519" s="132">
        <v>1</v>
      </c>
      <c r="P519" s="511" t="s">
        <v>461</v>
      </c>
      <c r="Q519" s="511" t="s">
        <v>406</v>
      </c>
      <c r="R519" s="511" t="s">
        <v>455</v>
      </c>
      <c r="S519" s="651" t="s">
        <v>57</v>
      </c>
      <c r="T519" s="629" t="s">
        <v>119</v>
      </c>
      <c r="U519" s="768" t="s">
        <v>11</v>
      </c>
    </row>
    <row r="520" spans="1:1892" s="10" customFormat="1" ht="35.1" customHeight="1">
      <c r="A520" s="1241"/>
      <c r="B520" s="983"/>
      <c r="C520" s="983"/>
      <c r="D520" s="573"/>
      <c r="E520" s="574"/>
      <c r="F520" s="575"/>
      <c r="G520" s="567"/>
      <c r="H520" s="567"/>
      <c r="I520" s="567"/>
      <c r="J520" s="716"/>
      <c r="K520" s="716"/>
      <c r="L520" s="182">
        <v>74.983199999999997</v>
      </c>
      <c r="M520" s="231">
        <v>58</v>
      </c>
      <c r="N520" s="132">
        <v>2</v>
      </c>
      <c r="O520" s="132">
        <v>2</v>
      </c>
      <c r="P520" s="512"/>
      <c r="Q520" s="512"/>
      <c r="R520" s="512"/>
      <c r="S520" s="652"/>
      <c r="T520" s="630"/>
      <c r="U520" s="769"/>
    </row>
    <row r="521" spans="1:1892" s="10" customFormat="1" ht="35.1" customHeight="1">
      <c r="A521" s="1241"/>
      <c r="B521" s="983"/>
      <c r="C521" s="983"/>
      <c r="D521" s="573"/>
      <c r="E521" s="574"/>
      <c r="F521" s="575"/>
      <c r="G521" s="567"/>
      <c r="H521" s="567"/>
      <c r="I521" s="567"/>
      <c r="J521" s="716"/>
      <c r="K521" s="716"/>
      <c r="L521" s="182">
        <v>84.999499999999998</v>
      </c>
      <c r="M521" s="231">
        <v>146</v>
      </c>
      <c r="N521" s="132">
        <v>2</v>
      </c>
      <c r="O521" s="132">
        <v>2</v>
      </c>
      <c r="P521" s="512"/>
      <c r="Q521" s="512"/>
      <c r="R521" s="512"/>
      <c r="S521" s="652"/>
      <c r="T521" s="630"/>
      <c r="U521" s="769"/>
    </row>
    <row r="522" spans="1:1892" s="10" customFormat="1" ht="35.1" customHeight="1">
      <c r="A522" s="1241"/>
      <c r="B522" s="983"/>
      <c r="C522" s="983"/>
      <c r="D522" s="573"/>
      <c r="E522" s="574"/>
      <c r="F522" s="575"/>
      <c r="G522" s="567"/>
      <c r="H522" s="567"/>
      <c r="I522" s="567"/>
      <c r="J522" s="716"/>
      <c r="K522" s="716"/>
      <c r="L522" s="182">
        <v>84.9191</v>
      </c>
      <c r="M522" s="231">
        <v>171</v>
      </c>
      <c r="N522" s="132">
        <v>1</v>
      </c>
      <c r="O522" s="132">
        <v>1</v>
      </c>
      <c r="P522" s="512"/>
      <c r="Q522" s="512"/>
      <c r="R522" s="512"/>
      <c r="S522" s="652"/>
      <c r="T522" s="630"/>
      <c r="U522" s="769"/>
    </row>
    <row r="523" spans="1:1892" s="10" customFormat="1" ht="35.1" customHeight="1">
      <c r="A523" s="1241"/>
      <c r="B523" s="983"/>
      <c r="C523" s="983"/>
      <c r="D523" s="573"/>
      <c r="E523" s="574"/>
      <c r="F523" s="575"/>
      <c r="G523" s="568"/>
      <c r="H523" s="568"/>
      <c r="I523" s="568"/>
      <c r="J523" s="674"/>
      <c r="K523" s="674"/>
      <c r="L523" s="182">
        <v>84.913300000000007</v>
      </c>
      <c r="M523" s="231">
        <v>102</v>
      </c>
      <c r="N523" s="132">
        <v>0</v>
      </c>
      <c r="O523" s="132">
        <v>0</v>
      </c>
      <c r="P523" s="512"/>
      <c r="Q523" s="512"/>
      <c r="R523" s="512"/>
      <c r="S523" s="652"/>
      <c r="T523" s="630"/>
      <c r="U523" s="769"/>
    </row>
    <row r="524" spans="1:1892" s="10" customFormat="1" ht="35.1" customHeight="1">
      <c r="A524" s="1241"/>
      <c r="B524" s="983"/>
      <c r="C524" s="984"/>
      <c r="D524" s="576"/>
      <c r="E524" s="577"/>
      <c r="F524" s="578"/>
      <c r="G524" s="463" t="s">
        <v>329</v>
      </c>
      <c r="H524" s="464"/>
      <c r="I524" s="464"/>
      <c r="J524" s="464"/>
      <c r="K524" s="465"/>
      <c r="L524" s="149"/>
      <c r="M524" s="251">
        <f>SUM(M519:M523)</f>
        <v>587</v>
      </c>
      <c r="N524" s="396">
        <f>SUM(N519:N523)</f>
        <v>6</v>
      </c>
      <c r="O524" s="396">
        <f>SUM(O519:O523)</f>
        <v>6</v>
      </c>
      <c r="P524" s="513"/>
      <c r="Q524" s="513"/>
      <c r="R524" s="513"/>
      <c r="S524" s="653"/>
      <c r="T524" s="631"/>
      <c r="U524" s="770"/>
    </row>
    <row r="525" spans="1:1892" s="10" customFormat="1" ht="35.1" customHeight="1">
      <c r="A525" s="1241"/>
      <c r="B525" s="983"/>
      <c r="C525" s="798" t="s">
        <v>54</v>
      </c>
      <c r="D525" s="584" t="s">
        <v>189</v>
      </c>
      <c r="E525" s="585"/>
      <c r="F525" s="586"/>
      <c r="G525" s="1396" t="s">
        <v>189</v>
      </c>
      <c r="H525" s="1396" t="s">
        <v>189</v>
      </c>
      <c r="I525" s="1396" t="s">
        <v>189</v>
      </c>
      <c r="J525" s="1015" t="s">
        <v>609</v>
      </c>
      <c r="K525" s="1015" t="s">
        <v>610</v>
      </c>
      <c r="L525" s="128">
        <v>84.823700000000002</v>
      </c>
      <c r="M525" s="242">
        <v>448</v>
      </c>
      <c r="N525" s="266">
        <v>1</v>
      </c>
      <c r="O525" s="266">
        <v>1</v>
      </c>
      <c r="P525" s="798" t="s">
        <v>54</v>
      </c>
      <c r="Q525" s="798" t="s">
        <v>54</v>
      </c>
      <c r="R525" s="798" t="s">
        <v>54</v>
      </c>
      <c r="S525" s="798" t="s">
        <v>54</v>
      </c>
      <c r="T525" s="798" t="s">
        <v>54</v>
      </c>
      <c r="U525" s="798" t="s">
        <v>54</v>
      </c>
    </row>
    <row r="526" spans="1:1892" s="10" customFormat="1" ht="35.1" customHeight="1">
      <c r="A526" s="1241"/>
      <c r="B526" s="983"/>
      <c r="C526" s="799"/>
      <c r="D526" s="587"/>
      <c r="E526" s="588"/>
      <c r="F526" s="589"/>
      <c r="G526" s="1397"/>
      <c r="H526" s="1397"/>
      <c r="I526" s="1397"/>
      <c r="J526" s="1016"/>
      <c r="K526" s="1016"/>
      <c r="L526" s="128">
        <v>84.954400000000007</v>
      </c>
      <c r="M526" s="242">
        <v>179</v>
      </c>
      <c r="N526" s="127">
        <v>1</v>
      </c>
      <c r="O526" s="127">
        <v>1</v>
      </c>
      <c r="P526" s="799"/>
      <c r="Q526" s="799"/>
      <c r="R526" s="799"/>
      <c r="S526" s="799"/>
      <c r="T526" s="799"/>
      <c r="U526" s="799"/>
    </row>
    <row r="527" spans="1:1892" s="10" customFormat="1" ht="35.1" customHeight="1">
      <c r="A527" s="1241"/>
      <c r="B527" s="983"/>
      <c r="C527" s="799"/>
      <c r="D527" s="587"/>
      <c r="E527" s="588"/>
      <c r="F527" s="589"/>
      <c r="G527" s="1397"/>
      <c r="H527" s="1397"/>
      <c r="I527" s="1397"/>
      <c r="J527" s="1016"/>
      <c r="K527" s="1016"/>
      <c r="L527" s="128">
        <v>139.69800000000001</v>
      </c>
      <c r="M527" s="242">
        <v>4</v>
      </c>
      <c r="N527" s="127">
        <v>3</v>
      </c>
      <c r="O527" s="127">
        <v>3</v>
      </c>
      <c r="P527" s="799"/>
      <c r="Q527" s="799"/>
      <c r="R527" s="799"/>
      <c r="S527" s="799"/>
      <c r="T527" s="799"/>
      <c r="U527" s="799"/>
    </row>
    <row r="528" spans="1:1892" s="10" customFormat="1" ht="35.1" customHeight="1">
      <c r="A528" s="1241"/>
      <c r="B528" s="983"/>
      <c r="C528" s="799"/>
      <c r="D528" s="587"/>
      <c r="E528" s="588"/>
      <c r="F528" s="589"/>
      <c r="G528" s="1398"/>
      <c r="H528" s="1398"/>
      <c r="I528" s="1398"/>
      <c r="J528" s="1017"/>
      <c r="K528" s="1017"/>
      <c r="L528" s="128">
        <v>139.72389999999999</v>
      </c>
      <c r="M528" s="242">
        <v>4</v>
      </c>
      <c r="N528" s="127">
        <v>2</v>
      </c>
      <c r="O528" s="127">
        <v>2</v>
      </c>
      <c r="P528" s="799"/>
      <c r="Q528" s="799"/>
      <c r="R528" s="799"/>
      <c r="S528" s="799"/>
      <c r="T528" s="799"/>
      <c r="U528" s="799"/>
    </row>
    <row r="529" spans="1:21" s="10" customFormat="1" ht="35.1" customHeight="1">
      <c r="A529" s="1241"/>
      <c r="B529" s="983"/>
      <c r="C529" s="800"/>
      <c r="D529" s="707"/>
      <c r="E529" s="708"/>
      <c r="F529" s="709"/>
      <c r="G529" s="463" t="s">
        <v>329</v>
      </c>
      <c r="H529" s="464"/>
      <c r="I529" s="464"/>
      <c r="J529" s="464"/>
      <c r="K529" s="465"/>
      <c r="L529" s="184"/>
      <c r="M529" s="249">
        <f>SUM(M525:M528)</f>
        <v>635</v>
      </c>
      <c r="N529" s="246">
        <f>SUM(N525:N528)</f>
        <v>7</v>
      </c>
      <c r="O529" s="246">
        <f>SUM(O525:O528)</f>
        <v>7</v>
      </c>
      <c r="P529" s="800"/>
      <c r="Q529" s="800"/>
      <c r="R529" s="800"/>
      <c r="S529" s="800"/>
      <c r="T529" s="800"/>
      <c r="U529" s="800"/>
    </row>
    <row r="530" spans="1:21" s="10" customFormat="1" ht="35.1" customHeight="1">
      <c r="A530" s="1241"/>
      <c r="B530" s="983"/>
      <c r="C530" s="566" t="s">
        <v>54</v>
      </c>
      <c r="D530" s="584" t="s">
        <v>607</v>
      </c>
      <c r="E530" s="585"/>
      <c r="F530" s="586"/>
      <c r="G530" s="566" t="s">
        <v>54</v>
      </c>
      <c r="H530" s="566" t="s">
        <v>54</v>
      </c>
      <c r="I530" s="566" t="s">
        <v>54</v>
      </c>
      <c r="J530" s="687" t="s">
        <v>11</v>
      </c>
      <c r="K530" s="687" t="s">
        <v>12</v>
      </c>
      <c r="L530" s="128">
        <v>59.984400000000001</v>
      </c>
      <c r="M530" s="242">
        <v>72</v>
      </c>
      <c r="N530" s="261">
        <v>0</v>
      </c>
      <c r="O530" s="261">
        <v>0</v>
      </c>
      <c r="P530" s="499" t="s">
        <v>828</v>
      </c>
      <c r="Q530" s="499" t="s">
        <v>437</v>
      </c>
      <c r="R530" s="499" t="s">
        <v>829</v>
      </c>
      <c r="S530" s="499" t="s">
        <v>982</v>
      </c>
      <c r="T530" s="499" t="s">
        <v>830</v>
      </c>
      <c r="U530" s="499" t="s">
        <v>17</v>
      </c>
    </row>
    <row r="531" spans="1:21" s="10" customFormat="1" ht="35.1" customHeight="1">
      <c r="A531" s="1241"/>
      <c r="B531" s="983"/>
      <c r="C531" s="567"/>
      <c r="D531" s="587"/>
      <c r="E531" s="588"/>
      <c r="F531" s="589"/>
      <c r="G531" s="567"/>
      <c r="H531" s="567"/>
      <c r="I531" s="567"/>
      <c r="J531" s="688"/>
      <c r="K531" s="688"/>
      <c r="L531" s="128">
        <v>59.822400000000002</v>
      </c>
      <c r="M531" s="242">
        <v>144</v>
      </c>
      <c r="N531" s="261">
        <v>0</v>
      </c>
      <c r="O531" s="261">
        <v>0</v>
      </c>
      <c r="P531" s="500"/>
      <c r="Q531" s="500"/>
      <c r="R531" s="500"/>
      <c r="S531" s="500"/>
      <c r="T531" s="500"/>
      <c r="U531" s="500"/>
    </row>
    <row r="532" spans="1:21" s="10" customFormat="1" ht="35.1" customHeight="1">
      <c r="A532" s="1241"/>
      <c r="B532" s="983"/>
      <c r="C532" s="567"/>
      <c r="D532" s="587"/>
      <c r="E532" s="588"/>
      <c r="F532" s="589"/>
      <c r="G532" s="567"/>
      <c r="H532" s="567"/>
      <c r="I532" s="567"/>
      <c r="J532" s="688"/>
      <c r="K532" s="688"/>
      <c r="L532" s="128">
        <v>84.993499999999997</v>
      </c>
      <c r="M532" s="242">
        <v>64</v>
      </c>
      <c r="N532" s="261">
        <v>0</v>
      </c>
      <c r="O532" s="261">
        <v>0</v>
      </c>
      <c r="P532" s="500"/>
      <c r="Q532" s="500"/>
      <c r="R532" s="500"/>
      <c r="S532" s="500"/>
      <c r="T532" s="500"/>
      <c r="U532" s="500"/>
    </row>
    <row r="533" spans="1:21" s="10" customFormat="1" ht="35.1" customHeight="1">
      <c r="A533" s="1241"/>
      <c r="B533" s="983"/>
      <c r="C533" s="567"/>
      <c r="D533" s="587"/>
      <c r="E533" s="588"/>
      <c r="F533" s="589"/>
      <c r="G533" s="567"/>
      <c r="H533" s="567"/>
      <c r="I533" s="567"/>
      <c r="J533" s="688"/>
      <c r="K533" s="688"/>
      <c r="L533" s="128">
        <v>84.991200000000006</v>
      </c>
      <c r="M533" s="242">
        <v>133</v>
      </c>
      <c r="N533" s="261">
        <v>0</v>
      </c>
      <c r="O533" s="261">
        <v>0</v>
      </c>
      <c r="P533" s="500"/>
      <c r="Q533" s="500"/>
      <c r="R533" s="500"/>
      <c r="S533" s="500"/>
      <c r="T533" s="500"/>
      <c r="U533" s="500"/>
    </row>
    <row r="534" spans="1:21" s="10" customFormat="1" ht="35.1" customHeight="1">
      <c r="A534" s="1241"/>
      <c r="B534" s="983"/>
      <c r="C534" s="567"/>
      <c r="D534" s="587"/>
      <c r="E534" s="588"/>
      <c r="F534" s="589"/>
      <c r="G534" s="567"/>
      <c r="H534" s="567"/>
      <c r="I534" s="567"/>
      <c r="J534" s="688"/>
      <c r="K534" s="688"/>
      <c r="L534" s="128">
        <v>84.922300000000007</v>
      </c>
      <c r="M534" s="242">
        <v>134</v>
      </c>
      <c r="N534" s="261">
        <v>0</v>
      </c>
      <c r="O534" s="261">
        <v>0</v>
      </c>
      <c r="P534" s="500"/>
      <c r="Q534" s="500"/>
      <c r="R534" s="500"/>
      <c r="S534" s="500"/>
      <c r="T534" s="500"/>
      <c r="U534" s="500"/>
    </row>
    <row r="535" spans="1:21" s="10" customFormat="1" ht="35.1" customHeight="1">
      <c r="A535" s="1241"/>
      <c r="B535" s="983"/>
      <c r="C535" s="567"/>
      <c r="D535" s="587"/>
      <c r="E535" s="588"/>
      <c r="F535" s="589"/>
      <c r="G535" s="567"/>
      <c r="H535" s="567"/>
      <c r="I535" s="567"/>
      <c r="J535" s="688"/>
      <c r="K535" s="688"/>
      <c r="L535" s="128">
        <v>84.987099999999998</v>
      </c>
      <c r="M535" s="242">
        <v>138</v>
      </c>
      <c r="N535" s="261">
        <v>0</v>
      </c>
      <c r="O535" s="261">
        <v>0</v>
      </c>
      <c r="P535" s="500"/>
      <c r="Q535" s="500"/>
      <c r="R535" s="500"/>
      <c r="S535" s="500"/>
      <c r="T535" s="500"/>
      <c r="U535" s="500"/>
    </row>
    <row r="536" spans="1:21" s="10" customFormat="1" ht="35.1" customHeight="1">
      <c r="A536" s="1241"/>
      <c r="B536" s="983"/>
      <c r="C536" s="567"/>
      <c r="D536" s="587"/>
      <c r="E536" s="588"/>
      <c r="F536" s="589"/>
      <c r="G536" s="567"/>
      <c r="H536" s="567"/>
      <c r="I536" s="567"/>
      <c r="J536" s="688"/>
      <c r="K536" s="688"/>
      <c r="L536" s="128">
        <v>96.995900000000006</v>
      </c>
      <c r="M536" s="242">
        <v>62</v>
      </c>
      <c r="N536" s="261">
        <v>0</v>
      </c>
      <c r="O536" s="261">
        <v>0</v>
      </c>
      <c r="P536" s="500"/>
      <c r="Q536" s="500"/>
      <c r="R536" s="500"/>
      <c r="S536" s="500"/>
      <c r="T536" s="500"/>
      <c r="U536" s="500"/>
    </row>
    <row r="537" spans="1:21" s="10" customFormat="1" ht="35.1" customHeight="1">
      <c r="A537" s="1241"/>
      <c r="B537" s="983"/>
      <c r="C537" s="567"/>
      <c r="D537" s="587"/>
      <c r="E537" s="588"/>
      <c r="F537" s="589"/>
      <c r="G537" s="567"/>
      <c r="H537" s="567"/>
      <c r="I537" s="567"/>
      <c r="J537" s="688"/>
      <c r="K537" s="688"/>
      <c r="L537" s="128">
        <v>96.946299999999994</v>
      </c>
      <c r="M537" s="242">
        <v>64</v>
      </c>
      <c r="N537" s="261">
        <v>0</v>
      </c>
      <c r="O537" s="261">
        <v>0</v>
      </c>
      <c r="P537" s="500"/>
      <c r="Q537" s="500"/>
      <c r="R537" s="500"/>
      <c r="S537" s="500"/>
      <c r="T537" s="500"/>
      <c r="U537" s="500"/>
    </row>
    <row r="538" spans="1:21" s="10" customFormat="1" ht="35.1" customHeight="1">
      <c r="A538" s="1241"/>
      <c r="B538" s="983"/>
      <c r="C538" s="567"/>
      <c r="D538" s="587"/>
      <c r="E538" s="588"/>
      <c r="F538" s="589"/>
      <c r="G538" s="567"/>
      <c r="H538" s="567"/>
      <c r="I538" s="567"/>
      <c r="J538" s="688"/>
      <c r="K538" s="688"/>
      <c r="L538" s="128">
        <v>150.9956</v>
      </c>
      <c r="M538" s="242">
        <v>4</v>
      </c>
      <c r="N538" s="261">
        <v>2</v>
      </c>
      <c r="O538" s="261">
        <v>2</v>
      </c>
      <c r="P538" s="500"/>
      <c r="Q538" s="500"/>
      <c r="R538" s="500"/>
      <c r="S538" s="500"/>
      <c r="T538" s="500"/>
      <c r="U538" s="500"/>
    </row>
    <row r="539" spans="1:21" s="10" customFormat="1" ht="35.1" customHeight="1">
      <c r="A539" s="1241"/>
      <c r="B539" s="983"/>
      <c r="C539" s="567"/>
      <c r="D539" s="587"/>
      <c r="E539" s="588"/>
      <c r="F539" s="589"/>
      <c r="G539" s="568"/>
      <c r="H539" s="568"/>
      <c r="I539" s="568"/>
      <c r="J539" s="689"/>
      <c r="K539" s="689"/>
      <c r="L539" s="128">
        <v>161.85059999999999</v>
      </c>
      <c r="M539" s="242">
        <v>2</v>
      </c>
      <c r="N539" s="261">
        <v>0</v>
      </c>
      <c r="O539" s="261">
        <v>0</v>
      </c>
      <c r="P539" s="500"/>
      <c r="Q539" s="500"/>
      <c r="R539" s="500"/>
      <c r="S539" s="500"/>
      <c r="T539" s="500"/>
      <c r="U539" s="500"/>
    </row>
    <row r="540" spans="1:21" s="10" customFormat="1" ht="35.1" customHeight="1">
      <c r="A540" s="1241"/>
      <c r="B540" s="983"/>
      <c r="C540" s="568"/>
      <c r="D540" s="707"/>
      <c r="E540" s="708"/>
      <c r="F540" s="709"/>
      <c r="G540" s="463" t="s">
        <v>329</v>
      </c>
      <c r="H540" s="464"/>
      <c r="I540" s="464"/>
      <c r="J540" s="464"/>
      <c r="K540" s="465"/>
      <c r="L540" s="342"/>
      <c r="M540" s="249">
        <f>SUM(M530:M539)</f>
        <v>817</v>
      </c>
      <c r="N540" s="246">
        <f>SUM(N530:N539)</f>
        <v>2</v>
      </c>
      <c r="O540" s="246">
        <f>SUM(O530:O539)</f>
        <v>2</v>
      </c>
      <c r="P540" s="501"/>
      <c r="Q540" s="501"/>
      <c r="R540" s="501"/>
      <c r="S540" s="501"/>
      <c r="T540" s="501"/>
      <c r="U540" s="501"/>
    </row>
    <row r="541" spans="1:21" s="10" customFormat="1" ht="35.1" customHeight="1">
      <c r="A541" s="1241"/>
      <c r="B541" s="983"/>
      <c r="C541" s="566" t="s">
        <v>54</v>
      </c>
      <c r="D541" s="584" t="s">
        <v>607</v>
      </c>
      <c r="E541" s="585"/>
      <c r="F541" s="586"/>
      <c r="G541" s="566" t="s">
        <v>54</v>
      </c>
      <c r="H541" s="566" t="s">
        <v>54</v>
      </c>
      <c r="I541" s="566" t="s">
        <v>54</v>
      </c>
      <c r="J541" s="687" t="s">
        <v>11</v>
      </c>
      <c r="K541" s="687" t="s">
        <v>12</v>
      </c>
      <c r="L541" s="128">
        <v>59.837200000000003</v>
      </c>
      <c r="M541" s="242">
        <v>152</v>
      </c>
      <c r="N541" s="127">
        <v>1</v>
      </c>
      <c r="O541" s="127">
        <v>1</v>
      </c>
      <c r="P541" s="499" t="s">
        <v>189</v>
      </c>
      <c r="Q541" s="499" t="s">
        <v>189</v>
      </c>
      <c r="R541" s="499" t="s">
        <v>189</v>
      </c>
      <c r="S541" s="499" t="s">
        <v>189</v>
      </c>
      <c r="T541" s="499" t="s">
        <v>189</v>
      </c>
      <c r="U541" s="499" t="s">
        <v>189</v>
      </c>
    </row>
    <row r="542" spans="1:21" s="10" customFormat="1" ht="35.1" customHeight="1">
      <c r="A542" s="1241"/>
      <c r="B542" s="983"/>
      <c r="C542" s="567"/>
      <c r="D542" s="587"/>
      <c r="E542" s="588"/>
      <c r="F542" s="589"/>
      <c r="G542" s="567"/>
      <c r="H542" s="567"/>
      <c r="I542" s="567"/>
      <c r="J542" s="688"/>
      <c r="K542" s="688"/>
      <c r="L542" s="128">
        <v>84.905000000000001</v>
      </c>
      <c r="M542" s="242">
        <v>242</v>
      </c>
      <c r="N542" s="127">
        <v>16</v>
      </c>
      <c r="O542" s="127">
        <v>16</v>
      </c>
      <c r="P542" s="500"/>
      <c r="Q542" s="500"/>
      <c r="R542" s="500"/>
      <c r="S542" s="500"/>
      <c r="T542" s="500"/>
      <c r="U542" s="500"/>
    </row>
    <row r="543" spans="1:21" s="10" customFormat="1" ht="35.1" customHeight="1">
      <c r="A543" s="1241"/>
      <c r="B543" s="983"/>
      <c r="C543" s="567"/>
      <c r="D543" s="587"/>
      <c r="E543" s="588"/>
      <c r="F543" s="589"/>
      <c r="G543" s="567"/>
      <c r="H543" s="567"/>
      <c r="I543" s="567"/>
      <c r="J543" s="688"/>
      <c r="K543" s="688"/>
      <c r="L543" s="128">
        <v>84.9876</v>
      </c>
      <c r="M543" s="242">
        <v>84</v>
      </c>
      <c r="N543" s="127">
        <v>2</v>
      </c>
      <c r="O543" s="127">
        <v>2</v>
      </c>
      <c r="P543" s="500"/>
      <c r="Q543" s="500"/>
      <c r="R543" s="500"/>
      <c r="S543" s="500"/>
      <c r="T543" s="500"/>
      <c r="U543" s="500"/>
    </row>
    <row r="544" spans="1:21" s="10" customFormat="1" ht="35.1" customHeight="1">
      <c r="A544" s="1241"/>
      <c r="B544" s="983"/>
      <c r="C544" s="567"/>
      <c r="D544" s="587"/>
      <c r="E544" s="588"/>
      <c r="F544" s="589"/>
      <c r="G544" s="568"/>
      <c r="H544" s="568"/>
      <c r="I544" s="568"/>
      <c r="J544" s="689"/>
      <c r="K544" s="689"/>
      <c r="L544" s="128">
        <v>84.926400000000001</v>
      </c>
      <c r="M544" s="242">
        <v>87</v>
      </c>
      <c r="N544" s="127">
        <v>0</v>
      </c>
      <c r="O544" s="127">
        <v>0</v>
      </c>
      <c r="P544" s="500"/>
      <c r="Q544" s="500"/>
      <c r="R544" s="500"/>
      <c r="S544" s="500"/>
      <c r="T544" s="500"/>
      <c r="U544" s="500"/>
    </row>
    <row r="545" spans="1:21" s="10" customFormat="1" ht="35.1" customHeight="1">
      <c r="A545" s="1241"/>
      <c r="B545" s="983"/>
      <c r="C545" s="568"/>
      <c r="D545" s="707"/>
      <c r="E545" s="708"/>
      <c r="F545" s="709"/>
      <c r="G545" s="463" t="s">
        <v>329</v>
      </c>
      <c r="H545" s="464"/>
      <c r="I545" s="464"/>
      <c r="J545" s="464"/>
      <c r="K545" s="465"/>
      <c r="L545" s="342"/>
      <c r="M545" s="249">
        <f>SUM(M541:M544)</f>
        <v>565</v>
      </c>
      <c r="N545" s="246">
        <f>SUM(N541:N544)</f>
        <v>19</v>
      </c>
      <c r="O545" s="246">
        <f>SUM(O541:O544)</f>
        <v>19</v>
      </c>
      <c r="P545" s="501"/>
      <c r="Q545" s="501"/>
      <c r="R545" s="501"/>
      <c r="S545" s="501"/>
      <c r="T545" s="501"/>
      <c r="U545" s="501"/>
    </row>
    <row r="546" spans="1:21" s="10" customFormat="1" ht="35.1" customHeight="1">
      <c r="A546" s="1241"/>
      <c r="B546" s="983"/>
      <c r="C546" s="566" t="s">
        <v>764</v>
      </c>
      <c r="D546" s="1018" t="s">
        <v>765</v>
      </c>
      <c r="E546" s="1019"/>
      <c r="F546" s="1020"/>
      <c r="G546" s="566" t="s">
        <v>766</v>
      </c>
      <c r="H546" s="566" t="s">
        <v>767</v>
      </c>
      <c r="I546" s="566" t="s">
        <v>768</v>
      </c>
      <c r="J546" s="687" t="s">
        <v>11</v>
      </c>
      <c r="K546" s="687" t="s">
        <v>12</v>
      </c>
      <c r="L546" s="128">
        <v>59.9681</v>
      </c>
      <c r="M546" s="228">
        <v>69</v>
      </c>
      <c r="N546" s="127">
        <v>0</v>
      </c>
      <c r="O546" s="127">
        <v>0</v>
      </c>
      <c r="P546" s="499" t="s">
        <v>798</v>
      </c>
      <c r="Q546" s="499" t="s">
        <v>799</v>
      </c>
      <c r="R546" s="811" t="s">
        <v>797</v>
      </c>
      <c r="S546" s="502" t="s">
        <v>57</v>
      </c>
      <c r="T546" s="499" t="s">
        <v>769</v>
      </c>
      <c r="U546" s="499" t="s">
        <v>11</v>
      </c>
    </row>
    <row r="547" spans="1:21" s="10" customFormat="1" ht="35.1" customHeight="1">
      <c r="A547" s="1241"/>
      <c r="B547" s="983"/>
      <c r="C547" s="567"/>
      <c r="D547" s="1021"/>
      <c r="E547" s="1022"/>
      <c r="F547" s="1023"/>
      <c r="G547" s="567"/>
      <c r="H547" s="567"/>
      <c r="I547" s="567"/>
      <c r="J547" s="688"/>
      <c r="K547" s="688"/>
      <c r="L547" s="128">
        <v>59.980699999999999</v>
      </c>
      <c r="M547" s="228">
        <v>76</v>
      </c>
      <c r="N547" s="127">
        <v>2</v>
      </c>
      <c r="O547" s="127">
        <v>1</v>
      </c>
      <c r="P547" s="500"/>
      <c r="Q547" s="500"/>
      <c r="R547" s="500"/>
      <c r="S547" s="503"/>
      <c r="T547" s="500"/>
      <c r="U547" s="500"/>
    </row>
    <row r="548" spans="1:21" s="10" customFormat="1" ht="35.1" customHeight="1">
      <c r="A548" s="1241"/>
      <c r="B548" s="983"/>
      <c r="C548" s="567"/>
      <c r="D548" s="1021"/>
      <c r="E548" s="1022"/>
      <c r="F548" s="1023"/>
      <c r="G548" s="568"/>
      <c r="H548" s="568"/>
      <c r="I548" s="568"/>
      <c r="J548" s="689"/>
      <c r="K548" s="689"/>
      <c r="L548" s="128">
        <v>59.955300000000001</v>
      </c>
      <c r="M548" s="228">
        <v>46</v>
      </c>
      <c r="N548" s="127">
        <v>4</v>
      </c>
      <c r="O548" s="127">
        <v>2</v>
      </c>
      <c r="P548" s="500"/>
      <c r="Q548" s="500"/>
      <c r="R548" s="500"/>
      <c r="S548" s="503"/>
      <c r="T548" s="500"/>
      <c r="U548" s="500"/>
    </row>
    <row r="549" spans="1:21" s="10" customFormat="1" ht="35.1" customHeight="1">
      <c r="A549" s="1241"/>
      <c r="B549" s="983"/>
      <c r="C549" s="568"/>
      <c r="D549" s="1024"/>
      <c r="E549" s="1025"/>
      <c r="F549" s="1026"/>
      <c r="G549" s="463" t="s">
        <v>329</v>
      </c>
      <c r="H549" s="464"/>
      <c r="I549" s="464"/>
      <c r="J549" s="464"/>
      <c r="K549" s="465"/>
      <c r="L549" s="342"/>
      <c r="M549" s="232">
        <f>SUM(M546:M548)</f>
        <v>191</v>
      </c>
      <c r="N549" s="233">
        <f>SUM(N546:N548)</f>
        <v>6</v>
      </c>
      <c r="O549" s="233">
        <f>SUM(O546:O548)</f>
        <v>3</v>
      </c>
      <c r="P549" s="501"/>
      <c r="Q549" s="501"/>
      <c r="R549" s="501"/>
      <c r="S549" s="504"/>
      <c r="T549" s="501"/>
      <c r="U549" s="501"/>
    </row>
    <row r="550" spans="1:21" s="10" customFormat="1" ht="35.1" customHeight="1">
      <c r="A550" s="1241"/>
      <c r="B550" s="983"/>
      <c r="C550" s="566" t="s">
        <v>764</v>
      </c>
      <c r="D550" s="584" t="s">
        <v>770</v>
      </c>
      <c r="E550" s="585"/>
      <c r="F550" s="586"/>
      <c r="G550" s="566" t="s">
        <v>766</v>
      </c>
      <c r="H550" s="566" t="s">
        <v>771</v>
      </c>
      <c r="I550" s="566" t="s">
        <v>768</v>
      </c>
      <c r="J550" s="687" t="s">
        <v>11</v>
      </c>
      <c r="K550" s="687" t="s">
        <v>12</v>
      </c>
      <c r="L550" s="128">
        <v>59.9557</v>
      </c>
      <c r="M550" s="242">
        <v>30</v>
      </c>
      <c r="N550" s="129">
        <v>0</v>
      </c>
      <c r="O550" s="129">
        <v>0</v>
      </c>
      <c r="P550" s="499" t="s">
        <v>448</v>
      </c>
      <c r="Q550" s="499" t="s">
        <v>415</v>
      </c>
      <c r="R550" s="811" t="s">
        <v>797</v>
      </c>
      <c r="S550" s="502" t="s">
        <v>57</v>
      </c>
      <c r="T550" s="499" t="s">
        <v>772</v>
      </c>
      <c r="U550" s="499" t="s">
        <v>11</v>
      </c>
    </row>
    <row r="551" spans="1:21" s="10" customFormat="1" ht="35.1" customHeight="1">
      <c r="A551" s="1241"/>
      <c r="B551" s="983"/>
      <c r="C551" s="567"/>
      <c r="D551" s="587"/>
      <c r="E551" s="588"/>
      <c r="F551" s="589"/>
      <c r="G551" s="567"/>
      <c r="H551" s="567"/>
      <c r="I551" s="567"/>
      <c r="J551" s="688"/>
      <c r="K551" s="688"/>
      <c r="L551" s="128">
        <v>59.959099999999999</v>
      </c>
      <c r="M551" s="242">
        <v>60</v>
      </c>
      <c r="N551" s="129">
        <v>0</v>
      </c>
      <c r="O551" s="129">
        <v>0</v>
      </c>
      <c r="P551" s="500"/>
      <c r="Q551" s="500"/>
      <c r="R551" s="500"/>
      <c r="S551" s="503"/>
      <c r="T551" s="500"/>
      <c r="U551" s="500"/>
    </row>
    <row r="552" spans="1:21" s="10" customFormat="1" ht="35.1" customHeight="1">
      <c r="A552" s="1241"/>
      <c r="B552" s="983"/>
      <c r="C552" s="567"/>
      <c r="D552" s="587"/>
      <c r="E552" s="588"/>
      <c r="F552" s="589"/>
      <c r="G552" s="567"/>
      <c r="H552" s="567"/>
      <c r="I552" s="567"/>
      <c r="J552" s="688"/>
      <c r="K552" s="688"/>
      <c r="L552" s="128">
        <v>59.746200000000002</v>
      </c>
      <c r="M552" s="242">
        <v>35</v>
      </c>
      <c r="N552" s="129">
        <v>0</v>
      </c>
      <c r="O552" s="129">
        <v>0</v>
      </c>
      <c r="P552" s="500"/>
      <c r="Q552" s="500"/>
      <c r="R552" s="500"/>
      <c r="S552" s="503"/>
      <c r="T552" s="500"/>
      <c r="U552" s="500"/>
    </row>
    <row r="553" spans="1:21" s="10" customFormat="1" ht="35.1" customHeight="1">
      <c r="A553" s="1241"/>
      <c r="B553" s="983"/>
      <c r="C553" s="567"/>
      <c r="D553" s="587"/>
      <c r="E553" s="588"/>
      <c r="F553" s="589"/>
      <c r="G553" s="567"/>
      <c r="H553" s="567"/>
      <c r="I553" s="567"/>
      <c r="J553" s="688"/>
      <c r="K553" s="688"/>
      <c r="L553" s="128">
        <v>72.904200000000003</v>
      </c>
      <c r="M553" s="242">
        <v>75</v>
      </c>
      <c r="N553" s="129">
        <v>1</v>
      </c>
      <c r="O553" s="129">
        <v>0</v>
      </c>
      <c r="P553" s="500"/>
      <c r="Q553" s="500"/>
      <c r="R553" s="500"/>
      <c r="S553" s="503"/>
      <c r="T553" s="500"/>
      <c r="U553" s="500"/>
    </row>
    <row r="554" spans="1:21" s="10" customFormat="1" ht="35.1" customHeight="1">
      <c r="A554" s="1241"/>
      <c r="B554" s="983"/>
      <c r="C554" s="567"/>
      <c r="D554" s="587"/>
      <c r="E554" s="588"/>
      <c r="F554" s="589"/>
      <c r="G554" s="568"/>
      <c r="H554" s="568"/>
      <c r="I554" s="568"/>
      <c r="J554" s="689"/>
      <c r="K554" s="689"/>
      <c r="L554" s="128">
        <v>72.954499999999996</v>
      </c>
      <c r="M554" s="242">
        <v>27</v>
      </c>
      <c r="N554" s="129">
        <v>10</v>
      </c>
      <c r="O554" s="129">
        <v>7</v>
      </c>
      <c r="P554" s="500"/>
      <c r="Q554" s="500"/>
      <c r="R554" s="500"/>
      <c r="S554" s="503"/>
      <c r="T554" s="500"/>
      <c r="U554" s="500"/>
    </row>
    <row r="555" spans="1:21" s="10" customFormat="1" ht="35.1" customHeight="1">
      <c r="A555" s="1241"/>
      <c r="B555" s="983"/>
      <c r="C555" s="568"/>
      <c r="D555" s="707"/>
      <c r="E555" s="708"/>
      <c r="F555" s="709"/>
      <c r="G555" s="463" t="s">
        <v>329</v>
      </c>
      <c r="H555" s="464"/>
      <c r="I555" s="464"/>
      <c r="J555" s="464"/>
      <c r="K555" s="465"/>
      <c r="L555" s="342"/>
      <c r="M555" s="232">
        <f>SUM(M550:M554)</f>
        <v>227</v>
      </c>
      <c r="N555" s="233">
        <f>SUM(N550:N554)</f>
        <v>11</v>
      </c>
      <c r="O555" s="233">
        <f>SUM(O550:O554)</f>
        <v>7</v>
      </c>
      <c r="P555" s="501"/>
      <c r="Q555" s="501"/>
      <c r="R555" s="501"/>
      <c r="S555" s="504"/>
      <c r="T555" s="501"/>
      <c r="U555" s="501"/>
    </row>
    <row r="556" spans="1:21" s="10" customFormat="1" ht="35.1" customHeight="1">
      <c r="A556" s="1241"/>
      <c r="B556" s="983"/>
      <c r="C556" s="566" t="s">
        <v>1092</v>
      </c>
      <c r="D556" s="874" t="s">
        <v>1093</v>
      </c>
      <c r="E556" s="875"/>
      <c r="F556" s="876"/>
      <c r="G556" s="883" t="s">
        <v>1094</v>
      </c>
      <c r="H556" s="883" t="s">
        <v>1095</v>
      </c>
      <c r="I556" s="883" t="s">
        <v>1096</v>
      </c>
      <c r="J556" s="883" t="s">
        <v>11</v>
      </c>
      <c r="K556" s="883" t="s">
        <v>12</v>
      </c>
      <c r="L556" s="128">
        <v>59.929900000000004</v>
      </c>
      <c r="M556" s="242">
        <v>57</v>
      </c>
      <c r="N556" s="242">
        <v>0</v>
      </c>
      <c r="O556" s="242">
        <v>0</v>
      </c>
      <c r="P556" s="499" t="s">
        <v>1098</v>
      </c>
      <c r="Q556" s="968" t="s">
        <v>1076</v>
      </c>
      <c r="R556" s="968" t="s">
        <v>1077</v>
      </c>
      <c r="S556" s="499" t="s">
        <v>13</v>
      </c>
      <c r="T556" s="499" t="s">
        <v>1097</v>
      </c>
      <c r="U556" s="499" t="s">
        <v>11</v>
      </c>
    </row>
    <row r="557" spans="1:21" s="10" customFormat="1" ht="35.1" customHeight="1">
      <c r="A557" s="1241"/>
      <c r="B557" s="983"/>
      <c r="C557" s="567"/>
      <c r="D557" s="877"/>
      <c r="E557" s="878"/>
      <c r="F557" s="879"/>
      <c r="G557" s="883"/>
      <c r="H557" s="883"/>
      <c r="I557" s="883"/>
      <c r="J557" s="883"/>
      <c r="K557" s="883"/>
      <c r="L557" s="128">
        <v>59.880200000000002</v>
      </c>
      <c r="M557" s="242">
        <v>51</v>
      </c>
      <c r="N557" s="242">
        <v>0</v>
      </c>
      <c r="O557" s="242">
        <v>0</v>
      </c>
      <c r="P557" s="500"/>
      <c r="Q557" s="500"/>
      <c r="R557" s="500"/>
      <c r="S557" s="500"/>
      <c r="T557" s="500"/>
      <c r="U557" s="500"/>
    </row>
    <row r="558" spans="1:21" s="10" customFormat="1" ht="35.1" customHeight="1">
      <c r="A558" s="1241"/>
      <c r="B558" s="983"/>
      <c r="C558" s="567"/>
      <c r="D558" s="877"/>
      <c r="E558" s="878"/>
      <c r="F558" s="879"/>
      <c r="G558" s="883"/>
      <c r="H558" s="883"/>
      <c r="I558" s="883"/>
      <c r="J558" s="883"/>
      <c r="K558" s="883"/>
      <c r="L558" s="128">
        <v>59.928100000000001</v>
      </c>
      <c r="M558" s="242">
        <v>96</v>
      </c>
      <c r="N558" s="242">
        <v>0</v>
      </c>
      <c r="O558" s="242">
        <v>0</v>
      </c>
      <c r="P558" s="500"/>
      <c r="Q558" s="500"/>
      <c r="R558" s="500"/>
      <c r="S558" s="500"/>
      <c r="T558" s="500"/>
      <c r="U558" s="500"/>
    </row>
    <row r="559" spans="1:21" s="10" customFormat="1" ht="35.1" customHeight="1">
      <c r="A559" s="1241"/>
      <c r="B559" s="983"/>
      <c r="C559" s="567"/>
      <c r="D559" s="877"/>
      <c r="E559" s="878"/>
      <c r="F559" s="879"/>
      <c r="G559" s="883"/>
      <c r="H559" s="883"/>
      <c r="I559" s="883"/>
      <c r="J559" s="883"/>
      <c r="K559" s="883"/>
      <c r="L559" s="128">
        <v>84.909899999999993</v>
      </c>
      <c r="M559" s="242">
        <v>82</v>
      </c>
      <c r="N559" s="242">
        <v>0</v>
      </c>
      <c r="O559" s="242">
        <v>0</v>
      </c>
      <c r="P559" s="500"/>
      <c r="Q559" s="500"/>
      <c r="R559" s="500"/>
      <c r="S559" s="500"/>
      <c r="T559" s="500"/>
      <c r="U559" s="500"/>
    </row>
    <row r="560" spans="1:21" s="10" customFormat="1" ht="35.1" customHeight="1">
      <c r="A560" s="1241"/>
      <c r="B560" s="983"/>
      <c r="C560" s="567"/>
      <c r="D560" s="877"/>
      <c r="E560" s="878"/>
      <c r="F560" s="879"/>
      <c r="G560" s="883"/>
      <c r="H560" s="883"/>
      <c r="I560" s="883"/>
      <c r="J560" s="883"/>
      <c r="K560" s="883"/>
      <c r="L560" s="128">
        <v>84.932599999999994</v>
      </c>
      <c r="M560" s="242">
        <v>477</v>
      </c>
      <c r="N560" s="242">
        <v>0</v>
      </c>
      <c r="O560" s="242">
        <v>0</v>
      </c>
      <c r="P560" s="500"/>
      <c r="Q560" s="500"/>
      <c r="R560" s="500"/>
      <c r="S560" s="500"/>
      <c r="T560" s="500"/>
      <c r="U560" s="500"/>
    </row>
    <row r="561" spans="1:1892" s="10" customFormat="1" ht="35.1" customHeight="1">
      <c r="A561" s="1241"/>
      <c r="B561" s="983"/>
      <c r="C561" s="567"/>
      <c r="D561" s="877"/>
      <c r="E561" s="878"/>
      <c r="F561" s="879"/>
      <c r="G561" s="883"/>
      <c r="H561" s="883"/>
      <c r="I561" s="883"/>
      <c r="J561" s="883"/>
      <c r="K561" s="883"/>
      <c r="L561" s="128">
        <v>84.948099999999997</v>
      </c>
      <c r="M561" s="242">
        <v>79</v>
      </c>
      <c r="N561" s="242">
        <v>0</v>
      </c>
      <c r="O561" s="242">
        <v>0</v>
      </c>
      <c r="P561" s="500"/>
      <c r="Q561" s="500"/>
      <c r="R561" s="500"/>
      <c r="S561" s="500"/>
      <c r="T561" s="500"/>
      <c r="U561" s="500"/>
    </row>
    <row r="562" spans="1:1892" s="10" customFormat="1" ht="35.1" customHeight="1">
      <c r="A562" s="1241"/>
      <c r="B562" s="983"/>
      <c r="C562" s="567"/>
      <c r="D562" s="877"/>
      <c r="E562" s="878"/>
      <c r="F562" s="879"/>
      <c r="G562" s="883"/>
      <c r="H562" s="883"/>
      <c r="I562" s="883"/>
      <c r="J562" s="883"/>
      <c r="K562" s="883"/>
      <c r="L562" s="128">
        <v>84.867099999999994</v>
      </c>
      <c r="M562" s="242">
        <v>114</v>
      </c>
      <c r="N562" s="242">
        <v>0</v>
      </c>
      <c r="O562" s="242">
        <v>0</v>
      </c>
      <c r="P562" s="500"/>
      <c r="Q562" s="500"/>
      <c r="R562" s="500"/>
      <c r="S562" s="500"/>
      <c r="T562" s="500"/>
      <c r="U562" s="500"/>
    </row>
    <row r="563" spans="1:1892" s="10" customFormat="1" ht="35.1" customHeight="1">
      <c r="A563" s="1241"/>
      <c r="B563" s="983"/>
      <c r="C563" s="567"/>
      <c r="D563" s="877"/>
      <c r="E563" s="878"/>
      <c r="F563" s="879"/>
      <c r="G563" s="883"/>
      <c r="H563" s="883"/>
      <c r="I563" s="883"/>
      <c r="J563" s="883"/>
      <c r="K563" s="883"/>
      <c r="L563" s="128">
        <v>114.9276</v>
      </c>
      <c r="M563" s="242">
        <v>57</v>
      </c>
      <c r="N563" s="242">
        <v>0</v>
      </c>
      <c r="O563" s="242">
        <v>0</v>
      </c>
      <c r="P563" s="500"/>
      <c r="Q563" s="500"/>
      <c r="R563" s="500"/>
      <c r="S563" s="500"/>
      <c r="T563" s="500"/>
      <c r="U563" s="500"/>
    </row>
    <row r="564" spans="1:1892" s="10" customFormat="1" ht="35.1" customHeight="1">
      <c r="A564" s="1241"/>
      <c r="B564" s="983"/>
      <c r="C564" s="567"/>
      <c r="D564" s="877"/>
      <c r="E564" s="878"/>
      <c r="F564" s="879"/>
      <c r="G564" s="883"/>
      <c r="H564" s="883"/>
      <c r="I564" s="883"/>
      <c r="J564" s="883"/>
      <c r="K564" s="883"/>
      <c r="L564" s="128">
        <v>114.95740000000001</v>
      </c>
      <c r="M564" s="242">
        <v>56</v>
      </c>
      <c r="N564" s="242">
        <v>0</v>
      </c>
      <c r="O564" s="242">
        <v>0</v>
      </c>
      <c r="P564" s="500"/>
      <c r="Q564" s="500"/>
      <c r="R564" s="500"/>
      <c r="S564" s="500"/>
      <c r="T564" s="500"/>
      <c r="U564" s="500"/>
    </row>
    <row r="565" spans="1:1892" s="10" customFormat="1" ht="35.1" customHeight="1">
      <c r="A565" s="1241"/>
      <c r="B565" s="983"/>
      <c r="C565" s="567"/>
      <c r="D565" s="877"/>
      <c r="E565" s="878"/>
      <c r="F565" s="879"/>
      <c r="G565" s="883"/>
      <c r="H565" s="883"/>
      <c r="I565" s="883"/>
      <c r="J565" s="883"/>
      <c r="K565" s="883"/>
      <c r="L565" s="128">
        <v>162.74979999999999</v>
      </c>
      <c r="M565" s="242">
        <v>1</v>
      </c>
      <c r="N565" s="242">
        <v>1</v>
      </c>
      <c r="O565" s="242">
        <v>1</v>
      </c>
      <c r="P565" s="500"/>
      <c r="Q565" s="500"/>
      <c r="R565" s="500"/>
      <c r="S565" s="500"/>
      <c r="T565" s="500"/>
      <c r="U565" s="500"/>
    </row>
    <row r="566" spans="1:1892" s="10" customFormat="1" ht="35.1" customHeight="1">
      <c r="A566" s="1241"/>
      <c r="B566" s="983"/>
      <c r="C566" s="567"/>
      <c r="D566" s="877"/>
      <c r="E566" s="878"/>
      <c r="F566" s="879"/>
      <c r="G566" s="883"/>
      <c r="H566" s="883"/>
      <c r="I566" s="883"/>
      <c r="J566" s="883"/>
      <c r="K566" s="883"/>
      <c r="L566" s="128">
        <v>162.34989999999999</v>
      </c>
      <c r="M566" s="242">
        <v>2</v>
      </c>
      <c r="N566" s="242">
        <v>2</v>
      </c>
      <c r="O566" s="242">
        <v>2</v>
      </c>
      <c r="P566" s="500"/>
      <c r="Q566" s="500"/>
      <c r="R566" s="500"/>
      <c r="S566" s="500"/>
      <c r="T566" s="500"/>
      <c r="U566" s="500"/>
    </row>
    <row r="567" spans="1:1892" s="10" customFormat="1" ht="35.1" customHeight="1">
      <c r="A567" s="1241"/>
      <c r="B567" s="983"/>
      <c r="C567" s="567"/>
      <c r="D567" s="877"/>
      <c r="E567" s="878"/>
      <c r="F567" s="879"/>
      <c r="G567" s="883"/>
      <c r="H567" s="883"/>
      <c r="I567" s="883"/>
      <c r="J567" s="883"/>
      <c r="K567" s="883"/>
      <c r="L567" s="128">
        <v>170.5257</v>
      </c>
      <c r="M567" s="242">
        <v>1</v>
      </c>
      <c r="N567" s="242">
        <v>1</v>
      </c>
      <c r="O567" s="242">
        <v>1</v>
      </c>
      <c r="P567" s="500"/>
      <c r="Q567" s="500"/>
      <c r="R567" s="500"/>
      <c r="S567" s="500"/>
      <c r="T567" s="500"/>
      <c r="U567" s="500"/>
    </row>
    <row r="568" spans="1:1892" s="10" customFormat="1" ht="35.1" customHeight="1">
      <c r="A568" s="1241"/>
      <c r="B568" s="983"/>
      <c r="C568" s="567"/>
      <c r="D568" s="877"/>
      <c r="E568" s="878"/>
      <c r="F568" s="879"/>
      <c r="G568" s="883"/>
      <c r="H568" s="883"/>
      <c r="I568" s="883"/>
      <c r="J568" s="883"/>
      <c r="K568" s="883"/>
      <c r="L568" s="128">
        <v>170.30950000000001</v>
      </c>
      <c r="M568" s="242">
        <v>1</v>
      </c>
      <c r="N568" s="242">
        <v>0</v>
      </c>
      <c r="O568" s="242">
        <v>0</v>
      </c>
      <c r="P568" s="500"/>
      <c r="Q568" s="500"/>
      <c r="R568" s="500"/>
      <c r="S568" s="500"/>
      <c r="T568" s="500"/>
      <c r="U568" s="500"/>
    </row>
    <row r="569" spans="1:1892" s="10" customFormat="1" ht="35.1" customHeight="1">
      <c r="A569" s="1241"/>
      <c r="B569" s="983"/>
      <c r="C569" s="567"/>
      <c r="D569" s="877"/>
      <c r="E569" s="878"/>
      <c r="F569" s="879"/>
      <c r="G569" s="883"/>
      <c r="H569" s="883"/>
      <c r="I569" s="883"/>
      <c r="J569" s="883"/>
      <c r="K569" s="883"/>
      <c r="L569" s="128">
        <v>225.60830000000001</v>
      </c>
      <c r="M569" s="242">
        <v>1</v>
      </c>
      <c r="N569" s="242">
        <v>1</v>
      </c>
      <c r="O569" s="242">
        <v>1</v>
      </c>
      <c r="P569" s="500"/>
      <c r="Q569" s="500"/>
      <c r="R569" s="500"/>
      <c r="S569" s="500"/>
      <c r="T569" s="500"/>
      <c r="U569" s="500"/>
    </row>
    <row r="570" spans="1:1892" s="10" customFormat="1" ht="35.1" customHeight="1">
      <c r="A570" s="1241"/>
      <c r="B570" s="983"/>
      <c r="C570" s="567"/>
      <c r="D570" s="877"/>
      <c r="E570" s="878"/>
      <c r="F570" s="879"/>
      <c r="G570" s="883"/>
      <c r="H570" s="883"/>
      <c r="I570" s="883"/>
      <c r="J570" s="883"/>
      <c r="K570" s="883"/>
      <c r="L570" s="128">
        <v>250.57849999999999</v>
      </c>
      <c r="M570" s="242">
        <v>1</v>
      </c>
      <c r="N570" s="242">
        <v>1</v>
      </c>
      <c r="O570" s="242">
        <v>1</v>
      </c>
      <c r="P570" s="500"/>
      <c r="Q570" s="500"/>
      <c r="R570" s="500"/>
      <c r="S570" s="500"/>
      <c r="T570" s="500"/>
      <c r="U570" s="500"/>
    </row>
    <row r="571" spans="1:1892" s="10" customFormat="1" ht="35.1" customHeight="1">
      <c r="A571" s="1241"/>
      <c r="B571" s="983"/>
      <c r="C571" s="567"/>
      <c r="D571" s="877"/>
      <c r="E571" s="878"/>
      <c r="F571" s="879"/>
      <c r="G571" s="883"/>
      <c r="H571" s="883"/>
      <c r="I571" s="883"/>
      <c r="J571" s="883"/>
      <c r="K571" s="883"/>
      <c r="L571" s="128">
        <v>260.53789999999998</v>
      </c>
      <c r="M571" s="242">
        <v>1</v>
      </c>
      <c r="N571" s="242">
        <v>1</v>
      </c>
      <c r="O571" s="242">
        <v>1</v>
      </c>
      <c r="P571" s="500"/>
      <c r="Q571" s="500"/>
      <c r="R571" s="500"/>
      <c r="S571" s="500"/>
      <c r="T571" s="500"/>
      <c r="U571" s="500"/>
    </row>
    <row r="572" spans="1:1892" s="10" customFormat="1" ht="35.1" customHeight="1">
      <c r="A572" s="1241"/>
      <c r="B572" s="984"/>
      <c r="C572" s="568"/>
      <c r="D572" s="880"/>
      <c r="E572" s="881"/>
      <c r="F572" s="882"/>
      <c r="G572" s="463" t="s">
        <v>329</v>
      </c>
      <c r="H572" s="464"/>
      <c r="I572" s="464"/>
      <c r="J572" s="464"/>
      <c r="K572" s="465"/>
      <c r="L572" s="433"/>
      <c r="M572" s="232">
        <f>SUM(M556:M571)</f>
        <v>1077</v>
      </c>
      <c r="N572" s="232">
        <f t="shared" ref="N572" si="45">SUM(N556:N571)</f>
        <v>7</v>
      </c>
      <c r="O572" s="232">
        <f t="shared" ref="O572" si="46">SUM(O556:O571)</f>
        <v>7</v>
      </c>
      <c r="P572" s="501"/>
      <c r="Q572" s="501"/>
      <c r="R572" s="501"/>
      <c r="S572" s="501"/>
      <c r="T572" s="501"/>
      <c r="U572" s="501"/>
    </row>
    <row r="573" spans="1:1892" s="9" customFormat="1" ht="35.1" customHeight="1">
      <c r="A573" s="1241"/>
      <c r="B573" s="620" t="s">
        <v>105</v>
      </c>
      <c r="C573" s="621"/>
      <c r="D573" s="621"/>
      <c r="E573" s="621"/>
      <c r="F573" s="621"/>
      <c r="G573" s="621"/>
      <c r="H573" s="621"/>
      <c r="I573" s="621"/>
      <c r="J573" s="621"/>
      <c r="K573" s="622"/>
      <c r="L573" s="122"/>
      <c r="M573" s="395">
        <f t="shared" ref="M573" si="47">M555+M549+M545+M540+M529+M524+M572</f>
        <v>4099</v>
      </c>
      <c r="N573" s="395">
        <f>N555+N549+N545+N540+N529+N524+N572</f>
        <v>58</v>
      </c>
      <c r="O573" s="395">
        <f>O555+O549+O545+O540+O529+O524+O572</f>
        <v>51</v>
      </c>
      <c r="P573" s="161"/>
      <c r="Q573" s="161"/>
      <c r="R573" s="161"/>
      <c r="S573" s="156"/>
      <c r="T573" s="125"/>
      <c r="U573" s="156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  <c r="CK573" s="10"/>
      <c r="CL573" s="10"/>
      <c r="CM573" s="10"/>
      <c r="CN573" s="10"/>
      <c r="CO573" s="10"/>
      <c r="CP573" s="10"/>
      <c r="CQ573" s="10"/>
      <c r="CR573" s="10"/>
      <c r="CS573" s="10"/>
      <c r="CT573" s="10"/>
      <c r="CU573" s="10"/>
      <c r="CV573" s="10"/>
      <c r="CW573" s="10"/>
      <c r="CX573" s="10"/>
      <c r="CY573" s="10"/>
      <c r="CZ573" s="10"/>
      <c r="DA573" s="10"/>
      <c r="DB573" s="10"/>
      <c r="DC573" s="10"/>
      <c r="DD573" s="10"/>
      <c r="DE573" s="10"/>
      <c r="DF573" s="10"/>
      <c r="DG573" s="10"/>
      <c r="DH573" s="10"/>
      <c r="DI573" s="10"/>
      <c r="DJ573" s="10"/>
      <c r="DK573" s="10"/>
      <c r="DL573" s="10"/>
      <c r="DM573" s="10"/>
      <c r="DN573" s="10"/>
      <c r="DO573" s="10"/>
      <c r="DP573" s="10"/>
      <c r="DQ573" s="10"/>
      <c r="DR573" s="10"/>
      <c r="DS573" s="10"/>
      <c r="DT573" s="10"/>
      <c r="DU573" s="10"/>
      <c r="DV573" s="10"/>
      <c r="DW573" s="10"/>
      <c r="DX573" s="10"/>
      <c r="DY573" s="10"/>
      <c r="DZ573" s="10"/>
      <c r="EA573" s="10"/>
      <c r="EB573" s="10"/>
      <c r="EC573" s="10"/>
      <c r="ED573" s="10"/>
      <c r="EE573" s="10"/>
      <c r="EF573" s="10"/>
      <c r="EG573" s="10"/>
      <c r="EH573" s="10"/>
      <c r="EI573" s="10"/>
      <c r="EJ573" s="10"/>
      <c r="EK573" s="10"/>
      <c r="EL573" s="10"/>
      <c r="EM573" s="10"/>
      <c r="EN573" s="10"/>
      <c r="EO573" s="10"/>
      <c r="EP573" s="10"/>
      <c r="EQ573" s="10"/>
      <c r="ER573" s="10"/>
      <c r="ES573" s="10"/>
      <c r="ET573" s="10"/>
      <c r="EU573" s="10"/>
      <c r="EV573" s="10"/>
      <c r="EW573" s="10"/>
      <c r="EX573" s="10"/>
      <c r="EY573" s="10"/>
      <c r="EZ573" s="10"/>
      <c r="FA573" s="10"/>
      <c r="FB573" s="10"/>
      <c r="FC573" s="10"/>
      <c r="FD573" s="10"/>
      <c r="FE573" s="10"/>
      <c r="FF573" s="10"/>
      <c r="FG573" s="10"/>
      <c r="FH573" s="10"/>
      <c r="FI573" s="10"/>
      <c r="FJ573" s="10"/>
      <c r="FK573" s="10"/>
      <c r="FL573" s="10"/>
      <c r="FM573" s="10"/>
      <c r="FN573" s="10"/>
      <c r="FO573" s="10"/>
      <c r="FP573" s="10"/>
      <c r="FQ573" s="10"/>
      <c r="FR573" s="10"/>
      <c r="FS573" s="10"/>
      <c r="FT573" s="10"/>
      <c r="FU573" s="10"/>
      <c r="FV573" s="10"/>
      <c r="FW573" s="10"/>
      <c r="FX573" s="10"/>
      <c r="FY573" s="10"/>
      <c r="FZ573" s="10"/>
      <c r="GA573" s="10"/>
      <c r="GB573" s="10"/>
      <c r="GC573" s="10"/>
      <c r="GD573" s="10"/>
      <c r="GE573" s="10"/>
      <c r="GF573" s="10"/>
      <c r="GG573" s="10"/>
      <c r="GH573" s="10"/>
      <c r="GI573" s="10"/>
      <c r="GJ573" s="10"/>
      <c r="GK573" s="10"/>
      <c r="GL573" s="10"/>
      <c r="GM573" s="10"/>
      <c r="GN573" s="10"/>
      <c r="GO573" s="10"/>
      <c r="GP573" s="10"/>
      <c r="GQ573" s="10"/>
      <c r="GR573" s="10"/>
      <c r="GS573" s="10"/>
      <c r="GT573" s="10"/>
      <c r="GU573" s="10"/>
      <c r="GV573" s="10"/>
      <c r="GW573" s="10"/>
      <c r="GX573" s="10"/>
      <c r="GY573" s="10"/>
      <c r="GZ573" s="10"/>
      <c r="HA573" s="10"/>
      <c r="HB573" s="10"/>
      <c r="HC573" s="10"/>
      <c r="HD573" s="10"/>
      <c r="HE573" s="10"/>
      <c r="HF573" s="10"/>
      <c r="HG573" s="10"/>
      <c r="HH573" s="10"/>
      <c r="HI573" s="10"/>
      <c r="HJ573" s="10"/>
      <c r="HK573" s="10"/>
      <c r="HL573" s="10"/>
      <c r="HM573" s="10"/>
      <c r="HN573" s="10"/>
      <c r="HO573" s="10"/>
      <c r="HP573" s="10"/>
      <c r="HQ573" s="10"/>
      <c r="HR573" s="10"/>
      <c r="HS573" s="10"/>
      <c r="HT573" s="10"/>
      <c r="HU573" s="10"/>
      <c r="HV573" s="10"/>
      <c r="HW573" s="10"/>
      <c r="HX573" s="10"/>
      <c r="HY573" s="10"/>
      <c r="HZ573" s="10"/>
      <c r="IA573" s="10"/>
      <c r="IB573" s="10"/>
      <c r="IC573" s="10"/>
      <c r="ID573" s="10"/>
      <c r="IE573" s="10"/>
      <c r="IF573" s="10"/>
      <c r="IG573" s="10"/>
      <c r="IH573" s="10"/>
      <c r="II573" s="10"/>
      <c r="IJ573" s="10"/>
      <c r="IK573" s="10"/>
      <c r="IL573" s="10"/>
      <c r="IM573" s="10"/>
      <c r="IN573" s="10"/>
      <c r="IO573" s="10"/>
      <c r="IP573" s="10"/>
      <c r="IQ573" s="10"/>
      <c r="IR573" s="10"/>
      <c r="IS573" s="10"/>
      <c r="IT573" s="10"/>
      <c r="IU573" s="10"/>
      <c r="IV573" s="10"/>
      <c r="IW573" s="10"/>
      <c r="IX573" s="10"/>
      <c r="IY573" s="10"/>
      <c r="IZ573" s="10"/>
      <c r="JA573" s="10"/>
      <c r="JB573" s="10"/>
      <c r="JC573" s="10"/>
      <c r="JD573" s="10"/>
      <c r="JE573" s="10"/>
      <c r="JF573" s="10"/>
      <c r="JG573" s="10"/>
      <c r="JH573" s="10"/>
      <c r="JI573" s="10"/>
      <c r="JJ573" s="10"/>
      <c r="JK573" s="10"/>
      <c r="JL573" s="10"/>
      <c r="JM573" s="10"/>
      <c r="JN573" s="10"/>
      <c r="JO573" s="10"/>
      <c r="JP573" s="10"/>
      <c r="JQ573" s="10"/>
      <c r="JR573" s="10"/>
      <c r="JS573" s="10"/>
      <c r="JT573" s="10"/>
      <c r="JU573" s="10"/>
      <c r="JV573" s="10"/>
      <c r="JW573" s="10"/>
      <c r="JX573" s="10"/>
      <c r="JY573" s="10"/>
      <c r="JZ573" s="10"/>
      <c r="KA573" s="10"/>
      <c r="KB573" s="10"/>
      <c r="KC573" s="10"/>
      <c r="KD573" s="10"/>
      <c r="KE573" s="10"/>
      <c r="KF573" s="10"/>
      <c r="KG573" s="10"/>
      <c r="KH573" s="10"/>
      <c r="KI573" s="10"/>
      <c r="KJ573" s="10"/>
      <c r="KK573" s="10"/>
      <c r="KL573" s="10"/>
      <c r="KM573" s="10"/>
      <c r="KN573" s="10"/>
      <c r="KO573" s="10"/>
      <c r="KP573" s="10"/>
      <c r="KQ573" s="10"/>
      <c r="KR573" s="10"/>
      <c r="KS573" s="10"/>
      <c r="KT573" s="10"/>
      <c r="KU573" s="10"/>
      <c r="KV573" s="10"/>
      <c r="KW573" s="10"/>
      <c r="KX573" s="10"/>
      <c r="KY573" s="10"/>
      <c r="KZ573" s="10"/>
      <c r="LA573" s="10"/>
      <c r="LB573" s="10"/>
      <c r="LC573" s="10"/>
      <c r="LD573" s="10"/>
      <c r="LE573" s="10"/>
      <c r="LF573" s="10"/>
      <c r="LG573" s="10"/>
      <c r="LH573" s="10"/>
      <c r="LI573" s="10"/>
      <c r="LJ573" s="10"/>
      <c r="LK573" s="10"/>
      <c r="LL573" s="10"/>
      <c r="LM573" s="10"/>
      <c r="LN573" s="10"/>
      <c r="LO573" s="10"/>
      <c r="LP573" s="10"/>
      <c r="LQ573" s="10"/>
      <c r="LR573" s="10"/>
      <c r="LS573" s="10"/>
      <c r="LT573" s="10"/>
      <c r="LU573" s="10"/>
      <c r="LV573" s="10"/>
      <c r="LW573" s="10"/>
      <c r="LX573" s="10"/>
      <c r="LY573" s="10"/>
      <c r="LZ573" s="10"/>
      <c r="MA573" s="10"/>
      <c r="MB573" s="10"/>
      <c r="MC573" s="10"/>
      <c r="MD573" s="10"/>
      <c r="ME573" s="10"/>
      <c r="MF573" s="10"/>
      <c r="MG573" s="10"/>
      <c r="MH573" s="10"/>
      <c r="MI573" s="10"/>
      <c r="MJ573" s="10"/>
      <c r="MK573" s="10"/>
      <c r="ML573" s="10"/>
      <c r="MM573" s="10"/>
      <c r="MN573" s="10"/>
      <c r="MO573" s="10"/>
      <c r="MP573" s="10"/>
      <c r="MQ573" s="10"/>
      <c r="MR573" s="10"/>
      <c r="MS573" s="10"/>
      <c r="MT573" s="10"/>
      <c r="MU573" s="10"/>
      <c r="MV573" s="10"/>
      <c r="MW573" s="10"/>
      <c r="MX573" s="10"/>
      <c r="MY573" s="10"/>
      <c r="MZ573" s="10"/>
      <c r="NA573" s="10"/>
      <c r="NB573" s="10"/>
      <c r="NC573" s="10"/>
      <c r="ND573" s="10"/>
      <c r="NE573" s="10"/>
      <c r="NF573" s="10"/>
      <c r="NG573" s="10"/>
      <c r="NH573" s="10"/>
      <c r="NI573" s="10"/>
      <c r="NJ573" s="10"/>
      <c r="NK573" s="10"/>
      <c r="NL573" s="10"/>
      <c r="NM573" s="10"/>
      <c r="NN573" s="10"/>
      <c r="NO573" s="10"/>
      <c r="NP573" s="10"/>
      <c r="NQ573" s="10"/>
      <c r="NR573" s="10"/>
      <c r="NS573" s="10"/>
      <c r="NT573" s="10"/>
      <c r="NU573" s="10"/>
      <c r="NV573" s="10"/>
      <c r="NW573" s="10"/>
      <c r="NX573" s="10"/>
      <c r="NY573" s="10"/>
      <c r="NZ573" s="10"/>
      <c r="OA573" s="10"/>
      <c r="OB573" s="10"/>
      <c r="OC573" s="10"/>
      <c r="OD573" s="10"/>
      <c r="OE573" s="10"/>
      <c r="OF573" s="10"/>
      <c r="OG573" s="10"/>
      <c r="OH573" s="10"/>
      <c r="OI573" s="10"/>
      <c r="OJ573" s="10"/>
      <c r="OK573" s="10"/>
      <c r="OL573" s="10"/>
      <c r="OM573" s="10"/>
      <c r="ON573" s="10"/>
      <c r="OO573" s="10"/>
      <c r="OP573" s="10"/>
      <c r="OQ573" s="10"/>
      <c r="OR573" s="10"/>
      <c r="OS573" s="10"/>
      <c r="OT573" s="10"/>
      <c r="OU573" s="10"/>
      <c r="OV573" s="10"/>
      <c r="OW573" s="10"/>
      <c r="OX573" s="10"/>
      <c r="OY573" s="10"/>
      <c r="OZ573" s="10"/>
      <c r="PA573" s="10"/>
      <c r="PB573" s="10"/>
      <c r="PC573" s="10"/>
      <c r="PD573" s="10"/>
      <c r="PE573" s="10"/>
      <c r="PF573" s="10"/>
      <c r="PG573" s="10"/>
      <c r="PH573" s="10"/>
      <c r="PI573" s="10"/>
      <c r="PJ573" s="10"/>
      <c r="PK573" s="10"/>
      <c r="PL573" s="10"/>
      <c r="PM573" s="10"/>
      <c r="PN573" s="10"/>
      <c r="PO573" s="10"/>
      <c r="PP573" s="10"/>
      <c r="PQ573" s="10"/>
      <c r="PR573" s="10"/>
      <c r="PS573" s="10"/>
      <c r="PT573" s="10"/>
      <c r="PU573" s="10"/>
      <c r="PV573" s="10"/>
      <c r="PW573" s="10"/>
      <c r="PX573" s="10"/>
      <c r="PY573" s="10"/>
      <c r="PZ573" s="10"/>
      <c r="QA573" s="10"/>
      <c r="QB573" s="10"/>
      <c r="QC573" s="10"/>
      <c r="QD573" s="10"/>
      <c r="QE573" s="10"/>
      <c r="QF573" s="10"/>
      <c r="QG573" s="10"/>
      <c r="QH573" s="10"/>
      <c r="QI573" s="10"/>
      <c r="QJ573" s="10"/>
      <c r="QK573" s="10"/>
      <c r="QL573" s="10"/>
      <c r="QM573" s="10"/>
      <c r="QN573" s="10"/>
      <c r="QO573" s="10"/>
      <c r="QP573" s="10"/>
      <c r="QQ573" s="10"/>
      <c r="QR573" s="10"/>
      <c r="QS573" s="10"/>
      <c r="QT573" s="10"/>
      <c r="QU573" s="10"/>
      <c r="QV573" s="10"/>
      <c r="QW573" s="10"/>
      <c r="QX573" s="10"/>
      <c r="QY573" s="10"/>
      <c r="QZ573" s="10"/>
      <c r="RA573" s="10"/>
      <c r="RB573" s="10"/>
      <c r="RC573" s="10"/>
      <c r="RD573" s="10"/>
      <c r="RE573" s="10"/>
      <c r="RF573" s="10"/>
      <c r="RG573" s="10"/>
      <c r="RH573" s="10"/>
      <c r="RI573" s="10"/>
      <c r="RJ573" s="10"/>
      <c r="RK573" s="10"/>
      <c r="RL573" s="10"/>
      <c r="RM573" s="10"/>
      <c r="RN573" s="10"/>
      <c r="RO573" s="10"/>
      <c r="RP573" s="10"/>
      <c r="RQ573" s="10"/>
      <c r="RR573" s="10"/>
      <c r="RS573" s="10"/>
      <c r="RT573" s="10"/>
      <c r="RU573" s="10"/>
      <c r="RV573" s="10"/>
      <c r="RW573" s="10"/>
      <c r="RX573" s="10"/>
      <c r="RY573" s="10"/>
      <c r="RZ573" s="10"/>
      <c r="SA573" s="10"/>
      <c r="SB573" s="10"/>
      <c r="SC573" s="10"/>
      <c r="SD573" s="10"/>
      <c r="SE573" s="10"/>
      <c r="SF573" s="10"/>
      <c r="SG573" s="10"/>
      <c r="SH573" s="10"/>
      <c r="SI573" s="10"/>
      <c r="SJ573" s="10"/>
      <c r="SK573" s="10"/>
      <c r="SL573" s="10"/>
      <c r="SM573" s="10"/>
      <c r="SN573" s="10"/>
      <c r="SO573" s="10"/>
      <c r="SP573" s="10"/>
      <c r="SQ573" s="10"/>
      <c r="SR573" s="10"/>
      <c r="SS573" s="10"/>
      <c r="ST573" s="10"/>
      <c r="SU573" s="10"/>
      <c r="SV573" s="10"/>
      <c r="SW573" s="10"/>
      <c r="SX573" s="10"/>
      <c r="SY573" s="10"/>
      <c r="SZ573" s="10"/>
      <c r="TA573" s="10"/>
      <c r="TB573" s="10"/>
      <c r="TC573" s="10"/>
      <c r="TD573" s="10"/>
      <c r="TE573" s="10"/>
      <c r="TF573" s="10"/>
      <c r="TG573" s="10"/>
      <c r="TH573" s="10"/>
      <c r="TI573" s="10"/>
      <c r="TJ573" s="10"/>
      <c r="TK573" s="10"/>
      <c r="TL573" s="10"/>
      <c r="TM573" s="10"/>
      <c r="TN573" s="10"/>
      <c r="TO573" s="10"/>
      <c r="TP573" s="10"/>
      <c r="TQ573" s="10"/>
      <c r="TR573" s="10"/>
      <c r="TS573" s="10"/>
      <c r="TT573" s="10"/>
      <c r="TU573" s="10"/>
      <c r="TV573" s="10"/>
      <c r="TW573" s="10"/>
      <c r="TX573" s="10"/>
      <c r="TY573" s="10"/>
      <c r="TZ573" s="10"/>
      <c r="UA573" s="10"/>
      <c r="UB573" s="10"/>
      <c r="UC573" s="10"/>
      <c r="UD573" s="10"/>
      <c r="UE573" s="10"/>
      <c r="UF573" s="10"/>
      <c r="UG573" s="10"/>
      <c r="UH573" s="10"/>
      <c r="UI573" s="10"/>
      <c r="UJ573" s="10"/>
      <c r="UK573" s="10"/>
      <c r="UL573" s="10"/>
      <c r="UM573" s="10"/>
      <c r="UN573" s="10"/>
      <c r="UO573" s="10"/>
      <c r="UP573" s="10"/>
      <c r="UQ573" s="10"/>
      <c r="UR573" s="10"/>
      <c r="US573" s="10"/>
      <c r="UT573" s="10"/>
      <c r="UU573" s="10"/>
      <c r="UV573" s="10"/>
      <c r="UW573" s="10"/>
      <c r="UX573" s="10"/>
      <c r="UY573" s="10"/>
      <c r="UZ573" s="10"/>
      <c r="VA573" s="10"/>
      <c r="VB573" s="10"/>
      <c r="VC573" s="10"/>
      <c r="VD573" s="10"/>
      <c r="VE573" s="10"/>
      <c r="VF573" s="10"/>
      <c r="VG573" s="10"/>
      <c r="VH573" s="10"/>
      <c r="VI573" s="10"/>
      <c r="VJ573" s="10"/>
      <c r="VK573" s="10"/>
      <c r="VL573" s="10"/>
      <c r="VM573" s="10"/>
      <c r="VN573" s="10"/>
      <c r="VO573" s="10"/>
      <c r="VP573" s="10"/>
      <c r="VQ573" s="10"/>
      <c r="VR573" s="10"/>
      <c r="VS573" s="10"/>
      <c r="VT573" s="10"/>
      <c r="VU573" s="10"/>
      <c r="VV573" s="10"/>
      <c r="VW573" s="10"/>
      <c r="VX573" s="10"/>
      <c r="VY573" s="10"/>
      <c r="VZ573" s="10"/>
      <c r="WA573" s="10"/>
      <c r="WB573" s="10"/>
      <c r="WC573" s="10"/>
      <c r="WD573" s="10"/>
      <c r="WE573" s="10"/>
      <c r="WF573" s="10"/>
      <c r="WG573" s="10"/>
      <c r="WH573" s="10"/>
      <c r="WI573" s="10"/>
      <c r="WJ573" s="10"/>
      <c r="WK573" s="10"/>
      <c r="WL573" s="10"/>
      <c r="WM573" s="10"/>
      <c r="WN573" s="10"/>
      <c r="WO573" s="10"/>
      <c r="WP573" s="10"/>
      <c r="WQ573" s="10"/>
      <c r="WR573" s="10"/>
      <c r="WS573" s="10"/>
      <c r="WT573" s="10"/>
      <c r="WU573" s="10"/>
      <c r="WV573" s="10"/>
      <c r="WW573" s="10"/>
      <c r="WX573" s="10"/>
      <c r="WY573" s="10"/>
      <c r="WZ573" s="10"/>
      <c r="XA573" s="10"/>
      <c r="XB573" s="10"/>
      <c r="XC573" s="10"/>
      <c r="XD573" s="10"/>
      <c r="XE573" s="10"/>
      <c r="XF573" s="10"/>
      <c r="XG573" s="10"/>
      <c r="XH573" s="10"/>
      <c r="XI573" s="10"/>
      <c r="XJ573" s="10"/>
      <c r="XK573" s="10"/>
      <c r="XL573" s="10"/>
      <c r="XM573" s="10"/>
      <c r="XN573" s="10"/>
      <c r="XO573" s="10"/>
      <c r="XP573" s="10"/>
      <c r="XQ573" s="10"/>
      <c r="XR573" s="10"/>
      <c r="XS573" s="10"/>
      <c r="XT573" s="10"/>
      <c r="XU573" s="10"/>
      <c r="XV573" s="10"/>
      <c r="XW573" s="10"/>
      <c r="XX573" s="10"/>
      <c r="XY573" s="10"/>
      <c r="XZ573" s="10"/>
      <c r="YA573" s="10"/>
      <c r="YB573" s="10"/>
      <c r="YC573" s="10"/>
      <c r="YD573" s="10"/>
      <c r="YE573" s="10"/>
      <c r="YF573" s="10"/>
      <c r="YG573" s="10"/>
      <c r="YH573" s="10"/>
      <c r="YI573" s="10"/>
      <c r="YJ573" s="10"/>
      <c r="YK573" s="10"/>
      <c r="YL573" s="10"/>
      <c r="YM573" s="10"/>
      <c r="YN573" s="10"/>
      <c r="YO573" s="10"/>
      <c r="YP573" s="10"/>
      <c r="YQ573" s="10"/>
      <c r="YR573" s="10"/>
      <c r="YS573" s="10"/>
      <c r="YT573" s="10"/>
      <c r="YU573" s="10"/>
      <c r="YV573" s="10"/>
      <c r="YW573" s="10"/>
      <c r="YX573" s="10"/>
      <c r="YY573" s="10"/>
      <c r="YZ573" s="10"/>
      <c r="ZA573" s="10"/>
      <c r="ZB573" s="10"/>
      <c r="ZC573" s="10"/>
      <c r="ZD573" s="10"/>
      <c r="ZE573" s="10"/>
      <c r="ZF573" s="10"/>
      <c r="ZG573" s="10"/>
      <c r="ZH573" s="10"/>
      <c r="ZI573" s="10"/>
      <c r="ZJ573" s="10"/>
      <c r="ZK573" s="10"/>
      <c r="ZL573" s="10"/>
      <c r="ZM573" s="10"/>
      <c r="ZN573" s="10"/>
      <c r="ZO573" s="10"/>
      <c r="ZP573" s="10"/>
      <c r="ZQ573" s="10"/>
      <c r="ZR573" s="10"/>
      <c r="ZS573" s="10"/>
      <c r="ZT573" s="10"/>
      <c r="ZU573" s="10"/>
      <c r="ZV573" s="10"/>
      <c r="ZW573" s="10"/>
      <c r="ZX573" s="10"/>
      <c r="ZY573" s="10"/>
      <c r="ZZ573" s="10"/>
      <c r="AAA573" s="10"/>
      <c r="AAB573" s="10"/>
      <c r="AAC573" s="10"/>
      <c r="AAD573" s="10"/>
      <c r="AAE573" s="10"/>
      <c r="AAF573" s="10"/>
      <c r="AAG573" s="10"/>
      <c r="AAH573" s="10"/>
      <c r="AAI573" s="10"/>
      <c r="AAJ573" s="10"/>
      <c r="AAK573" s="10"/>
      <c r="AAL573" s="10"/>
      <c r="AAM573" s="10"/>
      <c r="AAN573" s="10"/>
      <c r="AAO573" s="10"/>
      <c r="AAP573" s="10"/>
      <c r="AAQ573" s="10"/>
      <c r="AAR573" s="10"/>
      <c r="AAS573" s="10"/>
      <c r="AAT573" s="10"/>
      <c r="AAU573" s="10"/>
      <c r="AAV573" s="10"/>
      <c r="AAW573" s="10"/>
      <c r="AAX573" s="10"/>
      <c r="AAY573" s="10"/>
      <c r="AAZ573" s="10"/>
      <c r="ABA573" s="10"/>
      <c r="ABB573" s="10"/>
      <c r="ABC573" s="10"/>
      <c r="ABD573" s="10"/>
      <c r="ABE573" s="10"/>
      <c r="ABF573" s="10"/>
      <c r="ABG573" s="10"/>
      <c r="ABH573" s="10"/>
      <c r="ABI573" s="10"/>
      <c r="ABJ573" s="10"/>
      <c r="ABK573" s="10"/>
      <c r="ABL573" s="10"/>
      <c r="ABM573" s="10"/>
      <c r="ABN573" s="10"/>
      <c r="ABO573" s="10"/>
      <c r="ABP573" s="10"/>
      <c r="ABQ573" s="10"/>
      <c r="ABR573" s="10"/>
      <c r="ABS573" s="10"/>
      <c r="ABT573" s="10"/>
      <c r="ABU573" s="10"/>
      <c r="ABV573" s="10"/>
      <c r="ABW573" s="10"/>
      <c r="ABX573" s="10"/>
      <c r="ABY573" s="10"/>
      <c r="ABZ573" s="10"/>
      <c r="ACA573" s="10"/>
      <c r="ACB573" s="10"/>
      <c r="ACC573" s="10"/>
      <c r="ACD573" s="10"/>
      <c r="ACE573" s="10"/>
      <c r="ACF573" s="10"/>
      <c r="ACG573" s="10"/>
      <c r="ACH573" s="10"/>
      <c r="ACI573" s="10"/>
      <c r="ACJ573" s="10"/>
      <c r="ACK573" s="10"/>
      <c r="ACL573" s="10"/>
      <c r="ACM573" s="10"/>
      <c r="ACN573" s="10"/>
      <c r="ACO573" s="10"/>
      <c r="ACP573" s="10"/>
      <c r="ACQ573" s="10"/>
      <c r="ACR573" s="10"/>
      <c r="ACS573" s="10"/>
      <c r="ACT573" s="10"/>
      <c r="ACU573" s="10"/>
      <c r="ACV573" s="10"/>
      <c r="ACW573" s="10"/>
      <c r="ACX573" s="10"/>
      <c r="ACY573" s="10"/>
      <c r="ACZ573" s="10"/>
      <c r="ADA573" s="10"/>
      <c r="ADB573" s="10"/>
      <c r="ADC573" s="10"/>
      <c r="ADD573" s="10"/>
      <c r="ADE573" s="10"/>
      <c r="ADF573" s="10"/>
      <c r="ADG573" s="10"/>
      <c r="ADH573" s="10"/>
      <c r="ADI573" s="10"/>
      <c r="ADJ573" s="10"/>
      <c r="ADK573" s="10"/>
      <c r="ADL573" s="10"/>
      <c r="ADM573" s="10"/>
      <c r="ADN573" s="10"/>
      <c r="ADO573" s="10"/>
      <c r="ADP573" s="10"/>
      <c r="ADQ573" s="10"/>
      <c r="ADR573" s="10"/>
      <c r="ADS573" s="10"/>
      <c r="ADT573" s="10"/>
      <c r="ADU573" s="10"/>
      <c r="ADV573" s="10"/>
      <c r="ADW573" s="10"/>
      <c r="ADX573" s="10"/>
      <c r="ADY573" s="10"/>
      <c r="ADZ573" s="10"/>
      <c r="AEA573" s="10"/>
      <c r="AEB573" s="10"/>
      <c r="AEC573" s="10"/>
      <c r="AED573" s="10"/>
      <c r="AEE573" s="10"/>
      <c r="AEF573" s="10"/>
      <c r="AEG573" s="10"/>
      <c r="AEH573" s="10"/>
      <c r="AEI573" s="10"/>
      <c r="AEJ573" s="10"/>
      <c r="AEK573" s="10"/>
      <c r="AEL573" s="10"/>
      <c r="AEM573" s="10"/>
      <c r="AEN573" s="10"/>
      <c r="AEO573" s="10"/>
      <c r="AEP573" s="10"/>
      <c r="AEQ573" s="10"/>
      <c r="AER573" s="10"/>
      <c r="AES573" s="10"/>
      <c r="AET573" s="10"/>
      <c r="AEU573" s="10"/>
      <c r="AEV573" s="10"/>
      <c r="AEW573" s="10"/>
      <c r="AEX573" s="10"/>
      <c r="AEY573" s="10"/>
      <c r="AEZ573" s="10"/>
      <c r="AFA573" s="10"/>
      <c r="AFB573" s="10"/>
      <c r="AFC573" s="10"/>
      <c r="AFD573" s="10"/>
      <c r="AFE573" s="10"/>
      <c r="AFF573" s="10"/>
      <c r="AFG573" s="10"/>
      <c r="AFH573" s="10"/>
      <c r="AFI573" s="10"/>
      <c r="AFJ573" s="10"/>
      <c r="AFK573" s="10"/>
      <c r="AFL573" s="10"/>
      <c r="AFM573" s="10"/>
      <c r="AFN573" s="10"/>
      <c r="AFO573" s="10"/>
      <c r="AFP573" s="10"/>
      <c r="AFQ573" s="10"/>
      <c r="AFR573" s="10"/>
      <c r="AFS573" s="10"/>
      <c r="AFT573" s="10"/>
      <c r="AFU573" s="10"/>
      <c r="AFV573" s="10"/>
      <c r="AFW573" s="10"/>
      <c r="AFX573" s="10"/>
      <c r="AFY573" s="10"/>
      <c r="AFZ573" s="10"/>
      <c r="AGA573" s="10"/>
      <c r="AGB573" s="10"/>
      <c r="AGC573" s="10"/>
      <c r="AGD573" s="10"/>
      <c r="AGE573" s="10"/>
      <c r="AGF573" s="10"/>
      <c r="AGG573" s="10"/>
      <c r="AGH573" s="10"/>
      <c r="AGI573" s="10"/>
      <c r="AGJ573" s="10"/>
      <c r="AGK573" s="10"/>
      <c r="AGL573" s="10"/>
      <c r="AGM573" s="10"/>
      <c r="AGN573" s="10"/>
      <c r="AGO573" s="10"/>
      <c r="AGP573" s="10"/>
      <c r="AGQ573" s="10"/>
      <c r="AGR573" s="10"/>
      <c r="AGS573" s="10"/>
      <c r="AGT573" s="10"/>
      <c r="AGU573" s="10"/>
      <c r="AGV573" s="10"/>
      <c r="AGW573" s="10"/>
      <c r="AGX573" s="10"/>
      <c r="AGY573" s="10"/>
      <c r="AGZ573" s="10"/>
      <c r="AHA573" s="10"/>
      <c r="AHB573" s="10"/>
      <c r="AHC573" s="10"/>
      <c r="AHD573" s="10"/>
      <c r="AHE573" s="10"/>
      <c r="AHF573" s="10"/>
      <c r="AHG573" s="10"/>
      <c r="AHH573" s="10"/>
      <c r="AHI573" s="10"/>
      <c r="AHJ573" s="10"/>
      <c r="AHK573" s="10"/>
      <c r="AHL573" s="10"/>
      <c r="AHM573" s="10"/>
      <c r="AHN573" s="10"/>
      <c r="AHO573" s="10"/>
      <c r="AHP573" s="10"/>
      <c r="AHQ573" s="10"/>
      <c r="AHR573" s="10"/>
      <c r="AHS573" s="10"/>
      <c r="AHT573" s="10"/>
      <c r="AHU573" s="10"/>
      <c r="AHV573" s="10"/>
      <c r="AHW573" s="10"/>
      <c r="AHX573" s="10"/>
      <c r="AHY573" s="10"/>
      <c r="AHZ573" s="10"/>
      <c r="AIA573" s="10"/>
      <c r="AIB573" s="10"/>
      <c r="AIC573" s="10"/>
      <c r="AID573" s="10"/>
      <c r="AIE573" s="10"/>
      <c r="AIF573" s="10"/>
      <c r="AIG573" s="10"/>
      <c r="AIH573" s="10"/>
      <c r="AII573" s="10"/>
      <c r="AIJ573" s="10"/>
      <c r="AIK573" s="10"/>
      <c r="AIL573" s="10"/>
      <c r="AIM573" s="10"/>
      <c r="AIN573" s="10"/>
      <c r="AIO573" s="10"/>
      <c r="AIP573" s="10"/>
      <c r="AIQ573" s="10"/>
      <c r="AIR573" s="10"/>
      <c r="AIS573" s="10"/>
      <c r="AIT573" s="10"/>
      <c r="AIU573" s="10"/>
      <c r="AIV573" s="10"/>
      <c r="AIW573" s="10"/>
      <c r="AIX573" s="10"/>
      <c r="AIY573" s="10"/>
      <c r="AIZ573" s="10"/>
      <c r="AJA573" s="10"/>
      <c r="AJB573" s="10"/>
      <c r="AJC573" s="10"/>
      <c r="AJD573" s="10"/>
      <c r="AJE573" s="10"/>
      <c r="AJF573" s="10"/>
      <c r="AJG573" s="10"/>
      <c r="AJH573" s="10"/>
      <c r="AJI573" s="10"/>
      <c r="AJJ573" s="10"/>
      <c r="AJK573" s="10"/>
      <c r="AJL573" s="10"/>
      <c r="AJM573" s="10"/>
      <c r="AJN573" s="10"/>
      <c r="AJO573" s="10"/>
      <c r="AJP573" s="10"/>
      <c r="AJQ573" s="10"/>
      <c r="AJR573" s="10"/>
      <c r="AJS573" s="10"/>
      <c r="AJT573" s="10"/>
      <c r="AJU573" s="10"/>
      <c r="AJV573" s="10"/>
      <c r="AJW573" s="10"/>
      <c r="AJX573" s="10"/>
      <c r="AJY573" s="10"/>
      <c r="AJZ573" s="10"/>
      <c r="AKA573" s="10"/>
      <c r="AKB573" s="10"/>
      <c r="AKC573" s="10"/>
      <c r="AKD573" s="10"/>
      <c r="AKE573" s="10"/>
      <c r="AKF573" s="10"/>
      <c r="AKG573" s="10"/>
      <c r="AKH573" s="10"/>
      <c r="AKI573" s="10"/>
      <c r="AKJ573" s="10"/>
      <c r="AKK573" s="10"/>
      <c r="AKL573" s="10"/>
      <c r="AKM573" s="10"/>
      <c r="AKN573" s="10"/>
      <c r="AKO573" s="10"/>
      <c r="AKP573" s="10"/>
      <c r="AKQ573" s="10"/>
      <c r="AKR573" s="10"/>
      <c r="AKS573" s="10"/>
      <c r="AKT573" s="10"/>
      <c r="AKU573" s="10"/>
      <c r="AKV573" s="10"/>
      <c r="AKW573" s="10"/>
      <c r="AKX573" s="10"/>
      <c r="AKY573" s="10"/>
      <c r="AKZ573" s="10"/>
      <c r="ALA573" s="10"/>
      <c r="ALB573" s="10"/>
      <c r="ALC573" s="10"/>
      <c r="ALD573" s="10"/>
      <c r="ALE573" s="10"/>
      <c r="ALF573" s="10"/>
      <c r="ALG573" s="10"/>
      <c r="ALH573" s="10"/>
      <c r="ALI573" s="10"/>
      <c r="ALJ573" s="10"/>
      <c r="ALK573" s="10"/>
      <c r="ALL573" s="10"/>
      <c r="ALM573" s="10"/>
      <c r="ALN573" s="10"/>
      <c r="ALO573" s="10"/>
      <c r="ALP573" s="10"/>
      <c r="ALQ573" s="10"/>
      <c r="ALR573" s="10"/>
      <c r="ALS573" s="10"/>
      <c r="ALT573" s="10"/>
      <c r="ALU573" s="10"/>
      <c r="ALV573" s="10"/>
      <c r="ALW573" s="10"/>
      <c r="ALX573" s="10"/>
      <c r="ALY573" s="10"/>
      <c r="ALZ573" s="10"/>
      <c r="AMA573" s="10"/>
      <c r="AMB573" s="10"/>
      <c r="AMC573" s="10"/>
      <c r="AMD573" s="10"/>
      <c r="AME573" s="10"/>
      <c r="AMF573" s="10"/>
      <c r="AMG573" s="10"/>
      <c r="AMH573" s="10"/>
      <c r="AMI573" s="10"/>
      <c r="AMJ573" s="10"/>
      <c r="AMK573" s="10"/>
      <c r="AML573" s="10"/>
      <c r="AMM573" s="10"/>
      <c r="AMN573" s="10"/>
      <c r="AMO573" s="10"/>
      <c r="AMP573" s="10"/>
      <c r="AMQ573" s="10"/>
      <c r="AMR573" s="10"/>
      <c r="AMS573" s="10"/>
      <c r="AMT573" s="10"/>
      <c r="AMU573" s="10"/>
      <c r="AMV573" s="10"/>
      <c r="AMW573" s="10"/>
      <c r="AMX573" s="10"/>
      <c r="AMY573" s="10"/>
      <c r="AMZ573" s="10"/>
      <c r="ANA573" s="10"/>
      <c r="ANB573" s="10"/>
      <c r="ANC573" s="10"/>
      <c r="AND573" s="10"/>
      <c r="ANE573" s="10"/>
      <c r="ANF573" s="10"/>
      <c r="ANG573" s="10"/>
      <c r="ANH573" s="10"/>
      <c r="ANI573" s="10"/>
      <c r="ANJ573" s="10"/>
      <c r="ANK573" s="10"/>
      <c r="ANL573" s="10"/>
      <c r="ANM573" s="10"/>
      <c r="ANN573" s="10"/>
      <c r="ANO573" s="10"/>
      <c r="ANP573" s="10"/>
      <c r="ANQ573" s="10"/>
      <c r="ANR573" s="10"/>
      <c r="ANS573" s="10"/>
      <c r="ANT573" s="10"/>
      <c r="ANU573" s="10"/>
      <c r="ANV573" s="10"/>
      <c r="ANW573" s="10"/>
      <c r="ANX573" s="10"/>
      <c r="ANY573" s="10"/>
      <c r="ANZ573" s="10"/>
      <c r="AOA573" s="10"/>
      <c r="AOB573" s="10"/>
      <c r="AOC573" s="10"/>
      <c r="AOD573" s="10"/>
      <c r="AOE573" s="10"/>
      <c r="AOF573" s="10"/>
      <c r="AOG573" s="10"/>
      <c r="AOH573" s="10"/>
      <c r="AOI573" s="10"/>
      <c r="AOJ573" s="10"/>
      <c r="AOK573" s="10"/>
      <c r="AOL573" s="10"/>
      <c r="AOM573" s="10"/>
      <c r="AON573" s="10"/>
      <c r="AOO573" s="10"/>
      <c r="AOP573" s="10"/>
      <c r="AOQ573" s="10"/>
      <c r="AOR573" s="10"/>
      <c r="AOS573" s="10"/>
      <c r="AOT573" s="10"/>
      <c r="AOU573" s="10"/>
      <c r="AOV573" s="10"/>
      <c r="AOW573" s="10"/>
      <c r="AOX573" s="10"/>
      <c r="AOY573" s="10"/>
      <c r="AOZ573" s="10"/>
      <c r="APA573" s="10"/>
      <c r="APB573" s="10"/>
      <c r="APC573" s="10"/>
      <c r="APD573" s="10"/>
      <c r="APE573" s="10"/>
      <c r="APF573" s="10"/>
      <c r="APG573" s="10"/>
      <c r="APH573" s="10"/>
      <c r="API573" s="10"/>
      <c r="APJ573" s="10"/>
      <c r="APK573" s="10"/>
      <c r="APL573" s="10"/>
      <c r="APM573" s="10"/>
      <c r="APN573" s="10"/>
      <c r="APO573" s="10"/>
      <c r="APP573" s="10"/>
      <c r="APQ573" s="10"/>
      <c r="APR573" s="10"/>
      <c r="APS573" s="10"/>
      <c r="APT573" s="10"/>
      <c r="APU573" s="10"/>
      <c r="APV573" s="10"/>
      <c r="APW573" s="10"/>
      <c r="APX573" s="10"/>
      <c r="APY573" s="10"/>
      <c r="APZ573" s="10"/>
      <c r="AQA573" s="10"/>
      <c r="AQB573" s="10"/>
      <c r="AQC573" s="10"/>
      <c r="AQD573" s="10"/>
      <c r="AQE573" s="10"/>
      <c r="AQF573" s="10"/>
      <c r="AQG573" s="10"/>
      <c r="AQH573" s="10"/>
      <c r="AQI573" s="10"/>
      <c r="AQJ573" s="10"/>
      <c r="AQK573" s="10"/>
      <c r="AQL573" s="10"/>
      <c r="AQM573" s="10"/>
      <c r="AQN573" s="10"/>
      <c r="AQO573" s="10"/>
      <c r="AQP573" s="10"/>
      <c r="AQQ573" s="10"/>
      <c r="AQR573" s="10"/>
      <c r="AQS573" s="10"/>
      <c r="AQT573" s="10"/>
      <c r="AQU573" s="10"/>
      <c r="AQV573" s="10"/>
      <c r="AQW573" s="10"/>
      <c r="AQX573" s="10"/>
      <c r="AQY573" s="10"/>
      <c r="AQZ573" s="10"/>
      <c r="ARA573" s="10"/>
      <c r="ARB573" s="10"/>
      <c r="ARC573" s="10"/>
      <c r="ARD573" s="10"/>
      <c r="ARE573" s="10"/>
      <c r="ARF573" s="10"/>
      <c r="ARG573" s="10"/>
      <c r="ARH573" s="10"/>
      <c r="ARI573" s="10"/>
      <c r="ARJ573" s="10"/>
      <c r="ARK573" s="10"/>
      <c r="ARL573" s="10"/>
      <c r="ARM573" s="10"/>
      <c r="ARN573" s="10"/>
      <c r="ARO573" s="10"/>
      <c r="ARP573" s="10"/>
      <c r="ARQ573" s="10"/>
      <c r="ARR573" s="10"/>
      <c r="ARS573" s="10"/>
      <c r="ART573" s="10"/>
      <c r="ARU573" s="10"/>
      <c r="ARV573" s="10"/>
      <c r="ARW573" s="10"/>
      <c r="ARX573" s="10"/>
      <c r="ARY573" s="10"/>
      <c r="ARZ573" s="10"/>
      <c r="ASA573" s="10"/>
      <c r="ASB573" s="10"/>
      <c r="ASC573" s="10"/>
      <c r="ASD573" s="10"/>
      <c r="ASE573" s="10"/>
      <c r="ASF573" s="10"/>
      <c r="ASG573" s="10"/>
      <c r="ASH573" s="10"/>
      <c r="ASI573" s="10"/>
      <c r="ASJ573" s="10"/>
      <c r="ASK573" s="10"/>
      <c r="ASL573" s="10"/>
      <c r="ASM573" s="10"/>
      <c r="ASN573" s="10"/>
      <c r="ASO573" s="10"/>
      <c r="ASP573" s="10"/>
      <c r="ASQ573" s="10"/>
      <c r="ASR573" s="10"/>
      <c r="ASS573" s="10"/>
      <c r="AST573" s="10"/>
      <c r="ASU573" s="10"/>
      <c r="ASV573" s="10"/>
      <c r="ASW573" s="10"/>
      <c r="ASX573" s="10"/>
      <c r="ASY573" s="10"/>
      <c r="ASZ573" s="10"/>
      <c r="ATA573" s="10"/>
      <c r="ATB573" s="10"/>
      <c r="ATC573" s="10"/>
      <c r="ATD573" s="10"/>
      <c r="ATE573" s="10"/>
      <c r="ATF573" s="10"/>
      <c r="ATG573" s="10"/>
      <c r="ATH573" s="10"/>
      <c r="ATI573" s="10"/>
      <c r="ATJ573" s="10"/>
      <c r="ATK573" s="10"/>
      <c r="ATL573" s="10"/>
      <c r="ATM573" s="10"/>
      <c r="ATN573" s="10"/>
      <c r="ATO573" s="10"/>
      <c r="ATP573" s="10"/>
      <c r="ATQ573" s="10"/>
      <c r="ATR573" s="10"/>
      <c r="ATS573" s="10"/>
      <c r="ATT573" s="10"/>
      <c r="ATU573" s="10"/>
      <c r="ATV573" s="10"/>
      <c r="ATW573" s="10"/>
      <c r="ATX573" s="10"/>
      <c r="ATY573" s="10"/>
      <c r="ATZ573" s="10"/>
      <c r="AUA573" s="10"/>
      <c r="AUB573" s="10"/>
      <c r="AUC573" s="10"/>
      <c r="AUD573" s="10"/>
      <c r="AUE573" s="10"/>
      <c r="AUF573" s="10"/>
      <c r="AUG573" s="10"/>
      <c r="AUH573" s="10"/>
      <c r="AUI573" s="10"/>
      <c r="AUJ573" s="10"/>
      <c r="AUK573" s="10"/>
      <c r="AUL573" s="10"/>
      <c r="AUM573" s="10"/>
      <c r="AUN573" s="10"/>
      <c r="AUO573" s="10"/>
      <c r="AUP573" s="10"/>
      <c r="AUQ573" s="10"/>
      <c r="AUR573" s="10"/>
      <c r="AUS573" s="10"/>
      <c r="AUT573" s="10"/>
      <c r="AUU573" s="10"/>
      <c r="AUV573" s="10"/>
      <c r="AUW573" s="10"/>
      <c r="AUX573" s="10"/>
      <c r="AUY573" s="10"/>
      <c r="AUZ573" s="10"/>
      <c r="AVA573" s="10"/>
      <c r="AVB573" s="10"/>
      <c r="AVC573" s="10"/>
      <c r="AVD573" s="10"/>
      <c r="AVE573" s="10"/>
      <c r="AVF573" s="10"/>
      <c r="AVG573" s="10"/>
      <c r="AVH573" s="10"/>
      <c r="AVI573" s="10"/>
      <c r="AVJ573" s="10"/>
      <c r="AVK573" s="10"/>
      <c r="AVL573" s="10"/>
      <c r="AVM573" s="10"/>
      <c r="AVN573" s="10"/>
      <c r="AVO573" s="10"/>
      <c r="AVP573" s="10"/>
      <c r="AVQ573" s="10"/>
      <c r="AVR573" s="10"/>
      <c r="AVS573" s="10"/>
      <c r="AVT573" s="10"/>
      <c r="AVU573" s="10"/>
      <c r="AVV573" s="10"/>
      <c r="AVW573" s="10"/>
      <c r="AVX573" s="10"/>
      <c r="AVY573" s="10"/>
      <c r="AVZ573" s="10"/>
      <c r="AWA573" s="10"/>
      <c r="AWB573" s="10"/>
      <c r="AWC573" s="10"/>
      <c r="AWD573" s="10"/>
      <c r="AWE573" s="10"/>
      <c r="AWF573" s="10"/>
      <c r="AWG573" s="10"/>
      <c r="AWH573" s="10"/>
      <c r="AWI573" s="10"/>
      <c r="AWJ573" s="10"/>
      <c r="AWK573" s="10"/>
      <c r="AWL573" s="10"/>
      <c r="AWM573" s="10"/>
      <c r="AWN573" s="10"/>
      <c r="AWO573" s="10"/>
      <c r="AWP573" s="10"/>
      <c r="AWQ573" s="10"/>
      <c r="AWR573" s="10"/>
      <c r="AWS573" s="10"/>
      <c r="AWT573" s="10"/>
      <c r="AWU573" s="10"/>
      <c r="AWV573" s="10"/>
      <c r="AWW573" s="10"/>
      <c r="AWX573" s="10"/>
      <c r="AWY573" s="10"/>
      <c r="AWZ573" s="10"/>
      <c r="AXA573" s="10"/>
      <c r="AXB573" s="10"/>
      <c r="AXC573" s="10"/>
      <c r="AXD573" s="10"/>
      <c r="AXE573" s="10"/>
      <c r="AXF573" s="10"/>
      <c r="AXG573" s="10"/>
      <c r="AXH573" s="10"/>
      <c r="AXI573" s="10"/>
      <c r="AXJ573" s="10"/>
      <c r="AXK573" s="10"/>
      <c r="AXL573" s="10"/>
      <c r="AXM573" s="10"/>
      <c r="AXN573" s="10"/>
      <c r="AXO573" s="10"/>
      <c r="AXP573" s="10"/>
      <c r="AXQ573" s="10"/>
      <c r="AXR573" s="10"/>
      <c r="AXS573" s="10"/>
      <c r="AXT573" s="10"/>
      <c r="AXU573" s="10"/>
      <c r="AXV573" s="10"/>
      <c r="AXW573" s="10"/>
      <c r="AXX573" s="10"/>
      <c r="AXY573" s="10"/>
      <c r="AXZ573" s="10"/>
      <c r="AYA573" s="10"/>
      <c r="AYB573" s="10"/>
      <c r="AYC573" s="10"/>
      <c r="AYD573" s="10"/>
      <c r="AYE573" s="10"/>
      <c r="AYF573" s="10"/>
      <c r="AYG573" s="10"/>
      <c r="AYH573" s="10"/>
      <c r="AYI573" s="10"/>
      <c r="AYJ573" s="10"/>
      <c r="AYK573" s="10"/>
      <c r="AYL573" s="10"/>
      <c r="AYM573" s="10"/>
      <c r="AYN573" s="10"/>
      <c r="AYO573" s="10"/>
      <c r="AYP573" s="10"/>
      <c r="AYQ573" s="10"/>
      <c r="AYR573" s="10"/>
      <c r="AYS573" s="10"/>
      <c r="AYT573" s="10"/>
      <c r="AYU573" s="10"/>
      <c r="AYV573" s="10"/>
      <c r="AYW573" s="10"/>
      <c r="AYX573" s="10"/>
      <c r="AYY573" s="10"/>
      <c r="AYZ573" s="10"/>
      <c r="AZA573" s="10"/>
      <c r="AZB573" s="10"/>
      <c r="AZC573" s="10"/>
      <c r="AZD573" s="10"/>
      <c r="AZE573" s="10"/>
      <c r="AZF573" s="10"/>
      <c r="AZG573" s="10"/>
      <c r="AZH573" s="10"/>
      <c r="AZI573" s="10"/>
      <c r="AZJ573" s="10"/>
      <c r="AZK573" s="10"/>
      <c r="AZL573" s="10"/>
      <c r="AZM573" s="10"/>
      <c r="AZN573" s="10"/>
      <c r="AZO573" s="10"/>
      <c r="AZP573" s="10"/>
      <c r="AZQ573" s="10"/>
      <c r="AZR573" s="10"/>
      <c r="AZS573" s="10"/>
      <c r="AZT573" s="10"/>
      <c r="AZU573" s="10"/>
      <c r="AZV573" s="10"/>
      <c r="AZW573" s="10"/>
      <c r="AZX573" s="10"/>
      <c r="AZY573" s="10"/>
      <c r="AZZ573" s="10"/>
      <c r="BAA573" s="10"/>
      <c r="BAB573" s="10"/>
      <c r="BAC573" s="10"/>
      <c r="BAD573" s="10"/>
      <c r="BAE573" s="10"/>
      <c r="BAF573" s="10"/>
      <c r="BAG573" s="10"/>
      <c r="BAH573" s="10"/>
      <c r="BAI573" s="10"/>
      <c r="BAJ573" s="10"/>
      <c r="BAK573" s="10"/>
      <c r="BAL573" s="10"/>
      <c r="BAM573" s="10"/>
      <c r="BAN573" s="10"/>
      <c r="BAO573" s="10"/>
      <c r="BAP573" s="10"/>
      <c r="BAQ573" s="10"/>
      <c r="BAR573" s="10"/>
      <c r="BAS573" s="10"/>
      <c r="BAT573" s="10"/>
      <c r="BAU573" s="10"/>
      <c r="BAV573" s="10"/>
      <c r="BAW573" s="10"/>
      <c r="BAX573" s="10"/>
      <c r="BAY573" s="10"/>
      <c r="BAZ573" s="10"/>
      <c r="BBA573" s="10"/>
      <c r="BBB573" s="10"/>
      <c r="BBC573" s="10"/>
      <c r="BBD573" s="10"/>
      <c r="BBE573" s="10"/>
      <c r="BBF573" s="10"/>
      <c r="BBG573" s="10"/>
      <c r="BBH573" s="10"/>
      <c r="BBI573" s="10"/>
      <c r="BBJ573" s="10"/>
      <c r="BBK573" s="10"/>
      <c r="BBL573" s="10"/>
      <c r="BBM573" s="10"/>
      <c r="BBN573" s="10"/>
      <c r="BBO573" s="10"/>
      <c r="BBP573" s="10"/>
      <c r="BBQ573" s="10"/>
      <c r="BBR573" s="10"/>
      <c r="BBS573" s="10"/>
      <c r="BBT573" s="10"/>
      <c r="BBU573" s="10"/>
      <c r="BBV573" s="10"/>
      <c r="BBW573" s="10"/>
      <c r="BBX573" s="10"/>
      <c r="BBY573" s="10"/>
      <c r="BBZ573" s="10"/>
      <c r="BCA573" s="10"/>
      <c r="BCB573" s="10"/>
      <c r="BCC573" s="10"/>
      <c r="BCD573" s="10"/>
      <c r="BCE573" s="10"/>
      <c r="BCF573" s="10"/>
      <c r="BCG573" s="10"/>
      <c r="BCH573" s="10"/>
      <c r="BCI573" s="10"/>
      <c r="BCJ573" s="10"/>
      <c r="BCK573" s="10"/>
      <c r="BCL573" s="10"/>
      <c r="BCM573" s="10"/>
      <c r="BCN573" s="10"/>
      <c r="BCO573" s="10"/>
      <c r="BCP573" s="10"/>
      <c r="BCQ573" s="10"/>
      <c r="BCR573" s="10"/>
      <c r="BCS573" s="10"/>
      <c r="BCT573" s="10"/>
      <c r="BCU573" s="10"/>
      <c r="BCV573" s="10"/>
      <c r="BCW573" s="10"/>
      <c r="BCX573" s="10"/>
      <c r="BCY573" s="10"/>
      <c r="BCZ573" s="10"/>
      <c r="BDA573" s="10"/>
      <c r="BDB573" s="10"/>
      <c r="BDC573" s="10"/>
      <c r="BDD573" s="10"/>
      <c r="BDE573" s="10"/>
      <c r="BDF573" s="10"/>
      <c r="BDG573" s="10"/>
      <c r="BDH573" s="10"/>
      <c r="BDI573" s="10"/>
      <c r="BDJ573" s="10"/>
      <c r="BDK573" s="10"/>
      <c r="BDL573" s="10"/>
      <c r="BDM573" s="10"/>
      <c r="BDN573" s="10"/>
      <c r="BDO573" s="10"/>
      <c r="BDP573" s="10"/>
      <c r="BDQ573" s="10"/>
      <c r="BDR573" s="10"/>
      <c r="BDS573" s="10"/>
      <c r="BDT573" s="10"/>
      <c r="BDU573" s="10"/>
      <c r="BDV573" s="10"/>
      <c r="BDW573" s="10"/>
      <c r="BDX573" s="10"/>
      <c r="BDY573" s="10"/>
      <c r="BDZ573" s="10"/>
      <c r="BEA573" s="10"/>
      <c r="BEB573" s="10"/>
      <c r="BEC573" s="10"/>
      <c r="BED573" s="10"/>
      <c r="BEE573" s="10"/>
      <c r="BEF573" s="10"/>
      <c r="BEG573" s="10"/>
      <c r="BEH573" s="10"/>
      <c r="BEI573" s="10"/>
      <c r="BEJ573" s="10"/>
      <c r="BEK573" s="10"/>
      <c r="BEL573" s="10"/>
      <c r="BEM573" s="10"/>
      <c r="BEN573" s="10"/>
      <c r="BEO573" s="10"/>
      <c r="BEP573" s="10"/>
      <c r="BEQ573" s="10"/>
      <c r="BER573" s="10"/>
      <c r="BES573" s="10"/>
      <c r="BET573" s="10"/>
      <c r="BEU573" s="10"/>
      <c r="BEV573" s="10"/>
      <c r="BEW573" s="10"/>
      <c r="BEX573" s="10"/>
      <c r="BEY573" s="10"/>
      <c r="BEZ573" s="10"/>
      <c r="BFA573" s="10"/>
      <c r="BFB573" s="10"/>
      <c r="BFC573" s="10"/>
      <c r="BFD573" s="10"/>
      <c r="BFE573" s="10"/>
      <c r="BFF573" s="10"/>
      <c r="BFG573" s="10"/>
      <c r="BFH573" s="10"/>
      <c r="BFI573" s="10"/>
      <c r="BFJ573" s="10"/>
      <c r="BFK573" s="10"/>
      <c r="BFL573" s="10"/>
      <c r="BFM573" s="10"/>
      <c r="BFN573" s="10"/>
      <c r="BFO573" s="10"/>
      <c r="BFP573" s="10"/>
      <c r="BFQ573" s="10"/>
      <c r="BFR573" s="10"/>
      <c r="BFS573" s="10"/>
      <c r="BFT573" s="10"/>
      <c r="BFU573" s="10"/>
      <c r="BFV573" s="10"/>
      <c r="BFW573" s="10"/>
      <c r="BFX573" s="10"/>
      <c r="BFY573" s="10"/>
      <c r="BFZ573" s="10"/>
      <c r="BGA573" s="10"/>
      <c r="BGB573" s="10"/>
      <c r="BGC573" s="10"/>
      <c r="BGD573" s="10"/>
      <c r="BGE573" s="10"/>
      <c r="BGF573" s="10"/>
      <c r="BGG573" s="10"/>
      <c r="BGH573" s="10"/>
      <c r="BGI573" s="10"/>
      <c r="BGJ573" s="10"/>
      <c r="BGK573" s="10"/>
      <c r="BGL573" s="10"/>
      <c r="BGM573" s="10"/>
      <c r="BGN573" s="10"/>
      <c r="BGO573" s="10"/>
      <c r="BGP573" s="10"/>
      <c r="BGQ573" s="10"/>
      <c r="BGR573" s="10"/>
      <c r="BGS573" s="10"/>
      <c r="BGT573" s="10"/>
      <c r="BGU573" s="10"/>
      <c r="BGV573" s="10"/>
      <c r="BGW573" s="10"/>
      <c r="BGX573" s="10"/>
      <c r="BGY573" s="10"/>
      <c r="BGZ573" s="10"/>
      <c r="BHA573" s="10"/>
      <c r="BHB573" s="10"/>
      <c r="BHC573" s="10"/>
      <c r="BHD573" s="10"/>
      <c r="BHE573" s="10"/>
      <c r="BHF573" s="10"/>
      <c r="BHG573" s="10"/>
      <c r="BHH573" s="10"/>
      <c r="BHI573" s="10"/>
      <c r="BHJ573" s="10"/>
      <c r="BHK573" s="10"/>
      <c r="BHL573" s="10"/>
      <c r="BHM573" s="10"/>
      <c r="BHN573" s="10"/>
      <c r="BHO573" s="10"/>
      <c r="BHP573" s="10"/>
      <c r="BHQ573" s="10"/>
      <c r="BHR573" s="10"/>
      <c r="BHS573" s="10"/>
      <c r="BHT573" s="10"/>
      <c r="BHU573" s="10"/>
      <c r="BHV573" s="10"/>
      <c r="BHW573" s="10"/>
      <c r="BHX573" s="10"/>
      <c r="BHY573" s="10"/>
      <c r="BHZ573" s="10"/>
      <c r="BIA573" s="10"/>
      <c r="BIB573" s="10"/>
      <c r="BIC573" s="10"/>
      <c r="BID573" s="10"/>
      <c r="BIE573" s="10"/>
      <c r="BIF573" s="10"/>
      <c r="BIG573" s="10"/>
      <c r="BIH573" s="10"/>
      <c r="BII573" s="10"/>
      <c r="BIJ573" s="10"/>
      <c r="BIK573" s="10"/>
      <c r="BIL573" s="10"/>
      <c r="BIM573" s="10"/>
      <c r="BIN573" s="10"/>
      <c r="BIO573" s="10"/>
      <c r="BIP573" s="10"/>
      <c r="BIQ573" s="10"/>
      <c r="BIR573" s="10"/>
      <c r="BIS573" s="10"/>
      <c r="BIT573" s="10"/>
      <c r="BIU573" s="10"/>
      <c r="BIV573" s="10"/>
      <c r="BIW573" s="10"/>
      <c r="BIX573" s="10"/>
      <c r="BIY573" s="10"/>
      <c r="BIZ573" s="10"/>
      <c r="BJA573" s="10"/>
      <c r="BJB573" s="10"/>
      <c r="BJC573" s="10"/>
      <c r="BJD573" s="10"/>
      <c r="BJE573" s="10"/>
      <c r="BJF573" s="10"/>
      <c r="BJG573" s="10"/>
      <c r="BJH573" s="10"/>
      <c r="BJI573" s="10"/>
      <c r="BJJ573" s="10"/>
      <c r="BJK573" s="10"/>
      <c r="BJL573" s="10"/>
      <c r="BJM573" s="10"/>
      <c r="BJN573" s="10"/>
      <c r="BJO573" s="10"/>
      <c r="BJP573" s="10"/>
      <c r="BJQ573" s="10"/>
      <c r="BJR573" s="10"/>
      <c r="BJS573" s="10"/>
      <c r="BJT573" s="10"/>
      <c r="BJU573" s="10"/>
      <c r="BJV573" s="10"/>
      <c r="BJW573" s="10"/>
      <c r="BJX573" s="10"/>
      <c r="BJY573" s="10"/>
      <c r="BJZ573" s="10"/>
      <c r="BKA573" s="10"/>
      <c r="BKB573" s="10"/>
      <c r="BKC573" s="10"/>
      <c r="BKD573" s="10"/>
      <c r="BKE573" s="10"/>
      <c r="BKF573" s="10"/>
      <c r="BKG573" s="10"/>
      <c r="BKH573" s="10"/>
      <c r="BKI573" s="10"/>
      <c r="BKJ573" s="10"/>
      <c r="BKK573" s="10"/>
      <c r="BKL573" s="10"/>
      <c r="BKM573" s="10"/>
      <c r="BKN573" s="10"/>
      <c r="BKO573" s="10"/>
      <c r="BKP573" s="10"/>
      <c r="BKQ573" s="10"/>
      <c r="BKR573" s="10"/>
      <c r="BKS573" s="10"/>
      <c r="BKT573" s="10"/>
      <c r="BKU573" s="10"/>
      <c r="BKV573" s="10"/>
      <c r="BKW573" s="10"/>
      <c r="BKX573" s="10"/>
      <c r="BKY573" s="10"/>
      <c r="BKZ573" s="10"/>
      <c r="BLA573" s="10"/>
      <c r="BLB573" s="10"/>
      <c r="BLC573" s="10"/>
      <c r="BLD573" s="10"/>
      <c r="BLE573" s="10"/>
      <c r="BLF573" s="10"/>
      <c r="BLG573" s="10"/>
      <c r="BLH573" s="10"/>
      <c r="BLI573" s="10"/>
      <c r="BLJ573" s="10"/>
      <c r="BLK573" s="10"/>
      <c r="BLL573" s="10"/>
      <c r="BLM573" s="10"/>
      <c r="BLN573" s="10"/>
      <c r="BLO573" s="10"/>
      <c r="BLP573" s="10"/>
      <c r="BLQ573" s="10"/>
      <c r="BLR573" s="10"/>
      <c r="BLS573" s="10"/>
      <c r="BLT573" s="10"/>
      <c r="BLU573" s="10"/>
      <c r="BLV573" s="10"/>
      <c r="BLW573" s="10"/>
      <c r="BLX573" s="10"/>
      <c r="BLY573" s="10"/>
      <c r="BLZ573" s="10"/>
      <c r="BMA573" s="10"/>
      <c r="BMB573" s="10"/>
      <c r="BMC573" s="10"/>
      <c r="BMD573" s="10"/>
      <c r="BME573" s="10"/>
      <c r="BMF573" s="10"/>
      <c r="BMG573" s="10"/>
      <c r="BMH573" s="10"/>
      <c r="BMI573" s="10"/>
      <c r="BMJ573" s="10"/>
      <c r="BMK573" s="10"/>
      <c r="BML573" s="10"/>
      <c r="BMM573" s="10"/>
      <c r="BMN573" s="10"/>
      <c r="BMO573" s="10"/>
      <c r="BMP573" s="10"/>
      <c r="BMQ573" s="10"/>
      <c r="BMR573" s="10"/>
      <c r="BMS573" s="10"/>
      <c r="BMT573" s="10"/>
      <c r="BMU573" s="10"/>
      <c r="BMV573" s="10"/>
      <c r="BMW573" s="10"/>
      <c r="BMX573" s="10"/>
      <c r="BMY573" s="10"/>
      <c r="BMZ573" s="10"/>
      <c r="BNA573" s="10"/>
      <c r="BNB573" s="10"/>
      <c r="BNC573" s="10"/>
      <c r="BND573" s="10"/>
      <c r="BNE573" s="10"/>
      <c r="BNF573" s="10"/>
      <c r="BNG573" s="10"/>
      <c r="BNH573" s="10"/>
      <c r="BNI573" s="10"/>
      <c r="BNJ573" s="10"/>
      <c r="BNK573" s="10"/>
      <c r="BNL573" s="10"/>
      <c r="BNM573" s="10"/>
      <c r="BNN573" s="10"/>
      <c r="BNO573" s="10"/>
      <c r="BNP573" s="10"/>
      <c r="BNQ573" s="10"/>
      <c r="BNR573" s="10"/>
      <c r="BNS573" s="10"/>
      <c r="BNT573" s="10"/>
      <c r="BNU573" s="10"/>
      <c r="BNV573" s="10"/>
      <c r="BNW573" s="10"/>
      <c r="BNX573" s="10"/>
      <c r="BNY573" s="10"/>
      <c r="BNZ573" s="10"/>
      <c r="BOA573" s="10"/>
      <c r="BOB573" s="10"/>
      <c r="BOC573" s="10"/>
      <c r="BOD573" s="10"/>
      <c r="BOE573" s="10"/>
      <c r="BOF573" s="10"/>
      <c r="BOG573" s="10"/>
      <c r="BOH573" s="10"/>
      <c r="BOI573" s="10"/>
      <c r="BOJ573" s="10"/>
      <c r="BOK573" s="10"/>
      <c r="BOL573" s="10"/>
      <c r="BOM573" s="10"/>
      <c r="BON573" s="10"/>
      <c r="BOO573" s="10"/>
      <c r="BOP573" s="10"/>
      <c r="BOQ573" s="10"/>
      <c r="BOR573" s="10"/>
      <c r="BOS573" s="10"/>
      <c r="BOT573" s="10"/>
      <c r="BOU573" s="10"/>
      <c r="BOV573" s="10"/>
      <c r="BOW573" s="10"/>
      <c r="BOX573" s="10"/>
      <c r="BOY573" s="10"/>
      <c r="BOZ573" s="10"/>
      <c r="BPA573" s="10"/>
      <c r="BPB573" s="10"/>
      <c r="BPC573" s="10"/>
      <c r="BPD573" s="10"/>
      <c r="BPE573" s="10"/>
      <c r="BPF573" s="10"/>
      <c r="BPG573" s="10"/>
      <c r="BPH573" s="10"/>
      <c r="BPI573" s="10"/>
      <c r="BPJ573" s="10"/>
      <c r="BPK573" s="10"/>
      <c r="BPL573" s="10"/>
      <c r="BPM573" s="10"/>
      <c r="BPN573" s="10"/>
      <c r="BPO573" s="10"/>
      <c r="BPP573" s="10"/>
      <c r="BPQ573" s="10"/>
      <c r="BPR573" s="10"/>
      <c r="BPS573" s="10"/>
      <c r="BPT573" s="10"/>
      <c r="BPU573" s="10"/>
      <c r="BPV573" s="10"/>
      <c r="BPW573" s="10"/>
      <c r="BPX573" s="10"/>
      <c r="BPY573" s="10"/>
      <c r="BPZ573" s="10"/>
      <c r="BQA573" s="10"/>
      <c r="BQB573" s="10"/>
      <c r="BQC573" s="10"/>
      <c r="BQD573" s="10"/>
      <c r="BQE573" s="10"/>
      <c r="BQF573" s="10"/>
      <c r="BQG573" s="10"/>
      <c r="BQH573" s="10"/>
      <c r="BQI573" s="10"/>
      <c r="BQJ573" s="10"/>
      <c r="BQK573" s="10"/>
      <c r="BQL573" s="10"/>
      <c r="BQM573" s="10"/>
      <c r="BQN573" s="10"/>
      <c r="BQO573" s="10"/>
      <c r="BQP573" s="10"/>
      <c r="BQQ573" s="10"/>
      <c r="BQR573" s="10"/>
      <c r="BQS573" s="10"/>
      <c r="BQT573" s="10"/>
      <c r="BQU573" s="10"/>
      <c r="BQV573" s="10"/>
      <c r="BQW573" s="10"/>
      <c r="BQX573" s="10"/>
      <c r="BQY573" s="10"/>
      <c r="BQZ573" s="10"/>
      <c r="BRA573" s="10"/>
      <c r="BRB573" s="10"/>
      <c r="BRC573" s="10"/>
      <c r="BRD573" s="10"/>
      <c r="BRE573" s="10"/>
      <c r="BRF573" s="10"/>
      <c r="BRG573" s="10"/>
      <c r="BRH573" s="10"/>
      <c r="BRI573" s="10"/>
      <c r="BRJ573" s="10"/>
      <c r="BRK573" s="10"/>
      <c r="BRL573" s="10"/>
      <c r="BRM573" s="10"/>
      <c r="BRN573" s="10"/>
      <c r="BRO573" s="10"/>
      <c r="BRP573" s="10"/>
      <c r="BRQ573" s="10"/>
      <c r="BRR573" s="10"/>
      <c r="BRS573" s="10"/>
      <c r="BRT573" s="10"/>
      <c r="BRU573" s="10"/>
      <c r="BRV573" s="10"/>
      <c r="BRW573" s="10"/>
      <c r="BRX573" s="10"/>
      <c r="BRY573" s="10"/>
      <c r="BRZ573" s="10"/>
      <c r="BSA573" s="10"/>
      <c r="BSB573" s="10"/>
      <c r="BSC573" s="10"/>
      <c r="BSD573" s="10"/>
      <c r="BSE573" s="10"/>
      <c r="BSF573" s="10"/>
      <c r="BSG573" s="10"/>
      <c r="BSH573" s="10"/>
      <c r="BSI573" s="10"/>
      <c r="BSJ573" s="10"/>
      <c r="BSK573" s="10"/>
      <c r="BSL573" s="10"/>
      <c r="BSM573" s="10"/>
      <c r="BSN573" s="10"/>
      <c r="BSO573" s="10"/>
      <c r="BSP573" s="10"/>
      <c r="BSQ573" s="10"/>
      <c r="BSR573" s="10"/>
      <c r="BSS573" s="10"/>
      <c r="BST573" s="10"/>
      <c r="BSU573" s="10"/>
      <c r="BSV573" s="10"/>
      <c r="BSW573" s="10"/>
      <c r="BSX573" s="10"/>
      <c r="BSY573" s="10"/>
      <c r="BSZ573" s="10"/>
      <c r="BTA573" s="10"/>
      <c r="BTB573" s="10"/>
      <c r="BTC573" s="10"/>
      <c r="BTD573" s="10"/>
      <c r="BTE573" s="10"/>
      <c r="BTF573" s="10"/>
      <c r="BTG573" s="10"/>
      <c r="BTH573" s="10"/>
      <c r="BTI573" s="10"/>
      <c r="BTJ573" s="10"/>
      <c r="BTK573" s="10"/>
      <c r="BTL573" s="10"/>
      <c r="BTM573" s="10"/>
      <c r="BTN573" s="10"/>
      <c r="BTO573" s="10"/>
      <c r="BTP573" s="10"/>
      <c r="BTQ573" s="10"/>
      <c r="BTR573" s="10"/>
      <c r="BTS573" s="10"/>
      <c r="BTT573" s="10"/>
    </row>
    <row r="574" spans="1:1892" s="10" customFormat="1" ht="35.1" customHeight="1">
      <c r="A574" s="1241"/>
      <c r="B574" s="570" t="s">
        <v>51</v>
      </c>
      <c r="C574" s="865" t="s">
        <v>54</v>
      </c>
      <c r="D574" s="847" t="s">
        <v>581</v>
      </c>
      <c r="E574" s="848"/>
      <c r="F574" s="849"/>
      <c r="G574" s="1045" t="s">
        <v>54</v>
      </c>
      <c r="H574" s="1046"/>
      <c r="I574" s="1047"/>
      <c r="J574" s="616" t="s">
        <v>11</v>
      </c>
      <c r="K574" s="616" t="s">
        <v>12</v>
      </c>
      <c r="L574" s="131">
        <v>84.93</v>
      </c>
      <c r="M574" s="267">
        <v>148</v>
      </c>
      <c r="N574" s="400">
        <v>0</v>
      </c>
      <c r="O574" s="400">
        <v>0</v>
      </c>
      <c r="P574" s="917" t="s">
        <v>954</v>
      </c>
      <c r="Q574" s="917" t="s">
        <v>955</v>
      </c>
      <c r="R574" s="917" t="s">
        <v>429</v>
      </c>
      <c r="S574" s="976" t="s">
        <v>57</v>
      </c>
      <c r="T574" s="1066" t="s">
        <v>189</v>
      </c>
      <c r="U574" s="962" t="s">
        <v>11</v>
      </c>
    </row>
    <row r="575" spans="1:1892" s="10" customFormat="1" ht="35.1" customHeight="1">
      <c r="A575" s="1241"/>
      <c r="B575" s="573"/>
      <c r="C575" s="866"/>
      <c r="D575" s="850"/>
      <c r="E575" s="851"/>
      <c r="F575" s="852"/>
      <c r="G575" s="1048"/>
      <c r="H575" s="1049"/>
      <c r="I575" s="1050"/>
      <c r="J575" s="583"/>
      <c r="K575" s="583"/>
      <c r="L575" s="131">
        <v>84.98</v>
      </c>
      <c r="M575" s="267">
        <v>148</v>
      </c>
      <c r="N575" s="400">
        <v>0</v>
      </c>
      <c r="O575" s="400">
        <v>0</v>
      </c>
      <c r="P575" s="918"/>
      <c r="Q575" s="918"/>
      <c r="R575" s="918"/>
      <c r="S575" s="977"/>
      <c r="T575" s="1067"/>
      <c r="U575" s="963"/>
    </row>
    <row r="576" spans="1:1892" s="10" customFormat="1" ht="35.1" customHeight="1">
      <c r="A576" s="1241"/>
      <c r="B576" s="573"/>
      <c r="C576" s="866"/>
      <c r="D576" s="850"/>
      <c r="E576" s="851"/>
      <c r="F576" s="852"/>
      <c r="G576" s="1051"/>
      <c r="H576" s="1052"/>
      <c r="I576" s="1053"/>
      <c r="J576" s="617"/>
      <c r="K576" s="617"/>
      <c r="L576" s="131">
        <v>142.15</v>
      </c>
      <c r="M576" s="267">
        <v>3</v>
      </c>
      <c r="N576" s="400">
        <v>3</v>
      </c>
      <c r="O576" s="400">
        <v>3</v>
      </c>
      <c r="P576" s="918"/>
      <c r="Q576" s="918"/>
      <c r="R576" s="918"/>
      <c r="S576" s="977"/>
      <c r="T576" s="1067"/>
      <c r="U576" s="963"/>
    </row>
    <row r="577" spans="1:21" s="10" customFormat="1" ht="35.1" customHeight="1">
      <c r="A577" s="1241"/>
      <c r="B577" s="573"/>
      <c r="C577" s="867"/>
      <c r="D577" s="853"/>
      <c r="E577" s="854"/>
      <c r="F577" s="855"/>
      <c r="G577" s="463" t="s">
        <v>329</v>
      </c>
      <c r="H577" s="464"/>
      <c r="I577" s="464"/>
      <c r="J577" s="464"/>
      <c r="K577" s="465"/>
      <c r="L577" s="133"/>
      <c r="M577" s="251">
        <f>SUM(M574:M576)</f>
        <v>299</v>
      </c>
      <c r="N577" s="396">
        <f>SUM(N574:N576)</f>
        <v>3</v>
      </c>
      <c r="O577" s="396">
        <f>SUM(O574:O576)</f>
        <v>3</v>
      </c>
      <c r="P577" s="919"/>
      <c r="Q577" s="919"/>
      <c r="R577" s="919"/>
      <c r="S577" s="978"/>
      <c r="T577" s="1068"/>
      <c r="U577" s="964"/>
    </row>
    <row r="578" spans="1:21" s="10" customFormat="1" ht="35.1" customHeight="1">
      <c r="A578" s="1241"/>
      <c r="B578" s="573"/>
      <c r="C578" s="865" t="s">
        <v>54</v>
      </c>
      <c r="D578" s="847" t="s">
        <v>581</v>
      </c>
      <c r="E578" s="848"/>
      <c r="F578" s="849"/>
      <c r="G578" s="1074" t="s">
        <v>54</v>
      </c>
      <c r="H578" s="1075"/>
      <c r="I578" s="1076"/>
      <c r="J578" s="632" t="s">
        <v>11</v>
      </c>
      <c r="K578" s="632" t="s">
        <v>12</v>
      </c>
      <c r="L578" s="150">
        <v>84.98</v>
      </c>
      <c r="M578" s="221">
        <v>62</v>
      </c>
      <c r="N578" s="248">
        <v>0</v>
      </c>
      <c r="O578" s="248">
        <v>0</v>
      </c>
      <c r="P578" s="938" t="s">
        <v>435</v>
      </c>
      <c r="Q578" s="844" t="s">
        <v>531</v>
      </c>
      <c r="R578" s="499" t="s">
        <v>535</v>
      </c>
      <c r="S578" s="499" t="s">
        <v>13</v>
      </c>
      <c r="T578" s="811" t="s">
        <v>54</v>
      </c>
      <c r="U578" s="499" t="s">
        <v>67</v>
      </c>
    </row>
    <row r="579" spans="1:21" s="10" customFormat="1" ht="35.1" customHeight="1">
      <c r="A579" s="1241"/>
      <c r="B579" s="573"/>
      <c r="C579" s="866"/>
      <c r="D579" s="850"/>
      <c r="E579" s="851"/>
      <c r="F579" s="852"/>
      <c r="G579" s="1077"/>
      <c r="H579" s="1078"/>
      <c r="I579" s="1079"/>
      <c r="J579" s="633"/>
      <c r="K579" s="633"/>
      <c r="L579" s="150">
        <v>84.98</v>
      </c>
      <c r="M579" s="221">
        <v>178</v>
      </c>
      <c r="N579" s="248">
        <v>0</v>
      </c>
      <c r="O579" s="248">
        <v>0</v>
      </c>
      <c r="P579" s="939"/>
      <c r="Q579" s="845"/>
      <c r="R579" s="500"/>
      <c r="S579" s="500"/>
      <c r="T579" s="812"/>
      <c r="U579" s="500"/>
    </row>
    <row r="580" spans="1:21" s="10" customFormat="1" ht="35.1" customHeight="1">
      <c r="A580" s="1241"/>
      <c r="B580" s="573"/>
      <c r="C580" s="866"/>
      <c r="D580" s="850"/>
      <c r="E580" s="851"/>
      <c r="F580" s="852"/>
      <c r="G580" s="1080"/>
      <c r="H580" s="1081"/>
      <c r="I580" s="1082"/>
      <c r="J580" s="634"/>
      <c r="K580" s="634"/>
      <c r="L580" s="150">
        <v>84.99</v>
      </c>
      <c r="M580" s="221">
        <v>107</v>
      </c>
      <c r="N580" s="248">
        <v>0</v>
      </c>
      <c r="O580" s="248">
        <v>0</v>
      </c>
      <c r="P580" s="939"/>
      <c r="Q580" s="845"/>
      <c r="R580" s="500"/>
      <c r="S580" s="500"/>
      <c r="T580" s="812"/>
      <c r="U580" s="500"/>
    </row>
    <row r="581" spans="1:21" s="10" customFormat="1" ht="35.1" customHeight="1">
      <c r="A581" s="1241"/>
      <c r="B581" s="573"/>
      <c r="C581" s="867"/>
      <c r="D581" s="853"/>
      <c r="E581" s="854"/>
      <c r="F581" s="855"/>
      <c r="G581" s="463" t="s">
        <v>329</v>
      </c>
      <c r="H581" s="464"/>
      <c r="I581" s="464"/>
      <c r="J581" s="464"/>
      <c r="K581" s="465"/>
      <c r="L581" s="139"/>
      <c r="M581" s="249">
        <f>SUM(M578:M580)</f>
        <v>347</v>
      </c>
      <c r="N581" s="246">
        <f>SUM(N578:N580)</f>
        <v>0</v>
      </c>
      <c r="O581" s="246">
        <f>SUM(O578:O580)</f>
        <v>0</v>
      </c>
      <c r="P581" s="940"/>
      <c r="Q581" s="846"/>
      <c r="R581" s="501"/>
      <c r="S581" s="501"/>
      <c r="T581" s="813"/>
      <c r="U581" s="501"/>
    </row>
    <row r="582" spans="1:21" s="10" customFormat="1" ht="35.1" customHeight="1">
      <c r="A582" s="1241"/>
      <c r="B582" s="573"/>
      <c r="C582" s="566" t="s">
        <v>189</v>
      </c>
      <c r="D582" s="584" t="s">
        <v>582</v>
      </c>
      <c r="E582" s="585"/>
      <c r="F582" s="586"/>
      <c r="G582" s="1074" t="s">
        <v>54</v>
      </c>
      <c r="H582" s="1075"/>
      <c r="I582" s="1076"/>
      <c r="J582" s="632" t="s">
        <v>11</v>
      </c>
      <c r="K582" s="632" t="s">
        <v>12</v>
      </c>
      <c r="L582" s="150">
        <v>84.936000000000007</v>
      </c>
      <c r="M582" s="221">
        <v>267</v>
      </c>
      <c r="N582" s="129">
        <v>87</v>
      </c>
      <c r="O582" s="129">
        <v>76</v>
      </c>
      <c r="P582" s="938" t="s">
        <v>435</v>
      </c>
      <c r="Q582" s="938" t="s">
        <v>531</v>
      </c>
      <c r="R582" s="938" t="s">
        <v>690</v>
      </c>
      <c r="S582" s="811" t="s">
        <v>13</v>
      </c>
      <c r="T582" s="499" t="s">
        <v>189</v>
      </c>
      <c r="U582" s="811" t="s">
        <v>11</v>
      </c>
    </row>
    <row r="583" spans="1:21" s="10" customFormat="1" ht="35.1" customHeight="1">
      <c r="A583" s="1241"/>
      <c r="B583" s="573"/>
      <c r="C583" s="567"/>
      <c r="D583" s="587"/>
      <c r="E583" s="588"/>
      <c r="F583" s="589"/>
      <c r="G583" s="1077"/>
      <c r="H583" s="1078"/>
      <c r="I583" s="1079"/>
      <c r="J583" s="633"/>
      <c r="K583" s="633"/>
      <c r="L583" s="150">
        <v>84.98</v>
      </c>
      <c r="M583" s="221">
        <v>267</v>
      </c>
      <c r="N583" s="129">
        <v>136</v>
      </c>
      <c r="O583" s="129">
        <v>126</v>
      </c>
      <c r="P583" s="939"/>
      <c r="Q583" s="939"/>
      <c r="R583" s="939"/>
      <c r="S583" s="812"/>
      <c r="T583" s="500"/>
      <c r="U583" s="812"/>
    </row>
    <row r="584" spans="1:21" s="10" customFormat="1" ht="35.1" customHeight="1">
      <c r="A584" s="1241"/>
      <c r="B584" s="573"/>
      <c r="C584" s="567"/>
      <c r="D584" s="587"/>
      <c r="E584" s="588"/>
      <c r="F584" s="589"/>
      <c r="G584" s="1077"/>
      <c r="H584" s="1078"/>
      <c r="I584" s="1079"/>
      <c r="J584" s="633"/>
      <c r="K584" s="633"/>
      <c r="L584" s="150">
        <v>84.956999999999994</v>
      </c>
      <c r="M584" s="221">
        <v>224</v>
      </c>
      <c r="N584" s="129">
        <v>137</v>
      </c>
      <c r="O584" s="129">
        <v>133</v>
      </c>
      <c r="P584" s="939"/>
      <c r="Q584" s="939"/>
      <c r="R584" s="939"/>
      <c r="S584" s="812"/>
      <c r="T584" s="500"/>
      <c r="U584" s="812"/>
    </row>
    <row r="585" spans="1:21" s="10" customFormat="1" ht="35.1" customHeight="1">
      <c r="A585" s="1241"/>
      <c r="B585" s="573"/>
      <c r="C585" s="567"/>
      <c r="D585" s="587"/>
      <c r="E585" s="588"/>
      <c r="F585" s="589"/>
      <c r="G585" s="1080"/>
      <c r="H585" s="1081"/>
      <c r="I585" s="1082"/>
      <c r="J585" s="634"/>
      <c r="K585" s="634"/>
      <c r="L585" s="150">
        <v>122.45</v>
      </c>
      <c r="M585" s="221">
        <v>43</v>
      </c>
      <c r="N585" s="129">
        <v>1</v>
      </c>
      <c r="O585" s="129">
        <v>1</v>
      </c>
      <c r="P585" s="939"/>
      <c r="Q585" s="939"/>
      <c r="R585" s="939"/>
      <c r="S585" s="812"/>
      <c r="T585" s="500"/>
      <c r="U585" s="812"/>
    </row>
    <row r="586" spans="1:21" s="10" customFormat="1" ht="35.1" customHeight="1">
      <c r="A586" s="1241"/>
      <c r="B586" s="573"/>
      <c r="C586" s="568"/>
      <c r="D586" s="707"/>
      <c r="E586" s="708"/>
      <c r="F586" s="709"/>
      <c r="G586" s="463" t="s">
        <v>329</v>
      </c>
      <c r="H586" s="464"/>
      <c r="I586" s="464"/>
      <c r="J586" s="464"/>
      <c r="K586" s="465"/>
      <c r="L586" s="149"/>
      <c r="M586" s="313">
        <f>SUM(M582:M585)</f>
        <v>801</v>
      </c>
      <c r="N586" s="401">
        <f>SUM(N582:N585)</f>
        <v>361</v>
      </c>
      <c r="O586" s="401">
        <f>SUM(O582:O585)</f>
        <v>336</v>
      </c>
      <c r="P586" s="940"/>
      <c r="Q586" s="940"/>
      <c r="R586" s="940"/>
      <c r="S586" s="813"/>
      <c r="T586" s="501"/>
      <c r="U586" s="813"/>
    </row>
    <row r="587" spans="1:21" s="10" customFormat="1" ht="35.1" customHeight="1">
      <c r="A587" s="1241"/>
      <c r="B587" s="573"/>
      <c r="C587" s="862" t="s">
        <v>941</v>
      </c>
      <c r="D587" s="1399" t="s">
        <v>581</v>
      </c>
      <c r="E587" s="1400"/>
      <c r="F587" s="1401"/>
      <c r="G587" s="1057" t="s">
        <v>582</v>
      </c>
      <c r="H587" s="1058"/>
      <c r="I587" s="1059"/>
      <c r="J587" s="965" t="s">
        <v>11</v>
      </c>
      <c r="K587" s="965" t="s">
        <v>12</v>
      </c>
      <c r="L587" s="150">
        <v>59.987000000000002</v>
      </c>
      <c r="M587" s="129">
        <v>297</v>
      </c>
      <c r="N587" s="129">
        <v>10</v>
      </c>
      <c r="O587" s="129">
        <v>8</v>
      </c>
      <c r="P587" s="944" t="s">
        <v>903</v>
      </c>
      <c r="Q587" s="944" t="s">
        <v>739</v>
      </c>
      <c r="R587" s="944" t="s">
        <v>495</v>
      </c>
      <c r="S587" s="923" t="s">
        <v>13</v>
      </c>
      <c r="T587" s="923" t="s">
        <v>189</v>
      </c>
      <c r="U587" s="923" t="s">
        <v>11</v>
      </c>
    </row>
    <row r="588" spans="1:21" s="10" customFormat="1" ht="35.1" customHeight="1">
      <c r="A588" s="1241"/>
      <c r="B588" s="573"/>
      <c r="C588" s="863"/>
      <c r="D588" s="1402"/>
      <c r="E588" s="1403"/>
      <c r="F588" s="1404"/>
      <c r="G588" s="1060"/>
      <c r="H588" s="1061"/>
      <c r="I588" s="1062"/>
      <c r="J588" s="966"/>
      <c r="K588" s="966"/>
      <c r="L588" s="150">
        <v>59.987000000000002</v>
      </c>
      <c r="M588" s="129">
        <v>70</v>
      </c>
      <c r="N588" s="129">
        <v>4</v>
      </c>
      <c r="O588" s="129">
        <v>0</v>
      </c>
      <c r="P588" s="945"/>
      <c r="Q588" s="945"/>
      <c r="R588" s="945"/>
      <c r="S588" s="924"/>
      <c r="T588" s="924"/>
      <c r="U588" s="924"/>
    </row>
    <row r="589" spans="1:21" s="10" customFormat="1" ht="35.1" customHeight="1">
      <c r="A589" s="1241"/>
      <c r="B589" s="573"/>
      <c r="C589" s="863"/>
      <c r="D589" s="1402"/>
      <c r="E589" s="1403"/>
      <c r="F589" s="1404"/>
      <c r="G589" s="1060"/>
      <c r="H589" s="1061"/>
      <c r="I589" s="1062"/>
      <c r="J589" s="966"/>
      <c r="K589" s="966"/>
      <c r="L589" s="150">
        <v>84.788399999999996</v>
      </c>
      <c r="M589" s="129">
        <v>476</v>
      </c>
      <c r="N589" s="129">
        <v>323</v>
      </c>
      <c r="O589" s="129">
        <v>313</v>
      </c>
      <c r="P589" s="945"/>
      <c r="Q589" s="945"/>
      <c r="R589" s="945"/>
      <c r="S589" s="924"/>
      <c r="T589" s="924"/>
      <c r="U589" s="924"/>
    </row>
    <row r="590" spans="1:21" s="10" customFormat="1" ht="35.1" customHeight="1">
      <c r="A590" s="1241"/>
      <c r="B590" s="573"/>
      <c r="C590" s="863"/>
      <c r="D590" s="1402"/>
      <c r="E590" s="1403"/>
      <c r="F590" s="1404"/>
      <c r="G590" s="1060"/>
      <c r="H590" s="1061"/>
      <c r="I590" s="1062"/>
      <c r="J590" s="966"/>
      <c r="K590" s="966"/>
      <c r="L590" s="150">
        <v>84.997</v>
      </c>
      <c r="M590" s="129">
        <v>106</v>
      </c>
      <c r="N590" s="129">
        <v>17</v>
      </c>
      <c r="O590" s="129">
        <v>11</v>
      </c>
      <c r="P590" s="945"/>
      <c r="Q590" s="945"/>
      <c r="R590" s="945"/>
      <c r="S590" s="924"/>
      <c r="T590" s="924"/>
      <c r="U590" s="924"/>
    </row>
    <row r="591" spans="1:21" s="10" customFormat="1" ht="35.1" customHeight="1">
      <c r="A591" s="1241"/>
      <c r="B591" s="573"/>
      <c r="C591" s="863"/>
      <c r="D591" s="1402"/>
      <c r="E591" s="1403"/>
      <c r="F591" s="1404"/>
      <c r="G591" s="1063"/>
      <c r="H591" s="1064"/>
      <c r="I591" s="1065"/>
      <c r="J591" s="967"/>
      <c r="K591" s="967"/>
      <c r="L591" s="150">
        <v>84.966499999999996</v>
      </c>
      <c r="M591" s="129">
        <v>60</v>
      </c>
      <c r="N591" s="129">
        <v>24</v>
      </c>
      <c r="O591" s="129">
        <v>23</v>
      </c>
      <c r="P591" s="945"/>
      <c r="Q591" s="945"/>
      <c r="R591" s="945"/>
      <c r="S591" s="924"/>
      <c r="T591" s="924"/>
      <c r="U591" s="924"/>
    </row>
    <row r="592" spans="1:21" s="10" customFormat="1" ht="35.1" customHeight="1">
      <c r="A592" s="1241"/>
      <c r="B592" s="573"/>
      <c r="C592" s="864"/>
      <c r="D592" s="1405"/>
      <c r="E592" s="1406"/>
      <c r="F592" s="1407"/>
      <c r="G592" s="1373" t="s">
        <v>942</v>
      </c>
      <c r="H592" s="1374"/>
      <c r="I592" s="1374"/>
      <c r="J592" s="1374"/>
      <c r="K592" s="1374"/>
      <c r="L592" s="1375"/>
      <c r="M592" s="313">
        <f>SUM(M587:M591)</f>
        <v>1009</v>
      </c>
      <c r="N592" s="401">
        <f>SUM(N587:N591)</f>
        <v>378</v>
      </c>
      <c r="O592" s="401">
        <f>SUM(O587:O591)</f>
        <v>355</v>
      </c>
      <c r="P592" s="946"/>
      <c r="Q592" s="946"/>
      <c r="R592" s="946"/>
      <c r="S592" s="925"/>
      <c r="T592" s="925"/>
      <c r="U592" s="925"/>
    </row>
    <row r="593" spans="1:21" s="10" customFormat="1" ht="35.1" customHeight="1">
      <c r="A593" s="1241"/>
      <c r="B593" s="573"/>
      <c r="C593" s="566" t="s">
        <v>189</v>
      </c>
      <c r="D593" s="584" t="s">
        <v>582</v>
      </c>
      <c r="E593" s="585"/>
      <c r="F593" s="586"/>
      <c r="G593" s="1386" t="s">
        <v>189</v>
      </c>
      <c r="H593" s="1387"/>
      <c r="I593" s="1388"/>
      <c r="J593" s="969" t="s">
        <v>11</v>
      </c>
      <c r="K593" s="969" t="s">
        <v>12</v>
      </c>
      <c r="L593" s="312">
        <v>84.978399999999993</v>
      </c>
      <c r="M593" s="129">
        <v>168</v>
      </c>
      <c r="N593" s="129">
        <v>45</v>
      </c>
      <c r="O593" s="129">
        <v>25</v>
      </c>
      <c r="P593" s="844" t="s">
        <v>510</v>
      </c>
      <c r="Q593" s="920" t="s">
        <v>903</v>
      </c>
      <c r="R593" s="920" t="s">
        <v>956</v>
      </c>
      <c r="S593" s="914" t="s">
        <v>13</v>
      </c>
      <c r="T593" s="499"/>
      <c r="U593" s="914" t="s">
        <v>11</v>
      </c>
    </row>
    <row r="594" spans="1:21" s="10" customFormat="1" ht="35.1" customHeight="1">
      <c r="A594" s="1241"/>
      <c r="B594" s="573"/>
      <c r="C594" s="567"/>
      <c r="D594" s="587"/>
      <c r="E594" s="588"/>
      <c r="F594" s="589"/>
      <c r="G594" s="1389"/>
      <c r="H594" s="1390"/>
      <c r="I594" s="1391"/>
      <c r="J594" s="970"/>
      <c r="K594" s="970"/>
      <c r="L594" s="312">
        <v>84.991</v>
      </c>
      <c r="M594" s="129">
        <v>66</v>
      </c>
      <c r="N594" s="129">
        <v>46</v>
      </c>
      <c r="O594" s="129">
        <v>38</v>
      </c>
      <c r="P594" s="845"/>
      <c r="Q594" s="921"/>
      <c r="R594" s="921"/>
      <c r="S594" s="915"/>
      <c r="T594" s="500"/>
      <c r="U594" s="915"/>
    </row>
    <row r="595" spans="1:21" s="10" customFormat="1" ht="35.1" customHeight="1">
      <c r="A595" s="1241"/>
      <c r="B595" s="573"/>
      <c r="C595" s="567"/>
      <c r="D595" s="587"/>
      <c r="E595" s="588"/>
      <c r="F595" s="589"/>
      <c r="G595" s="1389"/>
      <c r="H595" s="1390"/>
      <c r="I595" s="1391"/>
      <c r="J595" s="970"/>
      <c r="K595" s="970"/>
      <c r="L595" s="312">
        <v>102.7011</v>
      </c>
      <c r="M595" s="129">
        <v>18</v>
      </c>
      <c r="N595" s="129">
        <v>13</v>
      </c>
      <c r="O595" s="129">
        <v>13</v>
      </c>
      <c r="P595" s="845"/>
      <c r="Q595" s="921"/>
      <c r="R595" s="921"/>
      <c r="S595" s="915"/>
      <c r="T595" s="500"/>
      <c r="U595" s="915"/>
    </row>
    <row r="596" spans="1:21" s="10" customFormat="1" ht="35.1" customHeight="1">
      <c r="A596" s="1241"/>
      <c r="B596" s="573"/>
      <c r="C596" s="567"/>
      <c r="D596" s="587"/>
      <c r="E596" s="588"/>
      <c r="F596" s="589"/>
      <c r="G596" s="1389"/>
      <c r="H596" s="1390"/>
      <c r="I596" s="1391"/>
      <c r="J596" s="970"/>
      <c r="K596" s="970"/>
      <c r="L596" s="312">
        <v>116.72969999999999</v>
      </c>
      <c r="M596" s="129">
        <v>61</v>
      </c>
      <c r="N596" s="129">
        <v>59</v>
      </c>
      <c r="O596" s="129">
        <v>59</v>
      </c>
      <c r="P596" s="845"/>
      <c r="Q596" s="921"/>
      <c r="R596" s="921"/>
      <c r="S596" s="915"/>
      <c r="T596" s="500"/>
      <c r="U596" s="915"/>
    </row>
    <row r="597" spans="1:21" s="10" customFormat="1" ht="35.1" customHeight="1">
      <c r="A597" s="1241"/>
      <c r="B597" s="573"/>
      <c r="C597" s="567"/>
      <c r="D597" s="587"/>
      <c r="E597" s="588"/>
      <c r="F597" s="589"/>
      <c r="G597" s="1392"/>
      <c r="H597" s="1393"/>
      <c r="I597" s="1394"/>
      <c r="J597" s="971"/>
      <c r="K597" s="971"/>
      <c r="L597" s="312">
        <v>118.1152</v>
      </c>
      <c r="M597" s="129">
        <v>42</v>
      </c>
      <c r="N597" s="129">
        <v>30</v>
      </c>
      <c r="O597" s="129">
        <v>27</v>
      </c>
      <c r="P597" s="845"/>
      <c r="Q597" s="921"/>
      <c r="R597" s="921"/>
      <c r="S597" s="915"/>
      <c r="T597" s="500"/>
      <c r="U597" s="915"/>
    </row>
    <row r="598" spans="1:21" s="10" customFormat="1" ht="35.1" customHeight="1">
      <c r="A598" s="1241"/>
      <c r="B598" s="573"/>
      <c r="C598" s="568"/>
      <c r="D598" s="707"/>
      <c r="E598" s="708"/>
      <c r="F598" s="709"/>
      <c r="G598" s="463" t="s">
        <v>329</v>
      </c>
      <c r="H598" s="464"/>
      <c r="I598" s="464"/>
      <c r="J598" s="464"/>
      <c r="K598" s="465"/>
      <c r="L598" s="133"/>
      <c r="M598" s="252">
        <f>SUM(M593:M597)</f>
        <v>355</v>
      </c>
      <c r="N598" s="396">
        <f>SUM(N593:N597)</f>
        <v>193</v>
      </c>
      <c r="O598" s="396">
        <f>SUM(O593:O597)</f>
        <v>162</v>
      </c>
      <c r="P598" s="846"/>
      <c r="Q598" s="922"/>
      <c r="R598" s="922"/>
      <c r="S598" s="916"/>
      <c r="T598" s="501"/>
      <c r="U598" s="916"/>
    </row>
    <row r="599" spans="1:21" s="10" customFormat="1" ht="35.1" customHeight="1">
      <c r="A599" s="1241"/>
      <c r="B599" s="573"/>
      <c r="C599" s="566" t="s">
        <v>189</v>
      </c>
      <c r="D599" s="584" t="s">
        <v>582</v>
      </c>
      <c r="E599" s="585"/>
      <c r="F599" s="586"/>
      <c r="G599" s="1036" t="s">
        <v>189</v>
      </c>
      <c r="H599" s="1037"/>
      <c r="I599" s="1038"/>
      <c r="J599" s="632" t="s">
        <v>11</v>
      </c>
      <c r="K599" s="632" t="s">
        <v>12</v>
      </c>
      <c r="L599" s="268">
        <v>84.903599999999997</v>
      </c>
      <c r="M599" s="228">
        <v>319</v>
      </c>
      <c r="N599" s="127">
        <v>0</v>
      </c>
      <c r="O599" s="127">
        <v>0</v>
      </c>
      <c r="P599" s="920" t="s">
        <v>957</v>
      </c>
      <c r="Q599" s="920" t="s">
        <v>437</v>
      </c>
      <c r="R599" s="920" t="s">
        <v>958</v>
      </c>
      <c r="S599" s="914" t="s">
        <v>13</v>
      </c>
      <c r="T599" s="499" t="s">
        <v>189</v>
      </c>
      <c r="U599" s="811" t="s">
        <v>11</v>
      </c>
    </row>
    <row r="600" spans="1:21" s="10" customFormat="1" ht="35.1" customHeight="1">
      <c r="A600" s="1241"/>
      <c r="B600" s="573"/>
      <c r="C600" s="567"/>
      <c r="D600" s="587"/>
      <c r="E600" s="588"/>
      <c r="F600" s="589"/>
      <c r="G600" s="1039"/>
      <c r="H600" s="1040"/>
      <c r="I600" s="1041"/>
      <c r="J600" s="633"/>
      <c r="K600" s="633"/>
      <c r="L600" s="268">
        <v>84.902100000000004</v>
      </c>
      <c r="M600" s="228">
        <v>286</v>
      </c>
      <c r="N600" s="127">
        <v>1</v>
      </c>
      <c r="O600" s="127">
        <v>0</v>
      </c>
      <c r="P600" s="921"/>
      <c r="Q600" s="921"/>
      <c r="R600" s="921"/>
      <c r="S600" s="915"/>
      <c r="T600" s="500"/>
      <c r="U600" s="812"/>
    </row>
    <row r="601" spans="1:21" s="10" customFormat="1" ht="35.1" customHeight="1">
      <c r="A601" s="1241"/>
      <c r="B601" s="573"/>
      <c r="C601" s="567"/>
      <c r="D601" s="587"/>
      <c r="E601" s="588"/>
      <c r="F601" s="589"/>
      <c r="G601" s="1039"/>
      <c r="H601" s="1040"/>
      <c r="I601" s="1041"/>
      <c r="J601" s="633"/>
      <c r="K601" s="633"/>
      <c r="L601" s="268">
        <v>84.763099999999994</v>
      </c>
      <c r="M601" s="228">
        <v>41</v>
      </c>
      <c r="N601" s="127">
        <v>0</v>
      </c>
      <c r="O601" s="127">
        <v>0</v>
      </c>
      <c r="P601" s="921"/>
      <c r="Q601" s="921"/>
      <c r="R601" s="921"/>
      <c r="S601" s="915"/>
      <c r="T601" s="500"/>
      <c r="U601" s="812"/>
    </row>
    <row r="602" spans="1:21" s="10" customFormat="1" ht="35.1" customHeight="1">
      <c r="A602" s="1241"/>
      <c r="B602" s="573"/>
      <c r="C602" s="567"/>
      <c r="D602" s="587"/>
      <c r="E602" s="588"/>
      <c r="F602" s="589"/>
      <c r="G602" s="1042"/>
      <c r="H602" s="1043"/>
      <c r="I602" s="1044"/>
      <c r="J602" s="634"/>
      <c r="K602" s="634"/>
      <c r="L602" s="268">
        <v>115.1395</v>
      </c>
      <c r="M602" s="228">
        <v>60</v>
      </c>
      <c r="N602" s="127">
        <v>0</v>
      </c>
      <c r="O602" s="127">
        <v>0</v>
      </c>
      <c r="P602" s="921"/>
      <c r="Q602" s="921"/>
      <c r="R602" s="921"/>
      <c r="S602" s="915"/>
      <c r="T602" s="500"/>
      <c r="U602" s="812"/>
    </row>
    <row r="603" spans="1:21" s="10" customFormat="1" ht="35.1" customHeight="1">
      <c r="A603" s="1241"/>
      <c r="B603" s="573"/>
      <c r="C603" s="568"/>
      <c r="D603" s="707"/>
      <c r="E603" s="708"/>
      <c r="F603" s="709"/>
      <c r="G603" s="463" t="s">
        <v>329</v>
      </c>
      <c r="H603" s="464"/>
      <c r="I603" s="464"/>
      <c r="J603" s="464"/>
      <c r="K603" s="465"/>
      <c r="L603" s="185"/>
      <c r="M603" s="259">
        <f>SUM(M599:M602)</f>
        <v>706</v>
      </c>
      <c r="N603" s="260">
        <f>SUM(N599:N602)</f>
        <v>1</v>
      </c>
      <c r="O603" s="260">
        <f>SUM(O599:O602)</f>
        <v>0</v>
      </c>
      <c r="P603" s="922"/>
      <c r="Q603" s="922"/>
      <c r="R603" s="922"/>
      <c r="S603" s="916"/>
      <c r="T603" s="501"/>
      <c r="U603" s="813"/>
    </row>
    <row r="604" spans="1:21" s="10" customFormat="1" ht="35.1" customHeight="1">
      <c r="A604" s="1241"/>
      <c r="B604" s="573"/>
      <c r="C604" s="566" t="s">
        <v>189</v>
      </c>
      <c r="D604" s="584" t="s">
        <v>581</v>
      </c>
      <c r="E604" s="585"/>
      <c r="F604" s="586"/>
      <c r="G604" s="1036" t="s">
        <v>189</v>
      </c>
      <c r="H604" s="1037"/>
      <c r="I604" s="1038"/>
      <c r="J604" s="701" t="s">
        <v>11</v>
      </c>
      <c r="K604" s="701" t="s">
        <v>12</v>
      </c>
      <c r="L604" s="150">
        <v>84</v>
      </c>
      <c r="M604" s="221">
        <v>339</v>
      </c>
      <c r="N604" s="127">
        <v>34</v>
      </c>
      <c r="O604" s="127">
        <v>34</v>
      </c>
      <c r="P604" s="1054" t="s">
        <v>624</v>
      </c>
      <c r="Q604" s="941" t="s">
        <v>959</v>
      </c>
      <c r="R604" s="941" t="s">
        <v>960</v>
      </c>
      <c r="S604" s="811" t="s">
        <v>13</v>
      </c>
      <c r="T604" s="499" t="s">
        <v>189</v>
      </c>
      <c r="U604" s="811" t="s">
        <v>11</v>
      </c>
    </row>
    <row r="605" spans="1:21" s="10" customFormat="1" ht="35.1" customHeight="1">
      <c r="A605" s="1241"/>
      <c r="B605" s="573"/>
      <c r="C605" s="567"/>
      <c r="D605" s="587"/>
      <c r="E605" s="588"/>
      <c r="F605" s="589"/>
      <c r="G605" s="1039"/>
      <c r="H605" s="1040"/>
      <c r="I605" s="1041"/>
      <c r="J605" s="702"/>
      <c r="K605" s="702"/>
      <c r="L605" s="150">
        <v>84</v>
      </c>
      <c r="M605" s="221">
        <v>76</v>
      </c>
      <c r="N605" s="127">
        <v>29</v>
      </c>
      <c r="O605" s="127">
        <v>27</v>
      </c>
      <c r="P605" s="1055"/>
      <c r="Q605" s="942"/>
      <c r="R605" s="942"/>
      <c r="S605" s="812"/>
      <c r="T605" s="500"/>
      <c r="U605" s="812"/>
    </row>
    <row r="606" spans="1:21" s="10" customFormat="1" ht="35.1" customHeight="1">
      <c r="A606" s="1241"/>
      <c r="B606" s="573"/>
      <c r="C606" s="567"/>
      <c r="D606" s="587"/>
      <c r="E606" s="588"/>
      <c r="F606" s="589"/>
      <c r="G606" s="1039"/>
      <c r="H606" s="1040"/>
      <c r="I606" s="1041"/>
      <c r="J606" s="702"/>
      <c r="K606" s="702"/>
      <c r="L606" s="150">
        <v>84</v>
      </c>
      <c r="M606" s="221">
        <v>64</v>
      </c>
      <c r="N606" s="127">
        <v>5</v>
      </c>
      <c r="O606" s="127">
        <v>5</v>
      </c>
      <c r="P606" s="1055"/>
      <c r="Q606" s="942"/>
      <c r="R606" s="942"/>
      <c r="S606" s="812"/>
      <c r="T606" s="500"/>
      <c r="U606" s="812"/>
    </row>
    <row r="607" spans="1:21" s="10" customFormat="1" ht="35.1" customHeight="1">
      <c r="A607" s="1241"/>
      <c r="B607" s="573"/>
      <c r="C607" s="567"/>
      <c r="D607" s="587"/>
      <c r="E607" s="588"/>
      <c r="F607" s="589"/>
      <c r="G607" s="1042"/>
      <c r="H607" s="1043"/>
      <c r="I607" s="1044"/>
      <c r="J607" s="703"/>
      <c r="K607" s="703"/>
      <c r="L607" s="150">
        <v>84</v>
      </c>
      <c r="M607" s="221">
        <v>192</v>
      </c>
      <c r="N607" s="127">
        <v>22</v>
      </c>
      <c r="O607" s="127">
        <v>22</v>
      </c>
      <c r="P607" s="1055"/>
      <c r="Q607" s="942"/>
      <c r="R607" s="942"/>
      <c r="S607" s="812"/>
      <c r="T607" s="500"/>
      <c r="U607" s="812"/>
    </row>
    <row r="608" spans="1:21" s="10" customFormat="1" ht="35.1" customHeight="1">
      <c r="A608" s="1241"/>
      <c r="B608" s="573"/>
      <c r="C608" s="568"/>
      <c r="D608" s="707"/>
      <c r="E608" s="708"/>
      <c r="F608" s="709"/>
      <c r="G608" s="463" t="s">
        <v>329</v>
      </c>
      <c r="H608" s="464"/>
      <c r="I608" s="464"/>
      <c r="J608" s="464"/>
      <c r="K608" s="465"/>
      <c r="L608" s="186"/>
      <c r="M608" s="249">
        <f>SUM(M604:M607)</f>
        <v>671</v>
      </c>
      <c r="N608" s="246">
        <f>SUM(N604:N607)</f>
        <v>90</v>
      </c>
      <c r="O608" s="246">
        <f>SUM(O604:O607)</f>
        <v>88</v>
      </c>
      <c r="P608" s="1056"/>
      <c r="Q608" s="943"/>
      <c r="R608" s="943"/>
      <c r="S608" s="813"/>
      <c r="T608" s="501"/>
      <c r="U608" s="813"/>
    </row>
    <row r="609" spans="1:21" s="10" customFormat="1" ht="35.1" customHeight="1">
      <c r="A609" s="1241"/>
      <c r="B609" s="573"/>
      <c r="C609" s="566" t="s">
        <v>189</v>
      </c>
      <c r="D609" s="584" t="s">
        <v>582</v>
      </c>
      <c r="E609" s="585"/>
      <c r="F609" s="586"/>
      <c r="G609" s="1027" t="s">
        <v>189</v>
      </c>
      <c r="H609" s="1028"/>
      <c r="I609" s="1029"/>
      <c r="J609" s="701" t="s">
        <v>11</v>
      </c>
      <c r="K609" s="701" t="s">
        <v>12</v>
      </c>
      <c r="L609" s="187">
        <v>74.170199999999994</v>
      </c>
      <c r="M609" s="228">
        <v>31</v>
      </c>
      <c r="N609" s="330">
        <v>0</v>
      </c>
      <c r="O609" s="330">
        <v>0</v>
      </c>
      <c r="P609" s="938" t="s">
        <v>624</v>
      </c>
      <c r="Q609" s="938" t="s">
        <v>617</v>
      </c>
      <c r="R609" s="938" t="s">
        <v>961</v>
      </c>
      <c r="S609" s="811" t="s">
        <v>13</v>
      </c>
      <c r="T609" s="499" t="s">
        <v>189</v>
      </c>
      <c r="U609" s="811" t="s">
        <v>11</v>
      </c>
    </row>
    <row r="610" spans="1:21" s="10" customFormat="1" ht="35.1" customHeight="1">
      <c r="A610" s="1241"/>
      <c r="B610" s="573"/>
      <c r="C610" s="567"/>
      <c r="D610" s="587"/>
      <c r="E610" s="588"/>
      <c r="F610" s="589"/>
      <c r="G610" s="1030"/>
      <c r="H610" s="1031"/>
      <c r="I610" s="1032"/>
      <c r="J610" s="702"/>
      <c r="K610" s="702"/>
      <c r="L610" s="187">
        <v>84.8078</v>
      </c>
      <c r="M610" s="228">
        <v>50</v>
      </c>
      <c r="N610" s="330">
        <v>0</v>
      </c>
      <c r="O610" s="330">
        <v>0</v>
      </c>
      <c r="P610" s="939"/>
      <c r="Q610" s="939"/>
      <c r="R610" s="939"/>
      <c r="S610" s="812"/>
      <c r="T610" s="500"/>
      <c r="U610" s="812"/>
    </row>
    <row r="611" spans="1:21" s="10" customFormat="1" ht="35.1" customHeight="1">
      <c r="A611" s="1241"/>
      <c r="B611" s="573"/>
      <c r="C611" s="567"/>
      <c r="D611" s="587"/>
      <c r="E611" s="588"/>
      <c r="F611" s="589"/>
      <c r="G611" s="1030"/>
      <c r="H611" s="1031"/>
      <c r="I611" s="1032"/>
      <c r="J611" s="702"/>
      <c r="K611" s="702"/>
      <c r="L611" s="187" t="s">
        <v>622</v>
      </c>
      <c r="M611" s="228">
        <v>59</v>
      </c>
      <c r="N611" s="330">
        <v>0</v>
      </c>
      <c r="O611" s="330">
        <v>0</v>
      </c>
      <c r="P611" s="939"/>
      <c r="Q611" s="939"/>
      <c r="R611" s="939"/>
      <c r="S611" s="812"/>
      <c r="T611" s="500"/>
      <c r="U611" s="812"/>
    </row>
    <row r="612" spans="1:21" s="10" customFormat="1" ht="35.1" customHeight="1">
      <c r="A612" s="1241"/>
      <c r="B612" s="573"/>
      <c r="C612" s="567"/>
      <c r="D612" s="587"/>
      <c r="E612" s="588"/>
      <c r="F612" s="589"/>
      <c r="G612" s="1030"/>
      <c r="H612" s="1031"/>
      <c r="I612" s="1032"/>
      <c r="J612" s="702"/>
      <c r="K612" s="702"/>
      <c r="L612" s="187">
        <v>126.98609999999999</v>
      </c>
      <c r="M612" s="228">
        <v>3</v>
      </c>
      <c r="N612" s="330">
        <v>0</v>
      </c>
      <c r="O612" s="330">
        <v>0</v>
      </c>
      <c r="P612" s="939"/>
      <c r="Q612" s="939"/>
      <c r="R612" s="939"/>
      <c r="S612" s="812"/>
      <c r="T612" s="500"/>
      <c r="U612" s="812"/>
    </row>
    <row r="613" spans="1:21" s="10" customFormat="1" ht="35.1" customHeight="1">
      <c r="A613" s="1241"/>
      <c r="B613" s="573"/>
      <c r="C613" s="567"/>
      <c r="D613" s="587"/>
      <c r="E613" s="588"/>
      <c r="F613" s="589"/>
      <c r="G613" s="1033"/>
      <c r="H613" s="1034"/>
      <c r="I613" s="1035"/>
      <c r="J613" s="703"/>
      <c r="K613" s="703"/>
      <c r="L613" s="187">
        <v>136.66630000000001</v>
      </c>
      <c r="M613" s="228">
        <v>3</v>
      </c>
      <c r="N613" s="330">
        <v>0</v>
      </c>
      <c r="O613" s="330">
        <v>0</v>
      </c>
      <c r="P613" s="939"/>
      <c r="Q613" s="939"/>
      <c r="R613" s="939"/>
      <c r="S613" s="812"/>
      <c r="T613" s="500"/>
      <c r="U613" s="812"/>
    </row>
    <row r="614" spans="1:21" s="10" customFormat="1" ht="35.1" customHeight="1">
      <c r="A614" s="1241"/>
      <c r="B614" s="573"/>
      <c r="C614" s="568"/>
      <c r="D614" s="707"/>
      <c r="E614" s="708"/>
      <c r="F614" s="709"/>
      <c r="G614" s="463" t="s">
        <v>329</v>
      </c>
      <c r="H614" s="464"/>
      <c r="I614" s="464"/>
      <c r="J614" s="464"/>
      <c r="K614" s="465"/>
      <c r="L614" s="342"/>
      <c r="M614" s="249">
        <f>SUM(M609:M613)</f>
        <v>146</v>
      </c>
      <c r="N614" s="246">
        <f>SUM(N609:N613)</f>
        <v>0</v>
      </c>
      <c r="O614" s="246">
        <f>SUM(O609:O613)</f>
        <v>0</v>
      </c>
      <c r="P614" s="940"/>
      <c r="Q614" s="940"/>
      <c r="R614" s="940"/>
      <c r="S614" s="813"/>
      <c r="T614" s="501"/>
      <c r="U614" s="813"/>
    </row>
    <row r="615" spans="1:21" s="10" customFormat="1" ht="35.1" customHeight="1">
      <c r="A615" s="1241"/>
      <c r="B615" s="573"/>
      <c r="C615" s="566" t="s">
        <v>189</v>
      </c>
      <c r="D615" s="584" t="s">
        <v>582</v>
      </c>
      <c r="E615" s="585"/>
      <c r="F615" s="586"/>
      <c r="G615" s="1027" t="s">
        <v>189</v>
      </c>
      <c r="H615" s="1028"/>
      <c r="I615" s="1029"/>
      <c r="J615" s="701" t="s">
        <v>11</v>
      </c>
      <c r="K615" s="701" t="s">
        <v>12</v>
      </c>
      <c r="L615" s="187">
        <v>60.827100000000002</v>
      </c>
      <c r="M615" s="228">
        <v>29</v>
      </c>
      <c r="N615" s="132">
        <v>0</v>
      </c>
      <c r="O615" s="132">
        <v>0</v>
      </c>
      <c r="P615" s="938" t="s">
        <v>616</v>
      </c>
      <c r="Q615" s="938" t="s">
        <v>617</v>
      </c>
      <c r="R615" s="938" t="s">
        <v>961</v>
      </c>
      <c r="S615" s="811" t="s">
        <v>13</v>
      </c>
      <c r="T615" s="499" t="s">
        <v>189</v>
      </c>
      <c r="U615" s="811" t="s">
        <v>11</v>
      </c>
    </row>
    <row r="616" spans="1:21" s="10" customFormat="1" ht="35.1" customHeight="1">
      <c r="A616" s="1241"/>
      <c r="B616" s="573"/>
      <c r="C616" s="567"/>
      <c r="D616" s="587"/>
      <c r="E616" s="588"/>
      <c r="F616" s="589"/>
      <c r="G616" s="1030"/>
      <c r="H616" s="1031"/>
      <c r="I616" s="1032"/>
      <c r="J616" s="702"/>
      <c r="K616" s="702"/>
      <c r="L616" s="187" t="s">
        <v>623</v>
      </c>
      <c r="M616" s="228">
        <v>34</v>
      </c>
      <c r="N616" s="132">
        <v>0</v>
      </c>
      <c r="O616" s="132">
        <v>0</v>
      </c>
      <c r="P616" s="939"/>
      <c r="Q616" s="939"/>
      <c r="R616" s="939"/>
      <c r="S616" s="812"/>
      <c r="T616" s="500"/>
      <c r="U616" s="812"/>
    </row>
    <row r="617" spans="1:21" s="10" customFormat="1" ht="35.1" customHeight="1">
      <c r="A617" s="1241"/>
      <c r="B617" s="573"/>
      <c r="C617" s="567"/>
      <c r="D617" s="587"/>
      <c r="E617" s="588"/>
      <c r="F617" s="589"/>
      <c r="G617" s="1030"/>
      <c r="H617" s="1031"/>
      <c r="I617" s="1032"/>
      <c r="J617" s="702"/>
      <c r="K617" s="702"/>
      <c r="L617" s="187">
        <v>74.170199999999994</v>
      </c>
      <c r="M617" s="228">
        <v>60</v>
      </c>
      <c r="N617" s="132">
        <v>0</v>
      </c>
      <c r="O617" s="132">
        <v>0</v>
      </c>
      <c r="P617" s="939"/>
      <c r="Q617" s="939"/>
      <c r="R617" s="939"/>
      <c r="S617" s="812"/>
      <c r="T617" s="500"/>
      <c r="U617" s="812"/>
    </row>
    <row r="618" spans="1:21" s="10" customFormat="1" ht="35.1" customHeight="1">
      <c r="A618" s="1241"/>
      <c r="B618" s="573"/>
      <c r="C618" s="567"/>
      <c r="D618" s="587"/>
      <c r="E618" s="588"/>
      <c r="F618" s="589"/>
      <c r="G618" s="1030"/>
      <c r="H618" s="1031"/>
      <c r="I618" s="1032"/>
      <c r="J618" s="702"/>
      <c r="K618" s="702"/>
      <c r="L618" s="187">
        <v>84.8078</v>
      </c>
      <c r="M618" s="228">
        <v>26</v>
      </c>
      <c r="N618" s="132">
        <v>0</v>
      </c>
      <c r="O618" s="132">
        <v>0</v>
      </c>
      <c r="P618" s="939"/>
      <c r="Q618" s="939"/>
      <c r="R618" s="939"/>
      <c r="S618" s="812"/>
      <c r="T618" s="500"/>
      <c r="U618" s="812"/>
    </row>
    <row r="619" spans="1:21" s="10" customFormat="1" ht="35.1" customHeight="1">
      <c r="A619" s="1241"/>
      <c r="B619" s="573"/>
      <c r="C619" s="567"/>
      <c r="D619" s="587"/>
      <c r="E619" s="588"/>
      <c r="F619" s="589"/>
      <c r="G619" s="1030"/>
      <c r="H619" s="1031"/>
      <c r="I619" s="1032"/>
      <c r="J619" s="702"/>
      <c r="K619" s="702"/>
      <c r="L619" s="187" t="s">
        <v>622</v>
      </c>
      <c r="M619" s="228">
        <v>17</v>
      </c>
      <c r="N619" s="132">
        <v>0</v>
      </c>
      <c r="O619" s="132">
        <v>0</v>
      </c>
      <c r="P619" s="939"/>
      <c r="Q619" s="939"/>
      <c r="R619" s="939"/>
      <c r="S619" s="812"/>
      <c r="T619" s="500"/>
      <c r="U619" s="812"/>
    </row>
    <row r="620" spans="1:21" s="10" customFormat="1" ht="35.1" customHeight="1">
      <c r="A620" s="1241"/>
      <c r="B620" s="573"/>
      <c r="C620" s="567"/>
      <c r="D620" s="587"/>
      <c r="E620" s="588"/>
      <c r="F620" s="589"/>
      <c r="G620" s="1030"/>
      <c r="H620" s="1031"/>
      <c r="I620" s="1032"/>
      <c r="J620" s="702"/>
      <c r="K620" s="702"/>
      <c r="L620" s="187">
        <v>127.7919</v>
      </c>
      <c r="M620" s="228">
        <v>1</v>
      </c>
      <c r="N620" s="132">
        <v>0</v>
      </c>
      <c r="O620" s="132">
        <v>0</v>
      </c>
      <c r="P620" s="939"/>
      <c r="Q620" s="939"/>
      <c r="R620" s="939"/>
      <c r="S620" s="812"/>
      <c r="T620" s="500"/>
      <c r="U620" s="812"/>
    </row>
    <row r="621" spans="1:21" s="10" customFormat="1" ht="35.1" customHeight="1">
      <c r="A621" s="1241"/>
      <c r="B621" s="573"/>
      <c r="C621" s="567"/>
      <c r="D621" s="587"/>
      <c r="E621" s="588"/>
      <c r="F621" s="589"/>
      <c r="G621" s="1033"/>
      <c r="H621" s="1034"/>
      <c r="I621" s="1035"/>
      <c r="J621" s="703"/>
      <c r="K621" s="703"/>
      <c r="L621" s="187">
        <v>136.66630000000001</v>
      </c>
      <c r="M621" s="228">
        <v>1</v>
      </c>
      <c r="N621" s="132">
        <v>0</v>
      </c>
      <c r="O621" s="132">
        <v>0</v>
      </c>
      <c r="P621" s="939"/>
      <c r="Q621" s="939"/>
      <c r="R621" s="939"/>
      <c r="S621" s="812"/>
      <c r="T621" s="500"/>
      <c r="U621" s="812"/>
    </row>
    <row r="622" spans="1:21" s="10" customFormat="1" ht="35.1" customHeight="1">
      <c r="A622" s="1241"/>
      <c r="B622" s="573"/>
      <c r="C622" s="568"/>
      <c r="D622" s="707"/>
      <c r="E622" s="708"/>
      <c r="F622" s="709"/>
      <c r="G622" s="463" t="s">
        <v>329</v>
      </c>
      <c r="H622" s="464"/>
      <c r="I622" s="464"/>
      <c r="J622" s="464"/>
      <c r="K622" s="465"/>
      <c r="L622" s="342"/>
      <c r="M622" s="249">
        <f>SUM(M615:M621)</f>
        <v>168</v>
      </c>
      <c r="N622" s="246">
        <f>SUM(N615:N621)</f>
        <v>0</v>
      </c>
      <c r="O622" s="246">
        <f>SUM(O615:O621)</f>
        <v>0</v>
      </c>
      <c r="P622" s="940"/>
      <c r="Q622" s="940"/>
      <c r="R622" s="940"/>
      <c r="S622" s="813"/>
      <c r="T622" s="501"/>
      <c r="U622" s="813"/>
    </row>
    <row r="623" spans="1:21" s="10" customFormat="1" ht="35.1" customHeight="1">
      <c r="A623" s="1241"/>
      <c r="B623" s="573"/>
      <c r="C623" s="566" t="s">
        <v>189</v>
      </c>
      <c r="D623" s="584" t="s">
        <v>582</v>
      </c>
      <c r="E623" s="585"/>
      <c r="F623" s="586"/>
      <c r="G623" s="1027" t="s">
        <v>189</v>
      </c>
      <c r="H623" s="1028"/>
      <c r="I623" s="1029"/>
      <c r="J623" s="701" t="s">
        <v>11</v>
      </c>
      <c r="K623" s="701" t="s">
        <v>12</v>
      </c>
      <c r="L623" s="187">
        <v>59.7622</v>
      </c>
      <c r="M623" s="228">
        <v>387</v>
      </c>
      <c r="N623" s="127">
        <v>1</v>
      </c>
      <c r="O623" s="127">
        <v>1</v>
      </c>
      <c r="P623" s="817" t="s">
        <v>617</v>
      </c>
      <c r="Q623" s="817" t="s">
        <v>428</v>
      </c>
      <c r="R623" s="817" t="s">
        <v>495</v>
      </c>
      <c r="S623" s="947" t="s">
        <v>13</v>
      </c>
      <c r="T623" s="566" t="s">
        <v>54</v>
      </c>
      <c r="U623" s="947" t="s">
        <v>11</v>
      </c>
    </row>
    <row r="624" spans="1:21" s="10" customFormat="1" ht="35.1" customHeight="1">
      <c r="A624" s="1241"/>
      <c r="B624" s="573"/>
      <c r="C624" s="567"/>
      <c r="D624" s="587"/>
      <c r="E624" s="588"/>
      <c r="F624" s="589"/>
      <c r="G624" s="1033"/>
      <c r="H624" s="1034"/>
      <c r="I624" s="1035"/>
      <c r="J624" s="703"/>
      <c r="K624" s="703"/>
      <c r="L624" s="187">
        <v>59.748399999999997</v>
      </c>
      <c r="M624" s="228">
        <v>136</v>
      </c>
      <c r="N624" s="127">
        <v>1</v>
      </c>
      <c r="O624" s="127">
        <v>1</v>
      </c>
      <c r="P624" s="818"/>
      <c r="Q624" s="818"/>
      <c r="R624" s="818"/>
      <c r="S624" s="948"/>
      <c r="T624" s="567"/>
      <c r="U624" s="948"/>
    </row>
    <row r="625" spans="1:1892" s="10" customFormat="1" ht="35.25" customHeight="1">
      <c r="A625" s="1241"/>
      <c r="B625" s="573"/>
      <c r="C625" s="568"/>
      <c r="D625" s="707"/>
      <c r="E625" s="708"/>
      <c r="F625" s="709"/>
      <c r="G625" s="463" t="s">
        <v>329</v>
      </c>
      <c r="H625" s="464"/>
      <c r="I625" s="464"/>
      <c r="J625" s="464"/>
      <c r="K625" s="465"/>
      <c r="L625" s="342"/>
      <c r="M625" s="249">
        <f>SUM(M623:M624)</f>
        <v>523</v>
      </c>
      <c r="N625" s="246">
        <f>SUM(N623:N624)</f>
        <v>2</v>
      </c>
      <c r="O625" s="246">
        <f>SUM(O623:O624)</f>
        <v>2</v>
      </c>
      <c r="P625" s="819"/>
      <c r="Q625" s="819"/>
      <c r="R625" s="819"/>
      <c r="S625" s="949"/>
      <c r="T625" s="568"/>
      <c r="U625" s="949"/>
    </row>
    <row r="626" spans="1:1892" s="10" customFormat="1" ht="35.25" customHeight="1">
      <c r="A626" s="1241"/>
      <c r="B626" s="573"/>
      <c r="C626" s="862" t="s">
        <v>54</v>
      </c>
      <c r="D626" s="584" t="s">
        <v>582</v>
      </c>
      <c r="E626" s="585"/>
      <c r="F626" s="586"/>
      <c r="G626" s="584" t="s">
        <v>582</v>
      </c>
      <c r="H626" s="585"/>
      <c r="I626" s="586"/>
      <c r="J626" s="584" t="s">
        <v>11</v>
      </c>
      <c r="K626" s="584" t="s">
        <v>12</v>
      </c>
      <c r="L626" s="187">
        <v>84.9649</v>
      </c>
      <c r="M626" s="228">
        <v>221</v>
      </c>
      <c r="N626" s="228"/>
      <c r="O626" s="228">
        <v>217</v>
      </c>
      <c r="P626" s="817" t="s">
        <v>961</v>
      </c>
      <c r="Q626" s="817" t="s">
        <v>1151</v>
      </c>
      <c r="R626" s="817" t="s">
        <v>1152</v>
      </c>
      <c r="S626" s="817" t="s">
        <v>13</v>
      </c>
      <c r="T626" s="817"/>
      <c r="U626" s="817" t="s">
        <v>11</v>
      </c>
    </row>
    <row r="627" spans="1:1892" s="10" customFormat="1" ht="35.25" customHeight="1">
      <c r="A627" s="1241"/>
      <c r="B627" s="573"/>
      <c r="C627" s="863"/>
      <c r="D627" s="587"/>
      <c r="E627" s="588"/>
      <c r="F627" s="589"/>
      <c r="G627" s="587"/>
      <c r="H627" s="588"/>
      <c r="I627" s="589"/>
      <c r="J627" s="587"/>
      <c r="K627" s="587"/>
      <c r="L627" s="187">
        <v>84.961100000000002</v>
      </c>
      <c r="M627" s="228">
        <v>131</v>
      </c>
      <c r="N627" s="228"/>
      <c r="O627" s="228">
        <v>129</v>
      </c>
      <c r="P627" s="818"/>
      <c r="Q627" s="818"/>
      <c r="R627" s="818"/>
      <c r="S627" s="818"/>
      <c r="T627" s="818"/>
      <c r="U627" s="818"/>
    </row>
    <row r="628" spans="1:1892" s="10" customFormat="1" ht="35.25" customHeight="1">
      <c r="A628" s="1241"/>
      <c r="B628" s="573"/>
      <c r="C628" s="863"/>
      <c r="D628" s="587"/>
      <c r="E628" s="588"/>
      <c r="F628" s="589"/>
      <c r="G628" s="587"/>
      <c r="H628" s="588"/>
      <c r="I628" s="589"/>
      <c r="J628" s="587"/>
      <c r="K628" s="587"/>
      <c r="L628" s="187">
        <v>84.940399999999997</v>
      </c>
      <c r="M628" s="228">
        <v>184</v>
      </c>
      <c r="N628" s="228"/>
      <c r="O628" s="228">
        <v>183</v>
      </c>
      <c r="P628" s="818"/>
      <c r="Q628" s="818"/>
      <c r="R628" s="818"/>
      <c r="S628" s="818"/>
      <c r="T628" s="818"/>
      <c r="U628" s="818"/>
    </row>
    <row r="629" spans="1:1892" s="10" customFormat="1" ht="35.25" customHeight="1">
      <c r="A629" s="1241"/>
      <c r="B629" s="576"/>
      <c r="C629" s="864"/>
      <c r="D629" s="707"/>
      <c r="E629" s="708"/>
      <c r="F629" s="709"/>
      <c r="G629" s="463" t="s">
        <v>329</v>
      </c>
      <c r="H629" s="464"/>
      <c r="I629" s="464"/>
      <c r="J629" s="464"/>
      <c r="K629" s="465"/>
      <c r="L629" s="450"/>
      <c r="M629" s="249">
        <f>SUM(M626:M628)</f>
        <v>536</v>
      </c>
      <c r="N629" s="249">
        <f t="shared" ref="N629:O629" si="48">SUM(N626:N628)</f>
        <v>0</v>
      </c>
      <c r="O629" s="249">
        <f t="shared" si="48"/>
        <v>529</v>
      </c>
      <c r="P629" s="819"/>
      <c r="Q629" s="819"/>
      <c r="R629" s="819"/>
      <c r="S629" s="819"/>
      <c r="T629" s="819"/>
      <c r="U629" s="819"/>
    </row>
    <row r="630" spans="1:1892" s="9" customFormat="1" ht="35.1" customHeight="1">
      <c r="A630" s="1241"/>
      <c r="B630" s="620" t="s">
        <v>105</v>
      </c>
      <c r="C630" s="621"/>
      <c r="D630" s="621"/>
      <c r="E630" s="621"/>
      <c r="F630" s="621"/>
      <c r="G630" s="621"/>
      <c r="H630" s="621"/>
      <c r="I630" s="621"/>
      <c r="J630" s="621"/>
      <c r="K630" s="622"/>
      <c r="L630" s="122"/>
      <c r="M630" s="254">
        <f>M577+M581+M586+M592+M598+M603+M608+M614+M622+M625</f>
        <v>5025</v>
      </c>
      <c r="N630" s="254">
        <f t="shared" ref="N630" si="49">N577+N581+N586+N592+N598+N603+N608+N614+N622+N625</f>
        <v>1028</v>
      </c>
      <c r="O630" s="254">
        <f>O577+O581+O586+O592+O598+O603+O608+O614+O622+O625+O629</f>
        <v>1475</v>
      </c>
      <c r="P630" s="161"/>
      <c r="Q630" s="161"/>
      <c r="R630" s="161"/>
      <c r="S630" s="156"/>
      <c r="T630" s="125"/>
      <c r="U630" s="156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  <c r="CK630" s="10"/>
      <c r="CL630" s="10"/>
      <c r="CM630" s="10"/>
      <c r="CN630" s="10"/>
      <c r="CO630" s="10"/>
      <c r="CP630" s="10"/>
      <c r="CQ630" s="10"/>
      <c r="CR630" s="10"/>
      <c r="CS630" s="10"/>
      <c r="CT630" s="10"/>
      <c r="CU630" s="10"/>
      <c r="CV630" s="10"/>
      <c r="CW630" s="10"/>
      <c r="CX630" s="10"/>
      <c r="CY630" s="10"/>
      <c r="CZ630" s="10"/>
      <c r="DA630" s="10"/>
      <c r="DB630" s="10"/>
      <c r="DC630" s="10"/>
      <c r="DD630" s="10"/>
      <c r="DE630" s="10"/>
      <c r="DF630" s="10"/>
      <c r="DG630" s="10"/>
      <c r="DH630" s="10"/>
      <c r="DI630" s="10"/>
      <c r="DJ630" s="10"/>
      <c r="DK630" s="10"/>
      <c r="DL630" s="10"/>
      <c r="DM630" s="10"/>
      <c r="DN630" s="10"/>
      <c r="DO630" s="10"/>
      <c r="DP630" s="10"/>
      <c r="DQ630" s="10"/>
      <c r="DR630" s="10"/>
      <c r="DS630" s="10"/>
      <c r="DT630" s="10"/>
      <c r="DU630" s="10"/>
      <c r="DV630" s="10"/>
      <c r="DW630" s="10"/>
      <c r="DX630" s="10"/>
      <c r="DY630" s="10"/>
      <c r="DZ630" s="10"/>
      <c r="EA630" s="10"/>
      <c r="EB630" s="10"/>
      <c r="EC630" s="10"/>
      <c r="ED630" s="10"/>
      <c r="EE630" s="10"/>
      <c r="EF630" s="10"/>
      <c r="EG630" s="10"/>
      <c r="EH630" s="10"/>
      <c r="EI630" s="10"/>
      <c r="EJ630" s="10"/>
      <c r="EK630" s="10"/>
      <c r="EL630" s="10"/>
      <c r="EM630" s="10"/>
      <c r="EN630" s="10"/>
      <c r="EO630" s="10"/>
      <c r="EP630" s="10"/>
      <c r="EQ630" s="10"/>
      <c r="ER630" s="10"/>
      <c r="ES630" s="10"/>
      <c r="ET630" s="10"/>
      <c r="EU630" s="10"/>
      <c r="EV630" s="10"/>
      <c r="EW630" s="10"/>
      <c r="EX630" s="10"/>
      <c r="EY630" s="10"/>
      <c r="EZ630" s="10"/>
      <c r="FA630" s="10"/>
      <c r="FB630" s="10"/>
      <c r="FC630" s="10"/>
      <c r="FD630" s="10"/>
      <c r="FE630" s="10"/>
      <c r="FF630" s="10"/>
      <c r="FG630" s="10"/>
      <c r="FH630" s="10"/>
      <c r="FI630" s="10"/>
      <c r="FJ630" s="10"/>
      <c r="FK630" s="10"/>
      <c r="FL630" s="10"/>
      <c r="FM630" s="10"/>
      <c r="FN630" s="10"/>
      <c r="FO630" s="10"/>
      <c r="FP630" s="10"/>
      <c r="FQ630" s="10"/>
      <c r="FR630" s="10"/>
      <c r="FS630" s="10"/>
      <c r="FT630" s="10"/>
      <c r="FU630" s="10"/>
      <c r="FV630" s="10"/>
      <c r="FW630" s="10"/>
      <c r="FX630" s="10"/>
      <c r="FY630" s="10"/>
      <c r="FZ630" s="10"/>
      <c r="GA630" s="10"/>
      <c r="GB630" s="10"/>
      <c r="GC630" s="10"/>
      <c r="GD630" s="10"/>
      <c r="GE630" s="10"/>
      <c r="GF630" s="10"/>
      <c r="GG630" s="10"/>
      <c r="GH630" s="10"/>
      <c r="GI630" s="10"/>
      <c r="GJ630" s="10"/>
      <c r="GK630" s="10"/>
      <c r="GL630" s="10"/>
      <c r="GM630" s="10"/>
      <c r="GN630" s="10"/>
      <c r="GO630" s="10"/>
      <c r="GP630" s="10"/>
      <c r="GQ630" s="10"/>
      <c r="GR630" s="10"/>
      <c r="GS630" s="10"/>
      <c r="GT630" s="10"/>
      <c r="GU630" s="10"/>
      <c r="GV630" s="10"/>
      <c r="GW630" s="10"/>
      <c r="GX630" s="10"/>
      <c r="GY630" s="10"/>
      <c r="GZ630" s="10"/>
      <c r="HA630" s="10"/>
      <c r="HB630" s="10"/>
      <c r="HC630" s="10"/>
      <c r="HD630" s="10"/>
      <c r="HE630" s="10"/>
      <c r="HF630" s="10"/>
      <c r="HG630" s="10"/>
      <c r="HH630" s="10"/>
      <c r="HI630" s="10"/>
      <c r="HJ630" s="10"/>
      <c r="HK630" s="10"/>
      <c r="HL630" s="10"/>
      <c r="HM630" s="10"/>
      <c r="HN630" s="10"/>
      <c r="HO630" s="10"/>
      <c r="HP630" s="10"/>
      <c r="HQ630" s="10"/>
      <c r="HR630" s="10"/>
      <c r="HS630" s="10"/>
      <c r="HT630" s="10"/>
      <c r="HU630" s="10"/>
      <c r="HV630" s="10"/>
      <c r="HW630" s="10"/>
      <c r="HX630" s="10"/>
      <c r="HY630" s="10"/>
      <c r="HZ630" s="10"/>
      <c r="IA630" s="10"/>
      <c r="IB630" s="10"/>
      <c r="IC630" s="10"/>
      <c r="ID630" s="10"/>
      <c r="IE630" s="10"/>
      <c r="IF630" s="10"/>
      <c r="IG630" s="10"/>
      <c r="IH630" s="10"/>
      <c r="II630" s="10"/>
      <c r="IJ630" s="10"/>
      <c r="IK630" s="10"/>
      <c r="IL630" s="10"/>
      <c r="IM630" s="10"/>
      <c r="IN630" s="10"/>
      <c r="IO630" s="10"/>
      <c r="IP630" s="10"/>
      <c r="IQ630" s="10"/>
      <c r="IR630" s="10"/>
      <c r="IS630" s="10"/>
      <c r="IT630" s="10"/>
      <c r="IU630" s="10"/>
      <c r="IV630" s="10"/>
      <c r="IW630" s="10"/>
      <c r="IX630" s="10"/>
      <c r="IY630" s="10"/>
      <c r="IZ630" s="10"/>
      <c r="JA630" s="10"/>
      <c r="JB630" s="10"/>
      <c r="JC630" s="10"/>
      <c r="JD630" s="10"/>
      <c r="JE630" s="10"/>
      <c r="JF630" s="10"/>
      <c r="JG630" s="10"/>
      <c r="JH630" s="10"/>
      <c r="JI630" s="10"/>
      <c r="JJ630" s="10"/>
      <c r="JK630" s="10"/>
      <c r="JL630" s="10"/>
      <c r="JM630" s="10"/>
      <c r="JN630" s="10"/>
      <c r="JO630" s="10"/>
      <c r="JP630" s="10"/>
      <c r="JQ630" s="10"/>
      <c r="JR630" s="10"/>
      <c r="JS630" s="10"/>
      <c r="JT630" s="10"/>
      <c r="JU630" s="10"/>
      <c r="JV630" s="10"/>
      <c r="JW630" s="10"/>
      <c r="JX630" s="10"/>
      <c r="JY630" s="10"/>
      <c r="JZ630" s="10"/>
      <c r="KA630" s="10"/>
      <c r="KB630" s="10"/>
      <c r="KC630" s="10"/>
      <c r="KD630" s="10"/>
      <c r="KE630" s="10"/>
      <c r="KF630" s="10"/>
      <c r="KG630" s="10"/>
      <c r="KH630" s="10"/>
      <c r="KI630" s="10"/>
      <c r="KJ630" s="10"/>
      <c r="KK630" s="10"/>
      <c r="KL630" s="10"/>
      <c r="KM630" s="10"/>
      <c r="KN630" s="10"/>
      <c r="KO630" s="10"/>
      <c r="KP630" s="10"/>
      <c r="KQ630" s="10"/>
      <c r="KR630" s="10"/>
      <c r="KS630" s="10"/>
      <c r="KT630" s="10"/>
      <c r="KU630" s="10"/>
      <c r="KV630" s="10"/>
      <c r="KW630" s="10"/>
      <c r="KX630" s="10"/>
      <c r="KY630" s="10"/>
      <c r="KZ630" s="10"/>
      <c r="LA630" s="10"/>
      <c r="LB630" s="10"/>
      <c r="LC630" s="10"/>
      <c r="LD630" s="10"/>
      <c r="LE630" s="10"/>
      <c r="LF630" s="10"/>
      <c r="LG630" s="10"/>
      <c r="LH630" s="10"/>
      <c r="LI630" s="10"/>
      <c r="LJ630" s="10"/>
      <c r="LK630" s="10"/>
      <c r="LL630" s="10"/>
      <c r="LM630" s="10"/>
      <c r="LN630" s="10"/>
      <c r="LO630" s="10"/>
      <c r="LP630" s="10"/>
      <c r="LQ630" s="10"/>
      <c r="LR630" s="10"/>
      <c r="LS630" s="10"/>
      <c r="LT630" s="10"/>
      <c r="LU630" s="10"/>
      <c r="LV630" s="10"/>
      <c r="LW630" s="10"/>
      <c r="LX630" s="10"/>
      <c r="LY630" s="10"/>
      <c r="LZ630" s="10"/>
      <c r="MA630" s="10"/>
      <c r="MB630" s="10"/>
      <c r="MC630" s="10"/>
      <c r="MD630" s="10"/>
      <c r="ME630" s="10"/>
      <c r="MF630" s="10"/>
      <c r="MG630" s="10"/>
      <c r="MH630" s="10"/>
      <c r="MI630" s="10"/>
      <c r="MJ630" s="10"/>
      <c r="MK630" s="10"/>
      <c r="ML630" s="10"/>
      <c r="MM630" s="10"/>
      <c r="MN630" s="10"/>
      <c r="MO630" s="10"/>
      <c r="MP630" s="10"/>
      <c r="MQ630" s="10"/>
      <c r="MR630" s="10"/>
      <c r="MS630" s="10"/>
      <c r="MT630" s="10"/>
      <c r="MU630" s="10"/>
      <c r="MV630" s="10"/>
      <c r="MW630" s="10"/>
      <c r="MX630" s="10"/>
      <c r="MY630" s="10"/>
      <c r="MZ630" s="10"/>
      <c r="NA630" s="10"/>
      <c r="NB630" s="10"/>
      <c r="NC630" s="10"/>
      <c r="ND630" s="10"/>
      <c r="NE630" s="10"/>
      <c r="NF630" s="10"/>
      <c r="NG630" s="10"/>
      <c r="NH630" s="10"/>
      <c r="NI630" s="10"/>
      <c r="NJ630" s="10"/>
      <c r="NK630" s="10"/>
      <c r="NL630" s="10"/>
      <c r="NM630" s="10"/>
      <c r="NN630" s="10"/>
      <c r="NO630" s="10"/>
      <c r="NP630" s="10"/>
      <c r="NQ630" s="10"/>
      <c r="NR630" s="10"/>
      <c r="NS630" s="10"/>
      <c r="NT630" s="10"/>
      <c r="NU630" s="10"/>
      <c r="NV630" s="10"/>
      <c r="NW630" s="10"/>
      <c r="NX630" s="10"/>
      <c r="NY630" s="10"/>
      <c r="NZ630" s="10"/>
      <c r="OA630" s="10"/>
      <c r="OB630" s="10"/>
      <c r="OC630" s="10"/>
      <c r="OD630" s="10"/>
      <c r="OE630" s="10"/>
      <c r="OF630" s="10"/>
      <c r="OG630" s="10"/>
      <c r="OH630" s="10"/>
      <c r="OI630" s="10"/>
      <c r="OJ630" s="10"/>
      <c r="OK630" s="10"/>
      <c r="OL630" s="10"/>
      <c r="OM630" s="10"/>
      <c r="ON630" s="10"/>
      <c r="OO630" s="10"/>
      <c r="OP630" s="10"/>
      <c r="OQ630" s="10"/>
      <c r="OR630" s="10"/>
      <c r="OS630" s="10"/>
      <c r="OT630" s="10"/>
      <c r="OU630" s="10"/>
      <c r="OV630" s="10"/>
      <c r="OW630" s="10"/>
      <c r="OX630" s="10"/>
      <c r="OY630" s="10"/>
      <c r="OZ630" s="10"/>
      <c r="PA630" s="10"/>
      <c r="PB630" s="10"/>
      <c r="PC630" s="10"/>
      <c r="PD630" s="10"/>
      <c r="PE630" s="10"/>
      <c r="PF630" s="10"/>
      <c r="PG630" s="10"/>
      <c r="PH630" s="10"/>
      <c r="PI630" s="10"/>
      <c r="PJ630" s="10"/>
      <c r="PK630" s="10"/>
      <c r="PL630" s="10"/>
      <c r="PM630" s="10"/>
      <c r="PN630" s="10"/>
      <c r="PO630" s="10"/>
      <c r="PP630" s="10"/>
      <c r="PQ630" s="10"/>
      <c r="PR630" s="10"/>
      <c r="PS630" s="10"/>
      <c r="PT630" s="10"/>
      <c r="PU630" s="10"/>
      <c r="PV630" s="10"/>
      <c r="PW630" s="10"/>
      <c r="PX630" s="10"/>
      <c r="PY630" s="10"/>
      <c r="PZ630" s="10"/>
      <c r="QA630" s="10"/>
      <c r="QB630" s="10"/>
      <c r="QC630" s="10"/>
      <c r="QD630" s="10"/>
      <c r="QE630" s="10"/>
      <c r="QF630" s="10"/>
      <c r="QG630" s="10"/>
      <c r="QH630" s="10"/>
      <c r="QI630" s="10"/>
      <c r="QJ630" s="10"/>
      <c r="QK630" s="10"/>
      <c r="QL630" s="10"/>
      <c r="QM630" s="10"/>
      <c r="QN630" s="10"/>
      <c r="QO630" s="10"/>
      <c r="QP630" s="10"/>
      <c r="QQ630" s="10"/>
      <c r="QR630" s="10"/>
      <c r="QS630" s="10"/>
      <c r="QT630" s="10"/>
      <c r="QU630" s="10"/>
      <c r="QV630" s="10"/>
      <c r="QW630" s="10"/>
      <c r="QX630" s="10"/>
      <c r="QY630" s="10"/>
      <c r="QZ630" s="10"/>
      <c r="RA630" s="10"/>
      <c r="RB630" s="10"/>
      <c r="RC630" s="10"/>
      <c r="RD630" s="10"/>
      <c r="RE630" s="10"/>
      <c r="RF630" s="10"/>
      <c r="RG630" s="10"/>
      <c r="RH630" s="10"/>
      <c r="RI630" s="10"/>
      <c r="RJ630" s="10"/>
      <c r="RK630" s="10"/>
      <c r="RL630" s="10"/>
      <c r="RM630" s="10"/>
      <c r="RN630" s="10"/>
      <c r="RO630" s="10"/>
      <c r="RP630" s="10"/>
      <c r="RQ630" s="10"/>
      <c r="RR630" s="10"/>
      <c r="RS630" s="10"/>
      <c r="RT630" s="10"/>
      <c r="RU630" s="10"/>
      <c r="RV630" s="10"/>
      <c r="RW630" s="10"/>
      <c r="RX630" s="10"/>
      <c r="RY630" s="10"/>
      <c r="RZ630" s="10"/>
      <c r="SA630" s="10"/>
      <c r="SB630" s="10"/>
      <c r="SC630" s="10"/>
      <c r="SD630" s="10"/>
      <c r="SE630" s="10"/>
      <c r="SF630" s="10"/>
      <c r="SG630" s="10"/>
      <c r="SH630" s="10"/>
      <c r="SI630" s="10"/>
      <c r="SJ630" s="10"/>
      <c r="SK630" s="10"/>
      <c r="SL630" s="10"/>
      <c r="SM630" s="10"/>
      <c r="SN630" s="10"/>
      <c r="SO630" s="10"/>
      <c r="SP630" s="10"/>
      <c r="SQ630" s="10"/>
      <c r="SR630" s="10"/>
      <c r="SS630" s="10"/>
      <c r="ST630" s="10"/>
      <c r="SU630" s="10"/>
      <c r="SV630" s="10"/>
      <c r="SW630" s="10"/>
      <c r="SX630" s="10"/>
      <c r="SY630" s="10"/>
      <c r="SZ630" s="10"/>
      <c r="TA630" s="10"/>
      <c r="TB630" s="10"/>
      <c r="TC630" s="10"/>
      <c r="TD630" s="10"/>
      <c r="TE630" s="10"/>
      <c r="TF630" s="10"/>
      <c r="TG630" s="10"/>
      <c r="TH630" s="10"/>
      <c r="TI630" s="10"/>
      <c r="TJ630" s="10"/>
      <c r="TK630" s="10"/>
      <c r="TL630" s="10"/>
      <c r="TM630" s="10"/>
      <c r="TN630" s="10"/>
      <c r="TO630" s="10"/>
      <c r="TP630" s="10"/>
      <c r="TQ630" s="10"/>
      <c r="TR630" s="10"/>
      <c r="TS630" s="10"/>
      <c r="TT630" s="10"/>
      <c r="TU630" s="10"/>
      <c r="TV630" s="10"/>
      <c r="TW630" s="10"/>
      <c r="TX630" s="10"/>
      <c r="TY630" s="10"/>
      <c r="TZ630" s="10"/>
      <c r="UA630" s="10"/>
      <c r="UB630" s="10"/>
      <c r="UC630" s="10"/>
      <c r="UD630" s="10"/>
      <c r="UE630" s="10"/>
      <c r="UF630" s="10"/>
      <c r="UG630" s="10"/>
      <c r="UH630" s="10"/>
      <c r="UI630" s="10"/>
      <c r="UJ630" s="10"/>
      <c r="UK630" s="10"/>
      <c r="UL630" s="10"/>
      <c r="UM630" s="10"/>
      <c r="UN630" s="10"/>
      <c r="UO630" s="10"/>
      <c r="UP630" s="10"/>
      <c r="UQ630" s="10"/>
      <c r="UR630" s="10"/>
      <c r="US630" s="10"/>
      <c r="UT630" s="10"/>
      <c r="UU630" s="10"/>
      <c r="UV630" s="10"/>
      <c r="UW630" s="10"/>
      <c r="UX630" s="10"/>
      <c r="UY630" s="10"/>
      <c r="UZ630" s="10"/>
      <c r="VA630" s="10"/>
      <c r="VB630" s="10"/>
      <c r="VC630" s="10"/>
      <c r="VD630" s="10"/>
      <c r="VE630" s="10"/>
      <c r="VF630" s="10"/>
      <c r="VG630" s="10"/>
      <c r="VH630" s="10"/>
      <c r="VI630" s="10"/>
      <c r="VJ630" s="10"/>
      <c r="VK630" s="10"/>
      <c r="VL630" s="10"/>
      <c r="VM630" s="10"/>
      <c r="VN630" s="10"/>
      <c r="VO630" s="10"/>
      <c r="VP630" s="10"/>
      <c r="VQ630" s="10"/>
      <c r="VR630" s="10"/>
      <c r="VS630" s="10"/>
      <c r="VT630" s="10"/>
      <c r="VU630" s="10"/>
      <c r="VV630" s="10"/>
      <c r="VW630" s="10"/>
      <c r="VX630" s="10"/>
      <c r="VY630" s="10"/>
      <c r="VZ630" s="10"/>
      <c r="WA630" s="10"/>
      <c r="WB630" s="10"/>
      <c r="WC630" s="10"/>
      <c r="WD630" s="10"/>
      <c r="WE630" s="10"/>
      <c r="WF630" s="10"/>
      <c r="WG630" s="10"/>
      <c r="WH630" s="10"/>
      <c r="WI630" s="10"/>
      <c r="WJ630" s="10"/>
      <c r="WK630" s="10"/>
      <c r="WL630" s="10"/>
      <c r="WM630" s="10"/>
      <c r="WN630" s="10"/>
      <c r="WO630" s="10"/>
      <c r="WP630" s="10"/>
      <c r="WQ630" s="10"/>
      <c r="WR630" s="10"/>
      <c r="WS630" s="10"/>
      <c r="WT630" s="10"/>
      <c r="WU630" s="10"/>
      <c r="WV630" s="10"/>
      <c r="WW630" s="10"/>
      <c r="WX630" s="10"/>
      <c r="WY630" s="10"/>
      <c r="WZ630" s="10"/>
      <c r="XA630" s="10"/>
      <c r="XB630" s="10"/>
      <c r="XC630" s="10"/>
      <c r="XD630" s="10"/>
      <c r="XE630" s="10"/>
      <c r="XF630" s="10"/>
      <c r="XG630" s="10"/>
      <c r="XH630" s="10"/>
      <c r="XI630" s="10"/>
      <c r="XJ630" s="10"/>
      <c r="XK630" s="10"/>
      <c r="XL630" s="10"/>
      <c r="XM630" s="10"/>
      <c r="XN630" s="10"/>
      <c r="XO630" s="10"/>
      <c r="XP630" s="10"/>
      <c r="XQ630" s="10"/>
      <c r="XR630" s="10"/>
      <c r="XS630" s="10"/>
      <c r="XT630" s="10"/>
      <c r="XU630" s="10"/>
      <c r="XV630" s="10"/>
      <c r="XW630" s="10"/>
      <c r="XX630" s="10"/>
      <c r="XY630" s="10"/>
      <c r="XZ630" s="10"/>
      <c r="YA630" s="10"/>
      <c r="YB630" s="10"/>
      <c r="YC630" s="10"/>
      <c r="YD630" s="10"/>
      <c r="YE630" s="10"/>
      <c r="YF630" s="10"/>
      <c r="YG630" s="10"/>
      <c r="YH630" s="10"/>
      <c r="YI630" s="10"/>
      <c r="YJ630" s="10"/>
      <c r="YK630" s="10"/>
      <c r="YL630" s="10"/>
      <c r="YM630" s="10"/>
      <c r="YN630" s="10"/>
      <c r="YO630" s="10"/>
      <c r="YP630" s="10"/>
      <c r="YQ630" s="10"/>
      <c r="YR630" s="10"/>
      <c r="YS630" s="10"/>
      <c r="YT630" s="10"/>
      <c r="YU630" s="10"/>
      <c r="YV630" s="10"/>
      <c r="YW630" s="10"/>
      <c r="YX630" s="10"/>
      <c r="YY630" s="10"/>
      <c r="YZ630" s="10"/>
      <c r="ZA630" s="10"/>
      <c r="ZB630" s="10"/>
      <c r="ZC630" s="10"/>
      <c r="ZD630" s="10"/>
      <c r="ZE630" s="10"/>
      <c r="ZF630" s="10"/>
      <c r="ZG630" s="10"/>
      <c r="ZH630" s="10"/>
      <c r="ZI630" s="10"/>
      <c r="ZJ630" s="10"/>
      <c r="ZK630" s="10"/>
      <c r="ZL630" s="10"/>
      <c r="ZM630" s="10"/>
      <c r="ZN630" s="10"/>
      <c r="ZO630" s="10"/>
      <c r="ZP630" s="10"/>
      <c r="ZQ630" s="10"/>
      <c r="ZR630" s="10"/>
      <c r="ZS630" s="10"/>
      <c r="ZT630" s="10"/>
      <c r="ZU630" s="10"/>
      <c r="ZV630" s="10"/>
      <c r="ZW630" s="10"/>
      <c r="ZX630" s="10"/>
      <c r="ZY630" s="10"/>
      <c r="ZZ630" s="10"/>
      <c r="AAA630" s="10"/>
      <c r="AAB630" s="10"/>
      <c r="AAC630" s="10"/>
      <c r="AAD630" s="10"/>
      <c r="AAE630" s="10"/>
      <c r="AAF630" s="10"/>
      <c r="AAG630" s="10"/>
      <c r="AAH630" s="10"/>
      <c r="AAI630" s="10"/>
      <c r="AAJ630" s="10"/>
      <c r="AAK630" s="10"/>
      <c r="AAL630" s="10"/>
      <c r="AAM630" s="10"/>
      <c r="AAN630" s="10"/>
      <c r="AAO630" s="10"/>
      <c r="AAP630" s="10"/>
      <c r="AAQ630" s="10"/>
      <c r="AAR630" s="10"/>
      <c r="AAS630" s="10"/>
      <c r="AAT630" s="10"/>
      <c r="AAU630" s="10"/>
      <c r="AAV630" s="10"/>
      <c r="AAW630" s="10"/>
      <c r="AAX630" s="10"/>
      <c r="AAY630" s="10"/>
      <c r="AAZ630" s="10"/>
      <c r="ABA630" s="10"/>
      <c r="ABB630" s="10"/>
      <c r="ABC630" s="10"/>
      <c r="ABD630" s="10"/>
      <c r="ABE630" s="10"/>
      <c r="ABF630" s="10"/>
      <c r="ABG630" s="10"/>
      <c r="ABH630" s="10"/>
      <c r="ABI630" s="10"/>
      <c r="ABJ630" s="10"/>
      <c r="ABK630" s="10"/>
      <c r="ABL630" s="10"/>
      <c r="ABM630" s="10"/>
      <c r="ABN630" s="10"/>
      <c r="ABO630" s="10"/>
      <c r="ABP630" s="10"/>
      <c r="ABQ630" s="10"/>
      <c r="ABR630" s="10"/>
      <c r="ABS630" s="10"/>
      <c r="ABT630" s="10"/>
      <c r="ABU630" s="10"/>
      <c r="ABV630" s="10"/>
      <c r="ABW630" s="10"/>
      <c r="ABX630" s="10"/>
      <c r="ABY630" s="10"/>
      <c r="ABZ630" s="10"/>
      <c r="ACA630" s="10"/>
      <c r="ACB630" s="10"/>
      <c r="ACC630" s="10"/>
      <c r="ACD630" s="10"/>
      <c r="ACE630" s="10"/>
      <c r="ACF630" s="10"/>
      <c r="ACG630" s="10"/>
      <c r="ACH630" s="10"/>
      <c r="ACI630" s="10"/>
      <c r="ACJ630" s="10"/>
      <c r="ACK630" s="10"/>
      <c r="ACL630" s="10"/>
      <c r="ACM630" s="10"/>
      <c r="ACN630" s="10"/>
      <c r="ACO630" s="10"/>
      <c r="ACP630" s="10"/>
      <c r="ACQ630" s="10"/>
      <c r="ACR630" s="10"/>
      <c r="ACS630" s="10"/>
      <c r="ACT630" s="10"/>
      <c r="ACU630" s="10"/>
      <c r="ACV630" s="10"/>
      <c r="ACW630" s="10"/>
      <c r="ACX630" s="10"/>
      <c r="ACY630" s="10"/>
      <c r="ACZ630" s="10"/>
      <c r="ADA630" s="10"/>
      <c r="ADB630" s="10"/>
      <c r="ADC630" s="10"/>
      <c r="ADD630" s="10"/>
      <c r="ADE630" s="10"/>
      <c r="ADF630" s="10"/>
      <c r="ADG630" s="10"/>
      <c r="ADH630" s="10"/>
      <c r="ADI630" s="10"/>
      <c r="ADJ630" s="10"/>
      <c r="ADK630" s="10"/>
      <c r="ADL630" s="10"/>
      <c r="ADM630" s="10"/>
      <c r="ADN630" s="10"/>
      <c r="ADO630" s="10"/>
      <c r="ADP630" s="10"/>
      <c r="ADQ630" s="10"/>
      <c r="ADR630" s="10"/>
      <c r="ADS630" s="10"/>
      <c r="ADT630" s="10"/>
      <c r="ADU630" s="10"/>
      <c r="ADV630" s="10"/>
      <c r="ADW630" s="10"/>
      <c r="ADX630" s="10"/>
      <c r="ADY630" s="10"/>
      <c r="ADZ630" s="10"/>
      <c r="AEA630" s="10"/>
      <c r="AEB630" s="10"/>
      <c r="AEC630" s="10"/>
      <c r="AED630" s="10"/>
      <c r="AEE630" s="10"/>
      <c r="AEF630" s="10"/>
      <c r="AEG630" s="10"/>
      <c r="AEH630" s="10"/>
      <c r="AEI630" s="10"/>
      <c r="AEJ630" s="10"/>
      <c r="AEK630" s="10"/>
      <c r="AEL630" s="10"/>
      <c r="AEM630" s="10"/>
      <c r="AEN630" s="10"/>
      <c r="AEO630" s="10"/>
      <c r="AEP630" s="10"/>
      <c r="AEQ630" s="10"/>
      <c r="AER630" s="10"/>
      <c r="AES630" s="10"/>
      <c r="AET630" s="10"/>
      <c r="AEU630" s="10"/>
      <c r="AEV630" s="10"/>
      <c r="AEW630" s="10"/>
      <c r="AEX630" s="10"/>
      <c r="AEY630" s="10"/>
      <c r="AEZ630" s="10"/>
      <c r="AFA630" s="10"/>
      <c r="AFB630" s="10"/>
      <c r="AFC630" s="10"/>
      <c r="AFD630" s="10"/>
      <c r="AFE630" s="10"/>
      <c r="AFF630" s="10"/>
      <c r="AFG630" s="10"/>
      <c r="AFH630" s="10"/>
      <c r="AFI630" s="10"/>
      <c r="AFJ630" s="10"/>
      <c r="AFK630" s="10"/>
      <c r="AFL630" s="10"/>
      <c r="AFM630" s="10"/>
      <c r="AFN630" s="10"/>
      <c r="AFO630" s="10"/>
      <c r="AFP630" s="10"/>
      <c r="AFQ630" s="10"/>
      <c r="AFR630" s="10"/>
      <c r="AFS630" s="10"/>
      <c r="AFT630" s="10"/>
      <c r="AFU630" s="10"/>
      <c r="AFV630" s="10"/>
      <c r="AFW630" s="10"/>
      <c r="AFX630" s="10"/>
      <c r="AFY630" s="10"/>
      <c r="AFZ630" s="10"/>
      <c r="AGA630" s="10"/>
      <c r="AGB630" s="10"/>
      <c r="AGC630" s="10"/>
      <c r="AGD630" s="10"/>
      <c r="AGE630" s="10"/>
      <c r="AGF630" s="10"/>
      <c r="AGG630" s="10"/>
      <c r="AGH630" s="10"/>
      <c r="AGI630" s="10"/>
      <c r="AGJ630" s="10"/>
      <c r="AGK630" s="10"/>
      <c r="AGL630" s="10"/>
      <c r="AGM630" s="10"/>
      <c r="AGN630" s="10"/>
      <c r="AGO630" s="10"/>
      <c r="AGP630" s="10"/>
      <c r="AGQ630" s="10"/>
      <c r="AGR630" s="10"/>
      <c r="AGS630" s="10"/>
      <c r="AGT630" s="10"/>
      <c r="AGU630" s="10"/>
      <c r="AGV630" s="10"/>
      <c r="AGW630" s="10"/>
      <c r="AGX630" s="10"/>
      <c r="AGY630" s="10"/>
      <c r="AGZ630" s="10"/>
      <c r="AHA630" s="10"/>
      <c r="AHB630" s="10"/>
      <c r="AHC630" s="10"/>
      <c r="AHD630" s="10"/>
      <c r="AHE630" s="10"/>
      <c r="AHF630" s="10"/>
      <c r="AHG630" s="10"/>
      <c r="AHH630" s="10"/>
      <c r="AHI630" s="10"/>
      <c r="AHJ630" s="10"/>
      <c r="AHK630" s="10"/>
      <c r="AHL630" s="10"/>
      <c r="AHM630" s="10"/>
      <c r="AHN630" s="10"/>
      <c r="AHO630" s="10"/>
      <c r="AHP630" s="10"/>
      <c r="AHQ630" s="10"/>
      <c r="AHR630" s="10"/>
      <c r="AHS630" s="10"/>
      <c r="AHT630" s="10"/>
      <c r="AHU630" s="10"/>
      <c r="AHV630" s="10"/>
      <c r="AHW630" s="10"/>
      <c r="AHX630" s="10"/>
      <c r="AHY630" s="10"/>
      <c r="AHZ630" s="10"/>
      <c r="AIA630" s="10"/>
      <c r="AIB630" s="10"/>
      <c r="AIC630" s="10"/>
      <c r="AID630" s="10"/>
      <c r="AIE630" s="10"/>
      <c r="AIF630" s="10"/>
      <c r="AIG630" s="10"/>
      <c r="AIH630" s="10"/>
      <c r="AII630" s="10"/>
      <c r="AIJ630" s="10"/>
      <c r="AIK630" s="10"/>
      <c r="AIL630" s="10"/>
      <c r="AIM630" s="10"/>
      <c r="AIN630" s="10"/>
      <c r="AIO630" s="10"/>
      <c r="AIP630" s="10"/>
      <c r="AIQ630" s="10"/>
      <c r="AIR630" s="10"/>
      <c r="AIS630" s="10"/>
      <c r="AIT630" s="10"/>
      <c r="AIU630" s="10"/>
      <c r="AIV630" s="10"/>
      <c r="AIW630" s="10"/>
      <c r="AIX630" s="10"/>
      <c r="AIY630" s="10"/>
      <c r="AIZ630" s="10"/>
      <c r="AJA630" s="10"/>
      <c r="AJB630" s="10"/>
      <c r="AJC630" s="10"/>
      <c r="AJD630" s="10"/>
      <c r="AJE630" s="10"/>
      <c r="AJF630" s="10"/>
      <c r="AJG630" s="10"/>
      <c r="AJH630" s="10"/>
      <c r="AJI630" s="10"/>
      <c r="AJJ630" s="10"/>
      <c r="AJK630" s="10"/>
      <c r="AJL630" s="10"/>
      <c r="AJM630" s="10"/>
      <c r="AJN630" s="10"/>
      <c r="AJO630" s="10"/>
      <c r="AJP630" s="10"/>
      <c r="AJQ630" s="10"/>
      <c r="AJR630" s="10"/>
      <c r="AJS630" s="10"/>
      <c r="AJT630" s="10"/>
      <c r="AJU630" s="10"/>
      <c r="AJV630" s="10"/>
      <c r="AJW630" s="10"/>
      <c r="AJX630" s="10"/>
      <c r="AJY630" s="10"/>
      <c r="AJZ630" s="10"/>
      <c r="AKA630" s="10"/>
      <c r="AKB630" s="10"/>
      <c r="AKC630" s="10"/>
      <c r="AKD630" s="10"/>
      <c r="AKE630" s="10"/>
      <c r="AKF630" s="10"/>
      <c r="AKG630" s="10"/>
      <c r="AKH630" s="10"/>
      <c r="AKI630" s="10"/>
      <c r="AKJ630" s="10"/>
      <c r="AKK630" s="10"/>
      <c r="AKL630" s="10"/>
      <c r="AKM630" s="10"/>
      <c r="AKN630" s="10"/>
      <c r="AKO630" s="10"/>
      <c r="AKP630" s="10"/>
      <c r="AKQ630" s="10"/>
      <c r="AKR630" s="10"/>
      <c r="AKS630" s="10"/>
      <c r="AKT630" s="10"/>
      <c r="AKU630" s="10"/>
      <c r="AKV630" s="10"/>
      <c r="AKW630" s="10"/>
      <c r="AKX630" s="10"/>
      <c r="AKY630" s="10"/>
      <c r="AKZ630" s="10"/>
      <c r="ALA630" s="10"/>
      <c r="ALB630" s="10"/>
      <c r="ALC630" s="10"/>
      <c r="ALD630" s="10"/>
      <c r="ALE630" s="10"/>
      <c r="ALF630" s="10"/>
      <c r="ALG630" s="10"/>
      <c r="ALH630" s="10"/>
      <c r="ALI630" s="10"/>
      <c r="ALJ630" s="10"/>
      <c r="ALK630" s="10"/>
      <c r="ALL630" s="10"/>
      <c r="ALM630" s="10"/>
      <c r="ALN630" s="10"/>
      <c r="ALO630" s="10"/>
      <c r="ALP630" s="10"/>
      <c r="ALQ630" s="10"/>
      <c r="ALR630" s="10"/>
      <c r="ALS630" s="10"/>
      <c r="ALT630" s="10"/>
      <c r="ALU630" s="10"/>
      <c r="ALV630" s="10"/>
      <c r="ALW630" s="10"/>
      <c r="ALX630" s="10"/>
      <c r="ALY630" s="10"/>
      <c r="ALZ630" s="10"/>
      <c r="AMA630" s="10"/>
      <c r="AMB630" s="10"/>
      <c r="AMC630" s="10"/>
      <c r="AMD630" s="10"/>
      <c r="AME630" s="10"/>
      <c r="AMF630" s="10"/>
      <c r="AMG630" s="10"/>
      <c r="AMH630" s="10"/>
      <c r="AMI630" s="10"/>
      <c r="AMJ630" s="10"/>
      <c r="AMK630" s="10"/>
      <c r="AML630" s="10"/>
      <c r="AMM630" s="10"/>
      <c r="AMN630" s="10"/>
      <c r="AMO630" s="10"/>
      <c r="AMP630" s="10"/>
      <c r="AMQ630" s="10"/>
      <c r="AMR630" s="10"/>
      <c r="AMS630" s="10"/>
      <c r="AMT630" s="10"/>
      <c r="AMU630" s="10"/>
      <c r="AMV630" s="10"/>
      <c r="AMW630" s="10"/>
      <c r="AMX630" s="10"/>
      <c r="AMY630" s="10"/>
      <c r="AMZ630" s="10"/>
      <c r="ANA630" s="10"/>
      <c r="ANB630" s="10"/>
      <c r="ANC630" s="10"/>
      <c r="AND630" s="10"/>
      <c r="ANE630" s="10"/>
      <c r="ANF630" s="10"/>
      <c r="ANG630" s="10"/>
      <c r="ANH630" s="10"/>
      <c r="ANI630" s="10"/>
      <c r="ANJ630" s="10"/>
      <c r="ANK630" s="10"/>
      <c r="ANL630" s="10"/>
      <c r="ANM630" s="10"/>
      <c r="ANN630" s="10"/>
      <c r="ANO630" s="10"/>
      <c r="ANP630" s="10"/>
      <c r="ANQ630" s="10"/>
      <c r="ANR630" s="10"/>
      <c r="ANS630" s="10"/>
      <c r="ANT630" s="10"/>
      <c r="ANU630" s="10"/>
      <c r="ANV630" s="10"/>
      <c r="ANW630" s="10"/>
      <c r="ANX630" s="10"/>
      <c r="ANY630" s="10"/>
      <c r="ANZ630" s="10"/>
      <c r="AOA630" s="10"/>
      <c r="AOB630" s="10"/>
      <c r="AOC630" s="10"/>
      <c r="AOD630" s="10"/>
      <c r="AOE630" s="10"/>
      <c r="AOF630" s="10"/>
      <c r="AOG630" s="10"/>
      <c r="AOH630" s="10"/>
      <c r="AOI630" s="10"/>
      <c r="AOJ630" s="10"/>
      <c r="AOK630" s="10"/>
      <c r="AOL630" s="10"/>
      <c r="AOM630" s="10"/>
      <c r="AON630" s="10"/>
      <c r="AOO630" s="10"/>
      <c r="AOP630" s="10"/>
      <c r="AOQ630" s="10"/>
      <c r="AOR630" s="10"/>
      <c r="AOS630" s="10"/>
      <c r="AOT630" s="10"/>
      <c r="AOU630" s="10"/>
      <c r="AOV630" s="10"/>
      <c r="AOW630" s="10"/>
      <c r="AOX630" s="10"/>
      <c r="AOY630" s="10"/>
      <c r="AOZ630" s="10"/>
      <c r="APA630" s="10"/>
      <c r="APB630" s="10"/>
      <c r="APC630" s="10"/>
      <c r="APD630" s="10"/>
      <c r="APE630" s="10"/>
      <c r="APF630" s="10"/>
      <c r="APG630" s="10"/>
      <c r="APH630" s="10"/>
      <c r="API630" s="10"/>
      <c r="APJ630" s="10"/>
      <c r="APK630" s="10"/>
      <c r="APL630" s="10"/>
      <c r="APM630" s="10"/>
      <c r="APN630" s="10"/>
      <c r="APO630" s="10"/>
      <c r="APP630" s="10"/>
      <c r="APQ630" s="10"/>
      <c r="APR630" s="10"/>
      <c r="APS630" s="10"/>
      <c r="APT630" s="10"/>
      <c r="APU630" s="10"/>
      <c r="APV630" s="10"/>
      <c r="APW630" s="10"/>
      <c r="APX630" s="10"/>
      <c r="APY630" s="10"/>
      <c r="APZ630" s="10"/>
      <c r="AQA630" s="10"/>
      <c r="AQB630" s="10"/>
      <c r="AQC630" s="10"/>
      <c r="AQD630" s="10"/>
      <c r="AQE630" s="10"/>
      <c r="AQF630" s="10"/>
      <c r="AQG630" s="10"/>
      <c r="AQH630" s="10"/>
      <c r="AQI630" s="10"/>
      <c r="AQJ630" s="10"/>
      <c r="AQK630" s="10"/>
      <c r="AQL630" s="10"/>
      <c r="AQM630" s="10"/>
      <c r="AQN630" s="10"/>
      <c r="AQO630" s="10"/>
      <c r="AQP630" s="10"/>
      <c r="AQQ630" s="10"/>
      <c r="AQR630" s="10"/>
      <c r="AQS630" s="10"/>
      <c r="AQT630" s="10"/>
      <c r="AQU630" s="10"/>
      <c r="AQV630" s="10"/>
      <c r="AQW630" s="10"/>
      <c r="AQX630" s="10"/>
      <c r="AQY630" s="10"/>
      <c r="AQZ630" s="10"/>
      <c r="ARA630" s="10"/>
      <c r="ARB630" s="10"/>
      <c r="ARC630" s="10"/>
      <c r="ARD630" s="10"/>
      <c r="ARE630" s="10"/>
      <c r="ARF630" s="10"/>
      <c r="ARG630" s="10"/>
      <c r="ARH630" s="10"/>
      <c r="ARI630" s="10"/>
      <c r="ARJ630" s="10"/>
      <c r="ARK630" s="10"/>
      <c r="ARL630" s="10"/>
      <c r="ARM630" s="10"/>
      <c r="ARN630" s="10"/>
      <c r="ARO630" s="10"/>
      <c r="ARP630" s="10"/>
      <c r="ARQ630" s="10"/>
      <c r="ARR630" s="10"/>
      <c r="ARS630" s="10"/>
      <c r="ART630" s="10"/>
      <c r="ARU630" s="10"/>
      <c r="ARV630" s="10"/>
      <c r="ARW630" s="10"/>
      <c r="ARX630" s="10"/>
      <c r="ARY630" s="10"/>
      <c r="ARZ630" s="10"/>
      <c r="ASA630" s="10"/>
      <c r="ASB630" s="10"/>
      <c r="ASC630" s="10"/>
      <c r="ASD630" s="10"/>
      <c r="ASE630" s="10"/>
      <c r="ASF630" s="10"/>
      <c r="ASG630" s="10"/>
      <c r="ASH630" s="10"/>
      <c r="ASI630" s="10"/>
      <c r="ASJ630" s="10"/>
      <c r="ASK630" s="10"/>
      <c r="ASL630" s="10"/>
      <c r="ASM630" s="10"/>
      <c r="ASN630" s="10"/>
      <c r="ASO630" s="10"/>
      <c r="ASP630" s="10"/>
      <c r="ASQ630" s="10"/>
      <c r="ASR630" s="10"/>
      <c r="ASS630" s="10"/>
      <c r="AST630" s="10"/>
      <c r="ASU630" s="10"/>
      <c r="ASV630" s="10"/>
      <c r="ASW630" s="10"/>
      <c r="ASX630" s="10"/>
      <c r="ASY630" s="10"/>
      <c r="ASZ630" s="10"/>
      <c r="ATA630" s="10"/>
      <c r="ATB630" s="10"/>
      <c r="ATC630" s="10"/>
      <c r="ATD630" s="10"/>
      <c r="ATE630" s="10"/>
      <c r="ATF630" s="10"/>
      <c r="ATG630" s="10"/>
      <c r="ATH630" s="10"/>
      <c r="ATI630" s="10"/>
      <c r="ATJ630" s="10"/>
      <c r="ATK630" s="10"/>
      <c r="ATL630" s="10"/>
      <c r="ATM630" s="10"/>
      <c r="ATN630" s="10"/>
      <c r="ATO630" s="10"/>
      <c r="ATP630" s="10"/>
      <c r="ATQ630" s="10"/>
      <c r="ATR630" s="10"/>
      <c r="ATS630" s="10"/>
      <c r="ATT630" s="10"/>
      <c r="ATU630" s="10"/>
      <c r="ATV630" s="10"/>
      <c r="ATW630" s="10"/>
      <c r="ATX630" s="10"/>
      <c r="ATY630" s="10"/>
      <c r="ATZ630" s="10"/>
      <c r="AUA630" s="10"/>
      <c r="AUB630" s="10"/>
      <c r="AUC630" s="10"/>
      <c r="AUD630" s="10"/>
      <c r="AUE630" s="10"/>
      <c r="AUF630" s="10"/>
      <c r="AUG630" s="10"/>
      <c r="AUH630" s="10"/>
      <c r="AUI630" s="10"/>
      <c r="AUJ630" s="10"/>
      <c r="AUK630" s="10"/>
      <c r="AUL630" s="10"/>
      <c r="AUM630" s="10"/>
      <c r="AUN630" s="10"/>
      <c r="AUO630" s="10"/>
      <c r="AUP630" s="10"/>
      <c r="AUQ630" s="10"/>
      <c r="AUR630" s="10"/>
      <c r="AUS630" s="10"/>
      <c r="AUT630" s="10"/>
      <c r="AUU630" s="10"/>
      <c r="AUV630" s="10"/>
      <c r="AUW630" s="10"/>
      <c r="AUX630" s="10"/>
      <c r="AUY630" s="10"/>
      <c r="AUZ630" s="10"/>
      <c r="AVA630" s="10"/>
      <c r="AVB630" s="10"/>
      <c r="AVC630" s="10"/>
      <c r="AVD630" s="10"/>
      <c r="AVE630" s="10"/>
      <c r="AVF630" s="10"/>
      <c r="AVG630" s="10"/>
      <c r="AVH630" s="10"/>
      <c r="AVI630" s="10"/>
      <c r="AVJ630" s="10"/>
      <c r="AVK630" s="10"/>
      <c r="AVL630" s="10"/>
      <c r="AVM630" s="10"/>
      <c r="AVN630" s="10"/>
      <c r="AVO630" s="10"/>
      <c r="AVP630" s="10"/>
      <c r="AVQ630" s="10"/>
      <c r="AVR630" s="10"/>
      <c r="AVS630" s="10"/>
      <c r="AVT630" s="10"/>
      <c r="AVU630" s="10"/>
      <c r="AVV630" s="10"/>
      <c r="AVW630" s="10"/>
      <c r="AVX630" s="10"/>
      <c r="AVY630" s="10"/>
      <c r="AVZ630" s="10"/>
      <c r="AWA630" s="10"/>
      <c r="AWB630" s="10"/>
      <c r="AWC630" s="10"/>
      <c r="AWD630" s="10"/>
      <c r="AWE630" s="10"/>
      <c r="AWF630" s="10"/>
      <c r="AWG630" s="10"/>
      <c r="AWH630" s="10"/>
      <c r="AWI630" s="10"/>
      <c r="AWJ630" s="10"/>
      <c r="AWK630" s="10"/>
      <c r="AWL630" s="10"/>
      <c r="AWM630" s="10"/>
      <c r="AWN630" s="10"/>
      <c r="AWO630" s="10"/>
      <c r="AWP630" s="10"/>
      <c r="AWQ630" s="10"/>
      <c r="AWR630" s="10"/>
      <c r="AWS630" s="10"/>
      <c r="AWT630" s="10"/>
      <c r="AWU630" s="10"/>
      <c r="AWV630" s="10"/>
      <c r="AWW630" s="10"/>
      <c r="AWX630" s="10"/>
      <c r="AWY630" s="10"/>
      <c r="AWZ630" s="10"/>
      <c r="AXA630" s="10"/>
      <c r="AXB630" s="10"/>
      <c r="AXC630" s="10"/>
      <c r="AXD630" s="10"/>
      <c r="AXE630" s="10"/>
      <c r="AXF630" s="10"/>
      <c r="AXG630" s="10"/>
      <c r="AXH630" s="10"/>
      <c r="AXI630" s="10"/>
      <c r="AXJ630" s="10"/>
      <c r="AXK630" s="10"/>
      <c r="AXL630" s="10"/>
      <c r="AXM630" s="10"/>
      <c r="AXN630" s="10"/>
      <c r="AXO630" s="10"/>
      <c r="AXP630" s="10"/>
      <c r="AXQ630" s="10"/>
      <c r="AXR630" s="10"/>
      <c r="AXS630" s="10"/>
      <c r="AXT630" s="10"/>
      <c r="AXU630" s="10"/>
      <c r="AXV630" s="10"/>
      <c r="AXW630" s="10"/>
      <c r="AXX630" s="10"/>
      <c r="AXY630" s="10"/>
      <c r="AXZ630" s="10"/>
      <c r="AYA630" s="10"/>
      <c r="AYB630" s="10"/>
      <c r="AYC630" s="10"/>
      <c r="AYD630" s="10"/>
      <c r="AYE630" s="10"/>
      <c r="AYF630" s="10"/>
      <c r="AYG630" s="10"/>
      <c r="AYH630" s="10"/>
      <c r="AYI630" s="10"/>
      <c r="AYJ630" s="10"/>
      <c r="AYK630" s="10"/>
      <c r="AYL630" s="10"/>
      <c r="AYM630" s="10"/>
      <c r="AYN630" s="10"/>
      <c r="AYO630" s="10"/>
      <c r="AYP630" s="10"/>
      <c r="AYQ630" s="10"/>
      <c r="AYR630" s="10"/>
      <c r="AYS630" s="10"/>
      <c r="AYT630" s="10"/>
      <c r="AYU630" s="10"/>
      <c r="AYV630" s="10"/>
      <c r="AYW630" s="10"/>
      <c r="AYX630" s="10"/>
      <c r="AYY630" s="10"/>
      <c r="AYZ630" s="10"/>
      <c r="AZA630" s="10"/>
      <c r="AZB630" s="10"/>
      <c r="AZC630" s="10"/>
      <c r="AZD630" s="10"/>
      <c r="AZE630" s="10"/>
      <c r="AZF630" s="10"/>
      <c r="AZG630" s="10"/>
      <c r="AZH630" s="10"/>
      <c r="AZI630" s="10"/>
      <c r="AZJ630" s="10"/>
      <c r="AZK630" s="10"/>
      <c r="AZL630" s="10"/>
      <c r="AZM630" s="10"/>
      <c r="AZN630" s="10"/>
      <c r="AZO630" s="10"/>
      <c r="AZP630" s="10"/>
      <c r="AZQ630" s="10"/>
      <c r="AZR630" s="10"/>
      <c r="AZS630" s="10"/>
      <c r="AZT630" s="10"/>
      <c r="AZU630" s="10"/>
      <c r="AZV630" s="10"/>
      <c r="AZW630" s="10"/>
      <c r="AZX630" s="10"/>
      <c r="AZY630" s="10"/>
      <c r="AZZ630" s="10"/>
      <c r="BAA630" s="10"/>
      <c r="BAB630" s="10"/>
      <c r="BAC630" s="10"/>
      <c r="BAD630" s="10"/>
      <c r="BAE630" s="10"/>
      <c r="BAF630" s="10"/>
      <c r="BAG630" s="10"/>
      <c r="BAH630" s="10"/>
      <c r="BAI630" s="10"/>
      <c r="BAJ630" s="10"/>
      <c r="BAK630" s="10"/>
      <c r="BAL630" s="10"/>
      <c r="BAM630" s="10"/>
      <c r="BAN630" s="10"/>
      <c r="BAO630" s="10"/>
      <c r="BAP630" s="10"/>
      <c r="BAQ630" s="10"/>
      <c r="BAR630" s="10"/>
      <c r="BAS630" s="10"/>
      <c r="BAT630" s="10"/>
      <c r="BAU630" s="10"/>
      <c r="BAV630" s="10"/>
      <c r="BAW630" s="10"/>
      <c r="BAX630" s="10"/>
      <c r="BAY630" s="10"/>
      <c r="BAZ630" s="10"/>
      <c r="BBA630" s="10"/>
      <c r="BBB630" s="10"/>
      <c r="BBC630" s="10"/>
      <c r="BBD630" s="10"/>
      <c r="BBE630" s="10"/>
      <c r="BBF630" s="10"/>
      <c r="BBG630" s="10"/>
      <c r="BBH630" s="10"/>
      <c r="BBI630" s="10"/>
      <c r="BBJ630" s="10"/>
      <c r="BBK630" s="10"/>
      <c r="BBL630" s="10"/>
      <c r="BBM630" s="10"/>
      <c r="BBN630" s="10"/>
      <c r="BBO630" s="10"/>
      <c r="BBP630" s="10"/>
      <c r="BBQ630" s="10"/>
      <c r="BBR630" s="10"/>
      <c r="BBS630" s="10"/>
      <c r="BBT630" s="10"/>
      <c r="BBU630" s="10"/>
      <c r="BBV630" s="10"/>
      <c r="BBW630" s="10"/>
      <c r="BBX630" s="10"/>
      <c r="BBY630" s="10"/>
      <c r="BBZ630" s="10"/>
      <c r="BCA630" s="10"/>
      <c r="BCB630" s="10"/>
      <c r="BCC630" s="10"/>
      <c r="BCD630" s="10"/>
      <c r="BCE630" s="10"/>
      <c r="BCF630" s="10"/>
      <c r="BCG630" s="10"/>
      <c r="BCH630" s="10"/>
      <c r="BCI630" s="10"/>
      <c r="BCJ630" s="10"/>
      <c r="BCK630" s="10"/>
      <c r="BCL630" s="10"/>
      <c r="BCM630" s="10"/>
      <c r="BCN630" s="10"/>
      <c r="BCO630" s="10"/>
      <c r="BCP630" s="10"/>
      <c r="BCQ630" s="10"/>
      <c r="BCR630" s="10"/>
      <c r="BCS630" s="10"/>
      <c r="BCT630" s="10"/>
      <c r="BCU630" s="10"/>
      <c r="BCV630" s="10"/>
      <c r="BCW630" s="10"/>
      <c r="BCX630" s="10"/>
      <c r="BCY630" s="10"/>
      <c r="BCZ630" s="10"/>
      <c r="BDA630" s="10"/>
      <c r="BDB630" s="10"/>
      <c r="BDC630" s="10"/>
      <c r="BDD630" s="10"/>
      <c r="BDE630" s="10"/>
      <c r="BDF630" s="10"/>
      <c r="BDG630" s="10"/>
      <c r="BDH630" s="10"/>
      <c r="BDI630" s="10"/>
      <c r="BDJ630" s="10"/>
      <c r="BDK630" s="10"/>
      <c r="BDL630" s="10"/>
      <c r="BDM630" s="10"/>
      <c r="BDN630" s="10"/>
      <c r="BDO630" s="10"/>
      <c r="BDP630" s="10"/>
      <c r="BDQ630" s="10"/>
      <c r="BDR630" s="10"/>
      <c r="BDS630" s="10"/>
      <c r="BDT630" s="10"/>
      <c r="BDU630" s="10"/>
      <c r="BDV630" s="10"/>
      <c r="BDW630" s="10"/>
      <c r="BDX630" s="10"/>
      <c r="BDY630" s="10"/>
      <c r="BDZ630" s="10"/>
      <c r="BEA630" s="10"/>
      <c r="BEB630" s="10"/>
      <c r="BEC630" s="10"/>
      <c r="BED630" s="10"/>
      <c r="BEE630" s="10"/>
      <c r="BEF630" s="10"/>
      <c r="BEG630" s="10"/>
      <c r="BEH630" s="10"/>
      <c r="BEI630" s="10"/>
      <c r="BEJ630" s="10"/>
      <c r="BEK630" s="10"/>
      <c r="BEL630" s="10"/>
      <c r="BEM630" s="10"/>
      <c r="BEN630" s="10"/>
      <c r="BEO630" s="10"/>
      <c r="BEP630" s="10"/>
      <c r="BEQ630" s="10"/>
      <c r="BER630" s="10"/>
      <c r="BES630" s="10"/>
      <c r="BET630" s="10"/>
      <c r="BEU630" s="10"/>
      <c r="BEV630" s="10"/>
      <c r="BEW630" s="10"/>
      <c r="BEX630" s="10"/>
      <c r="BEY630" s="10"/>
      <c r="BEZ630" s="10"/>
      <c r="BFA630" s="10"/>
      <c r="BFB630" s="10"/>
      <c r="BFC630" s="10"/>
      <c r="BFD630" s="10"/>
      <c r="BFE630" s="10"/>
      <c r="BFF630" s="10"/>
      <c r="BFG630" s="10"/>
      <c r="BFH630" s="10"/>
      <c r="BFI630" s="10"/>
      <c r="BFJ630" s="10"/>
      <c r="BFK630" s="10"/>
      <c r="BFL630" s="10"/>
      <c r="BFM630" s="10"/>
      <c r="BFN630" s="10"/>
      <c r="BFO630" s="10"/>
      <c r="BFP630" s="10"/>
      <c r="BFQ630" s="10"/>
      <c r="BFR630" s="10"/>
      <c r="BFS630" s="10"/>
      <c r="BFT630" s="10"/>
      <c r="BFU630" s="10"/>
      <c r="BFV630" s="10"/>
      <c r="BFW630" s="10"/>
      <c r="BFX630" s="10"/>
      <c r="BFY630" s="10"/>
      <c r="BFZ630" s="10"/>
      <c r="BGA630" s="10"/>
      <c r="BGB630" s="10"/>
      <c r="BGC630" s="10"/>
      <c r="BGD630" s="10"/>
      <c r="BGE630" s="10"/>
      <c r="BGF630" s="10"/>
      <c r="BGG630" s="10"/>
      <c r="BGH630" s="10"/>
      <c r="BGI630" s="10"/>
      <c r="BGJ630" s="10"/>
      <c r="BGK630" s="10"/>
      <c r="BGL630" s="10"/>
      <c r="BGM630" s="10"/>
      <c r="BGN630" s="10"/>
      <c r="BGO630" s="10"/>
      <c r="BGP630" s="10"/>
      <c r="BGQ630" s="10"/>
      <c r="BGR630" s="10"/>
      <c r="BGS630" s="10"/>
      <c r="BGT630" s="10"/>
      <c r="BGU630" s="10"/>
      <c r="BGV630" s="10"/>
      <c r="BGW630" s="10"/>
      <c r="BGX630" s="10"/>
      <c r="BGY630" s="10"/>
      <c r="BGZ630" s="10"/>
      <c r="BHA630" s="10"/>
      <c r="BHB630" s="10"/>
      <c r="BHC630" s="10"/>
      <c r="BHD630" s="10"/>
      <c r="BHE630" s="10"/>
      <c r="BHF630" s="10"/>
      <c r="BHG630" s="10"/>
      <c r="BHH630" s="10"/>
      <c r="BHI630" s="10"/>
      <c r="BHJ630" s="10"/>
      <c r="BHK630" s="10"/>
      <c r="BHL630" s="10"/>
      <c r="BHM630" s="10"/>
      <c r="BHN630" s="10"/>
      <c r="BHO630" s="10"/>
      <c r="BHP630" s="10"/>
      <c r="BHQ630" s="10"/>
      <c r="BHR630" s="10"/>
      <c r="BHS630" s="10"/>
      <c r="BHT630" s="10"/>
      <c r="BHU630" s="10"/>
      <c r="BHV630" s="10"/>
      <c r="BHW630" s="10"/>
      <c r="BHX630" s="10"/>
      <c r="BHY630" s="10"/>
      <c r="BHZ630" s="10"/>
      <c r="BIA630" s="10"/>
      <c r="BIB630" s="10"/>
      <c r="BIC630" s="10"/>
      <c r="BID630" s="10"/>
      <c r="BIE630" s="10"/>
      <c r="BIF630" s="10"/>
      <c r="BIG630" s="10"/>
      <c r="BIH630" s="10"/>
      <c r="BII630" s="10"/>
      <c r="BIJ630" s="10"/>
      <c r="BIK630" s="10"/>
      <c r="BIL630" s="10"/>
      <c r="BIM630" s="10"/>
      <c r="BIN630" s="10"/>
      <c r="BIO630" s="10"/>
      <c r="BIP630" s="10"/>
      <c r="BIQ630" s="10"/>
      <c r="BIR630" s="10"/>
      <c r="BIS630" s="10"/>
      <c r="BIT630" s="10"/>
      <c r="BIU630" s="10"/>
      <c r="BIV630" s="10"/>
      <c r="BIW630" s="10"/>
      <c r="BIX630" s="10"/>
      <c r="BIY630" s="10"/>
      <c r="BIZ630" s="10"/>
      <c r="BJA630" s="10"/>
      <c r="BJB630" s="10"/>
      <c r="BJC630" s="10"/>
      <c r="BJD630" s="10"/>
      <c r="BJE630" s="10"/>
      <c r="BJF630" s="10"/>
      <c r="BJG630" s="10"/>
      <c r="BJH630" s="10"/>
      <c r="BJI630" s="10"/>
      <c r="BJJ630" s="10"/>
      <c r="BJK630" s="10"/>
      <c r="BJL630" s="10"/>
      <c r="BJM630" s="10"/>
      <c r="BJN630" s="10"/>
      <c r="BJO630" s="10"/>
      <c r="BJP630" s="10"/>
      <c r="BJQ630" s="10"/>
      <c r="BJR630" s="10"/>
      <c r="BJS630" s="10"/>
      <c r="BJT630" s="10"/>
      <c r="BJU630" s="10"/>
      <c r="BJV630" s="10"/>
      <c r="BJW630" s="10"/>
      <c r="BJX630" s="10"/>
      <c r="BJY630" s="10"/>
      <c r="BJZ630" s="10"/>
      <c r="BKA630" s="10"/>
      <c r="BKB630" s="10"/>
      <c r="BKC630" s="10"/>
      <c r="BKD630" s="10"/>
      <c r="BKE630" s="10"/>
      <c r="BKF630" s="10"/>
      <c r="BKG630" s="10"/>
      <c r="BKH630" s="10"/>
      <c r="BKI630" s="10"/>
      <c r="BKJ630" s="10"/>
      <c r="BKK630" s="10"/>
      <c r="BKL630" s="10"/>
      <c r="BKM630" s="10"/>
      <c r="BKN630" s="10"/>
      <c r="BKO630" s="10"/>
      <c r="BKP630" s="10"/>
      <c r="BKQ630" s="10"/>
      <c r="BKR630" s="10"/>
      <c r="BKS630" s="10"/>
      <c r="BKT630" s="10"/>
      <c r="BKU630" s="10"/>
      <c r="BKV630" s="10"/>
      <c r="BKW630" s="10"/>
      <c r="BKX630" s="10"/>
      <c r="BKY630" s="10"/>
      <c r="BKZ630" s="10"/>
      <c r="BLA630" s="10"/>
      <c r="BLB630" s="10"/>
      <c r="BLC630" s="10"/>
      <c r="BLD630" s="10"/>
      <c r="BLE630" s="10"/>
      <c r="BLF630" s="10"/>
      <c r="BLG630" s="10"/>
      <c r="BLH630" s="10"/>
      <c r="BLI630" s="10"/>
      <c r="BLJ630" s="10"/>
      <c r="BLK630" s="10"/>
      <c r="BLL630" s="10"/>
      <c r="BLM630" s="10"/>
      <c r="BLN630" s="10"/>
      <c r="BLO630" s="10"/>
      <c r="BLP630" s="10"/>
      <c r="BLQ630" s="10"/>
      <c r="BLR630" s="10"/>
      <c r="BLS630" s="10"/>
      <c r="BLT630" s="10"/>
      <c r="BLU630" s="10"/>
      <c r="BLV630" s="10"/>
      <c r="BLW630" s="10"/>
      <c r="BLX630" s="10"/>
      <c r="BLY630" s="10"/>
      <c r="BLZ630" s="10"/>
      <c r="BMA630" s="10"/>
      <c r="BMB630" s="10"/>
      <c r="BMC630" s="10"/>
      <c r="BMD630" s="10"/>
      <c r="BME630" s="10"/>
      <c r="BMF630" s="10"/>
      <c r="BMG630" s="10"/>
      <c r="BMH630" s="10"/>
      <c r="BMI630" s="10"/>
      <c r="BMJ630" s="10"/>
      <c r="BMK630" s="10"/>
      <c r="BML630" s="10"/>
      <c r="BMM630" s="10"/>
      <c r="BMN630" s="10"/>
      <c r="BMO630" s="10"/>
      <c r="BMP630" s="10"/>
      <c r="BMQ630" s="10"/>
      <c r="BMR630" s="10"/>
      <c r="BMS630" s="10"/>
      <c r="BMT630" s="10"/>
      <c r="BMU630" s="10"/>
      <c r="BMV630" s="10"/>
      <c r="BMW630" s="10"/>
      <c r="BMX630" s="10"/>
      <c r="BMY630" s="10"/>
      <c r="BMZ630" s="10"/>
      <c r="BNA630" s="10"/>
      <c r="BNB630" s="10"/>
      <c r="BNC630" s="10"/>
      <c r="BND630" s="10"/>
      <c r="BNE630" s="10"/>
      <c r="BNF630" s="10"/>
      <c r="BNG630" s="10"/>
      <c r="BNH630" s="10"/>
      <c r="BNI630" s="10"/>
      <c r="BNJ630" s="10"/>
      <c r="BNK630" s="10"/>
      <c r="BNL630" s="10"/>
      <c r="BNM630" s="10"/>
      <c r="BNN630" s="10"/>
      <c r="BNO630" s="10"/>
      <c r="BNP630" s="10"/>
      <c r="BNQ630" s="10"/>
      <c r="BNR630" s="10"/>
      <c r="BNS630" s="10"/>
      <c r="BNT630" s="10"/>
      <c r="BNU630" s="10"/>
      <c r="BNV630" s="10"/>
      <c r="BNW630" s="10"/>
      <c r="BNX630" s="10"/>
      <c r="BNY630" s="10"/>
      <c r="BNZ630" s="10"/>
      <c r="BOA630" s="10"/>
      <c r="BOB630" s="10"/>
      <c r="BOC630" s="10"/>
      <c r="BOD630" s="10"/>
      <c r="BOE630" s="10"/>
      <c r="BOF630" s="10"/>
      <c r="BOG630" s="10"/>
      <c r="BOH630" s="10"/>
      <c r="BOI630" s="10"/>
      <c r="BOJ630" s="10"/>
      <c r="BOK630" s="10"/>
      <c r="BOL630" s="10"/>
      <c r="BOM630" s="10"/>
      <c r="BON630" s="10"/>
      <c r="BOO630" s="10"/>
      <c r="BOP630" s="10"/>
      <c r="BOQ630" s="10"/>
      <c r="BOR630" s="10"/>
      <c r="BOS630" s="10"/>
      <c r="BOT630" s="10"/>
      <c r="BOU630" s="10"/>
      <c r="BOV630" s="10"/>
      <c r="BOW630" s="10"/>
      <c r="BOX630" s="10"/>
      <c r="BOY630" s="10"/>
      <c r="BOZ630" s="10"/>
      <c r="BPA630" s="10"/>
      <c r="BPB630" s="10"/>
      <c r="BPC630" s="10"/>
      <c r="BPD630" s="10"/>
      <c r="BPE630" s="10"/>
      <c r="BPF630" s="10"/>
      <c r="BPG630" s="10"/>
      <c r="BPH630" s="10"/>
      <c r="BPI630" s="10"/>
      <c r="BPJ630" s="10"/>
      <c r="BPK630" s="10"/>
      <c r="BPL630" s="10"/>
      <c r="BPM630" s="10"/>
      <c r="BPN630" s="10"/>
      <c r="BPO630" s="10"/>
      <c r="BPP630" s="10"/>
      <c r="BPQ630" s="10"/>
      <c r="BPR630" s="10"/>
      <c r="BPS630" s="10"/>
      <c r="BPT630" s="10"/>
      <c r="BPU630" s="10"/>
      <c r="BPV630" s="10"/>
      <c r="BPW630" s="10"/>
      <c r="BPX630" s="10"/>
      <c r="BPY630" s="10"/>
      <c r="BPZ630" s="10"/>
      <c r="BQA630" s="10"/>
      <c r="BQB630" s="10"/>
      <c r="BQC630" s="10"/>
      <c r="BQD630" s="10"/>
      <c r="BQE630" s="10"/>
      <c r="BQF630" s="10"/>
      <c r="BQG630" s="10"/>
      <c r="BQH630" s="10"/>
      <c r="BQI630" s="10"/>
      <c r="BQJ630" s="10"/>
      <c r="BQK630" s="10"/>
      <c r="BQL630" s="10"/>
      <c r="BQM630" s="10"/>
      <c r="BQN630" s="10"/>
      <c r="BQO630" s="10"/>
      <c r="BQP630" s="10"/>
      <c r="BQQ630" s="10"/>
      <c r="BQR630" s="10"/>
      <c r="BQS630" s="10"/>
      <c r="BQT630" s="10"/>
      <c r="BQU630" s="10"/>
      <c r="BQV630" s="10"/>
      <c r="BQW630" s="10"/>
      <c r="BQX630" s="10"/>
      <c r="BQY630" s="10"/>
      <c r="BQZ630" s="10"/>
      <c r="BRA630" s="10"/>
      <c r="BRB630" s="10"/>
      <c r="BRC630" s="10"/>
      <c r="BRD630" s="10"/>
      <c r="BRE630" s="10"/>
      <c r="BRF630" s="10"/>
      <c r="BRG630" s="10"/>
      <c r="BRH630" s="10"/>
      <c r="BRI630" s="10"/>
      <c r="BRJ630" s="10"/>
      <c r="BRK630" s="10"/>
      <c r="BRL630" s="10"/>
      <c r="BRM630" s="10"/>
      <c r="BRN630" s="10"/>
      <c r="BRO630" s="10"/>
      <c r="BRP630" s="10"/>
      <c r="BRQ630" s="10"/>
      <c r="BRR630" s="10"/>
      <c r="BRS630" s="10"/>
      <c r="BRT630" s="10"/>
      <c r="BRU630" s="10"/>
      <c r="BRV630" s="10"/>
      <c r="BRW630" s="10"/>
      <c r="BRX630" s="10"/>
      <c r="BRY630" s="10"/>
      <c r="BRZ630" s="10"/>
      <c r="BSA630" s="10"/>
      <c r="BSB630" s="10"/>
      <c r="BSC630" s="10"/>
      <c r="BSD630" s="10"/>
      <c r="BSE630" s="10"/>
      <c r="BSF630" s="10"/>
      <c r="BSG630" s="10"/>
      <c r="BSH630" s="10"/>
      <c r="BSI630" s="10"/>
      <c r="BSJ630" s="10"/>
      <c r="BSK630" s="10"/>
      <c r="BSL630" s="10"/>
      <c r="BSM630" s="10"/>
      <c r="BSN630" s="10"/>
      <c r="BSO630" s="10"/>
      <c r="BSP630" s="10"/>
      <c r="BSQ630" s="10"/>
      <c r="BSR630" s="10"/>
      <c r="BSS630" s="10"/>
      <c r="BST630" s="10"/>
      <c r="BSU630" s="10"/>
      <c r="BSV630" s="10"/>
      <c r="BSW630" s="10"/>
      <c r="BSX630" s="10"/>
      <c r="BSY630" s="10"/>
      <c r="BSZ630" s="10"/>
      <c r="BTA630" s="10"/>
      <c r="BTB630" s="10"/>
      <c r="BTC630" s="10"/>
      <c r="BTD630" s="10"/>
      <c r="BTE630" s="10"/>
      <c r="BTF630" s="10"/>
      <c r="BTG630" s="10"/>
      <c r="BTH630" s="10"/>
      <c r="BTI630" s="10"/>
      <c r="BTJ630" s="10"/>
      <c r="BTK630" s="10"/>
      <c r="BTL630" s="10"/>
      <c r="BTM630" s="10"/>
      <c r="BTN630" s="10"/>
      <c r="BTO630" s="10"/>
      <c r="BTP630" s="10"/>
      <c r="BTQ630" s="10"/>
      <c r="BTR630" s="10"/>
      <c r="BTS630" s="10"/>
      <c r="BTT630" s="10"/>
    </row>
    <row r="631" spans="1:1892" s="10" customFormat="1" ht="35.1" customHeight="1">
      <c r="A631" s="1241"/>
      <c r="B631" s="537" t="s">
        <v>801</v>
      </c>
      <c r="C631" s="616"/>
      <c r="D631" s="1084" t="s">
        <v>121</v>
      </c>
      <c r="E631" s="1085"/>
      <c r="F631" s="1086"/>
      <c r="G631" s="566" t="s">
        <v>367</v>
      </c>
      <c r="H631" s="566" t="s">
        <v>368</v>
      </c>
      <c r="I631" s="566" t="s">
        <v>268</v>
      </c>
      <c r="J631" s="820" t="s">
        <v>11</v>
      </c>
      <c r="K631" s="820" t="s">
        <v>12</v>
      </c>
      <c r="L631" s="158">
        <v>84.485799999999998</v>
      </c>
      <c r="M631" s="231">
        <v>38</v>
      </c>
      <c r="N631" s="215">
        <v>3</v>
      </c>
      <c r="O631" s="215">
        <v>3</v>
      </c>
      <c r="P631" s="511" t="s">
        <v>447</v>
      </c>
      <c r="Q631" s="511" t="s">
        <v>447</v>
      </c>
      <c r="R631" s="511" t="s">
        <v>531</v>
      </c>
      <c r="S631" s="953" t="s">
        <v>532</v>
      </c>
      <c r="T631" s="935" t="s">
        <v>122</v>
      </c>
      <c r="U631" s="496" t="s">
        <v>86</v>
      </c>
    </row>
    <row r="632" spans="1:1892" s="10" customFormat="1" ht="35.1" customHeight="1">
      <c r="A632" s="1241"/>
      <c r="B632" s="538"/>
      <c r="C632" s="583"/>
      <c r="D632" s="1087"/>
      <c r="E632" s="1088"/>
      <c r="F632" s="1089"/>
      <c r="G632" s="567"/>
      <c r="H632" s="567"/>
      <c r="I632" s="567"/>
      <c r="J632" s="821"/>
      <c r="K632" s="821"/>
      <c r="L632" s="158">
        <v>84.375699999999995</v>
      </c>
      <c r="M632" s="231">
        <v>38</v>
      </c>
      <c r="N632" s="215">
        <v>0</v>
      </c>
      <c r="O632" s="215">
        <v>0</v>
      </c>
      <c r="P632" s="512"/>
      <c r="Q632" s="512"/>
      <c r="R632" s="512"/>
      <c r="S632" s="954"/>
      <c r="T632" s="936"/>
      <c r="U632" s="497"/>
    </row>
    <row r="633" spans="1:1892" s="10" customFormat="1" ht="35.1" customHeight="1">
      <c r="A633" s="1241"/>
      <c r="B633" s="538"/>
      <c r="C633" s="583"/>
      <c r="D633" s="1087"/>
      <c r="E633" s="1088"/>
      <c r="F633" s="1089"/>
      <c r="G633" s="567"/>
      <c r="H633" s="567"/>
      <c r="I633" s="567"/>
      <c r="J633" s="821"/>
      <c r="K633" s="821"/>
      <c r="L633" s="158">
        <v>84.564999999999998</v>
      </c>
      <c r="M633" s="231">
        <v>15</v>
      </c>
      <c r="N633" s="215">
        <v>2</v>
      </c>
      <c r="O633" s="215">
        <v>2</v>
      </c>
      <c r="P633" s="512"/>
      <c r="Q633" s="512"/>
      <c r="R633" s="512"/>
      <c r="S633" s="954"/>
      <c r="T633" s="936"/>
      <c r="U633" s="497"/>
    </row>
    <row r="634" spans="1:1892" s="10" customFormat="1" ht="35.1" customHeight="1">
      <c r="A634" s="1241"/>
      <c r="B634" s="538"/>
      <c r="C634" s="583"/>
      <c r="D634" s="1087"/>
      <c r="E634" s="1088"/>
      <c r="F634" s="1089"/>
      <c r="G634" s="567"/>
      <c r="H634" s="567"/>
      <c r="I634" s="567"/>
      <c r="J634" s="821"/>
      <c r="K634" s="821"/>
      <c r="L634" s="158">
        <v>84.636099999999999</v>
      </c>
      <c r="M634" s="231">
        <v>15</v>
      </c>
      <c r="N634" s="215">
        <v>1</v>
      </c>
      <c r="O634" s="215">
        <v>1</v>
      </c>
      <c r="P634" s="512"/>
      <c r="Q634" s="512"/>
      <c r="R634" s="512"/>
      <c r="S634" s="954"/>
      <c r="T634" s="936"/>
      <c r="U634" s="497"/>
    </row>
    <row r="635" spans="1:1892" s="10" customFormat="1" ht="35.1" customHeight="1">
      <c r="A635" s="1241"/>
      <c r="B635" s="538"/>
      <c r="C635" s="583"/>
      <c r="D635" s="1087"/>
      <c r="E635" s="1088"/>
      <c r="F635" s="1089"/>
      <c r="G635" s="567"/>
      <c r="H635" s="567"/>
      <c r="I635" s="567"/>
      <c r="J635" s="821"/>
      <c r="K635" s="821"/>
      <c r="L635" s="158">
        <v>84.420699999999997</v>
      </c>
      <c r="M635" s="231">
        <v>10</v>
      </c>
      <c r="N635" s="215">
        <v>1</v>
      </c>
      <c r="O635" s="215">
        <v>1</v>
      </c>
      <c r="P635" s="512"/>
      <c r="Q635" s="512"/>
      <c r="R635" s="512"/>
      <c r="S635" s="954"/>
      <c r="T635" s="936"/>
      <c r="U635" s="497"/>
    </row>
    <row r="636" spans="1:1892" s="10" customFormat="1" ht="35.1" customHeight="1">
      <c r="A636" s="1241"/>
      <c r="B636" s="538"/>
      <c r="C636" s="583"/>
      <c r="D636" s="1087"/>
      <c r="E636" s="1088"/>
      <c r="F636" s="1089"/>
      <c r="G636" s="567"/>
      <c r="H636" s="567"/>
      <c r="I636" s="567"/>
      <c r="J636" s="821"/>
      <c r="K636" s="821"/>
      <c r="L636" s="158">
        <v>84.124200000000002</v>
      </c>
      <c r="M636" s="231">
        <v>10</v>
      </c>
      <c r="N636" s="215">
        <v>0</v>
      </c>
      <c r="O636" s="215">
        <v>0</v>
      </c>
      <c r="P636" s="512"/>
      <c r="Q636" s="512"/>
      <c r="R636" s="512"/>
      <c r="S636" s="954"/>
      <c r="T636" s="936"/>
      <c r="U636" s="497"/>
    </row>
    <row r="637" spans="1:1892" s="10" customFormat="1" ht="35.1" customHeight="1">
      <c r="A637" s="1241"/>
      <c r="B637" s="538"/>
      <c r="C637" s="583"/>
      <c r="D637" s="1087"/>
      <c r="E637" s="1088"/>
      <c r="F637" s="1089"/>
      <c r="G637" s="567"/>
      <c r="H637" s="567"/>
      <c r="I637" s="567"/>
      <c r="J637" s="821"/>
      <c r="K637" s="821"/>
      <c r="L637" s="158">
        <v>84.651399999999995</v>
      </c>
      <c r="M637" s="231">
        <v>3</v>
      </c>
      <c r="N637" s="215">
        <v>0</v>
      </c>
      <c r="O637" s="215">
        <v>0</v>
      </c>
      <c r="P637" s="512"/>
      <c r="Q637" s="512"/>
      <c r="R637" s="512"/>
      <c r="S637" s="954"/>
      <c r="T637" s="936"/>
      <c r="U637" s="497"/>
    </row>
    <row r="638" spans="1:1892" s="10" customFormat="1" ht="35.1" customHeight="1">
      <c r="A638" s="1241"/>
      <c r="B638" s="538"/>
      <c r="C638" s="583"/>
      <c r="D638" s="1087"/>
      <c r="E638" s="1088"/>
      <c r="F638" s="1089"/>
      <c r="G638" s="567"/>
      <c r="H638" s="567"/>
      <c r="I638" s="567"/>
      <c r="J638" s="821"/>
      <c r="K638" s="821"/>
      <c r="L638" s="158">
        <v>84.688199999999995</v>
      </c>
      <c r="M638" s="231">
        <v>3</v>
      </c>
      <c r="N638" s="215">
        <v>0</v>
      </c>
      <c r="O638" s="215">
        <v>0</v>
      </c>
      <c r="P638" s="512"/>
      <c r="Q638" s="512"/>
      <c r="R638" s="512"/>
      <c r="S638" s="954"/>
      <c r="T638" s="936"/>
      <c r="U638" s="497"/>
    </row>
    <row r="639" spans="1:1892" s="10" customFormat="1" ht="35.1" customHeight="1">
      <c r="A639" s="1241"/>
      <c r="B639" s="538"/>
      <c r="C639" s="583"/>
      <c r="D639" s="1087"/>
      <c r="E639" s="1088"/>
      <c r="F639" s="1089"/>
      <c r="G639" s="567"/>
      <c r="H639" s="567"/>
      <c r="I639" s="567"/>
      <c r="J639" s="821"/>
      <c r="K639" s="821"/>
      <c r="L639" s="158">
        <v>84.347499999999997</v>
      </c>
      <c r="M639" s="231">
        <v>3</v>
      </c>
      <c r="N639" s="215">
        <v>0</v>
      </c>
      <c r="O639" s="215">
        <v>0</v>
      </c>
      <c r="P639" s="512"/>
      <c r="Q639" s="512"/>
      <c r="R639" s="512"/>
      <c r="S639" s="954"/>
      <c r="T639" s="936"/>
      <c r="U639" s="497"/>
    </row>
    <row r="640" spans="1:1892" s="10" customFormat="1" ht="35.1" customHeight="1">
      <c r="A640" s="1241"/>
      <c r="B640" s="538"/>
      <c r="C640" s="583"/>
      <c r="D640" s="1087"/>
      <c r="E640" s="1088"/>
      <c r="F640" s="1089"/>
      <c r="G640" s="568"/>
      <c r="H640" s="568"/>
      <c r="I640" s="568"/>
      <c r="J640" s="822"/>
      <c r="K640" s="822"/>
      <c r="L640" s="158">
        <v>84.688199999999995</v>
      </c>
      <c r="M640" s="231">
        <v>3</v>
      </c>
      <c r="N640" s="215">
        <v>1</v>
      </c>
      <c r="O640" s="215">
        <v>1</v>
      </c>
      <c r="P640" s="512"/>
      <c r="Q640" s="512"/>
      <c r="R640" s="512"/>
      <c r="S640" s="954"/>
      <c r="T640" s="936"/>
      <c r="U640" s="497"/>
    </row>
    <row r="641" spans="1:21" s="10" customFormat="1" ht="35.1" customHeight="1">
      <c r="A641" s="1241"/>
      <c r="B641" s="538"/>
      <c r="C641" s="583"/>
      <c r="D641" s="1090"/>
      <c r="E641" s="1091"/>
      <c r="F641" s="1092"/>
      <c r="G641" s="463" t="s">
        <v>329</v>
      </c>
      <c r="H641" s="464"/>
      <c r="I641" s="464"/>
      <c r="J641" s="464"/>
      <c r="K641" s="465"/>
      <c r="L641" s="133"/>
      <c r="M641" s="251">
        <f>SUM(M631:M640)</f>
        <v>138</v>
      </c>
      <c r="N641" s="396">
        <f>SUM(N631:N640)</f>
        <v>8</v>
      </c>
      <c r="O641" s="396">
        <f>SUM(O631:O640)</f>
        <v>8</v>
      </c>
      <c r="P641" s="513"/>
      <c r="Q641" s="513"/>
      <c r="R641" s="513"/>
      <c r="S641" s="955"/>
      <c r="T641" s="937"/>
      <c r="U641" s="498"/>
    </row>
    <row r="642" spans="1:21" s="10" customFormat="1" ht="35.1" customHeight="1">
      <c r="A642" s="1241"/>
      <c r="B642" s="538"/>
      <c r="C642" s="583"/>
      <c r="D642" s="1084" t="s">
        <v>123</v>
      </c>
      <c r="E642" s="1085"/>
      <c r="F642" s="1086"/>
      <c r="G642" s="566" t="s">
        <v>367</v>
      </c>
      <c r="H642" s="566" t="s">
        <v>368</v>
      </c>
      <c r="I642" s="566" t="s">
        <v>268</v>
      </c>
      <c r="J642" s="820" t="s">
        <v>11</v>
      </c>
      <c r="K642" s="820" t="s">
        <v>12</v>
      </c>
      <c r="L642" s="158">
        <v>84.485799999999998</v>
      </c>
      <c r="M642" s="231">
        <v>46</v>
      </c>
      <c r="N642" s="215">
        <v>2</v>
      </c>
      <c r="O642" s="215">
        <v>2</v>
      </c>
      <c r="P642" s="511" t="s">
        <v>447</v>
      </c>
      <c r="Q642" s="511" t="s">
        <v>447</v>
      </c>
      <c r="R642" s="511" t="s">
        <v>531</v>
      </c>
      <c r="S642" s="953" t="s">
        <v>532</v>
      </c>
      <c r="T642" s="935" t="s">
        <v>122</v>
      </c>
      <c r="U642" s="496" t="s">
        <v>86</v>
      </c>
    </row>
    <row r="643" spans="1:21" s="10" customFormat="1" ht="35.1" customHeight="1">
      <c r="A643" s="1241"/>
      <c r="B643" s="538"/>
      <c r="C643" s="583"/>
      <c r="D643" s="1087"/>
      <c r="E643" s="1088"/>
      <c r="F643" s="1089"/>
      <c r="G643" s="567"/>
      <c r="H643" s="567"/>
      <c r="I643" s="567"/>
      <c r="J643" s="821"/>
      <c r="K643" s="821"/>
      <c r="L643" s="158">
        <v>84.375699999999995</v>
      </c>
      <c r="M643" s="231">
        <v>46</v>
      </c>
      <c r="N643" s="215">
        <v>4</v>
      </c>
      <c r="O643" s="215">
        <v>4</v>
      </c>
      <c r="P643" s="512"/>
      <c r="Q643" s="512"/>
      <c r="R643" s="512"/>
      <c r="S643" s="954"/>
      <c r="T643" s="936"/>
      <c r="U643" s="497"/>
    </row>
    <row r="644" spans="1:21" s="10" customFormat="1" ht="35.1" customHeight="1">
      <c r="A644" s="1241"/>
      <c r="B644" s="538"/>
      <c r="C644" s="583"/>
      <c r="D644" s="1087"/>
      <c r="E644" s="1088"/>
      <c r="F644" s="1089"/>
      <c r="G644" s="567"/>
      <c r="H644" s="567"/>
      <c r="I644" s="567"/>
      <c r="J644" s="821"/>
      <c r="K644" s="821"/>
      <c r="L644" s="158">
        <v>84.564999999999998</v>
      </c>
      <c r="M644" s="231">
        <v>17</v>
      </c>
      <c r="N644" s="215">
        <v>5</v>
      </c>
      <c r="O644" s="215">
        <v>5</v>
      </c>
      <c r="P644" s="512"/>
      <c r="Q644" s="512"/>
      <c r="R644" s="512"/>
      <c r="S644" s="954"/>
      <c r="T644" s="936"/>
      <c r="U644" s="497"/>
    </row>
    <row r="645" spans="1:21" s="10" customFormat="1" ht="35.1" customHeight="1">
      <c r="A645" s="1241"/>
      <c r="B645" s="538"/>
      <c r="C645" s="583"/>
      <c r="D645" s="1087"/>
      <c r="E645" s="1088"/>
      <c r="F645" s="1089"/>
      <c r="G645" s="567"/>
      <c r="H645" s="567"/>
      <c r="I645" s="567"/>
      <c r="J645" s="821"/>
      <c r="K645" s="821"/>
      <c r="L645" s="158">
        <v>84.636099999999999</v>
      </c>
      <c r="M645" s="231">
        <v>17</v>
      </c>
      <c r="N645" s="215">
        <v>2</v>
      </c>
      <c r="O645" s="215">
        <v>2</v>
      </c>
      <c r="P645" s="512"/>
      <c r="Q645" s="512"/>
      <c r="R645" s="512"/>
      <c r="S645" s="954"/>
      <c r="T645" s="936"/>
      <c r="U645" s="497"/>
    </row>
    <row r="646" spans="1:21" s="10" customFormat="1" ht="35.1" customHeight="1">
      <c r="A646" s="1241"/>
      <c r="B646" s="538"/>
      <c r="C646" s="583"/>
      <c r="D646" s="1087"/>
      <c r="E646" s="1088"/>
      <c r="F646" s="1089"/>
      <c r="G646" s="567"/>
      <c r="H646" s="567"/>
      <c r="I646" s="567"/>
      <c r="J646" s="821"/>
      <c r="K646" s="821"/>
      <c r="L646" s="158">
        <v>84.420699999999997</v>
      </c>
      <c r="M646" s="231">
        <v>21</v>
      </c>
      <c r="N646" s="215">
        <v>3</v>
      </c>
      <c r="O646" s="215">
        <v>3</v>
      </c>
      <c r="P646" s="512"/>
      <c r="Q646" s="512"/>
      <c r="R646" s="512"/>
      <c r="S646" s="954"/>
      <c r="T646" s="936"/>
      <c r="U646" s="497"/>
    </row>
    <row r="647" spans="1:21" s="10" customFormat="1" ht="35.1" customHeight="1">
      <c r="A647" s="1241"/>
      <c r="B647" s="538"/>
      <c r="C647" s="583"/>
      <c r="D647" s="1087"/>
      <c r="E647" s="1088"/>
      <c r="F647" s="1089"/>
      <c r="G647" s="567"/>
      <c r="H647" s="567"/>
      <c r="I647" s="567"/>
      <c r="J647" s="821"/>
      <c r="K647" s="821"/>
      <c r="L647" s="158">
        <v>84.124200000000002</v>
      </c>
      <c r="M647" s="231">
        <v>21</v>
      </c>
      <c r="N647" s="215">
        <v>2</v>
      </c>
      <c r="O647" s="215">
        <v>2</v>
      </c>
      <c r="P647" s="512"/>
      <c r="Q647" s="512"/>
      <c r="R647" s="512"/>
      <c r="S647" s="954"/>
      <c r="T647" s="936"/>
      <c r="U647" s="497"/>
    </row>
    <row r="648" spans="1:21" s="10" customFormat="1" ht="35.1" customHeight="1">
      <c r="A648" s="1241"/>
      <c r="B648" s="538"/>
      <c r="C648" s="583"/>
      <c r="D648" s="1087"/>
      <c r="E648" s="1088"/>
      <c r="F648" s="1089"/>
      <c r="G648" s="567"/>
      <c r="H648" s="567"/>
      <c r="I648" s="567"/>
      <c r="J648" s="821"/>
      <c r="K648" s="821"/>
      <c r="L648" s="158">
        <v>84.651399999999995</v>
      </c>
      <c r="M648" s="231">
        <v>8</v>
      </c>
      <c r="N648" s="215">
        <v>0</v>
      </c>
      <c r="O648" s="215">
        <v>0</v>
      </c>
      <c r="P648" s="512"/>
      <c r="Q648" s="512"/>
      <c r="R648" s="512"/>
      <c r="S648" s="954"/>
      <c r="T648" s="936"/>
      <c r="U648" s="497"/>
    </row>
    <row r="649" spans="1:21" s="10" customFormat="1" ht="35.1" customHeight="1">
      <c r="A649" s="1241"/>
      <c r="B649" s="538"/>
      <c r="C649" s="583"/>
      <c r="D649" s="1087"/>
      <c r="E649" s="1088"/>
      <c r="F649" s="1089"/>
      <c r="G649" s="567"/>
      <c r="H649" s="567"/>
      <c r="I649" s="567"/>
      <c r="J649" s="821"/>
      <c r="K649" s="821"/>
      <c r="L649" s="158">
        <v>84.688199999999995</v>
      </c>
      <c r="M649" s="231">
        <v>8</v>
      </c>
      <c r="N649" s="215">
        <v>0</v>
      </c>
      <c r="O649" s="215">
        <v>0</v>
      </c>
      <c r="P649" s="512"/>
      <c r="Q649" s="512"/>
      <c r="R649" s="512"/>
      <c r="S649" s="954"/>
      <c r="T649" s="936"/>
      <c r="U649" s="497"/>
    </row>
    <row r="650" spans="1:21" s="10" customFormat="1" ht="35.1" customHeight="1">
      <c r="A650" s="1241"/>
      <c r="B650" s="538"/>
      <c r="C650" s="583"/>
      <c r="D650" s="1087"/>
      <c r="E650" s="1088"/>
      <c r="F650" s="1089"/>
      <c r="G650" s="567"/>
      <c r="H650" s="567"/>
      <c r="I650" s="567"/>
      <c r="J650" s="821"/>
      <c r="K650" s="821"/>
      <c r="L650" s="158">
        <v>84.347499999999997</v>
      </c>
      <c r="M650" s="231">
        <v>8</v>
      </c>
      <c r="N650" s="215">
        <v>0</v>
      </c>
      <c r="O650" s="215">
        <v>0</v>
      </c>
      <c r="P650" s="512"/>
      <c r="Q650" s="512"/>
      <c r="R650" s="512"/>
      <c r="S650" s="954"/>
      <c r="T650" s="936"/>
      <c r="U650" s="497"/>
    </row>
    <row r="651" spans="1:21" s="10" customFormat="1" ht="35.1" customHeight="1">
      <c r="A651" s="1241"/>
      <c r="B651" s="538"/>
      <c r="C651" s="583"/>
      <c r="D651" s="1087"/>
      <c r="E651" s="1088"/>
      <c r="F651" s="1089"/>
      <c r="G651" s="568"/>
      <c r="H651" s="568"/>
      <c r="I651" s="568"/>
      <c r="J651" s="822"/>
      <c r="K651" s="822"/>
      <c r="L651" s="158">
        <v>84.688199999999995</v>
      </c>
      <c r="M651" s="231">
        <v>8</v>
      </c>
      <c r="N651" s="215">
        <v>3</v>
      </c>
      <c r="O651" s="215">
        <v>3</v>
      </c>
      <c r="P651" s="512"/>
      <c r="Q651" s="512"/>
      <c r="R651" s="512"/>
      <c r="S651" s="954"/>
      <c r="T651" s="936"/>
      <c r="U651" s="497"/>
    </row>
    <row r="652" spans="1:21" s="10" customFormat="1" ht="35.1" customHeight="1">
      <c r="A652" s="1241"/>
      <c r="B652" s="538"/>
      <c r="C652" s="583"/>
      <c r="D652" s="1090"/>
      <c r="E652" s="1091"/>
      <c r="F652" s="1092"/>
      <c r="G652" s="463" t="s">
        <v>329</v>
      </c>
      <c r="H652" s="464"/>
      <c r="I652" s="464"/>
      <c r="J652" s="464"/>
      <c r="K652" s="465"/>
      <c r="L652" s="133"/>
      <c r="M652" s="251">
        <f>SUM(M642:M651)</f>
        <v>200</v>
      </c>
      <c r="N652" s="396">
        <f>SUM(N642:N651)</f>
        <v>21</v>
      </c>
      <c r="O652" s="396">
        <f>SUM(O642:O651)</f>
        <v>21</v>
      </c>
      <c r="P652" s="513"/>
      <c r="Q652" s="513"/>
      <c r="R652" s="513"/>
      <c r="S652" s="955"/>
      <c r="T652" s="937"/>
      <c r="U652" s="498"/>
    </row>
    <row r="653" spans="1:21" s="10" customFormat="1" ht="35.1" customHeight="1">
      <c r="A653" s="1241"/>
      <c r="B653" s="538"/>
      <c r="C653" s="583"/>
      <c r="D653" s="1084" t="s">
        <v>124</v>
      </c>
      <c r="E653" s="1085"/>
      <c r="F653" s="1086"/>
      <c r="G653" s="566" t="s">
        <v>369</v>
      </c>
      <c r="H653" s="566" t="s">
        <v>368</v>
      </c>
      <c r="I653" s="566" t="s">
        <v>268</v>
      </c>
      <c r="J653" s="820" t="s">
        <v>11</v>
      </c>
      <c r="K653" s="820" t="s">
        <v>12</v>
      </c>
      <c r="L653" s="158">
        <v>84.483999999999995</v>
      </c>
      <c r="M653" s="231">
        <v>48</v>
      </c>
      <c r="N653" s="119">
        <v>3</v>
      </c>
      <c r="O653" s="119">
        <v>3</v>
      </c>
      <c r="P653" s="511" t="s">
        <v>447</v>
      </c>
      <c r="Q653" s="511" t="s">
        <v>447</v>
      </c>
      <c r="R653" s="511" t="s">
        <v>530</v>
      </c>
      <c r="S653" s="953" t="s">
        <v>532</v>
      </c>
      <c r="T653" s="935" t="s">
        <v>122</v>
      </c>
      <c r="U653" s="496" t="s">
        <v>86</v>
      </c>
    </row>
    <row r="654" spans="1:21" s="10" customFormat="1" ht="35.1" customHeight="1">
      <c r="A654" s="1241"/>
      <c r="B654" s="538"/>
      <c r="C654" s="583"/>
      <c r="D654" s="1087"/>
      <c r="E654" s="1088"/>
      <c r="F654" s="1089"/>
      <c r="G654" s="567"/>
      <c r="H654" s="567"/>
      <c r="I654" s="567"/>
      <c r="J654" s="821"/>
      <c r="K654" s="821"/>
      <c r="L654" s="158">
        <v>84.46</v>
      </c>
      <c r="M654" s="231">
        <v>48</v>
      </c>
      <c r="N654" s="119">
        <v>0</v>
      </c>
      <c r="O654" s="119">
        <v>0</v>
      </c>
      <c r="P654" s="512"/>
      <c r="Q654" s="512"/>
      <c r="R654" s="512"/>
      <c r="S654" s="954"/>
      <c r="T654" s="936"/>
      <c r="U654" s="497"/>
    </row>
    <row r="655" spans="1:21" s="10" customFormat="1" ht="35.1" customHeight="1">
      <c r="A655" s="1241"/>
      <c r="B655" s="538"/>
      <c r="C655" s="583"/>
      <c r="D655" s="1087"/>
      <c r="E655" s="1088"/>
      <c r="F655" s="1089"/>
      <c r="G655" s="567"/>
      <c r="H655" s="567"/>
      <c r="I655" s="567"/>
      <c r="J655" s="821"/>
      <c r="K655" s="821"/>
      <c r="L655" s="158">
        <v>84.483999999999995</v>
      </c>
      <c r="M655" s="231">
        <v>6</v>
      </c>
      <c r="N655" s="119">
        <v>0</v>
      </c>
      <c r="O655" s="119">
        <v>0</v>
      </c>
      <c r="P655" s="512"/>
      <c r="Q655" s="512"/>
      <c r="R655" s="512"/>
      <c r="S655" s="954"/>
      <c r="T655" s="936"/>
      <c r="U655" s="497"/>
    </row>
    <row r="656" spans="1:21" s="10" customFormat="1" ht="35.1" customHeight="1">
      <c r="A656" s="1241"/>
      <c r="B656" s="538"/>
      <c r="C656" s="583"/>
      <c r="D656" s="1087"/>
      <c r="E656" s="1088"/>
      <c r="F656" s="1089"/>
      <c r="G656" s="567"/>
      <c r="H656" s="567"/>
      <c r="I656" s="567"/>
      <c r="J656" s="821"/>
      <c r="K656" s="821"/>
      <c r="L656" s="158">
        <v>84.46</v>
      </c>
      <c r="M656" s="231">
        <v>6</v>
      </c>
      <c r="N656" s="119">
        <v>0</v>
      </c>
      <c r="O656" s="119">
        <v>0</v>
      </c>
      <c r="P656" s="512"/>
      <c r="Q656" s="512"/>
      <c r="R656" s="512"/>
      <c r="S656" s="954"/>
      <c r="T656" s="936"/>
      <c r="U656" s="497"/>
    </row>
    <row r="657" spans="1:21" s="10" customFormat="1" ht="35.1" customHeight="1">
      <c r="A657" s="1241"/>
      <c r="B657" s="538"/>
      <c r="C657" s="583"/>
      <c r="D657" s="1087"/>
      <c r="E657" s="1088"/>
      <c r="F657" s="1089"/>
      <c r="G657" s="567"/>
      <c r="H657" s="567"/>
      <c r="I657" s="567"/>
      <c r="J657" s="821"/>
      <c r="K657" s="821"/>
      <c r="L657" s="158">
        <v>84.36</v>
      </c>
      <c r="M657" s="231">
        <v>5</v>
      </c>
      <c r="N657" s="119">
        <v>1</v>
      </c>
      <c r="O657" s="119">
        <v>1</v>
      </c>
      <c r="P657" s="512"/>
      <c r="Q657" s="512"/>
      <c r="R657" s="512"/>
      <c r="S657" s="954"/>
      <c r="T657" s="936"/>
      <c r="U657" s="497"/>
    </row>
    <row r="658" spans="1:21" s="10" customFormat="1" ht="35.1" customHeight="1">
      <c r="A658" s="1241"/>
      <c r="B658" s="538"/>
      <c r="C658" s="583"/>
      <c r="D658" s="1087"/>
      <c r="E658" s="1088"/>
      <c r="F658" s="1089"/>
      <c r="G658" s="568"/>
      <c r="H658" s="568"/>
      <c r="I658" s="568"/>
      <c r="J658" s="822"/>
      <c r="K658" s="822"/>
      <c r="L658" s="158">
        <v>84.194999999999993</v>
      </c>
      <c r="M658" s="231">
        <v>5</v>
      </c>
      <c r="N658" s="119">
        <v>0</v>
      </c>
      <c r="O658" s="119">
        <v>0</v>
      </c>
      <c r="P658" s="512"/>
      <c r="Q658" s="512"/>
      <c r="R658" s="512"/>
      <c r="S658" s="954"/>
      <c r="T658" s="936"/>
      <c r="U658" s="497"/>
    </row>
    <row r="659" spans="1:21" s="10" customFormat="1" ht="35.1" customHeight="1">
      <c r="A659" s="1241"/>
      <c r="B659" s="538"/>
      <c r="C659" s="617"/>
      <c r="D659" s="1090"/>
      <c r="E659" s="1091"/>
      <c r="F659" s="1092"/>
      <c r="G659" s="463" t="s">
        <v>329</v>
      </c>
      <c r="H659" s="464"/>
      <c r="I659" s="464"/>
      <c r="J659" s="464"/>
      <c r="K659" s="465"/>
      <c r="L659" s="133"/>
      <c r="M659" s="251">
        <f>SUM(M653:M658)</f>
        <v>118</v>
      </c>
      <c r="N659" s="396">
        <f>SUM(N653:N658)</f>
        <v>4</v>
      </c>
      <c r="O659" s="396">
        <f>SUM(O653:O658)</f>
        <v>4</v>
      </c>
      <c r="P659" s="513"/>
      <c r="Q659" s="513"/>
      <c r="R659" s="513"/>
      <c r="S659" s="955"/>
      <c r="T659" s="937"/>
      <c r="U659" s="498"/>
    </row>
    <row r="660" spans="1:21" s="10" customFormat="1" ht="35.1" customHeight="1">
      <c r="A660" s="1241"/>
      <c r="B660" s="538"/>
      <c r="C660" s="616" t="s">
        <v>72</v>
      </c>
      <c r="D660" s="1084" t="s">
        <v>141</v>
      </c>
      <c r="E660" s="1085"/>
      <c r="F660" s="1086"/>
      <c r="G660" s="616" t="s">
        <v>179</v>
      </c>
      <c r="H660" s="616" t="s">
        <v>132</v>
      </c>
      <c r="I660" s="616" t="s">
        <v>132</v>
      </c>
      <c r="J660" s="820" t="s">
        <v>11</v>
      </c>
      <c r="K660" s="820" t="s">
        <v>12</v>
      </c>
      <c r="L660" s="172" t="s">
        <v>142</v>
      </c>
      <c r="M660" s="221">
        <v>16</v>
      </c>
      <c r="N660" s="119">
        <v>9</v>
      </c>
      <c r="O660" s="119">
        <v>9</v>
      </c>
      <c r="P660" s="618" t="s">
        <v>413</v>
      </c>
      <c r="Q660" s="618" t="s">
        <v>413</v>
      </c>
      <c r="R660" s="618" t="s">
        <v>462</v>
      </c>
      <c r="S660" s="559" t="s">
        <v>188</v>
      </c>
      <c r="T660" s="929" t="s">
        <v>122</v>
      </c>
      <c r="U660" s="929" t="s">
        <v>86</v>
      </c>
    </row>
    <row r="661" spans="1:21" s="10" customFormat="1" ht="35.1" customHeight="1">
      <c r="A661" s="1241"/>
      <c r="B661" s="538"/>
      <c r="C661" s="583"/>
      <c r="D661" s="1087"/>
      <c r="E661" s="1088"/>
      <c r="F661" s="1089"/>
      <c r="G661" s="583"/>
      <c r="H661" s="583"/>
      <c r="I661" s="583"/>
      <c r="J661" s="821"/>
      <c r="K661" s="821"/>
      <c r="L661" s="172" t="s">
        <v>143</v>
      </c>
      <c r="M661" s="221">
        <v>20</v>
      </c>
      <c r="N661" s="119">
        <v>11</v>
      </c>
      <c r="O661" s="119">
        <v>11</v>
      </c>
      <c r="P661" s="593"/>
      <c r="Q661" s="593"/>
      <c r="R661" s="593"/>
      <c r="S661" s="560"/>
      <c r="T661" s="930"/>
      <c r="U661" s="930"/>
    </row>
    <row r="662" spans="1:21" s="10" customFormat="1" ht="35.1" customHeight="1">
      <c r="A662" s="1241"/>
      <c r="B662" s="538"/>
      <c r="C662" s="583"/>
      <c r="D662" s="1087"/>
      <c r="E662" s="1088"/>
      <c r="F662" s="1089"/>
      <c r="G662" s="583"/>
      <c r="H662" s="583"/>
      <c r="I662" s="583"/>
      <c r="J662" s="821"/>
      <c r="K662" s="821"/>
      <c r="L662" s="172" t="s">
        <v>144</v>
      </c>
      <c r="M662" s="221">
        <v>10</v>
      </c>
      <c r="N662" s="119">
        <v>0</v>
      </c>
      <c r="O662" s="119">
        <v>0</v>
      </c>
      <c r="P662" s="593"/>
      <c r="Q662" s="593"/>
      <c r="R662" s="593"/>
      <c r="S662" s="560"/>
      <c r="T662" s="930"/>
      <c r="U662" s="930"/>
    </row>
    <row r="663" spans="1:21" s="10" customFormat="1" ht="35.1" customHeight="1">
      <c r="A663" s="1241"/>
      <c r="B663" s="538"/>
      <c r="C663" s="583"/>
      <c r="D663" s="1087"/>
      <c r="E663" s="1088"/>
      <c r="F663" s="1089"/>
      <c r="G663" s="583"/>
      <c r="H663" s="583"/>
      <c r="I663" s="583"/>
      <c r="J663" s="821"/>
      <c r="K663" s="821"/>
      <c r="L663" s="172" t="s">
        <v>145</v>
      </c>
      <c r="M663" s="221">
        <v>8</v>
      </c>
      <c r="N663" s="119">
        <v>3</v>
      </c>
      <c r="O663" s="119">
        <v>3</v>
      </c>
      <c r="P663" s="593"/>
      <c r="Q663" s="593"/>
      <c r="R663" s="593"/>
      <c r="S663" s="560"/>
      <c r="T663" s="930"/>
      <c r="U663" s="930"/>
    </row>
    <row r="664" spans="1:21" s="10" customFormat="1" ht="35.1" customHeight="1">
      <c r="A664" s="1241"/>
      <c r="B664" s="538"/>
      <c r="C664" s="583"/>
      <c r="D664" s="1087"/>
      <c r="E664" s="1088"/>
      <c r="F664" s="1089"/>
      <c r="G664" s="583"/>
      <c r="H664" s="583"/>
      <c r="I664" s="583"/>
      <c r="J664" s="821"/>
      <c r="K664" s="821"/>
      <c r="L664" s="172" t="s">
        <v>146</v>
      </c>
      <c r="M664" s="221">
        <v>11</v>
      </c>
      <c r="N664" s="119">
        <v>9</v>
      </c>
      <c r="O664" s="119">
        <v>9</v>
      </c>
      <c r="P664" s="593"/>
      <c r="Q664" s="593"/>
      <c r="R664" s="593"/>
      <c r="S664" s="560"/>
      <c r="T664" s="930"/>
      <c r="U664" s="930"/>
    </row>
    <row r="665" spans="1:21" s="10" customFormat="1" ht="35.1" customHeight="1">
      <c r="A665" s="1241"/>
      <c r="B665" s="538"/>
      <c r="C665" s="583"/>
      <c r="D665" s="1087"/>
      <c r="E665" s="1088"/>
      <c r="F665" s="1089"/>
      <c r="G665" s="583"/>
      <c r="H665" s="583"/>
      <c r="I665" s="583"/>
      <c r="J665" s="821"/>
      <c r="K665" s="821"/>
      <c r="L665" s="172" t="s">
        <v>147</v>
      </c>
      <c r="M665" s="221">
        <v>20</v>
      </c>
      <c r="N665" s="119">
        <v>10</v>
      </c>
      <c r="O665" s="119">
        <v>10</v>
      </c>
      <c r="P665" s="593"/>
      <c r="Q665" s="593"/>
      <c r="R665" s="593"/>
      <c r="S665" s="560"/>
      <c r="T665" s="930"/>
      <c r="U665" s="930"/>
    </row>
    <row r="666" spans="1:21" s="10" customFormat="1" ht="35.1" customHeight="1">
      <c r="A666" s="1241"/>
      <c r="B666" s="538"/>
      <c r="C666" s="583"/>
      <c r="D666" s="1087"/>
      <c r="E666" s="1088"/>
      <c r="F666" s="1089"/>
      <c r="G666" s="583"/>
      <c r="H666" s="583"/>
      <c r="I666" s="583"/>
      <c r="J666" s="821"/>
      <c r="K666" s="821"/>
      <c r="L666" s="172" t="s">
        <v>148</v>
      </c>
      <c r="M666" s="221">
        <v>3</v>
      </c>
      <c r="N666" s="119">
        <v>0</v>
      </c>
      <c r="O666" s="119">
        <v>0</v>
      </c>
      <c r="P666" s="593"/>
      <c r="Q666" s="593"/>
      <c r="R666" s="593"/>
      <c r="S666" s="560"/>
      <c r="T666" s="930"/>
      <c r="U666" s="930"/>
    </row>
    <row r="667" spans="1:21" s="10" customFormat="1" ht="35.1" customHeight="1">
      <c r="A667" s="1241"/>
      <c r="B667" s="538"/>
      <c r="C667" s="583"/>
      <c r="D667" s="1087"/>
      <c r="E667" s="1088"/>
      <c r="F667" s="1089"/>
      <c r="G667" s="583"/>
      <c r="H667" s="583"/>
      <c r="I667" s="583"/>
      <c r="J667" s="821"/>
      <c r="K667" s="821"/>
      <c r="L667" s="172" t="s">
        <v>149</v>
      </c>
      <c r="M667" s="221">
        <v>5</v>
      </c>
      <c r="N667" s="119">
        <v>0</v>
      </c>
      <c r="O667" s="119">
        <v>0</v>
      </c>
      <c r="P667" s="593"/>
      <c r="Q667" s="593"/>
      <c r="R667" s="593"/>
      <c r="S667" s="560"/>
      <c r="T667" s="930"/>
      <c r="U667" s="930"/>
    </row>
    <row r="668" spans="1:21" s="10" customFormat="1" ht="35.1" customHeight="1">
      <c r="A668" s="1241"/>
      <c r="B668" s="538"/>
      <c r="C668" s="583"/>
      <c r="D668" s="1087"/>
      <c r="E668" s="1088"/>
      <c r="F668" s="1089"/>
      <c r="G668" s="583"/>
      <c r="H668" s="583"/>
      <c r="I668" s="583"/>
      <c r="J668" s="821"/>
      <c r="K668" s="821"/>
      <c r="L668" s="172" t="s">
        <v>150</v>
      </c>
      <c r="M668" s="221">
        <v>4</v>
      </c>
      <c r="N668" s="119">
        <v>2</v>
      </c>
      <c r="O668" s="119">
        <v>2</v>
      </c>
      <c r="P668" s="593"/>
      <c r="Q668" s="593"/>
      <c r="R668" s="593"/>
      <c r="S668" s="560"/>
      <c r="T668" s="930"/>
      <c r="U668" s="930"/>
    </row>
    <row r="669" spans="1:21" s="10" customFormat="1" ht="35.1" customHeight="1">
      <c r="A669" s="1241"/>
      <c r="B669" s="538"/>
      <c r="C669" s="583"/>
      <c r="D669" s="1087"/>
      <c r="E669" s="1088"/>
      <c r="F669" s="1089"/>
      <c r="G669" s="583"/>
      <c r="H669" s="583"/>
      <c r="I669" s="583"/>
      <c r="J669" s="821"/>
      <c r="K669" s="821"/>
      <c r="L669" s="172" t="s">
        <v>151</v>
      </c>
      <c r="M669" s="221">
        <v>5</v>
      </c>
      <c r="N669" s="119">
        <v>4</v>
      </c>
      <c r="O669" s="119">
        <v>4</v>
      </c>
      <c r="P669" s="593"/>
      <c r="Q669" s="593"/>
      <c r="R669" s="593"/>
      <c r="S669" s="560"/>
      <c r="T669" s="930"/>
      <c r="U669" s="930"/>
    </row>
    <row r="670" spans="1:21" s="10" customFormat="1" ht="35.1" customHeight="1">
      <c r="A670" s="1241"/>
      <c r="B670" s="538"/>
      <c r="C670" s="583"/>
      <c r="D670" s="1087"/>
      <c r="E670" s="1088"/>
      <c r="F670" s="1089"/>
      <c r="G670" s="583"/>
      <c r="H670" s="583"/>
      <c r="I670" s="583"/>
      <c r="J670" s="821"/>
      <c r="K670" s="821"/>
      <c r="L670" s="172" t="s">
        <v>152</v>
      </c>
      <c r="M670" s="221">
        <v>4</v>
      </c>
      <c r="N670" s="119">
        <v>1</v>
      </c>
      <c r="O670" s="119">
        <v>1</v>
      </c>
      <c r="P670" s="593"/>
      <c r="Q670" s="593"/>
      <c r="R670" s="593"/>
      <c r="S670" s="560"/>
      <c r="T670" s="930"/>
      <c r="U670" s="930"/>
    </row>
    <row r="671" spans="1:21" s="10" customFormat="1" ht="35.1" customHeight="1">
      <c r="A671" s="1241"/>
      <c r="B671" s="538"/>
      <c r="C671" s="583"/>
      <c r="D671" s="1087"/>
      <c r="E671" s="1088"/>
      <c r="F671" s="1089"/>
      <c r="G671" s="583"/>
      <c r="H671" s="583"/>
      <c r="I671" s="583"/>
      <c r="J671" s="821"/>
      <c r="K671" s="821"/>
      <c r="L671" s="172" t="s">
        <v>153</v>
      </c>
      <c r="M671" s="221">
        <v>5</v>
      </c>
      <c r="N671" s="119">
        <v>5</v>
      </c>
      <c r="O671" s="119">
        <v>5</v>
      </c>
      <c r="P671" s="593"/>
      <c r="Q671" s="593"/>
      <c r="R671" s="593"/>
      <c r="S671" s="560"/>
      <c r="T671" s="930"/>
      <c r="U671" s="930"/>
    </row>
    <row r="672" spans="1:21" s="10" customFormat="1" ht="35.1" customHeight="1">
      <c r="A672" s="1241"/>
      <c r="B672" s="538"/>
      <c r="C672" s="583"/>
      <c r="D672" s="1087"/>
      <c r="E672" s="1088"/>
      <c r="F672" s="1089"/>
      <c r="G672" s="583"/>
      <c r="H672" s="583"/>
      <c r="I672" s="583"/>
      <c r="J672" s="821"/>
      <c r="K672" s="821"/>
      <c r="L672" s="172" t="s">
        <v>154</v>
      </c>
      <c r="M672" s="221">
        <v>5</v>
      </c>
      <c r="N672" s="119">
        <v>0</v>
      </c>
      <c r="O672" s="119">
        <v>0</v>
      </c>
      <c r="P672" s="593"/>
      <c r="Q672" s="593"/>
      <c r="R672" s="593"/>
      <c r="S672" s="560"/>
      <c r="T672" s="930"/>
      <c r="U672" s="930"/>
    </row>
    <row r="673" spans="1:21" s="10" customFormat="1" ht="35.1" customHeight="1">
      <c r="A673" s="1241"/>
      <c r="B673" s="538"/>
      <c r="C673" s="583"/>
      <c r="D673" s="1087"/>
      <c r="E673" s="1088"/>
      <c r="F673" s="1089"/>
      <c r="G673" s="617"/>
      <c r="H673" s="617"/>
      <c r="I673" s="617"/>
      <c r="J673" s="822"/>
      <c r="K673" s="822"/>
      <c r="L673" s="172" t="s">
        <v>155</v>
      </c>
      <c r="M673" s="221">
        <v>6</v>
      </c>
      <c r="N673" s="119">
        <v>0</v>
      </c>
      <c r="O673" s="119">
        <v>0</v>
      </c>
      <c r="P673" s="593"/>
      <c r="Q673" s="593"/>
      <c r="R673" s="593"/>
      <c r="S673" s="560"/>
      <c r="T673" s="930"/>
      <c r="U673" s="930"/>
    </row>
    <row r="674" spans="1:21" s="10" customFormat="1" ht="35.1" customHeight="1">
      <c r="A674" s="1241"/>
      <c r="B674" s="538"/>
      <c r="C674" s="617"/>
      <c r="D674" s="1090"/>
      <c r="E674" s="1091"/>
      <c r="F674" s="1092"/>
      <c r="G674" s="463" t="s">
        <v>329</v>
      </c>
      <c r="H674" s="464"/>
      <c r="I674" s="464"/>
      <c r="J674" s="464"/>
      <c r="K674" s="465"/>
      <c r="L674" s="133"/>
      <c r="M674" s="251">
        <f>SUM(M660:M673)</f>
        <v>122</v>
      </c>
      <c r="N674" s="396">
        <f>SUM(N660:N673)</f>
        <v>54</v>
      </c>
      <c r="O674" s="396">
        <f>SUM(O660:O673)</f>
        <v>54</v>
      </c>
      <c r="P674" s="619"/>
      <c r="Q674" s="619"/>
      <c r="R674" s="619"/>
      <c r="S674" s="561"/>
      <c r="T674" s="931"/>
      <c r="U674" s="931"/>
    </row>
    <row r="675" spans="1:21" s="10" customFormat="1" ht="35.1" customHeight="1">
      <c r="A675" s="1241"/>
      <c r="B675" s="538"/>
      <c r="C675" s="616" t="s">
        <v>72</v>
      </c>
      <c r="D675" s="1084" t="s">
        <v>156</v>
      </c>
      <c r="E675" s="1085"/>
      <c r="F675" s="1086"/>
      <c r="G675" s="616" t="s">
        <v>179</v>
      </c>
      <c r="H675" s="616" t="s">
        <v>132</v>
      </c>
      <c r="I675" s="616" t="s">
        <v>132</v>
      </c>
      <c r="J675" s="820" t="s">
        <v>11</v>
      </c>
      <c r="K675" s="820" t="s">
        <v>12</v>
      </c>
      <c r="L675" s="172" t="s">
        <v>142</v>
      </c>
      <c r="M675" s="221">
        <v>34</v>
      </c>
      <c r="N675" s="119">
        <v>13</v>
      </c>
      <c r="O675" s="119">
        <v>13</v>
      </c>
      <c r="P675" s="618" t="s">
        <v>413</v>
      </c>
      <c r="Q675" s="618" t="s">
        <v>413</v>
      </c>
      <c r="R675" s="618" t="s">
        <v>462</v>
      </c>
      <c r="S675" s="559" t="s">
        <v>188</v>
      </c>
      <c r="T675" s="929" t="s">
        <v>122</v>
      </c>
      <c r="U675" s="929" t="s">
        <v>86</v>
      </c>
    </row>
    <row r="676" spans="1:21" s="10" customFormat="1" ht="35.1" customHeight="1">
      <c r="A676" s="1241"/>
      <c r="B676" s="538"/>
      <c r="C676" s="583"/>
      <c r="D676" s="1087"/>
      <c r="E676" s="1088"/>
      <c r="F676" s="1089"/>
      <c r="G676" s="583"/>
      <c r="H676" s="583"/>
      <c r="I676" s="583"/>
      <c r="J676" s="821"/>
      <c r="K676" s="821"/>
      <c r="L676" s="172" t="s">
        <v>143</v>
      </c>
      <c r="M676" s="221">
        <v>18</v>
      </c>
      <c r="N676" s="119">
        <v>15</v>
      </c>
      <c r="O676" s="119">
        <v>15</v>
      </c>
      <c r="P676" s="593"/>
      <c r="Q676" s="593"/>
      <c r="R676" s="593"/>
      <c r="S676" s="560"/>
      <c r="T676" s="930"/>
      <c r="U676" s="930"/>
    </row>
    <row r="677" spans="1:21" s="10" customFormat="1" ht="35.1" customHeight="1">
      <c r="A677" s="1241"/>
      <c r="B677" s="538"/>
      <c r="C677" s="583"/>
      <c r="D677" s="1087"/>
      <c r="E677" s="1088"/>
      <c r="F677" s="1089"/>
      <c r="G677" s="583"/>
      <c r="H677" s="583"/>
      <c r="I677" s="583"/>
      <c r="J677" s="821"/>
      <c r="K677" s="821"/>
      <c r="L677" s="172" t="s">
        <v>144</v>
      </c>
      <c r="M677" s="221">
        <v>3</v>
      </c>
      <c r="N677" s="119">
        <v>0</v>
      </c>
      <c r="O677" s="119">
        <v>0</v>
      </c>
      <c r="P677" s="593"/>
      <c r="Q677" s="593"/>
      <c r="R677" s="593"/>
      <c r="S677" s="560"/>
      <c r="T677" s="930"/>
      <c r="U677" s="930"/>
    </row>
    <row r="678" spans="1:21" s="10" customFormat="1" ht="35.1" customHeight="1">
      <c r="A678" s="1241"/>
      <c r="B678" s="538"/>
      <c r="C678" s="583"/>
      <c r="D678" s="1087"/>
      <c r="E678" s="1088"/>
      <c r="F678" s="1089"/>
      <c r="G678" s="583"/>
      <c r="H678" s="583"/>
      <c r="I678" s="583"/>
      <c r="J678" s="821"/>
      <c r="K678" s="821"/>
      <c r="L678" s="172" t="s">
        <v>146</v>
      </c>
      <c r="M678" s="221">
        <v>18</v>
      </c>
      <c r="N678" s="119">
        <v>15</v>
      </c>
      <c r="O678" s="119">
        <v>15</v>
      </c>
      <c r="P678" s="593"/>
      <c r="Q678" s="593"/>
      <c r="R678" s="593"/>
      <c r="S678" s="560"/>
      <c r="T678" s="930"/>
      <c r="U678" s="930"/>
    </row>
    <row r="679" spans="1:21" s="10" customFormat="1" ht="35.1" customHeight="1">
      <c r="A679" s="1241"/>
      <c r="B679" s="538"/>
      <c r="C679" s="583"/>
      <c r="D679" s="1087"/>
      <c r="E679" s="1088"/>
      <c r="F679" s="1089"/>
      <c r="G679" s="583"/>
      <c r="H679" s="583"/>
      <c r="I679" s="583"/>
      <c r="J679" s="821"/>
      <c r="K679" s="821"/>
      <c r="L679" s="172" t="s">
        <v>147</v>
      </c>
      <c r="M679" s="221">
        <v>19</v>
      </c>
      <c r="N679" s="119">
        <v>14</v>
      </c>
      <c r="O679" s="119">
        <v>14</v>
      </c>
      <c r="P679" s="593"/>
      <c r="Q679" s="593"/>
      <c r="R679" s="593"/>
      <c r="S679" s="560"/>
      <c r="T679" s="930"/>
      <c r="U679" s="930"/>
    </row>
    <row r="680" spans="1:21" s="10" customFormat="1" ht="35.1" customHeight="1">
      <c r="A680" s="1241"/>
      <c r="B680" s="538"/>
      <c r="C680" s="583"/>
      <c r="D680" s="1087"/>
      <c r="E680" s="1088"/>
      <c r="F680" s="1089"/>
      <c r="G680" s="583"/>
      <c r="H680" s="583"/>
      <c r="I680" s="583"/>
      <c r="J680" s="821"/>
      <c r="K680" s="821"/>
      <c r="L680" s="172" t="s">
        <v>157</v>
      </c>
      <c r="M680" s="221">
        <v>6</v>
      </c>
      <c r="N680" s="119">
        <v>3</v>
      </c>
      <c r="O680" s="119">
        <v>3</v>
      </c>
      <c r="P680" s="593"/>
      <c r="Q680" s="593"/>
      <c r="R680" s="593"/>
      <c r="S680" s="560"/>
      <c r="T680" s="930"/>
      <c r="U680" s="930"/>
    </row>
    <row r="681" spans="1:21" s="10" customFormat="1" ht="35.1" customHeight="1">
      <c r="A681" s="1241"/>
      <c r="B681" s="538"/>
      <c r="C681" s="583"/>
      <c r="D681" s="1087"/>
      <c r="E681" s="1088"/>
      <c r="F681" s="1089"/>
      <c r="G681" s="583"/>
      <c r="H681" s="583"/>
      <c r="I681" s="583"/>
      <c r="J681" s="821"/>
      <c r="K681" s="821"/>
      <c r="L681" s="172" t="s">
        <v>148</v>
      </c>
      <c r="M681" s="221">
        <v>8</v>
      </c>
      <c r="N681" s="119">
        <v>0</v>
      </c>
      <c r="O681" s="119">
        <v>0</v>
      </c>
      <c r="P681" s="593"/>
      <c r="Q681" s="593"/>
      <c r="R681" s="593"/>
      <c r="S681" s="560"/>
      <c r="T681" s="930"/>
      <c r="U681" s="930"/>
    </row>
    <row r="682" spans="1:21" s="10" customFormat="1" ht="35.1" customHeight="1">
      <c r="A682" s="1241"/>
      <c r="B682" s="538"/>
      <c r="C682" s="583"/>
      <c r="D682" s="1087"/>
      <c r="E682" s="1088"/>
      <c r="F682" s="1089"/>
      <c r="G682" s="583"/>
      <c r="H682" s="583"/>
      <c r="I682" s="583"/>
      <c r="J682" s="821"/>
      <c r="K682" s="821"/>
      <c r="L682" s="172" t="s">
        <v>149</v>
      </c>
      <c r="M682" s="221">
        <v>17</v>
      </c>
      <c r="N682" s="119">
        <v>0</v>
      </c>
      <c r="O682" s="119">
        <v>0</v>
      </c>
      <c r="P682" s="593"/>
      <c r="Q682" s="593"/>
      <c r="R682" s="593"/>
      <c r="S682" s="560"/>
      <c r="T682" s="930"/>
      <c r="U682" s="930"/>
    </row>
    <row r="683" spans="1:21" s="10" customFormat="1" ht="35.1" customHeight="1">
      <c r="A683" s="1241"/>
      <c r="B683" s="538"/>
      <c r="C683" s="583"/>
      <c r="D683" s="1087"/>
      <c r="E683" s="1088"/>
      <c r="F683" s="1089"/>
      <c r="G683" s="583"/>
      <c r="H683" s="583"/>
      <c r="I683" s="583"/>
      <c r="J683" s="821"/>
      <c r="K683" s="821"/>
      <c r="L683" s="172" t="s">
        <v>222</v>
      </c>
      <c r="M683" s="221">
        <v>25</v>
      </c>
      <c r="N683" s="119">
        <v>0</v>
      </c>
      <c r="O683" s="119">
        <v>0</v>
      </c>
      <c r="P683" s="593"/>
      <c r="Q683" s="593"/>
      <c r="R683" s="593"/>
      <c r="S683" s="560"/>
      <c r="T683" s="930"/>
      <c r="U683" s="930"/>
    </row>
    <row r="684" spans="1:21" s="10" customFormat="1" ht="35.1" customHeight="1">
      <c r="A684" s="1241"/>
      <c r="B684" s="538"/>
      <c r="C684" s="583"/>
      <c r="D684" s="1087"/>
      <c r="E684" s="1088"/>
      <c r="F684" s="1089"/>
      <c r="G684" s="583"/>
      <c r="H684" s="583"/>
      <c r="I684" s="583"/>
      <c r="J684" s="821"/>
      <c r="K684" s="821"/>
      <c r="L684" s="172" t="s">
        <v>158</v>
      </c>
      <c r="M684" s="221">
        <v>25</v>
      </c>
      <c r="N684" s="119">
        <v>0</v>
      </c>
      <c r="O684" s="119">
        <v>0</v>
      </c>
      <c r="P684" s="593"/>
      <c r="Q684" s="593"/>
      <c r="R684" s="593"/>
      <c r="S684" s="560"/>
      <c r="T684" s="930"/>
      <c r="U684" s="930"/>
    </row>
    <row r="685" spans="1:21" s="10" customFormat="1" ht="35.1" customHeight="1">
      <c r="A685" s="1241"/>
      <c r="B685" s="538"/>
      <c r="C685" s="583"/>
      <c r="D685" s="1087"/>
      <c r="E685" s="1088"/>
      <c r="F685" s="1089"/>
      <c r="G685" s="583"/>
      <c r="H685" s="583"/>
      <c r="I685" s="583"/>
      <c r="J685" s="821"/>
      <c r="K685" s="821"/>
      <c r="L685" s="172" t="s">
        <v>221</v>
      </c>
      <c r="M685" s="221">
        <v>6</v>
      </c>
      <c r="N685" s="119">
        <v>0</v>
      </c>
      <c r="O685" s="119">
        <v>0</v>
      </c>
      <c r="P685" s="593"/>
      <c r="Q685" s="593"/>
      <c r="R685" s="593"/>
      <c r="S685" s="560"/>
      <c r="T685" s="930"/>
      <c r="U685" s="930"/>
    </row>
    <row r="686" spans="1:21" s="10" customFormat="1" ht="35.1" customHeight="1">
      <c r="A686" s="1241"/>
      <c r="B686" s="538"/>
      <c r="C686" s="583"/>
      <c r="D686" s="1087"/>
      <c r="E686" s="1088"/>
      <c r="F686" s="1089"/>
      <c r="G686" s="583"/>
      <c r="H686" s="583"/>
      <c r="I686" s="583"/>
      <c r="J686" s="821"/>
      <c r="K686" s="821"/>
      <c r="L686" s="172" t="s">
        <v>159</v>
      </c>
      <c r="M686" s="221">
        <v>6</v>
      </c>
      <c r="N686" s="119">
        <v>0</v>
      </c>
      <c r="O686" s="119">
        <v>0</v>
      </c>
      <c r="P686" s="593"/>
      <c r="Q686" s="593"/>
      <c r="R686" s="593"/>
      <c r="S686" s="560"/>
      <c r="T686" s="930"/>
      <c r="U686" s="930"/>
    </row>
    <row r="687" spans="1:21" s="10" customFormat="1" ht="35.1" customHeight="1">
      <c r="A687" s="1241"/>
      <c r="B687" s="538"/>
      <c r="C687" s="583"/>
      <c r="D687" s="1087"/>
      <c r="E687" s="1088"/>
      <c r="F687" s="1089"/>
      <c r="G687" s="617"/>
      <c r="H687" s="617"/>
      <c r="I687" s="617"/>
      <c r="J687" s="822"/>
      <c r="K687" s="822"/>
      <c r="L687" s="172" t="s">
        <v>154</v>
      </c>
      <c r="M687" s="221">
        <v>1</v>
      </c>
      <c r="N687" s="119">
        <v>0</v>
      </c>
      <c r="O687" s="119">
        <v>0</v>
      </c>
      <c r="P687" s="593"/>
      <c r="Q687" s="593"/>
      <c r="R687" s="593"/>
      <c r="S687" s="560"/>
      <c r="T687" s="930"/>
      <c r="U687" s="930"/>
    </row>
    <row r="688" spans="1:21" s="10" customFormat="1" ht="35.1" customHeight="1">
      <c r="A688" s="1241"/>
      <c r="B688" s="538"/>
      <c r="C688" s="617"/>
      <c r="D688" s="1090"/>
      <c r="E688" s="1091"/>
      <c r="F688" s="1092"/>
      <c r="G688" s="463" t="s">
        <v>329</v>
      </c>
      <c r="H688" s="464"/>
      <c r="I688" s="464"/>
      <c r="J688" s="464"/>
      <c r="K688" s="465"/>
      <c r="L688" s="133"/>
      <c r="M688" s="251">
        <f>SUM(M675:M687)</f>
        <v>186</v>
      </c>
      <c r="N688" s="396">
        <f>SUM(N675:N687)</f>
        <v>60</v>
      </c>
      <c r="O688" s="396">
        <f>SUM(O675:O687)</f>
        <v>60</v>
      </c>
      <c r="P688" s="619"/>
      <c r="Q688" s="619"/>
      <c r="R688" s="619"/>
      <c r="S688" s="561"/>
      <c r="T688" s="931"/>
      <c r="U688" s="931"/>
    </row>
    <row r="689" spans="1:21" s="10" customFormat="1" ht="35.1" customHeight="1">
      <c r="A689" s="1241"/>
      <c r="B689" s="538"/>
      <c r="C689" s="616" t="s">
        <v>72</v>
      </c>
      <c r="D689" s="1084" t="s">
        <v>160</v>
      </c>
      <c r="E689" s="1085"/>
      <c r="F689" s="1086"/>
      <c r="G689" s="616" t="s">
        <v>179</v>
      </c>
      <c r="H689" s="616" t="s">
        <v>132</v>
      </c>
      <c r="I689" s="616" t="s">
        <v>132</v>
      </c>
      <c r="J689" s="820" t="s">
        <v>11</v>
      </c>
      <c r="K689" s="820" t="s">
        <v>12</v>
      </c>
      <c r="L689" s="172" t="s">
        <v>142</v>
      </c>
      <c r="M689" s="221">
        <v>33</v>
      </c>
      <c r="N689" s="119">
        <v>12</v>
      </c>
      <c r="O689" s="119">
        <v>12</v>
      </c>
      <c r="P689" s="618" t="s">
        <v>413</v>
      </c>
      <c r="Q689" s="618" t="s">
        <v>413</v>
      </c>
      <c r="R689" s="618" t="s">
        <v>462</v>
      </c>
      <c r="S689" s="559" t="s">
        <v>188</v>
      </c>
      <c r="T689" s="929" t="s">
        <v>161</v>
      </c>
      <c r="U689" s="929" t="s">
        <v>86</v>
      </c>
    </row>
    <row r="690" spans="1:21" s="10" customFormat="1" ht="35.1" customHeight="1">
      <c r="A690" s="1241"/>
      <c r="B690" s="538"/>
      <c r="C690" s="583"/>
      <c r="D690" s="1087"/>
      <c r="E690" s="1088"/>
      <c r="F690" s="1089"/>
      <c r="G690" s="583"/>
      <c r="H690" s="583"/>
      <c r="I690" s="583"/>
      <c r="J690" s="821"/>
      <c r="K690" s="821"/>
      <c r="L690" s="172" t="s">
        <v>143</v>
      </c>
      <c r="M690" s="221">
        <v>35</v>
      </c>
      <c r="N690" s="119">
        <v>13</v>
      </c>
      <c r="O690" s="119">
        <v>13</v>
      </c>
      <c r="P690" s="593"/>
      <c r="Q690" s="593"/>
      <c r="R690" s="593"/>
      <c r="S690" s="560"/>
      <c r="T690" s="930"/>
      <c r="U690" s="930"/>
    </row>
    <row r="691" spans="1:21" s="10" customFormat="1" ht="35.1" customHeight="1">
      <c r="A691" s="1241"/>
      <c r="B691" s="538"/>
      <c r="C691" s="583"/>
      <c r="D691" s="1087"/>
      <c r="E691" s="1088"/>
      <c r="F691" s="1089"/>
      <c r="G691" s="583"/>
      <c r="H691" s="583"/>
      <c r="I691" s="583"/>
      <c r="J691" s="821"/>
      <c r="K691" s="821"/>
      <c r="L691" s="172" t="s">
        <v>144</v>
      </c>
      <c r="M691" s="221">
        <v>4</v>
      </c>
      <c r="N691" s="119">
        <v>0</v>
      </c>
      <c r="O691" s="119">
        <v>0</v>
      </c>
      <c r="P691" s="593"/>
      <c r="Q691" s="593"/>
      <c r="R691" s="593"/>
      <c r="S691" s="560"/>
      <c r="T691" s="930"/>
      <c r="U691" s="930"/>
    </row>
    <row r="692" spans="1:21" s="10" customFormat="1" ht="35.1" customHeight="1">
      <c r="A692" s="1241"/>
      <c r="B692" s="538"/>
      <c r="C692" s="583"/>
      <c r="D692" s="1087"/>
      <c r="E692" s="1088"/>
      <c r="F692" s="1089"/>
      <c r="G692" s="583"/>
      <c r="H692" s="583"/>
      <c r="I692" s="583"/>
      <c r="J692" s="821"/>
      <c r="K692" s="821"/>
      <c r="L692" s="172" t="s">
        <v>145</v>
      </c>
      <c r="M692" s="221">
        <v>5</v>
      </c>
      <c r="N692" s="119">
        <v>1</v>
      </c>
      <c r="O692" s="119">
        <v>1</v>
      </c>
      <c r="P692" s="593"/>
      <c r="Q692" s="593"/>
      <c r="R692" s="593"/>
      <c r="S692" s="560"/>
      <c r="T692" s="930"/>
      <c r="U692" s="930"/>
    </row>
    <row r="693" spans="1:21" s="10" customFormat="1" ht="35.1" customHeight="1">
      <c r="A693" s="1241"/>
      <c r="B693" s="538"/>
      <c r="C693" s="583"/>
      <c r="D693" s="1087"/>
      <c r="E693" s="1088"/>
      <c r="F693" s="1089"/>
      <c r="G693" s="583"/>
      <c r="H693" s="583"/>
      <c r="I693" s="583"/>
      <c r="J693" s="821"/>
      <c r="K693" s="821"/>
      <c r="L693" s="172" t="s">
        <v>146</v>
      </c>
      <c r="M693" s="221">
        <v>16</v>
      </c>
      <c r="N693" s="119">
        <v>10</v>
      </c>
      <c r="O693" s="119">
        <v>10</v>
      </c>
      <c r="P693" s="593"/>
      <c r="Q693" s="593"/>
      <c r="R693" s="593"/>
      <c r="S693" s="560"/>
      <c r="T693" s="930"/>
      <c r="U693" s="930"/>
    </row>
    <row r="694" spans="1:21" s="10" customFormat="1" ht="35.1" customHeight="1">
      <c r="A694" s="1241"/>
      <c r="B694" s="538"/>
      <c r="C694" s="583"/>
      <c r="D694" s="1087"/>
      <c r="E694" s="1088"/>
      <c r="F694" s="1089"/>
      <c r="G694" s="583"/>
      <c r="H694" s="583"/>
      <c r="I694" s="583"/>
      <c r="J694" s="821"/>
      <c r="K694" s="821"/>
      <c r="L694" s="172" t="s">
        <v>147</v>
      </c>
      <c r="M694" s="221">
        <v>34</v>
      </c>
      <c r="N694" s="119">
        <v>11</v>
      </c>
      <c r="O694" s="119">
        <v>11</v>
      </c>
      <c r="P694" s="593"/>
      <c r="Q694" s="593"/>
      <c r="R694" s="593"/>
      <c r="S694" s="560"/>
      <c r="T694" s="930"/>
      <c r="U694" s="930"/>
    </row>
    <row r="695" spans="1:21" s="10" customFormat="1" ht="35.1" customHeight="1">
      <c r="A695" s="1241"/>
      <c r="B695" s="538"/>
      <c r="C695" s="583"/>
      <c r="D695" s="1087"/>
      <c r="E695" s="1088"/>
      <c r="F695" s="1089"/>
      <c r="G695" s="583"/>
      <c r="H695" s="583"/>
      <c r="I695" s="583"/>
      <c r="J695" s="821"/>
      <c r="K695" s="821"/>
      <c r="L695" s="172" t="s">
        <v>157</v>
      </c>
      <c r="M695" s="221">
        <v>4</v>
      </c>
      <c r="N695" s="119">
        <v>1</v>
      </c>
      <c r="O695" s="119">
        <v>1</v>
      </c>
      <c r="P695" s="593"/>
      <c r="Q695" s="593"/>
      <c r="R695" s="593"/>
      <c r="S695" s="560"/>
      <c r="T695" s="930"/>
      <c r="U695" s="930"/>
    </row>
    <row r="696" spans="1:21" s="10" customFormat="1" ht="35.1" customHeight="1">
      <c r="A696" s="1241"/>
      <c r="B696" s="538"/>
      <c r="C696" s="583"/>
      <c r="D696" s="1087"/>
      <c r="E696" s="1088"/>
      <c r="F696" s="1089"/>
      <c r="G696" s="583"/>
      <c r="H696" s="583"/>
      <c r="I696" s="583"/>
      <c r="J696" s="821"/>
      <c r="K696" s="821"/>
      <c r="L696" s="172" t="s">
        <v>148</v>
      </c>
      <c r="M696" s="221">
        <v>7</v>
      </c>
      <c r="N696" s="119">
        <v>2</v>
      </c>
      <c r="O696" s="119">
        <v>2</v>
      </c>
      <c r="P696" s="593"/>
      <c r="Q696" s="593"/>
      <c r="R696" s="593"/>
      <c r="S696" s="560"/>
      <c r="T696" s="930"/>
      <c r="U696" s="930"/>
    </row>
    <row r="697" spans="1:21" s="10" customFormat="1" ht="35.1" customHeight="1">
      <c r="A697" s="1241"/>
      <c r="B697" s="538"/>
      <c r="C697" s="583"/>
      <c r="D697" s="1087"/>
      <c r="E697" s="1088"/>
      <c r="F697" s="1089"/>
      <c r="G697" s="583"/>
      <c r="H697" s="583"/>
      <c r="I697" s="583"/>
      <c r="J697" s="821"/>
      <c r="K697" s="821"/>
      <c r="L697" s="172" t="s">
        <v>149</v>
      </c>
      <c r="M697" s="221">
        <v>17</v>
      </c>
      <c r="N697" s="119">
        <v>0</v>
      </c>
      <c r="O697" s="119">
        <v>0</v>
      </c>
      <c r="P697" s="593"/>
      <c r="Q697" s="593"/>
      <c r="R697" s="593"/>
      <c r="S697" s="560"/>
      <c r="T697" s="930"/>
      <c r="U697" s="930"/>
    </row>
    <row r="698" spans="1:21" s="10" customFormat="1" ht="35.1" customHeight="1">
      <c r="A698" s="1241"/>
      <c r="B698" s="538"/>
      <c r="C698" s="583"/>
      <c r="D698" s="1087"/>
      <c r="E698" s="1088"/>
      <c r="F698" s="1089"/>
      <c r="G698" s="583"/>
      <c r="H698" s="583"/>
      <c r="I698" s="583"/>
      <c r="J698" s="821"/>
      <c r="K698" s="821"/>
      <c r="L698" s="172" t="s">
        <v>154</v>
      </c>
      <c r="M698" s="221">
        <v>2</v>
      </c>
      <c r="N698" s="119">
        <v>0</v>
      </c>
      <c r="O698" s="119">
        <v>0</v>
      </c>
      <c r="P698" s="593"/>
      <c r="Q698" s="593"/>
      <c r="R698" s="593"/>
      <c r="S698" s="560"/>
      <c r="T698" s="930"/>
      <c r="U698" s="930"/>
    </row>
    <row r="699" spans="1:21" s="10" customFormat="1" ht="35.1" customHeight="1">
      <c r="A699" s="1241"/>
      <c r="B699" s="538"/>
      <c r="C699" s="583"/>
      <c r="D699" s="1087"/>
      <c r="E699" s="1088"/>
      <c r="F699" s="1089"/>
      <c r="G699" s="617"/>
      <c r="H699" s="617"/>
      <c r="I699" s="617"/>
      <c r="J699" s="822"/>
      <c r="K699" s="822"/>
      <c r="L699" s="172" t="s">
        <v>155</v>
      </c>
      <c r="M699" s="221">
        <v>3</v>
      </c>
      <c r="N699" s="119">
        <v>0</v>
      </c>
      <c r="O699" s="119">
        <v>0</v>
      </c>
      <c r="P699" s="593"/>
      <c r="Q699" s="593"/>
      <c r="R699" s="593"/>
      <c r="S699" s="560"/>
      <c r="T699" s="930"/>
      <c r="U699" s="930"/>
    </row>
    <row r="700" spans="1:21" s="10" customFormat="1" ht="35.1" customHeight="1">
      <c r="A700" s="1241"/>
      <c r="B700" s="538"/>
      <c r="C700" s="617"/>
      <c r="D700" s="1090"/>
      <c r="E700" s="1091"/>
      <c r="F700" s="1092"/>
      <c r="G700" s="463" t="s">
        <v>329</v>
      </c>
      <c r="H700" s="464"/>
      <c r="I700" s="464"/>
      <c r="J700" s="464"/>
      <c r="K700" s="465"/>
      <c r="L700" s="133"/>
      <c r="M700" s="251">
        <f>SUM(M689:M699)</f>
        <v>160</v>
      </c>
      <c r="N700" s="396">
        <f>SUM(N689:N699)</f>
        <v>50</v>
      </c>
      <c r="O700" s="396">
        <f>SUM(O689:O699)</f>
        <v>50</v>
      </c>
      <c r="P700" s="619"/>
      <c r="Q700" s="619"/>
      <c r="R700" s="619"/>
      <c r="S700" s="561"/>
      <c r="T700" s="931"/>
      <c r="U700" s="931"/>
    </row>
    <row r="701" spans="1:21" s="10" customFormat="1" ht="35.1" customHeight="1">
      <c r="A701" s="1241"/>
      <c r="B701" s="538"/>
      <c r="C701" s="616" t="s">
        <v>72</v>
      </c>
      <c r="D701" s="1084" t="s">
        <v>162</v>
      </c>
      <c r="E701" s="1085"/>
      <c r="F701" s="1086"/>
      <c r="G701" s="616" t="s">
        <v>179</v>
      </c>
      <c r="H701" s="616" t="s">
        <v>132</v>
      </c>
      <c r="I701" s="616" t="s">
        <v>132</v>
      </c>
      <c r="J701" s="820" t="s">
        <v>11</v>
      </c>
      <c r="K701" s="820" t="s">
        <v>12</v>
      </c>
      <c r="L701" s="172" t="s">
        <v>163</v>
      </c>
      <c r="M701" s="221">
        <v>13</v>
      </c>
      <c r="N701" s="119">
        <v>0</v>
      </c>
      <c r="O701" s="119">
        <v>0</v>
      </c>
      <c r="P701" s="618" t="s">
        <v>413</v>
      </c>
      <c r="Q701" s="618" t="s">
        <v>413</v>
      </c>
      <c r="R701" s="618" t="s">
        <v>462</v>
      </c>
      <c r="S701" s="559" t="s">
        <v>188</v>
      </c>
      <c r="T701" s="929" t="s">
        <v>161</v>
      </c>
      <c r="U701" s="929" t="s">
        <v>86</v>
      </c>
    </row>
    <row r="702" spans="1:21" s="10" customFormat="1" ht="35.1" customHeight="1">
      <c r="A702" s="1241"/>
      <c r="B702" s="538"/>
      <c r="C702" s="583"/>
      <c r="D702" s="1087"/>
      <c r="E702" s="1088"/>
      <c r="F702" s="1089"/>
      <c r="G702" s="583"/>
      <c r="H702" s="583"/>
      <c r="I702" s="583"/>
      <c r="J702" s="821"/>
      <c r="K702" s="821"/>
      <c r="L702" s="172" t="s">
        <v>164</v>
      </c>
      <c r="M702" s="221">
        <v>13</v>
      </c>
      <c r="N702" s="119">
        <v>0</v>
      </c>
      <c r="O702" s="119">
        <v>0</v>
      </c>
      <c r="P702" s="593"/>
      <c r="Q702" s="593"/>
      <c r="R702" s="593"/>
      <c r="S702" s="560"/>
      <c r="T702" s="930"/>
      <c r="U702" s="930"/>
    </row>
    <row r="703" spans="1:21" s="10" customFormat="1" ht="35.1" customHeight="1">
      <c r="A703" s="1241"/>
      <c r="B703" s="538"/>
      <c r="C703" s="583"/>
      <c r="D703" s="1087"/>
      <c r="E703" s="1088"/>
      <c r="F703" s="1089"/>
      <c r="G703" s="583"/>
      <c r="H703" s="583"/>
      <c r="I703" s="583"/>
      <c r="J703" s="821"/>
      <c r="K703" s="821"/>
      <c r="L703" s="172" t="s">
        <v>165</v>
      </c>
      <c r="M703" s="221">
        <v>8</v>
      </c>
      <c r="N703" s="119">
        <v>0</v>
      </c>
      <c r="O703" s="119">
        <v>0</v>
      </c>
      <c r="P703" s="593"/>
      <c r="Q703" s="593"/>
      <c r="R703" s="593"/>
      <c r="S703" s="560"/>
      <c r="T703" s="930"/>
      <c r="U703" s="930"/>
    </row>
    <row r="704" spans="1:21" s="10" customFormat="1" ht="35.1" customHeight="1">
      <c r="A704" s="1241"/>
      <c r="B704" s="538"/>
      <c r="C704" s="583"/>
      <c r="D704" s="1087"/>
      <c r="E704" s="1088"/>
      <c r="F704" s="1089"/>
      <c r="G704" s="583"/>
      <c r="H704" s="583"/>
      <c r="I704" s="583"/>
      <c r="J704" s="821"/>
      <c r="K704" s="821"/>
      <c r="L704" s="172" t="s">
        <v>166</v>
      </c>
      <c r="M704" s="221">
        <v>11</v>
      </c>
      <c r="N704" s="119">
        <v>0</v>
      </c>
      <c r="O704" s="119">
        <v>0</v>
      </c>
      <c r="P704" s="593"/>
      <c r="Q704" s="593"/>
      <c r="R704" s="593"/>
      <c r="S704" s="560"/>
      <c r="T704" s="930"/>
      <c r="U704" s="930"/>
    </row>
    <row r="705" spans="1:21" s="10" customFormat="1" ht="35.1" customHeight="1">
      <c r="A705" s="1241"/>
      <c r="B705" s="538"/>
      <c r="C705" s="583"/>
      <c r="D705" s="1087"/>
      <c r="E705" s="1088"/>
      <c r="F705" s="1089"/>
      <c r="G705" s="583"/>
      <c r="H705" s="583"/>
      <c r="I705" s="583"/>
      <c r="J705" s="821"/>
      <c r="K705" s="821"/>
      <c r="L705" s="172" t="s">
        <v>167</v>
      </c>
      <c r="M705" s="221">
        <v>3</v>
      </c>
      <c r="N705" s="119">
        <v>0</v>
      </c>
      <c r="O705" s="119">
        <v>0</v>
      </c>
      <c r="P705" s="593"/>
      <c r="Q705" s="593"/>
      <c r="R705" s="593"/>
      <c r="S705" s="560"/>
      <c r="T705" s="930"/>
      <c r="U705" s="930"/>
    </row>
    <row r="706" spans="1:21" s="10" customFormat="1" ht="35.1" customHeight="1">
      <c r="A706" s="1241"/>
      <c r="B706" s="538"/>
      <c r="C706" s="583"/>
      <c r="D706" s="1087"/>
      <c r="E706" s="1088"/>
      <c r="F706" s="1089"/>
      <c r="G706" s="583"/>
      <c r="H706" s="583"/>
      <c r="I706" s="583"/>
      <c r="J706" s="821"/>
      <c r="K706" s="821"/>
      <c r="L706" s="172" t="s">
        <v>168</v>
      </c>
      <c r="M706" s="221">
        <v>3</v>
      </c>
      <c r="N706" s="119">
        <v>0</v>
      </c>
      <c r="O706" s="119">
        <v>0</v>
      </c>
      <c r="P706" s="593"/>
      <c r="Q706" s="593"/>
      <c r="R706" s="593"/>
      <c r="S706" s="560"/>
      <c r="T706" s="930"/>
      <c r="U706" s="930"/>
    </row>
    <row r="707" spans="1:21" s="10" customFormat="1" ht="35.1" customHeight="1">
      <c r="A707" s="1241"/>
      <c r="B707" s="538"/>
      <c r="C707" s="583"/>
      <c r="D707" s="1087"/>
      <c r="E707" s="1088"/>
      <c r="F707" s="1089"/>
      <c r="G707" s="583"/>
      <c r="H707" s="583"/>
      <c r="I707" s="583"/>
      <c r="J707" s="821"/>
      <c r="K707" s="821"/>
      <c r="L707" s="172" t="s">
        <v>169</v>
      </c>
      <c r="M707" s="221">
        <v>4</v>
      </c>
      <c r="N707" s="119">
        <v>0</v>
      </c>
      <c r="O707" s="119">
        <v>0</v>
      </c>
      <c r="P707" s="593"/>
      <c r="Q707" s="593"/>
      <c r="R707" s="593"/>
      <c r="S707" s="560"/>
      <c r="T707" s="930"/>
      <c r="U707" s="930"/>
    </row>
    <row r="708" spans="1:21" s="10" customFormat="1" ht="35.1" customHeight="1">
      <c r="A708" s="1241"/>
      <c r="B708" s="538"/>
      <c r="C708" s="583"/>
      <c r="D708" s="1087"/>
      <c r="E708" s="1088"/>
      <c r="F708" s="1089"/>
      <c r="G708" s="583"/>
      <c r="H708" s="583"/>
      <c r="I708" s="583"/>
      <c r="J708" s="821"/>
      <c r="K708" s="821"/>
      <c r="L708" s="172" t="s">
        <v>170</v>
      </c>
      <c r="M708" s="221">
        <v>3</v>
      </c>
      <c r="N708" s="119">
        <v>1</v>
      </c>
      <c r="O708" s="119">
        <v>1</v>
      </c>
      <c r="P708" s="593"/>
      <c r="Q708" s="593"/>
      <c r="R708" s="593"/>
      <c r="S708" s="560"/>
      <c r="T708" s="930"/>
      <c r="U708" s="930"/>
    </row>
    <row r="709" spans="1:21" s="10" customFormat="1" ht="35.1" customHeight="1">
      <c r="A709" s="1241"/>
      <c r="B709" s="538"/>
      <c r="C709" s="583"/>
      <c r="D709" s="1087"/>
      <c r="E709" s="1088"/>
      <c r="F709" s="1089"/>
      <c r="G709" s="617"/>
      <c r="H709" s="617"/>
      <c r="I709" s="617"/>
      <c r="J709" s="822"/>
      <c r="K709" s="822"/>
      <c r="L709" s="172" t="s">
        <v>171</v>
      </c>
      <c r="M709" s="221">
        <v>2</v>
      </c>
      <c r="N709" s="119">
        <v>0</v>
      </c>
      <c r="O709" s="119">
        <v>0</v>
      </c>
      <c r="P709" s="593"/>
      <c r="Q709" s="593"/>
      <c r="R709" s="593"/>
      <c r="S709" s="560"/>
      <c r="T709" s="930"/>
      <c r="U709" s="930"/>
    </row>
    <row r="710" spans="1:21" s="10" customFormat="1" ht="35.1" customHeight="1">
      <c r="A710" s="1241"/>
      <c r="B710" s="538"/>
      <c r="C710" s="617"/>
      <c r="D710" s="1090"/>
      <c r="E710" s="1091"/>
      <c r="F710" s="1092"/>
      <c r="G710" s="463" t="s">
        <v>329</v>
      </c>
      <c r="H710" s="464"/>
      <c r="I710" s="464"/>
      <c r="J710" s="464"/>
      <c r="K710" s="465"/>
      <c r="L710" s="133"/>
      <c r="M710" s="251">
        <f>SUM(M701:M709)</f>
        <v>60</v>
      </c>
      <c r="N710" s="396">
        <f>SUM(N701:N709)</f>
        <v>1</v>
      </c>
      <c r="O710" s="396">
        <f>SUM(O701:O709)</f>
        <v>1</v>
      </c>
      <c r="P710" s="619"/>
      <c r="Q710" s="619"/>
      <c r="R710" s="619"/>
      <c r="S710" s="561"/>
      <c r="T710" s="931"/>
      <c r="U710" s="931"/>
    </row>
    <row r="711" spans="1:21" s="10" customFormat="1" ht="35.1" customHeight="1">
      <c r="A711" s="1241"/>
      <c r="B711" s="538"/>
      <c r="C711" s="613" t="s">
        <v>790</v>
      </c>
      <c r="D711" s="1376" t="s">
        <v>791</v>
      </c>
      <c r="E711" s="1377"/>
      <c r="F711" s="1378"/>
      <c r="G711" s="871" t="s">
        <v>792</v>
      </c>
      <c r="H711" s="871" t="s">
        <v>854</v>
      </c>
      <c r="I711" s="871" t="s">
        <v>793</v>
      </c>
      <c r="J711" s="613" t="s">
        <v>11</v>
      </c>
      <c r="K711" s="613" t="s">
        <v>12</v>
      </c>
      <c r="L711" s="188">
        <v>59.997300000000003</v>
      </c>
      <c r="M711" s="269">
        <v>157</v>
      </c>
      <c r="N711" s="189">
        <v>40</v>
      </c>
      <c r="O711" s="189">
        <v>4</v>
      </c>
      <c r="P711" s="659" t="s">
        <v>802</v>
      </c>
      <c r="Q711" s="659" t="s">
        <v>804</v>
      </c>
      <c r="R711" s="613" t="s">
        <v>803</v>
      </c>
      <c r="S711" s="613" t="s">
        <v>13</v>
      </c>
      <c r="T711" s="613" t="s">
        <v>794</v>
      </c>
      <c r="U711" s="613" t="s">
        <v>11</v>
      </c>
    </row>
    <row r="712" spans="1:21" s="10" customFormat="1" ht="35.1" customHeight="1">
      <c r="A712" s="1241"/>
      <c r="B712" s="538"/>
      <c r="C712" s="614"/>
      <c r="D712" s="1379"/>
      <c r="E712" s="1380"/>
      <c r="F712" s="1381"/>
      <c r="G712" s="872"/>
      <c r="H712" s="872"/>
      <c r="I712" s="872"/>
      <c r="J712" s="614"/>
      <c r="K712" s="614"/>
      <c r="L712" s="188">
        <v>59.995699999999999</v>
      </c>
      <c r="M712" s="269">
        <v>23</v>
      </c>
      <c r="N712" s="189">
        <v>4</v>
      </c>
      <c r="O712" s="189">
        <v>2</v>
      </c>
      <c r="P712" s="660"/>
      <c r="Q712" s="660"/>
      <c r="R712" s="614"/>
      <c r="S712" s="614"/>
      <c r="T712" s="614"/>
      <c r="U712" s="614"/>
    </row>
    <row r="713" spans="1:21" s="10" customFormat="1" ht="35.1" customHeight="1">
      <c r="A713" s="1241"/>
      <c r="B713" s="538"/>
      <c r="C713" s="614"/>
      <c r="D713" s="1379"/>
      <c r="E713" s="1380"/>
      <c r="F713" s="1381"/>
      <c r="G713" s="872"/>
      <c r="H713" s="872"/>
      <c r="I713" s="872"/>
      <c r="J713" s="614"/>
      <c r="K713" s="614"/>
      <c r="L713" s="188">
        <v>75.928100000000001</v>
      </c>
      <c r="M713" s="269">
        <v>65</v>
      </c>
      <c r="N713" s="189">
        <v>15</v>
      </c>
      <c r="O713" s="189">
        <v>2</v>
      </c>
      <c r="P713" s="660"/>
      <c r="Q713" s="660"/>
      <c r="R713" s="614"/>
      <c r="S713" s="614"/>
      <c r="T713" s="614"/>
      <c r="U713" s="614"/>
    </row>
    <row r="714" spans="1:21" s="10" customFormat="1" ht="35.1" customHeight="1">
      <c r="A714" s="1241"/>
      <c r="B714" s="538"/>
      <c r="C714" s="614"/>
      <c r="D714" s="1379"/>
      <c r="E714" s="1380"/>
      <c r="F714" s="1381"/>
      <c r="G714" s="872"/>
      <c r="H714" s="872"/>
      <c r="I714" s="872"/>
      <c r="J714" s="614"/>
      <c r="K714" s="614"/>
      <c r="L714" s="188">
        <v>84.696399999999997</v>
      </c>
      <c r="M714" s="269">
        <v>30</v>
      </c>
      <c r="N714" s="189">
        <v>10</v>
      </c>
      <c r="O714" s="189">
        <v>1</v>
      </c>
      <c r="P714" s="660"/>
      <c r="Q714" s="660"/>
      <c r="R714" s="614"/>
      <c r="S714" s="614"/>
      <c r="T714" s="614"/>
      <c r="U714" s="614"/>
    </row>
    <row r="715" spans="1:21" s="10" customFormat="1" ht="35.1" customHeight="1">
      <c r="A715" s="1241"/>
      <c r="B715" s="538"/>
      <c r="C715" s="614"/>
      <c r="D715" s="1379"/>
      <c r="E715" s="1380"/>
      <c r="F715" s="1381"/>
      <c r="G715" s="873"/>
      <c r="H715" s="873"/>
      <c r="I715" s="873"/>
      <c r="J715" s="615"/>
      <c r="K715" s="615"/>
      <c r="L715" s="188">
        <v>84.996300000000005</v>
      </c>
      <c r="M715" s="269">
        <v>10</v>
      </c>
      <c r="N715" s="189">
        <v>2</v>
      </c>
      <c r="O715" s="189">
        <v>0</v>
      </c>
      <c r="P715" s="660"/>
      <c r="Q715" s="660"/>
      <c r="R715" s="614"/>
      <c r="S715" s="614"/>
      <c r="T715" s="614"/>
      <c r="U715" s="614"/>
    </row>
    <row r="716" spans="1:21" s="10" customFormat="1" ht="35.1" customHeight="1">
      <c r="A716" s="1241"/>
      <c r="B716" s="538"/>
      <c r="C716" s="615"/>
      <c r="D716" s="1382"/>
      <c r="E716" s="1383"/>
      <c r="F716" s="1384"/>
      <c r="G716" s="1069" t="s">
        <v>329</v>
      </c>
      <c r="H716" s="1070"/>
      <c r="I716" s="1070"/>
      <c r="J716" s="1070"/>
      <c r="K716" s="1070"/>
      <c r="L716" s="191"/>
      <c r="M716" s="270">
        <f>SUM(M711:M715)</f>
        <v>285</v>
      </c>
      <c r="N716" s="271">
        <f>SUM(N711:N715)</f>
        <v>71</v>
      </c>
      <c r="O716" s="271">
        <f>SUM(O711:O715)</f>
        <v>9</v>
      </c>
      <c r="P716" s="661"/>
      <c r="Q716" s="661"/>
      <c r="R716" s="615"/>
      <c r="S716" s="615"/>
      <c r="T716" s="615"/>
      <c r="U716" s="615"/>
    </row>
    <row r="717" spans="1:21" s="10" customFormat="1" ht="35.1" customHeight="1">
      <c r="A717" s="1241"/>
      <c r="B717" s="538"/>
      <c r="C717" s="616" t="s">
        <v>72</v>
      </c>
      <c r="D717" s="1084" t="s">
        <v>174</v>
      </c>
      <c r="E717" s="1085"/>
      <c r="F717" s="1086"/>
      <c r="G717" s="616" t="s">
        <v>179</v>
      </c>
      <c r="H717" s="616" t="s">
        <v>132</v>
      </c>
      <c r="I717" s="616" t="s">
        <v>132</v>
      </c>
      <c r="J717" s="820" t="s">
        <v>11</v>
      </c>
      <c r="K717" s="820" t="s">
        <v>12</v>
      </c>
      <c r="L717" s="172" t="s">
        <v>163</v>
      </c>
      <c r="M717" s="221">
        <v>13</v>
      </c>
      <c r="N717" s="119">
        <v>0</v>
      </c>
      <c r="O717" s="119">
        <v>0</v>
      </c>
      <c r="P717" s="618" t="s">
        <v>413</v>
      </c>
      <c r="Q717" s="618" t="s">
        <v>413</v>
      </c>
      <c r="R717" s="618" t="s">
        <v>462</v>
      </c>
      <c r="S717" s="559" t="s">
        <v>188</v>
      </c>
      <c r="T717" s="929" t="s">
        <v>161</v>
      </c>
      <c r="U717" s="929" t="s">
        <v>86</v>
      </c>
    </row>
    <row r="718" spans="1:21" s="10" customFormat="1" ht="35.1" customHeight="1">
      <c r="A718" s="1241"/>
      <c r="B718" s="538"/>
      <c r="C718" s="583"/>
      <c r="D718" s="1087"/>
      <c r="E718" s="1088"/>
      <c r="F718" s="1089"/>
      <c r="G718" s="583"/>
      <c r="H718" s="583"/>
      <c r="I718" s="583"/>
      <c r="J718" s="821"/>
      <c r="K718" s="821"/>
      <c r="L718" s="172" t="s">
        <v>164</v>
      </c>
      <c r="M718" s="221">
        <v>25</v>
      </c>
      <c r="N718" s="119">
        <v>0</v>
      </c>
      <c r="O718" s="119">
        <v>0</v>
      </c>
      <c r="P718" s="593"/>
      <c r="Q718" s="593"/>
      <c r="R718" s="593"/>
      <c r="S718" s="560"/>
      <c r="T718" s="930"/>
      <c r="U718" s="930"/>
    </row>
    <row r="719" spans="1:21" s="10" customFormat="1" ht="35.1" customHeight="1">
      <c r="A719" s="1241"/>
      <c r="B719" s="538"/>
      <c r="C719" s="583"/>
      <c r="D719" s="1087"/>
      <c r="E719" s="1088"/>
      <c r="F719" s="1089"/>
      <c r="G719" s="583"/>
      <c r="H719" s="583"/>
      <c r="I719" s="583"/>
      <c r="J719" s="821"/>
      <c r="K719" s="821"/>
      <c r="L719" s="172" t="s">
        <v>172</v>
      </c>
      <c r="M719" s="221">
        <v>1</v>
      </c>
      <c r="N719" s="119">
        <v>0</v>
      </c>
      <c r="O719" s="119">
        <v>0</v>
      </c>
      <c r="P719" s="593"/>
      <c r="Q719" s="593"/>
      <c r="R719" s="593"/>
      <c r="S719" s="560"/>
      <c r="T719" s="930"/>
      <c r="U719" s="930"/>
    </row>
    <row r="720" spans="1:21" s="10" customFormat="1" ht="35.1" customHeight="1">
      <c r="A720" s="1241"/>
      <c r="B720" s="538"/>
      <c r="C720" s="583"/>
      <c r="D720" s="1087"/>
      <c r="E720" s="1088"/>
      <c r="F720" s="1089"/>
      <c r="G720" s="583"/>
      <c r="H720" s="583"/>
      <c r="I720" s="583"/>
      <c r="J720" s="821"/>
      <c r="K720" s="821"/>
      <c r="L720" s="172" t="s">
        <v>173</v>
      </c>
      <c r="M720" s="221">
        <v>1</v>
      </c>
      <c r="N720" s="119">
        <v>0</v>
      </c>
      <c r="O720" s="119">
        <v>0</v>
      </c>
      <c r="P720" s="593"/>
      <c r="Q720" s="593"/>
      <c r="R720" s="593"/>
      <c r="S720" s="560"/>
      <c r="T720" s="930"/>
      <c r="U720" s="930"/>
    </row>
    <row r="721" spans="1:21" s="10" customFormat="1" ht="35.1" customHeight="1">
      <c r="A721" s="1241"/>
      <c r="B721" s="538"/>
      <c r="C721" s="583"/>
      <c r="D721" s="1087"/>
      <c r="E721" s="1088"/>
      <c r="F721" s="1089"/>
      <c r="G721" s="583"/>
      <c r="H721" s="583"/>
      <c r="I721" s="583"/>
      <c r="J721" s="821"/>
      <c r="K721" s="821"/>
      <c r="L721" s="172" t="s">
        <v>165</v>
      </c>
      <c r="M721" s="221">
        <v>8</v>
      </c>
      <c r="N721" s="119">
        <v>0</v>
      </c>
      <c r="O721" s="119">
        <v>0</v>
      </c>
      <c r="P721" s="593"/>
      <c r="Q721" s="593"/>
      <c r="R721" s="593"/>
      <c r="S721" s="560"/>
      <c r="T721" s="930"/>
      <c r="U721" s="930"/>
    </row>
    <row r="722" spans="1:21" s="10" customFormat="1" ht="35.1" customHeight="1">
      <c r="A722" s="1241"/>
      <c r="B722" s="538"/>
      <c r="C722" s="583"/>
      <c r="D722" s="1087"/>
      <c r="E722" s="1088"/>
      <c r="F722" s="1089"/>
      <c r="G722" s="583"/>
      <c r="H722" s="583"/>
      <c r="I722" s="583"/>
      <c r="J722" s="821"/>
      <c r="K722" s="821"/>
      <c r="L722" s="172" t="s">
        <v>166</v>
      </c>
      <c r="M722" s="221">
        <v>25</v>
      </c>
      <c r="N722" s="119">
        <v>0</v>
      </c>
      <c r="O722" s="119">
        <v>0</v>
      </c>
      <c r="P722" s="593"/>
      <c r="Q722" s="593"/>
      <c r="R722" s="593"/>
      <c r="S722" s="560"/>
      <c r="T722" s="930"/>
      <c r="U722" s="930"/>
    </row>
    <row r="723" spans="1:21" s="10" customFormat="1" ht="35.1" customHeight="1">
      <c r="A723" s="1241"/>
      <c r="B723" s="538"/>
      <c r="C723" s="583"/>
      <c r="D723" s="1087"/>
      <c r="E723" s="1088"/>
      <c r="F723" s="1089"/>
      <c r="G723" s="583"/>
      <c r="H723" s="583"/>
      <c r="I723" s="583"/>
      <c r="J723" s="821"/>
      <c r="K723" s="821"/>
      <c r="L723" s="172" t="s">
        <v>167</v>
      </c>
      <c r="M723" s="221">
        <v>1</v>
      </c>
      <c r="N723" s="119">
        <v>0</v>
      </c>
      <c r="O723" s="119">
        <v>0</v>
      </c>
      <c r="P723" s="593"/>
      <c r="Q723" s="593"/>
      <c r="R723" s="593"/>
      <c r="S723" s="560"/>
      <c r="T723" s="930"/>
      <c r="U723" s="930"/>
    </row>
    <row r="724" spans="1:21" s="10" customFormat="1" ht="35.1" customHeight="1">
      <c r="A724" s="1241"/>
      <c r="B724" s="538"/>
      <c r="C724" s="583"/>
      <c r="D724" s="1087"/>
      <c r="E724" s="1088"/>
      <c r="F724" s="1089"/>
      <c r="G724" s="583"/>
      <c r="H724" s="583"/>
      <c r="I724" s="583"/>
      <c r="J724" s="821"/>
      <c r="K724" s="821"/>
      <c r="L724" s="172" t="s">
        <v>168</v>
      </c>
      <c r="M724" s="221">
        <v>4</v>
      </c>
      <c r="N724" s="119">
        <v>0</v>
      </c>
      <c r="O724" s="119">
        <v>0</v>
      </c>
      <c r="P724" s="593"/>
      <c r="Q724" s="593"/>
      <c r="R724" s="593"/>
      <c r="S724" s="560"/>
      <c r="T724" s="930"/>
      <c r="U724" s="930"/>
    </row>
    <row r="725" spans="1:21" s="10" customFormat="1" ht="35.1" customHeight="1">
      <c r="A725" s="1241"/>
      <c r="B725" s="538"/>
      <c r="C725" s="583"/>
      <c r="D725" s="1087"/>
      <c r="E725" s="1088"/>
      <c r="F725" s="1089"/>
      <c r="G725" s="583"/>
      <c r="H725" s="583"/>
      <c r="I725" s="583"/>
      <c r="J725" s="821"/>
      <c r="K725" s="821"/>
      <c r="L725" s="172" t="s">
        <v>169</v>
      </c>
      <c r="M725" s="221">
        <v>3</v>
      </c>
      <c r="N725" s="119">
        <v>0</v>
      </c>
      <c r="O725" s="119">
        <v>0</v>
      </c>
      <c r="P725" s="593"/>
      <c r="Q725" s="593"/>
      <c r="R725" s="593"/>
      <c r="S725" s="560"/>
      <c r="T725" s="930"/>
      <c r="U725" s="930"/>
    </row>
    <row r="726" spans="1:21" s="10" customFormat="1" ht="35.1" customHeight="1">
      <c r="A726" s="1241"/>
      <c r="B726" s="538"/>
      <c r="C726" s="583"/>
      <c r="D726" s="1087"/>
      <c r="E726" s="1088"/>
      <c r="F726" s="1089"/>
      <c r="G726" s="583"/>
      <c r="H726" s="583"/>
      <c r="I726" s="583"/>
      <c r="J726" s="821"/>
      <c r="K726" s="821"/>
      <c r="L726" s="172" t="s">
        <v>175</v>
      </c>
      <c r="M726" s="221">
        <v>15</v>
      </c>
      <c r="N726" s="119">
        <v>0</v>
      </c>
      <c r="O726" s="119">
        <v>0</v>
      </c>
      <c r="P726" s="593"/>
      <c r="Q726" s="593"/>
      <c r="R726" s="593"/>
      <c r="S726" s="560"/>
      <c r="T726" s="930"/>
      <c r="U726" s="930"/>
    </row>
    <row r="727" spans="1:21" s="10" customFormat="1" ht="35.1" customHeight="1">
      <c r="A727" s="1241"/>
      <c r="B727" s="538"/>
      <c r="C727" s="583"/>
      <c r="D727" s="1087"/>
      <c r="E727" s="1088"/>
      <c r="F727" s="1089"/>
      <c r="G727" s="583"/>
      <c r="H727" s="583"/>
      <c r="I727" s="583"/>
      <c r="J727" s="821"/>
      <c r="K727" s="821"/>
      <c r="L727" s="172" t="s">
        <v>176</v>
      </c>
      <c r="M727" s="221">
        <v>16</v>
      </c>
      <c r="N727" s="119">
        <v>0</v>
      </c>
      <c r="O727" s="119">
        <v>0</v>
      </c>
      <c r="P727" s="593"/>
      <c r="Q727" s="593"/>
      <c r="R727" s="593"/>
      <c r="S727" s="560"/>
      <c r="T727" s="930"/>
      <c r="U727" s="930"/>
    </row>
    <row r="728" spans="1:21" s="10" customFormat="1" ht="35.1" customHeight="1">
      <c r="A728" s="1241"/>
      <c r="B728" s="538"/>
      <c r="C728" s="583"/>
      <c r="D728" s="1087"/>
      <c r="E728" s="1088"/>
      <c r="F728" s="1089"/>
      <c r="G728" s="583"/>
      <c r="H728" s="583"/>
      <c r="I728" s="583"/>
      <c r="J728" s="821"/>
      <c r="K728" s="821"/>
      <c r="L728" s="172" t="s">
        <v>177</v>
      </c>
      <c r="M728" s="221">
        <v>4</v>
      </c>
      <c r="N728" s="119">
        <v>1</v>
      </c>
      <c r="O728" s="119">
        <v>1</v>
      </c>
      <c r="P728" s="593"/>
      <c r="Q728" s="593"/>
      <c r="R728" s="593"/>
      <c r="S728" s="560"/>
      <c r="T728" s="930"/>
      <c r="U728" s="930"/>
    </row>
    <row r="729" spans="1:21" s="10" customFormat="1" ht="35.1" customHeight="1">
      <c r="A729" s="1241"/>
      <c r="B729" s="538"/>
      <c r="C729" s="583"/>
      <c r="D729" s="1087"/>
      <c r="E729" s="1088"/>
      <c r="F729" s="1089"/>
      <c r="G729" s="583"/>
      <c r="H729" s="583"/>
      <c r="I729" s="583"/>
      <c r="J729" s="821"/>
      <c r="K729" s="821"/>
      <c r="L729" s="172" t="s">
        <v>178</v>
      </c>
      <c r="M729" s="221">
        <v>4</v>
      </c>
      <c r="N729" s="119">
        <v>0</v>
      </c>
      <c r="O729" s="119">
        <v>0</v>
      </c>
      <c r="P729" s="593"/>
      <c r="Q729" s="593"/>
      <c r="R729" s="593"/>
      <c r="S729" s="560"/>
      <c r="T729" s="930"/>
      <c r="U729" s="930"/>
    </row>
    <row r="730" spans="1:21" s="10" customFormat="1" ht="35.1" customHeight="1">
      <c r="A730" s="1241"/>
      <c r="B730" s="538"/>
      <c r="C730" s="583"/>
      <c r="D730" s="1087"/>
      <c r="E730" s="1088"/>
      <c r="F730" s="1089"/>
      <c r="G730" s="583"/>
      <c r="H730" s="583"/>
      <c r="I730" s="583"/>
      <c r="J730" s="821"/>
      <c r="K730" s="821"/>
      <c r="L730" s="172" t="s">
        <v>170</v>
      </c>
      <c r="M730" s="221">
        <v>3</v>
      </c>
      <c r="N730" s="119">
        <v>0</v>
      </c>
      <c r="O730" s="119">
        <v>0</v>
      </c>
      <c r="P730" s="593"/>
      <c r="Q730" s="593"/>
      <c r="R730" s="593"/>
      <c r="S730" s="560"/>
      <c r="T730" s="930"/>
      <c r="U730" s="930"/>
    </row>
    <row r="731" spans="1:21" s="10" customFormat="1" ht="35.1" customHeight="1">
      <c r="A731" s="1241"/>
      <c r="B731" s="538"/>
      <c r="C731" s="583"/>
      <c r="D731" s="1087"/>
      <c r="E731" s="1088"/>
      <c r="F731" s="1089"/>
      <c r="G731" s="617"/>
      <c r="H731" s="617"/>
      <c r="I731" s="617"/>
      <c r="J731" s="822"/>
      <c r="K731" s="822"/>
      <c r="L731" s="172" t="s">
        <v>171</v>
      </c>
      <c r="M731" s="221">
        <v>2</v>
      </c>
      <c r="N731" s="119">
        <v>0</v>
      </c>
      <c r="O731" s="119">
        <v>0</v>
      </c>
      <c r="P731" s="593"/>
      <c r="Q731" s="593"/>
      <c r="R731" s="593"/>
      <c r="S731" s="560"/>
      <c r="T731" s="930"/>
      <c r="U731" s="930"/>
    </row>
    <row r="732" spans="1:21" s="10" customFormat="1" ht="35.1" customHeight="1">
      <c r="A732" s="1241"/>
      <c r="B732" s="538"/>
      <c r="C732" s="617"/>
      <c r="D732" s="1090"/>
      <c r="E732" s="1091"/>
      <c r="F732" s="1092"/>
      <c r="G732" s="463" t="s">
        <v>329</v>
      </c>
      <c r="H732" s="464"/>
      <c r="I732" s="464"/>
      <c r="J732" s="464"/>
      <c r="K732" s="465"/>
      <c r="L732" s="133"/>
      <c r="M732" s="251">
        <f>SUM(M717:M731)</f>
        <v>125</v>
      </c>
      <c r="N732" s="396">
        <f>SUM(N717:N731)</f>
        <v>1</v>
      </c>
      <c r="O732" s="396">
        <f>SUM(O717:O731)</f>
        <v>1</v>
      </c>
      <c r="P732" s="619"/>
      <c r="Q732" s="619"/>
      <c r="R732" s="619"/>
      <c r="S732" s="561"/>
      <c r="T732" s="931"/>
      <c r="U732" s="931"/>
    </row>
    <row r="733" spans="1:21" s="10" customFormat="1" ht="35.1" customHeight="1">
      <c r="A733" s="1241"/>
      <c r="B733" s="538"/>
      <c r="C733" s="798" t="s">
        <v>746</v>
      </c>
      <c r="D733" s="584" t="s">
        <v>691</v>
      </c>
      <c r="E733" s="585"/>
      <c r="F733" s="586"/>
      <c r="G733" s="868" t="s">
        <v>745</v>
      </c>
      <c r="H733" s="868" t="s">
        <v>745</v>
      </c>
      <c r="I733" s="868" t="s">
        <v>745</v>
      </c>
      <c r="J733" s="859" t="s">
        <v>11</v>
      </c>
      <c r="K733" s="859" t="s">
        <v>12</v>
      </c>
      <c r="L733" s="188" t="s">
        <v>84</v>
      </c>
      <c r="M733" s="272">
        <v>563</v>
      </c>
      <c r="N733" s="189">
        <v>164</v>
      </c>
      <c r="O733" s="189">
        <v>153</v>
      </c>
      <c r="P733" s="950" t="s">
        <v>189</v>
      </c>
      <c r="Q733" s="950" t="s">
        <v>189</v>
      </c>
      <c r="R733" s="950" t="s">
        <v>189</v>
      </c>
      <c r="S733" s="950" t="s">
        <v>189</v>
      </c>
      <c r="T733" s="950" t="s">
        <v>189</v>
      </c>
      <c r="U733" s="950" t="s">
        <v>189</v>
      </c>
    </row>
    <row r="734" spans="1:21" s="10" customFormat="1" ht="35.1" customHeight="1">
      <c r="A734" s="1241"/>
      <c r="B734" s="538"/>
      <c r="C734" s="799"/>
      <c r="D734" s="587"/>
      <c r="E734" s="588"/>
      <c r="F734" s="589"/>
      <c r="G734" s="869"/>
      <c r="H734" s="869"/>
      <c r="I734" s="869"/>
      <c r="J734" s="860"/>
      <c r="K734" s="860"/>
      <c r="L734" s="188" t="s">
        <v>83</v>
      </c>
      <c r="M734" s="272">
        <v>132</v>
      </c>
      <c r="N734" s="189">
        <v>0</v>
      </c>
      <c r="O734" s="189">
        <v>0</v>
      </c>
      <c r="P734" s="951"/>
      <c r="Q734" s="951"/>
      <c r="R734" s="951"/>
      <c r="S734" s="951"/>
      <c r="T734" s="951"/>
      <c r="U734" s="951"/>
    </row>
    <row r="735" spans="1:21" s="10" customFormat="1" ht="35.1" customHeight="1">
      <c r="A735" s="1241"/>
      <c r="B735" s="538"/>
      <c r="C735" s="799"/>
      <c r="D735" s="587"/>
      <c r="E735" s="588"/>
      <c r="F735" s="589"/>
      <c r="G735" s="870"/>
      <c r="H735" s="870"/>
      <c r="I735" s="870"/>
      <c r="J735" s="861"/>
      <c r="K735" s="861"/>
      <c r="L735" s="188" t="s">
        <v>82</v>
      </c>
      <c r="M735" s="272">
        <v>234</v>
      </c>
      <c r="N735" s="189">
        <v>54</v>
      </c>
      <c r="O735" s="189">
        <v>47</v>
      </c>
      <c r="P735" s="951"/>
      <c r="Q735" s="951"/>
      <c r="R735" s="951"/>
      <c r="S735" s="951"/>
      <c r="T735" s="951"/>
      <c r="U735" s="951"/>
    </row>
    <row r="736" spans="1:21" s="10" customFormat="1" ht="35.1" customHeight="1">
      <c r="A736" s="1241"/>
      <c r="B736" s="538"/>
      <c r="C736" s="800"/>
      <c r="D736" s="707"/>
      <c r="E736" s="708"/>
      <c r="F736" s="709"/>
      <c r="G736" s="463" t="s">
        <v>329</v>
      </c>
      <c r="H736" s="464"/>
      <c r="I736" s="464"/>
      <c r="J736" s="464"/>
      <c r="K736" s="465"/>
      <c r="L736" s="345"/>
      <c r="M736" s="273">
        <f>SUM(M733:M735)</f>
        <v>929</v>
      </c>
      <c r="N736" s="274">
        <f>SUM(N733:N735)</f>
        <v>218</v>
      </c>
      <c r="O736" s="274">
        <f>SUM(O733:O735)</f>
        <v>200</v>
      </c>
      <c r="P736" s="952"/>
      <c r="Q736" s="952"/>
      <c r="R736" s="952"/>
      <c r="S736" s="952"/>
      <c r="T736" s="952"/>
      <c r="U736" s="952"/>
    </row>
    <row r="737" spans="1:21" s="10" customFormat="1" ht="35.1" customHeight="1">
      <c r="A737" s="1241"/>
      <c r="B737" s="538"/>
      <c r="C737" s="798" t="s">
        <v>746</v>
      </c>
      <c r="D737" s="584" t="s">
        <v>691</v>
      </c>
      <c r="E737" s="585"/>
      <c r="F737" s="586"/>
      <c r="G737" s="868" t="s">
        <v>745</v>
      </c>
      <c r="H737" s="868" t="s">
        <v>745</v>
      </c>
      <c r="I737" s="868" t="s">
        <v>745</v>
      </c>
      <c r="J737" s="859" t="s">
        <v>11</v>
      </c>
      <c r="K737" s="859" t="s">
        <v>12</v>
      </c>
      <c r="L737" s="188">
        <v>75.8553</v>
      </c>
      <c r="M737" s="272">
        <v>50</v>
      </c>
      <c r="N737" s="189">
        <v>0</v>
      </c>
      <c r="O737" s="189">
        <v>0</v>
      </c>
      <c r="P737" s="950" t="s">
        <v>189</v>
      </c>
      <c r="Q737" s="950" t="s">
        <v>189</v>
      </c>
      <c r="R737" s="950" t="s">
        <v>189</v>
      </c>
      <c r="S737" s="950" t="s">
        <v>189</v>
      </c>
      <c r="T737" s="950" t="s">
        <v>189</v>
      </c>
      <c r="U737" s="950" t="s">
        <v>189</v>
      </c>
    </row>
    <row r="738" spans="1:21" s="10" customFormat="1" ht="35.1" customHeight="1">
      <c r="A738" s="1241"/>
      <c r="B738" s="538"/>
      <c r="C738" s="799"/>
      <c r="D738" s="587"/>
      <c r="E738" s="588"/>
      <c r="F738" s="589"/>
      <c r="G738" s="869"/>
      <c r="H738" s="869"/>
      <c r="I738" s="869"/>
      <c r="J738" s="860"/>
      <c r="K738" s="860"/>
      <c r="L738" s="188">
        <v>84.924700000000001</v>
      </c>
      <c r="M738" s="272">
        <v>402</v>
      </c>
      <c r="N738" s="189">
        <v>319</v>
      </c>
      <c r="O738" s="189">
        <v>319</v>
      </c>
      <c r="P738" s="951"/>
      <c r="Q738" s="951"/>
      <c r="R738" s="951"/>
      <c r="S738" s="951"/>
      <c r="T738" s="951"/>
      <c r="U738" s="951"/>
    </row>
    <row r="739" spans="1:21" s="10" customFormat="1" ht="35.1" customHeight="1">
      <c r="A739" s="1241"/>
      <c r="B739" s="538"/>
      <c r="C739" s="799"/>
      <c r="D739" s="587"/>
      <c r="E739" s="588"/>
      <c r="F739" s="589"/>
      <c r="G739" s="870"/>
      <c r="H739" s="870"/>
      <c r="I739" s="870"/>
      <c r="J739" s="861"/>
      <c r="K739" s="861"/>
      <c r="L739" s="188">
        <v>84.987099999999998</v>
      </c>
      <c r="M739" s="272">
        <v>393</v>
      </c>
      <c r="N739" s="189">
        <v>257</v>
      </c>
      <c r="O739" s="189">
        <v>257</v>
      </c>
      <c r="P739" s="951"/>
      <c r="Q739" s="951"/>
      <c r="R739" s="951"/>
      <c r="S739" s="951"/>
      <c r="T739" s="951"/>
      <c r="U739" s="951"/>
    </row>
    <row r="740" spans="1:21" s="10" customFormat="1" ht="35.1" customHeight="1">
      <c r="A740" s="1241"/>
      <c r="B740" s="538"/>
      <c r="C740" s="800"/>
      <c r="D740" s="707"/>
      <c r="E740" s="708"/>
      <c r="F740" s="709"/>
      <c r="G740" s="594" t="s">
        <v>329</v>
      </c>
      <c r="H740" s="595"/>
      <c r="I740" s="595"/>
      <c r="J740" s="595"/>
      <c r="K740" s="595"/>
      <c r="L740" s="345"/>
      <c r="M740" s="273">
        <f>SUM(M737:M739)</f>
        <v>845</v>
      </c>
      <c r="N740" s="274">
        <f>SUM(N737:N739)</f>
        <v>576</v>
      </c>
      <c r="O740" s="274">
        <f>SUM(O737:O739)</f>
        <v>576</v>
      </c>
      <c r="P740" s="952"/>
      <c r="Q740" s="952"/>
      <c r="R740" s="952"/>
      <c r="S740" s="952"/>
      <c r="T740" s="952"/>
      <c r="U740" s="952"/>
    </row>
    <row r="741" spans="1:21" s="10" customFormat="1" ht="35.1" customHeight="1">
      <c r="A741" s="1241"/>
      <c r="B741" s="538"/>
      <c r="C741" s="566" t="s">
        <v>54</v>
      </c>
      <c r="D741" s="584" t="s">
        <v>607</v>
      </c>
      <c r="E741" s="585"/>
      <c r="F741" s="586"/>
      <c r="G741" s="590" t="s">
        <v>189</v>
      </c>
      <c r="H741" s="590" t="s">
        <v>189</v>
      </c>
      <c r="I741" s="590" t="s">
        <v>189</v>
      </c>
      <c r="J741" s="1096" t="s">
        <v>67</v>
      </c>
      <c r="K741" s="1096" t="s">
        <v>66</v>
      </c>
      <c r="L741" s="190" t="s">
        <v>741</v>
      </c>
      <c r="M741" s="272">
        <v>114</v>
      </c>
      <c r="N741" s="189">
        <v>0</v>
      </c>
      <c r="O741" s="189">
        <v>0</v>
      </c>
      <c r="P741" s="618" t="s">
        <v>54</v>
      </c>
      <c r="Q741" s="618" t="s">
        <v>54</v>
      </c>
      <c r="R741" s="618" t="s">
        <v>54</v>
      </c>
      <c r="S741" s="618" t="s">
        <v>54</v>
      </c>
      <c r="T741" s="618" t="s">
        <v>54</v>
      </c>
      <c r="U741" s="618" t="s">
        <v>54</v>
      </c>
    </row>
    <row r="742" spans="1:21" s="10" customFormat="1" ht="35.1" customHeight="1">
      <c r="A742" s="1241"/>
      <c r="B742" s="538"/>
      <c r="C742" s="567"/>
      <c r="D742" s="587"/>
      <c r="E742" s="588"/>
      <c r="F742" s="589"/>
      <c r="G742" s="591"/>
      <c r="H742" s="591"/>
      <c r="I742" s="591"/>
      <c r="J742" s="1097"/>
      <c r="K742" s="1097"/>
      <c r="L742" s="190" t="s">
        <v>742</v>
      </c>
      <c r="M742" s="272">
        <v>65</v>
      </c>
      <c r="N742" s="189">
        <v>0</v>
      </c>
      <c r="O742" s="189">
        <v>0</v>
      </c>
      <c r="P742" s="593"/>
      <c r="Q742" s="593"/>
      <c r="R742" s="593"/>
      <c r="S742" s="593"/>
      <c r="T742" s="593"/>
      <c r="U742" s="593"/>
    </row>
    <row r="743" spans="1:21" s="10" customFormat="1" ht="35.1" customHeight="1">
      <c r="A743" s="1241"/>
      <c r="B743" s="538"/>
      <c r="C743" s="567"/>
      <c r="D743" s="587"/>
      <c r="E743" s="588"/>
      <c r="F743" s="589"/>
      <c r="G743" s="591"/>
      <c r="H743" s="591"/>
      <c r="I743" s="591"/>
      <c r="J743" s="1097"/>
      <c r="K743" s="1097"/>
      <c r="L743" s="190" t="s">
        <v>743</v>
      </c>
      <c r="M743" s="272">
        <v>184</v>
      </c>
      <c r="N743" s="189">
        <v>0</v>
      </c>
      <c r="O743" s="189">
        <v>0</v>
      </c>
      <c r="P743" s="593"/>
      <c r="Q743" s="593"/>
      <c r="R743" s="593"/>
      <c r="S743" s="593"/>
      <c r="T743" s="593"/>
      <c r="U743" s="593"/>
    </row>
    <row r="744" spans="1:21" s="10" customFormat="1" ht="35.1" customHeight="1">
      <c r="A744" s="1241"/>
      <c r="B744" s="538"/>
      <c r="C744" s="567"/>
      <c r="D744" s="587"/>
      <c r="E744" s="588"/>
      <c r="F744" s="589"/>
      <c r="G744" s="1385"/>
      <c r="H744" s="1385"/>
      <c r="I744" s="1385"/>
      <c r="J744" s="1098"/>
      <c r="K744" s="1098"/>
      <c r="L744" s="190" t="s">
        <v>744</v>
      </c>
      <c r="M744" s="272">
        <v>64</v>
      </c>
      <c r="N744" s="189">
        <v>0</v>
      </c>
      <c r="O744" s="189">
        <v>0</v>
      </c>
      <c r="P744" s="593"/>
      <c r="Q744" s="593"/>
      <c r="R744" s="593"/>
      <c r="S744" s="593"/>
      <c r="T744" s="593"/>
      <c r="U744" s="593"/>
    </row>
    <row r="745" spans="1:21" s="10" customFormat="1" ht="35.1" customHeight="1">
      <c r="A745" s="1241"/>
      <c r="B745" s="538"/>
      <c r="C745" s="568"/>
      <c r="D745" s="707"/>
      <c r="E745" s="708"/>
      <c r="F745" s="709"/>
      <c r="G745" s="594" t="s">
        <v>329</v>
      </c>
      <c r="H745" s="595"/>
      <c r="I745" s="595"/>
      <c r="J745" s="595"/>
      <c r="K745" s="595"/>
      <c r="L745" s="191"/>
      <c r="M745" s="275">
        <f>+SUM(M741:M744)</f>
        <v>427</v>
      </c>
      <c r="N745" s="276">
        <f>+SUM(N741:N744)</f>
        <v>0</v>
      </c>
      <c r="O745" s="276">
        <f>+SUM(O741:O744)</f>
        <v>0</v>
      </c>
      <c r="P745" s="619"/>
      <c r="Q745" s="619"/>
      <c r="R745" s="619"/>
      <c r="S745" s="619"/>
      <c r="T745" s="619"/>
      <c r="U745" s="619"/>
    </row>
    <row r="746" spans="1:21" s="10" customFormat="1" ht="35.1" customHeight="1">
      <c r="A746" s="1241"/>
      <c r="B746" s="538"/>
      <c r="C746" s="566" t="s">
        <v>189</v>
      </c>
      <c r="D746" s="584" t="s">
        <v>607</v>
      </c>
      <c r="E746" s="585"/>
      <c r="F746" s="586"/>
      <c r="G746" s="590" t="s">
        <v>189</v>
      </c>
      <c r="H746" s="590" t="s">
        <v>189</v>
      </c>
      <c r="I746" s="590" t="s">
        <v>189</v>
      </c>
      <c r="J746" s="1096" t="s">
        <v>67</v>
      </c>
      <c r="K746" s="1096" t="s">
        <v>66</v>
      </c>
      <c r="L746" s="277" t="s">
        <v>868</v>
      </c>
      <c r="M746" s="278">
        <v>153</v>
      </c>
      <c r="N746" s="279">
        <v>127</v>
      </c>
      <c r="O746" s="279">
        <v>127</v>
      </c>
      <c r="P746" s="618" t="s">
        <v>54</v>
      </c>
      <c r="Q746" s="618" t="s">
        <v>54</v>
      </c>
      <c r="R746" s="618" t="s">
        <v>54</v>
      </c>
      <c r="S746" s="618" t="s">
        <v>54</v>
      </c>
      <c r="T746" s="618" t="s">
        <v>54</v>
      </c>
      <c r="U746" s="618" t="s">
        <v>54</v>
      </c>
    </row>
    <row r="747" spans="1:21" s="10" customFormat="1" ht="35.1" customHeight="1">
      <c r="A747" s="1241"/>
      <c r="B747" s="538"/>
      <c r="C747" s="567"/>
      <c r="D747" s="587"/>
      <c r="E747" s="588"/>
      <c r="F747" s="589"/>
      <c r="G747" s="591"/>
      <c r="H747" s="591"/>
      <c r="I747" s="591"/>
      <c r="J747" s="1097"/>
      <c r="K747" s="1097"/>
      <c r="L747" s="188" t="s">
        <v>869</v>
      </c>
      <c r="M747" s="272">
        <v>153</v>
      </c>
      <c r="N747" s="280">
        <v>81</v>
      </c>
      <c r="O747" s="280">
        <v>81</v>
      </c>
      <c r="P747" s="593"/>
      <c r="Q747" s="593"/>
      <c r="R747" s="593"/>
      <c r="S747" s="593"/>
      <c r="T747" s="593"/>
      <c r="U747" s="593"/>
    </row>
    <row r="748" spans="1:21" s="10" customFormat="1" ht="35.1" customHeight="1">
      <c r="A748" s="1241"/>
      <c r="B748" s="538"/>
      <c r="C748" s="567"/>
      <c r="D748" s="587"/>
      <c r="E748" s="588"/>
      <c r="F748" s="589"/>
      <c r="G748" s="591"/>
      <c r="H748" s="591"/>
      <c r="I748" s="591"/>
      <c r="J748" s="1097"/>
      <c r="K748" s="1097"/>
      <c r="L748" s="188" t="s">
        <v>870</v>
      </c>
      <c r="M748" s="272">
        <v>64</v>
      </c>
      <c r="N748" s="280">
        <v>0</v>
      </c>
      <c r="O748" s="280">
        <v>0</v>
      </c>
      <c r="P748" s="593"/>
      <c r="Q748" s="593"/>
      <c r="R748" s="593"/>
      <c r="S748" s="593"/>
      <c r="T748" s="593"/>
      <c r="U748" s="593"/>
    </row>
    <row r="749" spans="1:21" s="10" customFormat="1" ht="35.1" customHeight="1">
      <c r="A749" s="1241"/>
      <c r="B749" s="538"/>
      <c r="C749" s="567"/>
      <c r="D749" s="587"/>
      <c r="E749" s="588"/>
      <c r="F749" s="589"/>
      <c r="G749" s="591"/>
      <c r="H749" s="591"/>
      <c r="I749" s="591"/>
      <c r="J749" s="1097"/>
      <c r="K749" s="1097"/>
      <c r="L749" s="188" t="s">
        <v>84</v>
      </c>
      <c r="M749" s="272">
        <v>575</v>
      </c>
      <c r="N749" s="280">
        <v>87</v>
      </c>
      <c r="O749" s="280">
        <v>82</v>
      </c>
      <c r="P749" s="593"/>
      <c r="Q749" s="593"/>
      <c r="R749" s="593"/>
      <c r="S749" s="593"/>
      <c r="T749" s="593"/>
      <c r="U749" s="593"/>
    </row>
    <row r="750" spans="1:21" s="10" customFormat="1" ht="35.1" customHeight="1">
      <c r="A750" s="1241"/>
      <c r="B750" s="538"/>
      <c r="C750" s="567"/>
      <c r="D750" s="587"/>
      <c r="E750" s="588"/>
      <c r="F750" s="589"/>
      <c r="G750" s="591"/>
      <c r="H750" s="591"/>
      <c r="I750" s="591"/>
      <c r="J750" s="1097"/>
      <c r="K750" s="1097"/>
      <c r="L750" s="188" t="s">
        <v>83</v>
      </c>
      <c r="M750" s="272">
        <v>300</v>
      </c>
      <c r="N750" s="280">
        <v>68</v>
      </c>
      <c r="O750" s="280">
        <v>59</v>
      </c>
      <c r="P750" s="593"/>
      <c r="Q750" s="593"/>
      <c r="R750" s="593"/>
      <c r="S750" s="593"/>
      <c r="T750" s="593"/>
      <c r="U750" s="593"/>
    </row>
    <row r="751" spans="1:21" s="10" customFormat="1" ht="35.1" customHeight="1">
      <c r="A751" s="1241"/>
      <c r="B751" s="538"/>
      <c r="C751" s="567"/>
      <c r="D751" s="587"/>
      <c r="E751" s="588"/>
      <c r="F751" s="589"/>
      <c r="G751" s="1385"/>
      <c r="H751" s="1385"/>
      <c r="I751" s="1385"/>
      <c r="J751" s="1098"/>
      <c r="K751" s="1098"/>
      <c r="L751" s="188" t="s">
        <v>82</v>
      </c>
      <c r="M751" s="272">
        <v>110</v>
      </c>
      <c r="N751" s="280">
        <v>38</v>
      </c>
      <c r="O751" s="280">
        <v>32</v>
      </c>
      <c r="P751" s="593"/>
      <c r="Q751" s="593"/>
      <c r="R751" s="593"/>
      <c r="S751" s="593"/>
      <c r="T751" s="593"/>
      <c r="U751" s="593"/>
    </row>
    <row r="752" spans="1:21" s="10" customFormat="1" ht="35.1" customHeight="1">
      <c r="A752" s="1241"/>
      <c r="B752" s="538"/>
      <c r="C752" s="568"/>
      <c r="D752" s="707"/>
      <c r="E752" s="708"/>
      <c r="F752" s="709"/>
      <c r="G752" s="594" t="s">
        <v>329</v>
      </c>
      <c r="H752" s="595"/>
      <c r="I752" s="595"/>
      <c r="J752" s="595"/>
      <c r="K752" s="595"/>
      <c r="L752" s="191"/>
      <c r="M752" s="275">
        <f>+SUM(M746:M751)</f>
        <v>1355</v>
      </c>
      <c r="N752" s="276">
        <f>+SUM(N746:N751)</f>
        <v>401</v>
      </c>
      <c r="O752" s="276">
        <f>+SUM(O746:O751)</f>
        <v>381</v>
      </c>
      <c r="P752" s="619"/>
      <c r="Q752" s="619"/>
      <c r="R752" s="619"/>
      <c r="S752" s="619"/>
      <c r="T752" s="619"/>
      <c r="U752" s="619"/>
    </row>
    <row r="753" spans="1:1892" s="10" customFormat="1" ht="35.1" customHeight="1">
      <c r="A753" s="1241"/>
      <c r="B753" s="538"/>
      <c r="C753" s="566" t="s">
        <v>189</v>
      </c>
      <c r="D753" s="584" t="s">
        <v>607</v>
      </c>
      <c r="E753" s="585"/>
      <c r="F753" s="586"/>
      <c r="G753" s="590" t="s">
        <v>189</v>
      </c>
      <c r="H753" s="590" t="s">
        <v>189</v>
      </c>
      <c r="I753" s="590" t="s">
        <v>189</v>
      </c>
      <c r="J753" s="1096" t="s">
        <v>67</v>
      </c>
      <c r="K753" s="1096" t="s">
        <v>66</v>
      </c>
      <c r="L753" s="188" t="s">
        <v>85</v>
      </c>
      <c r="M753" s="272">
        <v>27</v>
      </c>
      <c r="N753" s="272">
        <v>0</v>
      </c>
      <c r="O753" s="272">
        <v>0</v>
      </c>
      <c r="P753" s="420"/>
      <c r="Q753" s="420"/>
      <c r="R753" s="420"/>
      <c r="S753" s="420"/>
      <c r="T753" s="420"/>
      <c r="U753" s="420"/>
    </row>
    <row r="754" spans="1:1892" s="10" customFormat="1" ht="35.1" customHeight="1">
      <c r="A754" s="1241"/>
      <c r="B754" s="538"/>
      <c r="C754" s="567"/>
      <c r="D754" s="587"/>
      <c r="E754" s="588"/>
      <c r="F754" s="589"/>
      <c r="G754" s="591"/>
      <c r="H754" s="591"/>
      <c r="I754" s="591"/>
      <c r="J754" s="1097"/>
      <c r="K754" s="1097"/>
      <c r="L754" s="188" t="s">
        <v>103</v>
      </c>
      <c r="M754" s="272">
        <v>17</v>
      </c>
      <c r="N754" s="272">
        <v>0</v>
      </c>
      <c r="O754" s="272">
        <v>0</v>
      </c>
      <c r="P754" s="420"/>
      <c r="Q754" s="420"/>
      <c r="R754" s="420"/>
      <c r="S754" s="420"/>
      <c r="T754" s="420"/>
      <c r="U754" s="420"/>
    </row>
    <row r="755" spans="1:1892" s="10" customFormat="1" ht="35.1" customHeight="1">
      <c r="A755" s="1241"/>
      <c r="B755" s="538"/>
      <c r="C755" s="567"/>
      <c r="D755" s="587"/>
      <c r="E755" s="588"/>
      <c r="F755" s="589"/>
      <c r="G755" s="591"/>
      <c r="H755" s="591"/>
      <c r="I755" s="591"/>
      <c r="J755" s="1097"/>
      <c r="K755" s="1097"/>
      <c r="L755" s="188" t="s">
        <v>519</v>
      </c>
      <c r="M755" s="272">
        <v>3</v>
      </c>
      <c r="N755" s="272">
        <v>0</v>
      </c>
      <c r="O755" s="272">
        <v>0</v>
      </c>
      <c r="P755" s="420"/>
      <c r="Q755" s="420"/>
      <c r="R755" s="420"/>
      <c r="S755" s="420"/>
      <c r="T755" s="420"/>
      <c r="U755" s="420"/>
    </row>
    <row r="756" spans="1:1892" s="10" customFormat="1" ht="35.1" customHeight="1">
      <c r="A756" s="1241"/>
      <c r="B756" s="538"/>
      <c r="C756" s="567"/>
      <c r="D756" s="587"/>
      <c r="E756" s="588"/>
      <c r="F756" s="589"/>
      <c r="G756" s="591"/>
      <c r="H756" s="591"/>
      <c r="I756" s="591"/>
      <c r="J756" s="1097"/>
      <c r="K756" s="1097"/>
      <c r="L756" s="188" t="s">
        <v>94</v>
      </c>
      <c r="M756" s="272">
        <v>18</v>
      </c>
      <c r="N756" s="272">
        <v>0</v>
      </c>
      <c r="O756" s="272">
        <v>0</v>
      </c>
      <c r="P756" s="420"/>
      <c r="Q756" s="420"/>
      <c r="R756" s="420"/>
      <c r="S756" s="420"/>
      <c r="T756" s="420"/>
      <c r="U756" s="420"/>
    </row>
    <row r="757" spans="1:1892" s="10" customFormat="1" ht="35.1" customHeight="1">
      <c r="A757" s="1241"/>
      <c r="B757" s="538"/>
      <c r="C757" s="567"/>
      <c r="D757" s="587"/>
      <c r="E757" s="588"/>
      <c r="F757" s="589"/>
      <c r="G757" s="591"/>
      <c r="H757" s="591"/>
      <c r="I757" s="591"/>
      <c r="J757" s="1097"/>
      <c r="K757" s="1097"/>
      <c r="L757" s="188" t="s">
        <v>84</v>
      </c>
      <c r="M757" s="272">
        <v>42</v>
      </c>
      <c r="N757" s="272">
        <v>0</v>
      </c>
      <c r="O757" s="272">
        <v>0</v>
      </c>
      <c r="P757" s="420"/>
      <c r="Q757" s="420"/>
      <c r="R757" s="420"/>
      <c r="S757" s="420"/>
      <c r="T757" s="420"/>
      <c r="U757" s="420"/>
    </row>
    <row r="758" spans="1:1892" s="10" customFormat="1" ht="35.1" customHeight="1">
      <c r="A758" s="1241"/>
      <c r="B758" s="538"/>
      <c r="C758" s="567"/>
      <c r="D758" s="587"/>
      <c r="E758" s="588"/>
      <c r="F758" s="589"/>
      <c r="G758" s="1385"/>
      <c r="H758" s="1385"/>
      <c r="I758" s="1385"/>
      <c r="J758" s="1098"/>
      <c r="K758" s="1098"/>
      <c r="L758" s="188" t="s">
        <v>83</v>
      </c>
      <c r="M758" s="272">
        <v>5</v>
      </c>
      <c r="N758" s="272">
        <v>0</v>
      </c>
      <c r="O758" s="272">
        <v>0</v>
      </c>
      <c r="P758" s="420"/>
      <c r="Q758" s="420"/>
      <c r="R758" s="420"/>
      <c r="S758" s="420"/>
      <c r="T758" s="420"/>
      <c r="U758" s="420"/>
    </row>
    <row r="759" spans="1:1892" s="10" customFormat="1" ht="35.1" customHeight="1">
      <c r="A759" s="1241"/>
      <c r="B759" s="538"/>
      <c r="C759" s="568"/>
      <c r="D759" s="707"/>
      <c r="E759" s="708"/>
      <c r="F759" s="709"/>
      <c r="G759" s="421"/>
      <c r="H759" s="422"/>
      <c r="I759" s="422"/>
      <c r="J759" s="422"/>
      <c r="K759" s="422"/>
      <c r="L759" s="191"/>
      <c r="M759" s="275">
        <f>+SUM(M753:M758)</f>
        <v>112</v>
      </c>
      <c r="N759" s="275">
        <f t="shared" ref="N759" si="50">+SUM(N753:N758)</f>
        <v>0</v>
      </c>
      <c r="O759" s="275">
        <f t="shared" ref="O759" si="51">+SUM(O753:O758)</f>
        <v>0</v>
      </c>
      <c r="P759" s="420"/>
      <c r="Q759" s="420"/>
      <c r="R759" s="420"/>
      <c r="S759" s="420"/>
      <c r="T759" s="420"/>
      <c r="U759" s="420"/>
    </row>
    <row r="760" spans="1:1892" s="10" customFormat="1" ht="35.1" customHeight="1">
      <c r="A760" s="1241"/>
      <c r="B760" s="538"/>
      <c r="C760" s="616" t="s">
        <v>72</v>
      </c>
      <c r="D760" s="584" t="s">
        <v>1042</v>
      </c>
      <c r="E760" s="585"/>
      <c r="F760" s="586"/>
      <c r="G760" s="590" t="s">
        <v>1043</v>
      </c>
      <c r="H760" s="590" t="s">
        <v>1043</v>
      </c>
      <c r="I760" s="590" t="s">
        <v>1044</v>
      </c>
      <c r="J760" s="590" t="s">
        <v>11</v>
      </c>
      <c r="K760" s="590" t="s">
        <v>12</v>
      </c>
      <c r="L760" s="188">
        <v>84.727699999999999</v>
      </c>
      <c r="M760" s="272">
        <v>1034</v>
      </c>
      <c r="N760" s="272">
        <v>0</v>
      </c>
      <c r="O760" s="272">
        <v>0</v>
      </c>
      <c r="P760" s="618" t="s">
        <v>1045</v>
      </c>
      <c r="Q760" s="618" t="s">
        <v>1046</v>
      </c>
      <c r="R760" s="618" t="s">
        <v>1047</v>
      </c>
      <c r="S760" s="618" t="s">
        <v>13</v>
      </c>
      <c r="T760" s="618" t="s">
        <v>1048</v>
      </c>
      <c r="U760" s="618" t="s">
        <v>17</v>
      </c>
    </row>
    <row r="761" spans="1:1892" s="10" customFormat="1" ht="35.1" customHeight="1">
      <c r="A761" s="1241"/>
      <c r="B761" s="538"/>
      <c r="C761" s="583"/>
      <c r="D761" s="587"/>
      <c r="E761" s="588"/>
      <c r="F761" s="589"/>
      <c r="G761" s="591"/>
      <c r="H761" s="591"/>
      <c r="I761" s="591"/>
      <c r="J761" s="591"/>
      <c r="K761" s="591"/>
      <c r="L761" s="188">
        <v>84.934299999999993</v>
      </c>
      <c r="M761" s="272">
        <v>1027</v>
      </c>
      <c r="N761" s="272">
        <v>0</v>
      </c>
      <c r="O761" s="272">
        <v>0</v>
      </c>
      <c r="P761" s="593"/>
      <c r="Q761" s="593"/>
      <c r="R761" s="593"/>
      <c r="S761" s="593"/>
      <c r="T761" s="593"/>
      <c r="U761" s="593"/>
    </row>
    <row r="762" spans="1:1892" s="10" customFormat="1" ht="35.1" customHeight="1">
      <c r="A762" s="1241"/>
      <c r="B762" s="538"/>
      <c r="C762" s="583"/>
      <c r="D762" s="587"/>
      <c r="E762" s="588"/>
      <c r="F762" s="589"/>
      <c r="G762" s="591"/>
      <c r="H762" s="591"/>
      <c r="I762" s="591"/>
      <c r="J762" s="591"/>
      <c r="K762" s="591"/>
      <c r="L762" s="188">
        <v>128.8451</v>
      </c>
      <c r="M762" s="272">
        <v>368</v>
      </c>
      <c r="N762" s="272">
        <v>93</v>
      </c>
      <c r="O762" s="272">
        <v>86</v>
      </c>
      <c r="P762" s="593"/>
      <c r="Q762" s="593"/>
      <c r="R762" s="593"/>
      <c r="S762" s="593"/>
      <c r="T762" s="593"/>
      <c r="U762" s="593"/>
    </row>
    <row r="763" spans="1:1892" s="10" customFormat="1" ht="35.1" customHeight="1">
      <c r="A763" s="1241"/>
      <c r="B763" s="538"/>
      <c r="C763" s="583"/>
      <c r="D763" s="587"/>
      <c r="E763" s="588"/>
      <c r="F763" s="589"/>
      <c r="G763" s="591"/>
      <c r="H763" s="591"/>
      <c r="I763" s="591"/>
      <c r="J763" s="591"/>
      <c r="K763" s="591"/>
      <c r="L763" s="188">
        <v>128.6421</v>
      </c>
      <c r="M763" s="272">
        <v>378</v>
      </c>
      <c r="N763" s="272">
        <v>109</v>
      </c>
      <c r="O763" s="272">
        <v>91</v>
      </c>
      <c r="P763" s="593"/>
      <c r="Q763" s="593"/>
      <c r="R763" s="593"/>
      <c r="S763" s="593"/>
      <c r="T763" s="593"/>
      <c r="U763" s="593"/>
    </row>
    <row r="764" spans="1:1892" s="10" customFormat="1" ht="35.1" customHeight="1">
      <c r="A764" s="1241"/>
      <c r="B764" s="538"/>
      <c r="C764" s="583"/>
      <c r="D764" s="587"/>
      <c r="E764" s="588"/>
      <c r="F764" s="589"/>
      <c r="G764" s="594" t="s">
        <v>329</v>
      </c>
      <c r="H764" s="595"/>
      <c r="I764" s="595"/>
      <c r="J764" s="595"/>
      <c r="K764" s="595"/>
      <c r="L764" s="191"/>
      <c r="M764" s="275">
        <f>+SUM(M760:M763)</f>
        <v>2807</v>
      </c>
      <c r="N764" s="275">
        <f t="shared" ref="N764:O764" si="52">+SUM(N760:N763)</f>
        <v>202</v>
      </c>
      <c r="O764" s="275">
        <f t="shared" si="52"/>
        <v>177</v>
      </c>
      <c r="P764" s="593"/>
      <c r="Q764" s="593"/>
      <c r="R764" s="593"/>
      <c r="S764" s="593"/>
      <c r="T764" s="593"/>
      <c r="U764" s="593"/>
    </row>
    <row r="765" spans="1:1892" s="10" customFormat="1" ht="35.1" customHeight="1">
      <c r="A765" s="1241"/>
      <c r="B765" s="538"/>
      <c r="C765" s="582" t="s">
        <v>54</v>
      </c>
      <c r="D765" s="584" t="s">
        <v>607</v>
      </c>
      <c r="E765" s="585"/>
      <c r="F765" s="586"/>
      <c r="G765" s="596" t="s">
        <v>54</v>
      </c>
      <c r="H765" s="596" t="s">
        <v>54</v>
      </c>
      <c r="I765" s="596" t="s">
        <v>54</v>
      </c>
      <c r="J765" s="590" t="s">
        <v>11</v>
      </c>
      <c r="K765" s="590" t="s">
        <v>12</v>
      </c>
      <c r="L765" s="188">
        <v>84.905100000000004</v>
      </c>
      <c r="M765" s="272">
        <v>322</v>
      </c>
      <c r="N765" s="272">
        <v>239</v>
      </c>
      <c r="O765" s="272">
        <v>235</v>
      </c>
      <c r="P765" s="592" t="s">
        <v>54</v>
      </c>
      <c r="Q765" s="592" t="s">
        <v>54</v>
      </c>
      <c r="R765" s="592" t="s">
        <v>54</v>
      </c>
      <c r="S765" s="592" t="s">
        <v>54</v>
      </c>
      <c r="T765" s="592" t="s">
        <v>54</v>
      </c>
      <c r="U765" s="592" t="s">
        <v>54</v>
      </c>
    </row>
    <row r="766" spans="1:1892" s="10" customFormat="1" ht="35.1" customHeight="1">
      <c r="A766" s="1241"/>
      <c r="B766" s="538"/>
      <c r="C766" s="583"/>
      <c r="D766" s="587"/>
      <c r="E766" s="588"/>
      <c r="F766" s="589"/>
      <c r="G766" s="597"/>
      <c r="H766" s="597"/>
      <c r="I766" s="597"/>
      <c r="J766" s="591"/>
      <c r="K766" s="591"/>
      <c r="L766" s="188">
        <v>84.938599999999994</v>
      </c>
      <c r="M766" s="272">
        <v>39</v>
      </c>
      <c r="N766" s="272">
        <v>31</v>
      </c>
      <c r="O766" s="272">
        <v>30</v>
      </c>
      <c r="P766" s="593"/>
      <c r="Q766" s="593"/>
      <c r="R766" s="593"/>
      <c r="S766" s="593"/>
      <c r="T766" s="593"/>
      <c r="U766" s="593"/>
    </row>
    <row r="767" spans="1:1892" s="10" customFormat="1" ht="35.1" customHeight="1">
      <c r="A767" s="1241"/>
      <c r="B767" s="539"/>
      <c r="C767" s="583"/>
      <c r="D767" s="587"/>
      <c r="E767" s="588"/>
      <c r="F767" s="589"/>
      <c r="G767" s="594" t="s">
        <v>329</v>
      </c>
      <c r="H767" s="595"/>
      <c r="I767" s="595"/>
      <c r="J767" s="595"/>
      <c r="K767" s="595"/>
      <c r="L767" s="191"/>
      <c r="M767" s="275">
        <f>+SUM(M765:M766)</f>
        <v>361</v>
      </c>
      <c r="N767" s="275">
        <f t="shared" ref="N767:O767" si="53">+SUM(N765:N766)</f>
        <v>270</v>
      </c>
      <c r="O767" s="275">
        <f t="shared" si="53"/>
        <v>265</v>
      </c>
      <c r="P767" s="593"/>
      <c r="Q767" s="593"/>
      <c r="R767" s="593"/>
      <c r="S767" s="593"/>
      <c r="T767" s="593"/>
      <c r="U767" s="593"/>
    </row>
    <row r="768" spans="1:1892" s="9" customFormat="1" ht="35.1" customHeight="1">
      <c r="A768" s="1241"/>
      <c r="B768" s="620" t="s">
        <v>105</v>
      </c>
      <c r="C768" s="621"/>
      <c r="D768" s="621"/>
      <c r="E768" s="621"/>
      <c r="F768" s="621"/>
      <c r="G768" s="621"/>
      <c r="H768" s="621"/>
      <c r="I768" s="621"/>
      <c r="J768" s="621"/>
      <c r="K768" s="622"/>
      <c r="L768" s="122"/>
      <c r="M768" s="395">
        <f>M752+M745+M740+M736+M732+M716+M710+M700+M688+M674+M659+M652+M641+M759+M764+M767</f>
        <v>8230</v>
      </c>
      <c r="N768" s="395">
        <f>N752+N745+N740+N736+N732+N716+N710+N700+N688+N674+N659+N652+N641+N759+N764+N767</f>
        <v>1937</v>
      </c>
      <c r="O768" s="395">
        <f>O752+O745+O740+O736+O732+O716+O710+O700+O688+O674+O659+O652+O641+O759+O764+O767</f>
        <v>1807</v>
      </c>
      <c r="P768" s="161"/>
      <c r="Q768" s="161"/>
      <c r="R768" s="161"/>
      <c r="S768" s="156"/>
      <c r="T768" s="125"/>
      <c r="U768" s="156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  <c r="BU768" s="10"/>
      <c r="BV768" s="10"/>
      <c r="BW768" s="10"/>
      <c r="BX768" s="10"/>
      <c r="BY768" s="10"/>
      <c r="BZ768" s="10"/>
      <c r="CA768" s="10"/>
      <c r="CB768" s="10"/>
      <c r="CC768" s="10"/>
      <c r="CD768" s="10"/>
      <c r="CE768" s="10"/>
      <c r="CF768" s="10"/>
      <c r="CG768" s="10"/>
      <c r="CH768" s="10"/>
      <c r="CI768" s="10"/>
      <c r="CJ768" s="10"/>
      <c r="CK768" s="10"/>
      <c r="CL768" s="10"/>
      <c r="CM768" s="10"/>
      <c r="CN768" s="10"/>
      <c r="CO768" s="10"/>
      <c r="CP768" s="10"/>
      <c r="CQ768" s="10"/>
      <c r="CR768" s="10"/>
      <c r="CS768" s="10"/>
      <c r="CT768" s="10"/>
      <c r="CU768" s="10"/>
      <c r="CV768" s="10"/>
      <c r="CW768" s="10"/>
      <c r="CX768" s="10"/>
      <c r="CY768" s="10"/>
      <c r="CZ768" s="10"/>
      <c r="DA768" s="10"/>
      <c r="DB768" s="10"/>
      <c r="DC768" s="10"/>
      <c r="DD768" s="10"/>
      <c r="DE768" s="10"/>
      <c r="DF768" s="10"/>
      <c r="DG768" s="10"/>
      <c r="DH768" s="10"/>
      <c r="DI768" s="10"/>
      <c r="DJ768" s="10"/>
      <c r="DK768" s="10"/>
      <c r="DL768" s="10"/>
      <c r="DM768" s="10"/>
      <c r="DN768" s="10"/>
      <c r="DO768" s="10"/>
      <c r="DP768" s="10"/>
      <c r="DQ768" s="10"/>
      <c r="DR768" s="10"/>
      <c r="DS768" s="10"/>
      <c r="DT768" s="10"/>
      <c r="DU768" s="10"/>
      <c r="DV768" s="10"/>
      <c r="DW768" s="10"/>
      <c r="DX768" s="10"/>
      <c r="DY768" s="10"/>
      <c r="DZ768" s="10"/>
      <c r="EA768" s="10"/>
      <c r="EB768" s="10"/>
      <c r="EC768" s="10"/>
      <c r="ED768" s="10"/>
      <c r="EE768" s="10"/>
      <c r="EF768" s="10"/>
      <c r="EG768" s="10"/>
      <c r="EH768" s="10"/>
      <c r="EI768" s="10"/>
      <c r="EJ768" s="10"/>
      <c r="EK768" s="10"/>
      <c r="EL768" s="10"/>
      <c r="EM768" s="10"/>
      <c r="EN768" s="10"/>
      <c r="EO768" s="10"/>
      <c r="EP768" s="10"/>
      <c r="EQ768" s="10"/>
      <c r="ER768" s="10"/>
      <c r="ES768" s="10"/>
      <c r="ET768" s="10"/>
      <c r="EU768" s="10"/>
      <c r="EV768" s="10"/>
      <c r="EW768" s="10"/>
      <c r="EX768" s="10"/>
      <c r="EY768" s="10"/>
      <c r="EZ768" s="10"/>
      <c r="FA768" s="10"/>
      <c r="FB768" s="10"/>
      <c r="FC768" s="10"/>
      <c r="FD768" s="10"/>
      <c r="FE768" s="10"/>
      <c r="FF768" s="10"/>
      <c r="FG768" s="10"/>
      <c r="FH768" s="10"/>
      <c r="FI768" s="10"/>
      <c r="FJ768" s="10"/>
      <c r="FK768" s="10"/>
      <c r="FL768" s="10"/>
      <c r="FM768" s="10"/>
      <c r="FN768" s="10"/>
      <c r="FO768" s="10"/>
      <c r="FP768" s="10"/>
      <c r="FQ768" s="10"/>
      <c r="FR768" s="10"/>
      <c r="FS768" s="10"/>
      <c r="FT768" s="10"/>
      <c r="FU768" s="10"/>
      <c r="FV768" s="10"/>
      <c r="FW768" s="10"/>
      <c r="FX768" s="10"/>
      <c r="FY768" s="10"/>
      <c r="FZ768" s="10"/>
      <c r="GA768" s="10"/>
      <c r="GB768" s="10"/>
      <c r="GC768" s="10"/>
      <c r="GD768" s="10"/>
      <c r="GE768" s="10"/>
      <c r="GF768" s="10"/>
      <c r="GG768" s="10"/>
      <c r="GH768" s="10"/>
      <c r="GI768" s="10"/>
      <c r="GJ768" s="10"/>
      <c r="GK768" s="10"/>
      <c r="GL768" s="10"/>
      <c r="GM768" s="10"/>
      <c r="GN768" s="10"/>
      <c r="GO768" s="10"/>
      <c r="GP768" s="10"/>
      <c r="GQ768" s="10"/>
      <c r="GR768" s="10"/>
      <c r="GS768" s="10"/>
      <c r="GT768" s="10"/>
      <c r="GU768" s="10"/>
      <c r="GV768" s="10"/>
      <c r="GW768" s="10"/>
      <c r="GX768" s="10"/>
      <c r="GY768" s="10"/>
      <c r="GZ768" s="10"/>
      <c r="HA768" s="10"/>
      <c r="HB768" s="10"/>
      <c r="HC768" s="10"/>
      <c r="HD768" s="10"/>
      <c r="HE768" s="10"/>
      <c r="HF768" s="10"/>
      <c r="HG768" s="10"/>
      <c r="HH768" s="10"/>
      <c r="HI768" s="10"/>
      <c r="HJ768" s="10"/>
      <c r="HK768" s="10"/>
      <c r="HL768" s="10"/>
      <c r="HM768" s="10"/>
      <c r="HN768" s="10"/>
      <c r="HO768" s="10"/>
      <c r="HP768" s="10"/>
      <c r="HQ768" s="10"/>
      <c r="HR768" s="10"/>
      <c r="HS768" s="10"/>
      <c r="HT768" s="10"/>
      <c r="HU768" s="10"/>
      <c r="HV768" s="10"/>
      <c r="HW768" s="10"/>
      <c r="HX768" s="10"/>
      <c r="HY768" s="10"/>
      <c r="HZ768" s="10"/>
      <c r="IA768" s="10"/>
      <c r="IB768" s="10"/>
      <c r="IC768" s="10"/>
      <c r="ID768" s="10"/>
      <c r="IE768" s="10"/>
      <c r="IF768" s="10"/>
      <c r="IG768" s="10"/>
      <c r="IH768" s="10"/>
      <c r="II768" s="10"/>
      <c r="IJ768" s="10"/>
      <c r="IK768" s="10"/>
      <c r="IL768" s="10"/>
      <c r="IM768" s="10"/>
      <c r="IN768" s="10"/>
      <c r="IO768" s="10"/>
      <c r="IP768" s="10"/>
      <c r="IQ768" s="10"/>
      <c r="IR768" s="10"/>
      <c r="IS768" s="10"/>
      <c r="IT768" s="10"/>
      <c r="IU768" s="10"/>
      <c r="IV768" s="10"/>
      <c r="IW768" s="10"/>
      <c r="IX768" s="10"/>
      <c r="IY768" s="10"/>
      <c r="IZ768" s="10"/>
      <c r="JA768" s="10"/>
      <c r="JB768" s="10"/>
      <c r="JC768" s="10"/>
      <c r="JD768" s="10"/>
      <c r="JE768" s="10"/>
      <c r="JF768" s="10"/>
      <c r="JG768" s="10"/>
      <c r="JH768" s="10"/>
      <c r="JI768" s="10"/>
      <c r="JJ768" s="10"/>
      <c r="JK768" s="10"/>
      <c r="JL768" s="10"/>
      <c r="JM768" s="10"/>
      <c r="JN768" s="10"/>
      <c r="JO768" s="10"/>
      <c r="JP768" s="10"/>
      <c r="JQ768" s="10"/>
      <c r="JR768" s="10"/>
      <c r="JS768" s="10"/>
      <c r="JT768" s="10"/>
      <c r="JU768" s="10"/>
      <c r="JV768" s="10"/>
      <c r="JW768" s="10"/>
      <c r="JX768" s="10"/>
      <c r="JY768" s="10"/>
      <c r="JZ768" s="10"/>
      <c r="KA768" s="10"/>
      <c r="KB768" s="10"/>
      <c r="KC768" s="10"/>
      <c r="KD768" s="10"/>
      <c r="KE768" s="10"/>
      <c r="KF768" s="10"/>
      <c r="KG768" s="10"/>
      <c r="KH768" s="10"/>
      <c r="KI768" s="10"/>
      <c r="KJ768" s="10"/>
      <c r="KK768" s="10"/>
      <c r="KL768" s="10"/>
      <c r="KM768" s="10"/>
      <c r="KN768" s="10"/>
      <c r="KO768" s="10"/>
      <c r="KP768" s="10"/>
      <c r="KQ768" s="10"/>
      <c r="KR768" s="10"/>
      <c r="KS768" s="10"/>
      <c r="KT768" s="10"/>
      <c r="KU768" s="10"/>
      <c r="KV768" s="10"/>
      <c r="KW768" s="10"/>
      <c r="KX768" s="10"/>
      <c r="KY768" s="10"/>
      <c r="KZ768" s="10"/>
      <c r="LA768" s="10"/>
      <c r="LB768" s="10"/>
      <c r="LC768" s="10"/>
      <c r="LD768" s="10"/>
      <c r="LE768" s="10"/>
      <c r="LF768" s="10"/>
      <c r="LG768" s="10"/>
      <c r="LH768" s="10"/>
      <c r="LI768" s="10"/>
      <c r="LJ768" s="10"/>
      <c r="LK768" s="10"/>
      <c r="LL768" s="10"/>
      <c r="LM768" s="10"/>
      <c r="LN768" s="10"/>
      <c r="LO768" s="10"/>
      <c r="LP768" s="10"/>
      <c r="LQ768" s="10"/>
      <c r="LR768" s="10"/>
      <c r="LS768" s="10"/>
      <c r="LT768" s="10"/>
      <c r="LU768" s="10"/>
      <c r="LV768" s="10"/>
      <c r="LW768" s="10"/>
      <c r="LX768" s="10"/>
      <c r="LY768" s="10"/>
      <c r="LZ768" s="10"/>
      <c r="MA768" s="10"/>
      <c r="MB768" s="10"/>
      <c r="MC768" s="10"/>
      <c r="MD768" s="10"/>
      <c r="ME768" s="10"/>
      <c r="MF768" s="10"/>
      <c r="MG768" s="10"/>
      <c r="MH768" s="10"/>
      <c r="MI768" s="10"/>
      <c r="MJ768" s="10"/>
      <c r="MK768" s="10"/>
      <c r="ML768" s="10"/>
      <c r="MM768" s="10"/>
      <c r="MN768" s="10"/>
      <c r="MO768" s="10"/>
      <c r="MP768" s="10"/>
      <c r="MQ768" s="10"/>
      <c r="MR768" s="10"/>
      <c r="MS768" s="10"/>
      <c r="MT768" s="10"/>
      <c r="MU768" s="10"/>
      <c r="MV768" s="10"/>
      <c r="MW768" s="10"/>
      <c r="MX768" s="10"/>
      <c r="MY768" s="10"/>
      <c r="MZ768" s="10"/>
      <c r="NA768" s="10"/>
      <c r="NB768" s="10"/>
      <c r="NC768" s="10"/>
      <c r="ND768" s="10"/>
      <c r="NE768" s="10"/>
      <c r="NF768" s="10"/>
      <c r="NG768" s="10"/>
      <c r="NH768" s="10"/>
      <c r="NI768" s="10"/>
      <c r="NJ768" s="10"/>
      <c r="NK768" s="10"/>
      <c r="NL768" s="10"/>
      <c r="NM768" s="10"/>
      <c r="NN768" s="10"/>
      <c r="NO768" s="10"/>
      <c r="NP768" s="10"/>
      <c r="NQ768" s="10"/>
      <c r="NR768" s="10"/>
      <c r="NS768" s="10"/>
      <c r="NT768" s="10"/>
      <c r="NU768" s="10"/>
      <c r="NV768" s="10"/>
      <c r="NW768" s="10"/>
      <c r="NX768" s="10"/>
      <c r="NY768" s="10"/>
      <c r="NZ768" s="10"/>
      <c r="OA768" s="10"/>
      <c r="OB768" s="10"/>
      <c r="OC768" s="10"/>
      <c r="OD768" s="10"/>
      <c r="OE768" s="10"/>
      <c r="OF768" s="10"/>
      <c r="OG768" s="10"/>
      <c r="OH768" s="10"/>
      <c r="OI768" s="10"/>
      <c r="OJ768" s="10"/>
      <c r="OK768" s="10"/>
      <c r="OL768" s="10"/>
      <c r="OM768" s="10"/>
      <c r="ON768" s="10"/>
      <c r="OO768" s="10"/>
      <c r="OP768" s="10"/>
      <c r="OQ768" s="10"/>
      <c r="OR768" s="10"/>
      <c r="OS768" s="10"/>
      <c r="OT768" s="10"/>
      <c r="OU768" s="10"/>
      <c r="OV768" s="10"/>
      <c r="OW768" s="10"/>
      <c r="OX768" s="10"/>
      <c r="OY768" s="10"/>
      <c r="OZ768" s="10"/>
      <c r="PA768" s="10"/>
      <c r="PB768" s="10"/>
      <c r="PC768" s="10"/>
      <c r="PD768" s="10"/>
      <c r="PE768" s="10"/>
      <c r="PF768" s="10"/>
      <c r="PG768" s="10"/>
      <c r="PH768" s="10"/>
      <c r="PI768" s="10"/>
      <c r="PJ768" s="10"/>
      <c r="PK768" s="10"/>
      <c r="PL768" s="10"/>
      <c r="PM768" s="10"/>
      <c r="PN768" s="10"/>
      <c r="PO768" s="10"/>
      <c r="PP768" s="10"/>
      <c r="PQ768" s="10"/>
      <c r="PR768" s="10"/>
      <c r="PS768" s="10"/>
      <c r="PT768" s="10"/>
      <c r="PU768" s="10"/>
      <c r="PV768" s="10"/>
      <c r="PW768" s="10"/>
      <c r="PX768" s="10"/>
      <c r="PY768" s="10"/>
      <c r="PZ768" s="10"/>
      <c r="QA768" s="10"/>
      <c r="QB768" s="10"/>
      <c r="QC768" s="10"/>
      <c r="QD768" s="10"/>
      <c r="QE768" s="10"/>
      <c r="QF768" s="10"/>
      <c r="QG768" s="10"/>
      <c r="QH768" s="10"/>
      <c r="QI768" s="10"/>
      <c r="QJ768" s="10"/>
      <c r="QK768" s="10"/>
      <c r="QL768" s="10"/>
      <c r="QM768" s="10"/>
      <c r="QN768" s="10"/>
      <c r="QO768" s="10"/>
      <c r="QP768" s="10"/>
      <c r="QQ768" s="10"/>
      <c r="QR768" s="10"/>
      <c r="QS768" s="10"/>
      <c r="QT768" s="10"/>
      <c r="QU768" s="10"/>
      <c r="QV768" s="10"/>
      <c r="QW768" s="10"/>
      <c r="QX768" s="10"/>
      <c r="QY768" s="10"/>
      <c r="QZ768" s="10"/>
      <c r="RA768" s="10"/>
      <c r="RB768" s="10"/>
      <c r="RC768" s="10"/>
      <c r="RD768" s="10"/>
      <c r="RE768" s="10"/>
      <c r="RF768" s="10"/>
      <c r="RG768" s="10"/>
      <c r="RH768" s="10"/>
      <c r="RI768" s="10"/>
      <c r="RJ768" s="10"/>
      <c r="RK768" s="10"/>
      <c r="RL768" s="10"/>
      <c r="RM768" s="10"/>
      <c r="RN768" s="10"/>
      <c r="RO768" s="10"/>
      <c r="RP768" s="10"/>
      <c r="RQ768" s="10"/>
      <c r="RR768" s="10"/>
      <c r="RS768" s="10"/>
      <c r="RT768" s="10"/>
      <c r="RU768" s="10"/>
      <c r="RV768" s="10"/>
      <c r="RW768" s="10"/>
      <c r="RX768" s="10"/>
      <c r="RY768" s="10"/>
      <c r="RZ768" s="10"/>
      <c r="SA768" s="10"/>
      <c r="SB768" s="10"/>
      <c r="SC768" s="10"/>
      <c r="SD768" s="10"/>
      <c r="SE768" s="10"/>
      <c r="SF768" s="10"/>
      <c r="SG768" s="10"/>
      <c r="SH768" s="10"/>
      <c r="SI768" s="10"/>
      <c r="SJ768" s="10"/>
      <c r="SK768" s="10"/>
      <c r="SL768" s="10"/>
      <c r="SM768" s="10"/>
      <c r="SN768" s="10"/>
      <c r="SO768" s="10"/>
      <c r="SP768" s="10"/>
      <c r="SQ768" s="10"/>
      <c r="SR768" s="10"/>
      <c r="SS768" s="10"/>
      <c r="ST768" s="10"/>
      <c r="SU768" s="10"/>
      <c r="SV768" s="10"/>
      <c r="SW768" s="10"/>
      <c r="SX768" s="10"/>
      <c r="SY768" s="10"/>
      <c r="SZ768" s="10"/>
      <c r="TA768" s="10"/>
      <c r="TB768" s="10"/>
      <c r="TC768" s="10"/>
      <c r="TD768" s="10"/>
      <c r="TE768" s="10"/>
      <c r="TF768" s="10"/>
      <c r="TG768" s="10"/>
      <c r="TH768" s="10"/>
      <c r="TI768" s="10"/>
      <c r="TJ768" s="10"/>
      <c r="TK768" s="10"/>
      <c r="TL768" s="10"/>
      <c r="TM768" s="10"/>
      <c r="TN768" s="10"/>
      <c r="TO768" s="10"/>
      <c r="TP768" s="10"/>
      <c r="TQ768" s="10"/>
      <c r="TR768" s="10"/>
      <c r="TS768" s="10"/>
      <c r="TT768" s="10"/>
      <c r="TU768" s="10"/>
      <c r="TV768" s="10"/>
      <c r="TW768" s="10"/>
      <c r="TX768" s="10"/>
      <c r="TY768" s="10"/>
      <c r="TZ768" s="10"/>
      <c r="UA768" s="10"/>
      <c r="UB768" s="10"/>
      <c r="UC768" s="10"/>
      <c r="UD768" s="10"/>
      <c r="UE768" s="10"/>
      <c r="UF768" s="10"/>
      <c r="UG768" s="10"/>
      <c r="UH768" s="10"/>
      <c r="UI768" s="10"/>
      <c r="UJ768" s="10"/>
      <c r="UK768" s="10"/>
      <c r="UL768" s="10"/>
      <c r="UM768" s="10"/>
      <c r="UN768" s="10"/>
      <c r="UO768" s="10"/>
      <c r="UP768" s="10"/>
      <c r="UQ768" s="10"/>
      <c r="UR768" s="10"/>
      <c r="US768" s="10"/>
      <c r="UT768" s="10"/>
      <c r="UU768" s="10"/>
      <c r="UV768" s="10"/>
      <c r="UW768" s="10"/>
      <c r="UX768" s="10"/>
      <c r="UY768" s="10"/>
      <c r="UZ768" s="10"/>
      <c r="VA768" s="10"/>
      <c r="VB768" s="10"/>
      <c r="VC768" s="10"/>
      <c r="VD768" s="10"/>
      <c r="VE768" s="10"/>
      <c r="VF768" s="10"/>
      <c r="VG768" s="10"/>
      <c r="VH768" s="10"/>
      <c r="VI768" s="10"/>
      <c r="VJ768" s="10"/>
      <c r="VK768" s="10"/>
      <c r="VL768" s="10"/>
      <c r="VM768" s="10"/>
      <c r="VN768" s="10"/>
      <c r="VO768" s="10"/>
      <c r="VP768" s="10"/>
      <c r="VQ768" s="10"/>
      <c r="VR768" s="10"/>
      <c r="VS768" s="10"/>
      <c r="VT768" s="10"/>
      <c r="VU768" s="10"/>
      <c r="VV768" s="10"/>
      <c r="VW768" s="10"/>
      <c r="VX768" s="10"/>
      <c r="VY768" s="10"/>
      <c r="VZ768" s="10"/>
      <c r="WA768" s="10"/>
      <c r="WB768" s="10"/>
      <c r="WC768" s="10"/>
      <c r="WD768" s="10"/>
      <c r="WE768" s="10"/>
      <c r="WF768" s="10"/>
      <c r="WG768" s="10"/>
      <c r="WH768" s="10"/>
      <c r="WI768" s="10"/>
      <c r="WJ768" s="10"/>
      <c r="WK768" s="10"/>
      <c r="WL768" s="10"/>
      <c r="WM768" s="10"/>
      <c r="WN768" s="10"/>
      <c r="WO768" s="10"/>
      <c r="WP768" s="10"/>
      <c r="WQ768" s="10"/>
      <c r="WR768" s="10"/>
      <c r="WS768" s="10"/>
      <c r="WT768" s="10"/>
      <c r="WU768" s="10"/>
      <c r="WV768" s="10"/>
      <c r="WW768" s="10"/>
      <c r="WX768" s="10"/>
      <c r="WY768" s="10"/>
      <c r="WZ768" s="10"/>
      <c r="XA768" s="10"/>
      <c r="XB768" s="10"/>
      <c r="XC768" s="10"/>
      <c r="XD768" s="10"/>
      <c r="XE768" s="10"/>
      <c r="XF768" s="10"/>
      <c r="XG768" s="10"/>
      <c r="XH768" s="10"/>
      <c r="XI768" s="10"/>
      <c r="XJ768" s="10"/>
      <c r="XK768" s="10"/>
      <c r="XL768" s="10"/>
      <c r="XM768" s="10"/>
      <c r="XN768" s="10"/>
      <c r="XO768" s="10"/>
      <c r="XP768" s="10"/>
      <c r="XQ768" s="10"/>
      <c r="XR768" s="10"/>
      <c r="XS768" s="10"/>
      <c r="XT768" s="10"/>
      <c r="XU768" s="10"/>
      <c r="XV768" s="10"/>
      <c r="XW768" s="10"/>
      <c r="XX768" s="10"/>
      <c r="XY768" s="10"/>
      <c r="XZ768" s="10"/>
      <c r="YA768" s="10"/>
      <c r="YB768" s="10"/>
      <c r="YC768" s="10"/>
      <c r="YD768" s="10"/>
      <c r="YE768" s="10"/>
      <c r="YF768" s="10"/>
      <c r="YG768" s="10"/>
      <c r="YH768" s="10"/>
      <c r="YI768" s="10"/>
      <c r="YJ768" s="10"/>
      <c r="YK768" s="10"/>
      <c r="YL768" s="10"/>
      <c r="YM768" s="10"/>
      <c r="YN768" s="10"/>
      <c r="YO768" s="10"/>
      <c r="YP768" s="10"/>
      <c r="YQ768" s="10"/>
      <c r="YR768" s="10"/>
      <c r="YS768" s="10"/>
      <c r="YT768" s="10"/>
      <c r="YU768" s="10"/>
      <c r="YV768" s="10"/>
      <c r="YW768" s="10"/>
      <c r="YX768" s="10"/>
      <c r="YY768" s="10"/>
      <c r="YZ768" s="10"/>
      <c r="ZA768" s="10"/>
      <c r="ZB768" s="10"/>
      <c r="ZC768" s="10"/>
      <c r="ZD768" s="10"/>
      <c r="ZE768" s="10"/>
      <c r="ZF768" s="10"/>
      <c r="ZG768" s="10"/>
      <c r="ZH768" s="10"/>
      <c r="ZI768" s="10"/>
      <c r="ZJ768" s="10"/>
      <c r="ZK768" s="10"/>
      <c r="ZL768" s="10"/>
      <c r="ZM768" s="10"/>
      <c r="ZN768" s="10"/>
      <c r="ZO768" s="10"/>
      <c r="ZP768" s="10"/>
      <c r="ZQ768" s="10"/>
      <c r="ZR768" s="10"/>
      <c r="ZS768" s="10"/>
      <c r="ZT768" s="10"/>
      <c r="ZU768" s="10"/>
      <c r="ZV768" s="10"/>
      <c r="ZW768" s="10"/>
      <c r="ZX768" s="10"/>
      <c r="ZY768" s="10"/>
      <c r="ZZ768" s="10"/>
      <c r="AAA768" s="10"/>
      <c r="AAB768" s="10"/>
      <c r="AAC768" s="10"/>
      <c r="AAD768" s="10"/>
      <c r="AAE768" s="10"/>
      <c r="AAF768" s="10"/>
      <c r="AAG768" s="10"/>
      <c r="AAH768" s="10"/>
      <c r="AAI768" s="10"/>
      <c r="AAJ768" s="10"/>
      <c r="AAK768" s="10"/>
      <c r="AAL768" s="10"/>
      <c r="AAM768" s="10"/>
      <c r="AAN768" s="10"/>
      <c r="AAO768" s="10"/>
      <c r="AAP768" s="10"/>
      <c r="AAQ768" s="10"/>
      <c r="AAR768" s="10"/>
      <c r="AAS768" s="10"/>
      <c r="AAT768" s="10"/>
      <c r="AAU768" s="10"/>
      <c r="AAV768" s="10"/>
      <c r="AAW768" s="10"/>
      <c r="AAX768" s="10"/>
      <c r="AAY768" s="10"/>
      <c r="AAZ768" s="10"/>
      <c r="ABA768" s="10"/>
      <c r="ABB768" s="10"/>
      <c r="ABC768" s="10"/>
      <c r="ABD768" s="10"/>
      <c r="ABE768" s="10"/>
      <c r="ABF768" s="10"/>
      <c r="ABG768" s="10"/>
      <c r="ABH768" s="10"/>
      <c r="ABI768" s="10"/>
      <c r="ABJ768" s="10"/>
      <c r="ABK768" s="10"/>
      <c r="ABL768" s="10"/>
      <c r="ABM768" s="10"/>
      <c r="ABN768" s="10"/>
      <c r="ABO768" s="10"/>
      <c r="ABP768" s="10"/>
      <c r="ABQ768" s="10"/>
      <c r="ABR768" s="10"/>
      <c r="ABS768" s="10"/>
      <c r="ABT768" s="10"/>
      <c r="ABU768" s="10"/>
      <c r="ABV768" s="10"/>
      <c r="ABW768" s="10"/>
      <c r="ABX768" s="10"/>
      <c r="ABY768" s="10"/>
      <c r="ABZ768" s="10"/>
      <c r="ACA768" s="10"/>
      <c r="ACB768" s="10"/>
      <c r="ACC768" s="10"/>
      <c r="ACD768" s="10"/>
      <c r="ACE768" s="10"/>
      <c r="ACF768" s="10"/>
      <c r="ACG768" s="10"/>
      <c r="ACH768" s="10"/>
      <c r="ACI768" s="10"/>
      <c r="ACJ768" s="10"/>
      <c r="ACK768" s="10"/>
      <c r="ACL768" s="10"/>
      <c r="ACM768" s="10"/>
      <c r="ACN768" s="10"/>
      <c r="ACO768" s="10"/>
      <c r="ACP768" s="10"/>
      <c r="ACQ768" s="10"/>
      <c r="ACR768" s="10"/>
      <c r="ACS768" s="10"/>
      <c r="ACT768" s="10"/>
      <c r="ACU768" s="10"/>
      <c r="ACV768" s="10"/>
      <c r="ACW768" s="10"/>
      <c r="ACX768" s="10"/>
      <c r="ACY768" s="10"/>
      <c r="ACZ768" s="10"/>
      <c r="ADA768" s="10"/>
      <c r="ADB768" s="10"/>
      <c r="ADC768" s="10"/>
      <c r="ADD768" s="10"/>
      <c r="ADE768" s="10"/>
      <c r="ADF768" s="10"/>
      <c r="ADG768" s="10"/>
      <c r="ADH768" s="10"/>
      <c r="ADI768" s="10"/>
      <c r="ADJ768" s="10"/>
      <c r="ADK768" s="10"/>
      <c r="ADL768" s="10"/>
      <c r="ADM768" s="10"/>
      <c r="ADN768" s="10"/>
      <c r="ADO768" s="10"/>
      <c r="ADP768" s="10"/>
      <c r="ADQ768" s="10"/>
      <c r="ADR768" s="10"/>
      <c r="ADS768" s="10"/>
      <c r="ADT768" s="10"/>
      <c r="ADU768" s="10"/>
      <c r="ADV768" s="10"/>
      <c r="ADW768" s="10"/>
      <c r="ADX768" s="10"/>
      <c r="ADY768" s="10"/>
      <c r="ADZ768" s="10"/>
      <c r="AEA768" s="10"/>
      <c r="AEB768" s="10"/>
      <c r="AEC768" s="10"/>
      <c r="AED768" s="10"/>
      <c r="AEE768" s="10"/>
      <c r="AEF768" s="10"/>
      <c r="AEG768" s="10"/>
      <c r="AEH768" s="10"/>
      <c r="AEI768" s="10"/>
      <c r="AEJ768" s="10"/>
      <c r="AEK768" s="10"/>
      <c r="AEL768" s="10"/>
      <c r="AEM768" s="10"/>
      <c r="AEN768" s="10"/>
      <c r="AEO768" s="10"/>
      <c r="AEP768" s="10"/>
      <c r="AEQ768" s="10"/>
      <c r="AER768" s="10"/>
      <c r="AES768" s="10"/>
      <c r="AET768" s="10"/>
      <c r="AEU768" s="10"/>
      <c r="AEV768" s="10"/>
      <c r="AEW768" s="10"/>
      <c r="AEX768" s="10"/>
      <c r="AEY768" s="10"/>
      <c r="AEZ768" s="10"/>
      <c r="AFA768" s="10"/>
      <c r="AFB768" s="10"/>
      <c r="AFC768" s="10"/>
      <c r="AFD768" s="10"/>
      <c r="AFE768" s="10"/>
      <c r="AFF768" s="10"/>
      <c r="AFG768" s="10"/>
      <c r="AFH768" s="10"/>
      <c r="AFI768" s="10"/>
      <c r="AFJ768" s="10"/>
      <c r="AFK768" s="10"/>
      <c r="AFL768" s="10"/>
      <c r="AFM768" s="10"/>
      <c r="AFN768" s="10"/>
      <c r="AFO768" s="10"/>
      <c r="AFP768" s="10"/>
      <c r="AFQ768" s="10"/>
      <c r="AFR768" s="10"/>
      <c r="AFS768" s="10"/>
      <c r="AFT768" s="10"/>
      <c r="AFU768" s="10"/>
      <c r="AFV768" s="10"/>
      <c r="AFW768" s="10"/>
      <c r="AFX768" s="10"/>
      <c r="AFY768" s="10"/>
      <c r="AFZ768" s="10"/>
      <c r="AGA768" s="10"/>
      <c r="AGB768" s="10"/>
      <c r="AGC768" s="10"/>
      <c r="AGD768" s="10"/>
      <c r="AGE768" s="10"/>
      <c r="AGF768" s="10"/>
      <c r="AGG768" s="10"/>
      <c r="AGH768" s="10"/>
      <c r="AGI768" s="10"/>
      <c r="AGJ768" s="10"/>
      <c r="AGK768" s="10"/>
      <c r="AGL768" s="10"/>
      <c r="AGM768" s="10"/>
      <c r="AGN768" s="10"/>
      <c r="AGO768" s="10"/>
      <c r="AGP768" s="10"/>
      <c r="AGQ768" s="10"/>
      <c r="AGR768" s="10"/>
      <c r="AGS768" s="10"/>
      <c r="AGT768" s="10"/>
      <c r="AGU768" s="10"/>
      <c r="AGV768" s="10"/>
      <c r="AGW768" s="10"/>
      <c r="AGX768" s="10"/>
      <c r="AGY768" s="10"/>
      <c r="AGZ768" s="10"/>
      <c r="AHA768" s="10"/>
      <c r="AHB768" s="10"/>
      <c r="AHC768" s="10"/>
      <c r="AHD768" s="10"/>
      <c r="AHE768" s="10"/>
      <c r="AHF768" s="10"/>
      <c r="AHG768" s="10"/>
      <c r="AHH768" s="10"/>
      <c r="AHI768" s="10"/>
      <c r="AHJ768" s="10"/>
      <c r="AHK768" s="10"/>
      <c r="AHL768" s="10"/>
      <c r="AHM768" s="10"/>
      <c r="AHN768" s="10"/>
      <c r="AHO768" s="10"/>
      <c r="AHP768" s="10"/>
      <c r="AHQ768" s="10"/>
      <c r="AHR768" s="10"/>
      <c r="AHS768" s="10"/>
      <c r="AHT768" s="10"/>
      <c r="AHU768" s="10"/>
      <c r="AHV768" s="10"/>
      <c r="AHW768" s="10"/>
      <c r="AHX768" s="10"/>
      <c r="AHY768" s="10"/>
      <c r="AHZ768" s="10"/>
      <c r="AIA768" s="10"/>
      <c r="AIB768" s="10"/>
      <c r="AIC768" s="10"/>
      <c r="AID768" s="10"/>
      <c r="AIE768" s="10"/>
      <c r="AIF768" s="10"/>
      <c r="AIG768" s="10"/>
      <c r="AIH768" s="10"/>
      <c r="AII768" s="10"/>
      <c r="AIJ768" s="10"/>
      <c r="AIK768" s="10"/>
      <c r="AIL768" s="10"/>
      <c r="AIM768" s="10"/>
      <c r="AIN768" s="10"/>
      <c r="AIO768" s="10"/>
      <c r="AIP768" s="10"/>
      <c r="AIQ768" s="10"/>
      <c r="AIR768" s="10"/>
      <c r="AIS768" s="10"/>
      <c r="AIT768" s="10"/>
      <c r="AIU768" s="10"/>
      <c r="AIV768" s="10"/>
      <c r="AIW768" s="10"/>
      <c r="AIX768" s="10"/>
      <c r="AIY768" s="10"/>
      <c r="AIZ768" s="10"/>
      <c r="AJA768" s="10"/>
      <c r="AJB768" s="10"/>
      <c r="AJC768" s="10"/>
      <c r="AJD768" s="10"/>
      <c r="AJE768" s="10"/>
      <c r="AJF768" s="10"/>
      <c r="AJG768" s="10"/>
      <c r="AJH768" s="10"/>
      <c r="AJI768" s="10"/>
      <c r="AJJ768" s="10"/>
      <c r="AJK768" s="10"/>
      <c r="AJL768" s="10"/>
      <c r="AJM768" s="10"/>
      <c r="AJN768" s="10"/>
      <c r="AJO768" s="10"/>
      <c r="AJP768" s="10"/>
      <c r="AJQ768" s="10"/>
      <c r="AJR768" s="10"/>
      <c r="AJS768" s="10"/>
      <c r="AJT768" s="10"/>
      <c r="AJU768" s="10"/>
      <c r="AJV768" s="10"/>
      <c r="AJW768" s="10"/>
      <c r="AJX768" s="10"/>
      <c r="AJY768" s="10"/>
      <c r="AJZ768" s="10"/>
      <c r="AKA768" s="10"/>
      <c r="AKB768" s="10"/>
      <c r="AKC768" s="10"/>
      <c r="AKD768" s="10"/>
      <c r="AKE768" s="10"/>
      <c r="AKF768" s="10"/>
      <c r="AKG768" s="10"/>
      <c r="AKH768" s="10"/>
      <c r="AKI768" s="10"/>
      <c r="AKJ768" s="10"/>
      <c r="AKK768" s="10"/>
      <c r="AKL768" s="10"/>
      <c r="AKM768" s="10"/>
      <c r="AKN768" s="10"/>
      <c r="AKO768" s="10"/>
      <c r="AKP768" s="10"/>
      <c r="AKQ768" s="10"/>
      <c r="AKR768" s="10"/>
      <c r="AKS768" s="10"/>
      <c r="AKT768" s="10"/>
      <c r="AKU768" s="10"/>
      <c r="AKV768" s="10"/>
      <c r="AKW768" s="10"/>
      <c r="AKX768" s="10"/>
      <c r="AKY768" s="10"/>
      <c r="AKZ768" s="10"/>
      <c r="ALA768" s="10"/>
      <c r="ALB768" s="10"/>
      <c r="ALC768" s="10"/>
      <c r="ALD768" s="10"/>
      <c r="ALE768" s="10"/>
      <c r="ALF768" s="10"/>
      <c r="ALG768" s="10"/>
      <c r="ALH768" s="10"/>
      <c r="ALI768" s="10"/>
      <c r="ALJ768" s="10"/>
      <c r="ALK768" s="10"/>
      <c r="ALL768" s="10"/>
      <c r="ALM768" s="10"/>
      <c r="ALN768" s="10"/>
      <c r="ALO768" s="10"/>
      <c r="ALP768" s="10"/>
      <c r="ALQ768" s="10"/>
      <c r="ALR768" s="10"/>
      <c r="ALS768" s="10"/>
      <c r="ALT768" s="10"/>
      <c r="ALU768" s="10"/>
      <c r="ALV768" s="10"/>
      <c r="ALW768" s="10"/>
      <c r="ALX768" s="10"/>
      <c r="ALY768" s="10"/>
      <c r="ALZ768" s="10"/>
      <c r="AMA768" s="10"/>
      <c r="AMB768" s="10"/>
      <c r="AMC768" s="10"/>
      <c r="AMD768" s="10"/>
      <c r="AME768" s="10"/>
      <c r="AMF768" s="10"/>
      <c r="AMG768" s="10"/>
      <c r="AMH768" s="10"/>
      <c r="AMI768" s="10"/>
      <c r="AMJ768" s="10"/>
      <c r="AMK768" s="10"/>
      <c r="AML768" s="10"/>
      <c r="AMM768" s="10"/>
      <c r="AMN768" s="10"/>
      <c r="AMO768" s="10"/>
      <c r="AMP768" s="10"/>
      <c r="AMQ768" s="10"/>
      <c r="AMR768" s="10"/>
      <c r="AMS768" s="10"/>
      <c r="AMT768" s="10"/>
      <c r="AMU768" s="10"/>
      <c r="AMV768" s="10"/>
      <c r="AMW768" s="10"/>
      <c r="AMX768" s="10"/>
      <c r="AMY768" s="10"/>
      <c r="AMZ768" s="10"/>
      <c r="ANA768" s="10"/>
      <c r="ANB768" s="10"/>
      <c r="ANC768" s="10"/>
      <c r="AND768" s="10"/>
      <c r="ANE768" s="10"/>
      <c r="ANF768" s="10"/>
      <c r="ANG768" s="10"/>
      <c r="ANH768" s="10"/>
      <c r="ANI768" s="10"/>
      <c r="ANJ768" s="10"/>
      <c r="ANK768" s="10"/>
      <c r="ANL768" s="10"/>
      <c r="ANM768" s="10"/>
      <c r="ANN768" s="10"/>
      <c r="ANO768" s="10"/>
      <c r="ANP768" s="10"/>
      <c r="ANQ768" s="10"/>
      <c r="ANR768" s="10"/>
      <c r="ANS768" s="10"/>
      <c r="ANT768" s="10"/>
      <c r="ANU768" s="10"/>
      <c r="ANV768" s="10"/>
      <c r="ANW768" s="10"/>
      <c r="ANX768" s="10"/>
      <c r="ANY768" s="10"/>
      <c r="ANZ768" s="10"/>
      <c r="AOA768" s="10"/>
      <c r="AOB768" s="10"/>
      <c r="AOC768" s="10"/>
      <c r="AOD768" s="10"/>
      <c r="AOE768" s="10"/>
      <c r="AOF768" s="10"/>
      <c r="AOG768" s="10"/>
      <c r="AOH768" s="10"/>
      <c r="AOI768" s="10"/>
      <c r="AOJ768" s="10"/>
      <c r="AOK768" s="10"/>
      <c r="AOL768" s="10"/>
      <c r="AOM768" s="10"/>
      <c r="AON768" s="10"/>
      <c r="AOO768" s="10"/>
      <c r="AOP768" s="10"/>
      <c r="AOQ768" s="10"/>
      <c r="AOR768" s="10"/>
      <c r="AOS768" s="10"/>
      <c r="AOT768" s="10"/>
      <c r="AOU768" s="10"/>
      <c r="AOV768" s="10"/>
      <c r="AOW768" s="10"/>
      <c r="AOX768" s="10"/>
      <c r="AOY768" s="10"/>
      <c r="AOZ768" s="10"/>
      <c r="APA768" s="10"/>
      <c r="APB768" s="10"/>
      <c r="APC768" s="10"/>
      <c r="APD768" s="10"/>
      <c r="APE768" s="10"/>
      <c r="APF768" s="10"/>
      <c r="APG768" s="10"/>
      <c r="APH768" s="10"/>
      <c r="API768" s="10"/>
      <c r="APJ768" s="10"/>
      <c r="APK768" s="10"/>
      <c r="APL768" s="10"/>
      <c r="APM768" s="10"/>
      <c r="APN768" s="10"/>
      <c r="APO768" s="10"/>
      <c r="APP768" s="10"/>
      <c r="APQ768" s="10"/>
      <c r="APR768" s="10"/>
      <c r="APS768" s="10"/>
      <c r="APT768" s="10"/>
      <c r="APU768" s="10"/>
      <c r="APV768" s="10"/>
      <c r="APW768" s="10"/>
      <c r="APX768" s="10"/>
      <c r="APY768" s="10"/>
      <c r="APZ768" s="10"/>
      <c r="AQA768" s="10"/>
      <c r="AQB768" s="10"/>
      <c r="AQC768" s="10"/>
      <c r="AQD768" s="10"/>
      <c r="AQE768" s="10"/>
      <c r="AQF768" s="10"/>
      <c r="AQG768" s="10"/>
      <c r="AQH768" s="10"/>
      <c r="AQI768" s="10"/>
      <c r="AQJ768" s="10"/>
      <c r="AQK768" s="10"/>
      <c r="AQL768" s="10"/>
      <c r="AQM768" s="10"/>
      <c r="AQN768" s="10"/>
      <c r="AQO768" s="10"/>
      <c r="AQP768" s="10"/>
      <c r="AQQ768" s="10"/>
      <c r="AQR768" s="10"/>
      <c r="AQS768" s="10"/>
      <c r="AQT768" s="10"/>
      <c r="AQU768" s="10"/>
      <c r="AQV768" s="10"/>
      <c r="AQW768" s="10"/>
      <c r="AQX768" s="10"/>
      <c r="AQY768" s="10"/>
      <c r="AQZ768" s="10"/>
      <c r="ARA768" s="10"/>
      <c r="ARB768" s="10"/>
      <c r="ARC768" s="10"/>
      <c r="ARD768" s="10"/>
      <c r="ARE768" s="10"/>
      <c r="ARF768" s="10"/>
      <c r="ARG768" s="10"/>
      <c r="ARH768" s="10"/>
      <c r="ARI768" s="10"/>
      <c r="ARJ768" s="10"/>
      <c r="ARK768" s="10"/>
      <c r="ARL768" s="10"/>
      <c r="ARM768" s="10"/>
      <c r="ARN768" s="10"/>
      <c r="ARO768" s="10"/>
      <c r="ARP768" s="10"/>
      <c r="ARQ768" s="10"/>
      <c r="ARR768" s="10"/>
      <c r="ARS768" s="10"/>
      <c r="ART768" s="10"/>
      <c r="ARU768" s="10"/>
      <c r="ARV768" s="10"/>
      <c r="ARW768" s="10"/>
      <c r="ARX768" s="10"/>
      <c r="ARY768" s="10"/>
      <c r="ARZ768" s="10"/>
      <c r="ASA768" s="10"/>
      <c r="ASB768" s="10"/>
      <c r="ASC768" s="10"/>
      <c r="ASD768" s="10"/>
      <c r="ASE768" s="10"/>
      <c r="ASF768" s="10"/>
      <c r="ASG768" s="10"/>
      <c r="ASH768" s="10"/>
      <c r="ASI768" s="10"/>
      <c r="ASJ768" s="10"/>
      <c r="ASK768" s="10"/>
      <c r="ASL768" s="10"/>
      <c r="ASM768" s="10"/>
      <c r="ASN768" s="10"/>
      <c r="ASO768" s="10"/>
      <c r="ASP768" s="10"/>
      <c r="ASQ768" s="10"/>
      <c r="ASR768" s="10"/>
      <c r="ASS768" s="10"/>
      <c r="AST768" s="10"/>
      <c r="ASU768" s="10"/>
      <c r="ASV768" s="10"/>
      <c r="ASW768" s="10"/>
      <c r="ASX768" s="10"/>
      <c r="ASY768" s="10"/>
      <c r="ASZ768" s="10"/>
      <c r="ATA768" s="10"/>
      <c r="ATB768" s="10"/>
      <c r="ATC768" s="10"/>
      <c r="ATD768" s="10"/>
      <c r="ATE768" s="10"/>
      <c r="ATF768" s="10"/>
      <c r="ATG768" s="10"/>
      <c r="ATH768" s="10"/>
      <c r="ATI768" s="10"/>
      <c r="ATJ768" s="10"/>
      <c r="ATK768" s="10"/>
      <c r="ATL768" s="10"/>
      <c r="ATM768" s="10"/>
      <c r="ATN768" s="10"/>
      <c r="ATO768" s="10"/>
      <c r="ATP768" s="10"/>
      <c r="ATQ768" s="10"/>
      <c r="ATR768" s="10"/>
      <c r="ATS768" s="10"/>
      <c r="ATT768" s="10"/>
      <c r="ATU768" s="10"/>
      <c r="ATV768" s="10"/>
      <c r="ATW768" s="10"/>
      <c r="ATX768" s="10"/>
      <c r="ATY768" s="10"/>
      <c r="ATZ768" s="10"/>
      <c r="AUA768" s="10"/>
      <c r="AUB768" s="10"/>
      <c r="AUC768" s="10"/>
      <c r="AUD768" s="10"/>
      <c r="AUE768" s="10"/>
      <c r="AUF768" s="10"/>
      <c r="AUG768" s="10"/>
      <c r="AUH768" s="10"/>
      <c r="AUI768" s="10"/>
      <c r="AUJ768" s="10"/>
      <c r="AUK768" s="10"/>
      <c r="AUL768" s="10"/>
      <c r="AUM768" s="10"/>
      <c r="AUN768" s="10"/>
      <c r="AUO768" s="10"/>
      <c r="AUP768" s="10"/>
      <c r="AUQ768" s="10"/>
      <c r="AUR768" s="10"/>
      <c r="AUS768" s="10"/>
      <c r="AUT768" s="10"/>
      <c r="AUU768" s="10"/>
      <c r="AUV768" s="10"/>
      <c r="AUW768" s="10"/>
      <c r="AUX768" s="10"/>
      <c r="AUY768" s="10"/>
      <c r="AUZ768" s="10"/>
      <c r="AVA768" s="10"/>
      <c r="AVB768" s="10"/>
      <c r="AVC768" s="10"/>
      <c r="AVD768" s="10"/>
      <c r="AVE768" s="10"/>
      <c r="AVF768" s="10"/>
      <c r="AVG768" s="10"/>
      <c r="AVH768" s="10"/>
      <c r="AVI768" s="10"/>
      <c r="AVJ768" s="10"/>
      <c r="AVK768" s="10"/>
      <c r="AVL768" s="10"/>
      <c r="AVM768" s="10"/>
      <c r="AVN768" s="10"/>
      <c r="AVO768" s="10"/>
      <c r="AVP768" s="10"/>
      <c r="AVQ768" s="10"/>
      <c r="AVR768" s="10"/>
      <c r="AVS768" s="10"/>
      <c r="AVT768" s="10"/>
      <c r="AVU768" s="10"/>
      <c r="AVV768" s="10"/>
      <c r="AVW768" s="10"/>
      <c r="AVX768" s="10"/>
      <c r="AVY768" s="10"/>
      <c r="AVZ768" s="10"/>
      <c r="AWA768" s="10"/>
      <c r="AWB768" s="10"/>
      <c r="AWC768" s="10"/>
      <c r="AWD768" s="10"/>
      <c r="AWE768" s="10"/>
      <c r="AWF768" s="10"/>
      <c r="AWG768" s="10"/>
      <c r="AWH768" s="10"/>
      <c r="AWI768" s="10"/>
      <c r="AWJ768" s="10"/>
      <c r="AWK768" s="10"/>
      <c r="AWL768" s="10"/>
      <c r="AWM768" s="10"/>
      <c r="AWN768" s="10"/>
      <c r="AWO768" s="10"/>
      <c r="AWP768" s="10"/>
      <c r="AWQ768" s="10"/>
      <c r="AWR768" s="10"/>
      <c r="AWS768" s="10"/>
      <c r="AWT768" s="10"/>
      <c r="AWU768" s="10"/>
      <c r="AWV768" s="10"/>
      <c r="AWW768" s="10"/>
      <c r="AWX768" s="10"/>
      <c r="AWY768" s="10"/>
      <c r="AWZ768" s="10"/>
      <c r="AXA768" s="10"/>
      <c r="AXB768" s="10"/>
      <c r="AXC768" s="10"/>
      <c r="AXD768" s="10"/>
      <c r="AXE768" s="10"/>
      <c r="AXF768" s="10"/>
      <c r="AXG768" s="10"/>
      <c r="AXH768" s="10"/>
      <c r="AXI768" s="10"/>
      <c r="AXJ768" s="10"/>
      <c r="AXK768" s="10"/>
      <c r="AXL768" s="10"/>
      <c r="AXM768" s="10"/>
      <c r="AXN768" s="10"/>
      <c r="AXO768" s="10"/>
      <c r="AXP768" s="10"/>
      <c r="AXQ768" s="10"/>
      <c r="AXR768" s="10"/>
      <c r="AXS768" s="10"/>
      <c r="AXT768" s="10"/>
      <c r="AXU768" s="10"/>
      <c r="AXV768" s="10"/>
      <c r="AXW768" s="10"/>
      <c r="AXX768" s="10"/>
      <c r="AXY768" s="10"/>
      <c r="AXZ768" s="10"/>
      <c r="AYA768" s="10"/>
      <c r="AYB768" s="10"/>
      <c r="AYC768" s="10"/>
      <c r="AYD768" s="10"/>
      <c r="AYE768" s="10"/>
      <c r="AYF768" s="10"/>
      <c r="AYG768" s="10"/>
      <c r="AYH768" s="10"/>
      <c r="AYI768" s="10"/>
      <c r="AYJ768" s="10"/>
      <c r="AYK768" s="10"/>
      <c r="AYL768" s="10"/>
      <c r="AYM768" s="10"/>
      <c r="AYN768" s="10"/>
      <c r="AYO768" s="10"/>
      <c r="AYP768" s="10"/>
      <c r="AYQ768" s="10"/>
      <c r="AYR768" s="10"/>
      <c r="AYS768" s="10"/>
      <c r="AYT768" s="10"/>
      <c r="AYU768" s="10"/>
      <c r="AYV768" s="10"/>
      <c r="AYW768" s="10"/>
      <c r="AYX768" s="10"/>
      <c r="AYY768" s="10"/>
      <c r="AYZ768" s="10"/>
      <c r="AZA768" s="10"/>
      <c r="AZB768" s="10"/>
      <c r="AZC768" s="10"/>
      <c r="AZD768" s="10"/>
      <c r="AZE768" s="10"/>
      <c r="AZF768" s="10"/>
      <c r="AZG768" s="10"/>
      <c r="AZH768" s="10"/>
      <c r="AZI768" s="10"/>
      <c r="AZJ768" s="10"/>
      <c r="AZK768" s="10"/>
      <c r="AZL768" s="10"/>
      <c r="AZM768" s="10"/>
      <c r="AZN768" s="10"/>
      <c r="AZO768" s="10"/>
      <c r="AZP768" s="10"/>
      <c r="AZQ768" s="10"/>
      <c r="AZR768" s="10"/>
      <c r="AZS768" s="10"/>
      <c r="AZT768" s="10"/>
      <c r="AZU768" s="10"/>
      <c r="AZV768" s="10"/>
      <c r="AZW768" s="10"/>
      <c r="AZX768" s="10"/>
      <c r="AZY768" s="10"/>
      <c r="AZZ768" s="10"/>
      <c r="BAA768" s="10"/>
      <c r="BAB768" s="10"/>
      <c r="BAC768" s="10"/>
      <c r="BAD768" s="10"/>
      <c r="BAE768" s="10"/>
      <c r="BAF768" s="10"/>
      <c r="BAG768" s="10"/>
      <c r="BAH768" s="10"/>
      <c r="BAI768" s="10"/>
      <c r="BAJ768" s="10"/>
      <c r="BAK768" s="10"/>
      <c r="BAL768" s="10"/>
      <c r="BAM768" s="10"/>
      <c r="BAN768" s="10"/>
      <c r="BAO768" s="10"/>
      <c r="BAP768" s="10"/>
      <c r="BAQ768" s="10"/>
      <c r="BAR768" s="10"/>
      <c r="BAS768" s="10"/>
      <c r="BAT768" s="10"/>
      <c r="BAU768" s="10"/>
      <c r="BAV768" s="10"/>
      <c r="BAW768" s="10"/>
      <c r="BAX768" s="10"/>
      <c r="BAY768" s="10"/>
      <c r="BAZ768" s="10"/>
      <c r="BBA768" s="10"/>
      <c r="BBB768" s="10"/>
      <c r="BBC768" s="10"/>
      <c r="BBD768" s="10"/>
      <c r="BBE768" s="10"/>
      <c r="BBF768" s="10"/>
      <c r="BBG768" s="10"/>
      <c r="BBH768" s="10"/>
      <c r="BBI768" s="10"/>
      <c r="BBJ768" s="10"/>
      <c r="BBK768" s="10"/>
      <c r="BBL768" s="10"/>
      <c r="BBM768" s="10"/>
      <c r="BBN768" s="10"/>
      <c r="BBO768" s="10"/>
      <c r="BBP768" s="10"/>
      <c r="BBQ768" s="10"/>
      <c r="BBR768" s="10"/>
      <c r="BBS768" s="10"/>
      <c r="BBT768" s="10"/>
      <c r="BBU768" s="10"/>
      <c r="BBV768" s="10"/>
      <c r="BBW768" s="10"/>
      <c r="BBX768" s="10"/>
      <c r="BBY768" s="10"/>
      <c r="BBZ768" s="10"/>
      <c r="BCA768" s="10"/>
      <c r="BCB768" s="10"/>
      <c r="BCC768" s="10"/>
      <c r="BCD768" s="10"/>
      <c r="BCE768" s="10"/>
      <c r="BCF768" s="10"/>
      <c r="BCG768" s="10"/>
      <c r="BCH768" s="10"/>
      <c r="BCI768" s="10"/>
      <c r="BCJ768" s="10"/>
      <c r="BCK768" s="10"/>
      <c r="BCL768" s="10"/>
      <c r="BCM768" s="10"/>
      <c r="BCN768" s="10"/>
      <c r="BCO768" s="10"/>
      <c r="BCP768" s="10"/>
      <c r="BCQ768" s="10"/>
      <c r="BCR768" s="10"/>
      <c r="BCS768" s="10"/>
      <c r="BCT768" s="10"/>
      <c r="BCU768" s="10"/>
      <c r="BCV768" s="10"/>
      <c r="BCW768" s="10"/>
      <c r="BCX768" s="10"/>
      <c r="BCY768" s="10"/>
      <c r="BCZ768" s="10"/>
      <c r="BDA768" s="10"/>
      <c r="BDB768" s="10"/>
      <c r="BDC768" s="10"/>
      <c r="BDD768" s="10"/>
      <c r="BDE768" s="10"/>
      <c r="BDF768" s="10"/>
      <c r="BDG768" s="10"/>
      <c r="BDH768" s="10"/>
      <c r="BDI768" s="10"/>
      <c r="BDJ768" s="10"/>
      <c r="BDK768" s="10"/>
      <c r="BDL768" s="10"/>
      <c r="BDM768" s="10"/>
      <c r="BDN768" s="10"/>
      <c r="BDO768" s="10"/>
      <c r="BDP768" s="10"/>
      <c r="BDQ768" s="10"/>
      <c r="BDR768" s="10"/>
      <c r="BDS768" s="10"/>
      <c r="BDT768" s="10"/>
      <c r="BDU768" s="10"/>
      <c r="BDV768" s="10"/>
      <c r="BDW768" s="10"/>
      <c r="BDX768" s="10"/>
      <c r="BDY768" s="10"/>
      <c r="BDZ768" s="10"/>
      <c r="BEA768" s="10"/>
      <c r="BEB768" s="10"/>
      <c r="BEC768" s="10"/>
      <c r="BED768" s="10"/>
      <c r="BEE768" s="10"/>
      <c r="BEF768" s="10"/>
      <c r="BEG768" s="10"/>
      <c r="BEH768" s="10"/>
      <c r="BEI768" s="10"/>
      <c r="BEJ768" s="10"/>
      <c r="BEK768" s="10"/>
      <c r="BEL768" s="10"/>
      <c r="BEM768" s="10"/>
      <c r="BEN768" s="10"/>
      <c r="BEO768" s="10"/>
      <c r="BEP768" s="10"/>
      <c r="BEQ768" s="10"/>
      <c r="BER768" s="10"/>
      <c r="BES768" s="10"/>
      <c r="BET768" s="10"/>
      <c r="BEU768" s="10"/>
      <c r="BEV768" s="10"/>
      <c r="BEW768" s="10"/>
      <c r="BEX768" s="10"/>
      <c r="BEY768" s="10"/>
      <c r="BEZ768" s="10"/>
      <c r="BFA768" s="10"/>
      <c r="BFB768" s="10"/>
      <c r="BFC768" s="10"/>
      <c r="BFD768" s="10"/>
      <c r="BFE768" s="10"/>
      <c r="BFF768" s="10"/>
      <c r="BFG768" s="10"/>
      <c r="BFH768" s="10"/>
      <c r="BFI768" s="10"/>
      <c r="BFJ768" s="10"/>
      <c r="BFK768" s="10"/>
      <c r="BFL768" s="10"/>
      <c r="BFM768" s="10"/>
      <c r="BFN768" s="10"/>
      <c r="BFO768" s="10"/>
      <c r="BFP768" s="10"/>
      <c r="BFQ768" s="10"/>
      <c r="BFR768" s="10"/>
      <c r="BFS768" s="10"/>
      <c r="BFT768" s="10"/>
      <c r="BFU768" s="10"/>
      <c r="BFV768" s="10"/>
      <c r="BFW768" s="10"/>
      <c r="BFX768" s="10"/>
      <c r="BFY768" s="10"/>
      <c r="BFZ768" s="10"/>
      <c r="BGA768" s="10"/>
      <c r="BGB768" s="10"/>
      <c r="BGC768" s="10"/>
      <c r="BGD768" s="10"/>
      <c r="BGE768" s="10"/>
      <c r="BGF768" s="10"/>
      <c r="BGG768" s="10"/>
      <c r="BGH768" s="10"/>
      <c r="BGI768" s="10"/>
      <c r="BGJ768" s="10"/>
      <c r="BGK768" s="10"/>
      <c r="BGL768" s="10"/>
      <c r="BGM768" s="10"/>
      <c r="BGN768" s="10"/>
      <c r="BGO768" s="10"/>
      <c r="BGP768" s="10"/>
      <c r="BGQ768" s="10"/>
      <c r="BGR768" s="10"/>
      <c r="BGS768" s="10"/>
      <c r="BGT768" s="10"/>
      <c r="BGU768" s="10"/>
      <c r="BGV768" s="10"/>
      <c r="BGW768" s="10"/>
      <c r="BGX768" s="10"/>
      <c r="BGY768" s="10"/>
      <c r="BGZ768" s="10"/>
      <c r="BHA768" s="10"/>
      <c r="BHB768" s="10"/>
      <c r="BHC768" s="10"/>
      <c r="BHD768" s="10"/>
      <c r="BHE768" s="10"/>
      <c r="BHF768" s="10"/>
      <c r="BHG768" s="10"/>
      <c r="BHH768" s="10"/>
      <c r="BHI768" s="10"/>
      <c r="BHJ768" s="10"/>
      <c r="BHK768" s="10"/>
      <c r="BHL768" s="10"/>
      <c r="BHM768" s="10"/>
      <c r="BHN768" s="10"/>
      <c r="BHO768" s="10"/>
      <c r="BHP768" s="10"/>
      <c r="BHQ768" s="10"/>
      <c r="BHR768" s="10"/>
      <c r="BHS768" s="10"/>
      <c r="BHT768" s="10"/>
      <c r="BHU768" s="10"/>
      <c r="BHV768" s="10"/>
      <c r="BHW768" s="10"/>
      <c r="BHX768" s="10"/>
      <c r="BHY768" s="10"/>
      <c r="BHZ768" s="10"/>
      <c r="BIA768" s="10"/>
      <c r="BIB768" s="10"/>
      <c r="BIC768" s="10"/>
      <c r="BID768" s="10"/>
      <c r="BIE768" s="10"/>
      <c r="BIF768" s="10"/>
      <c r="BIG768" s="10"/>
      <c r="BIH768" s="10"/>
      <c r="BII768" s="10"/>
      <c r="BIJ768" s="10"/>
      <c r="BIK768" s="10"/>
      <c r="BIL768" s="10"/>
      <c r="BIM768" s="10"/>
      <c r="BIN768" s="10"/>
      <c r="BIO768" s="10"/>
      <c r="BIP768" s="10"/>
      <c r="BIQ768" s="10"/>
      <c r="BIR768" s="10"/>
      <c r="BIS768" s="10"/>
      <c r="BIT768" s="10"/>
      <c r="BIU768" s="10"/>
      <c r="BIV768" s="10"/>
      <c r="BIW768" s="10"/>
      <c r="BIX768" s="10"/>
      <c r="BIY768" s="10"/>
      <c r="BIZ768" s="10"/>
      <c r="BJA768" s="10"/>
      <c r="BJB768" s="10"/>
      <c r="BJC768" s="10"/>
      <c r="BJD768" s="10"/>
      <c r="BJE768" s="10"/>
      <c r="BJF768" s="10"/>
      <c r="BJG768" s="10"/>
      <c r="BJH768" s="10"/>
      <c r="BJI768" s="10"/>
      <c r="BJJ768" s="10"/>
      <c r="BJK768" s="10"/>
      <c r="BJL768" s="10"/>
      <c r="BJM768" s="10"/>
      <c r="BJN768" s="10"/>
      <c r="BJO768" s="10"/>
      <c r="BJP768" s="10"/>
      <c r="BJQ768" s="10"/>
      <c r="BJR768" s="10"/>
      <c r="BJS768" s="10"/>
      <c r="BJT768" s="10"/>
      <c r="BJU768" s="10"/>
      <c r="BJV768" s="10"/>
      <c r="BJW768" s="10"/>
      <c r="BJX768" s="10"/>
      <c r="BJY768" s="10"/>
      <c r="BJZ768" s="10"/>
      <c r="BKA768" s="10"/>
      <c r="BKB768" s="10"/>
      <c r="BKC768" s="10"/>
      <c r="BKD768" s="10"/>
      <c r="BKE768" s="10"/>
      <c r="BKF768" s="10"/>
      <c r="BKG768" s="10"/>
      <c r="BKH768" s="10"/>
      <c r="BKI768" s="10"/>
      <c r="BKJ768" s="10"/>
      <c r="BKK768" s="10"/>
      <c r="BKL768" s="10"/>
      <c r="BKM768" s="10"/>
      <c r="BKN768" s="10"/>
      <c r="BKO768" s="10"/>
      <c r="BKP768" s="10"/>
      <c r="BKQ768" s="10"/>
      <c r="BKR768" s="10"/>
      <c r="BKS768" s="10"/>
      <c r="BKT768" s="10"/>
      <c r="BKU768" s="10"/>
      <c r="BKV768" s="10"/>
      <c r="BKW768" s="10"/>
      <c r="BKX768" s="10"/>
      <c r="BKY768" s="10"/>
      <c r="BKZ768" s="10"/>
      <c r="BLA768" s="10"/>
      <c r="BLB768" s="10"/>
      <c r="BLC768" s="10"/>
      <c r="BLD768" s="10"/>
      <c r="BLE768" s="10"/>
      <c r="BLF768" s="10"/>
      <c r="BLG768" s="10"/>
      <c r="BLH768" s="10"/>
      <c r="BLI768" s="10"/>
      <c r="BLJ768" s="10"/>
      <c r="BLK768" s="10"/>
      <c r="BLL768" s="10"/>
      <c r="BLM768" s="10"/>
      <c r="BLN768" s="10"/>
      <c r="BLO768" s="10"/>
      <c r="BLP768" s="10"/>
      <c r="BLQ768" s="10"/>
      <c r="BLR768" s="10"/>
      <c r="BLS768" s="10"/>
      <c r="BLT768" s="10"/>
      <c r="BLU768" s="10"/>
      <c r="BLV768" s="10"/>
      <c r="BLW768" s="10"/>
      <c r="BLX768" s="10"/>
      <c r="BLY768" s="10"/>
      <c r="BLZ768" s="10"/>
      <c r="BMA768" s="10"/>
      <c r="BMB768" s="10"/>
      <c r="BMC768" s="10"/>
      <c r="BMD768" s="10"/>
      <c r="BME768" s="10"/>
      <c r="BMF768" s="10"/>
      <c r="BMG768" s="10"/>
      <c r="BMH768" s="10"/>
      <c r="BMI768" s="10"/>
      <c r="BMJ768" s="10"/>
      <c r="BMK768" s="10"/>
      <c r="BML768" s="10"/>
      <c r="BMM768" s="10"/>
      <c r="BMN768" s="10"/>
      <c r="BMO768" s="10"/>
      <c r="BMP768" s="10"/>
      <c r="BMQ768" s="10"/>
      <c r="BMR768" s="10"/>
      <c r="BMS768" s="10"/>
      <c r="BMT768" s="10"/>
      <c r="BMU768" s="10"/>
      <c r="BMV768" s="10"/>
      <c r="BMW768" s="10"/>
      <c r="BMX768" s="10"/>
      <c r="BMY768" s="10"/>
      <c r="BMZ768" s="10"/>
      <c r="BNA768" s="10"/>
      <c r="BNB768" s="10"/>
      <c r="BNC768" s="10"/>
      <c r="BND768" s="10"/>
      <c r="BNE768" s="10"/>
      <c r="BNF768" s="10"/>
      <c r="BNG768" s="10"/>
      <c r="BNH768" s="10"/>
      <c r="BNI768" s="10"/>
      <c r="BNJ768" s="10"/>
      <c r="BNK768" s="10"/>
      <c r="BNL768" s="10"/>
      <c r="BNM768" s="10"/>
      <c r="BNN768" s="10"/>
      <c r="BNO768" s="10"/>
      <c r="BNP768" s="10"/>
      <c r="BNQ768" s="10"/>
      <c r="BNR768" s="10"/>
      <c r="BNS768" s="10"/>
      <c r="BNT768" s="10"/>
      <c r="BNU768" s="10"/>
      <c r="BNV768" s="10"/>
      <c r="BNW768" s="10"/>
      <c r="BNX768" s="10"/>
      <c r="BNY768" s="10"/>
      <c r="BNZ768" s="10"/>
      <c r="BOA768" s="10"/>
      <c r="BOB768" s="10"/>
      <c r="BOC768" s="10"/>
      <c r="BOD768" s="10"/>
      <c r="BOE768" s="10"/>
      <c r="BOF768" s="10"/>
      <c r="BOG768" s="10"/>
      <c r="BOH768" s="10"/>
      <c r="BOI768" s="10"/>
      <c r="BOJ768" s="10"/>
      <c r="BOK768" s="10"/>
      <c r="BOL768" s="10"/>
      <c r="BOM768" s="10"/>
      <c r="BON768" s="10"/>
      <c r="BOO768" s="10"/>
      <c r="BOP768" s="10"/>
      <c r="BOQ768" s="10"/>
      <c r="BOR768" s="10"/>
      <c r="BOS768" s="10"/>
      <c r="BOT768" s="10"/>
      <c r="BOU768" s="10"/>
      <c r="BOV768" s="10"/>
      <c r="BOW768" s="10"/>
      <c r="BOX768" s="10"/>
      <c r="BOY768" s="10"/>
      <c r="BOZ768" s="10"/>
      <c r="BPA768" s="10"/>
      <c r="BPB768" s="10"/>
      <c r="BPC768" s="10"/>
      <c r="BPD768" s="10"/>
      <c r="BPE768" s="10"/>
      <c r="BPF768" s="10"/>
      <c r="BPG768" s="10"/>
      <c r="BPH768" s="10"/>
      <c r="BPI768" s="10"/>
      <c r="BPJ768" s="10"/>
      <c r="BPK768" s="10"/>
      <c r="BPL768" s="10"/>
      <c r="BPM768" s="10"/>
      <c r="BPN768" s="10"/>
      <c r="BPO768" s="10"/>
      <c r="BPP768" s="10"/>
      <c r="BPQ768" s="10"/>
      <c r="BPR768" s="10"/>
      <c r="BPS768" s="10"/>
      <c r="BPT768" s="10"/>
      <c r="BPU768" s="10"/>
      <c r="BPV768" s="10"/>
      <c r="BPW768" s="10"/>
      <c r="BPX768" s="10"/>
      <c r="BPY768" s="10"/>
      <c r="BPZ768" s="10"/>
      <c r="BQA768" s="10"/>
      <c r="BQB768" s="10"/>
      <c r="BQC768" s="10"/>
      <c r="BQD768" s="10"/>
      <c r="BQE768" s="10"/>
      <c r="BQF768" s="10"/>
      <c r="BQG768" s="10"/>
      <c r="BQH768" s="10"/>
      <c r="BQI768" s="10"/>
      <c r="BQJ768" s="10"/>
      <c r="BQK768" s="10"/>
      <c r="BQL768" s="10"/>
      <c r="BQM768" s="10"/>
      <c r="BQN768" s="10"/>
      <c r="BQO768" s="10"/>
      <c r="BQP768" s="10"/>
      <c r="BQQ768" s="10"/>
      <c r="BQR768" s="10"/>
      <c r="BQS768" s="10"/>
      <c r="BQT768" s="10"/>
      <c r="BQU768" s="10"/>
      <c r="BQV768" s="10"/>
      <c r="BQW768" s="10"/>
      <c r="BQX768" s="10"/>
      <c r="BQY768" s="10"/>
      <c r="BQZ768" s="10"/>
      <c r="BRA768" s="10"/>
      <c r="BRB768" s="10"/>
      <c r="BRC768" s="10"/>
      <c r="BRD768" s="10"/>
      <c r="BRE768" s="10"/>
      <c r="BRF768" s="10"/>
      <c r="BRG768" s="10"/>
      <c r="BRH768" s="10"/>
      <c r="BRI768" s="10"/>
      <c r="BRJ768" s="10"/>
      <c r="BRK768" s="10"/>
      <c r="BRL768" s="10"/>
      <c r="BRM768" s="10"/>
      <c r="BRN768" s="10"/>
      <c r="BRO768" s="10"/>
      <c r="BRP768" s="10"/>
      <c r="BRQ768" s="10"/>
      <c r="BRR768" s="10"/>
      <c r="BRS768" s="10"/>
      <c r="BRT768" s="10"/>
      <c r="BRU768" s="10"/>
      <c r="BRV768" s="10"/>
      <c r="BRW768" s="10"/>
      <c r="BRX768" s="10"/>
      <c r="BRY768" s="10"/>
      <c r="BRZ768" s="10"/>
      <c r="BSA768" s="10"/>
      <c r="BSB768" s="10"/>
      <c r="BSC768" s="10"/>
      <c r="BSD768" s="10"/>
      <c r="BSE768" s="10"/>
      <c r="BSF768" s="10"/>
      <c r="BSG768" s="10"/>
      <c r="BSH768" s="10"/>
      <c r="BSI768" s="10"/>
      <c r="BSJ768" s="10"/>
      <c r="BSK768" s="10"/>
      <c r="BSL768" s="10"/>
      <c r="BSM768" s="10"/>
      <c r="BSN768" s="10"/>
      <c r="BSO768" s="10"/>
      <c r="BSP768" s="10"/>
      <c r="BSQ768" s="10"/>
      <c r="BSR768" s="10"/>
      <c r="BSS768" s="10"/>
      <c r="BST768" s="10"/>
      <c r="BSU768" s="10"/>
      <c r="BSV768" s="10"/>
      <c r="BSW768" s="10"/>
      <c r="BSX768" s="10"/>
      <c r="BSY768" s="10"/>
      <c r="BSZ768" s="10"/>
      <c r="BTA768" s="10"/>
      <c r="BTB768" s="10"/>
      <c r="BTC768" s="10"/>
      <c r="BTD768" s="10"/>
      <c r="BTE768" s="10"/>
      <c r="BTF768" s="10"/>
      <c r="BTG768" s="10"/>
      <c r="BTH768" s="10"/>
      <c r="BTI768" s="10"/>
      <c r="BTJ768" s="10"/>
      <c r="BTK768" s="10"/>
      <c r="BTL768" s="10"/>
      <c r="BTM768" s="10"/>
      <c r="BTN768" s="10"/>
      <c r="BTO768" s="10"/>
      <c r="BTP768" s="10"/>
      <c r="BTQ768" s="10"/>
      <c r="BTR768" s="10"/>
      <c r="BTS768" s="10"/>
      <c r="BTT768" s="10"/>
    </row>
    <row r="769" spans="1:1892" s="9" customFormat="1" ht="35.1" customHeight="1">
      <c r="A769" s="1241"/>
      <c r="B769" s="537" t="s">
        <v>301</v>
      </c>
      <c r="C769" s="982" t="s">
        <v>71</v>
      </c>
      <c r="D769" s="570" t="s">
        <v>70</v>
      </c>
      <c r="E769" s="571"/>
      <c r="F769" s="572"/>
      <c r="G769" s="654" t="s">
        <v>296</v>
      </c>
      <c r="H769" s="654" t="s">
        <v>297</v>
      </c>
      <c r="I769" s="654" t="s">
        <v>298</v>
      </c>
      <c r="J769" s="982" t="s">
        <v>11</v>
      </c>
      <c r="K769" s="982" t="s">
        <v>12</v>
      </c>
      <c r="L769" s="131">
        <v>102</v>
      </c>
      <c r="M769" s="231">
        <v>462</v>
      </c>
      <c r="N769" s="132">
        <v>0</v>
      </c>
      <c r="O769" s="132">
        <v>0</v>
      </c>
      <c r="P769" s="511" t="s">
        <v>463</v>
      </c>
      <c r="Q769" s="511" t="s">
        <v>464</v>
      </c>
      <c r="R769" s="511" t="s">
        <v>465</v>
      </c>
      <c r="S769" s="651" t="s">
        <v>57</v>
      </c>
      <c r="T769" s="713" t="s">
        <v>69</v>
      </c>
      <c r="U769" s="713" t="s">
        <v>17</v>
      </c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  <c r="BT769" s="10"/>
      <c r="BU769" s="10"/>
      <c r="BV769" s="10"/>
      <c r="BW769" s="10"/>
      <c r="BX769" s="10"/>
      <c r="BY769" s="10"/>
      <c r="BZ769" s="10"/>
      <c r="CA769" s="10"/>
      <c r="CB769" s="10"/>
      <c r="CC769" s="10"/>
      <c r="CD769" s="10"/>
      <c r="CE769" s="10"/>
      <c r="CF769" s="10"/>
      <c r="CG769" s="10"/>
      <c r="CH769" s="10"/>
      <c r="CI769" s="10"/>
      <c r="CJ769" s="10"/>
      <c r="CK769" s="10"/>
      <c r="CL769" s="10"/>
      <c r="CM769" s="10"/>
      <c r="CN769" s="10"/>
      <c r="CO769" s="10"/>
      <c r="CP769" s="10"/>
      <c r="CQ769" s="10"/>
      <c r="CR769" s="10"/>
      <c r="CS769" s="10"/>
      <c r="CT769" s="10"/>
      <c r="CU769" s="10"/>
      <c r="CV769" s="10"/>
      <c r="CW769" s="10"/>
      <c r="CX769" s="10"/>
      <c r="CY769" s="10"/>
      <c r="CZ769" s="10"/>
      <c r="DA769" s="10"/>
      <c r="DB769" s="10"/>
      <c r="DC769" s="10"/>
      <c r="DD769" s="10"/>
      <c r="DE769" s="10"/>
      <c r="DF769" s="10"/>
      <c r="DG769" s="10"/>
      <c r="DH769" s="10"/>
      <c r="DI769" s="10"/>
      <c r="DJ769" s="10"/>
      <c r="DK769" s="10"/>
      <c r="DL769" s="10"/>
      <c r="DM769" s="10"/>
      <c r="DN769" s="10"/>
      <c r="DO769" s="10"/>
      <c r="DP769" s="10"/>
      <c r="DQ769" s="10"/>
      <c r="DR769" s="10"/>
      <c r="DS769" s="10"/>
      <c r="DT769" s="10"/>
      <c r="DU769" s="10"/>
      <c r="DV769" s="10"/>
      <c r="DW769" s="10"/>
      <c r="DX769" s="10"/>
      <c r="DY769" s="10"/>
      <c r="DZ769" s="10"/>
      <c r="EA769" s="10"/>
      <c r="EB769" s="10"/>
      <c r="EC769" s="10"/>
      <c r="ED769" s="10"/>
      <c r="EE769" s="10"/>
      <c r="EF769" s="10"/>
      <c r="EG769" s="10"/>
      <c r="EH769" s="10"/>
      <c r="EI769" s="10"/>
      <c r="EJ769" s="10"/>
      <c r="EK769" s="10"/>
      <c r="EL769" s="10"/>
      <c r="EM769" s="10"/>
      <c r="EN769" s="10"/>
      <c r="EO769" s="10"/>
      <c r="EP769" s="10"/>
      <c r="EQ769" s="10"/>
      <c r="ER769" s="10"/>
      <c r="ES769" s="10"/>
      <c r="ET769" s="10"/>
      <c r="EU769" s="10"/>
      <c r="EV769" s="10"/>
      <c r="EW769" s="10"/>
      <c r="EX769" s="10"/>
      <c r="EY769" s="10"/>
      <c r="EZ769" s="10"/>
      <c r="FA769" s="10"/>
      <c r="FB769" s="10"/>
      <c r="FC769" s="10"/>
      <c r="FD769" s="10"/>
      <c r="FE769" s="10"/>
      <c r="FF769" s="10"/>
      <c r="FG769" s="10"/>
      <c r="FH769" s="10"/>
      <c r="FI769" s="10"/>
      <c r="FJ769" s="10"/>
      <c r="FK769" s="10"/>
      <c r="FL769" s="10"/>
      <c r="FM769" s="10"/>
      <c r="FN769" s="10"/>
      <c r="FO769" s="10"/>
      <c r="FP769" s="10"/>
      <c r="FQ769" s="10"/>
      <c r="FR769" s="10"/>
      <c r="FS769" s="10"/>
      <c r="FT769" s="10"/>
      <c r="FU769" s="10"/>
      <c r="FV769" s="10"/>
      <c r="FW769" s="10"/>
      <c r="FX769" s="10"/>
      <c r="FY769" s="10"/>
      <c r="FZ769" s="10"/>
      <c r="GA769" s="10"/>
      <c r="GB769" s="10"/>
      <c r="GC769" s="10"/>
      <c r="GD769" s="10"/>
      <c r="GE769" s="10"/>
      <c r="GF769" s="10"/>
      <c r="GG769" s="10"/>
      <c r="GH769" s="10"/>
      <c r="GI769" s="10"/>
      <c r="GJ769" s="10"/>
      <c r="GK769" s="10"/>
      <c r="GL769" s="10"/>
      <c r="GM769" s="10"/>
      <c r="GN769" s="10"/>
      <c r="GO769" s="10"/>
      <c r="GP769" s="10"/>
      <c r="GQ769" s="10"/>
      <c r="GR769" s="10"/>
      <c r="GS769" s="10"/>
      <c r="GT769" s="10"/>
      <c r="GU769" s="10"/>
      <c r="GV769" s="10"/>
      <c r="GW769" s="10"/>
      <c r="GX769" s="10"/>
      <c r="GY769" s="10"/>
      <c r="GZ769" s="10"/>
      <c r="HA769" s="10"/>
      <c r="HB769" s="10"/>
      <c r="HC769" s="10"/>
      <c r="HD769" s="10"/>
      <c r="HE769" s="10"/>
      <c r="HF769" s="10"/>
      <c r="HG769" s="10"/>
      <c r="HH769" s="10"/>
      <c r="HI769" s="10"/>
      <c r="HJ769" s="10"/>
      <c r="HK769" s="10"/>
      <c r="HL769" s="10"/>
      <c r="HM769" s="10"/>
      <c r="HN769" s="10"/>
      <c r="HO769" s="10"/>
      <c r="HP769" s="10"/>
      <c r="HQ769" s="10"/>
      <c r="HR769" s="10"/>
      <c r="HS769" s="10"/>
      <c r="HT769" s="10"/>
      <c r="HU769" s="10"/>
      <c r="HV769" s="10"/>
      <c r="HW769" s="10"/>
      <c r="HX769" s="10"/>
      <c r="HY769" s="10"/>
      <c r="HZ769" s="10"/>
      <c r="IA769" s="10"/>
      <c r="IB769" s="10"/>
      <c r="IC769" s="10"/>
      <c r="ID769" s="10"/>
      <c r="IE769" s="10"/>
      <c r="IF769" s="10"/>
      <c r="IG769" s="10"/>
      <c r="IH769" s="10"/>
      <c r="II769" s="10"/>
      <c r="IJ769" s="10"/>
      <c r="IK769" s="10"/>
      <c r="IL769" s="10"/>
      <c r="IM769" s="10"/>
      <c r="IN769" s="10"/>
      <c r="IO769" s="10"/>
      <c r="IP769" s="10"/>
      <c r="IQ769" s="10"/>
      <c r="IR769" s="10"/>
      <c r="IS769" s="10"/>
      <c r="IT769" s="10"/>
      <c r="IU769" s="10"/>
      <c r="IV769" s="10"/>
      <c r="IW769" s="10"/>
      <c r="IX769" s="10"/>
      <c r="IY769" s="10"/>
      <c r="IZ769" s="10"/>
      <c r="JA769" s="10"/>
      <c r="JB769" s="10"/>
      <c r="JC769" s="10"/>
      <c r="JD769" s="10"/>
      <c r="JE769" s="10"/>
      <c r="JF769" s="10"/>
      <c r="JG769" s="10"/>
      <c r="JH769" s="10"/>
      <c r="JI769" s="10"/>
      <c r="JJ769" s="10"/>
      <c r="JK769" s="10"/>
      <c r="JL769" s="10"/>
      <c r="JM769" s="10"/>
      <c r="JN769" s="10"/>
      <c r="JO769" s="10"/>
      <c r="JP769" s="10"/>
      <c r="JQ769" s="10"/>
      <c r="JR769" s="10"/>
      <c r="JS769" s="10"/>
      <c r="JT769" s="10"/>
      <c r="JU769" s="10"/>
      <c r="JV769" s="10"/>
      <c r="JW769" s="10"/>
      <c r="JX769" s="10"/>
      <c r="JY769" s="10"/>
      <c r="JZ769" s="10"/>
      <c r="KA769" s="10"/>
      <c r="KB769" s="10"/>
      <c r="KC769" s="10"/>
      <c r="KD769" s="10"/>
      <c r="KE769" s="10"/>
      <c r="KF769" s="10"/>
      <c r="KG769" s="10"/>
      <c r="KH769" s="10"/>
      <c r="KI769" s="10"/>
      <c r="KJ769" s="10"/>
      <c r="KK769" s="10"/>
      <c r="KL769" s="10"/>
      <c r="KM769" s="10"/>
      <c r="KN769" s="10"/>
      <c r="KO769" s="10"/>
      <c r="KP769" s="10"/>
      <c r="KQ769" s="10"/>
      <c r="KR769" s="10"/>
      <c r="KS769" s="10"/>
      <c r="KT769" s="10"/>
      <c r="KU769" s="10"/>
      <c r="KV769" s="10"/>
      <c r="KW769" s="10"/>
      <c r="KX769" s="10"/>
      <c r="KY769" s="10"/>
      <c r="KZ769" s="10"/>
      <c r="LA769" s="10"/>
      <c r="LB769" s="10"/>
      <c r="LC769" s="10"/>
      <c r="LD769" s="10"/>
      <c r="LE769" s="10"/>
      <c r="LF769" s="10"/>
      <c r="LG769" s="10"/>
      <c r="LH769" s="10"/>
      <c r="LI769" s="10"/>
      <c r="LJ769" s="10"/>
      <c r="LK769" s="10"/>
      <c r="LL769" s="10"/>
      <c r="LM769" s="10"/>
      <c r="LN769" s="10"/>
      <c r="LO769" s="10"/>
      <c r="LP769" s="10"/>
      <c r="LQ769" s="10"/>
      <c r="LR769" s="10"/>
      <c r="LS769" s="10"/>
      <c r="LT769" s="10"/>
      <c r="LU769" s="10"/>
      <c r="LV769" s="10"/>
      <c r="LW769" s="10"/>
      <c r="LX769" s="10"/>
      <c r="LY769" s="10"/>
      <c r="LZ769" s="10"/>
      <c r="MA769" s="10"/>
      <c r="MB769" s="10"/>
      <c r="MC769" s="10"/>
      <c r="MD769" s="10"/>
      <c r="ME769" s="10"/>
      <c r="MF769" s="10"/>
      <c r="MG769" s="10"/>
      <c r="MH769" s="10"/>
      <c r="MI769" s="10"/>
      <c r="MJ769" s="10"/>
      <c r="MK769" s="10"/>
      <c r="ML769" s="10"/>
      <c r="MM769" s="10"/>
      <c r="MN769" s="10"/>
      <c r="MO769" s="10"/>
      <c r="MP769" s="10"/>
      <c r="MQ769" s="10"/>
      <c r="MR769" s="10"/>
      <c r="MS769" s="10"/>
      <c r="MT769" s="10"/>
      <c r="MU769" s="10"/>
      <c r="MV769" s="10"/>
      <c r="MW769" s="10"/>
      <c r="MX769" s="10"/>
      <c r="MY769" s="10"/>
      <c r="MZ769" s="10"/>
      <c r="NA769" s="10"/>
      <c r="NB769" s="10"/>
      <c r="NC769" s="10"/>
      <c r="ND769" s="10"/>
      <c r="NE769" s="10"/>
      <c r="NF769" s="10"/>
      <c r="NG769" s="10"/>
      <c r="NH769" s="10"/>
      <c r="NI769" s="10"/>
      <c r="NJ769" s="10"/>
      <c r="NK769" s="10"/>
      <c r="NL769" s="10"/>
      <c r="NM769" s="10"/>
      <c r="NN769" s="10"/>
      <c r="NO769" s="10"/>
      <c r="NP769" s="10"/>
      <c r="NQ769" s="10"/>
      <c r="NR769" s="10"/>
      <c r="NS769" s="10"/>
      <c r="NT769" s="10"/>
      <c r="NU769" s="10"/>
      <c r="NV769" s="10"/>
      <c r="NW769" s="10"/>
      <c r="NX769" s="10"/>
      <c r="NY769" s="10"/>
      <c r="NZ769" s="10"/>
      <c r="OA769" s="10"/>
      <c r="OB769" s="10"/>
      <c r="OC769" s="10"/>
      <c r="OD769" s="10"/>
      <c r="OE769" s="10"/>
      <c r="OF769" s="10"/>
      <c r="OG769" s="10"/>
      <c r="OH769" s="10"/>
      <c r="OI769" s="10"/>
      <c r="OJ769" s="10"/>
      <c r="OK769" s="10"/>
      <c r="OL769" s="10"/>
      <c r="OM769" s="10"/>
      <c r="ON769" s="10"/>
      <c r="OO769" s="10"/>
      <c r="OP769" s="10"/>
      <c r="OQ769" s="10"/>
      <c r="OR769" s="10"/>
      <c r="OS769" s="10"/>
      <c r="OT769" s="10"/>
      <c r="OU769" s="10"/>
      <c r="OV769" s="10"/>
      <c r="OW769" s="10"/>
      <c r="OX769" s="10"/>
      <c r="OY769" s="10"/>
      <c r="OZ769" s="10"/>
      <c r="PA769" s="10"/>
      <c r="PB769" s="10"/>
      <c r="PC769" s="10"/>
      <c r="PD769" s="10"/>
      <c r="PE769" s="10"/>
      <c r="PF769" s="10"/>
      <c r="PG769" s="10"/>
      <c r="PH769" s="10"/>
      <c r="PI769" s="10"/>
      <c r="PJ769" s="10"/>
      <c r="PK769" s="10"/>
      <c r="PL769" s="10"/>
      <c r="PM769" s="10"/>
      <c r="PN769" s="10"/>
      <c r="PO769" s="10"/>
      <c r="PP769" s="10"/>
      <c r="PQ769" s="10"/>
      <c r="PR769" s="10"/>
      <c r="PS769" s="10"/>
      <c r="PT769" s="10"/>
      <c r="PU769" s="10"/>
      <c r="PV769" s="10"/>
      <c r="PW769" s="10"/>
      <c r="PX769" s="10"/>
      <c r="PY769" s="10"/>
      <c r="PZ769" s="10"/>
      <c r="QA769" s="10"/>
      <c r="QB769" s="10"/>
      <c r="QC769" s="10"/>
      <c r="QD769" s="10"/>
      <c r="QE769" s="10"/>
      <c r="QF769" s="10"/>
      <c r="QG769" s="10"/>
      <c r="QH769" s="10"/>
      <c r="QI769" s="10"/>
      <c r="QJ769" s="10"/>
      <c r="QK769" s="10"/>
      <c r="QL769" s="10"/>
      <c r="QM769" s="10"/>
      <c r="QN769" s="10"/>
      <c r="QO769" s="10"/>
      <c r="QP769" s="10"/>
      <c r="QQ769" s="10"/>
      <c r="QR769" s="10"/>
      <c r="QS769" s="10"/>
      <c r="QT769" s="10"/>
      <c r="QU769" s="10"/>
      <c r="QV769" s="10"/>
      <c r="QW769" s="10"/>
      <c r="QX769" s="10"/>
      <c r="QY769" s="10"/>
      <c r="QZ769" s="10"/>
      <c r="RA769" s="10"/>
      <c r="RB769" s="10"/>
      <c r="RC769" s="10"/>
      <c r="RD769" s="10"/>
      <c r="RE769" s="10"/>
      <c r="RF769" s="10"/>
      <c r="RG769" s="10"/>
      <c r="RH769" s="10"/>
      <c r="RI769" s="10"/>
      <c r="RJ769" s="10"/>
      <c r="RK769" s="10"/>
      <c r="RL769" s="10"/>
      <c r="RM769" s="10"/>
      <c r="RN769" s="10"/>
      <c r="RO769" s="10"/>
      <c r="RP769" s="10"/>
      <c r="RQ769" s="10"/>
      <c r="RR769" s="10"/>
      <c r="RS769" s="10"/>
      <c r="RT769" s="10"/>
      <c r="RU769" s="10"/>
      <c r="RV769" s="10"/>
      <c r="RW769" s="10"/>
      <c r="RX769" s="10"/>
      <c r="RY769" s="10"/>
      <c r="RZ769" s="10"/>
      <c r="SA769" s="10"/>
      <c r="SB769" s="10"/>
      <c r="SC769" s="10"/>
      <c r="SD769" s="10"/>
      <c r="SE769" s="10"/>
      <c r="SF769" s="10"/>
      <c r="SG769" s="10"/>
      <c r="SH769" s="10"/>
      <c r="SI769" s="10"/>
      <c r="SJ769" s="10"/>
      <c r="SK769" s="10"/>
      <c r="SL769" s="10"/>
      <c r="SM769" s="10"/>
      <c r="SN769" s="10"/>
      <c r="SO769" s="10"/>
      <c r="SP769" s="10"/>
      <c r="SQ769" s="10"/>
      <c r="SR769" s="10"/>
      <c r="SS769" s="10"/>
      <c r="ST769" s="10"/>
      <c r="SU769" s="10"/>
      <c r="SV769" s="10"/>
      <c r="SW769" s="10"/>
      <c r="SX769" s="10"/>
      <c r="SY769" s="10"/>
      <c r="SZ769" s="10"/>
      <c r="TA769" s="10"/>
      <c r="TB769" s="10"/>
      <c r="TC769" s="10"/>
      <c r="TD769" s="10"/>
      <c r="TE769" s="10"/>
      <c r="TF769" s="10"/>
      <c r="TG769" s="10"/>
      <c r="TH769" s="10"/>
      <c r="TI769" s="10"/>
      <c r="TJ769" s="10"/>
      <c r="TK769" s="10"/>
      <c r="TL769" s="10"/>
      <c r="TM769" s="10"/>
      <c r="TN769" s="10"/>
      <c r="TO769" s="10"/>
      <c r="TP769" s="10"/>
      <c r="TQ769" s="10"/>
      <c r="TR769" s="10"/>
      <c r="TS769" s="10"/>
      <c r="TT769" s="10"/>
      <c r="TU769" s="10"/>
      <c r="TV769" s="10"/>
      <c r="TW769" s="10"/>
      <c r="TX769" s="10"/>
      <c r="TY769" s="10"/>
      <c r="TZ769" s="10"/>
      <c r="UA769" s="10"/>
      <c r="UB769" s="10"/>
      <c r="UC769" s="10"/>
      <c r="UD769" s="10"/>
      <c r="UE769" s="10"/>
      <c r="UF769" s="10"/>
      <c r="UG769" s="10"/>
      <c r="UH769" s="10"/>
      <c r="UI769" s="10"/>
      <c r="UJ769" s="10"/>
      <c r="UK769" s="10"/>
      <c r="UL769" s="10"/>
      <c r="UM769" s="10"/>
      <c r="UN769" s="10"/>
      <c r="UO769" s="10"/>
      <c r="UP769" s="10"/>
      <c r="UQ769" s="10"/>
      <c r="UR769" s="10"/>
      <c r="US769" s="10"/>
      <c r="UT769" s="10"/>
      <c r="UU769" s="10"/>
      <c r="UV769" s="10"/>
      <c r="UW769" s="10"/>
      <c r="UX769" s="10"/>
      <c r="UY769" s="10"/>
      <c r="UZ769" s="10"/>
      <c r="VA769" s="10"/>
      <c r="VB769" s="10"/>
      <c r="VC769" s="10"/>
      <c r="VD769" s="10"/>
      <c r="VE769" s="10"/>
      <c r="VF769" s="10"/>
      <c r="VG769" s="10"/>
      <c r="VH769" s="10"/>
      <c r="VI769" s="10"/>
      <c r="VJ769" s="10"/>
      <c r="VK769" s="10"/>
      <c r="VL769" s="10"/>
      <c r="VM769" s="10"/>
      <c r="VN769" s="10"/>
      <c r="VO769" s="10"/>
      <c r="VP769" s="10"/>
      <c r="VQ769" s="10"/>
      <c r="VR769" s="10"/>
      <c r="VS769" s="10"/>
      <c r="VT769" s="10"/>
      <c r="VU769" s="10"/>
      <c r="VV769" s="10"/>
      <c r="VW769" s="10"/>
      <c r="VX769" s="10"/>
      <c r="VY769" s="10"/>
      <c r="VZ769" s="10"/>
      <c r="WA769" s="10"/>
      <c r="WB769" s="10"/>
      <c r="WC769" s="10"/>
      <c r="WD769" s="10"/>
      <c r="WE769" s="10"/>
      <c r="WF769" s="10"/>
      <c r="WG769" s="10"/>
      <c r="WH769" s="10"/>
      <c r="WI769" s="10"/>
      <c r="WJ769" s="10"/>
      <c r="WK769" s="10"/>
      <c r="WL769" s="10"/>
      <c r="WM769" s="10"/>
      <c r="WN769" s="10"/>
      <c r="WO769" s="10"/>
      <c r="WP769" s="10"/>
      <c r="WQ769" s="10"/>
      <c r="WR769" s="10"/>
      <c r="WS769" s="10"/>
      <c r="WT769" s="10"/>
      <c r="WU769" s="10"/>
      <c r="WV769" s="10"/>
      <c r="WW769" s="10"/>
      <c r="WX769" s="10"/>
      <c r="WY769" s="10"/>
      <c r="WZ769" s="10"/>
      <c r="XA769" s="10"/>
      <c r="XB769" s="10"/>
      <c r="XC769" s="10"/>
      <c r="XD769" s="10"/>
      <c r="XE769" s="10"/>
      <c r="XF769" s="10"/>
      <c r="XG769" s="10"/>
      <c r="XH769" s="10"/>
      <c r="XI769" s="10"/>
      <c r="XJ769" s="10"/>
      <c r="XK769" s="10"/>
      <c r="XL769" s="10"/>
      <c r="XM769" s="10"/>
      <c r="XN769" s="10"/>
      <c r="XO769" s="10"/>
      <c r="XP769" s="10"/>
      <c r="XQ769" s="10"/>
      <c r="XR769" s="10"/>
      <c r="XS769" s="10"/>
      <c r="XT769" s="10"/>
      <c r="XU769" s="10"/>
      <c r="XV769" s="10"/>
      <c r="XW769" s="10"/>
      <c r="XX769" s="10"/>
      <c r="XY769" s="10"/>
      <c r="XZ769" s="10"/>
      <c r="YA769" s="10"/>
      <c r="YB769" s="10"/>
      <c r="YC769" s="10"/>
      <c r="YD769" s="10"/>
      <c r="YE769" s="10"/>
      <c r="YF769" s="10"/>
      <c r="YG769" s="10"/>
      <c r="YH769" s="10"/>
      <c r="YI769" s="10"/>
      <c r="YJ769" s="10"/>
      <c r="YK769" s="10"/>
      <c r="YL769" s="10"/>
      <c r="YM769" s="10"/>
      <c r="YN769" s="10"/>
      <c r="YO769" s="10"/>
      <c r="YP769" s="10"/>
      <c r="YQ769" s="10"/>
      <c r="YR769" s="10"/>
      <c r="YS769" s="10"/>
      <c r="YT769" s="10"/>
      <c r="YU769" s="10"/>
      <c r="YV769" s="10"/>
      <c r="YW769" s="10"/>
      <c r="YX769" s="10"/>
      <c r="YY769" s="10"/>
      <c r="YZ769" s="10"/>
      <c r="ZA769" s="10"/>
      <c r="ZB769" s="10"/>
      <c r="ZC769" s="10"/>
      <c r="ZD769" s="10"/>
      <c r="ZE769" s="10"/>
      <c r="ZF769" s="10"/>
      <c r="ZG769" s="10"/>
      <c r="ZH769" s="10"/>
      <c r="ZI769" s="10"/>
      <c r="ZJ769" s="10"/>
      <c r="ZK769" s="10"/>
      <c r="ZL769" s="10"/>
      <c r="ZM769" s="10"/>
      <c r="ZN769" s="10"/>
      <c r="ZO769" s="10"/>
      <c r="ZP769" s="10"/>
      <c r="ZQ769" s="10"/>
      <c r="ZR769" s="10"/>
      <c r="ZS769" s="10"/>
      <c r="ZT769" s="10"/>
      <c r="ZU769" s="10"/>
      <c r="ZV769" s="10"/>
      <c r="ZW769" s="10"/>
      <c r="ZX769" s="10"/>
      <c r="ZY769" s="10"/>
      <c r="ZZ769" s="10"/>
      <c r="AAA769" s="10"/>
      <c r="AAB769" s="10"/>
      <c r="AAC769" s="10"/>
      <c r="AAD769" s="10"/>
      <c r="AAE769" s="10"/>
      <c r="AAF769" s="10"/>
      <c r="AAG769" s="10"/>
      <c r="AAH769" s="10"/>
      <c r="AAI769" s="10"/>
      <c r="AAJ769" s="10"/>
      <c r="AAK769" s="10"/>
      <c r="AAL769" s="10"/>
      <c r="AAM769" s="10"/>
      <c r="AAN769" s="10"/>
      <c r="AAO769" s="10"/>
      <c r="AAP769" s="10"/>
      <c r="AAQ769" s="10"/>
      <c r="AAR769" s="10"/>
      <c r="AAS769" s="10"/>
      <c r="AAT769" s="10"/>
      <c r="AAU769" s="10"/>
      <c r="AAV769" s="10"/>
      <c r="AAW769" s="10"/>
      <c r="AAX769" s="10"/>
      <c r="AAY769" s="10"/>
      <c r="AAZ769" s="10"/>
      <c r="ABA769" s="10"/>
      <c r="ABB769" s="10"/>
      <c r="ABC769" s="10"/>
      <c r="ABD769" s="10"/>
      <c r="ABE769" s="10"/>
      <c r="ABF769" s="10"/>
      <c r="ABG769" s="10"/>
      <c r="ABH769" s="10"/>
      <c r="ABI769" s="10"/>
      <c r="ABJ769" s="10"/>
      <c r="ABK769" s="10"/>
      <c r="ABL769" s="10"/>
      <c r="ABM769" s="10"/>
      <c r="ABN769" s="10"/>
      <c r="ABO769" s="10"/>
      <c r="ABP769" s="10"/>
      <c r="ABQ769" s="10"/>
      <c r="ABR769" s="10"/>
      <c r="ABS769" s="10"/>
      <c r="ABT769" s="10"/>
      <c r="ABU769" s="10"/>
      <c r="ABV769" s="10"/>
      <c r="ABW769" s="10"/>
      <c r="ABX769" s="10"/>
      <c r="ABY769" s="10"/>
      <c r="ABZ769" s="10"/>
      <c r="ACA769" s="10"/>
      <c r="ACB769" s="10"/>
      <c r="ACC769" s="10"/>
      <c r="ACD769" s="10"/>
      <c r="ACE769" s="10"/>
      <c r="ACF769" s="10"/>
      <c r="ACG769" s="10"/>
      <c r="ACH769" s="10"/>
      <c r="ACI769" s="10"/>
      <c r="ACJ769" s="10"/>
      <c r="ACK769" s="10"/>
      <c r="ACL769" s="10"/>
      <c r="ACM769" s="10"/>
      <c r="ACN769" s="10"/>
      <c r="ACO769" s="10"/>
      <c r="ACP769" s="10"/>
      <c r="ACQ769" s="10"/>
      <c r="ACR769" s="10"/>
      <c r="ACS769" s="10"/>
      <c r="ACT769" s="10"/>
      <c r="ACU769" s="10"/>
      <c r="ACV769" s="10"/>
      <c r="ACW769" s="10"/>
      <c r="ACX769" s="10"/>
      <c r="ACY769" s="10"/>
      <c r="ACZ769" s="10"/>
      <c r="ADA769" s="10"/>
      <c r="ADB769" s="10"/>
      <c r="ADC769" s="10"/>
      <c r="ADD769" s="10"/>
      <c r="ADE769" s="10"/>
      <c r="ADF769" s="10"/>
      <c r="ADG769" s="10"/>
      <c r="ADH769" s="10"/>
      <c r="ADI769" s="10"/>
      <c r="ADJ769" s="10"/>
      <c r="ADK769" s="10"/>
      <c r="ADL769" s="10"/>
      <c r="ADM769" s="10"/>
      <c r="ADN769" s="10"/>
      <c r="ADO769" s="10"/>
      <c r="ADP769" s="10"/>
      <c r="ADQ769" s="10"/>
      <c r="ADR769" s="10"/>
      <c r="ADS769" s="10"/>
      <c r="ADT769" s="10"/>
      <c r="ADU769" s="10"/>
      <c r="ADV769" s="10"/>
      <c r="ADW769" s="10"/>
      <c r="ADX769" s="10"/>
      <c r="ADY769" s="10"/>
      <c r="ADZ769" s="10"/>
      <c r="AEA769" s="10"/>
      <c r="AEB769" s="10"/>
      <c r="AEC769" s="10"/>
      <c r="AED769" s="10"/>
      <c r="AEE769" s="10"/>
      <c r="AEF769" s="10"/>
      <c r="AEG769" s="10"/>
      <c r="AEH769" s="10"/>
      <c r="AEI769" s="10"/>
      <c r="AEJ769" s="10"/>
      <c r="AEK769" s="10"/>
      <c r="AEL769" s="10"/>
      <c r="AEM769" s="10"/>
      <c r="AEN769" s="10"/>
      <c r="AEO769" s="10"/>
      <c r="AEP769" s="10"/>
      <c r="AEQ769" s="10"/>
      <c r="AER769" s="10"/>
      <c r="AES769" s="10"/>
      <c r="AET769" s="10"/>
      <c r="AEU769" s="10"/>
      <c r="AEV769" s="10"/>
      <c r="AEW769" s="10"/>
      <c r="AEX769" s="10"/>
      <c r="AEY769" s="10"/>
      <c r="AEZ769" s="10"/>
      <c r="AFA769" s="10"/>
      <c r="AFB769" s="10"/>
      <c r="AFC769" s="10"/>
      <c r="AFD769" s="10"/>
      <c r="AFE769" s="10"/>
      <c r="AFF769" s="10"/>
      <c r="AFG769" s="10"/>
      <c r="AFH769" s="10"/>
      <c r="AFI769" s="10"/>
      <c r="AFJ769" s="10"/>
      <c r="AFK769" s="10"/>
      <c r="AFL769" s="10"/>
      <c r="AFM769" s="10"/>
      <c r="AFN769" s="10"/>
      <c r="AFO769" s="10"/>
      <c r="AFP769" s="10"/>
      <c r="AFQ769" s="10"/>
      <c r="AFR769" s="10"/>
      <c r="AFS769" s="10"/>
      <c r="AFT769" s="10"/>
      <c r="AFU769" s="10"/>
      <c r="AFV769" s="10"/>
      <c r="AFW769" s="10"/>
      <c r="AFX769" s="10"/>
      <c r="AFY769" s="10"/>
      <c r="AFZ769" s="10"/>
      <c r="AGA769" s="10"/>
      <c r="AGB769" s="10"/>
      <c r="AGC769" s="10"/>
      <c r="AGD769" s="10"/>
      <c r="AGE769" s="10"/>
      <c r="AGF769" s="10"/>
      <c r="AGG769" s="10"/>
      <c r="AGH769" s="10"/>
      <c r="AGI769" s="10"/>
      <c r="AGJ769" s="10"/>
      <c r="AGK769" s="10"/>
      <c r="AGL769" s="10"/>
      <c r="AGM769" s="10"/>
      <c r="AGN769" s="10"/>
      <c r="AGO769" s="10"/>
      <c r="AGP769" s="10"/>
      <c r="AGQ769" s="10"/>
      <c r="AGR769" s="10"/>
      <c r="AGS769" s="10"/>
      <c r="AGT769" s="10"/>
      <c r="AGU769" s="10"/>
      <c r="AGV769" s="10"/>
      <c r="AGW769" s="10"/>
      <c r="AGX769" s="10"/>
      <c r="AGY769" s="10"/>
      <c r="AGZ769" s="10"/>
      <c r="AHA769" s="10"/>
      <c r="AHB769" s="10"/>
      <c r="AHC769" s="10"/>
      <c r="AHD769" s="10"/>
      <c r="AHE769" s="10"/>
      <c r="AHF769" s="10"/>
      <c r="AHG769" s="10"/>
      <c r="AHH769" s="10"/>
      <c r="AHI769" s="10"/>
      <c r="AHJ769" s="10"/>
      <c r="AHK769" s="10"/>
      <c r="AHL769" s="10"/>
      <c r="AHM769" s="10"/>
      <c r="AHN769" s="10"/>
      <c r="AHO769" s="10"/>
      <c r="AHP769" s="10"/>
      <c r="AHQ769" s="10"/>
      <c r="AHR769" s="10"/>
      <c r="AHS769" s="10"/>
      <c r="AHT769" s="10"/>
      <c r="AHU769" s="10"/>
      <c r="AHV769" s="10"/>
      <c r="AHW769" s="10"/>
      <c r="AHX769" s="10"/>
      <c r="AHY769" s="10"/>
      <c r="AHZ769" s="10"/>
      <c r="AIA769" s="10"/>
      <c r="AIB769" s="10"/>
      <c r="AIC769" s="10"/>
      <c r="AID769" s="10"/>
      <c r="AIE769" s="10"/>
      <c r="AIF769" s="10"/>
      <c r="AIG769" s="10"/>
      <c r="AIH769" s="10"/>
      <c r="AII769" s="10"/>
      <c r="AIJ769" s="10"/>
      <c r="AIK769" s="10"/>
      <c r="AIL769" s="10"/>
      <c r="AIM769" s="10"/>
      <c r="AIN769" s="10"/>
      <c r="AIO769" s="10"/>
      <c r="AIP769" s="10"/>
      <c r="AIQ769" s="10"/>
      <c r="AIR769" s="10"/>
      <c r="AIS769" s="10"/>
      <c r="AIT769" s="10"/>
      <c r="AIU769" s="10"/>
      <c r="AIV769" s="10"/>
      <c r="AIW769" s="10"/>
      <c r="AIX769" s="10"/>
      <c r="AIY769" s="10"/>
      <c r="AIZ769" s="10"/>
      <c r="AJA769" s="10"/>
      <c r="AJB769" s="10"/>
      <c r="AJC769" s="10"/>
      <c r="AJD769" s="10"/>
      <c r="AJE769" s="10"/>
      <c r="AJF769" s="10"/>
      <c r="AJG769" s="10"/>
      <c r="AJH769" s="10"/>
      <c r="AJI769" s="10"/>
      <c r="AJJ769" s="10"/>
      <c r="AJK769" s="10"/>
      <c r="AJL769" s="10"/>
      <c r="AJM769" s="10"/>
      <c r="AJN769" s="10"/>
      <c r="AJO769" s="10"/>
      <c r="AJP769" s="10"/>
      <c r="AJQ769" s="10"/>
      <c r="AJR769" s="10"/>
      <c r="AJS769" s="10"/>
      <c r="AJT769" s="10"/>
      <c r="AJU769" s="10"/>
      <c r="AJV769" s="10"/>
      <c r="AJW769" s="10"/>
      <c r="AJX769" s="10"/>
      <c r="AJY769" s="10"/>
      <c r="AJZ769" s="10"/>
      <c r="AKA769" s="10"/>
      <c r="AKB769" s="10"/>
      <c r="AKC769" s="10"/>
      <c r="AKD769" s="10"/>
      <c r="AKE769" s="10"/>
      <c r="AKF769" s="10"/>
      <c r="AKG769" s="10"/>
      <c r="AKH769" s="10"/>
      <c r="AKI769" s="10"/>
      <c r="AKJ769" s="10"/>
      <c r="AKK769" s="10"/>
      <c r="AKL769" s="10"/>
      <c r="AKM769" s="10"/>
      <c r="AKN769" s="10"/>
      <c r="AKO769" s="10"/>
      <c r="AKP769" s="10"/>
      <c r="AKQ769" s="10"/>
      <c r="AKR769" s="10"/>
      <c r="AKS769" s="10"/>
      <c r="AKT769" s="10"/>
      <c r="AKU769" s="10"/>
      <c r="AKV769" s="10"/>
      <c r="AKW769" s="10"/>
      <c r="AKX769" s="10"/>
      <c r="AKY769" s="10"/>
      <c r="AKZ769" s="10"/>
      <c r="ALA769" s="10"/>
      <c r="ALB769" s="10"/>
      <c r="ALC769" s="10"/>
      <c r="ALD769" s="10"/>
      <c r="ALE769" s="10"/>
      <c r="ALF769" s="10"/>
      <c r="ALG769" s="10"/>
      <c r="ALH769" s="10"/>
      <c r="ALI769" s="10"/>
      <c r="ALJ769" s="10"/>
      <c r="ALK769" s="10"/>
      <c r="ALL769" s="10"/>
      <c r="ALM769" s="10"/>
      <c r="ALN769" s="10"/>
      <c r="ALO769" s="10"/>
      <c r="ALP769" s="10"/>
      <c r="ALQ769" s="10"/>
      <c r="ALR769" s="10"/>
      <c r="ALS769" s="10"/>
      <c r="ALT769" s="10"/>
      <c r="ALU769" s="10"/>
      <c r="ALV769" s="10"/>
      <c r="ALW769" s="10"/>
      <c r="ALX769" s="10"/>
      <c r="ALY769" s="10"/>
      <c r="ALZ769" s="10"/>
      <c r="AMA769" s="10"/>
      <c r="AMB769" s="10"/>
      <c r="AMC769" s="10"/>
      <c r="AMD769" s="10"/>
      <c r="AME769" s="10"/>
      <c r="AMF769" s="10"/>
      <c r="AMG769" s="10"/>
      <c r="AMH769" s="10"/>
      <c r="AMI769" s="10"/>
      <c r="AMJ769" s="10"/>
      <c r="AMK769" s="10"/>
      <c r="AML769" s="10"/>
      <c r="AMM769" s="10"/>
      <c r="AMN769" s="10"/>
      <c r="AMO769" s="10"/>
      <c r="AMP769" s="10"/>
      <c r="AMQ769" s="10"/>
      <c r="AMR769" s="10"/>
      <c r="AMS769" s="10"/>
      <c r="AMT769" s="10"/>
      <c r="AMU769" s="10"/>
      <c r="AMV769" s="10"/>
      <c r="AMW769" s="10"/>
      <c r="AMX769" s="10"/>
      <c r="AMY769" s="10"/>
      <c r="AMZ769" s="10"/>
      <c r="ANA769" s="10"/>
      <c r="ANB769" s="10"/>
      <c r="ANC769" s="10"/>
      <c r="AND769" s="10"/>
      <c r="ANE769" s="10"/>
      <c r="ANF769" s="10"/>
      <c r="ANG769" s="10"/>
      <c r="ANH769" s="10"/>
      <c r="ANI769" s="10"/>
      <c r="ANJ769" s="10"/>
      <c r="ANK769" s="10"/>
      <c r="ANL769" s="10"/>
      <c r="ANM769" s="10"/>
      <c r="ANN769" s="10"/>
      <c r="ANO769" s="10"/>
      <c r="ANP769" s="10"/>
      <c r="ANQ769" s="10"/>
      <c r="ANR769" s="10"/>
      <c r="ANS769" s="10"/>
      <c r="ANT769" s="10"/>
      <c r="ANU769" s="10"/>
      <c r="ANV769" s="10"/>
      <c r="ANW769" s="10"/>
      <c r="ANX769" s="10"/>
      <c r="ANY769" s="10"/>
      <c r="ANZ769" s="10"/>
      <c r="AOA769" s="10"/>
      <c r="AOB769" s="10"/>
      <c r="AOC769" s="10"/>
      <c r="AOD769" s="10"/>
      <c r="AOE769" s="10"/>
      <c r="AOF769" s="10"/>
      <c r="AOG769" s="10"/>
      <c r="AOH769" s="10"/>
      <c r="AOI769" s="10"/>
      <c r="AOJ769" s="10"/>
      <c r="AOK769" s="10"/>
      <c r="AOL769" s="10"/>
      <c r="AOM769" s="10"/>
      <c r="AON769" s="10"/>
      <c r="AOO769" s="10"/>
      <c r="AOP769" s="10"/>
      <c r="AOQ769" s="10"/>
      <c r="AOR769" s="10"/>
      <c r="AOS769" s="10"/>
      <c r="AOT769" s="10"/>
      <c r="AOU769" s="10"/>
      <c r="AOV769" s="10"/>
      <c r="AOW769" s="10"/>
      <c r="AOX769" s="10"/>
      <c r="AOY769" s="10"/>
      <c r="AOZ769" s="10"/>
      <c r="APA769" s="10"/>
      <c r="APB769" s="10"/>
      <c r="APC769" s="10"/>
      <c r="APD769" s="10"/>
      <c r="APE769" s="10"/>
      <c r="APF769" s="10"/>
      <c r="APG769" s="10"/>
      <c r="APH769" s="10"/>
      <c r="API769" s="10"/>
      <c r="APJ769" s="10"/>
      <c r="APK769" s="10"/>
      <c r="APL769" s="10"/>
      <c r="APM769" s="10"/>
      <c r="APN769" s="10"/>
      <c r="APO769" s="10"/>
      <c r="APP769" s="10"/>
      <c r="APQ769" s="10"/>
      <c r="APR769" s="10"/>
      <c r="APS769" s="10"/>
      <c r="APT769" s="10"/>
      <c r="APU769" s="10"/>
      <c r="APV769" s="10"/>
      <c r="APW769" s="10"/>
      <c r="APX769" s="10"/>
      <c r="APY769" s="10"/>
      <c r="APZ769" s="10"/>
      <c r="AQA769" s="10"/>
      <c r="AQB769" s="10"/>
      <c r="AQC769" s="10"/>
      <c r="AQD769" s="10"/>
      <c r="AQE769" s="10"/>
      <c r="AQF769" s="10"/>
      <c r="AQG769" s="10"/>
      <c r="AQH769" s="10"/>
      <c r="AQI769" s="10"/>
      <c r="AQJ769" s="10"/>
      <c r="AQK769" s="10"/>
      <c r="AQL769" s="10"/>
      <c r="AQM769" s="10"/>
      <c r="AQN769" s="10"/>
      <c r="AQO769" s="10"/>
      <c r="AQP769" s="10"/>
      <c r="AQQ769" s="10"/>
      <c r="AQR769" s="10"/>
      <c r="AQS769" s="10"/>
      <c r="AQT769" s="10"/>
      <c r="AQU769" s="10"/>
      <c r="AQV769" s="10"/>
      <c r="AQW769" s="10"/>
      <c r="AQX769" s="10"/>
      <c r="AQY769" s="10"/>
      <c r="AQZ769" s="10"/>
      <c r="ARA769" s="10"/>
      <c r="ARB769" s="10"/>
      <c r="ARC769" s="10"/>
      <c r="ARD769" s="10"/>
      <c r="ARE769" s="10"/>
      <c r="ARF769" s="10"/>
      <c r="ARG769" s="10"/>
      <c r="ARH769" s="10"/>
      <c r="ARI769" s="10"/>
      <c r="ARJ769" s="10"/>
      <c r="ARK769" s="10"/>
      <c r="ARL769" s="10"/>
      <c r="ARM769" s="10"/>
      <c r="ARN769" s="10"/>
      <c r="ARO769" s="10"/>
      <c r="ARP769" s="10"/>
      <c r="ARQ769" s="10"/>
      <c r="ARR769" s="10"/>
      <c r="ARS769" s="10"/>
      <c r="ART769" s="10"/>
      <c r="ARU769" s="10"/>
      <c r="ARV769" s="10"/>
      <c r="ARW769" s="10"/>
      <c r="ARX769" s="10"/>
      <c r="ARY769" s="10"/>
      <c r="ARZ769" s="10"/>
      <c r="ASA769" s="10"/>
      <c r="ASB769" s="10"/>
      <c r="ASC769" s="10"/>
      <c r="ASD769" s="10"/>
      <c r="ASE769" s="10"/>
      <c r="ASF769" s="10"/>
      <c r="ASG769" s="10"/>
      <c r="ASH769" s="10"/>
      <c r="ASI769" s="10"/>
      <c r="ASJ769" s="10"/>
      <c r="ASK769" s="10"/>
      <c r="ASL769" s="10"/>
      <c r="ASM769" s="10"/>
      <c r="ASN769" s="10"/>
      <c r="ASO769" s="10"/>
      <c r="ASP769" s="10"/>
      <c r="ASQ769" s="10"/>
      <c r="ASR769" s="10"/>
      <c r="ASS769" s="10"/>
      <c r="AST769" s="10"/>
      <c r="ASU769" s="10"/>
      <c r="ASV769" s="10"/>
      <c r="ASW769" s="10"/>
      <c r="ASX769" s="10"/>
      <c r="ASY769" s="10"/>
      <c r="ASZ769" s="10"/>
      <c r="ATA769" s="10"/>
      <c r="ATB769" s="10"/>
      <c r="ATC769" s="10"/>
      <c r="ATD769" s="10"/>
      <c r="ATE769" s="10"/>
      <c r="ATF769" s="10"/>
      <c r="ATG769" s="10"/>
      <c r="ATH769" s="10"/>
      <c r="ATI769" s="10"/>
      <c r="ATJ769" s="10"/>
      <c r="ATK769" s="10"/>
      <c r="ATL769" s="10"/>
      <c r="ATM769" s="10"/>
      <c r="ATN769" s="10"/>
      <c r="ATO769" s="10"/>
      <c r="ATP769" s="10"/>
      <c r="ATQ769" s="10"/>
      <c r="ATR769" s="10"/>
      <c r="ATS769" s="10"/>
      <c r="ATT769" s="10"/>
      <c r="ATU769" s="10"/>
      <c r="ATV769" s="10"/>
      <c r="ATW769" s="10"/>
      <c r="ATX769" s="10"/>
      <c r="ATY769" s="10"/>
      <c r="ATZ769" s="10"/>
      <c r="AUA769" s="10"/>
      <c r="AUB769" s="10"/>
      <c r="AUC769" s="10"/>
      <c r="AUD769" s="10"/>
      <c r="AUE769" s="10"/>
      <c r="AUF769" s="10"/>
      <c r="AUG769" s="10"/>
      <c r="AUH769" s="10"/>
      <c r="AUI769" s="10"/>
      <c r="AUJ769" s="10"/>
      <c r="AUK769" s="10"/>
      <c r="AUL769" s="10"/>
      <c r="AUM769" s="10"/>
      <c r="AUN769" s="10"/>
      <c r="AUO769" s="10"/>
      <c r="AUP769" s="10"/>
      <c r="AUQ769" s="10"/>
      <c r="AUR769" s="10"/>
      <c r="AUS769" s="10"/>
      <c r="AUT769" s="10"/>
      <c r="AUU769" s="10"/>
      <c r="AUV769" s="10"/>
      <c r="AUW769" s="10"/>
      <c r="AUX769" s="10"/>
      <c r="AUY769" s="10"/>
      <c r="AUZ769" s="10"/>
      <c r="AVA769" s="10"/>
      <c r="AVB769" s="10"/>
      <c r="AVC769" s="10"/>
      <c r="AVD769" s="10"/>
      <c r="AVE769" s="10"/>
      <c r="AVF769" s="10"/>
      <c r="AVG769" s="10"/>
      <c r="AVH769" s="10"/>
      <c r="AVI769" s="10"/>
      <c r="AVJ769" s="10"/>
      <c r="AVK769" s="10"/>
      <c r="AVL769" s="10"/>
      <c r="AVM769" s="10"/>
      <c r="AVN769" s="10"/>
      <c r="AVO769" s="10"/>
      <c r="AVP769" s="10"/>
      <c r="AVQ769" s="10"/>
      <c r="AVR769" s="10"/>
      <c r="AVS769" s="10"/>
      <c r="AVT769" s="10"/>
      <c r="AVU769" s="10"/>
      <c r="AVV769" s="10"/>
      <c r="AVW769" s="10"/>
      <c r="AVX769" s="10"/>
      <c r="AVY769" s="10"/>
      <c r="AVZ769" s="10"/>
      <c r="AWA769" s="10"/>
      <c r="AWB769" s="10"/>
      <c r="AWC769" s="10"/>
      <c r="AWD769" s="10"/>
      <c r="AWE769" s="10"/>
      <c r="AWF769" s="10"/>
      <c r="AWG769" s="10"/>
      <c r="AWH769" s="10"/>
      <c r="AWI769" s="10"/>
      <c r="AWJ769" s="10"/>
      <c r="AWK769" s="10"/>
      <c r="AWL769" s="10"/>
      <c r="AWM769" s="10"/>
      <c r="AWN769" s="10"/>
      <c r="AWO769" s="10"/>
      <c r="AWP769" s="10"/>
      <c r="AWQ769" s="10"/>
      <c r="AWR769" s="10"/>
      <c r="AWS769" s="10"/>
      <c r="AWT769" s="10"/>
      <c r="AWU769" s="10"/>
      <c r="AWV769" s="10"/>
      <c r="AWW769" s="10"/>
      <c r="AWX769" s="10"/>
      <c r="AWY769" s="10"/>
      <c r="AWZ769" s="10"/>
      <c r="AXA769" s="10"/>
      <c r="AXB769" s="10"/>
      <c r="AXC769" s="10"/>
      <c r="AXD769" s="10"/>
      <c r="AXE769" s="10"/>
      <c r="AXF769" s="10"/>
      <c r="AXG769" s="10"/>
      <c r="AXH769" s="10"/>
      <c r="AXI769" s="10"/>
      <c r="AXJ769" s="10"/>
      <c r="AXK769" s="10"/>
      <c r="AXL769" s="10"/>
      <c r="AXM769" s="10"/>
      <c r="AXN769" s="10"/>
      <c r="AXO769" s="10"/>
      <c r="AXP769" s="10"/>
      <c r="AXQ769" s="10"/>
      <c r="AXR769" s="10"/>
      <c r="AXS769" s="10"/>
      <c r="AXT769" s="10"/>
      <c r="AXU769" s="10"/>
      <c r="AXV769" s="10"/>
      <c r="AXW769" s="10"/>
      <c r="AXX769" s="10"/>
      <c r="AXY769" s="10"/>
      <c r="AXZ769" s="10"/>
      <c r="AYA769" s="10"/>
      <c r="AYB769" s="10"/>
      <c r="AYC769" s="10"/>
      <c r="AYD769" s="10"/>
      <c r="AYE769" s="10"/>
      <c r="AYF769" s="10"/>
      <c r="AYG769" s="10"/>
      <c r="AYH769" s="10"/>
      <c r="AYI769" s="10"/>
      <c r="AYJ769" s="10"/>
      <c r="AYK769" s="10"/>
      <c r="AYL769" s="10"/>
      <c r="AYM769" s="10"/>
      <c r="AYN769" s="10"/>
      <c r="AYO769" s="10"/>
      <c r="AYP769" s="10"/>
      <c r="AYQ769" s="10"/>
      <c r="AYR769" s="10"/>
      <c r="AYS769" s="10"/>
      <c r="AYT769" s="10"/>
      <c r="AYU769" s="10"/>
      <c r="AYV769" s="10"/>
      <c r="AYW769" s="10"/>
      <c r="AYX769" s="10"/>
      <c r="AYY769" s="10"/>
      <c r="AYZ769" s="10"/>
      <c r="AZA769" s="10"/>
      <c r="AZB769" s="10"/>
      <c r="AZC769" s="10"/>
      <c r="AZD769" s="10"/>
      <c r="AZE769" s="10"/>
      <c r="AZF769" s="10"/>
      <c r="AZG769" s="10"/>
      <c r="AZH769" s="10"/>
      <c r="AZI769" s="10"/>
      <c r="AZJ769" s="10"/>
      <c r="AZK769" s="10"/>
      <c r="AZL769" s="10"/>
      <c r="AZM769" s="10"/>
      <c r="AZN769" s="10"/>
      <c r="AZO769" s="10"/>
      <c r="AZP769" s="10"/>
      <c r="AZQ769" s="10"/>
      <c r="AZR769" s="10"/>
      <c r="AZS769" s="10"/>
      <c r="AZT769" s="10"/>
      <c r="AZU769" s="10"/>
      <c r="AZV769" s="10"/>
      <c r="AZW769" s="10"/>
      <c r="AZX769" s="10"/>
      <c r="AZY769" s="10"/>
      <c r="AZZ769" s="10"/>
      <c r="BAA769" s="10"/>
      <c r="BAB769" s="10"/>
      <c r="BAC769" s="10"/>
      <c r="BAD769" s="10"/>
      <c r="BAE769" s="10"/>
      <c r="BAF769" s="10"/>
      <c r="BAG769" s="10"/>
      <c r="BAH769" s="10"/>
      <c r="BAI769" s="10"/>
      <c r="BAJ769" s="10"/>
      <c r="BAK769" s="10"/>
      <c r="BAL769" s="10"/>
      <c r="BAM769" s="10"/>
      <c r="BAN769" s="10"/>
      <c r="BAO769" s="10"/>
      <c r="BAP769" s="10"/>
      <c r="BAQ769" s="10"/>
      <c r="BAR769" s="10"/>
      <c r="BAS769" s="10"/>
      <c r="BAT769" s="10"/>
      <c r="BAU769" s="10"/>
      <c r="BAV769" s="10"/>
      <c r="BAW769" s="10"/>
      <c r="BAX769" s="10"/>
      <c r="BAY769" s="10"/>
      <c r="BAZ769" s="10"/>
      <c r="BBA769" s="10"/>
      <c r="BBB769" s="10"/>
      <c r="BBC769" s="10"/>
      <c r="BBD769" s="10"/>
      <c r="BBE769" s="10"/>
      <c r="BBF769" s="10"/>
      <c r="BBG769" s="10"/>
      <c r="BBH769" s="10"/>
      <c r="BBI769" s="10"/>
      <c r="BBJ769" s="10"/>
      <c r="BBK769" s="10"/>
      <c r="BBL769" s="10"/>
      <c r="BBM769" s="10"/>
      <c r="BBN769" s="10"/>
      <c r="BBO769" s="10"/>
      <c r="BBP769" s="10"/>
      <c r="BBQ769" s="10"/>
      <c r="BBR769" s="10"/>
      <c r="BBS769" s="10"/>
      <c r="BBT769" s="10"/>
      <c r="BBU769" s="10"/>
      <c r="BBV769" s="10"/>
      <c r="BBW769" s="10"/>
      <c r="BBX769" s="10"/>
      <c r="BBY769" s="10"/>
      <c r="BBZ769" s="10"/>
      <c r="BCA769" s="10"/>
      <c r="BCB769" s="10"/>
      <c r="BCC769" s="10"/>
      <c r="BCD769" s="10"/>
      <c r="BCE769" s="10"/>
      <c r="BCF769" s="10"/>
      <c r="BCG769" s="10"/>
      <c r="BCH769" s="10"/>
      <c r="BCI769" s="10"/>
      <c r="BCJ769" s="10"/>
      <c r="BCK769" s="10"/>
      <c r="BCL769" s="10"/>
      <c r="BCM769" s="10"/>
      <c r="BCN769" s="10"/>
      <c r="BCO769" s="10"/>
      <c r="BCP769" s="10"/>
      <c r="BCQ769" s="10"/>
      <c r="BCR769" s="10"/>
      <c r="BCS769" s="10"/>
      <c r="BCT769" s="10"/>
      <c r="BCU769" s="10"/>
      <c r="BCV769" s="10"/>
      <c r="BCW769" s="10"/>
      <c r="BCX769" s="10"/>
      <c r="BCY769" s="10"/>
      <c r="BCZ769" s="10"/>
      <c r="BDA769" s="10"/>
      <c r="BDB769" s="10"/>
      <c r="BDC769" s="10"/>
      <c r="BDD769" s="10"/>
      <c r="BDE769" s="10"/>
      <c r="BDF769" s="10"/>
      <c r="BDG769" s="10"/>
      <c r="BDH769" s="10"/>
      <c r="BDI769" s="10"/>
      <c r="BDJ769" s="10"/>
      <c r="BDK769" s="10"/>
      <c r="BDL769" s="10"/>
      <c r="BDM769" s="10"/>
      <c r="BDN769" s="10"/>
      <c r="BDO769" s="10"/>
      <c r="BDP769" s="10"/>
      <c r="BDQ769" s="10"/>
      <c r="BDR769" s="10"/>
      <c r="BDS769" s="10"/>
      <c r="BDT769" s="10"/>
      <c r="BDU769" s="10"/>
      <c r="BDV769" s="10"/>
      <c r="BDW769" s="10"/>
      <c r="BDX769" s="10"/>
      <c r="BDY769" s="10"/>
      <c r="BDZ769" s="10"/>
      <c r="BEA769" s="10"/>
      <c r="BEB769" s="10"/>
      <c r="BEC769" s="10"/>
      <c r="BED769" s="10"/>
      <c r="BEE769" s="10"/>
      <c r="BEF769" s="10"/>
      <c r="BEG769" s="10"/>
      <c r="BEH769" s="10"/>
      <c r="BEI769" s="10"/>
      <c r="BEJ769" s="10"/>
      <c r="BEK769" s="10"/>
      <c r="BEL769" s="10"/>
      <c r="BEM769" s="10"/>
      <c r="BEN769" s="10"/>
      <c r="BEO769" s="10"/>
      <c r="BEP769" s="10"/>
      <c r="BEQ769" s="10"/>
      <c r="BER769" s="10"/>
      <c r="BES769" s="10"/>
      <c r="BET769" s="10"/>
      <c r="BEU769" s="10"/>
      <c r="BEV769" s="10"/>
      <c r="BEW769" s="10"/>
      <c r="BEX769" s="10"/>
      <c r="BEY769" s="10"/>
      <c r="BEZ769" s="10"/>
      <c r="BFA769" s="10"/>
      <c r="BFB769" s="10"/>
      <c r="BFC769" s="10"/>
      <c r="BFD769" s="10"/>
      <c r="BFE769" s="10"/>
      <c r="BFF769" s="10"/>
      <c r="BFG769" s="10"/>
      <c r="BFH769" s="10"/>
      <c r="BFI769" s="10"/>
      <c r="BFJ769" s="10"/>
      <c r="BFK769" s="10"/>
      <c r="BFL769" s="10"/>
      <c r="BFM769" s="10"/>
      <c r="BFN769" s="10"/>
      <c r="BFO769" s="10"/>
      <c r="BFP769" s="10"/>
      <c r="BFQ769" s="10"/>
      <c r="BFR769" s="10"/>
      <c r="BFS769" s="10"/>
      <c r="BFT769" s="10"/>
      <c r="BFU769" s="10"/>
      <c r="BFV769" s="10"/>
      <c r="BFW769" s="10"/>
      <c r="BFX769" s="10"/>
      <c r="BFY769" s="10"/>
      <c r="BFZ769" s="10"/>
      <c r="BGA769" s="10"/>
      <c r="BGB769" s="10"/>
      <c r="BGC769" s="10"/>
      <c r="BGD769" s="10"/>
      <c r="BGE769" s="10"/>
      <c r="BGF769" s="10"/>
      <c r="BGG769" s="10"/>
      <c r="BGH769" s="10"/>
      <c r="BGI769" s="10"/>
      <c r="BGJ769" s="10"/>
      <c r="BGK769" s="10"/>
      <c r="BGL769" s="10"/>
      <c r="BGM769" s="10"/>
      <c r="BGN769" s="10"/>
      <c r="BGO769" s="10"/>
      <c r="BGP769" s="10"/>
      <c r="BGQ769" s="10"/>
      <c r="BGR769" s="10"/>
      <c r="BGS769" s="10"/>
      <c r="BGT769" s="10"/>
      <c r="BGU769" s="10"/>
      <c r="BGV769" s="10"/>
      <c r="BGW769" s="10"/>
      <c r="BGX769" s="10"/>
      <c r="BGY769" s="10"/>
      <c r="BGZ769" s="10"/>
      <c r="BHA769" s="10"/>
      <c r="BHB769" s="10"/>
      <c r="BHC769" s="10"/>
      <c r="BHD769" s="10"/>
      <c r="BHE769" s="10"/>
      <c r="BHF769" s="10"/>
      <c r="BHG769" s="10"/>
      <c r="BHH769" s="10"/>
      <c r="BHI769" s="10"/>
      <c r="BHJ769" s="10"/>
      <c r="BHK769" s="10"/>
      <c r="BHL769" s="10"/>
      <c r="BHM769" s="10"/>
      <c r="BHN769" s="10"/>
      <c r="BHO769" s="10"/>
      <c r="BHP769" s="10"/>
      <c r="BHQ769" s="10"/>
      <c r="BHR769" s="10"/>
      <c r="BHS769" s="10"/>
      <c r="BHT769" s="10"/>
      <c r="BHU769" s="10"/>
      <c r="BHV769" s="10"/>
      <c r="BHW769" s="10"/>
      <c r="BHX769" s="10"/>
      <c r="BHY769" s="10"/>
      <c r="BHZ769" s="10"/>
      <c r="BIA769" s="10"/>
      <c r="BIB769" s="10"/>
      <c r="BIC769" s="10"/>
      <c r="BID769" s="10"/>
      <c r="BIE769" s="10"/>
      <c r="BIF769" s="10"/>
      <c r="BIG769" s="10"/>
      <c r="BIH769" s="10"/>
      <c r="BII769" s="10"/>
      <c r="BIJ769" s="10"/>
      <c r="BIK769" s="10"/>
      <c r="BIL769" s="10"/>
      <c r="BIM769" s="10"/>
      <c r="BIN769" s="10"/>
      <c r="BIO769" s="10"/>
      <c r="BIP769" s="10"/>
      <c r="BIQ769" s="10"/>
      <c r="BIR769" s="10"/>
      <c r="BIS769" s="10"/>
      <c r="BIT769" s="10"/>
      <c r="BIU769" s="10"/>
      <c r="BIV769" s="10"/>
      <c r="BIW769" s="10"/>
      <c r="BIX769" s="10"/>
      <c r="BIY769" s="10"/>
      <c r="BIZ769" s="10"/>
      <c r="BJA769" s="10"/>
      <c r="BJB769" s="10"/>
      <c r="BJC769" s="10"/>
      <c r="BJD769" s="10"/>
      <c r="BJE769" s="10"/>
      <c r="BJF769" s="10"/>
      <c r="BJG769" s="10"/>
      <c r="BJH769" s="10"/>
      <c r="BJI769" s="10"/>
      <c r="BJJ769" s="10"/>
      <c r="BJK769" s="10"/>
      <c r="BJL769" s="10"/>
      <c r="BJM769" s="10"/>
      <c r="BJN769" s="10"/>
      <c r="BJO769" s="10"/>
      <c r="BJP769" s="10"/>
      <c r="BJQ769" s="10"/>
      <c r="BJR769" s="10"/>
      <c r="BJS769" s="10"/>
      <c r="BJT769" s="10"/>
      <c r="BJU769" s="10"/>
      <c r="BJV769" s="10"/>
      <c r="BJW769" s="10"/>
      <c r="BJX769" s="10"/>
      <c r="BJY769" s="10"/>
      <c r="BJZ769" s="10"/>
      <c r="BKA769" s="10"/>
      <c r="BKB769" s="10"/>
      <c r="BKC769" s="10"/>
      <c r="BKD769" s="10"/>
      <c r="BKE769" s="10"/>
      <c r="BKF769" s="10"/>
      <c r="BKG769" s="10"/>
      <c r="BKH769" s="10"/>
      <c r="BKI769" s="10"/>
      <c r="BKJ769" s="10"/>
      <c r="BKK769" s="10"/>
      <c r="BKL769" s="10"/>
      <c r="BKM769" s="10"/>
      <c r="BKN769" s="10"/>
      <c r="BKO769" s="10"/>
      <c r="BKP769" s="10"/>
      <c r="BKQ769" s="10"/>
      <c r="BKR769" s="10"/>
      <c r="BKS769" s="10"/>
      <c r="BKT769" s="10"/>
      <c r="BKU769" s="10"/>
      <c r="BKV769" s="10"/>
      <c r="BKW769" s="10"/>
      <c r="BKX769" s="10"/>
      <c r="BKY769" s="10"/>
      <c r="BKZ769" s="10"/>
      <c r="BLA769" s="10"/>
      <c r="BLB769" s="10"/>
      <c r="BLC769" s="10"/>
      <c r="BLD769" s="10"/>
      <c r="BLE769" s="10"/>
      <c r="BLF769" s="10"/>
      <c r="BLG769" s="10"/>
      <c r="BLH769" s="10"/>
      <c r="BLI769" s="10"/>
      <c r="BLJ769" s="10"/>
      <c r="BLK769" s="10"/>
      <c r="BLL769" s="10"/>
      <c r="BLM769" s="10"/>
      <c r="BLN769" s="10"/>
      <c r="BLO769" s="10"/>
      <c r="BLP769" s="10"/>
      <c r="BLQ769" s="10"/>
      <c r="BLR769" s="10"/>
      <c r="BLS769" s="10"/>
      <c r="BLT769" s="10"/>
      <c r="BLU769" s="10"/>
      <c r="BLV769" s="10"/>
      <c r="BLW769" s="10"/>
      <c r="BLX769" s="10"/>
      <c r="BLY769" s="10"/>
      <c r="BLZ769" s="10"/>
      <c r="BMA769" s="10"/>
      <c r="BMB769" s="10"/>
      <c r="BMC769" s="10"/>
      <c r="BMD769" s="10"/>
      <c r="BME769" s="10"/>
      <c r="BMF769" s="10"/>
      <c r="BMG769" s="10"/>
      <c r="BMH769" s="10"/>
      <c r="BMI769" s="10"/>
      <c r="BMJ769" s="10"/>
      <c r="BMK769" s="10"/>
      <c r="BML769" s="10"/>
      <c r="BMM769" s="10"/>
      <c r="BMN769" s="10"/>
      <c r="BMO769" s="10"/>
      <c r="BMP769" s="10"/>
      <c r="BMQ769" s="10"/>
      <c r="BMR769" s="10"/>
      <c r="BMS769" s="10"/>
      <c r="BMT769" s="10"/>
      <c r="BMU769" s="10"/>
      <c r="BMV769" s="10"/>
      <c r="BMW769" s="10"/>
      <c r="BMX769" s="10"/>
      <c r="BMY769" s="10"/>
      <c r="BMZ769" s="10"/>
      <c r="BNA769" s="10"/>
      <c r="BNB769" s="10"/>
      <c r="BNC769" s="10"/>
      <c r="BND769" s="10"/>
      <c r="BNE769" s="10"/>
      <c r="BNF769" s="10"/>
      <c r="BNG769" s="10"/>
      <c r="BNH769" s="10"/>
      <c r="BNI769" s="10"/>
      <c r="BNJ769" s="10"/>
      <c r="BNK769" s="10"/>
      <c r="BNL769" s="10"/>
      <c r="BNM769" s="10"/>
      <c r="BNN769" s="10"/>
      <c r="BNO769" s="10"/>
      <c r="BNP769" s="10"/>
      <c r="BNQ769" s="10"/>
      <c r="BNR769" s="10"/>
      <c r="BNS769" s="10"/>
      <c r="BNT769" s="10"/>
      <c r="BNU769" s="10"/>
      <c r="BNV769" s="10"/>
      <c r="BNW769" s="10"/>
      <c r="BNX769" s="10"/>
      <c r="BNY769" s="10"/>
      <c r="BNZ769" s="10"/>
      <c r="BOA769" s="10"/>
      <c r="BOB769" s="10"/>
      <c r="BOC769" s="10"/>
      <c r="BOD769" s="10"/>
      <c r="BOE769" s="10"/>
      <c r="BOF769" s="10"/>
      <c r="BOG769" s="10"/>
      <c r="BOH769" s="10"/>
      <c r="BOI769" s="10"/>
      <c r="BOJ769" s="10"/>
      <c r="BOK769" s="10"/>
      <c r="BOL769" s="10"/>
      <c r="BOM769" s="10"/>
      <c r="BON769" s="10"/>
      <c r="BOO769" s="10"/>
      <c r="BOP769" s="10"/>
      <c r="BOQ769" s="10"/>
      <c r="BOR769" s="10"/>
      <c r="BOS769" s="10"/>
      <c r="BOT769" s="10"/>
      <c r="BOU769" s="10"/>
      <c r="BOV769" s="10"/>
      <c r="BOW769" s="10"/>
      <c r="BOX769" s="10"/>
      <c r="BOY769" s="10"/>
      <c r="BOZ769" s="10"/>
      <c r="BPA769" s="10"/>
      <c r="BPB769" s="10"/>
      <c r="BPC769" s="10"/>
      <c r="BPD769" s="10"/>
      <c r="BPE769" s="10"/>
      <c r="BPF769" s="10"/>
      <c r="BPG769" s="10"/>
      <c r="BPH769" s="10"/>
      <c r="BPI769" s="10"/>
      <c r="BPJ769" s="10"/>
      <c r="BPK769" s="10"/>
      <c r="BPL769" s="10"/>
      <c r="BPM769" s="10"/>
      <c r="BPN769" s="10"/>
      <c r="BPO769" s="10"/>
      <c r="BPP769" s="10"/>
      <c r="BPQ769" s="10"/>
      <c r="BPR769" s="10"/>
      <c r="BPS769" s="10"/>
      <c r="BPT769" s="10"/>
      <c r="BPU769" s="10"/>
      <c r="BPV769" s="10"/>
      <c r="BPW769" s="10"/>
      <c r="BPX769" s="10"/>
      <c r="BPY769" s="10"/>
      <c r="BPZ769" s="10"/>
      <c r="BQA769" s="10"/>
      <c r="BQB769" s="10"/>
      <c r="BQC769" s="10"/>
      <c r="BQD769" s="10"/>
      <c r="BQE769" s="10"/>
      <c r="BQF769" s="10"/>
      <c r="BQG769" s="10"/>
      <c r="BQH769" s="10"/>
      <c r="BQI769" s="10"/>
      <c r="BQJ769" s="10"/>
      <c r="BQK769" s="10"/>
      <c r="BQL769" s="10"/>
      <c r="BQM769" s="10"/>
      <c r="BQN769" s="10"/>
      <c r="BQO769" s="10"/>
      <c r="BQP769" s="10"/>
      <c r="BQQ769" s="10"/>
      <c r="BQR769" s="10"/>
      <c r="BQS769" s="10"/>
      <c r="BQT769" s="10"/>
      <c r="BQU769" s="10"/>
      <c r="BQV769" s="10"/>
      <c r="BQW769" s="10"/>
      <c r="BQX769" s="10"/>
      <c r="BQY769" s="10"/>
      <c r="BQZ769" s="10"/>
      <c r="BRA769" s="10"/>
      <c r="BRB769" s="10"/>
      <c r="BRC769" s="10"/>
      <c r="BRD769" s="10"/>
      <c r="BRE769" s="10"/>
      <c r="BRF769" s="10"/>
      <c r="BRG769" s="10"/>
      <c r="BRH769" s="10"/>
      <c r="BRI769" s="10"/>
      <c r="BRJ769" s="10"/>
      <c r="BRK769" s="10"/>
      <c r="BRL769" s="10"/>
      <c r="BRM769" s="10"/>
      <c r="BRN769" s="10"/>
      <c r="BRO769" s="10"/>
      <c r="BRP769" s="10"/>
      <c r="BRQ769" s="10"/>
      <c r="BRR769" s="10"/>
      <c r="BRS769" s="10"/>
      <c r="BRT769" s="10"/>
      <c r="BRU769" s="10"/>
      <c r="BRV769" s="10"/>
      <c r="BRW769" s="10"/>
      <c r="BRX769" s="10"/>
      <c r="BRY769" s="10"/>
      <c r="BRZ769" s="10"/>
      <c r="BSA769" s="10"/>
      <c r="BSB769" s="10"/>
      <c r="BSC769" s="10"/>
      <c r="BSD769" s="10"/>
      <c r="BSE769" s="10"/>
      <c r="BSF769" s="10"/>
      <c r="BSG769" s="10"/>
      <c r="BSH769" s="10"/>
      <c r="BSI769" s="10"/>
      <c r="BSJ769" s="10"/>
      <c r="BSK769" s="10"/>
      <c r="BSL769" s="10"/>
      <c r="BSM769" s="10"/>
      <c r="BSN769" s="10"/>
      <c r="BSO769" s="10"/>
      <c r="BSP769" s="10"/>
      <c r="BSQ769" s="10"/>
      <c r="BSR769" s="10"/>
      <c r="BSS769" s="10"/>
      <c r="BST769" s="10"/>
      <c r="BSU769" s="10"/>
      <c r="BSV769" s="10"/>
      <c r="BSW769" s="10"/>
      <c r="BSX769" s="10"/>
      <c r="BSY769" s="10"/>
      <c r="BSZ769" s="10"/>
      <c r="BTA769" s="10"/>
      <c r="BTB769" s="10"/>
      <c r="BTC769" s="10"/>
      <c r="BTD769" s="10"/>
      <c r="BTE769" s="10"/>
      <c r="BTF769" s="10"/>
      <c r="BTG769" s="10"/>
      <c r="BTH769" s="10"/>
      <c r="BTI769" s="10"/>
      <c r="BTJ769" s="10"/>
      <c r="BTK769" s="10"/>
      <c r="BTL769" s="10"/>
      <c r="BTM769" s="10"/>
      <c r="BTN769" s="10"/>
      <c r="BTO769" s="10"/>
      <c r="BTP769" s="10"/>
      <c r="BTQ769" s="10"/>
      <c r="BTR769" s="10"/>
      <c r="BTS769" s="10"/>
      <c r="BTT769" s="10"/>
    </row>
    <row r="770" spans="1:1892" s="9" customFormat="1" ht="35.1" customHeight="1">
      <c r="A770" s="1241"/>
      <c r="B770" s="538"/>
      <c r="C770" s="983"/>
      <c r="D770" s="573"/>
      <c r="E770" s="574"/>
      <c r="F770" s="575"/>
      <c r="G770" s="730"/>
      <c r="H770" s="730"/>
      <c r="I770" s="730"/>
      <c r="J770" s="983"/>
      <c r="K770" s="983"/>
      <c r="L770" s="131">
        <v>107</v>
      </c>
      <c r="M770" s="231">
        <v>229</v>
      </c>
      <c r="N770" s="132">
        <v>1</v>
      </c>
      <c r="O770" s="132">
        <v>1</v>
      </c>
      <c r="P770" s="512"/>
      <c r="Q770" s="512"/>
      <c r="R770" s="512"/>
      <c r="S770" s="652"/>
      <c r="T770" s="714"/>
      <c r="U770" s="714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/>
      <c r="BT770" s="10"/>
      <c r="BU770" s="10"/>
      <c r="BV770" s="10"/>
      <c r="BW770" s="10"/>
      <c r="BX770" s="10"/>
      <c r="BY770" s="10"/>
      <c r="BZ770" s="10"/>
      <c r="CA770" s="10"/>
      <c r="CB770" s="10"/>
      <c r="CC770" s="10"/>
      <c r="CD770" s="10"/>
      <c r="CE770" s="10"/>
      <c r="CF770" s="10"/>
      <c r="CG770" s="10"/>
      <c r="CH770" s="10"/>
      <c r="CI770" s="10"/>
      <c r="CJ770" s="10"/>
      <c r="CK770" s="10"/>
      <c r="CL770" s="10"/>
      <c r="CM770" s="10"/>
      <c r="CN770" s="10"/>
      <c r="CO770" s="10"/>
      <c r="CP770" s="10"/>
      <c r="CQ770" s="10"/>
      <c r="CR770" s="10"/>
      <c r="CS770" s="10"/>
      <c r="CT770" s="10"/>
      <c r="CU770" s="10"/>
      <c r="CV770" s="10"/>
      <c r="CW770" s="10"/>
      <c r="CX770" s="10"/>
      <c r="CY770" s="10"/>
      <c r="CZ770" s="10"/>
      <c r="DA770" s="10"/>
      <c r="DB770" s="10"/>
      <c r="DC770" s="10"/>
      <c r="DD770" s="10"/>
      <c r="DE770" s="10"/>
      <c r="DF770" s="10"/>
      <c r="DG770" s="10"/>
      <c r="DH770" s="10"/>
      <c r="DI770" s="10"/>
      <c r="DJ770" s="10"/>
      <c r="DK770" s="10"/>
      <c r="DL770" s="10"/>
      <c r="DM770" s="10"/>
      <c r="DN770" s="10"/>
      <c r="DO770" s="10"/>
      <c r="DP770" s="10"/>
      <c r="DQ770" s="10"/>
      <c r="DR770" s="10"/>
      <c r="DS770" s="10"/>
      <c r="DT770" s="10"/>
      <c r="DU770" s="10"/>
      <c r="DV770" s="10"/>
      <c r="DW770" s="10"/>
      <c r="DX770" s="10"/>
      <c r="DY770" s="10"/>
      <c r="DZ770" s="10"/>
      <c r="EA770" s="10"/>
      <c r="EB770" s="10"/>
      <c r="EC770" s="10"/>
      <c r="ED770" s="10"/>
      <c r="EE770" s="10"/>
      <c r="EF770" s="10"/>
      <c r="EG770" s="10"/>
      <c r="EH770" s="10"/>
      <c r="EI770" s="10"/>
      <c r="EJ770" s="10"/>
      <c r="EK770" s="10"/>
      <c r="EL770" s="10"/>
      <c r="EM770" s="10"/>
      <c r="EN770" s="10"/>
      <c r="EO770" s="10"/>
      <c r="EP770" s="10"/>
      <c r="EQ770" s="10"/>
      <c r="ER770" s="10"/>
      <c r="ES770" s="10"/>
      <c r="ET770" s="10"/>
      <c r="EU770" s="10"/>
      <c r="EV770" s="10"/>
      <c r="EW770" s="10"/>
      <c r="EX770" s="10"/>
      <c r="EY770" s="10"/>
      <c r="EZ770" s="10"/>
      <c r="FA770" s="10"/>
      <c r="FB770" s="10"/>
      <c r="FC770" s="10"/>
      <c r="FD770" s="10"/>
      <c r="FE770" s="10"/>
      <c r="FF770" s="10"/>
      <c r="FG770" s="10"/>
      <c r="FH770" s="10"/>
      <c r="FI770" s="10"/>
      <c r="FJ770" s="10"/>
      <c r="FK770" s="10"/>
      <c r="FL770" s="10"/>
      <c r="FM770" s="10"/>
      <c r="FN770" s="10"/>
      <c r="FO770" s="10"/>
      <c r="FP770" s="10"/>
      <c r="FQ770" s="10"/>
      <c r="FR770" s="10"/>
      <c r="FS770" s="10"/>
      <c r="FT770" s="10"/>
      <c r="FU770" s="10"/>
      <c r="FV770" s="10"/>
      <c r="FW770" s="10"/>
      <c r="FX770" s="10"/>
      <c r="FY770" s="10"/>
      <c r="FZ770" s="10"/>
      <c r="GA770" s="10"/>
      <c r="GB770" s="10"/>
      <c r="GC770" s="10"/>
      <c r="GD770" s="10"/>
      <c r="GE770" s="10"/>
      <c r="GF770" s="10"/>
      <c r="GG770" s="10"/>
      <c r="GH770" s="10"/>
      <c r="GI770" s="10"/>
      <c r="GJ770" s="10"/>
      <c r="GK770" s="10"/>
      <c r="GL770" s="10"/>
      <c r="GM770" s="10"/>
      <c r="GN770" s="10"/>
      <c r="GO770" s="10"/>
      <c r="GP770" s="10"/>
      <c r="GQ770" s="10"/>
      <c r="GR770" s="10"/>
      <c r="GS770" s="10"/>
      <c r="GT770" s="10"/>
      <c r="GU770" s="10"/>
      <c r="GV770" s="10"/>
      <c r="GW770" s="10"/>
      <c r="GX770" s="10"/>
      <c r="GY770" s="10"/>
      <c r="GZ770" s="10"/>
      <c r="HA770" s="10"/>
      <c r="HB770" s="10"/>
      <c r="HC770" s="10"/>
      <c r="HD770" s="10"/>
      <c r="HE770" s="10"/>
      <c r="HF770" s="10"/>
      <c r="HG770" s="10"/>
      <c r="HH770" s="10"/>
      <c r="HI770" s="10"/>
      <c r="HJ770" s="10"/>
      <c r="HK770" s="10"/>
      <c r="HL770" s="10"/>
      <c r="HM770" s="10"/>
      <c r="HN770" s="10"/>
      <c r="HO770" s="10"/>
      <c r="HP770" s="10"/>
      <c r="HQ770" s="10"/>
      <c r="HR770" s="10"/>
      <c r="HS770" s="10"/>
      <c r="HT770" s="10"/>
      <c r="HU770" s="10"/>
      <c r="HV770" s="10"/>
      <c r="HW770" s="10"/>
      <c r="HX770" s="10"/>
      <c r="HY770" s="10"/>
      <c r="HZ770" s="10"/>
      <c r="IA770" s="10"/>
      <c r="IB770" s="10"/>
      <c r="IC770" s="10"/>
      <c r="ID770" s="10"/>
      <c r="IE770" s="10"/>
      <c r="IF770" s="10"/>
      <c r="IG770" s="10"/>
      <c r="IH770" s="10"/>
      <c r="II770" s="10"/>
      <c r="IJ770" s="10"/>
      <c r="IK770" s="10"/>
      <c r="IL770" s="10"/>
      <c r="IM770" s="10"/>
      <c r="IN770" s="10"/>
      <c r="IO770" s="10"/>
      <c r="IP770" s="10"/>
      <c r="IQ770" s="10"/>
      <c r="IR770" s="10"/>
      <c r="IS770" s="10"/>
      <c r="IT770" s="10"/>
      <c r="IU770" s="10"/>
      <c r="IV770" s="10"/>
      <c r="IW770" s="10"/>
      <c r="IX770" s="10"/>
      <c r="IY770" s="10"/>
      <c r="IZ770" s="10"/>
      <c r="JA770" s="10"/>
      <c r="JB770" s="10"/>
      <c r="JC770" s="10"/>
      <c r="JD770" s="10"/>
      <c r="JE770" s="10"/>
      <c r="JF770" s="10"/>
      <c r="JG770" s="10"/>
      <c r="JH770" s="10"/>
      <c r="JI770" s="10"/>
      <c r="JJ770" s="10"/>
      <c r="JK770" s="10"/>
      <c r="JL770" s="10"/>
      <c r="JM770" s="10"/>
      <c r="JN770" s="10"/>
      <c r="JO770" s="10"/>
      <c r="JP770" s="10"/>
      <c r="JQ770" s="10"/>
      <c r="JR770" s="10"/>
      <c r="JS770" s="10"/>
      <c r="JT770" s="10"/>
      <c r="JU770" s="10"/>
      <c r="JV770" s="10"/>
      <c r="JW770" s="10"/>
      <c r="JX770" s="10"/>
      <c r="JY770" s="10"/>
      <c r="JZ770" s="10"/>
      <c r="KA770" s="10"/>
      <c r="KB770" s="10"/>
      <c r="KC770" s="10"/>
      <c r="KD770" s="10"/>
      <c r="KE770" s="10"/>
      <c r="KF770" s="10"/>
      <c r="KG770" s="10"/>
      <c r="KH770" s="10"/>
      <c r="KI770" s="10"/>
      <c r="KJ770" s="10"/>
      <c r="KK770" s="10"/>
      <c r="KL770" s="10"/>
      <c r="KM770" s="10"/>
      <c r="KN770" s="10"/>
      <c r="KO770" s="10"/>
      <c r="KP770" s="10"/>
      <c r="KQ770" s="10"/>
      <c r="KR770" s="10"/>
      <c r="KS770" s="10"/>
      <c r="KT770" s="10"/>
      <c r="KU770" s="10"/>
      <c r="KV770" s="10"/>
      <c r="KW770" s="10"/>
      <c r="KX770" s="10"/>
      <c r="KY770" s="10"/>
      <c r="KZ770" s="10"/>
      <c r="LA770" s="10"/>
      <c r="LB770" s="10"/>
      <c r="LC770" s="10"/>
      <c r="LD770" s="10"/>
      <c r="LE770" s="10"/>
      <c r="LF770" s="10"/>
      <c r="LG770" s="10"/>
      <c r="LH770" s="10"/>
      <c r="LI770" s="10"/>
      <c r="LJ770" s="10"/>
      <c r="LK770" s="10"/>
      <c r="LL770" s="10"/>
      <c r="LM770" s="10"/>
      <c r="LN770" s="10"/>
      <c r="LO770" s="10"/>
      <c r="LP770" s="10"/>
      <c r="LQ770" s="10"/>
      <c r="LR770" s="10"/>
      <c r="LS770" s="10"/>
      <c r="LT770" s="10"/>
      <c r="LU770" s="10"/>
      <c r="LV770" s="10"/>
      <c r="LW770" s="10"/>
      <c r="LX770" s="10"/>
      <c r="LY770" s="10"/>
      <c r="LZ770" s="10"/>
      <c r="MA770" s="10"/>
      <c r="MB770" s="10"/>
      <c r="MC770" s="10"/>
      <c r="MD770" s="10"/>
      <c r="ME770" s="10"/>
      <c r="MF770" s="10"/>
      <c r="MG770" s="10"/>
      <c r="MH770" s="10"/>
      <c r="MI770" s="10"/>
      <c r="MJ770" s="10"/>
      <c r="MK770" s="10"/>
      <c r="ML770" s="10"/>
      <c r="MM770" s="10"/>
      <c r="MN770" s="10"/>
      <c r="MO770" s="10"/>
      <c r="MP770" s="10"/>
      <c r="MQ770" s="10"/>
      <c r="MR770" s="10"/>
      <c r="MS770" s="10"/>
      <c r="MT770" s="10"/>
      <c r="MU770" s="10"/>
      <c r="MV770" s="10"/>
      <c r="MW770" s="10"/>
      <c r="MX770" s="10"/>
      <c r="MY770" s="10"/>
      <c r="MZ770" s="10"/>
      <c r="NA770" s="10"/>
      <c r="NB770" s="10"/>
      <c r="NC770" s="10"/>
      <c r="ND770" s="10"/>
      <c r="NE770" s="10"/>
      <c r="NF770" s="10"/>
      <c r="NG770" s="10"/>
      <c r="NH770" s="10"/>
      <c r="NI770" s="10"/>
      <c r="NJ770" s="10"/>
      <c r="NK770" s="10"/>
      <c r="NL770" s="10"/>
      <c r="NM770" s="10"/>
      <c r="NN770" s="10"/>
      <c r="NO770" s="10"/>
      <c r="NP770" s="10"/>
      <c r="NQ770" s="10"/>
      <c r="NR770" s="10"/>
      <c r="NS770" s="10"/>
      <c r="NT770" s="10"/>
      <c r="NU770" s="10"/>
      <c r="NV770" s="10"/>
      <c r="NW770" s="10"/>
      <c r="NX770" s="10"/>
      <c r="NY770" s="10"/>
      <c r="NZ770" s="10"/>
      <c r="OA770" s="10"/>
      <c r="OB770" s="10"/>
      <c r="OC770" s="10"/>
      <c r="OD770" s="10"/>
      <c r="OE770" s="10"/>
      <c r="OF770" s="10"/>
      <c r="OG770" s="10"/>
      <c r="OH770" s="10"/>
      <c r="OI770" s="10"/>
      <c r="OJ770" s="10"/>
      <c r="OK770" s="10"/>
      <c r="OL770" s="10"/>
      <c r="OM770" s="10"/>
      <c r="ON770" s="10"/>
      <c r="OO770" s="10"/>
      <c r="OP770" s="10"/>
      <c r="OQ770" s="10"/>
      <c r="OR770" s="10"/>
      <c r="OS770" s="10"/>
      <c r="OT770" s="10"/>
      <c r="OU770" s="10"/>
      <c r="OV770" s="10"/>
      <c r="OW770" s="10"/>
      <c r="OX770" s="10"/>
      <c r="OY770" s="10"/>
      <c r="OZ770" s="10"/>
      <c r="PA770" s="10"/>
      <c r="PB770" s="10"/>
      <c r="PC770" s="10"/>
      <c r="PD770" s="10"/>
      <c r="PE770" s="10"/>
      <c r="PF770" s="10"/>
      <c r="PG770" s="10"/>
      <c r="PH770" s="10"/>
      <c r="PI770" s="10"/>
      <c r="PJ770" s="10"/>
      <c r="PK770" s="10"/>
      <c r="PL770" s="10"/>
      <c r="PM770" s="10"/>
      <c r="PN770" s="10"/>
      <c r="PO770" s="10"/>
      <c r="PP770" s="10"/>
      <c r="PQ770" s="10"/>
      <c r="PR770" s="10"/>
      <c r="PS770" s="10"/>
      <c r="PT770" s="10"/>
      <c r="PU770" s="10"/>
      <c r="PV770" s="10"/>
      <c r="PW770" s="10"/>
      <c r="PX770" s="10"/>
      <c r="PY770" s="10"/>
      <c r="PZ770" s="10"/>
      <c r="QA770" s="10"/>
      <c r="QB770" s="10"/>
      <c r="QC770" s="10"/>
      <c r="QD770" s="10"/>
      <c r="QE770" s="10"/>
      <c r="QF770" s="10"/>
      <c r="QG770" s="10"/>
      <c r="QH770" s="10"/>
      <c r="QI770" s="10"/>
      <c r="QJ770" s="10"/>
      <c r="QK770" s="10"/>
      <c r="QL770" s="10"/>
      <c r="QM770" s="10"/>
      <c r="QN770" s="10"/>
      <c r="QO770" s="10"/>
      <c r="QP770" s="10"/>
      <c r="QQ770" s="10"/>
      <c r="QR770" s="10"/>
      <c r="QS770" s="10"/>
      <c r="QT770" s="10"/>
      <c r="QU770" s="10"/>
      <c r="QV770" s="10"/>
      <c r="QW770" s="10"/>
      <c r="QX770" s="10"/>
      <c r="QY770" s="10"/>
      <c r="QZ770" s="10"/>
      <c r="RA770" s="10"/>
      <c r="RB770" s="10"/>
      <c r="RC770" s="10"/>
      <c r="RD770" s="10"/>
      <c r="RE770" s="10"/>
      <c r="RF770" s="10"/>
      <c r="RG770" s="10"/>
      <c r="RH770" s="10"/>
      <c r="RI770" s="10"/>
      <c r="RJ770" s="10"/>
      <c r="RK770" s="10"/>
      <c r="RL770" s="10"/>
      <c r="RM770" s="10"/>
      <c r="RN770" s="10"/>
      <c r="RO770" s="10"/>
      <c r="RP770" s="10"/>
      <c r="RQ770" s="10"/>
      <c r="RR770" s="10"/>
      <c r="RS770" s="10"/>
      <c r="RT770" s="10"/>
      <c r="RU770" s="10"/>
      <c r="RV770" s="10"/>
      <c r="RW770" s="10"/>
      <c r="RX770" s="10"/>
      <c r="RY770" s="10"/>
      <c r="RZ770" s="10"/>
      <c r="SA770" s="10"/>
      <c r="SB770" s="10"/>
      <c r="SC770" s="10"/>
      <c r="SD770" s="10"/>
      <c r="SE770" s="10"/>
      <c r="SF770" s="10"/>
      <c r="SG770" s="10"/>
      <c r="SH770" s="10"/>
      <c r="SI770" s="10"/>
      <c r="SJ770" s="10"/>
      <c r="SK770" s="10"/>
      <c r="SL770" s="10"/>
      <c r="SM770" s="10"/>
      <c r="SN770" s="10"/>
      <c r="SO770" s="10"/>
      <c r="SP770" s="10"/>
      <c r="SQ770" s="10"/>
      <c r="SR770" s="10"/>
      <c r="SS770" s="10"/>
      <c r="ST770" s="10"/>
      <c r="SU770" s="10"/>
      <c r="SV770" s="10"/>
      <c r="SW770" s="10"/>
      <c r="SX770" s="10"/>
      <c r="SY770" s="10"/>
      <c r="SZ770" s="10"/>
      <c r="TA770" s="10"/>
      <c r="TB770" s="10"/>
      <c r="TC770" s="10"/>
      <c r="TD770" s="10"/>
      <c r="TE770" s="10"/>
      <c r="TF770" s="10"/>
      <c r="TG770" s="10"/>
      <c r="TH770" s="10"/>
      <c r="TI770" s="10"/>
      <c r="TJ770" s="10"/>
      <c r="TK770" s="10"/>
      <c r="TL770" s="10"/>
      <c r="TM770" s="10"/>
      <c r="TN770" s="10"/>
      <c r="TO770" s="10"/>
      <c r="TP770" s="10"/>
      <c r="TQ770" s="10"/>
      <c r="TR770" s="10"/>
      <c r="TS770" s="10"/>
      <c r="TT770" s="10"/>
      <c r="TU770" s="10"/>
      <c r="TV770" s="10"/>
      <c r="TW770" s="10"/>
      <c r="TX770" s="10"/>
      <c r="TY770" s="10"/>
      <c r="TZ770" s="10"/>
      <c r="UA770" s="10"/>
      <c r="UB770" s="10"/>
      <c r="UC770" s="10"/>
      <c r="UD770" s="10"/>
      <c r="UE770" s="10"/>
      <c r="UF770" s="10"/>
      <c r="UG770" s="10"/>
      <c r="UH770" s="10"/>
      <c r="UI770" s="10"/>
      <c r="UJ770" s="10"/>
      <c r="UK770" s="10"/>
      <c r="UL770" s="10"/>
      <c r="UM770" s="10"/>
      <c r="UN770" s="10"/>
      <c r="UO770" s="10"/>
      <c r="UP770" s="10"/>
      <c r="UQ770" s="10"/>
      <c r="UR770" s="10"/>
      <c r="US770" s="10"/>
      <c r="UT770" s="10"/>
      <c r="UU770" s="10"/>
      <c r="UV770" s="10"/>
      <c r="UW770" s="10"/>
      <c r="UX770" s="10"/>
      <c r="UY770" s="10"/>
      <c r="UZ770" s="10"/>
      <c r="VA770" s="10"/>
      <c r="VB770" s="10"/>
      <c r="VC770" s="10"/>
      <c r="VD770" s="10"/>
      <c r="VE770" s="10"/>
      <c r="VF770" s="10"/>
      <c r="VG770" s="10"/>
      <c r="VH770" s="10"/>
      <c r="VI770" s="10"/>
      <c r="VJ770" s="10"/>
      <c r="VK770" s="10"/>
      <c r="VL770" s="10"/>
      <c r="VM770" s="10"/>
      <c r="VN770" s="10"/>
      <c r="VO770" s="10"/>
      <c r="VP770" s="10"/>
      <c r="VQ770" s="10"/>
      <c r="VR770" s="10"/>
      <c r="VS770" s="10"/>
      <c r="VT770" s="10"/>
      <c r="VU770" s="10"/>
      <c r="VV770" s="10"/>
      <c r="VW770" s="10"/>
      <c r="VX770" s="10"/>
      <c r="VY770" s="10"/>
      <c r="VZ770" s="10"/>
      <c r="WA770" s="10"/>
      <c r="WB770" s="10"/>
      <c r="WC770" s="10"/>
      <c r="WD770" s="10"/>
      <c r="WE770" s="10"/>
      <c r="WF770" s="10"/>
      <c r="WG770" s="10"/>
      <c r="WH770" s="10"/>
      <c r="WI770" s="10"/>
      <c r="WJ770" s="10"/>
      <c r="WK770" s="10"/>
      <c r="WL770" s="10"/>
      <c r="WM770" s="10"/>
      <c r="WN770" s="10"/>
      <c r="WO770" s="10"/>
      <c r="WP770" s="10"/>
      <c r="WQ770" s="10"/>
      <c r="WR770" s="10"/>
      <c r="WS770" s="10"/>
      <c r="WT770" s="10"/>
      <c r="WU770" s="10"/>
      <c r="WV770" s="10"/>
      <c r="WW770" s="10"/>
      <c r="WX770" s="10"/>
      <c r="WY770" s="10"/>
      <c r="WZ770" s="10"/>
      <c r="XA770" s="10"/>
      <c r="XB770" s="10"/>
      <c r="XC770" s="10"/>
      <c r="XD770" s="10"/>
      <c r="XE770" s="10"/>
      <c r="XF770" s="10"/>
      <c r="XG770" s="10"/>
      <c r="XH770" s="10"/>
      <c r="XI770" s="10"/>
      <c r="XJ770" s="10"/>
      <c r="XK770" s="10"/>
      <c r="XL770" s="10"/>
      <c r="XM770" s="10"/>
      <c r="XN770" s="10"/>
      <c r="XO770" s="10"/>
      <c r="XP770" s="10"/>
      <c r="XQ770" s="10"/>
      <c r="XR770" s="10"/>
      <c r="XS770" s="10"/>
      <c r="XT770" s="10"/>
      <c r="XU770" s="10"/>
      <c r="XV770" s="10"/>
      <c r="XW770" s="10"/>
      <c r="XX770" s="10"/>
      <c r="XY770" s="10"/>
      <c r="XZ770" s="10"/>
      <c r="YA770" s="10"/>
      <c r="YB770" s="10"/>
      <c r="YC770" s="10"/>
      <c r="YD770" s="10"/>
      <c r="YE770" s="10"/>
      <c r="YF770" s="10"/>
      <c r="YG770" s="10"/>
      <c r="YH770" s="10"/>
      <c r="YI770" s="10"/>
      <c r="YJ770" s="10"/>
      <c r="YK770" s="10"/>
      <c r="YL770" s="10"/>
      <c r="YM770" s="10"/>
      <c r="YN770" s="10"/>
      <c r="YO770" s="10"/>
      <c r="YP770" s="10"/>
      <c r="YQ770" s="10"/>
      <c r="YR770" s="10"/>
      <c r="YS770" s="10"/>
      <c r="YT770" s="10"/>
      <c r="YU770" s="10"/>
      <c r="YV770" s="10"/>
      <c r="YW770" s="10"/>
      <c r="YX770" s="10"/>
      <c r="YY770" s="10"/>
      <c r="YZ770" s="10"/>
      <c r="ZA770" s="10"/>
      <c r="ZB770" s="10"/>
      <c r="ZC770" s="10"/>
      <c r="ZD770" s="10"/>
      <c r="ZE770" s="10"/>
      <c r="ZF770" s="10"/>
      <c r="ZG770" s="10"/>
      <c r="ZH770" s="10"/>
      <c r="ZI770" s="10"/>
      <c r="ZJ770" s="10"/>
      <c r="ZK770" s="10"/>
      <c r="ZL770" s="10"/>
      <c r="ZM770" s="10"/>
      <c r="ZN770" s="10"/>
      <c r="ZO770" s="10"/>
      <c r="ZP770" s="10"/>
      <c r="ZQ770" s="10"/>
      <c r="ZR770" s="10"/>
      <c r="ZS770" s="10"/>
      <c r="ZT770" s="10"/>
      <c r="ZU770" s="10"/>
      <c r="ZV770" s="10"/>
      <c r="ZW770" s="10"/>
      <c r="ZX770" s="10"/>
      <c r="ZY770" s="10"/>
      <c r="ZZ770" s="10"/>
      <c r="AAA770" s="10"/>
      <c r="AAB770" s="10"/>
      <c r="AAC770" s="10"/>
      <c r="AAD770" s="10"/>
      <c r="AAE770" s="10"/>
      <c r="AAF770" s="10"/>
      <c r="AAG770" s="10"/>
      <c r="AAH770" s="10"/>
      <c r="AAI770" s="10"/>
      <c r="AAJ770" s="10"/>
      <c r="AAK770" s="10"/>
      <c r="AAL770" s="10"/>
      <c r="AAM770" s="10"/>
      <c r="AAN770" s="10"/>
      <c r="AAO770" s="10"/>
      <c r="AAP770" s="10"/>
      <c r="AAQ770" s="10"/>
      <c r="AAR770" s="10"/>
      <c r="AAS770" s="10"/>
      <c r="AAT770" s="10"/>
      <c r="AAU770" s="10"/>
      <c r="AAV770" s="10"/>
      <c r="AAW770" s="10"/>
      <c r="AAX770" s="10"/>
      <c r="AAY770" s="10"/>
      <c r="AAZ770" s="10"/>
      <c r="ABA770" s="10"/>
      <c r="ABB770" s="10"/>
      <c r="ABC770" s="10"/>
      <c r="ABD770" s="10"/>
      <c r="ABE770" s="10"/>
      <c r="ABF770" s="10"/>
      <c r="ABG770" s="10"/>
      <c r="ABH770" s="10"/>
      <c r="ABI770" s="10"/>
      <c r="ABJ770" s="10"/>
      <c r="ABK770" s="10"/>
      <c r="ABL770" s="10"/>
      <c r="ABM770" s="10"/>
      <c r="ABN770" s="10"/>
      <c r="ABO770" s="10"/>
      <c r="ABP770" s="10"/>
      <c r="ABQ770" s="10"/>
      <c r="ABR770" s="10"/>
      <c r="ABS770" s="10"/>
      <c r="ABT770" s="10"/>
      <c r="ABU770" s="10"/>
      <c r="ABV770" s="10"/>
      <c r="ABW770" s="10"/>
      <c r="ABX770" s="10"/>
      <c r="ABY770" s="10"/>
      <c r="ABZ770" s="10"/>
      <c r="ACA770" s="10"/>
      <c r="ACB770" s="10"/>
      <c r="ACC770" s="10"/>
      <c r="ACD770" s="10"/>
      <c r="ACE770" s="10"/>
      <c r="ACF770" s="10"/>
      <c r="ACG770" s="10"/>
      <c r="ACH770" s="10"/>
      <c r="ACI770" s="10"/>
      <c r="ACJ770" s="10"/>
      <c r="ACK770" s="10"/>
      <c r="ACL770" s="10"/>
      <c r="ACM770" s="10"/>
      <c r="ACN770" s="10"/>
      <c r="ACO770" s="10"/>
      <c r="ACP770" s="10"/>
      <c r="ACQ770" s="10"/>
      <c r="ACR770" s="10"/>
      <c r="ACS770" s="10"/>
      <c r="ACT770" s="10"/>
      <c r="ACU770" s="10"/>
      <c r="ACV770" s="10"/>
      <c r="ACW770" s="10"/>
      <c r="ACX770" s="10"/>
      <c r="ACY770" s="10"/>
      <c r="ACZ770" s="10"/>
      <c r="ADA770" s="10"/>
      <c r="ADB770" s="10"/>
      <c r="ADC770" s="10"/>
      <c r="ADD770" s="10"/>
      <c r="ADE770" s="10"/>
      <c r="ADF770" s="10"/>
      <c r="ADG770" s="10"/>
      <c r="ADH770" s="10"/>
      <c r="ADI770" s="10"/>
      <c r="ADJ770" s="10"/>
      <c r="ADK770" s="10"/>
      <c r="ADL770" s="10"/>
      <c r="ADM770" s="10"/>
      <c r="ADN770" s="10"/>
      <c r="ADO770" s="10"/>
      <c r="ADP770" s="10"/>
      <c r="ADQ770" s="10"/>
      <c r="ADR770" s="10"/>
      <c r="ADS770" s="10"/>
      <c r="ADT770" s="10"/>
      <c r="ADU770" s="10"/>
      <c r="ADV770" s="10"/>
      <c r="ADW770" s="10"/>
      <c r="ADX770" s="10"/>
      <c r="ADY770" s="10"/>
      <c r="ADZ770" s="10"/>
      <c r="AEA770" s="10"/>
      <c r="AEB770" s="10"/>
      <c r="AEC770" s="10"/>
      <c r="AED770" s="10"/>
      <c r="AEE770" s="10"/>
      <c r="AEF770" s="10"/>
      <c r="AEG770" s="10"/>
      <c r="AEH770" s="10"/>
      <c r="AEI770" s="10"/>
      <c r="AEJ770" s="10"/>
      <c r="AEK770" s="10"/>
      <c r="AEL770" s="10"/>
      <c r="AEM770" s="10"/>
      <c r="AEN770" s="10"/>
      <c r="AEO770" s="10"/>
      <c r="AEP770" s="10"/>
      <c r="AEQ770" s="10"/>
      <c r="AER770" s="10"/>
      <c r="AES770" s="10"/>
      <c r="AET770" s="10"/>
      <c r="AEU770" s="10"/>
      <c r="AEV770" s="10"/>
      <c r="AEW770" s="10"/>
      <c r="AEX770" s="10"/>
      <c r="AEY770" s="10"/>
      <c r="AEZ770" s="10"/>
      <c r="AFA770" s="10"/>
      <c r="AFB770" s="10"/>
      <c r="AFC770" s="10"/>
      <c r="AFD770" s="10"/>
      <c r="AFE770" s="10"/>
      <c r="AFF770" s="10"/>
      <c r="AFG770" s="10"/>
      <c r="AFH770" s="10"/>
      <c r="AFI770" s="10"/>
      <c r="AFJ770" s="10"/>
      <c r="AFK770" s="10"/>
      <c r="AFL770" s="10"/>
      <c r="AFM770" s="10"/>
      <c r="AFN770" s="10"/>
      <c r="AFO770" s="10"/>
      <c r="AFP770" s="10"/>
      <c r="AFQ770" s="10"/>
      <c r="AFR770" s="10"/>
      <c r="AFS770" s="10"/>
      <c r="AFT770" s="10"/>
      <c r="AFU770" s="10"/>
      <c r="AFV770" s="10"/>
      <c r="AFW770" s="10"/>
      <c r="AFX770" s="10"/>
      <c r="AFY770" s="10"/>
      <c r="AFZ770" s="10"/>
      <c r="AGA770" s="10"/>
      <c r="AGB770" s="10"/>
      <c r="AGC770" s="10"/>
      <c r="AGD770" s="10"/>
      <c r="AGE770" s="10"/>
      <c r="AGF770" s="10"/>
      <c r="AGG770" s="10"/>
      <c r="AGH770" s="10"/>
      <c r="AGI770" s="10"/>
      <c r="AGJ770" s="10"/>
      <c r="AGK770" s="10"/>
      <c r="AGL770" s="10"/>
      <c r="AGM770" s="10"/>
      <c r="AGN770" s="10"/>
      <c r="AGO770" s="10"/>
      <c r="AGP770" s="10"/>
      <c r="AGQ770" s="10"/>
      <c r="AGR770" s="10"/>
      <c r="AGS770" s="10"/>
      <c r="AGT770" s="10"/>
      <c r="AGU770" s="10"/>
      <c r="AGV770" s="10"/>
      <c r="AGW770" s="10"/>
      <c r="AGX770" s="10"/>
      <c r="AGY770" s="10"/>
      <c r="AGZ770" s="10"/>
      <c r="AHA770" s="10"/>
      <c r="AHB770" s="10"/>
      <c r="AHC770" s="10"/>
      <c r="AHD770" s="10"/>
      <c r="AHE770" s="10"/>
      <c r="AHF770" s="10"/>
      <c r="AHG770" s="10"/>
      <c r="AHH770" s="10"/>
      <c r="AHI770" s="10"/>
      <c r="AHJ770" s="10"/>
      <c r="AHK770" s="10"/>
      <c r="AHL770" s="10"/>
      <c r="AHM770" s="10"/>
      <c r="AHN770" s="10"/>
      <c r="AHO770" s="10"/>
      <c r="AHP770" s="10"/>
      <c r="AHQ770" s="10"/>
      <c r="AHR770" s="10"/>
      <c r="AHS770" s="10"/>
      <c r="AHT770" s="10"/>
      <c r="AHU770" s="10"/>
      <c r="AHV770" s="10"/>
      <c r="AHW770" s="10"/>
      <c r="AHX770" s="10"/>
      <c r="AHY770" s="10"/>
      <c r="AHZ770" s="10"/>
      <c r="AIA770" s="10"/>
      <c r="AIB770" s="10"/>
      <c r="AIC770" s="10"/>
      <c r="AID770" s="10"/>
      <c r="AIE770" s="10"/>
      <c r="AIF770" s="10"/>
      <c r="AIG770" s="10"/>
      <c r="AIH770" s="10"/>
      <c r="AII770" s="10"/>
      <c r="AIJ770" s="10"/>
      <c r="AIK770" s="10"/>
      <c r="AIL770" s="10"/>
      <c r="AIM770" s="10"/>
      <c r="AIN770" s="10"/>
      <c r="AIO770" s="10"/>
      <c r="AIP770" s="10"/>
      <c r="AIQ770" s="10"/>
      <c r="AIR770" s="10"/>
      <c r="AIS770" s="10"/>
      <c r="AIT770" s="10"/>
      <c r="AIU770" s="10"/>
      <c r="AIV770" s="10"/>
      <c r="AIW770" s="10"/>
      <c r="AIX770" s="10"/>
      <c r="AIY770" s="10"/>
      <c r="AIZ770" s="10"/>
      <c r="AJA770" s="10"/>
      <c r="AJB770" s="10"/>
      <c r="AJC770" s="10"/>
      <c r="AJD770" s="10"/>
      <c r="AJE770" s="10"/>
      <c r="AJF770" s="10"/>
      <c r="AJG770" s="10"/>
      <c r="AJH770" s="10"/>
      <c r="AJI770" s="10"/>
      <c r="AJJ770" s="10"/>
      <c r="AJK770" s="10"/>
      <c r="AJL770" s="10"/>
      <c r="AJM770" s="10"/>
      <c r="AJN770" s="10"/>
      <c r="AJO770" s="10"/>
      <c r="AJP770" s="10"/>
      <c r="AJQ770" s="10"/>
      <c r="AJR770" s="10"/>
      <c r="AJS770" s="10"/>
      <c r="AJT770" s="10"/>
      <c r="AJU770" s="10"/>
      <c r="AJV770" s="10"/>
      <c r="AJW770" s="10"/>
      <c r="AJX770" s="10"/>
      <c r="AJY770" s="10"/>
      <c r="AJZ770" s="10"/>
      <c r="AKA770" s="10"/>
      <c r="AKB770" s="10"/>
      <c r="AKC770" s="10"/>
      <c r="AKD770" s="10"/>
      <c r="AKE770" s="10"/>
      <c r="AKF770" s="10"/>
      <c r="AKG770" s="10"/>
      <c r="AKH770" s="10"/>
      <c r="AKI770" s="10"/>
      <c r="AKJ770" s="10"/>
      <c r="AKK770" s="10"/>
      <c r="AKL770" s="10"/>
      <c r="AKM770" s="10"/>
      <c r="AKN770" s="10"/>
      <c r="AKO770" s="10"/>
      <c r="AKP770" s="10"/>
      <c r="AKQ770" s="10"/>
      <c r="AKR770" s="10"/>
      <c r="AKS770" s="10"/>
      <c r="AKT770" s="10"/>
      <c r="AKU770" s="10"/>
      <c r="AKV770" s="10"/>
      <c r="AKW770" s="10"/>
      <c r="AKX770" s="10"/>
      <c r="AKY770" s="10"/>
      <c r="AKZ770" s="10"/>
      <c r="ALA770" s="10"/>
      <c r="ALB770" s="10"/>
      <c r="ALC770" s="10"/>
      <c r="ALD770" s="10"/>
      <c r="ALE770" s="10"/>
      <c r="ALF770" s="10"/>
      <c r="ALG770" s="10"/>
      <c r="ALH770" s="10"/>
      <c r="ALI770" s="10"/>
      <c r="ALJ770" s="10"/>
      <c r="ALK770" s="10"/>
      <c r="ALL770" s="10"/>
      <c r="ALM770" s="10"/>
      <c r="ALN770" s="10"/>
      <c r="ALO770" s="10"/>
      <c r="ALP770" s="10"/>
      <c r="ALQ770" s="10"/>
      <c r="ALR770" s="10"/>
      <c r="ALS770" s="10"/>
      <c r="ALT770" s="10"/>
      <c r="ALU770" s="10"/>
      <c r="ALV770" s="10"/>
      <c r="ALW770" s="10"/>
      <c r="ALX770" s="10"/>
      <c r="ALY770" s="10"/>
      <c r="ALZ770" s="10"/>
      <c r="AMA770" s="10"/>
      <c r="AMB770" s="10"/>
      <c r="AMC770" s="10"/>
      <c r="AMD770" s="10"/>
      <c r="AME770" s="10"/>
      <c r="AMF770" s="10"/>
      <c r="AMG770" s="10"/>
      <c r="AMH770" s="10"/>
      <c r="AMI770" s="10"/>
      <c r="AMJ770" s="10"/>
      <c r="AMK770" s="10"/>
      <c r="AML770" s="10"/>
      <c r="AMM770" s="10"/>
      <c r="AMN770" s="10"/>
      <c r="AMO770" s="10"/>
      <c r="AMP770" s="10"/>
      <c r="AMQ770" s="10"/>
      <c r="AMR770" s="10"/>
      <c r="AMS770" s="10"/>
      <c r="AMT770" s="10"/>
      <c r="AMU770" s="10"/>
      <c r="AMV770" s="10"/>
      <c r="AMW770" s="10"/>
      <c r="AMX770" s="10"/>
      <c r="AMY770" s="10"/>
      <c r="AMZ770" s="10"/>
      <c r="ANA770" s="10"/>
      <c r="ANB770" s="10"/>
      <c r="ANC770" s="10"/>
      <c r="AND770" s="10"/>
      <c r="ANE770" s="10"/>
      <c r="ANF770" s="10"/>
      <c r="ANG770" s="10"/>
      <c r="ANH770" s="10"/>
      <c r="ANI770" s="10"/>
      <c r="ANJ770" s="10"/>
      <c r="ANK770" s="10"/>
      <c r="ANL770" s="10"/>
      <c r="ANM770" s="10"/>
      <c r="ANN770" s="10"/>
      <c r="ANO770" s="10"/>
      <c r="ANP770" s="10"/>
      <c r="ANQ770" s="10"/>
      <c r="ANR770" s="10"/>
      <c r="ANS770" s="10"/>
      <c r="ANT770" s="10"/>
      <c r="ANU770" s="10"/>
      <c r="ANV770" s="10"/>
      <c r="ANW770" s="10"/>
      <c r="ANX770" s="10"/>
      <c r="ANY770" s="10"/>
      <c r="ANZ770" s="10"/>
      <c r="AOA770" s="10"/>
      <c r="AOB770" s="10"/>
      <c r="AOC770" s="10"/>
      <c r="AOD770" s="10"/>
      <c r="AOE770" s="10"/>
      <c r="AOF770" s="10"/>
      <c r="AOG770" s="10"/>
      <c r="AOH770" s="10"/>
      <c r="AOI770" s="10"/>
      <c r="AOJ770" s="10"/>
      <c r="AOK770" s="10"/>
      <c r="AOL770" s="10"/>
      <c r="AOM770" s="10"/>
      <c r="AON770" s="10"/>
      <c r="AOO770" s="10"/>
      <c r="AOP770" s="10"/>
      <c r="AOQ770" s="10"/>
      <c r="AOR770" s="10"/>
      <c r="AOS770" s="10"/>
      <c r="AOT770" s="10"/>
      <c r="AOU770" s="10"/>
      <c r="AOV770" s="10"/>
      <c r="AOW770" s="10"/>
      <c r="AOX770" s="10"/>
      <c r="AOY770" s="10"/>
      <c r="AOZ770" s="10"/>
      <c r="APA770" s="10"/>
      <c r="APB770" s="10"/>
      <c r="APC770" s="10"/>
      <c r="APD770" s="10"/>
      <c r="APE770" s="10"/>
      <c r="APF770" s="10"/>
      <c r="APG770" s="10"/>
      <c r="APH770" s="10"/>
      <c r="API770" s="10"/>
      <c r="APJ770" s="10"/>
      <c r="APK770" s="10"/>
      <c r="APL770" s="10"/>
      <c r="APM770" s="10"/>
      <c r="APN770" s="10"/>
      <c r="APO770" s="10"/>
      <c r="APP770" s="10"/>
      <c r="APQ770" s="10"/>
      <c r="APR770" s="10"/>
      <c r="APS770" s="10"/>
      <c r="APT770" s="10"/>
      <c r="APU770" s="10"/>
      <c r="APV770" s="10"/>
      <c r="APW770" s="10"/>
      <c r="APX770" s="10"/>
      <c r="APY770" s="10"/>
      <c r="APZ770" s="10"/>
      <c r="AQA770" s="10"/>
      <c r="AQB770" s="10"/>
      <c r="AQC770" s="10"/>
      <c r="AQD770" s="10"/>
      <c r="AQE770" s="10"/>
      <c r="AQF770" s="10"/>
      <c r="AQG770" s="10"/>
      <c r="AQH770" s="10"/>
      <c r="AQI770" s="10"/>
      <c r="AQJ770" s="10"/>
      <c r="AQK770" s="10"/>
      <c r="AQL770" s="10"/>
      <c r="AQM770" s="10"/>
      <c r="AQN770" s="10"/>
      <c r="AQO770" s="10"/>
      <c r="AQP770" s="10"/>
      <c r="AQQ770" s="10"/>
      <c r="AQR770" s="10"/>
      <c r="AQS770" s="10"/>
      <c r="AQT770" s="10"/>
      <c r="AQU770" s="10"/>
      <c r="AQV770" s="10"/>
      <c r="AQW770" s="10"/>
      <c r="AQX770" s="10"/>
      <c r="AQY770" s="10"/>
      <c r="AQZ770" s="10"/>
      <c r="ARA770" s="10"/>
      <c r="ARB770" s="10"/>
      <c r="ARC770" s="10"/>
      <c r="ARD770" s="10"/>
      <c r="ARE770" s="10"/>
      <c r="ARF770" s="10"/>
      <c r="ARG770" s="10"/>
      <c r="ARH770" s="10"/>
      <c r="ARI770" s="10"/>
      <c r="ARJ770" s="10"/>
      <c r="ARK770" s="10"/>
      <c r="ARL770" s="10"/>
      <c r="ARM770" s="10"/>
      <c r="ARN770" s="10"/>
      <c r="ARO770" s="10"/>
      <c r="ARP770" s="10"/>
      <c r="ARQ770" s="10"/>
      <c r="ARR770" s="10"/>
      <c r="ARS770" s="10"/>
      <c r="ART770" s="10"/>
      <c r="ARU770" s="10"/>
      <c r="ARV770" s="10"/>
      <c r="ARW770" s="10"/>
      <c r="ARX770" s="10"/>
      <c r="ARY770" s="10"/>
      <c r="ARZ770" s="10"/>
      <c r="ASA770" s="10"/>
      <c r="ASB770" s="10"/>
      <c r="ASC770" s="10"/>
      <c r="ASD770" s="10"/>
      <c r="ASE770" s="10"/>
      <c r="ASF770" s="10"/>
      <c r="ASG770" s="10"/>
      <c r="ASH770" s="10"/>
      <c r="ASI770" s="10"/>
      <c r="ASJ770" s="10"/>
      <c r="ASK770" s="10"/>
      <c r="ASL770" s="10"/>
      <c r="ASM770" s="10"/>
      <c r="ASN770" s="10"/>
      <c r="ASO770" s="10"/>
      <c r="ASP770" s="10"/>
      <c r="ASQ770" s="10"/>
      <c r="ASR770" s="10"/>
      <c r="ASS770" s="10"/>
      <c r="AST770" s="10"/>
      <c r="ASU770" s="10"/>
      <c r="ASV770" s="10"/>
      <c r="ASW770" s="10"/>
      <c r="ASX770" s="10"/>
      <c r="ASY770" s="10"/>
      <c r="ASZ770" s="10"/>
      <c r="ATA770" s="10"/>
      <c r="ATB770" s="10"/>
      <c r="ATC770" s="10"/>
      <c r="ATD770" s="10"/>
      <c r="ATE770" s="10"/>
      <c r="ATF770" s="10"/>
      <c r="ATG770" s="10"/>
      <c r="ATH770" s="10"/>
      <c r="ATI770" s="10"/>
      <c r="ATJ770" s="10"/>
      <c r="ATK770" s="10"/>
      <c r="ATL770" s="10"/>
      <c r="ATM770" s="10"/>
      <c r="ATN770" s="10"/>
      <c r="ATO770" s="10"/>
      <c r="ATP770" s="10"/>
      <c r="ATQ770" s="10"/>
      <c r="ATR770" s="10"/>
      <c r="ATS770" s="10"/>
      <c r="ATT770" s="10"/>
      <c r="ATU770" s="10"/>
      <c r="ATV770" s="10"/>
      <c r="ATW770" s="10"/>
      <c r="ATX770" s="10"/>
      <c r="ATY770" s="10"/>
      <c r="ATZ770" s="10"/>
      <c r="AUA770" s="10"/>
      <c r="AUB770" s="10"/>
      <c r="AUC770" s="10"/>
      <c r="AUD770" s="10"/>
      <c r="AUE770" s="10"/>
      <c r="AUF770" s="10"/>
      <c r="AUG770" s="10"/>
      <c r="AUH770" s="10"/>
      <c r="AUI770" s="10"/>
      <c r="AUJ770" s="10"/>
      <c r="AUK770" s="10"/>
      <c r="AUL770" s="10"/>
      <c r="AUM770" s="10"/>
      <c r="AUN770" s="10"/>
      <c r="AUO770" s="10"/>
      <c r="AUP770" s="10"/>
      <c r="AUQ770" s="10"/>
      <c r="AUR770" s="10"/>
      <c r="AUS770" s="10"/>
      <c r="AUT770" s="10"/>
      <c r="AUU770" s="10"/>
      <c r="AUV770" s="10"/>
      <c r="AUW770" s="10"/>
      <c r="AUX770" s="10"/>
      <c r="AUY770" s="10"/>
      <c r="AUZ770" s="10"/>
      <c r="AVA770" s="10"/>
      <c r="AVB770" s="10"/>
      <c r="AVC770" s="10"/>
      <c r="AVD770" s="10"/>
      <c r="AVE770" s="10"/>
      <c r="AVF770" s="10"/>
      <c r="AVG770" s="10"/>
      <c r="AVH770" s="10"/>
      <c r="AVI770" s="10"/>
      <c r="AVJ770" s="10"/>
      <c r="AVK770" s="10"/>
      <c r="AVL770" s="10"/>
      <c r="AVM770" s="10"/>
      <c r="AVN770" s="10"/>
      <c r="AVO770" s="10"/>
      <c r="AVP770" s="10"/>
      <c r="AVQ770" s="10"/>
      <c r="AVR770" s="10"/>
      <c r="AVS770" s="10"/>
      <c r="AVT770" s="10"/>
      <c r="AVU770" s="10"/>
      <c r="AVV770" s="10"/>
      <c r="AVW770" s="10"/>
      <c r="AVX770" s="10"/>
      <c r="AVY770" s="10"/>
      <c r="AVZ770" s="10"/>
      <c r="AWA770" s="10"/>
      <c r="AWB770" s="10"/>
      <c r="AWC770" s="10"/>
      <c r="AWD770" s="10"/>
      <c r="AWE770" s="10"/>
      <c r="AWF770" s="10"/>
      <c r="AWG770" s="10"/>
      <c r="AWH770" s="10"/>
      <c r="AWI770" s="10"/>
      <c r="AWJ770" s="10"/>
      <c r="AWK770" s="10"/>
      <c r="AWL770" s="10"/>
      <c r="AWM770" s="10"/>
      <c r="AWN770" s="10"/>
      <c r="AWO770" s="10"/>
      <c r="AWP770" s="10"/>
      <c r="AWQ770" s="10"/>
      <c r="AWR770" s="10"/>
      <c r="AWS770" s="10"/>
      <c r="AWT770" s="10"/>
      <c r="AWU770" s="10"/>
      <c r="AWV770" s="10"/>
      <c r="AWW770" s="10"/>
      <c r="AWX770" s="10"/>
      <c r="AWY770" s="10"/>
      <c r="AWZ770" s="10"/>
      <c r="AXA770" s="10"/>
      <c r="AXB770" s="10"/>
      <c r="AXC770" s="10"/>
      <c r="AXD770" s="10"/>
      <c r="AXE770" s="10"/>
      <c r="AXF770" s="10"/>
      <c r="AXG770" s="10"/>
      <c r="AXH770" s="10"/>
      <c r="AXI770" s="10"/>
      <c r="AXJ770" s="10"/>
      <c r="AXK770" s="10"/>
      <c r="AXL770" s="10"/>
      <c r="AXM770" s="10"/>
      <c r="AXN770" s="10"/>
      <c r="AXO770" s="10"/>
      <c r="AXP770" s="10"/>
      <c r="AXQ770" s="10"/>
      <c r="AXR770" s="10"/>
      <c r="AXS770" s="10"/>
      <c r="AXT770" s="10"/>
      <c r="AXU770" s="10"/>
      <c r="AXV770" s="10"/>
      <c r="AXW770" s="10"/>
      <c r="AXX770" s="10"/>
      <c r="AXY770" s="10"/>
      <c r="AXZ770" s="10"/>
      <c r="AYA770" s="10"/>
      <c r="AYB770" s="10"/>
      <c r="AYC770" s="10"/>
      <c r="AYD770" s="10"/>
      <c r="AYE770" s="10"/>
      <c r="AYF770" s="10"/>
      <c r="AYG770" s="10"/>
      <c r="AYH770" s="10"/>
      <c r="AYI770" s="10"/>
      <c r="AYJ770" s="10"/>
      <c r="AYK770" s="10"/>
      <c r="AYL770" s="10"/>
      <c r="AYM770" s="10"/>
      <c r="AYN770" s="10"/>
      <c r="AYO770" s="10"/>
      <c r="AYP770" s="10"/>
      <c r="AYQ770" s="10"/>
      <c r="AYR770" s="10"/>
      <c r="AYS770" s="10"/>
      <c r="AYT770" s="10"/>
      <c r="AYU770" s="10"/>
      <c r="AYV770" s="10"/>
      <c r="AYW770" s="10"/>
      <c r="AYX770" s="10"/>
      <c r="AYY770" s="10"/>
      <c r="AYZ770" s="10"/>
      <c r="AZA770" s="10"/>
      <c r="AZB770" s="10"/>
      <c r="AZC770" s="10"/>
      <c r="AZD770" s="10"/>
      <c r="AZE770" s="10"/>
      <c r="AZF770" s="10"/>
      <c r="AZG770" s="10"/>
      <c r="AZH770" s="10"/>
      <c r="AZI770" s="10"/>
      <c r="AZJ770" s="10"/>
      <c r="AZK770" s="10"/>
      <c r="AZL770" s="10"/>
      <c r="AZM770" s="10"/>
      <c r="AZN770" s="10"/>
      <c r="AZO770" s="10"/>
      <c r="AZP770" s="10"/>
      <c r="AZQ770" s="10"/>
      <c r="AZR770" s="10"/>
      <c r="AZS770" s="10"/>
      <c r="AZT770" s="10"/>
      <c r="AZU770" s="10"/>
      <c r="AZV770" s="10"/>
      <c r="AZW770" s="10"/>
      <c r="AZX770" s="10"/>
      <c r="AZY770" s="10"/>
      <c r="AZZ770" s="10"/>
      <c r="BAA770" s="10"/>
      <c r="BAB770" s="10"/>
      <c r="BAC770" s="10"/>
      <c r="BAD770" s="10"/>
      <c r="BAE770" s="10"/>
      <c r="BAF770" s="10"/>
      <c r="BAG770" s="10"/>
      <c r="BAH770" s="10"/>
      <c r="BAI770" s="10"/>
      <c r="BAJ770" s="10"/>
      <c r="BAK770" s="10"/>
      <c r="BAL770" s="10"/>
      <c r="BAM770" s="10"/>
      <c r="BAN770" s="10"/>
      <c r="BAO770" s="10"/>
      <c r="BAP770" s="10"/>
      <c r="BAQ770" s="10"/>
      <c r="BAR770" s="10"/>
      <c r="BAS770" s="10"/>
      <c r="BAT770" s="10"/>
      <c r="BAU770" s="10"/>
      <c r="BAV770" s="10"/>
      <c r="BAW770" s="10"/>
      <c r="BAX770" s="10"/>
      <c r="BAY770" s="10"/>
      <c r="BAZ770" s="10"/>
      <c r="BBA770" s="10"/>
      <c r="BBB770" s="10"/>
      <c r="BBC770" s="10"/>
      <c r="BBD770" s="10"/>
      <c r="BBE770" s="10"/>
      <c r="BBF770" s="10"/>
      <c r="BBG770" s="10"/>
      <c r="BBH770" s="10"/>
      <c r="BBI770" s="10"/>
      <c r="BBJ770" s="10"/>
      <c r="BBK770" s="10"/>
      <c r="BBL770" s="10"/>
      <c r="BBM770" s="10"/>
      <c r="BBN770" s="10"/>
      <c r="BBO770" s="10"/>
      <c r="BBP770" s="10"/>
      <c r="BBQ770" s="10"/>
      <c r="BBR770" s="10"/>
      <c r="BBS770" s="10"/>
      <c r="BBT770" s="10"/>
      <c r="BBU770" s="10"/>
      <c r="BBV770" s="10"/>
      <c r="BBW770" s="10"/>
      <c r="BBX770" s="10"/>
      <c r="BBY770" s="10"/>
      <c r="BBZ770" s="10"/>
      <c r="BCA770" s="10"/>
      <c r="BCB770" s="10"/>
      <c r="BCC770" s="10"/>
      <c r="BCD770" s="10"/>
      <c r="BCE770" s="10"/>
      <c r="BCF770" s="10"/>
      <c r="BCG770" s="10"/>
      <c r="BCH770" s="10"/>
      <c r="BCI770" s="10"/>
      <c r="BCJ770" s="10"/>
      <c r="BCK770" s="10"/>
      <c r="BCL770" s="10"/>
      <c r="BCM770" s="10"/>
      <c r="BCN770" s="10"/>
      <c r="BCO770" s="10"/>
      <c r="BCP770" s="10"/>
      <c r="BCQ770" s="10"/>
      <c r="BCR770" s="10"/>
      <c r="BCS770" s="10"/>
      <c r="BCT770" s="10"/>
      <c r="BCU770" s="10"/>
      <c r="BCV770" s="10"/>
      <c r="BCW770" s="10"/>
      <c r="BCX770" s="10"/>
      <c r="BCY770" s="10"/>
      <c r="BCZ770" s="10"/>
      <c r="BDA770" s="10"/>
      <c r="BDB770" s="10"/>
      <c r="BDC770" s="10"/>
      <c r="BDD770" s="10"/>
      <c r="BDE770" s="10"/>
      <c r="BDF770" s="10"/>
      <c r="BDG770" s="10"/>
      <c r="BDH770" s="10"/>
      <c r="BDI770" s="10"/>
      <c r="BDJ770" s="10"/>
      <c r="BDK770" s="10"/>
      <c r="BDL770" s="10"/>
      <c r="BDM770" s="10"/>
      <c r="BDN770" s="10"/>
      <c r="BDO770" s="10"/>
      <c r="BDP770" s="10"/>
      <c r="BDQ770" s="10"/>
      <c r="BDR770" s="10"/>
      <c r="BDS770" s="10"/>
      <c r="BDT770" s="10"/>
      <c r="BDU770" s="10"/>
      <c r="BDV770" s="10"/>
      <c r="BDW770" s="10"/>
      <c r="BDX770" s="10"/>
      <c r="BDY770" s="10"/>
      <c r="BDZ770" s="10"/>
      <c r="BEA770" s="10"/>
      <c r="BEB770" s="10"/>
      <c r="BEC770" s="10"/>
      <c r="BED770" s="10"/>
      <c r="BEE770" s="10"/>
      <c r="BEF770" s="10"/>
      <c r="BEG770" s="10"/>
      <c r="BEH770" s="10"/>
      <c r="BEI770" s="10"/>
      <c r="BEJ770" s="10"/>
      <c r="BEK770" s="10"/>
      <c r="BEL770" s="10"/>
      <c r="BEM770" s="10"/>
      <c r="BEN770" s="10"/>
      <c r="BEO770" s="10"/>
      <c r="BEP770" s="10"/>
      <c r="BEQ770" s="10"/>
      <c r="BER770" s="10"/>
      <c r="BES770" s="10"/>
      <c r="BET770" s="10"/>
      <c r="BEU770" s="10"/>
      <c r="BEV770" s="10"/>
      <c r="BEW770" s="10"/>
      <c r="BEX770" s="10"/>
      <c r="BEY770" s="10"/>
      <c r="BEZ770" s="10"/>
      <c r="BFA770" s="10"/>
      <c r="BFB770" s="10"/>
      <c r="BFC770" s="10"/>
      <c r="BFD770" s="10"/>
      <c r="BFE770" s="10"/>
      <c r="BFF770" s="10"/>
      <c r="BFG770" s="10"/>
      <c r="BFH770" s="10"/>
      <c r="BFI770" s="10"/>
      <c r="BFJ770" s="10"/>
      <c r="BFK770" s="10"/>
      <c r="BFL770" s="10"/>
      <c r="BFM770" s="10"/>
      <c r="BFN770" s="10"/>
      <c r="BFO770" s="10"/>
      <c r="BFP770" s="10"/>
      <c r="BFQ770" s="10"/>
      <c r="BFR770" s="10"/>
      <c r="BFS770" s="10"/>
      <c r="BFT770" s="10"/>
      <c r="BFU770" s="10"/>
      <c r="BFV770" s="10"/>
      <c r="BFW770" s="10"/>
      <c r="BFX770" s="10"/>
      <c r="BFY770" s="10"/>
      <c r="BFZ770" s="10"/>
      <c r="BGA770" s="10"/>
      <c r="BGB770" s="10"/>
      <c r="BGC770" s="10"/>
      <c r="BGD770" s="10"/>
      <c r="BGE770" s="10"/>
      <c r="BGF770" s="10"/>
      <c r="BGG770" s="10"/>
      <c r="BGH770" s="10"/>
      <c r="BGI770" s="10"/>
      <c r="BGJ770" s="10"/>
      <c r="BGK770" s="10"/>
      <c r="BGL770" s="10"/>
      <c r="BGM770" s="10"/>
      <c r="BGN770" s="10"/>
      <c r="BGO770" s="10"/>
      <c r="BGP770" s="10"/>
      <c r="BGQ770" s="10"/>
      <c r="BGR770" s="10"/>
      <c r="BGS770" s="10"/>
      <c r="BGT770" s="10"/>
      <c r="BGU770" s="10"/>
      <c r="BGV770" s="10"/>
      <c r="BGW770" s="10"/>
      <c r="BGX770" s="10"/>
      <c r="BGY770" s="10"/>
      <c r="BGZ770" s="10"/>
      <c r="BHA770" s="10"/>
      <c r="BHB770" s="10"/>
      <c r="BHC770" s="10"/>
      <c r="BHD770" s="10"/>
      <c r="BHE770" s="10"/>
      <c r="BHF770" s="10"/>
      <c r="BHG770" s="10"/>
      <c r="BHH770" s="10"/>
      <c r="BHI770" s="10"/>
      <c r="BHJ770" s="10"/>
      <c r="BHK770" s="10"/>
      <c r="BHL770" s="10"/>
      <c r="BHM770" s="10"/>
      <c r="BHN770" s="10"/>
      <c r="BHO770" s="10"/>
      <c r="BHP770" s="10"/>
      <c r="BHQ770" s="10"/>
      <c r="BHR770" s="10"/>
      <c r="BHS770" s="10"/>
      <c r="BHT770" s="10"/>
      <c r="BHU770" s="10"/>
      <c r="BHV770" s="10"/>
      <c r="BHW770" s="10"/>
      <c r="BHX770" s="10"/>
      <c r="BHY770" s="10"/>
      <c r="BHZ770" s="10"/>
      <c r="BIA770" s="10"/>
      <c r="BIB770" s="10"/>
      <c r="BIC770" s="10"/>
      <c r="BID770" s="10"/>
      <c r="BIE770" s="10"/>
      <c r="BIF770" s="10"/>
      <c r="BIG770" s="10"/>
      <c r="BIH770" s="10"/>
      <c r="BII770" s="10"/>
      <c r="BIJ770" s="10"/>
      <c r="BIK770" s="10"/>
      <c r="BIL770" s="10"/>
      <c r="BIM770" s="10"/>
      <c r="BIN770" s="10"/>
      <c r="BIO770" s="10"/>
      <c r="BIP770" s="10"/>
      <c r="BIQ770" s="10"/>
      <c r="BIR770" s="10"/>
      <c r="BIS770" s="10"/>
      <c r="BIT770" s="10"/>
      <c r="BIU770" s="10"/>
      <c r="BIV770" s="10"/>
      <c r="BIW770" s="10"/>
      <c r="BIX770" s="10"/>
      <c r="BIY770" s="10"/>
      <c r="BIZ770" s="10"/>
      <c r="BJA770" s="10"/>
      <c r="BJB770" s="10"/>
      <c r="BJC770" s="10"/>
      <c r="BJD770" s="10"/>
      <c r="BJE770" s="10"/>
      <c r="BJF770" s="10"/>
      <c r="BJG770" s="10"/>
      <c r="BJH770" s="10"/>
      <c r="BJI770" s="10"/>
      <c r="BJJ770" s="10"/>
      <c r="BJK770" s="10"/>
      <c r="BJL770" s="10"/>
      <c r="BJM770" s="10"/>
      <c r="BJN770" s="10"/>
      <c r="BJO770" s="10"/>
      <c r="BJP770" s="10"/>
      <c r="BJQ770" s="10"/>
      <c r="BJR770" s="10"/>
      <c r="BJS770" s="10"/>
      <c r="BJT770" s="10"/>
      <c r="BJU770" s="10"/>
      <c r="BJV770" s="10"/>
      <c r="BJW770" s="10"/>
      <c r="BJX770" s="10"/>
      <c r="BJY770" s="10"/>
      <c r="BJZ770" s="10"/>
      <c r="BKA770" s="10"/>
      <c r="BKB770" s="10"/>
      <c r="BKC770" s="10"/>
      <c r="BKD770" s="10"/>
      <c r="BKE770" s="10"/>
      <c r="BKF770" s="10"/>
      <c r="BKG770" s="10"/>
      <c r="BKH770" s="10"/>
      <c r="BKI770" s="10"/>
      <c r="BKJ770" s="10"/>
      <c r="BKK770" s="10"/>
      <c r="BKL770" s="10"/>
      <c r="BKM770" s="10"/>
      <c r="BKN770" s="10"/>
      <c r="BKO770" s="10"/>
      <c r="BKP770" s="10"/>
      <c r="BKQ770" s="10"/>
      <c r="BKR770" s="10"/>
      <c r="BKS770" s="10"/>
      <c r="BKT770" s="10"/>
      <c r="BKU770" s="10"/>
      <c r="BKV770" s="10"/>
      <c r="BKW770" s="10"/>
      <c r="BKX770" s="10"/>
      <c r="BKY770" s="10"/>
      <c r="BKZ770" s="10"/>
      <c r="BLA770" s="10"/>
      <c r="BLB770" s="10"/>
      <c r="BLC770" s="10"/>
      <c r="BLD770" s="10"/>
      <c r="BLE770" s="10"/>
      <c r="BLF770" s="10"/>
      <c r="BLG770" s="10"/>
      <c r="BLH770" s="10"/>
      <c r="BLI770" s="10"/>
      <c r="BLJ770" s="10"/>
      <c r="BLK770" s="10"/>
      <c r="BLL770" s="10"/>
      <c r="BLM770" s="10"/>
      <c r="BLN770" s="10"/>
      <c r="BLO770" s="10"/>
      <c r="BLP770" s="10"/>
      <c r="BLQ770" s="10"/>
      <c r="BLR770" s="10"/>
      <c r="BLS770" s="10"/>
      <c r="BLT770" s="10"/>
      <c r="BLU770" s="10"/>
      <c r="BLV770" s="10"/>
      <c r="BLW770" s="10"/>
      <c r="BLX770" s="10"/>
      <c r="BLY770" s="10"/>
      <c r="BLZ770" s="10"/>
      <c r="BMA770" s="10"/>
      <c r="BMB770" s="10"/>
      <c r="BMC770" s="10"/>
      <c r="BMD770" s="10"/>
      <c r="BME770" s="10"/>
      <c r="BMF770" s="10"/>
      <c r="BMG770" s="10"/>
      <c r="BMH770" s="10"/>
      <c r="BMI770" s="10"/>
      <c r="BMJ770" s="10"/>
      <c r="BMK770" s="10"/>
      <c r="BML770" s="10"/>
      <c r="BMM770" s="10"/>
      <c r="BMN770" s="10"/>
      <c r="BMO770" s="10"/>
      <c r="BMP770" s="10"/>
      <c r="BMQ770" s="10"/>
      <c r="BMR770" s="10"/>
      <c r="BMS770" s="10"/>
      <c r="BMT770" s="10"/>
      <c r="BMU770" s="10"/>
      <c r="BMV770" s="10"/>
      <c r="BMW770" s="10"/>
      <c r="BMX770" s="10"/>
      <c r="BMY770" s="10"/>
      <c r="BMZ770" s="10"/>
      <c r="BNA770" s="10"/>
      <c r="BNB770" s="10"/>
      <c r="BNC770" s="10"/>
      <c r="BND770" s="10"/>
      <c r="BNE770" s="10"/>
      <c r="BNF770" s="10"/>
      <c r="BNG770" s="10"/>
      <c r="BNH770" s="10"/>
      <c r="BNI770" s="10"/>
      <c r="BNJ770" s="10"/>
      <c r="BNK770" s="10"/>
      <c r="BNL770" s="10"/>
      <c r="BNM770" s="10"/>
      <c r="BNN770" s="10"/>
      <c r="BNO770" s="10"/>
      <c r="BNP770" s="10"/>
      <c r="BNQ770" s="10"/>
      <c r="BNR770" s="10"/>
      <c r="BNS770" s="10"/>
      <c r="BNT770" s="10"/>
      <c r="BNU770" s="10"/>
      <c r="BNV770" s="10"/>
      <c r="BNW770" s="10"/>
      <c r="BNX770" s="10"/>
      <c r="BNY770" s="10"/>
      <c r="BNZ770" s="10"/>
      <c r="BOA770" s="10"/>
      <c r="BOB770" s="10"/>
      <c r="BOC770" s="10"/>
      <c r="BOD770" s="10"/>
      <c r="BOE770" s="10"/>
      <c r="BOF770" s="10"/>
      <c r="BOG770" s="10"/>
      <c r="BOH770" s="10"/>
      <c r="BOI770" s="10"/>
      <c r="BOJ770" s="10"/>
      <c r="BOK770" s="10"/>
      <c r="BOL770" s="10"/>
      <c r="BOM770" s="10"/>
      <c r="BON770" s="10"/>
      <c r="BOO770" s="10"/>
      <c r="BOP770" s="10"/>
      <c r="BOQ770" s="10"/>
      <c r="BOR770" s="10"/>
      <c r="BOS770" s="10"/>
      <c r="BOT770" s="10"/>
      <c r="BOU770" s="10"/>
      <c r="BOV770" s="10"/>
      <c r="BOW770" s="10"/>
      <c r="BOX770" s="10"/>
      <c r="BOY770" s="10"/>
      <c r="BOZ770" s="10"/>
      <c r="BPA770" s="10"/>
      <c r="BPB770" s="10"/>
      <c r="BPC770" s="10"/>
      <c r="BPD770" s="10"/>
      <c r="BPE770" s="10"/>
      <c r="BPF770" s="10"/>
      <c r="BPG770" s="10"/>
      <c r="BPH770" s="10"/>
      <c r="BPI770" s="10"/>
      <c r="BPJ770" s="10"/>
      <c r="BPK770" s="10"/>
      <c r="BPL770" s="10"/>
      <c r="BPM770" s="10"/>
      <c r="BPN770" s="10"/>
      <c r="BPO770" s="10"/>
      <c r="BPP770" s="10"/>
      <c r="BPQ770" s="10"/>
      <c r="BPR770" s="10"/>
      <c r="BPS770" s="10"/>
      <c r="BPT770" s="10"/>
      <c r="BPU770" s="10"/>
      <c r="BPV770" s="10"/>
      <c r="BPW770" s="10"/>
      <c r="BPX770" s="10"/>
      <c r="BPY770" s="10"/>
      <c r="BPZ770" s="10"/>
      <c r="BQA770" s="10"/>
      <c r="BQB770" s="10"/>
      <c r="BQC770" s="10"/>
      <c r="BQD770" s="10"/>
      <c r="BQE770" s="10"/>
      <c r="BQF770" s="10"/>
      <c r="BQG770" s="10"/>
      <c r="BQH770" s="10"/>
      <c r="BQI770" s="10"/>
      <c r="BQJ770" s="10"/>
      <c r="BQK770" s="10"/>
      <c r="BQL770" s="10"/>
      <c r="BQM770" s="10"/>
      <c r="BQN770" s="10"/>
      <c r="BQO770" s="10"/>
      <c r="BQP770" s="10"/>
      <c r="BQQ770" s="10"/>
      <c r="BQR770" s="10"/>
      <c r="BQS770" s="10"/>
      <c r="BQT770" s="10"/>
      <c r="BQU770" s="10"/>
      <c r="BQV770" s="10"/>
      <c r="BQW770" s="10"/>
      <c r="BQX770" s="10"/>
      <c r="BQY770" s="10"/>
      <c r="BQZ770" s="10"/>
      <c r="BRA770" s="10"/>
      <c r="BRB770" s="10"/>
      <c r="BRC770" s="10"/>
      <c r="BRD770" s="10"/>
      <c r="BRE770" s="10"/>
      <c r="BRF770" s="10"/>
      <c r="BRG770" s="10"/>
      <c r="BRH770" s="10"/>
      <c r="BRI770" s="10"/>
      <c r="BRJ770" s="10"/>
      <c r="BRK770" s="10"/>
      <c r="BRL770" s="10"/>
      <c r="BRM770" s="10"/>
      <c r="BRN770" s="10"/>
      <c r="BRO770" s="10"/>
      <c r="BRP770" s="10"/>
      <c r="BRQ770" s="10"/>
      <c r="BRR770" s="10"/>
      <c r="BRS770" s="10"/>
      <c r="BRT770" s="10"/>
      <c r="BRU770" s="10"/>
      <c r="BRV770" s="10"/>
      <c r="BRW770" s="10"/>
      <c r="BRX770" s="10"/>
      <c r="BRY770" s="10"/>
      <c r="BRZ770" s="10"/>
      <c r="BSA770" s="10"/>
      <c r="BSB770" s="10"/>
      <c r="BSC770" s="10"/>
      <c r="BSD770" s="10"/>
      <c r="BSE770" s="10"/>
      <c r="BSF770" s="10"/>
      <c r="BSG770" s="10"/>
      <c r="BSH770" s="10"/>
      <c r="BSI770" s="10"/>
      <c r="BSJ770" s="10"/>
      <c r="BSK770" s="10"/>
      <c r="BSL770" s="10"/>
      <c r="BSM770" s="10"/>
      <c r="BSN770" s="10"/>
      <c r="BSO770" s="10"/>
      <c r="BSP770" s="10"/>
      <c r="BSQ770" s="10"/>
      <c r="BSR770" s="10"/>
      <c r="BSS770" s="10"/>
      <c r="BST770" s="10"/>
      <c r="BSU770" s="10"/>
      <c r="BSV770" s="10"/>
      <c r="BSW770" s="10"/>
      <c r="BSX770" s="10"/>
      <c r="BSY770" s="10"/>
      <c r="BSZ770" s="10"/>
      <c r="BTA770" s="10"/>
      <c r="BTB770" s="10"/>
      <c r="BTC770" s="10"/>
      <c r="BTD770" s="10"/>
      <c r="BTE770" s="10"/>
      <c r="BTF770" s="10"/>
      <c r="BTG770" s="10"/>
      <c r="BTH770" s="10"/>
      <c r="BTI770" s="10"/>
      <c r="BTJ770" s="10"/>
      <c r="BTK770" s="10"/>
      <c r="BTL770" s="10"/>
      <c r="BTM770" s="10"/>
      <c r="BTN770" s="10"/>
      <c r="BTO770" s="10"/>
      <c r="BTP770" s="10"/>
      <c r="BTQ770" s="10"/>
      <c r="BTR770" s="10"/>
      <c r="BTS770" s="10"/>
      <c r="BTT770" s="10"/>
    </row>
    <row r="771" spans="1:1892" s="9" customFormat="1" ht="35.1" customHeight="1">
      <c r="A771" s="1241"/>
      <c r="B771" s="538"/>
      <c r="C771" s="983"/>
      <c r="D771" s="573"/>
      <c r="E771" s="574"/>
      <c r="F771" s="575"/>
      <c r="G771" s="730"/>
      <c r="H771" s="730"/>
      <c r="I771" s="730"/>
      <c r="J771" s="983"/>
      <c r="K771" s="983"/>
      <c r="L771" s="131">
        <v>117</v>
      </c>
      <c r="M771" s="231">
        <v>232</v>
      </c>
      <c r="N771" s="132">
        <v>0</v>
      </c>
      <c r="O771" s="132">
        <v>0</v>
      </c>
      <c r="P771" s="512"/>
      <c r="Q771" s="512"/>
      <c r="R771" s="512"/>
      <c r="S771" s="652"/>
      <c r="T771" s="714"/>
      <c r="U771" s="714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  <c r="BT771" s="10"/>
      <c r="BU771" s="10"/>
      <c r="BV771" s="10"/>
      <c r="BW771" s="10"/>
      <c r="BX771" s="10"/>
      <c r="BY771" s="10"/>
      <c r="BZ771" s="10"/>
      <c r="CA771" s="10"/>
      <c r="CB771" s="10"/>
      <c r="CC771" s="10"/>
      <c r="CD771" s="10"/>
      <c r="CE771" s="10"/>
      <c r="CF771" s="10"/>
      <c r="CG771" s="10"/>
      <c r="CH771" s="10"/>
      <c r="CI771" s="10"/>
      <c r="CJ771" s="10"/>
      <c r="CK771" s="10"/>
      <c r="CL771" s="10"/>
      <c r="CM771" s="10"/>
      <c r="CN771" s="10"/>
      <c r="CO771" s="10"/>
      <c r="CP771" s="10"/>
      <c r="CQ771" s="10"/>
      <c r="CR771" s="10"/>
      <c r="CS771" s="10"/>
      <c r="CT771" s="10"/>
      <c r="CU771" s="10"/>
      <c r="CV771" s="10"/>
      <c r="CW771" s="10"/>
      <c r="CX771" s="10"/>
      <c r="CY771" s="10"/>
      <c r="CZ771" s="10"/>
      <c r="DA771" s="10"/>
      <c r="DB771" s="10"/>
      <c r="DC771" s="10"/>
      <c r="DD771" s="10"/>
      <c r="DE771" s="10"/>
      <c r="DF771" s="10"/>
      <c r="DG771" s="10"/>
      <c r="DH771" s="10"/>
      <c r="DI771" s="10"/>
      <c r="DJ771" s="10"/>
      <c r="DK771" s="10"/>
      <c r="DL771" s="10"/>
      <c r="DM771" s="10"/>
      <c r="DN771" s="10"/>
      <c r="DO771" s="10"/>
      <c r="DP771" s="10"/>
      <c r="DQ771" s="10"/>
      <c r="DR771" s="10"/>
      <c r="DS771" s="10"/>
      <c r="DT771" s="10"/>
      <c r="DU771" s="10"/>
      <c r="DV771" s="10"/>
      <c r="DW771" s="10"/>
      <c r="DX771" s="10"/>
      <c r="DY771" s="10"/>
      <c r="DZ771" s="10"/>
      <c r="EA771" s="10"/>
      <c r="EB771" s="10"/>
      <c r="EC771" s="10"/>
      <c r="ED771" s="10"/>
      <c r="EE771" s="10"/>
      <c r="EF771" s="10"/>
      <c r="EG771" s="10"/>
      <c r="EH771" s="10"/>
      <c r="EI771" s="10"/>
      <c r="EJ771" s="10"/>
      <c r="EK771" s="10"/>
      <c r="EL771" s="10"/>
      <c r="EM771" s="10"/>
      <c r="EN771" s="10"/>
      <c r="EO771" s="10"/>
      <c r="EP771" s="10"/>
      <c r="EQ771" s="10"/>
      <c r="ER771" s="10"/>
      <c r="ES771" s="10"/>
      <c r="ET771" s="10"/>
      <c r="EU771" s="10"/>
      <c r="EV771" s="10"/>
      <c r="EW771" s="10"/>
      <c r="EX771" s="10"/>
      <c r="EY771" s="10"/>
      <c r="EZ771" s="10"/>
      <c r="FA771" s="10"/>
      <c r="FB771" s="10"/>
      <c r="FC771" s="10"/>
      <c r="FD771" s="10"/>
      <c r="FE771" s="10"/>
      <c r="FF771" s="10"/>
      <c r="FG771" s="10"/>
      <c r="FH771" s="10"/>
      <c r="FI771" s="10"/>
      <c r="FJ771" s="10"/>
      <c r="FK771" s="10"/>
      <c r="FL771" s="10"/>
      <c r="FM771" s="10"/>
      <c r="FN771" s="10"/>
      <c r="FO771" s="10"/>
      <c r="FP771" s="10"/>
      <c r="FQ771" s="10"/>
      <c r="FR771" s="10"/>
      <c r="FS771" s="10"/>
      <c r="FT771" s="10"/>
      <c r="FU771" s="10"/>
      <c r="FV771" s="10"/>
      <c r="FW771" s="10"/>
      <c r="FX771" s="10"/>
      <c r="FY771" s="10"/>
      <c r="FZ771" s="10"/>
      <c r="GA771" s="10"/>
      <c r="GB771" s="10"/>
      <c r="GC771" s="10"/>
      <c r="GD771" s="10"/>
      <c r="GE771" s="10"/>
      <c r="GF771" s="10"/>
      <c r="GG771" s="10"/>
      <c r="GH771" s="10"/>
      <c r="GI771" s="10"/>
      <c r="GJ771" s="10"/>
      <c r="GK771" s="10"/>
      <c r="GL771" s="10"/>
      <c r="GM771" s="10"/>
      <c r="GN771" s="10"/>
      <c r="GO771" s="10"/>
      <c r="GP771" s="10"/>
      <c r="GQ771" s="10"/>
      <c r="GR771" s="10"/>
      <c r="GS771" s="10"/>
      <c r="GT771" s="10"/>
      <c r="GU771" s="10"/>
      <c r="GV771" s="10"/>
      <c r="GW771" s="10"/>
      <c r="GX771" s="10"/>
      <c r="GY771" s="10"/>
      <c r="GZ771" s="10"/>
      <c r="HA771" s="10"/>
      <c r="HB771" s="10"/>
      <c r="HC771" s="10"/>
      <c r="HD771" s="10"/>
      <c r="HE771" s="10"/>
      <c r="HF771" s="10"/>
      <c r="HG771" s="10"/>
      <c r="HH771" s="10"/>
      <c r="HI771" s="10"/>
      <c r="HJ771" s="10"/>
      <c r="HK771" s="10"/>
      <c r="HL771" s="10"/>
      <c r="HM771" s="10"/>
      <c r="HN771" s="10"/>
      <c r="HO771" s="10"/>
      <c r="HP771" s="10"/>
      <c r="HQ771" s="10"/>
      <c r="HR771" s="10"/>
      <c r="HS771" s="10"/>
      <c r="HT771" s="10"/>
      <c r="HU771" s="10"/>
      <c r="HV771" s="10"/>
      <c r="HW771" s="10"/>
      <c r="HX771" s="10"/>
      <c r="HY771" s="10"/>
      <c r="HZ771" s="10"/>
      <c r="IA771" s="10"/>
      <c r="IB771" s="10"/>
      <c r="IC771" s="10"/>
      <c r="ID771" s="10"/>
      <c r="IE771" s="10"/>
      <c r="IF771" s="10"/>
      <c r="IG771" s="10"/>
      <c r="IH771" s="10"/>
      <c r="II771" s="10"/>
      <c r="IJ771" s="10"/>
      <c r="IK771" s="10"/>
      <c r="IL771" s="10"/>
      <c r="IM771" s="10"/>
      <c r="IN771" s="10"/>
      <c r="IO771" s="10"/>
      <c r="IP771" s="10"/>
      <c r="IQ771" s="10"/>
      <c r="IR771" s="10"/>
      <c r="IS771" s="10"/>
      <c r="IT771" s="10"/>
      <c r="IU771" s="10"/>
      <c r="IV771" s="10"/>
      <c r="IW771" s="10"/>
      <c r="IX771" s="10"/>
      <c r="IY771" s="10"/>
      <c r="IZ771" s="10"/>
      <c r="JA771" s="10"/>
      <c r="JB771" s="10"/>
      <c r="JC771" s="10"/>
      <c r="JD771" s="10"/>
      <c r="JE771" s="10"/>
      <c r="JF771" s="10"/>
      <c r="JG771" s="10"/>
      <c r="JH771" s="10"/>
      <c r="JI771" s="10"/>
      <c r="JJ771" s="10"/>
      <c r="JK771" s="10"/>
      <c r="JL771" s="10"/>
      <c r="JM771" s="10"/>
      <c r="JN771" s="10"/>
      <c r="JO771" s="10"/>
      <c r="JP771" s="10"/>
      <c r="JQ771" s="10"/>
      <c r="JR771" s="10"/>
      <c r="JS771" s="10"/>
      <c r="JT771" s="10"/>
      <c r="JU771" s="10"/>
      <c r="JV771" s="10"/>
      <c r="JW771" s="10"/>
      <c r="JX771" s="10"/>
      <c r="JY771" s="10"/>
      <c r="JZ771" s="10"/>
      <c r="KA771" s="10"/>
      <c r="KB771" s="10"/>
      <c r="KC771" s="10"/>
      <c r="KD771" s="10"/>
      <c r="KE771" s="10"/>
      <c r="KF771" s="10"/>
      <c r="KG771" s="10"/>
      <c r="KH771" s="10"/>
      <c r="KI771" s="10"/>
      <c r="KJ771" s="10"/>
      <c r="KK771" s="10"/>
      <c r="KL771" s="10"/>
      <c r="KM771" s="10"/>
      <c r="KN771" s="10"/>
      <c r="KO771" s="10"/>
      <c r="KP771" s="10"/>
      <c r="KQ771" s="10"/>
      <c r="KR771" s="10"/>
      <c r="KS771" s="10"/>
      <c r="KT771" s="10"/>
      <c r="KU771" s="10"/>
      <c r="KV771" s="10"/>
      <c r="KW771" s="10"/>
      <c r="KX771" s="10"/>
      <c r="KY771" s="10"/>
      <c r="KZ771" s="10"/>
      <c r="LA771" s="10"/>
      <c r="LB771" s="10"/>
      <c r="LC771" s="10"/>
      <c r="LD771" s="10"/>
      <c r="LE771" s="10"/>
      <c r="LF771" s="10"/>
      <c r="LG771" s="10"/>
      <c r="LH771" s="10"/>
      <c r="LI771" s="10"/>
      <c r="LJ771" s="10"/>
      <c r="LK771" s="10"/>
      <c r="LL771" s="10"/>
      <c r="LM771" s="10"/>
      <c r="LN771" s="10"/>
      <c r="LO771" s="10"/>
      <c r="LP771" s="10"/>
      <c r="LQ771" s="10"/>
      <c r="LR771" s="10"/>
      <c r="LS771" s="10"/>
      <c r="LT771" s="10"/>
      <c r="LU771" s="10"/>
      <c r="LV771" s="10"/>
      <c r="LW771" s="10"/>
      <c r="LX771" s="10"/>
      <c r="LY771" s="10"/>
      <c r="LZ771" s="10"/>
      <c r="MA771" s="10"/>
      <c r="MB771" s="10"/>
      <c r="MC771" s="10"/>
      <c r="MD771" s="10"/>
      <c r="ME771" s="10"/>
      <c r="MF771" s="10"/>
      <c r="MG771" s="10"/>
      <c r="MH771" s="10"/>
      <c r="MI771" s="10"/>
      <c r="MJ771" s="10"/>
      <c r="MK771" s="10"/>
      <c r="ML771" s="10"/>
      <c r="MM771" s="10"/>
      <c r="MN771" s="10"/>
      <c r="MO771" s="10"/>
      <c r="MP771" s="10"/>
      <c r="MQ771" s="10"/>
      <c r="MR771" s="10"/>
      <c r="MS771" s="10"/>
      <c r="MT771" s="10"/>
      <c r="MU771" s="10"/>
      <c r="MV771" s="10"/>
      <c r="MW771" s="10"/>
      <c r="MX771" s="10"/>
      <c r="MY771" s="10"/>
      <c r="MZ771" s="10"/>
      <c r="NA771" s="10"/>
      <c r="NB771" s="10"/>
      <c r="NC771" s="10"/>
      <c r="ND771" s="10"/>
      <c r="NE771" s="10"/>
      <c r="NF771" s="10"/>
      <c r="NG771" s="10"/>
      <c r="NH771" s="10"/>
      <c r="NI771" s="10"/>
      <c r="NJ771" s="10"/>
      <c r="NK771" s="10"/>
      <c r="NL771" s="10"/>
      <c r="NM771" s="10"/>
      <c r="NN771" s="10"/>
      <c r="NO771" s="10"/>
      <c r="NP771" s="10"/>
      <c r="NQ771" s="10"/>
      <c r="NR771" s="10"/>
      <c r="NS771" s="10"/>
      <c r="NT771" s="10"/>
      <c r="NU771" s="10"/>
      <c r="NV771" s="10"/>
      <c r="NW771" s="10"/>
      <c r="NX771" s="10"/>
      <c r="NY771" s="10"/>
      <c r="NZ771" s="10"/>
      <c r="OA771" s="10"/>
      <c r="OB771" s="10"/>
      <c r="OC771" s="10"/>
      <c r="OD771" s="10"/>
      <c r="OE771" s="10"/>
      <c r="OF771" s="10"/>
      <c r="OG771" s="10"/>
      <c r="OH771" s="10"/>
      <c r="OI771" s="10"/>
      <c r="OJ771" s="10"/>
      <c r="OK771" s="10"/>
      <c r="OL771" s="10"/>
      <c r="OM771" s="10"/>
      <c r="ON771" s="10"/>
      <c r="OO771" s="10"/>
      <c r="OP771" s="10"/>
      <c r="OQ771" s="10"/>
      <c r="OR771" s="10"/>
      <c r="OS771" s="10"/>
      <c r="OT771" s="10"/>
      <c r="OU771" s="10"/>
      <c r="OV771" s="10"/>
      <c r="OW771" s="10"/>
      <c r="OX771" s="10"/>
      <c r="OY771" s="10"/>
      <c r="OZ771" s="10"/>
      <c r="PA771" s="10"/>
      <c r="PB771" s="10"/>
      <c r="PC771" s="10"/>
      <c r="PD771" s="10"/>
      <c r="PE771" s="10"/>
      <c r="PF771" s="10"/>
      <c r="PG771" s="10"/>
      <c r="PH771" s="10"/>
      <c r="PI771" s="10"/>
      <c r="PJ771" s="10"/>
      <c r="PK771" s="10"/>
      <c r="PL771" s="10"/>
      <c r="PM771" s="10"/>
      <c r="PN771" s="10"/>
      <c r="PO771" s="10"/>
      <c r="PP771" s="10"/>
      <c r="PQ771" s="10"/>
      <c r="PR771" s="10"/>
      <c r="PS771" s="10"/>
      <c r="PT771" s="10"/>
      <c r="PU771" s="10"/>
      <c r="PV771" s="10"/>
      <c r="PW771" s="10"/>
      <c r="PX771" s="10"/>
      <c r="PY771" s="10"/>
      <c r="PZ771" s="10"/>
      <c r="QA771" s="10"/>
      <c r="QB771" s="10"/>
      <c r="QC771" s="10"/>
      <c r="QD771" s="10"/>
      <c r="QE771" s="10"/>
      <c r="QF771" s="10"/>
      <c r="QG771" s="10"/>
      <c r="QH771" s="10"/>
      <c r="QI771" s="10"/>
      <c r="QJ771" s="10"/>
      <c r="QK771" s="10"/>
      <c r="QL771" s="10"/>
      <c r="QM771" s="10"/>
      <c r="QN771" s="10"/>
      <c r="QO771" s="10"/>
      <c r="QP771" s="10"/>
      <c r="QQ771" s="10"/>
      <c r="QR771" s="10"/>
      <c r="QS771" s="10"/>
      <c r="QT771" s="10"/>
      <c r="QU771" s="10"/>
      <c r="QV771" s="10"/>
      <c r="QW771" s="10"/>
      <c r="QX771" s="10"/>
      <c r="QY771" s="10"/>
      <c r="QZ771" s="10"/>
      <c r="RA771" s="10"/>
      <c r="RB771" s="10"/>
      <c r="RC771" s="10"/>
      <c r="RD771" s="10"/>
      <c r="RE771" s="10"/>
      <c r="RF771" s="10"/>
      <c r="RG771" s="10"/>
      <c r="RH771" s="10"/>
      <c r="RI771" s="10"/>
      <c r="RJ771" s="10"/>
      <c r="RK771" s="10"/>
      <c r="RL771" s="10"/>
      <c r="RM771" s="10"/>
      <c r="RN771" s="10"/>
      <c r="RO771" s="10"/>
      <c r="RP771" s="10"/>
      <c r="RQ771" s="10"/>
      <c r="RR771" s="10"/>
      <c r="RS771" s="10"/>
      <c r="RT771" s="10"/>
      <c r="RU771" s="10"/>
      <c r="RV771" s="10"/>
      <c r="RW771" s="10"/>
      <c r="RX771" s="10"/>
      <c r="RY771" s="10"/>
      <c r="RZ771" s="10"/>
      <c r="SA771" s="10"/>
      <c r="SB771" s="10"/>
      <c r="SC771" s="10"/>
      <c r="SD771" s="10"/>
      <c r="SE771" s="10"/>
      <c r="SF771" s="10"/>
      <c r="SG771" s="10"/>
      <c r="SH771" s="10"/>
      <c r="SI771" s="10"/>
      <c r="SJ771" s="10"/>
      <c r="SK771" s="10"/>
      <c r="SL771" s="10"/>
      <c r="SM771" s="10"/>
      <c r="SN771" s="10"/>
      <c r="SO771" s="10"/>
      <c r="SP771" s="10"/>
      <c r="SQ771" s="10"/>
      <c r="SR771" s="10"/>
      <c r="SS771" s="10"/>
      <c r="ST771" s="10"/>
      <c r="SU771" s="10"/>
      <c r="SV771" s="10"/>
      <c r="SW771" s="10"/>
      <c r="SX771" s="10"/>
      <c r="SY771" s="10"/>
      <c r="SZ771" s="10"/>
      <c r="TA771" s="10"/>
      <c r="TB771" s="10"/>
      <c r="TC771" s="10"/>
      <c r="TD771" s="10"/>
      <c r="TE771" s="10"/>
      <c r="TF771" s="10"/>
      <c r="TG771" s="10"/>
      <c r="TH771" s="10"/>
      <c r="TI771" s="10"/>
      <c r="TJ771" s="10"/>
      <c r="TK771" s="10"/>
      <c r="TL771" s="10"/>
      <c r="TM771" s="10"/>
      <c r="TN771" s="10"/>
      <c r="TO771" s="10"/>
      <c r="TP771" s="10"/>
      <c r="TQ771" s="10"/>
      <c r="TR771" s="10"/>
      <c r="TS771" s="10"/>
      <c r="TT771" s="10"/>
      <c r="TU771" s="10"/>
      <c r="TV771" s="10"/>
      <c r="TW771" s="10"/>
      <c r="TX771" s="10"/>
      <c r="TY771" s="10"/>
      <c r="TZ771" s="10"/>
      <c r="UA771" s="10"/>
      <c r="UB771" s="10"/>
      <c r="UC771" s="10"/>
      <c r="UD771" s="10"/>
      <c r="UE771" s="10"/>
      <c r="UF771" s="10"/>
      <c r="UG771" s="10"/>
      <c r="UH771" s="10"/>
      <c r="UI771" s="10"/>
      <c r="UJ771" s="10"/>
      <c r="UK771" s="10"/>
      <c r="UL771" s="10"/>
      <c r="UM771" s="10"/>
      <c r="UN771" s="10"/>
      <c r="UO771" s="10"/>
      <c r="UP771" s="10"/>
      <c r="UQ771" s="10"/>
      <c r="UR771" s="10"/>
      <c r="US771" s="10"/>
      <c r="UT771" s="10"/>
      <c r="UU771" s="10"/>
      <c r="UV771" s="10"/>
      <c r="UW771" s="10"/>
      <c r="UX771" s="10"/>
      <c r="UY771" s="10"/>
      <c r="UZ771" s="10"/>
      <c r="VA771" s="10"/>
      <c r="VB771" s="10"/>
      <c r="VC771" s="10"/>
      <c r="VD771" s="10"/>
      <c r="VE771" s="10"/>
      <c r="VF771" s="10"/>
      <c r="VG771" s="10"/>
      <c r="VH771" s="10"/>
      <c r="VI771" s="10"/>
      <c r="VJ771" s="10"/>
      <c r="VK771" s="10"/>
      <c r="VL771" s="10"/>
      <c r="VM771" s="10"/>
      <c r="VN771" s="10"/>
      <c r="VO771" s="10"/>
      <c r="VP771" s="10"/>
      <c r="VQ771" s="10"/>
      <c r="VR771" s="10"/>
      <c r="VS771" s="10"/>
      <c r="VT771" s="10"/>
      <c r="VU771" s="10"/>
      <c r="VV771" s="10"/>
      <c r="VW771" s="10"/>
      <c r="VX771" s="10"/>
      <c r="VY771" s="10"/>
      <c r="VZ771" s="10"/>
      <c r="WA771" s="10"/>
      <c r="WB771" s="10"/>
      <c r="WC771" s="10"/>
      <c r="WD771" s="10"/>
      <c r="WE771" s="10"/>
      <c r="WF771" s="10"/>
      <c r="WG771" s="10"/>
      <c r="WH771" s="10"/>
      <c r="WI771" s="10"/>
      <c r="WJ771" s="10"/>
      <c r="WK771" s="10"/>
      <c r="WL771" s="10"/>
      <c r="WM771" s="10"/>
      <c r="WN771" s="10"/>
      <c r="WO771" s="10"/>
      <c r="WP771" s="10"/>
      <c r="WQ771" s="10"/>
      <c r="WR771" s="10"/>
      <c r="WS771" s="10"/>
      <c r="WT771" s="10"/>
      <c r="WU771" s="10"/>
      <c r="WV771" s="10"/>
      <c r="WW771" s="10"/>
      <c r="WX771" s="10"/>
      <c r="WY771" s="10"/>
      <c r="WZ771" s="10"/>
      <c r="XA771" s="10"/>
      <c r="XB771" s="10"/>
      <c r="XC771" s="10"/>
      <c r="XD771" s="10"/>
      <c r="XE771" s="10"/>
      <c r="XF771" s="10"/>
      <c r="XG771" s="10"/>
      <c r="XH771" s="10"/>
      <c r="XI771" s="10"/>
      <c r="XJ771" s="10"/>
      <c r="XK771" s="10"/>
      <c r="XL771" s="10"/>
      <c r="XM771" s="10"/>
      <c r="XN771" s="10"/>
      <c r="XO771" s="10"/>
      <c r="XP771" s="10"/>
      <c r="XQ771" s="10"/>
      <c r="XR771" s="10"/>
      <c r="XS771" s="10"/>
      <c r="XT771" s="10"/>
      <c r="XU771" s="10"/>
      <c r="XV771" s="10"/>
      <c r="XW771" s="10"/>
      <c r="XX771" s="10"/>
      <c r="XY771" s="10"/>
      <c r="XZ771" s="10"/>
      <c r="YA771" s="10"/>
      <c r="YB771" s="10"/>
      <c r="YC771" s="10"/>
      <c r="YD771" s="10"/>
      <c r="YE771" s="10"/>
      <c r="YF771" s="10"/>
      <c r="YG771" s="10"/>
      <c r="YH771" s="10"/>
      <c r="YI771" s="10"/>
      <c r="YJ771" s="10"/>
      <c r="YK771" s="10"/>
      <c r="YL771" s="10"/>
      <c r="YM771" s="10"/>
      <c r="YN771" s="10"/>
      <c r="YO771" s="10"/>
      <c r="YP771" s="10"/>
      <c r="YQ771" s="10"/>
      <c r="YR771" s="10"/>
      <c r="YS771" s="10"/>
      <c r="YT771" s="10"/>
      <c r="YU771" s="10"/>
      <c r="YV771" s="10"/>
      <c r="YW771" s="10"/>
      <c r="YX771" s="10"/>
      <c r="YY771" s="10"/>
      <c r="YZ771" s="10"/>
      <c r="ZA771" s="10"/>
      <c r="ZB771" s="10"/>
      <c r="ZC771" s="10"/>
      <c r="ZD771" s="10"/>
      <c r="ZE771" s="10"/>
      <c r="ZF771" s="10"/>
      <c r="ZG771" s="10"/>
      <c r="ZH771" s="10"/>
      <c r="ZI771" s="10"/>
      <c r="ZJ771" s="10"/>
      <c r="ZK771" s="10"/>
      <c r="ZL771" s="10"/>
      <c r="ZM771" s="10"/>
      <c r="ZN771" s="10"/>
      <c r="ZO771" s="10"/>
      <c r="ZP771" s="10"/>
      <c r="ZQ771" s="10"/>
      <c r="ZR771" s="10"/>
      <c r="ZS771" s="10"/>
      <c r="ZT771" s="10"/>
      <c r="ZU771" s="10"/>
      <c r="ZV771" s="10"/>
      <c r="ZW771" s="10"/>
      <c r="ZX771" s="10"/>
      <c r="ZY771" s="10"/>
      <c r="ZZ771" s="10"/>
      <c r="AAA771" s="10"/>
      <c r="AAB771" s="10"/>
      <c r="AAC771" s="10"/>
      <c r="AAD771" s="10"/>
      <c r="AAE771" s="10"/>
      <c r="AAF771" s="10"/>
      <c r="AAG771" s="10"/>
      <c r="AAH771" s="10"/>
      <c r="AAI771" s="10"/>
      <c r="AAJ771" s="10"/>
      <c r="AAK771" s="10"/>
      <c r="AAL771" s="10"/>
      <c r="AAM771" s="10"/>
      <c r="AAN771" s="10"/>
      <c r="AAO771" s="10"/>
      <c r="AAP771" s="10"/>
      <c r="AAQ771" s="10"/>
      <c r="AAR771" s="10"/>
      <c r="AAS771" s="10"/>
      <c r="AAT771" s="10"/>
      <c r="AAU771" s="10"/>
      <c r="AAV771" s="10"/>
      <c r="AAW771" s="10"/>
      <c r="AAX771" s="10"/>
      <c r="AAY771" s="10"/>
      <c r="AAZ771" s="10"/>
      <c r="ABA771" s="10"/>
      <c r="ABB771" s="10"/>
      <c r="ABC771" s="10"/>
      <c r="ABD771" s="10"/>
      <c r="ABE771" s="10"/>
      <c r="ABF771" s="10"/>
      <c r="ABG771" s="10"/>
      <c r="ABH771" s="10"/>
      <c r="ABI771" s="10"/>
      <c r="ABJ771" s="10"/>
      <c r="ABK771" s="10"/>
      <c r="ABL771" s="10"/>
      <c r="ABM771" s="10"/>
      <c r="ABN771" s="10"/>
      <c r="ABO771" s="10"/>
      <c r="ABP771" s="10"/>
      <c r="ABQ771" s="10"/>
      <c r="ABR771" s="10"/>
      <c r="ABS771" s="10"/>
      <c r="ABT771" s="10"/>
      <c r="ABU771" s="10"/>
      <c r="ABV771" s="10"/>
      <c r="ABW771" s="10"/>
      <c r="ABX771" s="10"/>
      <c r="ABY771" s="10"/>
      <c r="ABZ771" s="10"/>
      <c r="ACA771" s="10"/>
      <c r="ACB771" s="10"/>
      <c r="ACC771" s="10"/>
      <c r="ACD771" s="10"/>
      <c r="ACE771" s="10"/>
      <c r="ACF771" s="10"/>
      <c r="ACG771" s="10"/>
      <c r="ACH771" s="10"/>
      <c r="ACI771" s="10"/>
      <c r="ACJ771" s="10"/>
      <c r="ACK771" s="10"/>
      <c r="ACL771" s="10"/>
      <c r="ACM771" s="10"/>
      <c r="ACN771" s="10"/>
      <c r="ACO771" s="10"/>
      <c r="ACP771" s="10"/>
      <c r="ACQ771" s="10"/>
      <c r="ACR771" s="10"/>
      <c r="ACS771" s="10"/>
      <c r="ACT771" s="10"/>
      <c r="ACU771" s="10"/>
      <c r="ACV771" s="10"/>
      <c r="ACW771" s="10"/>
      <c r="ACX771" s="10"/>
      <c r="ACY771" s="10"/>
      <c r="ACZ771" s="10"/>
      <c r="ADA771" s="10"/>
      <c r="ADB771" s="10"/>
      <c r="ADC771" s="10"/>
      <c r="ADD771" s="10"/>
      <c r="ADE771" s="10"/>
      <c r="ADF771" s="10"/>
      <c r="ADG771" s="10"/>
      <c r="ADH771" s="10"/>
      <c r="ADI771" s="10"/>
      <c r="ADJ771" s="10"/>
      <c r="ADK771" s="10"/>
      <c r="ADL771" s="10"/>
      <c r="ADM771" s="10"/>
      <c r="ADN771" s="10"/>
      <c r="ADO771" s="10"/>
      <c r="ADP771" s="10"/>
      <c r="ADQ771" s="10"/>
      <c r="ADR771" s="10"/>
      <c r="ADS771" s="10"/>
      <c r="ADT771" s="10"/>
      <c r="ADU771" s="10"/>
      <c r="ADV771" s="10"/>
      <c r="ADW771" s="10"/>
      <c r="ADX771" s="10"/>
      <c r="ADY771" s="10"/>
      <c r="ADZ771" s="10"/>
      <c r="AEA771" s="10"/>
      <c r="AEB771" s="10"/>
      <c r="AEC771" s="10"/>
      <c r="AED771" s="10"/>
      <c r="AEE771" s="10"/>
      <c r="AEF771" s="10"/>
      <c r="AEG771" s="10"/>
      <c r="AEH771" s="10"/>
      <c r="AEI771" s="10"/>
      <c r="AEJ771" s="10"/>
      <c r="AEK771" s="10"/>
      <c r="AEL771" s="10"/>
      <c r="AEM771" s="10"/>
      <c r="AEN771" s="10"/>
      <c r="AEO771" s="10"/>
      <c r="AEP771" s="10"/>
      <c r="AEQ771" s="10"/>
      <c r="AER771" s="10"/>
      <c r="AES771" s="10"/>
      <c r="AET771" s="10"/>
      <c r="AEU771" s="10"/>
      <c r="AEV771" s="10"/>
      <c r="AEW771" s="10"/>
      <c r="AEX771" s="10"/>
      <c r="AEY771" s="10"/>
      <c r="AEZ771" s="10"/>
      <c r="AFA771" s="10"/>
      <c r="AFB771" s="10"/>
      <c r="AFC771" s="10"/>
      <c r="AFD771" s="10"/>
      <c r="AFE771" s="10"/>
      <c r="AFF771" s="10"/>
      <c r="AFG771" s="10"/>
      <c r="AFH771" s="10"/>
      <c r="AFI771" s="10"/>
      <c r="AFJ771" s="10"/>
      <c r="AFK771" s="10"/>
      <c r="AFL771" s="10"/>
      <c r="AFM771" s="10"/>
      <c r="AFN771" s="10"/>
      <c r="AFO771" s="10"/>
      <c r="AFP771" s="10"/>
      <c r="AFQ771" s="10"/>
      <c r="AFR771" s="10"/>
      <c r="AFS771" s="10"/>
      <c r="AFT771" s="10"/>
      <c r="AFU771" s="10"/>
      <c r="AFV771" s="10"/>
      <c r="AFW771" s="10"/>
      <c r="AFX771" s="10"/>
      <c r="AFY771" s="10"/>
      <c r="AFZ771" s="10"/>
      <c r="AGA771" s="10"/>
      <c r="AGB771" s="10"/>
      <c r="AGC771" s="10"/>
      <c r="AGD771" s="10"/>
      <c r="AGE771" s="10"/>
      <c r="AGF771" s="10"/>
      <c r="AGG771" s="10"/>
      <c r="AGH771" s="10"/>
      <c r="AGI771" s="10"/>
      <c r="AGJ771" s="10"/>
      <c r="AGK771" s="10"/>
      <c r="AGL771" s="10"/>
      <c r="AGM771" s="10"/>
      <c r="AGN771" s="10"/>
      <c r="AGO771" s="10"/>
      <c r="AGP771" s="10"/>
      <c r="AGQ771" s="10"/>
      <c r="AGR771" s="10"/>
      <c r="AGS771" s="10"/>
      <c r="AGT771" s="10"/>
      <c r="AGU771" s="10"/>
      <c r="AGV771" s="10"/>
      <c r="AGW771" s="10"/>
      <c r="AGX771" s="10"/>
      <c r="AGY771" s="10"/>
      <c r="AGZ771" s="10"/>
      <c r="AHA771" s="10"/>
      <c r="AHB771" s="10"/>
      <c r="AHC771" s="10"/>
      <c r="AHD771" s="10"/>
      <c r="AHE771" s="10"/>
      <c r="AHF771" s="10"/>
      <c r="AHG771" s="10"/>
      <c r="AHH771" s="10"/>
      <c r="AHI771" s="10"/>
      <c r="AHJ771" s="10"/>
      <c r="AHK771" s="10"/>
      <c r="AHL771" s="10"/>
      <c r="AHM771" s="10"/>
      <c r="AHN771" s="10"/>
      <c r="AHO771" s="10"/>
      <c r="AHP771" s="10"/>
      <c r="AHQ771" s="10"/>
      <c r="AHR771" s="10"/>
      <c r="AHS771" s="10"/>
      <c r="AHT771" s="10"/>
      <c r="AHU771" s="10"/>
      <c r="AHV771" s="10"/>
      <c r="AHW771" s="10"/>
      <c r="AHX771" s="10"/>
      <c r="AHY771" s="10"/>
      <c r="AHZ771" s="10"/>
      <c r="AIA771" s="10"/>
      <c r="AIB771" s="10"/>
      <c r="AIC771" s="10"/>
      <c r="AID771" s="10"/>
      <c r="AIE771" s="10"/>
      <c r="AIF771" s="10"/>
      <c r="AIG771" s="10"/>
      <c r="AIH771" s="10"/>
      <c r="AII771" s="10"/>
      <c r="AIJ771" s="10"/>
      <c r="AIK771" s="10"/>
      <c r="AIL771" s="10"/>
      <c r="AIM771" s="10"/>
      <c r="AIN771" s="10"/>
      <c r="AIO771" s="10"/>
      <c r="AIP771" s="10"/>
      <c r="AIQ771" s="10"/>
      <c r="AIR771" s="10"/>
      <c r="AIS771" s="10"/>
      <c r="AIT771" s="10"/>
      <c r="AIU771" s="10"/>
      <c r="AIV771" s="10"/>
      <c r="AIW771" s="10"/>
      <c r="AIX771" s="10"/>
      <c r="AIY771" s="10"/>
      <c r="AIZ771" s="10"/>
      <c r="AJA771" s="10"/>
      <c r="AJB771" s="10"/>
      <c r="AJC771" s="10"/>
      <c r="AJD771" s="10"/>
      <c r="AJE771" s="10"/>
      <c r="AJF771" s="10"/>
      <c r="AJG771" s="10"/>
      <c r="AJH771" s="10"/>
      <c r="AJI771" s="10"/>
      <c r="AJJ771" s="10"/>
      <c r="AJK771" s="10"/>
      <c r="AJL771" s="10"/>
      <c r="AJM771" s="10"/>
      <c r="AJN771" s="10"/>
      <c r="AJO771" s="10"/>
      <c r="AJP771" s="10"/>
      <c r="AJQ771" s="10"/>
      <c r="AJR771" s="10"/>
      <c r="AJS771" s="10"/>
      <c r="AJT771" s="10"/>
      <c r="AJU771" s="10"/>
      <c r="AJV771" s="10"/>
      <c r="AJW771" s="10"/>
      <c r="AJX771" s="10"/>
      <c r="AJY771" s="10"/>
      <c r="AJZ771" s="10"/>
      <c r="AKA771" s="10"/>
      <c r="AKB771" s="10"/>
      <c r="AKC771" s="10"/>
      <c r="AKD771" s="10"/>
      <c r="AKE771" s="10"/>
      <c r="AKF771" s="10"/>
      <c r="AKG771" s="10"/>
      <c r="AKH771" s="10"/>
      <c r="AKI771" s="10"/>
      <c r="AKJ771" s="10"/>
      <c r="AKK771" s="10"/>
      <c r="AKL771" s="10"/>
      <c r="AKM771" s="10"/>
      <c r="AKN771" s="10"/>
      <c r="AKO771" s="10"/>
      <c r="AKP771" s="10"/>
      <c r="AKQ771" s="10"/>
      <c r="AKR771" s="10"/>
      <c r="AKS771" s="10"/>
      <c r="AKT771" s="10"/>
      <c r="AKU771" s="10"/>
      <c r="AKV771" s="10"/>
      <c r="AKW771" s="10"/>
      <c r="AKX771" s="10"/>
      <c r="AKY771" s="10"/>
      <c r="AKZ771" s="10"/>
      <c r="ALA771" s="10"/>
      <c r="ALB771" s="10"/>
      <c r="ALC771" s="10"/>
      <c r="ALD771" s="10"/>
      <c r="ALE771" s="10"/>
      <c r="ALF771" s="10"/>
      <c r="ALG771" s="10"/>
      <c r="ALH771" s="10"/>
      <c r="ALI771" s="10"/>
      <c r="ALJ771" s="10"/>
      <c r="ALK771" s="10"/>
      <c r="ALL771" s="10"/>
      <c r="ALM771" s="10"/>
      <c r="ALN771" s="10"/>
      <c r="ALO771" s="10"/>
      <c r="ALP771" s="10"/>
      <c r="ALQ771" s="10"/>
      <c r="ALR771" s="10"/>
      <c r="ALS771" s="10"/>
      <c r="ALT771" s="10"/>
      <c r="ALU771" s="10"/>
      <c r="ALV771" s="10"/>
      <c r="ALW771" s="10"/>
      <c r="ALX771" s="10"/>
      <c r="ALY771" s="10"/>
      <c r="ALZ771" s="10"/>
      <c r="AMA771" s="10"/>
      <c r="AMB771" s="10"/>
      <c r="AMC771" s="10"/>
      <c r="AMD771" s="10"/>
      <c r="AME771" s="10"/>
      <c r="AMF771" s="10"/>
      <c r="AMG771" s="10"/>
      <c r="AMH771" s="10"/>
      <c r="AMI771" s="10"/>
      <c r="AMJ771" s="10"/>
      <c r="AMK771" s="10"/>
      <c r="AML771" s="10"/>
      <c r="AMM771" s="10"/>
      <c r="AMN771" s="10"/>
      <c r="AMO771" s="10"/>
      <c r="AMP771" s="10"/>
      <c r="AMQ771" s="10"/>
      <c r="AMR771" s="10"/>
      <c r="AMS771" s="10"/>
      <c r="AMT771" s="10"/>
      <c r="AMU771" s="10"/>
      <c r="AMV771" s="10"/>
      <c r="AMW771" s="10"/>
      <c r="AMX771" s="10"/>
      <c r="AMY771" s="10"/>
      <c r="AMZ771" s="10"/>
      <c r="ANA771" s="10"/>
      <c r="ANB771" s="10"/>
      <c r="ANC771" s="10"/>
      <c r="AND771" s="10"/>
      <c r="ANE771" s="10"/>
      <c r="ANF771" s="10"/>
      <c r="ANG771" s="10"/>
      <c r="ANH771" s="10"/>
      <c r="ANI771" s="10"/>
      <c r="ANJ771" s="10"/>
      <c r="ANK771" s="10"/>
      <c r="ANL771" s="10"/>
      <c r="ANM771" s="10"/>
      <c r="ANN771" s="10"/>
      <c r="ANO771" s="10"/>
      <c r="ANP771" s="10"/>
      <c r="ANQ771" s="10"/>
      <c r="ANR771" s="10"/>
      <c r="ANS771" s="10"/>
      <c r="ANT771" s="10"/>
      <c r="ANU771" s="10"/>
      <c r="ANV771" s="10"/>
      <c r="ANW771" s="10"/>
      <c r="ANX771" s="10"/>
      <c r="ANY771" s="10"/>
      <c r="ANZ771" s="10"/>
      <c r="AOA771" s="10"/>
      <c r="AOB771" s="10"/>
      <c r="AOC771" s="10"/>
      <c r="AOD771" s="10"/>
      <c r="AOE771" s="10"/>
      <c r="AOF771" s="10"/>
      <c r="AOG771" s="10"/>
      <c r="AOH771" s="10"/>
      <c r="AOI771" s="10"/>
      <c r="AOJ771" s="10"/>
      <c r="AOK771" s="10"/>
      <c r="AOL771" s="10"/>
      <c r="AOM771" s="10"/>
      <c r="AON771" s="10"/>
      <c r="AOO771" s="10"/>
      <c r="AOP771" s="10"/>
      <c r="AOQ771" s="10"/>
      <c r="AOR771" s="10"/>
      <c r="AOS771" s="10"/>
      <c r="AOT771" s="10"/>
      <c r="AOU771" s="10"/>
      <c r="AOV771" s="10"/>
      <c r="AOW771" s="10"/>
      <c r="AOX771" s="10"/>
      <c r="AOY771" s="10"/>
      <c r="AOZ771" s="10"/>
      <c r="APA771" s="10"/>
      <c r="APB771" s="10"/>
      <c r="APC771" s="10"/>
      <c r="APD771" s="10"/>
      <c r="APE771" s="10"/>
      <c r="APF771" s="10"/>
      <c r="APG771" s="10"/>
      <c r="APH771" s="10"/>
      <c r="API771" s="10"/>
      <c r="APJ771" s="10"/>
      <c r="APK771" s="10"/>
      <c r="APL771" s="10"/>
      <c r="APM771" s="10"/>
      <c r="APN771" s="10"/>
      <c r="APO771" s="10"/>
      <c r="APP771" s="10"/>
      <c r="APQ771" s="10"/>
      <c r="APR771" s="10"/>
      <c r="APS771" s="10"/>
      <c r="APT771" s="10"/>
      <c r="APU771" s="10"/>
      <c r="APV771" s="10"/>
      <c r="APW771" s="10"/>
      <c r="APX771" s="10"/>
      <c r="APY771" s="10"/>
      <c r="APZ771" s="10"/>
      <c r="AQA771" s="10"/>
      <c r="AQB771" s="10"/>
      <c r="AQC771" s="10"/>
      <c r="AQD771" s="10"/>
      <c r="AQE771" s="10"/>
      <c r="AQF771" s="10"/>
      <c r="AQG771" s="10"/>
      <c r="AQH771" s="10"/>
      <c r="AQI771" s="10"/>
      <c r="AQJ771" s="10"/>
      <c r="AQK771" s="10"/>
      <c r="AQL771" s="10"/>
      <c r="AQM771" s="10"/>
      <c r="AQN771" s="10"/>
      <c r="AQO771" s="10"/>
      <c r="AQP771" s="10"/>
      <c r="AQQ771" s="10"/>
      <c r="AQR771" s="10"/>
      <c r="AQS771" s="10"/>
      <c r="AQT771" s="10"/>
      <c r="AQU771" s="10"/>
      <c r="AQV771" s="10"/>
      <c r="AQW771" s="10"/>
      <c r="AQX771" s="10"/>
      <c r="AQY771" s="10"/>
      <c r="AQZ771" s="10"/>
      <c r="ARA771" s="10"/>
      <c r="ARB771" s="10"/>
      <c r="ARC771" s="10"/>
      <c r="ARD771" s="10"/>
      <c r="ARE771" s="10"/>
      <c r="ARF771" s="10"/>
      <c r="ARG771" s="10"/>
      <c r="ARH771" s="10"/>
      <c r="ARI771" s="10"/>
      <c r="ARJ771" s="10"/>
      <c r="ARK771" s="10"/>
      <c r="ARL771" s="10"/>
      <c r="ARM771" s="10"/>
      <c r="ARN771" s="10"/>
      <c r="ARO771" s="10"/>
      <c r="ARP771" s="10"/>
      <c r="ARQ771" s="10"/>
      <c r="ARR771" s="10"/>
      <c r="ARS771" s="10"/>
      <c r="ART771" s="10"/>
      <c r="ARU771" s="10"/>
      <c r="ARV771" s="10"/>
      <c r="ARW771" s="10"/>
      <c r="ARX771" s="10"/>
      <c r="ARY771" s="10"/>
      <c r="ARZ771" s="10"/>
      <c r="ASA771" s="10"/>
      <c r="ASB771" s="10"/>
      <c r="ASC771" s="10"/>
      <c r="ASD771" s="10"/>
      <c r="ASE771" s="10"/>
      <c r="ASF771" s="10"/>
      <c r="ASG771" s="10"/>
      <c r="ASH771" s="10"/>
      <c r="ASI771" s="10"/>
      <c r="ASJ771" s="10"/>
      <c r="ASK771" s="10"/>
      <c r="ASL771" s="10"/>
      <c r="ASM771" s="10"/>
      <c r="ASN771" s="10"/>
      <c r="ASO771" s="10"/>
      <c r="ASP771" s="10"/>
      <c r="ASQ771" s="10"/>
      <c r="ASR771" s="10"/>
      <c r="ASS771" s="10"/>
      <c r="AST771" s="10"/>
      <c r="ASU771" s="10"/>
      <c r="ASV771" s="10"/>
      <c r="ASW771" s="10"/>
      <c r="ASX771" s="10"/>
      <c r="ASY771" s="10"/>
      <c r="ASZ771" s="10"/>
      <c r="ATA771" s="10"/>
      <c r="ATB771" s="10"/>
      <c r="ATC771" s="10"/>
      <c r="ATD771" s="10"/>
      <c r="ATE771" s="10"/>
      <c r="ATF771" s="10"/>
      <c r="ATG771" s="10"/>
      <c r="ATH771" s="10"/>
      <c r="ATI771" s="10"/>
      <c r="ATJ771" s="10"/>
      <c r="ATK771" s="10"/>
      <c r="ATL771" s="10"/>
      <c r="ATM771" s="10"/>
      <c r="ATN771" s="10"/>
      <c r="ATO771" s="10"/>
      <c r="ATP771" s="10"/>
      <c r="ATQ771" s="10"/>
      <c r="ATR771" s="10"/>
      <c r="ATS771" s="10"/>
      <c r="ATT771" s="10"/>
      <c r="ATU771" s="10"/>
      <c r="ATV771" s="10"/>
      <c r="ATW771" s="10"/>
      <c r="ATX771" s="10"/>
      <c r="ATY771" s="10"/>
      <c r="ATZ771" s="10"/>
      <c r="AUA771" s="10"/>
      <c r="AUB771" s="10"/>
      <c r="AUC771" s="10"/>
      <c r="AUD771" s="10"/>
      <c r="AUE771" s="10"/>
      <c r="AUF771" s="10"/>
      <c r="AUG771" s="10"/>
      <c r="AUH771" s="10"/>
      <c r="AUI771" s="10"/>
      <c r="AUJ771" s="10"/>
      <c r="AUK771" s="10"/>
      <c r="AUL771" s="10"/>
      <c r="AUM771" s="10"/>
      <c r="AUN771" s="10"/>
      <c r="AUO771" s="10"/>
      <c r="AUP771" s="10"/>
      <c r="AUQ771" s="10"/>
      <c r="AUR771" s="10"/>
      <c r="AUS771" s="10"/>
      <c r="AUT771" s="10"/>
      <c r="AUU771" s="10"/>
      <c r="AUV771" s="10"/>
      <c r="AUW771" s="10"/>
      <c r="AUX771" s="10"/>
      <c r="AUY771" s="10"/>
      <c r="AUZ771" s="10"/>
      <c r="AVA771" s="10"/>
      <c r="AVB771" s="10"/>
      <c r="AVC771" s="10"/>
      <c r="AVD771" s="10"/>
      <c r="AVE771" s="10"/>
      <c r="AVF771" s="10"/>
      <c r="AVG771" s="10"/>
      <c r="AVH771" s="10"/>
      <c r="AVI771" s="10"/>
      <c r="AVJ771" s="10"/>
      <c r="AVK771" s="10"/>
      <c r="AVL771" s="10"/>
      <c r="AVM771" s="10"/>
      <c r="AVN771" s="10"/>
      <c r="AVO771" s="10"/>
      <c r="AVP771" s="10"/>
      <c r="AVQ771" s="10"/>
      <c r="AVR771" s="10"/>
      <c r="AVS771" s="10"/>
      <c r="AVT771" s="10"/>
      <c r="AVU771" s="10"/>
      <c r="AVV771" s="10"/>
      <c r="AVW771" s="10"/>
      <c r="AVX771" s="10"/>
      <c r="AVY771" s="10"/>
      <c r="AVZ771" s="10"/>
      <c r="AWA771" s="10"/>
      <c r="AWB771" s="10"/>
      <c r="AWC771" s="10"/>
      <c r="AWD771" s="10"/>
      <c r="AWE771" s="10"/>
      <c r="AWF771" s="10"/>
      <c r="AWG771" s="10"/>
      <c r="AWH771" s="10"/>
      <c r="AWI771" s="10"/>
      <c r="AWJ771" s="10"/>
      <c r="AWK771" s="10"/>
      <c r="AWL771" s="10"/>
      <c r="AWM771" s="10"/>
      <c r="AWN771" s="10"/>
      <c r="AWO771" s="10"/>
      <c r="AWP771" s="10"/>
      <c r="AWQ771" s="10"/>
      <c r="AWR771" s="10"/>
      <c r="AWS771" s="10"/>
      <c r="AWT771" s="10"/>
      <c r="AWU771" s="10"/>
      <c r="AWV771" s="10"/>
      <c r="AWW771" s="10"/>
      <c r="AWX771" s="10"/>
      <c r="AWY771" s="10"/>
      <c r="AWZ771" s="10"/>
      <c r="AXA771" s="10"/>
      <c r="AXB771" s="10"/>
      <c r="AXC771" s="10"/>
      <c r="AXD771" s="10"/>
      <c r="AXE771" s="10"/>
      <c r="AXF771" s="10"/>
      <c r="AXG771" s="10"/>
      <c r="AXH771" s="10"/>
      <c r="AXI771" s="10"/>
      <c r="AXJ771" s="10"/>
      <c r="AXK771" s="10"/>
      <c r="AXL771" s="10"/>
      <c r="AXM771" s="10"/>
      <c r="AXN771" s="10"/>
      <c r="AXO771" s="10"/>
      <c r="AXP771" s="10"/>
      <c r="AXQ771" s="10"/>
      <c r="AXR771" s="10"/>
      <c r="AXS771" s="10"/>
      <c r="AXT771" s="10"/>
      <c r="AXU771" s="10"/>
      <c r="AXV771" s="10"/>
      <c r="AXW771" s="10"/>
      <c r="AXX771" s="10"/>
      <c r="AXY771" s="10"/>
      <c r="AXZ771" s="10"/>
      <c r="AYA771" s="10"/>
      <c r="AYB771" s="10"/>
      <c r="AYC771" s="10"/>
      <c r="AYD771" s="10"/>
      <c r="AYE771" s="10"/>
      <c r="AYF771" s="10"/>
      <c r="AYG771" s="10"/>
      <c r="AYH771" s="10"/>
      <c r="AYI771" s="10"/>
      <c r="AYJ771" s="10"/>
      <c r="AYK771" s="10"/>
      <c r="AYL771" s="10"/>
      <c r="AYM771" s="10"/>
      <c r="AYN771" s="10"/>
      <c r="AYO771" s="10"/>
      <c r="AYP771" s="10"/>
      <c r="AYQ771" s="10"/>
      <c r="AYR771" s="10"/>
      <c r="AYS771" s="10"/>
      <c r="AYT771" s="10"/>
      <c r="AYU771" s="10"/>
      <c r="AYV771" s="10"/>
      <c r="AYW771" s="10"/>
      <c r="AYX771" s="10"/>
      <c r="AYY771" s="10"/>
      <c r="AYZ771" s="10"/>
      <c r="AZA771" s="10"/>
      <c r="AZB771" s="10"/>
      <c r="AZC771" s="10"/>
      <c r="AZD771" s="10"/>
      <c r="AZE771" s="10"/>
      <c r="AZF771" s="10"/>
      <c r="AZG771" s="10"/>
      <c r="AZH771" s="10"/>
      <c r="AZI771" s="10"/>
      <c r="AZJ771" s="10"/>
      <c r="AZK771" s="10"/>
      <c r="AZL771" s="10"/>
      <c r="AZM771" s="10"/>
      <c r="AZN771" s="10"/>
      <c r="AZO771" s="10"/>
      <c r="AZP771" s="10"/>
      <c r="AZQ771" s="10"/>
      <c r="AZR771" s="10"/>
      <c r="AZS771" s="10"/>
      <c r="AZT771" s="10"/>
      <c r="AZU771" s="10"/>
      <c r="AZV771" s="10"/>
      <c r="AZW771" s="10"/>
      <c r="AZX771" s="10"/>
      <c r="AZY771" s="10"/>
      <c r="AZZ771" s="10"/>
      <c r="BAA771" s="10"/>
      <c r="BAB771" s="10"/>
      <c r="BAC771" s="10"/>
      <c r="BAD771" s="10"/>
      <c r="BAE771" s="10"/>
      <c r="BAF771" s="10"/>
      <c r="BAG771" s="10"/>
      <c r="BAH771" s="10"/>
      <c r="BAI771" s="10"/>
      <c r="BAJ771" s="10"/>
      <c r="BAK771" s="10"/>
      <c r="BAL771" s="10"/>
      <c r="BAM771" s="10"/>
      <c r="BAN771" s="10"/>
      <c r="BAO771" s="10"/>
      <c r="BAP771" s="10"/>
      <c r="BAQ771" s="10"/>
      <c r="BAR771" s="10"/>
      <c r="BAS771" s="10"/>
      <c r="BAT771" s="10"/>
      <c r="BAU771" s="10"/>
      <c r="BAV771" s="10"/>
      <c r="BAW771" s="10"/>
      <c r="BAX771" s="10"/>
      <c r="BAY771" s="10"/>
      <c r="BAZ771" s="10"/>
      <c r="BBA771" s="10"/>
      <c r="BBB771" s="10"/>
      <c r="BBC771" s="10"/>
      <c r="BBD771" s="10"/>
      <c r="BBE771" s="10"/>
      <c r="BBF771" s="10"/>
      <c r="BBG771" s="10"/>
      <c r="BBH771" s="10"/>
      <c r="BBI771" s="10"/>
      <c r="BBJ771" s="10"/>
      <c r="BBK771" s="10"/>
      <c r="BBL771" s="10"/>
      <c r="BBM771" s="10"/>
      <c r="BBN771" s="10"/>
      <c r="BBO771" s="10"/>
      <c r="BBP771" s="10"/>
      <c r="BBQ771" s="10"/>
      <c r="BBR771" s="10"/>
      <c r="BBS771" s="10"/>
      <c r="BBT771" s="10"/>
      <c r="BBU771" s="10"/>
      <c r="BBV771" s="10"/>
      <c r="BBW771" s="10"/>
      <c r="BBX771" s="10"/>
      <c r="BBY771" s="10"/>
      <c r="BBZ771" s="10"/>
      <c r="BCA771" s="10"/>
      <c r="BCB771" s="10"/>
      <c r="BCC771" s="10"/>
      <c r="BCD771" s="10"/>
      <c r="BCE771" s="10"/>
      <c r="BCF771" s="10"/>
      <c r="BCG771" s="10"/>
      <c r="BCH771" s="10"/>
      <c r="BCI771" s="10"/>
      <c r="BCJ771" s="10"/>
      <c r="BCK771" s="10"/>
      <c r="BCL771" s="10"/>
      <c r="BCM771" s="10"/>
      <c r="BCN771" s="10"/>
      <c r="BCO771" s="10"/>
      <c r="BCP771" s="10"/>
      <c r="BCQ771" s="10"/>
      <c r="BCR771" s="10"/>
      <c r="BCS771" s="10"/>
      <c r="BCT771" s="10"/>
      <c r="BCU771" s="10"/>
      <c r="BCV771" s="10"/>
      <c r="BCW771" s="10"/>
      <c r="BCX771" s="10"/>
      <c r="BCY771" s="10"/>
      <c r="BCZ771" s="10"/>
      <c r="BDA771" s="10"/>
      <c r="BDB771" s="10"/>
      <c r="BDC771" s="10"/>
      <c r="BDD771" s="10"/>
      <c r="BDE771" s="10"/>
      <c r="BDF771" s="10"/>
      <c r="BDG771" s="10"/>
      <c r="BDH771" s="10"/>
      <c r="BDI771" s="10"/>
      <c r="BDJ771" s="10"/>
      <c r="BDK771" s="10"/>
      <c r="BDL771" s="10"/>
      <c r="BDM771" s="10"/>
      <c r="BDN771" s="10"/>
      <c r="BDO771" s="10"/>
      <c r="BDP771" s="10"/>
      <c r="BDQ771" s="10"/>
      <c r="BDR771" s="10"/>
      <c r="BDS771" s="10"/>
      <c r="BDT771" s="10"/>
      <c r="BDU771" s="10"/>
      <c r="BDV771" s="10"/>
      <c r="BDW771" s="10"/>
      <c r="BDX771" s="10"/>
      <c r="BDY771" s="10"/>
      <c r="BDZ771" s="10"/>
      <c r="BEA771" s="10"/>
      <c r="BEB771" s="10"/>
      <c r="BEC771" s="10"/>
      <c r="BED771" s="10"/>
      <c r="BEE771" s="10"/>
      <c r="BEF771" s="10"/>
      <c r="BEG771" s="10"/>
      <c r="BEH771" s="10"/>
      <c r="BEI771" s="10"/>
      <c r="BEJ771" s="10"/>
      <c r="BEK771" s="10"/>
      <c r="BEL771" s="10"/>
      <c r="BEM771" s="10"/>
      <c r="BEN771" s="10"/>
      <c r="BEO771" s="10"/>
      <c r="BEP771" s="10"/>
      <c r="BEQ771" s="10"/>
      <c r="BER771" s="10"/>
      <c r="BES771" s="10"/>
      <c r="BET771" s="10"/>
      <c r="BEU771" s="10"/>
      <c r="BEV771" s="10"/>
      <c r="BEW771" s="10"/>
      <c r="BEX771" s="10"/>
      <c r="BEY771" s="10"/>
      <c r="BEZ771" s="10"/>
      <c r="BFA771" s="10"/>
      <c r="BFB771" s="10"/>
      <c r="BFC771" s="10"/>
      <c r="BFD771" s="10"/>
      <c r="BFE771" s="10"/>
      <c r="BFF771" s="10"/>
      <c r="BFG771" s="10"/>
      <c r="BFH771" s="10"/>
      <c r="BFI771" s="10"/>
      <c r="BFJ771" s="10"/>
      <c r="BFK771" s="10"/>
      <c r="BFL771" s="10"/>
      <c r="BFM771" s="10"/>
      <c r="BFN771" s="10"/>
      <c r="BFO771" s="10"/>
      <c r="BFP771" s="10"/>
      <c r="BFQ771" s="10"/>
      <c r="BFR771" s="10"/>
      <c r="BFS771" s="10"/>
      <c r="BFT771" s="10"/>
      <c r="BFU771" s="10"/>
      <c r="BFV771" s="10"/>
      <c r="BFW771" s="10"/>
      <c r="BFX771" s="10"/>
      <c r="BFY771" s="10"/>
      <c r="BFZ771" s="10"/>
      <c r="BGA771" s="10"/>
      <c r="BGB771" s="10"/>
      <c r="BGC771" s="10"/>
      <c r="BGD771" s="10"/>
      <c r="BGE771" s="10"/>
      <c r="BGF771" s="10"/>
      <c r="BGG771" s="10"/>
      <c r="BGH771" s="10"/>
      <c r="BGI771" s="10"/>
      <c r="BGJ771" s="10"/>
      <c r="BGK771" s="10"/>
      <c r="BGL771" s="10"/>
      <c r="BGM771" s="10"/>
      <c r="BGN771" s="10"/>
      <c r="BGO771" s="10"/>
      <c r="BGP771" s="10"/>
      <c r="BGQ771" s="10"/>
      <c r="BGR771" s="10"/>
      <c r="BGS771" s="10"/>
      <c r="BGT771" s="10"/>
      <c r="BGU771" s="10"/>
      <c r="BGV771" s="10"/>
      <c r="BGW771" s="10"/>
      <c r="BGX771" s="10"/>
      <c r="BGY771" s="10"/>
      <c r="BGZ771" s="10"/>
      <c r="BHA771" s="10"/>
      <c r="BHB771" s="10"/>
      <c r="BHC771" s="10"/>
      <c r="BHD771" s="10"/>
      <c r="BHE771" s="10"/>
      <c r="BHF771" s="10"/>
      <c r="BHG771" s="10"/>
      <c r="BHH771" s="10"/>
      <c r="BHI771" s="10"/>
      <c r="BHJ771" s="10"/>
      <c r="BHK771" s="10"/>
      <c r="BHL771" s="10"/>
      <c r="BHM771" s="10"/>
      <c r="BHN771" s="10"/>
      <c r="BHO771" s="10"/>
      <c r="BHP771" s="10"/>
      <c r="BHQ771" s="10"/>
      <c r="BHR771" s="10"/>
      <c r="BHS771" s="10"/>
      <c r="BHT771" s="10"/>
      <c r="BHU771" s="10"/>
      <c r="BHV771" s="10"/>
      <c r="BHW771" s="10"/>
      <c r="BHX771" s="10"/>
      <c r="BHY771" s="10"/>
      <c r="BHZ771" s="10"/>
      <c r="BIA771" s="10"/>
      <c r="BIB771" s="10"/>
      <c r="BIC771" s="10"/>
      <c r="BID771" s="10"/>
      <c r="BIE771" s="10"/>
      <c r="BIF771" s="10"/>
      <c r="BIG771" s="10"/>
      <c r="BIH771" s="10"/>
      <c r="BII771" s="10"/>
      <c r="BIJ771" s="10"/>
      <c r="BIK771" s="10"/>
      <c r="BIL771" s="10"/>
      <c r="BIM771" s="10"/>
      <c r="BIN771" s="10"/>
      <c r="BIO771" s="10"/>
      <c r="BIP771" s="10"/>
      <c r="BIQ771" s="10"/>
      <c r="BIR771" s="10"/>
      <c r="BIS771" s="10"/>
      <c r="BIT771" s="10"/>
      <c r="BIU771" s="10"/>
      <c r="BIV771" s="10"/>
      <c r="BIW771" s="10"/>
      <c r="BIX771" s="10"/>
      <c r="BIY771" s="10"/>
      <c r="BIZ771" s="10"/>
      <c r="BJA771" s="10"/>
      <c r="BJB771" s="10"/>
      <c r="BJC771" s="10"/>
      <c r="BJD771" s="10"/>
      <c r="BJE771" s="10"/>
      <c r="BJF771" s="10"/>
      <c r="BJG771" s="10"/>
      <c r="BJH771" s="10"/>
      <c r="BJI771" s="10"/>
      <c r="BJJ771" s="10"/>
      <c r="BJK771" s="10"/>
      <c r="BJL771" s="10"/>
      <c r="BJM771" s="10"/>
      <c r="BJN771" s="10"/>
      <c r="BJO771" s="10"/>
      <c r="BJP771" s="10"/>
      <c r="BJQ771" s="10"/>
      <c r="BJR771" s="10"/>
      <c r="BJS771" s="10"/>
      <c r="BJT771" s="10"/>
      <c r="BJU771" s="10"/>
      <c r="BJV771" s="10"/>
      <c r="BJW771" s="10"/>
      <c r="BJX771" s="10"/>
      <c r="BJY771" s="10"/>
      <c r="BJZ771" s="10"/>
      <c r="BKA771" s="10"/>
      <c r="BKB771" s="10"/>
      <c r="BKC771" s="10"/>
      <c r="BKD771" s="10"/>
      <c r="BKE771" s="10"/>
      <c r="BKF771" s="10"/>
      <c r="BKG771" s="10"/>
      <c r="BKH771" s="10"/>
      <c r="BKI771" s="10"/>
      <c r="BKJ771" s="10"/>
      <c r="BKK771" s="10"/>
      <c r="BKL771" s="10"/>
      <c r="BKM771" s="10"/>
      <c r="BKN771" s="10"/>
      <c r="BKO771" s="10"/>
      <c r="BKP771" s="10"/>
      <c r="BKQ771" s="10"/>
      <c r="BKR771" s="10"/>
      <c r="BKS771" s="10"/>
      <c r="BKT771" s="10"/>
      <c r="BKU771" s="10"/>
      <c r="BKV771" s="10"/>
      <c r="BKW771" s="10"/>
      <c r="BKX771" s="10"/>
      <c r="BKY771" s="10"/>
      <c r="BKZ771" s="10"/>
      <c r="BLA771" s="10"/>
      <c r="BLB771" s="10"/>
      <c r="BLC771" s="10"/>
      <c r="BLD771" s="10"/>
      <c r="BLE771" s="10"/>
      <c r="BLF771" s="10"/>
      <c r="BLG771" s="10"/>
      <c r="BLH771" s="10"/>
      <c r="BLI771" s="10"/>
      <c r="BLJ771" s="10"/>
      <c r="BLK771" s="10"/>
      <c r="BLL771" s="10"/>
      <c r="BLM771" s="10"/>
      <c r="BLN771" s="10"/>
      <c r="BLO771" s="10"/>
      <c r="BLP771" s="10"/>
      <c r="BLQ771" s="10"/>
      <c r="BLR771" s="10"/>
      <c r="BLS771" s="10"/>
      <c r="BLT771" s="10"/>
      <c r="BLU771" s="10"/>
      <c r="BLV771" s="10"/>
      <c r="BLW771" s="10"/>
      <c r="BLX771" s="10"/>
      <c r="BLY771" s="10"/>
      <c r="BLZ771" s="10"/>
      <c r="BMA771" s="10"/>
      <c r="BMB771" s="10"/>
      <c r="BMC771" s="10"/>
      <c r="BMD771" s="10"/>
      <c r="BME771" s="10"/>
      <c r="BMF771" s="10"/>
      <c r="BMG771" s="10"/>
      <c r="BMH771" s="10"/>
      <c r="BMI771" s="10"/>
      <c r="BMJ771" s="10"/>
      <c r="BMK771" s="10"/>
      <c r="BML771" s="10"/>
      <c r="BMM771" s="10"/>
      <c r="BMN771" s="10"/>
      <c r="BMO771" s="10"/>
      <c r="BMP771" s="10"/>
      <c r="BMQ771" s="10"/>
      <c r="BMR771" s="10"/>
      <c r="BMS771" s="10"/>
      <c r="BMT771" s="10"/>
      <c r="BMU771" s="10"/>
      <c r="BMV771" s="10"/>
      <c r="BMW771" s="10"/>
      <c r="BMX771" s="10"/>
      <c r="BMY771" s="10"/>
      <c r="BMZ771" s="10"/>
      <c r="BNA771" s="10"/>
      <c r="BNB771" s="10"/>
      <c r="BNC771" s="10"/>
      <c r="BND771" s="10"/>
      <c r="BNE771" s="10"/>
      <c r="BNF771" s="10"/>
      <c r="BNG771" s="10"/>
      <c r="BNH771" s="10"/>
      <c r="BNI771" s="10"/>
      <c r="BNJ771" s="10"/>
      <c r="BNK771" s="10"/>
      <c r="BNL771" s="10"/>
      <c r="BNM771" s="10"/>
      <c r="BNN771" s="10"/>
      <c r="BNO771" s="10"/>
      <c r="BNP771" s="10"/>
      <c r="BNQ771" s="10"/>
      <c r="BNR771" s="10"/>
      <c r="BNS771" s="10"/>
      <c r="BNT771" s="10"/>
      <c r="BNU771" s="10"/>
      <c r="BNV771" s="10"/>
      <c r="BNW771" s="10"/>
      <c r="BNX771" s="10"/>
      <c r="BNY771" s="10"/>
      <c r="BNZ771" s="10"/>
      <c r="BOA771" s="10"/>
      <c r="BOB771" s="10"/>
      <c r="BOC771" s="10"/>
      <c r="BOD771" s="10"/>
      <c r="BOE771" s="10"/>
      <c r="BOF771" s="10"/>
      <c r="BOG771" s="10"/>
      <c r="BOH771" s="10"/>
      <c r="BOI771" s="10"/>
      <c r="BOJ771" s="10"/>
      <c r="BOK771" s="10"/>
      <c r="BOL771" s="10"/>
      <c r="BOM771" s="10"/>
      <c r="BON771" s="10"/>
      <c r="BOO771" s="10"/>
      <c r="BOP771" s="10"/>
      <c r="BOQ771" s="10"/>
      <c r="BOR771" s="10"/>
      <c r="BOS771" s="10"/>
      <c r="BOT771" s="10"/>
      <c r="BOU771" s="10"/>
      <c r="BOV771" s="10"/>
      <c r="BOW771" s="10"/>
      <c r="BOX771" s="10"/>
      <c r="BOY771" s="10"/>
      <c r="BOZ771" s="10"/>
      <c r="BPA771" s="10"/>
      <c r="BPB771" s="10"/>
      <c r="BPC771" s="10"/>
      <c r="BPD771" s="10"/>
      <c r="BPE771" s="10"/>
      <c r="BPF771" s="10"/>
      <c r="BPG771" s="10"/>
      <c r="BPH771" s="10"/>
      <c r="BPI771" s="10"/>
      <c r="BPJ771" s="10"/>
      <c r="BPK771" s="10"/>
      <c r="BPL771" s="10"/>
      <c r="BPM771" s="10"/>
      <c r="BPN771" s="10"/>
      <c r="BPO771" s="10"/>
      <c r="BPP771" s="10"/>
      <c r="BPQ771" s="10"/>
      <c r="BPR771" s="10"/>
      <c r="BPS771" s="10"/>
      <c r="BPT771" s="10"/>
      <c r="BPU771" s="10"/>
      <c r="BPV771" s="10"/>
      <c r="BPW771" s="10"/>
      <c r="BPX771" s="10"/>
      <c r="BPY771" s="10"/>
      <c r="BPZ771" s="10"/>
      <c r="BQA771" s="10"/>
      <c r="BQB771" s="10"/>
      <c r="BQC771" s="10"/>
      <c r="BQD771" s="10"/>
      <c r="BQE771" s="10"/>
      <c r="BQF771" s="10"/>
      <c r="BQG771" s="10"/>
      <c r="BQH771" s="10"/>
      <c r="BQI771" s="10"/>
      <c r="BQJ771" s="10"/>
      <c r="BQK771" s="10"/>
      <c r="BQL771" s="10"/>
      <c r="BQM771" s="10"/>
      <c r="BQN771" s="10"/>
      <c r="BQO771" s="10"/>
      <c r="BQP771" s="10"/>
      <c r="BQQ771" s="10"/>
      <c r="BQR771" s="10"/>
      <c r="BQS771" s="10"/>
      <c r="BQT771" s="10"/>
      <c r="BQU771" s="10"/>
      <c r="BQV771" s="10"/>
      <c r="BQW771" s="10"/>
      <c r="BQX771" s="10"/>
      <c r="BQY771" s="10"/>
      <c r="BQZ771" s="10"/>
      <c r="BRA771" s="10"/>
      <c r="BRB771" s="10"/>
      <c r="BRC771" s="10"/>
      <c r="BRD771" s="10"/>
      <c r="BRE771" s="10"/>
      <c r="BRF771" s="10"/>
      <c r="BRG771" s="10"/>
      <c r="BRH771" s="10"/>
      <c r="BRI771" s="10"/>
      <c r="BRJ771" s="10"/>
      <c r="BRK771" s="10"/>
      <c r="BRL771" s="10"/>
      <c r="BRM771" s="10"/>
      <c r="BRN771" s="10"/>
      <c r="BRO771" s="10"/>
      <c r="BRP771" s="10"/>
      <c r="BRQ771" s="10"/>
      <c r="BRR771" s="10"/>
      <c r="BRS771" s="10"/>
      <c r="BRT771" s="10"/>
      <c r="BRU771" s="10"/>
      <c r="BRV771" s="10"/>
      <c r="BRW771" s="10"/>
      <c r="BRX771" s="10"/>
      <c r="BRY771" s="10"/>
      <c r="BRZ771" s="10"/>
      <c r="BSA771" s="10"/>
      <c r="BSB771" s="10"/>
      <c r="BSC771" s="10"/>
      <c r="BSD771" s="10"/>
      <c r="BSE771" s="10"/>
      <c r="BSF771" s="10"/>
      <c r="BSG771" s="10"/>
      <c r="BSH771" s="10"/>
      <c r="BSI771" s="10"/>
      <c r="BSJ771" s="10"/>
      <c r="BSK771" s="10"/>
      <c r="BSL771" s="10"/>
      <c r="BSM771" s="10"/>
      <c r="BSN771" s="10"/>
      <c r="BSO771" s="10"/>
      <c r="BSP771" s="10"/>
      <c r="BSQ771" s="10"/>
      <c r="BSR771" s="10"/>
      <c r="BSS771" s="10"/>
      <c r="BST771" s="10"/>
      <c r="BSU771" s="10"/>
      <c r="BSV771" s="10"/>
      <c r="BSW771" s="10"/>
      <c r="BSX771" s="10"/>
      <c r="BSY771" s="10"/>
      <c r="BSZ771" s="10"/>
      <c r="BTA771" s="10"/>
      <c r="BTB771" s="10"/>
      <c r="BTC771" s="10"/>
      <c r="BTD771" s="10"/>
      <c r="BTE771" s="10"/>
      <c r="BTF771" s="10"/>
      <c r="BTG771" s="10"/>
      <c r="BTH771" s="10"/>
      <c r="BTI771" s="10"/>
      <c r="BTJ771" s="10"/>
      <c r="BTK771" s="10"/>
      <c r="BTL771" s="10"/>
      <c r="BTM771" s="10"/>
      <c r="BTN771" s="10"/>
      <c r="BTO771" s="10"/>
      <c r="BTP771" s="10"/>
      <c r="BTQ771" s="10"/>
      <c r="BTR771" s="10"/>
      <c r="BTS771" s="10"/>
      <c r="BTT771" s="10"/>
    </row>
    <row r="772" spans="1:1892" s="9" customFormat="1" ht="35.1" customHeight="1">
      <c r="A772" s="1241"/>
      <c r="B772" s="538"/>
      <c r="C772" s="983"/>
      <c r="D772" s="573"/>
      <c r="E772" s="574"/>
      <c r="F772" s="575"/>
      <c r="G772" s="655"/>
      <c r="H772" s="655"/>
      <c r="I772" s="655"/>
      <c r="J772" s="984"/>
      <c r="K772" s="984"/>
      <c r="L772" s="131">
        <v>195</v>
      </c>
      <c r="M772" s="231">
        <v>2</v>
      </c>
      <c r="N772" s="132">
        <v>2</v>
      </c>
      <c r="O772" s="132">
        <v>2</v>
      </c>
      <c r="P772" s="512"/>
      <c r="Q772" s="512"/>
      <c r="R772" s="512"/>
      <c r="S772" s="652"/>
      <c r="T772" s="714"/>
      <c r="U772" s="714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  <c r="BT772" s="10"/>
      <c r="BU772" s="10"/>
      <c r="BV772" s="10"/>
      <c r="BW772" s="10"/>
      <c r="BX772" s="10"/>
      <c r="BY772" s="10"/>
      <c r="BZ772" s="10"/>
      <c r="CA772" s="10"/>
      <c r="CB772" s="10"/>
      <c r="CC772" s="10"/>
      <c r="CD772" s="10"/>
      <c r="CE772" s="10"/>
      <c r="CF772" s="10"/>
      <c r="CG772" s="10"/>
      <c r="CH772" s="10"/>
      <c r="CI772" s="10"/>
      <c r="CJ772" s="10"/>
      <c r="CK772" s="10"/>
      <c r="CL772" s="10"/>
      <c r="CM772" s="10"/>
      <c r="CN772" s="10"/>
      <c r="CO772" s="10"/>
      <c r="CP772" s="10"/>
      <c r="CQ772" s="10"/>
      <c r="CR772" s="10"/>
      <c r="CS772" s="10"/>
      <c r="CT772" s="10"/>
      <c r="CU772" s="10"/>
      <c r="CV772" s="10"/>
      <c r="CW772" s="10"/>
      <c r="CX772" s="10"/>
      <c r="CY772" s="10"/>
      <c r="CZ772" s="10"/>
      <c r="DA772" s="10"/>
      <c r="DB772" s="10"/>
      <c r="DC772" s="10"/>
      <c r="DD772" s="10"/>
      <c r="DE772" s="10"/>
      <c r="DF772" s="10"/>
      <c r="DG772" s="10"/>
      <c r="DH772" s="10"/>
      <c r="DI772" s="10"/>
      <c r="DJ772" s="10"/>
      <c r="DK772" s="10"/>
      <c r="DL772" s="10"/>
      <c r="DM772" s="10"/>
      <c r="DN772" s="10"/>
      <c r="DO772" s="10"/>
      <c r="DP772" s="10"/>
      <c r="DQ772" s="10"/>
      <c r="DR772" s="10"/>
      <c r="DS772" s="10"/>
      <c r="DT772" s="10"/>
      <c r="DU772" s="10"/>
      <c r="DV772" s="10"/>
      <c r="DW772" s="10"/>
      <c r="DX772" s="10"/>
      <c r="DY772" s="10"/>
      <c r="DZ772" s="10"/>
      <c r="EA772" s="10"/>
      <c r="EB772" s="10"/>
      <c r="EC772" s="10"/>
      <c r="ED772" s="10"/>
      <c r="EE772" s="10"/>
      <c r="EF772" s="10"/>
      <c r="EG772" s="10"/>
      <c r="EH772" s="10"/>
      <c r="EI772" s="10"/>
      <c r="EJ772" s="10"/>
      <c r="EK772" s="10"/>
      <c r="EL772" s="10"/>
      <c r="EM772" s="10"/>
      <c r="EN772" s="10"/>
      <c r="EO772" s="10"/>
      <c r="EP772" s="10"/>
      <c r="EQ772" s="10"/>
      <c r="ER772" s="10"/>
      <c r="ES772" s="10"/>
      <c r="ET772" s="10"/>
      <c r="EU772" s="10"/>
      <c r="EV772" s="10"/>
      <c r="EW772" s="10"/>
      <c r="EX772" s="10"/>
      <c r="EY772" s="10"/>
      <c r="EZ772" s="10"/>
      <c r="FA772" s="10"/>
      <c r="FB772" s="10"/>
      <c r="FC772" s="10"/>
      <c r="FD772" s="10"/>
      <c r="FE772" s="10"/>
      <c r="FF772" s="10"/>
      <c r="FG772" s="10"/>
      <c r="FH772" s="10"/>
      <c r="FI772" s="10"/>
      <c r="FJ772" s="10"/>
      <c r="FK772" s="10"/>
      <c r="FL772" s="10"/>
      <c r="FM772" s="10"/>
      <c r="FN772" s="10"/>
      <c r="FO772" s="10"/>
      <c r="FP772" s="10"/>
      <c r="FQ772" s="10"/>
      <c r="FR772" s="10"/>
      <c r="FS772" s="10"/>
      <c r="FT772" s="10"/>
      <c r="FU772" s="10"/>
      <c r="FV772" s="10"/>
      <c r="FW772" s="10"/>
      <c r="FX772" s="10"/>
      <c r="FY772" s="10"/>
      <c r="FZ772" s="10"/>
      <c r="GA772" s="10"/>
      <c r="GB772" s="10"/>
      <c r="GC772" s="10"/>
      <c r="GD772" s="10"/>
      <c r="GE772" s="10"/>
      <c r="GF772" s="10"/>
      <c r="GG772" s="10"/>
      <c r="GH772" s="10"/>
      <c r="GI772" s="10"/>
      <c r="GJ772" s="10"/>
      <c r="GK772" s="10"/>
      <c r="GL772" s="10"/>
      <c r="GM772" s="10"/>
      <c r="GN772" s="10"/>
      <c r="GO772" s="10"/>
      <c r="GP772" s="10"/>
      <c r="GQ772" s="10"/>
      <c r="GR772" s="10"/>
      <c r="GS772" s="10"/>
      <c r="GT772" s="10"/>
      <c r="GU772" s="10"/>
      <c r="GV772" s="10"/>
      <c r="GW772" s="10"/>
      <c r="GX772" s="10"/>
      <c r="GY772" s="10"/>
      <c r="GZ772" s="10"/>
      <c r="HA772" s="10"/>
      <c r="HB772" s="10"/>
      <c r="HC772" s="10"/>
      <c r="HD772" s="10"/>
      <c r="HE772" s="10"/>
      <c r="HF772" s="10"/>
      <c r="HG772" s="10"/>
      <c r="HH772" s="10"/>
      <c r="HI772" s="10"/>
      <c r="HJ772" s="10"/>
      <c r="HK772" s="10"/>
      <c r="HL772" s="10"/>
      <c r="HM772" s="10"/>
      <c r="HN772" s="10"/>
      <c r="HO772" s="10"/>
      <c r="HP772" s="10"/>
      <c r="HQ772" s="10"/>
      <c r="HR772" s="10"/>
      <c r="HS772" s="10"/>
      <c r="HT772" s="10"/>
      <c r="HU772" s="10"/>
      <c r="HV772" s="10"/>
      <c r="HW772" s="10"/>
      <c r="HX772" s="10"/>
      <c r="HY772" s="10"/>
      <c r="HZ772" s="10"/>
      <c r="IA772" s="10"/>
      <c r="IB772" s="10"/>
      <c r="IC772" s="10"/>
      <c r="ID772" s="10"/>
      <c r="IE772" s="10"/>
      <c r="IF772" s="10"/>
      <c r="IG772" s="10"/>
      <c r="IH772" s="10"/>
      <c r="II772" s="10"/>
      <c r="IJ772" s="10"/>
      <c r="IK772" s="10"/>
      <c r="IL772" s="10"/>
      <c r="IM772" s="10"/>
      <c r="IN772" s="10"/>
      <c r="IO772" s="10"/>
      <c r="IP772" s="10"/>
      <c r="IQ772" s="10"/>
      <c r="IR772" s="10"/>
      <c r="IS772" s="10"/>
      <c r="IT772" s="10"/>
      <c r="IU772" s="10"/>
      <c r="IV772" s="10"/>
      <c r="IW772" s="10"/>
      <c r="IX772" s="10"/>
      <c r="IY772" s="10"/>
      <c r="IZ772" s="10"/>
      <c r="JA772" s="10"/>
      <c r="JB772" s="10"/>
      <c r="JC772" s="10"/>
      <c r="JD772" s="10"/>
      <c r="JE772" s="10"/>
      <c r="JF772" s="10"/>
      <c r="JG772" s="10"/>
      <c r="JH772" s="10"/>
      <c r="JI772" s="10"/>
      <c r="JJ772" s="10"/>
      <c r="JK772" s="10"/>
      <c r="JL772" s="10"/>
      <c r="JM772" s="10"/>
      <c r="JN772" s="10"/>
      <c r="JO772" s="10"/>
      <c r="JP772" s="10"/>
      <c r="JQ772" s="10"/>
      <c r="JR772" s="10"/>
      <c r="JS772" s="10"/>
      <c r="JT772" s="10"/>
      <c r="JU772" s="10"/>
      <c r="JV772" s="10"/>
      <c r="JW772" s="10"/>
      <c r="JX772" s="10"/>
      <c r="JY772" s="10"/>
      <c r="JZ772" s="10"/>
      <c r="KA772" s="10"/>
      <c r="KB772" s="10"/>
      <c r="KC772" s="10"/>
      <c r="KD772" s="10"/>
      <c r="KE772" s="10"/>
      <c r="KF772" s="10"/>
      <c r="KG772" s="10"/>
      <c r="KH772" s="10"/>
      <c r="KI772" s="10"/>
      <c r="KJ772" s="10"/>
      <c r="KK772" s="10"/>
      <c r="KL772" s="10"/>
      <c r="KM772" s="10"/>
      <c r="KN772" s="10"/>
      <c r="KO772" s="10"/>
      <c r="KP772" s="10"/>
      <c r="KQ772" s="10"/>
      <c r="KR772" s="10"/>
      <c r="KS772" s="10"/>
      <c r="KT772" s="10"/>
      <c r="KU772" s="10"/>
      <c r="KV772" s="10"/>
      <c r="KW772" s="10"/>
      <c r="KX772" s="10"/>
      <c r="KY772" s="10"/>
      <c r="KZ772" s="10"/>
      <c r="LA772" s="10"/>
      <c r="LB772" s="10"/>
      <c r="LC772" s="10"/>
      <c r="LD772" s="10"/>
      <c r="LE772" s="10"/>
      <c r="LF772" s="10"/>
      <c r="LG772" s="10"/>
      <c r="LH772" s="10"/>
      <c r="LI772" s="10"/>
      <c r="LJ772" s="10"/>
      <c r="LK772" s="10"/>
      <c r="LL772" s="10"/>
      <c r="LM772" s="10"/>
      <c r="LN772" s="10"/>
      <c r="LO772" s="10"/>
      <c r="LP772" s="10"/>
      <c r="LQ772" s="10"/>
      <c r="LR772" s="10"/>
      <c r="LS772" s="10"/>
      <c r="LT772" s="10"/>
      <c r="LU772" s="10"/>
      <c r="LV772" s="10"/>
      <c r="LW772" s="10"/>
      <c r="LX772" s="10"/>
      <c r="LY772" s="10"/>
      <c r="LZ772" s="10"/>
      <c r="MA772" s="10"/>
      <c r="MB772" s="10"/>
      <c r="MC772" s="10"/>
      <c r="MD772" s="10"/>
      <c r="ME772" s="10"/>
      <c r="MF772" s="10"/>
      <c r="MG772" s="10"/>
      <c r="MH772" s="10"/>
      <c r="MI772" s="10"/>
      <c r="MJ772" s="10"/>
      <c r="MK772" s="10"/>
      <c r="ML772" s="10"/>
      <c r="MM772" s="10"/>
      <c r="MN772" s="10"/>
      <c r="MO772" s="10"/>
      <c r="MP772" s="10"/>
      <c r="MQ772" s="10"/>
      <c r="MR772" s="10"/>
      <c r="MS772" s="10"/>
      <c r="MT772" s="10"/>
      <c r="MU772" s="10"/>
      <c r="MV772" s="10"/>
      <c r="MW772" s="10"/>
      <c r="MX772" s="10"/>
      <c r="MY772" s="10"/>
      <c r="MZ772" s="10"/>
      <c r="NA772" s="10"/>
      <c r="NB772" s="10"/>
      <c r="NC772" s="10"/>
      <c r="ND772" s="10"/>
      <c r="NE772" s="10"/>
      <c r="NF772" s="10"/>
      <c r="NG772" s="10"/>
      <c r="NH772" s="10"/>
      <c r="NI772" s="10"/>
      <c r="NJ772" s="10"/>
      <c r="NK772" s="10"/>
      <c r="NL772" s="10"/>
      <c r="NM772" s="10"/>
      <c r="NN772" s="10"/>
      <c r="NO772" s="10"/>
      <c r="NP772" s="10"/>
      <c r="NQ772" s="10"/>
      <c r="NR772" s="10"/>
      <c r="NS772" s="10"/>
      <c r="NT772" s="10"/>
      <c r="NU772" s="10"/>
      <c r="NV772" s="10"/>
      <c r="NW772" s="10"/>
      <c r="NX772" s="10"/>
      <c r="NY772" s="10"/>
      <c r="NZ772" s="10"/>
      <c r="OA772" s="10"/>
      <c r="OB772" s="10"/>
      <c r="OC772" s="10"/>
      <c r="OD772" s="10"/>
      <c r="OE772" s="10"/>
      <c r="OF772" s="10"/>
      <c r="OG772" s="10"/>
      <c r="OH772" s="10"/>
      <c r="OI772" s="10"/>
      <c r="OJ772" s="10"/>
      <c r="OK772" s="10"/>
      <c r="OL772" s="10"/>
      <c r="OM772" s="10"/>
      <c r="ON772" s="10"/>
      <c r="OO772" s="10"/>
      <c r="OP772" s="10"/>
      <c r="OQ772" s="10"/>
      <c r="OR772" s="10"/>
      <c r="OS772" s="10"/>
      <c r="OT772" s="10"/>
      <c r="OU772" s="10"/>
      <c r="OV772" s="10"/>
      <c r="OW772" s="10"/>
      <c r="OX772" s="10"/>
      <c r="OY772" s="10"/>
      <c r="OZ772" s="10"/>
      <c r="PA772" s="10"/>
      <c r="PB772" s="10"/>
      <c r="PC772" s="10"/>
      <c r="PD772" s="10"/>
      <c r="PE772" s="10"/>
      <c r="PF772" s="10"/>
      <c r="PG772" s="10"/>
      <c r="PH772" s="10"/>
      <c r="PI772" s="10"/>
      <c r="PJ772" s="10"/>
      <c r="PK772" s="10"/>
      <c r="PL772" s="10"/>
      <c r="PM772" s="10"/>
      <c r="PN772" s="10"/>
      <c r="PO772" s="10"/>
      <c r="PP772" s="10"/>
      <c r="PQ772" s="10"/>
      <c r="PR772" s="10"/>
      <c r="PS772" s="10"/>
      <c r="PT772" s="10"/>
      <c r="PU772" s="10"/>
      <c r="PV772" s="10"/>
      <c r="PW772" s="10"/>
      <c r="PX772" s="10"/>
      <c r="PY772" s="10"/>
      <c r="PZ772" s="10"/>
      <c r="QA772" s="10"/>
      <c r="QB772" s="10"/>
      <c r="QC772" s="10"/>
      <c r="QD772" s="10"/>
      <c r="QE772" s="10"/>
      <c r="QF772" s="10"/>
      <c r="QG772" s="10"/>
      <c r="QH772" s="10"/>
      <c r="QI772" s="10"/>
      <c r="QJ772" s="10"/>
      <c r="QK772" s="10"/>
      <c r="QL772" s="10"/>
      <c r="QM772" s="10"/>
      <c r="QN772" s="10"/>
      <c r="QO772" s="10"/>
      <c r="QP772" s="10"/>
      <c r="QQ772" s="10"/>
      <c r="QR772" s="10"/>
      <c r="QS772" s="10"/>
      <c r="QT772" s="10"/>
      <c r="QU772" s="10"/>
      <c r="QV772" s="10"/>
      <c r="QW772" s="10"/>
      <c r="QX772" s="10"/>
      <c r="QY772" s="10"/>
      <c r="QZ772" s="10"/>
      <c r="RA772" s="10"/>
      <c r="RB772" s="10"/>
      <c r="RC772" s="10"/>
      <c r="RD772" s="10"/>
      <c r="RE772" s="10"/>
      <c r="RF772" s="10"/>
      <c r="RG772" s="10"/>
      <c r="RH772" s="10"/>
      <c r="RI772" s="10"/>
      <c r="RJ772" s="10"/>
      <c r="RK772" s="10"/>
      <c r="RL772" s="10"/>
      <c r="RM772" s="10"/>
      <c r="RN772" s="10"/>
      <c r="RO772" s="10"/>
      <c r="RP772" s="10"/>
      <c r="RQ772" s="10"/>
      <c r="RR772" s="10"/>
      <c r="RS772" s="10"/>
      <c r="RT772" s="10"/>
      <c r="RU772" s="10"/>
      <c r="RV772" s="10"/>
      <c r="RW772" s="10"/>
      <c r="RX772" s="10"/>
      <c r="RY772" s="10"/>
      <c r="RZ772" s="10"/>
      <c r="SA772" s="10"/>
      <c r="SB772" s="10"/>
      <c r="SC772" s="10"/>
      <c r="SD772" s="10"/>
      <c r="SE772" s="10"/>
      <c r="SF772" s="10"/>
      <c r="SG772" s="10"/>
      <c r="SH772" s="10"/>
      <c r="SI772" s="10"/>
      <c r="SJ772" s="10"/>
      <c r="SK772" s="10"/>
      <c r="SL772" s="10"/>
      <c r="SM772" s="10"/>
      <c r="SN772" s="10"/>
      <c r="SO772" s="10"/>
      <c r="SP772" s="10"/>
      <c r="SQ772" s="10"/>
      <c r="SR772" s="10"/>
      <c r="SS772" s="10"/>
      <c r="ST772" s="10"/>
      <c r="SU772" s="10"/>
      <c r="SV772" s="10"/>
      <c r="SW772" s="10"/>
      <c r="SX772" s="10"/>
      <c r="SY772" s="10"/>
      <c r="SZ772" s="10"/>
      <c r="TA772" s="10"/>
      <c r="TB772" s="10"/>
      <c r="TC772" s="10"/>
      <c r="TD772" s="10"/>
      <c r="TE772" s="10"/>
      <c r="TF772" s="10"/>
      <c r="TG772" s="10"/>
      <c r="TH772" s="10"/>
      <c r="TI772" s="10"/>
      <c r="TJ772" s="10"/>
      <c r="TK772" s="10"/>
      <c r="TL772" s="10"/>
      <c r="TM772" s="10"/>
      <c r="TN772" s="10"/>
      <c r="TO772" s="10"/>
      <c r="TP772" s="10"/>
      <c r="TQ772" s="10"/>
      <c r="TR772" s="10"/>
      <c r="TS772" s="10"/>
      <c r="TT772" s="10"/>
      <c r="TU772" s="10"/>
      <c r="TV772" s="10"/>
      <c r="TW772" s="10"/>
      <c r="TX772" s="10"/>
      <c r="TY772" s="10"/>
      <c r="TZ772" s="10"/>
      <c r="UA772" s="10"/>
      <c r="UB772" s="10"/>
      <c r="UC772" s="10"/>
      <c r="UD772" s="10"/>
      <c r="UE772" s="10"/>
      <c r="UF772" s="10"/>
      <c r="UG772" s="10"/>
      <c r="UH772" s="10"/>
      <c r="UI772" s="10"/>
      <c r="UJ772" s="10"/>
      <c r="UK772" s="10"/>
      <c r="UL772" s="10"/>
      <c r="UM772" s="10"/>
      <c r="UN772" s="10"/>
      <c r="UO772" s="10"/>
      <c r="UP772" s="10"/>
      <c r="UQ772" s="10"/>
      <c r="UR772" s="10"/>
      <c r="US772" s="10"/>
      <c r="UT772" s="10"/>
      <c r="UU772" s="10"/>
      <c r="UV772" s="10"/>
      <c r="UW772" s="10"/>
      <c r="UX772" s="10"/>
      <c r="UY772" s="10"/>
      <c r="UZ772" s="10"/>
      <c r="VA772" s="10"/>
      <c r="VB772" s="10"/>
      <c r="VC772" s="10"/>
      <c r="VD772" s="10"/>
      <c r="VE772" s="10"/>
      <c r="VF772" s="10"/>
      <c r="VG772" s="10"/>
      <c r="VH772" s="10"/>
      <c r="VI772" s="10"/>
      <c r="VJ772" s="10"/>
      <c r="VK772" s="10"/>
      <c r="VL772" s="10"/>
      <c r="VM772" s="10"/>
      <c r="VN772" s="10"/>
      <c r="VO772" s="10"/>
      <c r="VP772" s="10"/>
      <c r="VQ772" s="10"/>
      <c r="VR772" s="10"/>
      <c r="VS772" s="10"/>
      <c r="VT772" s="10"/>
      <c r="VU772" s="10"/>
      <c r="VV772" s="10"/>
      <c r="VW772" s="10"/>
      <c r="VX772" s="10"/>
      <c r="VY772" s="10"/>
      <c r="VZ772" s="10"/>
      <c r="WA772" s="10"/>
      <c r="WB772" s="10"/>
      <c r="WC772" s="10"/>
      <c r="WD772" s="10"/>
      <c r="WE772" s="10"/>
      <c r="WF772" s="10"/>
      <c r="WG772" s="10"/>
      <c r="WH772" s="10"/>
      <c r="WI772" s="10"/>
      <c r="WJ772" s="10"/>
      <c r="WK772" s="10"/>
      <c r="WL772" s="10"/>
      <c r="WM772" s="10"/>
      <c r="WN772" s="10"/>
      <c r="WO772" s="10"/>
      <c r="WP772" s="10"/>
      <c r="WQ772" s="10"/>
      <c r="WR772" s="10"/>
      <c r="WS772" s="10"/>
      <c r="WT772" s="10"/>
      <c r="WU772" s="10"/>
      <c r="WV772" s="10"/>
      <c r="WW772" s="10"/>
      <c r="WX772" s="10"/>
      <c r="WY772" s="10"/>
      <c r="WZ772" s="10"/>
      <c r="XA772" s="10"/>
      <c r="XB772" s="10"/>
      <c r="XC772" s="10"/>
      <c r="XD772" s="10"/>
      <c r="XE772" s="10"/>
      <c r="XF772" s="10"/>
      <c r="XG772" s="10"/>
      <c r="XH772" s="10"/>
      <c r="XI772" s="10"/>
      <c r="XJ772" s="10"/>
      <c r="XK772" s="10"/>
      <c r="XL772" s="10"/>
      <c r="XM772" s="10"/>
      <c r="XN772" s="10"/>
      <c r="XO772" s="10"/>
      <c r="XP772" s="10"/>
      <c r="XQ772" s="10"/>
      <c r="XR772" s="10"/>
      <c r="XS772" s="10"/>
      <c r="XT772" s="10"/>
      <c r="XU772" s="10"/>
      <c r="XV772" s="10"/>
      <c r="XW772" s="10"/>
      <c r="XX772" s="10"/>
      <c r="XY772" s="10"/>
      <c r="XZ772" s="10"/>
      <c r="YA772" s="10"/>
      <c r="YB772" s="10"/>
      <c r="YC772" s="10"/>
      <c r="YD772" s="10"/>
      <c r="YE772" s="10"/>
      <c r="YF772" s="10"/>
      <c r="YG772" s="10"/>
      <c r="YH772" s="10"/>
      <c r="YI772" s="10"/>
      <c r="YJ772" s="10"/>
      <c r="YK772" s="10"/>
      <c r="YL772" s="10"/>
      <c r="YM772" s="10"/>
      <c r="YN772" s="10"/>
      <c r="YO772" s="10"/>
      <c r="YP772" s="10"/>
      <c r="YQ772" s="10"/>
      <c r="YR772" s="10"/>
      <c r="YS772" s="10"/>
      <c r="YT772" s="10"/>
      <c r="YU772" s="10"/>
      <c r="YV772" s="10"/>
      <c r="YW772" s="10"/>
      <c r="YX772" s="10"/>
      <c r="YY772" s="10"/>
      <c r="YZ772" s="10"/>
      <c r="ZA772" s="10"/>
      <c r="ZB772" s="10"/>
      <c r="ZC772" s="10"/>
      <c r="ZD772" s="10"/>
      <c r="ZE772" s="10"/>
      <c r="ZF772" s="10"/>
      <c r="ZG772" s="10"/>
      <c r="ZH772" s="10"/>
      <c r="ZI772" s="10"/>
      <c r="ZJ772" s="10"/>
      <c r="ZK772" s="10"/>
      <c r="ZL772" s="10"/>
      <c r="ZM772" s="10"/>
      <c r="ZN772" s="10"/>
      <c r="ZO772" s="10"/>
      <c r="ZP772" s="10"/>
      <c r="ZQ772" s="10"/>
      <c r="ZR772" s="10"/>
      <c r="ZS772" s="10"/>
      <c r="ZT772" s="10"/>
      <c r="ZU772" s="10"/>
      <c r="ZV772" s="10"/>
      <c r="ZW772" s="10"/>
      <c r="ZX772" s="10"/>
      <c r="ZY772" s="10"/>
      <c r="ZZ772" s="10"/>
      <c r="AAA772" s="10"/>
      <c r="AAB772" s="10"/>
      <c r="AAC772" s="10"/>
      <c r="AAD772" s="10"/>
      <c r="AAE772" s="10"/>
      <c r="AAF772" s="10"/>
      <c r="AAG772" s="10"/>
      <c r="AAH772" s="10"/>
      <c r="AAI772" s="10"/>
      <c r="AAJ772" s="10"/>
      <c r="AAK772" s="10"/>
      <c r="AAL772" s="10"/>
      <c r="AAM772" s="10"/>
      <c r="AAN772" s="10"/>
      <c r="AAO772" s="10"/>
      <c r="AAP772" s="10"/>
      <c r="AAQ772" s="10"/>
      <c r="AAR772" s="10"/>
      <c r="AAS772" s="10"/>
      <c r="AAT772" s="10"/>
      <c r="AAU772" s="10"/>
      <c r="AAV772" s="10"/>
      <c r="AAW772" s="10"/>
      <c r="AAX772" s="10"/>
      <c r="AAY772" s="10"/>
      <c r="AAZ772" s="10"/>
      <c r="ABA772" s="10"/>
      <c r="ABB772" s="10"/>
      <c r="ABC772" s="10"/>
      <c r="ABD772" s="10"/>
      <c r="ABE772" s="10"/>
      <c r="ABF772" s="10"/>
      <c r="ABG772" s="10"/>
      <c r="ABH772" s="10"/>
      <c r="ABI772" s="10"/>
      <c r="ABJ772" s="10"/>
      <c r="ABK772" s="10"/>
      <c r="ABL772" s="10"/>
      <c r="ABM772" s="10"/>
      <c r="ABN772" s="10"/>
      <c r="ABO772" s="10"/>
      <c r="ABP772" s="10"/>
      <c r="ABQ772" s="10"/>
      <c r="ABR772" s="10"/>
      <c r="ABS772" s="10"/>
      <c r="ABT772" s="10"/>
      <c r="ABU772" s="10"/>
      <c r="ABV772" s="10"/>
      <c r="ABW772" s="10"/>
      <c r="ABX772" s="10"/>
      <c r="ABY772" s="10"/>
      <c r="ABZ772" s="10"/>
      <c r="ACA772" s="10"/>
      <c r="ACB772" s="10"/>
      <c r="ACC772" s="10"/>
      <c r="ACD772" s="10"/>
      <c r="ACE772" s="10"/>
      <c r="ACF772" s="10"/>
      <c r="ACG772" s="10"/>
      <c r="ACH772" s="10"/>
      <c r="ACI772" s="10"/>
      <c r="ACJ772" s="10"/>
      <c r="ACK772" s="10"/>
      <c r="ACL772" s="10"/>
      <c r="ACM772" s="10"/>
      <c r="ACN772" s="10"/>
      <c r="ACO772" s="10"/>
      <c r="ACP772" s="10"/>
      <c r="ACQ772" s="10"/>
      <c r="ACR772" s="10"/>
      <c r="ACS772" s="10"/>
      <c r="ACT772" s="10"/>
      <c r="ACU772" s="10"/>
      <c r="ACV772" s="10"/>
      <c r="ACW772" s="10"/>
      <c r="ACX772" s="10"/>
      <c r="ACY772" s="10"/>
      <c r="ACZ772" s="10"/>
      <c r="ADA772" s="10"/>
      <c r="ADB772" s="10"/>
      <c r="ADC772" s="10"/>
      <c r="ADD772" s="10"/>
      <c r="ADE772" s="10"/>
      <c r="ADF772" s="10"/>
      <c r="ADG772" s="10"/>
      <c r="ADH772" s="10"/>
      <c r="ADI772" s="10"/>
      <c r="ADJ772" s="10"/>
      <c r="ADK772" s="10"/>
      <c r="ADL772" s="10"/>
      <c r="ADM772" s="10"/>
      <c r="ADN772" s="10"/>
      <c r="ADO772" s="10"/>
      <c r="ADP772" s="10"/>
      <c r="ADQ772" s="10"/>
      <c r="ADR772" s="10"/>
      <c r="ADS772" s="10"/>
      <c r="ADT772" s="10"/>
      <c r="ADU772" s="10"/>
      <c r="ADV772" s="10"/>
      <c r="ADW772" s="10"/>
      <c r="ADX772" s="10"/>
      <c r="ADY772" s="10"/>
      <c r="ADZ772" s="10"/>
      <c r="AEA772" s="10"/>
      <c r="AEB772" s="10"/>
      <c r="AEC772" s="10"/>
      <c r="AED772" s="10"/>
      <c r="AEE772" s="10"/>
      <c r="AEF772" s="10"/>
      <c r="AEG772" s="10"/>
      <c r="AEH772" s="10"/>
      <c r="AEI772" s="10"/>
      <c r="AEJ772" s="10"/>
      <c r="AEK772" s="10"/>
      <c r="AEL772" s="10"/>
      <c r="AEM772" s="10"/>
      <c r="AEN772" s="10"/>
      <c r="AEO772" s="10"/>
      <c r="AEP772" s="10"/>
      <c r="AEQ772" s="10"/>
      <c r="AER772" s="10"/>
      <c r="AES772" s="10"/>
      <c r="AET772" s="10"/>
      <c r="AEU772" s="10"/>
      <c r="AEV772" s="10"/>
      <c r="AEW772" s="10"/>
      <c r="AEX772" s="10"/>
      <c r="AEY772" s="10"/>
      <c r="AEZ772" s="10"/>
      <c r="AFA772" s="10"/>
      <c r="AFB772" s="10"/>
      <c r="AFC772" s="10"/>
      <c r="AFD772" s="10"/>
      <c r="AFE772" s="10"/>
      <c r="AFF772" s="10"/>
      <c r="AFG772" s="10"/>
      <c r="AFH772" s="10"/>
      <c r="AFI772" s="10"/>
      <c r="AFJ772" s="10"/>
      <c r="AFK772" s="10"/>
      <c r="AFL772" s="10"/>
      <c r="AFM772" s="10"/>
      <c r="AFN772" s="10"/>
      <c r="AFO772" s="10"/>
      <c r="AFP772" s="10"/>
      <c r="AFQ772" s="10"/>
      <c r="AFR772" s="10"/>
      <c r="AFS772" s="10"/>
      <c r="AFT772" s="10"/>
      <c r="AFU772" s="10"/>
      <c r="AFV772" s="10"/>
      <c r="AFW772" s="10"/>
      <c r="AFX772" s="10"/>
      <c r="AFY772" s="10"/>
      <c r="AFZ772" s="10"/>
      <c r="AGA772" s="10"/>
      <c r="AGB772" s="10"/>
      <c r="AGC772" s="10"/>
      <c r="AGD772" s="10"/>
      <c r="AGE772" s="10"/>
      <c r="AGF772" s="10"/>
      <c r="AGG772" s="10"/>
      <c r="AGH772" s="10"/>
      <c r="AGI772" s="10"/>
      <c r="AGJ772" s="10"/>
      <c r="AGK772" s="10"/>
      <c r="AGL772" s="10"/>
      <c r="AGM772" s="10"/>
      <c r="AGN772" s="10"/>
      <c r="AGO772" s="10"/>
      <c r="AGP772" s="10"/>
      <c r="AGQ772" s="10"/>
      <c r="AGR772" s="10"/>
      <c r="AGS772" s="10"/>
      <c r="AGT772" s="10"/>
      <c r="AGU772" s="10"/>
      <c r="AGV772" s="10"/>
      <c r="AGW772" s="10"/>
      <c r="AGX772" s="10"/>
      <c r="AGY772" s="10"/>
      <c r="AGZ772" s="10"/>
      <c r="AHA772" s="10"/>
      <c r="AHB772" s="10"/>
      <c r="AHC772" s="10"/>
      <c r="AHD772" s="10"/>
      <c r="AHE772" s="10"/>
      <c r="AHF772" s="10"/>
      <c r="AHG772" s="10"/>
      <c r="AHH772" s="10"/>
      <c r="AHI772" s="10"/>
      <c r="AHJ772" s="10"/>
      <c r="AHK772" s="10"/>
      <c r="AHL772" s="10"/>
      <c r="AHM772" s="10"/>
      <c r="AHN772" s="10"/>
      <c r="AHO772" s="10"/>
      <c r="AHP772" s="10"/>
      <c r="AHQ772" s="10"/>
      <c r="AHR772" s="10"/>
      <c r="AHS772" s="10"/>
      <c r="AHT772" s="10"/>
      <c r="AHU772" s="10"/>
      <c r="AHV772" s="10"/>
      <c r="AHW772" s="10"/>
      <c r="AHX772" s="10"/>
      <c r="AHY772" s="10"/>
      <c r="AHZ772" s="10"/>
      <c r="AIA772" s="10"/>
      <c r="AIB772" s="10"/>
      <c r="AIC772" s="10"/>
      <c r="AID772" s="10"/>
      <c r="AIE772" s="10"/>
      <c r="AIF772" s="10"/>
      <c r="AIG772" s="10"/>
      <c r="AIH772" s="10"/>
      <c r="AII772" s="10"/>
      <c r="AIJ772" s="10"/>
      <c r="AIK772" s="10"/>
      <c r="AIL772" s="10"/>
      <c r="AIM772" s="10"/>
      <c r="AIN772" s="10"/>
      <c r="AIO772" s="10"/>
      <c r="AIP772" s="10"/>
      <c r="AIQ772" s="10"/>
      <c r="AIR772" s="10"/>
      <c r="AIS772" s="10"/>
      <c r="AIT772" s="10"/>
      <c r="AIU772" s="10"/>
      <c r="AIV772" s="10"/>
      <c r="AIW772" s="10"/>
      <c r="AIX772" s="10"/>
      <c r="AIY772" s="10"/>
      <c r="AIZ772" s="10"/>
      <c r="AJA772" s="10"/>
      <c r="AJB772" s="10"/>
      <c r="AJC772" s="10"/>
      <c r="AJD772" s="10"/>
      <c r="AJE772" s="10"/>
      <c r="AJF772" s="10"/>
      <c r="AJG772" s="10"/>
      <c r="AJH772" s="10"/>
      <c r="AJI772" s="10"/>
      <c r="AJJ772" s="10"/>
      <c r="AJK772" s="10"/>
      <c r="AJL772" s="10"/>
      <c r="AJM772" s="10"/>
      <c r="AJN772" s="10"/>
      <c r="AJO772" s="10"/>
      <c r="AJP772" s="10"/>
      <c r="AJQ772" s="10"/>
      <c r="AJR772" s="10"/>
      <c r="AJS772" s="10"/>
      <c r="AJT772" s="10"/>
      <c r="AJU772" s="10"/>
      <c r="AJV772" s="10"/>
      <c r="AJW772" s="10"/>
      <c r="AJX772" s="10"/>
      <c r="AJY772" s="10"/>
      <c r="AJZ772" s="10"/>
      <c r="AKA772" s="10"/>
      <c r="AKB772" s="10"/>
      <c r="AKC772" s="10"/>
      <c r="AKD772" s="10"/>
      <c r="AKE772" s="10"/>
      <c r="AKF772" s="10"/>
      <c r="AKG772" s="10"/>
      <c r="AKH772" s="10"/>
      <c r="AKI772" s="10"/>
      <c r="AKJ772" s="10"/>
      <c r="AKK772" s="10"/>
      <c r="AKL772" s="10"/>
      <c r="AKM772" s="10"/>
      <c r="AKN772" s="10"/>
      <c r="AKO772" s="10"/>
      <c r="AKP772" s="10"/>
      <c r="AKQ772" s="10"/>
      <c r="AKR772" s="10"/>
      <c r="AKS772" s="10"/>
      <c r="AKT772" s="10"/>
      <c r="AKU772" s="10"/>
      <c r="AKV772" s="10"/>
      <c r="AKW772" s="10"/>
      <c r="AKX772" s="10"/>
      <c r="AKY772" s="10"/>
      <c r="AKZ772" s="10"/>
      <c r="ALA772" s="10"/>
      <c r="ALB772" s="10"/>
      <c r="ALC772" s="10"/>
      <c r="ALD772" s="10"/>
      <c r="ALE772" s="10"/>
      <c r="ALF772" s="10"/>
      <c r="ALG772" s="10"/>
      <c r="ALH772" s="10"/>
      <c r="ALI772" s="10"/>
      <c r="ALJ772" s="10"/>
      <c r="ALK772" s="10"/>
      <c r="ALL772" s="10"/>
      <c r="ALM772" s="10"/>
      <c r="ALN772" s="10"/>
      <c r="ALO772" s="10"/>
      <c r="ALP772" s="10"/>
      <c r="ALQ772" s="10"/>
      <c r="ALR772" s="10"/>
      <c r="ALS772" s="10"/>
      <c r="ALT772" s="10"/>
      <c r="ALU772" s="10"/>
      <c r="ALV772" s="10"/>
      <c r="ALW772" s="10"/>
      <c r="ALX772" s="10"/>
      <c r="ALY772" s="10"/>
      <c r="ALZ772" s="10"/>
      <c r="AMA772" s="10"/>
      <c r="AMB772" s="10"/>
      <c r="AMC772" s="10"/>
      <c r="AMD772" s="10"/>
      <c r="AME772" s="10"/>
      <c r="AMF772" s="10"/>
      <c r="AMG772" s="10"/>
      <c r="AMH772" s="10"/>
      <c r="AMI772" s="10"/>
      <c r="AMJ772" s="10"/>
      <c r="AMK772" s="10"/>
      <c r="AML772" s="10"/>
      <c r="AMM772" s="10"/>
      <c r="AMN772" s="10"/>
      <c r="AMO772" s="10"/>
      <c r="AMP772" s="10"/>
      <c r="AMQ772" s="10"/>
      <c r="AMR772" s="10"/>
      <c r="AMS772" s="10"/>
      <c r="AMT772" s="10"/>
      <c r="AMU772" s="10"/>
      <c r="AMV772" s="10"/>
      <c r="AMW772" s="10"/>
      <c r="AMX772" s="10"/>
      <c r="AMY772" s="10"/>
      <c r="AMZ772" s="10"/>
      <c r="ANA772" s="10"/>
      <c r="ANB772" s="10"/>
      <c r="ANC772" s="10"/>
      <c r="AND772" s="10"/>
      <c r="ANE772" s="10"/>
      <c r="ANF772" s="10"/>
      <c r="ANG772" s="10"/>
      <c r="ANH772" s="10"/>
      <c r="ANI772" s="10"/>
      <c r="ANJ772" s="10"/>
      <c r="ANK772" s="10"/>
      <c r="ANL772" s="10"/>
      <c r="ANM772" s="10"/>
      <c r="ANN772" s="10"/>
      <c r="ANO772" s="10"/>
      <c r="ANP772" s="10"/>
      <c r="ANQ772" s="10"/>
      <c r="ANR772" s="10"/>
      <c r="ANS772" s="10"/>
      <c r="ANT772" s="10"/>
      <c r="ANU772" s="10"/>
      <c r="ANV772" s="10"/>
      <c r="ANW772" s="10"/>
      <c r="ANX772" s="10"/>
      <c r="ANY772" s="10"/>
      <c r="ANZ772" s="10"/>
      <c r="AOA772" s="10"/>
      <c r="AOB772" s="10"/>
      <c r="AOC772" s="10"/>
      <c r="AOD772" s="10"/>
      <c r="AOE772" s="10"/>
      <c r="AOF772" s="10"/>
      <c r="AOG772" s="10"/>
      <c r="AOH772" s="10"/>
      <c r="AOI772" s="10"/>
      <c r="AOJ772" s="10"/>
      <c r="AOK772" s="10"/>
      <c r="AOL772" s="10"/>
      <c r="AOM772" s="10"/>
      <c r="AON772" s="10"/>
      <c r="AOO772" s="10"/>
      <c r="AOP772" s="10"/>
      <c r="AOQ772" s="10"/>
      <c r="AOR772" s="10"/>
      <c r="AOS772" s="10"/>
      <c r="AOT772" s="10"/>
      <c r="AOU772" s="10"/>
      <c r="AOV772" s="10"/>
      <c r="AOW772" s="10"/>
      <c r="AOX772" s="10"/>
      <c r="AOY772" s="10"/>
      <c r="AOZ772" s="10"/>
      <c r="APA772" s="10"/>
      <c r="APB772" s="10"/>
      <c r="APC772" s="10"/>
      <c r="APD772" s="10"/>
      <c r="APE772" s="10"/>
      <c r="APF772" s="10"/>
      <c r="APG772" s="10"/>
      <c r="APH772" s="10"/>
      <c r="API772" s="10"/>
      <c r="APJ772" s="10"/>
      <c r="APK772" s="10"/>
      <c r="APL772" s="10"/>
      <c r="APM772" s="10"/>
      <c r="APN772" s="10"/>
      <c r="APO772" s="10"/>
      <c r="APP772" s="10"/>
      <c r="APQ772" s="10"/>
      <c r="APR772" s="10"/>
      <c r="APS772" s="10"/>
      <c r="APT772" s="10"/>
      <c r="APU772" s="10"/>
      <c r="APV772" s="10"/>
      <c r="APW772" s="10"/>
      <c r="APX772" s="10"/>
      <c r="APY772" s="10"/>
      <c r="APZ772" s="10"/>
      <c r="AQA772" s="10"/>
      <c r="AQB772" s="10"/>
      <c r="AQC772" s="10"/>
      <c r="AQD772" s="10"/>
      <c r="AQE772" s="10"/>
      <c r="AQF772" s="10"/>
      <c r="AQG772" s="10"/>
      <c r="AQH772" s="10"/>
      <c r="AQI772" s="10"/>
      <c r="AQJ772" s="10"/>
      <c r="AQK772" s="10"/>
      <c r="AQL772" s="10"/>
      <c r="AQM772" s="10"/>
      <c r="AQN772" s="10"/>
      <c r="AQO772" s="10"/>
      <c r="AQP772" s="10"/>
      <c r="AQQ772" s="10"/>
      <c r="AQR772" s="10"/>
      <c r="AQS772" s="10"/>
      <c r="AQT772" s="10"/>
      <c r="AQU772" s="10"/>
      <c r="AQV772" s="10"/>
      <c r="AQW772" s="10"/>
      <c r="AQX772" s="10"/>
      <c r="AQY772" s="10"/>
      <c r="AQZ772" s="10"/>
      <c r="ARA772" s="10"/>
      <c r="ARB772" s="10"/>
      <c r="ARC772" s="10"/>
      <c r="ARD772" s="10"/>
      <c r="ARE772" s="10"/>
      <c r="ARF772" s="10"/>
      <c r="ARG772" s="10"/>
      <c r="ARH772" s="10"/>
      <c r="ARI772" s="10"/>
      <c r="ARJ772" s="10"/>
      <c r="ARK772" s="10"/>
      <c r="ARL772" s="10"/>
      <c r="ARM772" s="10"/>
      <c r="ARN772" s="10"/>
      <c r="ARO772" s="10"/>
      <c r="ARP772" s="10"/>
      <c r="ARQ772" s="10"/>
      <c r="ARR772" s="10"/>
      <c r="ARS772" s="10"/>
      <c r="ART772" s="10"/>
      <c r="ARU772" s="10"/>
      <c r="ARV772" s="10"/>
      <c r="ARW772" s="10"/>
      <c r="ARX772" s="10"/>
      <c r="ARY772" s="10"/>
      <c r="ARZ772" s="10"/>
      <c r="ASA772" s="10"/>
      <c r="ASB772" s="10"/>
      <c r="ASC772" s="10"/>
      <c r="ASD772" s="10"/>
      <c r="ASE772" s="10"/>
      <c r="ASF772" s="10"/>
      <c r="ASG772" s="10"/>
      <c r="ASH772" s="10"/>
      <c r="ASI772" s="10"/>
      <c r="ASJ772" s="10"/>
      <c r="ASK772" s="10"/>
      <c r="ASL772" s="10"/>
      <c r="ASM772" s="10"/>
      <c r="ASN772" s="10"/>
      <c r="ASO772" s="10"/>
      <c r="ASP772" s="10"/>
      <c r="ASQ772" s="10"/>
      <c r="ASR772" s="10"/>
      <c r="ASS772" s="10"/>
      <c r="AST772" s="10"/>
      <c r="ASU772" s="10"/>
      <c r="ASV772" s="10"/>
      <c r="ASW772" s="10"/>
      <c r="ASX772" s="10"/>
      <c r="ASY772" s="10"/>
      <c r="ASZ772" s="10"/>
      <c r="ATA772" s="10"/>
      <c r="ATB772" s="10"/>
      <c r="ATC772" s="10"/>
      <c r="ATD772" s="10"/>
      <c r="ATE772" s="10"/>
      <c r="ATF772" s="10"/>
      <c r="ATG772" s="10"/>
      <c r="ATH772" s="10"/>
      <c r="ATI772" s="10"/>
      <c r="ATJ772" s="10"/>
      <c r="ATK772" s="10"/>
      <c r="ATL772" s="10"/>
      <c r="ATM772" s="10"/>
      <c r="ATN772" s="10"/>
      <c r="ATO772" s="10"/>
      <c r="ATP772" s="10"/>
      <c r="ATQ772" s="10"/>
      <c r="ATR772" s="10"/>
      <c r="ATS772" s="10"/>
      <c r="ATT772" s="10"/>
      <c r="ATU772" s="10"/>
      <c r="ATV772" s="10"/>
      <c r="ATW772" s="10"/>
      <c r="ATX772" s="10"/>
      <c r="ATY772" s="10"/>
      <c r="ATZ772" s="10"/>
      <c r="AUA772" s="10"/>
      <c r="AUB772" s="10"/>
      <c r="AUC772" s="10"/>
      <c r="AUD772" s="10"/>
      <c r="AUE772" s="10"/>
      <c r="AUF772" s="10"/>
      <c r="AUG772" s="10"/>
      <c r="AUH772" s="10"/>
      <c r="AUI772" s="10"/>
      <c r="AUJ772" s="10"/>
      <c r="AUK772" s="10"/>
      <c r="AUL772" s="10"/>
      <c r="AUM772" s="10"/>
      <c r="AUN772" s="10"/>
      <c r="AUO772" s="10"/>
      <c r="AUP772" s="10"/>
      <c r="AUQ772" s="10"/>
      <c r="AUR772" s="10"/>
      <c r="AUS772" s="10"/>
      <c r="AUT772" s="10"/>
      <c r="AUU772" s="10"/>
      <c r="AUV772" s="10"/>
      <c r="AUW772" s="10"/>
      <c r="AUX772" s="10"/>
      <c r="AUY772" s="10"/>
      <c r="AUZ772" s="10"/>
      <c r="AVA772" s="10"/>
      <c r="AVB772" s="10"/>
      <c r="AVC772" s="10"/>
      <c r="AVD772" s="10"/>
      <c r="AVE772" s="10"/>
      <c r="AVF772" s="10"/>
      <c r="AVG772" s="10"/>
      <c r="AVH772" s="10"/>
      <c r="AVI772" s="10"/>
      <c r="AVJ772" s="10"/>
      <c r="AVK772" s="10"/>
      <c r="AVL772" s="10"/>
      <c r="AVM772" s="10"/>
      <c r="AVN772" s="10"/>
      <c r="AVO772" s="10"/>
      <c r="AVP772" s="10"/>
      <c r="AVQ772" s="10"/>
      <c r="AVR772" s="10"/>
      <c r="AVS772" s="10"/>
      <c r="AVT772" s="10"/>
      <c r="AVU772" s="10"/>
      <c r="AVV772" s="10"/>
      <c r="AVW772" s="10"/>
      <c r="AVX772" s="10"/>
      <c r="AVY772" s="10"/>
      <c r="AVZ772" s="10"/>
      <c r="AWA772" s="10"/>
      <c r="AWB772" s="10"/>
      <c r="AWC772" s="10"/>
      <c r="AWD772" s="10"/>
      <c r="AWE772" s="10"/>
      <c r="AWF772" s="10"/>
      <c r="AWG772" s="10"/>
      <c r="AWH772" s="10"/>
      <c r="AWI772" s="10"/>
      <c r="AWJ772" s="10"/>
      <c r="AWK772" s="10"/>
      <c r="AWL772" s="10"/>
      <c r="AWM772" s="10"/>
      <c r="AWN772" s="10"/>
      <c r="AWO772" s="10"/>
      <c r="AWP772" s="10"/>
      <c r="AWQ772" s="10"/>
      <c r="AWR772" s="10"/>
      <c r="AWS772" s="10"/>
      <c r="AWT772" s="10"/>
      <c r="AWU772" s="10"/>
      <c r="AWV772" s="10"/>
      <c r="AWW772" s="10"/>
      <c r="AWX772" s="10"/>
      <c r="AWY772" s="10"/>
      <c r="AWZ772" s="10"/>
      <c r="AXA772" s="10"/>
      <c r="AXB772" s="10"/>
      <c r="AXC772" s="10"/>
      <c r="AXD772" s="10"/>
      <c r="AXE772" s="10"/>
      <c r="AXF772" s="10"/>
      <c r="AXG772" s="10"/>
      <c r="AXH772" s="10"/>
      <c r="AXI772" s="10"/>
      <c r="AXJ772" s="10"/>
      <c r="AXK772" s="10"/>
      <c r="AXL772" s="10"/>
      <c r="AXM772" s="10"/>
      <c r="AXN772" s="10"/>
      <c r="AXO772" s="10"/>
      <c r="AXP772" s="10"/>
      <c r="AXQ772" s="10"/>
      <c r="AXR772" s="10"/>
      <c r="AXS772" s="10"/>
      <c r="AXT772" s="10"/>
      <c r="AXU772" s="10"/>
      <c r="AXV772" s="10"/>
      <c r="AXW772" s="10"/>
      <c r="AXX772" s="10"/>
      <c r="AXY772" s="10"/>
      <c r="AXZ772" s="10"/>
      <c r="AYA772" s="10"/>
      <c r="AYB772" s="10"/>
      <c r="AYC772" s="10"/>
      <c r="AYD772" s="10"/>
      <c r="AYE772" s="10"/>
      <c r="AYF772" s="10"/>
      <c r="AYG772" s="10"/>
      <c r="AYH772" s="10"/>
      <c r="AYI772" s="10"/>
      <c r="AYJ772" s="10"/>
      <c r="AYK772" s="10"/>
      <c r="AYL772" s="10"/>
      <c r="AYM772" s="10"/>
      <c r="AYN772" s="10"/>
      <c r="AYO772" s="10"/>
      <c r="AYP772" s="10"/>
      <c r="AYQ772" s="10"/>
      <c r="AYR772" s="10"/>
      <c r="AYS772" s="10"/>
      <c r="AYT772" s="10"/>
      <c r="AYU772" s="10"/>
      <c r="AYV772" s="10"/>
      <c r="AYW772" s="10"/>
      <c r="AYX772" s="10"/>
      <c r="AYY772" s="10"/>
      <c r="AYZ772" s="10"/>
      <c r="AZA772" s="10"/>
      <c r="AZB772" s="10"/>
      <c r="AZC772" s="10"/>
      <c r="AZD772" s="10"/>
      <c r="AZE772" s="10"/>
      <c r="AZF772" s="10"/>
      <c r="AZG772" s="10"/>
      <c r="AZH772" s="10"/>
      <c r="AZI772" s="10"/>
      <c r="AZJ772" s="10"/>
      <c r="AZK772" s="10"/>
      <c r="AZL772" s="10"/>
      <c r="AZM772" s="10"/>
      <c r="AZN772" s="10"/>
      <c r="AZO772" s="10"/>
      <c r="AZP772" s="10"/>
      <c r="AZQ772" s="10"/>
      <c r="AZR772" s="10"/>
      <c r="AZS772" s="10"/>
      <c r="AZT772" s="10"/>
      <c r="AZU772" s="10"/>
      <c r="AZV772" s="10"/>
      <c r="AZW772" s="10"/>
      <c r="AZX772" s="10"/>
      <c r="AZY772" s="10"/>
      <c r="AZZ772" s="10"/>
      <c r="BAA772" s="10"/>
      <c r="BAB772" s="10"/>
      <c r="BAC772" s="10"/>
      <c r="BAD772" s="10"/>
      <c r="BAE772" s="10"/>
      <c r="BAF772" s="10"/>
      <c r="BAG772" s="10"/>
      <c r="BAH772" s="10"/>
      <c r="BAI772" s="10"/>
      <c r="BAJ772" s="10"/>
      <c r="BAK772" s="10"/>
      <c r="BAL772" s="10"/>
      <c r="BAM772" s="10"/>
      <c r="BAN772" s="10"/>
      <c r="BAO772" s="10"/>
      <c r="BAP772" s="10"/>
      <c r="BAQ772" s="10"/>
      <c r="BAR772" s="10"/>
      <c r="BAS772" s="10"/>
      <c r="BAT772" s="10"/>
      <c r="BAU772" s="10"/>
      <c r="BAV772" s="10"/>
      <c r="BAW772" s="10"/>
      <c r="BAX772" s="10"/>
      <c r="BAY772" s="10"/>
      <c r="BAZ772" s="10"/>
      <c r="BBA772" s="10"/>
      <c r="BBB772" s="10"/>
      <c r="BBC772" s="10"/>
      <c r="BBD772" s="10"/>
      <c r="BBE772" s="10"/>
      <c r="BBF772" s="10"/>
      <c r="BBG772" s="10"/>
      <c r="BBH772" s="10"/>
      <c r="BBI772" s="10"/>
      <c r="BBJ772" s="10"/>
      <c r="BBK772" s="10"/>
      <c r="BBL772" s="10"/>
      <c r="BBM772" s="10"/>
      <c r="BBN772" s="10"/>
      <c r="BBO772" s="10"/>
      <c r="BBP772" s="10"/>
      <c r="BBQ772" s="10"/>
      <c r="BBR772" s="10"/>
      <c r="BBS772" s="10"/>
      <c r="BBT772" s="10"/>
      <c r="BBU772" s="10"/>
      <c r="BBV772" s="10"/>
      <c r="BBW772" s="10"/>
      <c r="BBX772" s="10"/>
      <c r="BBY772" s="10"/>
      <c r="BBZ772" s="10"/>
      <c r="BCA772" s="10"/>
      <c r="BCB772" s="10"/>
      <c r="BCC772" s="10"/>
      <c r="BCD772" s="10"/>
      <c r="BCE772" s="10"/>
      <c r="BCF772" s="10"/>
      <c r="BCG772" s="10"/>
      <c r="BCH772" s="10"/>
      <c r="BCI772" s="10"/>
      <c r="BCJ772" s="10"/>
      <c r="BCK772" s="10"/>
      <c r="BCL772" s="10"/>
      <c r="BCM772" s="10"/>
      <c r="BCN772" s="10"/>
      <c r="BCO772" s="10"/>
      <c r="BCP772" s="10"/>
      <c r="BCQ772" s="10"/>
      <c r="BCR772" s="10"/>
      <c r="BCS772" s="10"/>
      <c r="BCT772" s="10"/>
      <c r="BCU772" s="10"/>
      <c r="BCV772" s="10"/>
      <c r="BCW772" s="10"/>
      <c r="BCX772" s="10"/>
      <c r="BCY772" s="10"/>
      <c r="BCZ772" s="10"/>
      <c r="BDA772" s="10"/>
      <c r="BDB772" s="10"/>
      <c r="BDC772" s="10"/>
      <c r="BDD772" s="10"/>
      <c r="BDE772" s="10"/>
      <c r="BDF772" s="10"/>
      <c r="BDG772" s="10"/>
      <c r="BDH772" s="10"/>
      <c r="BDI772" s="10"/>
      <c r="BDJ772" s="10"/>
      <c r="BDK772" s="10"/>
      <c r="BDL772" s="10"/>
      <c r="BDM772" s="10"/>
      <c r="BDN772" s="10"/>
      <c r="BDO772" s="10"/>
      <c r="BDP772" s="10"/>
      <c r="BDQ772" s="10"/>
      <c r="BDR772" s="10"/>
      <c r="BDS772" s="10"/>
      <c r="BDT772" s="10"/>
      <c r="BDU772" s="10"/>
      <c r="BDV772" s="10"/>
      <c r="BDW772" s="10"/>
      <c r="BDX772" s="10"/>
      <c r="BDY772" s="10"/>
      <c r="BDZ772" s="10"/>
      <c r="BEA772" s="10"/>
      <c r="BEB772" s="10"/>
      <c r="BEC772" s="10"/>
      <c r="BED772" s="10"/>
      <c r="BEE772" s="10"/>
      <c r="BEF772" s="10"/>
      <c r="BEG772" s="10"/>
      <c r="BEH772" s="10"/>
      <c r="BEI772" s="10"/>
      <c r="BEJ772" s="10"/>
      <c r="BEK772" s="10"/>
      <c r="BEL772" s="10"/>
      <c r="BEM772" s="10"/>
      <c r="BEN772" s="10"/>
      <c r="BEO772" s="10"/>
      <c r="BEP772" s="10"/>
      <c r="BEQ772" s="10"/>
      <c r="BER772" s="10"/>
      <c r="BES772" s="10"/>
      <c r="BET772" s="10"/>
      <c r="BEU772" s="10"/>
      <c r="BEV772" s="10"/>
      <c r="BEW772" s="10"/>
      <c r="BEX772" s="10"/>
      <c r="BEY772" s="10"/>
      <c r="BEZ772" s="10"/>
      <c r="BFA772" s="10"/>
      <c r="BFB772" s="10"/>
      <c r="BFC772" s="10"/>
      <c r="BFD772" s="10"/>
      <c r="BFE772" s="10"/>
      <c r="BFF772" s="10"/>
      <c r="BFG772" s="10"/>
      <c r="BFH772" s="10"/>
      <c r="BFI772" s="10"/>
      <c r="BFJ772" s="10"/>
      <c r="BFK772" s="10"/>
      <c r="BFL772" s="10"/>
      <c r="BFM772" s="10"/>
      <c r="BFN772" s="10"/>
      <c r="BFO772" s="10"/>
      <c r="BFP772" s="10"/>
      <c r="BFQ772" s="10"/>
      <c r="BFR772" s="10"/>
      <c r="BFS772" s="10"/>
      <c r="BFT772" s="10"/>
      <c r="BFU772" s="10"/>
      <c r="BFV772" s="10"/>
      <c r="BFW772" s="10"/>
      <c r="BFX772" s="10"/>
      <c r="BFY772" s="10"/>
      <c r="BFZ772" s="10"/>
      <c r="BGA772" s="10"/>
      <c r="BGB772" s="10"/>
      <c r="BGC772" s="10"/>
      <c r="BGD772" s="10"/>
      <c r="BGE772" s="10"/>
      <c r="BGF772" s="10"/>
      <c r="BGG772" s="10"/>
      <c r="BGH772" s="10"/>
      <c r="BGI772" s="10"/>
      <c r="BGJ772" s="10"/>
      <c r="BGK772" s="10"/>
      <c r="BGL772" s="10"/>
      <c r="BGM772" s="10"/>
      <c r="BGN772" s="10"/>
      <c r="BGO772" s="10"/>
      <c r="BGP772" s="10"/>
      <c r="BGQ772" s="10"/>
      <c r="BGR772" s="10"/>
      <c r="BGS772" s="10"/>
      <c r="BGT772" s="10"/>
      <c r="BGU772" s="10"/>
      <c r="BGV772" s="10"/>
      <c r="BGW772" s="10"/>
      <c r="BGX772" s="10"/>
      <c r="BGY772" s="10"/>
      <c r="BGZ772" s="10"/>
      <c r="BHA772" s="10"/>
      <c r="BHB772" s="10"/>
      <c r="BHC772" s="10"/>
      <c r="BHD772" s="10"/>
      <c r="BHE772" s="10"/>
      <c r="BHF772" s="10"/>
      <c r="BHG772" s="10"/>
      <c r="BHH772" s="10"/>
      <c r="BHI772" s="10"/>
      <c r="BHJ772" s="10"/>
      <c r="BHK772" s="10"/>
      <c r="BHL772" s="10"/>
      <c r="BHM772" s="10"/>
      <c r="BHN772" s="10"/>
      <c r="BHO772" s="10"/>
      <c r="BHP772" s="10"/>
      <c r="BHQ772" s="10"/>
      <c r="BHR772" s="10"/>
      <c r="BHS772" s="10"/>
      <c r="BHT772" s="10"/>
      <c r="BHU772" s="10"/>
      <c r="BHV772" s="10"/>
      <c r="BHW772" s="10"/>
      <c r="BHX772" s="10"/>
      <c r="BHY772" s="10"/>
      <c r="BHZ772" s="10"/>
      <c r="BIA772" s="10"/>
      <c r="BIB772" s="10"/>
      <c r="BIC772" s="10"/>
      <c r="BID772" s="10"/>
      <c r="BIE772" s="10"/>
      <c r="BIF772" s="10"/>
      <c r="BIG772" s="10"/>
      <c r="BIH772" s="10"/>
      <c r="BII772" s="10"/>
      <c r="BIJ772" s="10"/>
      <c r="BIK772" s="10"/>
      <c r="BIL772" s="10"/>
      <c r="BIM772" s="10"/>
      <c r="BIN772" s="10"/>
      <c r="BIO772" s="10"/>
      <c r="BIP772" s="10"/>
      <c r="BIQ772" s="10"/>
      <c r="BIR772" s="10"/>
      <c r="BIS772" s="10"/>
      <c r="BIT772" s="10"/>
      <c r="BIU772" s="10"/>
      <c r="BIV772" s="10"/>
      <c r="BIW772" s="10"/>
      <c r="BIX772" s="10"/>
      <c r="BIY772" s="10"/>
      <c r="BIZ772" s="10"/>
      <c r="BJA772" s="10"/>
      <c r="BJB772" s="10"/>
      <c r="BJC772" s="10"/>
      <c r="BJD772" s="10"/>
      <c r="BJE772" s="10"/>
      <c r="BJF772" s="10"/>
      <c r="BJG772" s="10"/>
      <c r="BJH772" s="10"/>
      <c r="BJI772" s="10"/>
      <c r="BJJ772" s="10"/>
      <c r="BJK772" s="10"/>
      <c r="BJL772" s="10"/>
      <c r="BJM772" s="10"/>
      <c r="BJN772" s="10"/>
      <c r="BJO772" s="10"/>
      <c r="BJP772" s="10"/>
      <c r="BJQ772" s="10"/>
      <c r="BJR772" s="10"/>
      <c r="BJS772" s="10"/>
      <c r="BJT772" s="10"/>
      <c r="BJU772" s="10"/>
      <c r="BJV772" s="10"/>
      <c r="BJW772" s="10"/>
      <c r="BJX772" s="10"/>
      <c r="BJY772" s="10"/>
      <c r="BJZ772" s="10"/>
      <c r="BKA772" s="10"/>
      <c r="BKB772" s="10"/>
      <c r="BKC772" s="10"/>
      <c r="BKD772" s="10"/>
      <c r="BKE772" s="10"/>
      <c r="BKF772" s="10"/>
      <c r="BKG772" s="10"/>
      <c r="BKH772" s="10"/>
      <c r="BKI772" s="10"/>
      <c r="BKJ772" s="10"/>
      <c r="BKK772" s="10"/>
      <c r="BKL772" s="10"/>
      <c r="BKM772" s="10"/>
      <c r="BKN772" s="10"/>
      <c r="BKO772" s="10"/>
      <c r="BKP772" s="10"/>
      <c r="BKQ772" s="10"/>
      <c r="BKR772" s="10"/>
      <c r="BKS772" s="10"/>
      <c r="BKT772" s="10"/>
      <c r="BKU772" s="10"/>
      <c r="BKV772" s="10"/>
      <c r="BKW772" s="10"/>
      <c r="BKX772" s="10"/>
      <c r="BKY772" s="10"/>
      <c r="BKZ772" s="10"/>
      <c r="BLA772" s="10"/>
      <c r="BLB772" s="10"/>
      <c r="BLC772" s="10"/>
      <c r="BLD772" s="10"/>
      <c r="BLE772" s="10"/>
      <c r="BLF772" s="10"/>
      <c r="BLG772" s="10"/>
      <c r="BLH772" s="10"/>
      <c r="BLI772" s="10"/>
      <c r="BLJ772" s="10"/>
      <c r="BLK772" s="10"/>
      <c r="BLL772" s="10"/>
      <c r="BLM772" s="10"/>
      <c r="BLN772" s="10"/>
      <c r="BLO772" s="10"/>
      <c r="BLP772" s="10"/>
      <c r="BLQ772" s="10"/>
      <c r="BLR772" s="10"/>
      <c r="BLS772" s="10"/>
      <c r="BLT772" s="10"/>
      <c r="BLU772" s="10"/>
      <c r="BLV772" s="10"/>
      <c r="BLW772" s="10"/>
      <c r="BLX772" s="10"/>
      <c r="BLY772" s="10"/>
      <c r="BLZ772" s="10"/>
      <c r="BMA772" s="10"/>
      <c r="BMB772" s="10"/>
      <c r="BMC772" s="10"/>
      <c r="BMD772" s="10"/>
      <c r="BME772" s="10"/>
      <c r="BMF772" s="10"/>
      <c r="BMG772" s="10"/>
      <c r="BMH772" s="10"/>
      <c r="BMI772" s="10"/>
      <c r="BMJ772" s="10"/>
      <c r="BMK772" s="10"/>
      <c r="BML772" s="10"/>
      <c r="BMM772" s="10"/>
      <c r="BMN772" s="10"/>
      <c r="BMO772" s="10"/>
      <c r="BMP772" s="10"/>
      <c r="BMQ772" s="10"/>
      <c r="BMR772" s="10"/>
      <c r="BMS772" s="10"/>
      <c r="BMT772" s="10"/>
      <c r="BMU772" s="10"/>
      <c r="BMV772" s="10"/>
      <c r="BMW772" s="10"/>
      <c r="BMX772" s="10"/>
      <c r="BMY772" s="10"/>
      <c r="BMZ772" s="10"/>
      <c r="BNA772" s="10"/>
      <c r="BNB772" s="10"/>
      <c r="BNC772" s="10"/>
      <c r="BND772" s="10"/>
      <c r="BNE772" s="10"/>
      <c r="BNF772" s="10"/>
      <c r="BNG772" s="10"/>
      <c r="BNH772" s="10"/>
      <c r="BNI772" s="10"/>
      <c r="BNJ772" s="10"/>
      <c r="BNK772" s="10"/>
      <c r="BNL772" s="10"/>
      <c r="BNM772" s="10"/>
      <c r="BNN772" s="10"/>
      <c r="BNO772" s="10"/>
      <c r="BNP772" s="10"/>
      <c r="BNQ772" s="10"/>
      <c r="BNR772" s="10"/>
      <c r="BNS772" s="10"/>
      <c r="BNT772" s="10"/>
      <c r="BNU772" s="10"/>
      <c r="BNV772" s="10"/>
      <c r="BNW772" s="10"/>
      <c r="BNX772" s="10"/>
      <c r="BNY772" s="10"/>
      <c r="BNZ772" s="10"/>
      <c r="BOA772" s="10"/>
      <c r="BOB772" s="10"/>
      <c r="BOC772" s="10"/>
      <c r="BOD772" s="10"/>
      <c r="BOE772" s="10"/>
      <c r="BOF772" s="10"/>
      <c r="BOG772" s="10"/>
      <c r="BOH772" s="10"/>
      <c r="BOI772" s="10"/>
      <c r="BOJ772" s="10"/>
      <c r="BOK772" s="10"/>
      <c r="BOL772" s="10"/>
      <c r="BOM772" s="10"/>
      <c r="BON772" s="10"/>
      <c r="BOO772" s="10"/>
      <c r="BOP772" s="10"/>
      <c r="BOQ772" s="10"/>
      <c r="BOR772" s="10"/>
      <c r="BOS772" s="10"/>
      <c r="BOT772" s="10"/>
      <c r="BOU772" s="10"/>
      <c r="BOV772" s="10"/>
      <c r="BOW772" s="10"/>
      <c r="BOX772" s="10"/>
      <c r="BOY772" s="10"/>
      <c r="BOZ772" s="10"/>
      <c r="BPA772" s="10"/>
      <c r="BPB772" s="10"/>
      <c r="BPC772" s="10"/>
      <c r="BPD772" s="10"/>
      <c r="BPE772" s="10"/>
      <c r="BPF772" s="10"/>
      <c r="BPG772" s="10"/>
      <c r="BPH772" s="10"/>
      <c r="BPI772" s="10"/>
      <c r="BPJ772" s="10"/>
      <c r="BPK772" s="10"/>
      <c r="BPL772" s="10"/>
      <c r="BPM772" s="10"/>
      <c r="BPN772" s="10"/>
      <c r="BPO772" s="10"/>
      <c r="BPP772" s="10"/>
      <c r="BPQ772" s="10"/>
      <c r="BPR772" s="10"/>
      <c r="BPS772" s="10"/>
      <c r="BPT772" s="10"/>
      <c r="BPU772" s="10"/>
      <c r="BPV772" s="10"/>
      <c r="BPW772" s="10"/>
      <c r="BPX772" s="10"/>
      <c r="BPY772" s="10"/>
      <c r="BPZ772" s="10"/>
      <c r="BQA772" s="10"/>
      <c r="BQB772" s="10"/>
      <c r="BQC772" s="10"/>
      <c r="BQD772" s="10"/>
      <c r="BQE772" s="10"/>
      <c r="BQF772" s="10"/>
      <c r="BQG772" s="10"/>
      <c r="BQH772" s="10"/>
      <c r="BQI772" s="10"/>
      <c r="BQJ772" s="10"/>
      <c r="BQK772" s="10"/>
      <c r="BQL772" s="10"/>
      <c r="BQM772" s="10"/>
      <c r="BQN772" s="10"/>
      <c r="BQO772" s="10"/>
      <c r="BQP772" s="10"/>
      <c r="BQQ772" s="10"/>
      <c r="BQR772" s="10"/>
      <c r="BQS772" s="10"/>
      <c r="BQT772" s="10"/>
      <c r="BQU772" s="10"/>
      <c r="BQV772" s="10"/>
      <c r="BQW772" s="10"/>
      <c r="BQX772" s="10"/>
      <c r="BQY772" s="10"/>
      <c r="BQZ772" s="10"/>
      <c r="BRA772" s="10"/>
      <c r="BRB772" s="10"/>
      <c r="BRC772" s="10"/>
      <c r="BRD772" s="10"/>
      <c r="BRE772" s="10"/>
      <c r="BRF772" s="10"/>
      <c r="BRG772" s="10"/>
      <c r="BRH772" s="10"/>
      <c r="BRI772" s="10"/>
      <c r="BRJ772" s="10"/>
      <c r="BRK772" s="10"/>
      <c r="BRL772" s="10"/>
      <c r="BRM772" s="10"/>
      <c r="BRN772" s="10"/>
      <c r="BRO772" s="10"/>
      <c r="BRP772" s="10"/>
      <c r="BRQ772" s="10"/>
      <c r="BRR772" s="10"/>
      <c r="BRS772" s="10"/>
      <c r="BRT772" s="10"/>
      <c r="BRU772" s="10"/>
      <c r="BRV772" s="10"/>
      <c r="BRW772" s="10"/>
      <c r="BRX772" s="10"/>
      <c r="BRY772" s="10"/>
      <c r="BRZ772" s="10"/>
      <c r="BSA772" s="10"/>
      <c r="BSB772" s="10"/>
      <c r="BSC772" s="10"/>
      <c r="BSD772" s="10"/>
      <c r="BSE772" s="10"/>
      <c r="BSF772" s="10"/>
      <c r="BSG772" s="10"/>
      <c r="BSH772" s="10"/>
      <c r="BSI772" s="10"/>
      <c r="BSJ772" s="10"/>
      <c r="BSK772" s="10"/>
      <c r="BSL772" s="10"/>
      <c r="BSM772" s="10"/>
      <c r="BSN772" s="10"/>
      <c r="BSO772" s="10"/>
      <c r="BSP772" s="10"/>
      <c r="BSQ772" s="10"/>
      <c r="BSR772" s="10"/>
      <c r="BSS772" s="10"/>
      <c r="BST772" s="10"/>
      <c r="BSU772" s="10"/>
      <c r="BSV772" s="10"/>
      <c r="BSW772" s="10"/>
      <c r="BSX772" s="10"/>
      <c r="BSY772" s="10"/>
      <c r="BSZ772" s="10"/>
      <c r="BTA772" s="10"/>
      <c r="BTB772" s="10"/>
      <c r="BTC772" s="10"/>
      <c r="BTD772" s="10"/>
      <c r="BTE772" s="10"/>
      <c r="BTF772" s="10"/>
      <c r="BTG772" s="10"/>
      <c r="BTH772" s="10"/>
      <c r="BTI772" s="10"/>
      <c r="BTJ772" s="10"/>
      <c r="BTK772" s="10"/>
      <c r="BTL772" s="10"/>
      <c r="BTM772" s="10"/>
      <c r="BTN772" s="10"/>
      <c r="BTO772" s="10"/>
      <c r="BTP772" s="10"/>
      <c r="BTQ772" s="10"/>
      <c r="BTR772" s="10"/>
      <c r="BTS772" s="10"/>
      <c r="BTT772" s="10"/>
    </row>
    <row r="773" spans="1:1892" s="9" customFormat="1" ht="35.1" customHeight="1">
      <c r="A773" s="1241"/>
      <c r="B773" s="539"/>
      <c r="C773" s="984"/>
      <c r="D773" s="576"/>
      <c r="E773" s="577"/>
      <c r="F773" s="578"/>
      <c r="G773" s="594" t="s">
        <v>329</v>
      </c>
      <c r="H773" s="595"/>
      <c r="I773" s="595"/>
      <c r="J773" s="595"/>
      <c r="K773" s="1083"/>
      <c r="L773" s="133"/>
      <c r="M773" s="224">
        <f>SUM(M769:M772)</f>
        <v>925</v>
      </c>
      <c r="N773" s="263">
        <f>SUM(N769:N772)</f>
        <v>3</v>
      </c>
      <c r="O773" s="263">
        <f>SUM(O769:O772)</f>
        <v>3</v>
      </c>
      <c r="P773" s="513"/>
      <c r="Q773" s="513"/>
      <c r="R773" s="513"/>
      <c r="S773" s="653"/>
      <c r="T773" s="715"/>
      <c r="U773" s="715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/>
      <c r="BT773" s="10"/>
      <c r="BU773" s="10"/>
      <c r="BV773" s="10"/>
      <c r="BW773" s="10"/>
      <c r="BX773" s="10"/>
      <c r="BY773" s="10"/>
      <c r="BZ773" s="10"/>
      <c r="CA773" s="10"/>
      <c r="CB773" s="10"/>
      <c r="CC773" s="10"/>
      <c r="CD773" s="10"/>
      <c r="CE773" s="10"/>
      <c r="CF773" s="10"/>
      <c r="CG773" s="10"/>
      <c r="CH773" s="10"/>
      <c r="CI773" s="10"/>
      <c r="CJ773" s="10"/>
      <c r="CK773" s="10"/>
      <c r="CL773" s="10"/>
      <c r="CM773" s="10"/>
      <c r="CN773" s="10"/>
      <c r="CO773" s="10"/>
      <c r="CP773" s="10"/>
      <c r="CQ773" s="10"/>
      <c r="CR773" s="10"/>
      <c r="CS773" s="10"/>
      <c r="CT773" s="10"/>
      <c r="CU773" s="10"/>
      <c r="CV773" s="10"/>
      <c r="CW773" s="10"/>
      <c r="CX773" s="10"/>
      <c r="CY773" s="10"/>
      <c r="CZ773" s="10"/>
      <c r="DA773" s="10"/>
      <c r="DB773" s="10"/>
      <c r="DC773" s="10"/>
      <c r="DD773" s="10"/>
      <c r="DE773" s="10"/>
      <c r="DF773" s="10"/>
      <c r="DG773" s="10"/>
      <c r="DH773" s="10"/>
      <c r="DI773" s="10"/>
      <c r="DJ773" s="10"/>
      <c r="DK773" s="10"/>
      <c r="DL773" s="10"/>
      <c r="DM773" s="10"/>
      <c r="DN773" s="10"/>
      <c r="DO773" s="10"/>
      <c r="DP773" s="10"/>
      <c r="DQ773" s="10"/>
      <c r="DR773" s="10"/>
      <c r="DS773" s="10"/>
      <c r="DT773" s="10"/>
      <c r="DU773" s="10"/>
      <c r="DV773" s="10"/>
      <c r="DW773" s="10"/>
      <c r="DX773" s="10"/>
      <c r="DY773" s="10"/>
      <c r="DZ773" s="10"/>
      <c r="EA773" s="10"/>
      <c r="EB773" s="10"/>
      <c r="EC773" s="10"/>
      <c r="ED773" s="10"/>
      <c r="EE773" s="10"/>
      <c r="EF773" s="10"/>
      <c r="EG773" s="10"/>
      <c r="EH773" s="10"/>
      <c r="EI773" s="10"/>
      <c r="EJ773" s="10"/>
      <c r="EK773" s="10"/>
      <c r="EL773" s="10"/>
      <c r="EM773" s="10"/>
      <c r="EN773" s="10"/>
      <c r="EO773" s="10"/>
      <c r="EP773" s="10"/>
      <c r="EQ773" s="10"/>
      <c r="ER773" s="10"/>
      <c r="ES773" s="10"/>
      <c r="ET773" s="10"/>
      <c r="EU773" s="10"/>
      <c r="EV773" s="10"/>
      <c r="EW773" s="10"/>
      <c r="EX773" s="10"/>
      <c r="EY773" s="10"/>
      <c r="EZ773" s="10"/>
      <c r="FA773" s="10"/>
      <c r="FB773" s="10"/>
      <c r="FC773" s="10"/>
      <c r="FD773" s="10"/>
      <c r="FE773" s="10"/>
      <c r="FF773" s="10"/>
      <c r="FG773" s="10"/>
      <c r="FH773" s="10"/>
      <c r="FI773" s="10"/>
      <c r="FJ773" s="10"/>
      <c r="FK773" s="10"/>
      <c r="FL773" s="10"/>
      <c r="FM773" s="10"/>
      <c r="FN773" s="10"/>
      <c r="FO773" s="10"/>
      <c r="FP773" s="10"/>
      <c r="FQ773" s="10"/>
      <c r="FR773" s="10"/>
      <c r="FS773" s="10"/>
      <c r="FT773" s="10"/>
      <c r="FU773" s="10"/>
      <c r="FV773" s="10"/>
      <c r="FW773" s="10"/>
      <c r="FX773" s="10"/>
      <c r="FY773" s="10"/>
      <c r="FZ773" s="10"/>
      <c r="GA773" s="10"/>
      <c r="GB773" s="10"/>
      <c r="GC773" s="10"/>
      <c r="GD773" s="10"/>
      <c r="GE773" s="10"/>
      <c r="GF773" s="10"/>
      <c r="GG773" s="10"/>
      <c r="GH773" s="10"/>
      <c r="GI773" s="10"/>
      <c r="GJ773" s="10"/>
      <c r="GK773" s="10"/>
      <c r="GL773" s="10"/>
      <c r="GM773" s="10"/>
      <c r="GN773" s="10"/>
      <c r="GO773" s="10"/>
      <c r="GP773" s="10"/>
      <c r="GQ773" s="10"/>
      <c r="GR773" s="10"/>
      <c r="GS773" s="10"/>
      <c r="GT773" s="10"/>
      <c r="GU773" s="10"/>
      <c r="GV773" s="10"/>
      <c r="GW773" s="10"/>
      <c r="GX773" s="10"/>
      <c r="GY773" s="10"/>
      <c r="GZ773" s="10"/>
      <c r="HA773" s="10"/>
      <c r="HB773" s="10"/>
      <c r="HC773" s="10"/>
      <c r="HD773" s="10"/>
      <c r="HE773" s="10"/>
      <c r="HF773" s="10"/>
      <c r="HG773" s="10"/>
      <c r="HH773" s="10"/>
      <c r="HI773" s="10"/>
      <c r="HJ773" s="10"/>
      <c r="HK773" s="10"/>
      <c r="HL773" s="10"/>
      <c r="HM773" s="10"/>
      <c r="HN773" s="10"/>
      <c r="HO773" s="10"/>
      <c r="HP773" s="10"/>
      <c r="HQ773" s="10"/>
      <c r="HR773" s="10"/>
      <c r="HS773" s="10"/>
      <c r="HT773" s="10"/>
      <c r="HU773" s="10"/>
      <c r="HV773" s="10"/>
      <c r="HW773" s="10"/>
      <c r="HX773" s="10"/>
      <c r="HY773" s="10"/>
      <c r="HZ773" s="10"/>
      <c r="IA773" s="10"/>
      <c r="IB773" s="10"/>
      <c r="IC773" s="10"/>
      <c r="ID773" s="10"/>
      <c r="IE773" s="10"/>
      <c r="IF773" s="10"/>
      <c r="IG773" s="10"/>
      <c r="IH773" s="10"/>
      <c r="II773" s="10"/>
      <c r="IJ773" s="10"/>
      <c r="IK773" s="10"/>
      <c r="IL773" s="10"/>
      <c r="IM773" s="10"/>
      <c r="IN773" s="10"/>
      <c r="IO773" s="10"/>
      <c r="IP773" s="10"/>
      <c r="IQ773" s="10"/>
      <c r="IR773" s="10"/>
      <c r="IS773" s="10"/>
      <c r="IT773" s="10"/>
      <c r="IU773" s="10"/>
      <c r="IV773" s="10"/>
      <c r="IW773" s="10"/>
      <c r="IX773" s="10"/>
      <c r="IY773" s="10"/>
      <c r="IZ773" s="10"/>
      <c r="JA773" s="10"/>
      <c r="JB773" s="10"/>
      <c r="JC773" s="10"/>
      <c r="JD773" s="10"/>
      <c r="JE773" s="10"/>
      <c r="JF773" s="10"/>
      <c r="JG773" s="10"/>
      <c r="JH773" s="10"/>
      <c r="JI773" s="10"/>
      <c r="JJ773" s="10"/>
      <c r="JK773" s="10"/>
      <c r="JL773" s="10"/>
      <c r="JM773" s="10"/>
      <c r="JN773" s="10"/>
      <c r="JO773" s="10"/>
      <c r="JP773" s="10"/>
      <c r="JQ773" s="10"/>
      <c r="JR773" s="10"/>
      <c r="JS773" s="10"/>
      <c r="JT773" s="10"/>
      <c r="JU773" s="10"/>
      <c r="JV773" s="10"/>
      <c r="JW773" s="10"/>
      <c r="JX773" s="10"/>
      <c r="JY773" s="10"/>
      <c r="JZ773" s="10"/>
      <c r="KA773" s="10"/>
      <c r="KB773" s="10"/>
      <c r="KC773" s="10"/>
      <c r="KD773" s="10"/>
      <c r="KE773" s="10"/>
      <c r="KF773" s="10"/>
      <c r="KG773" s="10"/>
      <c r="KH773" s="10"/>
      <c r="KI773" s="10"/>
      <c r="KJ773" s="10"/>
      <c r="KK773" s="10"/>
      <c r="KL773" s="10"/>
      <c r="KM773" s="10"/>
      <c r="KN773" s="10"/>
      <c r="KO773" s="10"/>
      <c r="KP773" s="10"/>
      <c r="KQ773" s="10"/>
      <c r="KR773" s="10"/>
      <c r="KS773" s="10"/>
      <c r="KT773" s="10"/>
      <c r="KU773" s="10"/>
      <c r="KV773" s="10"/>
      <c r="KW773" s="10"/>
      <c r="KX773" s="10"/>
      <c r="KY773" s="10"/>
      <c r="KZ773" s="10"/>
      <c r="LA773" s="10"/>
      <c r="LB773" s="10"/>
      <c r="LC773" s="10"/>
      <c r="LD773" s="10"/>
      <c r="LE773" s="10"/>
      <c r="LF773" s="10"/>
      <c r="LG773" s="10"/>
      <c r="LH773" s="10"/>
      <c r="LI773" s="10"/>
      <c r="LJ773" s="10"/>
      <c r="LK773" s="10"/>
      <c r="LL773" s="10"/>
      <c r="LM773" s="10"/>
      <c r="LN773" s="10"/>
      <c r="LO773" s="10"/>
      <c r="LP773" s="10"/>
      <c r="LQ773" s="10"/>
      <c r="LR773" s="10"/>
      <c r="LS773" s="10"/>
      <c r="LT773" s="10"/>
      <c r="LU773" s="10"/>
      <c r="LV773" s="10"/>
      <c r="LW773" s="10"/>
      <c r="LX773" s="10"/>
      <c r="LY773" s="10"/>
      <c r="LZ773" s="10"/>
      <c r="MA773" s="10"/>
      <c r="MB773" s="10"/>
      <c r="MC773" s="10"/>
      <c r="MD773" s="10"/>
      <c r="ME773" s="10"/>
      <c r="MF773" s="10"/>
      <c r="MG773" s="10"/>
      <c r="MH773" s="10"/>
      <c r="MI773" s="10"/>
      <c r="MJ773" s="10"/>
      <c r="MK773" s="10"/>
      <c r="ML773" s="10"/>
      <c r="MM773" s="10"/>
      <c r="MN773" s="10"/>
      <c r="MO773" s="10"/>
      <c r="MP773" s="10"/>
      <c r="MQ773" s="10"/>
      <c r="MR773" s="10"/>
      <c r="MS773" s="10"/>
      <c r="MT773" s="10"/>
      <c r="MU773" s="10"/>
      <c r="MV773" s="10"/>
      <c r="MW773" s="10"/>
      <c r="MX773" s="10"/>
      <c r="MY773" s="10"/>
      <c r="MZ773" s="10"/>
      <c r="NA773" s="10"/>
      <c r="NB773" s="10"/>
      <c r="NC773" s="10"/>
      <c r="ND773" s="10"/>
      <c r="NE773" s="10"/>
      <c r="NF773" s="10"/>
      <c r="NG773" s="10"/>
      <c r="NH773" s="10"/>
      <c r="NI773" s="10"/>
      <c r="NJ773" s="10"/>
      <c r="NK773" s="10"/>
      <c r="NL773" s="10"/>
      <c r="NM773" s="10"/>
      <c r="NN773" s="10"/>
      <c r="NO773" s="10"/>
      <c r="NP773" s="10"/>
      <c r="NQ773" s="10"/>
      <c r="NR773" s="10"/>
      <c r="NS773" s="10"/>
      <c r="NT773" s="10"/>
      <c r="NU773" s="10"/>
      <c r="NV773" s="10"/>
      <c r="NW773" s="10"/>
      <c r="NX773" s="10"/>
      <c r="NY773" s="10"/>
      <c r="NZ773" s="10"/>
      <c r="OA773" s="10"/>
      <c r="OB773" s="10"/>
      <c r="OC773" s="10"/>
      <c r="OD773" s="10"/>
      <c r="OE773" s="10"/>
      <c r="OF773" s="10"/>
      <c r="OG773" s="10"/>
      <c r="OH773" s="10"/>
      <c r="OI773" s="10"/>
      <c r="OJ773" s="10"/>
      <c r="OK773" s="10"/>
      <c r="OL773" s="10"/>
      <c r="OM773" s="10"/>
      <c r="ON773" s="10"/>
      <c r="OO773" s="10"/>
      <c r="OP773" s="10"/>
      <c r="OQ773" s="10"/>
      <c r="OR773" s="10"/>
      <c r="OS773" s="10"/>
      <c r="OT773" s="10"/>
      <c r="OU773" s="10"/>
      <c r="OV773" s="10"/>
      <c r="OW773" s="10"/>
      <c r="OX773" s="10"/>
      <c r="OY773" s="10"/>
      <c r="OZ773" s="10"/>
      <c r="PA773" s="10"/>
      <c r="PB773" s="10"/>
      <c r="PC773" s="10"/>
      <c r="PD773" s="10"/>
      <c r="PE773" s="10"/>
      <c r="PF773" s="10"/>
      <c r="PG773" s="10"/>
      <c r="PH773" s="10"/>
      <c r="PI773" s="10"/>
      <c r="PJ773" s="10"/>
      <c r="PK773" s="10"/>
      <c r="PL773" s="10"/>
      <c r="PM773" s="10"/>
      <c r="PN773" s="10"/>
      <c r="PO773" s="10"/>
      <c r="PP773" s="10"/>
      <c r="PQ773" s="10"/>
      <c r="PR773" s="10"/>
      <c r="PS773" s="10"/>
      <c r="PT773" s="10"/>
      <c r="PU773" s="10"/>
      <c r="PV773" s="10"/>
      <c r="PW773" s="10"/>
      <c r="PX773" s="10"/>
      <c r="PY773" s="10"/>
      <c r="PZ773" s="10"/>
      <c r="QA773" s="10"/>
      <c r="QB773" s="10"/>
      <c r="QC773" s="10"/>
      <c r="QD773" s="10"/>
      <c r="QE773" s="10"/>
      <c r="QF773" s="10"/>
      <c r="QG773" s="10"/>
      <c r="QH773" s="10"/>
      <c r="QI773" s="10"/>
      <c r="QJ773" s="10"/>
      <c r="QK773" s="10"/>
      <c r="QL773" s="10"/>
      <c r="QM773" s="10"/>
      <c r="QN773" s="10"/>
      <c r="QO773" s="10"/>
      <c r="QP773" s="10"/>
      <c r="QQ773" s="10"/>
      <c r="QR773" s="10"/>
      <c r="QS773" s="10"/>
      <c r="QT773" s="10"/>
      <c r="QU773" s="10"/>
      <c r="QV773" s="10"/>
      <c r="QW773" s="10"/>
      <c r="QX773" s="10"/>
      <c r="QY773" s="10"/>
      <c r="QZ773" s="10"/>
      <c r="RA773" s="10"/>
      <c r="RB773" s="10"/>
      <c r="RC773" s="10"/>
      <c r="RD773" s="10"/>
      <c r="RE773" s="10"/>
      <c r="RF773" s="10"/>
      <c r="RG773" s="10"/>
      <c r="RH773" s="10"/>
      <c r="RI773" s="10"/>
      <c r="RJ773" s="10"/>
      <c r="RK773" s="10"/>
      <c r="RL773" s="10"/>
      <c r="RM773" s="10"/>
      <c r="RN773" s="10"/>
      <c r="RO773" s="10"/>
      <c r="RP773" s="10"/>
      <c r="RQ773" s="10"/>
      <c r="RR773" s="10"/>
      <c r="RS773" s="10"/>
      <c r="RT773" s="10"/>
      <c r="RU773" s="10"/>
      <c r="RV773" s="10"/>
      <c r="RW773" s="10"/>
      <c r="RX773" s="10"/>
      <c r="RY773" s="10"/>
      <c r="RZ773" s="10"/>
      <c r="SA773" s="10"/>
      <c r="SB773" s="10"/>
      <c r="SC773" s="10"/>
      <c r="SD773" s="10"/>
      <c r="SE773" s="10"/>
      <c r="SF773" s="10"/>
      <c r="SG773" s="10"/>
      <c r="SH773" s="10"/>
      <c r="SI773" s="10"/>
      <c r="SJ773" s="10"/>
      <c r="SK773" s="10"/>
      <c r="SL773" s="10"/>
      <c r="SM773" s="10"/>
      <c r="SN773" s="10"/>
      <c r="SO773" s="10"/>
      <c r="SP773" s="10"/>
      <c r="SQ773" s="10"/>
      <c r="SR773" s="10"/>
      <c r="SS773" s="10"/>
      <c r="ST773" s="10"/>
      <c r="SU773" s="10"/>
      <c r="SV773" s="10"/>
      <c r="SW773" s="10"/>
      <c r="SX773" s="10"/>
      <c r="SY773" s="10"/>
      <c r="SZ773" s="10"/>
      <c r="TA773" s="10"/>
      <c r="TB773" s="10"/>
      <c r="TC773" s="10"/>
      <c r="TD773" s="10"/>
      <c r="TE773" s="10"/>
      <c r="TF773" s="10"/>
      <c r="TG773" s="10"/>
      <c r="TH773" s="10"/>
      <c r="TI773" s="10"/>
      <c r="TJ773" s="10"/>
      <c r="TK773" s="10"/>
      <c r="TL773" s="10"/>
      <c r="TM773" s="10"/>
      <c r="TN773" s="10"/>
      <c r="TO773" s="10"/>
      <c r="TP773" s="10"/>
      <c r="TQ773" s="10"/>
      <c r="TR773" s="10"/>
      <c r="TS773" s="10"/>
      <c r="TT773" s="10"/>
      <c r="TU773" s="10"/>
      <c r="TV773" s="10"/>
      <c r="TW773" s="10"/>
      <c r="TX773" s="10"/>
      <c r="TY773" s="10"/>
      <c r="TZ773" s="10"/>
      <c r="UA773" s="10"/>
      <c r="UB773" s="10"/>
      <c r="UC773" s="10"/>
      <c r="UD773" s="10"/>
      <c r="UE773" s="10"/>
      <c r="UF773" s="10"/>
      <c r="UG773" s="10"/>
      <c r="UH773" s="10"/>
      <c r="UI773" s="10"/>
      <c r="UJ773" s="10"/>
      <c r="UK773" s="10"/>
      <c r="UL773" s="10"/>
      <c r="UM773" s="10"/>
      <c r="UN773" s="10"/>
      <c r="UO773" s="10"/>
      <c r="UP773" s="10"/>
      <c r="UQ773" s="10"/>
      <c r="UR773" s="10"/>
      <c r="US773" s="10"/>
      <c r="UT773" s="10"/>
      <c r="UU773" s="10"/>
      <c r="UV773" s="10"/>
      <c r="UW773" s="10"/>
      <c r="UX773" s="10"/>
      <c r="UY773" s="10"/>
      <c r="UZ773" s="10"/>
      <c r="VA773" s="10"/>
      <c r="VB773" s="10"/>
      <c r="VC773" s="10"/>
      <c r="VD773" s="10"/>
      <c r="VE773" s="10"/>
      <c r="VF773" s="10"/>
      <c r="VG773" s="10"/>
      <c r="VH773" s="10"/>
      <c r="VI773" s="10"/>
      <c r="VJ773" s="10"/>
      <c r="VK773" s="10"/>
      <c r="VL773" s="10"/>
      <c r="VM773" s="10"/>
      <c r="VN773" s="10"/>
      <c r="VO773" s="10"/>
      <c r="VP773" s="10"/>
      <c r="VQ773" s="10"/>
      <c r="VR773" s="10"/>
      <c r="VS773" s="10"/>
      <c r="VT773" s="10"/>
      <c r="VU773" s="10"/>
      <c r="VV773" s="10"/>
      <c r="VW773" s="10"/>
      <c r="VX773" s="10"/>
      <c r="VY773" s="10"/>
      <c r="VZ773" s="10"/>
      <c r="WA773" s="10"/>
      <c r="WB773" s="10"/>
      <c r="WC773" s="10"/>
      <c r="WD773" s="10"/>
      <c r="WE773" s="10"/>
      <c r="WF773" s="10"/>
      <c r="WG773" s="10"/>
      <c r="WH773" s="10"/>
      <c r="WI773" s="10"/>
      <c r="WJ773" s="10"/>
      <c r="WK773" s="10"/>
      <c r="WL773" s="10"/>
      <c r="WM773" s="10"/>
      <c r="WN773" s="10"/>
      <c r="WO773" s="10"/>
      <c r="WP773" s="10"/>
      <c r="WQ773" s="10"/>
      <c r="WR773" s="10"/>
      <c r="WS773" s="10"/>
      <c r="WT773" s="10"/>
      <c r="WU773" s="10"/>
      <c r="WV773" s="10"/>
      <c r="WW773" s="10"/>
      <c r="WX773" s="10"/>
      <c r="WY773" s="10"/>
      <c r="WZ773" s="10"/>
      <c r="XA773" s="10"/>
      <c r="XB773" s="10"/>
      <c r="XC773" s="10"/>
      <c r="XD773" s="10"/>
      <c r="XE773" s="10"/>
      <c r="XF773" s="10"/>
      <c r="XG773" s="10"/>
      <c r="XH773" s="10"/>
      <c r="XI773" s="10"/>
      <c r="XJ773" s="10"/>
      <c r="XK773" s="10"/>
      <c r="XL773" s="10"/>
      <c r="XM773" s="10"/>
      <c r="XN773" s="10"/>
      <c r="XO773" s="10"/>
      <c r="XP773" s="10"/>
      <c r="XQ773" s="10"/>
      <c r="XR773" s="10"/>
      <c r="XS773" s="10"/>
      <c r="XT773" s="10"/>
      <c r="XU773" s="10"/>
      <c r="XV773" s="10"/>
      <c r="XW773" s="10"/>
      <c r="XX773" s="10"/>
      <c r="XY773" s="10"/>
      <c r="XZ773" s="10"/>
      <c r="YA773" s="10"/>
      <c r="YB773" s="10"/>
      <c r="YC773" s="10"/>
      <c r="YD773" s="10"/>
      <c r="YE773" s="10"/>
      <c r="YF773" s="10"/>
      <c r="YG773" s="10"/>
      <c r="YH773" s="10"/>
      <c r="YI773" s="10"/>
      <c r="YJ773" s="10"/>
      <c r="YK773" s="10"/>
      <c r="YL773" s="10"/>
      <c r="YM773" s="10"/>
      <c r="YN773" s="10"/>
      <c r="YO773" s="10"/>
      <c r="YP773" s="10"/>
      <c r="YQ773" s="10"/>
      <c r="YR773" s="10"/>
      <c r="YS773" s="10"/>
      <c r="YT773" s="10"/>
      <c r="YU773" s="10"/>
      <c r="YV773" s="10"/>
      <c r="YW773" s="10"/>
      <c r="YX773" s="10"/>
      <c r="YY773" s="10"/>
      <c r="YZ773" s="10"/>
      <c r="ZA773" s="10"/>
      <c r="ZB773" s="10"/>
      <c r="ZC773" s="10"/>
      <c r="ZD773" s="10"/>
      <c r="ZE773" s="10"/>
      <c r="ZF773" s="10"/>
      <c r="ZG773" s="10"/>
      <c r="ZH773" s="10"/>
      <c r="ZI773" s="10"/>
      <c r="ZJ773" s="10"/>
      <c r="ZK773" s="10"/>
      <c r="ZL773" s="10"/>
      <c r="ZM773" s="10"/>
      <c r="ZN773" s="10"/>
      <c r="ZO773" s="10"/>
      <c r="ZP773" s="10"/>
      <c r="ZQ773" s="10"/>
      <c r="ZR773" s="10"/>
      <c r="ZS773" s="10"/>
      <c r="ZT773" s="10"/>
      <c r="ZU773" s="10"/>
      <c r="ZV773" s="10"/>
      <c r="ZW773" s="10"/>
      <c r="ZX773" s="10"/>
      <c r="ZY773" s="10"/>
      <c r="ZZ773" s="10"/>
      <c r="AAA773" s="10"/>
      <c r="AAB773" s="10"/>
      <c r="AAC773" s="10"/>
      <c r="AAD773" s="10"/>
      <c r="AAE773" s="10"/>
      <c r="AAF773" s="10"/>
      <c r="AAG773" s="10"/>
      <c r="AAH773" s="10"/>
      <c r="AAI773" s="10"/>
      <c r="AAJ773" s="10"/>
      <c r="AAK773" s="10"/>
      <c r="AAL773" s="10"/>
      <c r="AAM773" s="10"/>
      <c r="AAN773" s="10"/>
      <c r="AAO773" s="10"/>
      <c r="AAP773" s="10"/>
      <c r="AAQ773" s="10"/>
      <c r="AAR773" s="10"/>
      <c r="AAS773" s="10"/>
      <c r="AAT773" s="10"/>
      <c r="AAU773" s="10"/>
      <c r="AAV773" s="10"/>
      <c r="AAW773" s="10"/>
      <c r="AAX773" s="10"/>
      <c r="AAY773" s="10"/>
      <c r="AAZ773" s="10"/>
      <c r="ABA773" s="10"/>
      <c r="ABB773" s="10"/>
      <c r="ABC773" s="10"/>
      <c r="ABD773" s="10"/>
      <c r="ABE773" s="10"/>
      <c r="ABF773" s="10"/>
      <c r="ABG773" s="10"/>
      <c r="ABH773" s="10"/>
      <c r="ABI773" s="10"/>
      <c r="ABJ773" s="10"/>
      <c r="ABK773" s="10"/>
      <c r="ABL773" s="10"/>
      <c r="ABM773" s="10"/>
      <c r="ABN773" s="10"/>
      <c r="ABO773" s="10"/>
      <c r="ABP773" s="10"/>
      <c r="ABQ773" s="10"/>
      <c r="ABR773" s="10"/>
      <c r="ABS773" s="10"/>
      <c r="ABT773" s="10"/>
      <c r="ABU773" s="10"/>
      <c r="ABV773" s="10"/>
      <c r="ABW773" s="10"/>
      <c r="ABX773" s="10"/>
      <c r="ABY773" s="10"/>
      <c r="ABZ773" s="10"/>
      <c r="ACA773" s="10"/>
      <c r="ACB773" s="10"/>
      <c r="ACC773" s="10"/>
      <c r="ACD773" s="10"/>
      <c r="ACE773" s="10"/>
      <c r="ACF773" s="10"/>
      <c r="ACG773" s="10"/>
      <c r="ACH773" s="10"/>
      <c r="ACI773" s="10"/>
      <c r="ACJ773" s="10"/>
      <c r="ACK773" s="10"/>
      <c r="ACL773" s="10"/>
      <c r="ACM773" s="10"/>
      <c r="ACN773" s="10"/>
      <c r="ACO773" s="10"/>
      <c r="ACP773" s="10"/>
      <c r="ACQ773" s="10"/>
      <c r="ACR773" s="10"/>
      <c r="ACS773" s="10"/>
      <c r="ACT773" s="10"/>
      <c r="ACU773" s="10"/>
      <c r="ACV773" s="10"/>
      <c r="ACW773" s="10"/>
      <c r="ACX773" s="10"/>
      <c r="ACY773" s="10"/>
      <c r="ACZ773" s="10"/>
      <c r="ADA773" s="10"/>
      <c r="ADB773" s="10"/>
      <c r="ADC773" s="10"/>
      <c r="ADD773" s="10"/>
      <c r="ADE773" s="10"/>
      <c r="ADF773" s="10"/>
      <c r="ADG773" s="10"/>
      <c r="ADH773" s="10"/>
      <c r="ADI773" s="10"/>
      <c r="ADJ773" s="10"/>
      <c r="ADK773" s="10"/>
      <c r="ADL773" s="10"/>
      <c r="ADM773" s="10"/>
      <c r="ADN773" s="10"/>
      <c r="ADO773" s="10"/>
      <c r="ADP773" s="10"/>
      <c r="ADQ773" s="10"/>
      <c r="ADR773" s="10"/>
      <c r="ADS773" s="10"/>
      <c r="ADT773" s="10"/>
      <c r="ADU773" s="10"/>
      <c r="ADV773" s="10"/>
      <c r="ADW773" s="10"/>
      <c r="ADX773" s="10"/>
      <c r="ADY773" s="10"/>
      <c r="ADZ773" s="10"/>
      <c r="AEA773" s="10"/>
      <c r="AEB773" s="10"/>
      <c r="AEC773" s="10"/>
      <c r="AED773" s="10"/>
      <c r="AEE773" s="10"/>
      <c r="AEF773" s="10"/>
      <c r="AEG773" s="10"/>
      <c r="AEH773" s="10"/>
      <c r="AEI773" s="10"/>
      <c r="AEJ773" s="10"/>
      <c r="AEK773" s="10"/>
      <c r="AEL773" s="10"/>
      <c r="AEM773" s="10"/>
      <c r="AEN773" s="10"/>
      <c r="AEO773" s="10"/>
      <c r="AEP773" s="10"/>
      <c r="AEQ773" s="10"/>
      <c r="AER773" s="10"/>
      <c r="AES773" s="10"/>
      <c r="AET773" s="10"/>
      <c r="AEU773" s="10"/>
      <c r="AEV773" s="10"/>
      <c r="AEW773" s="10"/>
      <c r="AEX773" s="10"/>
      <c r="AEY773" s="10"/>
      <c r="AEZ773" s="10"/>
      <c r="AFA773" s="10"/>
      <c r="AFB773" s="10"/>
      <c r="AFC773" s="10"/>
      <c r="AFD773" s="10"/>
      <c r="AFE773" s="10"/>
      <c r="AFF773" s="10"/>
      <c r="AFG773" s="10"/>
      <c r="AFH773" s="10"/>
      <c r="AFI773" s="10"/>
      <c r="AFJ773" s="10"/>
      <c r="AFK773" s="10"/>
      <c r="AFL773" s="10"/>
      <c r="AFM773" s="10"/>
      <c r="AFN773" s="10"/>
      <c r="AFO773" s="10"/>
      <c r="AFP773" s="10"/>
      <c r="AFQ773" s="10"/>
      <c r="AFR773" s="10"/>
      <c r="AFS773" s="10"/>
      <c r="AFT773" s="10"/>
      <c r="AFU773" s="10"/>
      <c r="AFV773" s="10"/>
      <c r="AFW773" s="10"/>
      <c r="AFX773" s="10"/>
      <c r="AFY773" s="10"/>
      <c r="AFZ773" s="10"/>
      <c r="AGA773" s="10"/>
      <c r="AGB773" s="10"/>
      <c r="AGC773" s="10"/>
      <c r="AGD773" s="10"/>
      <c r="AGE773" s="10"/>
      <c r="AGF773" s="10"/>
      <c r="AGG773" s="10"/>
      <c r="AGH773" s="10"/>
      <c r="AGI773" s="10"/>
      <c r="AGJ773" s="10"/>
      <c r="AGK773" s="10"/>
      <c r="AGL773" s="10"/>
      <c r="AGM773" s="10"/>
      <c r="AGN773" s="10"/>
      <c r="AGO773" s="10"/>
      <c r="AGP773" s="10"/>
      <c r="AGQ773" s="10"/>
      <c r="AGR773" s="10"/>
      <c r="AGS773" s="10"/>
      <c r="AGT773" s="10"/>
      <c r="AGU773" s="10"/>
      <c r="AGV773" s="10"/>
      <c r="AGW773" s="10"/>
      <c r="AGX773" s="10"/>
      <c r="AGY773" s="10"/>
      <c r="AGZ773" s="10"/>
      <c r="AHA773" s="10"/>
      <c r="AHB773" s="10"/>
      <c r="AHC773" s="10"/>
      <c r="AHD773" s="10"/>
      <c r="AHE773" s="10"/>
      <c r="AHF773" s="10"/>
      <c r="AHG773" s="10"/>
      <c r="AHH773" s="10"/>
      <c r="AHI773" s="10"/>
      <c r="AHJ773" s="10"/>
      <c r="AHK773" s="10"/>
      <c r="AHL773" s="10"/>
      <c r="AHM773" s="10"/>
      <c r="AHN773" s="10"/>
      <c r="AHO773" s="10"/>
      <c r="AHP773" s="10"/>
      <c r="AHQ773" s="10"/>
      <c r="AHR773" s="10"/>
      <c r="AHS773" s="10"/>
      <c r="AHT773" s="10"/>
      <c r="AHU773" s="10"/>
      <c r="AHV773" s="10"/>
      <c r="AHW773" s="10"/>
      <c r="AHX773" s="10"/>
      <c r="AHY773" s="10"/>
      <c r="AHZ773" s="10"/>
      <c r="AIA773" s="10"/>
      <c r="AIB773" s="10"/>
      <c r="AIC773" s="10"/>
      <c r="AID773" s="10"/>
      <c r="AIE773" s="10"/>
      <c r="AIF773" s="10"/>
      <c r="AIG773" s="10"/>
      <c r="AIH773" s="10"/>
      <c r="AII773" s="10"/>
      <c r="AIJ773" s="10"/>
      <c r="AIK773" s="10"/>
      <c r="AIL773" s="10"/>
      <c r="AIM773" s="10"/>
      <c r="AIN773" s="10"/>
      <c r="AIO773" s="10"/>
      <c r="AIP773" s="10"/>
      <c r="AIQ773" s="10"/>
      <c r="AIR773" s="10"/>
      <c r="AIS773" s="10"/>
      <c r="AIT773" s="10"/>
      <c r="AIU773" s="10"/>
      <c r="AIV773" s="10"/>
      <c r="AIW773" s="10"/>
      <c r="AIX773" s="10"/>
      <c r="AIY773" s="10"/>
      <c r="AIZ773" s="10"/>
      <c r="AJA773" s="10"/>
      <c r="AJB773" s="10"/>
      <c r="AJC773" s="10"/>
      <c r="AJD773" s="10"/>
      <c r="AJE773" s="10"/>
      <c r="AJF773" s="10"/>
      <c r="AJG773" s="10"/>
      <c r="AJH773" s="10"/>
      <c r="AJI773" s="10"/>
      <c r="AJJ773" s="10"/>
      <c r="AJK773" s="10"/>
      <c r="AJL773" s="10"/>
      <c r="AJM773" s="10"/>
      <c r="AJN773" s="10"/>
      <c r="AJO773" s="10"/>
      <c r="AJP773" s="10"/>
      <c r="AJQ773" s="10"/>
      <c r="AJR773" s="10"/>
      <c r="AJS773" s="10"/>
      <c r="AJT773" s="10"/>
      <c r="AJU773" s="10"/>
      <c r="AJV773" s="10"/>
      <c r="AJW773" s="10"/>
      <c r="AJX773" s="10"/>
      <c r="AJY773" s="10"/>
      <c r="AJZ773" s="10"/>
      <c r="AKA773" s="10"/>
      <c r="AKB773" s="10"/>
      <c r="AKC773" s="10"/>
      <c r="AKD773" s="10"/>
      <c r="AKE773" s="10"/>
      <c r="AKF773" s="10"/>
      <c r="AKG773" s="10"/>
      <c r="AKH773" s="10"/>
      <c r="AKI773" s="10"/>
      <c r="AKJ773" s="10"/>
      <c r="AKK773" s="10"/>
      <c r="AKL773" s="10"/>
      <c r="AKM773" s="10"/>
      <c r="AKN773" s="10"/>
      <c r="AKO773" s="10"/>
      <c r="AKP773" s="10"/>
      <c r="AKQ773" s="10"/>
      <c r="AKR773" s="10"/>
      <c r="AKS773" s="10"/>
      <c r="AKT773" s="10"/>
      <c r="AKU773" s="10"/>
      <c r="AKV773" s="10"/>
      <c r="AKW773" s="10"/>
      <c r="AKX773" s="10"/>
      <c r="AKY773" s="10"/>
      <c r="AKZ773" s="10"/>
      <c r="ALA773" s="10"/>
      <c r="ALB773" s="10"/>
      <c r="ALC773" s="10"/>
      <c r="ALD773" s="10"/>
      <c r="ALE773" s="10"/>
      <c r="ALF773" s="10"/>
      <c r="ALG773" s="10"/>
      <c r="ALH773" s="10"/>
      <c r="ALI773" s="10"/>
      <c r="ALJ773" s="10"/>
      <c r="ALK773" s="10"/>
      <c r="ALL773" s="10"/>
      <c r="ALM773" s="10"/>
      <c r="ALN773" s="10"/>
      <c r="ALO773" s="10"/>
      <c r="ALP773" s="10"/>
      <c r="ALQ773" s="10"/>
      <c r="ALR773" s="10"/>
      <c r="ALS773" s="10"/>
      <c r="ALT773" s="10"/>
      <c r="ALU773" s="10"/>
      <c r="ALV773" s="10"/>
      <c r="ALW773" s="10"/>
      <c r="ALX773" s="10"/>
      <c r="ALY773" s="10"/>
      <c r="ALZ773" s="10"/>
      <c r="AMA773" s="10"/>
      <c r="AMB773" s="10"/>
      <c r="AMC773" s="10"/>
      <c r="AMD773" s="10"/>
      <c r="AME773" s="10"/>
      <c r="AMF773" s="10"/>
      <c r="AMG773" s="10"/>
      <c r="AMH773" s="10"/>
      <c r="AMI773" s="10"/>
      <c r="AMJ773" s="10"/>
      <c r="AMK773" s="10"/>
      <c r="AML773" s="10"/>
      <c r="AMM773" s="10"/>
      <c r="AMN773" s="10"/>
      <c r="AMO773" s="10"/>
      <c r="AMP773" s="10"/>
      <c r="AMQ773" s="10"/>
      <c r="AMR773" s="10"/>
      <c r="AMS773" s="10"/>
      <c r="AMT773" s="10"/>
      <c r="AMU773" s="10"/>
      <c r="AMV773" s="10"/>
      <c r="AMW773" s="10"/>
      <c r="AMX773" s="10"/>
      <c r="AMY773" s="10"/>
      <c r="AMZ773" s="10"/>
      <c r="ANA773" s="10"/>
      <c r="ANB773" s="10"/>
      <c r="ANC773" s="10"/>
      <c r="AND773" s="10"/>
      <c r="ANE773" s="10"/>
      <c r="ANF773" s="10"/>
      <c r="ANG773" s="10"/>
      <c r="ANH773" s="10"/>
      <c r="ANI773" s="10"/>
      <c r="ANJ773" s="10"/>
      <c r="ANK773" s="10"/>
      <c r="ANL773" s="10"/>
      <c r="ANM773" s="10"/>
      <c r="ANN773" s="10"/>
      <c r="ANO773" s="10"/>
      <c r="ANP773" s="10"/>
      <c r="ANQ773" s="10"/>
      <c r="ANR773" s="10"/>
      <c r="ANS773" s="10"/>
      <c r="ANT773" s="10"/>
      <c r="ANU773" s="10"/>
      <c r="ANV773" s="10"/>
      <c r="ANW773" s="10"/>
      <c r="ANX773" s="10"/>
      <c r="ANY773" s="10"/>
      <c r="ANZ773" s="10"/>
      <c r="AOA773" s="10"/>
      <c r="AOB773" s="10"/>
      <c r="AOC773" s="10"/>
      <c r="AOD773" s="10"/>
      <c r="AOE773" s="10"/>
      <c r="AOF773" s="10"/>
      <c r="AOG773" s="10"/>
      <c r="AOH773" s="10"/>
      <c r="AOI773" s="10"/>
      <c r="AOJ773" s="10"/>
      <c r="AOK773" s="10"/>
      <c r="AOL773" s="10"/>
      <c r="AOM773" s="10"/>
      <c r="AON773" s="10"/>
      <c r="AOO773" s="10"/>
      <c r="AOP773" s="10"/>
      <c r="AOQ773" s="10"/>
      <c r="AOR773" s="10"/>
      <c r="AOS773" s="10"/>
      <c r="AOT773" s="10"/>
      <c r="AOU773" s="10"/>
      <c r="AOV773" s="10"/>
      <c r="AOW773" s="10"/>
      <c r="AOX773" s="10"/>
      <c r="AOY773" s="10"/>
      <c r="AOZ773" s="10"/>
      <c r="APA773" s="10"/>
      <c r="APB773" s="10"/>
      <c r="APC773" s="10"/>
      <c r="APD773" s="10"/>
      <c r="APE773" s="10"/>
      <c r="APF773" s="10"/>
      <c r="APG773" s="10"/>
      <c r="APH773" s="10"/>
      <c r="API773" s="10"/>
      <c r="APJ773" s="10"/>
      <c r="APK773" s="10"/>
      <c r="APL773" s="10"/>
      <c r="APM773" s="10"/>
      <c r="APN773" s="10"/>
      <c r="APO773" s="10"/>
      <c r="APP773" s="10"/>
      <c r="APQ773" s="10"/>
      <c r="APR773" s="10"/>
      <c r="APS773" s="10"/>
      <c r="APT773" s="10"/>
      <c r="APU773" s="10"/>
      <c r="APV773" s="10"/>
      <c r="APW773" s="10"/>
      <c r="APX773" s="10"/>
      <c r="APY773" s="10"/>
      <c r="APZ773" s="10"/>
      <c r="AQA773" s="10"/>
      <c r="AQB773" s="10"/>
      <c r="AQC773" s="10"/>
      <c r="AQD773" s="10"/>
      <c r="AQE773" s="10"/>
      <c r="AQF773" s="10"/>
      <c r="AQG773" s="10"/>
      <c r="AQH773" s="10"/>
      <c r="AQI773" s="10"/>
      <c r="AQJ773" s="10"/>
      <c r="AQK773" s="10"/>
      <c r="AQL773" s="10"/>
      <c r="AQM773" s="10"/>
      <c r="AQN773" s="10"/>
      <c r="AQO773" s="10"/>
      <c r="AQP773" s="10"/>
      <c r="AQQ773" s="10"/>
      <c r="AQR773" s="10"/>
      <c r="AQS773" s="10"/>
      <c r="AQT773" s="10"/>
      <c r="AQU773" s="10"/>
      <c r="AQV773" s="10"/>
      <c r="AQW773" s="10"/>
      <c r="AQX773" s="10"/>
      <c r="AQY773" s="10"/>
      <c r="AQZ773" s="10"/>
      <c r="ARA773" s="10"/>
      <c r="ARB773" s="10"/>
      <c r="ARC773" s="10"/>
      <c r="ARD773" s="10"/>
      <c r="ARE773" s="10"/>
      <c r="ARF773" s="10"/>
      <c r="ARG773" s="10"/>
      <c r="ARH773" s="10"/>
      <c r="ARI773" s="10"/>
      <c r="ARJ773" s="10"/>
      <c r="ARK773" s="10"/>
      <c r="ARL773" s="10"/>
      <c r="ARM773" s="10"/>
      <c r="ARN773" s="10"/>
      <c r="ARO773" s="10"/>
      <c r="ARP773" s="10"/>
      <c r="ARQ773" s="10"/>
      <c r="ARR773" s="10"/>
      <c r="ARS773" s="10"/>
      <c r="ART773" s="10"/>
      <c r="ARU773" s="10"/>
      <c r="ARV773" s="10"/>
      <c r="ARW773" s="10"/>
      <c r="ARX773" s="10"/>
      <c r="ARY773" s="10"/>
      <c r="ARZ773" s="10"/>
      <c r="ASA773" s="10"/>
      <c r="ASB773" s="10"/>
      <c r="ASC773" s="10"/>
      <c r="ASD773" s="10"/>
      <c r="ASE773" s="10"/>
      <c r="ASF773" s="10"/>
      <c r="ASG773" s="10"/>
      <c r="ASH773" s="10"/>
      <c r="ASI773" s="10"/>
      <c r="ASJ773" s="10"/>
      <c r="ASK773" s="10"/>
      <c r="ASL773" s="10"/>
      <c r="ASM773" s="10"/>
      <c r="ASN773" s="10"/>
      <c r="ASO773" s="10"/>
      <c r="ASP773" s="10"/>
      <c r="ASQ773" s="10"/>
      <c r="ASR773" s="10"/>
      <c r="ASS773" s="10"/>
      <c r="AST773" s="10"/>
      <c r="ASU773" s="10"/>
      <c r="ASV773" s="10"/>
      <c r="ASW773" s="10"/>
      <c r="ASX773" s="10"/>
      <c r="ASY773" s="10"/>
      <c r="ASZ773" s="10"/>
      <c r="ATA773" s="10"/>
      <c r="ATB773" s="10"/>
      <c r="ATC773" s="10"/>
      <c r="ATD773" s="10"/>
      <c r="ATE773" s="10"/>
      <c r="ATF773" s="10"/>
      <c r="ATG773" s="10"/>
      <c r="ATH773" s="10"/>
      <c r="ATI773" s="10"/>
      <c r="ATJ773" s="10"/>
      <c r="ATK773" s="10"/>
      <c r="ATL773" s="10"/>
      <c r="ATM773" s="10"/>
      <c r="ATN773" s="10"/>
      <c r="ATO773" s="10"/>
      <c r="ATP773" s="10"/>
      <c r="ATQ773" s="10"/>
      <c r="ATR773" s="10"/>
      <c r="ATS773" s="10"/>
      <c r="ATT773" s="10"/>
      <c r="ATU773" s="10"/>
      <c r="ATV773" s="10"/>
      <c r="ATW773" s="10"/>
      <c r="ATX773" s="10"/>
      <c r="ATY773" s="10"/>
      <c r="ATZ773" s="10"/>
      <c r="AUA773" s="10"/>
      <c r="AUB773" s="10"/>
      <c r="AUC773" s="10"/>
      <c r="AUD773" s="10"/>
      <c r="AUE773" s="10"/>
      <c r="AUF773" s="10"/>
      <c r="AUG773" s="10"/>
      <c r="AUH773" s="10"/>
      <c r="AUI773" s="10"/>
      <c r="AUJ773" s="10"/>
      <c r="AUK773" s="10"/>
      <c r="AUL773" s="10"/>
      <c r="AUM773" s="10"/>
      <c r="AUN773" s="10"/>
      <c r="AUO773" s="10"/>
      <c r="AUP773" s="10"/>
      <c r="AUQ773" s="10"/>
      <c r="AUR773" s="10"/>
      <c r="AUS773" s="10"/>
      <c r="AUT773" s="10"/>
      <c r="AUU773" s="10"/>
      <c r="AUV773" s="10"/>
      <c r="AUW773" s="10"/>
      <c r="AUX773" s="10"/>
      <c r="AUY773" s="10"/>
      <c r="AUZ773" s="10"/>
      <c r="AVA773" s="10"/>
      <c r="AVB773" s="10"/>
      <c r="AVC773" s="10"/>
      <c r="AVD773" s="10"/>
      <c r="AVE773" s="10"/>
      <c r="AVF773" s="10"/>
      <c r="AVG773" s="10"/>
      <c r="AVH773" s="10"/>
      <c r="AVI773" s="10"/>
      <c r="AVJ773" s="10"/>
      <c r="AVK773" s="10"/>
      <c r="AVL773" s="10"/>
      <c r="AVM773" s="10"/>
      <c r="AVN773" s="10"/>
      <c r="AVO773" s="10"/>
      <c r="AVP773" s="10"/>
      <c r="AVQ773" s="10"/>
      <c r="AVR773" s="10"/>
      <c r="AVS773" s="10"/>
      <c r="AVT773" s="10"/>
      <c r="AVU773" s="10"/>
      <c r="AVV773" s="10"/>
      <c r="AVW773" s="10"/>
      <c r="AVX773" s="10"/>
      <c r="AVY773" s="10"/>
      <c r="AVZ773" s="10"/>
      <c r="AWA773" s="10"/>
      <c r="AWB773" s="10"/>
      <c r="AWC773" s="10"/>
      <c r="AWD773" s="10"/>
      <c r="AWE773" s="10"/>
      <c r="AWF773" s="10"/>
      <c r="AWG773" s="10"/>
      <c r="AWH773" s="10"/>
      <c r="AWI773" s="10"/>
      <c r="AWJ773" s="10"/>
      <c r="AWK773" s="10"/>
      <c r="AWL773" s="10"/>
      <c r="AWM773" s="10"/>
      <c r="AWN773" s="10"/>
      <c r="AWO773" s="10"/>
      <c r="AWP773" s="10"/>
      <c r="AWQ773" s="10"/>
      <c r="AWR773" s="10"/>
      <c r="AWS773" s="10"/>
      <c r="AWT773" s="10"/>
      <c r="AWU773" s="10"/>
      <c r="AWV773" s="10"/>
      <c r="AWW773" s="10"/>
      <c r="AWX773" s="10"/>
      <c r="AWY773" s="10"/>
      <c r="AWZ773" s="10"/>
      <c r="AXA773" s="10"/>
      <c r="AXB773" s="10"/>
      <c r="AXC773" s="10"/>
      <c r="AXD773" s="10"/>
      <c r="AXE773" s="10"/>
      <c r="AXF773" s="10"/>
      <c r="AXG773" s="10"/>
      <c r="AXH773" s="10"/>
      <c r="AXI773" s="10"/>
      <c r="AXJ773" s="10"/>
      <c r="AXK773" s="10"/>
      <c r="AXL773" s="10"/>
      <c r="AXM773" s="10"/>
      <c r="AXN773" s="10"/>
      <c r="AXO773" s="10"/>
      <c r="AXP773" s="10"/>
      <c r="AXQ773" s="10"/>
      <c r="AXR773" s="10"/>
      <c r="AXS773" s="10"/>
      <c r="AXT773" s="10"/>
      <c r="AXU773" s="10"/>
      <c r="AXV773" s="10"/>
      <c r="AXW773" s="10"/>
      <c r="AXX773" s="10"/>
      <c r="AXY773" s="10"/>
      <c r="AXZ773" s="10"/>
      <c r="AYA773" s="10"/>
      <c r="AYB773" s="10"/>
      <c r="AYC773" s="10"/>
      <c r="AYD773" s="10"/>
      <c r="AYE773" s="10"/>
      <c r="AYF773" s="10"/>
      <c r="AYG773" s="10"/>
      <c r="AYH773" s="10"/>
      <c r="AYI773" s="10"/>
      <c r="AYJ773" s="10"/>
      <c r="AYK773" s="10"/>
      <c r="AYL773" s="10"/>
      <c r="AYM773" s="10"/>
      <c r="AYN773" s="10"/>
      <c r="AYO773" s="10"/>
      <c r="AYP773" s="10"/>
      <c r="AYQ773" s="10"/>
      <c r="AYR773" s="10"/>
      <c r="AYS773" s="10"/>
      <c r="AYT773" s="10"/>
      <c r="AYU773" s="10"/>
      <c r="AYV773" s="10"/>
      <c r="AYW773" s="10"/>
      <c r="AYX773" s="10"/>
      <c r="AYY773" s="10"/>
      <c r="AYZ773" s="10"/>
      <c r="AZA773" s="10"/>
      <c r="AZB773" s="10"/>
      <c r="AZC773" s="10"/>
      <c r="AZD773" s="10"/>
      <c r="AZE773" s="10"/>
      <c r="AZF773" s="10"/>
      <c r="AZG773" s="10"/>
      <c r="AZH773" s="10"/>
      <c r="AZI773" s="10"/>
      <c r="AZJ773" s="10"/>
      <c r="AZK773" s="10"/>
      <c r="AZL773" s="10"/>
      <c r="AZM773" s="10"/>
      <c r="AZN773" s="10"/>
      <c r="AZO773" s="10"/>
      <c r="AZP773" s="10"/>
      <c r="AZQ773" s="10"/>
      <c r="AZR773" s="10"/>
      <c r="AZS773" s="10"/>
      <c r="AZT773" s="10"/>
      <c r="AZU773" s="10"/>
      <c r="AZV773" s="10"/>
      <c r="AZW773" s="10"/>
      <c r="AZX773" s="10"/>
      <c r="AZY773" s="10"/>
      <c r="AZZ773" s="10"/>
      <c r="BAA773" s="10"/>
      <c r="BAB773" s="10"/>
      <c r="BAC773" s="10"/>
      <c r="BAD773" s="10"/>
      <c r="BAE773" s="10"/>
      <c r="BAF773" s="10"/>
      <c r="BAG773" s="10"/>
      <c r="BAH773" s="10"/>
      <c r="BAI773" s="10"/>
      <c r="BAJ773" s="10"/>
      <c r="BAK773" s="10"/>
      <c r="BAL773" s="10"/>
      <c r="BAM773" s="10"/>
      <c r="BAN773" s="10"/>
      <c r="BAO773" s="10"/>
      <c r="BAP773" s="10"/>
      <c r="BAQ773" s="10"/>
      <c r="BAR773" s="10"/>
      <c r="BAS773" s="10"/>
      <c r="BAT773" s="10"/>
      <c r="BAU773" s="10"/>
      <c r="BAV773" s="10"/>
      <c r="BAW773" s="10"/>
      <c r="BAX773" s="10"/>
      <c r="BAY773" s="10"/>
      <c r="BAZ773" s="10"/>
      <c r="BBA773" s="10"/>
      <c r="BBB773" s="10"/>
      <c r="BBC773" s="10"/>
      <c r="BBD773" s="10"/>
      <c r="BBE773" s="10"/>
      <c r="BBF773" s="10"/>
      <c r="BBG773" s="10"/>
      <c r="BBH773" s="10"/>
      <c r="BBI773" s="10"/>
      <c r="BBJ773" s="10"/>
      <c r="BBK773" s="10"/>
      <c r="BBL773" s="10"/>
      <c r="BBM773" s="10"/>
      <c r="BBN773" s="10"/>
      <c r="BBO773" s="10"/>
      <c r="BBP773" s="10"/>
      <c r="BBQ773" s="10"/>
      <c r="BBR773" s="10"/>
      <c r="BBS773" s="10"/>
      <c r="BBT773" s="10"/>
      <c r="BBU773" s="10"/>
      <c r="BBV773" s="10"/>
      <c r="BBW773" s="10"/>
      <c r="BBX773" s="10"/>
      <c r="BBY773" s="10"/>
      <c r="BBZ773" s="10"/>
      <c r="BCA773" s="10"/>
      <c r="BCB773" s="10"/>
      <c r="BCC773" s="10"/>
      <c r="BCD773" s="10"/>
      <c r="BCE773" s="10"/>
      <c r="BCF773" s="10"/>
      <c r="BCG773" s="10"/>
      <c r="BCH773" s="10"/>
      <c r="BCI773" s="10"/>
      <c r="BCJ773" s="10"/>
      <c r="BCK773" s="10"/>
      <c r="BCL773" s="10"/>
      <c r="BCM773" s="10"/>
      <c r="BCN773" s="10"/>
      <c r="BCO773" s="10"/>
      <c r="BCP773" s="10"/>
      <c r="BCQ773" s="10"/>
      <c r="BCR773" s="10"/>
      <c r="BCS773" s="10"/>
      <c r="BCT773" s="10"/>
      <c r="BCU773" s="10"/>
      <c r="BCV773" s="10"/>
      <c r="BCW773" s="10"/>
      <c r="BCX773" s="10"/>
      <c r="BCY773" s="10"/>
      <c r="BCZ773" s="10"/>
      <c r="BDA773" s="10"/>
      <c r="BDB773" s="10"/>
      <c r="BDC773" s="10"/>
      <c r="BDD773" s="10"/>
      <c r="BDE773" s="10"/>
      <c r="BDF773" s="10"/>
      <c r="BDG773" s="10"/>
      <c r="BDH773" s="10"/>
      <c r="BDI773" s="10"/>
      <c r="BDJ773" s="10"/>
      <c r="BDK773" s="10"/>
      <c r="BDL773" s="10"/>
      <c r="BDM773" s="10"/>
      <c r="BDN773" s="10"/>
      <c r="BDO773" s="10"/>
      <c r="BDP773" s="10"/>
      <c r="BDQ773" s="10"/>
      <c r="BDR773" s="10"/>
      <c r="BDS773" s="10"/>
      <c r="BDT773" s="10"/>
      <c r="BDU773" s="10"/>
      <c r="BDV773" s="10"/>
      <c r="BDW773" s="10"/>
      <c r="BDX773" s="10"/>
      <c r="BDY773" s="10"/>
      <c r="BDZ773" s="10"/>
      <c r="BEA773" s="10"/>
      <c r="BEB773" s="10"/>
      <c r="BEC773" s="10"/>
      <c r="BED773" s="10"/>
      <c r="BEE773" s="10"/>
      <c r="BEF773" s="10"/>
      <c r="BEG773" s="10"/>
      <c r="BEH773" s="10"/>
      <c r="BEI773" s="10"/>
      <c r="BEJ773" s="10"/>
      <c r="BEK773" s="10"/>
      <c r="BEL773" s="10"/>
      <c r="BEM773" s="10"/>
      <c r="BEN773" s="10"/>
      <c r="BEO773" s="10"/>
      <c r="BEP773" s="10"/>
      <c r="BEQ773" s="10"/>
      <c r="BER773" s="10"/>
      <c r="BES773" s="10"/>
      <c r="BET773" s="10"/>
      <c r="BEU773" s="10"/>
      <c r="BEV773" s="10"/>
      <c r="BEW773" s="10"/>
      <c r="BEX773" s="10"/>
      <c r="BEY773" s="10"/>
      <c r="BEZ773" s="10"/>
      <c r="BFA773" s="10"/>
      <c r="BFB773" s="10"/>
      <c r="BFC773" s="10"/>
      <c r="BFD773" s="10"/>
      <c r="BFE773" s="10"/>
      <c r="BFF773" s="10"/>
      <c r="BFG773" s="10"/>
      <c r="BFH773" s="10"/>
      <c r="BFI773" s="10"/>
      <c r="BFJ773" s="10"/>
      <c r="BFK773" s="10"/>
      <c r="BFL773" s="10"/>
      <c r="BFM773" s="10"/>
      <c r="BFN773" s="10"/>
      <c r="BFO773" s="10"/>
      <c r="BFP773" s="10"/>
      <c r="BFQ773" s="10"/>
      <c r="BFR773" s="10"/>
      <c r="BFS773" s="10"/>
      <c r="BFT773" s="10"/>
      <c r="BFU773" s="10"/>
      <c r="BFV773" s="10"/>
      <c r="BFW773" s="10"/>
      <c r="BFX773" s="10"/>
      <c r="BFY773" s="10"/>
      <c r="BFZ773" s="10"/>
      <c r="BGA773" s="10"/>
      <c r="BGB773" s="10"/>
      <c r="BGC773" s="10"/>
      <c r="BGD773" s="10"/>
      <c r="BGE773" s="10"/>
      <c r="BGF773" s="10"/>
      <c r="BGG773" s="10"/>
      <c r="BGH773" s="10"/>
      <c r="BGI773" s="10"/>
      <c r="BGJ773" s="10"/>
      <c r="BGK773" s="10"/>
      <c r="BGL773" s="10"/>
      <c r="BGM773" s="10"/>
      <c r="BGN773" s="10"/>
      <c r="BGO773" s="10"/>
      <c r="BGP773" s="10"/>
      <c r="BGQ773" s="10"/>
      <c r="BGR773" s="10"/>
      <c r="BGS773" s="10"/>
      <c r="BGT773" s="10"/>
      <c r="BGU773" s="10"/>
      <c r="BGV773" s="10"/>
      <c r="BGW773" s="10"/>
      <c r="BGX773" s="10"/>
      <c r="BGY773" s="10"/>
      <c r="BGZ773" s="10"/>
      <c r="BHA773" s="10"/>
      <c r="BHB773" s="10"/>
      <c r="BHC773" s="10"/>
      <c r="BHD773" s="10"/>
      <c r="BHE773" s="10"/>
      <c r="BHF773" s="10"/>
      <c r="BHG773" s="10"/>
      <c r="BHH773" s="10"/>
      <c r="BHI773" s="10"/>
      <c r="BHJ773" s="10"/>
      <c r="BHK773" s="10"/>
      <c r="BHL773" s="10"/>
      <c r="BHM773" s="10"/>
      <c r="BHN773" s="10"/>
      <c r="BHO773" s="10"/>
      <c r="BHP773" s="10"/>
      <c r="BHQ773" s="10"/>
      <c r="BHR773" s="10"/>
      <c r="BHS773" s="10"/>
      <c r="BHT773" s="10"/>
      <c r="BHU773" s="10"/>
      <c r="BHV773" s="10"/>
      <c r="BHW773" s="10"/>
      <c r="BHX773" s="10"/>
      <c r="BHY773" s="10"/>
      <c r="BHZ773" s="10"/>
      <c r="BIA773" s="10"/>
      <c r="BIB773" s="10"/>
      <c r="BIC773" s="10"/>
      <c r="BID773" s="10"/>
      <c r="BIE773" s="10"/>
      <c r="BIF773" s="10"/>
      <c r="BIG773" s="10"/>
      <c r="BIH773" s="10"/>
      <c r="BII773" s="10"/>
      <c r="BIJ773" s="10"/>
      <c r="BIK773" s="10"/>
      <c r="BIL773" s="10"/>
      <c r="BIM773" s="10"/>
      <c r="BIN773" s="10"/>
      <c r="BIO773" s="10"/>
      <c r="BIP773" s="10"/>
      <c r="BIQ773" s="10"/>
      <c r="BIR773" s="10"/>
      <c r="BIS773" s="10"/>
      <c r="BIT773" s="10"/>
      <c r="BIU773" s="10"/>
      <c r="BIV773" s="10"/>
      <c r="BIW773" s="10"/>
      <c r="BIX773" s="10"/>
      <c r="BIY773" s="10"/>
      <c r="BIZ773" s="10"/>
      <c r="BJA773" s="10"/>
      <c r="BJB773" s="10"/>
      <c r="BJC773" s="10"/>
      <c r="BJD773" s="10"/>
      <c r="BJE773" s="10"/>
      <c r="BJF773" s="10"/>
      <c r="BJG773" s="10"/>
      <c r="BJH773" s="10"/>
      <c r="BJI773" s="10"/>
      <c r="BJJ773" s="10"/>
      <c r="BJK773" s="10"/>
      <c r="BJL773" s="10"/>
      <c r="BJM773" s="10"/>
      <c r="BJN773" s="10"/>
      <c r="BJO773" s="10"/>
      <c r="BJP773" s="10"/>
      <c r="BJQ773" s="10"/>
      <c r="BJR773" s="10"/>
      <c r="BJS773" s="10"/>
      <c r="BJT773" s="10"/>
      <c r="BJU773" s="10"/>
      <c r="BJV773" s="10"/>
      <c r="BJW773" s="10"/>
      <c r="BJX773" s="10"/>
      <c r="BJY773" s="10"/>
      <c r="BJZ773" s="10"/>
      <c r="BKA773" s="10"/>
      <c r="BKB773" s="10"/>
      <c r="BKC773" s="10"/>
      <c r="BKD773" s="10"/>
      <c r="BKE773" s="10"/>
      <c r="BKF773" s="10"/>
      <c r="BKG773" s="10"/>
      <c r="BKH773" s="10"/>
      <c r="BKI773" s="10"/>
      <c r="BKJ773" s="10"/>
      <c r="BKK773" s="10"/>
      <c r="BKL773" s="10"/>
      <c r="BKM773" s="10"/>
      <c r="BKN773" s="10"/>
      <c r="BKO773" s="10"/>
      <c r="BKP773" s="10"/>
      <c r="BKQ773" s="10"/>
      <c r="BKR773" s="10"/>
      <c r="BKS773" s="10"/>
      <c r="BKT773" s="10"/>
      <c r="BKU773" s="10"/>
      <c r="BKV773" s="10"/>
      <c r="BKW773" s="10"/>
      <c r="BKX773" s="10"/>
      <c r="BKY773" s="10"/>
      <c r="BKZ773" s="10"/>
      <c r="BLA773" s="10"/>
      <c r="BLB773" s="10"/>
      <c r="BLC773" s="10"/>
      <c r="BLD773" s="10"/>
      <c r="BLE773" s="10"/>
      <c r="BLF773" s="10"/>
      <c r="BLG773" s="10"/>
      <c r="BLH773" s="10"/>
      <c r="BLI773" s="10"/>
      <c r="BLJ773" s="10"/>
      <c r="BLK773" s="10"/>
      <c r="BLL773" s="10"/>
      <c r="BLM773" s="10"/>
      <c r="BLN773" s="10"/>
      <c r="BLO773" s="10"/>
      <c r="BLP773" s="10"/>
      <c r="BLQ773" s="10"/>
      <c r="BLR773" s="10"/>
      <c r="BLS773" s="10"/>
      <c r="BLT773" s="10"/>
      <c r="BLU773" s="10"/>
      <c r="BLV773" s="10"/>
      <c r="BLW773" s="10"/>
      <c r="BLX773" s="10"/>
      <c r="BLY773" s="10"/>
      <c r="BLZ773" s="10"/>
      <c r="BMA773" s="10"/>
      <c r="BMB773" s="10"/>
      <c r="BMC773" s="10"/>
      <c r="BMD773" s="10"/>
      <c r="BME773" s="10"/>
      <c r="BMF773" s="10"/>
      <c r="BMG773" s="10"/>
      <c r="BMH773" s="10"/>
      <c r="BMI773" s="10"/>
      <c r="BMJ773" s="10"/>
      <c r="BMK773" s="10"/>
      <c r="BML773" s="10"/>
      <c r="BMM773" s="10"/>
      <c r="BMN773" s="10"/>
      <c r="BMO773" s="10"/>
      <c r="BMP773" s="10"/>
      <c r="BMQ773" s="10"/>
      <c r="BMR773" s="10"/>
      <c r="BMS773" s="10"/>
      <c r="BMT773" s="10"/>
      <c r="BMU773" s="10"/>
      <c r="BMV773" s="10"/>
      <c r="BMW773" s="10"/>
      <c r="BMX773" s="10"/>
      <c r="BMY773" s="10"/>
      <c r="BMZ773" s="10"/>
      <c r="BNA773" s="10"/>
      <c r="BNB773" s="10"/>
      <c r="BNC773" s="10"/>
      <c r="BND773" s="10"/>
      <c r="BNE773" s="10"/>
      <c r="BNF773" s="10"/>
      <c r="BNG773" s="10"/>
      <c r="BNH773" s="10"/>
      <c r="BNI773" s="10"/>
      <c r="BNJ773" s="10"/>
      <c r="BNK773" s="10"/>
      <c r="BNL773" s="10"/>
      <c r="BNM773" s="10"/>
      <c r="BNN773" s="10"/>
      <c r="BNO773" s="10"/>
      <c r="BNP773" s="10"/>
      <c r="BNQ773" s="10"/>
      <c r="BNR773" s="10"/>
      <c r="BNS773" s="10"/>
      <c r="BNT773" s="10"/>
      <c r="BNU773" s="10"/>
      <c r="BNV773" s="10"/>
      <c r="BNW773" s="10"/>
      <c r="BNX773" s="10"/>
      <c r="BNY773" s="10"/>
      <c r="BNZ773" s="10"/>
      <c r="BOA773" s="10"/>
      <c r="BOB773" s="10"/>
      <c r="BOC773" s="10"/>
      <c r="BOD773" s="10"/>
      <c r="BOE773" s="10"/>
      <c r="BOF773" s="10"/>
      <c r="BOG773" s="10"/>
      <c r="BOH773" s="10"/>
      <c r="BOI773" s="10"/>
      <c r="BOJ773" s="10"/>
      <c r="BOK773" s="10"/>
      <c r="BOL773" s="10"/>
      <c r="BOM773" s="10"/>
      <c r="BON773" s="10"/>
      <c r="BOO773" s="10"/>
      <c r="BOP773" s="10"/>
      <c r="BOQ773" s="10"/>
      <c r="BOR773" s="10"/>
      <c r="BOS773" s="10"/>
      <c r="BOT773" s="10"/>
      <c r="BOU773" s="10"/>
      <c r="BOV773" s="10"/>
      <c r="BOW773" s="10"/>
      <c r="BOX773" s="10"/>
      <c r="BOY773" s="10"/>
      <c r="BOZ773" s="10"/>
      <c r="BPA773" s="10"/>
      <c r="BPB773" s="10"/>
      <c r="BPC773" s="10"/>
      <c r="BPD773" s="10"/>
      <c r="BPE773" s="10"/>
      <c r="BPF773" s="10"/>
      <c r="BPG773" s="10"/>
      <c r="BPH773" s="10"/>
      <c r="BPI773" s="10"/>
      <c r="BPJ773" s="10"/>
      <c r="BPK773" s="10"/>
      <c r="BPL773" s="10"/>
      <c r="BPM773" s="10"/>
      <c r="BPN773" s="10"/>
      <c r="BPO773" s="10"/>
      <c r="BPP773" s="10"/>
      <c r="BPQ773" s="10"/>
      <c r="BPR773" s="10"/>
      <c r="BPS773" s="10"/>
      <c r="BPT773" s="10"/>
      <c r="BPU773" s="10"/>
      <c r="BPV773" s="10"/>
      <c r="BPW773" s="10"/>
      <c r="BPX773" s="10"/>
      <c r="BPY773" s="10"/>
      <c r="BPZ773" s="10"/>
      <c r="BQA773" s="10"/>
      <c r="BQB773" s="10"/>
      <c r="BQC773" s="10"/>
      <c r="BQD773" s="10"/>
      <c r="BQE773" s="10"/>
      <c r="BQF773" s="10"/>
      <c r="BQG773" s="10"/>
      <c r="BQH773" s="10"/>
      <c r="BQI773" s="10"/>
      <c r="BQJ773" s="10"/>
      <c r="BQK773" s="10"/>
      <c r="BQL773" s="10"/>
      <c r="BQM773" s="10"/>
      <c r="BQN773" s="10"/>
      <c r="BQO773" s="10"/>
      <c r="BQP773" s="10"/>
      <c r="BQQ773" s="10"/>
      <c r="BQR773" s="10"/>
      <c r="BQS773" s="10"/>
      <c r="BQT773" s="10"/>
      <c r="BQU773" s="10"/>
      <c r="BQV773" s="10"/>
      <c r="BQW773" s="10"/>
      <c r="BQX773" s="10"/>
      <c r="BQY773" s="10"/>
      <c r="BQZ773" s="10"/>
      <c r="BRA773" s="10"/>
      <c r="BRB773" s="10"/>
      <c r="BRC773" s="10"/>
      <c r="BRD773" s="10"/>
      <c r="BRE773" s="10"/>
      <c r="BRF773" s="10"/>
      <c r="BRG773" s="10"/>
      <c r="BRH773" s="10"/>
      <c r="BRI773" s="10"/>
      <c r="BRJ773" s="10"/>
      <c r="BRK773" s="10"/>
      <c r="BRL773" s="10"/>
      <c r="BRM773" s="10"/>
      <c r="BRN773" s="10"/>
      <c r="BRO773" s="10"/>
      <c r="BRP773" s="10"/>
      <c r="BRQ773" s="10"/>
      <c r="BRR773" s="10"/>
      <c r="BRS773" s="10"/>
      <c r="BRT773" s="10"/>
      <c r="BRU773" s="10"/>
      <c r="BRV773" s="10"/>
      <c r="BRW773" s="10"/>
      <c r="BRX773" s="10"/>
      <c r="BRY773" s="10"/>
      <c r="BRZ773" s="10"/>
      <c r="BSA773" s="10"/>
      <c r="BSB773" s="10"/>
      <c r="BSC773" s="10"/>
      <c r="BSD773" s="10"/>
      <c r="BSE773" s="10"/>
      <c r="BSF773" s="10"/>
      <c r="BSG773" s="10"/>
      <c r="BSH773" s="10"/>
      <c r="BSI773" s="10"/>
      <c r="BSJ773" s="10"/>
      <c r="BSK773" s="10"/>
      <c r="BSL773" s="10"/>
      <c r="BSM773" s="10"/>
      <c r="BSN773" s="10"/>
      <c r="BSO773" s="10"/>
      <c r="BSP773" s="10"/>
      <c r="BSQ773" s="10"/>
      <c r="BSR773" s="10"/>
      <c r="BSS773" s="10"/>
      <c r="BST773" s="10"/>
      <c r="BSU773" s="10"/>
      <c r="BSV773" s="10"/>
      <c r="BSW773" s="10"/>
      <c r="BSX773" s="10"/>
      <c r="BSY773" s="10"/>
      <c r="BSZ773" s="10"/>
      <c r="BTA773" s="10"/>
      <c r="BTB773" s="10"/>
      <c r="BTC773" s="10"/>
      <c r="BTD773" s="10"/>
      <c r="BTE773" s="10"/>
      <c r="BTF773" s="10"/>
      <c r="BTG773" s="10"/>
      <c r="BTH773" s="10"/>
      <c r="BTI773" s="10"/>
      <c r="BTJ773" s="10"/>
      <c r="BTK773" s="10"/>
      <c r="BTL773" s="10"/>
      <c r="BTM773" s="10"/>
      <c r="BTN773" s="10"/>
      <c r="BTO773" s="10"/>
      <c r="BTP773" s="10"/>
      <c r="BTQ773" s="10"/>
      <c r="BTR773" s="10"/>
      <c r="BTS773" s="10"/>
      <c r="BTT773" s="10"/>
    </row>
    <row r="774" spans="1:1892" s="9" customFormat="1" ht="35.1" customHeight="1">
      <c r="A774" s="1241"/>
      <c r="B774" s="620" t="s">
        <v>105</v>
      </c>
      <c r="C774" s="621"/>
      <c r="D774" s="621"/>
      <c r="E774" s="621"/>
      <c r="F774" s="621"/>
      <c r="G774" s="621"/>
      <c r="H774" s="621"/>
      <c r="I774" s="621"/>
      <c r="J774" s="621"/>
      <c r="K774" s="622"/>
      <c r="L774" s="122"/>
      <c r="M774" s="226">
        <f>M773</f>
        <v>925</v>
      </c>
      <c r="N774" s="391">
        <f>N773</f>
        <v>3</v>
      </c>
      <c r="O774" s="391">
        <f>O773</f>
        <v>3</v>
      </c>
      <c r="P774" s="123"/>
      <c r="Q774" s="123"/>
      <c r="R774" s="123"/>
      <c r="S774" s="156"/>
      <c r="T774" s="156"/>
      <c r="U774" s="156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/>
      <c r="BT774" s="10"/>
      <c r="BU774" s="10"/>
      <c r="BV774" s="10"/>
      <c r="BW774" s="10"/>
      <c r="BX774" s="10"/>
      <c r="BY774" s="10"/>
      <c r="BZ774" s="10"/>
      <c r="CA774" s="10"/>
      <c r="CB774" s="10"/>
      <c r="CC774" s="10"/>
      <c r="CD774" s="10"/>
      <c r="CE774" s="10"/>
      <c r="CF774" s="10"/>
      <c r="CG774" s="10"/>
      <c r="CH774" s="10"/>
      <c r="CI774" s="10"/>
      <c r="CJ774" s="10"/>
      <c r="CK774" s="10"/>
      <c r="CL774" s="10"/>
      <c r="CM774" s="10"/>
      <c r="CN774" s="10"/>
      <c r="CO774" s="10"/>
      <c r="CP774" s="10"/>
      <c r="CQ774" s="10"/>
      <c r="CR774" s="10"/>
      <c r="CS774" s="10"/>
      <c r="CT774" s="10"/>
      <c r="CU774" s="10"/>
      <c r="CV774" s="10"/>
      <c r="CW774" s="10"/>
      <c r="CX774" s="10"/>
      <c r="CY774" s="10"/>
      <c r="CZ774" s="10"/>
      <c r="DA774" s="10"/>
      <c r="DB774" s="10"/>
      <c r="DC774" s="10"/>
      <c r="DD774" s="10"/>
      <c r="DE774" s="10"/>
      <c r="DF774" s="10"/>
      <c r="DG774" s="10"/>
      <c r="DH774" s="10"/>
      <c r="DI774" s="10"/>
      <c r="DJ774" s="10"/>
      <c r="DK774" s="10"/>
      <c r="DL774" s="10"/>
      <c r="DM774" s="10"/>
      <c r="DN774" s="10"/>
      <c r="DO774" s="10"/>
      <c r="DP774" s="10"/>
      <c r="DQ774" s="10"/>
      <c r="DR774" s="10"/>
      <c r="DS774" s="10"/>
      <c r="DT774" s="10"/>
      <c r="DU774" s="10"/>
      <c r="DV774" s="10"/>
      <c r="DW774" s="10"/>
      <c r="DX774" s="10"/>
      <c r="DY774" s="10"/>
      <c r="DZ774" s="10"/>
      <c r="EA774" s="10"/>
      <c r="EB774" s="10"/>
      <c r="EC774" s="10"/>
      <c r="ED774" s="10"/>
      <c r="EE774" s="10"/>
      <c r="EF774" s="10"/>
      <c r="EG774" s="10"/>
      <c r="EH774" s="10"/>
      <c r="EI774" s="10"/>
      <c r="EJ774" s="10"/>
      <c r="EK774" s="10"/>
      <c r="EL774" s="10"/>
      <c r="EM774" s="10"/>
      <c r="EN774" s="10"/>
      <c r="EO774" s="10"/>
      <c r="EP774" s="10"/>
      <c r="EQ774" s="10"/>
      <c r="ER774" s="10"/>
      <c r="ES774" s="10"/>
      <c r="ET774" s="10"/>
      <c r="EU774" s="10"/>
      <c r="EV774" s="10"/>
      <c r="EW774" s="10"/>
      <c r="EX774" s="10"/>
      <c r="EY774" s="10"/>
      <c r="EZ774" s="10"/>
      <c r="FA774" s="10"/>
      <c r="FB774" s="10"/>
      <c r="FC774" s="10"/>
      <c r="FD774" s="10"/>
      <c r="FE774" s="10"/>
      <c r="FF774" s="10"/>
      <c r="FG774" s="10"/>
      <c r="FH774" s="10"/>
      <c r="FI774" s="10"/>
      <c r="FJ774" s="10"/>
      <c r="FK774" s="10"/>
      <c r="FL774" s="10"/>
      <c r="FM774" s="10"/>
      <c r="FN774" s="10"/>
      <c r="FO774" s="10"/>
      <c r="FP774" s="10"/>
      <c r="FQ774" s="10"/>
      <c r="FR774" s="10"/>
      <c r="FS774" s="10"/>
      <c r="FT774" s="10"/>
      <c r="FU774" s="10"/>
      <c r="FV774" s="10"/>
      <c r="FW774" s="10"/>
      <c r="FX774" s="10"/>
      <c r="FY774" s="10"/>
      <c r="FZ774" s="10"/>
      <c r="GA774" s="10"/>
      <c r="GB774" s="10"/>
      <c r="GC774" s="10"/>
      <c r="GD774" s="10"/>
      <c r="GE774" s="10"/>
      <c r="GF774" s="10"/>
      <c r="GG774" s="10"/>
      <c r="GH774" s="10"/>
      <c r="GI774" s="10"/>
      <c r="GJ774" s="10"/>
      <c r="GK774" s="10"/>
      <c r="GL774" s="10"/>
      <c r="GM774" s="10"/>
      <c r="GN774" s="10"/>
      <c r="GO774" s="10"/>
      <c r="GP774" s="10"/>
      <c r="GQ774" s="10"/>
      <c r="GR774" s="10"/>
      <c r="GS774" s="10"/>
      <c r="GT774" s="10"/>
      <c r="GU774" s="10"/>
      <c r="GV774" s="10"/>
      <c r="GW774" s="10"/>
      <c r="GX774" s="10"/>
      <c r="GY774" s="10"/>
      <c r="GZ774" s="10"/>
      <c r="HA774" s="10"/>
      <c r="HB774" s="10"/>
      <c r="HC774" s="10"/>
      <c r="HD774" s="10"/>
      <c r="HE774" s="10"/>
      <c r="HF774" s="10"/>
      <c r="HG774" s="10"/>
      <c r="HH774" s="10"/>
      <c r="HI774" s="10"/>
      <c r="HJ774" s="10"/>
      <c r="HK774" s="10"/>
      <c r="HL774" s="10"/>
      <c r="HM774" s="10"/>
      <c r="HN774" s="10"/>
      <c r="HO774" s="10"/>
      <c r="HP774" s="10"/>
      <c r="HQ774" s="10"/>
      <c r="HR774" s="10"/>
      <c r="HS774" s="10"/>
      <c r="HT774" s="10"/>
      <c r="HU774" s="10"/>
      <c r="HV774" s="10"/>
      <c r="HW774" s="10"/>
      <c r="HX774" s="10"/>
      <c r="HY774" s="10"/>
      <c r="HZ774" s="10"/>
      <c r="IA774" s="10"/>
      <c r="IB774" s="10"/>
      <c r="IC774" s="10"/>
      <c r="ID774" s="10"/>
      <c r="IE774" s="10"/>
      <c r="IF774" s="10"/>
      <c r="IG774" s="10"/>
      <c r="IH774" s="10"/>
      <c r="II774" s="10"/>
      <c r="IJ774" s="10"/>
      <c r="IK774" s="10"/>
      <c r="IL774" s="10"/>
      <c r="IM774" s="10"/>
      <c r="IN774" s="10"/>
      <c r="IO774" s="10"/>
      <c r="IP774" s="10"/>
      <c r="IQ774" s="10"/>
      <c r="IR774" s="10"/>
      <c r="IS774" s="10"/>
      <c r="IT774" s="10"/>
      <c r="IU774" s="10"/>
      <c r="IV774" s="10"/>
      <c r="IW774" s="10"/>
      <c r="IX774" s="10"/>
      <c r="IY774" s="10"/>
      <c r="IZ774" s="10"/>
      <c r="JA774" s="10"/>
      <c r="JB774" s="10"/>
      <c r="JC774" s="10"/>
      <c r="JD774" s="10"/>
      <c r="JE774" s="10"/>
      <c r="JF774" s="10"/>
      <c r="JG774" s="10"/>
      <c r="JH774" s="10"/>
      <c r="JI774" s="10"/>
      <c r="JJ774" s="10"/>
      <c r="JK774" s="10"/>
      <c r="JL774" s="10"/>
      <c r="JM774" s="10"/>
      <c r="JN774" s="10"/>
      <c r="JO774" s="10"/>
      <c r="JP774" s="10"/>
      <c r="JQ774" s="10"/>
      <c r="JR774" s="10"/>
      <c r="JS774" s="10"/>
      <c r="JT774" s="10"/>
      <c r="JU774" s="10"/>
      <c r="JV774" s="10"/>
      <c r="JW774" s="10"/>
      <c r="JX774" s="10"/>
      <c r="JY774" s="10"/>
      <c r="JZ774" s="10"/>
      <c r="KA774" s="10"/>
      <c r="KB774" s="10"/>
      <c r="KC774" s="10"/>
      <c r="KD774" s="10"/>
      <c r="KE774" s="10"/>
      <c r="KF774" s="10"/>
      <c r="KG774" s="10"/>
      <c r="KH774" s="10"/>
      <c r="KI774" s="10"/>
      <c r="KJ774" s="10"/>
      <c r="KK774" s="10"/>
      <c r="KL774" s="10"/>
      <c r="KM774" s="10"/>
      <c r="KN774" s="10"/>
      <c r="KO774" s="10"/>
      <c r="KP774" s="10"/>
      <c r="KQ774" s="10"/>
      <c r="KR774" s="10"/>
      <c r="KS774" s="10"/>
      <c r="KT774" s="10"/>
      <c r="KU774" s="10"/>
      <c r="KV774" s="10"/>
      <c r="KW774" s="10"/>
      <c r="KX774" s="10"/>
      <c r="KY774" s="10"/>
      <c r="KZ774" s="10"/>
      <c r="LA774" s="10"/>
      <c r="LB774" s="10"/>
      <c r="LC774" s="10"/>
      <c r="LD774" s="10"/>
      <c r="LE774" s="10"/>
      <c r="LF774" s="10"/>
      <c r="LG774" s="10"/>
      <c r="LH774" s="10"/>
      <c r="LI774" s="10"/>
      <c r="LJ774" s="10"/>
      <c r="LK774" s="10"/>
      <c r="LL774" s="10"/>
      <c r="LM774" s="10"/>
      <c r="LN774" s="10"/>
      <c r="LO774" s="10"/>
      <c r="LP774" s="10"/>
      <c r="LQ774" s="10"/>
      <c r="LR774" s="10"/>
      <c r="LS774" s="10"/>
      <c r="LT774" s="10"/>
      <c r="LU774" s="10"/>
      <c r="LV774" s="10"/>
      <c r="LW774" s="10"/>
      <c r="LX774" s="10"/>
      <c r="LY774" s="10"/>
      <c r="LZ774" s="10"/>
      <c r="MA774" s="10"/>
      <c r="MB774" s="10"/>
      <c r="MC774" s="10"/>
      <c r="MD774" s="10"/>
      <c r="ME774" s="10"/>
      <c r="MF774" s="10"/>
      <c r="MG774" s="10"/>
      <c r="MH774" s="10"/>
      <c r="MI774" s="10"/>
      <c r="MJ774" s="10"/>
      <c r="MK774" s="10"/>
      <c r="ML774" s="10"/>
      <c r="MM774" s="10"/>
      <c r="MN774" s="10"/>
      <c r="MO774" s="10"/>
      <c r="MP774" s="10"/>
      <c r="MQ774" s="10"/>
      <c r="MR774" s="10"/>
      <c r="MS774" s="10"/>
      <c r="MT774" s="10"/>
      <c r="MU774" s="10"/>
      <c r="MV774" s="10"/>
      <c r="MW774" s="10"/>
      <c r="MX774" s="10"/>
      <c r="MY774" s="10"/>
      <c r="MZ774" s="10"/>
      <c r="NA774" s="10"/>
      <c r="NB774" s="10"/>
      <c r="NC774" s="10"/>
      <c r="ND774" s="10"/>
      <c r="NE774" s="10"/>
      <c r="NF774" s="10"/>
      <c r="NG774" s="10"/>
      <c r="NH774" s="10"/>
      <c r="NI774" s="10"/>
      <c r="NJ774" s="10"/>
      <c r="NK774" s="10"/>
      <c r="NL774" s="10"/>
      <c r="NM774" s="10"/>
      <c r="NN774" s="10"/>
      <c r="NO774" s="10"/>
      <c r="NP774" s="10"/>
      <c r="NQ774" s="10"/>
      <c r="NR774" s="10"/>
      <c r="NS774" s="10"/>
      <c r="NT774" s="10"/>
      <c r="NU774" s="10"/>
      <c r="NV774" s="10"/>
      <c r="NW774" s="10"/>
      <c r="NX774" s="10"/>
      <c r="NY774" s="10"/>
      <c r="NZ774" s="10"/>
      <c r="OA774" s="10"/>
      <c r="OB774" s="10"/>
      <c r="OC774" s="10"/>
      <c r="OD774" s="10"/>
      <c r="OE774" s="10"/>
      <c r="OF774" s="10"/>
      <c r="OG774" s="10"/>
      <c r="OH774" s="10"/>
      <c r="OI774" s="10"/>
      <c r="OJ774" s="10"/>
      <c r="OK774" s="10"/>
      <c r="OL774" s="10"/>
      <c r="OM774" s="10"/>
      <c r="ON774" s="10"/>
      <c r="OO774" s="10"/>
      <c r="OP774" s="10"/>
      <c r="OQ774" s="10"/>
      <c r="OR774" s="10"/>
      <c r="OS774" s="10"/>
      <c r="OT774" s="10"/>
      <c r="OU774" s="10"/>
      <c r="OV774" s="10"/>
      <c r="OW774" s="10"/>
      <c r="OX774" s="10"/>
      <c r="OY774" s="10"/>
      <c r="OZ774" s="10"/>
      <c r="PA774" s="10"/>
      <c r="PB774" s="10"/>
      <c r="PC774" s="10"/>
      <c r="PD774" s="10"/>
      <c r="PE774" s="10"/>
      <c r="PF774" s="10"/>
      <c r="PG774" s="10"/>
      <c r="PH774" s="10"/>
      <c r="PI774" s="10"/>
      <c r="PJ774" s="10"/>
      <c r="PK774" s="10"/>
      <c r="PL774" s="10"/>
      <c r="PM774" s="10"/>
      <c r="PN774" s="10"/>
      <c r="PO774" s="10"/>
      <c r="PP774" s="10"/>
      <c r="PQ774" s="10"/>
      <c r="PR774" s="10"/>
      <c r="PS774" s="10"/>
      <c r="PT774" s="10"/>
      <c r="PU774" s="10"/>
      <c r="PV774" s="10"/>
      <c r="PW774" s="10"/>
      <c r="PX774" s="10"/>
      <c r="PY774" s="10"/>
      <c r="PZ774" s="10"/>
      <c r="QA774" s="10"/>
      <c r="QB774" s="10"/>
      <c r="QC774" s="10"/>
      <c r="QD774" s="10"/>
      <c r="QE774" s="10"/>
      <c r="QF774" s="10"/>
      <c r="QG774" s="10"/>
      <c r="QH774" s="10"/>
      <c r="QI774" s="10"/>
      <c r="QJ774" s="10"/>
      <c r="QK774" s="10"/>
      <c r="QL774" s="10"/>
      <c r="QM774" s="10"/>
      <c r="QN774" s="10"/>
      <c r="QO774" s="10"/>
      <c r="QP774" s="10"/>
      <c r="QQ774" s="10"/>
      <c r="QR774" s="10"/>
      <c r="QS774" s="10"/>
      <c r="QT774" s="10"/>
      <c r="QU774" s="10"/>
      <c r="QV774" s="10"/>
      <c r="QW774" s="10"/>
      <c r="QX774" s="10"/>
      <c r="QY774" s="10"/>
      <c r="QZ774" s="10"/>
      <c r="RA774" s="10"/>
      <c r="RB774" s="10"/>
      <c r="RC774" s="10"/>
      <c r="RD774" s="10"/>
      <c r="RE774" s="10"/>
      <c r="RF774" s="10"/>
      <c r="RG774" s="10"/>
      <c r="RH774" s="10"/>
      <c r="RI774" s="10"/>
      <c r="RJ774" s="10"/>
      <c r="RK774" s="10"/>
      <c r="RL774" s="10"/>
      <c r="RM774" s="10"/>
      <c r="RN774" s="10"/>
      <c r="RO774" s="10"/>
      <c r="RP774" s="10"/>
      <c r="RQ774" s="10"/>
      <c r="RR774" s="10"/>
      <c r="RS774" s="10"/>
      <c r="RT774" s="10"/>
      <c r="RU774" s="10"/>
      <c r="RV774" s="10"/>
      <c r="RW774" s="10"/>
      <c r="RX774" s="10"/>
      <c r="RY774" s="10"/>
      <c r="RZ774" s="10"/>
      <c r="SA774" s="10"/>
      <c r="SB774" s="10"/>
      <c r="SC774" s="10"/>
      <c r="SD774" s="10"/>
      <c r="SE774" s="10"/>
      <c r="SF774" s="10"/>
      <c r="SG774" s="10"/>
      <c r="SH774" s="10"/>
      <c r="SI774" s="10"/>
      <c r="SJ774" s="10"/>
      <c r="SK774" s="10"/>
      <c r="SL774" s="10"/>
      <c r="SM774" s="10"/>
      <c r="SN774" s="10"/>
      <c r="SO774" s="10"/>
      <c r="SP774" s="10"/>
      <c r="SQ774" s="10"/>
      <c r="SR774" s="10"/>
      <c r="SS774" s="10"/>
      <c r="ST774" s="10"/>
      <c r="SU774" s="10"/>
      <c r="SV774" s="10"/>
      <c r="SW774" s="10"/>
      <c r="SX774" s="10"/>
      <c r="SY774" s="10"/>
      <c r="SZ774" s="10"/>
      <c r="TA774" s="10"/>
      <c r="TB774" s="10"/>
      <c r="TC774" s="10"/>
      <c r="TD774" s="10"/>
      <c r="TE774" s="10"/>
      <c r="TF774" s="10"/>
      <c r="TG774" s="10"/>
      <c r="TH774" s="10"/>
      <c r="TI774" s="10"/>
      <c r="TJ774" s="10"/>
      <c r="TK774" s="10"/>
      <c r="TL774" s="10"/>
      <c r="TM774" s="10"/>
      <c r="TN774" s="10"/>
      <c r="TO774" s="10"/>
      <c r="TP774" s="10"/>
      <c r="TQ774" s="10"/>
      <c r="TR774" s="10"/>
      <c r="TS774" s="10"/>
      <c r="TT774" s="10"/>
      <c r="TU774" s="10"/>
      <c r="TV774" s="10"/>
      <c r="TW774" s="10"/>
      <c r="TX774" s="10"/>
      <c r="TY774" s="10"/>
      <c r="TZ774" s="10"/>
      <c r="UA774" s="10"/>
      <c r="UB774" s="10"/>
      <c r="UC774" s="10"/>
      <c r="UD774" s="10"/>
      <c r="UE774" s="10"/>
      <c r="UF774" s="10"/>
      <c r="UG774" s="10"/>
      <c r="UH774" s="10"/>
      <c r="UI774" s="10"/>
      <c r="UJ774" s="10"/>
      <c r="UK774" s="10"/>
      <c r="UL774" s="10"/>
      <c r="UM774" s="10"/>
      <c r="UN774" s="10"/>
      <c r="UO774" s="10"/>
      <c r="UP774" s="10"/>
      <c r="UQ774" s="10"/>
      <c r="UR774" s="10"/>
      <c r="US774" s="10"/>
      <c r="UT774" s="10"/>
      <c r="UU774" s="10"/>
      <c r="UV774" s="10"/>
      <c r="UW774" s="10"/>
      <c r="UX774" s="10"/>
      <c r="UY774" s="10"/>
      <c r="UZ774" s="10"/>
      <c r="VA774" s="10"/>
      <c r="VB774" s="10"/>
      <c r="VC774" s="10"/>
      <c r="VD774" s="10"/>
      <c r="VE774" s="10"/>
      <c r="VF774" s="10"/>
      <c r="VG774" s="10"/>
      <c r="VH774" s="10"/>
      <c r="VI774" s="10"/>
      <c r="VJ774" s="10"/>
      <c r="VK774" s="10"/>
      <c r="VL774" s="10"/>
      <c r="VM774" s="10"/>
      <c r="VN774" s="10"/>
      <c r="VO774" s="10"/>
      <c r="VP774" s="10"/>
      <c r="VQ774" s="10"/>
      <c r="VR774" s="10"/>
      <c r="VS774" s="10"/>
      <c r="VT774" s="10"/>
      <c r="VU774" s="10"/>
      <c r="VV774" s="10"/>
      <c r="VW774" s="10"/>
      <c r="VX774" s="10"/>
      <c r="VY774" s="10"/>
      <c r="VZ774" s="10"/>
      <c r="WA774" s="10"/>
      <c r="WB774" s="10"/>
      <c r="WC774" s="10"/>
      <c r="WD774" s="10"/>
      <c r="WE774" s="10"/>
      <c r="WF774" s="10"/>
      <c r="WG774" s="10"/>
      <c r="WH774" s="10"/>
      <c r="WI774" s="10"/>
      <c r="WJ774" s="10"/>
      <c r="WK774" s="10"/>
      <c r="WL774" s="10"/>
      <c r="WM774" s="10"/>
      <c r="WN774" s="10"/>
      <c r="WO774" s="10"/>
      <c r="WP774" s="10"/>
      <c r="WQ774" s="10"/>
      <c r="WR774" s="10"/>
      <c r="WS774" s="10"/>
      <c r="WT774" s="10"/>
      <c r="WU774" s="10"/>
      <c r="WV774" s="10"/>
      <c r="WW774" s="10"/>
      <c r="WX774" s="10"/>
      <c r="WY774" s="10"/>
      <c r="WZ774" s="10"/>
      <c r="XA774" s="10"/>
      <c r="XB774" s="10"/>
      <c r="XC774" s="10"/>
      <c r="XD774" s="10"/>
      <c r="XE774" s="10"/>
      <c r="XF774" s="10"/>
      <c r="XG774" s="10"/>
      <c r="XH774" s="10"/>
      <c r="XI774" s="10"/>
      <c r="XJ774" s="10"/>
      <c r="XK774" s="10"/>
      <c r="XL774" s="10"/>
      <c r="XM774" s="10"/>
      <c r="XN774" s="10"/>
      <c r="XO774" s="10"/>
      <c r="XP774" s="10"/>
      <c r="XQ774" s="10"/>
      <c r="XR774" s="10"/>
      <c r="XS774" s="10"/>
      <c r="XT774" s="10"/>
      <c r="XU774" s="10"/>
      <c r="XV774" s="10"/>
      <c r="XW774" s="10"/>
      <c r="XX774" s="10"/>
      <c r="XY774" s="10"/>
      <c r="XZ774" s="10"/>
      <c r="YA774" s="10"/>
      <c r="YB774" s="10"/>
      <c r="YC774" s="10"/>
      <c r="YD774" s="10"/>
      <c r="YE774" s="10"/>
      <c r="YF774" s="10"/>
      <c r="YG774" s="10"/>
      <c r="YH774" s="10"/>
      <c r="YI774" s="10"/>
      <c r="YJ774" s="10"/>
      <c r="YK774" s="10"/>
      <c r="YL774" s="10"/>
      <c r="YM774" s="10"/>
      <c r="YN774" s="10"/>
      <c r="YO774" s="10"/>
      <c r="YP774" s="10"/>
      <c r="YQ774" s="10"/>
      <c r="YR774" s="10"/>
      <c r="YS774" s="10"/>
      <c r="YT774" s="10"/>
      <c r="YU774" s="10"/>
      <c r="YV774" s="10"/>
      <c r="YW774" s="10"/>
      <c r="YX774" s="10"/>
      <c r="YY774" s="10"/>
      <c r="YZ774" s="10"/>
      <c r="ZA774" s="10"/>
      <c r="ZB774" s="10"/>
      <c r="ZC774" s="10"/>
      <c r="ZD774" s="10"/>
      <c r="ZE774" s="10"/>
      <c r="ZF774" s="10"/>
      <c r="ZG774" s="10"/>
      <c r="ZH774" s="10"/>
      <c r="ZI774" s="10"/>
      <c r="ZJ774" s="10"/>
      <c r="ZK774" s="10"/>
      <c r="ZL774" s="10"/>
      <c r="ZM774" s="10"/>
      <c r="ZN774" s="10"/>
      <c r="ZO774" s="10"/>
      <c r="ZP774" s="10"/>
      <c r="ZQ774" s="10"/>
      <c r="ZR774" s="10"/>
      <c r="ZS774" s="10"/>
      <c r="ZT774" s="10"/>
      <c r="ZU774" s="10"/>
      <c r="ZV774" s="10"/>
      <c r="ZW774" s="10"/>
      <c r="ZX774" s="10"/>
      <c r="ZY774" s="10"/>
      <c r="ZZ774" s="10"/>
      <c r="AAA774" s="10"/>
      <c r="AAB774" s="10"/>
      <c r="AAC774" s="10"/>
      <c r="AAD774" s="10"/>
      <c r="AAE774" s="10"/>
      <c r="AAF774" s="10"/>
      <c r="AAG774" s="10"/>
      <c r="AAH774" s="10"/>
      <c r="AAI774" s="10"/>
      <c r="AAJ774" s="10"/>
      <c r="AAK774" s="10"/>
      <c r="AAL774" s="10"/>
      <c r="AAM774" s="10"/>
      <c r="AAN774" s="10"/>
      <c r="AAO774" s="10"/>
      <c r="AAP774" s="10"/>
      <c r="AAQ774" s="10"/>
      <c r="AAR774" s="10"/>
      <c r="AAS774" s="10"/>
      <c r="AAT774" s="10"/>
      <c r="AAU774" s="10"/>
      <c r="AAV774" s="10"/>
      <c r="AAW774" s="10"/>
      <c r="AAX774" s="10"/>
      <c r="AAY774" s="10"/>
      <c r="AAZ774" s="10"/>
      <c r="ABA774" s="10"/>
      <c r="ABB774" s="10"/>
      <c r="ABC774" s="10"/>
      <c r="ABD774" s="10"/>
      <c r="ABE774" s="10"/>
      <c r="ABF774" s="10"/>
      <c r="ABG774" s="10"/>
      <c r="ABH774" s="10"/>
      <c r="ABI774" s="10"/>
      <c r="ABJ774" s="10"/>
      <c r="ABK774" s="10"/>
      <c r="ABL774" s="10"/>
      <c r="ABM774" s="10"/>
      <c r="ABN774" s="10"/>
      <c r="ABO774" s="10"/>
      <c r="ABP774" s="10"/>
      <c r="ABQ774" s="10"/>
      <c r="ABR774" s="10"/>
      <c r="ABS774" s="10"/>
      <c r="ABT774" s="10"/>
      <c r="ABU774" s="10"/>
      <c r="ABV774" s="10"/>
      <c r="ABW774" s="10"/>
      <c r="ABX774" s="10"/>
      <c r="ABY774" s="10"/>
      <c r="ABZ774" s="10"/>
      <c r="ACA774" s="10"/>
      <c r="ACB774" s="10"/>
      <c r="ACC774" s="10"/>
      <c r="ACD774" s="10"/>
      <c r="ACE774" s="10"/>
      <c r="ACF774" s="10"/>
      <c r="ACG774" s="10"/>
      <c r="ACH774" s="10"/>
      <c r="ACI774" s="10"/>
      <c r="ACJ774" s="10"/>
      <c r="ACK774" s="10"/>
      <c r="ACL774" s="10"/>
      <c r="ACM774" s="10"/>
      <c r="ACN774" s="10"/>
      <c r="ACO774" s="10"/>
      <c r="ACP774" s="10"/>
      <c r="ACQ774" s="10"/>
      <c r="ACR774" s="10"/>
      <c r="ACS774" s="10"/>
      <c r="ACT774" s="10"/>
      <c r="ACU774" s="10"/>
      <c r="ACV774" s="10"/>
      <c r="ACW774" s="10"/>
      <c r="ACX774" s="10"/>
      <c r="ACY774" s="10"/>
      <c r="ACZ774" s="10"/>
      <c r="ADA774" s="10"/>
      <c r="ADB774" s="10"/>
      <c r="ADC774" s="10"/>
      <c r="ADD774" s="10"/>
      <c r="ADE774" s="10"/>
      <c r="ADF774" s="10"/>
      <c r="ADG774" s="10"/>
      <c r="ADH774" s="10"/>
      <c r="ADI774" s="10"/>
      <c r="ADJ774" s="10"/>
      <c r="ADK774" s="10"/>
      <c r="ADL774" s="10"/>
      <c r="ADM774" s="10"/>
      <c r="ADN774" s="10"/>
      <c r="ADO774" s="10"/>
      <c r="ADP774" s="10"/>
      <c r="ADQ774" s="10"/>
      <c r="ADR774" s="10"/>
      <c r="ADS774" s="10"/>
      <c r="ADT774" s="10"/>
      <c r="ADU774" s="10"/>
      <c r="ADV774" s="10"/>
      <c r="ADW774" s="10"/>
      <c r="ADX774" s="10"/>
      <c r="ADY774" s="10"/>
      <c r="ADZ774" s="10"/>
      <c r="AEA774" s="10"/>
      <c r="AEB774" s="10"/>
      <c r="AEC774" s="10"/>
      <c r="AED774" s="10"/>
      <c r="AEE774" s="10"/>
      <c r="AEF774" s="10"/>
      <c r="AEG774" s="10"/>
      <c r="AEH774" s="10"/>
      <c r="AEI774" s="10"/>
      <c r="AEJ774" s="10"/>
      <c r="AEK774" s="10"/>
      <c r="AEL774" s="10"/>
      <c r="AEM774" s="10"/>
      <c r="AEN774" s="10"/>
      <c r="AEO774" s="10"/>
      <c r="AEP774" s="10"/>
      <c r="AEQ774" s="10"/>
      <c r="AER774" s="10"/>
      <c r="AES774" s="10"/>
      <c r="AET774" s="10"/>
      <c r="AEU774" s="10"/>
      <c r="AEV774" s="10"/>
      <c r="AEW774" s="10"/>
      <c r="AEX774" s="10"/>
      <c r="AEY774" s="10"/>
      <c r="AEZ774" s="10"/>
      <c r="AFA774" s="10"/>
      <c r="AFB774" s="10"/>
      <c r="AFC774" s="10"/>
      <c r="AFD774" s="10"/>
      <c r="AFE774" s="10"/>
      <c r="AFF774" s="10"/>
      <c r="AFG774" s="10"/>
      <c r="AFH774" s="10"/>
      <c r="AFI774" s="10"/>
      <c r="AFJ774" s="10"/>
      <c r="AFK774" s="10"/>
      <c r="AFL774" s="10"/>
      <c r="AFM774" s="10"/>
      <c r="AFN774" s="10"/>
      <c r="AFO774" s="10"/>
      <c r="AFP774" s="10"/>
      <c r="AFQ774" s="10"/>
      <c r="AFR774" s="10"/>
      <c r="AFS774" s="10"/>
      <c r="AFT774" s="10"/>
      <c r="AFU774" s="10"/>
      <c r="AFV774" s="10"/>
      <c r="AFW774" s="10"/>
      <c r="AFX774" s="10"/>
      <c r="AFY774" s="10"/>
      <c r="AFZ774" s="10"/>
      <c r="AGA774" s="10"/>
      <c r="AGB774" s="10"/>
      <c r="AGC774" s="10"/>
      <c r="AGD774" s="10"/>
      <c r="AGE774" s="10"/>
      <c r="AGF774" s="10"/>
      <c r="AGG774" s="10"/>
      <c r="AGH774" s="10"/>
      <c r="AGI774" s="10"/>
      <c r="AGJ774" s="10"/>
      <c r="AGK774" s="10"/>
      <c r="AGL774" s="10"/>
      <c r="AGM774" s="10"/>
      <c r="AGN774" s="10"/>
      <c r="AGO774" s="10"/>
      <c r="AGP774" s="10"/>
      <c r="AGQ774" s="10"/>
      <c r="AGR774" s="10"/>
      <c r="AGS774" s="10"/>
      <c r="AGT774" s="10"/>
      <c r="AGU774" s="10"/>
      <c r="AGV774" s="10"/>
      <c r="AGW774" s="10"/>
      <c r="AGX774" s="10"/>
      <c r="AGY774" s="10"/>
      <c r="AGZ774" s="10"/>
      <c r="AHA774" s="10"/>
      <c r="AHB774" s="10"/>
      <c r="AHC774" s="10"/>
      <c r="AHD774" s="10"/>
      <c r="AHE774" s="10"/>
      <c r="AHF774" s="10"/>
      <c r="AHG774" s="10"/>
      <c r="AHH774" s="10"/>
      <c r="AHI774" s="10"/>
      <c r="AHJ774" s="10"/>
      <c r="AHK774" s="10"/>
      <c r="AHL774" s="10"/>
      <c r="AHM774" s="10"/>
      <c r="AHN774" s="10"/>
      <c r="AHO774" s="10"/>
      <c r="AHP774" s="10"/>
      <c r="AHQ774" s="10"/>
      <c r="AHR774" s="10"/>
      <c r="AHS774" s="10"/>
      <c r="AHT774" s="10"/>
      <c r="AHU774" s="10"/>
      <c r="AHV774" s="10"/>
      <c r="AHW774" s="10"/>
      <c r="AHX774" s="10"/>
      <c r="AHY774" s="10"/>
      <c r="AHZ774" s="10"/>
      <c r="AIA774" s="10"/>
      <c r="AIB774" s="10"/>
      <c r="AIC774" s="10"/>
      <c r="AID774" s="10"/>
      <c r="AIE774" s="10"/>
      <c r="AIF774" s="10"/>
      <c r="AIG774" s="10"/>
      <c r="AIH774" s="10"/>
      <c r="AII774" s="10"/>
      <c r="AIJ774" s="10"/>
      <c r="AIK774" s="10"/>
      <c r="AIL774" s="10"/>
      <c r="AIM774" s="10"/>
      <c r="AIN774" s="10"/>
      <c r="AIO774" s="10"/>
      <c r="AIP774" s="10"/>
      <c r="AIQ774" s="10"/>
      <c r="AIR774" s="10"/>
      <c r="AIS774" s="10"/>
      <c r="AIT774" s="10"/>
      <c r="AIU774" s="10"/>
      <c r="AIV774" s="10"/>
      <c r="AIW774" s="10"/>
      <c r="AIX774" s="10"/>
      <c r="AIY774" s="10"/>
      <c r="AIZ774" s="10"/>
      <c r="AJA774" s="10"/>
      <c r="AJB774" s="10"/>
      <c r="AJC774" s="10"/>
      <c r="AJD774" s="10"/>
      <c r="AJE774" s="10"/>
      <c r="AJF774" s="10"/>
      <c r="AJG774" s="10"/>
      <c r="AJH774" s="10"/>
      <c r="AJI774" s="10"/>
      <c r="AJJ774" s="10"/>
      <c r="AJK774" s="10"/>
      <c r="AJL774" s="10"/>
      <c r="AJM774" s="10"/>
      <c r="AJN774" s="10"/>
      <c r="AJO774" s="10"/>
      <c r="AJP774" s="10"/>
      <c r="AJQ774" s="10"/>
      <c r="AJR774" s="10"/>
      <c r="AJS774" s="10"/>
      <c r="AJT774" s="10"/>
      <c r="AJU774" s="10"/>
      <c r="AJV774" s="10"/>
      <c r="AJW774" s="10"/>
      <c r="AJX774" s="10"/>
      <c r="AJY774" s="10"/>
      <c r="AJZ774" s="10"/>
      <c r="AKA774" s="10"/>
      <c r="AKB774" s="10"/>
      <c r="AKC774" s="10"/>
      <c r="AKD774" s="10"/>
      <c r="AKE774" s="10"/>
      <c r="AKF774" s="10"/>
      <c r="AKG774" s="10"/>
      <c r="AKH774" s="10"/>
      <c r="AKI774" s="10"/>
      <c r="AKJ774" s="10"/>
      <c r="AKK774" s="10"/>
      <c r="AKL774" s="10"/>
      <c r="AKM774" s="10"/>
      <c r="AKN774" s="10"/>
      <c r="AKO774" s="10"/>
      <c r="AKP774" s="10"/>
      <c r="AKQ774" s="10"/>
      <c r="AKR774" s="10"/>
      <c r="AKS774" s="10"/>
      <c r="AKT774" s="10"/>
      <c r="AKU774" s="10"/>
      <c r="AKV774" s="10"/>
      <c r="AKW774" s="10"/>
      <c r="AKX774" s="10"/>
      <c r="AKY774" s="10"/>
      <c r="AKZ774" s="10"/>
      <c r="ALA774" s="10"/>
      <c r="ALB774" s="10"/>
      <c r="ALC774" s="10"/>
      <c r="ALD774" s="10"/>
      <c r="ALE774" s="10"/>
      <c r="ALF774" s="10"/>
      <c r="ALG774" s="10"/>
      <c r="ALH774" s="10"/>
      <c r="ALI774" s="10"/>
      <c r="ALJ774" s="10"/>
      <c r="ALK774" s="10"/>
      <c r="ALL774" s="10"/>
      <c r="ALM774" s="10"/>
      <c r="ALN774" s="10"/>
      <c r="ALO774" s="10"/>
      <c r="ALP774" s="10"/>
      <c r="ALQ774" s="10"/>
      <c r="ALR774" s="10"/>
      <c r="ALS774" s="10"/>
      <c r="ALT774" s="10"/>
      <c r="ALU774" s="10"/>
      <c r="ALV774" s="10"/>
      <c r="ALW774" s="10"/>
      <c r="ALX774" s="10"/>
      <c r="ALY774" s="10"/>
      <c r="ALZ774" s="10"/>
      <c r="AMA774" s="10"/>
      <c r="AMB774" s="10"/>
      <c r="AMC774" s="10"/>
      <c r="AMD774" s="10"/>
      <c r="AME774" s="10"/>
      <c r="AMF774" s="10"/>
      <c r="AMG774" s="10"/>
      <c r="AMH774" s="10"/>
      <c r="AMI774" s="10"/>
      <c r="AMJ774" s="10"/>
      <c r="AMK774" s="10"/>
      <c r="AML774" s="10"/>
      <c r="AMM774" s="10"/>
      <c r="AMN774" s="10"/>
      <c r="AMO774" s="10"/>
      <c r="AMP774" s="10"/>
      <c r="AMQ774" s="10"/>
      <c r="AMR774" s="10"/>
      <c r="AMS774" s="10"/>
      <c r="AMT774" s="10"/>
      <c r="AMU774" s="10"/>
      <c r="AMV774" s="10"/>
      <c r="AMW774" s="10"/>
      <c r="AMX774" s="10"/>
      <c r="AMY774" s="10"/>
      <c r="AMZ774" s="10"/>
      <c r="ANA774" s="10"/>
      <c r="ANB774" s="10"/>
      <c r="ANC774" s="10"/>
      <c r="AND774" s="10"/>
      <c r="ANE774" s="10"/>
      <c r="ANF774" s="10"/>
      <c r="ANG774" s="10"/>
      <c r="ANH774" s="10"/>
      <c r="ANI774" s="10"/>
      <c r="ANJ774" s="10"/>
      <c r="ANK774" s="10"/>
      <c r="ANL774" s="10"/>
      <c r="ANM774" s="10"/>
      <c r="ANN774" s="10"/>
      <c r="ANO774" s="10"/>
      <c r="ANP774" s="10"/>
      <c r="ANQ774" s="10"/>
      <c r="ANR774" s="10"/>
      <c r="ANS774" s="10"/>
      <c r="ANT774" s="10"/>
      <c r="ANU774" s="10"/>
      <c r="ANV774" s="10"/>
      <c r="ANW774" s="10"/>
      <c r="ANX774" s="10"/>
      <c r="ANY774" s="10"/>
      <c r="ANZ774" s="10"/>
      <c r="AOA774" s="10"/>
      <c r="AOB774" s="10"/>
      <c r="AOC774" s="10"/>
      <c r="AOD774" s="10"/>
      <c r="AOE774" s="10"/>
      <c r="AOF774" s="10"/>
      <c r="AOG774" s="10"/>
      <c r="AOH774" s="10"/>
      <c r="AOI774" s="10"/>
      <c r="AOJ774" s="10"/>
      <c r="AOK774" s="10"/>
      <c r="AOL774" s="10"/>
      <c r="AOM774" s="10"/>
      <c r="AON774" s="10"/>
      <c r="AOO774" s="10"/>
      <c r="AOP774" s="10"/>
      <c r="AOQ774" s="10"/>
      <c r="AOR774" s="10"/>
      <c r="AOS774" s="10"/>
      <c r="AOT774" s="10"/>
      <c r="AOU774" s="10"/>
      <c r="AOV774" s="10"/>
      <c r="AOW774" s="10"/>
      <c r="AOX774" s="10"/>
      <c r="AOY774" s="10"/>
      <c r="AOZ774" s="10"/>
      <c r="APA774" s="10"/>
      <c r="APB774" s="10"/>
      <c r="APC774" s="10"/>
      <c r="APD774" s="10"/>
      <c r="APE774" s="10"/>
      <c r="APF774" s="10"/>
      <c r="APG774" s="10"/>
      <c r="APH774" s="10"/>
      <c r="API774" s="10"/>
      <c r="APJ774" s="10"/>
      <c r="APK774" s="10"/>
      <c r="APL774" s="10"/>
      <c r="APM774" s="10"/>
      <c r="APN774" s="10"/>
      <c r="APO774" s="10"/>
      <c r="APP774" s="10"/>
      <c r="APQ774" s="10"/>
      <c r="APR774" s="10"/>
      <c r="APS774" s="10"/>
      <c r="APT774" s="10"/>
      <c r="APU774" s="10"/>
      <c r="APV774" s="10"/>
      <c r="APW774" s="10"/>
      <c r="APX774" s="10"/>
      <c r="APY774" s="10"/>
      <c r="APZ774" s="10"/>
      <c r="AQA774" s="10"/>
      <c r="AQB774" s="10"/>
      <c r="AQC774" s="10"/>
      <c r="AQD774" s="10"/>
      <c r="AQE774" s="10"/>
      <c r="AQF774" s="10"/>
      <c r="AQG774" s="10"/>
      <c r="AQH774" s="10"/>
      <c r="AQI774" s="10"/>
      <c r="AQJ774" s="10"/>
      <c r="AQK774" s="10"/>
      <c r="AQL774" s="10"/>
      <c r="AQM774" s="10"/>
      <c r="AQN774" s="10"/>
      <c r="AQO774" s="10"/>
      <c r="AQP774" s="10"/>
      <c r="AQQ774" s="10"/>
      <c r="AQR774" s="10"/>
      <c r="AQS774" s="10"/>
      <c r="AQT774" s="10"/>
      <c r="AQU774" s="10"/>
      <c r="AQV774" s="10"/>
      <c r="AQW774" s="10"/>
      <c r="AQX774" s="10"/>
      <c r="AQY774" s="10"/>
      <c r="AQZ774" s="10"/>
      <c r="ARA774" s="10"/>
      <c r="ARB774" s="10"/>
      <c r="ARC774" s="10"/>
      <c r="ARD774" s="10"/>
      <c r="ARE774" s="10"/>
      <c r="ARF774" s="10"/>
      <c r="ARG774" s="10"/>
      <c r="ARH774" s="10"/>
      <c r="ARI774" s="10"/>
      <c r="ARJ774" s="10"/>
      <c r="ARK774" s="10"/>
      <c r="ARL774" s="10"/>
      <c r="ARM774" s="10"/>
      <c r="ARN774" s="10"/>
      <c r="ARO774" s="10"/>
      <c r="ARP774" s="10"/>
      <c r="ARQ774" s="10"/>
      <c r="ARR774" s="10"/>
      <c r="ARS774" s="10"/>
      <c r="ART774" s="10"/>
      <c r="ARU774" s="10"/>
      <c r="ARV774" s="10"/>
      <c r="ARW774" s="10"/>
      <c r="ARX774" s="10"/>
      <c r="ARY774" s="10"/>
      <c r="ARZ774" s="10"/>
      <c r="ASA774" s="10"/>
      <c r="ASB774" s="10"/>
      <c r="ASC774" s="10"/>
      <c r="ASD774" s="10"/>
      <c r="ASE774" s="10"/>
      <c r="ASF774" s="10"/>
      <c r="ASG774" s="10"/>
      <c r="ASH774" s="10"/>
      <c r="ASI774" s="10"/>
      <c r="ASJ774" s="10"/>
      <c r="ASK774" s="10"/>
      <c r="ASL774" s="10"/>
      <c r="ASM774" s="10"/>
      <c r="ASN774" s="10"/>
      <c r="ASO774" s="10"/>
      <c r="ASP774" s="10"/>
      <c r="ASQ774" s="10"/>
      <c r="ASR774" s="10"/>
      <c r="ASS774" s="10"/>
      <c r="AST774" s="10"/>
      <c r="ASU774" s="10"/>
      <c r="ASV774" s="10"/>
      <c r="ASW774" s="10"/>
      <c r="ASX774" s="10"/>
      <c r="ASY774" s="10"/>
      <c r="ASZ774" s="10"/>
      <c r="ATA774" s="10"/>
      <c r="ATB774" s="10"/>
      <c r="ATC774" s="10"/>
      <c r="ATD774" s="10"/>
      <c r="ATE774" s="10"/>
      <c r="ATF774" s="10"/>
      <c r="ATG774" s="10"/>
      <c r="ATH774" s="10"/>
      <c r="ATI774" s="10"/>
      <c r="ATJ774" s="10"/>
      <c r="ATK774" s="10"/>
      <c r="ATL774" s="10"/>
      <c r="ATM774" s="10"/>
      <c r="ATN774" s="10"/>
      <c r="ATO774" s="10"/>
      <c r="ATP774" s="10"/>
      <c r="ATQ774" s="10"/>
      <c r="ATR774" s="10"/>
      <c r="ATS774" s="10"/>
      <c r="ATT774" s="10"/>
      <c r="ATU774" s="10"/>
      <c r="ATV774" s="10"/>
      <c r="ATW774" s="10"/>
      <c r="ATX774" s="10"/>
      <c r="ATY774" s="10"/>
      <c r="ATZ774" s="10"/>
      <c r="AUA774" s="10"/>
      <c r="AUB774" s="10"/>
      <c r="AUC774" s="10"/>
      <c r="AUD774" s="10"/>
      <c r="AUE774" s="10"/>
      <c r="AUF774" s="10"/>
      <c r="AUG774" s="10"/>
      <c r="AUH774" s="10"/>
      <c r="AUI774" s="10"/>
      <c r="AUJ774" s="10"/>
      <c r="AUK774" s="10"/>
      <c r="AUL774" s="10"/>
      <c r="AUM774" s="10"/>
      <c r="AUN774" s="10"/>
      <c r="AUO774" s="10"/>
      <c r="AUP774" s="10"/>
      <c r="AUQ774" s="10"/>
      <c r="AUR774" s="10"/>
      <c r="AUS774" s="10"/>
      <c r="AUT774" s="10"/>
      <c r="AUU774" s="10"/>
      <c r="AUV774" s="10"/>
      <c r="AUW774" s="10"/>
      <c r="AUX774" s="10"/>
      <c r="AUY774" s="10"/>
      <c r="AUZ774" s="10"/>
      <c r="AVA774" s="10"/>
      <c r="AVB774" s="10"/>
      <c r="AVC774" s="10"/>
      <c r="AVD774" s="10"/>
      <c r="AVE774" s="10"/>
      <c r="AVF774" s="10"/>
      <c r="AVG774" s="10"/>
      <c r="AVH774" s="10"/>
      <c r="AVI774" s="10"/>
      <c r="AVJ774" s="10"/>
      <c r="AVK774" s="10"/>
      <c r="AVL774" s="10"/>
      <c r="AVM774" s="10"/>
      <c r="AVN774" s="10"/>
      <c r="AVO774" s="10"/>
      <c r="AVP774" s="10"/>
      <c r="AVQ774" s="10"/>
      <c r="AVR774" s="10"/>
      <c r="AVS774" s="10"/>
      <c r="AVT774" s="10"/>
      <c r="AVU774" s="10"/>
      <c r="AVV774" s="10"/>
      <c r="AVW774" s="10"/>
      <c r="AVX774" s="10"/>
      <c r="AVY774" s="10"/>
      <c r="AVZ774" s="10"/>
      <c r="AWA774" s="10"/>
      <c r="AWB774" s="10"/>
      <c r="AWC774" s="10"/>
      <c r="AWD774" s="10"/>
      <c r="AWE774" s="10"/>
      <c r="AWF774" s="10"/>
      <c r="AWG774" s="10"/>
      <c r="AWH774" s="10"/>
      <c r="AWI774" s="10"/>
      <c r="AWJ774" s="10"/>
      <c r="AWK774" s="10"/>
      <c r="AWL774" s="10"/>
      <c r="AWM774" s="10"/>
      <c r="AWN774" s="10"/>
      <c r="AWO774" s="10"/>
      <c r="AWP774" s="10"/>
      <c r="AWQ774" s="10"/>
      <c r="AWR774" s="10"/>
      <c r="AWS774" s="10"/>
      <c r="AWT774" s="10"/>
      <c r="AWU774" s="10"/>
      <c r="AWV774" s="10"/>
      <c r="AWW774" s="10"/>
      <c r="AWX774" s="10"/>
      <c r="AWY774" s="10"/>
      <c r="AWZ774" s="10"/>
      <c r="AXA774" s="10"/>
      <c r="AXB774" s="10"/>
      <c r="AXC774" s="10"/>
      <c r="AXD774" s="10"/>
      <c r="AXE774" s="10"/>
      <c r="AXF774" s="10"/>
      <c r="AXG774" s="10"/>
      <c r="AXH774" s="10"/>
      <c r="AXI774" s="10"/>
      <c r="AXJ774" s="10"/>
      <c r="AXK774" s="10"/>
      <c r="AXL774" s="10"/>
      <c r="AXM774" s="10"/>
      <c r="AXN774" s="10"/>
      <c r="AXO774" s="10"/>
      <c r="AXP774" s="10"/>
      <c r="AXQ774" s="10"/>
      <c r="AXR774" s="10"/>
      <c r="AXS774" s="10"/>
      <c r="AXT774" s="10"/>
      <c r="AXU774" s="10"/>
      <c r="AXV774" s="10"/>
      <c r="AXW774" s="10"/>
      <c r="AXX774" s="10"/>
      <c r="AXY774" s="10"/>
      <c r="AXZ774" s="10"/>
      <c r="AYA774" s="10"/>
      <c r="AYB774" s="10"/>
      <c r="AYC774" s="10"/>
      <c r="AYD774" s="10"/>
      <c r="AYE774" s="10"/>
      <c r="AYF774" s="10"/>
      <c r="AYG774" s="10"/>
      <c r="AYH774" s="10"/>
      <c r="AYI774" s="10"/>
      <c r="AYJ774" s="10"/>
      <c r="AYK774" s="10"/>
      <c r="AYL774" s="10"/>
      <c r="AYM774" s="10"/>
      <c r="AYN774" s="10"/>
      <c r="AYO774" s="10"/>
      <c r="AYP774" s="10"/>
      <c r="AYQ774" s="10"/>
      <c r="AYR774" s="10"/>
      <c r="AYS774" s="10"/>
      <c r="AYT774" s="10"/>
      <c r="AYU774" s="10"/>
      <c r="AYV774" s="10"/>
      <c r="AYW774" s="10"/>
      <c r="AYX774" s="10"/>
      <c r="AYY774" s="10"/>
      <c r="AYZ774" s="10"/>
      <c r="AZA774" s="10"/>
      <c r="AZB774" s="10"/>
      <c r="AZC774" s="10"/>
      <c r="AZD774" s="10"/>
      <c r="AZE774" s="10"/>
      <c r="AZF774" s="10"/>
      <c r="AZG774" s="10"/>
      <c r="AZH774" s="10"/>
      <c r="AZI774" s="10"/>
      <c r="AZJ774" s="10"/>
      <c r="AZK774" s="10"/>
      <c r="AZL774" s="10"/>
      <c r="AZM774" s="10"/>
      <c r="AZN774" s="10"/>
      <c r="AZO774" s="10"/>
      <c r="AZP774" s="10"/>
      <c r="AZQ774" s="10"/>
      <c r="AZR774" s="10"/>
      <c r="AZS774" s="10"/>
      <c r="AZT774" s="10"/>
      <c r="AZU774" s="10"/>
      <c r="AZV774" s="10"/>
      <c r="AZW774" s="10"/>
      <c r="AZX774" s="10"/>
      <c r="AZY774" s="10"/>
      <c r="AZZ774" s="10"/>
      <c r="BAA774" s="10"/>
      <c r="BAB774" s="10"/>
      <c r="BAC774" s="10"/>
      <c r="BAD774" s="10"/>
      <c r="BAE774" s="10"/>
      <c r="BAF774" s="10"/>
      <c r="BAG774" s="10"/>
      <c r="BAH774" s="10"/>
      <c r="BAI774" s="10"/>
      <c r="BAJ774" s="10"/>
      <c r="BAK774" s="10"/>
      <c r="BAL774" s="10"/>
      <c r="BAM774" s="10"/>
      <c r="BAN774" s="10"/>
      <c r="BAO774" s="10"/>
      <c r="BAP774" s="10"/>
      <c r="BAQ774" s="10"/>
      <c r="BAR774" s="10"/>
      <c r="BAS774" s="10"/>
      <c r="BAT774" s="10"/>
      <c r="BAU774" s="10"/>
      <c r="BAV774" s="10"/>
      <c r="BAW774" s="10"/>
      <c r="BAX774" s="10"/>
      <c r="BAY774" s="10"/>
      <c r="BAZ774" s="10"/>
      <c r="BBA774" s="10"/>
      <c r="BBB774" s="10"/>
      <c r="BBC774" s="10"/>
      <c r="BBD774" s="10"/>
      <c r="BBE774" s="10"/>
      <c r="BBF774" s="10"/>
      <c r="BBG774" s="10"/>
      <c r="BBH774" s="10"/>
      <c r="BBI774" s="10"/>
      <c r="BBJ774" s="10"/>
      <c r="BBK774" s="10"/>
      <c r="BBL774" s="10"/>
      <c r="BBM774" s="10"/>
      <c r="BBN774" s="10"/>
      <c r="BBO774" s="10"/>
      <c r="BBP774" s="10"/>
      <c r="BBQ774" s="10"/>
      <c r="BBR774" s="10"/>
      <c r="BBS774" s="10"/>
      <c r="BBT774" s="10"/>
      <c r="BBU774" s="10"/>
      <c r="BBV774" s="10"/>
      <c r="BBW774" s="10"/>
      <c r="BBX774" s="10"/>
      <c r="BBY774" s="10"/>
      <c r="BBZ774" s="10"/>
      <c r="BCA774" s="10"/>
      <c r="BCB774" s="10"/>
      <c r="BCC774" s="10"/>
      <c r="BCD774" s="10"/>
      <c r="BCE774" s="10"/>
      <c r="BCF774" s="10"/>
      <c r="BCG774" s="10"/>
      <c r="BCH774" s="10"/>
      <c r="BCI774" s="10"/>
      <c r="BCJ774" s="10"/>
      <c r="BCK774" s="10"/>
      <c r="BCL774" s="10"/>
      <c r="BCM774" s="10"/>
      <c r="BCN774" s="10"/>
      <c r="BCO774" s="10"/>
      <c r="BCP774" s="10"/>
      <c r="BCQ774" s="10"/>
      <c r="BCR774" s="10"/>
      <c r="BCS774" s="10"/>
      <c r="BCT774" s="10"/>
      <c r="BCU774" s="10"/>
      <c r="BCV774" s="10"/>
      <c r="BCW774" s="10"/>
      <c r="BCX774" s="10"/>
      <c r="BCY774" s="10"/>
      <c r="BCZ774" s="10"/>
      <c r="BDA774" s="10"/>
      <c r="BDB774" s="10"/>
      <c r="BDC774" s="10"/>
      <c r="BDD774" s="10"/>
      <c r="BDE774" s="10"/>
      <c r="BDF774" s="10"/>
      <c r="BDG774" s="10"/>
      <c r="BDH774" s="10"/>
      <c r="BDI774" s="10"/>
      <c r="BDJ774" s="10"/>
      <c r="BDK774" s="10"/>
      <c r="BDL774" s="10"/>
      <c r="BDM774" s="10"/>
      <c r="BDN774" s="10"/>
      <c r="BDO774" s="10"/>
      <c r="BDP774" s="10"/>
      <c r="BDQ774" s="10"/>
      <c r="BDR774" s="10"/>
      <c r="BDS774" s="10"/>
      <c r="BDT774" s="10"/>
      <c r="BDU774" s="10"/>
      <c r="BDV774" s="10"/>
      <c r="BDW774" s="10"/>
      <c r="BDX774" s="10"/>
      <c r="BDY774" s="10"/>
      <c r="BDZ774" s="10"/>
      <c r="BEA774" s="10"/>
      <c r="BEB774" s="10"/>
      <c r="BEC774" s="10"/>
      <c r="BED774" s="10"/>
      <c r="BEE774" s="10"/>
      <c r="BEF774" s="10"/>
      <c r="BEG774" s="10"/>
      <c r="BEH774" s="10"/>
      <c r="BEI774" s="10"/>
      <c r="BEJ774" s="10"/>
      <c r="BEK774" s="10"/>
      <c r="BEL774" s="10"/>
      <c r="BEM774" s="10"/>
      <c r="BEN774" s="10"/>
      <c r="BEO774" s="10"/>
      <c r="BEP774" s="10"/>
      <c r="BEQ774" s="10"/>
      <c r="BER774" s="10"/>
      <c r="BES774" s="10"/>
      <c r="BET774" s="10"/>
      <c r="BEU774" s="10"/>
      <c r="BEV774" s="10"/>
      <c r="BEW774" s="10"/>
      <c r="BEX774" s="10"/>
      <c r="BEY774" s="10"/>
      <c r="BEZ774" s="10"/>
      <c r="BFA774" s="10"/>
      <c r="BFB774" s="10"/>
      <c r="BFC774" s="10"/>
      <c r="BFD774" s="10"/>
      <c r="BFE774" s="10"/>
      <c r="BFF774" s="10"/>
      <c r="BFG774" s="10"/>
      <c r="BFH774" s="10"/>
      <c r="BFI774" s="10"/>
      <c r="BFJ774" s="10"/>
      <c r="BFK774" s="10"/>
      <c r="BFL774" s="10"/>
      <c r="BFM774" s="10"/>
      <c r="BFN774" s="10"/>
      <c r="BFO774" s="10"/>
      <c r="BFP774" s="10"/>
      <c r="BFQ774" s="10"/>
      <c r="BFR774" s="10"/>
      <c r="BFS774" s="10"/>
      <c r="BFT774" s="10"/>
      <c r="BFU774" s="10"/>
      <c r="BFV774" s="10"/>
      <c r="BFW774" s="10"/>
      <c r="BFX774" s="10"/>
      <c r="BFY774" s="10"/>
      <c r="BFZ774" s="10"/>
      <c r="BGA774" s="10"/>
      <c r="BGB774" s="10"/>
      <c r="BGC774" s="10"/>
      <c r="BGD774" s="10"/>
      <c r="BGE774" s="10"/>
      <c r="BGF774" s="10"/>
      <c r="BGG774" s="10"/>
      <c r="BGH774" s="10"/>
      <c r="BGI774" s="10"/>
      <c r="BGJ774" s="10"/>
      <c r="BGK774" s="10"/>
      <c r="BGL774" s="10"/>
      <c r="BGM774" s="10"/>
      <c r="BGN774" s="10"/>
      <c r="BGO774" s="10"/>
      <c r="BGP774" s="10"/>
      <c r="BGQ774" s="10"/>
      <c r="BGR774" s="10"/>
      <c r="BGS774" s="10"/>
      <c r="BGT774" s="10"/>
      <c r="BGU774" s="10"/>
      <c r="BGV774" s="10"/>
      <c r="BGW774" s="10"/>
      <c r="BGX774" s="10"/>
      <c r="BGY774" s="10"/>
      <c r="BGZ774" s="10"/>
      <c r="BHA774" s="10"/>
      <c r="BHB774" s="10"/>
      <c r="BHC774" s="10"/>
      <c r="BHD774" s="10"/>
      <c r="BHE774" s="10"/>
      <c r="BHF774" s="10"/>
      <c r="BHG774" s="10"/>
      <c r="BHH774" s="10"/>
      <c r="BHI774" s="10"/>
      <c r="BHJ774" s="10"/>
      <c r="BHK774" s="10"/>
      <c r="BHL774" s="10"/>
      <c r="BHM774" s="10"/>
      <c r="BHN774" s="10"/>
      <c r="BHO774" s="10"/>
      <c r="BHP774" s="10"/>
      <c r="BHQ774" s="10"/>
      <c r="BHR774" s="10"/>
      <c r="BHS774" s="10"/>
      <c r="BHT774" s="10"/>
      <c r="BHU774" s="10"/>
      <c r="BHV774" s="10"/>
      <c r="BHW774" s="10"/>
      <c r="BHX774" s="10"/>
      <c r="BHY774" s="10"/>
      <c r="BHZ774" s="10"/>
      <c r="BIA774" s="10"/>
      <c r="BIB774" s="10"/>
      <c r="BIC774" s="10"/>
      <c r="BID774" s="10"/>
      <c r="BIE774" s="10"/>
      <c r="BIF774" s="10"/>
      <c r="BIG774" s="10"/>
      <c r="BIH774" s="10"/>
      <c r="BII774" s="10"/>
      <c r="BIJ774" s="10"/>
      <c r="BIK774" s="10"/>
      <c r="BIL774" s="10"/>
      <c r="BIM774" s="10"/>
      <c r="BIN774" s="10"/>
      <c r="BIO774" s="10"/>
      <c r="BIP774" s="10"/>
      <c r="BIQ774" s="10"/>
      <c r="BIR774" s="10"/>
      <c r="BIS774" s="10"/>
      <c r="BIT774" s="10"/>
      <c r="BIU774" s="10"/>
      <c r="BIV774" s="10"/>
      <c r="BIW774" s="10"/>
      <c r="BIX774" s="10"/>
      <c r="BIY774" s="10"/>
      <c r="BIZ774" s="10"/>
      <c r="BJA774" s="10"/>
      <c r="BJB774" s="10"/>
      <c r="BJC774" s="10"/>
      <c r="BJD774" s="10"/>
      <c r="BJE774" s="10"/>
      <c r="BJF774" s="10"/>
      <c r="BJG774" s="10"/>
      <c r="BJH774" s="10"/>
      <c r="BJI774" s="10"/>
      <c r="BJJ774" s="10"/>
      <c r="BJK774" s="10"/>
      <c r="BJL774" s="10"/>
      <c r="BJM774" s="10"/>
      <c r="BJN774" s="10"/>
      <c r="BJO774" s="10"/>
      <c r="BJP774" s="10"/>
      <c r="BJQ774" s="10"/>
      <c r="BJR774" s="10"/>
      <c r="BJS774" s="10"/>
      <c r="BJT774" s="10"/>
      <c r="BJU774" s="10"/>
      <c r="BJV774" s="10"/>
      <c r="BJW774" s="10"/>
      <c r="BJX774" s="10"/>
      <c r="BJY774" s="10"/>
      <c r="BJZ774" s="10"/>
      <c r="BKA774" s="10"/>
      <c r="BKB774" s="10"/>
      <c r="BKC774" s="10"/>
      <c r="BKD774" s="10"/>
      <c r="BKE774" s="10"/>
      <c r="BKF774" s="10"/>
      <c r="BKG774" s="10"/>
      <c r="BKH774" s="10"/>
      <c r="BKI774" s="10"/>
      <c r="BKJ774" s="10"/>
      <c r="BKK774" s="10"/>
      <c r="BKL774" s="10"/>
      <c r="BKM774" s="10"/>
      <c r="BKN774" s="10"/>
      <c r="BKO774" s="10"/>
      <c r="BKP774" s="10"/>
      <c r="BKQ774" s="10"/>
      <c r="BKR774" s="10"/>
      <c r="BKS774" s="10"/>
      <c r="BKT774" s="10"/>
      <c r="BKU774" s="10"/>
      <c r="BKV774" s="10"/>
      <c r="BKW774" s="10"/>
      <c r="BKX774" s="10"/>
      <c r="BKY774" s="10"/>
      <c r="BKZ774" s="10"/>
      <c r="BLA774" s="10"/>
      <c r="BLB774" s="10"/>
      <c r="BLC774" s="10"/>
      <c r="BLD774" s="10"/>
      <c r="BLE774" s="10"/>
      <c r="BLF774" s="10"/>
      <c r="BLG774" s="10"/>
      <c r="BLH774" s="10"/>
      <c r="BLI774" s="10"/>
      <c r="BLJ774" s="10"/>
      <c r="BLK774" s="10"/>
      <c r="BLL774" s="10"/>
      <c r="BLM774" s="10"/>
      <c r="BLN774" s="10"/>
      <c r="BLO774" s="10"/>
      <c r="BLP774" s="10"/>
      <c r="BLQ774" s="10"/>
      <c r="BLR774" s="10"/>
      <c r="BLS774" s="10"/>
      <c r="BLT774" s="10"/>
      <c r="BLU774" s="10"/>
      <c r="BLV774" s="10"/>
      <c r="BLW774" s="10"/>
      <c r="BLX774" s="10"/>
      <c r="BLY774" s="10"/>
      <c r="BLZ774" s="10"/>
      <c r="BMA774" s="10"/>
      <c r="BMB774" s="10"/>
      <c r="BMC774" s="10"/>
      <c r="BMD774" s="10"/>
      <c r="BME774" s="10"/>
      <c r="BMF774" s="10"/>
      <c r="BMG774" s="10"/>
      <c r="BMH774" s="10"/>
      <c r="BMI774" s="10"/>
      <c r="BMJ774" s="10"/>
      <c r="BMK774" s="10"/>
      <c r="BML774" s="10"/>
      <c r="BMM774" s="10"/>
      <c r="BMN774" s="10"/>
      <c r="BMO774" s="10"/>
      <c r="BMP774" s="10"/>
      <c r="BMQ774" s="10"/>
      <c r="BMR774" s="10"/>
      <c r="BMS774" s="10"/>
      <c r="BMT774" s="10"/>
      <c r="BMU774" s="10"/>
      <c r="BMV774" s="10"/>
      <c r="BMW774" s="10"/>
      <c r="BMX774" s="10"/>
      <c r="BMY774" s="10"/>
      <c r="BMZ774" s="10"/>
      <c r="BNA774" s="10"/>
      <c r="BNB774" s="10"/>
      <c r="BNC774" s="10"/>
      <c r="BND774" s="10"/>
      <c r="BNE774" s="10"/>
      <c r="BNF774" s="10"/>
      <c r="BNG774" s="10"/>
      <c r="BNH774" s="10"/>
      <c r="BNI774" s="10"/>
      <c r="BNJ774" s="10"/>
      <c r="BNK774" s="10"/>
      <c r="BNL774" s="10"/>
      <c r="BNM774" s="10"/>
      <c r="BNN774" s="10"/>
      <c r="BNO774" s="10"/>
      <c r="BNP774" s="10"/>
      <c r="BNQ774" s="10"/>
      <c r="BNR774" s="10"/>
      <c r="BNS774" s="10"/>
      <c r="BNT774" s="10"/>
      <c r="BNU774" s="10"/>
      <c r="BNV774" s="10"/>
      <c r="BNW774" s="10"/>
      <c r="BNX774" s="10"/>
      <c r="BNY774" s="10"/>
      <c r="BNZ774" s="10"/>
      <c r="BOA774" s="10"/>
      <c r="BOB774" s="10"/>
      <c r="BOC774" s="10"/>
      <c r="BOD774" s="10"/>
      <c r="BOE774" s="10"/>
      <c r="BOF774" s="10"/>
      <c r="BOG774" s="10"/>
      <c r="BOH774" s="10"/>
      <c r="BOI774" s="10"/>
      <c r="BOJ774" s="10"/>
      <c r="BOK774" s="10"/>
      <c r="BOL774" s="10"/>
      <c r="BOM774" s="10"/>
      <c r="BON774" s="10"/>
      <c r="BOO774" s="10"/>
      <c r="BOP774" s="10"/>
      <c r="BOQ774" s="10"/>
      <c r="BOR774" s="10"/>
      <c r="BOS774" s="10"/>
      <c r="BOT774" s="10"/>
      <c r="BOU774" s="10"/>
      <c r="BOV774" s="10"/>
      <c r="BOW774" s="10"/>
      <c r="BOX774" s="10"/>
      <c r="BOY774" s="10"/>
      <c r="BOZ774" s="10"/>
      <c r="BPA774" s="10"/>
      <c r="BPB774" s="10"/>
      <c r="BPC774" s="10"/>
      <c r="BPD774" s="10"/>
      <c r="BPE774" s="10"/>
      <c r="BPF774" s="10"/>
      <c r="BPG774" s="10"/>
      <c r="BPH774" s="10"/>
      <c r="BPI774" s="10"/>
      <c r="BPJ774" s="10"/>
      <c r="BPK774" s="10"/>
      <c r="BPL774" s="10"/>
      <c r="BPM774" s="10"/>
      <c r="BPN774" s="10"/>
      <c r="BPO774" s="10"/>
      <c r="BPP774" s="10"/>
      <c r="BPQ774" s="10"/>
      <c r="BPR774" s="10"/>
      <c r="BPS774" s="10"/>
      <c r="BPT774" s="10"/>
      <c r="BPU774" s="10"/>
      <c r="BPV774" s="10"/>
      <c r="BPW774" s="10"/>
      <c r="BPX774" s="10"/>
      <c r="BPY774" s="10"/>
      <c r="BPZ774" s="10"/>
      <c r="BQA774" s="10"/>
      <c r="BQB774" s="10"/>
      <c r="BQC774" s="10"/>
      <c r="BQD774" s="10"/>
      <c r="BQE774" s="10"/>
      <c r="BQF774" s="10"/>
      <c r="BQG774" s="10"/>
      <c r="BQH774" s="10"/>
      <c r="BQI774" s="10"/>
      <c r="BQJ774" s="10"/>
      <c r="BQK774" s="10"/>
      <c r="BQL774" s="10"/>
      <c r="BQM774" s="10"/>
      <c r="BQN774" s="10"/>
      <c r="BQO774" s="10"/>
      <c r="BQP774" s="10"/>
      <c r="BQQ774" s="10"/>
      <c r="BQR774" s="10"/>
      <c r="BQS774" s="10"/>
      <c r="BQT774" s="10"/>
      <c r="BQU774" s="10"/>
      <c r="BQV774" s="10"/>
      <c r="BQW774" s="10"/>
      <c r="BQX774" s="10"/>
      <c r="BQY774" s="10"/>
      <c r="BQZ774" s="10"/>
      <c r="BRA774" s="10"/>
      <c r="BRB774" s="10"/>
      <c r="BRC774" s="10"/>
      <c r="BRD774" s="10"/>
      <c r="BRE774" s="10"/>
      <c r="BRF774" s="10"/>
      <c r="BRG774" s="10"/>
      <c r="BRH774" s="10"/>
      <c r="BRI774" s="10"/>
      <c r="BRJ774" s="10"/>
      <c r="BRK774" s="10"/>
      <c r="BRL774" s="10"/>
      <c r="BRM774" s="10"/>
      <c r="BRN774" s="10"/>
      <c r="BRO774" s="10"/>
      <c r="BRP774" s="10"/>
      <c r="BRQ774" s="10"/>
      <c r="BRR774" s="10"/>
      <c r="BRS774" s="10"/>
      <c r="BRT774" s="10"/>
      <c r="BRU774" s="10"/>
      <c r="BRV774" s="10"/>
      <c r="BRW774" s="10"/>
      <c r="BRX774" s="10"/>
      <c r="BRY774" s="10"/>
      <c r="BRZ774" s="10"/>
      <c r="BSA774" s="10"/>
      <c r="BSB774" s="10"/>
      <c r="BSC774" s="10"/>
      <c r="BSD774" s="10"/>
      <c r="BSE774" s="10"/>
      <c r="BSF774" s="10"/>
      <c r="BSG774" s="10"/>
      <c r="BSH774" s="10"/>
      <c r="BSI774" s="10"/>
      <c r="BSJ774" s="10"/>
      <c r="BSK774" s="10"/>
      <c r="BSL774" s="10"/>
      <c r="BSM774" s="10"/>
      <c r="BSN774" s="10"/>
      <c r="BSO774" s="10"/>
      <c r="BSP774" s="10"/>
      <c r="BSQ774" s="10"/>
      <c r="BSR774" s="10"/>
      <c r="BSS774" s="10"/>
      <c r="BST774" s="10"/>
      <c r="BSU774" s="10"/>
      <c r="BSV774" s="10"/>
      <c r="BSW774" s="10"/>
      <c r="BSX774" s="10"/>
      <c r="BSY774" s="10"/>
      <c r="BSZ774" s="10"/>
      <c r="BTA774" s="10"/>
      <c r="BTB774" s="10"/>
      <c r="BTC774" s="10"/>
      <c r="BTD774" s="10"/>
      <c r="BTE774" s="10"/>
      <c r="BTF774" s="10"/>
      <c r="BTG774" s="10"/>
      <c r="BTH774" s="10"/>
      <c r="BTI774" s="10"/>
      <c r="BTJ774" s="10"/>
      <c r="BTK774" s="10"/>
      <c r="BTL774" s="10"/>
      <c r="BTM774" s="10"/>
      <c r="BTN774" s="10"/>
      <c r="BTO774" s="10"/>
      <c r="BTP774" s="10"/>
      <c r="BTQ774" s="10"/>
      <c r="BTR774" s="10"/>
      <c r="BTS774" s="10"/>
      <c r="BTT774" s="10"/>
    </row>
    <row r="775" spans="1:1892" s="10" customFormat="1" ht="35.1" customHeight="1">
      <c r="A775" s="1241"/>
      <c r="B775" s="537" t="s">
        <v>701</v>
      </c>
      <c r="C775" s="993" t="s">
        <v>128</v>
      </c>
      <c r="D775" s="847" t="s">
        <v>129</v>
      </c>
      <c r="E775" s="848"/>
      <c r="F775" s="849"/>
      <c r="G775" s="654" t="s">
        <v>269</v>
      </c>
      <c r="H775" s="654" t="s">
        <v>270</v>
      </c>
      <c r="I775" s="654" t="s">
        <v>271</v>
      </c>
      <c r="J775" s="820" t="s">
        <v>67</v>
      </c>
      <c r="K775" s="820" t="s">
        <v>66</v>
      </c>
      <c r="L775" s="192">
        <v>84.96</v>
      </c>
      <c r="M775" s="281">
        <v>265</v>
      </c>
      <c r="N775" s="282">
        <v>0</v>
      </c>
      <c r="O775" s="282">
        <v>0</v>
      </c>
      <c r="P775" s="511" t="s">
        <v>466</v>
      </c>
      <c r="Q775" s="511" t="s">
        <v>419</v>
      </c>
      <c r="R775" s="511" t="s">
        <v>467</v>
      </c>
      <c r="S775" s="1641" t="s">
        <v>818</v>
      </c>
      <c r="T775" s="1093" t="s">
        <v>130</v>
      </c>
      <c r="U775" s="1093" t="s">
        <v>67</v>
      </c>
    </row>
    <row r="776" spans="1:1892" s="10" customFormat="1" ht="35.1" customHeight="1">
      <c r="A776" s="1241"/>
      <c r="B776" s="538"/>
      <c r="C776" s="1352"/>
      <c r="D776" s="850"/>
      <c r="E776" s="851"/>
      <c r="F776" s="852"/>
      <c r="G776" s="730"/>
      <c r="H776" s="730"/>
      <c r="I776" s="730"/>
      <c r="J776" s="821"/>
      <c r="K776" s="821"/>
      <c r="L776" s="192">
        <v>84.94</v>
      </c>
      <c r="M776" s="281">
        <v>681</v>
      </c>
      <c r="N776" s="282">
        <v>0</v>
      </c>
      <c r="O776" s="282">
        <v>0</v>
      </c>
      <c r="P776" s="512"/>
      <c r="Q776" s="512"/>
      <c r="R776" s="512"/>
      <c r="S776" s="1642"/>
      <c r="T776" s="1094"/>
      <c r="U776" s="1094"/>
    </row>
    <row r="777" spans="1:1892" s="10" customFormat="1" ht="35.1" customHeight="1">
      <c r="A777" s="1241"/>
      <c r="B777" s="538"/>
      <c r="C777" s="1352"/>
      <c r="D777" s="850"/>
      <c r="E777" s="851"/>
      <c r="F777" s="852"/>
      <c r="G777" s="655"/>
      <c r="H777" s="655"/>
      <c r="I777" s="655"/>
      <c r="J777" s="822"/>
      <c r="K777" s="822"/>
      <c r="L777" s="192">
        <v>148.93</v>
      </c>
      <c r="M777" s="281">
        <v>2</v>
      </c>
      <c r="N777" s="282">
        <v>2</v>
      </c>
      <c r="O777" s="282">
        <v>2</v>
      </c>
      <c r="P777" s="512"/>
      <c r="Q777" s="512"/>
      <c r="R777" s="512"/>
      <c r="S777" s="1642"/>
      <c r="T777" s="1094"/>
      <c r="U777" s="1094"/>
    </row>
    <row r="778" spans="1:1892" s="10" customFormat="1" ht="35.1" customHeight="1">
      <c r="A778" s="1241"/>
      <c r="B778" s="538"/>
      <c r="C778" s="994"/>
      <c r="D778" s="853"/>
      <c r="E778" s="854"/>
      <c r="F778" s="855"/>
      <c r="G778" s="594" t="s">
        <v>329</v>
      </c>
      <c r="H778" s="595"/>
      <c r="I778" s="595"/>
      <c r="J778" s="595"/>
      <c r="K778" s="1083"/>
      <c r="L778" s="183"/>
      <c r="M778" s="251">
        <f>SUM(M775:M777)</f>
        <v>948</v>
      </c>
      <c r="N778" s="396">
        <v>2</v>
      </c>
      <c r="O778" s="396">
        <v>2</v>
      </c>
      <c r="P778" s="513"/>
      <c r="Q778" s="513"/>
      <c r="R778" s="513"/>
      <c r="S778" s="1643"/>
      <c r="T778" s="1095"/>
      <c r="U778" s="1095"/>
    </row>
    <row r="779" spans="1:1892" s="10" customFormat="1" ht="35.1" customHeight="1">
      <c r="A779" s="1241"/>
      <c r="B779" s="538"/>
      <c r="C779" s="1247" t="s">
        <v>506</v>
      </c>
      <c r="D779" s="1410" t="s">
        <v>783</v>
      </c>
      <c r="E779" s="1411"/>
      <c r="F779" s="1412"/>
      <c r="G779" s="654" t="s">
        <v>507</v>
      </c>
      <c r="H779" s="1109" t="s">
        <v>508</v>
      </c>
      <c r="I779" s="1109" t="s">
        <v>509</v>
      </c>
      <c r="J779" s="795" t="s">
        <v>11</v>
      </c>
      <c r="K779" s="795" t="s">
        <v>12</v>
      </c>
      <c r="L779" s="193" t="s">
        <v>94</v>
      </c>
      <c r="M779" s="221">
        <v>155</v>
      </c>
      <c r="N779" s="282">
        <v>7</v>
      </c>
      <c r="O779" s="282">
        <v>7</v>
      </c>
      <c r="P779" s="499" t="s">
        <v>424</v>
      </c>
      <c r="Q779" s="499" t="s">
        <v>435</v>
      </c>
      <c r="R779" s="499" t="s">
        <v>510</v>
      </c>
      <c r="S779" s="502" t="s">
        <v>1003</v>
      </c>
      <c r="T779" s="792" t="s">
        <v>511</v>
      </c>
      <c r="U779" s="792" t="s">
        <v>11</v>
      </c>
    </row>
    <row r="780" spans="1:1892" s="10" customFormat="1" ht="35.1" customHeight="1">
      <c r="A780" s="1241"/>
      <c r="B780" s="538"/>
      <c r="C780" s="1248"/>
      <c r="D780" s="1413"/>
      <c r="E780" s="1414"/>
      <c r="F780" s="1415"/>
      <c r="G780" s="730"/>
      <c r="H780" s="1110"/>
      <c r="I780" s="1110"/>
      <c r="J780" s="796"/>
      <c r="K780" s="796"/>
      <c r="L780" s="193" t="s">
        <v>93</v>
      </c>
      <c r="M780" s="221">
        <v>20</v>
      </c>
      <c r="N780" s="282">
        <v>2</v>
      </c>
      <c r="O780" s="282">
        <v>2</v>
      </c>
      <c r="P780" s="500"/>
      <c r="Q780" s="500"/>
      <c r="R780" s="500"/>
      <c r="S780" s="503"/>
      <c r="T780" s="793"/>
      <c r="U780" s="793"/>
    </row>
    <row r="781" spans="1:1892" s="10" customFormat="1" ht="35.1" customHeight="1">
      <c r="A781" s="1241"/>
      <c r="B781" s="538"/>
      <c r="C781" s="1248"/>
      <c r="D781" s="1413"/>
      <c r="E781" s="1414"/>
      <c r="F781" s="1415"/>
      <c r="G781" s="730"/>
      <c r="H781" s="1110"/>
      <c r="I781" s="1110"/>
      <c r="J781" s="796"/>
      <c r="K781" s="796"/>
      <c r="L781" s="193" t="s">
        <v>84</v>
      </c>
      <c r="M781" s="221">
        <v>223</v>
      </c>
      <c r="N781" s="282">
        <v>77</v>
      </c>
      <c r="O781" s="282">
        <v>78</v>
      </c>
      <c r="P781" s="500"/>
      <c r="Q781" s="500"/>
      <c r="R781" s="500"/>
      <c r="S781" s="503"/>
      <c r="T781" s="793"/>
      <c r="U781" s="793"/>
    </row>
    <row r="782" spans="1:1892" s="10" customFormat="1" ht="35.1" customHeight="1">
      <c r="A782" s="1241"/>
      <c r="B782" s="538"/>
      <c r="C782" s="1248"/>
      <c r="D782" s="1413"/>
      <c r="E782" s="1414"/>
      <c r="F782" s="1415"/>
      <c r="G782" s="655"/>
      <c r="H782" s="1111"/>
      <c r="I782" s="1111"/>
      <c r="J782" s="797"/>
      <c r="K782" s="797"/>
      <c r="L782" s="193" t="s">
        <v>83</v>
      </c>
      <c r="M782" s="221">
        <v>76</v>
      </c>
      <c r="N782" s="282">
        <v>10</v>
      </c>
      <c r="O782" s="282">
        <v>10</v>
      </c>
      <c r="P782" s="500"/>
      <c r="Q782" s="500"/>
      <c r="R782" s="500"/>
      <c r="S782" s="503"/>
      <c r="T782" s="793"/>
      <c r="U782" s="793"/>
    </row>
    <row r="783" spans="1:1892" s="10" customFormat="1" ht="35.1" customHeight="1">
      <c r="A783" s="1241"/>
      <c r="B783" s="538"/>
      <c r="C783" s="1249"/>
      <c r="D783" s="1416"/>
      <c r="E783" s="1417"/>
      <c r="F783" s="1418"/>
      <c r="G783" s="594" t="s">
        <v>329</v>
      </c>
      <c r="H783" s="595"/>
      <c r="I783" s="595"/>
      <c r="J783" s="595"/>
      <c r="K783" s="1083"/>
      <c r="L783" s="145"/>
      <c r="M783" s="249">
        <f>SUM(M779:M782)</f>
        <v>474</v>
      </c>
      <c r="N783" s="246">
        <f>SUM(N779:N782)</f>
        <v>96</v>
      </c>
      <c r="O783" s="246">
        <f>SUM(O779:O782)</f>
        <v>97</v>
      </c>
      <c r="P783" s="501"/>
      <c r="Q783" s="501"/>
      <c r="R783" s="501"/>
      <c r="S783" s="504"/>
      <c r="T783" s="794"/>
      <c r="U783" s="794"/>
    </row>
    <row r="784" spans="1:1892" s="10" customFormat="1" ht="35.1" customHeight="1">
      <c r="A784" s="1241"/>
      <c r="B784" s="538"/>
      <c r="C784" s="1247" t="s">
        <v>128</v>
      </c>
      <c r="D784" s="783" t="s">
        <v>782</v>
      </c>
      <c r="E784" s="784"/>
      <c r="F784" s="785"/>
      <c r="G784" s="654" t="s">
        <v>779</v>
      </c>
      <c r="H784" s="654" t="s">
        <v>778</v>
      </c>
      <c r="I784" s="654" t="s">
        <v>777</v>
      </c>
      <c r="J784" s="795" t="s">
        <v>11</v>
      </c>
      <c r="K784" s="795" t="s">
        <v>12</v>
      </c>
      <c r="L784" s="352">
        <v>74.98</v>
      </c>
      <c r="M784" s="354">
        <v>92</v>
      </c>
      <c r="N784" s="282">
        <v>2</v>
      </c>
      <c r="O784" s="282">
        <v>2</v>
      </c>
      <c r="P784" s="499" t="s">
        <v>416</v>
      </c>
      <c r="Q784" s="499" t="s">
        <v>416</v>
      </c>
      <c r="R784" s="499" t="s">
        <v>776</v>
      </c>
      <c r="S784" s="502" t="s">
        <v>188</v>
      </c>
      <c r="T784" s="792" t="s">
        <v>781</v>
      </c>
      <c r="U784" s="792" t="s">
        <v>11</v>
      </c>
    </row>
    <row r="785" spans="1:21" s="10" customFormat="1" ht="35.1" customHeight="1">
      <c r="A785" s="1241"/>
      <c r="B785" s="538"/>
      <c r="C785" s="1248"/>
      <c r="D785" s="786"/>
      <c r="E785" s="787"/>
      <c r="F785" s="788"/>
      <c r="G785" s="730"/>
      <c r="H785" s="730"/>
      <c r="I785" s="730"/>
      <c r="J785" s="796"/>
      <c r="K785" s="796"/>
      <c r="L785" s="352" t="s">
        <v>774</v>
      </c>
      <c r="M785" s="354">
        <v>105</v>
      </c>
      <c r="N785" s="282">
        <v>2</v>
      </c>
      <c r="O785" s="282">
        <v>2</v>
      </c>
      <c r="P785" s="500"/>
      <c r="Q785" s="500"/>
      <c r="R785" s="500"/>
      <c r="S785" s="503"/>
      <c r="T785" s="793"/>
      <c r="U785" s="793"/>
    </row>
    <row r="786" spans="1:21" s="10" customFormat="1" ht="35.1" customHeight="1">
      <c r="A786" s="1241"/>
      <c r="B786" s="538"/>
      <c r="C786" s="1248"/>
      <c r="D786" s="786"/>
      <c r="E786" s="787"/>
      <c r="F786" s="788"/>
      <c r="G786" s="730"/>
      <c r="H786" s="730"/>
      <c r="I786" s="730"/>
      <c r="J786" s="796"/>
      <c r="K786" s="796"/>
      <c r="L786" s="352" t="s">
        <v>773</v>
      </c>
      <c r="M786" s="354">
        <v>121</v>
      </c>
      <c r="N786" s="282">
        <v>4</v>
      </c>
      <c r="O786" s="282">
        <v>4</v>
      </c>
      <c r="P786" s="500"/>
      <c r="Q786" s="500"/>
      <c r="R786" s="500"/>
      <c r="S786" s="503"/>
      <c r="T786" s="793"/>
      <c r="U786" s="793"/>
    </row>
    <row r="787" spans="1:21" s="10" customFormat="1" ht="35.1" customHeight="1">
      <c r="A787" s="1241"/>
      <c r="B787" s="538"/>
      <c r="C787" s="1248"/>
      <c r="D787" s="786"/>
      <c r="E787" s="787"/>
      <c r="F787" s="788"/>
      <c r="G787" s="655"/>
      <c r="H787" s="655"/>
      <c r="I787" s="655"/>
      <c r="J787" s="797"/>
      <c r="K787" s="797"/>
      <c r="L787" s="352">
        <v>100.97</v>
      </c>
      <c r="M787" s="354">
        <v>37</v>
      </c>
      <c r="N787" s="282">
        <v>2</v>
      </c>
      <c r="O787" s="282">
        <v>2</v>
      </c>
      <c r="P787" s="500"/>
      <c r="Q787" s="500"/>
      <c r="R787" s="500"/>
      <c r="S787" s="503"/>
      <c r="T787" s="793"/>
      <c r="U787" s="793"/>
    </row>
    <row r="788" spans="1:21" s="10" customFormat="1" ht="35.1" customHeight="1">
      <c r="A788" s="1241"/>
      <c r="B788" s="538"/>
      <c r="C788" s="1249"/>
      <c r="D788" s="789"/>
      <c r="E788" s="790"/>
      <c r="F788" s="791"/>
      <c r="G788" s="594" t="s">
        <v>329</v>
      </c>
      <c r="H788" s="595"/>
      <c r="I788" s="595"/>
      <c r="J788" s="595"/>
      <c r="K788" s="1083"/>
      <c r="L788" s="184"/>
      <c r="M788" s="283">
        <f>SUM(M784:M787)</f>
        <v>355</v>
      </c>
      <c r="N788" s="284">
        <f>SUM(N784:N787)</f>
        <v>10</v>
      </c>
      <c r="O788" s="284">
        <f>SUM(O784:O787)</f>
        <v>10</v>
      </c>
      <c r="P788" s="501"/>
      <c r="Q788" s="501"/>
      <c r="R788" s="501"/>
      <c r="S788" s="504"/>
      <c r="T788" s="794"/>
      <c r="U788" s="794"/>
    </row>
    <row r="789" spans="1:21" s="10" customFormat="1" ht="35.1" customHeight="1">
      <c r="A789" s="1241"/>
      <c r="B789" s="538"/>
      <c r="C789" s="1247" t="s">
        <v>128</v>
      </c>
      <c r="D789" s="783" t="s">
        <v>780</v>
      </c>
      <c r="E789" s="784"/>
      <c r="F789" s="785"/>
      <c r="G789" s="654" t="s">
        <v>779</v>
      </c>
      <c r="H789" s="654" t="s">
        <v>778</v>
      </c>
      <c r="I789" s="654" t="s">
        <v>777</v>
      </c>
      <c r="J789" s="795" t="s">
        <v>11</v>
      </c>
      <c r="K789" s="795" t="s">
        <v>12</v>
      </c>
      <c r="L789" s="352">
        <v>74.98</v>
      </c>
      <c r="M789" s="354">
        <v>161</v>
      </c>
      <c r="N789" s="282">
        <v>2</v>
      </c>
      <c r="O789" s="282">
        <v>2</v>
      </c>
      <c r="P789" s="499" t="s">
        <v>416</v>
      </c>
      <c r="Q789" s="499" t="s">
        <v>800</v>
      </c>
      <c r="R789" s="499" t="s">
        <v>776</v>
      </c>
      <c r="S789" s="502" t="s">
        <v>188</v>
      </c>
      <c r="T789" s="792" t="s">
        <v>775</v>
      </c>
      <c r="U789" s="792" t="s">
        <v>11</v>
      </c>
    </row>
    <row r="790" spans="1:21" s="10" customFormat="1" ht="35.1" customHeight="1">
      <c r="A790" s="1241"/>
      <c r="B790" s="538"/>
      <c r="C790" s="1248"/>
      <c r="D790" s="786"/>
      <c r="E790" s="787"/>
      <c r="F790" s="788"/>
      <c r="G790" s="730"/>
      <c r="H790" s="730"/>
      <c r="I790" s="730"/>
      <c r="J790" s="796"/>
      <c r="K790" s="796"/>
      <c r="L790" s="352" t="s">
        <v>774</v>
      </c>
      <c r="M790" s="354">
        <v>293</v>
      </c>
      <c r="N790" s="282">
        <v>5</v>
      </c>
      <c r="O790" s="282">
        <v>5</v>
      </c>
      <c r="P790" s="500"/>
      <c r="Q790" s="500"/>
      <c r="R790" s="500"/>
      <c r="S790" s="503"/>
      <c r="T790" s="793"/>
      <c r="U790" s="793"/>
    </row>
    <row r="791" spans="1:21" s="10" customFormat="1" ht="35.1" customHeight="1">
      <c r="A791" s="1241"/>
      <c r="B791" s="538"/>
      <c r="C791" s="1248"/>
      <c r="D791" s="786"/>
      <c r="E791" s="787"/>
      <c r="F791" s="788"/>
      <c r="G791" s="730"/>
      <c r="H791" s="730"/>
      <c r="I791" s="730"/>
      <c r="J791" s="796"/>
      <c r="K791" s="796"/>
      <c r="L791" s="352" t="s">
        <v>773</v>
      </c>
      <c r="M791" s="354">
        <v>148</v>
      </c>
      <c r="N791" s="282">
        <v>1</v>
      </c>
      <c r="O791" s="282">
        <v>1</v>
      </c>
      <c r="P791" s="500"/>
      <c r="Q791" s="500"/>
      <c r="R791" s="500"/>
      <c r="S791" s="503"/>
      <c r="T791" s="793"/>
      <c r="U791" s="793"/>
    </row>
    <row r="792" spans="1:21" s="10" customFormat="1" ht="35.1" customHeight="1">
      <c r="A792" s="1241"/>
      <c r="B792" s="538"/>
      <c r="C792" s="1248"/>
      <c r="D792" s="786"/>
      <c r="E792" s="787"/>
      <c r="F792" s="788"/>
      <c r="G792" s="655"/>
      <c r="H792" s="655"/>
      <c r="I792" s="655"/>
      <c r="J792" s="797"/>
      <c r="K792" s="797"/>
      <c r="L792" s="352">
        <v>100.97</v>
      </c>
      <c r="M792" s="354">
        <v>35</v>
      </c>
      <c r="N792" s="282">
        <v>6</v>
      </c>
      <c r="O792" s="282">
        <v>6</v>
      </c>
      <c r="P792" s="500"/>
      <c r="Q792" s="500"/>
      <c r="R792" s="500"/>
      <c r="S792" s="503"/>
      <c r="T792" s="793"/>
      <c r="U792" s="793"/>
    </row>
    <row r="793" spans="1:21" s="10" customFormat="1" ht="35.1" customHeight="1">
      <c r="A793" s="1241"/>
      <c r="B793" s="538"/>
      <c r="C793" s="1249"/>
      <c r="D793" s="789"/>
      <c r="E793" s="790"/>
      <c r="F793" s="791"/>
      <c r="G793" s="594" t="s">
        <v>329</v>
      </c>
      <c r="H793" s="595"/>
      <c r="I793" s="595"/>
      <c r="J793" s="595"/>
      <c r="K793" s="1083"/>
      <c r="L793" s="184"/>
      <c r="M793" s="283">
        <f>SUM(M789:M792)</f>
        <v>637</v>
      </c>
      <c r="N793" s="284">
        <f>SUM(N789:N792)</f>
        <v>14</v>
      </c>
      <c r="O793" s="284">
        <f>SUM(O789:O792)</f>
        <v>14</v>
      </c>
      <c r="P793" s="501"/>
      <c r="Q793" s="501"/>
      <c r="R793" s="501"/>
      <c r="S793" s="504"/>
      <c r="T793" s="794"/>
      <c r="U793" s="794"/>
    </row>
    <row r="794" spans="1:21" s="10" customFormat="1" ht="35.1" customHeight="1">
      <c r="A794" s="1241"/>
      <c r="B794" s="538"/>
      <c r="C794" s="1408" t="s">
        <v>832</v>
      </c>
      <c r="D794" s="1419" t="s">
        <v>943</v>
      </c>
      <c r="E794" s="1420"/>
      <c r="F794" s="1421"/>
      <c r="G794" s="331" t="s">
        <v>944</v>
      </c>
      <c r="H794" s="331" t="s">
        <v>944</v>
      </c>
      <c r="I794" s="331" t="s">
        <v>945</v>
      </c>
      <c r="J794" s="332" t="s">
        <v>11</v>
      </c>
      <c r="K794" s="332" t="s">
        <v>12</v>
      </c>
      <c r="L794" s="333">
        <v>84.99</v>
      </c>
      <c r="M794" s="334">
        <v>657</v>
      </c>
      <c r="N794" s="334">
        <v>347</v>
      </c>
      <c r="O794" s="334">
        <v>266</v>
      </c>
      <c r="P794" s="944" t="s">
        <v>949</v>
      </c>
      <c r="Q794" s="923" t="s">
        <v>946</v>
      </c>
      <c r="R794" s="923" t="s">
        <v>947</v>
      </c>
      <c r="S794" s="1682" t="s">
        <v>65</v>
      </c>
      <c r="T794" s="1101" t="s">
        <v>948</v>
      </c>
      <c r="U794" s="1101" t="s">
        <v>17</v>
      </c>
    </row>
    <row r="795" spans="1:21" s="10" customFormat="1" ht="35.1" customHeight="1">
      <c r="A795" s="1241"/>
      <c r="B795" s="538"/>
      <c r="C795" s="1409"/>
      <c r="D795" s="1422"/>
      <c r="E795" s="1423"/>
      <c r="F795" s="1424"/>
      <c r="G795" s="594" t="s">
        <v>329</v>
      </c>
      <c r="H795" s="595"/>
      <c r="I795" s="595"/>
      <c r="J795" s="595"/>
      <c r="K795" s="1083"/>
      <c r="L795" s="184"/>
      <c r="M795" s="335">
        <f>SUM(M794)</f>
        <v>657</v>
      </c>
      <c r="N795" s="335">
        <f>SUM(N794)</f>
        <v>347</v>
      </c>
      <c r="O795" s="335">
        <f>SUM(O794)</f>
        <v>266</v>
      </c>
      <c r="P795" s="946"/>
      <c r="Q795" s="925"/>
      <c r="R795" s="925"/>
      <c r="S795" s="1683"/>
      <c r="T795" s="1102"/>
      <c r="U795" s="1102"/>
    </row>
    <row r="796" spans="1:21" s="10" customFormat="1" ht="35.1" customHeight="1">
      <c r="A796" s="1241"/>
      <c r="B796" s="538"/>
      <c r="C796" s="1247" t="s">
        <v>512</v>
      </c>
      <c r="D796" s="783" t="s">
        <v>513</v>
      </c>
      <c r="E796" s="784"/>
      <c r="F796" s="785"/>
      <c r="G796" s="654" t="s">
        <v>514</v>
      </c>
      <c r="H796" s="654" t="s">
        <v>514</v>
      </c>
      <c r="I796" s="654" t="s">
        <v>515</v>
      </c>
      <c r="J796" s="795" t="s">
        <v>11</v>
      </c>
      <c r="K796" s="795" t="s">
        <v>12</v>
      </c>
      <c r="L796" s="193" t="s">
        <v>84</v>
      </c>
      <c r="M796" s="221">
        <v>660</v>
      </c>
      <c r="N796" s="282">
        <v>117</v>
      </c>
      <c r="O796" s="282">
        <v>117</v>
      </c>
      <c r="P796" s="499" t="s">
        <v>434</v>
      </c>
      <c r="Q796" s="499" t="s">
        <v>424</v>
      </c>
      <c r="R796" s="499" t="s">
        <v>516</v>
      </c>
      <c r="S796" s="523" t="s">
        <v>13</v>
      </c>
      <c r="T796" s="792" t="s">
        <v>517</v>
      </c>
      <c r="U796" s="792" t="s">
        <v>11</v>
      </c>
    </row>
    <row r="797" spans="1:21" s="10" customFormat="1" ht="35.1" customHeight="1">
      <c r="A797" s="1241"/>
      <c r="B797" s="538"/>
      <c r="C797" s="1248"/>
      <c r="D797" s="786"/>
      <c r="E797" s="787"/>
      <c r="F797" s="788"/>
      <c r="G797" s="655"/>
      <c r="H797" s="655"/>
      <c r="I797" s="655"/>
      <c r="J797" s="797"/>
      <c r="K797" s="797"/>
      <c r="L797" s="193" t="s">
        <v>83</v>
      </c>
      <c r="M797" s="221">
        <v>316</v>
      </c>
      <c r="N797" s="282">
        <v>82</v>
      </c>
      <c r="O797" s="282">
        <v>82</v>
      </c>
      <c r="P797" s="500"/>
      <c r="Q797" s="500"/>
      <c r="R797" s="500"/>
      <c r="S797" s="524"/>
      <c r="T797" s="793"/>
      <c r="U797" s="793"/>
    </row>
    <row r="798" spans="1:21" s="10" customFormat="1" ht="35.1" customHeight="1">
      <c r="A798" s="1241"/>
      <c r="B798" s="538"/>
      <c r="C798" s="1249"/>
      <c r="D798" s="789"/>
      <c r="E798" s="790"/>
      <c r="F798" s="791"/>
      <c r="G798" s="594" t="s">
        <v>329</v>
      </c>
      <c r="H798" s="595"/>
      <c r="I798" s="595"/>
      <c r="J798" s="595"/>
      <c r="K798" s="1083"/>
      <c r="L798" s="346"/>
      <c r="M798" s="249">
        <f>SUM(M796:M797)</f>
        <v>976</v>
      </c>
      <c r="N798" s="246">
        <f>SUM(N796:N797)</f>
        <v>199</v>
      </c>
      <c r="O798" s="246">
        <f>SUM(O796:O797)</f>
        <v>199</v>
      </c>
      <c r="P798" s="501"/>
      <c r="Q798" s="501"/>
      <c r="R798" s="501"/>
      <c r="S798" s="694"/>
      <c r="T798" s="794"/>
      <c r="U798" s="794"/>
    </row>
    <row r="799" spans="1:21" s="10" customFormat="1" ht="35.1" customHeight="1">
      <c r="A799" s="1241"/>
      <c r="B799" s="538"/>
      <c r="C799" s="1247" t="s">
        <v>832</v>
      </c>
      <c r="D799" s="783" t="s">
        <v>833</v>
      </c>
      <c r="E799" s="784"/>
      <c r="F799" s="785"/>
      <c r="G799" s="654" t="s">
        <v>834</v>
      </c>
      <c r="H799" s="654" t="s">
        <v>835</v>
      </c>
      <c r="I799" s="654" t="s">
        <v>836</v>
      </c>
      <c r="J799" s="795" t="s">
        <v>11</v>
      </c>
      <c r="K799" s="795" t="s">
        <v>12</v>
      </c>
      <c r="L799" s="1099">
        <v>84.99</v>
      </c>
      <c r="M799" s="1431">
        <v>288</v>
      </c>
      <c r="N799" s="460">
        <v>251</v>
      </c>
      <c r="O799" s="460">
        <v>251</v>
      </c>
      <c r="P799" s="499" t="s">
        <v>828</v>
      </c>
      <c r="Q799" s="499" t="s">
        <v>437</v>
      </c>
      <c r="R799" s="499" t="s">
        <v>837</v>
      </c>
      <c r="S799" s="523" t="s">
        <v>65</v>
      </c>
      <c r="T799" s="792" t="s">
        <v>838</v>
      </c>
      <c r="U799" s="792" t="s">
        <v>11</v>
      </c>
    </row>
    <row r="800" spans="1:21" s="10" customFormat="1" ht="35.1" customHeight="1">
      <c r="A800" s="1241"/>
      <c r="B800" s="538"/>
      <c r="C800" s="1248"/>
      <c r="D800" s="786"/>
      <c r="E800" s="787"/>
      <c r="F800" s="788"/>
      <c r="G800" s="655"/>
      <c r="H800" s="655"/>
      <c r="I800" s="655"/>
      <c r="J800" s="797"/>
      <c r="K800" s="797"/>
      <c r="L800" s="1100"/>
      <c r="M800" s="1432"/>
      <c r="N800" s="462"/>
      <c r="O800" s="462"/>
      <c r="P800" s="500"/>
      <c r="Q800" s="500"/>
      <c r="R800" s="500"/>
      <c r="S800" s="524"/>
      <c r="T800" s="793"/>
      <c r="U800" s="793"/>
    </row>
    <row r="801" spans="1:1892" s="10" customFormat="1" ht="35.1" customHeight="1">
      <c r="A801" s="1241"/>
      <c r="B801" s="539"/>
      <c r="C801" s="1249"/>
      <c r="D801" s="789"/>
      <c r="E801" s="790"/>
      <c r="F801" s="791"/>
      <c r="G801" s="594" t="s">
        <v>329</v>
      </c>
      <c r="H801" s="595"/>
      <c r="I801" s="595"/>
      <c r="J801" s="595"/>
      <c r="K801" s="1083"/>
      <c r="L801" s="184"/>
      <c r="M801" s="283">
        <f>SUM(M799)</f>
        <v>288</v>
      </c>
      <c r="N801" s="284">
        <f>SUM(N799)</f>
        <v>251</v>
      </c>
      <c r="O801" s="284">
        <f>SUM(O799)</f>
        <v>251</v>
      </c>
      <c r="P801" s="501"/>
      <c r="Q801" s="501"/>
      <c r="R801" s="501"/>
      <c r="S801" s="694"/>
      <c r="T801" s="794"/>
      <c r="U801" s="794"/>
    </row>
    <row r="802" spans="1:1892" s="9" customFormat="1" ht="35.1" customHeight="1">
      <c r="A802" s="1241"/>
      <c r="B802" s="620" t="s">
        <v>105</v>
      </c>
      <c r="C802" s="621"/>
      <c r="D802" s="621"/>
      <c r="E802" s="621"/>
      <c r="F802" s="621"/>
      <c r="G802" s="621"/>
      <c r="H802" s="621"/>
      <c r="I802" s="621"/>
      <c r="J802" s="621"/>
      <c r="K802" s="622"/>
      <c r="L802" s="122"/>
      <c r="M802" s="226">
        <f>M778+M783+M788+M793+M795+M798+M801</f>
        <v>4335</v>
      </c>
      <c r="N802" s="226">
        <f t="shared" ref="N802" si="54">N778+N783+N788+N793+N795+N798+N801</f>
        <v>919</v>
      </c>
      <c r="O802" s="226">
        <f t="shared" ref="O802" si="55">O778+O783+O788+O793+O795+O798+O801</f>
        <v>839</v>
      </c>
      <c r="P802" s="123"/>
      <c r="Q802" s="123"/>
      <c r="R802" s="123"/>
      <c r="S802" s="156"/>
      <c r="T802" s="156"/>
      <c r="U802" s="156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  <c r="BT802" s="10"/>
      <c r="BU802" s="10"/>
      <c r="BV802" s="10"/>
      <c r="BW802" s="10"/>
      <c r="BX802" s="10"/>
      <c r="BY802" s="10"/>
      <c r="BZ802" s="10"/>
      <c r="CA802" s="10"/>
      <c r="CB802" s="10"/>
      <c r="CC802" s="10"/>
      <c r="CD802" s="10"/>
      <c r="CE802" s="10"/>
      <c r="CF802" s="10"/>
      <c r="CG802" s="10"/>
      <c r="CH802" s="10"/>
      <c r="CI802" s="10"/>
      <c r="CJ802" s="10"/>
      <c r="CK802" s="10"/>
      <c r="CL802" s="10"/>
      <c r="CM802" s="10"/>
      <c r="CN802" s="10"/>
      <c r="CO802" s="10"/>
      <c r="CP802" s="10"/>
      <c r="CQ802" s="10"/>
      <c r="CR802" s="10"/>
      <c r="CS802" s="10"/>
      <c r="CT802" s="10"/>
      <c r="CU802" s="10"/>
      <c r="CV802" s="10"/>
      <c r="CW802" s="10"/>
      <c r="CX802" s="10"/>
      <c r="CY802" s="10"/>
      <c r="CZ802" s="10"/>
      <c r="DA802" s="10"/>
      <c r="DB802" s="10"/>
      <c r="DC802" s="10"/>
      <c r="DD802" s="10"/>
      <c r="DE802" s="10"/>
      <c r="DF802" s="10"/>
      <c r="DG802" s="10"/>
      <c r="DH802" s="10"/>
      <c r="DI802" s="10"/>
      <c r="DJ802" s="10"/>
      <c r="DK802" s="10"/>
      <c r="DL802" s="10"/>
      <c r="DM802" s="10"/>
      <c r="DN802" s="10"/>
      <c r="DO802" s="10"/>
      <c r="DP802" s="10"/>
      <c r="DQ802" s="10"/>
      <c r="DR802" s="10"/>
      <c r="DS802" s="10"/>
      <c r="DT802" s="10"/>
      <c r="DU802" s="10"/>
      <c r="DV802" s="10"/>
      <c r="DW802" s="10"/>
      <c r="DX802" s="10"/>
      <c r="DY802" s="10"/>
      <c r="DZ802" s="10"/>
      <c r="EA802" s="10"/>
      <c r="EB802" s="10"/>
      <c r="EC802" s="10"/>
      <c r="ED802" s="10"/>
      <c r="EE802" s="10"/>
      <c r="EF802" s="10"/>
      <c r="EG802" s="10"/>
      <c r="EH802" s="10"/>
      <c r="EI802" s="10"/>
      <c r="EJ802" s="10"/>
      <c r="EK802" s="10"/>
      <c r="EL802" s="10"/>
      <c r="EM802" s="10"/>
      <c r="EN802" s="10"/>
      <c r="EO802" s="10"/>
      <c r="EP802" s="10"/>
      <c r="EQ802" s="10"/>
      <c r="ER802" s="10"/>
      <c r="ES802" s="10"/>
      <c r="ET802" s="10"/>
      <c r="EU802" s="10"/>
      <c r="EV802" s="10"/>
      <c r="EW802" s="10"/>
      <c r="EX802" s="10"/>
      <c r="EY802" s="10"/>
      <c r="EZ802" s="10"/>
      <c r="FA802" s="10"/>
      <c r="FB802" s="10"/>
      <c r="FC802" s="10"/>
      <c r="FD802" s="10"/>
      <c r="FE802" s="10"/>
      <c r="FF802" s="10"/>
      <c r="FG802" s="10"/>
      <c r="FH802" s="10"/>
      <c r="FI802" s="10"/>
      <c r="FJ802" s="10"/>
      <c r="FK802" s="10"/>
      <c r="FL802" s="10"/>
      <c r="FM802" s="10"/>
      <c r="FN802" s="10"/>
      <c r="FO802" s="10"/>
      <c r="FP802" s="10"/>
      <c r="FQ802" s="10"/>
      <c r="FR802" s="10"/>
      <c r="FS802" s="10"/>
      <c r="FT802" s="10"/>
      <c r="FU802" s="10"/>
      <c r="FV802" s="10"/>
      <c r="FW802" s="10"/>
      <c r="FX802" s="10"/>
      <c r="FY802" s="10"/>
      <c r="FZ802" s="10"/>
      <c r="GA802" s="10"/>
      <c r="GB802" s="10"/>
      <c r="GC802" s="10"/>
      <c r="GD802" s="10"/>
      <c r="GE802" s="10"/>
      <c r="GF802" s="10"/>
      <c r="GG802" s="10"/>
      <c r="GH802" s="10"/>
      <c r="GI802" s="10"/>
      <c r="GJ802" s="10"/>
      <c r="GK802" s="10"/>
      <c r="GL802" s="10"/>
      <c r="GM802" s="10"/>
      <c r="GN802" s="10"/>
      <c r="GO802" s="10"/>
      <c r="GP802" s="10"/>
      <c r="GQ802" s="10"/>
      <c r="GR802" s="10"/>
      <c r="GS802" s="10"/>
      <c r="GT802" s="10"/>
      <c r="GU802" s="10"/>
      <c r="GV802" s="10"/>
      <c r="GW802" s="10"/>
      <c r="GX802" s="10"/>
      <c r="GY802" s="10"/>
      <c r="GZ802" s="10"/>
      <c r="HA802" s="10"/>
      <c r="HB802" s="10"/>
      <c r="HC802" s="10"/>
      <c r="HD802" s="10"/>
      <c r="HE802" s="10"/>
      <c r="HF802" s="10"/>
      <c r="HG802" s="10"/>
      <c r="HH802" s="10"/>
      <c r="HI802" s="10"/>
      <c r="HJ802" s="10"/>
      <c r="HK802" s="10"/>
      <c r="HL802" s="10"/>
      <c r="HM802" s="10"/>
      <c r="HN802" s="10"/>
      <c r="HO802" s="10"/>
      <c r="HP802" s="10"/>
      <c r="HQ802" s="10"/>
      <c r="HR802" s="10"/>
      <c r="HS802" s="10"/>
      <c r="HT802" s="10"/>
      <c r="HU802" s="10"/>
      <c r="HV802" s="10"/>
      <c r="HW802" s="10"/>
      <c r="HX802" s="10"/>
      <c r="HY802" s="10"/>
      <c r="HZ802" s="10"/>
      <c r="IA802" s="10"/>
      <c r="IB802" s="10"/>
      <c r="IC802" s="10"/>
      <c r="ID802" s="10"/>
      <c r="IE802" s="10"/>
      <c r="IF802" s="10"/>
      <c r="IG802" s="10"/>
      <c r="IH802" s="10"/>
      <c r="II802" s="10"/>
      <c r="IJ802" s="10"/>
      <c r="IK802" s="10"/>
      <c r="IL802" s="10"/>
      <c r="IM802" s="10"/>
      <c r="IN802" s="10"/>
      <c r="IO802" s="10"/>
      <c r="IP802" s="10"/>
      <c r="IQ802" s="10"/>
      <c r="IR802" s="10"/>
      <c r="IS802" s="10"/>
      <c r="IT802" s="10"/>
      <c r="IU802" s="10"/>
      <c r="IV802" s="10"/>
      <c r="IW802" s="10"/>
      <c r="IX802" s="10"/>
      <c r="IY802" s="10"/>
      <c r="IZ802" s="10"/>
      <c r="JA802" s="10"/>
      <c r="JB802" s="10"/>
      <c r="JC802" s="10"/>
      <c r="JD802" s="10"/>
      <c r="JE802" s="10"/>
      <c r="JF802" s="10"/>
      <c r="JG802" s="10"/>
      <c r="JH802" s="10"/>
      <c r="JI802" s="10"/>
      <c r="JJ802" s="10"/>
      <c r="JK802" s="10"/>
      <c r="JL802" s="10"/>
      <c r="JM802" s="10"/>
      <c r="JN802" s="10"/>
      <c r="JO802" s="10"/>
      <c r="JP802" s="10"/>
      <c r="JQ802" s="10"/>
      <c r="JR802" s="10"/>
      <c r="JS802" s="10"/>
      <c r="JT802" s="10"/>
      <c r="JU802" s="10"/>
      <c r="JV802" s="10"/>
      <c r="JW802" s="10"/>
      <c r="JX802" s="10"/>
      <c r="JY802" s="10"/>
      <c r="JZ802" s="10"/>
      <c r="KA802" s="10"/>
      <c r="KB802" s="10"/>
      <c r="KC802" s="10"/>
      <c r="KD802" s="10"/>
      <c r="KE802" s="10"/>
      <c r="KF802" s="10"/>
      <c r="KG802" s="10"/>
      <c r="KH802" s="10"/>
      <c r="KI802" s="10"/>
      <c r="KJ802" s="10"/>
      <c r="KK802" s="10"/>
      <c r="KL802" s="10"/>
      <c r="KM802" s="10"/>
      <c r="KN802" s="10"/>
      <c r="KO802" s="10"/>
      <c r="KP802" s="10"/>
      <c r="KQ802" s="10"/>
      <c r="KR802" s="10"/>
      <c r="KS802" s="10"/>
      <c r="KT802" s="10"/>
      <c r="KU802" s="10"/>
      <c r="KV802" s="10"/>
      <c r="KW802" s="10"/>
      <c r="KX802" s="10"/>
      <c r="KY802" s="10"/>
      <c r="KZ802" s="10"/>
      <c r="LA802" s="10"/>
      <c r="LB802" s="10"/>
      <c r="LC802" s="10"/>
      <c r="LD802" s="10"/>
      <c r="LE802" s="10"/>
      <c r="LF802" s="10"/>
      <c r="LG802" s="10"/>
      <c r="LH802" s="10"/>
      <c r="LI802" s="10"/>
      <c r="LJ802" s="10"/>
      <c r="LK802" s="10"/>
      <c r="LL802" s="10"/>
      <c r="LM802" s="10"/>
      <c r="LN802" s="10"/>
      <c r="LO802" s="10"/>
      <c r="LP802" s="10"/>
      <c r="LQ802" s="10"/>
      <c r="LR802" s="10"/>
      <c r="LS802" s="10"/>
      <c r="LT802" s="10"/>
      <c r="LU802" s="10"/>
      <c r="LV802" s="10"/>
      <c r="LW802" s="10"/>
      <c r="LX802" s="10"/>
      <c r="LY802" s="10"/>
      <c r="LZ802" s="10"/>
      <c r="MA802" s="10"/>
      <c r="MB802" s="10"/>
      <c r="MC802" s="10"/>
      <c r="MD802" s="10"/>
      <c r="ME802" s="10"/>
      <c r="MF802" s="10"/>
      <c r="MG802" s="10"/>
      <c r="MH802" s="10"/>
      <c r="MI802" s="10"/>
      <c r="MJ802" s="10"/>
      <c r="MK802" s="10"/>
      <c r="ML802" s="10"/>
      <c r="MM802" s="10"/>
      <c r="MN802" s="10"/>
      <c r="MO802" s="10"/>
      <c r="MP802" s="10"/>
      <c r="MQ802" s="10"/>
      <c r="MR802" s="10"/>
      <c r="MS802" s="10"/>
      <c r="MT802" s="10"/>
      <c r="MU802" s="10"/>
      <c r="MV802" s="10"/>
      <c r="MW802" s="10"/>
      <c r="MX802" s="10"/>
      <c r="MY802" s="10"/>
      <c r="MZ802" s="10"/>
      <c r="NA802" s="10"/>
      <c r="NB802" s="10"/>
      <c r="NC802" s="10"/>
      <c r="ND802" s="10"/>
      <c r="NE802" s="10"/>
      <c r="NF802" s="10"/>
      <c r="NG802" s="10"/>
      <c r="NH802" s="10"/>
      <c r="NI802" s="10"/>
      <c r="NJ802" s="10"/>
      <c r="NK802" s="10"/>
      <c r="NL802" s="10"/>
      <c r="NM802" s="10"/>
      <c r="NN802" s="10"/>
      <c r="NO802" s="10"/>
      <c r="NP802" s="10"/>
      <c r="NQ802" s="10"/>
      <c r="NR802" s="10"/>
      <c r="NS802" s="10"/>
      <c r="NT802" s="10"/>
      <c r="NU802" s="10"/>
      <c r="NV802" s="10"/>
      <c r="NW802" s="10"/>
      <c r="NX802" s="10"/>
      <c r="NY802" s="10"/>
      <c r="NZ802" s="10"/>
      <c r="OA802" s="10"/>
      <c r="OB802" s="10"/>
      <c r="OC802" s="10"/>
      <c r="OD802" s="10"/>
      <c r="OE802" s="10"/>
      <c r="OF802" s="10"/>
      <c r="OG802" s="10"/>
      <c r="OH802" s="10"/>
      <c r="OI802" s="10"/>
      <c r="OJ802" s="10"/>
      <c r="OK802" s="10"/>
      <c r="OL802" s="10"/>
      <c r="OM802" s="10"/>
      <c r="ON802" s="10"/>
      <c r="OO802" s="10"/>
      <c r="OP802" s="10"/>
      <c r="OQ802" s="10"/>
      <c r="OR802" s="10"/>
      <c r="OS802" s="10"/>
      <c r="OT802" s="10"/>
      <c r="OU802" s="10"/>
      <c r="OV802" s="10"/>
      <c r="OW802" s="10"/>
      <c r="OX802" s="10"/>
      <c r="OY802" s="10"/>
      <c r="OZ802" s="10"/>
      <c r="PA802" s="10"/>
      <c r="PB802" s="10"/>
      <c r="PC802" s="10"/>
      <c r="PD802" s="10"/>
      <c r="PE802" s="10"/>
      <c r="PF802" s="10"/>
      <c r="PG802" s="10"/>
      <c r="PH802" s="10"/>
      <c r="PI802" s="10"/>
      <c r="PJ802" s="10"/>
      <c r="PK802" s="10"/>
      <c r="PL802" s="10"/>
      <c r="PM802" s="10"/>
      <c r="PN802" s="10"/>
      <c r="PO802" s="10"/>
      <c r="PP802" s="10"/>
      <c r="PQ802" s="10"/>
      <c r="PR802" s="10"/>
      <c r="PS802" s="10"/>
      <c r="PT802" s="10"/>
      <c r="PU802" s="10"/>
      <c r="PV802" s="10"/>
      <c r="PW802" s="10"/>
      <c r="PX802" s="10"/>
      <c r="PY802" s="10"/>
      <c r="PZ802" s="10"/>
      <c r="QA802" s="10"/>
      <c r="QB802" s="10"/>
      <c r="QC802" s="10"/>
      <c r="QD802" s="10"/>
      <c r="QE802" s="10"/>
      <c r="QF802" s="10"/>
      <c r="QG802" s="10"/>
      <c r="QH802" s="10"/>
      <c r="QI802" s="10"/>
      <c r="QJ802" s="10"/>
      <c r="QK802" s="10"/>
      <c r="QL802" s="10"/>
      <c r="QM802" s="10"/>
      <c r="QN802" s="10"/>
      <c r="QO802" s="10"/>
      <c r="QP802" s="10"/>
      <c r="QQ802" s="10"/>
      <c r="QR802" s="10"/>
      <c r="QS802" s="10"/>
      <c r="QT802" s="10"/>
      <c r="QU802" s="10"/>
      <c r="QV802" s="10"/>
      <c r="QW802" s="10"/>
      <c r="QX802" s="10"/>
      <c r="QY802" s="10"/>
      <c r="QZ802" s="10"/>
      <c r="RA802" s="10"/>
      <c r="RB802" s="10"/>
      <c r="RC802" s="10"/>
      <c r="RD802" s="10"/>
      <c r="RE802" s="10"/>
      <c r="RF802" s="10"/>
      <c r="RG802" s="10"/>
      <c r="RH802" s="10"/>
      <c r="RI802" s="10"/>
      <c r="RJ802" s="10"/>
      <c r="RK802" s="10"/>
      <c r="RL802" s="10"/>
      <c r="RM802" s="10"/>
      <c r="RN802" s="10"/>
      <c r="RO802" s="10"/>
      <c r="RP802" s="10"/>
      <c r="RQ802" s="10"/>
      <c r="RR802" s="10"/>
      <c r="RS802" s="10"/>
      <c r="RT802" s="10"/>
      <c r="RU802" s="10"/>
      <c r="RV802" s="10"/>
      <c r="RW802" s="10"/>
      <c r="RX802" s="10"/>
      <c r="RY802" s="10"/>
      <c r="RZ802" s="10"/>
      <c r="SA802" s="10"/>
      <c r="SB802" s="10"/>
      <c r="SC802" s="10"/>
      <c r="SD802" s="10"/>
      <c r="SE802" s="10"/>
      <c r="SF802" s="10"/>
      <c r="SG802" s="10"/>
      <c r="SH802" s="10"/>
      <c r="SI802" s="10"/>
      <c r="SJ802" s="10"/>
      <c r="SK802" s="10"/>
      <c r="SL802" s="10"/>
      <c r="SM802" s="10"/>
      <c r="SN802" s="10"/>
      <c r="SO802" s="10"/>
      <c r="SP802" s="10"/>
      <c r="SQ802" s="10"/>
      <c r="SR802" s="10"/>
      <c r="SS802" s="10"/>
      <c r="ST802" s="10"/>
      <c r="SU802" s="10"/>
      <c r="SV802" s="10"/>
      <c r="SW802" s="10"/>
      <c r="SX802" s="10"/>
      <c r="SY802" s="10"/>
      <c r="SZ802" s="10"/>
      <c r="TA802" s="10"/>
      <c r="TB802" s="10"/>
      <c r="TC802" s="10"/>
      <c r="TD802" s="10"/>
      <c r="TE802" s="10"/>
      <c r="TF802" s="10"/>
      <c r="TG802" s="10"/>
      <c r="TH802" s="10"/>
      <c r="TI802" s="10"/>
      <c r="TJ802" s="10"/>
      <c r="TK802" s="10"/>
      <c r="TL802" s="10"/>
      <c r="TM802" s="10"/>
      <c r="TN802" s="10"/>
      <c r="TO802" s="10"/>
      <c r="TP802" s="10"/>
      <c r="TQ802" s="10"/>
      <c r="TR802" s="10"/>
      <c r="TS802" s="10"/>
      <c r="TT802" s="10"/>
      <c r="TU802" s="10"/>
      <c r="TV802" s="10"/>
      <c r="TW802" s="10"/>
      <c r="TX802" s="10"/>
      <c r="TY802" s="10"/>
      <c r="TZ802" s="10"/>
      <c r="UA802" s="10"/>
      <c r="UB802" s="10"/>
      <c r="UC802" s="10"/>
      <c r="UD802" s="10"/>
      <c r="UE802" s="10"/>
      <c r="UF802" s="10"/>
      <c r="UG802" s="10"/>
      <c r="UH802" s="10"/>
      <c r="UI802" s="10"/>
      <c r="UJ802" s="10"/>
      <c r="UK802" s="10"/>
      <c r="UL802" s="10"/>
      <c r="UM802" s="10"/>
      <c r="UN802" s="10"/>
      <c r="UO802" s="10"/>
      <c r="UP802" s="10"/>
      <c r="UQ802" s="10"/>
      <c r="UR802" s="10"/>
      <c r="US802" s="10"/>
      <c r="UT802" s="10"/>
      <c r="UU802" s="10"/>
      <c r="UV802" s="10"/>
      <c r="UW802" s="10"/>
      <c r="UX802" s="10"/>
      <c r="UY802" s="10"/>
      <c r="UZ802" s="10"/>
      <c r="VA802" s="10"/>
      <c r="VB802" s="10"/>
      <c r="VC802" s="10"/>
      <c r="VD802" s="10"/>
      <c r="VE802" s="10"/>
      <c r="VF802" s="10"/>
      <c r="VG802" s="10"/>
      <c r="VH802" s="10"/>
      <c r="VI802" s="10"/>
      <c r="VJ802" s="10"/>
      <c r="VK802" s="10"/>
      <c r="VL802" s="10"/>
      <c r="VM802" s="10"/>
      <c r="VN802" s="10"/>
      <c r="VO802" s="10"/>
      <c r="VP802" s="10"/>
      <c r="VQ802" s="10"/>
      <c r="VR802" s="10"/>
      <c r="VS802" s="10"/>
      <c r="VT802" s="10"/>
      <c r="VU802" s="10"/>
      <c r="VV802" s="10"/>
      <c r="VW802" s="10"/>
      <c r="VX802" s="10"/>
      <c r="VY802" s="10"/>
      <c r="VZ802" s="10"/>
      <c r="WA802" s="10"/>
      <c r="WB802" s="10"/>
      <c r="WC802" s="10"/>
      <c r="WD802" s="10"/>
      <c r="WE802" s="10"/>
      <c r="WF802" s="10"/>
      <c r="WG802" s="10"/>
      <c r="WH802" s="10"/>
      <c r="WI802" s="10"/>
      <c r="WJ802" s="10"/>
      <c r="WK802" s="10"/>
      <c r="WL802" s="10"/>
      <c r="WM802" s="10"/>
      <c r="WN802" s="10"/>
      <c r="WO802" s="10"/>
      <c r="WP802" s="10"/>
      <c r="WQ802" s="10"/>
      <c r="WR802" s="10"/>
      <c r="WS802" s="10"/>
      <c r="WT802" s="10"/>
      <c r="WU802" s="10"/>
      <c r="WV802" s="10"/>
      <c r="WW802" s="10"/>
      <c r="WX802" s="10"/>
      <c r="WY802" s="10"/>
      <c r="WZ802" s="10"/>
      <c r="XA802" s="10"/>
      <c r="XB802" s="10"/>
      <c r="XC802" s="10"/>
      <c r="XD802" s="10"/>
      <c r="XE802" s="10"/>
      <c r="XF802" s="10"/>
      <c r="XG802" s="10"/>
      <c r="XH802" s="10"/>
      <c r="XI802" s="10"/>
      <c r="XJ802" s="10"/>
      <c r="XK802" s="10"/>
      <c r="XL802" s="10"/>
      <c r="XM802" s="10"/>
      <c r="XN802" s="10"/>
      <c r="XO802" s="10"/>
      <c r="XP802" s="10"/>
      <c r="XQ802" s="10"/>
      <c r="XR802" s="10"/>
      <c r="XS802" s="10"/>
      <c r="XT802" s="10"/>
      <c r="XU802" s="10"/>
      <c r="XV802" s="10"/>
      <c r="XW802" s="10"/>
      <c r="XX802" s="10"/>
      <c r="XY802" s="10"/>
      <c r="XZ802" s="10"/>
      <c r="YA802" s="10"/>
      <c r="YB802" s="10"/>
      <c r="YC802" s="10"/>
      <c r="YD802" s="10"/>
      <c r="YE802" s="10"/>
      <c r="YF802" s="10"/>
      <c r="YG802" s="10"/>
      <c r="YH802" s="10"/>
      <c r="YI802" s="10"/>
      <c r="YJ802" s="10"/>
      <c r="YK802" s="10"/>
      <c r="YL802" s="10"/>
      <c r="YM802" s="10"/>
      <c r="YN802" s="10"/>
      <c r="YO802" s="10"/>
      <c r="YP802" s="10"/>
      <c r="YQ802" s="10"/>
      <c r="YR802" s="10"/>
      <c r="YS802" s="10"/>
      <c r="YT802" s="10"/>
      <c r="YU802" s="10"/>
      <c r="YV802" s="10"/>
      <c r="YW802" s="10"/>
      <c r="YX802" s="10"/>
      <c r="YY802" s="10"/>
      <c r="YZ802" s="10"/>
      <c r="ZA802" s="10"/>
      <c r="ZB802" s="10"/>
      <c r="ZC802" s="10"/>
      <c r="ZD802" s="10"/>
      <c r="ZE802" s="10"/>
      <c r="ZF802" s="10"/>
      <c r="ZG802" s="10"/>
      <c r="ZH802" s="10"/>
      <c r="ZI802" s="10"/>
      <c r="ZJ802" s="10"/>
      <c r="ZK802" s="10"/>
      <c r="ZL802" s="10"/>
      <c r="ZM802" s="10"/>
      <c r="ZN802" s="10"/>
      <c r="ZO802" s="10"/>
      <c r="ZP802" s="10"/>
      <c r="ZQ802" s="10"/>
      <c r="ZR802" s="10"/>
      <c r="ZS802" s="10"/>
      <c r="ZT802" s="10"/>
      <c r="ZU802" s="10"/>
      <c r="ZV802" s="10"/>
      <c r="ZW802" s="10"/>
      <c r="ZX802" s="10"/>
      <c r="ZY802" s="10"/>
      <c r="ZZ802" s="10"/>
      <c r="AAA802" s="10"/>
      <c r="AAB802" s="10"/>
      <c r="AAC802" s="10"/>
      <c r="AAD802" s="10"/>
      <c r="AAE802" s="10"/>
      <c r="AAF802" s="10"/>
      <c r="AAG802" s="10"/>
      <c r="AAH802" s="10"/>
      <c r="AAI802" s="10"/>
      <c r="AAJ802" s="10"/>
      <c r="AAK802" s="10"/>
      <c r="AAL802" s="10"/>
      <c r="AAM802" s="10"/>
      <c r="AAN802" s="10"/>
      <c r="AAO802" s="10"/>
      <c r="AAP802" s="10"/>
      <c r="AAQ802" s="10"/>
      <c r="AAR802" s="10"/>
      <c r="AAS802" s="10"/>
      <c r="AAT802" s="10"/>
      <c r="AAU802" s="10"/>
      <c r="AAV802" s="10"/>
      <c r="AAW802" s="10"/>
      <c r="AAX802" s="10"/>
      <c r="AAY802" s="10"/>
      <c r="AAZ802" s="10"/>
      <c r="ABA802" s="10"/>
      <c r="ABB802" s="10"/>
      <c r="ABC802" s="10"/>
      <c r="ABD802" s="10"/>
      <c r="ABE802" s="10"/>
      <c r="ABF802" s="10"/>
      <c r="ABG802" s="10"/>
      <c r="ABH802" s="10"/>
      <c r="ABI802" s="10"/>
      <c r="ABJ802" s="10"/>
      <c r="ABK802" s="10"/>
      <c r="ABL802" s="10"/>
      <c r="ABM802" s="10"/>
      <c r="ABN802" s="10"/>
      <c r="ABO802" s="10"/>
      <c r="ABP802" s="10"/>
      <c r="ABQ802" s="10"/>
      <c r="ABR802" s="10"/>
      <c r="ABS802" s="10"/>
      <c r="ABT802" s="10"/>
      <c r="ABU802" s="10"/>
      <c r="ABV802" s="10"/>
      <c r="ABW802" s="10"/>
      <c r="ABX802" s="10"/>
      <c r="ABY802" s="10"/>
      <c r="ABZ802" s="10"/>
      <c r="ACA802" s="10"/>
      <c r="ACB802" s="10"/>
      <c r="ACC802" s="10"/>
      <c r="ACD802" s="10"/>
      <c r="ACE802" s="10"/>
      <c r="ACF802" s="10"/>
      <c r="ACG802" s="10"/>
      <c r="ACH802" s="10"/>
      <c r="ACI802" s="10"/>
      <c r="ACJ802" s="10"/>
      <c r="ACK802" s="10"/>
      <c r="ACL802" s="10"/>
      <c r="ACM802" s="10"/>
      <c r="ACN802" s="10"/>
      <c r="ACO802" s="10"/>
      <c r="ACP802" s="10"/>
      <c r="ACQ802" s="10"/>
      <c r="ACR802" s="10"/>
      <c r="ACS802" s="10"/>
      <c r="ACT802" s="10"/>
      <c r="ACU802" s="10"/>
      <c r="ACV802" s="10"/>
      <c r="ACW802" s="10"/>
      <c r="ACX802" s="10"/>
      <c r="ACY802" s="10"/>
      <c r="ACZ802" s="10"/>
      <c r="ADA802" s="10"/>
      <c r="ADB802" s="10"/>
      <c r="ADC802" s="10"/>
      <c r="ADD802" s="10"/>
      <c r="ADE802" s="10"/>
      <c r="ADF802" s="10"/>
      <c r="ADG802" s="10"/>
      <c r="ADH802" s="10"/>
      <c r="ADI802" s="10"/>
      <c r="ADJ802" s="10"/>
      <c r="ADK802" s="10"/>
      <c r="ADL802" s="10"/>
      <c r="ADM802" s="10"/>
      <c r="ADN802" s="10"/>
      <c r="ADO802" s="10"/>
      <c r="ADP802" s="10"/>
      <c r="ADQ802" s="10"/>
      <c r="ADR802" s="10"/>
      <c r="ADS802" s="10"/>
      <c r="ADT802" s="10"/>
      <c r="ADU802" s="10"/>
      <c r="ADV802" s="10"/>
      <c r="ADW802" s="10"/>
      <c r="ADX802" s="10"/>
      <c r="ADY802" s="10"/>
      <c r="ADZ802" s="10"/>
      <c r="AEA802" s="10"/>
      <c r="AEB802" s="10"/>
      <c r="AEC802" s="10"/>
      <c r="AED802" s="10"/>
      <c r="AEE802" s="10"/>
      <c r="AEF802" s="10"/>
      <c r="AEG802" s="10"/>
      <c r="AEH802" s="10"/>
      <c r="AEI802" s="10"/>
      <c r="AEJ802" s="10"/>
      <c r="AEK802" s="10"/>
      <c r="AEL802" s="10"/>
      <c r="AEM802" s="10"/>
      <c r="AEN802" s="10"/>
      <c r="AEO802" s="10"/>
      <c r="AEP802" s="10"/>
      <c r="AEQ802" s="10"/>
      <c r="AER802" s="10"/>
      <c r="AES802" s="10"/>
      <c r="AET802" s="10"/>
      <c r="AEU802" s="10"/>
      <c r="AEV802" s="10"/>
      <c r="AEW802" s="10"/>
      <c r="AEX802" s="10"/>
      <c r="AEY802" s="10"/>
      <c r="AEZ802" s="10"/>
      <c r="AFA802" s="10"/>
      <c r="AFB802" s="10"/>
      <c r="AFC802" s="10"/>
      <c r="AFD802" s="10"/>
      <c r="AFE802" s="10"/>
      <c r="AFF802" s="10"/>
      <c r="AFG802" s="10"/>
      <c r="AFH802" s="10"/>
      <c r="AFI802" s="10"/>
      <c r="AFJ802" s="10"/>
      <c r="AFK802" s="10"/>
      <c r="AFL802" s="10"/>
      <c r="AFM802" s="10"/>
      <c r="AFN802" s="10"/>
      <c r="AFO802" s="10"/>
      <c r="AFP802" s="10"/>
      <c r="AFQ802" s="10"/>
      <c r="AFR802" s="10"/>
      <c r="AFS802" s="10"/>
      <c r="AFT802" s="10"/>
      <c r="AFU802" s="10"/>
      <c r="AFV802" s="10"/>
      <c r="AFW802" s="10"/>
      <c r="AFX802" s="10"/>
      <c r="AFY802" s="10"/>
      <c r="AFZ802" s="10"/>
      <c r="AGA802" s="10"/>
      <c r="AGB802" s="10"/>
      <c r="AGC802" s="10"/>
      <c r="AGD802" s="10"/>
      <c r="AGE802" s="10"/>
      <c r="AGF802" s="10"/>
      <c r="AGG802" s="10"/>
      <c r="AGH802" s="10"/>
      <c r="AGI802" s="10"/>
      <c r="AGJ802" s="10"/>
      <c r="AGK802" s="10"/>
      <c r="AGL802" s="10"/>
      <c r="AGM802" s="10"/>
      <c r="AGN802" s="10"/>
      <c r="AGO802" s="10"/>
      <c r="AGP802" s="10"/>
      <c r="AGQ802" s="10"/>
      <c r="AGR802" s="10"/>
      <c r="AGS802" s="10"/>
      <c r="AGT802" s="10"/>
      <c r="AGU802" s="10"/>
      <c r="AGV802" s="10"/>
      <c r="AGW802" s="10"/>
      <c r="AGX802" s="10"/>
      <c r="AGY802" s="10"/>
      <c r="AGZ802" s="10"/>
      <c r="AHA802" s="10"/>
      <c r="AHB802" s="10"/>
      <c r="AHC802" s="10"/>
      <c r="AHD802" s="10"/>
      <c r="AHE802" s="10"/>
      <c r="AHF802" s="10"/>
      <c r="AHG802" s="10"/>
      <c r="AHH802" s="10"/>
      <c r="AHI802" s="10"/>
      <c r="AHJ802" s="10"/>
      <c r="AHK802" s="10"/>
      <c r="AHL802" s="10"/>
      <c r="AHM802" s="10"/>
      <c r="AHN802" s="10"/>
      <c r="AHO802" s="10"/>
      <c r="AHP802" s="10"/>
      <c r="AHQ802" s="10"/>
      <c r="AHR802" s="10"/>
      <c r="AHS802" s="10"/>
      <c r="AHT802" s="10"/>
      <c r="AHU802" s="10"/>
      <c r="AHV802" s="10"/>
      <c r="AHW802" s="10"/>
      <c r="AHX802" s="10"/>
      <c r="AHY802" s="10"/>
      <c r="AHZ802" s="10"/>
      <c r="AIA802" s="10"/>
      <c r="AIB802" s="10"/>
      <c r="AIC802" s="10"/>
      <c r="AID802" s="10"/>
      <c r="AIE802" s="10"/>
      <c r="AIF802" s="10"/>
      <c r="AIG802" s="10"/>
      <c r="AIH802" s="10"/>
      <c r="AII802" s="10"/>
      <c r="AIJ802" s="10"/>
      <c r="AIK802" s="10"/>
      <c r="AIL802" s="10"/>
      <c r="AIM802" s="10"/>
      <c r="AIN802" s="10"/>
      <c r="AIO802" s="10"/>
      <c r="AIP802" s="10"/>
      <c r="AIQ802" s="10"/>
      <c r="AIR802" s="10"/>
      <c r="AIS802" s="10"/>
      <c r="AIT802" s="10"/>
      <c r="AIU802" s="10"/>
      <c r="AIV802" s="10"/>
      <c r="AIW802" s="10"/>
      <c r="AIX802" s="10"/>
      <c r="AIY802" s="10"/>
      <c r="AIZ802" s="10"/>
      <c r="AJA802" s="10"/>
      <c r="AJB802" s="10"/>
      <c r="AJC802" s="10"/>
      <c r="AJD802" s="10"/>
      <c r="AJE802" s="10"/>
      <c r="AJF802" s="10"/>
      <c r="AJG802" s="10"/>
      <c r="AJH802" s="10"/>
      <c r="AJI802" s="10"/>
      <c r="AJJ802" s="10"/>
      <c r="AJK802" s="10"/>
      <c r="AJL802" s="10"/>
      <c r="AJM802" s="10"/>
      <c r="AJN802" s="10"/>
      <c r="AJO802" s="10"/>
      <c r="AJP802" s="10"/>
      <c r="AJQ802" s="10"/>
      <c r="AJR802" s="10"/>
      <c r="AJS802" s="10"/>
      <c r="AJT802" s="10"/>
      <c r="AJU802" s="10"/>
      <c r="AJV802" s="10"/>
      <c r="AJW802" s="10"/>
      <c r="AJX802" s="10"/>
      <c r="AJY802" s="10"/>
      <c r="AJZ802" s="10"/>
      <c r="AKA802" s="10"/>
      <c r="AKB802" s="10"/>
      <c r="AKC802" s="10"/>
      <c r="AKD802" s="10"/>
      <c r="AKE802" s="10"/>
      <c r="AKF802" s="10"/>
      <c r="AKG802" s="10"/>
      <c r="AKH802" s="10"/>
      <c r="AKI802" s="10"/>
      <c r="AKJ802" s="10"/>
      <c r="AKK802" s="10"/>
      <c r="AKL802" s="10"/>
      <c r="AKM802" s="10"/>
      <c r="AKN802" s="10"/>
      <c r="AKO802" s="10"/>
      <c r="AKP802" s="10"/>
      <c r="AKQ802" s="10"/>
      <c r="AKR802" s="10"/>
      <c r="AKS802" s="10"/>
      <c r="AKT802" s="10"/>
      <c r="AKU802" s="10"/>
      <c r="AKV802" s="10"/>
      <c r="AKW802" s="10"/>
      <c r="AKX802" s="10"/>
      <c r="AKY802" s="10"/>
      <c r="AKZ802" s="10"/>
      <c r="ALA802" s="10"/>
      <c r="ALB802" s="10"/>
      <c r="ALC802" s="10"/>
      <c r="ALD802" s="10"/>
      <c r="ALE802" s="10"/>
      <c r="ALF802" s="10"/>
      <c r="ALG802" s="10"/>
      <c r="ALH802" s="10"/>
      <c r="ALI802" s="10"/>
      <c r="ALJ802" s="10"/>
      <c r="ALK802" s="10"/>
      <c r="ALL802" s="10"/>
      <c r="ALM802" s="10"/>
      <c r="ALN802" s="10"/>
      <c r="ALO802" s="10"/>
      <c r="ALP802" s="10"/>
      <c r="ALQ802" s="10"/>
      <c r="ALR802" s="10"/>
      <c r="ALS802" s="10"/>
      <c r="ALT802" s="10"/>
      <c r="ALU802" s="10"/>
      <c r="ALV802" s="10"/>
      <c r="ALW802" s="10"/>
      <c r="ALX802" s="10"/>
      <c r="ALY802" s="10"/>
      <c r="ALZ802" s="10"/>
      <c r="AMA802" s="10"/>
      <c r="AMB802" s="10"/>
      <c r="AMC802" s="10"/>
      <c r="AMD802" s="10"/>
      <c r="AME802" s="10"/>
      <c r="AMF802" s="10"/>
      <c r="AMG802" s="10"/>
      <c r="AMH802" s="10"/>
      <c r="AMI802" s="10"/>
      <c r="AMJ802" s="10"/>
      <c r="AMK802" s="10"/>
      <c r="AML802" s="10"/>
      <c r="AMM802" s="10"/>
      <c r="AMN802" s="10"/>
      <c r="AMO802" s="10"/>
      <c r="AMP802" s="10"/>
      <c r="AMQ802" s="10"/>
      <c r="AMR802" s="10"/>
      <c r="AMS802" s="10"/>
      <c r="AMT802" s="10"/>
      <c r="AMU802" s="10"/>
      <c r="AMV802" s="10"/>
      <c r="AMW802" s="10"/>
      <c r="AMX802" s="10"/>
      <c r="AMY802" s="10"/>
      <c r="AMZ802" s="10"/>
      <c r="ANA802" s="10"/>
      <c r="ANB802" s="10"/>
      <c r="ANC802" s="10"/>
      <c r="AND802" s="10"/>
      <c r="ANE802" s="10"/>
      <c r="ANF802" s="10"/>
      <c r="ANG802" s="10"/>
      <c r="ANH802" s="10"/>
      <c r="ANI802" s="10"/>
      <c r="ANJ802" s="10"/>
      <c r="ANK802" s="10"/>
      <c r="ANL802" s="10"/>
      <c r="ANM802" s="10"/>
      <c r="ANN802" s="10"/>
      <c r="ANO802" s="10"/>
      <c r="ANP802" s="10"/>
      <c r="ANQ802" s="10"/>
      <c r="ANR802" s="10"/>
      <c r="ANS802" s="10"/>
      <c r="ANT802" s="10"/>
      <c r="ANU802" s="10"/>
      <c r="ANV802" s="10"/>
      <c r="ANW802" s="10"/>
      <c r="ANX802" s="10"/>
      <c r="ANY802" s="10"/>
      <c r="ANZ802" s="10"/>
      <c r="AOA802" s="10"/>
      <c r="AOB802" s="10"/>
      <c r="AOC802" s="10"/>
      <c r="AOD802" s="10"/>
      <c r="AOE802" s="10"/>
      <c r="AOF802" s="10"/>
      <c r="AOG802" s="10"/>
      <c r="AOH802" s="10"/>
      <c r="AOI802" s="10"/>
      <c r="AOJ802" s="10"/>
      <c r="AOK802" s="10"/>
      <c r="AOL802" s="10"/>
      <c r="AOM802" s="10"/>
      <c r="AON802" s="10"/>
      <c r="AOO802" s="10"/>
      <c r="AOP802" s="10"/>
      <c r="AOQ802" s="10"/>
      <c r="AOR802" s="10"/>
      <c r="AOS802" s="10"/>
      <c r="AOT802" s="10"/>
      <c r="AOU802" s="10"/>
      <c r="AOV802" s="10"/>
      <c r="AOW802" s="10"/>
      <c r="AOX802" s="10"/>
      <c r="AOY802" s="10"/>
      <c r="AOZ802" s="10"/>
      <c r="APA802" s="10"/>
      <c r="APB802" s="10"/>
      <c r="APC802" s="10"/>
      <c r="APD802" s="10"/>
      <c r="APE802" s="10"/>
      <c r="APF802" s="10"/>
      <c r="APG802" s="10"/>
      <c r="APH802" s="10"/>
      <c r="API802" s="10"/>
      <c r="APJ802" s="10"/>
      <c r="APK802" s="10"/>
      <c r="APL802" s="10"/>
      <c r="APM802" s="10"/>
      <c r="APN802" s="10"/>
      <c r="APO802" s="10"/>
      <c r="APP802" s="10"/>
      <c r="APQ802" s="10"/>
      <c r="APR802" s="10"/>
      <c r="APS802" s="10"/>
      <c r="APT802" s="10"/>
      <c r="APU802" s="10"/>
      <c r="APV802" s="10"/>
      <c r="APW802" s="10"/>
      <c r="APX802" s="10"/>
      <c r="APY802" s="10"/>
      <c r="APZ802" s="10"/>
      <c r="AQA802" s="10"/>
      <c r="AQB802" s="10"/>
      <c r="AQC802" s="10"/>
      <c r="AQD802" s="10"/>
      <c r="AQE802" s="10"/>
      <c r="AQF802" s="10"/>
      <c r="AQG802" s="10"/>
      <c r="AQH802" s="10"/>
      <c r="AQI802" s="10"/>
      <c r="AQJ802" s="10"/>
      <c r="AQK802" s="10"/>
      <c r="AQL802" s="10"/>
      <c r="AQM802" s="10"/>
      <c r="AQN802" s="10"/>
      <c r="AQO802" s="10"/>
      <c r="AQP802" s="10"/>
      <c r="AQQ802" s="10"/>
      <c r="AQR802" s="10"/>
      <c r="AQS802" s="10"/>
      <c r="AQT802" s="10"/>
      <c r="AQU802" s="10"/>
      <c r="AQV802" s="10"/>
      <c r="AQW802" s="10"/>
      <c r="AQX802" s="10"/>
      <c r="AQY802" s="10"/>
      <c r="AQZ802" s="10"/>
      <c r="ARA802" s="10"/>
      <c r="ARB802" s="10"/>
      <c r="ARC802" s="10"/>
      <c r="ARD802" s="10"/>
      <c r="ARE802" s="10"/>
      <c r="ARF802" s="10"/>
      <c r="ARG802" s="10"/>
      <c r="ARH802" s="10"/>
      <c r="ARI802" s="10"/>
      <c r="ARJ802" s="10"/>
      <c r="ARK802" s="10"/>
      <c r="ARL802" s="10"/>
      <c r="ARM802" s="10"/>
      <c r="ARN802" s="10"/>
      <c r="ARO802" s="10"/>
      <c r="ARP802" s="10"/>
      <c r="ARQ802" s="10"/>
      <c r="ARR802" s="10"/>
      <c r="ARS802" s="10"/>
      <c r="ART802" s="10"/>
      <c r="ARU802" s="10"/>
      <c r="ARV802" s="10"/>
      <c r="ARW802" s="10"/>
      <c r="ARX802" s="10"/>
      <c r="ARY802" s="10"/>
      <c r="ARZ802" s="10"/>
      <c r="ASA802" s="10"/>
      <c r="ASB802" s="10"/>
      <c r="ASC802" s="10"/>
      <c r="ASD802" s="10"/>
      <c r="ASE802" s="10"/>
      <c r="ASF802" s="10"/>
      <c r="ASG802" s="10"/>
      <c r="ASH802" s="10"/>
      <c r="ASI802" s="10"/>
      <c r="ASJ802" s="10"/>
      <c r="ASK802" s="10"/>
      <c r="ASL802" s="10"/>
      <c r="ASM802" s="10"/>
      <c r="ASN802" s="10"/>
      <c r="ASO802" s="10"/>
      <c r="ASP802" s="10"/>
      <c r="ASQ802" s="10"/>
      <c r="ASR802" s="10"/>
      <c r="ASS802" s="10"/>
      <c r="AST802" s="10"/>
      <c r="ASU802" s="10"/>
      <c r="ASV802" s="10"/>
      <c r="ASW802" s="10"/>
      <c r="ASX802" s="10"/>
      <c r="ASY802" s="10"/>
      <c r="ASZ802" s="10"/>
      <c r="ATA802" s="10"/>
      <c r="ATB802" s="10"/>
      <c r="ATC802" s="10"/>
      <c r="ATD802" s="10"/>
      <c r="ATE802" s="10"/>
      <c r="ATF802" s="10"/>
      <c r="ATG802" s="10"/>
      <c r="ATH802" s="10"/>
      <c r="ATI802" s="10"/>
      <c r="ATJ802" s="10"/>
      <c r="ATK802" s="10"/>
      <c r="ATL802" s="10"/>
      <c r="ATM802" s="10"/>
      <c r="ATN802" s="10"/>
      <c r="ATO802" s="10"/>
      <c r="ATP802" s="10"/>
      <c r="ATQ802" s="10"/>
      <c r="ATR802" s="10"/>
      <c r="ATS802" s="10"/>
      <c r="ATT802" s="10"/>
      <c r="ATU802" s="10"/>
      <c r="ATV802" s="10"/>
      <c r="ATW802" s="10"/>
      <c r="ATX802" s="10"/>
      <c r="ATY802" s="10"/>
      <c r="ATZ802" s="10"/>
      <c r="AUA802" s="10"/>
      <c r="AUB802" s="10"/>
      <c r="AUC802" s="10"/>
      <c r="AUD802" s="10"/>
      <c r="AUE802" s="10"/>
      <c r="AUF802" s="10"/>
      <c r="AUG802" s="10"/>
      <c r="AUH802" s="10"/>
      <c r="AUI802" s="10"/>
      <c r="AUJ802" s="10"/>
      <c r="AUK802" s="10"/>
      <c r="AUL802" s="10"/>
      <c r="AUM802" s="10"/>
      <c r="AUN802" s="10"/>
      <c r="AUO802" s="10"/>
      <c r="AUP802" s="10"/>
      <c r="AUQ802" s="10"/>
      <c r="AUR802" s="10"/>
      <c r="AUS802" s="10"/>
      <c r="AUT802" s="10"/>
      <c r="AUU802" s="10"/>
      <c r="AUV802" s="10"/>
      <c r="AUW802" s="10"/>
      <c r="AUX802" s="10"/>
      <c r="AUY802" s="10"/>
      <c r="AUZ802" s="10"/>
      <c r="AVA802" s="10"/>
      <c r="AVB802" s="10"/>
      <c r="AVC802" s="10"/>
      <c r="AVD802" s="10"/>
      <c r="AVE802" s="10"/>
      <c r="AVF802" s="10"/>
      <c r="AVG802" s="10"/>
      <c r="AVH802" s="10"/>
      <c r="AVI802" s="10"/>
      <c r="AVJ802" s="10"/>
      <c r="AVK802" s="10"/>
      <c r="AVL802" s="10"/>
      <c r="AVM802" s="10"/>
      <c r="AVN802" s="10"/>
      <c r="AVO802" s="10"/>
      <c r="AVP802" s="10"/>
      <c r="AVQ802" s="10"/>
      <c r="AVR802" s="10"/>
      <c r="AVS802" s="10"/>
      <c r="AVT802" s="10"/>
      <c r="AVU802" s="10"/>
      <c r="AVV802" s="10"/>
      <c r="AVW802" s="10"/>
      <c r="AVX802" s="10"/>
      <c r="AVY802" s="10"/>
      <c r="AVZ802" s="10"/>
      <c r="AWA802" s="10"/>
      <c r="AWB802" s="10"/>
      <c r="AWC802" s="10"/>
      <c r="AWD802" s="10"/>
      <c r="AWE802" s="10"/>
      <c r="AWF802" s="10"/>
      <c r="AWG802" s="10"/>
      <c r="AWH802" s="10"/>
      <c r="AWI802" s="10"/>
      <c r="AWJ802" s="10"/>
      <c r="AWK802" s="10"/>
      <c r="AWL802" s="10"/>
      <c r="AWM802" s="10"/>
      <c r="AWN802" s="10"/>
      <c r="AWO802" s="10"/>
      <c r="AWP802" s="10"/>
      <c r="AWQ802" s="10"/>
      <c r="AWR802" s="10"/>
      <c r="AWS802" s="10"/>
      <c r="AWT802" s="10"/>
      <c r="AWU802" s="10"/>
      <c r="AWV802" s="10"/>
      <c r="AWW802" s="10"/>
      <c r="AWX802" s="10"/>
      <c r="AWY802" s="10"/>
      <c r="AWZ802" s="10"/>
      <c r="AXA802" s="10"/>
      <c r="AXB802" s="10"/>
      <c r="AXC802" s="10"/>
      <c r="AXD802" s="10"/>
      <c r="AXE802" s="10"/>
      <c r="AXF802" s="10"/>
      <c r="AXG802" s="10"/>
      <c r="AXH802" s="10"/>
      <c r="AXI802" s="10"/>
      <c r="AXJ802" s="10"/>
      <c r="AXK802" s="10"/>
      <c r="AXL802" s="10"/>
      <c r="AXM802" s="10"/>
      <c r="AXN802" s="10"/>
      <c r="AXO802" s="10"/>
      <c r="AXP802" s="10"/>
      <c r="AXQ802" s="10"/>
      <c r="AXR802" s="10"/>
      <c r="AXS802" s="10"/>
      <c r="AXT802" s="10"/>
      <c r="AXU802" s="10"/>
      <c r="AXV802" s="10"/>
      <c r="AXW802" s="10"/>
      <c r="AXX802" s="10"/>
      <c r="AXY802" s="10"/>
      <c r="AXZ802" s="10"/>
      <c r="AYA802" s="10"/>
      <c r="AYB802" s="10"/>
      <c r="AYC802" s="10"/>
      <c r="AYD802" s="10"/>
      <c r="AYE802" s="10"/>
      <c r="AYF802" s="10"/>
      <c r="AYG802" s="10"/>
      <c r="AYH802" s="10"/>
      <c r="AYI802" s="10"/>
      <c r="AYJ802" s="10"/>
      <c r="AYK802" s="10"/>
      <c r="AYL802" s="10"/>
      <c r="AYM802" s="10"/>
      <c r="AYN802" s="10"/>
      <c r="AYO802" s="10"/>
      <c r="AYP802" s="10"/>
      <c r="AYQ802" s="10"/>
      <c r="AYR802" s="10"/>
      <c r="AYS802" s="10"/>
      <c r="AYT802" s="10"/>
      <c r="AYU802" s="10"/>
      <c r="AYV802" s="10"/>
      <c r="AYW802" s="10"/>
      <c r="AYX802" s="10"/>
      <c r="AYY802" s="10"/>
      <c r="AYZ802" s="10"/>
      <c r="AZA802" s="10"/>
      <c r="AZB802" s="10"/>
      <c r="AZC802" s="10"/>
      <c r="AZD802" s="10"/>
      <c r="AZE802" s="10"/>
      <c r="AZF802" s="10"/>
      <c r="AZG802" s="10"/>
      <c r="AZH802" s="10"/>
      <c r="AZI802" s="10"/>
      <c r="AZJ802" s="10"/>
      <c r="AZK802" s="10"/>
      <c r="AZL802" s="10"/>
      <c r="AZM802" s="10"/>
      <c r="AZN802" s="10"/>
      <c r="AZO802" s="10"/>
      <c r="AZP802" s="10"/>
      <c r="AZQ802" s="10"/>
      <c r="AZR802" s="10"/>
      <c r="AZS802" s="10"/>
      <c r="AZT802" s="10"/>
      <c r="AZU802" s="10"/>
      <c r="AZV802" s="10"/>
      <c r="AZW802" s="10"/>
      <c r="AZX802" s="10"/>
      <c r="AZY802" s="10"/>
      <c r="AZZ802" s="10"/>
      <c r="BAA802" s="10"/>
      <c r="BAB802" s="10"/>
      <c r="BAC802" s="10"/>
      <c r="BAD802" s="10"/>
      <c r="BAE802" s="10"/>
      <c r="BAF802" s="10"/>
      <c r="BAG802" s="10"/>
      <c r="BAH802" s="10"/>
      <c r="BAI802" s="10"/>
      <c r="BAJ802" s="10"/>
      <c r="BAK802" s="10"/>
      <c r="BAL802" s="10"/>
      <c r="BAM802" s="10"/>
      <c r="BAN802" s="10"/>
      <c r="BAO802" s="10"/>
      <c r="BAP802" s="10"/>
      <c r="BAQ802" s="10"/>
      <c r="BAR802" s="10"/>
      <c r="BAS802" s="10"/>
      <c r="BAT802" s="10"/>
      <c r="BAU802" s="10"/>
      <c r="BAV802" s="10"/>
      <c r="BAW802" s="10"/>
      <c r="BAX802" s="10"/>
      <c r="BAY802" s="10"/>
      <c r="BAZ802" s="10"/>
      <c r="BBA802" s="10"/>
      <c r="BBB802" s="10"/>
      <c r="BBC802" s="10"/>
      <c r="BBD802" s="10"/>
      <c r="BBE802" s="10"/>
      <c r="BBF802" s="10"/>
      <c r="BBG802" s="10"/>
      <c r="BBH802" s="10"/>
      <c r="BBI802" s="10"/>
      <c r="BBJ802" s="10"/>
      <c r="BBK802" s="10"/>
      <c r="BBL802" s="10"/>
      <c r="BBM802" s="10"/>
      <c r="BBN802" s="10"/>
      <c r="BBO802" s="10"/>
      <c r="BBP802" s="10"/>
      <c r="BBQ802" s="10"/>
      <c r="BBR802" s="10"/>
      <c r="BBS802" s="10"/>
      <c r="BBT802" s="10"/>
      <c r="BBU802" s="10"/>
      <c r="BBV802" s="10"/>
      <c r="BBW802" s="10"/>
      <c r="BBX802" s="10"/>
      <c r="BBY802" s="10"/>
      <c r="BBZ802" s="10"/>
      <c r="BCA802" s="10"/>
      <c r="BCB802" s="10"/>
      <c r="BCC802" s="10"/>
      <c r="BCD802" s="10"/>
      <c r="BCE802" s="10"/>
      <c r="BCF802" s="10"/>
      <c r="BCG802" s="10"/>
      <c r="BCH802" s="10"/>
      <c r="BCI802" s="10"/>
      <c r="BCJ802" s="10"/>
      <c r="BCK802" s="10"/>
      <c r="BCL802" s="10"/>
      <c r="BCM802" s="10"/>
      <c r="BCN802" s="10"/>
      <c r="BCO802" s="10"/>
      <c r="BCP802" s="10"/>
      <c r="BCQ802" s="10"/>
      <c r="BCR802" s="10"/>
      <c r="BCS802" s="10"/>
      <c r="BCT802" s="10"/>
      <c r="BCU802" s="10"/>
      <c r="BCV802" s="10"/>
      <c r="BCW802" s="10"/>
      <c r="BCX802" s="10"/>
      <c r="BCY802" s="10"/>
      <c r="BCZ802" s="10"/>
      <c r="BDA802" s="10"/>
      <c r="BDB802" s="10"/>
      <c r="BDC802" s="10"/>
      <c r="BDD802" s="10"/>
      <c r="BDE802" s="10"/>
      <c r="BDF802" s="10"/>
      <c r="BDG802" s="10"/>
      <c r="BDH802" s="10"/>
      <c r="BDI802" s="10"/>
      <c r="BDJ802" s="10"/>
      <c r="BDK802" s="10"/>
      <c r="BDL802" s="10"/>
      <c r="BDM802" s="10"/>
      <c r="BDN802" s="10"/>
      <c r="BDO802" s="10"/>
      <c r="BDP802" s="10"/>
      <c r="BDQ802" s="10"/>
      <c r="BDR802" s="10"/>
      <c r="BDS802" s="10"/>
      <c r="BDT802" s="10"/>
      <c r="BDU802" s="10"/>
      <c r="BDV802" s="10"/>
      <c r="BDW802" s="10"/>
      <c r="BDX802" s="10"/>
      <c r="BDY802" s="10"/>
      <c r="BDZ802" s="10"/>
      <c r="BEA802" s="10"/>
      <c r="BEB802" s="10"/>
      <c r="BEC802" s="10"/>
      <c r="BED802" s="10"/>
      <c r="BEE802" s="10"/>
      <c r="BEF802" s="10"/>
      <c r="BEG802" s="10"/>
      <c r="BEH802" s="10"/>
      <c r="BEI802" s="10"/>
      <c r="BEJ802" s="10"/>
      <c r="BEK802" s="10"/>
      <c r="BEL802" s="10"/>
      <c r="BEM802" s="10"/>
      <c r="BEN802" s="10"/>
      <c r="BEO802" s="10"/>
      <c r="BEP802" s="10"/>
      <c r="BEQ802" s="10"/>
      <c r="BER802" s="10"/>
      <c r="BES802" s="10"/>
      <c r="BET802" s="10"/>
      <c r="BEU802" s="10"/>
      <c r="BEV802" s="10"/>
      <c r="BEW802" s="10"/>
      <c r="BEX802" s="10"/>
      <c r="BEY802" s="10"/>
      <c r="BEZ802" s="10"/>
      <c r="BFA802" s="10"/>
      <c r="BFB802" s="10"/>
      <c r="BFC802" s="10"/>
      <c r="BFD802" s="10"/>
      <c r="BFE802" s="10"/>
      <c r="BFF802" s="10"/>
      <c r="BFG802" s="10"/>
      <c r="BFH802" s="10"/>
      <c r="BFI802" s="10"/>
      <c r="BFJ802" s="10"/>
      <c r="BFK802" s="10"/>
      <c r="BFL802" s="10"/>
      <c r="BFM802" s="10"/>
      <c r="BFN802" s="10"/>
      <c r="BFO802" s="10"/>
      <c r="BFP802" s="10"/>
      <c r="BFQ802" s="10"/>
      <c r="BFR802" s="10"/>
      <c r="BFS802" s="10"/>
      <c r="BFT802" s="10"/>
      <c r="BFU802" s="10"/>
      <c r="BFV802" s="10"/>
      <c r="BFW802" s="10"/>
      <c r="BFX802" s="10"/>
      <c r="BFY802" s="10"/>
      <c r="BFZ802" s="10"/>
      <c r="BGA802" s="10"/>
      <c r="BGB802" s="10"/>
      <c r="BGC802" s="10"/>
      <c r="BGD802" s="10"/>
      <c r="BGE802" s="10"/>
      <c r="BGF802" s="10"/>
      <c r="BGG802" s="10"/>
      <c r="BGH802" s="10"/>
      <c r="BGI802" s="10"/>
      <c r="BGJ802" s="10"/>
      <c r="BGK802" s="10"/>
      <c r="BGL802" s="10"/>
      <c r="BGM802" s="10"/>
      <c r="BGN802" s="10"/>
      <c r="BGO802" s="10"/>
      <c r="BGP802" s="10"/>
      <c r="BGQ802" s="10"/>
      <c r="BGR802" s="10"/>
      <c r="BGS802" s="10"/>
      <c r="BGT802" s="10"/>
      <c r="BGU802" s="10"/>
      <c r="BGV802" s="10"/>
      <c r="BGW802" s="10"/>
      <c r="BGX802" s="10"/>
      <c r="BGY802" s="10"/>
      <c r="BGZ802" s="10"/>
      <c r="BHA802" s="10"/>
      <c r="BHB802" s="10"/>
      <c r="BHC802" s="10"/>
      <c r="BHD802" s="10"/>
      <c r="BHE802" s="10"/>
      <c r="BHF802" s="10"/>
      <c r="BHG802" s="10"/>
      <c r="BHH802" s="10"/>
      <c r="BHI802" s="10"/>
      <c r="BHJ802" s="10"/>
      <c r="BHK802" s="10"/>
      <c r="BHL802" s="10"/>
      <c r="BHM802" s="10"/>
      <c r="BHN802" s="10"/>
      <c r="BHO802" s="10"/>
      <c r="BHP802" s="10"/>
      <c r="BHQ802" s="10"/>
      <c r="BHR802" s="10"/>
      <c r="BHS802" s="10"/>
      <c r="BHT802" s="10"/>
      <c r="BHU802" s="10"/>
      <c r="BHV802" s="10"/>
      <c r="BHW802" s="10"/>
      <c r="BHX802" s="10"/>
      <c r="BHY802" s="10"/>
      <c r="BHZ802" s="10"/>
      <c r="BIA802" s="10"/>
      <c r="BIB802" s="10"/>
      <c r="BIC802" s="10"/>
      <c r="BID802" s="10"/>
      <c r="BIE802" s="10"/>
      <c r="BIF802" s="10"/>
      <c r="BIG802" s="10"/>
      <c r="BIH802" s="10"/>
      <c r="BII802" s="10"/>
      <c r="BIJ802" s="10"/>
      <c r="BIK802" s="10"/>
      <c r="BIL802" s="10"/>
      <c r="BIM802" s="10"/>
      <c r="BIN802" s="10"/>
      <c r="BIO802" s="10"/>
      <c r="BIP802" s="10"/>
      <c r="BIQ802" s="10"/>
      <c r="BIR802" s="10"/>
      <c r="BIS802" s="10"/>
      <c r="BIT802" s="10"/>
      <c r="BIU802" s="10"/>
      <c r="BIV802" s="10"/>
      <c r="BIW802" s="10"/>
      <c r="BIX802" s="10"/>
      <c r="BIY802" s="10"/>
      <c r="BIZ802" s="10"/>
      <c r="BJA802" s="10"/>
      <c r="BJB802" s="10"/>
      <c r="BJC802" s="10"/>
      <c r="BJD802" s="10"/>
      <c r="BJE802" s="10"/>
      <c r="BJF802" s="10"/>
      <c r="BJG802" s="10"/>
      <c r="BJH802" s="10"/>
      <c r="BJI802" s="10"/>
      <c r="BJJ802" s="10"/>
      <c r="BJK802" s="10"/>
      <c r="BJL802" s="10"/>
      <c r="BJM802" s="10"/>
      <c r="BJN802" s="10"/>
      <c r="BJO802" s="10"/>
      <c r="BJP802" s="10"/>
      <c r="BJQ802" s="10"/>
      <c r="BJR802" s="10"/>
      <c r="BJS802" s="10"/>
      <c r="BJT802" s="10"/>
      <c r="BJU802" s="10"/>
      <c r="BJV802" s="10"/>
      <c r="BJW802" s="10"/>
      <c r="BJX802" s="10"/>
      <c r="BJY802" s="10"/>
      <c r="BJZ802" s="10"/>
      <c r="BKA802" s="10"/>
      <c r="BKB802" s="10"/>
      <c r="BKC802" s="10"/>
      <c r="BKD802" s="10"/>
      <c r="BKE802" s="10"/>
      <c r="BKF802" s="10"/>
      <c r="BKG802" s="10"/>
      <c r="BKH802" s="10"/>
      <c r="BKI802" s="10"/>
      <c r="BKJ802" s="10"/>
      <c r="BKK802" s="10"/>
      <c r="BKL802" s="10"/>
      <c r="BKM802" s="10"/>
      <c r="BKN802" s="10"/>
      <c r="BKO802" s="10"/>
      <c r="BKP802" s="10"/>
      <c r="BKQ802" s="10"/>
      <c r="BKR802" s="10"/>
      <c r="BKS802" s="10"/>
      <c r="BKT802" s="10"/>
      <c r="BKU802" s="10"/>
      <c r="BKV802" s="10"/>
      <c r="BKW802" s="10"/>
      <c r="BKX802" s="10"/>
      <c r="BKY802" s="10"/>
      <c r="BKZ802" s="10"/>
      <c r="BLA802" s="10"/>
      <c r="BLB802" s="10"/>
      <c r="BLC802" s="10"/>
      <c r="BLD802" s="10"/>
      <c r="BLE802" s="10"/>
      <c r="BLF802" s="10"/>
      <c r="BLG802" s="10"/>
      <c r="BLH802" s="10"/>
      <c r="BLI802" s="10"/>
      <c r="BLJ802" s="10"/>
      <c r="BLK802" s="10"/>
      <c r="BLL802" s="10"/>
      <c r="BLM802" s="10"/>
      <c r="BLN802" s="10"/>
      <c r="BLO802" s="10"/>
      <c r="BLP802" s="10"/>
      <c r="BLQ802" s="10"/>
      <c r="BLR802" s="10"/>
      <c r="BLS802" s="10"/>
      <c r="BLT802" s="10"/>
      <c r="BLU802" s="10"/>
      <c r="BLV802" s="10"/>
      <c r="BLW802" s="10"/>
      <c r="BLX802" s="10"/>
      <c r="BLY802" s="10"/>
      <c r="BLZ802" s="10"/>
      <c r="BMA802" s="10"/>
      <c r="BMB802" s="10"/>
      <c r="BMC802" s="10"/>
      <c r="BMD802" s="10"/>
      <c r="BME802" s="10"/>
      <c r="BMF802" s="10"/>
      <c r="BMG802" s="10"/>
      <c r="BMH802" s="10"/>
      <c r="BMI802" s="10"/>
      <c r="BMJ802" s="10"/>
      <c r="BMK802" s="10"/>
      <c r="BML802" s="10"/>
      <c r="BMM802" s="10"/>
      <c r="BMN802" s="10"/>
      <c r="BMO802" s="10"/>
      <c r="BMP802" s="10"/>
      <c r="BMQ802" s="10"/>
      <c r="BMR802" s="10"/>
      <c r="BMS802" s="10"/>
      <c r="BMT802" s="10"/>
      <c r="BMU802" s="10"/>
      <c r="BMV802" s="10"/>
      <c r="BMW802" s="10"/>
      <c r="BMX802" s="10"/>
      <c r="BMY802" s="10"/>
      <c r="BMZ802" s="10"/>
      <c r="BNA802" s="10"/>
      <c r="BNB802" s="10"/>
      <c r="BNC802" s="10"/>
      <c r="BND802" s="10"/>
      <c r="BNE802" s="10"/>
      <c r="BNF802" s="10"/>
      <c r="BNG802" s="10"/>
      <c r="BNH802" s="10"/>
      <c r="BNI802" s="10"/>
      <c r="BNJ802" s="10"/>
      <c r="BNK802" s="10"/>
      <c r="BNL802" s="10"/>
      <c r="BNM802" s="10"/>
      <c r="BNN802" s="10"/>
      <c r="BNO802" s="10"/>
      <c r="BNP802" s="10"/>
      <c r="BNQ802" s="10"/>
      <c r="BNR802" s="10"/>
      <c r="BNS802" s="10"/>
      <c r="BNT802" s="10"/>
      <c r="BNU802" s="10"/>
      <c r="BNV802" s="10"/>
      <c r="BNW802" s="10"/>
      <c r="BNX802" s="10"/>
      <c r="BNY802" s="10"/>
      <c r="BNZ802" s="10"/>
      <c r="BOA802" s="10"/>
      <c r="BOB802" s="10"/>
      <c r="BOC802" s="10"/>
      <c r="BOD802" s="10"/>
      <c r="BOE802" s="10"/>
      <c r="BOF802" s="10"/>
      <c r="BOG802" s="10"/>
      <c r="BOH802" s="10"/>
      <c r="BOI802" s="10"/>
      <c r="BOJ802" s="10"/>
      <c r="BOK802" s="10"/>
      <c r="BOL802" s="10"/>
      <c r="BOM802" s="10"/>
      <c r="BON802" s="10"/>
      <c r="BOO802" s="10"/>
      <c r="BOP802" s="10"/>
      <c r="BOQ802" s="10"/>
      <c r="BOR802" s="10"/>
      <c r="BOS802" s="10"/>
      <c r="BOT802" s="10"/>
      <c r="BOU802" s="10"/>
      <c r="BOV802" s="10"/>
      <c r="BOW802" s="10"/>
      <c r="BOX802" s="10"/>
      <c r="BOY802" s="10"/>
      <c r="BOZ802" s="10"/>
      <c r="BPA802" s="10"/>
      <c r="BPB802" s="10"/>
      <c r="BPC802" s="10"/>
      <c r="BPD802" s="10"/>
      <c r="BPE802" s="10"/>
      <c r="BPF802" s="10"/>
      <c r="BPG802" s="10"/>
      <c r="BPH802" s="10"/>
      <c r="BPI802" s="10"/>
      <c r="BPJ802" s="10"/>
      <c r="BPK802" s="10"/>
      <c r="BPL802" s="10"/>
      <c r="BPM802" s="10"/>
      <c r="BPN802" s="10"/>
      <c r="BPO802" s="10"/>
      <c r="BPP802" s="10"/>
      <c r="BPQ802" s="10"/>
      <c r="BPR802" s="10"/>
      <c r="BPS802" s="10"/>
      <c r="BPT802" s="10"/>
      <c r="BPU802" s="10"/>
      <c r="BPV802" s="10"/>
      <c r="BPW802" s="10"/>
      <c r="BPX802" s="10"/>
      <c r="BPY802" s="10"/>
      <c r="BPZ802" s="10"/>
      <c r="BQA802" s="10"/>
      <c r="BQB802" s="10"/>
      <c r="BQC802" s="10"/>
      <c r="BQD802" s="10"/>
      <c r="BQE802" s="10"/>
      <c r="BQF802" s="10"/>
      <c r="BQG802" s="10"/>
      <c r="BQH802" s="10"/>
      <c r="BQI802" s="10"/>
      <c r="BQJ802" s="10"/>
      <c r="BQK802" s="10"/>
      <c r="BQL802" s="10"/>
      <c r="BQM802" s="10"/>
      <c r="BQN802" s="10"/>
      <c r="BQO802" s="10"/>
      <c r="BQP802" s="10"/>
      <c r="BQQ802" s="10"/>
      <c r="BQR802" s="10"/>
      <c r="BQS802" s="10"/>
      <c r="BQT802" s="10"/>
      <c r="BQU802" s="10"/>
      <c r="BQV802" s="10"/>
      <c r="BQW802" s="10"/>
      <c r="BQX802" s="10"/>
      <c r="BQY802" s="10"/>
      <c r="BQZ802" s="10"/>
      <c r="BRA802" s="10"/>
      <c r="BRB802" s="10"/>
      <c r="BRC802" s="10"/>
      <c r="BRD802" s="10"/>
      <c r="BRE802" s="10"/>
      <c r="BRF802" s="10"/>
      <c r="BRG802" s="10"/>
      <c r="BRH802" s="10"/>
      <c r="BRI802" s="10"/>
      <c r="BRJ802" s="10"/>
      <c r="BRK802" s="10"/>
      <c r="BRL802" s="10"/>
      <c r="BRM802" s="10"/>
      <c r="BRN802" s="10"/>
      <c r="BRO802" s="10"/>
      <c r="BRP802" s="10"/>
      <c r="BRQ802" s="10"/>
      <c r="BRR802" s="10"/>
      <c r="BRS802" s="10"/>
      <c r="BRT802" s="10"/>
      <c r="BRU802" s="10"/>
      <c r="BRV802" s="10"/>
      <c r="BRW802" s="10"/>
      <c r="BRX802" s="10"/>
      <c r="BRY802" s="10"/>
      <c r="BRZ802" s="10"/>
      <c r="BSA802" s="10"/>
      <c r="BSB802" s="10"/>
      <c r="BSC802" s="10"/>
      <c r="BSD802" s="10"/>
      <c r="BSE802" s="10"/>
      <c r="BSF802" s="10"/>
      <c r="BSG802" s="10"/>
      <c r="BSH802" s="10"/>
      <c r="BSI802" s="10"/>
      <c r="BSJ802" s="10"/>
      <c r="BSK802" s="10"/>
      <c r="BSL802" s="10"/>
      <c r="BSM802" s="10"/>
      <c r="BSN802" s="10"/>
      <c r="BSO802" s="10"/>
      <c r="BSP802" s="10"/>
      <c r="BSQ802" s="10"/>
      <c r="BSR802" s="10"/>
      <c r="BSS802" s="10"/>
      <c r="BST802" s="10"/>
      <c r="BSU802" s="10"/>
      <c r="BSV802" s="10"/>
      <c r="BSW802" s="10"/>
      <c r="BSX802" s="10"/>
      <c r="BSY802" s="10"/>
      <c r="BSZ802" s="10"/>
      <c r="BTA802" s="10"/>
      <c r="BTB802" s="10"/>
      <c r="BTC802" s="10"/>
      <c r="BTD802" s="10"/>
      <c r="BTE802" s="10"/>
      <c r="BTF802" s="10"/>
      <c r="BTG802" s="10"/>
      <c r="BTH802" s="10"/>
      <c r="BTI802" s="10"/>
      <c r="BTJ802" s="10"/>
      <c r="BTK802" s="10"/>
      <c r="BTL802" s="10"/>
      <c r="BTM802" s="10"/>
      <c r="BTN802" s="10"/>
      <c r="BTO802" s="10"/>
      <c r="BTP802" s="10"/>
      <c r="BTQ802" s="10"/>
      <c r="BTR802" s="10"/>
      <c r="BTS802" s="10"/>
      <c r="BTT802" s="10"/>
    </row>
    <row r="803" spans="1:1892" s="10" customFormat="1" ht="35.1" customHeight="1">
      <c r="A803" s="1241"/>
      <c r="B803" s="1331" t="s">
        <v>20</v>
      </c>
      <c r="C803" s="566" t="s">
        <v>68</v>
      </c>
      <c r="D803" s="584" t="s">
        <v>118</v>
      </c>
      <c r="E803" s="585"/>
      <c r="F803" s="586"/>
      <c r="G803" s="566" t="s">
        <v>471</v>
      </c>
      <c r="H803" s="566" t="s">
        <v>472</v>
      </c>
      <c r="I803" s="566" t="s">
        <v>299</v>
      </c>
      <c r="J803" s="687" t="s">
        <v>11</v>
      </c>
      <c r="K803" s="687" t="s">
        <v>12</v>
      </c>
      <c r="L803" s="194">
        <v>84.903800000000004</v>
      </c>
      <c r="M803" s="281">
        <v>32</v>
      </c>
      <c r="N803" s="129">
        <v>2</v>
      </c>
      <c r="O803" s="129">
        <v>2</v>
      </c>
      <c r="P803" s="844" t="s">
        <v>672</v>
      </c>
      <c r="Q803" s="844" t="s">
        <v>418</v>
      </c>
      <c r="R803" s="499" t="s">
        <v>401</v>
      </c>
      <c r="S803" s="502" t="s">
        <v>57</v>
      </c>
      <c r="T803" s="499" t="s">
        <v>473</v>
      </c>
      <c r="U803" s="499" t="s">
        <v>17</v>
      </c>
    </row>
    <row r="804" spans="1:1892" s="10" customFormat="1" ht="35.1" customHeight="1">
      <c r="A804" s="1241"/>
      <c r="B804" s="1332"/>
      <c r="C804" s="567"/>
      <c r="D804" s="587"/>
      <c r="E804" s="588"/>
      <c r="F804" s="589"/>
      <c r="G804" s="567"/>
      <c r="H804" s="567"/>
      <c r="I804" s="567"/>
      <c r="J804" s="688"/>
      <c r="K804" s="688"/>
      <c r="L804" s="194">
        <v>84.847800000000007</v>
      </c>
      <c r="M804" s="281">
        <v>18</v>
      </c>
      <c r="N804" s="129">
        <v>2</v>
      </c>
      <c r="O804" s="129">
        <v>2</v>
      </c>
      <c r="P804" s="845"/>
      <c r="Q804" s="845"/>
      <c r="R804" s="500"/>
      <c r="S804" s="503"/>
      <c r="T804" s="500"/>
      <c r="U804" s="500"/>
    </row>
    <row r="805" spans="1:1892" s="10" customFormat="1" ht="35.1" customHeight="1">
      <c r="A805" s="1241"/>
      <c r="B805" s="1332"/>
      <c r="C805" s="567"/>
      <c r="D805" s="587"/>
      <c r="E805" s="588"/>
      <c r="F805" s="589"/>
      <c r="G805" s="567"/>
      <c r="H805" s="567"/>
      <c r="I805" s="567"/>
      <c r="J805" s="688"/>
      <c r="K805" s="688"/>
      <c r="L805" s="194">
        <v>84.847800000000007</v>
      </c>
      <c r="M805" s="281">
        <v>66</v>
      </c>
      <c r="N805" s="129">
        <v>8</v>
      </c>
      <c r="O805" s="129">
        <v>8</v>
      </c>
      <c r="P805" s="845"/>
      <c r="Q805" s="845"/>
      <c r="R805" s="500"/>
      <c r="S805" s="503"/>
      <c r="T805" s="500"/>
      <c r="U805" s="500"/>
    </row>
    <row r="806" spans="1:1892" s="10" customFormat="1" ht="35.1" customHeight="1">
      <c r="A806" s="1241"/>
      <c r="B806" s="1332"/>
      <c r="C806" s="567"/>
      <c r="D806" s="587"/>
      <c r="E806" s="588"/>
      <c r="F806" s="589"/>
      <c r="G806" s="567"/>
      <c r="H806" s="567"/>
      <c r="I806" s="567"/>
      <c r="J806" s="688"/>
      <c r="K806" s="688"/>
      <c r="L806" s="194">
        <v>84.847800000000007</v>
      </c>
      <c r="M806" s="281">
        <v>5</v>
      </c>
      <c r="N806" s="129">
        <v>0</v>
      </c>
      <c r="O806" s="129">
        <v>0</v>
      </c>
      <c r="P806" s="845"/>
      <c r="Q806" s="845"/>
      <c r="R806" s="500"/>
      <c r="S806" s="503"/>
      <c r="T806" s="500"/>
      <c r="U806" s="500"/>
    </row>
    <row r="807" spans="1:1892" s="10" customFormat="1" ht="35.1" customHeight="1">
      <c r="A807" s="1241"/>
      <c r="B807" s="1332"/>
      <c r="C807" s="567"/>
      <c r="D807" s="587"/>
      <c r="E807" s="588"/>
      <c r="F807" s="589"/>
      <c r="G807" s="567"/>
      <c r="H807" s="567"/>
      <c r="I807" s="567"/>
      <c r="J807" s="688"/>
      <c r="K807" s="688"/>
      <c r="L807" s="194">
        <v>84.972499999999997</v>
      </c>
      <c r="M807" s="281">
        <v>111</v>
      </c>
      <c r="N807" s="129">
        <v>5</v>
      </c>
      <c r="O807" s="129">
        <v>5</v>
      </c>
      <c r="P807" s="845"/>
      <c r="Q807" s="845"/>
      <c r="R807" s="500"/>
      <c r="S807" s="503"/>
      <c r="T807" s="500"/>
      <c r="U807" s="500"/>
    </row>
    <row r="808" spans="1:1892" s="10" customFormat="1" ht="35.1" customHeight="1">
      <c r="A808" s="1241"/>
      <c r="B808" s="1332"/>
      <c r="C808" s="567"/>
      <c r="D808" s="587"/>
      <c r="E808" s="588"/>
      <c r="F808" s="589"/>
      <c r="G808" s="567"/>
      <c r="H808" s="567"/>
      <c r="I808" s="567"/>
      <c r="J808" s="688"/>
      <c r="K808" s="688"/>
      <c r="L808" s="194">
        <v>84.931100000000001</v>
      </c>
      <c r="M808" s="281">
        <v>7</v>
      </c>
      <c r="N808" s="129">
        <v>0</v>
      </c>
      <c r="O808" s="129">
        <v>0</v>
      </c>
      <c r="P808" s="845"/>
      <c r="Q808" s="845"/>
      <c r="R808" s="500"/>
      <c r="S808" s="503"/>
      <c r="T808" s="500"/>
      <c r="U808" s="500"/>
    </row>
    <row r="809" spans="1:1892" s="10" customFormat="1" ht="35.1" customHeight="1">
      <c r="A809" s="1241"/>
      <c r="B809" s="1332"/>
      <c r="C809" s="567"/>
      <c r="D809" s="587"/>
      <c r="E809" s="588"/>
      <c r="F809" s="589"/>
      <c r="G809" s="567"/>
      <c r="H809" s="567"/>
      <c r="I809" s="567"/>
      <c r="J809" s="688"/>
      <c r="K809" s="688"/>
      <c r="L809" s="194">
        <v>84.8917</v>
      </c>
      <c r="M809" s="281">
        <v>7</v>
      </c>
      <c r="N809" s="129">
        <v>0</v>
      </c>
      <c r="O809" s="129">
        <v>0</v>
      </c>
      <c r="P809" s="845"/>
      <c r="Q809" s="845"/>
      <c r="R809" s="500"/>
      <c r="S809" s="503"/>
      <c r="T809" s="500"/>
      <c r="U809" s="500"/>
    </row>
    <row r="810" spans="1:1892" s="10" customFormat="1" ht="35.1" customHeight="1">
      <c r="A810" s="1241"/>
      <c r="B810" s="1332"/>
      <c r="C810" s="567"/>
      <c r="D810" s="587"/>
      <c r="E810" s="588"/>
      <c r="F810" s="589"/>
      <c r="G810" s="567"/>
      <c r="H810" s="567"/>
      <c r="I810" s="567"/>
      <c r="J810" s="688"/>
      <c r="K810" s="688"/>
      <c r="L810" s="194">
        <v>84.999600000000001</v>
      </c>
      <c r="M810" s="281">
        <v>6</v>
      </c>
      <c r="N810" s="129">
        <v>0</v>
      </c>
      <c r="O810" s="129">
        <v>0</v>
      </c>
      <c r="P810" s="845"/>
      <c r="Q810" s="845"/>
      <c r="R810" s="500"/>
      <c r="S810" s="503"/>
      <c r="T810" s="500"/>
      <c r="U810" s="500"/>
    </row>
    <row r="811" spans="1:1892" s="10" customFormat="1" ht="35.1" customHeight="1">
      <c r="A811" s="1241"/>
      <c r="B811" s="1332"/>
      <c r="C811" s="567"/>
      <c r="D811" s="587"/>
      <c r="E811" s="588"/>
      <c r="F811" s="589"/>
      <c r="G811" s="567"/>
      <c r="H811" s="567"/>
      <c r="I811" s="567"/>
      <c r="J811" s="688"/>
      <c r="K811" s="688"/>
      <c r="L811" s="194">
        <v>84.957599999999999</v>
      </c>
      <c r="M811" s="281">
        <v>6</v>
      </c>
      <c r="N811" s="129">
        <v>0</v>
      </c>
      <c r="O811" s="129">
        <v>0</v>
      </c>
      <c r="P811" s="845"/>
      <c r="Q811" s="845"/>
      <c r="R811" s="500"/>
      <c r="S811" s="503"/>
      <c r="T811" s="500"/>
      <c r="U811" s="500"/>
    </row>
    <row r="812" spans="1:1892" s="10" customFormat="1" ht="35.1" customHeight="1">
      <c r="A812" s="1241"/>
      <c r="B812" s="1332"/>
      <c r="C812" s="567"/>
      <c r="D812" s="587"/>
      <c r="E812" s="588"/>
      <c r="F812" s="589"/>
      <c r="G812" s="567"/>
      <c r="H812" s="567"/>
      <c r="I812" s="567"/>
      <c r="J812" s="688"/>
      <c r="K812" s="688"/>
      <c r="L812" s="194">
        <v>84.944699999999997</v>
      </c>
      <c r="M812" s="281">
        <v>6</v>
      </c>
      <c r="N812" s="129">
        <v>0</v>
      </c>
      <c r="O812" s="129">
        <v>0</v>
      </c>
      <c r="P812" s="845"/>
      <c r="Q812" s="845"/>
      <c r="R812" s="500"/>
      <c r="S812" s="503"/>
      <c r="T812" s="500"/>
      <c r="U812" s="500"/>
    </row>
    <row r="813" spans="1:1892" s="10" customFormat="1" ht="35.1" customHeight="1">
      <c r="A813" s="1241"/>
      <c r="B813" s="1332"/>
      <c r="C813" s="567"/>
      <c r="D813" s="587"/>
      <c r="E813" s="588"/>
      <c r="F813" s="589"/>
      <c r="G813" s="568"/>
      <c r="H813" s="568"/>
      <c r="I813" s="568"/>
      <c r="J813" s="689"/>
      <c r="K813" s="689"/>
      <c r="L813" s="194">
        <v>84.969099999999997</v>
      </c>
      <c r="M813" s="281">
        <v>22</v>
      </c>
      <c r="N813" s="129">
        <v>1</v>
      </c>
      <c r="O813" s="129">
        <v>1</v>
      </c>
      <c r="P813" s="845"/>
      <c r="Q813" s="845"/>
      <c r="R813" s="500"/>
      <c r="S813" s="503"/>
      <c r="T813" s="500"/>
      <c r="U813" s="500"/>
    </row>
    <row r="814" spans="1:1892" s="10" customFormat="1" ht="35.1" customHeight="1">
      <c r="A814" s="1241"/>
      <c r="B814" s="1332"/>
      <c r="C814" s="568"/>
      <c r="D814" s="707"/>
      <c r="E814" s="708"/>
      <c r="F814" s="709"/>
      <c r="G814" s="594" t="s">
        <v>329</v>
      </c>
      <c r="H814" s="595"/>
      <c r="I814" s="595"/>
      <c r="J814" s="595"/>
      <c r="K814" s="595"/>
      <c r="L814" s="139"/>
      <c r="M814" s="249">
        <f>SUM(M803:M813)</f>
        <v>286</v>
      </c>
      <c r="N814" s="246">
        <f>SUM(N803:N813)</f>
        <v>18</v>
      </c>
      <c r="O814" s="246">
        <f>SUM(O803:O813)</f>
        <v>18</v>
      </c>
      <c r="P814" s="846"/>
      <c r="Q814" s="846"/>
      <c r="R814" s="501"/>
      <c r="S814" s="504"/>
      <c r="T814" s="501"/>
      <c r="U814" s="501"/>
    </row>
    <row r="815" spans="1:1892" s="10" customFormat="1" ht="35.1" customHeight="1">
      <c r="A815" s="1241"/>
      <c r="B815" s="1332"/>
      <c r="C815" s="566" t="s">
        <v>54</v>
      </c>
      <c r="D815" s="584" t="s">
        <v>607</v>
      </c>
      <c r="E815" s="585"/>
      <c r="F815" s="586"/>
      <c r="G815" s="926" t="s">
        <v>54</v>
      </c>
      <c r="H815" s="926" t="s">
        <v>54</v>
      </c>
      <c r="I815" s="926" t="s">
        <v>54</v>
      </c>
      <c r="J815" s="926" t="s">
        <v>54</v>
      </c>
      <c r="K815" s="514" t="s">
        <v>12</v>
      </c>
      <c r="L815" s="170" t="s">
        <v>823</v>
      </c>
      <c r="M815" s="221">
        <v>619</v>
      </c>
      <c r="N815" s="129">
        <v>0</v>
      </c>
      <c r="O815" s="129">
        <v>0</v>
      </c>
      <c r="P815" s="844" t="s">
        <v>54</v>
      </c>
      <c r="Q815" s="499" t="s">
        <v>54</v>
      </c>
      <c r="R815" s="499" t="s">
        <v>54</v>
      </c>
      <c r="S815" s="499" t="s">
        <v>54</v>
      </c>
      <c r="T815" s="499" t="s">
        <v>54</v>
      </c>
      <c r="U815" s="499" t="s">
        <v>54</v>
      </c>
    </row>
    <row r="816" spans="1:1892" s="10" customFormat="1" ht="35.1" customHeight="1">
      <c r="A816" s="1241"/>
      <c r="B816" s="1332"/>
      <c r="C816" s="567"/>
      <c r="D816" s="587"/>
      <c r="E816" s="588"/>
      <c r="F816" s="589"/>
      <c r="G816" s="927"/>
      <c r="H816" s="927"/>
      <c r="I816" s="927"/>
      <c r="J816" s="927"/>
      <c r="K816" s="515"/>
      <c r="L816" s="170" t="s">
        <v>824</v>
      </c>
      <c r="M816" s="221">
        <v>120</v>
      </c>
      <c r="N816" s="129">
        <v>0</v>
      </c>
      <c r="O816" s="129">
        <v>0</v>
      </c>
      <c r="P816" s="845"/>
      <c r="Q816" s="500"/>
      <c r="R816" s="500"/>
      <c r="S816" s="500"/>
      <c r="T816" s="500"/>
      <c r="U816" s="500"/>
    </row>
    <row r="817" spans="1:21" s="10" customFormat="1" ht="35.1" customHeight="1">
      <c r="A817" s="1241"/>
      <c r="B817" s="1332"/>
      <c r="C817" s="567"/>
      <c r="D817" s="587"/>
      <c r="E817" s="588"/>
      <c r="F817" s="589"/>
      <c r="G817" s="927"/>
      <c r="H817" s="927"/>
      <c r="I817" s="927"/>
      <c r="J817" s="927"/>
      <c r="K817" s="515"/>
      <c r="L817" s="170" t="s">
        <v>825</v>
      </c>
      <c r="M817" s="221">
        <v>194</v>
      </c>
      <c r="N817" s="129">
        <v>0</v>
      </c>
      <c r="O817" s="129">
        <v>0</v>
      </c>
      <c r="P817" s="845"/>
      <c r="Q817" s="500"/>
      <c r="R817" s="500"/>
      <c r="S817" s="500"/>
      <c r="T817" s="500"/>
      <c r="U817" s="500"/>
    </row>
    <row r="818" spans="1:21" s="10" customFormat="1" ht="35.1" customHeight="1">
      <c r="A818" s="1241"/>
      <c r="B818" s="1332"/>
      <c r="C818" s="567"/>
      <c r="D818" s="587"/>
      <c r="E818" s="588"/>
      <c r="F818" s="589"/>
      <c r="G818" s="927"/>
      <c r="H818" s="927"/>
      <c r="I818" s="927"/>
      <c r="J818" s="927"/>
      <c r="K818" s="515"/>
      <c r="L818" s="170" t="s">
        <v>826</v>
      </c>
      <c r="M818" s="221">
        <v>48</v>
      </c>
      <c r="N818" s="129">
        <v>0</v>
      </c>
      <c r="O818" s="129">
        <v>0</v>
      </c>
      <c r="P818" s="845"/>
      <c r="Q818" s="500"/>
      <c r="R818" s="500"/>
      <c r="S818" s="500"/>
      <c r="T818" s="500"/>
      <c r="U818" s="500"/>
    </row>
    <row r="819" spans="1:21" s="10" customFormat="1" ht="35.1" customHeight="1">
      <c r="A819" s="1241"/>
      <c r="B819" s="1332"/>
      <c r="C819" s="567"/>
      <c r="D819" s="587"/>
      <c r="E819" s="588"/>
      <c r="F819" s="589"/>
      <c r="G819" s="928"/>
      <c r="H819" s="928"/>
      <c r="I819" s="928"/>
      <c r="J819" s="928"/>
      <c r="K819" s="516"/>
      <c r="L819" s="170" t="s">
        <v>827</v>
      </c>
      <c r="M819" s="221">
        <v>48</v>
      </c>
      <c r="N819" s="129">
        <v>0</v>
      </c>
      <c r="O819" s="129">
        <v>0</v>
      </c>
      <c r="P819" s="845"/>
      <c r="Q819" s="500"/>
      <c r="R819" s="500"/>
      <c r="S819" s="500"/>
      <c r="T819" s="500"/>
      <c r="U819" s="500"/>
    </row>
    <row r="820" spans="1:21" s="10" customFormat="1" ht="35.1" customHeight="1">
      <c r="A820" s="1241"/>
      <c r="B820" s="1332"/>
      <c r="C820" s="568"/>
      <c r="D820" s="707"/>
      <c r="E820" s="708"/>
      <c r="F820" s="709"/>
      <c r="G820" s="594" t="s">
        <v>329</v>
      </c>
      <c r="H820" s="595"/>
      <c r="I820" s="595"/>
      <c r="J820" s="595"/>
      <c r="K820" s="595"/>
      <c r="L820" s="139"/>
      <c r="M820" s="249">
        <f>SUM(M815:M819)</f>
        <v>1029</v>
      </c>
      <c r="N820" s="233">
        <f>SUM(N815:N819)</f>
        <v>0</v>
      </c>
      <c r="O820" s="233">
        <f>SUM(O815:O819)</f>
        <v>0</v>
      </c>
      <c r="P820" s="846"/>
      <c r="Q820" s="501"/>
      <c r="R820" s="501"/>
      <c r="S820" s="501"/>
      <c r="T820" s="501"/>
      <c r="U820" s="501"/>
    </row>
    <row r="821" spans="1:21" s="10" customFormat="1" ht="35.1" customHeight="1">
      <c r="A821" s="1241"/>
      <c r="B821" s="1332"/>
      <c r="C821" s="566"/>
      <c r="D821" s="584" t="s">
        <v>691</v>
      </c>
      <c r="E821" s="585"/>
      <c r="F821" s="586"/>
      <c r="G821" s="566" t="s">
        <v>189</v>
      </c>
      <c r="H821" s="566" t="s">
        <v>189</v>
      </c>
      <c r="I821" s="566" t="s">
        <v>189</v>
      </c>
      <c r="J821" s="687" t="s">
        <v>11</v>
      </c>
      <c r="K821" s="687" t="s">
        <v>12</v>
      </c>
      <c r="L821" s="195" t="s">
        <v>757</v>
      </c>
      <c r="M821" s="285">
        <v>267</v>
      </c>
      <c r="N821" s="129">
        <v>0</v>
      </c>
      <c r="O821" s="129">
        <v>0</v>
      </c>
      <c r="P821" s="844" t="s">
        <v>189</v>
      </c>
      <c r="Q821" s="844" t="s">
        <v>189</v>
      </c>
      <c r="R821" s="499" t="s">
        <v>189</v>
      </c>
      <c r="S821" s="523" t="s">
        <v>189</v>
      </c>
      <c r="T821" s="499" t="s">
        <v>189</v>
      </c>
      <c r="U821" s="499" t="s">
        <v>189</v>
      </c>
    </row>
    <row r="822" spans="1:21" s="10" customFormat="1" ht="35.1" customHeight="1">
      <c r="A822" s="1241"/>
      <c r="B822" s="1332"/>
      <c r="C822" s="567"/>
      <c r="D822" s="587"/>
      <c r="E822" s="588"/>
      <c r="F822" s="589"/>
      <c r="G822" s="567"/>
      <c r="H822" s="567"/>
      <c r="I822" s="567"/>
      <c r="J822" s="688"/>
      <c r="K822" s="688"/>
      <c r="L822" s="195" t="s">
        <v>758</v>
      </c>
      <c r="M822" s="285">
        <v>134</v>
      </c>
      <c r="N822" s="129">
        <v>0</v>
      </c>
      <c r="O822" s="129">
        <v>0</v>
      </c>
      <c r="P822" s="845"/>
      <c r="Q822" s="845"/>
      <c r="R822" s="500"/>
      <c r="S822" s="524"/>
      <c r="T822" s="500"/>
      <c r="U822" s="500"/>
    </row>
    <row r="823" spans="1:21" s="10" customFormat="1" ht="35.1" customHeight="1">
      <c r="A823" s="1241"/>
      <c r="B823" s="1332"/>
      <c r="C823" s="567"/>
      <c r="D823" s="587"/>
      <c r="E823" s="588"/>
      <c r="F823" s="589"/>
      <c r="G823" s="567"/>
      <c r="H823" s="567"/>
      <c r="I823" s="567"/>
      <c r="J823" s="688"/>
      <c r="K823" s="688"/>
      <c r="L823" s="195" t="s">
        <v>759</v>
      </c>
      <c r="M823" s="285">
        <v>59</v>
      </c>
      <c r="N823" s="129">
        <v>0</v>
      </c>
      <c r="O823" s="129">
        <v>0</v>
      </c>
      <c r="P823" s="845"/>
      <c r="Q823" s="845"/>
      <c r="R823" s="500"/>
      <c r="S823" s="524"/>
      <c r="T823" s="500"/>
      <c r="U823" s="500"/>
    </row>
    <row r="824" spans="1:21" s="10" customFormat="1" ht="35.1" customHeight="1">
      <c r="A824" s="1241"/>
      <c r="B824" s="1332"/>
      <c r="C824" s="567"/>
      <c r="D824" s="587"/>
      <c r="E824" s="588"/>
      <c r="F824" s="589"/>
      <c r="G824" s="567"/>
      <c r="H824" s="567"/>
      <c r="I824" s="567"/>
      <c r="J824" s="688"/>
      <c r="K824" s="688"/>
      <c r="L824" s="195" t="s">
        <v>760</v>
      </c>
      <c r="M824" s="285">
        <v>39</v>
      </c>
      <c r="N824" s="129">
        <v>0</v>
      </c>
      <c r="O824" s="129">
        <v>0</v>
      </c>
      <c r="P824" s="845"/>
      <c r="Q824" s="845"/>
      <c r="R824" s="500"/>
      <c r="S824" s="524"/>
      <c r="T824" s="500"/>
      <c r="U824" s="500"/>
    </row>
    <row r="825" spans="1:21" s="10" customFormat="1" ht="35.1" customHeight="1">
      <c r="A825" s="1241"/>
      <c r="B825" s="1332"/>
      <c r="C825" s="567"/>
      <c r="D825" s="587"/>
      <c r="E825" s="588"/>
      <c r="F825" s="589"/>
      <c r="G825" s="567"/>
      <c r="H825" s="567"/>
      <c r="I825" s="567"/>
      <c r="J825" s="688"/>
      <c r="K825" s="688"/>
      <c r="L825" s="195" t="s">
        <v>761</v>
      </c>
      <c r="M825" s="285">
        <v>23</v>
      </c>
      <c r="N825" s="129">
        <v>0</v>
      </c>
      <c r="O825" s="129">
        <v>0</v>
      </c>
      <c r="P825" s="845"/>
      <c r="Q825" s="845"/>
      <c r="R825" s="500"/>
      <c r="S825" s="524"/>
      <c r="T825" s="500"/>
      <c r="U825" s="500"/>
    </row>
    <row r="826" spans="1:21" s="10" customFormat="1" ht="35.1" customHeight="1">
      <c r="A826" s="1241"/>
      <c r="B826" s="1332"/>
      <c r="C826" s="567"/>
      <c r="D826" s="587"/>
      <c r="E826" s="588"/>
      <c r="F826" s="589"/>
      <c r="G826" s="567"/>
      <c r="H826" s="567"/>
      <c r="I826" s="567"/>
      <c r="J826" s="688"/>
      <c r="K826" s="688"/>
      <c r="L826" s="195" t="s">
        <v>762</v>
      </c>
      <c r="M826" s="285">
        <v>98</v>
      </c>
      <c r="N826" s="129">
        <v>0</v>
      </c>
      <c r="O826" s="129">
        <v>0</v>
      </c>
      <c r="P826" s="845"/>
      <c r="Q826" s="845"/>
      <c r="R826" s="500"/>
      <c r="S826" s="524"/>
      <c r="T826" s="500"/>
      <c r="U826" s="500"/>
    </row>
    <row r="827" spans="1:21" s="10" customFormat="1" ht="35.1" customHeight="1">
      <c r="A827" s="1241"/>
      <c r="B827" s="1332"/>
      <c r="C827" s="567"/>
      <c r="D827" s="587"/>
      <c r="E827" s="588"/>
      <c r="F827" s="589"/>
      <c r="G827" s="568"/>
      <c r="H827" s="568"/>
      <c r="I827" s="568"/>
      <c r="J827" s="689"/>
      <c r="K827" s="689"/>
      <c r="L827" s="196" t="s">
        <v>763</v>
      </c>
      <c r="M827" s="285">
        <v>100</v>
      </c>
      <c r="N827" s="129">
        <v>0</v>
      </c>
      <c r="O827" s="129">
        <v>0</v>
      </c>
      <c r="P827" s="845"/>
      <c r="Q827" s="845"/>
      <c r="R827" s="500"/>
      <c r="S827" s="524"/>
      <c r="T827" s="500"/>
      <c r="U827" s="500"/>
    </row>
    <row r="828" spans="1:21" s="10" customFormat="1" ht="35.1" customHeight="1">
      <c r="A828" s="1241"/>
      <c r="B828" s="1332"/>
      <c r="C828" s="568"/>
      <c r="D828" s="707"/>
      <c r="E828" s="708"/>
      <c r="F828" s="709"/>
      <c r="G828" s="594" t="s">
        <v>329</v>
      </c>
      <c r="H828" s="595"/>
      <c r="I828" s="595"/>
      <c r="J828" s="595"/>
      <c r="K828" s="595"/>
      <c r="L828" s="342"/>
      <c r="M828" s="232">
        <f>SUM(M821:M827)</f>
        <v>720</v>
      </c>
      <c r="N828" s="246">
        <f>SUM(N821:N827)</f>
        <v>0</v>
      </c>
      <c r="O828" s="246">
        <f>SUM(O821:O827)</f>
        <v>0</v>
      </c>
      <c r="P828" s="846"/>
      <c r="Q828" s="846"/>
      <c r="R828" s="501"/>
      <c r="S828" s="694"/>
      <c r="T828" s="501"/>
      <c r="U828" s="501"/>
    </row>
    <row r="829" spans="1:21" s="10" customFormat="1" ht="35.1" customHeight="1">
      <c r="A829" s="1241"/>
      <c r="B829" s="1332"/>
      <c r="C829" s="566" t="s">
        <v>474</v>
      </c>
      <c r="D829" s="584" t="s">
        <v>475</v>
      </c>
      <c r="E829" s="585"/>
      <c r="F829" s="586"/>
      <c r="G829" s="566" t="s">
        <v>476</v>
      </c>
      <c r="H829" s="566" t="s">
        <v>477</v>
      </c>
      <c r="I829" s="566" t="s">
        <v>478</v>
      </c>
      <c r="J829" s="687" t="s">
        <v>11</v>
      </c>
      <c r="K829" s="687" t="s">
        <v>12</v>
      </c>
      <c r="L829" s="197">
        <v>63.9602</v>
      </c>
      <c r="M829" s="281">
        <v>79</v>
      </c>
      <c r="N829" s="132">
        <v>0</v>
      </c>
      <c r="O829" s="132">
        <v>0</v>
      </c>
      <c r="P829" s="1428" t="s">
        <v>404</v>
      </c>
      <c r="Q829" s="1428" t="s">
        <v>450</v>
      </c>
      <c r="R829" s="1735" t="s">
        <v>462</v>
      </c>
      <c r="S829" s="1781" t="s">
        <v>188</v>
      </c>
      <c r="T829" s="1735" t="s">
        <v>479</v>
      </c>
      <c r="U829" s="1735" t="s">
        <v>11</v>
      </c>
    </row>
    <row r="830" spans="1:21" s="10" customFormat="1" ht="35.1" customHeight="1">
      <c r="A830" s="1241"/>
      <c r="B830" s="1332"/>
      <c r="C830" s="567"/>
      <c r="D830" s="587"/>
      <c r="E830" s="588"/>
      <c r="F830" s="589"/>
      <c r="G830" s="567"/>
      <c r="H830" s="567"/>
      <c r="I830" s="567"/>
      <c r="J830" s="688"/>
      <c r="K830" s="688"/>
      <c r="L830" s="197" t="s">
        <v>480</v>
      </c>
      <c r="M830" s="281">
        <v>32</v>
      </c>
      <c r="N830" s="129">
        <v>1</v>
      </c>
      <c r="O830" s="129">
        <v>1</v>
      </c>
      <c r="P830" s="1429"/>
      <c r="Q830" s="1429"/>
      <c r="R830" s="1736"/>
      <c r="S830" s="1782"/>
      <c r="T830" s="1736"/>
      <c r="U830" s="1736"/>
    </row>
    <row r="831" spans="1:21" s="10" customFormat="1" ht="35.1" customHeight="1">
      <c r="A831" s="1241"/>
      <c r="B831" s="1332"/>
      <c r="C831" s="567"/>
      <c r="D831" s="587"/>
      <c r="E831" s="588"/>
      <c r="F831" s="589"/>
      <c r="G831" s="567"/>
      <c r="H831" s="567"/>
      <c r="I831" s="567"/>
      <c r="J831" s="688"/>
      <c r="K831" s="688"/>
      <c r="L831" s="197" t="s">
        <v>481</v>
      </c>
      <c r="M831" s="281">
        <v>117</v>
      </c>
      <c r="N831" s="129">
        <v>2</v>
      </c>
      <c r="O831" s="129">
        <v>2</v>
      </c>
      <c r="P831" s="1429"/>
      <c r="Q831" s="1429"/>
      <c r="R831" s="1736"/>
      <c r="S831" s="1782"/>
      <c r="T831" s="1736"/>
      <c r="U831" s="1736"/>
    </row>
    <row r="832" spans="1:21" s="10" customFormat="1" ht="35.1" customHeight="1">
      <c r="A832" s="1241"/>
      <c r="B832" s="1332"/>
      <c r="C832" s="567"/>
      <c r="D832" s="587"/>
      <c r="E832" s="588"/>
      <c r="F832" s="589"/>
      <c r="G832" s="567"/>
      <c r="H832" s="567"/>
      <c r="I832" s="567"/>
      <c r="J832" s="688"/>
      <c r="K832" s="688"/>
      <c r="L832" s="197" t="s">
        <v>482</v>
      </c>
      <c r="M832" s="281">
        <v>522</v>
      </c>
      <c r="N832" s="129">
        <v>13</v>
      </c>
      <c r="O832" s="129">
        <v>11</v>
      </c>
      <c r="P832" s="1429"/>
      <c r="Q832" s="1429"/>
      <c r="R832" s="1736"/>
      <c r="S832" s="1782"/>
      <c r="T832" s="1736"/>
      <c r="U832" s="1736"/>
    </row>
    <row r="833" spans="1:21" s="10" customFormat="1" ht="35.1" customHeight="1">
      <c r="A833" s="1241"/>
      <c r="B833" s="1332"/>
      <c r="C833" s="567"/>
      <c r="D833" s="587"/>
      <c r="E833" s="588"/>
      <c r="F833" s="589"/>
      <c r="G833" s="567"/>
      <c r="H833" s="567"/>
      <c r="I833" s="567"/>
      <c r="J833" s="688"/>
      <c r="K833" s="688"/>
      <c r="L833" s="197" t="s">
        <v>483</v>
      </c>
      <c r="M833" s="281">
        <v>386</v>
      </c>
      <c r="N833" s="129">
        <v>16</v>
      </c>
      <c r="O833" s="129">
        <v>13</v>
      </c>
      <c r="P833" s="1429"/>
      <c r="Q833" s="1429"/>
      <c r="R833" s="1736"/>
      <c r="S833" s="1782"/>
      <c r="T833" s="1736"/>
      <c r="U833" s="1736"/>
    </row>
    <row r="834" spans="1:21" s="10" customFormat="1" ht="35.1" customHeight="1">
      <c r="A834" s="1241"/>
      <c r="B834" s="1332"/>
      <c r="C834" s="567"/>
      <c r="D834" s="587"/>
      <c r="E834" s="588"/>
      <c r="F834" s="589"/>
      <c r="G834" s="568"/>
      <c r="H834" s="568"/>
      <c r="I834" s="568"/>
      <c r="J834" s="689"/>
      <c r="K834" s="689"/>
      <c r="L834" s="197">
        <v>105.98520000000001</v>
      </c>
      <c r="M834" s="281">
        <v>161</v>
      </c>
      <c r="N834" s="129">
        <v>2</v>
      </c>
      <c r="O834" s="129">
        <v>2</v>
      </c>
      <c r="P834" s="1429"/>
      <c r="Q834" s="1429"/>
      <c r="R834" s="1736"/>
      <c r="S834" s="1782"/>
      <c r="T834" s="1736"/>
      <c r="U834" s="1736"/>
    </row>
    <row r="835" spans="1:21" s="10" customFormat="1" ht="35.1" customHeight="1">
      <c r="A835" s="1241"/>
      <c r="B835" s="1332"/>
      <c r="C835" s="568"/>
      <c r="D835" s="707"/>
      <c r="E835" s="708"/>
      <c r="F835" s="709"/>
      <c r="G835" s="594" t="s">
        <v>329</v>
      </c>
      <c r="H835" s="595"/>
      <c r="I835" s="595"/>
      <c r="J835" s="595"/>
      <c r="K835" s="1083"/>
      <c r="L835" s="145"/>
      <c r="M835" s="249">
        <f>SUM(M829:M834)</f>
        <v>1297</v>
      </c>
      <c r="N835" s="246">
        <f>SUM(N829:N834)</f>
        <v>34</v>
      </c>
      <c r="O835" s="246">
        <f>SUM(O829:O834)</f>
        <v>29</v>
      </c>
      <c r="P835" s="1430"/>
      <c r="Q835" s="1430"/>
      <c r="R835" s="1737"/>
      <c r="S835" s="1783"/>
      <c r="T835" s="1737"/>
      <c r="U835" s="1737"/>
    </row>
    <row r="836" spans="1:21" s="10" customFormat="1" ht="35.1" customHeight="1">
      <c r="A836" s="1241"/>
      <c r="B836" s="1332"/>
      <c r="C836" s="566" t="s">
        <v>54</v>
      </c>
      <c r="D836" s="584" t="s">
        <v>607</v>
      </c>
      <c r="E836" s="585"/>
      <c r="F836" s="586"/>
      <c r="G836" s="514" t="s">
        <v>54</v>
      </c>
      <c r="H836" s="514" t="s">
        <v>54</v>
      </c>
      <c r="I836" s="514" t="s">
        <v>54</v>
      </c>
      <c r="J836" s="514" t="s">
        <v>54</v>
      </c>
      <c r="K836" s="514" t="s">
        <v>12</v>
      </c>
      <c r="L836" s="170" t="s">
        <v>839</v>
      </c>
      <c r="M836" s="221">
        <v>94</v>
      </c>
      <c r="N836" s="129">
        <v>0</v>
      </c>
      <c r="O836" s="129">
        <v>0</v>
      </c>
      <c r="P836" s="844" t="s">
        <v>54</v>
      </c>
      <c r="Q836" s="499" t="s">
        <v>54</v>
      </c>
      <c r="R836" s="499" t="s">
        <v>54</v>
      </c>
      <c r="S836" s="499" t="s">
        <v>54</v>
      </c>
      <c r="T836" s="499" t="s">
        <v>54</v>
      </c>
      <c r="U836" s="499" t="s">
        <v>54</v>
      </c>
    </row>
    <row r="837" spans="1:21" s="10" customFormat="1" ht="35.1" customHeight="1">
      <c r="A837" s="1241"/>
      <c r="B837" s="1332"/>
      <c r="C837" s="567"/>
      <c r="D837" s="587"/>
      <c r="E837" s="588"/>
      <c r="F837" s="589"/>
      <c r="G837" s="515"/>
      <c r="H837" s="515"/>
      <c r="I837" s="515"/>
      <c r="J837" s="515"/>
      <c r="K837" s="515"/>
      <c r="L837" s="170" t="s">
        <v>840</v>
      </c>
      <c r="M837" s="221">
        <v>49</v>
      </c>
      <c r="N837" s="129">
        <v>0</v>
      </c>
      <c r="O837" s="129">
        <v>0</v>
      </c>
      <c r="P837" s="845"/>
      <c r="Q837" s="500"/>
      <c r="R837" s="500"/>
      <c r="S837" s="500"/>
      <c r="T837" s="500"/>
      <c r="U837" s="500"/>
    </row>
    <row r="838" spans="1:21" s="10" customFormat="1" ht="35.1" customHeight="1">
      <c r="A838" s="1241"/>
      <c r="B838" s="1332"/>
      <c r="C838" s="567"/>
      <c r="D838" s="587"/>
      <c r="E838" s="588"/>
      <c r="F838" s="589"/>
      <c r="G838" s="515"/>
      <c r="H838" s="515"/>
      <c r="I838" s="515"/>
      <c r="J838" s="515"/>
      <c r="K838" s="515"/>
      <c r="L838" s="170" t="s">
        <v>841</v>
      </c>
      <c r="M838" s="221">
        <v>46</v>
      </c>
      <c r="N838" s="129">
        <v>0</v>
      </c>
      <c r="O838" s="129">
        <v>0</v>
      </c>
      <c r="P838" s="845"/>
      <c r="Q838" s="500"/>
      <c r="R838" s="500"/>
      <c r="S838" s="500"/>
      <c r="T838" s="500"/>
      <c r="U838" s="500"/>
    </row>
    <row r="839" spans="1:21" s="10" customFormat="1" ht="35.1" customHeight="1">
      <c r="A839" s="1241"/>
      <c r="B839" s="1332"/>
      <c r="C839" s="567"/>
      <c r="D839" s="587"/>
      <c r="E839" s="588"/>
      <c r="F839" s="589"/>
      <c r="G839" s="515"/>
      <c r="H839" s="515"/>
      <c r="I839" s="515"/>
      <c r="J839" s="515"/>
      <c r="K839" s="515"/>
      <c r="L839" s="170" t="s">
        <v>842</v>
      </c>
      <c r="M839" s="221">
        <v>266</v>
      </c>
      <c r="N839" s="129">
        <v>62</v>
      </c>
      <c r="O839" s="129">
        <v>57</v>
      </c>
      <c r="P839" s="845"/>
      <c r="Q839" s="500"/>
      <c r="R839" s="500"/>
      <c r="S839" s="500"/>
      <c r="T839" s="500"/>
      <c r="U839" s="500"/>
    </row>
    <row r="840" spans="1:21" s="10" customFormat="1" ht="35.1" customHeight="1">
      <c r="A840" s="1241"/>
      <c r="B840" s="1332"/>
      <c r="C840" s="567"/>
      <c r="D840" s="587"/>
      <c r="E840" s="588"/>
      <c r="F840" s="589"/>
      <c r="G840" s="515"/>
      <c r="H840" s="515"/>
      <c r="I840" s="515"/>
      <c r="J840" s="515"/>
      <c r="K840" s="515"/>
      <c r="L840" s="170" t="s">
        <v>843</v>
      </c>
      <c r="M840" s="221">
        <v>124</v>
      </c>
      <c r="N840" s="129">
        <v>44</v>
      </c>
      <c r="O840" s="129">
        <v>39</v>
      </c>
      <c r="P840" s="845"/>
      <c r="Q840" s="500"/>
      <c r="R840" s="500"/>
      <c r="S840" s="500"/>
      <c r="T840" s="500"/>
      <c r="U840" s="500"/>
    </row>
    <row r="841" spans="1:21" s="10" customFormat="1" ht="35.1" customHeight="1">
      <c r="A841" s="1241"/>
      <c r="B841" s="1332"/>
      <c r="C841" s="567"/>
      <c r="D841" s="587"/>
      <c r="E841" s="588"/>
      <c r="F841" s="589"/>
      <c r="G841" s="516"/>
      <c r="H841" s="516"/>
      <c r="I841" s="516"/>
      <c r="J841" s="516"/>
      <c r="K841" s="516"/>
      <c r="L841" s="170" t="s">
        <v>844</v>
      </c>
      <c r="M841" s="221">
        <v>91</v>
      </c>
      <c r="N841" s="129">
        <v>22</v>
      </c>
      <c r="O841" s="129">
        <v>18</v>
      </c>
      <c r="P841" s="845"/>
      <c r="Q841" s="500"/>
      <c r="R841" s="500"/>
      <c r="S841" s="500"/>
      <c r="T841" s="500"/>
      <c r="U841" s="500"/>
    </row>
    <row r="842" spans="1:21" s="10" customFormat="1" ht="35.1" customHeight="1">
      <c r="A842" s="1241"/>
      <c r="B842" s="1332"/>
      <c r="C842" s="568"/>
      <c r="D842" s="707"/>
      <c r="E842" s="708"/>
      <c r="F842" s="709"/>
      <c r="G842" s="594" t="s">
        <v>329</v>
      </c>
      <c r="H842" s="595"/>
      <c r="I842" s="595"/>
      <c r="J842" s="595"/>
      <c r="K842" s="595"/>
      <c r="L842" s="342"/>
      <c r="M842" s="249">
        <f>SUM(M836:M841)</f>
        <v>670</v>
      </c>
      <c r="N842" s="233">
        <f>SUM(N836:N841)</f>
        <v>128</v>
      </c>
      <c r="O842" s="233">
        <f>SUM(O836:O841)</f>
        <v>114</v>
      </c>
      <c r="P842" s="846"/>
      <c r="Q842" s="501"/>
      <c r="R842" s="501"/>
      <c r="S842" s="501"/>
      <c r="T842" s="501"/>
      <c r="U842" s="501"/>
    </row>
    <row r="843" spans="1:21" s="10" customFormat="1" ht="35.1" customHeight="1">
      <c r="A843" s="1241"/>
      <c r="B843" s="1332"/>
      <c r="C843" s="566" t="s">
        <v>54</v>
      </c>
      <c r="D843" s="584" t="s">
        <v>607</v>
      </c>
      <c r="E843" s="585"/>
      <c r="F843" s="586"/>
      <c r="G843" s="514" t="s">
        <v>54</v>
      </c>
      <c r="H843" s="514" t="s">
        <v>54</v>
      </c>
      <c r="I843" s="514" t="s">
        <v>54</v>
      </c>
      <c r="J843" s="514" t="s">
        <v>54</v>
      </c>
      <c r="K843" s="514" t="s">
        <v>12</v>
      </c>
      <c r="L843" s="170" t="s">
        <v>839</v>
      </c>
      <c r="M843" s="221">
        <v>126</v>
      </c>
      <c r="N843" s="129">
        <v>0</v>
      </c>
      <c r="O843" s="129">
        <v>0</v>
      </c>
      <c r="P843" s="844" t="s">
        <v>54</v>
      </c>
      <c r="Q843" s="499" t="s">
        <v>54</v>
      </c>
      <c r="R843" s="499" t="s">
        <v>54</v>
      </c>
      <c r="S843" s="499" t="s">
        <v>54</v>
      </c>
      <c r="T843" s="499" t="s">
        <v>54</v>
      </c>
      <c r="U843" s="499" t="s">
        <v>54</v>
      </c>
    </row>
    <row r="844" spans="1:21" s="10" customFormat="1" ht="35.1" customHeight="1">
      <c r="A844" s="1241"/>
      <c r="B844" s="1332"/>
      <c r="C844" s="567"/>
      <c r="D844" s="587"/>
      <c r="E844" s="588"/>
      <c r="F844" s="589"/>
      <c r="G844" s="515"/>
      <c r="H844" s="515"/>
      <c r="I844" s="515"/>
      <c r="J844" s="515"/>
      <c r="K844" s="515"/>
      <c r="L844" s="170" t="s">
        <v>840</v>
      </c>
      <c r="M844" s="221">
        <v>42</v>
      </c>
      <c r="N844" s="129">
        <v>0</v>
      </c>
      <c r="O844" s="129">
        <v>0</v>
      </c>
      <c r="P844" s="845"/>
      <c r="Q844" s="500"/>
      <c r="R844" s="500"/>
      <c r="S844" s="500"/>
      <c r="T844" s="500"/>
      <c r="U844" s="500"/>
    </row>
    <row r="845" spans="1:21" s="10" customFormat="1" ht="35.1" customHeight="1">
      <c r="A845" s="1241"/>
      <c r="B845" s="1332"/>
      <c r="C845" s="567"/>
      <c r="D845" s="587"/>
      <c r="E845" s="588"/>
      <c r="F845" s="589"/>
      <c r="G845" s="515"/>
      <c r="H845" s="515"/>
      <c r="I845" s="515"/>
      <c r="J845" s="515"/>
      <c r="K845" s="515"/>
      <c r="L845" s="170" t="s">
        <v>841</v>
      </c>
      <c r="M845" s="221">
        <v>51</v>
      </c>
      <c r="N845" s="129">
        <v>0</v>
      </c>
      <c r="O845" s="129">
        <v>0</v>
      </c>
      <c r="P845" s="845"/>
      <c r="Q845" s="500"/>
      <c r="R845" s="500"/>
      <c r="S845" s="500"/>
      <c r="T845" s="500"/>
      <c r="U845" s="500"/>
    </row>
    <row r="846" spans="1:21" s="10" customFormat="1" ht="35.1" customHeight="1">
      <c r="A846" s="1241"/>
      <c r="B846" s="1332"/>
      <c r="C846" s="567"/>
      <c r="D846" s="587"/>
      <c r="E846" s="588"/>
      <c r="F846" s="589"/>
      <c r="G846" s="515"/>
      <c r="H846" s="515"/>
      <c r="I846" s="515"/>
      <c r="J846" s="515"/>
      <c r="K846" s="515"/>
      <c r="L846" s="170" t="s">
        <v>842</v>
      </c>
      <c r="M846" s="221">
        <v>335</v>
      </c>
      <c r="N846" s="129">
        <v>12</v>
      </c>
      <c r="O846" s="129">
        <v>11</v>
      </c>
      <c r="P846" s="845"/>
      <c r="Q846" s="500"/>
      <c r="R846" s="500"/>
      <c r="S846" s="500"/>
      <c r="T846" s="500"/>
      <c r="U846" s="500"/>
    </row>
    <row r="847" spans="1:21" s="10" customFormat="1" ht="35.1" customHeight="1">
      <c r="A847" s="1241"/>
      <c r="B847" s="1332"/>
      <c r="C847" s="567"/>
      <c r="D847" s="587"/>
      <c r="E847" s="588"/>
      <c r="F847" s="589"/>
      <c r="G847" s="515"/>
      <c r="H847" s="515"/>
      <c r="I847" s="515"/>
      <c r="J847" s="515"/>
      <c r="K847" s="515"/>
      <c r="L847" s="170" t="s">
        <v>843</v>
      </c>
      <c r="M847" s="221">
        <v>85</v>
      </c>
      <c r="N847" s="129">
        <v>4</v>
      </c>
      <c r="O847" s="129">
        <v>3</v>
      </c>
      <c r="P847" s="845"/>
      <c r="Q847" s="500"/>
      <c r="R847" s="500"/>
      <c r="S847" s="500"/>
      <c r="T847" s="500"/>
      <c r="U847" s="500"/>
    </row>
    <row r="848" spans="1:21" s="10" customFormat="1" ht="35.1" customHeight="1">
      <c r="A848" s="1241"/>
      <c r="B848" s="1332"/>
      <c r="C848" s="567"/>
      <c r="D848" s="587"/>
      <c r="E848" s="588"/>
      <c r="F848" s="589"/>
      <c r="G848" s="516"/>
      <c r="H848" s="516"/>
      <c r="I848" s="516"/>
      <c r="J848" s="516"/>
      <c r="K848" s="516"/>
      <c r="L848" s="170" t="s">
        <v>844</v>
      </c>
      <c r="M848" s="221">
        <v>25</v>
      </c>
      <c r="N848" s="129">
        <v>1</v>
      </c>
      <c r="O848" s="129">
        <v>1</v>
      </c>
      <c r="P848" s="845"/>
      <c r="Q848" s="500"/>
      <c r="R848" s="500"/>
      <c r="S848" s="500"/>
      <c r="T848" s="500"/>
      <c r="U848" s="500"/>
    </row>
    <row r="849" spans="1:21" s="10" customFormat="1" ht="35.1" customHeight="1">
      <c r="A849" s="1241"/>
      <c r="B849" s="1332"/>
      <c r="C849" s="568"/>
      <c r="D849" s="707"/>
      <c r="E849" s="708"/>
      <c r="F849" s="709"/>
      <c r="G849" s="594" t="s">
        <v>329</v>
      </c>
      <c r="H849" s="595"/>
      <c r="I849" s="595"/>
      <c r="J849" s="595"/>
      <c r="K849" s="595"/>
      <c r="L849" s="342"/>
      <c r="M849" s="249">
        <f>SUM(M843:M848)</f>
        <v>664</v>
      </c>
      <c r="N849" s="233">
        <f>SUM(N843:N848)</f>
        <v>17</v>
      </c>
      <c r="O849" s="233">
        <f>SUM(O843:O848)</f>
        <v>15</v>
      </c>
      <c r="P849" s="846"/>
      <c r="Q849" s="501"/>
      <c r="R849" s="501"/>
      <c r="S849" s="501"/>
      <c r="T849" s="501"/>
      <c r="U849" s="501"/>
    </row>
    <row r="850" spans="1:21" s="10" customFormat="1" ht="35.1" customHeight="1">
      <c r="A850" s="1241"/>
      <c r="B850" s="1332"/>
      <c r="C850" s="947" t="s">
        <v>897</v>
      </c>
      <c r="D850" s="584" t="s">
        <v>607</v>
      </c>
      <c r="E850" s="585"/>
      <c r="F850" s="586"/>
      <c r="G850" s="514" t="s">
        <v>54</v>
      </c>
      <c r="H850" s="514" t="s">
        <v>54</v>
      </c>
      <c r="I850" s="514" t="s">
        <v>54</v>
      </c>
      <c r="J850" s="514" t="s">
        <v>54</v>
      </c>
      <c r="K850" s="514" t="s">
        <v>12</v>
      </c>
      <c r="L850" s="170" t="s">
        <v>845</v>
      </c>
      <c r="M850" s="221">
        <v>40</v>
      </c>
      <c r="N850" s="129">
        <v>0</v>
      </c>
      <c r="O850" s="129">
        <v>0</v>
      </c>
      <c r="P850" s="844" t="s">
        <v>54</v>
      </c>
      <c r="Q850" s="499" t="s">
        <v>54</v>
      </c>
      <c r="R850" s="499" t="s">
        <v>54</v>
      </c>
      <c r="S850" s="499" t="s">
        <v>54</v>
      </c>
      <c r="T850" s="499" t="s">
        <v>54</v>
      </c>
      <c r="U850" s="499" t="s">
        <v>54</v>
      </c>
    </row>
    <row r="851" spans="1:21" s="10" customFormat="1" ht="35.1" customHeight="1">
      <c r="A851" s="1241"/>
      <c r="B851" s="1332"/>
      <c r="C851" s="948"/>
      <c r="D851" s="587"/>
      <c r="E851" s="588"/>
      <c r="F851" s="589"/>
      <c r="G851" s="515"/>
      <c r="H851" s="515"/>
      <c r="I851" s="515"/>
      <c r="J851" s="515"/>
      <c r="K851" s="515"/>
      <c r="L851" s="170" t="s">
        <v>846</v>
      </c>
      <c r="M851" s="221">
        <v>20</v>
      </c>
      <c r="N851" s="129">
        <v>0</v>
      </c>
      <c r="O851" s="129">
        <v>0</v>
      </c>
      <c r="P851" s="845"/>
      <c r="Q851" s="500"/>
      <c r="R851" s="500"/>
      <c r="S851" s="500"/>
      <c r="T851" s="500"/>
      <c r="U851" s="500"/>
    </row>
    <row r="852" spans="1:21" s="10" customFormat="1" ht="35.1" customHeight="1">
      <c r="A852" s="1241"/>
      <c r="B852" s="1332"/>
      <c r="C852" s="948"/>
      <c r="D852" s="587"/>
      <c r="E852" s="588"/>
      <c r="F852" s="589"/>
      <c r="G852" s="515"/>
      <c r="H852" s="515"/>
      <c r="I852" s="515"/>
      <c r="J852" s="515"/>
      <c r="K852" s="515"/>
      <c r="L852" s="170" t="s">
        <v>847</v>
      </c>
      <c r="M852" s="221">
        <v>20</v>
      </c>
      <c r="N852" s="129">
        <v>0</v>
      </c>
      <c r="O852" s="129">
        <v>0</v>
      </c>
      <c r="P852" s="845"/>
      <c r="Q852" s="500"/>
      <c r="R852" s="500"/>
      <c r="S852" s="500"/>
      <c r="T852" s="500"/>
      <c r="U852" s="500"/>
    </row>
    <row r="853" spans="1:21" s="10" customFormat="1" ht="35.1" customHeight="1">
      <c r="A853" s="1241"/>
      <c r="B853" s="1332"/>
      <c r="C853" s="948"/>
      <c r="D853" s="587"/>
      <c r="E853" s="588"/>
      <c r="F853" s="589"/>
      <c r="G853" s="515"/>
      <c r="H853" s="515"/>
      <c r="I853" s="515"/>
      <c r="J853" s="515"/>
      <c r="K853" s="515"/>
      <c r="L853" s="170" t="s">
        <v>839</v>
      </c>
      <c r="M853" s="221">
        <v>80</v>
      </c>
      <c r="N853" s="129">
        <v>0</v>
      </c>
      <c r="O853" s="129">
        <v>0</v>
      </c>
      <c r="P853" s="845"/>
      <c r="Q853" s="500"/>
      <c r="R853" s="500"/>
      <c r="S853" s="500"/>
      <c r="T853" s="500"/>
      <c r="U853" s="500"/>
    </row>
    <row r="854" spans="1:21" s="10" customFormat="1" ht="35.1" customHeight="1">
      <c r="A854" s="1241"/>
      <c r="B854" s="1332"/>
      <c r="C854" s="948"/>
      <c r="D854" s="587"/>
      <c r="E854" s="588"/>
      <c r="F854" s="589"/>
      <c r="G854" s="515"/>
      <c r="H854" s="515"/>
      <c r="I854" s="515"/>
      <c r="J854" s="515"/>
      <c r="K854" s="515"/>
      <c r="L854" s="170" t="s">
        <v>840</v>
      </c>
      <c r="M854" s="221">
        <v>41</v>
      </c>
      <c r="N854" s="129">
        <v>1</v>
      </c>
      <c r="O854" s="129">
        <v>0</v>
      </c>
      <c r="P854" s="845"/>
      <c r="Q854" s="500"/>
      <c r="R854" s="500"/>
      <c r="S854" s="500"/>
      <c r="T854" s="500"/>
      <c r="U854" s="500"/>
    </row>
    <row r="855" spans="1:21" s="10" customFormat="1" ht="35.1" customHeight="1">
      <c r="A855" s="1241"/>
      <c r="B855" s="1332"/>
      <c r="C855" s="948"/>
      <c r="D855" s="587"/>
      <c r="E855" s="588"/>
      <c r="F855" s="589"/>
      <c r="G855" s="516"/>
      <c r="H855" s="516"/>
      <c r="I855" s="516"/>
      <c r="J855" s="516"/>
      <c r="K855" s="516"/>
      <c r="L855" s="170" t="s">
        <v>841</v>
      </c>
      <c r="M855" s="221">
        <v>38</v>
      </c>
      <c r="N855" s="129">
        <v>0</v>
      </c>
      <c r="O855" s="129">
        <v>0</v>
      </c>
      <c r="P855" s="845"/>
      <c r="Q855" s="500"/>
      <c r="R855" s="500"/>
      <c r="S855" s="500"/>
      <c r="T855" s="500"/>
      <c r="U855" s="500"/>
    </row>
    <row r="856" spans="1:21" s="10" customFormat="1" ht="35.1" customHeight="1">
      <c r="A856" s="1241"/>
      <c r="B856" s="1332"/>
      <c r="C856" s="949"/>
      <c r="D856" s="707"/>
      <c r="E856" s="708"/>
      <c r="F856" s="709"/>
      <c r="G856" s="594" t="s">
        <v>329</v>
      </c>
      <c r="H856" s="595"/>
      <c r="I856" s="595"/>
      <c r="J856" s="595"/>
      <c r="K856" s="595"/>
      <c r="L856" s="342"/>
      <c r="M856" s="249">
        <f>SUM(M850:M855)</f>
        <v>239</v>
      </c>
      <c r="N856" s="233">
        <f>SUM(N850:N855)</f>
        <v>1</v>
      </c>
      <c r="O856" s="233">
        <f>SUM(O850:O855)</f>
        <v>0</v>
      </c>
      <c r="P856" s="846"/>
      <c r="Q856" s="501"/>
      <c r="R856" s="501"/>
      <c r="S856" s="501"/>
      <c r="T856" s="501"/>
      <c r="U856" s="501"/>
    </row>
    <row r="857" spans="1:21" s="10" customFormat="1" ht="35.1" customHeight="1">
      <c r="A857" s="1241"/>
      <c r="B857" s="1332"/>
      <c r="C857" s="566" t="s">
        <v>908</v>
      </c>
      <c r="D857" s="584" t="s">
        <v>691</v>
      </c>
      <c r="E857" s="585"/>
      <c r="F857" s="586"/>
      <c r="G857" s="969" t="s">
        <v>54</v>
      </c>
      <c r="H857" s="969" t="s">
        <v>54</v>
      </c>
      <c r="I857" s="969" t="s">
        <v>54</v>
      </c>
      <c r="J857" s="969" t="s">
        <v>54</v>
      </c>
      <c r="K857" s="969" t="s">
        <v>12</v>
      </c>
      <c r="L857" s="318" t="s">
        <v>889</v>
      </c>
      <c r="M857" s="221">
        <v>197</v>
      </c>
      <c r="N857" s="221">
        <v>180</v>
      </c>
      <c r="O857" s="221">
        <v>180</v>
      </c>
      <c r="P857" s="844" t="s">
        <v>189</v>
      </c>
      <c r="Q857" s="499" t="s">
        <v>189</v>
      </c>
      <c r="R857" s="499" t="s">
        <v>189</v>
      </c>
      <c r="S857" s="499" t="s">
        <v>189</v>
      </c>
      <c r="T857" s="499" t="s">
        <v>189</v>
      </c>
      <c r="U857" s="499" t="s">
        <v>189</v>
      </c>
    </row>
    <row r="858" spans="1:21" s="10" customFormat="1" ht="35.1" customHeight="1">
      <c r="A858" s="1241"/>
      <c r="B858" s="1332"/>
      <c r="C858" s="567"/>
      <c r="D858" s="587"/>
      <c r="E858" s="588"/>
      <c r="F858" s="589"/>
      <c r="G858" s="970"/>
      <c r="H858" s="970"/>
      <c r="I858" s="970"/>
      <c r="J858" s="970"/>
      <c r="K858" s="970"/>
      <c r="L858" s="319" t="s">
        <v>890</v>
      </c>
      <c r="M858" s="221">
        <v>118</v>
      </c>
      <c r="N858" s="221">
        <v>118</v>
      </c>
      <c r="O858" s="221">
        <v>118</v>
      </c>
      <c r="P858" s="845"/>
      <c r="Q858" s="500"/>
      <c r="R858" s="500"/>
      <c r="S858" s="500"/>
      <c r="T858" s="500"/>
      <c r="U858" s="500"/>
    </row>
    <row r="859" spans="1:21" s="10" customFormat="1" ht="35.1" customHeight="1">
      <c r="A859" s="1241"/>
      <c r="B859" s="1332"/>
      <c r="C859" s="567"/>
      <c r="D859" s="587"/>
      <c r="E859" s="588"/>
      <c r="F859" s="589"/>
      <c r="G859" s="970"/>
      <c r="H859" s="970"/>
      <c r="I859" s="970"/>
      <c r="J859" s="970"/>
      <c r="K859" s="970"/>
      <c r="L859" s="319" t="s">
        <v>891</v>
      </c>
      <c r="M859" s="221">
        <v>212</v>
      </c>
      <c r="N859" s="221">
        <v>206</v>
      </c>
      <c r="O859" s="221">
        <v>206</v>
      </c>
      <c r="P859" s="845"/>
      <c r="Q859" s="500"/>
      <c r="R859" s="500"/>
      <c r="S859" s="500"/>
      <c r="T859" s="500"/>
      <c r="U859" s="500"/>
    </row>
    <row r="860" spans="1:21" s="10" customFormat="1" ht="35.1" customHeight="1">
      <c r="A860" s="1241"/>
      <c r="B860" s="1332"/>
      <c r="C860" s="567"/>
      <c r="D860" s="587"/>
      <c r="E860" s="588"/>
      <c r="F860" s="589"/>
      <c r="G860" s="970"/>
      <c r="H860" s="970"/>
      <c r="I860" s="970"/>
      <c r="J860" s="970"/>
      <c r="K860" s="970"/>
      <c r="L860" s="319" t="s">
        <v>892</v>
      </c>
      <c r="M860" s="221">
        <v>63</v>
      </c>
      <c r="N860" s="221">
        <v>63</v>
      </c>
      <c r="O860" s="221">
        <v>63</v>
      </c>
      <c r="P860" s="845"/>
      <c r="Q860" s="500"/>
      <c r="R860" s="500"/>
      <c r="S860" s="500"/>
      <c r="T860" s="500"/>
      <c r="U860" s="500"/>
    </row>
    <row r="861" spans="1:21" s="10" customFormat="1" ht="35.1" customHeight="1">
      <c r="A861" s="1241"/>
      <c r="B861" s="1332"/>
      <c r="C861" s="567"/>
      <c r="D861" s="587"/>
      <c r="E861" s="588"/>
      <c r="F861" s="589"/>
      <c r="G861" s="970"/>
      <c r="H861" s="970"/>
      <c r="I861" s="970"/>
      <c r="J861" s="970"/>
      <c r="K861" s="970"/>
      <c r="L861" s="319" t="s">
        <v>893</v>
      </c>
      <c r="M861" s="221">
        <v>10</v>
      </c>
      <c r="N861" s="221">
        <v>10</v>
      </c>
      <c r="O861" s="221">
        <v>10</v>
      </c>
      <c r="P861" s="845"/>
      <c r="Q861" s="500"/>
      <c r="R861" s="500"/>
      <c r="S861" s="500"/>
      <c r="T861" s="500"/>
      <c r="U861" s="500"/>
    </row>
    <row r="862" spans="1:21" s="10" customFormat="1" ht="35.1" customHeight="1">
      <c r="A862" s="1241"/>
      <c r="B862" s="1332"/>
      <c r="C862" s="567"/>
      <c r="D862" s="587"/>
      <c r="E862" s="588"/>
      <c r="F862" s="589"/>
      <c r="G862" s="970"/>
      <c r="H862" s="970"/>
      <c r="I862" s="970"/>
      <c r="J862" s="970"/>
      <c r="K862" s="970"/>
      <c r="L862" s="319" t="s">
        <v>894</v>
      </c>
      <c r="M862" s="221">
        <v>3</v>
      </c>
      <c r="N862" s="221">
        <v>3</v>
      </c>
      <c r="O862" s="221">
        <v>3</v>
      </c>
      <c r="P862" s="845"/>
      <c r="Q862" s="500"/>
      <c r="R862" s="500"/>
      <c r="S862" s="500"/>
      <c r="T862" s="500"/>
      <c r="U862" s="500"/>
    </row>
    <row r="863" spans="1:21" s="10" customFormat="1" ht="35.1" customHeight="1">
      <c r="A863" s="1241"/>
      <c r="B863" s="1332"/>
      <c r="C863" s="567"/>
      <c r="D863" s="587"/>
      <c r="E863" s="588"/>
      <c r="F863" s="589"/>
      <c r="G863" s="970"/>
      <c r="H863" s="970"/>
      <c r="I863" s="970"/>
      <c r="J863" s="970"/>
      <c r="K863" s="970"/>
      <c r="L863" s="319" t="s">
        <v>895</v>
      </c>
      <c r="M863" s="221">
        <v>7</v>
      </c>
      <c r="N863" s="221">
        <v>7</v>
      </c>
      <c r="O863" s="221">
        <v>7</v>
      </c>
      <c r="P863" s="845"/>
      <c r="Q863" s="500"/>
      <c r="R863" s="500"/>
      <c r="S863" s="500"/>
      <c r="T863" s="500"/>
      <c r="U863" s="500"/>
    </row>
    <row r="864" spans="1:21" s="10" customFormat="1" ht="35.1" customHeight="1">
      <c r="A864" s="1241"/>
      <c r="B864" s="1332"/>
      <c r="C864" s="567"/>
      <c r="D864" s="587"/>
      <c r="E864" s="588"/>
      <c r="F864" s="589"/>
      <c r="G864" s="971"/>
      <c r="H864" s="971"/>
      <c r="I864" s="971"/>
      <c r="J864" s="971"/>
      <c r="K864" s="971"/>
      <c r="L864" s="319" t="s">
        <v>896</v>
      </c>
      <c r="M864" s="221">
        <v>2</v>
      </c>
      <c r="N864" s="221">
        <v>2</v>
      </c>
      <c r="O864" s="221">
        <v>2</v>
      </c>
      <c r="P864" s="845"/>
      <c r="Q864" s="500"/>
      <c r="R864" s="500"/>
      <c r="S864" s="500"/>
      <c r="T864" s="500"/>
      <c r="U864" s="500"/>
    </row>
    <row r="865" spans="1:1892" s="10" customFormat="1" ht="35.1" customHeight="1">
      <c r="A865" s="1241"/>
      <c r="B865" s="1332"/>
      <c r="C865" s="568"/>
      <c r="D865" s="707"/>
      <c r="E865" s="708"/>
      <c r="F865" s="709"/>
      <c r="G865" s="594" t="s">
        <v>329</v>
      </c>
      <c r="H865" s="595"/>
      <c r="I865" s="595"/>
      <c r="J865" s="595"/>
      <c r="K865" s="595"/>
      <c r="L865" s="315"/>
      <c r="M865" s="249">
        <f>SUM(M857:M864)</f>
        <v>612</v>
      </c>
      <c r="N865" s="249">
        <f>SUM(N857:N864)</f>
        <v>589</v>
      </c>
      <c r="O865" s="249">
        <f>SUM(O857:O864)</f>
        <v>589</v>
      </c>
      <c r="P865" s="846"/>
      <c r="Q865" s="501"/>
      <c r="R865" s="501"/>
      <c r="S865" s="501"/>
      <c r="T865" s="501"/>
      <c r="U865" s="501"/>
    </row>
    <row r="866" spans="1:1892" s="10" customFormat="1" ht="35.1" customHeight="1">
      <c r="A866" s="1241"/>
      <c r="B866" s="1332"/>
      <c r="C866" s="566"/>
      <c r="D866" s="584" t="s">
        <v>691</v>
      </c>
      <c r="E866" s="585"/>
      <c r="F866" s="586"/>
      <c r="G866" s="1433" t="s">
        <v>54</v>
      </c>
      <c r="H866" s="1433" t="s">
        <v>54</v>
      </c>
      <c r="I866" s="1433" t="s">
        <v>54</v>
      </c>
      <c r="J866" s="1433" t="s">
        <v>54</v>
      </c>
      <c r="K866" s="514" t="s">
        <v>12</v>
      </c>
      <c r="L866" s="307" t="s">
        <v>873</v>
      </c>
      <c r="M866" s="119">
        <v>331</v>
      </c>
      <c r="N866" s="129">
        <v>0</v>
      </c>
      <c r="O866" s="129">
        <v>0</v>
      </c>
      <c r="P866" s="944" t="s">
        <v>54</v>
      </c>
      <c r="Q866" s="944" t="s">
        <v>54</v>
      </c>
      <c r="R866" s="944" t="s">
        <v>54</v>
      </c>
      <c r="S866" s="944" t="s">
        <v>54</v>
      </c>
      <c r="T866" s="944" t="s">
        <v>54</v>
      </c>
      <c r="U866" s="944" t="s">
        <v>54</v>
      </c>
    </row>
    <row r="867" spans="1:1892" s="10" customFormat="1" ht="35.1" customHeight="1">
      <c r="A867" s="1241"/>
      <c r="B867" s="1332"/>
      <c r="C867" s="567"/>
      <c r="D867" s="587"/>
      <c r="E867" s="588"/>
      <c r="F867" s="589"/>
      <c r="G867" s="1434"/>
      <c r="H867" s="1434"/>
      <c r="I867" s="1434"/>
      <c r="J867" s="1434"/>
      <c r="K867" s="515"/>
      <c r="L867" s="307" t="s">
        <v>874</v>
      </c>
      <c r="M867" s="119">
        <v>183</v>
      </c>
      <c r="N867" s="129">
        <v>0</v>
      </c>
      <c r="O867" s="129">
        <v>0</v>
      </c>
      <c r="P867" s="945"/>
      <c r="Q867" s="945"/>
      <c r="R867" s="945"/>
      <c r="S867" s="945"/>
      <c r="T867" s="945"/>
      <c r="U867" s="945"/>
    </row>
    <row r="868" spans="1:1892" s="10" customFormat="1" ht="35.1" customHeight="1">
      <c r="A868" s="1241"/>
      <c r="B868" s="1332"/>
      <c r="C868" s="567"/>
      <c r="D868" s="587"/>
      <c r="E868" s="588"/>
      <c r="F868" s="589"/>
      <c r="G868" s="1434"/>
      <c r="H868" s="1434"/>
      <c r="I868" s="1434"/>
      <c r="J868" s="1434"/>
      <c r="K868" s="515"/>
      <c r="L868" s="307" t="s">
        <v>875</v>
      </c>
      <c r="M868" s="119">
        <v>408</v>
      </c>
      <c r="N868" s="129">
        <v>0</v>
      </c>
      <c r="O868" s="129">
        <v>0</v>
      </c>
      <c r="P868" s="945"/>
      <c r="Q868" s="945"/>
      <c r="R868" s="945"/>
      <c r="S868" s="945"/>
      <c r="T868" s="945"/>
      <c r="U868" s="945"/>
    </row>
    <row r="869" spans="1:1892" s="10" customFormat="1" ht="35.1" customHeight="1">
      <c r="A869" s="1241"/>
      <c r="B869" s="1332"/>
      <c r="C869" s="567"/>
      <c r="D869" s="587"/>
      <c r="E869" s="588"/>
      <c r="F869" s="589"/>
      <c r="G869" s="1434"/>
      <c r="H869" s="1434"/>
      <c r="I869" s="1434"/>
      <c r="J869" s="1434"/>
      <c r="K869" s="515"/>
      <c r="L869" s="307" t="s">
        <v>876</v>
      </c>
      <c r="M869" s="119">
        <v>28</v>
      </c>
      <c r="N869" s="129">
        <v>0</v>
      </c>
      <c r="O869" s="129">
        <v>0</v>
      </c>
      <c r="P869" s="945"/>
      <c r="Q869" s="945"/>
      <c r="R869" s="945"/>
      <c r="S869" s="945"/>
      <c r="T869" s="945"/>
      <c r="U869" s="945"/>
    </row>
    <row r="870" spans="1:1892" s="10" customFormat="1" ht="35.1" customHeight="1">
      <c r="A870" s="1241"/>
      <c r="B870" s="1332"/>
      <c r="C870" s="567"/>
      <c r="D870" s="587"/>
      <c r="E870" s="588"/>
      <c r="F870" s="589"/>
      <c r="G870" s="1435"/>
      <c r="H870" s="1435"/>
      <c r="I870" s="1435"/>
      <c r="J870" s="1435"/>
      <c r="K870" s="516"/>
      <c r="L870" s="307" t="s">
        <v>877</v>
      </c>
      <c r="M870" s="119">
        <v>6</v>
      </c>
      <c r="N870" s="129">
        <v>0</v>
      </c>
      <c r="O870" s="129">
        <v>0</v>
      </c>
      <c r="P870" s="945"/>
      <c r="Q870" s="945"/>
      <c r="R870" s="945"/>
      <c r="S870" s="945"/>
      <c r="T870" s="945"/>
      <c r="U870" s="945"/>
    </row>
    <row r="871" spans="1:1892" s="10" customFormat="1" ht="35.1" customHeight="1">
      <c r="A871" s="1241"/>
      <c r="B871" s="1333"/>
      <c r="C871" s="568"/>
      <c r="D871" s="707"/>
      <c r="E871" s="708"/>
      <c r="F871" s="709"/>
      <c r="G871" s="594" t="s">
        <v>329</v>
      </c>
      <c r="H871" s="595"/>
      <c r="I871" s="595"/>
      <c r="J871" s="595"/>
      <c r="K871" s="595"/>
      <c r="L871" s="320"/>
      <c r="M871" s="246">
        <f>SUM(M866:M870)</f>
        <v>956</v>
      </c>
      <c r="N871" s="233">
        <f>SUM(N866:N870)</f>
        <v>0</v>
      </c>
      <c r="O871" s="233">
        <f>SUM(O866:O870)</f>
        <v>0</v>
      </c>
      <c r="P871" s="946"/>
      <c r="Q871" s="946"/>
      <c r="R871" s="946"/>
      <c r="S871" s="946"/>
      <c r="T871" s="946"/>
      <c r="U871" s="946"/>
    </row>
    <row r="872" spans="1:1892" s="9" customFormat="1" ht="35.1" customHeight="1">
      <c r="A872" s="1241"/>
      <c r="B872" s="620" t="s">
        <v>105</v>
      </c>
      <c r="C872" s="621"/>
      <c r="D872" s="621"/>
      <c r="E872" s="621"/>
      <c r="F872" s="621"/>
      <c r="G872" s="621"/>
      <c r="H872" s="621"/>
      <c r="I872" s="621"/>
      <c r="J872" s="621"/>
      <c r="K872" s="622"/>
      <c r="L872" s="227">
        <f>L856+L849+L835+L828+L820+L814+L842+L871</f>
        <v>0</v>
      </c>
      <c r="M872" s="391">
        <f>M856+M849+M835+M828+M820+M814+M842+M871+M865</f>
        <v>6473</v>
      </c>
      <c r="N872" s="391">
        <f>N856+N849+N835+N828+N820+N814+N842+N871+N865</f>
        <v>787</v>
      </c>
      <c r="O872" s="391">
        <f>O856+O849+O835+O828+O820+O814+O842+O871+O865</f>
        <v>765</v>
      </c>
      <c r="P872" s="123"/>
      <c r="Q872" s="123"/>
      <c r="R872" s="123"/>
      <c r="S872" s="156"/>
      <c r="T872" s="156"/>
      <c r="U872" s="156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  <c r="BU872" s="10"/>
      <c r="BV872" s="10"/>
      <c r="BW872" s="10"/>
      <c r="BX872" s="10"/>
      <c r="BY872" s="10"/>
      <c r="BZ872" s="10"/>
      <c r="CA872" s="10"/>
      <c r="CB872" s="10"/>
      <c r="CC872" s="10"/>
      <c r="CD872" s="10"/>
      <c r="CE872" s="10"/>
      <c r="CF872" s="10"/>
      <c r="CG872" s="10"/>
      <c r="CH872" s="10"/>
      <c r="CI872" s="10"/>
      <c r="CJ872" s="10"/>
      <c r="CK872" s="10"/>
      <c r="CL872" s="10"/>
      <c r="CM872" s="10"/>
      <c r="CN872" s="10"/>
      <c r="CO872" s="10"/>
      <c r="CP872" s="10"/>
      <c r="CQ872" s="10"/>
      <c r="CR872" s="10"/>
      <c r="CS872" s="10"/>
      <c r="CT872" s="10"/>
      <c r="CU872" s="10"/>
      <c r="CV872" s="10"/>
      <c r="CW872" s="10"/>
      <c r="CX872" s="10"/>
      <c r="CY872" s="10"/>
      <c r="CZ872" s="10"/>
      <c r="DA872" s="10"/>
      <c r="DB872" s="10"/>
      <c r="DC872" s="10"/>
      <c r="DD872" s="10"/>
      <c r="DE872" s="10"/>
      <c r="DF872" s="10"/>
      <c r="DG872" s="10"/>
      <c r="DH872" s="10"/>
      <c r="DI872" s="10"/>
      <c r="DJ872" s="10"/>
      <c r="DK872" s="10"/>
      <c r="DL872" s="10"/>
      <c r="DM872" s="10"/>
      <c r="DN872" s="10"/>
      <c r="DO872" s="10"/>
      <c r="DP872" s="10"/>
      <c r="DQ872" s="10"/>
      <c r="DR872" s="10"/>
      <c r="DS872" s="10"/>
      <c r="DT872" s="10"/>
      <c r="DU872" s="10"/>
      <c r="DV872" s="10"/>
      <c r="DW872" s="10"/>
      <c r="DX872" s="10"/>
      <c r="DY872" s="10"/>
      <c r="DZ872" s="10"/>
      <c r="EA872" s="10"/>
      <c r="EB872" s="10"/>
      <c r="EC872" s="10"/>
      <c r="ED872" s="10"/>
      <c r="EE872" s="10"/>
      <c r="EF872" s="10"/>
      <c r="EG872" s="10"/>
      <c r="EH872" s="10"/>
      <c r="EI872" s="10"/>
      <c r="EJ872" s="10"/>
      <c r="EK872" s="10"/>
      <c r="EL872" s="10"/>
      <c r="EM872" s="10"/>
      <c r="EN872" s="10"/>
      <c r="EO872" s="10"/>
      <c r="EP872" s="10"/>
      <c r="EQ872" s="10"/>
      <c r="ER872" s="10"/>
      <c r="ES872" s="10"/>
      <c r="ET872" s="10"/>
      <c r="EU872" s="10"/>
      <c r="EV872" s="10"/>
      <c r="EW872" s="10"/>
      <c r="EX872" s="10"/>
      <c r="EY872" s="10"/>
      <c r="EZ872" s="10"/>
      <c r="FA872" s="10"/>
      <c r="FB872" s="10"/>
      <c r="FC872" s="10"/>
      <c r="FD872" s="10"/>
      <c r="FE872" s="10"/>
      <c r="FF872" s="10"/>
      <c r="FG872" s="10"/>
      <c r="FH872" s="10"/>
      <c r="FI872" s="10"/>
      <c r="FJ872" s="10"/>
      <c r="FK872" s="10"/>
      <c r="FL872" s="10"/>
      <c r="FM872" s="10"/>
      <c r="FN872" s="10"/>
      <c r="FO872" s="10"/>
      <c r="FP872" s="10"/>
      <c r="FQ872" s="10"/>
      <c r="FR872" s="10"/>
      <c r="FS872" s="10"/>
      <c r="FT872" s="10"/>
      <c r="FU872" s="10"/>
      <c r="FV872" s="10"/>
      <c r="FW872" s="10"/>
      <c r="FX872" s="10"/>
      <c r="FY872" s="10"/>
      <c r="FZ872" s="10"/>
      <c r="GA872" s="10"/>
      <c r="GB872" s="10"/>
      <c r="GC872" s="10"/>
      <c r="GD872" s="10"/>
      <c r="GE872" s="10"/>
      <c r="GF872" s="10"/>
      <c r="GG872" s="10"/>
      <c r="GH872" s="10"/>
      <c r="GI872" s="10"/>
      <c r="GJ872" s="10"/>
      <c r="GK872" s="10"/>
      <c r="GL872" s="10"/>
      <c r="GM872" s="10"/>
      <c r="GN872" s="10"/>
      <c r="GO872" s="10"/>
      <c r="GP872" s="10"/>
      <c r="GQ872" s="10"/>
      <c r="GR872" s="10"/>
      <c r="GS872" s="10"/>
      <c r="GT872" s="10"/>
      <c r="GU872" s="10"/>
      <c r="GV872" s="10"/>
      <c r="GW872" s="10"/>
      <c r="GX872" s="10"/>
      <c r="GY872" s="10"/>
      <c r="GZ872" s="10"/>
      <c r="HA872" s="10"/>
      <c r="HB872" s="10"/>
      <c r="HC872" s="10"/>
      <c r="HD872" s="10"/>
      <c r="HE872" s="10"/>
      <c r="HF872" s="10"/>
      <c r="HG872" s="10"/>
      <c r="HH872" s="10"/>
      <c r="HI872" s="10"/>
      <c r="HJ872" s="10"/>
      <c r="HK872" s="10"/>
      <c r="HL872" s="10"/>
      <c r="HM872" s="10"/>
      <c r="HN872" s="10"/>
      <c r="HO872" s="10"/>
      <c r="HP872" s="10"/>
      <c r="HQ872" s="10"/>
      <c r="HR872" s="10"/>
      <c r="HS872" s="10"/>
      <c r="HT872" s="10"/>
      <c r="HU872" s="10"/>
      <c r="HV872" s="10"/>
      <c r="HW872" s="10"/>
      <c r="HX872" s="10"/>
      <c r="HY872" s="10"/>
      <c r="HZ872" s="10"/>
      <c r="IA872" s="10"/>
      <c r="IB872" s="10"/>
      <c r="IC872" s="10"/>
      <c r="ID872" s="10"/>
      <c r="IE872" s="10"/>
      <c r="IF872" s="10"/>
      <c r="IG872" s="10"/>
      <c r="IH872" s="10"/>
      <c r="II872" s="10"/>
      <c r="IJ872" s="10"/>
      <c r="IK872" s="10"/>
      <c r="IL872" s="10"/>
      <c r="IM872" s="10"/>
      <c r="IN872" s="10"/>
      <c r="IO872" s="10"/>
      <c r="IP872" s="10"/>
      <c r="IQ872" s="10"/>
      <c r="IR872" s="10"/>
      <c r="IS872" s="10"/>
      <c r="IT872" s="10"/>
      <c r="IU872" s="10"/>
      <c r="IV872" s="10"/>
      <c r="IW872" s="10"/>
      <c r="IX872" s="10"/>
      <c r="IY872" s="10"/>
      <c r="IZ872" s="10"/>
      <c r="JA872" s="10"/>
      <c r="JB872" s="10"/>
      <c r="JC872" s="10"/>
      <c r="JD872" s="10"/>
      <c r="JE872" s="10"/>
      <c r="JF872" s="10"/>
      <c r="JG872" s="10"/>
      <c r="JH872" s="10"/>
      <c r="JI872" s="10"/>
      <c r="JJ872" s="10"/>
      <c r="JK872" s="10"/>
      <c r="JL872" s="10"/>
      <c r="JM872" s="10"/>
      <c r="JN872" s="10"/>
      <c r="JO872" s="10"/>
      <c r="JP872" s="10"/>
      <c r="JQ872" s="10"/>
      <c r="JR872" s="10"/>
      <c r="JS872" s="10"/>
      <c r="JT872" s="10"/>
      <c r="JU872" s="10"/>
      <c r="JV872" s="10"/>
      <c r="JW872" s="10"/>
      <c r="JX872" s="10"/>
      <c r="JY872" s="10"/>
      <c r="JZ872" s="10"/>
      <c r="KA872" s="10"/>
      <c r="KB872" s="10"/>
      <c r="KC872" s="10"/>
      <c r="KD872" s="10"/>
      <c r="KE872" s="10"/>
      <c r="KF872" s="10"/>
      <c r="KG872" s="10"/>
      <c r="KH872" s="10"/>
      <c r="KI872" s="10"/>
      <c r="KJ872" s="10"/>
      <c r="KK872" s="10"/>
      <c r="KL872" s="10"/>
      <c r="KM872" s="10"/>
      <c r="KN872" s="10"/>
      <c r="KO872" s="10"/>
      <c r="KP872" s="10"/>
      <c r="KQ872" s="10"/>
      <c r="KR872" s="10"/>
      <c r="KS872" s="10"/>
      <c r="KT872" s="10"/>
      <c r="KU872" s="10"/>
      <c r="KV872" s="10"/>
      <c r="KW872" s="10"/>
      <c r="KX872" s="10"/>
      <c r="KY872" s="10"/>
      <c r="KZ872" s="10"/>
      <c r="LA872" s="10"/>
      <c r="LB872" s="10"/>
      <c r="LC872" s="10"/>
      <c r="LD872" s="10"/>
      <c r="LE872" s="10"/>
      <c r="LF872" s="10"/>
      <c r="LG872" s="10"/>
      <c r="LH872" s="10"/>
      <c r="LI872" s="10"/>
      <c r="LJ872" s="10"/>
      <c r="LK872" s="10"/>
      <c r="LL872" s="10"/>
      <c r="LM872" s="10"/>
      <c r="LN872" s="10"/>
      <c r="LO872" s="10"/>
      <c r="LP872" s="10"/>
      <c r="LQ872" s="10"/>
      <c r="LR872" s="10"/>
      <c r="LS872" s="10"/>
      <c r="LT872" s="10"/>
      <c r="LU872" s="10"/>
      <c r="LV872" s="10"/>
      <c r="LW872" s="10"/>
      <c r="LX872" s="10"/>
      <c r="LY872" s="10"/>
      <c r="LZ872" s="10"/>
      <c r="MA872" s="10"/>
      <c r="MB872" s="10"/>
      <c r="MC872" s="10"/>
      <c r="MD872" s="10"/>
      <c r="ME872" s="10"/>
      <c r="MF872" s="10"/>
      <c r="MG872" s="10"/>
      <c r="MH872" s="10"/>
      <c r="MI872" s="10"/>
      <c r="MJ872" s="10"/>
      <c r="MK872" s="10"/>
      <c r="ML872" s="10"/>
      <c r="MM872" s="10"/>
      <c r="MN872" s="10"/>
      <c r="MO872" s="10"/>
      <c r="MP872" s="10"/>
      <c r="MQ872" s="10"/>
      <c r="MR872" s="10"/>
      <c r="MS872" s="10"/>
      <c r="MT872" s="10"/>
      <c r="MU872" s="10"/>
      <c r="MV872" s="10"/>
      <c r="MW872" s="10"/>
      <c r="MX872" s="10"/>
      <c r="MY872" s="10"/>
      <c r="MZ872" s="10"/>
      <c r="NA872" s="10"/>
      <c r="NB872" s="10"/>
      <c r="NC872" s="10"/>
      <c r="ND872" s="10"/>
      <c r="NE872" s="10"/>
      <c r="NF872" s="10"/>
      <c r="NG872" s="10"/>
      <c r="NH872" s="10"/>
      <c r="NI872" s="10"/>
      <c r="NJ872" s="10"/>
      <c r="NK872" s="10"/>
      <c r="NL872" s="10"/>
      <c r="NM872" s="10"/>
      <c r="NN872" s="10"/>
      <c r="NO872" s="10"/>
      <c r="NP872" s="10"/>
      <c r="NQ872" s="10"/>
      <c r="NR872" s="10"/>
      <c r="NS872" s="10"/>
      <c r="NT872" s="10"/>
      <c r="NU872" s="10"/>
      <c r="NV872" s="10"/>
      <c r="NW872" s="10"/>
      <c r="NX872" s="10"/>
      <c r="NY872" s="10"/>
      <c r="NZ872" s="10"/>
      <c r="OA872" s="10"/>
      <c r="OB872" s="10"/>
      <c r="OC872" s="10"/>
      <c r="OD872" s="10"/>
      <c r="OE872" s="10"/>
      <c r="OF872" s="10"/>
      <c r="OG872" s="10"/>
      <c r="OH872" s="10"/>
      <c r="OI872" s="10"/>
      <c r="OJ872" s="10"/>
      <c r="OK872" s="10"/>
      <c r="OL872" s="10"/>
      <c r="OM872" s="10"/>
      <c r="ON872" s="10"/>
      <c r="OO872" s="10"/>
      <c r="OP872" s="10"/>
      <c r="OQ872" s="10"/>
      <c r="OR872" s="10"/>
      <c r="OS872" s="10"/>
      <c r="OT872" s="10"/>
      <c r="OU872" s="10"/>
      <c r="OV872" s="10"/>
      <c r="OW872" s="10"/>
      <c r="OX872" s="10"/>
      <c r="OY872" s="10"/>
      <c r="OZ872" s="10"/>
      <c r="PA872" s="10"/>
      <c r="PB872" s="10"/>
      <c r="PC872" s="10"/>
      <c r="PD872" s="10"/>
      <c r="PE872" s="10"/>
      <c r="PF872" s="10"/>
      <c r="PG872" s="10"/>
      <c r="PH872" s="10"/>
      <c r="PI872" s="10"/>
      <c r="PJ872" s="10"/>
      <c r="PK872" s="10"/>
      <c r="PL872" s="10"/>
      <c r="PM872" s="10"/>
      <c r="PN872" s="10"/>
      <c r="PO872" s="10"/>
      <c r="PP872" s="10"/>
      <c r="PQ872" s="10"/>
      <c r="PR872" s="10"/>
      <c r="PS872" s="10"/>
      <c r="PT872" s="10"/>
      <c r="PU872" s="10"/>
      <c r="PV872" s="10"/>
      <c r="PW872" s="10"/>
      <c r="PX872" s="10"/>
      <c r="PY872" s="10"/>
      <c r="PZ872" s="10"/>
      <c r="QA872" s="10"/>
      <c r="QB872" s="10"/>
      <c r="QC872" s="10"/>
      <c r="QD872" s="10"/>
      <c r="QE872" s="10"/>
      <c r="QF872" s="10"/>
      <c r="QG872" s="10"/>
      <c r="QH872" s="10"/>
      <c r="QI872" s="10"/>
      <c r="QJ872" s="10"/>
      <c r="QK872" s="10"/>
      <c r="QL872" s="10"/>
      <c r="QM872" s="10"/>
      <c r="QN872" s="10"/>
      <c r="QO872" s="10"/>
      <c r="QP872" s="10"/>
      <c r="QQ872" s="10"/>
      <c r="QR872" s="10"/>
      <c r="QS872" s="10"/>
      <c r="QT872" s="10"/>
      <c r="QU872" s="10"/>
      <c r="QV872" s="10"/>
      <c r="QW872" s="10"/>
      <c r="QX872" s="10"/>
      <c r="QY872" s="10"/>
      <c r="QZ872" s="10"/>
      <c r="RA872" s="10"/>
      <c r="RB872" s="10"/>
      <c r="RC872" s="10"/>
      <c r="RD872" s="10"/>
      <c r="RE872" s="10"/>
      <c r="RF872" s="10"/>
      <c r="RG872" s="10"/>
      <c r="RH872" s="10"/>
      <c r="RI872" s="10"/>
      <c r="RJ872" s="10"/>
      <c r="RK872" s="10"/>
      <c r="RL872" s="10"/>
      <c r="RM872" s="10"/>
      <c r="RN872" s="10"/>
      <c r="RO872" s="10"/>
      <c r="RP872" s="10"/>
      <c r="RQ872" s="10"/>
      <c r="RR872" s="10"/>
      <c r="RS872" s="10"/>
      <c r="RT872" s="10"/>
      <c r="RU872" s="10"/>
      <c r="RV872" s="10"/>
      <c r="RW872" s="10"/>
      <c r="RX872" s="10"/>
      <c r="RY872" s="10"/>
      <c r="RZ872" s="10"/>
      <c r="SA872" s="10"/>
      <c r="SB872" s="10"/>
      <c r="SC872" s="10"/>
      <c r="SD872" s="10"/>
      <c r="SE872" s="10"/>
      <c r="SF872" s="10"/>
      <c r="SG872" s="10"/>
      <c r="SH872" s="10"/>
      <c r="SI872" s="10"/>
      <c r="SJ872" s="10"/>
      <c r="SK872" s="10"/>
      <c r="SL872" s="10"/>
      <c r="SM872" s="10"/>
      <c r="SN872" s="10"/>
      <c r="SO872" s="10"/>
      <c r="SP872" s="10"/>
      <c r="SQ872" s="10"/>
      <c r="SR872" s="10"/>
      <c r="SS872" s="10"/>
      <c r="ST872" s="10"/>
      <c r="SU872" s="10"/>
      <c r="SV872" s="10"/>
      <c r="SW872" s="10"/>
      <c r="SX872" s="10"/>
      <c r="SY872" s="10"/>
      <c r="SZ872" s="10"/>
      <c r="TA872" s="10"/>
      <c r="TB872" s="10"/>
      <c r="TC872" s="10"/>
      <c r="TD872" s="10"/>
      <c r="TE872" s="10"/>
      <c r="TF872" s="10"/>
      <c r="TG872" s="10"/>
      <c r="TH872" s="10"/>
      <c r="TI872" s="10"/>
      <c r="TJ872" s="10"/>
      <c r="TK872" s="10"/>
      <c r="TL872" s="10"/>
      <c r="TM872" s="10"/>
      <c r="TN872" s="10"/>
      <c r="TO872" s="10"/>
      <c r="TP872" s="10"/>
      <c r="TQ872" s="10"/>
      <c r="TR872" s="10"/>
      <c r="TS872" s="10"/>
      <c r="TT872" s="10"/>
      <c r="TU872" s="10"/>
      <c r="TV872" s="10"/>
      <c r="TW872" s="10"/>
      <c r="TX872" s="10"/>
      <c r="TY872" s="10"/>
      <c r="TZ872" s="10"/>
      <c r="UA872" s="10"/>
      <c r="UB872" s="10"/>
      <c r="UC872" s="10"/>
      <c r="UD872" s="10"/>
      <c r="UE872" s="10"/>
      <c r="UF872" s="10"/>
      <c r="UG872" s="10"/>
      <c r="UH872" s="10"/>
      <c r="UI872" s="10"/>
      <c r="UJ872" s="10"/>
      <c r="UK872" s="10"/>
      <c r="UL872" s="10"/>
      <c r="UM872" s="10"/>
      <c r="UN872" s="10"/>
      <c r="UO872" s="10"/>
      <c r="UP872" s="10"/>
      <c r="UQ872" s="10"/>
      <c r="UR872" s="10"/>
      <c r="US872" s="10"/>
      <c r="UT872" s="10"/>
      <c r="UU872" s="10"/>
      <c r="UV872" s="10"/>
      <c r="UW872" s="10"/>
      <c r="UX872" s="10"/>
      <c r="UY872" s="10"/>
      <c r="UZ872" s="10"/>
      <c r="VA872" s="10"/>
      <c r="VB872" s="10"/>
      <c r="VC872" s="10"/>
      <c r="VD872" s="10"/>
      <c r="VE872" s="10"/>
      <c r="VF872" s="10"/>
      <c r="VG872" s="10"/>
      <c r="VH872" s="10"/>
      <c r="VI872" s="10"/>
      <c r="VJ872" s="10"/>
      <c r="VK872" s="10"/>
      <c r="VL872" s="10"/>
      <c r="VM872" s="10"/>
      <c r="VN872" s="10"/>
      <c r="VO872" s="10"/>
      <c r="VP872" s="10"/>
      <c r="VQ872" s="10"/>
      <c r="VR872" s="10"/>
      <c r="VS872" s="10"/>
      <c r="VT872" s="10"/>
      <c r="VU872" s="10"/>
      <c r="VV872" s="10"/>
      <c r="VW872" s="10"/>
      <c r="VX872" s="10"/>
      <c r="VY872" s="10"/>
      <c r="VZ872" s="10"/>
      <c r="WA872" s="10"/>
      <c r="WB872" s="10"/>
      <c r="WC872" s="10"/>
      <c r="WD872" s="10"/>
      <c r="WE872" s="10"/>
      <c r="WF872" s="10"/>
      <c r="WG872" s="10"/>
      <c r="WH872" s="10"/>
      <c r="WI872" s="10"/>
      <c r="WJ872" s="10"/>
      <c r="WK872" s="10"/>
      <c r="WL872" s="10"/>
      <c r="WM872" s="10"/>
      <c r="WN872" s="10"/>
      <c r="WO872" s="10"/>
      <c r="WP872" s="10"/>
      <c r="WQ872" s="10"/>
      <c r="WR872" s="10"/>
      <c r="WS872" s="10"/>
      <c r="WT872" s="10"/>
      <c r="WU872" s="10"/>
      <c r="WV872" s="10"/>
      <c r="WW872" s="10"/>
      <c r="WX872" s="10"/>
      <c r="WY872" s="10"/>
      <c r="WZ872" s="10"/>
      <c r="XA872" s="10"/>
      <c r="XB872" s="10"/>
      <c r="XC872" s="10"/>
      <c r="XD872" s="10"/>
      <c r="XE872" s="10"/>
      <c r="XF872" s="10"/>
      <c r="XG872" s="10"/>
      <c r="XH872" s="10"/>
      <c r="XI872" s="10"/>
      <c r="XJ872" s="10"/>
      <c r="XK872" s="10"/>
      <c r="XL872" s="10"/>
      <c r="XM872" s="10"/>
      <c r="XN872" s="10"/>
      <c r="XO872" s="10"/>
      <c r="XP872" s="10"/>
      <c r="XQ872" s="10"/>
      <c r="XR872" s="10"/>
      <c r="XS872" s="10"/>
      <c r="XT872" s="10"/>
      <c r="XU872" s="10"/>
      <c r="XV872" s="10"/>
      <c r="XW872" s="10"/>
      <c r="XX872" s="10"/>
      <c r="XY872" s="10"/>
      <c r="XZ872" s="10"/>
      <c r="YA872" s="10"/>
      <c r="YB872" s="10"/>
      <c r="YC872" s="10"/>
      <c r="YD872" s="10"/>
      <c r="YE872" s="10"/>
      <c r="YF872" s="10"/>
      <c r="YG872" s="10"/>
      <c r="YH872" s="10"/>
      <c r="YI872" s="10"/>
      <c r="YJ872" s="10"/>
      <c r="YK872" s="10"/>
      <c r="YL872" s="10"/>
      <c r="YM872" s="10"/>
      <c r="YN872" s="10"/>
      <c r="YO872" s="10"/>
      <c r="YP872" s="10"/>
      <c r="YQ872" s="10"/>
      <c r="YR872" s="10"/>
      <c r="YS872" s="10"/>
      <c r="YT872" s="10"/>
      <c r="YU872" s="10"/>
      <c r="YV872" s="10"/>
      <c r="YW872" s="10"/>
      <c r="YX872" s="10"/>
      <c r="YY872" s="10"/>
      <c r="YZ872" s="10"/>
      <c r="ZA872" s="10"/>
      <c r="ZB872" s="10"/>
      <c r="ZC872" s="10"/>
      <c r="ZD872" s="10"/>
      <c r="ZE872" s="10"/>
      <c r="ZF872" s="10"/>
      <c r="ZG872" s="10"/>
      <c r="ZH872" s="10"/>
      <c r="ZI872" s="10"/>
      <c r="ZJ872" s="10"/>
      <c r="ZK872" s="10"/>
      <c r="ZL872" s="10"/>
      <c r="ZM872" s="10"/>
      <c r="ZN872" s="10"/>
      <c r="ZO872" s="10"/>
      <c r="ZP872" s="10"/>
      <c r="ZQ872" s="10"/>
      <c r="ZR872" s="10"/>
      <c r="ZS872" s="10"/>
      <c r="ZT872" s="10"/>
      <c r="ZU872" s="10"/>
      <c r="ZV872" s="10"/>
      <c r="ZW872" s="10"/>
      <c r="ZX872" s="10"/>
      <c r="ZY872" s="10"/>
      <c r="ZZ872" s="10"/>
      <c r="AAA872" s="10"/>
      <c r="AAB872" s="10"/>
      <c r="AAC872" s="10"/>
      <c r="AAD872" s="10"/>
      <c r="AAE872" s="10"/>
      <c r="AAF872" s="10"/>
      <c r="AAG872" s="10"/>
      <c r="AAH872" s="10"/>
      <c r="AAI872" s="10"/>
      <c r="AAJ872" s="10"/>
      <c r="AAK872" s="10"/>
      <c r="AAL872" s="10"/>
      <c r="AAM872" s="10"/>
      <c r="AAN872" s="10"/>
      <c r="AAO872" s="10"/>
      <c r="AAP872" s="10"/>
      <c r="AAQ872" s="10"/>
      <c r="AAR872" s="10"/>
      <c r="AAS872" s="10"/>
      <c r="AAT872" s="10"/>
      <c r="AAU872" s="10"/>
      <c r="AAV872" s="10"/>
      <c r="AAW872" s="10"/>
      <c r="AAX872" s="10"/>
      <c r="AAY872" s="10"/>
      <c r="AAZ872" s="10"/>
      <c r="ABA872" s="10"/>
      <c r="ABB872" s="10"/>
      <c r="ABC872" s="10"/>
      <c r="ABD872" s="10"/>
      <c r="ABE872" s="10"/>
      <c r="ABF872" s="10"/>
      <c r="ABG872" s="10"/>
      <c r="ABH872" s="10"/>
      <c r="ABI872" s="10"/>
      <c r="ABJ872" s="10"/>
      <c r="ABK872" s="10"/>
      <c r="ABL872" s="10"/>
      <c r="ABM872" s="10"/>
      <c r="ABN872" s="10"/>
      <c r="ABO872" s="10"/>
      <c r="ABP872" s="10"/>
      <c r="ABQ872" s="10"/>
      <c r="ABR872" s="10"/>
      <c r="ABS872" s="10"/>
      <c r="ABT872" s="10"/>
      <c r="ABU872" s="10"/>
      <c r="ABV872" s="10"/>
      <c r="ABW872" s="10"/>
      <c r="ABX872" s="10"/>
      <c r="ABY872" s="10"/>
      <c r="ABZ872" s="10"/>
      <c r="ACA872" s="10"/>
      <c r="ACB872" s="10"/>
      <c r="ACC872" s="10"/>
      <c r="ACD872" s="10"/>
      <c r="ACE872" s="10"/>
      <c r="ACF872" s="10"/>
      <c r="ACG872" s="10"/>
      <c r="ACH872" s="10"/>
      <c r="ACI872" s="10"/>
      <c r="ACJ872" s="10"/>
      <c r="ACK872" s="10"/>
      <c r="ACL872" s="10"/>
      <c r="ACM872" s="10"/>
      <c r="ACN872" s="10"/>
      <c r="ACO872" s="10"/>
      <c r="ACP872" s="10"/>
      <c r="ACQ872" s="10"/>
      <c r="ACR872" s="10"/>
      <c r="ACS872" s="10"/>
      <c r="ACT872" s="10"/>
      <c r="ACU872" s="10"/>
      <c r="ACV872" s="10"/>
      <c r="ACW872" s="10"/>
      <c r="ACX872" s="10"/>
      <c r="ACY872" s="10"/>
      <c r="ACZ872" s="10"/>
      <c r="ADA872" s="10"/>
      <c r="ADB872" s="10"/>
      <c r="ADC872" s="10"/>
      <c r="ADD872" s="10"/>
      <c r="ADE872" s="10"/>
      <c r="ADF872" s="10"/>
      <c r="ADG872" s="10"/>
      <c r="ADH872" s="10"/>
      <c r="ADI872" s="10"/>
      <c r="ADJ872" s="10"/>
      <c r="ADK872" s="10"/>
      <c r="ADL872" s="10"/>
      <c r="ADM872" s="10"/>
      <c r="ADN872" s="10"/>
      <c r="ADO872" s="10"/>
      <c r="ADP872" s="10"/>
      <c r="ADQ872" s="10"/>
      <c r="ADR872" s="10"/>
      <c r="ADS872" s="10"/>
      <c r="ADT872" s="10"/>
      <c r="ADU872" s="10"/>
      <c r="ADV872" s="10"/>
      <c r="ADW872" s="10"/>
      <c r="ADX872" s="10"/>
      <c r="ADY872" s="10"/>
      <c r="ADZ872" s="10"/>
      <c r="AEA872" s="10"/>
      <c r="AEB872" s="10"/>
      <c r="AEC872" s="10"/>
      <c r="AED872" s="10"/>
      <c r="AEE872" s="10"/>
      <c r="AEF872" s="10"/>
      <c r="AEG872" s="10"/>
      <c r="AEH872" s="10"/>
      <c r="AEI872" s="10"/>
      <c r="AEJ872" s="10"/>
      <c r="AEK872" s="10"/>
      <c r="AEL872" s="10"/>
      <c r="AEM872" s="10"/>
      <c r="AEN872" s="10"/>
      <c r="AEO872" s="10"/>
      <c r="AEP872" s="10"/>
      <c r="AEQ872" s="10"/>
      <c r="AER872" s="10"/>
      <c r="AES872" s="10"/>
      <c r="AET872" s="10"/>
      <c r="AEU872" s="10"/>
      <c r="AEV872" s="10"/>
      <c r="AEW872" s="10"/>
      <c r="AEX872" s="10"/>
      <c r="AEY872" s="10"/>
      <c r="AEZ872" s="10"/>
      <c r="AFA872" s="10"/>
      <c r="AFB872" s="10"/>
      <c r="AFC872" s="10"/>
      <c r="AFD872" s="10"/>
      <c r="AFE872" s="10"/>
      <c r="AFF872" s="10"/>
      <c r="AFG872" s="10"/>
      <c r="AFH872" s="10"/>
      <c r="AFI872" s="10"/>
      <c r="AFJ872" s="10"/>
      <c r="AFK872" s="10"/>
      <c r="AFL872" s="10"/>
      <c r="AFM872" s="10"/>
      <c r="AFN872" s="10"/>
      <c r="AFO872" s="10"/>
      <c r="AFP872" s="10"/>
      <c r="AFQ872" s="10"/>
      <c r="AFR872" s="10"/>
      <c r="AFS872" s="10"/>
      <c r="AFT872" s="10"/>
      <c r="AFU872" s="10"/>
      <c r="AFV872" s="10"/>
      <c r="AFW872" s="10"/>
      <c r="AFX872" s="10"/>
      <c r="AFY872" s="10"/>
      <c r="AFZ872" s="10"/>
      <c r="AGA872" s="10"/>
      <c r="AGB872" s="10"/>
      <c r="AGC872" s="10"/>
      <c r="AGD872" s="10"/>
      <c r="AGE872" s="10"/>
      <c r="AGF872" s="10"/>
      <c r="AGG872" s="10"/>
      <c r="AGH872" s="10"/>
      <c r="AGI872" s="10"/>
      <c r="AGJ872" s="10"/>
      <c r="AGK872" s="10"/>
      <c r="AGL872" s="10"/>
      <c r="AGM872" s="10"/>
      <c r="AGN872" s="10"/>
      <c r="AGO872" s="10"/>
      <c r="AGP872" s="10"/>
      <c r="AGQ872" s="10"/>
      <c r="AGR872" s="10"/>
      <c r="AGS872" s="10"/>
      <c r="AGT872" s="10"/>
      <c r="AGU872" s="10"/>
      <c r="AGV872" s="10"/>
      <c r="AGW872" s="10"/>
      <c r="AGX872" s="10"/>
      <c r="AGY872" s="10"/>
      <c r="AGZ872" s="10"/>
      <c r="AHA872" s="10"/>
      <c r="AHB872" s="10"/>
      <c r="AHC872" s="10"/>
      <c r="AHD872" s="10"/>
      <c r="AHE872" s="10"/>
      <c r="AHF872" s="10"/>
      <c r="AHG872" s="10"/>
      <c r="AHH872" s="10"/>
      <c r="AHI872" s="10"/>
      <c r="AHJ872" s="10"/>
      <c r="AHK872" s="10"/>
      <c r="AHL872" s="10"/>
      <c r="AHM872" s="10"/>
      <c r="AHN872" s="10"/>
      <c r="AHO872" s="10"/>
      <c r="AHP872" s="10"/>
      <c r="AHQ872" s="10"/>
      <c r="AHR872" s="10"/>
      <c r="AHS872" s="10"/>
      <c r="AHT872" s="10"/>
      <c r="AHU872" s="10"/>
      <c r="AHV872" s="10"/>
      <c r="AHW872" s="10"/>
      <c r="AHX872" s="10"/>
      <c r="AHY872" s="10"/>
      <c r="AHZ872" s="10"/>
      <c r="AIA872" s="10"/>
      <c r="AIB872" s="10"/>
      <c r="AIC872" s="10"/>
      <c r="AID872" s="10"/>
      <c r="AIE872" s="10"/>
      <c r="AIF872" s="10"/>
      <c r="AIG872" s="10"/>
      <c r="AIH872" s="10"/>
      <c r="AII872" s="10"/>
      <c r="AIJ872" s="10"/>
      <c r="AIK872" s="10"/>
      <c r="AIL872" s="10"/>
      <c r="AIM872" s="10"/>
      <c r="AIN872" s="10"/>
      <c r="AIO872" s="10"/>
      <c r="AIP872" s="10"/>
      <c r="AIQ872" s="10"/>
      <c r="AIR872" s="10"/>
      <c r="AIS872" s="10"/>
      <c r="AIT872" s="10"/>
      <c r="AIU872" s="10"/>
      <c r="AIV872" s="10"/>
      <c r="AIW872" s="10"/>
      <c r="AIX872" s="10"/>
      <c r="AIY872" s="10"/>
      <c r="AIZ872" s="10"/>
      <c r="AJA872" s="10"/>
      <c r="AJB872" s="10"/>
      <c r="AJC872" s="10"/>
      <c r="AJD872" s="10"/>
      <c r="AJE872" s="10"/>
      <c r="AJF872" s="10"/>
      <c r="AJG872" s="10"/>
      <c r="AJH872" s="10"/>
      <c r="AJI872" s="10"/>
      <c r="AJJ872" s="10"/>
      <c r="AJK872" s="10"/>
      <c r="AJL872" s="10"/>
      <c r="AJM872" s="10"/>
      <c r="AJN872" s="10"/>
      <c r="AJO872" s="10"/>
      <c r="AJP872" s="10"/>
      <c r="AJQ872" s="10"/>
      <c r="AJR872" s="10"/>
      <c r="AJS872" s="10"/>
      <c r="AJT872" s="10"/>
      <c r="AJU872" s="10"/>
      <c r="AJV872" s="10"/>
      <c r="AJW872" s="10"/>
      <c r="AJX872" s="10"/>
      <c r="AJY872" s="10"/>
      <c r="AJZ872" s="10"/>
      <c r="AKA872" s="10"/>
      <c r="AKB872" s="10"/>
      <c r="AKC872" s="10"/>
      <c r="AKD872" s="10"/>
      <c r="AKE872" s="10"/>
      <c r="AKF872" s="10"/>
      <c r="AKG872" s="10"/>
      <c r="AKH872" s="10"/>
      <c r="AKI872" s="10"/>
      <c r="AKJ872" s="10"/>
      <c r="AKK872" s="10"/>
      <c r="AKL872" s="10"/>
      <c r="AKM872" s="10"/>
      <c r="AKN872" s="10"/>
      <c r="AKO872" s="10"/>
      <c r="AKP872" s="10"/>
      <c r="AKQ872" s="10"/>
      <c r="AKR872" s="10"/>
      <c r="AKS872" s="10"/>
      <c r="AKT872" s="10"/>
      <c r="AKU872" s="10"/>
      <c r="AKV872" s="10"/>
      <c r="AKW872" s="10"/>
      <c r="AKX872" s="10"/>
      <c r="AKY872" s="10"/>
      <c r="AKZ872" s="10"/>
      <c r="ALA872" s="10"/>
      <c r="ALB872" s="10"/>
      <c r="ALC872" s="10"/>
      <c r="ALD872" s="10"/>
      <c r="ALE872" s="10"/>
      <c r="ALF872" s="10"/>
      <c r="ALG872" s="10"/>
      <c r="ALH872" s="10"/>
      <c r="ALI872" s="10"/>
      <c r="ALJ872" s="10"/>
      <c r="ALK872" s="10"/>
      <c r="ALL872" s="10"/>
      <c r="ALM872" s="10"/>
      <c r="ALN872" s="10"/>
      <c r="ALO872" s="10"/>
      <c r="ALP872" s="10"/>
      <c r="ALQ872" s="10"/>
      <c r="ALR872" s="10"/>
      <c r="ALS872" s="10"/>
      <c r="ALT872" s="10"/>
      <c r="ALU872" s="10"/>
      <c r="ALV872" s="10"/>
      <c r="ALW872" s="10"/>
      <c r="ALX872" s="10"/>
      <c r="ALY872" s="10"/>
      <c r="ALZ872" s="10"/>
      <c r="AMA872" s="10"/>
      <c r="AMB872" s="10"/>
      <c r="AMC872" s="10"/>
      <c r="AMD872" s="10"/>
      <c r="AME872" s="10"/>
      <c r="AMF872" s="10"/>
      <c r="AMG872" s="10"/>
      <c r="AMH872" s="10"/>
      <c r="AMI872" s="10"/>
      <c r="AMJ872" s="10"/>
      <c r="AMK872" s="10"/>
      <c r="AML872" s="10"/>
      <c r="AMM872" s="10"/>
      <c r="AMN872" s="10"/>
      <c r="AMO872" s="10"/>
      <c r="AMP872" s="10"/>
      <c r="AMQ872" s="10"/>
      <c r="AMR872" s="10"/>
      <c r="AMS872" s="10"/>
      <c r="AMT872" s="10"/>
      <c r="AMU872" s="10"/>
      <c r="AMV872" s="10"/>
      <c r="AMW872" s="10"/>
      <c r="AMX872" s="10"/>
      <c r="AMY872" s="10"/>
      <c r="AMZ872" s="10"/>
      <c r="ANA872" s="10"/>
      <c r="ANB872" s="10"/>
      <c r="ANC872" s="10"/>
      <c r="AND872" s="10"/>
      <c r="ANE872" s="10"/>
      <c r="ANF872" s="10"/>
      <c r="ANG872" s="10"/>
      <c r="ANH872" s="10"/>
      <c r="ANI872" s="10"/>
      <c r="ANJ872" s="10"/>
      <c r="ANK872" s="10"/>
      <c r="ANL872" s="10"/>
      <c r="ANM872" s="10"/>
      <c r="ANN872" s="10"/>
      <c r="ANO872" s="10"/>
      <c r="ANP872" s="10"/>
      <c r="ANQ872" s="10"/>
      <c r="ANR872" s="10"/>
      <c r="ANS872" s="10"/>
      <c r="ANT872" s="10"/>
      <c r="ANU872" s="10"/>
      <c r="ANV872" s="10"/>
      <c r="ANW872" s="10"/>
      <c r="ANX872" s="10"/>
      <c r="ANY872" s="10"/>
      <c r="ANZ872" s="10"/>
      <c r="AOA872" s="10"/>
      <c r="AOB872" s="10"/>
      <c r="AOC872" s="10"/>
      <c r="AOD872" s="10"/>
      <c r="AOE872" s="10"/>
      <c r="AOF872" s="10"/>
      <c r="AOG872" s="10"/>
      <c r="AOH872" s="10"/>
      <c r="AOI872" s="10"/>
      <c r="AOJ872" s="10"/>
      <c r="AOK872" s="10"/>
      <c r="AOL872" s="10"/>
      <c r="AOM872" s="10"/>
      <c r="AON872" s="10"/>
      <c r="AOO872" s="10"/>
      <c r="AOP872" s="10"/>
      <c r="AOQ872" s="10"/>
      <c r="AOR872" s="10"/>
      <c r="AOS872" s="10"/>
      <c r="AOT872" s="10"/>
      <c r="AOU872" s="10"/>
      <c r="AOV872" s="10"/>
      <c r="AOW872" s="10"/>
      <c r="AOX872" s="10"/>
      <c r="AOY872" s="10"/>
      <c r="AOZ872" s="10"/>
      <c r="APA872" s="10"/>
      <c r="APB872" s="10"/>
      <c r="APC872" s="10"/>
      <c r="APD872" s="10"/>
      <c r="APE872" s="10"/>
      <c r="APF872" s="10"/>
      <c r="APG872" s="10"/>
      <c r="APH872" s="10"/>
      <c r="API872" s="10"/>
      <c r="APJ872" s="10"/>
      <c r="APK872" s="10"/>
      <c r="APL872" s="10"/>
      <c r="APM872" s="10"/>
      <c r="APN872" s="10"/>
      <c r="APO872" s="10"/>
      <c r="APP872" s="10"/>
      <c r="APQ872" s="10"/>
      <c r="APR872" s="10"/>
      <c r="APS872" s="10"/>
      <c r="APT872" s="10"/>
      <c r="APU872" s="10"/>
      <c r="APV872" s="10"/>
      <c r="APW872" s="10"/>
      <c r="APX872" s="10"/>
      <c r="APY872" s="10"/>
      <c r="APZ872" s="10"/>
      <c r="AQA872" s="10"/>
      <c r="AQB872" s="10"/>
      <c r="AQC872" s="10"/>
      <c r="AQD872" s="10"/>
      <c r="AQE872" s="10"/>
      <c r="AQF872" s="10"/>
      <c r="AQG872" s="10"/>
      <c r="AQH872" s="10"/>
      <c r="AQI872" s="10"/>
      <c r="AQJ872" s="10"/>
      <c r="AQK872" s="10"/>
      <c r="AQL872" s="10"/>
      <c r="AQM872" s="10"/>
      <c r="AQN872" s="10"/>
      <c r="AQO872" s="10"/>
      <c r="AQP872" s="10"/>
      <c r="AQQ872" s="10"/>
      <c r="AQR872" s="10"/>
      <c r="AQS872" s="10"/>
      <c r="AQT872" s="10"/>
      <c r="AQU872" s="10"/>
      <c r="AQV872" s="10"/>
      <c r="AQW872" s="10"/>
      <c r="AQX872" s="10"/>
      <c r="AQY872" s="10"/>
      <c r="AQZ872" s="10"/>
      <c r="ARA872" s="10"/>
      <c r="ARB872" s="10"/>
      <c r="ARC872" s="10"/>
      <c r="ARD872" s="10"/>
      <c r="ARE872" s="10"/>
      <c r="ARF872" s="10"/>
      <c r="ARG872" s="10"/>
      <c r="ARH872" s="10"/>
      <c r="ARI872" s="10"/>
      <c r="ARJ872" s="10"/>
      <c r="ARK872" s="10"/>
      <c r="ARL872" s="10"/>
      <c r="ARM872" s="10"/>
      <c r="ARN872" s="10"/>
      <c r="ARO872" s="10"/>
      <c r="ARP872" s="10"/>
      <c r="ARQ872" s="10"/>
      <c r="ARR872" s="10"/>
      <c r="ARS872" s="10"/>
      <c r="ART872" s="10"/>
      <c r="ARU872" s="10"/>
      <c r="ARV872" s="10"/>
      <c r="ARW872" s="10"/>
      <c r="ARX872" s="10"/>
      <c r="ARY872" s="10"/>
      <c r="ARZ872" s="10"/>
      <c r="ASA872" s="10"/>
      <c r="ASB872" s="10"/>
      <c r="ASC872" s="10"/>
      <c r="ASD872" s="10"/>
      <c r="ASE872" s="10"/>
      <c r="ASF872" s="10"/>
      <c r="ASG872" s="10"/>
      <c r="ASH872" s="10"/>
      <c r="ASI872" s="10"/>
      <c r="ASJ872" s="10"/>
      <c r="ASK872" s="10"/>
      <c r="ASL872" s="10"/>
      <c r="ASM872" s="10"/>
      <c r="ASN872" s="10"/>
      <c r="ASO872" s="10"/>
      <c r="ASP872" s="10"/>
      <c r="ASQ872" s="10"/>
      <c r="ASR872" s="10"/>
      <c r="ASS872" s="10"/>
      <c r="AST872" s="10"/>
      <c r="ASU872" s="10"/>
      <c r="ASV872" s="10"/>
      <c r="ASW872" s="10"/>
      <c r="ASX872" s="10"/>
      <c r="ASY872" s="10"/>
      <c r="ASZ872" s="10"/>
      <c r="ATA872" s="10"/>
      <c r="ATB872" s="10"/>
      <c r="ATC872" s="10"/>
      <c r="ATD872" s="10"/>
      <c r="ATE872" s="10"/>
      <c r="ATF872" s="10"/>
      <c r="ATG872" s="10"/>
      <c r="ATH872" s="10"/>
      <c r="ATI872" s="10"/>
      <c r="ATJ872" s="10"/>
      <c r="ATK872" s="10"/>
      <c r="ATL872" s="10"/>
      <c r="ATM872" s="10"/>
      <c r="ATN872" s="10"/>
      <c r="ATO872" s="10"/>
      <c r="ATP872" s="10"/>
      <c r="ATQ872" s="10"/>
      <c r="ATR872" s="10"/>
      <c r="ATS872" s="10"/>
      <c r="ATT872" s="10"/>
      <c r="ATU872" s="10"/>
      <c r="ATV872" s="10"/>
      <c r="ATW872" s="10"/>
      <c r="ATX872" s="10"/>
      <c r="ATY872" s="10"/>
      <c r="ATZ872" s="10"/>
      <c r="AUA872" s="10"/>
      <c r="AUB872" s="10"/>
      <c r="AUC872" s="10"/>
      <c r="AUD872" s="10"/>
      <c r="AUE872" s="10"/>
      <c r="AUF872" s="10"/>
      <c r="AUG872" s="10"/>
      <c r="AUH872" s="10"/>
      <c r="AUI872" s="10"/>
      <c r="AUJ872" s="10"/>
      <c r="AUK872" s="10"/>
      <c r="AUL872" s="10"/>
      <c r="AUM872" s="10"/>
      <c r="AUN872" s="10"/>
      <c r="AUO872" s="10"/>
      <c r="AUP872" s="10"/>
      <c r="AUQ872" s="10"/>
      <c r="AUR872" s="10"/>
      <c r="AUS872" s="10"/>
      <c r="AUT872" s="10"/>
      <c r="AUU872" s="10"/>
      <c r="AUV872" s="10"/>
      <c r="AUW872" s="10"/>
      <c r="AUX872" s="10"/>
      <c r="AUY872" s="10"/>
      <c r="AUZ872" s="10"/>
      <c r="AVA872" s="10"/>
      <c r="AVB872" s="10"/>
      <c r="AVC872" s="10"/>
      <c r="AVD872" s="10"/>
      <c r="AVE872" s="10"/>
      <c r="AVF872" s="10"/>
      <c r="AVG872" s="10"/>
      <c r="AVH872" s="10"/>
      <c r="AVI872" s="10"/>
      <c r="AVJ872" s="10"/>
      <c r="AVK872" s="10"/>
      <c r="AVL872" s="10"/>
      <c r="AVM872" s="10"/>
      <c r="AVN872" s="10"/>
      <c r="AVO872" s="10"/>
      <c r="AVP872" s="10"/>
      <c r="AVQ872" s="10"/>
      <c r="AVR872" s="10"/>
      <c r="AVS872" s="10"/>
      <c r="AVT872" s="10"/>
      <c r="AVU872" s="10"/>
      <c r="AVV872" s="10"/>
      <c r="AVW872" s="10"/>
      <c r="AVX872" s="10"/>
      <c r="AVY872" s="10"/>
      <c r="AVZ872" s="10"/>
      <c r="AWA872" s="10"/>
      <c r="AWB872" s="10"/>
      <c r="AWC872" s="10"/>
      <c r="AWD872" s="10"/>
      <c r="AWE872" s="10"/>
      <c r="AWF872" s="10"/>
      <c r="AWG872" s="10"/>
      <c r="AWH872" s="10"/>
      <c r="AWI872" s="10"/>
      <c r="AWJ872" s="10"/>
      <c r="AWK872" s="10"/>
      <c r="AWL872" s="10"/>
      <c r="AWM872" s="10"/>
      <c r="AWN872" s="10"/>
      <c r="AWO872" s="10"/>
      <c r="AWP872" s="10"/>
      <c r="AWQ872" s="10"/>
      <c r="AWR872" s="10"/>
      <c r="AWS872" s="10"/>
      <c r="AWT872" s="10"/>
      <c r="AWU872" s="10"/>
      <c r="AWV872" s="10"/>
      <c r="AWW872" s="10"/>
      <c r="AWX872" s="10"/>
      <c r="AWY872" s="10"/>
      <c r="AWZ872" s="10"/>
      <c r="AXA872" s="10"/>
      <c r="AXB872" s="10"/>
      <c r="AXC872" s="10"/>
      <c r="AXD872" s="10"/>
      <c r="AXE872" s="10"/>
      <c r="AXF872" s="10"/>
      <c r="AXG872" s="10"/>
      <c r="AXH872" s="10"/>
      <c r="AXI872" s="10"/>
      <c r="AXJ872" s="10"/>
      <c r="AXK872" s="10"/>
      <c r="AXL872" s="10"/>
      <c r="AXM872" s="10"/>
      <c r="AXN872" s="10"/>
      <c r="AXO872" s="10"/>
      <c r="AXP872" s="10"/>
      <c r="AXQ872" s="10"/>
      <c r="AXR872" s="10"/>
      <c r="AXS872" s="10"/>
      <c r="AXT872" s="10"/>
      <c r="AXU872" s="10"/>
      <c r="AXV872" s="10"/>
      <c r="AXW872" s="10"/>
      <c r="AXX872" s="10"/>
      <c r="AXY872" s="10"/>
      <c r="AXZ872" s="10"/>
      <c r="AYA872" s="10"/>
      <c r="AYB872" s="10"/>
      <c r="AYC872" s="10"/>
      <c r="AYD872" s="10"/>
      <c r="AYE872" s="10"/>
      <c r="AYF872" s="10"/>
      <c r="AYG872" s="10"/>
      <c r="AYH872" s="10"/>
      <c r="AYI872" s="10"/>
      <c r="AYJ872" s="10"/>
      <c r="AYK872" s="10"/>
      <c r="AYL872" s="10"/>
      <c r="AYM872" s="10"/>
      <c r="AYN872" s="10"/>
      <c r="AYO872" s="10"/>
      <c r="AYP872" s="10"/>
      <c r="AYQ872" s="10"/>
      <c r="AYR872" s="10"/>
      <c r="AYS872" s="10"/>
      <c r="AYT872" s="10"/>
      <c r="AYU872" s="10"/>
      <c r="AYV872" s="10"/>
      <c r="AYW872" s="10"/>
      <c r="AYX872" s="10"/>
      <c r="AYY872" s="10"/>
      <c r="AYZ872" s="10"/>
      <c r="AZA872" s="10"/>
      <c r="AZB872" s="10"/>
      <c r="AZC872" s="10"/>
      <c r="AZD872" s="10"/>
      <c r="AZE872" s="10"/>
      <c r="AZF872" s="10"/>
      <c r="AZG872" s="10"/>
      <c r="AZH872" s="10"/>
      <c r="AZI872" s="10"/>
      <c r="AZJ872" s="10"/>
      <c r="AZK872" s="10"/>
      <c r="AZL872" s="10"/>
      <c r="AZM872" s="10"/>
      <c r="AZN872" s="10"/>
      <c r="AZO872" s="10"/>
      <c r="AZP872" s="10"/>
      <c r="AZQ872" s="10"/>
      <c r="AZR872" s="10"/>
      <c r="AZS872" s="10"/>
      <c r="AZT872" s="10"/>
      <c r="AZU872" s="10"/>
      <c r="AZV872" s="10"/>
      <c r="AZW872" s="10"/>
      <c r="AZX872" s="10"/>
      <c r="AZY872" s="10"/>
      <c r="AZZ872" s="10"/>
      <c r="BAA872" s="10"/>
      <c r="BAB872" s="10"/>
      <c r="BAC872" s="10"/>
      <c r="BAD872" s="10"/>
      <c r="BAE872" s="10"/>
      <c r="BAF872" s="10"/>
      <c r="BAG872" s="10"/>
      <c r="BAH872" s="10"/>
      <c r="BAI872" s="10"/>
      <c r="BAJ872" s="10"/>
      <c r="BAK872" s="10"/>
      <c r="BAL872" s="10"/>
      <c r="BAM872" s="10"/>
      <c r="BAN872" s="10"/>
      <c r="BAO872" s="10"/>
      <c r="BAP872" s="10"/>
      <c r="BAQ872" s="10"/>
      <c r="BAR872" s="10"/>
      <c r="BAS872" s="10"/>
      <c r="BAT872" s="10"/>
      <c r="BAU872" s="10"/>
      <c r="BAV872" s="10"/>
      <c r="BAW872" s="10"/>
      <c r="BAX872" s="10"/>
      <c r="BAY872" s="10"/>
      <c r="BAZ872" s="10"/>
      <c r="BBA872" s="10"/>
      <c r="BBB872" s="10"/>
      <c r="BBC872" s="10"/>
      <c r="BBD872" s="10"/>
      <c r="BBE872" s="10"/>
      <c r="BBF872" s="10"/>
      <c r="BBG872" s="10"/>
      <c r="BBH872" s="10"/>
      <c r="BBI872" s="10"/>
      <c r="BBJ872" s="10"/>
      <c r="BBK872" s="10"/>
      <c r="BBL872" s="10"/>
      <c r="BBM872" s="10"/>
      <c r="BBN872" s="10"/>
      <c r="BBO872" s="10"/>
      <c r="BBP872" s="10"/>
      <c r="BBQ872" s="10"/>
      <c r="BBR872" s="10"/>
      <c r="BBS872" s="10"/>
      <c r="BBT872" s="10"/>
      <c r="BBU872" s="10"/>
      <c r="BBV872" s="10"/>
      <c r="BBW872" s="10"/>
      <c r="BBX872" s="10"/>
      <c r="BBY872" s="10"/>
      <c r="BBZ872" s="10"/>
      <c r="BCA872" s="10"/>
      <c r="BCB872" s="10"/>
      <c r="BCC872" s="10"/>
      <c r="BCD872" s="10"/>
      <c r="BCE872" s="10"/>
      <c r="BCF872" s="10"/>
      <c r="BCG872" s="10"/>
      <c r="BCH872" s="10"/>
      <c r="BCI872" s="10"/>
      <c r="BCJ872" s="10"/>
      <c r="BCK872" s="10"/>
      <c r="BCL872" s="10"/>
      <c r="BCM872" s="10"/>
      <c r="BCN872" s="10"/>
      <c r="BCO872" s="10"/>
      <c r="BCP872" s="10"/>
      <c r="BCQ872" s="10"/>
      <c r="BCR872" s="10"/>
      <c r="BCS872" s="10"/>
      <c r="BCT872" s="10"/>
      <c r="BCU872" s="10"/>
      <c r="BCV872" s="10"/>
      <c r="BCW872" s="10"/>
      <c r="BCX872" s="10"/>
      <c r="BCY872" s="10"/>
      <c r="BCZ872" s="10"/>
      <c r="BDA872" s="10"/>
      <c r="BDB872" s="10"/>
      <c r="BDC872" s="10"/>
      <c r="BDD872" s="10"/>
      <c r="BDE872" s="10"/>
      <c r="BDF872" s="10"/>
      <c r="BDG872" s="10"/>
      <c r="BDH872" s="10"/>
      <c r="BDI872" s="10"/>
      <c r="BDJ872" s="10"/>
      <c r="BDK872" s="10"/>
      <c r="BDL872" s="10"/>
      <c r="BDM872" s="10"/>
      <c r="BDN872" s="10"/>
      <c r="BDO872" s="10"/>
      <c r="BDP872" s="10"/>
      <c r="BDQ872" s="10"/>
      <c r="BDR872" s="10"/>
      <c r="BDS872" s="10"/>
      <c r="BDT872" s="10"/>
      <c r="BDU872" s="10"/>
      <c r="BDV872" s="10"/>
      <c r="BDW872" s="10"/>
      <c r="BDX872" s="10"/>
      <c r="BDY872" s="10"/>
      <c r="BDZ872" s="10"/>
      <c r="BEA872" s="10"/>
      <c r="BEB872" s="10"/>
      <c r="BEC872" s="10"/>
      <c r="BED872" s="10"/>
      <c r="BEE872" s="10"/>
      <c r="BEF872" s="10"/>
      <c r="BEG872" s="10"/>
      <c r="BEH872" s="10"/>
      <c r="BEI872" s="10"/>
      <c r="BEJ872" s="10"/>
      <c r="BEK872" s="10"/>
      <c r="BEL872" s="10"/>
      <c r="BEM872" s="10"/>
      <c r="BEN872" s="10"/>
      <c r="BEO872" s="10"/>
      <c r="BEP872" s="10"/>
      <c r="BEQ872" s="10"/>
      <c r="BER872" s="10"/>
      <c r="BES872" s="10"/>
      <c r="BET872" s="10"/>
      <c r="BEU872" s="10"/>
      <c r="BEV872" s="10"/>
      <c r="BEW872" s="10"/>
      <c r="BEX872" s="10"/>
      <c r="BEY872" s="10"/>
      <c r="BEZ872" s="10"/>
      <c r="BFA872" s="10"/>
      <c r="BFB872" s="10"/>
      <c r="BFC872" s="10"/>
      <c r="BFD872" s="10"/>
      <c r="BFE872" s="10"/>
      <c r="BFF872" s="10"/>
      <c r="BFG872" s="10"/>
      <c r="BFH872" s="10"/>
      <c r="BFI872" s="10"/>
      <c r="BFJ872" s="10"/>
      <c r="BFK872" s="10"/>
      <c r="BFL872" s="10"/>
      <c r="BFM872" s="10"/>
      <c r="BFN872" s="10"/>
      <c r="BFO872" s="10"/>
      <c r="BFP872" s="10"/>
      <c r="BFQ872" s="10"/>
      <c r="BFR872" s="10"/>
      <c r="BFS872" s="10"/>
      <c r="BFT872" s="10"/>
      <c r="BFU872" s="10"/>
      <c r="BFV872" s="10"/>
      <c r="BFW872" s="10"/>
      <c r="BFX872" s="10"/>
      <c r="BFY872" s="10"/>
      <c r="BFZ872" s="10"/>
      <c r="BGA872" s="10"/>
      <c r="BGB872" s="10"/>
      <c r="BGC872" s="10"/>
      <c r="BGD872" s="10"/>
      <c r="BGE872" s="10"/>
      <c r="BGF872" s="10"/>
      <c r="BGG872" s="10"/>
      <c r="BGH872" s="10"/>
      <c r="BGI872" s="10"/>
      <c r="BGJ872" s="10"/>
      <c r="BGK872" s="10"/>
      <c r="BGL872" s="10"/>
      <c r="BGM872" s="10"/>
      <c r="BGN872" s="10"/>
      <c r="BGO872" s="10"/>
      <c r="BGP872" s="10"/>
      <c r="BGQ872" s="10"/>
      <c r="BGR872" s="10"/>
      <c r="BGS872" s="10"/>
      <c r="BGT872" s="10"/>
      <c r="BGU872" s="10"/>
      <c r="BGV872" s="10"/>
      <c r="BGW872" s="10"/>
      <c r="BGX872" s="10"/>
      <c r="BGY872" s="10"/>
      <c r="BGZ872" s="10"/>
      <c r="BHA872" s="10"/>
      <c r="BHB872" s="10"/>
      <c r="BHC872" s="10"/>
      <c r="BHD872" s="10"/>
      <c r="BHE872" s="10"/>
      <c r="BHF872" s="10"/>
      <c r="BHG872" s="10"/>
      <c r="BHH872" s="10"/>
      <c r="BHI872" s="10"/>
      <c r="BHJ872" s="10"/>
      <c r="BHK872" s="10"/>
      <c r="BHL872" s="10"/>
      <c r="BHM872" s="10"/>
      <c r="BHN872" s="10"/>
      <c r="BHO872" s="10"/>
      <c r="BHP872" s="10"/>
      <c r="BHQ872" s="10"/>
      <c r="BHR872" s="10"/>
      <c r="BHS872" s="10"/>
      <c r="BHT872" s="10"/>
      <c r="BHU872" s="10"/>
      <c r="BHV872" s="10"/>
      <c r="BHW872" s="10"/>
      <c r="BHX872" s="10"/>
      <c r="BHY872" s="10"/>
      <c r="BHZ872" s="10"/>
      <c r="BIA872" s="10"/>
      <c r="BIB872" s="10"/>
      <c r="BIC872" s="10"/>
      <c r="BID872" s="10"/>
      <c r="BIE872" s="10"/>
      <c r="BIF872" s="10"/>
      <c r="BIG872" s="10"/>
      <c r="BIH872" s="10"/>
      <c r="BII872" s="10"/>
      <c r="BIJ872" s="10"/>
      <c r="BIK872" s="10"/>
      <c r="BIL872" s="10"/>
      <c r="BIM872" s="10"/>
      <c r="BIN872" s="10"/>
      <c r="BIO872" s="10"/>
      <c r="BIP872" s="10"/>
      <c r="BIQ872" s="10"/>
      <c r="BIR872" s="10"/>
      <c r="BIS872" s="10"/>
      <c r="BIT872" s="10"/>
      <c r="BIU872" s="10"/>
      <c r="BIV872" s="10"/>
      <c r="BIW872" s="10"/>
      <c r="BIX872" s="10"/>
      <c r="BIY872" s="10"/>
      <c r="BIZ872" s="10"/>
      <c r="BJA872" s="10"/>
      <c r="BJB872" s="10"/>
      <c r="BJC872" s="10"/>
      <c r="BJD872" s="10"/>
      <c r="BJE872" s="10"/>
      <c r="BJF872" s="10"/>
      <c r="BJG872" s="10"/>
      <c r="BJH872" s="10"/>
      <c r="BJI872" s="10"/>
      <c r="BJJ872" s="10"/>
      <c r="BJK872" s="10"/>
      <c r="BJL872" s="10"/>
      <c r="BJM872" s="10"/>
      <c r="BJN872" s="10"/>
      <c r="BJO872" s="10"/>
      <c r="BJP872" s="10"/>
      <c r="BJQ872" s="10"/>
      <c r="BJR872" s="10"/>
      <c r="BJS872" s="10"/>
      <c r="BJT872" s="10"/>
      <c r="BJU872" s="10"/>
      <c r="BJV872" s="10"/>
      <c r="BJW872" s="10"/>
      <c r="BJX872" s="10"/>
      <c r="BJY872" s="10"/>
      <c r="BJZ872" s="10"/>
      <c r="BKA872" s="10"/>
      <c r="BKB872" s="10"/>
      <c r="BKC872" s="10"/>
      <c r="BKD872" s="10"/>
      <c r="BKE872" s="10"/>
      <c r="BKF872" s="10"/>
      <c r="BKG872" s="10"/>
      <c r="BKH872" s="10"/>
      <c r="BKI872" s="10"/>
      <c r="BKJ872" s="10"/>
      <c r="BKK872" s="10"/>
      <c r="BKL872" s="10"/>
      <c r="BKM872" s="10"/>
      <c r="BKN872" s="10"/>
      <c r="BKO872" s="10"/>
      <c r="BKP872" s="10"/>
      <c r="BKQ872" s="10"/>
      <c r="BKR872" s="10"/>
      <c r="BKS872" s="10"/>
      <c r="BKT872" s="10"/>
      <c r="BKU872" s="10"/>
      <c r="BKV872" s="10"/>
      <c r="BKW872" s="10"/>
      <c r="BKX872" s="10"/>
      <c r="BKY872" s="10"/>
      <c r="BKZ872" s="10"/>
      <c r="BLA872" s="10"/>
      <c r="BLB872" s="10"/>
      <c r="BLC872" s="10"/>
      <c r="BLD872" s="10"/>
      <c r="BLE872" s="10"/>
      <c r="BLF872" s="10"/>
      <c r="BLG872" s="10"/>
      <c r="BLH872" s="10"/>
      <c r="BLI872" s="10"/>
      <c r="BLJ872" s="10"/>
      <c r="BLK872" s="10"/>
      <c r="BLL872" s="10"/>
      <c r="BLM872" s="10"/>
      <c r="BLN872" s="10"/>
      <c r="BLO872" s="10"/>
      <c r="BLP872" s="10"/>
      <c r="BLQ872" s="10"/>
      <c r="BLR872" s="10"/>
      <c r="BLS872" s="10"/>
      <c r="BLT872" s="10"/>
      <c r="BLU872" s="10"/>
      <c r="BLV872" s="10"/>
      <c r="BLW872" s="10"/>
      <c r="BLX872" s="10"/>
      <c r="BLY872" s="10"/>
      <c r="BLZ872" s="10"/>
      <c r="BMA872" s="10"/>
      <c r="BMB872" s="10"/>
      <c r="BMC872" s="10"/>
      <c r="BMD872" s="10"/>
      <c r="BME872" s="10"/>
      <c r="BMF872" s="10"/>
      <c r="BMG872" s="10"/>
      <c r="BMH872" s="10"/>
      <c r="BMI872" s="10"/>
      <c r="BMJ872" s="10"/>
      <c r="BMK872" s="10"/>
      <c r="BML872" s="10"/>
      <c r="BMM872" s="10"/>
      <c r="BMN872" s="10"/>
      <c r="BMO872" s="10"/>
      <c r="BMP872" s="10"/>
      <c r="BMQ872" s="10"/>
      <c r="BMR872" s="10"/>
      <c r="BMS872" s="10"/>
      <c r="BMT872" s="10"/>
      <c r="BMU872" s="10"/>
      <c r="BMV872" s="10"/>
      <c r="BMW872" s="10"/>
      <c r="BMX872" s="10"/>
      <c r="BMY872" s="10"/>
      <c r="BMZ872" s="10"/>
      <c r="BNA872" s="10"/>
      <c r="BNB872" s="10"/>
      <c r="BNC872" s="10"/>
      <c r="BND872" s="10"/>
      <c r="BNE872" s="10"/>
      <c r="BNF872" s="10"/>
      <c r="BNG872" s="10"/>
      <c r="BNH872" s="10"/>
      <c r="BNI872" s="10"/>
      <c r="BNJ872" s="10"/>
      <c r="BNK872" s="10"/>
      <c r="BNL872" s="10"/>
      <c r="BNM872" s="10"/>
      <c r="BNN872" s="10"/>
      <c r="BNO872" s="10"/>
      <c r="BNP872" s="10"/>
      <c r="BNQ872" s="10"/>
      <c r="BNR872" s="10"/>
      <c r="BNS872" s="10"/>
      <c r="BNT872" s="10"/>
      <c r="BNU872" s="10"/>
      <c r="BNV872" s="10"/>
      <c r="BNW872" s="10"/>
      <c r="BNX872" s="10"/>
      <c r="BNY872" s="10"/>
      <c r="BNZ872" s="10"/>
      <c r="BOA872" s="10"/>
      <c r="BOB872" s="10"/>
      <c r="BOC872" s="10"/>
      <c r="BOD872" s="10"/>
      <c r="BOE872" s="10"/>
      <c r="BOF872" s="10"/>
      <c r="BOG872" s="10"/>
      <c r="BOH872" s="10"/>
      <c r="BOI872" s="10"/>
      <c r="BOJ872" s="10"/>
      <c r="BOK872" s="10"/>
      <c r="BOL872" s="10"/>
      <c r="BOM872" s="10"/>
      <c r="BON872" s="10"/>
      <c r="BOO872" s="10"/>
      <c r="BOP872" s="10"/>
      <c r="BOQ872" s="10"/>
      <c r="BOR872" s="10"/>
      <c r="BOS872" s="10"/>
      <c r="BOT872" s="10"/>
      <c r="BOU872" s="10"/>
      <c r="BOV872" s="10"/>
      <c r="BOW872" s="10"/>
      <c r="BOX872" s="10"/>
      <c r="BOY872" s="10"/>
      <c r="BOZ872" s="10"/>
      <c r="BPA872" s="10"/>
      <c r="BPB872" s="10"/>
      <c r="BPC872" s="10"/>
      <c r="BPD872" s="10"/>
      <c r="BPE872" s="10"/>
      <c r="BPF872" s="10"/>
      <c r="BPG872" s="10"/>
      <c r="BPH872" s="10"/>
      <c r="BPI872" s="10"/>
      <c r="BPJ872" s="10"/>
      <c r="BPK872" s="10"/>
      <c r="BPL872" s="10"/>
      <c r="BPM872" s="10"/>
      <c r="BPN872" s="10"/>
      <c r="BPO872" s="10"/>
      <c r="BPP872" s="10"/>
      <c r="BPQ872" s="10"/>
      <c r="BPR872" s="10"/>
      <c r="BPS872" s="10"/>
      <c r="BPT872" s="10"/>
      <c r="BPU872" s="10"/>
      <c r="BPV872" s="10"/>
      <c r="BPW872" s="10"/>
      <c r="BPX872" s="10"/>
      <c r="BPY872" s="10"/>
      <c r="BPZ872" s="10"/>
      <c r="BQA872" s="10"/>
      <c r="BQB872" s="10"/>
      <c r="BQC872" s="10"/>
      <c r="BQD872" s="10"/>
      <c r="BQE872" s="10"/>
      <c r="BQF872" s="10"/>
      <c r="BQG872" s="10"/>
      <c r="BQH872" s="10"/>
      <c r="BQI872" s="10"/>
      <c r="BQJ872" s="10"/>
      <c r="BQK872" s="10"/>
      <c r="BQL872" s="10"/>
      <c r="BQM872" s="10"/>
      <c r="BQN872" s="10"/>
      <c r="BQO872" s="10"/>
      <c r="BQP872" s="10"/>
      <c r="BQQ872" s="10"/>
      <c r="BQR872" s="10"/>
      <c r="BQS872" s="10"/>
      <c r="BQT872" s="10"/>
      <c r="BQU872" s="10"/>
      <c r="BQV872" s="10"/>
      <c r="BQW872" s="10"/>
      <c r="BQX872" s="10"/>
      <c r="BQY872" s="10"/>
      <c r="BQZ872" s="10"/>
      <c r="BRA872" s="10"/>
      <c r="BRB872" s="10"/>
      <c r="BRC872" s="10"/>
      <c r="BRD872" s="10"/>
      <c r="BRE872" s="10"/>
      <c r="BRF872" s="10"/>
      <c r="BRG872" s="10"/>
      <c r="BRH872" s="10"/>
      <c r="BRI872" s="10"/>
      <c r="BRJ872" s="10"/>
      <c r="BRK872" s="10"/>
      <c r="BRL872" s="10"/>
      <c r="BRM872" s="10"/>
      <c r="BRN872" s="10"/>
      <c r="BRO872" s="10"/>
      <c r="BRP872" s="10"/>
      <c r="BRQ872" s="10"/>
      <c r="BRR872" s="10"/>
      <c r="BRS872" s="10"/>
      <c r="BRT872" s="10"/>
      <c r="BRU872" s="10"/>
      <c r="BRV872" s="10"/>
      <c r="BRW872" s="10"/>
      <c r="BRX872" s="10"/>
      <c r="BRY872" s="10"/>
      <c r="BRZ872" s="10"/>
      <c r="BSA872" s="10"/>
      <c r="BSB872" s="10"/>
      <c r="BSC872" s="10"/>
      <c r="BSD872" s="10"/>
      <c r="BSE872" s="10"/>
      <c r="BSF872" s="10"/>
      <c r="BSG872" s="10"/>
      <c r="BSH872" s="10"/>
      <c r="BSI872" s="10"/>
      <c r="BSJ872" s="10"/>
      <c r="BSK872" s="10"/>
      <c r="BSL872" s="10"/>
      <c r="BSM872" s="10"/>
      <c r="BSN872" s="10"/>
      <c r="BSO872" s="10"/>
      <c r="BSP872" s="10"/>
      <c r="BSQ872" s="10"/>
      <c r="BSR872" s="10"/>
      <c r="BSS872" s="10"/>
      <c r="BST872" s="10"/>
      <c r="BSU872" s="10"/>
      <c r="BSV872" s="10"/>
      <c r="BSW872" s="10"/>
      <c r="BSX872" s="10"/>
      <c r="BSY872" s="10"/>
      <c r="BSZ872" s="10"/>
      <c r="BTA872" s="10"/>
      <c r="BTB872" s="10"/>
      <c r="BTC872" s="10"/>
      <c r="BTD872" s="10"/>
      <c r="BTE872" s="10"/>
      <c r="BTF872" s="10"/>
      <c r="BTG872" s="10"/>
      <c r="BTH872" s="10"/>
      <c r="BTI872" s="10"/>
      <c r="BTJ872" s="10"/>
      <c r="BTK872" s="10"/>
      <c r="BTL872" s="10"/>
      <c r="BTM872" s="10"/>
      <c r="BTN872" s="10"/>
      <c r="BTO872" s="10"/>
      <c r="BTP872" s="10"/>
      <c r="BTQ872" s="10"/>
      <c r="BTR872" s="10"/>
      <c r="BTS872" s="10"/>
      <c r="BTT872" s="10"/>
    </row>
    <row r="873" spans="1:1892" s="10" customFormat="1" ht="35.1" customHeight="1">
      <c r="A873" s="1241"/>
      <c r="B873" s="982" t="s">
        <v>23</v>
      </c>
      <c r="C873" s="982" t="s">
        <v>190</v>
      </c>
      <c r="D873" s="570" t="s">
        <v>64</v>
      </c>
      <c r="E873" s="571"/>
      <c r="F873" s="572"/>
      <c r="G873" s="982" t="s">
        <v>63</v>
      </c>
      <c r="H873" s="982" t="s">
        <v>62</v>
      </c>
      <c r="I873" s="982" t="s">
        <v>62</v>
      </c>
      <c r="J873" s="1620" t="s">
        <v>11</v>
      </c>
      <c r="K873" s="1620" t="s">
        <v>61</v>
      </c>
      <c r="L873" s="131" t="s">
        <v>60</v>
      </c>
      <c r="M873" s="267">
        <v>44</v>
      </c>
      <c r="N873" s="132">
        <v>0</v>
      </c>
      <c r="O873" s="132">
        <v>0</v>
      </c>
      <c r="P873" s="656" t="s">
        <v>444</v>
      </c>
      <c r="Q873" s="656" t="s">
        <v>468</v>
      </c>
      <c r="R873" s="656" t="s">
        <v>469</v>
      </c>
      <c r="S873" s="651" t="s">
        <v>57</v>
      </c>
      <c r="T873" s="713" t="s">
        <v>54</v>
      </c>
      <c r="U873" s="713" t="s">
        <v>11</v>
      </c>
    </row>
    <row r="874" spans="1:1892" s="10" customFormat="1" ht="35.1" customHeight="1">
      <c r="A874" s="1241"/>
      <c r="B874" s="983"/>
      <c r="C874" s="983"/>
      <c r="D874" s="573"/>
      <c r="E874" s="574"/>
      <c r="F874" s="575"/>
      <c r="G874" s="983"/>
      <c r="H874" s="983"/>
      <c r="I874" s="983"/>
      <c r="J874" s="1621"/>
      <c r="K874" s="1621"/>
      <c r="L874" s="131" t="s">
        <v>59</v>
      </c>
      <c r="M874" s="267">
        <v>2</v>
      </c>
      <c r="N874" s="132">
        <v>0</v>
      </c>
      <c r="O874" s="132">
        <v>0</v>
      </c>
      <c r="P874" s="657"/>
      <c r="Q874" s="657"/>
      <c r="R874" s="657"/>
      <c r="S874" s="652"/>
      <c r="T874" s="714"/>
      <c r="U874" s="714"/>
    </row>
    <row r="875" spans="1:1892" s="10" customFormat="1" ht="35.1" customHeight="1">
      <c r="A875" s="1241"/>
      <c r="B875" s="983"/>
      <c r="C875" s="983"/>
      <c r="D875" s="573"/>
      <c r="E875" s="574"/>
      <c r="F875" s="575"/>
      <c r="G875" s="983"/>
      <c r="H875" s="983"/>
      <c r="I875" s="983"/>
      <c r="J875" s="1621"/>
      <c r="K875" s="1621"/>
      <c r="L875" s="131" t="s">
        <v>58</v>
      </c>
      <c r="M875" s="267">
        <v>2</v>
      </c>
      <c r="N875" s="132">
        <v>0</v>
      </c>
      <c r="O875" s="132">
        <v>0</v>
      </c>
      <c r="P875" s="657"/>
      <c r="Q875" s="657"/>
      <c r="R875" s="657"/>
      <c r="S875" s="652"/>
      <c r="T875" s="714"/>
      <c r="U875" s="714"/>
    </row>
    <row r="876" spans="1:1892" s="10" customFormat="1" ht="35.1" customHeight="1">
      <c r="A876" s="1241"/>
      <c r="B876" s="983"/>
      <c r="C876" s="983"/>
      <c r="D876" s="573"/>
      <c r="E876" s="574"/>
      <c r="F876" s="575"/>
      <c r="G876" s="983"/>
      <c r="H876" s="983"/>
      <c r="I876" s="983"/>
      <c r="J876" s="1621"/>
      <c r="K876" s="1621"/>
      <c r="L876" s="131">
        <v>45</v>
      </c>
      <c r="M876" s="267">
        <v>1</v>
      </c>
      <c r="N876" s="129">
        <v>0</v>
      </c>
      <c r="O876" s="129">
        <v>0</v>
      </c>
      <c r="P876" s="657"/>
      <c r="Q876" s="657"/>
      <c r="R876" s="657"/>
      <c r="S876" s="652"/>
      <c r="T876" s="714"/>
      <c r="U876" s="714"/>
    </row>
    <row r="877" spans="1:1892" s="10" customFormat="1" ht="35.1" customHeight="1">
      <c r="A877" s="1241"/>
      <c r="B877" s="983"/>
      <c r="C877" s="983"/>
      <c r="D877" s="573"/>
      <c r="E877" s="574"/>
      <c r="F877" s="575"/>
      <c r="G877" s="983"/>
      <c r="H877" s="983"/>
      <c r="I877" s="983"/>
      <c r="J877" s="1621"/>
      <c r="K877" s="1621"/>
      <c r="L877" s="182">
        <v>50</v>
      </c>
      <c r="M877" s="267">
        <v>1</v>
      </c>
      <c r="N877" s="132">
        <v>0</v>
      </c>
      <c r="O877" s="132">
        <v>0</v>
      </c>
      <c r="P877" s="657"/>
      <c r="Q877" s="657"/>
      <c r="R877" s="657"/>
      <c r="S877" s="652"/>
      <c r="T877" s="714"/>
      <c r="U877" s="714"/>
    </row>
    <row r="878" spans="1:1892" s="10" customFormat="1" ht="35.1" customHeight="1">
      <c r="A878" s="1241"/>
      <c r="B878" s="983"/>
      <c r="C878" s="983"/>
      <c r="D878" s="573"/>
      <c r="E878" s="574"/>
      <c r="F878" s="575"/>
      <c r="G878" s="983"/>
      <c r="H878" s="983"/>
      <c r="I878" s="983"/>
      <c r="J878" s="1621"/>
      <c r="K878" s="1621"/>
      <c r="L878" s="182">
        <v>51</v>
      </c>
      <c r="M878" s="267">
        <v>1</v>
      </c>
      <c r="N878" s="129">
        <v>0</v>
      </c>
      <c r="O878" s="129">
        <v>0</v>
      </c>
      <c r="P878" s="657"/>
      <c r="Q878" s="657"/>
      <c r="R878" s="657"/>
      <c r="S878" s="652"/>
      <c r="T878" s="714"/>
      <c r="U878" s="714"/>
    </row>
    <row r="879" spans="1:1892" s="10" customFormat="1" ht="35.1" customHeight="1">
      <c r="A879" s="1241"/>
      <c r="B879" s="983"/>
      <c r="C879" s="983"/>
      <c r="D879" s="573"/>
      <c r="E879" s="574"/>
      <c r="F879" s="575"/>
      <c r="G879" s="984"/>
      <c r="H879" s="984"/>
      <c r="I879" s="984"/>
      <c r="J879" s="1622"/>
      <c r="K879" s="1622"/>
      <c r="L879" s="182">
        <v>54</v>
      </c>
      <c r="M879" s="267">
        <v>1</v>
      </c>
      <c r="N879" s="129">
        <v>0</v>
      </c>
      <c r="O879" s="129">
        <v>0</v>
      </c>
      <c r="P879" s="657"/>
      <c r="Q879" s="657"/>
      <c r="R879" s="657"/>
      <c r="S879" s="652"/>
      <c r="T879" s="714"/>
      <c r="U879" s="714"/>
    </row>
    <row r="880" spans="1:1892" s="10" customFormat="1" ht="35.1" customHeight="1">
      <c r="A880" s="1241"/>
      <c r="B880" s="983"/>
      <c r="C880" s="984"/>
      <c r="D880" s="576"/>
      <c r="E880" s="577"/>
      <c r="F880" s="578"/>
      <c r="G880" s="594" t="s">
        <v>329</v>
      </c>
      <c r="H880" s="595"/>
      <c r="I880" s="595"/>
      <c r="J880" s="595"/>
      <c r="K880" s="1083"/>
      <c r="L880" s="183"/>
      <c r="M880" s="251">
        <f>SUM(M873:M879)</f>
        <v>52</v>
      </c>
      <c r="N880" s="396">
        <f>SUM(N873:N879)</f>
        <v>0</v>
      </c>
      <c r="O880" s="396">
        <f>SUM(O873:O879)</f>
        <v>0</v>
      </c>
      <c r="P880" s="658"/>
      <c r="Q880" s="658"/>
      <c r="R880" s="658"/>
      <c r="S880" s="653"/>
      <c r="T880" s="715"/>
      <c r="U880" s="715"/>
    </row>
    <row r="881" spans="1:21" s="10" customFormat="1" ht="35.1" customHeight="1">
      <c r="A881" s="1241"/>
      <c r="B881" s="983"/>
      <c r="C881" s="982" t="s">
        <v>587</v>
      </c>
      <c r="D881" s="1018" t="s">
        <v>586</v>
      </c>
      <c r="E881" s="1019"/>
      <c r="F881" s="1020"/>
      <c r="G881" s="566" t="s">
        <v>584</v>
      </c>
      <c r="H881" s="566" t="s">
        <v>585</v>
      </c>
      <c r="I881" s="566"/>
      <c r="J881" s="687" t="s">
        <v>11</v>
      </c>
      <c r="K881" s="687" t="s">
        <v>12</v>
      </c>
      <c r="L881" s="198" t="s">
        <v>85</v>
      </c>
      <c r="M881" s="230">
        <v>82</v>
      </c>
      <c r="N881" s="119">
        <v>10</v>
      </c>
      <c r="O881" s="119">
        <v>11</v>
      </c>
      <c r="P881" s="1440" t="s">
        <v>427</v>
      </c>
      <c r="Q881" s="1440" t="s">
        <v>462</v>
      </c>
      <c r="R881" s="1440" t="s">
        <v>516</v>
      </c>
      <c r="S881" s="1440" t="s">
        <v>65</v>
      </c>
      <c r="T881" s="1440" t="s">
        <v>583</v>
      </c>
      <c r="U881" s="713"/>
    </row>
    <row r="882" spans="1:21" s="10" customFormat="1" ht="35.1" customHeight="1">
      <c r="A882" s="1241"/>
      <c r="B882" s="983"/>
      <c r="C882" s="983"/>
      <c r="D882" s="1021"/>
      <c r="E882" s="1022"/>
      <c r="F882" s="1023"/>
      <c r="G882" s="567"/>
      <c r="H882" s="567"/>
      <c r="I882" s="567"/>
      <c r="J882" s="688"/>
      <c r="K882" s="688"/>
      <c r="L882" s="198" t="s">
        <v>103</v>
      </c>
      <c r="M882" s="230">
        <v>10</v>
      </c>
      <c r="N882" s="119">
        <v>2</v>
      </c>
      <c r="O882" s="119">
        <v>2</v>
      </c>
      <c r="P882" s="1441"/>
      <c r="Q882" s="1441"/>
      <c r="R882" s="1441"/>
      <c r="S882" s="1441"/>
      <c r="T882" s="1441"/>
      <c r="U882" s="714"/>
    </row>
    <row r="883" spans="1:21" s="10" customFormat="1" ht="35.1" customHeight="1">
      <c r="A883" s="1241"/>
      <c r="B883" s="983"/>
      <c r="C883" s="983"/>
      <c r="D883" s="1021"/>
      <c r="E883" s="1022"/>
      <c r="F883" s="1023"/>
      <c r="G883" s="567"/>
      <c r="H883" s="567"/>
      <c r="I883" s="567"/>
      <c r="J883" s="688"/>
      <c r="K883" s="688"/>
      <c r="L883" s="198" t="s">
        <v>94</v>
      </c>
      <c r="M883" s="230">
        <v>44</v>
      </c>
      <c r="N883" s="119">
        <v>3</v>
      </c>
      <c r="O883" s="119">
        <v>2</v>
      </c>
      <c r="P883" s="1441"/>
      <c r="Q883" s="1441"/>
      <c r="R883" s="1441"/>
      <c r="S883" s="1441"/>
      <c r="T883" s="1441"/>
      <c r="U883" s="714"/>
    </row>
    <row r="884" spans="1:21" s="10" customFormat="1" ht="35.1" customHeight="1">
      <c r="A884" s="1241"/>
      <c r="B884" s="983"/>
      <c r="C884" s="983"/>
      <c r="D884" s="1021"/>
      <c r="E884" s="1022"/>
      <c r="F884" s="1023"/>
      <c r="G884" s="568"/>
      <c r="H884" s="568"/>
      <c r="I884" s="568"/>
      <c r="J884" s="689"/>
      <c r="K884" s="689"/>
      <c r="L884" s="198" t="s">
        <v>93</v>
      </c>
      <c r="M884" s="230">
        <v>97</v>
      </c>
      <c r="N884" s="119">
        <v>11</v>
      </c>
      <c r="O884" s="119">
        <v>10</v>
      </c>
      <c r="P884" s="1441"/>
      <c r="Q884" s="1441"/>
      <c r="R884" s="1441"/>
      <c r="S884" s="1441"/>
      <c r="T884" s="1441"/>
      <c r="U884" s="714"/>
    </row>
    <row r="885" spans="1:21" s="10" customFormat="1" ht="35.1" customHeight="1">
      <c r="A885" s="1241"/>
      <c r="B885" s="983"/>
      <c r="C885" s="984"/>
      <c r="D885" s="1024"/>
      <c r="E885" s="1025"/>
      <c r="F885" s="1026"/>
      <c r="G885" s="594" t="s">
        <v>329</v>
      </c>
      <c r="H885" s="595"/>
      <c r="I885" s="595"/>
      <c r="J885" s="595"/>
      <c r="K885" s="1083"/>
      <c r="L885" s="316"/>
      <c r="M885" s="313">
        <f>SUM(M881:M884)</f>
        <v>233</v>
      </c>
      <c r="N885" s="401">
        <f>SUM(N881:N884)</f>
        <v>26</v>
      </c>
      <c r="O885" s="401">
        <f>SUM(O881:O884)</f>
        <v>25</v>
      </c>
      <c r="P885" s="1442"/>
      <c r="Q885" s="1442"/>
      <c r="R885" s="1442"/>
      <c r="S885" s="1442"/>
      <c r="T885" s="1442"/>
      <c r="U885" s="715"/>
    </row>
    <row r="886" spans="1:21" s="10" customFormat="1" ht="35.1" customHeight="1">
      <c r="A886" s="1241"/>
      <c r="B886" s="983"/>
      <c r="C886" s="1623" t="s">
        <v>191</v>
      </c>
      <c r="D886" s="1018" t="s">
        <v>906</v>
      </c>
      <c r="E886" s="1019"/>
      <c r="F886" s="1020"/>
      <c r="G886" s="1437" t="s">
        <v>898</v>
      </c>
      <c r="H886" s="1437" t="s">
        <v>899</v>
      </c>
      <c r="I886" s="1581"/>
      <c r="J886" s="1437" t="s">
        <v>11</v>
      </c>
      <c r="K886" s="1437" t="s">
        <v>12</v>
      </c>
      <c r="L886" s="321">
        <v>72</v>
      </c>
      <c r="M886" s="317">
        <v>47</v>
      </c>
      <c r="N886" s="317">
        <v>37</v>
      </c>
      <c r="O886" s="317">
        <v>37</v>
      </c>
      <c r="P886" s="1425" t="s">
        <v>510</v>
      </c>
      <c r="Q886" s="1425" t="s">
        <v>903</v>
      </c>
      <c r="R886" s="1425" t="s">
        <v>904</v>
      </c>
      <c r="S886" s="1425" t="s">
        <v>13</v>
      </c>
      <c r="T886" s="1425" t="s">
        <v>905</v>
      </c>
      <c r="U886" s="713"/>
    </row>
    <row r="887" spans="1:21" s="10" customFormat="1" ht="35.1" customHeight="1">
      <c r="A887" s="1241"/>
      <c r="B887" s="983"/>
      <c r="C887" s="1624"/>
      <c r="D887" s="1021"/>
      <c r="E887" s="1022"/>
      <c r="F887" s="1023"/>
      <c r="G887" s="1438"/>
      <c r="H887" s="1438"/>
      <c r="I887" s="1582"/>
      <c r="J887" s="1438"/>
      <c r="K887" s="1438"/>
      <c r="L887" s="321">
        <v>74</v>
      </c>
      <c r="M887" s="317">
        <v>136</v>
      </c>
      <c r="N887" s="317">
        <v>76</v>
      </c>
      <c r="O887" s="317">
        <v>75</v>
      </c>
      <c r="P887" s="1426"/>
      <c r="Q887" s="1426"/>
      <c r="R887" s="1426"/>
      <c r="S887" s="1426"/>
      <c r="T887" s="1426"/>
      <c r="U887" s="714"/>
    </row>
    <row r="888" spans="1:21" s="10" customFormat="1" ht="35.1" customHeight="1">
      <c r="A888" s="1241"/>
      <c r="B888" s="983"/>
      <c r="C888" s="1624"/>
      <c r="D888" s="1021"/>
      <c r="E888" s="1022"/>
      <c r="F888" s="1023"/>
      <c r="G888" s="1438"/>
      <c r="H888" s="1438"/>
      <c r="I888" s="1582"/>
      <c r="J888" s="1438"/>
      <c r="K888" s="1438"/>
      <c r="L888" s="321" t="s">
        <v>84</v>
      </c>
      <c r="M888" s="317">
        <v>112</v>
      </c>
      <c r="N888" s="317">
        <v>33</v>
      </c>
      <c r="O888" s="317">
        <v>28</v>
      </c>
      <c r="P888" s="1426"/>
      <c r="Q888" s="1426"/>
      <c r="R888" s="1426"/>
      <c r="S888" s="1426"/>
      <c r="T888" s="1426"/>
      <c r="U888" s="714"/>
    </row>
    <row r="889" spans="1:21" s="10" customFormat="1" ht="35.1" customHeight="1">
      <c r="A889" s="1241"/>
      <c r="B889" s="983"/>
      <c r="C889" s="1624"/>
      <c r="D889" s="1021"/>
      <c r="E889" s="1022"/>
      <c r="F889" s="1023"/>
      <c r="G889" s="1438"/>
      <c r="H889" s="1438"/>
      <c r="I889" s="1582"/>
      <c r="J889" s="1438"/>
      <c r="K889" s="1438"/>
      <c r="L889" s="321" t="s">
        <v>83</v>
      </c>
      <c r="M889" s="317">
        <v>88</v>
      </c>
      <c r="N889" s="317">
        <v>19</v>
      </c>
      <c r="O889" s="317">
        <v>19</v>
      </c>
      <c r="P889" s="1426"/>
      <c r="Q889" s="1426"/>
      <c r="R889" s="1426"/>
      <c r="S889" s="1426"/>
      <c r="T889" s="1426"/>
      <c r="U889" s="714"/>
    </row>
    <row r="890" spans="1:21" s="10" customFormat="1" ht="35.1" customHeight="1">
      <c r="A890" s="1241"/>
      <c r="B890" s="983"/>
      <c r="C890" s="1624"/>
      <c r="D890" s="1021"/>
      <c r="E890" s="1022"/>
      <c r="F890" s="1023"/>
      <c r="G890" s="1438"/>
      <c r="H890" s="1438"/>
      <c r="I890" s="1582"/>
      <c r="J890" s="1438"/>
      <c r="K890" s="1438"/>
      <c r="L890" s="321" t="s">
        <v>82</v>
      </c>
      <c r="M890" s="317">
        <v>66</v>
      </c>
      <c r="N890" s="317">
        <v>24</v>
      </c>
      <c r="O890" s="317">
        <v>24</v>
      </c>
      <c r="P890" s="1426"/>
      <c r="Q890" s="1426"/>
      <c r="R890" s="1426"/>
      <c r="S890" s="1426"/>
      <c r="T890" s="1426"/>
      <c r="U890" s="714"/>
    </row>
    <row r="891" spans="1:21" s="10" customFormat="1" ht="35.1" customHeight="1">
      <c r="A891" s="1241"/>
      <c r="B891" s="983"/>
      <c r="C891" s="1624"/>
      <c r="D891" s="1021"/>
      <c r="E891" s="1022"/>
      <c r="F891" s="1023"/>
      <c r="G891" s="1438"/>
      <c r="H891" s="1438"/>
      <c r="I891" s="1582"/>
      <c r="J891" s="1438"/>
      <c r="K891" s="1438"/>
      <c r="L891" s="321" t="s">
        <v>900</v>
      </c>
      <c r="M891" s="317">
        <v>1</v>
      </c>
      <c r="N891" s="317">
        <v>1</v>
      </c>
      <c r="O891" s="317">
        <v>1</v>
      </c>
      <c r="P891" s="1426"/>
      <c r="Q891" s="1426"/>
      <c r="R891" s="1426"/>
      <c r="S891" s="1426"/>
      <c r="T891" s="1426"/>
      <c r="U891" s="714"/>
    </row>
    <row r="892" spans="1:21" s="10" customFormat="1" ht="35.1" customHeight="1">
      <c r="A892" s="1241"/>
      <c r="B892" s="983"/>
      <c r="C892" s="1624"/>
      <c r="D892" s="1021"/>
      <c r="E892" s="1022"/>
      <c r="F892" s="1023"/>
      <c r="G892" s="1438"/>
      <c r="H892" s="1438"/>
      <c r="I892" s="1582"/>
      <c r="J892" s="1438"/>
      <c r="K892" s="1438"/>
      <c r="L892" s="321" t="s">
        <v>901</v>
      </c>
      <c r="M892" s="317">
        <v>2</v>
      </c>
      <c r="N892" s="317">
        <v>0</v>
      </c>
      <c r="O892" s="317">
        <v>0</v>
      </c>
      <c r="P892" s="1426"/>
      <c r="Q892" s="1426"/>
      <c r="R892" s="1426"/>
      <c r="S892" s="1426"/>
      <c r="T892" s="1426"/>
      <c r="U892" s="714"/>
    </row>
    <row r="893" spans="1:21" s="10" customFormat="1" ht="35.1" customHeight="1">
      <c r="A893" s="1241"/>
      <c r="B893" s="983"/>
      <c r="C893" s="1624"/>
      <c r="D893" s="1021"/>
      <c r="E893" s="1022"/>
      <c r="F893" s="1023"/>
      <c r="G893" s="1439"/>
      <c r="H893" s="1439"/>
      <c r="I893" s="1583"/>
      <c r="J893" s="1439"/>
      <c r="K893" s="1439"/>
      <c r="L893" s="321" t="s">
        <v>902</v>
      </c>
      <c r="M893" s="317">
        <v>3</v>
      </c>
      <c r="N893" s="317">
        <v>3</v>
      </c>
      <c r="O893" s="317">
        <v>3</v>
      </c>
      <c r="P893" s="1426"/>
      <c r="Q893" s="1426"/>
      <c r="R893" s="1426"/>
      <c r="S893" s="1426"/>
      <c r="T893" s="1426"/>
      <c r="U893" s="714"/>
    </row>
    <row r="894" spans="1:21" s="10" customFormat="1" ht="35.1" customHeight="1">
      <c r="A894" s="1241"/>
      <c r="B894" s="983"/>
      <c r="C894" s="1625"/>
      <c r="D894" s="1024"/>
      <c r="E894" s="1025"/>
      <c r="F894" s="1026"/>
      <c r="G894" s="594" t="s">
        <v>329</v>
      </c>
      <c r="H894" s="595"/>
      <c r="I894" s="595"/>
      <c r="J894" s="595"/>
      <c r="K894" s="1083"/>
      <c r="L894" s="322"/>
      <c r="M894" s="323">
        <f>SUM(M886:M893)</f>
        <v>455</v>
      </c>
      <c r="N894" s="323">
        <f>SUM(N886:N893)</f>
        <v>193</v>
      </c>
      <c r="O894" s="323">
        <f>SUM(O886:O893)</f>
        <v>187</v>
      </c>
      <c r="P894" s="1427"/>
      <c r="Q894" s="1427"/>
      <c r="R894" s="1427"/>
      <c r="S894" s="1427"/>
      <c r="T894" s="1427"/>
      <c r="U894" s="715"/>
    </row>
    <row r="895" spans="1:21" s="10" customFormat="1" ht="35.1" customHeight="1">
      <c r="A895" s="1241"/>
      <c r="B895" s="983"/>
      <c r="C895" s="982" t="s">
        <v>191</v>
      </c>
      <c r="D895" s="570" t="s">
        <v>691</v>
      </c>
      <c r="E895" s="571"/>
      <c r="F895" s="572"/>
      <c r="G895" s="1436" t="s">
        <v>54</v>
      </c>
      <c r="H895" s="1436" t="s">
        <v>54</v>
      </c>
      <c r="I895" s="1436" t="s">
        <v>54</v>
      </c>
      <c r="J895" s="1620" t="s">
        <v>11</v>
      </c>
      <c r="K895" s="1620" t="s">
        <v>61</v>
      </c>
      <c r="L895" s="131" t="s">
        <v>192</v>
      </c>
      <c r="M895" s="267">
        <v>64</v>
      </c>
      <c r="N895" s="286">
        <v>0</v>
      </c>
      <c r="O895" s="286">
        <v>0</v>
      </c>
      <c r="P895" s="656" t="s">
        <v>414</v>
      </c>
      <c r="Q895" s="656" t="s">
        <v>422</v>
      </c>
      <c r="R895" s="656" t="s">
        <v>470</v>
      </c>
      <c r="S895" s="651" t="s">
        <v>188</v>
      </c>
      <c r="T895" s="1640" t="s">
        <v>54</v>
      </c>
      <c r="U895" s="713" t="s">
        <v>67</v>
      </c>
    </row>
    <row r="896" spans="1:21" s="10" customFormat="1" ht="35.1" customHeight="1">
      <c r="A896" s="1241"/>
      <c r="B896" s="983"/>
      <c r="C896" s="983"/>
      <c r="D896" s="573"/>
      <c r="E896" s="574"/>
      <c r="F896" s="575"/>
      <c r="G896" s="983"/>
      <c r="H896" s="983"/>
      <c r="I896" s="983"/>
      <c r="J896" s="1621"/>
      <c r="K896" s="1621"/>
      <c r="L896" s="131" t="s">
        <v>193</v>
      </c>
      <c r="M896" s="267">
        <v>20</v>
      </c>
      <c r="N896" s="287">
        <v>1</v>
      </c>
      <c r="O896" s="287">
        <v>1</v>
      </c>
      <c r="P896" s="657"/>
      <c r="Q896" s="657"/>
      <c r="R896" s="657"/>
      <c r="S896" s="652"/>
      <c r="T896" s="714"/>
      <c r="U896" s="714"/>
    </row>
    <row r="897" spans="1:1892" s="10" customFormat="1" ht="35.1" customHeight="1">
      <c r="A897" s="1241"/>
      <c r="B897" s="983"/>
      <c r="C897" s="983"/>
      <c r="D897" s="573"/>
      <c r="E897" s="574"/>
      <c r="F897" s="575"/>
      <c r="G897" s="983"/>
      <c r="H897" s="983"/>
      <c r="I897" s="983"/>
      <c r="J897" s="1621"/>
      <c r="K897" s="1621"/>
      <c r="L897" s="131" t="s">
        <v>194</v>
      </c>
      <c r="M897" s="267">
        <v>14</v>
      </c>
      <c r="N897" s="287">
        <v>0</v>
      </c>
      <c r="O897" s="287">
        <v>0</v>
      </c>
      <c r="P897" s="657"/>
      <c r="Q897" s="657"/>
      <c r="R897" s="657"/>
      <c r="S897" s="652"/>
      <c r="T897" s="714"/>
      <c r="U897" s="714"/>
    </row>
    <row r="898" spans="1:1892" s="10" customFormat="1" ht="35.1" customHeight="1">
      <c r="A898" s="1241"/>
      <c r="B898" s="983"/>
      <c r="C898" s="983"/>
      <c r="D898" s="573"/>
      <c r="E898" s="574"/>
      <c r="F898" s="575"/>
      <c r="G898" s="983"/>
      <c r="H898" s="983"/>
      <c r="I898" s="983"/>
      <c r="J898" s="1621"/>
      <c r="K898" s="1621"/>
      <c r="L898" s="131" t="s">
        <v>195</v>
      </c>
      <c r="M898" s="267">
        <v>191</v>
      </c>
      <c r="N898" s="287">
        <v>27</v>
      </c>
      <c r="O898" s="287">
        <v>27</v>
      </c>
      <c r="P898" s="657"/>
      <c r="Q898" s="657"/>
      <c r="R898" s="657"/>
      <c r="S898" s="652"/>
      <c r="T898" s="714"/>
      <c r="U898" s="714"/>
    </row>
    <row r="899" spans="1:1892" s="10" customFormat="1" ht="35.1" customHeight="1">
      <c r="A899" s="1241"/>
      <c r="B899" s="983"/>
      <c r="C899" s="983"/>
      <c r="D899" s="573"/>
      <c r="E899" s="574"/>
      <c r="F899" s="575"/>
      <c r="G899" s="983"/>
      <c r="H899" s="983"/>
      <c r="I899" s="983"/>
      <c r="J899" s="1621"/>
      <c r="K899" s="1621"/>
      <c r="L899" s="182" t="s">
        <v>196</v>
      </c>
      <c r="M899" s="267">
        <v>69</v>
      </c>
      <c r="N899" s="287">
        <v>28</v>
      </c>
      <c r="O899" s="287">
        <v>28</v>
      </c>
      <c r="P899" s="657"/>
      <c r="Q899" s="657"/>
      <c r="R899" s="657"/>
      <c r="S899" s="652"/>
      <c r="T899" s="714"/>
      <c r="U899" s="714"/>
    </row>
    <row r="900" spans="1:1892" s="10" customFormat="1" ht="35.1" customHeight="1">
      <c r="A900" s="1241"/>
      <c r="B900" s="983"/>
      <c r="C900" s="983"/>
      <c r="D900" s="573"/>
      <c r="E900" s="574"/>
      <c r="F900" s="575"/>
      <c r="G900" s="984"/>
      <c r="H900" s="984"/>
      <c r="I900" s="984"/>
      <c r="J900" s="1622"/>
      <c r="K900" s="1622"/>
      <c r="L900" s="182" t="s">
        <v>197</v>
      </c>
      <c r="M900" s="267">
        <v>48</v>
      </c>
      <c r="N900" s="287">
        <v>24</v>
      </c>
      <c r="O900" s="287">
        <v>24</v>
      </c>
      <c r="P900" s="657"/>
      <c r="Q900" s="657"/>
      <c r="R900" s="657"/>
      <c r="S900" s="652"/>
      <c r="T900" s="714"/>
      <c r="U900" s="714"/>
    </row>
    <row r="901" spans="1:1892" s="10" customFormat="1" ht="35.1" customHeight="1">
      <c r="A901" s="1241"/>
      <c r="B901" s="984"/>
      <c r="C901" s="984"/>
      <c r="D901" s="576"/>
      <c r="E901" s="577"/>
      <c r="F901" s="578"/>
      <c r="G901" s="594" t="s">
        <v>329</v>
      </c>
      <c r="H901" s="595"/>
      <c r="I901" s="595"/>
      <c r="J901" s="595"/>
      <c r="K901" s="1083"/>
      <c r="L901" s="183"/>
      <c r="M901" s="251">
        <f>SUM(M895:M900)</f>
        <v>406</v>
      </c>
      <c r="N901" s="396">
        <f>SUM(N895:N900)</f>
        <v>80</v>
      </c>
      <c r="O901" s="396">
        <f>SUM(O895:O900)</f>
        <v>80</v>
      </c>
      <c r="P901" s="658"/>
      <c r="Q901" s="658"/>
      <c r="R901" s="658"/>
      <c r="S901" s="653"/>
      <c r="T901" s="715"/>
      <c r="U901" s="715"/>
    </row>
    <row r="902" spans="1:1892" s="9" customFormat="1" ht="35.1" customHeight="1">
      <c r="A902" s="1241"/>
      <c r="B902" s="620" t="s">
        <v>105</v>
      </c>
      <c r="C902" s="621"/>
      <c r="D902" s="621"/>
      <c r="E902" s="621"/>
      <c r="F902" s="621"/>
      <c r="G902" s="621"/>
      <c r="H902" s="621"/>
      <c r="I902" s="621"/>
      <c r="J902" s="621"/>
      <c r="K902" s="622"/>
      <c r="L902" s="122"/>
      <c r="M902" s="250">
        <f>M880+M901+M885+M894</f>
        <v>1146</v>
      </c>
      <c r="N902" s="395">
        <f>N880+N901+N885+N894</f>
        <v>299</v>
      </c>
      <c r="O902" s="395">
        <f>O880+O901+O885+O894</f>
        <v>292</v>
      </c>
      <c r="P902" s="161"/>
      <c r="Q902" s="161"/>
      <c r="R902" s="161"/>
      <c r="S902" s="156"/>
      <c r="T902" s="156"/>
      <c r="U902" s="156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/>
      <c r="CE902" s="10"/>
      <c r="CF902" s="10"/>
      <c r="CG902" s="10"/>
      <c r="CH902" s="10"/>
      <c r="CI902" s="10"/>
      <c r="CJ902" s="10"/>
      <c r="CK902" s="10"/>
      <c r="CL902" s="10"/>
      <c r="CM902" s="10"/>
      <c r="CN902" s="10"/>
      <c r="CO902" s="10"/>
      <c r="CP902" s="10"/>
      <c r="CQ902" s="10"/>
      <c r="CR902" s="10"/>
      <c r="CS902" s="10"/>
      <c r="CT902" s="10"/>
      <c r="CU902" s="10"/>
      <c r="CV902" s="10"/>
      <c r="CW902" s="10"/>
      <c r="CX902" s="10"/>
      <c r="CY902" s="10"/>
      <c r="CZ902" s="10"/>
      <c r="DA902" s="10"/>
      <c r="DB902" s="10"/>
      <c r="DC902" s="10"/>
      <c r="DD902" s="10"/>
      <c r="DE902" s="10"/>
      <c r="DF902" s="10"/>
      <c r="DG902" s="10"/>
      <c r="DH902" s="10"/>
      <c r="DI902" s="10"/>
      <c r="DJ902" s="10"/>
      <c r="DK902" s="10"/>
      <c r="DL902" s="10"/>
      <c r="DM902" s="10"/>
      <c r="DN902" s="10"/>
      <c r="DO902" s="10"/>
      <c r="DP902" s="10"/>
      <c r="DQ902" s="10"/>
      <c r="DR902" s="10"/>
      <c r="DS902" s="10"/>
      <c r="DT902" s="10"/>
      <c r="DU902" s="10"/>
      <c r="DV902" s="10"/>
      <c r="DW902" s="10"/>
      <c r="DX902" s="10"/>
      <c r="DY902" s="10"/>
      <c r="DZ902" s="10"/>
      <c r="EA902" s="10"/>
      <c r="EB902" s="10"/>
      <c r="EC902" s="10"/>
      <c r="ED902" s="10"/>
      <c r="EE902" s="10"/>
      <c r="EF902" s="10"/>
      <c r="EG902" s="10"/>
      <c r="EH902" s="10"/>
      <c r="EI902" s="10"/>
      <c r="EJ902" s="10"/>
      <c r="EK902" s="10"/>
      <c r="EL902" s="10"/>
      <c r="EM902" s="10"/>
      <c r="EN902" s="10"/>
      <c r="EO902" s="10"/>
      <c r="EP902" s="10"/>
      <c r="EQ902" s="10"/>
      <c r="ER902" s="10"/>
      <c r="ES902" s="10"/>
      <c r="ET902" s="10"/>
      <c r="EU902" s="10"/>
      <c r="EV902" s="10"/>
      <c r="EW902" s="10"/>
      <c r="EX902" s="10"/>
      <c r="EY902" s="10"/>
      <c r="EZ902" s="10"/>
      <c r="FA902" s="10"/>
      <c r="FB902" s="10"/>
      <c r="FC902" s="10"/>
      <c r="FD902" s="10"/>
      <c r="FE902" s="10"/>
      <c r="FF902" s="10"/>
      <c r="FG902" s="10"/>
      <c r="FH902" s="10"/>
      <c r="FI902" s="10"/>
      <c r="FJ902" s="10"/>
      <c r="FK902" s="10"/>
      <c r="FL902" s="10"/>
      <c r="FM902" s="10"/>
      <c r="FN902" s="10"/>
      <c r="FO902" s="10"/>
      <c r="FP902" s="10"/>
      <c r="FQ902" s="10"/>
      <c r="FR902" s="10"/>
      <c r="FS902" s="10"/>
      <c r="FT902" s="10"/>
      <c r="FU902" s="10"/>
      <c r="FV902" s="10"/>
      <c r="FW902" s="10"/>
      <c r="FX902" s="10"/>
      <c r="FY902" s="10"/>
      <c r="FZ902" s="10"/>
      <c r="GA902" s="10"/>
      <c r="GB902" s="10"/>
      <c r="GC902" s="10"/>
      <c r="GD902" s="10"/>
      <c r="GE902" s="10"/>
      <c r="GF902" s="10"/>
      <c r="GG902" s="10"/>
      <c r="GH902" s="10"/>
      <c r="GI902" s="10"/>
      <c r="GJ902" s="10"/>
      <c r="GK902" s="10"/>
      <c r="GL902" s="10"/>
      <c r="GM902" s="10"/>
      <c r="GN902" s="10"/>
      <c r="GO902" s="10"/>
      <c r="GP902" s="10"/>
      <c r="GQ902" s="10"/>
      <c r="GR902" s="10"/>
      <c r="GS902" s="10"/>
      <c r="GT902" s="10"/>
      <c r="GU902" s="10"/>
      <c r="GV902" s="10"/>
      <c r="GW902" s="10"/>
      <c r="GX902" s="10"/>
      <c r="GY902" s="10"/>
      <c r="GZ902" s="10"/>
      <c r="HA902" s="10"/>
      <c r="HB902" s="10"/>
      <c r="HC902" s="10"/>
      <c r="HD902" s="10"/>
      <c r="HE902" s="10"/>
      <c r="HF902" s="10"/>
      <c r="HG902" s="10"/>
      <c r="HH902" s="10"/>
      <c r="HI902" s="10"/>
      <c r="HJ902" s="10"/>
      <c r="HK902" s="10"/>
      <c r="HL902" s="10"/>
      <c r="HM902" s="10"/>
      <c r="HN902" s="10"/>
      <c r="HO902" s="10"/>
      <c r="HP902" s="10"/>
      <c r="HQ902" s="10"/>
      <c r="HR902" s="10"/>
      <c r="HS902" s="10"/>
      <c r="HT902" s="10"/>
      <c r="HU902" s="10"/>
      <c r="HV902" s="10"/>
      <c r="HW902" s="10"/>
      <c r="HX902" s="10"/>
      <c r="HY902" s="10"/>
      <c r="HZ902" s="10"/>
      <c r="IA902" s="10"/>
      <c r="IB902" s="10"/>
      <c r="IC902" s="10"/>
      <c r="ID902" s="10"/>
      <c r="IE902" s="10"/>
      <c r="IF902" s="10"/>
      <c r="IG902" s="10"/>
      <c r="IH902" s="10"/>
      <c r="II902" s="10"/>
      <c r="IJ902" s="10"/>
      <c r="IK902" s="10"/>
      <c r="IL902" s="10"/>
      <c r="IM902" s="10"/>
      <c r="IN902" s="10"/>
      <c r="IO902" s="10"/>
      <c r="IP902" s="10"/>
      <c r="IQ902" s="10"/>
      <c r="IR902" s="10"/>
      <c r="IS902" s="10"/>
      <c r="IT902" s="10"/>
      <c r="IU902" s="10"/>
      <c r="IV902" s="10"/>
      <c r="IW902" s="10"/>
      <c r="IX902" s="10"/>
      <c r="IY902" s="10"/>
      <c r="IZ902" s="10"/>
      <c r="JA902" s="10"/>
      <c r="JB902" s="10"/>
      <c r="JC902" s="10"/>
      <c r="JD902" s="10"/>
      <c r="JE902" s="10"/>
      <c r="JF902" s="10"/>
      <c r="JG902" s="10"/>
      <c r="JH902" s="10"/>
      <c r="JI902" s="10"/>
      <c r="JJ902" s="10"/>
      <c r="JK902" s="10"/>
      <c r="JL902" s="10"/>
      <c r="JM902" s="10"/>
      <c r="JN902" s="10"/>
      <c r="JO902" s="10"/>
      <c r="JP902" s="10"/>
      <c r="JQ902" s="10"/>
      <c r="JR902" s="10"/>
      <c r="JS902" s="10"/>
      <c r="JT902" s="10"/>
      <c r="JU902" s="10"/>
      <c r="JV902" s="10"/>
      <c r="JW902" s="10"/>
      <c r="JX902" s="10"/>
      <c r="JY902" s="10"/>
      <c r="JZ902" s="10"/>
      <c r="KA902" s="10"/>
      <c r="KB902" s="10"/>
      <c r="KC902" s="10"/>
      <c r="KD902" s="10"/>
      <c r="KE902" s="10"/>
      <c r="KF902" s="10"/>
      <c r="KG902" s="10"/>
      <c r="KH902" s="10"/>
      <c r="KI902" s="10"/>
      <c r="KJ902" s="10"/>
      <c r="KK902" s="10"/>
      <c r="KL902" s="10"/>
      <c r="KM902" s="10"/>
      <c r="KN902" s="10"/>
      <c r="KO902" s="10"/>
      <c r="KP902" s="10"/>
      <c r="KQ902" s="10"/>
      <c r="KR902" s="10"/>
      <c r="KS902" s="10"/>
      <c r="KT902" s="10"/>
      <c r="KU902" s="10"/>
      <c r="KV902" s="10"/>
      <c r="KW902" s="10"/>
      <c r="KX902" s="10"/>
      <c r="KY902" s="10"/>
      <c r="KZ902" s="10"/>
      <c r="LA902" s="10"/>
      <c r="LB902" s="10"/>
      <c r="LC902" s="10"/>
      <c r="LD902" s="10"/>
      <c r="LE902" s="10"/>
      <c r="LF902" s="10"/>
      <c r="LG902" s="10"/>
      <c r="LH902" s="10"/>
      <c r="LI902" s="10"/>
      <c r="LJ902" s="10"/>
      <c r="LK902" s="10"/>
      <c r="LL902" s="10"/>
      <c r="LM902" s="10"/>
      <c r="LN902" s="10"/>
      <c r="LO902" s="10"/>
      <c r="LP902" s="10"/>
      <c r="LQ902" s="10"/>
      <c r="LR902" s="10"/>
      <c r="LS902" s="10"/>
      <c r="LT902" s="10"/>
      <c r="LU902" s="10"/>
      <c r="LV902" s="10"/>
      <c r="LW902" s="10"/>
      <c r="LX902" s="10"/>
      <c r="LY902" s="10"/>
      <c r="LZ902" s="10"/>
      <c r="MA902" s="10"/>
      <c r="MB902" s="10"/>
      <c r="MC902" s="10"/>
      <c r="MD902" s="10"/>
      <c r="ME902" s="10"/>
      <c r="MF902" s="10"/>
      <c r="MG902" s="10"/>
      <c r="MH902" s="10"/>
      <c r="MI902" s="10"/>
      <c r="MJ902" s="10"/>
      <c r="MK902" s="10"/>
      <c r="ML902" s="10"/>
      <c r="MM902" s="10"/>
      <c r="MN902" s="10"/>
      <c r="MO902" s="10"/>
      <c r="MP902" s="10"/>
      <c r="MQ902" s="10"/>
      <c r="MR902" s="10"/>
      <c r="MS902" s="10"/>
      <c r="MT902" s="10"/>
      <c r="MU902" s="10"/>
      <c r="MV902" s="10"/>
      <c r="MW902" s="10"/>
      <c r="MX902" s="10"/>
      <c r="MY902" s="10"/>
      <c r="MZ902" s="10"/>
      <c r="NA902" s="10"/>
      <c r="NB902" s="10"/>
      <c r="NC902" s="10"/>
      <c r="ND902" s="10"/>
      <c r="NE902" s="10"/>
      <c r="NF902" s="10"/>
      <c r="NG902" s="10"/>
      <c r="NH902" s="10"/>
      <c r="NI902" s="10"/>
      <c r="NJ902" s="10"/>
      <c r="NK902" s="10"/>
      <c r="NL902" s="10"/>
      <c r="NM902" s="10"/>
      <c r="NN902" s="10"/>
      <c r="NO902" s="10"/>
      <c r="NP902" s="10"/>
      <c r="NQ902" s="10"/>
      <c r="NR902" s="10"/>
      <c r="NS902" s="10"/>
      <c r="NT902" s="10"/>
      <c r="NU902" s="10"/>
      <c r="NV902" s="10"/>
      <c r="NW902" s="10"/>
      <c r="NX902" s="10"/>
      <c r="NY902" s="10"/>
      <c r="NZ902" s="10"/>
      <c r="OA902" s="10"/>
      <c r="OB902" s="10"/>
      <c r="OC902" s="10"/>
      <c r="OD902" s="10"/>
      <c r="OE902" s="10"/>
      <c r="OF902" s="10"/>
      <c r="OG902" s="10"/>
      <c r="OH902" s="10"/>
      <c r="OI902" s="10"/>
      <c r="OJ902" s="10"/>
      <c r="OK902" s="10"/>
      <c r="OL902" s="10"/>
      <c r="OM902" s="10"/>
      <c r="ON902" s="10"/>
      <c r="OO902" s="10"/>
      <c r="OP902" s="10"/>
      <c r="OQ902" s="10"/>
      <c r="OR902" s="10"/>
      <c r="OS902" s="10"/>
      <c r="OT902" s="10"/>
      <c r="OU902" s="10"/>
      <c r="OV902" s="10"/>
      <c r="OW902" s="10"/>
      <c r="OX902" s="10"/>
      <c r="OY902" s="10"/>
      <c r="OZ902" s="10"/>
      <c r="PA902" s="10"/>
      <c r="PB902" s="10"/>
      <c r="PC902" s="10"/>
      <c r="PD902" s="10"/>
      <c r="PE902" s="10"/>
      <c r="PF902" s="10"/>
      <c r="PG902" s="10"/>
      <c r="PH902" s="10"/>
      <c r="PI902" s="10"/>
      <c r="PJ902" s="10"/>
      <c r="PK902" s="10"/>
      <c r="PL902" s="10"/>
      <c r="PM902" s="10"/>
      <c r="PN902" s="10"/>
      <c r="PO902" s="10"/>
      <c r="PP902" s="10"/>
      <c r="PQ902" s="10"/>
      <c r="PR902" s="10"/>
      <c r="PS902" s="10"/>
      <c r="PT902" s="10"/>
      <c r="PU902" s="10"/>
      <c r="PV902" s="10"/>
      <c r="PW902" s="10"/>
      <c r="PX902" s="10"/>
      <c r="PY902" s="10"/>
      <c r="PZ902" s="10"/>
      <c r="QA902" s="10"/>
      <c r="QB902" s="10"/>
      <c r="QC902" s="10"/>
      <c r="QD902" s="10"/>
      <c r="QE902" s="10"/>
      <c r="QF902" s="10"/>
      <c r="QG902" s="10"/>
      <c r="QH902" s="10"/>
      <c r="QI902" s="10"/>
      <c r="QJ902" s="10"/>
      <c r="QK902" s="10"/>
      <c r="QL902" s="10"/>
      <c r="QM902" s="10"/>
      <c r="QN902" s="10"/>
      <c r="QO902" s="10"/>
      <c r="QP902" s="10"/>
      <c r="QQ902" s="10"/>
      <c r="QR902" s="10"/>
      <c r="QS902" s="10"/>
      <c r="QT902" s="10"/>
      <c r="QU902" s="10"/>
      <c r="QV902" s="10"/>
      <c r="QW902" s="10"/>
      <c r="QX902" s="10"/>
      <c r="QY902" s="10"/>
      <c r="QZ902" s="10"/>
      <c r="RA902" s="10"/>
      <c r="RB902" s="10"/>
      <c r="RC902" s="10"/>
      <c r="RD902" s="10"/>
      <c r="RE902" s="10"/>
      <c r="RF902" s="10"/>
      <c r="RG902" s="10"/>
      <c r="RH902" s="10"/>
      <c r="RI902" s="10"/>
      <c r="RJ902" s="10"/>
      <c r="RK902" s="10"/>
      <c r="RL902" s="10"/>
      <c r="RM902" s="10"/>
      <c r="RN902" s="10"/>
      <c r="RO902" s="10"/>
      <c r="RP902" s="10"/>
      <c r="RQ902" s="10"/>
      <c r="RR902" s="10"/>
      <c r="RS902" s="10"/>
      <c r="RT902" s="10"/>
      <c r="RU902" s="10"/>
      <c r="RV902" s="10"/>
      <c r="RW902" s="10"/>
      <c r="RX902" s="10"/>
      <c r="RY902" s="10"/>
      <c r="RZ902" s="10"/>
      <c r="SA902" s="10"/>
      <c r="SB902" s="10"/>
      <c r="SC902" s="10"/>
      <c r="SD902" s="10"/>
      <c r="SE902" s="10"/>
      <c r="SF902" s="10"/>
      <c r="SG902" s="10"/>
      <c r="SH902" s="10"/>
      <c r="SI902" s="10"/>
      <c r="SJ902" s="10"/>
      <c r="SK902" s="10"/>
      <c r="SL902" s="10"/>
      <c r="SM902" s="10"/>
      <c r="SN902" s="10"/>
      <c r="SO902" s="10"/>
      <c r="SP902" s="10"/>
      <c r="SQ902" s="10"/>
      <c r="SR902" s="10"/>
      <c r="SS902" s="10"/>
      <c r="ST902" s="10"/>
      <c r="SU902" s="10"/>
      <c r="SV902" s="10"/>
      <c r="SW902" s="10"/>
      <c r="SX902" s="10"/>
      <c r="SY902" s="10"/>
      <c r="SZ902" s="10"/>
      <c r="TA902" s="10"/>
      <c r="TB902" s="10"/>
      <c r="TC902" s="10"/>
      <c r="TD902" s="10"/>
      <c r="TE902" s="10"/>
      <c r="TF902" s="10"/>
      <c r="TG902" s="10"/>
      <c r="TH902" s="10"/>
      <c r="TI902" s="10"/>
      <c r="TJ902" s="10"/>
      <c r="TK902" s="10"/>
      <c r="TL902" s="10"/>
      <c r="TM902" s="10"/>
      <c r="TN902" s="10"/>
      <c r="TO902" s="10"/>
      <c r="TP902" s="10"/>
      <c r="TQ902" s="10"/>
      <c r="TR902" s="10"/>
      <c r="TS902" s="10"/>
      <c r="TT902" s="10"/>
      <c r="TU902" s="10"/>
      <c r="TV902" s="10"/>
      <c r="TW902" s="10"/>
      <c r="TX902" s="10"/>
      <c r="TY902" s="10"/>
      <c r="TZ902" s="10"/>
      <c r="UA902" s="10"/>
      <c r="UB902" s="10"/>
      <c r="UC902" s="10"/>
      <c r="UD902" s="10"/>
      <c r="UE902" s="10"/>
      <c r="UF902" s="10"/>
      <c r="UG902" s="10"/>
      <c r="UH902" s="10"/>
      <c r="UI902" s="10"/>
      <c r="UJ902" s="10"/>
      <c r="UK902" s="10"/>
      <c r="UL902" s="10"/>
      <c r="UM902" s="10"/>
      <c r="UN902" s="10"/>
      <c r="UO902" s="10"/>
      <c r="UP902" s="10"/>
      <c r="UQ902" s="10"/>
      <c r="UR902" s="10"/>
      <c r="US902" s="10"/>
      <c r="UT902" s="10"/>
      <c r="UU902" s="10"/>
      <c r="UV902" s="10"/>
      <c r="UW902" s="10"/>
      <c r="UX902" s="10"/>
      <c r="UY902" s="10"/>
      <c r="UZ902" s="10"/>
      <c r="VA902" s="10"/>
      <c r="VB902" s="10"/>
      <c r="VC902" s="10"/>
      <c r="VD902" s="10"/>
      <c r="VE902" s="10"/>
      <c r="VF902" s="10"/>
      <c r="VG902" s="10"/>
      <c r="VH902" s="10"/>
      <c r="VI902" s="10"/>
      <c r="VJ902" s="10"/>
      <c r="VK902" s="10"/>
      <c r="VL902" s="10"/>
      <c r="VM902" s="10"/>
      <c r="VN902" s="10"/>
      <c r="VO902" s="10"/>
      <c r="VP902" s="10"/>
      <c r="VQ902" s="10"/>
      <c r="VR902" s="10"/>
      <c r="VS902" s="10"/>
      <c r="VT902" s="10"/>
      <c r="VU902" s="10"/>
      <c r="VV902" s="10"/>
      <c r="VW902" s="10"/>
      <c r="VX902" s="10"/>
      <c r="VY902" s="10"/>
      <c r="VZ902" s="10"/>
      <c r="WA902" s="10"/>
      <c r="WB902" s="10"/>
      <c r="WC902" s="10"/>
      <c r="WD902" s="10"/>
      <c r="WE902" s="10"/>
      <c r="WF902" s="10"/>
      <c r="WG902" s="10"/>
      <c r="WH902" s="10"/>
      <c r="WI902" s="10"/>
      <c r="WJ902" s="10"/>
      <c r="WK902" s="10"/>
      <c r="WL902" s="10"/>
      <c r="WM902" s="10"/>
      <c r="WN902" s="10"/>
      <c r="WO902" s="10"/>
      <c r="WP902" s="10"/>
      <c r="WQ902" s="10"/>
      <c r="WR902" s="10"/>
      <c r="WS902" s="10"/>
      <c r="WT902" s="10"/>
      <c r="WU902" s="10"/>
      <c r="WV902" s="10"/>
      <c r="WW902" s="10"/>
      <c r="WX902" s="10"/>
      <c r="WY902" s="10"/>
      <c r="WZ902" s="10"/>
      <c r="XA902" s="10"/>
      <c r="XB902" s="10"/>
      <c r="XC902" s="10"/>
      <c r="XD902" s="10"/>
      <c r="XE902" s="10"/>
      <c r="XF902" s="10"/>
      <c r="XG902" s="10"/>
      <c r="XH902" s="10"/>
      <c r="XI902" s="10"/>
      <c r="XJ902" s="10"/>
      <c r="XK902" s="10"/>
      <c r="XL902" s="10"/>
      <c r="XM902" s="10"/>
      <c r="XN902" s="10"/>
      <c r="XO902" s="10"/>
      <c r="XP902" s="10"/>
      <c r="XQ902" s="10"/>
      <c r="XR902" s="10"/>
      <c r="XS902" s="10"/>
      <c r="XT902" s="10"/>
      <c r="XU902" s="10"/>
      <c r="XV902" s="10"/>
      <c r="XW902" s="10"/>
      <c r="XX902" s="10"/>
      <c r="XY902" s="10"/>
      <c r="XZ902" s="10"/>
      <c r="YA902" s="10"/>
      <c r="YB902" s="10"/>
      <c r="YC902" s="10"/>
      <c r="YD902" s="10"/>
      <c r="YE902" s="10"/>
      <c r="YF902" s="10"/>
      <c r="YG902" s="10"/>
      <c r="YH902" s="10"/>
      <c r="YI902" s="10"/>
      <c r="YJ902" s="10"/>
      <c r="YK902" s="10"/>
      <c r="YL902" s="10"/>
      <c r="YM902" s="10"/>
      <c r="YN902" s="10"/>
      <c r="YO902" s="10"/>
      <c r="YP902" s="10"/>
      <c r="YQ902" s="10"/>
      <c r="YR902" s="10"/>
      <c r="YS902" s="10"/>
      <c r="YT902" s="10"/>
      <c r="YU902" s="10"/>
      <c r="YV902" s="10"/>
      <c r="YW902" s="10"/>
      <c r="YX902" s="10"/>
      <c r="YY902" s="10"/>
      <c r="YZ902" s="10"/>
      <c r="ZA902" s="10"/>
      <c r="ZB902" s="10"/>
      <c r="ZC902" s="10"/>
      <c r="ZD902" s="10"/>
      <c r="ZE902" s="10"/>
      <c r="ZF902" s="10"/>
      <c r="ZG902" s="10"/>
      <c r="ZH902" s="10"/>
      <c r="ZI902" s="10"/>
      <c r="ZJ902" s="10"/>
      <c r="ZK902" s="10"/>
      <c r="ZL902" s="10"/>
      <c r="ZM902" s="10"/>
      <c r="ZN902" s="10"/>
      <c r="ZO902" s="10"/>
      <c r="ZP902" s="10"/>
      <c r="ZQ902" s="10"/>
      <c r="ZR902" s="10"/>
      <c r="ZS902" s="10"/>
      <c r="ZT902" s="10"/>
      <c r="ZU902" s="10"/>
      <c r="ZV902" s="10"/>
      <c r="ZW902" s="10"/>
      <c r="ZX902" s="10"/>
      <c r="ZY902" s="10"/>
      <c r="ZZ902" s="10"/>
      <c r="AAA902" s="10"/>
      <c r="AAB902" s="10"/>
      <c r="AAC902" s="10"/>
      <c r="AAD902" s="10"/>
      <c r="AAE902" s="10"/>
      <c r="AAF902" s="10"/>
      <c r="AAG902" s="10"/>
      <c r="AAH902" s="10"/>
      <c r="AAI902" s="10"/>
      <c r="AAJ902" s="10"/>
      <c r="AAK902" s="10"/>
      <c r="AAL902" s="10"/>
      <c r="AAM902" s="10"/>
      <c r="AAN902" s="10"/>
      <c r="AAO902" s="10"/>
      <c r="AAP902" s="10"/>
      <c r="AAQ902" s="10"/>
      <c r="AAR902" s="10"/>
      <c r="AAS902" s="10"/>
      <c r="AAT902" s="10"/>
      <c r="AAU902" s="10"/>
      <c r="AAV902" s="10"/>
      <c r="AAW902" s="10"/>
      <c r="AAX902" s="10"/>
      <c r="AAY902" s="10"/>
      <c r="AAZ902" s="10"/>
      <c r="ABA902" s="10"/>
      <c r="ABB902" s="10"/>
      <c r="ABC902" s="10"/>
      <c r="ABD902" s="10"/>
      <c r="ABE902" s="10"/>
      <c r="ABF902" s="10"/>
      <c r="ABG902" s="10"/>
      <c r="ABH902" s="10"/>
      <c r="ABI902" s="10"/>
      <c r="ABJ902" s="10"/>
      <c r="ABK902" s="10"/>
      <c r="ABL902" s="10"/>
      <c r="ABM902" s="10"/>
      <c r="ABN902" s="10"/>
      <c r="ABO902" s="10"/>
      <c r="ABP902" s="10"/>
      <c r="ABQ902" s="10"/>
      <c r="ABR902" s="10"/>
      <c r="ABS902" s="10"/>
      <c r="ABT902" s="10"/>
      <c r="ABU902" s="10"/>
      <c r="ABV902" s="10"/>
      <c r="ABW902" s="10"/>
      <c r="ABX902" s="10"/>
      <c r="ABY902" s="10"/>
      <c r="ABZ902" s="10"/>
      <c r="ACA902" s="10"/>
      <c r="ACB902" s="10"/>
      <c r="ACC902" s="10"/>
      <c r="ACD902" s="10"/>
      <c r="ACE902" s="10"/>
      <c r="ACF902" s="10"/>
      <c r="ACG902" s="10"/>
      <c r="ACH902" s="10"/>
      <c r="ACI902" s="10"/>
      <c r="ACJ902" s="10"/>
      <c r="ACK902" s="10"/>
      <c r="ACL902" s="10"/>
      <c r="ACM902" s="10"/>
      <c r="ACN902" s="10"/>
      <c r="ACO902" s="10"/>
      <c r="ACP902" s="10"/>
      <c r="ACQ902" s="10"/>
      <c r="ACR902" s="10"/>
      <c r="ACS902" s="10"/>
      <c r="ACT902" s="10"/>
      <c r="ACU902" s="10"/>
      <c r="ACV902" s="10"/>
      <c r="ACW902" s="10"/>
      <c r="ACX902" s="10"/>
      <c r="ACY902" s="10"/>
      <c r="ACZ902" s="10"/>
      <c r="ADA902" s="10"/>
      <c r="ADB902" s="10"/>
      <c r="ADC902" s="10"/>
      <c r="ADD902" s="10"/>
      <c r="ADE902" s="10"/>
      <c r="ADF902" s="10"/>
      <c r="ADG902" s="10"/>
      <c r="ADH902" s="10"/>
      <c r="ADI902" s="10"/>
      <c r="ADJ902" s="10"/>
      <c r="ADK902" s="10"/>
      <c r="ADL902" s="10"/>
      <c r="ADM902" s="10"/>
      <c r="ADN902" s="10"/>
      <c r="ADO902" s="10"/>
      <c r="ADP902" s="10"/>
      <c r="ADQ902" s="10"/>
      <c r="ADR902" s="10"/>
      <c r="ADS902" s="10"/>
      <c r="ADT902" s="10"/>
      <c r="ADU902" s="10"/>
      <c r="ADV902" s="10"/>
      <c r="ADW902" s="10"/>
      <c r="ADX902" s="10"/>
      <c r="ADY902" s="10"/>
      <c r="ADZ902" s="10"/>
      <c r="AEA902" s="10"/>
      <c r="AEB902" s="10"/>
      <c r="AEC902" s="10"/>
      <c r="AED902" s="10"/>
      <c r="AEE902" s="10"/>
      <c r="AEF902" s="10"/>
      <c r="AEG902" s="10"/>
      <c r="AEH902" s="10"/>
      <c r="AEI902" s="10"/>
      <c r="AEJ902" s="10"/>
      <c r="AEK902" s="10"/>
      <c r="AEL902" s="10"/>
      <c r="AEM902" s="10"/>
      <c r="AEN902" s="10"/>
      <c r="AEO902" s="10"/>
      <c r="AEP902" s="10"/>
      <c r="AEQ902" s="10"/>
      <c r="AER902" s="10"/>
      <c r="AES902" s="10"/>
      <c r="AET902" s="10"/>
      <c r="AEU902" s="10"/>
      <c r="AEV902" s="10"/>
      <c r="AEW902" s="10"/>
      <c r="AEX902" s="10"/>
      <c r="AEY902" s="10"/>
      <c r="AEZ902" s="10"/>
      <c r="AFA902" s="10"/>
      <c r="AFB902" s="10"/>
      <c r="AFC902" s="10"/>
      <c r="AFD902" s="10"/>
      <c r="AFE902" s="10"/>
      <c r="AFF902" s="10"/>
      <c r="AFG902" s="10"/>
      <c r="AFH902" s="10"/>
      <c r="AFI902" s="10"/>
      <c r="AFJ902" s="10"/>
      <c r="AFK902" s="10"/>
      <c r="AFL902" s="10"/>
      <c r="AFM902" s="10"/>
      <c r="AFN902" s="10"/>
      <c r="AFO902" s="10"/>
      <c r="AFP902" s="10"/>
      <c r="AFQ902" s="10"/>
      <c r="AFR902" s="10"/>
      <c r="AFS902" s="10"/>
      <c r="AFT902" s="10"/>
      <c r="AFU902" s="10"/>
      <c r="AFV902" s="10"/>
      <c r="AFW902" s="10"/>
      <c r="AFX902" s="10"/>
      <c r="AFY902" s="10"/>
      <c r="AFZ902" s="10"/>
      <c r="AGA902" s="10"/>
      <c r="AGB902" s="10"/>
      <c r="AGC902" s="10"/>
      <c r="AGD902" s="10"/>
      <c r="AGE902" s="10"/>
      <c r="AGF902" s="10"/>
      <c r="AGG902" s="10"/>
      <c r="AGH902" s="10"/>
      <c r="AGI902" s="10"/>
      <c r="AGJ902" s="10"/>
      <c r="AGK902" s="10"/>
      <c r="AGL902" s="10"/>
      <c r="AGM902" s="10"/>
      <c r="AGN902" s="10"/>
      <c r="AGO902" s="10"/>
      <c r="AGP902" s="10"/>
      <c r="AGQ902" s="10"/>
      <c r="AGR902" s="10"/>
      <c r="AGS902" s="10"/>
      <c r="AGT902" s="10"/>
      <c r="AGU902" s="10"/>
      <c r="AGV902" s="10"/>
      <c r="AGW902" s="10"/>
      <c r="AGX902" s="10"/>
      <c r="AGY902" s="10"/>
      <c r="AGZ902" s="10"/>
      <c r="AHA902" s="10"/>
      <c r="AHB902" s="10"/>
      <c r="AHC902" s="10"/>
      <c r="AHD902" s="10"/>
      <c r="AHE902" s="10"/>
      <c r="AHF902" s="10"/>
      <c r="AHG902" s="10"/>
      <c r="AHH902" s="10"/>
      <c r="AHI902" s="10"/>
      <c r="AHJ902" s="10"/>
      <c r="AHK902" s="10"/>
      <c r="AHL902" s="10"/>
      <c r="AHM902" s="10"/>
      <c r="AHN902" s="10"/>
      <c r="AHO902" s="10"/>
      <c r="AHP902" s="10"/>
      <c r="AHQ902" s="10"/>
      <c r="AHR902" s="10"/>
      <c r="AHS902" s="10"/>
      <c r="AHT902" s="10"/>
      <c r="AHU902" s="10"/>
      <c r="AHV902" s="10"/>
      <c r="AHW902" s="10"/>
      <c r="AHX902" s="10"/>
      <c r="AHY902" s="10"/>
      <c r="AHZ902" s="10"/>
      <c r="AIA902" s="10"/>
      <c r="AIB902" s="10"/>
      <c r="AIC902" s="10"/>
      <c r="AID902" s="10"/>
      <c r="AIE902" s="10"/>
      <c r="AIF902" s="10"/>
      <c r="AIG902" s="10"/>
      <c r="AIH902" s="10"/>
      <c r="AII902" s="10"/>
      <c r="AIJ902" s="10"/>
      <c r="AIK902" s="10"/>
      <c r="AIL902" s="10"/>
      <c r="AIM902" s="10"/>
      <c r="AIN902" s="10"/>
      <c r="AIO902" s="10"/>
      <c r="AIP902" s="10"/>
      <c r="AIQ902" s="10"/>
      <c r="AIR902" s="10"/>
      <c r="AIS902" s="10"/>
      <c r="AIT902" s="10"/>
      <c r="AIU902" s="10"/>
      <c r="AIV902" s="10"/>
      <c r="AIW902" s="10"/>
      <c r="AIX902" s="10"/>
      <c r="AIY902" s="10"/>
      <c r="AIZ902" s="10"/>
      <c r="AJA902" s="10"/>
      <c r="AJB902" s="10"/>
      <c r="AJC902" s="10"/>
      <c r="AJD902" s="10"/>
      <c r="AJE902" s="10"/>
      <c r="AJF902" s="10"/>
      <c r="AJG902" s="10"/>
      <c r="AJH902" s="10"/>
      <c r="AJI902" s="10"/>
      <c r="AJJ902" s="10"/>
      <c r="AJK902" s="10"/>
      <c r="AJL902" s="10"/>
      <c r="AJM902" s="10"/>
      <c r="AJN902" s="10"/>
      <c r="AJO902" s="10"/>
      <c r="AJP902" s="10"/>
      <c r="AJQ902" s="10"/>
      <c r="AJR902" s="10"/>
      <c r="AJS902" s="10"/>
      <c r="AJT902" s="10"/>
      <c r="AJU902" s="10"/>
      <c r="AJV902" s="10"/>
      <c r="AJW902" s="10"/>
      <c r="AJX902" s="10"/>
      <c r="AJY902" s="10"/>
      <c r="AJZ902" s="10"/>
      <c r="AKA902" s="10"/>
      <c r="AKB902" s="10"/>
      <c r="AKC902" s="10"/>
      <c r="AKD902" s="10"/>
      <c r="AKE902" s="10"/>
      <c r="AKF902" s="10"/>
      <c r="AKG902" s="10"/>
      <c r="AKH902" s="10"/>
      <c r="AKI902" s="10"/>
      <c r="AKJ902" s="10"/>
      <c r="AKK902" s="10"/>
      <c r="AKL902" s="10"/>
      <c r="AKM902" s="10"/>
      <c r="AKN902" s="10"/>
      <c r="AKO902" s="10"/>
      <c r="AKP902" s="10"/>
      <c r="AKQ902" s="10"/>
      <c r="AKR902" s="10"/>
      <c r="AKS902" s="10"/>
      <c r="AKT902" s="10"/>
      <c r="AKU902" s="10"/>
      <c r="AKV902" s="10"/>
      <c r="AKW902" s="10"/>
      <c r="AKX902" s="10"/>
      <c r="AKY902" s="10"/>
      <c r="AKZ902" s="10"/>
      <c r="ALA902" s="10"/>
      <c r="ALB902" s="10"/>
      <c r="ALC902" s="10"/>
      <c r="ALD902" s="10"/>
      <c r="ALE902" s="10"/>
      <c r="ALF902" s="10"/>
      <c r="ALG902" s="10"/>
      <c r="ALH902" s="10"/>
      <c r="ALI902" s="10"/>
      <c r="ALJ902" s="10"/>
      <c r="ALK902" s="10"/>
      <c r="ALL902" s="10"/>
      <c r="ALM902" s="10"/>
      <c r="ALN902" s="10"/>
      <c r="ALO902" s="10"/>
      <c r="ALP902" s="10"/>
      <c r="ALQ902" s="10"/>
      <c r="ALR902" s="10"/>
      <c r="ALS902" s="10"/>
      <c r="ALT902" s="10"/>
      <c r="ALU902" s="10"/>
      <c r="ALV902" s="10"/>
      <c r="ALW902" s="10"/>
      <c r="ALX902" s="10"/>
      <c r="ALY902" s="10"/>
      <c r="ALZ902" s="10"/>
      <c r="AMA902" s="10"/>
      <c r="AMB902" s="10"/>
      <c r="AMC902" s="10"/>
      <c r="AMD902" s="10"/>
      <c r="AME902" s="10"/>
      <c r="AMF902" s="10"/>
      <c r="AMG902" s="10"/>
      <c r="AMH902" s="10"/>
      <c r="AMI902" s="10"/>
      <c r="AMJ902" s="10"/>
      <c r="AMK902" s="10"/>
      <c r="AML902" s="10"/>
      <c r="AMM902" s="10"/>
      <c r="AMN902" s="10"/>
      <c r="AMO902" s="10"/>
      <c r="AMP902" s="10"/>
      <c r="AMQ902" s="10"/>
      <c r="AMR902" s="10"/>
      <c r="AMS902" s="10"/>
      <c r="AMT902" s="10"/>
      <c r="AMU902" s="10"/>
      <c r="AMV902" s="10"/>
      <c r="AMW902" s="10"/>
      <c r="AMX902" s="10"/>
      <c r="AMY902" s="10"/>
      <c r="AMZ902" s="10"/>
      <c r="ANA902" s="10"/>
      <c r="ANB902" s="10"/>
      <c r="ANC902" s="10"/>
      <c r="AND902" s="10"/>
      <c r="ANE902" s="10"/>
      <c r="ANF902" s="10"/>
      <c r="ANG902" s="10"/>
      <c r="ANH902" s="10"/>
      <c r="ANI902" s="10"/>
      <c r="ANJ902" s="10"/>
      <c r="ANK902" s="10"/>
      <c r="ANL902" s="10"/>
      <c r="ANM902" s="10"/>
      <c r="ANN902" s="10"/>
      <c r="ANO902" s="10"/>
      <c r="ANP902" s="10"/>
      <c r="ANQ902" s="10"/>
      <c r="ANR902" s="10"/>
      <c r="ANS902" s="10"/>
      <c r="ANT902" s="10"/>
      <c r="ANU902" s="10"/>
      <c r="ANV902" s="10"/>
      <c r="ANW902" s="10"/>
      <c r="ANX902" s="10"/>
      <c r="ANY902" s="10"/>
      <c r="ANZ902" s="10"/>
      <c r="AOA902" s="10"/>
      <c r="AOB902" s="10"/>
      <c r="AOC902" s="10"/>
      <c r="AOD902" s="10"/>
      <c r="AOE902" s="10"/>
      <c r="AOF902" s="10"/>
      <c r="AOG902" s="10"/>
      <c r="AOH902" s="10"/>
      <c r="AOI902" s="10"/>
      <c r="AOJ902" s="10"/>
      <c r="AOK902" s="10"/>
      <c r="AOL902" s="10"/>
      <c r="AOM902" s="10"/>
      <c r="AON902" s="10"/>
      <c r="AOO902" s="10"/>
      <c r="AOP902" s="10"/>
      <c r="AOQ902" s="10"/>
      <c r="AOR902" s="10"/>
      <c r="AOS902" s="10"/>
      <c r="AOT902" s="10"/>
      <c r="AOU902" s="10"/>
      <c r="AOV902" s="10"/>
      <c r="AOW902" s="10"/>
      <c r="AOX902" s="10"/>
      <c r="AOY902" s="10"/>
      <c r="AOZ902" s="10"/>
      <c r="APA902" s="10"/>
      <c r="APB902" s="10"/>
      <c r="APC902" s="10"/>
      <c r="APD902" s="10"/>
      <c r="APE902" s="10"/>
      <c r="APF902" s="10"/>
      <c r="APG902" s="10"/>
      <c r="APH902" s="10"/>
      <c r="API902" s="10"/>
      <c r="APJ902" s="10"/>
      <c r="APK902" s="10"/>
      <c r="APL902" s="10"/>
      <c r="APM902" s="10"/>
      <c r="APN902" s="10"/>
      <c r="APO902" s="10"/>
      <c r="APP902" s="10"/>
      <c r="APQ902" s="10"/>
      <c r="APR902" s="10"/>
      <c r="APS902" s="10"/>
      <c r="APT902" s="10"/>
      <c r="APU902" s="10"/>
      <c r="APV902" s="10"/>
      <c r="APW902" s="10"/>
      <c r="APX902" s="10"/>
      <c r="APY902" s="10"/>
      <c r="APZ902" s="10"/>
      <c r="AQA902" s="10"/>
      <c r="AQB902" s="10"/>
      <c r="AQC902" s="10"/>
      <c r="AQD902" s="10"/>
      <c r="AQE902" s="10"/>
      <c r="AQF902" s="10"/>
      <c r="AQG902" s="10"/>
      <c r="AQH902" s="10"/>
      <c r="AQI902" s="10"/>
      <c r="AQJ902" s="10"/>
      <c r="AQK902" s="10"/>
      <c r="AQL902" s="10"/>
      <c r="AQM902" s="10"/>
      <c r="AQN902" s="10"/>
      <c r="AQO902" s="10"/>
      <c r="AQP902" s="10"/>
      <c r="AQQ902" s="10"/>
      <c r="AQR902" s="10"/>
      <c r="AQS902" s="10"/>
      <c r="AQT902" s="10"/>
      <c r="AQU902" s="10"/>
      <c r="AQV902" s="10"/>
      <c r="AQW902" s="10"/>
      <c r="AQX902" s="10"/>
      <c r="AQY902" s="10"/>
      <c r="AQZ902" s="10"/>
      <c r="ARA902" s="10"/>
      <c r="ARB902" s="10"/>
      <c r="ARC902" s="10"/>
      <c r="ARD902" s="10"/>
      <c r="ARE902" s="10"/>
      <c r="ARF902" s="10"/>
      <c r="ARG902" s="10"/>
      <c r="ARH902" s="10"/>
      <c r="ARI902" s="10"/>
      <c r="ARJ902" s="10"/>
      <c r="ARK902" s="10"/>
      <c r="ARL902" s="10"/>
      <c r="ARM902" s="10"/>
      <c r="ARN902" s="10"/>
      <c r="ARO902" s="10"/>
      <c r="ARP902" s="10"/>
      <c r="ARQ902" s="10"/>
      <c r="ARR902" s="10"/>
      <c r="ARS902" s="10"/>
      <c r="ART902" s="10"/>
      <c r="ARU902" s="10"/>
      <c r="ARV902" s="10"/>
      <c r="ARW902" s="10"/>
      <c r="ARX902" s="10"/>
      <c r="ARY902" s="10"/>
      <c r="ARZ902" s="10"/>
      <c r="ASA902" s="10"/>
      <c r="ASB902" s="10"/>
      <c r="ASC902" s="10"/>
      <c r="ASD902" s="10"/>
      <c r="ASE902" s="10"/>
      <c r="ASF902" s="10"/>
      <c r="ASG902" s="10"/>
      <c r="ASH902" s="10"/>
      <c r="ASI902" s="10"/>
      <c r="ASJ902" s="10"/>
      <c r="ASK902" s="10"/>
      <c r="ASL902" s="10"/>
      <c r="ASM902" s="10"/>
      <c r="ASN902" s="10"/>
      <c r="ASO902" s="10"/>
      <c r="ASP902" s="10"/>
      <c r="ASQ902" s="10"/>
      <c r="ASR902" s="10"/>
      <c r="ASS902" s="10"/>
      <c r="AST902" s="10"/>
      <c r="ASU902" s="10"/>
      <c r="ASV902" s="10"/>
      <c r="ASW902" s="10"/>
      <c r="ASX902" s="10"/>
      <c r="ASY902" s="10"/>
      <c r="ASZ902" s="10"/>
      <c r="ATA902" s="10"/>
      <c r="ATB902" s="10"/>
      <c r="ATC902" s="10"/>
      <c r="ATD902" s="10"/>
      <c r="ATE902" s="10"/>
      <c r="ATF902" s="10"/>
      <c r="ATG902" s="10"/>
      <c r="ATH902" s="10"/>
      <c r="ATI902" s="10"/>
      <c r="ATJ902" s="10"/>
      <c r="ATK902" s="10"/>
      <c r="ATL902" s="10"/>
      <c r="ATM902" s="10"/>
      <c r="ATN902" s="10"/>
      <c r="ATO902" s="10"/>
      <c r="ATP902" s="10"/>
      <c r="ATQ902" s="10"/>
      <c r="ATR902" s="10"/>
      <c r="ATS902" s="10"/>
      <c r="ATT902" s="10"/>
      <c r="ATU902" s="10"/>
      <c r="ATV902" s="10"/>
      <c r="ATW902" s="10"/>
      <c r="ATX902" s="10"/>
      <c r="ATY902" s="10"/>
      <c r="ATZ902" s="10"/>
      <c r="AUA902" s="10"/>
      <c r="AUB902" s="10"/>
      <c r="AUC902" s="10"/>
      <c r="AUD902" s="10"/>
      <c r="AUE902" s="10"/>
      <c r="AUF902" s="10"/>
      <c r="AUG902" s="10"/>
      <c r="AUH902" s="10"/>
      <c r="AUI902" s="10"/>
      <c r="AUJ902" s="10"/>
      <c r="AUK902" s="10"/>
      <c r="AUL902" s="10"/>
      <c r="AUM902" s="10"/>
      <c r="AUN902" s="10"/>
      <c r="AUO902" s="10"/>
      <c r="AUP902" s="10"/>
      <c r="AUQ902" s="10"/>
      <c r="AUR902" s="10"/>
      <c r="AUS902" s="10"/>
      <c r="AUT902" s="10"/>
      <c r="AUU902" s="10"/>
      <c r="AUV902" s="10"/>
      <c r="AUW902" s="10"/>
      <c r="AUX902" s="10"/>
      <c r="AUY902" s="10"/>
      <c r="AUZ902" s="10"/>
      <c r="AVA902" s="10"/>
      <c r="AVB902" s="10"/>
      <c r="AVC902" s="10"/>
      <c r="AVD902" s="10"/>
      <c r="AVE902" s="10"/>
      <c r="AVF902" s="10"/>
      <c r="AVG902" s="10"/>
      <c r="AVH902" s="10"/>
      <c r="AVI902" s="10"/>
      <c r="AVJ902" s="10"/>
      <c r="AVK902" s="10"/>
      <c r="AVL902" s="10"/>
      <c r="AVM902" s="10"/>
      <c r="AVN902" s="10"/>
      <c r="AVO902" s="10"/>
      <c r="AVP902" s="10"/>
      <c r="AVQ902" s="10"/>
      <c r="AVR902" s="10"/>
      <c r="AVS902" s="10"/>
      <c r="AVT902" s="10"/>
      <c r="AVU902" s="10"/>
      <c r="AVV902" s="10"/>
      <c r="AVW902" s="10"/>
      <c r="AVX902" s="10"/>
      <c r="AVY902" s="10"/>
      <c r="AVZ902" s="10"/>
      <c r="AWA902" s="10"/>
      <c r="AWB902" s="10"/>
      <c r="AWC902" s="10"/>
      <c r="AWD902" s="10"/>
      <c r="AWE902" s="10"/>
      <c r="AWF902" s="10"/>
      <c r="AWG902" s="10"/>
      <c r="AWH902" s="10"/>
      <c r="AWI902" s="10"/>
      <c r="AWJ902" s="10"/>
      <c r="AWK902" s="10"/>
      <c r="AWL902" s="10"/>
      <c r="AWM902" s="10"/>
      <c r="AWN902" s="10"/>
      <c r="AWO902" s="10"/>
      <c r="AWP902" s="10"/>
      <c r="AWQ902" s="10"/>
      <c r="AWR902" s="10"/>
      <c r="AWS902" s="10"/>
      <c r="AWT902" s="10"/>
      <c r="AWU902" s="10"/>
      <c r="AWV902" s="10"/>
      <c r="AWW902" s="10"/>
      <c r="AWX902" s="10"/>
      <c r="AWY902" s="10"/>
      <c r="AWZ902" s="10"/>
      <c r="AXA902" s="10"/>
      <c r="AXB902" s="10"/>
      <c r="AXC902" s="10"/>
      <c r="AXD902" s="10"/>
      <c r="AXE902" s="10"/>
      <c r="AXF902" s="10"/>
      <c r="AXG902" s="10"/>
      <c r="AXH902" s="10"/>
      <c r="AXI902" s="10"/>
      <c r="AXJ902" s="10"/>
      <c r="AXK902" s="10"/>
      <c r="AXL902" s="10"/>
      <c r="AXM902" s="10"/>
      <c r="AXN902" s="10"/>
      <c r="AXO902" s="10"/>
      <c r="AXP902" s="10"/>
      <c r="AXQ902" s="10"/>
      <c r="AXR902" s="10"/>
      <c r="AXS902" s="10"/>
      <c r="AXT902" s="10"/>
      <c r="AXU902" s="10"/>
      <c r="AXV902" s="10"/>
      <c r="AXW902" s="10"/>
      <c r="AXX902" s="10"/>
      <c r="AXY902" s="10"/>
      <c r="AXZ902" s="10"/>
      <c r="AYA902" s="10"/>
      <c r="AYB902" s="10"/>
      <c r="AYC902" s="10"/>
      <c r="AYD902" s="10"/>
      <c r="AYE902" s="10"/>
      <c r="AYF902" s="10"/>
      <c r="AYG902" s="10"/>
      <c r="AYH902" s="10"/>
      <c r="AYI902" s="10"/>
      <c r="AYJ902" s="10"/>
      <c r="AYK902" s="10"/>
      <c r="AYL902" s="10"/>
      <c r="AYM902" s="10"/>
      <c r="AYN902" s="10"/>
      <c r="AYO902" s="10"/>
      <c r="AYP902" s="10"/>
      <c r="AYQ902" s="10"/>
      <c r="AYR902" s="10"/>
      <c r="AYS902" s="10"/>
      <c r="AYT902" s="10"/>
      <c r="AYU902" s="10"/>
      <c r="AYV902" s="10"/>
      <c r="AYW902" s="10"/>
      <c r="AYX902" s="10"/>
      <c r="AYY902" s="10"/>
      <c r="AYZ902" s="10"/>
      <c r="AZA902" s="10"/>
      <c r="AZB902" s="10"/>
      <c r="AZC902" s="10"/>
      <c r="AZD902" s="10"/>
      <c r="AZE902" s="10"/>
      <c r="AZF902" s="10"/>
      <c r="AZG902" s="10"/>
      <c r="AZH902" s="10"/>
      <c r="AZI902" s="10"/>
      <c r="AZJ902" s="10"/>
      <c r="AZK902" s="10"/>
      <c r="AZL902" s="10"/>
      <c r="AZM902" s="10"/>
      <c r="AZN902" s="10"/>
      <c r="AZO902" s="10"/>
      <c r="AZP902" s="10"/>
      <c r="AZQ902" s="10"/>
      <c r="AZR902" s="10"/>
      <c r="AZS902" s="10"/>
      <c r="AZT902" s="10"/>
      <c r="AZU902" s="10"/>
      <c r="AZV902" s="10"/>
      <c r="AZW902" s="10"/>
      <c r="AZX902" s="10"/>
      <c r="AZY902" s="10"/>
      <c r="AZZ902" s="10"/>
      <c r="BAA902" s="10"/>
      <c r="BAB902" s="10"/>
      <c r="BAC902" s="10"/>
      <c r="BAD902" s="10"/>
      <c r="BAE902" s="10"/>
      <c r="BAF902" s="10"/>
      <c r="BAG902" s="10"/>
      <c r="BAH902" s="10"/>
      <c r="BAI902" s="10"/>
      <c r="BAJ902" s="10"/>
      <c r="BAK902" s="10"/>
      <c r="BAL902" s="10"/>
      <c r="BAM902" s="10"/>
      <c r="BAN902" s="10"/>
      <c r="BAO902" s="10"/>
      <c r="BAP902" s="10"/>
      <c r="BAQ902" s="10"/>
      <c r="BAR902" s="10"/>
      <c r="BAS902" s="10"/>
      <c r="BAT902" s="10"/>
      <c r="BAU902" s="10"/>
      <c r="BAV902" s="10"/>
      <c r="BAW902" s="10"/>
      <c r="BAX902" s="10"/>
      <c r="BAY902" s="10"/>
      <c r="BAZ902" s="10"/>
      <c r="BBA902" s="10"/>
      <c r="BBB902" s="10"/>
      <c r="BBC902" s="10"/>
      <c r="BBD902" s="10"/>
      <c r="BBE902" s="10"/>
      <c r="BBF902" s="10"/>
      <c r="BBG902" s="10"/>
      <c r="BBH902" s="10"/>
      <c r="BBI902" s="10"/>
      <c r="BBJ902" s="10"/>
      <c r="BBK902" s="10"/>
      <c r="BBL902" s="10"/>
      <c r="BBM902" s="10"/>
      <c r="BBN902" s="10"/>
      <c r="BBO902" s="10"/>
      <c r="BBP902" s="10"/>
      <c r="BBQ902" s="10"/>
      <c r="BBR902" s="10"/>
      <c r="BBS902" s="10"/>
      <c r="BBT902" s="10"/>
      <c r="BBU902" s="10"/>
      <c r="BBV902" s="10"/>
      <c r="BBW902" s="10"/>
      <c r="BBX902" s="10"/>
      <c r="BBY902" s="10"/>
      <c r="BBZ902" s="10"/>
      <c r="BCA902" s="10"/>
      <c r="BCB902" s="10"/>
      <c r="BCC902" s="10"/>
      <c r="BCD902" s="10"/>
      <c r="BCE902" s="10"/>
      <c r="BCF902" s="10"/>
      <c r="BCG902" s="10"/>
      <c r="BCH902" s="10"/>
      <c r="BCI902" s="10"/>
      <c r="BCJ902" s="10"/>
      <c r="BCK902" s="10"/>
      <c r="BCL902" s="10"/>
      <c r="BCM902" s="10"/>
      <c r="BCN902" s="10"/>
      <c r="BCO902" s="10"/>
      <c r="BCP902" s="10"/>
      <c r="BCQ902" s="10"/>
      <c r="BCR902" s="10"/>
      <c r="BCS902" s="10"/>
      <c r="BCT902" s="10"/>
      <c r="BCU902" s="10"/>
      <c r="BCV902" s="10"/>
      <c r="BCW902" s="10"/>
      <c r="BCX902" s="10"/>
      <c r="BCY902" s="10"/>
      <c r="BCZ902" s="10"/>
      <c r="BDA902" s="10"/>
      <c r="BDB902" s="10"/>
      <c r="BDC902" s="10"/>
      <c r="BDD902" s="10"/>
      <c r="BDE902" s="10"/>
      <c r="BDF902" s="10"/>
      <c r="BDG902" s="10"/>
      <c r="BDH902" s="10"/>
      <c r="BDI902" s="10"/>
      <c r="BDJ902" s="10"/>
      <c r="BDK902" s="10"/>
      <c r="BDL902" s="10"/>
      <c r="BDM902" s="10"/>
      <c r="BDN902" s="10"/>
      <c r="BDO902" s="10"/>
      <c r="BDP902" s="10"/>
      <c r="BDQ902" s="10"/>
      <c r="BDR902" s="10"/>
      <c r="BDS902" s="10"/>
      <c r="BDT902" s="10"/>
      <c r="BDU902" s="10"/>
      <c r="BDV902" s="10"/>
      <c r="BDW902" s="10"/>
      <c r="BDX902" s="10"/>
      <c r="BDY902" s="10"/>
      <c r="BDZ902" s="10"/>
      <c r="BEA902" s="10"/>
      <c r="BEB902" s="10"/>
      <c r="BEC902" s="10"/>
      <c r="BED902" s="10"/>
      <c r="BEE902" s="10"/>
      <c r="BEF902" s="10"/>
      <c r="BEG902" s="10"/>
      <c r="BEH902" s="10"/>
      <c r="BEI902" s="10"/>
      <c r="BEJ902" s="10"/>
      <c r="BEK902" s="10"/>
      <c r="BEL902" s="10"/>
      <c r="BEM902" s="10"/>
      <c r="BEN902" s="10"/>
      <c r="BEO902" s="10"/>
      <c r="BEP902" s="10"/>
      <c r="BEQ902" s="10"/>
      <c r="BER902" s="10"/>
      <c r="BES902" s="10"/>
      <c r="BET902" s="10"/>
      <c r="BEU902" s="10"/>
      <c r="BEV902" s="10"/>
      <c r="BEW902" s="10"/>
      <c r="BEX902" s="10"/>
      <c r="BEY902" s="10"/>
      <c r="BEZ902" s="10"/>
      <c r="BFA902" s="10"/>
      <c r="BFB902" s="10"/>
      <c r="BFC902" s="10"/>
      <c r="BFD902" s="10"/>
      <c r="BFE902" s="10"/>
      <c r="BFF902" s="10"/>
      <c r="BFG902" s="10"/>
      <c r="BFH902" s="10"/>
      <c r="BFI902" s="10"/>
      <c r="BFJ902" s="10"/>
      <c r="BFK902" s="10"/>
      <c r="BFL902" s="10"/>
      <c r="BFM902" s="10"/>
      <c r="BFN902" s="10"/>
      <c r="BFO902" s="10"/>
      <c r="BFP902" s="10"/>
      <c r="BFQ902" s="10"/>
      <c r="BFR902" s="10"/>
      <c r="BFS902" s="10"/>
      <c r="BFT902" s="10"/>
      <c r="BFU902" s="10"/>
      <c r="BFV902" s="10"/>
      <c r="BFW902" s="10"/>
      <c r="BFX902" s="10"/>
      <c r="BFY902" s="10"/>
      <c r="BFZ902" s="10"/>
      <c r="BGA902" s="10"/>
      <c r="BGB902" s="10"/>
      <c r="BGC902" s="10"/>
      <c r="BGD902" s="10"/>
      <c r="BGE902" s="10"/>
      <c r="BGF902" s="10"/>
      <c r="BGG902" s="10"/>
      <c r="BGH902" s="10"/>
      <c r="BGI902" s="10"/>
      <c r="BGJ902" s="10"/>
      <c r="BGK902" s="10"/>
      <c r="BGL902" s="10"/>
      <c r="BGM902" s="10"/>
      <c r="BGN902" s="10"/>
      <c r="BGO902" s="10"/>
      <c r="BGP902" s="10"/>
      <c r="BGQ902" s="10"/>
      <c r="BGR902" s="10"/>
      <c r="BGS902" s="10"/>
      <c r="BGT902" s="10"/>
      <c r="BGU902" s="10"/>
      <c r="BGV902" s="10"/>
      <c r="BGW902" s="10"/>
      <c r="BGX902" s="10"/>
      <c r="BGY902" s="10"/>
      <c r="BGZ902" s="10"/>
      <c r="BHA902" s="10"/>
      <c r="BHB902" s="10"/>
      <c r="BHC902" s="10"/>
      <c r="BHD902" s="10"/>
      <c r="BHE902" s="10"/>
      <c r="BHF902" s="10"/>
      <c r="BHG902" s="10"/>
      <c r="BHH902" s="10"/>
      <c r="BHI902" s="10"/>
      <c r="BHJ902" s="10"/>
      <c r="BHK902" s="10"/>
      <c r="BHL902" s="10"/>
      <c r="BHM902" s="10"/>
      <c r="BHN902" s="10"/>
      <c r="BHO902" s="10"/>
      <c r="BHP902" s="10"/>
      <c r="BHQ902" s="10"/>
      <c r="BHR902" s="10"/>
      <c r="BHS902" s="10"/>
      <c r="BHT902" s="10"/>
      <c r="BHU902" s="10"/>
      <c r="BHV902" s="10"/>
      <c r="BHW902" s="10"/>
      <c r="BHX902" s="10"/>
      <c r="BHY902" s="10"/>
      <c r="BHZ902" s="10"/>
      <c r="BIA902" s="10"/>
      <c r="BIB902" s="10"/>
      <c r="BIC902" s="10"/>
      <c r="BID902" s="10"/>
      <c r="BIE902" s="10"/>
      <c r="BIF902" s="10"/>
      <c r="BIG902" s="10"/>
      <c r="BIH902" s="10"/>
      <c r="BII902" s="10"/>
      <c r="BIJ902" s="10"/>
      <c r="BIK902" s="10"/>
      <c r="BIL902" s="10"/>
      <c r="BIM902" s="10"/>
      <c r="BIN902" s="10"/>
      <c r="BIO902" s="10"/>
      <c r="BIP902" s="10"/>
      <c r="BIQ902" s="10"/>
      <c r="BIR902" s="10"/>
      <c r="BIS902" s="10"/>
      <c r="BIT902" s="10"/>
      <c r="BIU902" s="10"/>
      <c r="BIV902" s="10"/>
      <c r="BIW902" s="10"/>
      <c r="BIX902" s="10"/>
      <c r="BIY902" s="10"/>
      <c r="BIZ902" s="10"/>
      <c r="BJA902" s="10"/>
      <c r="BJB902" s="10"/>
      <c r="BJC902" s="10"/>
      <c r="BJD902" s="10"/>
      <c r="BJE902" s="10"/>
      <c r="BJF902" s="10"/>
      <c r="BJG902" s="10"/>
      <c r="BJH902" s="10"/>
      <c r="BJI902" s="10"/>
      <c r="BJJ902" s="10"/>
      <c r="BJK902" s="10"/>
      <c r="BJL902" s="10"/>
      <c r="BJM902" s="10"/>
      <c r="BJN902" s="10"/>
      <c r="BJO902" s="10"/>
      <c r="BJP902" s="10"/>
      <c r="BJQ902" s="10"/>
      <c r="BJR902" s="10"/>
      <c r="BJS902" s="10"/>
      <c r="BJT902" s="10"/>
      <c r="BJU902" s="10"/>
      <c r="BJV902" s="10"/>
      <c r="BJW902" s="10"/>
      <c r="BJX902" s="10"/>
      <c r="BJY902" s="10"/>
      <c r="BJZ902" s="10"/>
      <c r="BKA902" s="10"/>
      <c r="BKB902" s="10"/>
      <c r="BKC902" s="10"/>
      <c r="BKD902" s="10"/>
      <c r="BKE902" s="10"/>
      <c r="BKF902" s="10"/>
      <c r="BKG902" s="10"/>
      <c r="BKH902" s="10"/>
      <c r="BKI902" s="10"/>
      <c r="BKJ902" s="10"/>
      <c r="BKK902" s="10"/>
      <c r="BKL902" s="10"/>
      <c r="BKM902" s="10"/>
      <c r="BKN902" s="10"/>
      <c r="BKO902" s="10"/>
      <c r="BKP902" s="10"/>
      <c r="BKQ902" s="10"/>
      <c r="BKR902" s="10"/>
      <c r="BKS902" s="10"/>
      <c r="BKT902" s="10"/>
      <c r="BKU902" s="10"/>
      <c r="BKV902" s="10"/>
      <c r="BKW902" s="10"/>
      <c r="BKX902" s="10"/>
      <c r="BKY902" s="10"/>
      <c r="BKZ902" s="10"/>
      <c r="BLA902" s="10"/>
      <c r="BLB902" s="10"/>
      <c r="BLC902" s="10"/>
      <c r="BLD902" s="10"/>
      <c r="BLE902" s="10"/>
      <c r="BLF902" s="10"/>
      <c r="BLG902" s="10"/>
      <c r="BLH902" s="10"/>
      <c r="BLI902" s="10"/>
      <c r="BLJ902" s="10"/>
      <c r="BLK902" s="10"/>
      <c r="BLL902" s="10"/>
      <c r="BLM902" s="10"/>
      <c r="BLN902" s="10"/>
      <c r="BLO902" s="10"/>
      <c r="BLP902" s="10"/>
      <c r="BLQ902" s="10"/>
      <c r="BLR902" s="10"/>
      <c r="BLS902" s="10"/>
      <c r="BLT902" s="10"/>
      <c r="BLU902" s="10"/>
      <c r="BLV902" s="10"/>
      <c r="BLW902" s="10"/>
      <c r="BLX902" s="10"/>
      <c r="BLY902" s="10"/>
      <c r="BLZ902" s="10"/>
      <c r="BMA902" s="10"/>
      <c r="BMB902" s="10"/>
      <c r="BMC902" s="10"/>
      <c r="BMD902" s="10"/>
      <c r="BME902" s="10"/>
      <c r="BMF902" s="10"/>
      <c r="BMG902" s="10"/>
      <c r="BMH902" s="10"/>
      <c r="BMI902" s="10"/>
      <c r="BMJ902" s="10"/>
      <c r="BMK902" s="10"/>
      <c r="BML902" s="10"/>
      <c r="BMM902" s="10"/>
      <c r="BMN902" s="10"/>
      <c r="BMO902" s="10"/>
      <c r="BMP902" s="10"/>
      <c r="BMQ902" s="10"/>
      <c r="BMR902" s="10"/>
      <c r="BMS902" s="10"/>
      <c r="BMT902" s="10"/>
      <c r="BMU902" s="10"/>
      <c r="BMV902" s="10"/>
      <c r="BMW902" s="10"/>
      <c r="BMX902" s="10"/>
      <c r="BMY902" s="10"/>
      <c r="BMZ902" s="10"/>
      <c r="BNA902" s="10"/>
      <c r="BNB902" s="10"/>
      <c r="BNC902" s="10"/>
      <c r="BND902" s="10"/>
      <c r="BNE902" s="10"/>
      <c r="BNF902" s="10"/>
      <c r="BNG902" s="10"/>
      <c r="BNH902" s="10"/>
      <c r="BNI902" s="10"/>
      <c r="BNJ902" s="10"/>
      <c r="BNK902" s="10"/>
      <c r="BNL902" s="10"/>
      <c r="BNM902" s="10"/>
      <c r="BNN902" s="10"/>
      <c r="BNO902" s="10"/>
      <c r="BNP902" s="10"/>
      <c r="BNQ902" s="10"/>
      <c r="BNR902" s="10"/>
      <c r="BNS902" s="10"/>
      <c r="BNT902" s="10"/>
      <c r="BNU902" s="10"/>
      <c r="BNV902" s="10"/>
      <c r="BNW902" s="10"/>
      <c r="BNX902" s="10"/>
      <c r="BNY902" s="10"/>
      <c r="BNZ902" s="10"/>
      <c r="BOA902" s="10"/>
      <c r="BOB902" s="10"/>
      <c r="BOC902" s="10"/>
      <c r="BOD902" s="10"/>
      <c r="BOE902" s="10"/>
      <c r="BOF902" s="10"/>
      <c r="BOG902" s="10"/>
      <c r="BOH902" s="10"/>
      <c r="BOI902" s="10"/>
      <c r="BOJ902" s="10"/>
      <c r="BOK902" s="10"/>
      <c r="BOL902" s="10"/>
      <c r="BOM902" s="10"/>
      <c r="BON902" s="10"/>
      <c r="BOO902" s="10"/>
      <c r="BOP902" s="10"/>
      <c r="BOQ902" s="10"/>
      <c r="BOR902" s="10"/>
      <c r="BOS902" s="10"/>
      <c r="BOT902" s="10"/>
      <c r="BOU902" s="10"/>
      <c r="BOV902" s="10"/>
      <c r="BOW902" s="10"/>
      <c r="BOX902" s="10"/>
      <c r="BOY902" s="10"/>
      <c r="BOZ902" s="10"/>
      <c r="BPA902" s="10"/>
      <c r="BPB902" s="10"/>
      <c r="BPC902" s="10"/>
      <c r="BPD902" s="10"/>
      <c r="BPE902" s="10"/>
      <c r="BPF902" s="10"/>
      <c r="BPG902" s="10"/>
      <c r="BPH902" s="10"/>
      <c r="BPI902" s="10"/>
      <c r="BPJ902" s="10"/>
      <c r="BPK902" s="10"/>
      <c r="BPL902" s="10"/>
      <c r="BPM902" s="10"/>
      <c r="BPN902" s="10"/>
      <c r="BPO902" s="10"/>
      <c r="BPP902" s="10"/>
      <c r="BPQ902" s="10"/>
      <c r="BPR902" s="10"/>
      <c r="BPS902" s="10"/>
      <c r="BPT902" s="10"/>
      <c r="BPU902" s="10"/>
      <c r="BPV902" s="10"/>
      <c r="BPW902" s="10"/>
      <c r="BPX902" s="10"/>
      <c r="BPY902" s="10"/>
      <c r="BPZ902" s="10"/>
      <c r="BQA902" s="10"/>
      <c r="BQB902" s="10"/>
      <c r="BQC902" s="10"/>
      <c r="BQD902" s="10"/>
      <c r="BQE902" s="10"/>
      <c r="BQF902" s="10"/>
      <c r="BQG902" s="10"/>
      <c r="BQH902" s="10"/>
      <c r="BQI902" s="10"/>
      <c r="BQJ902" s="10"/>
      <c r="BQK902" s="10"/>
      <c r="BQL902" s="10"/>
      <c r="BQM902" s="10"/>
      <c r="BQN902" s="10"/>
      <c r="BQO902" s="10"/>
      <c r="BQP902" s="10"/>
      <c r="BQQ902" s="10"/>
      <c r="BQR902" s="10"/>
      <c r="BQS902" s="10"/>
      <c r="BQT902" s="10"/>
      <c r="BQU902" s="10"/>
      <c r="BQV902" s="10"/>
      <c r="BQW902" s="10"/>
      <c r="BQX902" s="10"/>
      <c r="BQY902" s="10"/>
      <c r="BQZ902" s="10"/>
      <c r="BRA902" s="10"/>
      <c r="BRB902" s="10"/>
      <c r="BRC902" s="10"/>
      <c r="BRD902" s="10"/>
      <c r="BRE902" s="10"/>
      <c r="BRF902" s="10"/>
      <c r="BRG902" s="10"/>
      <c r="BRH902" s="10"/>
      <c r="BRI902" s="10"/>
      <c r="BRJ902" s="10"/>
      <c r="BRK902" s="10"/>
      <c r="BRL902" s="10"/>
      <c r="BRM902" s="10"/>
      <c r="BRN902" s="10"/>
      <c r="BRO902" s="10"/>
      <c r="BRP902" s="10"/>
      <c r="BRQ902" s="10"/>
      <c r="BRR902" s="10"/>
      <c r="BRS902" s="10"/>
      <c r="BRT902" s="10"/>
      <c r="BRU902" s="10"/>
      <c r="BRV902" s="10"/>
      <c r="BRW902" s="10"/>
      <c r="BRX902" s="10"/>
      <c r="BRY902" s="10"/>
      <c r="BRZ902" s="10"/>
      <c r="BSA902" s="10"/>
      <c r="BSB902" s="10"/>
      <c r="BSC902" s="10"/>
      <c r="BSD902" s="10"/>
      <c r="BSE902" s="10"/>
      <c r="BSF902" s="10"/>
      <c r="BSG902" s="10"/>
      <c r="BSH902" s="10"/>
      <c r="BSI902" s="10"/>
      <c r="BSJ902" s="10"/>
      <c r="BSK902" s="10"/>
      <c r="BSL902" s="10"/>
      <c r="BSM902" s="10"/>
      <c r="BSN902" s="10"/>
      <c r="BSO902" s="10"/>
      <c r="BSP902" s="10"/>
      <c r="BSQ902" s="10"/>
      <c r="BSR902" s="10"/>
      <c r="BSS902" s="10"/>
      <c r="BST902" s="10"/>
      <c r="BSU902" s="10"/>
      <c r="BSV902" s="10"/>
      <c r="BSW902" s="10"/>
      <c r="BSX902" s="10"/>
      <c r="BSY902" s="10"/>
      <c r="BSZ902" s="10"/>
      <c r="BTA902" s="10"/>
      <c r="BTB902" s="10"/>
      <c r="BTC902" s="10"/>
      <c r="BTD902" s="10"/>
      <c r="BTE902" s="10"/>
      <c r="BTF902" s="10"/>
      <c r="BTG902" s="10"/>
      <c r="BTH902" s="10"/>
      <c r="BTI902" s="10"/>
      <c r="BTJ902" s="10"/>
      <c r="BTK902" s="10"/>
      <c r="BTL902" s="10"/>
      <c r="BTM902" s="10"/>
      <c r="BTN902" s="10"/>
      <c r="BTO902" s="10"/>
      <c r="BTP902" s="10"/>
      <c r="BTQ902" s="10"/>
      <c r="BTR902" s="10"/>
      <c r="BTS902" s="10"/>
      <c r="BTT902" s="10"/>
    </row>
    <row r="903" spans="1:1892" s="10" customFormat="1" ht="35.1" customHeight="1">
      <c r="A903" s="1241"/>
      <c r="B903" s="537" t="s">
        <v>1039</v>
      </c>
      <c r="C903" s="537"/>
      <c r="D903" s="1626" t="s">
        <v>872</v>
      </c>
      <c r="E903" s="1627"/>
      <c r="F903" s="1628"/>
      <c r="G903" s="1617" t="s">
        <v>54</v>
      </c>
      <c r="H903" s="1617" t="s">
        <v>54</v>
      </c>
      <c r="I903" s="1617" t="s">
        <v>54</v>
      </c>
      <c r="J903" s="687" t="s">
        <v>67</v>
      </c>
      <c r="K903" s="687" t="s">
        <v>66</v>
      </c>
      <c r="L903" s="128" t="s">
        <v>589</v>
      </c>
      <c r="M903" s="221">
        <v>85</v>
      </c>
      <c r="N903" s="143">
        <v>0</v>
      </c>
      <c r="O903" s="143">
        <v>0</v>
      </c>
      <c r="P903" s="618" t="s">
        <v>54</v>
      </c>
      <c r="Q903" s="618" t="s">
        <v>54</v>
      </c>
      <c r="R903" s="618" t="s">
        <v>54</v>
      </c>
      <c r="S903" s="618" t="s">
        <v>54</v>
      </c>
      <c r="T903" s="618" t="s">
        <v>54</v>
      </c>
      <c r="U903" s="618" t="s">
        <v>54</v>
      </c>
    </row>
    <row r="904" spans="1:1892" s="10" customFormat="1" ht="35.1" customHeight="1">
      <c r="A904" s="1241"/>
      <c r="B904" s="538"/>
      <c r="C904" s="538"/>
      <c r="D904" s="1629"/>
      <c r="E904" s="1630"/>
      <c r="F904" s="1631"/>
      <c r="G904" s="1618"/>
      <c r="H904" s="1618"/>
      <c r="I904" s="1618"/>
      <c r="J904" s="688"/>
      <c r="K904" s="688"/>
      <c r="L904" s="128" t="s">
        <v>590</v>
      </c>
      <c r="M904" s="221">
        <v>81</v>
      </c>
      <c r="N904" s="143">
        <v>0</v>
      </c>
      <c r="O904" s="143">
        <v>0</v>
      </c>
      <c r="P904" s="593"/>
      <c r="Q904" s="593"/>
      <c r="R904" s="593"/>
      <c r="S904" s="593"/>
      <c r="T904" s="593"/>
      <c r="U904" s="593"/>
    </row>
    <row r="905" spans="1:1892" s="10" customFormat="1" ht="35.1" customHeight="1">
      <c r="A905" s="1241"/>
      <c r="B905" s="538"/>
      <c r="C905" s="538"/>
      <c r="D905" s="1629"/>
      <c r="E905" s="1630"/>
      <c r="F905" s="1631"/>
      <c r="G905" s="1618"/>
      <c r="H905" s="1618"/>
      <c r="I905" s="1618"/>
      <c r="J905" s="688"/>
      <c r="K905" s="688"/>
      <c r="L905" s="128" t="s">
        <v>591</v>
      </c>
      <c r="M905" s="221">
        <v>249</v>
      </c>
      <c r="N905" s="143">
        <v>0</v>
      </c>
      <c r="O905" s="143">
        <v>0</v>
      </c>
      <c r="P905" s="593"/>
      <c r="Q905" s="593"/>
      <c r="R905" s="593"/>
      <c r="S905" s="593"/>
      <c r="T905" s="593"/>
      <c r="U905" s="593"/>
    </row>
    <row r="906" spans="1:1892" s="10" customFormat="1" ht="35.1" customHeight="1">
      <c r="A906" s="1241"/>
      <c r="B906" s="538"/>
      <c r="C906" s="538"/>
      <c r="D906" s="1629"/>
      <c r="E906" s="1630"/>
      <c r="F906" s="1631"/>
      <c r="G906" s="1618"/>
      <c r="H906" s="1618"/>
      <c r="I906" s="1618"/>
      <c r="J906" s="688"/>
      <c r="K906" s="688"/>
      <c r="L906" s="128" t="s">
        <v>592</v>
      </c>
      <c r="M906" s="221">
        <v>248</v>
      </c>
      <c r="N906" s="143">
        <v>0</v>
      </c>
      <c r="O906" s="143">
        <v>0</v>
      </c>
      <c r="P906" s="593"/>
      <c r="Q906" s="593"/>
      <c r="R906" s="593"/>
      <c r="S906" s="593"/>
      <c r="T906" s="593"/>
      <c r="U906" s="593"/>
    </row>
    <row r="907" spans="1:1892" s="10" customFormat="1" ht="35.1" customHeight="1">
      <c r="A907" s="1241"/>
      <c r="B907" s="538"/>
      <c r="C907" s="538"/>
      <c r="D907" s="1629"/>
      <c r="E907" s="1630"/>
      <c r="F907" s="1631"/>
      <c r="G907" s="1618"/>
      <c r="H907" s="1618"/>
      <c r="I907" s="1618"/>
      <c r="J907" s="688"/>
      <c r="K907" s="688"/>
      <c r="L907" s="128" t="s">
        <v>593</v>
      </c>
      <c r="M907" s="221">
        <v>52</v>
      </c>
      <c r="N907" s="143">
        <v>0</v>
      </c>
      <c r="O907" s="143">
        <v>0</v>
      </c>
      <c r="P907" s="593"/>
      <c r="Q907" s="593"/>
      <c r="R907" s="593"/>
      <c r="S907" s="593"/>
      <c r="T907" s="593"/>
      <c r="U907" s="593"/>
    </row>
    <row r="908" spans="1:1892" s="10" customFormat="1" ht="35.1" customHeight="1">
      <c r="A908" s="1241"/>
      <c r="B908" s="538"/>
      <c r="C908" s="538"/>
      <c r="D908" s="1629"/>
      <c r="E908" s="1630"/>
      <c r="F908" s="1631"/>
      <c r="G908" s="1618"/>
      <c r="H908" s="1618"/>
      <c r="I908" s="1618"/>
      <c r="J908" s="688"/>
      <c r="K908" s="688"/>
      <c r="L908" s="128" t="s">
        <v>594</v>
      </c>
      <c r="M908" s="221">
        <v>52</v>
      </c>
      <c r="N908" s="143">
        <v>4</v>
      </c>
      <c r="O908" s="143">
        <v>4</v>
      </c>
      <c r="P908" s="593"/>
      <c r="Q908" s="593"/>
      <c r="R908" s="593"/>
      <c r="S908" s="593"/>
      <c r="T908" s="593"/>
      <c r="U908" s="593"/>
    </row>
    <row r="909" spans="1:1892" s="10" customFormat="1" ht="35.1" customHeight="1">
      <c r="A909" s="1241"/>
      <c r="B909" s="538"/>
      <c r="C909" s="538"/>
      <c r="D909" s="1629"/>
      <c r="E909" s="1630"/>
      <c r="F909" s="1631"/>
      <c r="G909" s="1619"/>
      <c r="H909" s="1619"/>
      <c r="I909" s="1619"/>
      <c r="J909" s="689"/>
      <c r="K909" s="689"/>
      <c r="L909" s="128" t="s">
        <v>595</v>
      </c>
      <c r="M909" s="221">
        <v>2</v>
      </c>
      <c r="N909" s="143">
        <v>1</v>
      </c>
      <c r="O909" s="143">
        <v>1</v>
      </c>
      <c r="P909" s="593"/>
      <c r="Q909" s="593"/>
      <c r="R909" s="593"/>
      <c r="S909" s="593"/>
      <c r="T909" s="593"/>
      <c r="U909" s="593"/>
    </row>
    <row r="910" spans="1:1892" s="10" customFormat="1" ht="35.1" customHeight="1">
      <c r="A910" s="1241"/>
      <c r="B910" s="538"/>
      <c r="C910" s="539"/>
      <c r="D910" s="1632"/>
      <c r="E910" s="1633"/>
      <c r="F910" s="1634"/>
      <c r="G910" s="463"/>
      <c r="H910" s="464"/>
      <c r="I910" s="464"/>
      <c r="J910" s="464"/>
      <c r="K910" s="465"/>
      <c r="L910" s="200"/>
      <c r="M910" s="223">
        <f>SUM(M903:M909)</f>
        <v>769</v>
      </c>
      <c r="N910" s="390">
        <f>SUM(N903:N909)</f>
        <v>5</v>
      </c>
      <c r="O910" s="390">
        <f>SUM(O903:O909)</f>
        <v>5</v>
      </c>
      <c r="P910" s="619"/>
      <c r="Q910" s="619"/>
      <c r="R910" s="619"/>
      <c r="S910" s="619"/>
      <c r="T910" s="619"/>
      <c r="U910" s="619"/>
    </row>
    <row r="911" spans="1:1892" s="10" customFormat="1" ht="35.1" customHeight="1">
      <c r="A911" s="1241"/>
      <c r="B911" s="538"/>
      <c r="C911" s="537"/>
      <c r="D911" s="570" t="s">
        <v>871</v>
      </c>
      <c r="E911" s="571"/>
      <c r="F911" s="572"/>
      <c r="G911" s="566" t="s">
        <v>189</v>
      </c>
      <c r="H911" s="566" t="s">
        <v>189</v>
      </c>
      <c r="I911" s="566" t="s">
        <v>189</v>
      </c>
      <c r="J911" s="687" t="s">
        <v>11</v>
      </c>
      <c r="K911" s="687" t="s">
        <v>12</v>
      </c>
      <c r="L911" s="128" t="s">
        <v>814</v>
      </c>
      <c r="M911" s="221">
        <v>263</v>
      </c>
      <c r="N911" s="143">
        <v>60</v>
      </c>
      <c r="O911" s="143">
        <v>54</v>
      </c>
      <c r="P911" s="618" t="s">
        <v>189</v>
      </c>
      <c r="Q911" s="618" t="s">
        <v>189</v>
      </c>
      <c r="R911" s="618" t="s">
        <v>189</v>
      </c>
      <c r="S911" s="654" t="s">
        <v>189</v>
      </c>
      <c r="T911" s="654" t="s">
        <v>189</v>
      </c>
      <c r="U911" s="654" t="s">
        <v>189</v>
      </c>
    </row>
    <row r="912" spans="1:1892" s="10" customFormat="1" ht="35.1" customHeight="1">
      <c r="A912" s="1241"/>
      <c r="B912" s="538"/>
      <c r="C912" s="538"/>
      <c r="D912" s="573"/>
      <c r="E912" s="574"/>
      <c r="F912" s="575"/>
      <c r="G912" s="567"/>
      <c r="H912" s="567"/>
      <c r="I912" s="567"/>
      <c r="J912" s="688"/>
      <c r="K912" s="688"/>
      <c r="L912" s="128" t="s">
        <v>815</v>
      </c>
      <c r="M912" s="221">
        <v>260</v>
      </c>
      <c r="N912" s="143">
        <v>35</v>
      </c>
      <c r="O912" s="143">
        <v>30</v>
      </c>
      <c r="P912" s="593"/>
      <c r="Q912" s="593"/>
      <c r="R912" s="593"/>
      <c r="S912" s="730"/>
      <c r="T912" s="730"/>
      <c r="U912" s="730"/>
    </row>
    <row r="913" spans="1:1892" s="10" customFormat="1" ht="35.1" customHeight="1">
      <c r="A913" s="1241"/>
      <c r="B913" s="538"/>
      <c r="C913" s="538"/>
      <c r="D913" s="573"/>
      <c r="E913" s="574"/>
      <c r="F913" s="575"/>
      <c r="G913" s="567"/>
      <c r="H913" s="567"/>
      <c r="I913" s="567"/>
      <c r="J913" s="688"/>
      <c r="K913" s="688"/>
      <c r="L913" s="128" t="s">
        <v>816</v>
      </c>
      <c r="M913" s="221">
        <v>137</v>
      </c>
      <c r="N913" s="143">
        <v>66</v>
      </c>
      <c r="O913" s="143">
        <v>60</v>
      </c>
      <c r="P913" s="593"/>
      <c r="Q913" s="593"/>
      <c r="R913" s="593"/>
      <c r="S913" s="730"/>
      <c r="T913" s="730"/>
      <c r="U913" s="730"/>
    </row>
    <row r="914" spans="1:1892" s="10" customFormat="1" ht="35.1" customHeight="1">
      <c r="A914" s="1241"/>
      <c r="B914" s="538"/>
      <c r="C914" s="538"/>
      <c r="D914" s="573"/>
      <c r="E914" s="574"/>
      <c r="F914" s="575"/>
      <c r="G914" s="567"/>
      <c r="H914" s="567"/>
      <c r="I914" s="567"/>
      <c r="J914" s="688"/>
      <c r="K914" s="688"/>
      <c r="L914" s="290">
        <v>113.87</v>
      </c>
      <c r="M914" s="221">
        <v>41</v>
      </c>
      <c r="N914" s="143">
        <v>3</v>
      </c>
      <c r="O914" s="143">
        <v>3</v>
      </c>
      <c r="P914" s="593"/>
      <c r="Q914" s="593"/>
      <c r="R914" s="593"/>
      <c r="S914" s="730"/>
      <c r="T914" s="730"/>
      <c r="U914" s="730"/>
    </row>
    <row r="915" spans="1:1892" s="10" customFormat="1" ht="35.1" customHeight="1">
      <c r="A915" s="1241"/>
      <c r="B915" s="538"/>
      <c r="C915" s="538"/>
      <c r="D915" s="573"/>
      <c r="E915" s="574"/>
      <c r="F915" s="575"/>
      <c r="G915" s="567"/>
      <c r="H915" s="567"/>
      <c r="I915" s="567"/>
      <c r="J915" s="688"/>
      <c r="K915" s="688"/>
      <c r="L915" s="290">
        <v>120.77</v>
      </c>
      <c r="M915" s="221">
        <v>41</v>
      </c>
      <c r="N915" s="143">
        <v>2</v>
      </c>
      <c r="O915" s="143">
        <v>2</v>
      </c>
      <c r="P915" s="593"/>
      <c r="Q915" s="593"/>
      <c r="R915" s="593"/>
      <c r="S915" s="730"/>
      <c r="T915" s="730"/>
      <c r="U915" s="730"/>
    </row>
    <row r="916" spans="1:1892" s="10" customFormat="1" ht="35.1" customHeight="1">
      <c r="A916" s="1241"/>
      <c r="B916" s="538"/>
      <c r="C916" s="538"/>
      <c r="D916" s="573"/>
      <c r="E916" s="574"/>
      <c r="F916" s="575"/>
      <c r="G916" s="568"/>
      <c r="H916" s="568"/>
      <c r="I916" s="568"/>
      <c r="J916" s="689"/>
      <c r="K916" s="689"/>
      <c r="L916" s="128" t="s">
        <v>817</v>
      </c>
      <c r="M916" s="221">
        <v>2</v>
      </c>
      <c r="N916" s="143">
        <v>0</v>
      </c>
      <c r="O916" s="143">
        <v>0</v>
      </c>
      <c r="P916" s="593"/>
      <c r="Q916" s="593"/>
      <c r="R916" s="593"/>
      <c r="S916" s="730"/>
      <c r="T916" s="730"/>
      <c r="U916" s="730"/>
    </row>
    <row r="917" spans="1:1892" s="10" customFormat="1" ht="35.1" customHeight="1">
      <c r="A917" s="1241"/>
      <c r="B917" s="539"/>
      <c r="C917" s="539"/>
      <c r="D917" s="576"/>
      <c r="E917" s="577"/>
      <c r="F917" s="578"/>
      <c r="G917" s="463" t="s">
        <v>329</v>
      </c>
      <c r="H917" s="464"/>
      <c r="I917" s="464"/>
      <c r="J917" s="464"/>
      <c r="K917" s="465"/>
      <c r="L917" s="200"/>
      <c r="M917" s="291">
        <f>SUM(M911:M916)</f>
        <v>744</v>
      </c>
      <c r="N917" s="292">
        <f>SUM(N911:N916)</f>
        <v>166</v>
      </c>
      <c r="O917" s="292">
        <f>SUM(O911:O916)</f>
        <v>149</v>
      </c>
      <c r="P917" s="619"/>
      <c r="Q917" s="619"/>
      <c r="R917" s="619"/>
      <c r="S917" s="655"/>
      <c r="T917" s="655"/>
      <c r="U917" s="655"/>
    </row>
    <row r="918" spans="1:1892" s="9" customFormat="1" ht="35.1" customHeight="1">
      <c r="A918" s="1241"/>
      <c r="B918" s="620" t="s">
        <v>105</v>
      </c>
      <c r="C918" s="621"/>
      <c r="D918" s="621"/>
      <c r="E918" s="621"/>
      <c r="F918" s="621"/>
      <c r="G918" s="621"/>
      <c r="H918" s="621"/>
      <c r="I918" s="621"/>
      <c r="J918" s="621"/>
      <c r="K918" s="622"/>
      <c r="L918" s="140"/>
      <c r="M918" s="226">
        <f>M910+M917</f>
        <v>1513</v>
      </c>
      <c r="N918" s="391">
        <f>N910+N917</f>
        <v>171</v>
      </c>
      <c r="O918" s="391">
        <f>O910+O917</f>
        <v>154</v>
      </c>
      <c r="P918" s="201" t="s">
        <v>439</v>
      </c>
      <c r="Q918" s="123"/>
      <c r="R918" s="123"/>
      <c r="S918" s="156"/>
      <c r="T918" s="156"/>
      <c r="U918" s="156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  <c r="BU918" s="10"/>
      <c r="BV918" s="10"/>
      <c r="BW918" s="10"/>
      <c r="BX918" s="10"/>
      <c r="BY918" s="10"/>
      <c r="BZ918" s="10"/>
      <c r="CA918" s="10"/>
      <c r="CB918" s="10"/>
      <c r="CC918" s="10"/>
      <c r="CD918" s="10"/>
      <c r="CE918" s="10"/>
      <c r="CF918" s="10"/>
      <c r="CG918" s="10"/>
      <c r="CH918" s="10"/>
      <c r="CI918" s="10"/>
      <c r="CJ918" s="10"/>
      <c r="CK918" s="10"/>
      <c r="CL918" s="10"/>
      <c r="CM918" s="10"/>
      <c r="CN918" s="10"/>
      <c r="CO918" s="10"/>
      <c r="CP918" s="10"/>
      <c r="CQ918" s="10"/>
      <c r="CR918" s="10"/>
      <c r="CS918" s="10"/>
      <c r="CT918" s="10"/>
      <c r="CU918" s="10"/>
      <c r="CV918" s="10"/>
      <c r="CW918" s="10"/>
      <c r="CX918" s="10"/>
      <c r="CY918" s="10"/>
      <c r="CZ918" s="10"/>
      <c r="DA918" s="10"/>
      <c r="DB918" s="10"/>
      <c r="DC918" s="10"/>
      <c r="DD918" s="10"/>
      <c r="DE918" s="10"/>
      <c r="DF918" s="10"/>
      <c r="DG918" s="10"/>
      <c r="DH918" s="10"/>
      <c r="DI918" s="10"/>
      <c r="DJ918" s="10"/>
      <c r="DK918" s="10"/>
      <c r="DL918" s="10"/>
      <c r="DM918" s="10"/>
      <c r="DN918" s="10"/>
      <c r="DO918" s="10"/>
      <c r="DP918" s="10"/>
      <c r="DQ918" s="10"/>
      <c r="DR918" s="10"/>
      <c r="DS918" s="10"/>
      <c r="DT918" s="10"/>
      <c r="DU918" s="10"/>
      <c r="DV918" s="10"/>
      <c r="DW918" s="10"/>
      <c r="DX918" s="10"/>
      <c r="DY918" s="10"/>
      <c r="DZ918" s="10"/>
      <c r="EA918" s="10"/>
      <c r="EB918" s="10"/>
      <c r="EC918" s="10"/>
      <c r="ED918" s="10"/>
      <c r="EE918" s="10"/>
      <c r="EF918" s="10"/>
      <c r="EG918" s="10"/>
      <c r="EH918" s="10"/>
      <c r="EI918" s="10"/>
      <c r="EJ918" s="10"/>
      <c r="EK918" s="10"/>
      <c r="EL918" s="10"/>
      <c r="EM918" s="10"/>
      <c r="EN918" s="10"/>
      <c r="EO918" s="10"/>
      <c r="EP918" s="10"/>
      <c r="EQ918" s="10"/>
      <c r="ER918" s="10"/>
      <c r="ES918" s="10"/>
      <c r="ET918" s="10"/>
      <c r="EU918" s="10"/>
      <c r="EV918" s="10"/>
      <c r="EW918" s="10"/>
      <c r="EX918" s="10"/>
      <c r="EY918" s="10"/>
      <c r="EZ918" s="10"/>
      <c r="FA918" s="10"/>
      <c r="FB918" s="10"/>
      <c r="FC918" s="10"/>
      <c r="FD918" s="10"/>
      <c r="FE918" s="10"/>
      <c r="FF918" s="10"/>
      <c r="FG918" s="10"/>
      <c r="FH918" s="10"/>
      <c r="FI918" s="10"/>
      <c r="FJ918" s="10"/>
      <c r="FK918" s="10"/>
      <c r="FL918" s="10"/>
      <c r="FM918" s="10"/>
      <c r="FN918" s="10"/>
      <c r="FO918" s="10"/>
      <c r="FP918" s="10"/>
      <c r="FQ918" s="10"/>
      <c r="FR918" s="10"/>
      <c r="FS918" s="10"/>
      <c r="FT918" s="10"/>
      <c r="FU918" s="10"/>
      <c r="FV918" s="10"/>
      <c r="FW918" s="10"/>
      <c r="FX918" s="10"/>
      <c r="FY918" s="10"/>
      <c r="FZ918" s="10"/>
      <c r="GA918" s="10"/>
      <c r="GB918" s="10"/>
      <c r="GC918" s="10"/>
      <c r="GD918" s="10"/>
      <c r="GE918" s="10"/>
      <c r="GF918" s="10"/>
      <c r="GG918" s="10"/>
      <c r="GH918" s="10"/>
      <c r="GI918" s="10"/>
      <c r="GJ918" s="10"/>
      <c r="GK918" s="10"/>
      <c r="GL918" s="10"/>
      <c r="GM918" s="10"/>
      <c r="GN918" s="10"/>
      <c r="GO918" s="10"/>
      <c r="GP918" s="10"/>
      <c r="GQ918" s="10"/>
      <c r="GR918" s="10"/>
      <c r="GS918" s="10"/>
      <c r="GT918" s="10"/>
      <c r="GU918" s="10"/>
      <c r="GV918" s="10"/>
      <c r="GW918" s="10"/>
      <c r="GX918" s="10"/>
      <c r="GY918" s="10"/>
      <c r="GZ918" s="10"/>
      <c r="HA918" s="10"/>
      <c r="HB918" s="10"/>
      <c r="HC918" s="10"/>
      <c r="HD918" s="10"/>
      <c r="HE918" s="10"/>
      <c r="HF918" s="10"/>
      <c r="HG918" s="10"/>
      <c r="HH918" s="10"/>
      <c r="HI918" s="10"/>
      <c r="HJ918" s="10"/>
      <c r="HK918" s="10"/>
      <c r="HL918" s="10"/>
      <c r="HM918" s="10"/>
      <c r="HN918" s="10"/>
      <c r="HO918" s="10"/>
      <c r="HP918" s="10"/>
      <c r="HQ918" s="10"/>
      <c r="HR918" s="10"/>
      <c r="HS918" s="10"/>
      <c r="HT918" s="10"/>
      <c r="HU918" s="10"/>
      <c r="HV918" s="10"/>
      <c r="HW918" s="10"/>
      <c r="HX918" s="10"/>
      <c r="HY918" s="10"/>
      <c r="HZ918" s="10"/>
      <c r="IA918" s="10"/>
      <c r="IB918" s="10"/>
      <c r="IC918" s="10"/>
      <c r="ID918" s="10"/>
      <c r="IE918" s="10"/>
      <c r="IF918" s="10"/>
      <c r="IG918" s="10"/>
      <c r="IH918" s="10"/>
      <c r="II918" s="10"/>
      <c r="IJ918" s="10"/>
      <c r="IK918" s="10"/>
      <c r="IL918" s="10"/>
      <c r="IM918" s="10"/>
      <c r="IN918" s="10"/>
      <c r="IO918" s="10"/>
      <c r="IP918" s="10"/>
      <c r="IQ918" s="10"/>
      <c r="IR918" s="10"/>
      <c r="IS918" s="10"/>
      <c r="IT918" s="10"/>
      <c r="IU918" s="10"/>
      <c r="IV918" s="10"/>
      <c r="IW918" s="10"/>
      <c r="IX918" s="10"/>
      <c r="IY918" s="10"/>
      <c r="IZ918" s="10"/>
      <c r="JA918" s="10"/>
      <c r="JB918" s="10"/>
      <c r="JC918" s="10"/>
      <c r="JD918" s="10"/>
      <c r="JE918" s="10"/>
      <c r="JF918" s="10"/>
      <c r="JG918" s="10"/>
      <c r="JH918" s="10"/>
      <c r="JI918" s="10"/>
      <c r="JJ918" s="10"/>
      <c r="JK918" s="10"/>
      <c r="JL918" s="10"/>
      <c r="JM918" s="10"/>
      <c r="JN918" s="10"/>
      <c r="JO918" s="10"/>
      <c r="JP918" s="10"/>
      <c r="JQ918" s="10"/>
      <c r="JR918" s="10"/>
      <c r="JS918" s="10"/>
      <c r="JT918" s="10"/>
      <c r="JU918" s="10"/>
      <c r="JV918" s="10"/>
      <c r="JW918" s="10"/>
      <c r="JX918" s="10"/>
      <c r="JY918" s="10"/>
      <c r="JZ918" s="10"/>
      <c r="KA918" s="10"/>
      <c r="KB918" s="10"/>
      <c r="KC918" s="10"/>
      <c r="KD918" s="10"/>
      <c r="KE918" s="10"/>
      <c r="KF918" s="10"/>
      <c r="KG918" s="10"/>
      <c r="KH918" s="10"/>
      <c r="KI918" s="10"/>
      <c r="KJ918" s="10"/>
      <c r="KK918" s="10"/>
      <c r="KL918" s="10"/>
      <c r="KM918" s="10"/>
      <c r="KN918" s="10"/>
      <c r="KO918" s="10"/>
      <c r="KP918" s="10"/>
      <c r="KQ918" s="10"/>
      <c r="KR918" s="10"/>
      <c r="KS918" s="10"/>
      <c r="KT918" s="10"/>
      <c r="KU918" s="10"/>
      <c r="KV918" s="10"/>
      <c r="KW918" s="10"/>
      <c r="KX918" s="10"/>
      <c r="KY918" s="10"/>
      <c r="KZ918" s="10"/>
      <c r="LA918" s="10"/>
      <c r="LB918" s="10"/>
      <c r="LC918" s="10"/>
      <c r="LD918" s="10"/>
      <c r="LE918" s="10"/>
      <c r="LF918" s="10"/>
      <c r="LG918" s="10"/>
      <c r="LH918" s="10"/>
      <c r="LI918" s="10"/>
      <c r="LJ918" s="10"/>
      <c r="LK918" s="10"/>
      <c r="LL918" s="10"/>
      <c r="LM918" s="10"/>
      <c r="LN918" s="10"/>
      <c r="LO918" s="10"/>
      <c r="LP918" s="10"/>
      <c r="LQ918" s="10"/>
      <c r="LR918" s="10"/>
      <c r="LS918" s="10"/>
      <c r="LT918" s="10"/>
      <c r="LU918" s="10"/>
      <c r="LV918" s="10"/>
      <c r="LW918" s="10"/>
      <c r="LX918" s="10"/>
      <c r="LY918" s="10"/>
      <c r="LZ918" s="10"/>
      <c r="MA918" s="10"/>
      <c r="MB918" s="10"/>
      <c r="MC918" s="10"/>
      <c r="MD918" s="10"/>
      <c r="ME918" s="10"/>
      <c r="MF918" s="10"/>
      <c r="MG918" s="10"/>
      <c r="MH918" s="10"/>
      <c r="MI918" s="10"/>
      <c r="MJ918" s="10"/>
      <c r="MK918" s="10"/>
      <c r="ML918" s="10"/>
      <c r="MM918" s="10"/>
      <c r="MN918" s="10"/>
      <c r="MO918" s="10"/>
      <c r="MP918" s="10"/>
      <c r="MQ918" s="10"/>
      <c r="MR918" s="10"/>
      <c r="MS918" s="10"/>
      <c r="MT918" s="10"/>
      <c r="MU918" s="10"/>
      <c r="MV918" s="10"/>
      <c r="MW918" s="10"/>
      <c r="MX918" s="10"/>
      <c r="MY918" s="10"/>
      <c r="MZ918" s="10"/>
      <c r="NA918" s="10"/>
      <c r="NB918" s="10"/>
      <c r="NC918" s="10"/>
      <c r="ND918" s="10"/>
      <c r="NE918" s="10"/>
      <c r="NF918" s="10"/>
      <c r="NG918" s="10"/>
      <c r="NH918" s="10"/>
      <c r="NI918" s="10"/>
      <c r="NJ918" s="10"/>
      <c r="NK918" s="10"/>
      <c r="NL918" s="10"/>
      <c r="NM918" s="10"/>
      <c r="NN918" s="10"/>
      <c r="NO918" s="10"/>
      <c r="NP918" s="10"/>
      <c r="NQ918" s="10"/>
      <c r="NR918" s="10"/>
      <c r="NS918" s="10"/>
      <c r="NT918" s="10"/>
      <c r="NU918" s="10"/>
      <c r="NV918" s="10"/>
      <c r="NW918" s="10"/>
      <c r="NX918" s="10"/>
      <c r="NY918" s="10"/>
      <c r="NZ918" s="10"/>
      <c r="OA918" s="10"/>
      <c r="OB918" s="10"/>
      <c r="OC918" s="10"/>
      <c r="OD918" s="10"/>
      <c r="OE918" s="10"/>
      <c r="OF918" s="10"/>
      <c r="OG918" s="10"/>
      <c r="OH918" s="10"/>
      <c r="OI918" s="10"/>
      <c r="OJ918" s="10"/>
      <c r="OK918" s="10"/>
      <c r="OL918" s="10"/>
      <c r="OM918" s="10"/>
      <c r="ON918" s="10"/>
      <c r="OO918" s="10"/>
      <c r="OP918" s="10"/>
      <c r="OQ918" s="10"/>
      <c r="OR918" s="10"/>
      <c r="OS918" s="10"/>
      <c r="OT918" s="10"/>
      <c r="OU918" s="10"/>
      <c r="OV918" s="10"/>
      <c r="OW918" s="10"/>
      <c r="OX918" s="10"/>
      <c r="OY918" s="10"/>
      <c r="OZ918" s="10"/>
      <c r="PA918" s="10"/>
      <c r="PB918" s="10"/>
      <c r="PC918" s="10"/>
      <c r="PD918" s="10"/>
      <c r="PE918" s="10"/>
      <c r="PF918" s="10"/>
      <c r="PG918" s="10"/>
      <c r="PH918" s="10"/>
      <c r="PI918" s="10"/>
      <c r="PJ918" s="10"/>
      <c r="PK918" s="10"/>
      <c r="PL918" s="10"/>
      <c r="PM918" s="10"/>
      <c r="PN918" s="10"/>
      <c r="PO918" s="10"/>
      <c r="PP918" s="10"/>
      <c r="PQ918" s="10"/>
      <c r="PR918" s="10"/>
      <c r="PS918" s="10"/>
      <c r="PT918" s="10"/>
      <c r="PU918" s="10"/>
      <c r="PV918" s="10"/>
      <c r="PW918" s="10"/>
      <c r="PX918" s="10"/>
      <c r="PY918" s="10"/>
      <c r="PZ918" s="10"/>
      <c r="QA918" s="10"/>
      <c r="QB918" s="10"/>
      <c r="QC918" s="10"/>
      <c r="QD918" s="10"/>
      <c r="QE918" s="10"/>
      <c r="QF918" s="10"/>
      <c r="QG918" s="10"/>
      <c r="QH918" s="10"/>
      <c r="QI918" s="10"/>
      <c r="QJ918" s="10"/>
      <c r="QK918" s="10"/>
      <c r="QL918" s="10"/>
      <c r="QM918" s="10"/>
      <c r="QN918" s="10"/>
      <c r="QO918" s="10"/>
      <c r="QP918" s="10"/>
      <c r="QQ918" s="10"/>
      <c r="QR918" s="10"/>
      <c r="QS918" s="10"/>
      <c r="QT918" s="10"/>
      <c r="QU918" s="10"/>
      <c r="QV918" s="10"/>
      <c r="QW918" s="10"/>
      <c r="QX918" s="10"/>
      <c r="QY918" s="10"/>
      <c r="QZ918" s="10"/>
      <c r="RA918" s="10"/>
      <c r="RB918" s="10"/>
      <c r="RC918" s="10"/>
      <c r="RD918" s="10"/>
      <c r="RE918" s="10"/>
      <c r="RF918" s="10"/>
      <c r="RG918" s="10"/>
      <c r="RH918" s="10"/>
      <c r="RI918" s="10"/>
      <c r="RJ918" s="10"/>
      <c r="RK918" s="10"/>
      <c r="RL918" s="10"/>
      <c r="RM918" s="10"/>
      <c r="RN918" s="10"/>
      <c r="RO918" s="10"/>
      <c r="RP918" s="10"/>
      <c r="RQ918" s="10"/>
      <c r="RR918" s="10"/>
      <c r="RS918" s="10"/>
      <c r="RT918" s="10"/>
      <c r="RU918" s="10"/>
      <c r="RV918" s="10"/>
      <c r="RW918" s="10"/>
      <c r="RX918" s="10"/>
      <c r="RY918" s="10"/>
      <c r="RZ918" s="10"/>
      <c r="SA918" s="10"/>
      <c r="SB918" s="10"/>
      <c r="SC918" s="10"/>
      <c r="SD918" s="10"/>
      <c r="SE918" s="10"/>
      <c r="SF918" s="10"/>
      <c r="SG918" s="10"/>
      <c r="SH918" s="10"/>
      <c r="SI918" s="10"/>
      <c r="SJ918" s="10"/>
      <c r="SK918" s="10"/>
      <c r="SL918" s="10"/>
      <c r="SM918" s="10"/>
      <c r="SN918" s="10"/>
      <c r="SO918" s="10"/>
      <c r="SP918" s="10"/>
      <c r="SQ918" s="10"/>
      <c r="SR918" s="10"/>
      <c r="SS918" s="10"/>
      <c r="ST918" s="10"/>
      <c r="SU918" s="10"/>
      <c r="SV918" s="10"/>
      <c r="SW918" s="10"/>
      <c r="SX918" s="10"/>
      <c r="SY918" s="10"/>
      <c r="SZ918" s="10"/>
      <c r="TA918" s="10"/>
      <c r="TB918" s="10"/>
      <c r="TC918" s="10"/>
      <c r="TD918" s="10"/>
      <c r="TE918" s="10"/>
      <c r="TF918" s="10"/>
      <c r="TG918" s="10"/>
      <c r="TH918" s="10"/>
      <c r="TI918" s="10"/>
      <c r="TJ918" s="10"/>
      <c r="TK918" s="10"/>
      <c r="TL918" s="10"/>
      <c r="TM918" s="10"/>
      <c r="TN918" s="10"/>
      <c r="TO918" s="10"/>
      <c r="TP918" s="10"/>
      <c r="TQ918" s="10"/>
      <c r="TR918" s="10"/>
      <c r="TS918" s="10"/>
      <c r="TT918" s="10"/>
      <c r="TU918" s="10"/>
      <c r="TV918" s="10"/>
      <c r="TW918" s="10"/>
      <c r="TX918" s="10"/>
      <c r="TY918" s="10"/>
      <c r="TZ918" s="10"/>
      <c r="UA918" s="10"/>
      <c r="UB918" s="10"/>
      <c r="UC918" s="10"/>
      <c r="UD918" s="10"/>
      <c r="UE918" s="10"/>
      <c r="UF918" s="10"/>
      <c r="UG918" s="10"/>
      <c r="UH918" s="10"/>
      <c r="UI918" s="10"/>
      <c r="UJ918" s="10"/>
      <c r="UK918" s="10"/>
      <c r="UL918" s="10"/>
      <c r="UM918" s="10"/>
      <c r="UN918" s="10"/>
      <c r="UO918" s="10"/>
      <c r="UP918" s="10"/>
      <c r="UQ918" s="10"/>
      <c r="UR918" s="10"/>
      <c r="US918" s="10"/>
      <c r="UT918" s="10"/>
      <c r="UU918" s="10"/>
      <c r="UV918" s="10"/>
      <c r="UW918" s="10"/>
      <c r="UX918" s="10"/>
      <c r="UY918" s="10"/>
      <c r="UZ918" s="10"/>
      <c r="VA918" s="10"/>
      <c r="VB918" s="10"/>
      <c r="VC918" s="10"/>
      <c r="VD918" s="10"/>
      <c r="VE918" s="10"/>
      <c r="VF918" s="10"/>
      <c r="VG918" s="10"/>
      <c r="VH918" s="10"/>
      <c r="VI918" s="10"/>
      <c r="VJ918" s="10"/>
      <c r="VK918" s="10"/>
      <c r="VL918" s="10"/>
      <c r="VM918" s="10"/>
      <c r="VN918" s="10"/>
      <c r="VO918" s="10"/>
      <c r="VP918" s="10"/>
      <c r="VQ918" s="10"/>
      <c r="VR918" s="10"/>
      <c r="VS918" s="10"/>
      <c r="VT918" s="10"/>
      <c r="VU918" s="10"/>
      <c r="VV918" s="10"/>
      <c r="VW918" s="10"/>
      <c r="VX918" s="10"/>
      <c r="VY918" s="10"/>
      <c r="VZ918" s="10"/>
      <c r="WA918" s="10"/>
      <c r="WB918" s="10"/>
      <c r="WC918" s="10"/>
      <c r="WD918" s="10"/>
      <c r="WE918" s="10"/>
      <c r="WF918" s="10"/>
      <c r="WG918" s="10"/>
      <c r="WH918" s="10"/>
      <c r="WI918" s="10"/>
      <c r="WJ918" s="10"/>
      <c r="WK918" s="10"/>
      <c r="WL918" s="10"/>
      <c r="WM918" s="10"/>
      <c r="WN918" s="10"/>
      <c r="WO918" s="10"/>
      <c r="WP918" s="10"/>
      <c r="WQ918" s="10"/>
      <c r="WR918" s="10"/>
      <c r="WS918" s="10"/>
      <c r="WT918" s="10"/>
      <c r="WU918" s="10"/>
      <c r="WV918" s="10"/>
      <c r="WW918" s="10"/>
      <c r="WX918" s="10"/>
      <c r="WY918" s="10"/>
      <c r="WZ918" s="10"/>
      <c r="XA918" s="10"/>
      <c r="XB918" s="10"/>
      <c r="XC918" s="10"/>
      <c r="XD918" s="10"/>
      <c r="XE918" s="10"/>
      <c r="XF918" s="10"/>
      <c r="XG918" s="10"/>
      <c r="XH918" s="10"/>
      <c r="XI918" s="10"/>
      <c r="XJ918" s="10"/>
      <c r="XK918" s="10"/>
      <c r="XL918" s="10"/>
      <c r="XM918" s="10"/>
      <c r="XN918" s="10"/>
      <c r="XO918" s="10"/>
      <c r="XP918" s="10"/>
      <c r="XQ918" s="10"/>
      <c r="XR918" s="10"/>
      <c r="XS918" s="10"/>
      <c r="XT918" s="10"/>
      <c r="XU918" s="10"/>
      <c r="XV918" s="10"/>
      <c r="XW918" s="10"/>
      <c r="XX918" s="10"/>
      <c r="XY918" s="10"/>
      <c r="XZ918" s="10"/>
      <c r="YA918" s="10"/>
      <c r="YB918" s="10"/>
      <c r="YC918" s="10"/>
      <c r="YD918" s="10"/>
      <c r="YE918" s="10"/>
      <c r="YF918" s="10"/>
      <c r="YG918" s="10"/>
      <c r="YH918" s="10"/>
      <c r="YI918" s="10"/>
      <c r="YJ918" s="10"/>
      <c r="YK918" s="10"/>
      <c r="YL918" s="10"/>
      <c r="YM918" s="10"/>
      <c r="YN918" s="10"/>
      <c r="YO918" s="10"/>
      <c r="YP918" s="10"/>
      <c r="YQ918" s="10"/>
      <c r="YR918" s="10"/>
      <c r="YS918" s="10"/>
      <c r="YT918" s="10"/>
      <c r="YU918" s="10"/>
      <c r="YV918" s="10"/>
      <c r="YW918" s="10"/>
      <c r="YX918" s="10"/>
      <c r="YY918" s="10"/>
      <c r="YZ918" s="10"/>
      <c r="ZA918" s="10"/>
      <c r="ZB918" s="10"/>
      <c r="ZC918" s="10"/>
      <c r="ZD918" s="10"/>
      <c r="ZE918" s="10"/>
      <c r="ZF918" s="10"/>
      <c r="ZG918" s="10"/>
      <c r="ZH918" s="10"/>
      <c r="ZI918" s="10"/>
      <c r="ZJ918" s="10"/>
      <c r="ZK918" s="10"/>
      <c r="ZL918" s="10"/>
      <c r="ZM918" s="10"/>
      <c r="ZN918" s="10"/>
      <c r="ZO918" s="10"/>
      <c r="ZP918" s="10"/>
      <c r="ZQ918" s="10"/>
      <c r="ZR918" s="10"/>
      <c r="ZS918" s="10"/>
      <c r="ZT918" s="10"/>
      <c r="ZU918" s="10"/>
      <c r="ZV918" s="10"/>
      <c r="ZW918" s="10"/>
      <c r="ZX918" s="10"/>
      <c r="ZY918" s="10"/>
      <c r="ZZ918" s="10"/>
      <c r="AAA918" s="10"/>
      <c r="AAB918" s="10"/>
      <c r="AAC918" s="10"/>
      <c r="AAD918" s="10"/>
      <c r="AAE918" s="10"/>
      <c r="AAF918" s="10"/>
      <c r="AAG918" s="10"/>
      <c r="AAH918" s="10"/>
      <c r="AAI918" s="10"/>
      <c r="AAJ918" s="10"/>
      <c r="AAK918" s="10"/>
      <c r="AAL918" s="10"/>
      <c r="AAM918" s="10"/>
      <c r="AAN918" s="10"/>
      <c r="AAO918" s="10"/>
      <c r="AAP918" s="10"/>
      <c r="AAQ918" s="10"/>
      <c r="AAR918" s="10"/>
      <c r="AAS918" s="10"/>
      <c r="AAT918" s="10"/>
      <c r="AAU918" s="10"/>
      <c r="AAV918" s="10"/>
      <c r="AAW918" s="10"/>
      <c r="AAX918" s="10"/>
      <c r="AAY918" s="10"/>
      <c r="AAZ918" s="10"/>
      <c r="ABA918" s="10"/>
      <c r="ABB918" s="10"/>
      <c r="ABC918" s="10"/>
      <c r="ABD918" s="10"/>
      <c r="ABE918" s="10"/>
      <c r="ABF918" s="10"/>
      <c r="ABG918" s="10"/>
      <c r="ABH918" s="10"/>
      <c r="ABI918" s="10"/>
      <c r="ABJ918" s="10"/>
      <c r="ABK918" s="10"/>
      <c r="ABL918" s="10"/>
      <c r="ABM918" s="10"/>
      <c r="ABN918" s="10"/>
      <c r="ABO918" s="10"/>
      <c r="ABP918" s="10"/>
      <c r="ABQ918" s="10"/>
      <c r="ABR918" s="10"/>
      <c r="ABS918" s="10"/>
      <c r="ABT918" s="10"/>
      <c r="ABU918" s="10"/>
      <c r="ABV918" s="10"/>
      <c r="ABW918" s="10"/>
      <c r="ABX918" s="10"/>
      <c r="ABY918" s="10"/>
      <c r="ABZ918" s="10"/>
      <c r="ACA918" s="10"/>
      <c r="ACB918" s="10"/>
      <c r="ACC918" s="10"/>
      <c r="ACD918" s="10"/>
      <c r="ACE918" s="10"/>
      <c r="ACF918" s="10"/>
      <c r="ACG918" s="10"/>
      <c r="ACH918" s="10"/>
      <c r="ACI918" s="10"/>
      <c r="ACJ918" s="10"/>
      <c r="ACK918" s="10"/>
      <c r="ACL918" s="10"/>
      <c r="ACM918" s="10"/>
      <c r="ACN918" s="10"/>
      <c r="ACO918" s="10"/>
      <c r="ACP918" s="10"/>
      <c r="ACQ918" s="10"/>
      <c r="ACR918" s="10"/>
      <c r="ACS918" s="10"/>
      <c r="ACT918" s="10"/>
      <c r="ACU918" s="10"/>
      <c r="ACV918" s="10"/>
      <c r="ACW918" s="10"/>
      <c r="ACX918" s="10"/>
      <c r="ACY918" s="10"/>
      <c r="ACZ918" s="10"/>
      <c r="ADA918" s="10"/>
      <c r="ADB918" s="10"/>
      <c r="ADC918" s="10"/>
      <c r="ADD918" s="10"/>
      <c r="ADE918" s="10"/>
      <c r="ADF918" s="10"/>
      <c r="ADG918" s="10"/>
      <c r="ADH918" s="10"/>
      <c r="ADI918" s="10"/>
      <c r="ADJ918" s="10"/>
      <c r="ADK918" s="10"/>
      <c r="ADL918" s="10"/>
      <c r="ADM918" s="10"/>
      <c r="ADN918" s="10"/>
      <c r="ADO918" s="10"/>
      <c r="ADP918" s="10"/>
      <c r="ADQ918" s="10"/>
      <c r="ADR918" s="10"/>
      <c r="ADS918" s="10"/>
      <c r="ADT918" s="10"/>
      <c r="ADU918" s="10"/>
      <c r="ADV918" s="10"/>
      <c r="ADW918" s="10"/>
      <c r="ADX918" s="10"/>
      <c r="ADY918" s="10"/>
      <c r="ADZ918" s="10"/>
      <c r="AEA918" s="10"/>
      <c r="AEB918" s="10"/>
      <c r="AEC918" s="10"/>
      <c r="AED918" s="10"/>
      <c r="AEE918" s="10"/>
      <c r="AEF918" s="10"/>
      <c r="AEG918" s="10"/>
      <c r="AEH918" s="10"/>
      <c r="AEI918" s="10"/>
      <c r="AEJ918" s="10"/>
      <c r="AEK918" s="10"/>
      <c r="AEL918" s="10"/>
      <c r="AEM918" s="10"/>
      <c r="AEN918" s="10"/>
      <c r="AEO918" s="10"/>
      <c r="AEP918" s="10"/>
      <c r="AEQ918" s="10"/>
      <c r="AER918" s="10"/>
      <c r="AES918" s="10"/>
      <c r="AET918" s="10"/>
      <c r="AEU918" s="10"/>
      <c r="AEV918" s="10"/>
      <c r="AEW918" s="10"/>
      <c r="AEX918" s="10"/>
      <c r="AEY918" s="10"/>
      <c r="AEZ918" s="10"/>
      <c r="AFA918" s="10"/>
      <c r="AFB918" s="10"/>
      <c r="AFC918" s="10"/>
      <c r="AFD918" s="10"/>
      <c r="AFE918" s="10"/>
      <c r="AFF918" s="10"/>
      <c r="AFG918" s="10"/>
      <c r="AFH918" s="10"/>
      <c r="AFI918" s="10"/>
      <c r="AFJ918" s="10"/>
      <c r="AFK918" s="10"/>
      <c r="AFL918" s="10"/>
      <c r="AFM918" s="10"/>
      <c r="AFN918" s="10"/>
      <c r="AFO918" s="10"/>
      <c r="AFP918" s="10"/>
      <c r="AFQ918" s="10"/>
      <c r="AFR918" s="10"/>
      <c r="AFS918" s="10"/>
      <c r="AFT918" s="10"/>
      <c r="AFU918" s="10"/>
      <c r="AFV918" s="10"/>
      <c r="AFW918" s="10"/>
      <c r="AFX918" s="10"/>
      <c r="AFY918" s="10"/>
      <c r="AFZ918" s="10"/>
      <c r="AGA918" s="10"/>
      <c r="AGB918" s="10"/>
      <c r="AGC918" s="10"/>
      <c r="AGD918" s="10"/>
      <c r="AGE918" s="10"/>
      <c r="AGF918" s="10"/>
      <c r="AGG918" s="10"/>
      <c r="AGH918" s="10"/>
      <c r="AGI918" s="10"/>
      <c r="AGJ918" s="10"/>
      <c r="AGK918" s="10"/>
      <c r="AGL918" s="10"/>
      <c r="AGM918" s="10"/>
      <c r="AGN918" s="10"/>
      <c r="AGO918" s="10"/>
      <c r="AGP918" s="10"/>
      <c r="AGQ918" s="10"/>
      <c r="AGR918" s="10"/>
      <c r="AGS918" s="10"/>
      <c r="AGT918" s="10"/>
      <c r="AGU918" s="10"/>
      <c r="AGV918" s="10"/>
      <c r="AGW918" s="10"/>
      <c r="AGX918" s="10"/>
      <c r="AGY918" s="10"/>
      <c r="AGZ918" s="10"/>
      <c r="AHA918" s="10"/>
      <c r="AHB918" s="10"/>
      <c r="AHC918" s="10"/>
      <c r="AHD918" s="10"/>
      <c r="AHE918" s="10"/>
      <c r="AHF918" s="10"/>
      <c r="AHG918" s="10"/>
      <c r="AHH918" s="10"/>
      <c r="AHI918" s="10"/>
      <c r="AHJ918" s="10"/>
      <c r="AHK918" s="10"/>
      <c r="AHL918" s="10"/>
      <c r="AHM918" s="10"/>
      <c r="AHN918" s="10"/>
      <c r="AHO918" s="10"/>
      <c r="AHP918" s="10"/>
      <c r="AHQ918" s="10"/>
      <c r="AHR918" s="10"/>
      <c r="AHS918" s="10"/>
      <c r="AHT918" s="10"/>
      <c r="AHU918" s="10"/>
      <c r="AHV918" s="10"/>
      <c r="AHW918" s="10"/>
      <c r="AHX918" s="10"/>
      <c r="AHY918" s="10"/>
      <c r="AHZ918" s="10"/>
      <c r="AIA918" s="10"/>
      <c r="AIB918" s="10"/>
      <c r="AIC918" s="10"/>
      <c r="AID918" s="10"/>
      <c r="AIE918" s="10"/>
      <c r="AIF918" s="10"/>
      <c r="AIG918" s="10"/>
      <c r="AIH918" s="10"/>
      <c r="AII918" s="10"/>
      <c r="AIJ918" s="10"/>
      <c r="AIK918" s="10"/>
      <c r="AIL918" s="10"/>
      <c r="AIM918" s="10"/>
      <c r="AIN918" s="10"/>
      <c r="AIO918" s="10"/>
      <c r="AIP918" s="10"/>
      <c r="AIQ918" s="10"/>
      <c r="AIR918" s="10"/>
      <c r="AIS918" s="10"/>
      <c r="AIT918" s="10"/>
      <c r="AIU918" s="10"/>
      <c r="AIV918" s="10"/>
      <c r="AIW918" s="10"/>
      <c r="AIX918" s="10"/>
      <c r="AIY918" s="10"/>
      <c r="AIZ918" s="10"/>
      <c r="AJA918" s="10"/>
      <c r="AJB918" s="10"/>
      <c r="AJC918" s="10"/>
      <c r="AJD918" s="10"/>
      <c r="AJE918" s="10"/>
      <c r="AJF918" s="10"/>
      <c r="AJG918" s="10"/>
      <c r="AJH918" s="10"/>
      <c r="AJI918" s="10"/>
      <c r="AJJ918" s="10"/>
      <c r="AJK918" s="10"/>
      <c r="AJL918" s="10"/>
      <c r="AJM918" s="10"/>
      <c r="AJN918" s="10"/>
      <c r="AJO918" s="10"/>
      <c r="AJP918" s="10"/>
      <c r="AJQ918" s="10"/>
      <c r="AJR918" s="10"/>
      <c r="AJS918" s="10"/>
      <c r="AJT918" s="10"/>
      <c r="AJU918" s="10"/>
      <c r="AJV918" s="10"/>
      <c r="AJW918" s="10"/>
      <c r="AJX918" s="10"/>
      <c r="AJY918" s="10"/>
      <c r="AJZ918" s="10"/>
      <c r="AKA918" s="10"/>
      <c r="AKB918" s="10"/>
      <c r="AKC918" s="10"/>
      <c r="AKD918" s="10"/>
      <c r="AKE918" s="10"/>
      <c r="AKF918" s="10"/>
      <c r="AKG918" s="10"/>
      <c r="AKH918" s="10"/>
      <c r="AKI918" s="10"/>
      <c r="AKJ918" s="10"/>
      <c r="AKK918" s="10"/>
      <c r="AKL918" s="10"/>
      <c r="AKM918" s="10"/>
      <c r="AKN918" s="10"/>
      <c r="AKO918" s="10"/>
      <c r="AKP918" s="10"/>
      <c r="AKQ918" s="10"/>
      <c r="AKR918" s="10"/>
      <c r="AKS918" s="10"/>
      <c r="AKT918" s="10"/>
      <c r="AKU918" s="10"/>
      <c r="AKV918" s="10"/>
      <c r="AKW918" s="10"/>
      <c r="AKX918" s="10"/>
      <c r="AKY918" s="10"/>
      <c r="AKZ918" s="10"/>
      <c r="ALA918" s="10"/>
      <c r="ALB918" s="10"/>
      <c r="ALC918" s="10"/>
      <c r="ALD918" s="10"/>
      <c r="ALE918" s="10"/>
      <c r="ALF918" s="10"/>
      <c r="ALG918" s="10"/>
      <c r="ALH918" s="10"/>
      <c r="ALI918" s="10"/>
      <c r="ALJ918" s="10"/>
      <c r="ALK918" s="10"/>
      <c r="ALL918" s="10"/>
      <c r="ALM918" s="10"/>
      <c r="ALN918" s="10"/>
      <c r="ALO918" s="10"/>
      <c r="ALP918" s="10"/>
      <c r="ALQ918" s="10"/>
      <c r="ALR918" s="10"/>
      <c r="ALS918" s="10"/>
      <c r="ALT918" s="10"/>
      <c r="ALU918" s="10"/>
      <c r="ALV918" s="10"/>
      <c r="ALW918" s="10"/>
      <c r="ALX918" s="10"/>
      <c r="ALY918" s="10"/>
      <c r="ALZ918" s="10"/>
      <c r="AMA918" s="10"/>
      <c r="AMB918" s="10"/>
      <c r="AMC918" s="10"/>
      <c r="AMD918" s="10"/>
      <c r="AME918" s="10"/>
      <c r="AMF918" s="10"/>
      <c r="AMG918" s="10"/>
      <c r="AMH918" s="10"/>
      <c r="AMI918" s="10"/>
      <c r="AMJ918" s="10"/>
      <c r="AMK918" s="10"/>
      <c r="AML918" s="10"/>
      <c r="AMM918" s="10"/>
      <c r="AMN918" s="10"/>
      <c r="AMO918" s="10"/>
      <c r="AMP918" s="10"/>
      <c r="AMQ918" s="10"/>
      <c r="AMR918" s="10"/>
      <c r="AMS918" s="10"/>
      <c r="AMT918" s="10"/>
      <c r="AMU918" s="10"/>
      <c r="AMV918" s="10"/>
      <c r="AMW918" s="10"/>
      <c r="AMX918" s="10"/>
      <c r="AMY918" s="10"/>
      <c r="AMZ918" s="10"/>
      <c r="ANA918" s="10"/>
      <c r="ANB918" s="10"/>
      <c r="ANC918" s="10"/>
      <c r="AND918" s="10"/>
      <c r="ANE918" s="10"/>
      <c r="ANF918" s="10"/>
      <c r="ANG918" s="10"/>
      <c r="ANH918" s="10"/>
      <c r="ANI918" s="10"/>
      <c r="ANJ918" s="10"/>
      <c r="ANK918" s="10"/>
      <c r="ANL918" s="10"/>
      <c r="ANM918" s="10"/>
      <c r="ANN918" s="10"/>
      <c r="ANO918" s="10"/>
      <c r="ANP918" s="10"/>
      <c r="ANQ918" s="10"/>
      <c r="ANR918" s="10"/>
      <c r="ANS918" s="10"/>
      <c r="ANT918" s="10"/>
      <c r="ANU918" s="10"/>
      <c r="ANV918" s="10"/>
      <c r="ANW918" s="10"/>
      <c r="ANX918" s="10"/>
      <c r="ANY918" s="10"/>
      <c r="ANZ918" s="10"/>
      <c r="AOA918" s="10"/>
      <c r="AOB918" s="10"/>
      <c r="AOC918" s="10"/>
      <c r="AOD918" s="10"/>
      <c r="AOE918" s="10"/>
      <c r="AOF918" s="10"/>
      <c r="AOG918" s="10"/>
      <c r="AOH918" s="10"/>
      <c r="AOI918" s="10"/>
      <c r="AOJ918" s="10"/>
      <c r="AOK918" s="10"/>
      <c r="AOL918" s="10"/>
      <c r="AOM918" s="10"/>
      <c r="AON918" s="10"/>
      <c r="AOO918" s="10"/>
      <c r="AOP918" s="10"/>
      <c r="AOQ918" s="10"/>
      <c r="AOR918" s="10"/>
      <c r="AOS918" s="10"/>
      <c r="AOT918" s="10"/>
      <c r="AOU918" s="10"/>
      <c r="AOV918" s="10"/>
      <c r="AOW918" s="10"/>
      <c r="AOX918" s="10"/>
      <c r="AOY918" s="10"/>
      <c r="AOZ918" s="10"/>
      <c r="APA918" s="10"/>
      <c r="APB918" s="10"/>
      <c r="APC918" s="10"/>
      <c r="APD918" s="10"/>
      <c r="APE918" s="10"/>
      <c r="APF918" s="10"/>
      <c r="APG918" s="10"/>
      <c r="APH918" s="10"/>
      <c r="API918" s="10"/>
      <c r="APJ918" s="10"/>
      <c r="APK918" s="10"/>
      <c r="APL918" s="10"/>
      <c r="APM918" s="10"/>
      <c r="APN918" s="10"/>
      <c r="APO918" s="10"/>
      <c r="APP918" s="10"/>
      <c r="APQ918" s="10"/>
      <c r="APR918" s="10"/>
      <c r="APS918" s="10"/>
      <c r="APT918" s="10"/>
      <c r="APU918" s="10"/>
      <c r="APV918" s="10"/>
      <c r="APW918" s="10"/>
      <c r="APX918" s="10"/>
      <c r="APY918" s="10"/>
      <c r="APZ918" s="10"/>
      <c r="AQA918" s="10"/>
      <c r="AQB918" s="10"/>
      <c r="AQC918" s="10"/>
      <c r="AQD918" s="10"/>
      <c r="AQE918" s="10"/>
      <c r="AQF918" s="10"/>
      <c r="AQG918" s="10"/>
      <c r="AQH918" s="10"/>
      <c r="AQI918" s="10"/>
      <c r="AQJ918" s="10"/>
      <c r="AQK918" s="10"/>
      <c r="AQL918" s="10"/>
      <c r="AQM918" s="10"/>
      <c r="AQN918" s="10"/>
      <c r="AQO918" s="10"/>
      <c r="AQP918" s="10"/>
      <c r="AQQ918" s="10"/>
      <c r="AQR918" s="10"/>
      <c r="AQS918" s="10"/>
      <c r="AQT918" s="10"/>
      <c r="AQU918" s="10"/>
      <c r="AQV918" s="10"/>
      <c r="AQW918" s="10"/>
      <c r="AQX918" s="10"/>
      <c r="AQY918" s="10"/>
      <c r="AQZ918" s="10"/>
      <c r="ARA918" s="10"/>
      <c r="ARB918" s="10"/>
      <c r="ARC918" s="10"/>
      <c r="ARD918" s="10"/>
      <c r="ARE918" s="10"/>
      <c r="ARF918" s="10"/>
      <c r="ARG918" s="10"/>
      <c r="ARH918" s="10"/>
      <c r="ARI918" s="10"/>
      <c r="ARJ918" s="10"/>
      <c r="ARK918" s="10"/>
      <c r="ARL918" s="10"/>
      <c r="ARM918" s="10"/>
      <c r="ARN918" s="10"/>
      <c r="ARO918" s="10"/>
      <c r="ARP918" s="10"/>
      <c r="ARQ918" s="10"/>
      <c r="ARR918" s="10"/>
      <c r="ARS918" s="10"/>
      <c r="ART918" s="10"/>
      <c r="ARU918" s="10"/>
      <c r="ARV918" s="10"/>
      <c r="ARW918" s="10"/>
      <c r="ARX918" s="10"/>
      <c r="ARY918" s="10"/>
      <c r="ARZ918" s="10"/>
      <c r="ASA918" s="10"/>
      <c r="ASB918" s="10"/>
      <c r="ASC918" s="10"/>
      <c r="ASD918" s="10"/>
      <c r="ASE918" s="10"/>
      <c r="ASF918" s="10"/>
      <c r="ASG918" s="10"/>
      <c r="ASH918" s="10"/>
      <c r="ASI918" s="10"/>
      <c r="ASJ918" s="10"/>
      <c r="ASK918" s="10"/>
      <c r="ASL918" s="10"/>
      <c r="ASM918" s="10"/>
      <c r="ASN918" s="10"/>
      <c r="ASO918" s="10"/>
      <c r="ASP918" s="10"/>
      <c r="ASQ918" s="10"/>
      <c r="ASR918" s="10"/>
      <c r="ASS918" s="10"/>
      <c r="AST918" s="10"/>
      <c r="ASU918" s="10"/>
      <c r="ASV918" s="10"/>
      <c r="ASW918" s="10"/>
      <c r="ASX918" s="10"/>
      <c r="ASY918" s="10"/>
      <c r="ASZ918" s="10"/>
      <c r="ATA918" s="10"/>
      <c r="ATB918" s="10"/>
      <c r="ATC918" s="10"/>
      <c r="ATD918" s="10"/>
      <c r="ATE918" s="10"/>
      <c r="ATF918" s="10"/>
      <c r="ATG918" s="10"/>
      <c r="ATH918" s="10"/>
      <c r="ATI918" s="10"/>
      <c r="ATJ918" s="10"/>
      <c r="ATK918" s="10"/>
      <c r="ATL918" s="10"/>
      <c r="ATM918" s="10"/>
      <c r="ATN918" s="10"/>
      <c r="ATO918" s="10"/>
      <c r="ATP918" s="10"/>
      <c r="ATQ918" s="10"/>
      <c r="ATR918" s="10"/>
      <c r="ATS918" s="10"/>
      <c r="ATT918" s="10"/>
      <c r="ATU918" s="10"/>
      <c r="ATV918" s="10"/>
      <c r="ATW918" s="10"/>
      <c r="ATX918" s="10"/>
      <c r="ATY918" s="10"/>
      <c r="ATZ918" s="10"/>
      <c r="AUA918" s="10"/>
      <c r="AUB918" s="10"/>
      <c r="AUC918" s="10"/>
      <c r="AUD918" s="10"/>
      <c r="AUE918" s="10"/>
      <c r="AUF918" s="10"/>
      <c r="AUG918" s="10"/>
      <c r="AUH918" s="10"/>
      <c r="AUI918" s="10"/>
      <c r="AUJ918" s="10"/>
      <c r="AUK918" s="10"/>
      <c r="AUL918" s="10"/>
      <c r="AUM918" s="10"/>
      <c r="AUN918" s="10"/>
      <c r="AUO918" s="10"/>
      <c r="AUP918" s="10"/>
      <c r="AUQ918" s="10"/>
      <c r="AUR918" s="10"/>
      <c r="AUS918" s="10"/>
      <c r="AUT918" s="10"/>
      <c r="AUU918" s="10"/>
      <c r="AUV918" s="10"/>
      <c r="AUW918" s="10"/>
      <c r="AUX918" s="10"/>
      <c r="AUY918" s="10"/>
      <c r="AUZ918" s="10"/>
      <c r="AVA918" s="10"/>
      <c r="AVB918" s="10"/>
      <c r="AVC918" s="10"/>
      <c r="AVD918" s="10"/>
      <c r="AVE918" s="10"/>
      <c r="AVF918" s="10"/>
      <c r="AVG918" s="10"/>
      <c r="AVH918" s="10"/>
      <c r="AVI918" s="10"/>
      <c r="AVJ918" s="10"/>
      <c r="AVK918" s="10"/>
      <c r="AVL918" s="10"/>
      <c r="AVM918" s="10"/>
      <c r="AVN918" s="10"/>
      <c r="AVO918" s="10"/>
      <c r="AVP918" s="10"/>
      <c r="AVQ918" s="10"/>
      <c r="AVR918" s="10"/>
      <c r="AVS918" s="10"/>
      <c r="AVT918" s="10"/>
      <c r="AVU918" s="10"/>
      <c r="AVV918" s="10"/>
      <c r="AVW918" s="10"/>
      <c r="AVX918" s="10"/>
      <c r="AVY918" s="10"/>
      <c r="AVZ918" s="10"/>
      <c r="AWA918" s="10"/>
      <c r="AWB918" s="10"/>
      <c r="AWC918" s="10"/>
      <c r="AWD918" s="10"/>
      <c r="AWE918" s="10"/>
      <c r="AWF918" s="10"/>
      <c r="AWG918" s="10"/>
      <c r="AWH918" s="10"/>
      <c r="AWI918" s="10"/>
      <c r="AWJ918" s="10"/>
      <c r="AWK918" s="10"/>
      <c r="AWL918" s="10"/>
      <c r="AWM918" s="10"/>
      <c r="AWN918" s="10"/>
      <c r="AWO918" s="10"/>
      <c r="AWP918" s="10"/>
      <c r="AWQ918" s="10"/>
      <c r="AWR918" s="10"/>
      <c r="AWS918" s="10"/>
      <c r="AWT918" s="10"/>
      <c r="AWU918" s="10"/>
      <c r="AWV918" s="10"/>
      <c r="AWW918" s="10"/>
      <c r="AWX918" s="10"/>
      <c r="AWY918" s="10"/>
      <c r="AWZ918" s="10"/>
      <c r="AXA918" s="10"/>
      <c r="AXB918" s="10"/>
      <c r="AXC918" s="10"/>
      <c r="AXD918" s="10"/>
      <c r="AXE918" s="10"/>
      <c r="AXF918" s="10"/>
      <c r="AXG918" s="10"/>
      <c r="AXH918" s="10"/>
      <c r="AXI918" s="10"/>
      <c r="AXJ918" s="10"/>
      <c r="AXK918" s="10"/>
      <c r="AXL918" s="10"/>
      <c r="AXM918" s="10"/>
      <c r="AXN918" s="10"/>
      <c r="AXO918" s="10"/>
      <c r="AXP918" s="10"/>
      <c r="AXQ918" s="10"/>
      <c r="AXR918" s="10"/>
      <c r="AXS918" s="10"/>
      <c r="AXT918" s="10"/>
      <c r="AXU918" s="10"/>
      <c r="AXV918" s="10"/>
      <c r="AXW918" s="10"/>
      <c r="AXX918" s="10"/>
      <c r="AXY918" s="10"/>
      <c r="AXZ918" s="10"/>
      <c r="AYA918" s="10"/>
      <c r="AYB918" s="10"/>
      <c r="AYC918" s="10"/>
      <c r="AYD918" s="10"/>
      <c r="AYE918" s="10"/>
      <c r="AYF918" s="10"/>
      <c r="AYG918" s="10"/>
      <c r="AYH918" s="10"/>
      <c r="AYI918" s="10"/>
      <c r="AYJ918" s="10"/>
      <c r="AYK918" s="10"/>
      <c r="AYL918" s="10"/>
      <c r="AYM918" s="10"/>
      <c r="AYN918" s="10"/>
      <c r="AYO918" s="10"/>
      <c r="AYP918" s="10"/>
      <c r="AYQ918" s="10"/>
      <c r="AYR918" s="10"/>
      <c r="AYS918" s="10"/>
      <c r="AYT918" s="10"/>
      <c r="AYU918" s="10"/>
      <c r="AYV918" s="10"/>
      <c r="AYW918" s="10"/>
      <c r="AYX918" s="10"/>
      <c r="AYY918" s="10"/>
      <c r="AYZ918" s="10"/>
      <c r="AZA918" s="10"/>
      <c r="AZB918" s="10"/>
      <c r="AZC918" s="10"/>
      <c r="AZD918" s="10"/>
      <c r="AZE918" s="10"/>
      <c r="AZF918" s="10"/>
      <c r="AZG918" s="10"/>
      <c r="AZH918" s="10"/>
      <c r="AZI918" s="10"/>
      <c r="AZJ918" s="10"/>
      <c r="AZK918" s="10"/>
      <c r="AZL918" s="10"/>
      <c r="AZM918" s="10"/>
      <c r="AZN918" s="10"/>
      <c r="AZO918" s="10"/>
      <c r="AZP918" s="10"/>
      <c r="AZQ918" s="10"/>
      <c r="AZR918" s="10"/>
      <c r="AZS918" s="10"/>
      <c r="AZT918" s="10"/>
      <c r="AZU918" s="10"/>
      <c r="AZV918" s="10"/>
      <c r="AZW918" s="10"/>
      <c r="AZX918" s="10"/>
      <c r="AZY918" s="10"/>
      <c r="AZZ918" s="10"/>
      <c r="BAA918" s="10"/>
      <c r="BAB918" s="10"/>
      <c r="BAC918" s="10"/>
      <c r="BAD918" s="10"/>
      <c r="BAE918" s="10"/>
      <c r="BAF918" s="10"/>
      <c r="BAG918" s="10"/>
      <c r="BAH918" s="10"/>
      <c r="BAI918" s="10"/>
      <c r="BAJ918" s="10"/>
      <c r="BAK918" s="10"/>
      <c r="BAL918" s="10"/>
      <c r="BAM918" s="10"/>
      <c r="BAN918" s="10"/>
      <c r="BAO918" s="10"/>
      <c r="BAP918" s="10"/>
      <c r="BAQ918" s="10"/>
      <c r="BAR918" s="10"/>
      <c r="BAS918" s="10"/>
      <c r="BAT918" s="10"/>
      <c r="BAU918" s="10"/>
      <c r="BAV918" s="10"/>
      <c r="BAW918" s="10"/>
      <c r="BAX918" s="10"/>
      <c r="BAY918" s="10"/>
      <c r="BAZ918" s="10"/>
      <c r="BBA918" s="10"/>
      <c r="BBB918" s="10"/>
      <c r="BBC918" s="10"/>
      <c r="BBD918" s="10"/>
      <c r="BBE918" s="10"/>
      <c r="BBF918" s="10"/>
      <c r="BBG918" s="10"/>
      <c r="BBH918" s="10"/>
      <c r="BBI918" s="10"/>
      <c r="BBJ918" s="10"/>
      <c r="BBK918" s="10"/>
      <c r="BBL918" s="10"/>
      <c r="BBM918" s="10"/>
      <c r="BBN918" s="10"/>
      <c r="BBO918" s="10"/>
      <c r="BBP918" s="10"/>
      <c r="BBQ918" s="10"/>
      <c r="BBR918" s="10"/>
      <c r="BBS918" s="10"/>
      <c r="BBT918" s="10"/>
      <c r="BBU918" s="10"/>
      <c r="BBV918" s="10"/>
      <c r="BBW918" s="10"/>
      <c r="BBX918" s="10"/>
      <c r="BBY918" s="10"/>
      <c r="BBZ918" s="10"/>
      <c r="BCA918" s="10"/>
      <c r="BCB918" s="10"/>
      <c r="BCC918" s="10"/>
      <c r="BCD918" s="10"/>
      <c r="BCE918" s="10"/>
      <c r="BCF918" s="10"/>
      <c r="BCG918" s="10"/>
      <c r="BCH918" s="10"/>
      <c r="BCI918" s="10"/>
      <c r="BCJ918" s="10"/>
      <c r="BCK918" s="10"/>
      <c r="BCL918" s="10"/>
      <c r="BCM918" s="10"/>
      <c r="BCN918" s="10"/>
      <c r="BCO918" s="10"/>
      <c r="BCP918" s="10"/>
      <c r="BCQ918" s="10"/>
      <c r="BCR918" s="10"/>
      <c r="BCS918" s="10"/>
      <c r="BCT918" s="10"/>
      <c r="BCU918" s="10"/>
      <c r="BCV918" s="10"/>
      <c r="BCW918" s="10"/>
      <c r="BCX918" s="10"/>
      <c r="BCY918" s="10"/>
      <c r="BCZ918" s="10"/>
      <c r="BDA918" s="10"/>
      <c r="BDB918" s="10"/>
      <c r="BDC918" s="10"/>
      <c r="BDD918" s="10"/>
      <c r="BDE918" s="10"/>
      <c r="BDF918" s="10"/>
      <c r="BDG918" s="10"/>
      <c r="BDH918" s="10"/>
      <c r="BDI918" s="10"/>
      <c r="BDJ918" s="10"/>
      <c r="BDK918" s="10"/>
      <c r="BDL918" s="10"/>
      <c r="BDM918" s="10"/>
      <c r="BDN918" s="10"/>
      <c r="BDO918" s="10"/>
      <c r="BDP918" s="10"/>
      <c r="BDQ918" s="10"/>
      <c r="BDR918" s="10"/>
      <c r="BDS918" s="10"/>
      <c r="BDT918" s="10"/>
      <c r="BDU918" s="10"/>
      <c r="BDV918" s="10"/>
      <c r="BDW918" s="10"/>
      <c r="BDX918" s="10"/>
      <c r="BDY918" s="10"/>
      <c r="BDZ918" s="10"/>
      <c r="BEA918" s="10"/>
      <c r="BEB918" s="10"/>
      <c r="BEC918" s="10"/>
      <c r="BED918" s="10"/>
      <c r="BEE918" s="10"/>
      <c r="BEF918" s="10"/>
      <c r="BEG918" s="10"/>
      <c r="BEH918" s="10"/>
      <c r="BEI918" s="10"/>
      <c r="BEJ918" s="10"/>
      <c r="BEK918" s="10"/>
      <c r="BEL918" s="10"/>
      <c r="BEM918" s="10"/>
      <c r="BEN918" s="10"/>
      <c r="BEO918" s="10"/>
      <c r="BEP918" s="10"/>
      <c r="BEQ918" s="10"/>
      <c r="BER918" s="10"/>
      <c r="BES918" s="10"/>
      <c r="BET918" s="10"/>
      <c r="BEU918" s="10"/>
      <c r="BEV918" s="10"/>
      <c r="BEW918" s="10"/>
      <c r="BEX918" s="10"/>
      <c r="BEY918" s="10"/>
      <c r="BEZ918" s="10"/>
      <c r="BFA918" s="10"/>
      <c r="BFB918" s="10"/>
      <c r="BFC918" s="10"/>
      <c r="BFD918" s="10"/>
      <c r="BFE918" s="10"/>
      <c r="BFF918" s="10"/>
      <c r="BFG918" s="10"/>
      <c r="BFH918" s="10"/>
      <c r="BFI918" s="10"/>
      <c r="BFJ918" s="10"/>
      <c r="BFK918" s="10"/>
      <c r="BFL918" s="10"/>
      <c r="BFM918" s="10"/>
      <c r="BFN918" s="10"/>
      <c r="BFO918" s="10"/>
      <c r="BFP918" s="10"/>
      <c r="BFQ918" s="10"/>
      <c r="BFR918" s="10"/>
      <c r="BFS918" s="10"/>
      <c r="BFT918" s="10"/>
      <c r="BFU918" s="10"/>
      <c r="BFV918" s="10"/>
      <c r="BFW918" s="10"/>
      <c r="BFX918" s="10"/>
      <c r="BFY918" s="10"/>
      <c r="BFZ918" s="10"/>
      <c r="BGA918" s="10"/>
      <c r="BGB918" s="10"/>
      <c r="BGC918" s="10"/>
      <c r="BGD918" s="10"/>
      <c r="BGE918" s="10"/>
      <c r="BGF918" s="10"/>
      <c r="BGG918" s="10"/>
      <c r="BGH918" s="10"/>
      <c r="BGI918" s="10"/>
      <c r="BGJ918" s="10"/>
      <c r="BGK918" s="10"/>
      <c r="BGL918" s="10"/>
      <c r="BGM918" s="10"/>
      <c r="BGN918" s="10"/>
      <c r="BGO918" s="10"/>
      <c r="BGP918" s="10"/>
      <c r="BGQ918" s="10"/>
      <c r="BGR918" s="10"/>
      <c r="BGS918" s="10"/>
      <c r="BGT918" s="10"/>
      <c r="BGU918" s="10"/>
      <c r="BGV918" s="10"/>
      <c r="BGW918" s="10"/>
      <c r="BGX918" s="10"/>
      <c r="BGY918" s="10"/>
      <c r="BGZ918" s="10"/>
      <c r="BHA918" s="10"/>
      <c r="BHB918" s="10"/>
      <c r="BHC918" s="10"/>
      <c r="BHD918" s="10"/>
      <c r="BHE918" s="10"/>
      <c r="BHF918" s="10"/>
      <c r="BHG918" s="10"/>
      <c r="BHH918" s="10"/>
      <c r="BHI918" s="10"/>
      <c r="BHJ918" s="10"/>
      <c r="BHK918" s="10"/>
      <c r="BHL918" s="10"/>
      <c r="BHM918" s="10"/>
      <c r="BHN918" s="10"/>
      <c r="BHO918" s="10"/>
      <c r="BHP918" s="10"/>
      <c r="BHQ918" s="10"/>
      <c r="BHR918" s="10"/>
      <c r="BHS918" s="10"/>
      <c r="BHT918" s="10"/>
      <c r="BHU918" s="10"/>
      <c r="BHV918" s="10"/>
      <c r="BHW918" s="10"/>
      <c r="BHX918" s="10"/>
      <c r="BHY918" s="10"/>
      <c r="BHZ918" s="10"/>
      <c r="BIA918" s="10"/>
      <c r="BIB918" s="10"/>
      <c r="BIC918" s="10"/>
      <c r="BID918" s="10"/>
      <c r="BIE918" s="10"/>
      <c r="BIF918" s="10"/>
      <c r="BIG918" s="10"/>
      <c r="BIH918" s="10"/>
      <c r="BII918" s="10"/>
      <c r="BIJ918" s="10"/>
      <c r="BIK918" s="10"/>
      <c r="BIL918" s="10"/>
      <c r="BIM918" s="10"/>
      <c r="BIN918" s="10"/>
      <c r="BIO918" s="10"/>
      <c r="BIP918" s="10"/>
      <c r="BIQ918" s="10"/>
      <c r="BIR918" s="10"/>
      <c r="BIS918" s="10"/>
      <c r="BIT918" s="10"/>
      <c r="BIU918" s="10"/>
      <c r="BIV918" s="10"/>
      <c r="BIW918" s="10"/>
      <c r="BIX918" s="10"/>
      <c r="BIY918" s="10"/>
      <c r="BIZ918" s="10"/>
      <c r="BJA918" s="10"/>
      <c r="BJB918" s="10"/>
      <c r="BJC918" s="10"/>
      <c r="BJD918" s="10"/>
      <c r="BJE918" s="10"/>
      <c r="BJF918" s="10"/>
      <c r="BJG918" s="10"/>
      <c r="BJH918" s="10"/>
      <c r="BJI918" s="10"/>
      <c r="BJJ918" s="10"/>
      <c r="BJK918" s="10"/>
      <c r="BJL918" s="10"/>
      <c r="BJM918" s="10"/>
      <c r="BJN918" s="10"/>
      <c r="BJO918" s="10"/>
      <c r="BJP918" s="10"/>
      <c r="BJQ918" s="10"/>
      <c r="BJR918" s="10"/>
      <c r="BJS918" s="10"/>
      <c r="BJT918" s="10"/>
      <c r="BJU918" s="10"/>
      <c r="BJV918" s="10"/>
      <c r="BJW918" s="10"/>
      <c r="BJX918" s="10"/>
      <c r="BJY918" s="10"/>
      <c r="BJZ918" s="10"/>
      <c r="BKA918" s="10"/>
      <c r="BKB918" s="10"/>
      <c r="BKC918" s="10"/>
      <c r="BKD918" s="10"/>
      <c r="BKE918" s="10"/>
      <c r="BKF918" s="10"/>
      <c r="BKG918" s="10"/>
      <c r="BKH918" s="10"/>
      <c r="BKI918" s="10"/>
      <c r="BKJ918" s="10"/>
      <c r="BKK918" s="10"/>
      <c r="BKL918" s="10"/>
      <c r="BKM918" s="10"/>
      <c r="BKN918" s="10"/>
      <c r="BKO918" s="10"/>
      <c r="BKP918" s="10"/>
      <c r="BKQ918" s="10"/>
      <c r="BKR918" s="10"/>
      <c r="BKS918" s="10"/>
      <c r="BKT918" s="10"/>
      <c r="BKU918" s="10"/>
      <c r="BKV918" s="10"/>
      <c r="BKW918" s="10"/>
      <c r="BKX918" s="10"/>
      <c r="BKY918" s="10"/>
      <c r="BKZ918" s="10"/>
      <c r="BLA918" s="10"/>
      <c r="BLB918" s="10"/>
      <c r="BLC918" s="10"/>
      <c r="BLD918" s="10"/>
      <c r="BLE918" s="10"/>
      <c r="BLF918" s="10"/>
      <c r="BLG918" s="10"/>
      <c r="BLH918" s="10"/>
      <c r="BLI918" s="10"/>
      <c r="BLJ918" s="10"/>
      <c r="BLK918" s="10"/>
      <c r="BLL918" s="10"/>
      <c r="BLM918" s="10"/>
      <c r="BLN918" s="10"/>
      <c r="BLO918" s="10"/>
      <c r="BLP918" s="10"/>
      <c r="BLQ918" s="10"/>
      <c r="BLR918" s="10"/>
      <c r="BLS918" s="10"/>
      <c r="BLT918" s="10"/>
      <c r="BLU918" s="10"/>
      <c r="BLV918" s="10"/>
      <c r="BLW918" s="10"/>
      <c r="BLX918" s="10"/>
      <c r="BLY918" s="10"/>
      <c r="BLZ918" s="10"/>
      <c r="BMA918" s="10"/>
      <c r="BMB918" s="10"/>
      <c r="BMC918" s="10"/>
      <c r="BMD918" s="10"/>
      <c r="BME918" s="10"/>
      <c r="BMF918" s="10"/>
      <c r="BMG918" s="10"/>
      <c r="BMH918" s="10"/>
      <c r="BMI918" s="10"/>
      <c r="BMJ918" s="10"/>
      <c r="BMK918" s="10"/>
      <c r="BML918" s="10"/>
      <c r="BMM918" s="10"/>
      <c r="BMN918" s="10"/>
      <c r="BMO918" s="10"/>
      <c r="BMP918" s="10"/>
      <c r="BMQ918" s="10"/>
      <c r="BMR918" s="10"/>
      <c r="BMS918" s="10"/>
      <c r="BMT918" s="10"/>
      <c r="BMU918" s="10"/>
      <c r="BMV918" s="10"/>
      <c r="BMW918" s="10"/>
      <c r="BMX918" s="10"/>
      <c r="BMY918" s="10"/>
      <c r="BMZ918" s="10"/>
      <c r="BNA918" s="10"/>
      <c r="BNB918" s="10"/>
      <c r="BNC918" s="10"/>
      <c r="BND918" s="10"/>
      <c r="BNE918" s="10"/>
      <c r="BNF918" s="10"/>
      <c r="BNG918" s="10"/>
      <c r="BNH918" s="10"/>
      <c r="BNI918" s="10"/>
      <c r="BNJ918" s="10"/>
      <c r="BNK918" s="10"/>
      <c r="BNL918" s="10"/>
      <c r="BNM918" s="10"/>
      <c r="BNN918" s="10"/>
      <c r="BNO918" s="10"/>
      <c r="BNP918" s="10"/>
      <c r="BNQ918" s="10"/>
      <c r="BNR918" s="10"/>
      <c r="BNS918" s="10"/>
      <c r="BNT918" s="10"/>
      <c r="BNU918" s="10"/>
      <c r="BNV918" s="10"/>
      <c r="BNW918" s="10"/>
      <c r="BNX918" s="10"/>
      <c r="BNY918" s="10"/>
      <c r="BNZ918" s="10"/>
      <c r="BOA918" s="10"/>
      <c r="BOB918" s="10"/>
      <c r="BOC918" s="10"/>
      <c r="BOD918" s="10"/>
      <c r="BOE918" s="10"/>
      <c r="BOF918" s="10"/>
      <c r="BOG918" s="10"/>
      <c r="BOH918" s="10"/>
      <c r="BOI918" s="10"/>
      <c r="BOJ918" s="10"/>
      <c r="BOK918" s="10"/>
      <c r="BOL918" s="10"/>
      <c r="BOM918" s="10"/>
      <c r="BON918" s="10"/>
      <c r="BOO918" s="10"/>
      <c r="BOP918" s="10"/>
      <c r="BOQ918" s="10"/>
      <c r="BOR918" s="10"/>
      <c r="BOS918" s="10"/>
      <c r="BOT918" s="10"/>
      <c r="BOU918" s="10"/>
      <c r="BOV918" s="10"/>
      <c r="BOW918" s="10"/>
      <c r="BOX918" s="10"/>
      <c r="BOY918" s="10"/>
      <c r="BOZ918" s="10"/>
      <c r="BPA918" s="10"/>
      <c r="BPB918" s="10"/>
      <c r="BPC918" s="10"/>
      <c r="BPD918" s="10"/>
      <c r="BPE918" s="10"/>
      <c r="BPF918" s="10"/>
      <c r="BPG918" s="10"/>
      <c r="BPH918" s="10"/>
      <c r="BPI918" s="10"/>
      <c r="BPJ918" s="10"/>
      <c r="BPK918" s="10"/>
      <c r="BPL918" s="10"/>
      <c r="BPM918" s="10"/>
      <c r="BPN918" s="10"/>
      <c r="BPO918" s="10"/>
      <c r="BPP918" s="10"/>
      <c r="BPQ918" s="10"/>
      <c r="BPR918" s="10"/>
      <c r="BPS918" s="10"/>
      <c r="BPT918" s="10"/>
      <c r="BPU918" s="10"/>
      <c r="BPV918" s="10"/>
      <c r="BPW918" s="10"/>
      <c r="BPX918" s="10"/>
      <c r="BPY918" s="10"/>
      <c r="BPZ918" s="10"/>
      <c r="BQA918" s="10"/>
      <c r="BQB918" s="10"/>
      <c r="BQC918" s="10"/>
      <c r="BQD918" s="10"/>
      <c r="BQE918" s="10"/>
      <c r="BQF918" s="10"/>
      <c r="BQG918" s="10"/>
      <c r="BQH918" s="10"/>
      <c r="BQI918" s="10"/>
      <c r="BQJ918" s="10"/>
      <c r="BQK918" s="10"/>
      <c r="BQL918" s="10"/>
      <c r="BQM918" s="10"/>
      <c r="BQN918" s="10"/>
      <c r="BQO918" s="10"/>
      <c r="BQP918" s="10"/>
      <c r="BQQ918" s="10"/>
      <c r="BQR918" s="10"/>
      <c r="BQS918" s="10"/>
      <c r="BQT918" s="10"/>
      <c r="BQU918" s="10"/>
      <c r="BQV918" s="10"/>
      <c r="BQW918" s="10"/>
      <c r="BQX918" s="10"/>
      <c r="BQY918" s="10"/>
      <c r="BQZ918" s="10"/>
      <c r="BRA918" s="10"/>
      <c r="BRB918" s="10"/>
      <c r="BRC918" s="10"/>
      <c r="BRD918" s="10"/>
      <c r="BRE918" s="10"/>
      <c r="BRF918" s="10"/>
      <c r="BRG918" s="10"/>
      <c r="BRH918" s="10"/>
      <c r="BRI918" s="10"/>
      <c r="BRJ918" s="10"/>
      <c r="BRK918" s="10"/>
      <c r="BRL918" s="10"/>
      <c r="BRM918" s="10"/>
      <c r="BRN918" s="10"/>
      <c r="BRO918" s="10"/>
      <c r="BRP918" s="10"/>
      <c r="BRQ918" s="10"/>
      <c r="BRR918" s="10"/>
      <c r="BRS918" s="10"/>
      <c r="BRT918" s="10"/>
      <c r="BRU918" s="10"/>
      <c r="BRV918" s="10"/>
      <c r="BRW918" s="10"/>
      <c r="BRX918" s="10"/>
      <c r="BRY918" s="10"/>
      <c r="BRZ918" s="10"/>
      <c r="BSA918" s="10"/>
      <c r="BSB918" s="10"/>
      <c r="BSC918" s="10"/>
      <c r="BSD918" s="10"/>
      <c r="BSE918" s="10"/>
      <c r="BSF918" s="10"/>
      <c r="BSG918" s="10"/>
      <c r="BSH918" s="10"/>
      <c r="BSI918" s="10"/>
      <c r="BSJ918" s="10"/>
      <c r="BSK918" s="10"/>
      <c r="BSL918" s="10"/>
      <c r="BSM918" s="10"/>
      <c r="BSN918" s="10"/>
      <c r="BSO918" s="10"/>
      <c r="BSP918" s="10"/>
      <c r="BSQ918" s="10"/>
      <c r="BSR918" s="10"/>
      <c r="BSS918" s="10"/>
      <c r="BST918" s="10"/>
      <c r="BSU918" s="10"/>
      <c r="BSV918" s="10"/>
      <c r="BSW918" s="10"/>
      <c r="BSX918" s="10"/>
      <c r="BSY918" s="10"/>
      <c r="BSZ918" s="10"/>
      <c r="BTA918" s="10"/>
      <c r="BTB918" s="10"/>
      <c r="BTC918" s="10"/>
      <c r="BTD918" s="10"/>
      <c r="BTE918" s="10"/>
      <c r="BTF918" s="10"/>
      <c r="BTG918" s="10"/>
      <c r="BTH918" s="10"/>
      <c r="BTI918" s="10"/>
      <c r="BTJ918" s="10"/>
      <c r="BTK918" s="10"/>
      <c r="BTL918" s="10"/>
      <c r="BTM918" s="10"/>
      <c r="BTN918" s="10"/>
      <c r="BTO918" s="10"/>
      <c r="BTP918" s="10"/>
      <c r="BTQ918" s="10"/>
      <c r="BTR918" s="10"/>
      <c r="BTS918" s="10"/>
      <c r="BTT918" s="10"/>
    </row>
    <row r="919" spans="1:1892" s="10" customFormat="1" ht="35.1" customHeight="1">
      <c r="A919" s="1241"/>
      <c r="B919" s="537" t="s">
        <v>136</v>
      </c>
      <c r="C919" s="993" t="s">
        <v>137</v>
      </c>
      <c r="D919" s="847" t="s">
        <v>138</v>
      </c>
      <c r="E919" s="848"/>
      <c r="F919" s="849"/>
      <c r="G919" s="566" t="s">
        <v>300</v>
      </c>
      <c r="H919" s="566" t="s">
        <v>139</v>
      </c>
      <c r="I919" s="566" t="s">
        <v>953</v>
      </c>
      <c r="J919" s="820" t="s">
        <v>67</v>
      </c>
      <c r="K919" s="820" t="s">
        <v>66</v>
      </c>
      <c r="L919" s="192">
        <v>49.997100000000003</v>
      </c>
      <c r="M919" s="281">
        <v>16</v>
      </c>
      <c r="N919" s="402">
        <v>5</v>
      </c>
      <c r="O919" s="402">
        <v>5</v>
      </c>
      <c r="P919" s="511" t="s">
        <v>421</v>
      </c>
      <c r="Q919" s="511" t="s">
        <v>413</v>
      </c>
      <c r="R919" s="511" t="s">
        <v>428</v>
      </c>
      <c r="S919" s="1641" t="s">
        <v>699</v>
      </c>
      <c r="T919" s="1684" t="s">
        <v>54</v>
      </c>
      <c r="U919" s="1093" t="s">
        <v>11</v>
      </c>
    </row>
    <row r="920" spans="1:1892" s="10" customFormat="1" ht="35.1" customHeight="1">
      <c r="A920" s="1241"/>
      <c r="B920" s="538"/>
      <c r="C920" s="1352"/>
      <c r="D920" s="850"/>
      <c r="E920" s="851"/>
      <c r="F920" s="852"/>
      <c r="G920" s="567"/>
      <c r="H920" s="567"/>
      <c r="I920" s="567"/>
      <c r="J920" s="821"/>
      <c r="K920" s="821"/>
      <c r="L920" s="192">
        <v>49.933900000000001</v>
      </c>
      <c r="M920" s="281">
        <v>10</v>
      </c>
      <c r="N920" s="402">
        <v>0</v>
      </c>
      <c r="O920" s="402">
        <v>0</v>
      </c>
      <c r="P920" s="512"/>
      <c r="Q920" s="512"/>
      <c r="R920" s="512"/>
      <c r="S920" s="1642"/>
      <c r="T920" s="1685"/>
      <c r="U920" s="1094"/>
    </row>
    <row r="921" spans="1:1892" s="10" customFormat="1" ht="35.1" customHeight="1">
      <c r="A921" s="1241"/>
      <c r="B921" s="538"/>
      <c r="C921" s="1352"/>
      <c r="D921" s="850"/>
      <c r="E921" s="851"/>
      <c r="F921" s="852"/>
      <c r="G921" s="567"/>
      <c r="H921" s="567"/>
      <c r="I921" s="567"/>
      <c r="J921" s="821"/>
      <c r="K921" s="821"/>
      <c r="L921" s="192">
        <v>49.787500000000001</v>
      </c>
      <c r="M921" s="281">
        <v>13</v>
      </c>
      <c r="N921" s="402">
        <v>1</v>
      </c>
      <c r="O921" s="402">
        <v>1</v>
      </c>
      <c r="P921" s="512"/>
      <c r="Q921" s="512"/>
      <c r="R921" s="512"/>
      <c r="S921" s="1642"/>
      <c r="T921" s="1685"/>
      <c r="U921" s="1094"/>
    </row>
    <row r="922" spans="1:1892" s="10" customFormat="1" ht="35.1" customHeight="1">
      <c r="A922" s="1241"/>
      <c r="B922" s="538"/>
      <c r="C922" s="1352"/>
      <c r="D922" s="850"/>
      <c r="E922" s="851"/>
      <c r="F922" s="852"/>
      <c r="G922" s="567"/>
      <c r="H922" s="567"/>
      <c r="I922" s="567"/>
      <c r="J922" s="821"/>
      <c r="K922" s="821"/>
      <c r="L922" s="192">
        <v>49.668100000000003</v>
      </c>
      <c r="M922" s="281">
        <v>4</v>
      </c>
      <c r="N922" s="402">
        <v>2</v>
      </c>
      <c r="O922" s="402">
        <v>2</v>
      </c>
      <c r="P922" s="512"/>
      <c r="Q922" s="512"/>
      <c r="R922" s="512"/>
      <c r="S922" s="1642"/>
      <c r="T922" s="1685"/>
      <c r="U922" s="1094"/>
    </row>
    <row r="923" spans="1:1892" s="10" customFormat="1" ht="35.1" customHeight="1">
      <c r="A923" s="1241"/>
      <c r="B923" s="538"/>
      <c r="C923" s="1352"/>
      <c r="D923" s="850"/>
      <c r="E923" s="851"/>
      <c r="F923" s="852"/>
      <c r="G923" s="567"/>
      <c r="H923" s="567"/>
      <c r="I923" s="567"/>
      <c r="J923" s="821"/>
      <c r="K923" s="821"/>
      <c r="L923" s="192">
        <v>65.707400000000007</v>
      </c>
      <c r="M923" s="281">
        <v>92</v>
      </c>
      <c r="N923" s="402">
        <v>53</v>
      </c>
      <c r="O923" s="402">
        <v>53</v>
      </c>
      <c r="P923" s="512"/>
      <c r="Q923" s="512"/>
      <c r="R923" s="512"/>
      <c r="S923" s="1642"/>
      <c r="T923" s="1685"/>
      <c r="U923" s="1094"/>
    </row>
    <row r="924" spans="1:1892" s="10" customFormat="1" ht="35.1" customHeight="1">
      <c r="A924" s="1241"/>
      <c r="B924" s="538"/>
      <c r="C924" s="1352"/>
      <c r="D924" s="850"/>
      <c r="E924" s="851"/>
      <c r="F924" s="852"/>
      <c r="G924" s="567"/>
      <c r="H924" s="567"/>
      <c r="I924" s="567"/>
      <c r="J924" s="821"/>
      <c r="K924" s="821"/>
      <c r="L924" s="192">
        <v>65.849000000000004</v>
      </c>
      <c r="M924" s="281">
        <v>127</v>
      </c>
      <c r="N924" s="402">
        <v>72</v>
      </c>
      <c r="O924" s="402">
        <v>72</v>
      </c>
      <c r="P924" s="512"/>
      <c r="Q924" s="512"/>
      <c r="R924" s="512"/>
      <c r="S924" s="1642"/>
      <c r="T924" s="1685"/>
      <c r="U924" s="1094"/>
    </row>
    <row r="925" spans="1:1892" s="10" customFormat="1" ht="35.1" customHeight="1">
      <c r="A925" s="1241"/>
      <c r="B925" s="538"/>
      <c r="C925" s="1352"/>
      <c r="D925" s="850"/>
      <c r="E925" s="851"/>
      <c r="F925" s="852"/>
      <c r="G925" s="567"/>
      <c r="H925" s="567"/>
      <c r="I925" s="567"/>
      <c r="J925" s="821"/>
      <c r="K925" s="821"/>
      <c r="L925" s="192">
        <v>65.546700000000001</v>
      </c>
      <c r="M925" s="281">
        <v>54</v>
      </c>
      <c r="N925" s="402">
        <v>4</v>
      </c>
      <c r="O925" s="402">
        <v>4</v>
      </c>
      <c r="P925" s="512"/>
      <c r="Q925" s="512"/>
      <c r="R925" s="512"/>
      <c r="S925" s="1642"/>
      <c r="T925" s="1685"/>
      <c r="U925" s="1094"/>
    </row>
    <row r="926" spans="1:1892" s="10" customFormat="1" ht="35.1" customHeight="1">
      <c r="A926" s="1241"/>
      <c r="B926" s="538"/>
      <c r="C926" s="1352"/>
      <c r="D926" s="850"/>
      <c r="E926" s="851"/>
      <c r="F926" s="852"/>
      <c r="G926" s="568"/>
      <c r="H926" s="568"/>
      <c r="I926" s="568"/>
      <c r="J926" s="822"/>
      <c r="K926" s="822"/>
      <c r="L926" s="192">
        <v>74.698099999999997</v>
      </c>
      <c r="M926" s="281">
        <v>4</v>
      </c>
      <c r="N926" s="402">
        <v>0</v>
      </c>
      <c r="O926" s="402">
        <v>0</v>
      </c>
      <c r="P926" s="512"/>
      <c r="Q926" s="512"/>
      <c r="R926" s="512"/>
      <c r="S926" s="1642"/>
      <c r="T926" s="1685"/>
      <c r="U926" s="1094"/>
    </row>
    <row r="927" spans="1:1892" s="10" customFormat="1" ht="35.1" customHeight="1">
      <c r="A927" s="1241"/>
      <c r="B927" s="539"/>
      <c r="C927" s="994"/>
      <c r="D927" s="853"/>
      <c r="E927" s="854"/>
      <c r="F927" s="855"/>
      <c r="G927" s="463" t="s">
        <v>329</v>
      </c>
      <c r="H927" s="464"/>
      <c r="I927" s="464"/>
      <c r="J927" s="464"/>
      <c r="K927" s="465"/>
      <c r="L927" s="183"/>
      <c r="M927" s="251">
        <f>SUM(M919:M926)</f>
        <v>320</v>
      </c>
      <c r="N927" s="396">
        <f>SUM(N919:N926)</f>
        <v>137</v>
      </c>
      <c r="O927" s="396">
        <f>SUM(O919:O926)</f>
        <v>137</v>
      </c>
      <c r="P927" s="513"/>
      <c r="Q927" s="513"/>
      <c r="R927" s="513"/>
      <c r="S927" s="1643"/>
      <c r="T927" s="1686"/>
      <c r="U927" s="1095"/>
    </row>
    <row r="928" spans="1:1892" s="9" customFormat="1" ht="35.1" customHeight="1">
      <c r="A928" s="1241"/>
      <c r="B928" s="202" t="s">
        <v>53</v>
      </c>
      <c r="C928" s="203"/>
      <c r="D928" s="203"/>
      <c r="E928" s="203"/>
      <c r="F928" s="203"/>
      <c r="G928" s="203"/>
      <c r="H928" s="203"/>
      <c r="I928" s="203"/>
      <c r="J928" s="203"/>
      <c r="K928" s="203"/>
      <c r="L928" s="122"/>
      <c r="M928" s="226">
        <f>M927</f>
        <v>320</v>
      </c>
      <c r="N928" s="391">
        <f>N927</f>
        <v>137</v>
      </c>
      <c r="O928" s="391">
        <f>O927</f>
        <v>137</v>
      </c>
      <c r="P928" s="123"/>
      <c r="Q928" s="123"/>
      <c r="R928" s="123"/>
      <c r="S928" s="156"/>
      <c r="T928" s="156"/>
      <c r="U928" s="156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  <c r="BU928" s="10"/>
      <c r="BV928" s="10"/>
      <c r="BW928" s="10"/>
      <c r="BX928" s="10"/>
      <c r="BY928" s="10"/>
      <c r="BZ928" s="10"/>
      <c r="CA928" s="10"/>
      <c r="CB928" s="10"/>
      <c r="CC928" s="10"/>
      <c r="CD928" s="10"/>
      <c r="CE928" s="10"/>
      <c r="CF928" s="10"/>
      <c r="CG928" s="10"/>
      <c r="CH928" s="10"/>
      <c r="CI928" s="10"/>
      <c r="CJ928" s="10"/>
      <c r="CK928" s="10"/>
      <c r="CL928" s="10"/>
      <c r="CM928" s="10"/>
      <c r="CN928" s="10"/>
      <c r="CO928" s="10"/>
      <c r="CP928" s="10"/>
      <c r="CQ928" s="10"/>
      <c r="CR928" s="10"/>
      <c r="CS928" s="10"/>
      <c r="CT928" s="10"/>
      <c r="CU928" s="10"/>
      <c r="CV928" s="10"/>
      <c r="CW928" s="10"/>
      <c r="CX928" s="10"/>
      <c r="CY928" s="10"/>
      <c r="CZ928" s="10"/>
      <c r="DA928" s="10"/>
      <c r="DB928" s="10"/>
      <c r="DC928" s="10"/>
      <c r="DD928" s="10"/>
      <c r="DE928" s="10"/>
      <c r="DF928" s="10"/>
      <c r="DG928" s="10"/>
      <c r="DH928" s="10"/>
      <c r="DI928" s="10"/>
      <c r="DJ928" s="10"/>
      <c r="DK928" s="10"/>
      <c r="DL928" s="10"/>
      <c r="DM928" s="10"/>
      <c r="DN928" s="10"/>
      <c r="DO928" s="10"/>
      <c r="DP928" s="10"/>
      <c r="DQ928" s="10"/>
      <c r="DR928" s="10"/>
      <c r="DS928" s="10"/>
      <c r="DT928" s="10"/>
      <c r="DU928" s="10"/>
      <c r="DV928" s="10"/>
      <c r="DW928" s="10"/>
      <c r="DX928" s="10"/>
      <c r="DY928" s="10"/>
      <c r="DZ928" s="10"/>
      <c r="EA928" s="10"/>
      <c r="EB928" s="10"/>
      <c r="EC928" s="10"/>
      <c r="ED928" s="10"/>
      <c r="EE928" s="10"/>
      <c r="EF928" s="10"/>
      <c r="EG928" s="10"/>
      <c r="EH928" s="10"/>
      <c r="EI928" s="10"/>
      <c r="EJ928" s="10"/>
      <c r="EK928" s="10"/>
      <c r="EL928" s="10"/>
      <c r="EM928" s="10"/>
      <c r="EN928" s="10"/>
      <c r="EO928" s="10"/>
      <c r="EP928" s="10"/>
      <c r="EQ928" s="10"/>
      <c r="ER928" s="10"/>
      <c r="ES928" s="10"/>
      <c r="ET928" s="10"/>
      <c r="EU928" s="10"/>
      <c r="EV928" s="10"/>
      <c r="EW928" s="10"/>
      <c r="EX928" s="10"/>
      <c r="EY928" s="10"/>
      <c r="EZ928" s="10"/>
      <c r="FA928" s="10"/>
      <c r="FB928" s="10"/>
      <c r="FC928" s="10"/>
      <c r="FD928" s="10"/>
      <c r="FE928" s="10"/>
      <c r="FF928" s="10"/>
      <c r="FG928" s="10"/>
      <c r="FH928" s="10"/>
      <c r="FI928" s="10"/>
      <c r="FJ928" s="10"/>
      <c r="FK928" s="10"/>
      <c r="FL928" s="10"/>
      <c r="FM928" s="10"/>
      <c r="FN928" s="10"/>
      <c r="FO928" s="10"/>
      <c r="FP928" s="10"/>
      <c r="FQ928" s="10"/>
      <c r="FR928" s="10"/>
      <c r="FS928" s="10"/>
      <c r="FT928" s="10"/>
      <c r="FU928" s="10"/>
      <c r="FV928" s="10"/>
      <c r="FW928" s="10"/>
      <c r="FX928" s="10"/>
      <c r="FY928" s="10"/>
      <c r="FZ928" s="10"/>
      <c r="GA928" s="10"/>
      <c r="GB928" s="10"/>
      <c r="GC928" s="10"/>
      <c r="GD928" s="10"/>
      <c r="GE928" s="10"/>
      <c r="GF928" s="10"/>
      <c r="GG928" s="10"/>
      <c r="GH928" s="10"/>
      <c r="GI928" s="10"/>
      <c r="GJ928" s="10"/>
      <c r="GK928" s="10"/>
      <c r="GL928" s="10"/>
      <c r="GM928" s="10"/>
      <c r="GN928" s="10"/>
      <c r="GO928" s="10"/>
      <c r="GP928" s="10"/>
      <c r="GQ928" s="10"/>
      <c r="GR928" s="10"/>
      <c r="GS928" s="10"/>
      <c r="GT928" s="10"/>
      <c r="GU928" s="10"/>
      <c r="GV928" s="10"/>
      <c r="GW928" s="10"/>
      <c r="GX928" s="10"/>
      <c r="GY928" s="10"/>
      <c r="GZ928" s="10"/>
      <c r="HA928" s="10"/>
      <c r="HB928" s="10"/>
      <c r="HC928" s="10"/>
      <c r="HD928" s="10"/>
      <c r="HE928" s="10"/>
      <c r="HF928" s="10"/>
      <c r="HG928" s="10"/>
      <c r="HH928" s="10"/>
      <c r="HI928" s="10"/>
      <c r="HJ928" s="10"/>
      <c r="HK928" s="10"/>
      <c r="HL928" s="10"/>
      <c r="HM928" s="10"/>
      <c r="HN928" s="10"/>
      <c r="HO928" s="10"/>
      <c r="HP928" s="10"/>
      <c r="HQ928" s="10"/>
      <c r="HR928" s="10"/>
      <c r="HS928" s="10"/>
      <c r="HT928" s="10"/>
      <c r="HU928" s="10"/>
      <c r="HV928" s="10"/>
      <c r="HW928" s="10"/>
      <c r="HX928" s="10"/>
      <c r="HY928" s="10"/>
      <c r="HZ928" s="10"/>
      <c r="IA928" s="10"/>
      <c r="IB928" s="10"/>
      <c r="IC928" s="10"/>
      <c r="ID928" s="10"/>
      <c r="IE928" s="10"/>
      <c r="IF928" s="10"/>
      <c r="IG928" s="10"/>
      <c r="IH928" s="10"/>
      <c r="II928" s="10"/>
      <c r="IJ928" s="10"/>
      <c r="IK928" s="10"/>
      <c r="IL928" s="10"/>
      <c r="IM928" s="10"/>
      <c r="IN928" s="10"/>
      <c r="IO928" s="10"/>
      <c r="IP928" s="10"/>
      <c r="IQ928" s="10"/>
      <c r="IR928" s="10"/>
      <c r="IS928" s="10"/>
      <c r="IT928" s="10"/>
      <c r="IU928" s="10"/>
      <c r="IV928" s="10"/>
      <c r="IW928" s="10"/>
      <c r="IX928" s="10"/>
      <c r="IY928" s="10"/>
      <c r="IZ928" s="10"/>
      <c r="JA928" s="10"/>
      <c r="JB928" s="10"/>
      <c r="JC928" s="10"/>
      <c r="JD928" s="10"/>
      <c r="JE928" s="10"/>
      <c r="JF928" s="10"/>
      <c r="JG928" s="10"/>
      <c r="JH928" s="10"/>
      <c r="JI928" s="10"/>
      <c r="JJ928" s="10"/>
      <c r="JK928" s="10"/>
      <c r="JL928" s="10"/>
      <c r="JM928" s="10"/>
      <c r="JN928" s="10"/>
      <c r="JO928" s="10"/>
      <c r="JP928" s="10"/>
      <c r="JQ928" s="10"/>
      <c r="JR928" s="10"/>
      <c r="JS928" s="10"/>
      <c r="JT928" s="10"/>
      <c r="JU928" s="10"/>
      <c r="JV928" s="10"/>
      <c r="JW928" s="10"/>
      <c r="JX928" s="10"/>
      <c r="JY928" s="10"/>
      <c r="JZ928" s="10"/>
      <c r="KA928" s="10"/>
      <c r="KB928" s="10"/>
      <c r="KC928" s="10"/>
      <c r="KD928" s="10"/>
      <c r="KE928" s="10"/>
      <c r="KF928" s="10"/>
      <c r="KG928" s="10"/>
      <c r="KH928" s="10"/>
      <c r="KI928" s="10"/>
      <c r="KJ928" s="10"/>
      <c r="KK928" s="10"/>
      <c r="KL928" s="10"/>
      <c r="KM928" s="10"/>
      <c r="KN928" s="10"/>
      <c r="KO928" s="10"/>
      <c r="KP928" s="10"/>
      <c r="KQ928" s="10"/>
      <c r="KR928" s="10"/>
      <c r="KS928" s="10"/>
      <c r="KT928" s="10"/>
      <c r="KU928" s="10"/>
      <c r="KV928" s="10"/>
      <c r="KW928" s="10"/>
      <c r="KX928" s="10"/>
      <c r="KY928" s="10"/>
      <c r="KZ928" s="10"/>
      <c r="LA928" s="10"/>
      <c r="LB928" s="10"/>
      <c r="LC928" s="10"/>
      <c r="LD928" s="10"/>
      <c r="LE928" s="10"/>
      <c r="LF928" s="10"/>
      <c r="LG928" s="10"/>
      <c r="LH928" s="10"/>
      <c r="LI928" s="10"/>
      <c r="LJ928" s="10"/>
      <c r="LK928" s="10"/>
      <c r="LL928" s="10"/>
      <c r="LM928" s="10"/>
      <c r="LN928" s="10"/>
      <c r="LO928" s="10"/>
      <c r="LP928" s="10"/>
      <c r="LQ928" s="10"/>
      <c r="LR928" s="10"/>
      <c r="LS928" s="10"/>
      <c r="LT928" s="10"/>
      <c r="LU928" s="10"/>
      <c r="LV928" s="10"/>
      <c r="LW928" s="10"/>
      <c r="LX928" s="10"/>
      <c r="LY928" s="10"/>
      <c r="LZ928" s="10"/>
      <c r="MA928" s="10"/>
      <c r="MB928" s="10"/>
      <c r="MC928" s="10"/>
      <c r="MD928" s="10"/>
      <c r="ME928" s="10"/>
      <c r="MF928" s="10"/>
      <c r="MG928" s="10"/>
      <c r="MH928" s="10"/>
      <c r="MI928" s="10"/>
      <c r="MJ928" s="10"/>
      <c r="MK928" s="10"/>
      <c r="ML928" s="10"/>
      <c r="MM928" s="10"/>
      <c r="MN928" s="10"/>
      <c r="MO928" s="10"/>
      <c r="MP928" s="10"/>
      <c r="MQ928" s="10"/>
      <c r="MR928" s="10"/>
      <c r="MS928" s="10"/>
      <c r="MT928" s="10"/>
      <c r="MU928" s="10"/>
      <c r="MV928" s="10"/>
      <c r="MW928" s="10"/>
      <c r="MX928" s="10"/>
      <c r="MY928" s="10"/>
      <c r="MZ928" s="10"/>
      <c r="NA928" s="10"/>
      <c r="NB928" s="10"/>
      <c r="NC928" s="10"/>
      <c r="ND928" s="10"/>
      <c r="NE928" s="10"/>
      <c r="NF928" s="10"/>
      <c r="NG928" s="10"/>
      <c r="NH928" s="10"/>
      <c r="NI928" s="10"/>
      <c r="NJ928" s="10"/>
      <c r="NK928" s="10"/>
      <c r="NL928" s="10"/>
      <c r="NM928" s="10"/>
      <c r="NN928" s="10"/>
      <c r="NO928" s="10"/>
      <c r="NP928" s="10"/>
      <c r="NQ928" s="10"/>
      <c r="NR928" s="10"/>
      <c r="NS928" s="10"/>
      <c r="NT928" s="10"/>
      <c r="NU928" s="10"/>
      <c r="NV928" s="10"/>
      <c r="NW928" s="10"/>
      <c r="NX928" s="10"/>
      <c r="NY928" s="10"/>
      <c r="NZ928" s="10"/>
      <c r="OA928" s="10"/>
      <c r="OB928" s="10"/>
      <c r="OC928" s="10"/>
      <c r="OD928" s="10"/>
      <c r="OE928" s="10"/>
      <c r="OF928" s="10"/>
      <c r="OG928" s="10"/>
      <c r="OH928" s="10"/>
      <c r="OI928" s="10"/>
      <c r="OJ928" s="10"/>
      <c r="OK928" s="10"/>
      <c r="OL928" s="10"/>
      <c r="OM928" s="10"/>
      <c r="ON928" s="10"/>
      <c r="OO928" s="10"/>
      <c r="OP928" s="10"/>
      <c r="OQ928" s="10"/>
      <c r="OR928" s="10"/>
      <c r="OS928" s="10"/>
      <c r="OT928" s="10"/>
      <c r="OU928" s="10"/>
      <c r="OV928" s="10"/>
      <c r="OW928" s="10"/>
      <c r="OX928" s="10"/>
      <c r="OY928" s="10"/>
      <c r="OZ928" s="10"/>
      <c r="PA928" s="10"/>
      <c r="PB928" s="10"/>
      <c r="PC928" s="10"/>
      <c r="PD928" s="10"/>
      <c r="PE928" s="10"/>
      <c r="PF928" s="10"/>
      <c r="PG928" s="10"/>
      <c r="PH928" s="10"/>
      <c r="PI928" s="10"/>
      <c r="PJ928" s="10"/>
      <c r="PK928" s="10"/>
      <c r="PL928" s="10"/>
      <c r="PM928" s="10"/>
      <c r="PN928" s="10"/>
      <c r="PO928" s="10"/>
      <c r="PP928" s="10"/>
      <c r="PQ928" s="10"/>
      <c r="PR928" s="10"/>
      <c r="PS928" s="10"/>
      <c r="PT928" s="10"/>
      <c r="PU928" s="10"/>
      <c r="PV928" s="10"/>
      <c r="PW928" s="10"/>
      <c r="PX928" s="10"/>
      <c r="PY928" s="10"/>
      <c r="PZ928" s="10"/>
      <c r="QA928" s="10"/>
      <c r="QB928" s="10"/>
      <c r="QC928" s="10"/>
      <c r="QD928" s="10"/>
      <c r="QE928" s="10"/>
      <c r="QF928" s="10"/>
      <c r="QG928" s="10"/>
      <c r="QH928" s="10"/>
      <c r="QI928" s="10"/>
      <c r="QJ928" s="10"/>
      <c r="QK928" s="10"/>
      <c r="QL928" s="10"/>
      <c r="QM928" s="10"/>
      <c r="QN928" s="10"/>
      <c r="QO928" s="10"/>
      <c r="QP928" s="10"/>
      <c r="QQ928" s="10"/>
      <c r="QR928" s="10"/>
      <c r="QS928" s="10"/>
      <c r="QT928" s="10"/>
      <c r="QU928" s="10"/>
      <c r="QV928" s="10"/>
      <c r="QW928" s="10"/>
      <c r="QX928" s="10"/>
      <c r="QY928" s="10"/>
      <c r="QZ928" s="10"/>
      <c r="RA928" s="10"/>
      <c r="RB928" s="10"/>
      <c r="RC928" s="10"/>
      <c r="RD928" s="10"/>
      <c r="RE928" s="10"/>
      <c r="RF928" s="10"/>
      <c r="RG928" s="10"/>
      <c r="RH928" s="10"/>
      <c r="RI928" s="10"/>
      <c r="RJ928" s="10"/>
      <c r="RK928" s="10"/>
      <c r="RL928" s="10"/>
      <c r="RM928" s="10"/>
      <c r="RN928" s="10"/>
      <c r="RO928" s="10"/>
      <c r="RP928" s="10"/>
      <c r="RQ928" s="10"/>
      <c r="RR928" s="10"/>
      <c r="RS928" s="10"/>
      <c r="RT928" s="10"/>
      <c r="RU928" s="10"/>
      <c r="RV928" s="10"/>
      <c r="RW928" s="10"/>
      <c r="RX928" s="10"/>
      <c r="RY928" s="10"/>
      <c r="RZ928" s="10"/>
      <c r="SA928" s="10"/>
      <c r="SB928" s="10"/>
      <c r="SC928" s="10"/>
      <c r="SD928" s="10"/>
      <c r="SE928" s="10"/>
      <c r="SF928" s="10"/>
      <c r="SG928" s="10"/>
      <c r="SH928" s="10"/>
      <c r="SI928" s="10"/>
      <c r="SJ928" s="10"/>
      <c r="SK928" s="10"/>
      <c r="SL928" s="10"/>
      <c r="SM928" s="10"/>
      <c r="SN928" s="10"/>
      <c r="SO928" s="10"/>
      <c r="SP928" s="10"/>
      <c r="SQ928" s="10"/>
      <c r="SR928" s="10"/>
      <c r="SS928" s="10"/>
      <c r="ST928" s="10"/>
      <c r="SU928" s="10"/>
      <c r="SV928" s="10"/>
      <c r="SW928" s="10"/>
      <c r="SX928" s="10"/>
      <c r="SY928" s="10"/>
      <c r="SZ928" s="10"/>
      <c r="TA928" s="10"/>
      <c r="TB928" s="10"/>
      <c r="TC928" s="10"/>
      <c r="TD928" s="10"/>
      <c r="TE928" s="10"/>
      <c r="TF928" s="10"/>
      <c r="TG928" s="10"/>
      <c r="TH928" s="10"/>
      <c r="TI928" s="10"/>
      <c r="TJ928" s="10"/>
      <c r="TK928" s="10"/>
      <c r="TL928" s="10"/>
      <c r="TM928" s="10"/>
      <c r="TN928" s="10"/>
      <c r="TO928" s="10"/>
      <c r="TP928" s="10"/>
      <c r="TQ928" s="10"/>
      <c r="TR928" s="10"/>
      <c r="TS928" s="10"/>
      <c r="TT928" s="10"/>
      <c r="TU928" s="10"/>
      <c r="TV928" s="10"/>
      <c r="TW928" s="10"/>
      <c r="TX928" s="10"/>
      <c r="TY928" s="10"/>
      <c r="TZ928" s="10"/>
      <c r="UA928" s="10"/>
      <c r="UB928" s="10"/>
      <c r="UC928" s="10"/>
      <c r="UD928" s="10"/>
      <c r="UE928" s="10"/>
      <c r="UF928" s="10"/>
      <c r="UG928" s="10"/>
      <c r="UH928" s="10"/>
      <c r="UI928" s="10"/>
      <c r="UJ928" s="10"/>
      <c r="UK928" s="10"/>
      <c r="UL928" s="10"/>
      <c r="UM928" s="10"/>
      <c r="UN928" s="10"/>
      <c r="UO928" s="10"/>
      <c r="UP928" s="10"/>
      <c r="UQ928" s="10"/>
      <c r="UR928" s="10"/>
      <c r="US928" s="10"/>
      <c r="UT928" s="10"/>
      <c r="UU928" s="10"/>
      <c r="UV928" s="10"/>
      <c r="UW928" s="10"/>
      <c r="UX928" s="10"/>
      <c r="UY928" s="10"/>
      <c r="UZ928" s="10"/>
      <c r="VA928" s="10"/>
      <c r="VB928" s="10"/>
      <c r="VC928" s="10"/>
      <c r="VD928" s="10"/>
      <c r="VE928" s="10"/>
      <c r="VF928" s="10"/>
      <c r="VG928" s="10"/>
      <c r="VH928" s="10"/>
      <c r="VI928" s="10"/>
      <c r="VJ928" s="10"/>
      <c r="VK928" s="10"/>
      <c r="VL928" s="10"/>
      <c r="VM928" s="10"/>
      <c r="VN928" s="10"/>
      <c r="VO928" s="10"/>
      <c r="VP928" s="10"/>
      <c r="VQ928" s="10"/>
      <c r="VR928" s="10"/>
      <c r="VS928" s="10"/>
      <c r="VT928" s="10"/>
      <c r="VU928" s="10"/>
      <c r="VV928" s="10"/>
      <c r="VW928" s="10"/>
      <c r="VX928" s="10"/>
      <c r="VY928" s="10"/>
      <c r="VZ928" s="10"/>
      <c r="WA928" s="10"/>
      <c r="WB928" s="10"/>
      <c r="WC928" s="10"/>
      <c r="WD928" s="10"/>
      <c r="WE928" s="10"/>
      <c r="WF928" s="10"/>
      <c r="WG928" s="10"/>
      <c r="WH928" s="10"/>
      <c r="WI928" s="10"/>
      <c r="WJ928" s="10"/>
      <c r="WK928" s="10"/>
      <c r="WL928" s="10"/>
      <c r="WM928" s="10"/>
      <c r="WN928" s="10"/>
      <c r="WO928" s="10"/>
      <c r="WP928" s="10"/>
      <c r="WQ928" s="10"/>
      <c r="WR928" s="10"/>
      <c r="WS928" s="10"/>
      <c r="WT928" s="10"/>
      <c r="WU928" s="10"/>
      <c r="WV928" s="10"/>
      <c r="WW928" s="10"/>
      <c r="WX928" s="10"/>
      <c r="WY928" s="10"/>
      <c r="WZ928" s="10"/>
      <c r="XA928" s="10"/>
      <c r="XB928" s="10"/>
      <c r="XC928" s="10"/>
      <c r="XD928" s="10"/>
      <c r="XE928" s="10"/>
      <c r="XF928" s="10"/>
      <c r="XG928" s="10"/>
      <c r="XH928" s="10"/>
      <c r="XI928" s="10"/>
      <c r="XJ928" s="10"/>
      <c r="XK928" s="10"/>
      <c r="XL928" s="10"/>
      <c r="XM928" s="10"/>
      <c r="XN928" s="10"/>
      <c r="XO928" s="10"/>
      <c r="XP928" s="10"/>
      <c r="XQ928" s="10"/>
      <c r="XR928" s="10"/>
      <c r="XS928" s="10"/>
      <c r="XT928" s="10"/>
      <c r="XU928" s="10"/>
      <c r="XV928" s="10"/>
      <c r="XW928" s="10"/>
      <c r="XX928" s="10"/>
      <c r="XY928" s="10"/>
      <c r="XZ928" s="10"/>
      <c r="YA928" s="10"/>
      <c r="YB928" s="10"/>
      <c r="YC928" s="10"/>
      <c r="YD928" s="10"/>
      <c r="YE928" s="10"/>
      <c r="YF928" s="10"/>
      <c r="YG928" s="10"/>
      <c r="YH928" s="10"/>
      <c r="YI928" s="10"/>
      <c r="YJ928" s="10"/>
      <c r="YK928" s="10"/>
      <c r="YL928" s="10"/>
      <c r="YM928" s="10"/>
      <c r="YN928" s="10"/>
      <c r="YO928" s="10"/>
      <c r="YP928" s="10"/>
      <c r="YQ928" s="10"/>
      <c r="YR928" s="10"/>
      <c r="YS928" s="10"/>
      <c r="YT928" s="10"/>
      <c r="YU928" s="10"/>
      <c r="YV928" s="10"/>
      <c r="YW928" s="10"/>
      <c r="YX928" s="10"/>
      <c r="YY928" s="10"/>
      <c r="YZ928" s="10"/>
      <c r="ZA928" s="10"/>
      <c r="ZB928" s="10"/>
      <c r="ZC928" s="10"/>
      <c r="ZD928" s="10"/>
      <c r="ZE928" s="10"/>
      <c r="ZF928" s="10"/>
      <c r="ZG928" s="10"/>
      <c r="ZH928" s="10"/>
      <c r="ZI928" s="10"/>
      <c r="ZJ928" s="10"/>
      <c r="ZK928" s="10"/>
      <c r="ZL928" s="10"/>
      <c r="ZM928" s="10"/>
      <c r="ZN928" s="10"/>
      <c r="ZO928" s="10"/>
      <c r="ZP928" s="10"/>
      <c r="ZQ928" s="10"/>
      <c r="ZR928" s="10"/>
      <c r="ZS928" s="10"/>
      <c r="ZT928" s="10"/>
      <c r="ZU928" s="10"/>
      <c r="ZV928" s="10"/>
      <c r="ZW928" s="10"/>
      <c r="ZX928" s="10"/>
      <c r="ZY928" s="10"/>
      <c r="ZZ928" s="10"/>
      <c r="AAA928" s="10"/>
      <c r="AAB928" s="10"/>
      <c r="AAC928" s="10"/>
      <c r="AAD928" s="10"/>
      <c r="AAE928" s="10"/>
      <c r="AAF928" s="10"/>
      <c r="AAG928" s="10"/>
      <c r="AAH928" s="10"/>
      <c r="AAI928" s="10"/>
      <c r="AAJ928" s="10"/>
      <c r="AAK928" s="10"/>
      <c r="AAL928" s="10"/>
      <c r="AAM928" s="10"/>
      <c r="AAN928" s="10"/>
      <c r="AAO928" s="10"/>
      <c r="AAP928" s="10"/>
      <c r="AAQ928" s="10"/>
      <c r="AAR928" s="10"/>
      <c r="AAS928" s="10"/>
      <c r="AAT928" s="10"/>
      <c r="AAU928" s="10"/>
      <c r="AAV928" s="10"/>
      <c r="AAW928" s="10"/>
      <c r="AAX928" s="10"/>
      <c r="AAY928" s="10"/>
      <c r="AAZ928" s="10"/>
      <c r="ABA928" s="10"/>
      <c r="ABB928" s="10"/>
      <c r="ABC928" s="10"/>
      <c r="ABD928" s="10"/>
      <c r="ABE928" s="10"/>
      <c r="ABF928" s="10"/>
      <c r="ABG928" s="10"/>
      <c r="ABH928" s="10"/>
      <c r="ABI928" s="10"/>
      <c r="ABJ928" s="10"/>
      <c r="ABK928" s="10"/>
      <c r="ABL928" s="10"/>
      <c r="ABM928" s="10"/>
      <c r="ABN928" s="10"/>
      <c r="ABO928" s="10"/>
      <c r="ABP928" s="10"/>
      <c r="ABQ928" s="10"/>
      <c r="ABR928" s="10"/>
      <c r="ABS928" s="10"/>
      <c r="ABT928" s="10"/>
      <c r="ABU928" s="10"/>
      <c r="ABV928" s="10"/>
      <c r="ABW928" s="10"/>
      <c r="ABX928" s="10"/>
      <c r="ABY928" s="10"/>
      <c r="ABZ928" s="10"/>
      <c r="ACA928" s="10"/>
      <c r="ACB928" s="10"/>
      <c r="ACC928" s="10"/>
      <c r="ACD928" s="10"/>
      <c r="ACE928" s="10"/>
      <c r="ACF928" s="10"/>
      <c r="ACG928" s="10"/>
      <c r="ACH928" s="10"/>
      <c r="ACI928" s="10"/>
      <c r="ACJ928" s="10"/>
      <c r="ACK928" s="10"/>
      <c r="ACL928" s="10"/>
      <c r="ACM928" s="10"/>
      <c r="ACN928" s="10"/>
      <c r="ACO928" s="10"/>
      <c r="ACP928" s="10"/>
      <c r="ACQ928" s="10"/>
      <c r="ACR928" s="10"/>
      <c r="ACS928" s="10"/>
      <c r="ACT928" s="10"/>
      <c r="ACU928" s="10"/>
      <c r="ACV928" s="10"/>
      <c r="ACW928" s="10"/>
      <c r="ACX928" s="10"/>
      <c r="ACY928" s="10"/>
      <c r="ACZ928" s="10"/>
      <c r="ADA928" s="10"/>
      <c r="ADB928" s="10"/>
      <c r="ADC928" s="10"/>
      <c r="ADD928" s="10"/>
      <c r="ADE928" s="10"/>
      <c r="ADF928" s="10"/>
      <c r="ADG928" s="10"/>
      <c r="ADH928" s="10"/>
      <c r="ADI928" s="10"/>
      <c r="ADJ928" s="10"/>
      <c r="ADK928" s="10"/>
      <c r="ADL928" s="10"/>
      <c r="ADM928" s="10"/>
      <c r="ADN928" s="10"/>
      <c r="ADO928" s="10"/>
      <c r="ADP928" s="10"/>
      <c r="ADQ928" s="10"/>
      <c r="ADR928" s="10"/>
      <c r="ADS928" s="10"/>
      <c r="ADT928" s="10"/>
      <c r="ADU928" s="10"/>
      <c r="ADV928" s="10"/>
      <c r="ADW928" s="10"/>
      <c r="ADX928" s="10"/>
      <c r="ADY928" s="10"/>
      <c r="ADZ928" s="10"/>
      <c r="AEA928" s="10"/>
      <c r="AEB928" s="10"/>
      <c r="AEC928" s="10"/>
      <c r="AED928" s="10"/>
      <c r="AEE928" s="10"/>
      <c r="AEF928" s="10"/>
      <c r="AEG928" s="10"/>
      <c r="AEH928" s="10"/>
      <c r="AEI928" s="10"/>
      <c r="AEJ928" s="10"/>
      <c r="AEK928" s="10"/>
      <c r="AEL928" s="10"/>
      <c r="AEM928" s="10"/>
      <c r="AEN928" s="10"/>
      <c r="AEO928" s="10"/>
      <c r="AEP928" s="10"/>
      <c r="AEQ928" s="10"/>
      <c r="AER928" s="10"/>
      <c r="AES928" s="10"/>
      <c r="AET928" s="10"/>
      <c r="AEU928" s="10"/>
      <c r="AEV928" s="10"/>
      <c r="AEW928" s="10"/>
      <c r="AEX928" s="10"/>
      <c r="AEY928" s="10"/>
      <c r="AEZ928" s="10"/>
      <c r="AFA928" s="10"/>
      <c r="AFB928" s="10"/>
      <c r="AFC928" s="10"/>
      <c r="AFD928" s="10"/>
      <c r="AFE928" s="10"/>
      <c r="AFF928" s="10"/>
      <c r="AFG928" s="10"/>
      <c r="AFH928" s="10"/>
      <c r="AFI928" s="10"/>
      <c r="AFJ928" s="10"/>
      <c r="AFK928" s="10"/>
      <c r="AFL928" s="10"/>
      <c r="AFM928" s="10"/>
      <c r="AFN928" s="10"/>
      <c r="AFO928" s="10"/>
      <c r="AFP928" s="10"/>
      <c r="AFQ928" s="10"/>
      <c r="AFR928" s="10"/>
      <c r="AFS928" s="10"/>
      <c r="AFT928" s="10"/>
      <c r="AFU928" s="10"/>
      <c r="AFV928" s="10"/>
      <c r="AFW928" s="10"/>
      <c r="AFX928" s="10"/>
      <c r="AFY928" s="10"/>
      <c r="AFZ928" s="10"/>
      <c r="AGA928" s="10"/>
      <c r="AGB928" s="10"/>
      <c r="AGC928" s="10"/>
      <c r="AGD928" s="10"/>
      <c r="AGE928" s="10"/>
      <c r="AGF928" s="10"/>
      <c r="AGG928" s="10"/>
      <c r="AGH928" s="10"/>
      <c r="AGI928" s="10"/>
      <c r="AGJ928" s="10"/>
      <c r="AGK928" s="10"/>
      <c r="AGL928" s="10"/>
      <c r="AGM928" s="10"/>
      <c r="AGN928" s="10"/>
      <c r="AGO928" s="10"/>
      <c r="AGP928" s="10"/>
      <c r="AGQ928" s="10"/>
      <c r="AGR928" s="10"/>
      <c r="AGS928" s="10"/>
      <c r="AGT928" s="10"/>
      <c r="AGU928" s="10"/>
      <c r="AGV928" s="10"/>
      <c r="AGW928" s="10"/>
      <c r="AGX928" s="10"/>
      <c r="AGY928" s="10"/>
      <c r="AGZ928" s="10"/>
      <c r="AHA928" s="10"/>
      <c r="AHB928" s="10"/>
      <c r="AHC928" s="10"/>
      <c r="AHD928" s="10"/>
      <c r="AHE928" s="10"/>
      <c r="AHF928" s="10"/>
      <c r="AHG928" s="10"/>
      <c r="AHH928" s="10"/>
      <c r="AHI928" s="10"/>
      <c r="AHJ928" s="10"/>
      <c r="AHK928" s="10"/>
      <c r="AHL928" s="10"/>
      <c r="AHM928" s="10"/>
      <c r="AHN928" s="10"/>
      <c r="AHO928" s="10"/>
      <c r="AHP928" s="10"/>
      <c r="AHQ928" s="10"/>
      <c r="AHR928" s="10"/>
      <c r="AHS928" s="10"/>
      <c r="AHT928" s="10"/>
      <c r="AHU928" s="10"/>
      <c r="AHV928" s="10"/>
      <c r="AHW928" s="10"/>
      <c r="AHX928" s="10"/>
      <c r="AHY928" s="10"/>
      <c r="AHZ928" s="10"/>
      <c r="AIA928" s="10"/>
      <c r="AIB928" s="10"/>
      <c r="AIC928" s="10"/>
      <c r="AID928" s="10"/>
      <c r="AIE928" s="10"/>
      <c r="AIF928" s="10"/>
      <c r="AIG928" s="10"/>
      <c r="AIH928" s="10"/>
      <c r="AII928" s="10"/>
      <c r="AIJ928" s="10"/>
      <c r="AIK928" s="10"/>
      <c r="AIL928" s="10"/>
      <c r="AIM928" s="10"/>
      <c r="AIN928" s="10"/>
      <c r="AIO928" s="10"/>
      <c r="AIP928" s="10"/>
      <c r="AIQ928" s="10"/>
      <c r="AIR928" s="10"/>
      <c r="AIS928" s="10"/>
      <c r="AIT928" s="10"/>
      <c r="AIU928" s="10"/>
      <c r="AIV928" s="10"/>
      <c r="AIW928" s="10"/>
      <c r="AIX928" s="10"/>
      <c r="AIY928" s="10"/>
      <c r="AIZ928" s="10"/>
      <c r="AJA928" s="10"/>
      <c r="AJB928" s="10"/>
      <c r="AJC928" s="10"/>
      <c r="AJD928" s="10"/>
      <c r="AJE928" s="10"/>
      <c r="AJF928" s="10"/>
      <c r="AJG928" s="10"/>
      <c r="AJH928" s="10"/>
      <c r="AJI928" s="10"/>
      <c r="AJJ928" s="10"/>
      <c r="AJK928" s="10"/>
      <c r="AJL928" s="10"/>
      <c r="AJM928" s="10"/>
      <c r="AJN928" s="10"/>
      <c r="AJO928" s="10"/>
      <c r="AJP928" s="10"/>
      <c r="AJQ928" s="10"/>
      <c r="AJR928" s="10"/>
      <c r="AJS928" s="10"/>
      <c r="AJT928" s="10"/>
      <c r="AJU928" s="10"/>
      <c r="AJV928" s="10"/>
      <c r="AJW928" s="10"/>
      <c r="AJX928" s="10"/>
      <c r="AJY928" s="10"/>
      <c r="AJZ928" s="10"/>
      <c r="AKA928" s="10"/>
      <c r="AKB928" s="10"/>
      <c r="AKC928" s="10"/>
      <c r="AKD928" s="10"/>
      <c r="AKE928" s="10"/>
      <c r="AKF928" s="10"/>
      <c r="AKG928" s="10"/>
      <c r="AKH928" s="10"/>
      <c r="AKI928" s="10"/>
      <c r="AKJ928" s="10"/>
      <c r="AKK928" s="10"/>
      <c r="AKL928" s="10"/>
      <c r="AKM928" s="10"/>
      <c r="AKN928" s="10"/>
      <c r="AKO928" s="10"/>
      <c r="AKP928" s="10"/>
      <c r="AKQ928" s="10"/>
      <c r="AKR928" s="10"/>
      <c r="AKS928" s="10"/>
      <c r="AKT928" s="10"/>
      <c r="AKU928" s="10"/>
      <c r="AKV928" s="10"/>
      <c r="AKW928" s="10"/>
      <c r="AKX928" s="10"/>
      <c r="AKY928" s="10"/>
      <c r="AKZ928" s="10"/>
      <c r="ALA928" s="10"/>
      <c r="ALB928" s="10"/>
      <c r="ALC928" s="10"/>
      <c r="ALD928" s="10"/>
      <c r="ALE928" s="10"/>
      <c r="ALF928" s="10"/>
      <c r="ALG928" s="10"/>
      <c r="ALH928" s="10"/>
      <c r="ALI928" s="10"/>
      <c r="ALJ928" s="10"/>
      <c r="ALK928" s="10"/>
      <c r="ALL928" s="10"/>
      <c r="ALM928" s="10"/>
      <c r="ALN928" s="10"/>
      <c r="ALO928" s="10"/>
      <c r="ALP928" s="10"/>
      <c r="ALQ928" s="10"/>
      <c r="ALR928" s="10"/>
      <c r="ALS928" s="10"/>
      <c r="ALT928" s="10"/>
      <c r="ALU928" s="10"/>
      <c r="ALV928" s="10"/>
      <c r="ALW928" s="10"/>
      <c r="ALX928" s="10"/>
      <c r="ALY928" s="10"/>
      <c r="ALZ928" s="10"/>
      <c r="AMA928" s="10"/>
      <c r="AMB928" s="10"/>
      <c r="AMC928" s="10"/>
      <c r="AMD928" s="10"/>
      <c r="AME928" s="10"/>
      <c r="AMF928" s="10"/>
      <c r="AMG928" s="10"/>
      <c r="AMH928" s="10"/>
      <c r="AMI928" s="10"/>
      <c r="AMJ928" s="10"/>
      <c r="AMK928" s="10"/>
      <c r="AML928" s="10"/>
      <c r="AMM928" s="10"/>
      <c r="AMN928" s="10"/>
      <c r="AMO928" s="10"/>
      <c r="AMP928" s="10"/>
      <c r="AMQ928" s="10"/>
      <c r="AMR928" s="10"/>
      <c r="AMS928" s="10"/>
      <c r="AMT928" s="10"/>
      <c r="AMU928" s="10"/>
      <c r="AMV928" s="10"/>
      <c r="AMW928" s="10"/>
      <c r="AMX928" s="10"/>
      <c r="AMY928" s="10"/>
      <c r="AMZ928" s="10"/>
      <c r="ANA928" s="10"/>
      <c r="ANB928" s="10"/>
      <c r="ANC928" s="10"/>
      <c r="AND928" s="10"/>
      <c r="ANE928" s="10"/>
      <c r="ANF928" s="10"/>
      <c r="ANG928" s="10"/>
      <c r="ANH928" s="10"/>
      <c r="ANI928" s="10"/>
      <c r="ANJ928" s="10"/>
      <c r="ANK928" s="10"/>
      <c r="ANL928" s="10"/>
      <c r="ANM928" s="10"/>
      <c r="ANN928" s="10"/>
      <c r="ANO928" s="10"/>
      <c r="ANP928" s="10"/>
      <c r="ANQ928" s="10"/>
      <c r="ANR928" s="10"/>
      <c r="ANS928" s="10"/>
      <c r="ANT928" s="10"/>
      <c r="ANU928" s="10"/>
      <c r="ANV928" s="10"/>
      <c r="ANW928" s="10"/>
      <c r="ANX928" s="10"/>
      <c r="ANY928" s="10"/>
      <c r="ANZ928" s="10"/>
      <c r="AOA928" s="10"/>
      <c r="AOB928" s="10"/>
      <c r="AOC928" s="10"/>
      <c r="AOD928" s="10"/>
      <c r="AOE928" s="10"/>
      <c r="AOF928" s="10"/>
      <c r="AOG928" s="10"/>
      <c r="AOH928" s="10"/>
      <c r="AOI928" s="10"/>
      <c r="AOJ928" s="10"/>
      <c r="AOK928" s="10"/>
      <c r="AOL928" s="10"/>
      <c r="AOM928" s="10"/>
      <c r="AON928" s="10"/>
      <c r="AOO928" s="10"/>
      <c r="AOP928" s="10"/>
      <c r="AOQ928" s="10"/>
      <c r="AOR928" s="10"/>
      <c r="AOS928" s="10"/>
      <c r="AOT928" s="10"/>
      <c r="AOU928" s="10"/>
      <c r="AOV928" s="10"/>
      <c r="AOW928" s="10"/>
      <c r="AOX928" s="10"/>
      <c r="AOY928" s="10"/>
      <c r="AOZ928" s="10"/>
      <c r="APA928" s="10"/>
      <c r="APB928" s="10"/>
      <c r="APC928" s="10"/>
      <c r="APD928" s="10"/>
      <c r="APE928" s="10"/>
      <c r="APF928" s="10"/>
      <c r="APG928" s="10"/>
      <c r="APH928" s="10"/>
      <c r="API928" s="10"/>
      <c r="APJ928" s="10"/>
      <c r="APK928" s="10"/>
      <c r="APL928" s="10"/>
      <c r="APM928" s="10"/>
      <c r="APN928" s="10"/>
      <c r="APO928" s="10"/>
      <c r="APP928" s="10"/>
      <c r="APQ928" s="10"/>
      <c r="APR928" s="10"/>
      <c r="APS928" s="10"/>
      <c r="APT928" s="10"/>
      <c r="APU928" s="10"/>
      <c r="APV928" s="10"/>
      <c r="APW928" s="10"/>
      <c r="APX928" s="10"/>
      <c r="APY928" s="10"/>
      <c r="APZ928" s="10"/>
      <c r="AQA928" s="10"/>
      <c r="AQB928" s="10"/>
      <c r="AQC928" s="10"/>
      <c r="AQD928" s="10"/>
      <c r="AQE928" s="10"/>
      <c r="AQF928" s="10"/>
      <c r="AQG928" s="10"/>
      <c r="AQH928" s="10"/>
      <c r="AQI928" s="10"/>
      <c r="AQJ928" s="10"/>
      <c r="AQK928" s="10"/>
      <c r="AQL928" s="10"/>
      <c r="AQM928" s="10"/>
      <c r="AQN928" s="10"/>
      <c r="AQO928" s="10"/>
      <c r="AQP928" s="10"/>
      <c r="AQQ928" s="10"/>
      <c r="AQR928" s="10"/>
      <c r="AQS928" s="10"/>
      <c r="AQT928" s="10"/>
      <c r="AQU928" s="10"/>
      <c r="AQV928" s="10"/>
      <c r="AQW928" s="10"/>
      <c r="AQX928" s="10"/>
      <c r="AQY928" s="10"/>
      <c r="AQZ928" s="10"/>
      <c r="ARA928" s="10"/>
      <c r="ARB928" s="10"/>
      <c r="ARC928" s="10"/>
      <c r="ARD928" s="10"/>
      <c r="ARE928" s="10"/>
      <c r="ARF928" s="10"/>
      <c r="ARG928" s="10"/>
      <c r="ARH928" s="10"/>
      <c r="ARI928" s="10"/>
      <c r="ARJ928" s="10"/>
      <c r="ARK928" s="10"/>
      <c r="ARL928" s="10"/>
      <c r="ARM928" s="10"/>
      <c r="ARN928" s="10"/>
      <c r="ARO928" s="10"/>
      <c r="ARP928" s="10"/>
      <c r="ARQ928" s="10"/>
      <c r="ARR928" s="10"/>
      <c r="ARS928" s="10"/>
      <c r="ART928" s="10"/>
      <c r="ARU928" s="10"/>
      <c r="ARV928" s="10"/>
      <c r="ARW928" s="10"/>
      <c r="ARX928" s="10"/>
      <c r="ARY928" s="10"/>
      <c r="ARZ928" s="10"/>
      <c r="ASA928" s="10"/>
      <c r="ASB928" s="10"/>
      <c r="ASC928" s="10"/>
      <c r="ASD928" s="10"/>
      <c r="ASE928" s="10"/>
      <c r="ASF928" s="10"/>
      <c r="ASG928" s="10"/>
      <c r="ASH928" s="10"/>
      <c r="ASI928" s="10"/>
      <c r="ASJ928" s="10"/>
      <c r="ASK928" s="10"/>
      <c r="ASL928" s="10"/>
      <c r="ASM928" s="10"/>
      <c r="ASN928" s="10"/>
      <c r="ASO928" s="10"/>
      <c r="ASP928" s="10"/>
      <c r="ASQ928" s="10"/>
      <c r="ASR928" s="10"/>
      <c r="ASS928" s="10"/>
      <c r="AST928" s="10"/>
      <c r="ASU928" s="10"/>
      <c r="ASV928" s="10"/>
      <c r="ASW928" s="10"/>
      <c r="ASX928" s="10"/>
      <c r="ASY928" s="10"/>
      <c r="ASZ928" s="10"/>
      <c r="ATA928" s="10"/>
      <c r="ATB928" s="10"/>
      <c r="ATC928" s="10"/>
      <c r="ATD928" s="10"/>
      <c r="ATE928" s="10"/>
      <c r="ATF928" s="10"/>
      <c r="ATG928" s="10"/>
      <c r="ATH928" s="10"/>
      <c r="ATI928" s="10"/>
      <c r="ATJ928" s="10"/>
      <c r="ATK928" s="10"/>
      <c r="ATL928" s="10"/>
      <c r="ATM928" s="10"/>
      <c r="ATN928" s="10"/>
      <c r="ATO928" s="10"/>
      <c r="ATP928" s="10"/>
      <c r="ATQ928" s="10"/>
      <c r="ATR928" s="10"/>
      <c r="ATS928" s="10"/>
      <c r="ATT928" s="10"/>
      <c r="ATU928" s="10"/>
      <c r="ATV928" s="10"/>
      <c r="ATW928" s="10"/>
      <c r="ATX928" s="10"/>
      <c r="ATY928" s="10"/>
      <c r="ATZ928" s="10"/>
      <c r="AUA928" s="10"/>
      <c r="AUB928" s="10"/>
      <c r="AUC928" s="10"/>
      <c r="AUD928" s="10"/>
      <c r="AUE928" s="10"/>
      <c r="AUF928" s="10"/>
      <c r="AUG928" s="10"/>
      <c r="AUH928" s="10"/>
      <c r="AUI928" s="10"/>
      <c r="AUJ928" s="10"/>
      <c r="AUK928" s="10"/>
      <c r="AUL928" s="10"/>
      <c r="AUM928" s="10"/>
      <c r="AUN928" s="10"/>
      <c r="AUO928" s="10"/>
      <c r="AUP928" s="10"/>
      <c r="AUQ928" s="10"/>
      <c r="AUR928" s="10"/>
      <c r="AUS928" s="10"/>
      <c r="AUT928" s="10"/>
      <c r="AUU928" s="10"/>
      <c r="AUV928" s="10"/>
      <c r="AUW928" s="10"/>
      <c r="AUX928" s="10"/>
      <c r="AUY928" s="10"/>
      <c r="AUZ928" s="10"/>
      <c r="AVA928" s="10"/>
      <c r="AVB928" s="10"/>
      <c r="AVC928" s="10"/>
      <c r="AVD928" s="10"/>
      <c r="AVE928" s="10"/>
      <c r="AVF928" s="10"/>
      <c r="AVG928" s="10"/>
      <c r="AVH928" s="10"/>
      <c r="AVI928" s="10"/>
      <c r="AVJ928" s="10"/>
      <c r="AVK928" s="10"/>
      <c r="AVL928" s="10"/>
      <c r="AVM928" s="10"/>
      <c r="AVN928" s="10"/>
      <c r="AVO928" s="10"/>
      <c r="AVP928" s="10"/>
      <c r="AVQ928" s="10"/>
      <c r="AVR928" s="10"/>
      <c r="AVS928" s="10"/>
      <c r="AVT928" s="10"/>
      <c r="AVU928" s="10"/>
      <c r="AVV928" s="10"/>
      <c r="AVW928" s="10"/>
      <c r="AVX928" s="10"/>
      <c r="AVY928" s="10"/>
      <c r="AVZ928" s="10"/>
      <c r="AWA928" s="10"/>
      <c r="AWB928" s="10"/>
      <c r="AWC928" s="10"/>
      <c r="AWD928" s="10"/>
      <c r="AWE928" s="10"/>
      <c r="AWF928" s="10"/>
      <c r="AWG928" s="10"/>
      <c r="AWH928" s="10"/>
      <c r="AWI928" s="10"/>
      <c r="AWJ928" s="10"/>
      <c r="AWK928" s="10"/>
      <c r="AWL928" s="10"/>
      <c r="AWM928" s="10"/>
      <c r="AWN928" s="10"/>
      <c r="AWO928" s="10"/>
      <c r="AWP928" s="10"/>
      <c r="AWQ928" s="10"/>
      <c r="AWR928" s="10"/>
      <c r="AWS928" s="10"/>
      <c r="AWT928" s="10"/>
      <c r="AWU928" s="10"/>
      <c r="AWV928" s="10"/>
      <c r="AWW928" s="10"/>
      <c r="AWX928" s="10"/>
      <c r="AWY928" s="10"/>
      <c r="AWZ928" s="10"/>
      <c r="AXA928" s="10"/>
      <c r="AXB928" s="10"/>
      <c r="AXC928" s="10"/>
      <c r="AXD928" s="10"/>
      <c r="AXE928" s="10"/>
      <c r="AXF928" s="10"/>
      <c r="AXG928" s="10"/>
      <c r="AXH928" s="10"/>
      <c r="AXI928" s="10"/>
      <c r="AXJ928" s="10"/>
      <c r="AXK928" s="10"/>
      <c r="AXL928" s="10"/>
      <c r="AXM928" s="10"/>
      <c r="AXN928" s="10"/>
      <c r="AXO928" s="10"/>
      <c r="AXP928" s="10"/>
      <c r="AXQ928" s="10"/>
      <c r="AXR928" s="10"/>
      <c r="AXS928" s="10"/>
      <c r="AXT928" s="10"/>
      <c r="AXU928" s="10"/>
      <c r="AXV928" s="10"/>
      <c r="AXW928" s="10"/>
      <c r="AXX928" s="10"/>
      <c r="AXY928" s="10"/>
      <c r="AXZ928" s="10"/>
      <c r="AYA928" s="10"/>
      <c r="AYB928" s="10"/>
      <c r="AYC928" s="10"/>
      <c r="AYD928" s="10"/>
      <c r="AYE928" s="10"/>
      <c r="AYF928" s="10"/>
      <c r="AYG928" s="10"/>
      <c r="AYH928" s="10"/>
      <c r="AYI928" s="10"/>
      <c r="AYJ928" s="10"/>
      <c r="AYK928" s="10"/>
      <c r="AYL928" s="10"/>
      <c r="AYM928" s="10"/>
      <c r="AYN928" s="10"/>
      <c r="AYO928" s="10"/>
      <c r="AYP928" s="10"/>
      <c r="AYQ928" s="10"/>
      <c r="AYR928" s="10"/>
      <c r="AYS928" s="10"/>
      <c r="AYT928" s="10"/>
      <c r="AYU928" s="10"/>
      <c r="AYV928" s="10"/>
      <c r="AYW928" s="10"/>
      <c r="AYX928" s="10"/>
      <c r="AYY928" s="10"/>
      <c r="AYZ928" s="10"/>
      <c r="AZA928" s="10"/>
      <c r="AZB928" s="10"/>
      <c r="AZC928" s="10"/>
      <c r="AZD928" s="10"/>
      <c r="AZE928" s="10"/>
      <c r="AZF928" s="10"/>
      <c r="AZG928" s="10"/>
      <c r="AZH928" s="10"/>
      <c r="AZI928" s="10"/>
      <c r="AZJ928" s="10"/>
      <c r="AZK928" s="10"/>
      <c r="AZL928" s="10"/>
      <c r="AZM928" s="10"/>
      <c r="AZN928" s="10"/>
      <c r="AZO928" s="10"/>
      <c r="AZP928" s="10"/>
      <c r="AZQ928" s="10"/>
      <c r="AZR928" s="10"/>
      <c r="AZS928" s="10"/>
      <c r="AZT928" s="10"/>
      <c r="AZU928" s="10"/>
      <c r="AZV928" s="10"/>
      <c r="AZW928" s="10"/>
      <c r="AZX928" s="10"/>
      <c r="AZY928" s="10"/>
      <c r="AZZ928" s="10"/>
      <c r="BAA928" s="10"/>
      <c r="BAB928" s="10"/>
      <c r="BAC928" s="10"/>
      <c r="BAD928" s="10"/>
      <c r="BAE928" s="10"/>
      <c r="BAF928" s="10"/>
      <c r="BAG928" s="10"/>
      <c r="BAH928" s="10"/>
      <c r="BAI928" s="10"/>
      <c r="BAJ928" s="10"/>
      <c r="BAK928" s="10"/>
      <c r="BAL928" s="10"/>
      <c r="BAM928" s="10"/>
      <c r="BAN928" s="10"/>
      <c r="BAO928" s="10"/>
      <c r="BAP928" s="10"/>
      <c r="BAQ928" s="10"/>
      <c r="BAR928" s="10"/>
      <c r="BAS928" s="10"/>
      <c r="BAT928" s="10"/>
      <c r="BAU928" s="10"/>
      <c r="BAV928" s="10"/>
      <c r="BAW928" s="10"/>
      <c r="BAX928" s="10"/>
      <c r="BAY928" s="10"/>
      <c r="BAZ928" s="10"/>
      <c r="BBA928" s="10"/>
      <c r="BBB928" s="10"/>
      <c r="BBC928" s="10"/>
      <c r="BBD928" s="10"/>
      <c r="BBE928" s="10"/>
      <c r="BBF928" s="10"/>
      <c r="BBG928" s="10"/>
      <c r="BBH928" s="10"/>
      <c r="BBI928" s="10"/>
      <c r="BBJ928" s="10"/>
      <c r="BBK928" s="10"/>
      <c r="BBL928" s="10"/>
      <c r="BBM928" s="10"/>
      <c r="BBN928" s="10"/>
      <c r="BBO928" s="10"/>
      <c r="BBP928" s="10"/>
      <c r="BBQ928" s="10"/>
      <c r="BBR928" s="10"/>
      <c r="BBS928" s="10"/>
      <c r="BBT928" s="10"/>
      <c r="BBU928" s="10"/>
      <c r="BBV928" s="10"/>
      <c r="BBW928" s="10"/>
      <c r="BBX928" s="10"/>
      <c r="BBY928" s="10"/>
      <c r="BBZ928" s="10"/>
      <c r="BCA928" s="10"/>
      <c r="BCB928" s="10"/>
      <c r="BCC928" s="10"/>
      <c r="BCD928" s="10"/>
      <c r="BCE928" s="10"/>
      <c r="BCF928" s="10"/>
      <c r="BCG928" s="10"/>
      <c r="BCH928" s="10"/>
      <c r="BCI928" s="10"/>
      <c r="BCJ928" s="10"/>
      <c r="BCK928" s="10"/>
      <c r="BCL928" s="10"/>
      <c r="BCM928" s="10"/>
      <c r="BCN928" s="10"/>
      <c r="BCO928" s="10"/>
      <c r="BCP928" s="10"/>
      <c r="BCQ928" s="10"/>
      <c r="BCR928" s="10"/>
      <c r="BCS928" s="10"/>
      <c r="BCT928" s="10"/>
      <c r="BCU928" s="10"/>
      <c r="BCV928" s="10"/>
      <c r="BCW928" s="10"/>
      <c r="BCX928" s="10"/>
      <c r="BCY928" s="10"/>
      <c r="BCZ928" s="10"/>
      <c r="BDA928" s="10"/>
      <c r="BDB928" s="10"/>
      <c r="BDC928" s="10"/>
      <c r="BDD928" s="10"/>
      <c r="BDE928" s="10"/>
      <c r="BDF928" s="10"/>
      <c r="BDG928" s="10"/>
      <c r="BDH928" s="10"/>
      <c r="BDI928" s="10"/>
      <c r="BDJ928" s="10"/>
      <c r="BDK928" s="10"/>
      <c r="BDL928" s="10"/>
      <c r="BDM928" s="10"/>
      <c r="BDN928" s="10"/>
      <c r="BDO928" s="10"/>
      <c r="BDP928" s="10"/>
      <c r="BDQ928" s="10"/>
      <c r="BDR928" s="10"/>
      <c r="BDS928" s="10"/>
      <c r="BDT928" s="10"/>
      <c r="BDU928" s="10"/>
      <c r="BDV928" s="10"/>
      <c r="BDW928" s="10"/>
      <c r="BDX928" s="10"/>
      <c r="BDY928" s="10"/>
      <c r="BDZ928" s="10"/>
      <c r="BEA928" s="10"/>
      <c r="BEB928" s="10"/>
      <c r="BEC928" s="10"/>
      <c r="BED928" s="10"/>
      <c r="BEE928" s="10"/>
      <c r="BEF928" s="10"/>
      <c r="BEG928" s="10"/>
      <c r="BEH928" s="10"/>
      <c r="BEI928" s="10"/>
      <c r="BEJ928" s="10"/>
      <c r="BEK928" s="10"/>
      <c r="BEL928" s="10"/>
      <c r="BEM928" s="10"/>
      <c r="BEN928" s="10"/>
      <c r="BEO928" s="10"/>
      <c r="BEP928" s="10"/>
      <c r="BEQ928" s="10"/>
      <c r="BER928" s="10"/>
      <c r="BES928" s="10"/>
      <c r="BET928" s="10"/>
      <c r="BEU928" s="10"/>
      <c r="BEV928" s="10"/>
      <c r="BEW928" s="10"/>
      <c r="BEX928" s="10"/>
      <c r="BEY928" s="10"/>
      <c r="BEZ928" s="10"/>
      <c r="BFA928" s="10"/>
      <c r="BFB928" s="10"/>
      <c r="BFC928" s="10"/>
      <c r="BFD928" s="10"/>
      <c r="BFE928" s="10"/>
      <c r="BFF928" s="10"/>
      <c r="BFG928" s="10"/>
      <c r="BFH928" s="10"/>
      <c r="BFI928" s="10"/>
      <c r="BFJ928" s="10"/>
      <c r="BFK928" s="10"/>
      <c r="BFL928" s="10"/>
      <c r="BFM928" s="10"/>
      <c r="BFN928" s="10"/>
      <c r="BFO928" s="10"/>
      <c r="BFP928" s="10"/>
      <c r="BFQ928" s="10"/>
      <c r="BFR928" s="10"/>
      <c r="BFS928" s="10"/>
      <c r="BFT928" s="10"/>
      <c r="BFU928" s="10"/>
      <c r="BFV928" s="10"/>
      <c r="BFW928" s="10"/>
      <c r="BFX928" s="10"/>
      <c r="BFY928" s="10"/>
      <c r="BFZ928" s="10"/>
      <c r="BGA928" s="10"/>
      <c r="BGB928" s="10"/>
      <c r="BGC928" s="10"/>
      <c r="BGD928" s="10"/>
      <c r="BGE928" s="10"/>
      <c r="BGF928" s="10"/>
      <c r="BGG928" s="10"/>
      <c r="BGH928" s="10"/>
      <c r="BGI928" s="10"/>
      <c r="BGJ928" s="10"/>
      <c r="BGK928" s="10"/>
      <c r="BGL928" s="10"/>
      <c r="BGM928" s="10"/>
      <c r="BGN928" s="10"/>
      <c r="BGO928" s="10"/>
      <c r="BGP928" s="10"/>
      <c r="BGQ928" s="10"/>
      <c r="BGR928" s="10"/>
      <c r="BGS928" s="10"/>
      <c r="BGT928" s="10"/>
      <c r="BGU928" s="10"/>
      <c r="BGV928" s="10"/>
      <c r="BGW928" s="10"/>
      <c r="BGX928" s="10"/>
      <c r="BGY928" s="10"/>
      <c r="BGZ928" s="10"/>
      <c r="BHA928" s="10"/>
      <c r="BHB928" s="10"/>
      <c r="BHC928" s="10"/>
      <c r="BHD928" s="10"/>
      <c r="BHE928" s="10"/>
      <c r="BHF928" s="10"/>
      <c r="BHG928" s="10"/>
      <c r="BHH928" s="10"/>
      <c r="BHI928" s="10"/>
      <c r="BHJ928" s="10"/>
      <c r="BHK928" s="10"/>
      <c r="BHL928" s="10"/>
      <c r="BHM928" s="10"/>
      <c r="BHN928" s="10"/>
      <c r="BHO928" s="10"/>
      <c r="BHP928" s="10"/>
      <c r="BHQ928" s="10"/>
      <c r="BHR928" s="10"/>
      <c r="BHS928" s="10"/>
      <c r="BHT928" s="10"/>
      <c r="BHU928" s="10"/>
      <c r="BHV928" s="10"/>
      <c r="BHW928" s="10"/>
      <c r="BHX928" s="10"/>
      <c r="BHY928" s="10"/>
      <c r="BHZ928" s="10"/>
      <c r="BIA928" s="10"/>
      <c r="BIB928" s="10"/>
      <c r="BIC928" s="10"/>
      <c r="BID928" s="10"/>
      <c r="BIE928" s="10"/>
      <c r="BIF928" s="10"/>
      <c r="BIG928" s="10"/>
      <c r="BIH928" s="10"/>
      <c r="BII928" s="10"/>
      <c r="BIJ928" s="10"/>
      <c r="BIK928" s="10"/>
      <c r="BIL928" s="10"/>
      <c r="BIM928" s="10"/>
      <c r="BIN928" s="10"/>
      <c r="BIO928" s="10"/>
      <c r="BIP928" s="10"/>
      <c r="BIQ928" s="10"/>
      <c r="BIR928" s="10"/>
      <c r="BIS928" s="10"/>
      <c r="BIT928" s="10"/>
      <c r="BIU928" s="10"/>
      <c r="BIV928" s="10"/>
      <c r="BIW928" s="10"/>
      <c r="BIX928" s="10"/>
      <c r="BIY928" s="10"/>
      <c r="BIZ928" s="10"/>
      <c r="BJA928" s="10"/>
      <c r="BJB928" s="10"/>
      <c r="BJC928" s="10"/>
      <c r="BJD928" s="10"/>
      <c r="BJE928" s="10"/>
      <c r="BJF928" s="10"/>
      <c r="BJG928" s="10"/>
      <c r="BJH928" s="10"/>
      <c r="BJI928" s="10"/>
      <c r="BJJ928" s="10"/>
      <c r="BJK928" s="10"/>
      <c r="BJL928" s="10"/>
      <c r="BJM928" s="10"/>
      <c r="BJN928" s="10"/>
      <c r="BJO928" s="10"/>
      <c r="BJP928" s="10"/>
      <c r="BJQ928" s="10"/>
      <c r="BJR928" s="10"/>
      <c r="BJS928" s="10"/>
      <c r="BJT928" s="10"/>
      <c r="BJU928" s="10"/>
      <c r="BJV928" s="10"/>
      <c r="BJW928" s="10"/>
      <c r="BJX928" s="10"/>
      <c r="BJY928" s="10"/>
      <c r="BJZ928" s="10"/>
      <c r="BKA928" s="10"/>
      <c r="BKB928" s="10"/>
      <c r="BKC928" s="10"/>
      <c r="BKD928" s="10"/>
      <c r="BKE928" s="10"/>
      <c r="BKF928" s="10"/>
      <c r="BKG928" s="10"/>
      <c r="BKH928" s="10"/>
      <c r="BKI928" s="10"/>
      <c r="BKJ928" s="10"/>
      <c r="BKK928" s="10"/>
      <c r="BKL928" s="10"/>
      <c r="BKM928" s="10"/>
      <c r="BKN928" s="10"/>
      <c r="BKO928" s="10"/>
      <c r="BKP928" s="10"/>
      <c r="BKQ928" s="10"/>
      <c r="BKR928" s="10"/>
      <c r="BKS928" s="10"/>
      <c r="BKT928" s="10"/>
      <c r="BKU928" s="10"/>
      <c r="BKV928" s="10"/>
      <c r="BKW928" s="10"/>
      <c r="BKX928" s="10"/>
      <c r="BKY928" s="10"/>
      <c r="BKZ928" s="10"/>
      <c r="BLA928" s="10"/>
      <c r="BLB928" s="10"/>
      <c r="BLC928" s="10"/>
      <c r="BLD928" s="10"/>
      <c r="BLE928" s="10"/>
      <c r="BLF928" s="10"/>
      <c r="BLG928" s="10"/>
      <c r="BLH928" s="10"/>
      <c r="BLI928" s="10"/>
      <c r="BLJ928" s="10"/>
      <c r="BLK928" s="10"/>
      <c r="BLL928" s="10"/>
      <c r="BLM928" s="10"/>
      <c r="BLN928" s="10"/>
      <c r="BLO928" s="10"/>
      <c r="BLP928" s="10"/>
      <c r="BLQ928" s="10"/>
      <c r="BLR928" s="10"/>
      <c r="BLS928" s="10"/>
      <c r="BLT928" s="10"/>
      <c r="BLU928" s="10"/>
      <c r="BLV928" s="10"/>
      <c r="BLW928" s="10"/>
      <c r="BLX928" s="10"/>
      <c r="BLY928" s="10"/>
      <c r="BLZ928" s="10"/>
      <c r="BMA928" s="10"/>
      <c r="BMB928" s="10"/>
      <c r="BMC928" s="10"/>
      <c r="BMD928" s="10"/>
      <c r="BME928" s="10"/>
      <c r="BMF928" s="10"/>
      <c r="BMG928" s="10"/>
      <c r="BMH928" s="10"/>
      <c r="BMI928" s="10"/>
      <c r="BMJ928" s="10"/>
      <c r="BMK928" s="10"/>
      <c r="BML928" s="10"/>
      <c r="BMM928" s="10"/>
      <c r="BMN928" s="10"/>
      <c r="BMO928" s="10"/>
      <c r="BMP928" s="10"/>
      <c r="BMQ928" s="10"/>
      <c r="BMR928" s="10"/>
      <c r="BMS928" s="10"/>
      <c r="BMT928" s="10"/>
      <c r="BMU928" s="10"/>
      <c r="BMV928" s="10"/>
      <c r="BMW928" s="10"/>
      <c r="BMX928" s="10"/>
      <c r="BMY928" s="10"/>
      <c r="BMZ928" s="10"/>
      <c r="BNA928" s="10"/>
      <c r="BNB928" s="10"/>
      <c r="BNC928" s="10"/>
      <c r="BND928" s="10"/>
      <c r="BNE928" s="10"/>
      <c r="BNF928" s="10"/>
      <c r="BNG928" s="10"/>
      <c r="BNH928" s="10"/>
      <c r="BNI928" s="10"/>
      <c r="BNJ928" s="10"/>
      <c r="BNK928" s="10"/>
      <c r="BNL928" s="10"/>
      <c r="BNM928" s="10"/>
      <c r="BNN928" s="10"/>
      <c r="BNO928" s="10"/>
      <c r="BNP928" s="10"/>
      <c r="BNQ928" s="10"/>
      <c r="BNR928" s="10"/>
      <c r="BNS928" s="10"/>
      <c r="BNT928" s="10"/>
      <c r="BNU928" s="10"/>
      <c r="BNV928" s="10"/>
      <c r="BNW928" s="10"/>
      <c r="BNX928" s="10"/>
      <c r="BNY928" s="10"/>
      <c r="BNZ928" s="10"/>
      <c r="BOA928" s="10"/>
      <c r="BOB928" s="10"/>
      <c r="BOC928" s="10"/>
      <c r="BOD928" s="10"/>
      <c r="BOE928" s="10"/>
      <c r="BOF928" s="10"/>
      <c r="BOG928" s="10"/>
      <c r="BOH928" s="10"/>
      <c r="BOI928" s="10"/>
      <c r="BOJ928" s="10"/>
      <c r="BOK928" s="10"/>
      <c r="BOL928" s="10"/>
      <c r="BOM928" s="10"/>
      <c r="BON928" s="10"/>
      <c r="BOO928" s="10"/>
      <c r="BOP928" s="10"/>
      <c r="BOQ928" s="10"/>
      <c r="BOR928" s="10"/>
      <c r="BOS928" s="10"/>
      <c r="BOT928" s="10"/>
      <c r="BOU928" s="10"/>
      <c r="BOV928" s="10"/>
      <c r="BOW928" s="10"/>
      <c r="BOX928" s="10"/>
      <c r="BOY928" s="10"/>
      <c r="BOZ928" s="10"/>
      <c r="BPA928" s="10"/>
      <c r="BPB928" s="10"/>
      <c r="BPC928" s="10"/>
      <c r="BPD928" s="10"/>
      <c r="BPE928" s="10"/>
      <c r="BPF928" s="10"/>
      <c r="BPG928" s="10"/>
      <c r="BPH928" s="10"/>
      <c r="BPI928" s="10"/>
      <c r="BPJ928" s="10"/>
      <c r="BPK928" s="10"/>
      <c r="BPL928" s="10"/>
      <c r="BPM928" s="10"/>
      <c r="BPN928" s="10"/>
      <c r="BPO928" s="10"/>
      <c r="BPP928" s="10"/>
      <c r="BPQ928" s="10"/>
      <c r="BPR928" s="10"/>
      <c r="BPS928" s="10"/>
      <c r="BPT928" s="10"/>
      <c r="BPU928" s="10"/>
      <c r="BPV928" s="10"/>
      <c r="BPW928" s="10"/>
      <c r="BPX928" s="10"/>
      <c r="BPY928" s="10"/>
      <c r="BPZ928" s="10"/>
      <c r="BQA928" s="10"/>
      <c r="BQB928" s="10"/>
      <c r="BQC928" s="10"/>
      <c r="BQD928" s="10"/>
      <c r="BQE928" s="10"/>
      <c r="BQF928" s="10"/>
      <c r="BQG928" s="10"/>
      <c r="BQH928" s="10"/>
      <c r="BQI928" s="10"/>
      <c r="BQJ928" s="10"/>
      <c r="BQK928" s="10"/>
      <c r="BQL928" s="10"/>
      <c r="BQM928" s="10"/>
      <c r="BQN928" s="10"/>
      <c r="BQO928" s="10"/>
      <c r="BQP928" s="10"/>
      <c r="BQQ928" s="10"/>
      <c r="BQR928" s="10"/>
      <c r="BQS928" s="10"/>
      <c r="BQT928" s="10"/>
      <c r="BQU928" s="10"/>
      <c r="BQV928" s="10"/>
      <c r="BQW928" s="10"/>
      <c r="BQX928" s="10"/>
      <c r="BQY928" s="10"/>
      <c r="BQZ928" s="10"/>
      <c r="BRA928" s="10"/>
      <c r="BRB928" s="10"/>
      <c r="BRC928" s="10"/>
      <c r="BRD928" s="10"/>
      <c r="BRE928" s="10"/>
      <c r="BRF928" s="10"/>
      <c r="BRG928" s="10"/>
      <c r="BRH928" s="10"/>
      <c r="BRI928" s="10"/>
      <c r="BRJ928" s="10"/>
      <c r="BRK928" s="10"/>
      <c r="BRL928" s="10"/>
      <c r="BRM928" s="10"/>
      <c r="BRN928" s="10"/>
      <c r="BRO928" s="10"/>
      <c r="BRP928" s="10"/>
      <c r="BRQ928" s="10"/>
      <c r="BRR928" s="10"/>
      <c r="BRS928" s="10"/>
      <c r="BRT928" s="10"/>
      <c r="BRU928" s="10"/>
      <c r="BRV928" s="10"/>
      <c r="BRW928" s="10"/>
      <c r="BRX928" s="10"/>
      <c r="BRY928" s="10"/>
      <c r="BRZ928" s="10"/>
      <c r="BSA928" s="10"/>
      <c r="BSB928" s="10"/>
      <c r="BSC928" s="10"/>
      <c r="BSD928" s="10"/>
      <c r="BSE928" s="10"/>
      <c r="BSF928" s="10"/>
      <c r="BSG928" s="10"/>
      <c r="BSH928" s="10"/>
      <c r="BSI928" s="10"/>
      <c r="BSJ928" s="10"/>
      <c r="BSK928" s="10"/>
      <c r="BSL928" s="10"/>
      <c r="BSM928" s="10"/>
      <c r="BSN928" s="10"/>
      <c r="BSO928" s="10"/>
      <c r="BSP928" s="10"/>
      <c r="BSQ928" s="10"/>
      <c r="BSR928" s="10"/>
      <c r="BSS928" s="10"/>
      <c r="BST928" s="10"/>
      <c r="BSU928" s="10"/>
      <c r="BSV928" s="10"/>
      <c r="BSW928" s="10"/>
      <c r="BSX928" s="10"/>
      <c r="BSY928" s="10"/>
      <c r="BSZ928" s="10"/>
      <c r="BTA928" s="10"/>
      <c r="BTB928" s="10"/>
      <c r="BTC928" s="10"/>
      <c r="BTD928" s="10"/>
      <c r="BTE928" s="10"/>
      <c r="BTF928" s="10"/>
      <c r="BTG928" s="10"/>
      <c r="BTH928" s="10"/>
      <c r="BTI928" s="10"/>
      <c r="BTJ928" s="10"/>
      <c r="BTK928" s="10"/>
      <c r="BTL928" s="10"/>
      <c r="BTM928" s="10"/>
      <c r="BTN928" s="10"/>
      <c r="BTO928" s="10"/>
      <c r="BTP928" s="10"/>
      <c r="BTQ928" s="10"/>
      <c r="BTR928" s="10"/>
      <c r="BTS928" s="10"/>
      <c r="BTT928" s="10"/>
    </row>
    <row r="929" spans="1:1892" s="10" customFormat="1" ht="35.1" customHeight="1">
      <c r="A929" s="1241"/>
      <c r="B929" s="537" t="s">
        <v>180</v>
      </c>
      <c r="C929" s="993" t="s">
        <v>181</v>
      </c>
      <c r="D929" s="847" t="s">
        <v>182</v>
      </c>
      <c r="E929" s="848"/>
      <c r="F929" s="849"/>
      <c r="G929" s="616" t="s">
        <v>183</v>
      </c>
      <c r="H929" s="616" t="s">
        <v>184</v>
      </c>
      <c r="I929" s="616" t="s">
        <v>184</v>
      </c>
      <c r="J929" s="820" t="s">
        <v>67</v>
      </c>
      <c r="K929" s="820" t="s">
        <v>66</v>
      </c>
      <c r="L929" s="192">
        <v>220.404</v>
      </c>
      <c r="M929" s="281">
        <v>2</v>
      </c>
      <c r="N929" s="119">
        <v>0</v>
      </c>
      <c r="O929" s="119">
        <v>0</v>
      </c>
      <c r="P929" s="511" t="s">
        <v>421</v>
      </c>
      <c r="Q929" s="511" t="s">
        <v>413</v>
      </c>
      <c r="R929" s="511" t="s">
        <v>428</v>
      </c>
      <c r="S929" s="1641" t="s">
        <v>57</v>
      </c>
      <c r="T929" s="1093" t="s">
        <v>185</v>
      </c>
      <c r="U929" s="1093" t="s">
        <v>67</v>
      </c>
    </row>
    <row r="930" spans="1:1892" s="10" customFormat="1" ht="35.1" customHeight="1">
      <c r="A930" s="1241"/>
      <c r="B930" s="538"/>
      <c r="C930" s="1352"/>
      <c r="D930" s="850"/>
      <c r="E930" s="851"/>
      <c r="F930" s="852"/>
      <c r="G930" s="583"/>
      <c r="H930" s="583"/>
      <c r="I930" s="583"/>
      <c r="J930" s="821"/>
      <c r="K930" s="821"/>
      <c r="L930" s="192">
        <v>108.8292</v>
      </c>
      <c r="M930" s="281">
        <v>125</v>
      </c>
      <c r="N930" s="119">
        <v>24</v>
      </c>
      <c r="O930" s="119">
        <v>22</v>
      </c>
      <c r="P930" s="512"/>
      <c r="Q930" s="512"/>
      <c r="R930" s="512"/>
      <c r="S930" s="1642"/>
      <c r="T930" s="1094"/>
      <c r="U930" s="1094"/>
    </row>
    <row r="931" spans="1:1892" s="10" customFormat="1" ht="35.1" customHeight="1">
      <c r="A931" s="1241"/>
      <c r="B931" s="538"/>
      <c r="C931" s="1352"/>
      <c r="D931" s="850"/>
      <c r="E931" s="851"/>
      <c r="F931" s="852"/>
      <c r="G931" s="583"/>
      <c r="H931" s="583"/>
      <c r="I931" s="583"/>
      <c r="J931" s="821"/>
      <c r="K931" s="821"/>
      <c r="L931" s="192">
        <v>109.7051</v>
      </c>
      <c r="M931" s="281">
        <v>45</v>
      </c>
      <c r="N931" s="119">
        <v>8</v>
      </c>
      <c r="O931" s="119">
        <v>8</v>
      </c>
      <c r="P931" s="512"/>
      <c r="Q931" s="512"/>
      <c r="R931" s="512"/>
      <c r="S931" s="1642"/>
      <c r="T931" s="1094"/>
      <c r="U931" s="1094"/>
    </row>
    <row r="932" spans="1:1892" s="10" customFormat="1" ht="35.1" customHeight="1">
      <c r="A932" s="1241"/>
      <c r="B932" s="538"/>
      <c r="C932" s="1352"/>
      <c r="D932" s="850"/>
      <c r="E932" s="851"/>
      <c r="F932" s="852"/>
      <c r="G932" s="583"/>
      <c r="H932" s="583"/>
      <c r="I932" s="583"/>
      <c r="J932" s="821"/>
      <c r="K932" s="821"/>
      <c r="L932" s="192">
        <v>84.977500000000006</v>
      </c>
      <c r="M932" s="281">
        <v>147</v>
      </c>
      <c r="N932" s="119">
        <v>0</v>
      </c>
      <c r="O932" s="119">
        <v>0</v>
      </c>
      <c r="P932" s="512"/>
      <c r="Q932" s="512"/>
      <c r="R932" s="512"/>
      <c r="S932" s="1642"/>
      <c r="T932" s="1094"/>
      <c r="U932" s="1094"/>
    </row>
    <row r="933" spans="1:1892" s="10" customFormat="1" ht="35.1" customHeight="1">
      <c r="A933" s="1241"/>
      <c r="B933" s="538"/>
      <c r="C933" s="1352"/>
      <c r="D933" s="850"/>
      <c r="E933" s="851"/>
      <c r="F933" s="852"/>
      <c r="G933" s="583"/>
      <c r="H933" s="583"/>
      <c r="I933" s="583"/>
      <c r="J933" s="821"/>
      <c r="K933" s="821"/>
      <c r="L933" s="192">
        <v>84.936000000000007</v>
      </c>
      <c r="M933" s="281">
        <v>445</v>
      </c>
      <c r="N933" s="119">
        <v>0</v>
      </c>
      <c r="O933" s="119">
        <v>0</v>
      </c>
      <c r="P933" s="512"/>
      <c r="Q933" s="512"/>
      <c r="R933" s="512"/>
      <c r="S933" s="1642"/>
      <c r="T933" s="1094"/>
      <c r="U933" s="1094"/>
    </row>
    <row r="934" spans="1:1892" s="10" customFormat="1" ht="35.1" customHeight="1">
      <c r="A934" s="1241"/>
      <c r="B934" s="538"/>
      <c r="C934" s="1352"/>
      <c r="D934" s="850"/>
      <c r="E934" s="851"/>
      <c r="F934" s="852"/>
      <c r="G934" s="583"/>
      <c r="H934" s="583"/>
      <c r="I934" s="583"/>
      <c r="J934" s="821"/>
      <c r="K934" s="821"/>
      <c r="L934" s="192">
        <v>74.996899999999997</v>
      </c>
      <c r="M934" s="281">
        <v>13</v>
      </c>
      <c r="N934" s="119">
        <v>0</v>
      </c>
      <c r="O934" s="119">
        <v>0</v>
      </c>
      <c r="P934" s="512"/>
      <c r="Q934" s="512"/>
      <c r="R934" s="512"/>
      <c r="S934" s="1642"/>
      <c r="T934" s="1094"/>
      <c r="U934" s="1094"/>
    </row>
    <row r="935" spans="1:1892" s="10" customFormat="1" ht="35.1" customHeight="1">
      <c r="A935" s="1241"/>
      <c r="B935" s="538"/>
      <c r="C935" s="1352"/>
      <c r="D935" s="850"/>
      <c r="E935" s="851"/>
      <c r="F935" s="852"/>
      <c r="G935" s="583"/>
      <c r="H935" s="583"/>
      <c r="I935" s="583"/>
      <c r="J935" s="821"/>
      <c r="K935" s="821"/>
      <c r="L935" s="192">
        <v>74.139499999999998</v>
      </c>
      <c r="M935" s="281">
        <v>14</v>
      </c>
      <c r="N935" s="119">
        <v>0</v>
      </c>
      <c r="O935" s="119">
        <v>0</v>
      </c>
      <c r="P935" s="512"/>
      <c r="Q935" s="512"/>
      <c r="R935" s="512"/>
      <c r="S935" s="1642"/>
      <c r="T935" s="1094"/>
      <c r="U935" s="1094"/>
    </row>
    <row r="936" spans="1:1892" s="10" customFormat="1" ht="35.1" customHeight="1">
      <c r="A936" s="1241"/>
      <c r="B936" s="538"/>
      <c r="C936" s="1352"/>
      <c r="D936" s="850"/>
      <c r="E936" s="851"/>
      <c r="F936" s="852"/>
      <c r="G936" s="617"/>
      <c r="H936" s="617"/>
      <c r="I936" s="617"/>
      <c r="J936" s="822"/>
      <c r="K936" s="822"/>
      <c r="L936" s="192">
        <v>65.615700000000004</v>
      </c>
      <c r="M936" s="281">
        <v>54</v>
      </c>
      <c r="N936" s="119">
        <v>0</v>
      </c>
      <c r="O936" s="119">
        <v>0</v>
      </c>
      <c r="P936" s="512"/>
      <c r="Q936" s="512"/>
      <c r="R936" s="512"/>
      <c r="S936" s="1642"/>
      <c r="T936" s="1094"/>
      <c r="U936" s="1094"/>
    </row>
    <row r="937" spans="1:1892" s="10" customFormat="1" ht="35.1" customHeight="1">
      <c r="A937" s="1241"/>
      <c r="B937" s="539"/>
      <c r="C937" s="994"/>
      <c r="D937" s="853"/>
      <c r="E937" s="854"/>
      <c r="F937" s="855"/>
      <c r="G937" s="463" t="s">
        <v>329</v>
      </c>
      <c r="H937" s="464"/>
      <c r="I937" s="464"/>
      <c r="J937" s="464"/>
      <c r="K937" s="465"/>
      <c r="L937" s="342"/>
      <c r="M937" s="251">
        <f>SUM(M929:M936)</f>
        <v>845</v>
      </c>
      <c r="N937" s="396">
        <f>SUM(N929:N936)</f>
        <v>32</v>
      </c>
      <c r="O937" s="396">
        <f>SUM(O929:O936)</f>
        <v>30</v>
      </c>
      <c r="P937" s="513"/>
      <c r="Q937" s="513"/>
      <c r="R937" s="513"/>
      <c r="S937" s="1643"/>
      <c r="T937" s="1095"/>
      <c r="U937" s="1095"/>
    </row>
    <row r="938" spans="1:1892" s="9" customFormat="1" ht="35.1" customHeight="1">
      <c r="A938" s="1241"/>
      <c r="B938" s="1716" t="s">
        <v>105</v>
      </c>
      <c r="C938" s="1717"/>
      <c r="D938" s="1717"/>
      <c r="E938" s="1717"/>
      <c r="F938" s="1717"/>
      <c r="G938" s="1717"/>
      <c r="H938" s="1717"/>
      <c r="I938" s="1717"/>
      <c r="J938" s="1717"/>
      <c r="K938" s="1718"/>
      <c r="L938" s="122"/>
      <c r="M938" s="226">
        <f>M937</f>
        <v>845</v>
      </c>
      <c r="N938" s="391">
        <f>N937</f>
        <v>32</v>
      </c>
      <c r="O938" s="391">
        <f>O937</f>
        <v>30</v>
      </c>
      <c r="P938" s="123"/>
      <c r="Q938" s="123"/>
      <c r="R938" s="123"/>
      <c r="S938" s="156"/>
      <c r="T938" s="156"/>
      <c r="U938" s="156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  <c r="BS938" s="10"/>
      <c r="BT938" s="10"/>
      <c r="BU938" s="10"/>
      <c r="BV938" s="10"/>
      <c r="BW938" s="10"/>
      <c r="BX938" s="10"/>
      <c r="BY938" s="10"/>
      <c r="BZ938" s="10"/>
      <c r="CA938" s="10"/>
      <c r="CB938" s="10"/>
      <c r="CC938" s="10"/>
      <c r="CD938" s="10"/>
      <c r="CE938" s="10"/>
      <c r="CF938" s="10"/>
      <c r="CG938" s="10"/>
      <c r="CH938" s="10"/>
      <c r="CI938" s="10"/>
      <c r="CJ938" s="10"/>
      <c r="CK938" s="10"/>
      <c r="CL938" s="10"/>
      <c r="CM938" s="10"/>
      <c r="CN938" s="10"/>
      <c r="CO938" s="10"/>
      <c r="CP938" s="10"/>
      <c r="CQ938" s="10"/>
      <c r="CR938" s="10"/>
      <c r="CS938" s="10"/>
      <c r="CT938" s="10"/>
      <c r="CU938" s="10"/>
      <c r="CV938" s="10"/>
      <c r="CW938" s="10"/>
      <c r="CX938" s="10"/>
      <c r="CY938" s="10"/>
      <c r="CZ938" s="10"/>
      <c r="DA938" s="10"/>
      <c r="DB938" s="10"/>
      <c r="DC938" s="10"/>
      <c r="DD938" s="10"/>
      <c r="DE938" s="10"/>
      <c r="DF938" s="10"/>
      <c r="DG938" s="10"/>
      <c r="DH938" s="10"/>
      <c r="DI938" s="10"/>
      <c r="DJ938" s="10"/>
      <c r="DK938" s="10"/>
      <c r="DL938" s="10"/>
      <c r="DM938" s="10"/>
      <c r="DN938" s="10"/>
      <c r="DO938" s="10"/>
      <c r="DP938" s="10"/>
      <c r="DQ938" s="10"/>
      <c r="DR938" s="10"/>
      <c r="DS938" s="10"/>
      <c r="DT938" s="10"/>
      <c r="DU938" s="10"/>
      <c r="DV938" s="10"/>
      <c r="DW938" s="10"/>
      <c r="DX938" s="10"/>
      <c r="DY938" s="10"/>
      <c r="DZ938" s="10"/>
      <c r="EA938" s="10"/>
      <c r="EB938" s="10"/>
      <c r="EC938" s="10"/>
      <c r="ED938" s="10"/>
      <c r="EE938" s="10"/>
      <c r="EF938" s="10"/>
      <c r="EG938" s="10"/>
      <c r="EH938" s="10"/>
      <c r="EI938" s="10"/>
      <c r="EJ938" s="10"/>
      <c r="EK938" s="10"/>
      <c r="EL938" s="10"/>
      <c r="EM938" s="10"/>
      <c r="EN938" s="10"/>
      <c r="EO938" s="10"/>
      <c r="EP938" s="10"/>
      <c r="EQ938" s="10"/>
      <c r="ER938" s="10"/>
      <c r="ES938" s="10"/>
      <c r="ET938" s="10"/>
      <c r="EU938" s="10"/>
      <c r="EV938" s="10"/>
      <c r="EW938" s="10"/>
      <c r="EX938" s="10"/>
      <c r="EY938" s="10"/>
      <c r="EZ938" s="10"/>
      <c r="FA938" s="10"/>
      <c r="FB938" s="10"/>
      <c r="FC938" s="10"/>
      <c r="FD938" s="10"/>
      <c r="FE938" s="10"/>
      <c r="FF938" s="10"/>
      <c r="FG938" s="10"/>
      <c r="FH938" s="10"/>
      <c r="FI938" s="10"/>
      <c r="FJ938" s="10"/>
      <c r="FK938" s="10"/>
      <c r="FL938" s="10"/>
      <c r="FM938" s="10"/>
      <c r="FN938" s="10"/>
      <c r="FO938" s="10"/>
      <c r="FP938" s="10"/>
      <c r="FQ938" s="10"/>
      <c r="FR938" s="10"/>
      <c r="FS938" s="10"/>
      <c r="FT938" s="10"/>
      <c r="FU938" s="10"/>
      <c r="FV938" s="10"/>
      <c r="FW938" s="10"/>
      <c r="FX938" s="10"/>
      <c r="FY938" s="10"/>
      <c r="FZ938" s="10"/>
      <c r="GA938" s="10"/>
      <c r="GB938" s="10"/>
      <c r="GC938" s="10"/>
      <c r="GD938" s="10"/>
      <c r="GE938" s="10"/>
      <c r="GF938" s="10"/>
      <c r="GG938" s="10"/>
      <c r="GH938" s="10"/>
      <c r="GI938" s="10"/>
      <c r="GJ938" s="10"/>
      <c r="GK938" s="10"/>
      <c r="GL938" s="10"/>
      <c r="GM938" s="10"/>
      <c r="GN938" s="10"/>
      <c r="GO938" s="10"/>
      <c r="GP938" s="10"/>
      <c r="GQ938" s="10"/>
      <c r="GR938" s="10"/>
      <c r="GS938" s="10"/>
      <c r="GT938" s="10"/>
      <c r="GU938" s="10"/>
      <c r="GV938" s="10"/>
      <c r="GW938" s="10"/>
      <c r="GX938" s="10"/>
      <c r="GY938" s="10"/>
      <c r="GZ938" s="10"/>
      <c r="HA938" s="10"/>
      <c r="HB938" s="10"/>
      <c r="HC938" s="10"/>
      <c r="HD938" s="10"/>
      <c r="HE938" s="10"/>
      <c r="HF938" s="10"/>
      <c r="HG938" s="10"/>
      <c r="HH938" s="10"/>
      <c r="HI938" s="10"/>
      <c r="HJ938" s="10"/>
      <c r="HK938" s="10"/>
      <c r="HL938" s="10"/>
      <c r="HM938" s="10"/>
      <c r="HN938" s="10"/>
      <c r="HO938" s="10"/>
      <c r="HP938" s="10"/>
      <c r="HQ938" s="10"/>
      <c r="HR938" s="10"/>
      <c r="HS938" s="10"/>
      <c r="HT938" s="10"/>
      <c r="HU938" s="10"/>
      <c r="HV938" s="10"/>
      <c r="HW938" s="10"/>
      <c r="HX938" s="10"/>
      <c r="HY938" s="10"/>
      <c r="HZ938" s="10"/>
      <c r="IA938" s="10"/>
      <c r="IB938" s="10"/>
      <c r="IC938" s="10"/>
      <c r="ID938" s="10"/>
      <c r="IE938" s="10"/>
      <c r="IF938" s="10"/>
      <c r="IG938" s="10"/>
      <c r="IH938" s="10"/>
      <c r="II938" s="10"/>
      <c r="IJ938" s="10"/>
      <c r="IK938" s="10"/>
      <c r="IL938" s="10"/>
      <c r="IM938" s="10"/>
      <c r="IN938" s="10"/>
      <c r="IO938" s="10"/>
      <c r="IP938" s="10"/>
      <c r="IQ938" s="10"/>
      <c r="IR938" s="10"/>
      <c r="IS938" s="10"/>
      <c r="IT938" s="10"/>
      <c r="IU938" s="10"/>
      <c r="IV938" s="10"/>
      <c r="IW938" s="10"/>
      <c r="IX938" s="10"/>
      <c r="IY938" s="10"/>
      <c r="IZ938" s="10"/>
      <c r="JA938" s="10"/>
      <c r="JB938" s="10"/>
      <c r="JC938" s="10"/>
      <c r="JD938" s="10"/>
      <c r="JE938" s="10"/>
      <c r="JF938" s="10"/>
      <c r="JG938" s="10"/>
      <c r="JH938" s="10"/>
      <c r="JI938" s="10"/>
      <c r="JJ938" s="10"/>
      <c r="JK938" s="10"/>
      <c r="JL938" s="10"/>
      <c r="JM938" s="10"/>
      <c r="JN938" s="10"/>
      <c r="JO938" s="10"/>
      <c r="JP938" s="10"/>
      <c r="JQ938" s="10"/>
      <c r="JR938" s="10"/>
      <c r="JS938" s="10"/>
      <c r="JT938" s="10"/>
      <c r="JU938" s="10"/>
      <c r="JV938" s="10"/>
      <c r="JW938" s="10"/>
      <c r="JX938" s="10"/>
      <c r="JY938" s="10"/>
      <c r="JZ938" s="10"/>
      <c r="KA938" s="10"/>
      <c r="KB938" s="10"/>
      <c r="KC938" s="10"/>
      <c r="KD938" s="10"/>
      <c r="KE938" s="10"/>
      <c r="KF938" s="10"/>
      <c r="KG938" s="10"/>
      <c r="KH938" s="10"/>
      <c r="KI938" s="10"/>
      <c r="KJ938" s="10"/>
      <c r="KK938" s="10"/>
      <c r="KL938" s="10"/>
      <c r="KM938" s="10"/>
      <c r="KN938" s="10"/>
      <c r="KO938" s="10"/>
      <c r="KP938" s="10"/>
      <c r="KQ938" s="10"/>
      <c r="KR938" s="10"/>
      <c r="KS938" s="10"/>
      <c r="KT938" s="10"/>
      <c r="KU938" s="10"/>
      <c r="KV938" s="10"/>
      <c r="KW938" s="10"/>
      <c r="KX938" s="10"/>
      <c r="KY938" s="10"/>
      <c r="KZ938" s="10"/>
      <c r="LA938" s="10"/>
      <c r="LB938" s="10"/>
      <c r="LC938" s="10"/>
      <c r="LD938" s="10"/>
      <c r="LE938" s="10"/>
      <c r="LF938" s="10"/>
      <c r="LG938" s="10"/>
      <c r="LH938" s="10"/>
      <c r="LI938" s="10"/>
      <c r="LJ938" s="10"/>
      <c r="LK938" s="10"/>
      <c r="LL938" s="10"/>
      <c r="LM938" s="10"/>
      <c r="LN938" s="10"/>
      <c r="LO938" s="10"/>
      <c r="LP938" s="10"/>
      <c r="LQ938" s="10"/>
      <c r="LR938" s="10"/>
      <c r="LS938" s="10"/>
      <c r="LT938" s="10"/>
      <c r="LU938" s="10"/>
      <c r="LV938" s="10"/>
      <c r="LW938" s="10"/>
      <c r="LX938" s="10"/>
      <c r="LY938" s="10"/>
      <c r="LZ938" s="10"/>
      <c r="MA938" s="10"/>
      <c r="MB938" s="10"/>
      <c r="MC938" s="10"/>
      <c r="MD938" s="10"/>
      <c r="ME938" s="10"/>
      <c r="MF938" s="10"/>
      <c r="MG938" s="10"/>
      <c r="MH938" s="10"/>
      <c r="MI938" s="10"/>
      <c r="MJ938" s="10"/>
      <c r="MK938" s="10"/>
      <c r="ML938" s="10"/>
      <c r="MM938" s="10"/>
      <c r="MN938" s="10"/>
      <c r="MO938" s="10"/>
      <c r="MP938" s="10"/>
      <c r="MQ938" s="10"/>
      <c r="MR938" s="10"/>
      <c r="MS938" s="10"/>
      <c r="MT938" s="10"/>
      <c r="MU938" s="10"/>
      <c r="MV938" s="10"/>
      <c r="MW938" s="10"/>
      <c r="MX938" s="10"/>
      <c r="MY938" s="10"/>
      <c r="MZ938" s="10"/>
      <c r="NA938" s="10"/>
      <c r="NB938" s="10"/>
      <c r="NC938" s="10"/>
      <c r="ND938" s="10"/>
      <c r="NE938" s="10"/>
      <c r="NF938" s="10"/>
      <c r="NG938" s="10"/>
      <c r="NH938" s="10"/>
      <c r="NI938" s="10"/>
      <c r="NJ938" s="10"/>
      <c r="NK938" s="10"/>
      <c r="NL938" s="10"/>
      <c r="NM938" s="10"/>
      <c r="NN938" s="10"/>
      <c r="NO938" s="10"/>
      <c r="NP938" s="10"/>
      <c r="NQ938" s="10"/>
      <c r="NR938" s="10"/>
      <c r="NS938" s="10"/>
      <c r="NT938" s="10"/>
      <c r="NU938" s="10"/>
      <c r="NV938" s="10"/>
      <c r="NW938" s="10"/>
      <c r="NX938" s="10"/>
      <c r="NY938" s="10"/>
      <c r="NZ938" s="10"/>
      <c r="OA938" s="10"/>
      <c r="OB938" s="10"/>
      <c r="OC938" s="10"/>
      <c r="OD938" s="10"/>
      <c r="OE938" s="10"/>
      <c r="OF938" s="10"/>
      <c r="OG938" s="10"/>
      <c r="OH938" s="10"/>
      <c r="OI938" s="10"/>
      <c r="OJ938" s="10"/>
      <c r="OK938" s="10"/>
      <c r="OL938" s="10"/>
      <c r="OM938" s="10"/>
      <c r="ON938" s="10"/>
      <c r="OO938" s="10"/>
      <c r="OP938" s="10"/>
      <c r="OQ938" s="10"/>
      <c r="OR938" s="10"/>
      <c r="OS938" s="10"/>
      <c r="OT938" s="10"/>
      <c r="OU938" s="10"/>
      <c r="OV938" s="10"/>
      <c r="OW938" s="10"/>
      <c r="OX938" s="10"/>
      <c r="OY938" s="10"/>
      <c r="OZ938" s="10"/>
      <c r="PA938" s="10"/>
      <c r="PB938" s="10"/>
      <c r="PC938" s="10"/>
      <c r="PD938" s="10"/>
      <c r="PE938" s="10"/>
      <c r="PF938" s="10"/>
      <c r="PG938" s="10"/>
      <c r="PH938" s="10"/>
      <c r="PI938" s="10"/>
      <c r="PJ938" s="10"/>
      <c r="PK938" s="10"/>
      <c r="PL938" s="10"/>
      <c r="PM938" s="10"/>
      <c r="PN938" s="10"/>
      <c r="PO938" s="10"/>
      <c r="PP938" s="10"/>
      <c r="PQ938" s="10"/>
      <c r="PR938" s="10"/>
      <c r="PS938" s="10"/>
      <c r="PT938" s="10"/>
      <c r="PU938" s="10"/>
      <c r="PV938" s="10"/>
      <c r="PW938" s="10"/>
      <c r="PX938" s="10"/>
      <c r="PY938" s="10"/>
      <c r="PZ938" s="10"/>
      <c r="QA938" s="10"/>
      <c r="QB938" s="10"/>
      <c r="QC938" s="10"/>
      <c r="QD938" s="10"/>
      <c r="QE938" s="10"/>
      <c r="QF938" s="10"/>
      <c r="QG938" s="10"/>
      <c r="QH938" s="10"/>
      <c r="QI938" s="10"/>
      <c r="QJ938" s="10"/>
      <c r="QK938" s="10"/>
      <c r="QL938" s="10"/>
      <c r="QM938" s="10"/>
      <c r="QN938" s="10"/>
      <c r="QO938" s="10"/>
      <c r="QP938" s="10"/>
      <c r="QQ938" s="10"/>
      <c r="QR938" s="10"/>
      <c r="QS938" s="10"/>
      <c r="QT938" s="10"/>
      <c r="QU938" s="10"/>
      <c r="QV938" s="10"/>
      <c r="QW938" s="10"/>
      <c r="QX938" s="10"/>
      <c r="QY938" s="10"/>
      <c r="QZ938" s="10"/>
      <c r="RA938" s="10"/>
      <c r="RB938" s="10"/>
      <c r="RC938" s="10"/>
      <c r="RD938" s="10"/>
      <c r="RE938" s="10"/>
      <c r="RF938" s="10"/>
      <c r="RG938" s="10"/>
      <c r="RH938" s="10"/>
      <c r="RI938" s="10"/>
      <c r="RJ938" s="10"/>
      <c r="RK938" s="10"/>
      <c r="RL938" s="10"/>
      <c r="RM938" s="10"/>
      <c r="RN938" s="10"/>
      <c r="RO938" s="10"/>
      <c r="RP938" s="10"/>
      <c r="RQ938" s="10"/>
      <c r="RR938" s="10"/>
      <c r="RS938" s="10"/>
      <c r="RT938" s="10"/>
      <c r="RU938" s="10"/>
      <c r="RV938" s="10"/>
      <c r="RW938" s="10"/>
      <c r="RX938" s="10"/>
      <c r="RY938" s="10"/>
      <c r="RZ938" s="10"/>
      <c r="SA938" s="10"/>
      <c r="SB938" s="10"/>
      <c r="SC938" s="10"/>
      <c r="SD938" s="10"/>
      <c r="SE938" s="10"/>
      <c r="SF938" s="10"/>
      <c r="SG938" s="10"/>
      <c r="SH938" s="10"/>
      <c r="SI938" s="10"/>
      <c r="SJ938" s="10"/>
      <c r="SK938" s="10"/>
      <c r="SL938" s="10"/>
      <c r="SM938" s="10"/>
      <c r="SN938" s="10"/>
      <c r="SO938" s="10"/>
      <c r="SP938" s="10"/>
      <c r="SQ938" s="10"/>
      <c r="SR938" s="10"/>
      <c r="SS938" s="10"/>
      <c r="ST938" s="10"/>
      <c r="SU938" s="10"/>
      <c r="SV938" s="10"/>
      <c r="SW938" s="10"/>
      <c r="SX938" s="10"/>
      <c r="SY938" s="10"/>
      <c r="SZ938" s="10"/>
      <c r="TA938" s="10"/>
      <c r="TB938" s="10"/>
      <c r="TC938" s="10"/>
      <c r="TD938" s="10"/>
      <c r="TE938" s="10"/>
      <c r="TF938" s="10"/>
      <c r="TG938" s="10"/>
      <c r="TH938" s="10"/>
      <c r="TI938" s="10"/>
      <c r="TJ938" s="10"/>
      <c r="TK938" s="10"/>
      <c r="TL938" s="10"/>
      <c r="TM938" s="10"/>
      <c r="TN938" s="10"/>
      <c r="TO938" s="10"/>
      <c r="TP938" s="10"/>
      <c r="TQ938" s="10"/>
      <c r="TR938" s="10"/>
      <c r="TS938" s="10"/>
      <c r="TT938" s="10"/>
      <c r="TU938" s="10"/>
      <c r="TV938" s="10"/>
      <c r="TW938" s="10"/>
      <c r="TX938" s="10"/>
      <c r="TY938" s="10"/>
      <c r="TZ938" s="10"/>
      <c r="UA938" s="10"/>
      <c r="UB938" s="10"/>
      <c r="UC938" s="10"/>
      <c r="UD938" s="10"/>
      <c r="UE938" s="10"/>
      <c r="UF938" s="10"/>
      <c r="UG938" s="10"/>
      <c r="UH938" s="10"/>
      <c r="UI938" s="10"/>
      <c r="UJ938" s="10"/>
      <c r="UK938" s="10"/>
      <c r="UL938" s="10"/>
      <c r="UM938" s="10"/>
      <c r="UN938" s="10"/>
      <c r="UO938" s="10"/>
      <c r="UP938" s="10"/>
      <c r="UQ938" s="10"/>
      <c r="UR938" s="10"/>
      <c r="US938" s="10"/>
      <c r="UT938" s="10"/>
      <c r="UU938" s="10"/>
      <c r="UV938" s="10"/>
      <c r="UW938" s="10"/>
      <c r="UX938" s="10"/>
      <c r="UY938" s="10"/>
      <c r="UZ938" s="10"/>
      <c r="VA938" s="10"/>
      <c r="VB938" s="10"/>
      <c r="VC938" s="10"/>
      <c r="VD938" s="10"/>
      <c r="VE938" s="10"/>
      <c r="VF938" s="10"/>
      <c r="VG938" s="10"/>
      <c r="VH938" s="10"/>
      <c r="VI938" s="10"/>
      <c r="VJ938" s="10"/>
      <c r="VK938" s="10"/>
      <c r="VL938" s="10"/>
      <c r="VM938" s="10"/>
      <c r="VN938" s="10"/>
      <c r="VO938" s="10"/>
      <c r="VP938" s="10"/>
      <c r="VQ938" s="10"/>
      <c r="VR938" s="10"/>
      <c r="VS938" s="10"/>
      <c r="VT938" s="10"/>
      <c r="VU938" s="10"/>
      <c r="VV938" s="10"/>
      <c r="VW938" s="10"/>
      <c r="VX938" s="10"/>
      <c r="VY938" s="10"/>
      <c r="VZ938" s="10"/>
      <c r="WA938" s="10"/>
      <c r="WB938" s="10"/>
      <c r="WC938" s="10"/>
      <c r="WD938" s="10"/>
      <c r="WE938" s="10"/>
      <c r="WF938" s="10"/>
      <c r="WG938" s="10"/>
      <c r="WH938" s="10"/>
      <c r="WI938" s="10"/>
      <c r="WJ938" s="10"/>
      <c r="WK938" s="10"/>
      <c r="WL938" s="10"/>
      <c r="WM938" s="10"/>
      <c r="WN938" s="10"/>
      <c r="WO938" s="10"/>
      <c r="WP938" s="10"/>
      <c r="WQ938" s="10"/>
      <c r="WR938" s="10"/>
      <c r="WS938" s="10"/>
      <c r="WT938" s="10"/>
      <c r="WU938" s="10"/>
      <c r="WV938" s="10"/>
      <c r="WW938" s="10"/>
      <c r="WX938" s="10"/>
      <c r="WY938" s="10"/>
      <c r="WZ938" s="10"/>
      <c r="XA938" s="10"/>
      <c r="XB938" s="10"/>
      <c r="XC938" s="10"/>
      <c r="XD938" s="10"/>
      <c r="XE938" s="10"/>
      <c r="XF938" s="10"/>
      <c r="XG938" s="10"/>
      <c r="XH938" s="10"/>
      <c r="XI938" s="10"/>
      <c r="XJ938" s="10"/>
      <c r="XK938" s="10"/>
      <c r="XL938" s="10"/>
      <c r="XM938" s="10"/>
      <c r="XN938" s="10"/>
      <c r="XO938" s="10"/>
      <c r="XP938" s="10"/>
      <c r="XQ938" s="10"/>
      <c r="XR938" s="10"/>
      <c r="XS938" s="10"/>
      <c r="XT938" s="10"/>
      <c r="XU938" s="10"/>
      <c r="XV938" s="10"/>
      <c r="XW938" s="10"/>
      <c r="XX938" s="10"/>
      <c r="XY938" s="10"/>
      <c r="XZ938" s="10"/>
      <c r="YA938" s="10"/>
      <c r="YB938" s="10"/>
      <c r="YC938" s="10"/>
      <c r="YD938" s="10"/>
      <c r="YE938" s="10"/>
      <c r="YF938" s="10"/>
      <c r="YG938" s="10"/>
      <c r="YH938" s="10"/>
      <c r="YI938" s="10"/>
      <c r="YJ938" s="10"/>
      <c r="YK938" s="10"/>
      <c r="YL938" s="10"/>
      <c r="YM938" s="10"/>
      <c r="YN938" s="10"/>
      <c r="YO938" s="10"/>
      <c r="YP938" s="10"/>
      <c r="YQ938" s="10"/>
      <c r="YR938" s="10"/>
      <c r="YS938" s="10"/>
      <c r="YT938" s="10"/>
      <c r="YU938" s="10"/>
      <c r="YV938" s="10"/>
      <c r="YW938" s="10"/>
      <c r="YX938" s="10"/>
      <c r="YY938" s="10"/>
      <c r="YZ938" s="10"/>
      <c r="ZA938" s="10"/>
      <c r="ZB938" s="10"/>
      <c r="ZC938" s="10"/>
      <c r="ZD938" s="10"/>
      <c r="ZE938" s="10"/>
      <c r="ZF938" s="10"/>
      <c r="ZG938" s="10"/>
      <c r="ZH938" s="10"/>
      <c r="ZI938" s="10"/>
      <c r="ZJ938" s="10"/>
      <c r="ZK938" s="10"/>
      <c r="ZL938" s="10"/>
      <c r="ZM938" s="10"/>
      <c r="ZN938" s="10"/>
      <c r="ZO938" s="10"/>
      <c r="ZP938" s="10"/>
      <c r="ZQ938" s="10"/>
      <c r="ZR938" s="10"/>
      <c r="ZS938" s="10"/>
      <c r="ZT938" s="10"/>
      <c r="ZU938" s="10"/>
      <c r="ZV938" s="10"/>
      <c r="ZW938" s="10"/>
      <c r="ZX938" s="10"/>
      <c r="ZY938" s="10"/>
      <c r="ZZ938" s="10"/>
      <c r="AAA938" s="10"/>
      <c r="AAB938" s="10"/>
      <c r="AAC938" s="10"/>
      <c r="AAD938" s="10"/>
      <c r="AAE938" s="10"/>
      <c r="AAF938" s="10"/>
      <c r="AAG938" s="10"/>
      <c r="AAH938" s="10"/>
      <c r="AAI938" s="10"/>
      <c r="AAJ938" s="10"/>
      <c r="AAK938" s="10"/>
      <c r="AAL938" s="10"/>
      <c r="AAM938" s="10"/>
      <c r="AAN938" s="10"/>
      <c r="AAO938" s="10"/>
      <c r="AAP938" s="10"/>
      <c r="AAQ938" s="10"/>
      <c r="AAR938" s="10"/>
      <c r="AAS938" s="10"/>
      <c r="AAT938" s="10"/>
      <c r="AAU938" s="10"/>
      <c r="AAV938" s="10"/>
      <c r="AAW938" s="10"/>
      <c r="AAX938" s="10"/>
      <c r="AAY938" s="10"/>
      <c r="AAZ938" s="10"/>
      <c r="ABA938" s="10"/>
      <c r="ABB938" s="10"/>
      <c r="ABC938" s="10"/>
      <c r="ABD938" s="10"/>
      <c r="ABE938" s="10"/>
      <c r="ABF938" s="10"/>
      <c r="ABG938" s="10"/>
      <c r="ABH938" s="10"/>
      <c r="ABI938" s="10"/>
      <c r="ABJ938" s="10"/>
      <c r="ABK938" s="10"/>
      <c r="ABL938" s="10"/>
      <c r="ABM938" s="10"/>
      <c r="ABN938" s="10"/>
      <c r="ABO938" s="10"/>
      <c r="ABP938" s="10"/>
      <c r="ABQ938" s="10"/>
      <c r="ABR938" s="10"/>
      <c r="ABS938" s="10"/>
      <c r="ABT938" s="10"/>
      <c r="ABU938" s="10"/>
      <c r="ABV938" s="10"/>
      <c r="ABW938" s="10"/>
      <c r="ABX938" s="10"/>
      <c r="ABY938" s="10"/>
      <c r="ABZ938" s="10"/>
      <c r="ACA938" s="10"/>
      <c r="ACB938" s="10"/>
      <c r="ACC938" s="10"/>
      <c r="ACD938" s="10"/>
      <c r="ACE938" s="10"/>
      <c r="ACF938" s="10"/>
      <c r="ACG938" s="10"/>
      <c r="ACH938" s="10"/>
      <c r="ACI938" s="10"/>
      <c r="ACJ938" s="10"/>
      <c r="ACK938" s="10"/>
      <c r="ACL938" s="10"/>
      <c r="ACM938" s="10"/>
      <c r="ACN938" s="10"/>
      <c r="ACO938" s="10"/>
      <c r="ACP938" s="10"/>
      <c r="ACQ938" s="10"/>
      <c r="ACR938" s="10"/>
      <c r="ACS938" s="10"/>
      <c r="ACT938" s="10"/>
      <c r="ACU938" s="10"/>
      <c r="ACV938" s="10"/>
      <c r="ACW938" s="10"/>
      <c r="ACX938" s="10"/>
      <c r="ACY938" s="10"/>
      <c r="ACZ938" s="10"/>
      <c r="ADA938" s="10"/>
      <c r="ADB938" s="10"/>
      <c r="ADC938" s="10"/>
      <c r="ADD938" s="10"/>
      <c r="ADE938" s="10"/>
      <c r="ADF938" s="10"/>
      <c r="ADG938" s="10"/>
      <c r="ADH938" s="10"/>
      <c r="ADI938" s="10"/>
      <c r="ADJ938" s="10"/>
      <c r="ADK938" s="10"/>
      <c r="ADL938" s="10"/>
      <c r="ADM938" s="10"/>
      <c r="ADN938" s="10"/>
      <c r="ADO938" s="10"/>
      <c r="ADP938" s="10"/>
      <c r="ADQ938" s="10"/>
      <c r="ADR938" s="10"/>
      <c r="ADS938" s="10"/>
      <c r="ADT938" s="10"/>
      <c r="ADU938" s="10"/>
      <c r="ADV938" s="10"/>
      <c r="ADW938" s="10"/>
      <c r="ADX938" s="10"/>
      <c r="ADY938" s="10"/>
      <c r="ADZ938" s="10"/>
      <c r="AEA938" s="10"/>
      <c r="AEB938" s="10"/>
      <c r="AEC938" s="10"/>
      <c r="AED938" s="10"/>
      <c r="AEE938" s="10"/>
      <c r="AEF938" s="10"/>
      <c r="AEG938" s="10"/>
      <c r="AEH938" s="10"/>
      <c r="AEI938" s="10"/>
      <c r="AEJ938" s="10"/>
      <c r="AEK938" s="10"/>
      <c r="AEL938" s="10"/>
      <c r="AEM938" s="10"/>
      <c r="AEN938" s="10"/>
      <c r="AEO938" s="10"/>
      <c r="AEP938" s="10"/>
      <c r="AEQ938" s="10"/>
      <c r="AER938" s="10"/>
      <c r="AES938" s="10"/>
      <c r="AET938" s="10"/>
      <c r="AEU938" s="10"/>
      <c r="AEV938" s="10"/>
      <c r="AEW938" s="10"/>
      <c r="AEX938" s="10"/>
      <c r="AEY938" s="10"/>
      <c r="AEZ938" s="10"/>
      <c r="AFA938" s="10"/>
      <c r="AFB938" s="10"/>
      <c r="AFC938" s="10"/>
      <c r="AFD938" s="10"/>
      <c r="AFE938" s="10"/>
      <c r="AFF938" s="10"/>
      <c r="AFG938" s="10"/>
      <c r="AFH938" s="10"/>
      <c r="AFI938" s="10"/>
      <c r="AFJ938" s="10"/>
      <c r="AFK938" s="10"/>
      <c r="AFL938" s="10"/>
      <c r="AFM938" s="10"/>
      <c r="AFN938" s="10"/>
      <c r="AFO938" s="10"/>
      <c r="AFP938" s="10"/>
      <c r="AFQ938" s="10"/>
      <c r="AFR938" s="10"/>
      <c r="AFS938" s="10"/>
      <c r="AFT938" s="10"/>
      <c r="AFU938" s="10"/>
      <c r="AFV938" s="10"/>
      <c r="AFW938" s="10"/>
      <c r="AFX938" s="10"/>
      <c r="AFY938" s="10"/>
      <c r="AFZ938" s="10"/>
      <c r="AGA938" s="10"/>
      <c r="AGB938" s="10"/>
      <c r="AGC938" s="10"/>
      <c r="AGD938" s="10"/>
      <c r="AGE938" s="10"/>
      <c r="AGF938" s="10"/>
      <c r="AGG938" s="10"/>
      <c r="AGH938" s="10"/>
      <c r="AGI938" s="10"/>
      <c r="AGJ938" s="10"/>
      <c r="AGK938" s="10"/>
      <c r="AGL938" s="10"/>
      <c r="AGM938" s="10"/>
      <c r="AGN938" s="10"/>
      <c r="AGO938" s="10"/>
      <c r="AGP938" s="10"/>
      <c r="AGQ938" s="10"/>
      <c r="AGR938" s="10"/>
      <c r="AGS938" s="10"/>
      <c r="AGT938" s="10"/>
      <c r="AGU938" s="10"/>
      <c r="AGV938" s="10"/>
      <c r="AGW938" s="10"/>
      <c r="AGX938" s="10"/>
      <c r="AGY938" s="10"/>
      <c r="AGZ938" s="10"/>
      <c r="AHA938" s="10"/>
      <c r="AHB938" s="10"/>
      <c r="AHC938" s="10"/>
      <c r="AHD938" s="10"/>
      <c r="AHE938" s="10"/>
      <c r="AHF938" s="10"/>
      <c r="AHG938" s="10"/>
      <c r="AHH938" s="10"/>
      <c r="AHI938" s="10"/>
      <c r="AHJ938" s="10"/>
      <c r="AHK938" s="10"/>
      <c r="AHL938" s="10"/>
      <c r="AHM938" s="10"/>
      <c r="AHN938" s="10"/>
      <c r="AHO938" s="10"/>
      <c r="AHP938" s="10"/>
      <c r="AHQ938" s="10"/>
      <c r="AHR938" s="10"/>
      <c r="AHS938" s="10"/>
      <c r="AHT938" s="10"/>
      <c r="AHU938" s="10"/>
      <c r="AHV938" s="10"/>
      <c r="AHW938" s="10"/>
      <c r="AHX938" s="10"/>
      <c r="AHY938" s="10"/>
      <c r="AHZ938" s="10"/>
      <c r="AIA938" s="10"/>
      <c r="AIB938" s="10"/>
      <c r="AIC938" s="10"/>
      <c r="AID938" s="10"/>
      <c r="AIE938" s="10"/>
      <c r="AIF938" s="10"/>
      <c r="AIG938" s="10"/>
      <c r="AIH938" s="10"/>
      <c r="AII938" s="10"/>
      <c r="AIJ938" s="10"/>
      <c r="AIK938" s="10"/>
      <c r="AIL938" s="10"/>
      <c r="AIM938" s="10"/>
      <c r="AIN938" s="10"/>
      <c r="AIO938" s="10"/>
      <c r="AIP938" s="10"/>
      <c r="AIQ938" s="10"/>
      <c r="AIR938" s="10"/>
      <c r="AIS938" s="10"/>
      <c r="AIT938" s="10"/>
      <c r="AIU938" s="10"/>
      <c r="AIV938" s="10"/>
      <c r="AIW938" s="10"/>
      <c r="AIX938" s="10"/>
      <c r="AIY938" s="10"/>
      <c r="AIZ938" s="10"/>
      <c r="AJA938" s="10"/>
      <c r="AJB938" s="10"/>
      <c r="AJC938" s="10"/>
      <c r="AJD938" s="10"/>
      <c r="AJE938" s="10"/>
      <c r="AJF938" s="10"/>
      <c r="AJG938" s="10"/>
      <c r="AJH938" s="10"/>
      <c r="AJI938" s="10"/>
      <c r="AJJ938" s="10"/>
      <c r="AJK938" s="10"/>
      <c r="AJL938" s="10"/>
      <c r="AJM938" s="10"/>
      <c r="AJN938" s="10"/>
      <c r="AJO938" s="10"/>
      <c r="AJP938" s="10"/>
      <c r="AJQ938" s="10"/>
      <c r="AJR938" s="10"/>
      <c r="AJS938" s="10"/>
      <c r="AJT938" s="10"/>
      <c r="AJU938" s="10"/>
      <c r="AJV938" s="10"/>
      <c r="AJW938" s="10"/>
      <c r="AJX938" s="10"/>
      <c r="AJY938" s="10"/>
      <c r="AJZ938" s="10"/>
      <c r="AKA938" s="10"/>
      <c r="AKB938" s="10"/>
      <c r="AKC938" s="10"/>
      <c r="AKD938" s="10"/>
      <c r="AKE938" s="10"/>
      <c r="AKF938" s="10"/>
      <c r="AKG938" s="10"/>
      <c r="AKH938" s="10"/>
      <c r="AKI938" s="10"/>
      <c r="AKJ938" s="10"/>
      <c r="AKK938" s="10"/>
      <c r="AKL938" s="10"/>
      <c r="AKM938" s="10"/>
      <c r="AKN938" s="10"/>
      <c r="AKO938" s="10"/>
      <c r="AKP938" s="10"/>
      <c r="AKQ938" s="10"/>
      <c r="AKR938" s="10"/>
      <c r="AKS938" s="10"/>
      <c r="AKT938" s="10"/>
      <c r="AKU938" s="10"/>
      <c r="AKV938" s="10"/>
      <c r="AKW938" s="10"/>
      <c r="AKX938" s="10"/>
      <c r="AKY938" s="10"/>
      <c r="AKZ938" s="10"/>
      <c r="ALA938" s="10"/>
      <c r="ALB938" s="10"/>
      <c r="ALC938" s="10"/>
      <c r="ALD938" s="10"/>
      <c r="ALE938" s="10"/>
      <c r="ALF938" s="10"/>
      <c r="ALG938" s="10"/>
      <c r="ALH938" s="10"/>
      <c r="ALI938" s="10"/>
      <c r="ALJ938" s="10"/>
      <c r="ALK938" s="10"/>
      <c r="ALL938" s="10"/>
      <c r="ALM938" s="10"/>
      <c r="ALN938" s="10"/>
      <c r="ALO938" s="10"/>
      <c r="ALP938" s="10"/>
      <c r="ALQ938" s="10"/>
      <c r="ALR938" s="10"/>
      <c r="ALS938" s="10"/>
      <c r="ALT938" s="10"/>
      <c r="ALU938" s="10"/>
      <c r="ALV938" s="10"/>
      <c r="ALW938" s="10"/>
      <c r="ALX938" s="10"/>
      <c r="ALY938" s="10"/>
      <c r="ALZ938" s="10"/>
      <c r="AMA938" s="10"/>
      <c r="AMB938" s="10"/>
      <c r="AMC938" s="10"/>
      <c r="AMD938" s="10"/>
      <c r="AME938" s="10"/>
      <c r="AMF938" s="10"/>
      <c r="AMG938" s="10"/>
      <c r="AMH938" s="10"/>
      <c r="AMI938" s="10"/>
      <c r="AMJ938" s="10"/>
      <c r="AMK938" s="10"/>
      <c r="AML938" s="10"/>
      <c r="AMM938" s="10"/>
      <c r="AMN938" s="10"/>
      <c r="AMO938" s="10"/>
      <c r="AMP938" s="10"/>
      <c r="AMQ938" s="10"/>
      <c r="AMR938" s="10"/>
      <c r="AMS938" s="10"/>
      <c r="AMT938" s="10"/>
      <c r="AMU938" s="10"/>
      <c r="AMV938" s="10"/>
      <c r="AMW938" s="10"/>
      <c r="AMX938" s="10"/>
      <c r="AMY938" s="10"/>
      <c r="AMZ938" s="10"/>
      <c r="ANA938" s="10"/>
      <c r="ANB938" s="10"/>
      <c r="ANC938" s="10"/>
      <c r="AND938" s="10"/>
      <c r="ANE938" s="10"/>
      <c r="ANF938" s="10"/>
      <c r="ANG938" s="10"/>
      <c r="ANH938" s="10"/>
      <c r="ANI938" s="10"/>
      <c r="ANJ938" s="10"/>
      <c r="ANK938" s="10"/>
      <c r="ANL938" s="10"/>
      <c r="ANM938" s="10"/>
      <c r="ANN938" s="10"/>
      <c r="ANO938" s="10"/>
      <c r="ANP938" s="10"/>
      <c r="ANQ938" s="10"/>
      <c r="ANR938" s="10"/>
      <c r="ANS938" s="10"/>
      <c r="ANT938" s="10"/>
      <c r="ANU938" s="10"/>
      <c r="ANV938" s="10"/>
      <c r="ANW938" s="10"/>
      <c r="ANX938" s="10"/>
      <c r="ANY938" s="10"/>
      <c r="ANZ938" s="10"/>
      <c r="AOA938" s="10"/>
      <c r="AOB938" s="10"/>
      <c r="AOC938" s="10"/>
      <c r="AOD938" s="10"/>
      <c r="AOE938" s="10"/>
      <c r="AOF938" s="10"/>
      <c r="AOG938" s="10"/>
      <c r="AOH938" s="10"/>
      <c r="AOI938" s="10"/>
      <c r="AOJ938" s="10"/>
      <c r="AOK938" s="10"/>
      <c r="AOL938" s="10"/>
      <c r="AOM938" s="10"/>
      <c r="AON938" s="10"/>
      <c r="AOO938" s="10"/>
      <c r="AOP938" s="10"/>
      <c r="AOQ938" s="10"/>
      <c r="AOR938" s="10"/>
      <c r="AOS938" s="10"/>
      <c r="AOT938" s="10"/>
      <c r="AOU938" s="10"/>
      <c r="AOV938" s="10"/>
      <c r="AOW938" s="10"/>
      <c r="AOX938" s="10"/>
      <c r="AOY938" s="10"/>
      <c r="AOZ938" s="10"/>
      <c r="APA938" s="10"/>
      <c r="APB938" s="10"/>
      <c r="APC938" s="10"/>
      <c r="APD938" s="10"/>
      <c r="APE938" s="10"/>
      <c r="APF938" s="10"/>
      <c r="APG938" s="10"/>
      <c r="APH938" s="10"/>
      <c r="API938" s="10"/>
      <c r="APJ938" s="10"/>
      <c r="APK938" s="10"/>
      <c r="APL938" s="10"/>
      <c r="APM938" s="10"/>
      <c r="APN938" s="10"/>
      <c r="APO938" s="10"/>
      <c r="APP938" s="10"/>
      <c r="APQ938" s="10"/>
      <c r="APR938" s="10"/>
      <c r="APS938" s="10"/>
      <c r="APT938" s="10"/>
      <c r="APU938" s="10"/>
      <c r="APV938" s="10"/>
      <c r="APW938" s="10"/>
      <c r="APX938" s="10"/>
      <c r="APY938" s="10"/>
      <c r="APZ938" s="10"/>
      <c r="AQA938" s="10"/>
      <c r="AQB938" s="10"/>
      <c r="AQC938" s="10"/>
      <c r="AQD938" s="10"/>
      <c r="AQE938" s="10"/>
      <c r="AQF938" s="10"/>
      <c r="AQG938" s="10"/>
      <c r="AQH938" s="10"/>
      <c r="AQI938" s="10"/>
      <c r="AQJ938" s="10"/>
      <c r="AQK938" s="10"/>
      <c r="AQL938" s="10"/>
      <c r="AQM938" s="10"/>
      <c r="AQN938" s="10"/>
      <c r="AQO938" s="10"/>
      <c r="AQP938" s="10"/>
      <c r="AQQ938" s="10"/>
      <c r="AQR938" s="10"/>
      <c r="AQS938" s="10"/>
      <c r="AQT938" s="10"/>
      <c r="AQU938" s="10"/>
      <c r="AQV938" s="10"/>
      <c r="AQW938" s="10"/>
      <c r="AQX938" s="10"/>
      <c r="AQY938" s="10"/>
      <c r="AQZ938" s="10"/>
      <c r="ARA938" s="10"/>
      <c r="ARB938" s="10"/>
      <c r="ARC938" s="10"/>
      <c r="ARD938" s="10"/>
      <c r="ARE938" s="10"/>
      <c r="ARF938" s="10"/>
      <c r="ARG938" s="10"/>
      <c r="ARH938" s="10"/>
      <c r="ARI938" s="10"/>
      <c r="ARJ938" s="10"/>
      <c r="ARK938" s="10"/>
      <c r="ARL938" s="10"/>
      <c r="ARM938" s="10"/>
      <c r="ARN938" s="10"/>
      <c r="ARO938" s="10"/>
      <c r="ARP938" s="10"/>
      <c r="ARQ938" s="10"/>
      <c r="ARR938" s="10"/>
      <c r="ARS938" s="10"/>
      <c r="ART938" s="10"/>
      <c r="ARU938" s="10"/>
      <c r="ARV938" s="10"/>
      <c r="ARW938" s="10"/>
      <c r="ARX938" s="10"/>
      <c r="ARY938" s="10"/>
      <c r="ARZ938" s="10"/>
      <c r="ASA938" s="10"/>
      <c r="ASB938" s="10"/>
      <c r="ASC938" s="10"/>
      <c r="ASD938" s="10"/>
      <c r="ASE938" s="10"/>
      <c r="ASF938" s="10"/>
      <c r="ASG938" s="10"/>
      <c r="ASH938" s="10"/>
      <c r="ASI938" s="10"/>
      <c r="ASJ938" s="10"/>
      <c r="ASK938" s="10"/>
      <c r="ASL938" s="10"/>
      <c r="ASM938" s="10"/>
      <c r="ASN938" s="10"/>
      <c r="ASO938" s="10"/>
      <c r="ASP938" s="10"/>
      <c r="ASQ938" s="10"/>
      <c r="ASR938" s="10"/>
      <c r="ASS938" s="10"/>
      <c r="AST938" s="10"/>
      <c r="ASU938" s="10"/>
      <c r="ASV938" s="10"/>
      <c r="ASW938" s="10"/>
      <c r="ASX938" s="10"/>
      <c r="ASY938" s="10"/>
      <c r="ASZ938" s="10"/>
      <c r="ATA938" s="10"/>
      <c r="ATB938" s="10"/>
      <c r="ATC938" s="10"/>
      <c r="ATD938" s="10"/>
      <c r="ATE938" s="10"/>
      <c r="ATF938" s="10"/>
      <c r="ATG938" s="10"/>
      <c r="ATH938" s="10"/>
      <c r="ATI938" s="10"/>
      <c r="ATJ938" s="10"/>
      <c r="ATK938" s="10"/>
      <c r="ATL938" s="10"/>
      <c r="ATM938" s="10"/>
      <c r="ATN938" s="10"/>
      <c r="ATO938" s="10"/>
      <c r="ATP938" s="10"/>
      <c r="ATQ938" s="10"/>
      <c r="ATR938" s="10"/>
      <c r="ATS938" s="10"/>
      <c r="ATT938" s="10"/>
      <c r="ATU938" s="10"/>
      <c r="ATV938" s="10"/>
      <c r="ATW938" s="10"/>
      <c r="ATX938" s="10"/>
      <c r="ATY938" s="10"/>
      <c r="ATZ938" s="10"/>
      <c r="AUA938" s="10"/>
      <c r="AUB938" s="10"/>
      <c r="AUC938" s="10"/>
      <c r="AUD938" s="10"/>
      <c r="AUE938" s="10"/>
      <c r="AUF938" s="10"/>
      <c r="AUG938" s="10"/>
      <c r="AUH938" s="10"/>
      <c r="AUI938" s="10"/>
      <c r="AUJ938" s="10"/>
      <c r="AUK938" s="10"/>
      <c r="AUL938" s="10"/>
      <c r="AUM938" s="10"/>
      <c r="AUN938" s="10"/>
      <c r="AUO938" s="10"/>
      <c r="AUP938" s="10"/>
      <c r="AUQ938" s="10"/>
      <c r="AUR938" s="10"/>
      <c r="AUS938" s="10"/>
      <c r="AUT938" s="10"/>
      <c r="AUU938" s="10"/>
      <c r="AUV938" s="10"/>
      <c r="AUW938" s="10"/>
      <c r="AUX938" s="10"/>
      <c r="AUY938" s="10"/>
      <c r="AUZ938" s="10"/>
      <c r="AVA938" s="10"/>
      <c r="AVB938" s="10"/>
      <c r="AVC938" s="10"/>
      <c r="AVD938" s="10"/>
      <c r="AVE938" s="10"/>
      <c r="AVF938" s="10"/>
      <c r="AVG938" s="10"/>
      <c r="AVH938" s="10"/>
      <c r="AVI938" s="10"/>
      <c r="AVJ938" s="10"/>
      <c r="AVK938" s="10"/>
      <c r="AVL938" s="10"/>
      <c r="AVM938" s="10"/>
      <c r="AVN938" s="10"/>
      <c r="AVO938" s="10"/>
      <c r="AVP938" s="10"/>
      <c r="AVQ938" s="10"/>
      <c r="AVR938" s="10"/>
      <c r="AVS938" s="10"/>
      <c r="AVT938" s="10"/>
      <c r="AVU938" s="10"/>
      <c r="AVV938" s="10"/>
      <c r="AVW938" s="10"/>
      <c r="AVX938" s="10"/>
      <c r="AVY938" s="10"/>
      <c r="AVZ938" s="10"/>
      <c r="AWA938" s="10"/>
      <c r="AWB938" s="10"/>
      <c r="AWC938" s="10"/>
      <c r="AWD938" s="10"/>
      <c r="AWE938" s="10"/>
      <c r="AWF938" s="10"/>
      <c r="AWG938" s="10"/>
      <c r="AWH938" s="10"/>
      <c r="AWI938" s="10"/>
      <c r="AWJ938" s="10"/>
      <c r="AWK938" s="10"/>
      <c r="AWL938" s="10"/>
      <c r="AWM938" s="10"/>
      <c r="AWN938" s="10"/>
      <c r="AWO938" s="10"/>
      <c r="AWP938" s="10"/>
      <c r="AWQ938" s="10"/>
      <c r="AWR938" s="10"/>
      <c r="AWS938" s="10"/>
      <c r="AWT938" s="10"/>
      <c r="AWU938" s="10"/>
      <c r="AWV938" s="10"/>
      <c r="AWW938" s="10"/>
      <c r="AWX938" s="10"/>
      <c r="AWY938" s="10"/>
      <c r="AWZ938" s="10"/>
      <c r="AXA938" s="10"/>
      <c r="AXB938" s="10"/>
      <c r="AXC938" s="10"/>
      <c r="AXD938" s="10"/>
      <c r="AXE938" s="10"/>
      <c r="AXF938" s="10"/>
      <c r="AXG938" s="10"/>
      <c r="AXH938" s="10"/>
      <c r="AXI938" s="10"/>
      <c r="AXJ938" s="10"/>
      <c r="AXK938" s="10"/>
      <c r="AXL938" s="10"/>
      <c r="AXM938" s="10"/>
      <c r="AXN938" s="10"/>
      <c r="AXO938" s="10"/>
      <c r="AXP938" s="10"/>
      <c r="AXQ938" s="10"/>
      <c r="AXR938" s="10"/>
      <c r="AXS938" s="10"/>
      <c r="AXT938" s="10"/>
      <c r="AXU938" s="10"/>
      <c r="AXV938" s="10"/>
      <c r="AXW938" s="10"/>
      <c r="AXX938" s="10"/>
      <c r="AXY938" s="10"/>
      <c r="AXZ938" s="10"/>
      <c r="AYA938" s="10"/>
      <c r="AYB938" s="10"/>
      <c r="AYC938" s="10"/>
      <c r="AYD938" s="10"/>
      <c r="AYE938" s="10"/>
      <c r="AYF938" s="10"/>
      <c r="AYG938" s="10"/>
      <c r="AYH938" s="10"/>
      <c r="AYI938" s="10"/>
      <c r="AYJ938" s="10"/>
      <c r="AYK938" s="10"/>
      <c r="AYL938" s="10"/>
      <c r="AYM938" s="10"/>
      <c r="AYN938" s="10"/>
      <c r="AYO938" s="10"/>
      <c r="AYP938" s="10"/>
      <c r="AYQ938" s="10"/>
      <c r="AYR938" s="10"/>
      <c r="AYS938" s="10"/>
      <c r="AYT938" s="10"/>
      <c r="AYU938" s="10"/>
      <c r="AYV938" s="10"/>
      <c r="AYW938" s="10"/>
      <c r="AYX938" s="10"/>
      <c r="AYY938" s="10"/>
      <c r="AYZ938" s="10"/>
      <c r="AZA938" s="10"/>
      <c r="AZB938" s="10"/>
      <c r="AZC938" s="10"/>
      <c r="AZD938" s="10"/>
      <c r="AZE938" s="10"/>
      <c r="AZF938" s="10"/>
      <c r="AZG938" s="10"/>
      <c r="AZH938" s="10"/>
      <c r="AZI938" s="10"/>
      <c r="AZJ938" s="10"/>
      <c r="AZK938" s="10"/>
      <c r="AZL938" s="10"/>
      <c r="AZM938" s="10"/>
      <c r="AZN938" s="10"/>
      <c r="AZO938" s="10"/>
      <c r="AZP938" s="10"/>
      <c r="AZQ938" s="10"/>
      <c r="AZR938" s="10"/>
      <c r="AZS938" s="10"/>
      <c r="AZT938" s="10"/>
      <c r="AZU938" s="10"/>
      <c r="AZV938" s="10"/>
      <c r="AZW938" s="10"/>
      <c r="AZX938" s="10"/>
      <c r="AZY938" s="10"/>
      <c r="AZZ938" s="10"/>
      <c r="BAA938" s="10"/>
      <c r="BAB938" s="10"/>
      <c r="BAC938" s="10"/>
      <c r="BAD938" s="10"/>
      <c r="BAE938" s="10"/>
      <c r="BAF938" s="10"/>
      <c r="BAG938" s="10"/>
      <c r="BAH938" s="10"/>
      <c r="BAI938" s="10"/>
      <c r="BAJ938" s="10"/>
      <c r="BAK938" s="10"/>
      <c r="BAL938" s="10"/>
      <c r="BAM938" s="10"/>
      <c r="BAN938" s="10"/>
      <c r="BAO938" s="10"/>
      <c r="BAP938" s="10"/>
      <c r="BAQ938" s="10"/>
      <c r="BAR938" s="10"/>
      <c r="BAS938" s="10"/>
      <c r="BAT938" s="10"/>
      <c r="BAU938" s="10"/>
      <c r="BAV938" s="10"/>
      <c r="BAW938" s="10"/>
      <c r="BAX938" s="10"/>
      <c r="BAY938" s="10"/>
      <c r="BAZ938" s="10"/>
      <c r="BBA938" s="10"/>
      <c r="BBB938" s="10"/>
      <c r="BBC938" s="10"/>
      <c r="BBD938" s="10"/>
      <c r="BBE938" s="10"/>
      <c r="BBF938" s="10"/>
      <c r="BBG938" s="10"/>
      <c r="BBH938" s="10"/>
      <c r="BBI938" s="10"/>
      <c r="BBJ938" s="10"/>
      <c r="BBK938" s="10"/>
      <c r="BBL938" s="10"/>
      <c r="BBM938" s="10"/>
      <c r="BBN938" s="10"/>
      <c r="BBO938" s="10"/>
      <c r="BBP938" s="10"/>
      <c r="BBQ938" s="10"/>
      <c r="BBR938" s="10"/>
      <c r="BBS938" s="10"/>
      <c r="BBT938" s="10"/>
      <c r="BBU938" s="10"/>
      <c r="BBV938" s="10"/>
      <c r="BBW938" s="10"/>
      <c r="BBX938" s="10"/>
      <c r="BBY938" s="10"/>
      <c r="BBZ938" s="10"/>
      <c r="BCA938" s="10"/>
      <c r="BCB938" s="10"/>
      <c r="BCC938" s="10"/>
      <c r="BCD938" s="10"/>
      <c r="BCE938" s="10"/>
      <c r="BCF938" s="10"/>
      <c r="BCG938" s="10"/>
      <c r="BCH938" s="10"/>
      <c r="BCI938" s="10"/>
      <c r="BCJ938" s="10"/>
      <c r="BCK938" s="10"/>
      <c r="BCL938" s="10"/>
      <c r="BCM938" s="10"/>
      <c r="BCN938" s="10"/>
      <c r="BCO938" s="10"/>
      <c r="BCP938" s="10"/>
      <c r="BCQ938" s="10"/>
      <c r="BCR938" s="10"/>
      <c r="BCS938" s="10"/>
      <c r="BCT938" s="10"/>
      <c r="BCU938" s="10"/>
      <c r="BCV938" s="10"/>
      <c r="BCW938" s="10"/>
      <c r="BCX938" s="10"/>
      <c r="BCY938" s="10"/>
      <c r="BCZ938" s="10"/>
      <c r="BDA938" s="10"/>
      <c r="BDB938" s="10"/>
      <c r="BDC938" s="10"/>
      <c r="BDD938" s="10"/>
      <c r="BDE938" s="10"/>
      <c r="BDF938" s="10"/>
      <c r="BDG938" s="10"/>
      <c r="BDH938" s="10"/>
      <c r="BDI938" s="10"/>
      <c r="BDJ938" s="10"/>
      <c r="BDK938" s="10"/>
      <c r="BDL938" s="10"/>
      <c r="BDM938" s="10"/>
      <c r="BDN938" s="10"/>
      <c r="BDO938" s="10"/>
      <c r="BDP938" s="10"/>
      <c r="BDQ938" s="10"/>
      <c r="BDR938" s="10"/>
      <c r="BDS938" s="10"/>
      <c r="BDT938" s="10"/>
      <c r="BDU938" s="10"/>
      <c r="BDV938" s="10"/>
      <c r="BDW938" s="10"/>
      <c r="BDX938" s="10"/>
      <c r="BDY938" s="10"/>
      <c r="BDZ938" s="10"/>
      <c r="BEA938" s="10"/>
      <c r="BEB938" s="10"/>
      <c r="BEC938" s="10"/>
      <c r="BED938" s="10"/>
      <c r="BEE938" s="10"/>
      <c r="BEF938" s="10"/>
      <c r="BEG938" s="10"/>
      <c r="BEH938" s="10"/>
      <c r="BEI938" s="10"/>
      <c r="BEJ938" s="10"/>
      <c r="BEK938" s="10"/>
      <c r="BEL938" s="10"/>
      <c r="BEM938" s="10"/>
      <c r="BEN938" s="10"/>
      <c r="BEO938" s="10"/>
      <c r="BEP938" s="10"/>
      <c r="BEQ938" s="10"/>
      <c r="BER938" s="10"/>
      <c r="BES938" s="10"/>
      <c r="BET938" s="10"/>
      <c r="BEU938" s="10"/>
      <c r="BEV938" s="10"/>
      <c r="BEW938" s="10"/>
      <c r="BEX938" s="10"/>
      <c r="BEY938" s="10"/>
      <c r="BEZ938" s="10"/>
      <c r="BFA938" s="10"/>
      <c r="BFB938" s="10"/>
      <c r="BFC938" s="10"/>
      <c r="BFD938" s="10"/>
      <c r="BFE938" s="10"/>
      <c r="BFF938" s="10"/>
      <c r="BFG938" s="10"/>
      <c r="BFH938" s="10"/>
      <c r="BFI938" s="10"/>
      <c r="BFJ938" s="10"/>
      <c r="BFK938" s="10"/>
      <c r="BFL938" s="10"/>
      <c r="BFM938" s="10"/>
      <c r="BFN938" s="10"/>
      <c r="BFO938" s="10"/>
      <c r="BFP938" s="10"/>
      <c r="BFQ938" s="10"/>
      <c r="BFR938" s="10"/>
      <c r="BFS938" s="10"/>
      <c r="BFT938" s="10"/>
      <c r="BFU938" s="10"/>
      <c r="BFV938" s="10"/>
      <c r="BFW938" s="10"/>
      <c r="BFX938" s="10"/>
      <c r="BFY938" s="10"/>
      <c r="BFZ938" s="10"/>
      <c r="BGA938" s="10"/>
      <c r="BGB938" s="10"/>
      <c r="BGC938" s="10"/>
      <c r="BGD938" s="10"/>
      <c r="BGE938" s="10"/>
      <c r="BGF938" s="10"/>
      <c r="BGG938" s="10"/>
      <c r="BGH938" s="10"/>
      <c r="BGI938" s="10"/>
      <c r="BGJ938" s="10"/>
      <c r="BGK938" s="10"/>
      <c r="BGL938" s="10"/>
      <c r="BGM938" s="10"/>
      <c r="BGN938" s="10"/>
      <c r="BGO938" s="10"/>
      <c r="BGP938" s="10"/>
      <c r="BGQ938" s="10"/>
      <c r="BGR938" s="10"/>
      <c r="BGS938" s="10"/>
      <c r="BGT938" s="10"/>
      <c r="BGU938" s="10"/>
      <c r="BGV938" s="10"/>
      <c r="BGW938" s="10"/>
      <c r="BGX938" s="10"/>
      <c r="BGY938" s="10"/>
      <c r="BGZ938" s="10"/>
      <c r="BHA938" s="10"/>
      <c r="BHB938" s="10"/>
      <c r="BHC938" s="10"/>
      <c r="BHD938" s="10"/>
      <c r="BHE938" s="10"/>
      <c r="BHF938" s="10"/>
      <c r="BHG938" s="10"/>
      <c r="BHH938" s="10"/>
      <c r="BHI938" s="10"/>
      <c r="BHJ938" s="10"/>
      <c r="BHK938" s="10"/>
      <c r="BHL938" s="10"/>
      <c r="BHM938" s="10"/>
      <c r="BHN938" s="10"/>
      <c r="BHO938" s="10"/>
      <c r="BHP938" s="10"/>
      <c r="BHQ938" s="10"/>
      <c r="BHR938" s="10"/>
      <c r="BHS938" s="10"/>
      <c r="BHT938" s="10"/>
      <c r="BHU938" s="10"/>
      <c r="BHV938" s="10"/>
      <c r="BHW938" s="10"/>
      <c r="BHX938" s="10"/>
      <c r="BHY938" s="10"/>
      <c r="BHZ938" s="10"/>
      <c r="BIA938" s="10"/>
      <c r="BIB938" s="10"/>
      <c r="BIC938" s="10"/>
      <c r="BID938" s="10"/>
      <c r="BIE938" s="10"/>
      <c r="BIF938" s="10"/>
      <c r="BIG938" s="10"/>
      <c r="BIH938" s="10"/>
      <c r="BII938" s="10"/>
      <c r="BIJ938" s="10"/>
      <c r="BIK938" s="10"/>
      <c r="BIL938" s="10"/>
      <c r="BIM938" s="10"/>
      <c r="BIN938" s="10"/>
      <c r="BIO938" s="10"/>
      <c r="BIP938" s="10"/>
      <c r="BIQ938" s="10"/>
      <c r="BIR938" s="10"/>
      <c r="BIS938" s="10"/>
      <c r="BIT938" s="10"/>
      <c r="BIU938" s="10"/>
      <c r="BIV938" s="10"/>
      <c r="BIW938" s="10"/>
      <c r="BIX938" s="10"/>
      <c r="BIY938" s="10"/>
      <c r="BIZ938" s="10"/>
      <c r="BJA938" s="10"/>
      <c r="BJB938" s="10"/>
      <c r="BJC938" s="10"/>
      <c r="BJD938" s="10"/>
      <c r="BJE938" s="10"/>
      <c r="BJF938" s="10"/>
      <c r="BJG938" s="10"/>
      <c r="BJH938" s="10"/>
      <c r="BJI938" s="10"/>
      <c r="BJJ938" s="10"/>
      <c r="BJK938" s="10"/>
      <c r="BJL938" s="10"/>
      <c r="BJM938" s="10"/>
      <c r="BJN938" s="10"/>
      <c r="BJO938" s="10"/>
      <c r="BJP938" s="10"/>
      <c r="BJQ938" s="10"/>
      <c r="BJR938" s="10"/>
      <c r="BJS938" s="10"/>
      <c r="BJT938" s="10"/>
      <c r="BJU938" s="10"/>
      <c r="BJV938" s="10"/>
      <c r="BJW938" s="10"/>
      <c r="BJX938" s="10"/>
      <c r="BJY938" s="10"/>
      <c r="BJZ938" s="10"/>
      <c r="BKA938" s="10"/>
      <c r="BKB938" s="10"/>
      <c r="BKC938" s="10"/>
      <c r="BKD938" s="10"/>
      <c r="BKE938" s="10"/>
      <c r="BKF938" s="10"/>
      <c r="BKG938" s="10"/>
      <c r="BKH938" s="10"/>
      <c r="BKI938" s="10"/>
      <c r="BKJ938" s="10"/>
      <c r="BKK938" s="10"/>
      <c r="BKL938" s="10"/>
      <c r="BKM938" s="10"/>
      <c r="BKN938" s="10"/>
      <c r="BKO938" s="10"/>
      <c r="BKP938" s="10"/>
      <c r="BKQ938" s="10"/>
      <c r="BKR938" s="10"/>
      <c r="BKS938" s="10"/>
      <c r="BKT938" s="10"/>
      <c r="BKU938" s="10"/>
      <c r="BKV938" s="10"/>
      <c r="BKW938" s="10"/>
      <c r="BKX938" s="10"/>
      <c r="BKY938" s="10"/>
      <c r="BKZ938" s="10"/>
      <c r="BLA938" s="10"/>
      <c r="BLB938" s="10"/>
      <c r="BLC938" s="10"/>
      <c r="BLD938" s="10"/>
      <c r="BLE938" s="10"/>
      <c r="BLF938" s="10"/>
      <c r="BLG938" s="10"/>
      <c r="BLH938" s="10"/>
      <c r="BLI938" s="10"/>
      <c r="BLJ938" s="10"/>
      <c r="BLK938" s="10"/>
      <c r="BLL938" s="10"/>
      <c r="BLM938" s="10"/>
      <c r="BLN938" s="10"/>
      <c r="BLO938" s="10"/>
      <c r="BLP938" s="10"/>
      <c r="BLQ938" s="10"/>
      <c r="BLR938" s="10"/>
      <c r="BLS938" s="10"/>
      <c r="BLT938" s="10"/>
      <c r="BLU938" s="10"/>
      <c r="BLV938" s="10"/>
      <c r="BLW938" s="10"/>
      <c r="BLX938" s="10"/>
      <c r="BLY938" s="10"/>
      <c r="BLZ938" s="10"/>
      <c r="BMA938" s="10"/>
      <c r="BMB938" s="10"/>
      <c r="BMC938" s="10"/>
      <c r="BMD938" s="10"/>
      <c r="BME938" s="10"/>
      <c r="BMF938" s="10"/>
      <c r="BMG938" s="10"/>
      <c r="BMH938" s="10"/>
      <c r="BMI938" s="10"/>
      <c r="BMJ938" s="10"/>
      <c r="BMK938" s="10"/>
      <c r="BML938" s="10"/>
      <c r="BMM938" s="10"/>
      <c r="BMN938" s="10"/>
      <c r="BMO938" s="10"/>
      <c r="BMP938" s="10"/>
      <c r="BMQ938" s="10"/>
      <c r="BMR938" s="10"/>
      <c r="BMS938" s="10"/>
      <c r="BMT938" s="10"/>
      <c r="BMU938" s="10"/>
      <c r="BMV938" s="10"/>
      <c r="BMW938" s="10"/>
      <c r="BMX938" s="10"/>
      <c r="BMY938" s="10"/>
      <c r="BMZ938" s="10"/>
      <c r="BNA938" s="10"/>
      <c r="BNB938" s="10"/>
      <c r="BNC938" s="10"/>
      <c r="BND938" s="10"/>
      <c r="BNE938" s="10"/>
      <c r="BNF938" s="10"/>
      <c r="BNG938" s="10"/>
      <c r="BNH938" s="10"/>
      <c r="BNI938" s="10"/>
      <c r="BNJ938" s="10"/>
      <c r="BNK938" s="10"/>
      <c r="BNL938" s="10"/>
      <c r="BNM938" s="10"/>
      <c r="BNN938" s="10"/>
      <c r="BNO938" s="10"/>
      <c r="BNP938" s="10"/>
      <c r="BNQ938" s="10"/>
      <c r="BNR938" s="10"/>
      <c r="BNS938" s="10"/>
      <c r="BNT938" s="10"/>
      <c r="BNU938" s="10"/>
      <c r="BNV938" s="10"/>
      <c r="BNW938" s="10"/>
      <c r="BNX938" s="10"/>
      <c r="BNY938" s="10"/>
      <c r="BNZ938" s="10"/>
      <c r="BOA938" s="10"/>
      <c r="BOB938" s="10"/>
      <c r="BOC938" s="10"/>
      <c r="BOD938" s="10"/>
      <c r="BOE938" s="10"/>
      <c r="BOF938" s="10"/>
      <c r="BOG938" s="10"/>
      <c r="BOH938" s="10"/>
      <c r="BOI938" s="10"/>
      <c r="BOJ938" s="10"/>
      <c r="BOK938" s="10"/>
      <c r="BOL938" s="10"/>
      <c r="BOM938" s="10"/>
      <c r="BON938" s="10"/>
      <c r="BOO938" s="10"/>
      <c r="BOP938" s="10"/>
      <c r="BOQ938" s="10"/>
      <c r="BOR938" s="10"/>
      <c r="BOS938" s="10"/>
      <c r="BOT938" s="10"/>
      <c r="BOU938" s="10"/>
      <c r="BOV938" s="10"/>
      <c r="BOW938" s="10"/>
      <c r="BOX938" s="10"/>
      <c r="BOY938" s="10"/>
      <c r="BOZ938" s="10"/>
      <c r="BPA938" s="10"/>
      <c r="BPB938" s="10"/>
      <c r="BPC938" s="10"/>
      <c r="BPD938" s="10"/>
      <c r="BPE938" s="10"/>
      <c r="BPF938" s="10"/>
      <c r="BPG938" s="10"/>
      <c r="BPH938" s="10"/>
      <c r="BPI938" s="10"/>
      <c r="BPJ938" s="10"/>
      <c r="BPK938" s="10"/>
      <c r="BPL938" s="10"/>
      <c r="BPM938" s="10"/>
      <c r="BPN938" s="10"/>
      <c r="BPO938" s="10"/>
      <c r="BPP938" s="10"/>
      <c r="BPQ938" s="10"/>
      <c r="BPR938" s="10"/>
      <c r="BPS938" s="10"/>
      <c r="BPT938" s="10"/>
      <c r="BPU938" s="10"/>
      <c r="BPV938" s="10"/>
      <c r="BPW938" s="10"/>
      <c r="BPX938" s="10"/>
      <c r="BPY938" s="10"/>
      <c r="BPZ938" s="10"/>
      <c r="BQA938" s="10"/>
      <c r="BQB938" s="10"/>
      <c r="BQC938" s="10"/>
      <c r="BQD938" s="10"/>
      <c r="BQE938" s="10"/>
      <c r="BQF938" s="10"/>
      <c r="BQG938" s="10"/>
      <c r="BQH938" s="10"/>
      <c r="BQI938" s="10"/>
      <c r="BQJ938" s="10"/>
      <c r="BQK938" s="10"/>
      <c r="BQL938" s="10"/>
      <c r="BQM938" s="10"/>
      <c r="BQN938" s="10"/>
      <c r="BQO938" s="10"/>
      <c r="BQP938" s="10"/>
      <c r="BQQ938" s="10"/>
      <c r="BQR938" s="10"/>
      <c r="BQS938" s="10"/>
      <c r="BQT938" s="10"/>
      <c r="BQU938" s="10"/>
      <c r="BQV938" s="10"/>
      <c r="BQW938" s="10"/>
      <c r="BQX938" s="10"/>
      <c r="BQY938" s="10"/>
      <c r="BQZ938" s="10"/>
      <c r="BRA938" s="10"/>
      <c r="BRB938" s="10"/>
      <c r="BRC938" s="10"/>
      <c r="BRD938" s="10"/>
      <c r="BRE938" s="10"/>
      <c r="BRF938" s="10"/>
      <c r="BRG938" s="10"/>
      <c r="BRH938" s="10"/>
      <c r="BRI938" s="10"/>
      <c r="BRJ938" s="10"/>
      <c r="BRK938" s="10"/>
      <c r="BRL938" s="10"/>
      <c r="BRM938" s="10"/>
      <c r="BRN938" s="10"/>
      <c r="BRO938" s="10"/>
      <c r="BRP938" s="10"/>
      <c r="BRQ938" s="10"/>
      <c r="BRR938" s="10"/>
      <c r="BRS938" s="10"/>
      <c r="BRT938" s="10"/>
      <c r="BRU938" s="10"/>
      <c r="BRV938" s="10"/>
      <c r="BRW938" s="10"/>
      <c r="BRX938" s="10"/>
      <c r="BRY938" s="10"/>
      <c r="BRZ938" s="10"/>
      <c r="BSA938" s="10"/>
      <c r="BSB938" s="10"/>
      <c r="BSC938" s="10"/>
      <c r="BSD938" s="10"/>
      <c r="BSE938" s="10"/>
      <c r="BSF938" s="10"/>
      <c r="BSG938" s="10"/>
      <c r="BSH938" s="10"/>
      <c r="BSI938" s="10"/>
      <c r="BSJ938" s="10"/>
      <c r="BSK938" s="10"/>
      <c r="BSL938" s="10"/>
      <c r="BSM938" s="10"/>
      <c r="BSN938" s="10"/>
      <c r="BSO938" s="10"/>
      <c r="BSP938" s="10"/>
      <c r="BSQ938" s="10"/>
      <c r="BSR938" s="10"/>
      <c r="BSS938" s="10"/>
      <c r="BST938" s="10"/>
      <c r="BSU938" s="10"/>
      <c r="BSV938" s="10"/>
      <c r="BSW938" s="10"/>
      <c r="BSX938" s="10"/>
      <c r="BSY938" s="10"/>
      <c r="BSZ938" s="10"/>
      <c r="BTA938" s="10"/>
      <c r="BTB938" s="10"/>
      <c r="BTC938" s="10"/>
      <c r="BTD938" s="10"/>
      <c r="BTE938" s="10"/>
      <c r="BTF938" s="10"/>
      <c r="BTG938" s="10"/>
      <c r="BTH938" s="10"/>
      <c r="BTI938" s="10"/>
      <c r="BTJ938" s="10"/>
      <c r="BTK938" s="10"/>
      <c r="BTL938" s="10"/>
      <c r="BTM938" s="10"/>
      <c r="BTN938" s="10"/>
      <c r="BTO938" s="10"/>
      <c r="BTP938" s="10"/>
      <c r="BTQ938" s="10"/>
      <c r="BTR938" s="10"/>
      <c r="BTS938" s="10"/>
      <c r="BTT938" s="10"/>
    </row>
    <row r="939" spans="1:1892" ht="35.1" customHeight="1">
      <c r="A939" s="1241"/>
      <c r="B939" s="537" t="s">
        <v>272</v>
      </c>
      <c r="C939" s="1550" t="s">
        <v>54</v>
      </c>
      <c r="D939" s="1599" t="s">
        <v>607</v>
      </c>
      <c r="E939" s="1600"/>
      <c r="F939" s="1601"/>
      <c r="G939" s="1598" t="s">
        <v>54</v>
      </c>
      <c r="H939" s="1550" t="s">
        <v>54</v>
      </c>
      <c r="I939" s="1598" t="s">
        <v>54</v>
      </c>
      <c r="J939" s="1595" t="s">
        <v>67</v>
      </c>
      <c r="K939" s="1595" t="s">
        <v>66</v>
      </c>
      <c r="L939" s="204">
        <v>39</v>
      </c>
      <c r="M939" s="230">
        <v>10</v>
      </c>
      <c r="N939" s="392">
        <v>0</v>
      </c>
      <c r="O939" s="392">
        <v>0</v>
      </c>
      <c r="P939" s="1598" t="s">
        <v>54</v>
      </c>
      <c r="Q939" s="1598" t="s">
        <v>54</v>
      </c>
      <c r="R939" s="1598" t="s">
        <v>54</v>
      </c>
      <c r="S939" s="1598" t="s">
        <v>54</v>
      </c>
      <c r="T939" s="1598" t="s">
        <v>54</v>
      </c>
      <c r="U939" s="1598" t="s">
        <v>54</v>
      </c>
    </row>
    <row r="940" spans="1:1892" ht="35.1" customHeight="1">
      <c r="A940" s="1241"/>
      <c r="B940" s="538"/>
      <c r="C940" s="1551"/>
      <c r="D940" s="1602"/>
      <c r="E940" s="1603"/>
      <c r="F940" s="1604"/>
      <c r="G940" s="1551"/>
      <c r="H940" s="1551"/>
      <c r="I940" s="1551"/>
      <c r="J940" s="1596"/>
      <c r="K940" s="1596"/>
      <c r="L940" s="205" t="s">
        <v>85</v>
      </c>
      <c r="M940" s="230">
        <v>286</v>
      </c>
      <c r="N940" s="392">
        <v>0</v>
      </c>
      <c r="O940" s="392">
        <v>0</v>
      </c>
      <c r="P940" s="1551"/>
      <c r="Q940" s="1551"/>
      <c r="R940" s="1551"/>
      <c r="S940" s="1551"/>
      <c r="T940" s="1551"/>
      <c r="U940" s="1551"/>
    </row>
    <row r="941" spans="1:1892" ht="35.1" customHeight="1">
      <c r="A941" s="1241"/>
      <c r="B941" s="538"/>
      <c r="C941" s="1551"/>
      <c r="D941" s="1602"/>
      <c r="E941" s="1603"/>
      <c r="F941" s="1604"/>
      <c r="G941" s="1551"/>
      <c r="H941" s="1551"/>
      <c r="I941" s="1551"/>
      <c r="J941" s="1596"/>
      <c r="K941" s="1596"/>
      <c r="L941" s="205" t="s">
        <v>103</v>
      </c>
      <c r="M941" s="230">
        <v>33</v>
      </c>
      <c r="N941" s="392">
        <v>0</v>
      </c>
      <c r="O941" s="392">
        <v>0</v>
      </c>
      <c r="P941" s="1551"/>
      <c r="Q941" s="1551"/>
      <c r="R941" s="1551"/>
      <c r="S941" s="1551"/>
      <c r="T941" s="1551"/>
      <c r="U941" s="1551"/>
    </row>
    <row r="942" spans="1:1892" ht="35.1" customHeight="1">
      <c r="A942" s="1241"/>
      <c r="B942" s="538"/>
      <c r="C942" s="1551"/>
      <c r="D942" s="1602"/>
      <c r="E942" s="1603"/>
      <c r="F942" s="1604"/>
      <c r="G942" s="1551"/>
      <c r="H942" s="1551"/>
      <c r="I942" s="1551"/>
      <c r="J942" s="1596"/>
      <c r="K942" s="1596"/>
      <c r="L942" s="206">
        <v>74</v>
      </c>
      <c r="M942" s="293">
        <v>21</v>
      </c>
      <c r="N942" s="403">
        <v>0</v>
      </c>
      <c r="O942" s="403">
        <v>0</v>
      </c>
      <c r="P942" s="1551"/>
      <c r="Q942" s="1551"/>
      <c r="R942" s="1551"/>
      <c r="S942" s="1551"/>
      <c r="T942" s="1551"/>
      <c r="U942" s="1551"/>
    </row>
    <row r="943" spans="1:1892" ht="35.1" customHeight="1">
      <c r="A943" s="1241"/>
      <c r="B943" s="538"/>
      <c r="C943" s="1551"/>
      <c r="D943" s="1602"/>
      <c r="E943" s="1603"/>
      <c r="F943" s="1604"/>
      <c r="G943" s="1552"/>
      <c r="H943" s="1552"/>
      <c r="I943" s="1552"/>
      <c r="J943" s="1597"/>
      <c r="K943" s="1597"/>
      <c r="L943" s="204">
        <v>84</v>
      </c>
      <c r="M943" s="294">
        <v>41</v>
      </c>
      <c r="N943" s="392">
        <v>0</v>
      </c>
      <c r="O943" s="392">
        <v>0</v>
      </c>
      <c r="P943" s="1551"/>
      <c r="Q943" s="1551"/>
      <c r="R943" s="1551"/>
      <c r="S943" s="1551"/>
      <c r="T943" s="1551"/>
      <c r="U943" s="1551"/>
    </row>
    <row r="944" spans="1:1892" ht="35.1" customHeight="1">
      <c r="A944" s="1241"/>
      <c r="B944" s="538"/>
      <c r="C944" s="1552"/>
      <c r="D944" s="1605"/>
      <c r="E944" s="1606"/>
      <c r="F944" s="1607"/>
      <c r="G944" s="463" t="s">
        <v>329</v>
      </c>
      <c r="H944" s="464"/>
      <c r="I944" s="464"/>
      <c r="J944" s="464"/>
      <c r="K944" s="465"/>
      <c r="L944" s="342"/>
      <c r="M944" s="224">
        <f t="shared" ref="M944:N944" si="56">SUM(M939:M943)</f>
        <v>391</v>
      </c>
      <c r="N944" s="263">
        <f t="shared" si="56"/>
        <v>0</v>
      </c>
      <c r="O944" s="263">
        <f t="shared" ref="O944" si="57">SUM(O939:O943)</f>
        <v>0</v>
      </c>
      <c r="P944" s="1552"/>
      <c r="Q944" s="1552"/>
      <c r="R944" s="1552"/>
      <c r="S944" s="1552"/>
      <c r="T944" s="1552"/>
      <c r="U944" s="1552"/>
    </row>
    <row r="945" spans="1:21" ht="35.1" customHeight="1">
      <c r="A945" s="1241"/>
      <c r="B945" s="538"/>
      <c r="C945" s="1568" t="s">
        <v>950</v>
      </c>
      <c r="D945" s="1608" t="s">
        <v>951</v>
      </c>
      <c r="E945" s="1609"/>
      <c r="F945" s="1610"/>
      <c r="G945" s="1562" t="s">
        <v>598</v>
      </c>
      <c r="H945" s="1562" t="s">
        <v>599</v>
      </c>
      <c r="I945" s="1562" t="s">
        <v>600</v>
      </c>
      <c r="J945" s="1595" t="s">
        <v>67</v>
      </c>
      <c r="K945" s="1595" t="s">
        <v>66</v>
      </c>
      <c r="L945" s="205">
        <v>40.055</v>
      </c>
      <c r="M945" s="230">
        <v>2</v>
      </c>
      <c r="N945" s="392">
        <v>2</v>
      </c>
      <c r="O945" s="392">
        <v>2</v>
      </c>
      <c r="P945" s="1571" t="s">
        <v>435</v>
      </c>
      <c r="Q945" s="1571" t="s">
        <v>531</v>
      </c>
      <c r="R945" s="1571" t="s">
        <v>533</v>
      </c>
      <c r="S945" s="1637" t="s">
        <v>57</v>
      </c>
      <c r="T945" s="1578" t="s">
        <v>534</v>
      </c>
      <c r="U945" s="1578" t="s">
        <v>11</v>
      </c>
    </row>
    <row r="946" spans="1:21" ht="35.1" customHeight="1">
      <c r="A946" s="1241"/>
      <c r="B946" s="538"/>
      <c r="C946" s="1569"/>
      <c r="D946" s="1611"/>
      <c r="E946" s="1612"/>
      <c r="F946" s="1613"/>
      <c r="G946" s="1563"/>
      <c r="H946" s="1563"/>
      <c r="I946" s="1563"/>
      <c r="J946" s="1596"/>
      <c r="K946" s="1596"/>
      <c r="L946" s="205">
        <v>40.059399999999997</v>
      </c>
      <c r="M946" s="230">
        <v>2</v>
      </c>
      <c r="N946" s="392">
        <v>2</v>
      </c>
      <c r="O946" s="392">
        <v>2</v>
      </c>
      <c r="P946" s="1572"/>
      <c r="Q946" s="1572"/>
      <c r="R946" s="1572"/>
      <c r="S946" s="1638"/>
      <c r="T946" s="1579"/>
      <c r="U946" s="1579"/>
    </row>
    <row r="947" spans="1:21" ht="35.1" customHeight="1">
      <c r="A947" s="1241"/>
      <c r="B947" s="538"/>
      <c r="C947" s="1569"/>
      <c r="D947" s="1611"/>
      <c r="E947" s="1612"/>
      <c r="F947" s="1613"/>
      <c r="G947" s="1563"/>
      <c r="H947" s="1563"/>
      <c r="I947" s="1563"/>
      <c r="J947" s="1596"/>
      <c r="K947" s="1596"/>
      <c r="L947" s="205">
        <v>42.171999999999997</v>
      </c>
      <c r="M947" s="230">
        <v>2</v>
      </c>
      <c r="N947" s="392">
        <v>2</v>
      </c>
      <c r="O947" s="392">
        <v>2</v>
      </c>
      <c r="P947" s="1572"/>
      <c r="Q947" s="1572"/>
      <c r="R947" s="1572"/>
      <c r="S947" s="1638"/>
      <c r="T947" s="1579"/>
      <c r="U947" s="1579"/>
    </row>
    <row r="948" spans="1:21" ht="35.1" customHeight="1">
      <c r="A948" s="1241"/>
      <c r="B948" s="538"/>
      <c r="C948" s="1569"/>
      <c r="D948" s="1611"/>
      <c r="E948" s="1612"/>
      <c r="F948" s="1613"/>
      <c r="G948" s="1563"/>
      <c r="H948" s="1563"/>
      <c r="I948" s="1563"/>
      <c r="J948" s="1596"/>
      <c r="K948" s="1596"/>
      <c r="L948" s="207">
        <v>49.178100000000001</v>
      </c>
      <c r="M948" s="293">
        <v>10</v>
      </c>
      <c r="N948" s="403">
        <v>10</v>
      </c>
      <c r="O948" s="403">
        <v>10</v>
      </c>
      <c r="P948" s="1572"/>
      <c r="Q948" s="1572"/>
      <c r="R948" s="1572"/>
      <c r="S948" s="1638"/>
      <c r="T948" s="1579"/>
      <c r="U948" s="1579"/>
    </row>
    <row r="949" spans="1:21" ht="35.1" customHeight="1">
      <c r="A949" s="1241"/>
      <c r="B949" s="538"/>
      <c r="C949" s="1569"/>
      <c r="D949" s="1611"/>
      <c r="E949" s="1612"/>
      <c r="F949" s="1613"/>
      <c r="G949" s="1563"/>
      <c r="H949" s="1563"/>
      <c r="I949" s="1563"/>
      <c r="J949" s="1596"/>
      <c r="K949" s="1596"/>
      <c r="L949" s="205">
        <v>49.5655</v>
      </c>
      <c r="M949" s="294">
        <v>10</v>
      </c>
      <c r="N949" s="392">
        <v>10</v>
      </c>
      <c r="O949" s="392">
        <v>10</v>
      </c>
      <c r="P949" s="1572"/>
      <c r="Q949" s="1572"/>
      <c r="R949" s="1572"/>
      <c r="S949" s="1638"/>
      <c r="T949" s="1579"/>
      <c r="U949" s="1579"/>
    </row>
    <row r="950" spans="1:21" ht="35.1" customHeight="1">
      <c r="A950" s="1241"/>
      <c r="B950" s="538"/>
      <c r="C950" s="1569"/>
      <c r="D950" s="1611"/>
      <c r="E950" s="1612"/>
      <c r="F950" s="1613"/>
      <c r="G950" s="1563"/>
      <c r="H950" s="1563"/>
      <c r="I950" s="1563"/>
      <c r="J950" s="1596"/>
      <c r="K950" s="1596"/>
      <c r="L950" s="205">
        <v>48.941299999999998</v>
      </c>
      <c r="M950" s="294">
        <v>10</v>
      </c>
      <c r="N950" s="392">
        <v>10</v>
      </c>
      <c r="O950" s="392">
        <v>10</v>
      </c>
      <c r="P950" s="1572"/>
      <c r="Q950" s="1572"/>
      <c r="R950" s="1572"/>
      <c r="S950" s="1638"/>
      <c r="T950" s="1579"/>
      <c r="U950" s="1579"/>
    </row>
    <row r="951" spans="1:21" ht="35.1" customHeight="1">
      <c r="A951" s="1241"/>
      <c r="B951" s="538"/>
      <c r="C951" s="1569"/>
      <c r="D951" s="1611"/>
      <c r="E951" s="1612"/>
      <c r="F951" s="1613"/>
      <c r="G951" s="1563"/>
      <c r="H951" s="1563"/>
      <c r="I951" s="1563"/>
      <c r="J951" s="1596"/>
      <c r="K951" s="1596"/>
      <c r="L951" s="205">
        <v>49.686199999999999</v>
      </c>
      <c r="M951" s="294">
        <v>10</v>
      </c>
      <c r="N951" s="392">
        <v>10</v>
      </c>
      <c r="O951" s="392">
        <v>10</v>
      </c>
      <c r="P951" s="1572"/>
      <c r="Q951" s="1572"/>
      <c r="R951" s="1572"/>
      <c r="S951" s="1638"/>
      <c r="T951" s="1579"/>
      <c r="U951" s="1579"/>
    </row>
    <row r="952" spans="1:21" ht="35.1" customHeight="1">
      <c r="A952" s="1241"/>
      <c r="B952" s="538"/>
      <c r="C952" s="1569"/>
      <c r="D952" s="1611"/>
      <c r="E952" s="1612"/>
      <c r="F952" s="1613"/>
      <c r="G952" s="1563"/>
      <c r="H952" s="1563"/>
      <c r="I952" s="1563"/>
      <c r="J952" s="1596"/>
      <c r="K952" s="1596"/>
      <c r="L952" s="205">
        <v>49.431199999999997</v>
      </c>
      <c r="M952" s="294">
        <v>10</v>
      </c>
      <c r="N952" s="392">
        <v>10</v>
      </c>
      <c r="O952" s="392">
        <v>10</v>
      </c>
      <c r="P952" s="1572"/>
      <c r="Q952" s="1572"/>
      <c r="R952" s="1572"/>
      <c r="S952" s="1638"/>
      <c r="T952" s="1579"/>
      <c r="U952" s="1579"/>
    </row>
    <row r="953" spans="1:21" ht="35.1" customHeight="1">
      <c r="A953" s="1241"/>
      <c r="B953" s="538"/>
      <c r="C953" s="1569"/>
      <c r="D953" s="1611"/>
      <c r="E953" s="1612"/>
      <c r="F953" s="1613"/>
      <c r="G953" s="1564"/>
      <c r="H953" s="1564"/>
      <c r="I953" s="1564"/>
      <c r="J953" s="1597"/>
      <c r="K953" s="1597"/>
      <c r="L953" s="205">
        <v>49.122700000000002</v>
      </c>
      <c r="M953" s="294">
        <v>5</v>
      </c>
      <c r="N953" s="392">
        <v>5</v>
      </c>
      <c r="O953" s="392">
        <v>5</v>
      </c>
      <c r="P953" s="1572"/>
      <c r="Q953" s="1572"/>
      <c r="R953" s="1572"/>
      <c r="S953" s="1638"/>
      <c r="T953" s="1579"/>
      <c r="U953" s="1579"/>
    </row>
    <row r="954" spans="1:21" ht="35.1" customHeight="1">
      <c r="A954" s="1241"/>
      <c r="B954" s="538"/>
      <c r="C954" s="1570"/>
      <c r="D954" s="1614"/>
      <c r="E954" s="1615"/>
      <c r="F954" s="1616"/>
      <c r="G954" s="1574" t="s">
        <v>329</v>
      </c>
      <c r="H954" s="1575"/>
      <c r="I954" s="1575"/>
      <c r="J954" s="1575"/>
      <c r="K954" s="1576"/>
      <c r="L954" s="342"/>
      <c r="M954" s="224">
        <f>SUM(M945:M953)</f>
        <v>61</v>
      </c>
      <c r="N954" s="263">
        <f>SUM(N945:N953)</f>
        <v>61</v>
      </c>
      <c r="O954" s="263">
        <f>SUM(O945:O953)</f>
        <v>61</v>
      </c>
      <c r="P954" s="1573"/>
      <c r="Q954" s="1573"/>
      <c r="R954" s="1573"/>
      <c r="S954" s="1639"/>
      <c r="T954" s="1580"/>
      <c r="U954" s="1765"/>
    </row>
    <row r="955" spans="1:21" ht="35.1" customHeight="1">
      <c r="A955" s="1241"/>
      <c r="B955" s="538"/>
      <c r="C955" s="1565" t="s">
        <v>1025</v>
      </c>
      <c r="D955" s="1586" t="s">
        <v>692</v>
      </c>
      <c r="E955" s="1587"/>
      <c r="F955" s="1588"/>
      <c r="G955" s="1565" t="s">
        <v>693</v>
      </c>
      <c r="H955" s="1565" t="s">
        <v>694</v>
      </c>
      <c r="I955" s="1565" t="s">
        <v>695</v>
      </c>
      <c r="J955" s="1577" t="s">
        <v>67</v>
      </c>
      <c r="K955" s="1531" t="s">
        <v>66</v>
      </c>
      <c r="L955" s="362" t="s">
        <v>696</v>
      </c>
      <c r="M955" s="363">
        <v>31</v>
      </c>
      <c r="N955" s="404">
        <v>0</v>
      </c>
      <c r="O955" s="404">
        <v>0</v>
      </c>
      <c r="P955" s="911" t="s">
        <v>755</v>
      </c>
      <c r="Q955" s="911" t="s">
        <v>428</v>
      </c>
      <c r="R955" s="911" t="s">
        <v>451</v>
      </c>
      <c r="S955" s="1514" t="s">
        <v>13</v>
      </c>
      <c r="T955" s="1766" t="s">
        <v>697</v>
      </c>
      <c r="U955" s="1713" t="s">
        <v>67</v>
      </c>
    </row>
    <row r="956" spans="1:21" ht="35.1" customHeight="1">
      <c r="A956" s="1241"/>
      <c r="B956" s="538"/>
      <c r="C956" s="1566"/>
      <c r="D956" s="1589"/>
      <c r="E956" s="1590"/>
      <c r="F956" s="1591"/>
      <c r="G956" s="1566"/>
      <c r="H956" s="1566"/>
      <c r="I956" s="1566"/>
      <c r="J956" s="1532"/>
      <c r="K956" s="1532"/>
      <c r="L956" s="364" t="s">
        <v>85</v>
      </c>
      <c r="M956" s="363">
        <v>224</v>
      </c>
      <c r="N956" s="404">
        <v>0</v>
      </c>
      <c r="O956" s="404">
        <v>0</v>
      </c>
      <c r="P956" s="912"/>
      <c r="Q956" s="912"/>
      <c r="R956" s="912"/>
      <c r="S956" s="912"/>
      <c r="T956" s="1714"/>
      <c r="U956" s="1714"/>
    </row>
    <row r="957" spans="1:21" ht="35.1" customHeight="1">
      <c r="A957" s="1241"/>
      <c r="B957" s="538"/>
      <c r="C957" s="1566"/>
      <c r="D957" s="1589"/>
      <c r="E957" s="1590"/>
      <c r="F957" s="1591"/>
      <c r="G957" s="1566"/>
      <c r="H957" s="1566"/>
      <c r="I957" s="1566"/>
      <c r="J957" s="1532"/>
      <c r="K957" s="1532"/>
      <c r="L957" s="364" t="s">
        <v>698</v>
      </c>
      <c r="M957" s="363">
        <v>163</v>
      </c>
      <c r="N957" s="404">
        <v>0</v>
      </c>
      <c r="O957" s="404">
        <v>0</v>
      </c>
      <c r="P957" s="912"/>
      <c r="Q957" s="912"/>
      <c r="R957" s="912"/>
      <c r="S957" s="912"/>
      <c r="T957" s="1714"/>
      <c r="U957" s="1714"/>
    </row>
    <row r="958" spans="1:21" ht="35.1" customHeight="1">
      <c r="A958" s="1241"/>
      <c r="B958" s="538"/>
      <c r="C958" s="1566"/>
      <c r="D958" s="1589"/>
      <c r="E958" s="1590"/>
      <c r="F958" s="1591"/>
      <c r="G958" s="1566"/>
      <c r="H958" s="1566"/>
      <c r="I958" s="1566"/>
      <c r="J958" s="1532"/>
      <c r="K958" s="1532"/>
      <c r="L958" s="365" t="s">
        <v>84</v>
      </c>
      <c r="M958" s="366">
        <v>54</v>
      </c>
      <c r="N958" s="405">
        <v>0</v>
      </c>
      <c r="O958" s="405">
        <v>0</v>
      </c>
      <c r="P958" s="912"/>
      <c r="Q958" s="912"/>
      <c r="R958" s="912"/>
      <c r="S958" s="912"/>
      <c r="T958" s="1714"/>
      <c r="U958" s="1714"/>
    </row>
    <row r="959" spans="1:21" ht="35.1" customHeight="1">
      <c r="A959" s="1241"/>
      <c r="B959" s="538"/>
      <c r="C959" s="1566"/>
      <c r="D959" s="1589"/>
      <c r="E959" s="1590"/>
      <c r="F959" s="1591"/>
      <c r="G959" s="1566"/>
      <c r="H959" s="1566"/>
      <c r="I959" s="1566"/>
      <c r="J959" s="1532"/>
      <c r="K959" s="1532"/>
      <c r="L959" s="367" t="s">
        <v>83</v>
      </c>
      <c r="M959" s="368">
        <v>11</v>
      </c>
      <c r="N959" s="406">
        <v>0</v>
      </c>
      <c r="O959" s="406">
        <v>0</v>
      </c>
      <c r="P959" s="912"/>
      <c r="Q959" s="912"/>
      <c r="R959" s="912"/>
      <c r="S959" s="912"/>
      <c r="T959" s="1714"/>
      <c r="U959" s="1714"/>
    </row>
    <row r="960" spans="1:21" ht="35.1" customHeight="1">
      <c r="A960" s="1241"/>
      <c r="B960" s="538"/>
      <c r="C960" s="1566"/>
      <c r="D960" s="1589"/>
      <c r="E960" s="1590"/>
      <c r="F960" s="1591"/>
      <c r="G960" s="1566"/>
      <c r="H960" s="1566"/>
      <c r="I960" s="1566"/>
      <c r="J960" s="1532"/>
      <c r="K960" s="1532"/>
      <c r="L960" s="367" t="s">
        <v>82</v>
      </c>
      <c r="M960" s="368">
        <v>58</v>
      </c>
      <c r="N960" s="406">
        <v>0</v>
      </c>
      <c r="O960" s="406">
        <v>0</v>
      </c>
      <c r="P960" s="912"/>
      <c r="Q960" s="912"/>
      <c r="R960" s="912"/>
      <c r="S960" s="912"/>
      <c r="T960" s="1714"/>
      <c r="U960" s="1714"/>
    </row>
    <row r="961" spans="1:21" ht="35.1" customHeight="1">
      <c r="A961" s="1241"/>
      <c r="B961" s="538"/>
      <c r="C961" s="1566"/>
      <c r="D961" s="1589"/>
      <c r="E961" s="1590"/>
      <c r="F961" s="1591"/>
      <c r="G961" s="1566"/>
      <c r="H961" s="1566"/>
      <c r="I961" s="1566"/>
      <c r="J961" s="1532"/>
      <c r="K961" s="1532"/>
      <c r="L961" s="367" t="s">
        <v>81</v>
      </c>
      <c r="M961" s="368">
        <v>12</v>
      </c>
      <c r="N961" s="406">
        <v>0</v>
      </c>
      <c r="O961" s="406">
        <v>0</v>
      </c>
      <c r="P961" s="912"/>
      <c r="Q961" s="912"/>
      <c r="R961" s="912"/>
      <c r="S961" s="912"/>
      <c r="T961" s="1714"/>
      <c r="U961" s="1714"/>
    </row>
    <row r="962" spans="1:21" ht="35.1" customHeight="1">
      <c r="A962" s="1241"/>
      <c r="B962" s="538"/>
      <c r="C962" s="1566"/>
      <c r="D962" s="1589"/>
      <c r="E962" s="1590"/>
      <c r="F962" s="1591"/>
      <c r="G962" s="1566"/>
      <c r="H962" s="1566"/>
      <c r="I962" s="1566"/>
      <c r="J962" s="1532"/>
      <c r="K962" s="1532"/>
      <c r="L962" s="367" t="s">
        <v>309</v>
      </c>
      <c r="M962" s="368">
        <v>14</v>
      </c>
      <c r="N962" s="406">
        <v>0</v>
      </c>
      <c r="O962" s="406">
        <v>0</v>
      </c>
      <c r="P962" s="912"/>
      <c r="Q962" s="912"/>
      <c r="R962" s="912"/>
      <c r="S962" s="912"/>
      <c r="T962" s="1714"/>
      <c r="U962" s="1714"/>
    </row>
    <row r="963" spans="1:21" ht="35.1" customHeight="1">
      <c r="A963" s="1241"/>
      <c r="B963" s="538"/>
      <c r="C963" s="1566"/>
      <c r="D963" s="1589"/>
      <c r="E963" s="1590"/>
      <c r="F963" s="1591"/>
      <c r="G963" s="1567"/>
      <c r="H963" s="1567"/>
      <c r="I963" s="1567"/>
      <c r="J963" s="1533"/>
      <c r="K963" s="1533"/>
      <c r="L963" s="367">
        <v>109</v>
      </c>
      <c r="M963" s="368">
        <v>3</v>
      </c>
      <c r="N963" s="406">
        <v>0</v>
      </c>
      <c r="O963" s="406">
        <v>0</v>
      </c>
      <c r="P963" s="912"/>
      <c r="Q963" s="912"/>
      <c r="R963" s="912"/>
      <c r="S963" s="912"/>
      <c r="T963" s="1714"/>
      <c r="U963" s="1714"/>
    </row>
    <row r="964" spans="1:21" ht="35.1" customHeight="1">
      <c r="A964" s="1241"/>
      <c r="B964" s="538"/>
      <c r="C964" s="1567"/>
      <c r="D964" s="1592"/>
      <c r="E964" s="1593"/>
      <c r="F964" s="1594"/>
      <c r="G964" s="1525" t="s">
        <v>329</v>
      </c>
      <c r="H964" s="1526"/>
      <c r="I964" s="1526"/>
      <c r="J964" s="1526"/>
      <c r="K964" s="1527"/>
      <c r="L964" s="369"/>
      <c r="M964" s="370">
        <f>SUM(M955:M963)</f>
        <v>570</v>
      </c>
      <c r="N964" s="407">
        <f>SUM(N955:N963)</f>
        <v>0</v>
      </c>
      <c r="O964" s="407">
        <f>SUM(O955:O963)</f>
        <v>0</v>
      </c>
      <c r="P964" s="913"/>
      <c r="Q964" s="913"/>
      <c r="R964" s="913"/>
      <c r="S964" s="913"/>
      <c r="T964" s="1715"/>
      <c r="U964" s="1715"/>
    </row>
    <row r="965" spans="1:21" ht="35.1" customHeight="1">
      <c r="A965" s="1241"/>
      <c r="B965" s="538"/>
      <c r="C965" s="1584" t="s">
        <v>1025</v>
      </c>
      <c r="D965" s="1481" t="s">
        <v>1004</v>
      </c>
      <c r="E965" s="1482"/>
      <c r="F965" s="1483"/>
      <c r="G965" s="1687" t="s">
        <v>1005</v>
      </c>
      <c r="H965" s="1687" t="s">
        <v>1006</v>
      </c>
      <c r="I965" s="1687" t="s">
        <v>1005</v>
      </c>
      <c r="J965" s="1689" t="s">
        <v>11</v>
      </c>
      <c r="K965" s="1689" t="s">
        <v>12</v>
      </c>
      <c r="L965" s="372" t="s">
        <v>1007</v>
      </c>
      <c r="M965" s="373">
        <v>110</v>
      </c>
      <c r="N965" s="408">
        <v>0</v>
      </c>
      <c r="O965" s="408">
        <v>0</v>
      </c>
      <c r="P965" s="1514" t="s">
        <v>510</v>
      </c>
      <c r="Q965" s="1514" t="s">
        <v>903</v>
      </c>
      <c r="R965" s="1514" t="s">
        <v>1008</v>
      </c>
      <c r="S965" s="1514" t="s">
        <v>13</v>
      </c>
      <c r="T965" s="1514" t="s">
        <v>1009</v>
      </c>
      <c r="U965" s="1514" t="s">
        <v>11</v>
      </c>
    </row>
    <row r="966" spans="1:21" ht="35.1" customHeight="1">
      <c r="A966" s="1241"/>
      <c r="B966" s="538"/>
      <c r="C966" s="1566"/>
      <c r="D966" s="1484"/>
      <c r="E966" s="1485"/>
      <c r="F966" s="1486"/>
      <c r="G966" s="1688"/>
      <c r="H966" s="1688"/>
      <c r="I966" s="1688"/>
      <c r="J966" s="1690"/>
      <c r="K966" s="1690"/>
      <c r="L966" s="374" t="s">
        <v>1010</v>
      </c>
      <c r="M966" s="373">
        <v>26</v>
      </c>
      <c r="N966" s="408">
        <v>0</v>
      </c>
      <c r="O966" s="408">
        <v>0</v>
      </c>
      <c r="P966" s="912"/>
      <c r="Q966" s="912"/>
      <c r="R966" s="912"/>
      <c r="S966" s="912"/>
      <c r="T966" s="912"/>
      <c r="U966" s="912"/>
    </row>
    <row r="967" spans="1:21" ht="35.1" customHeight="1">
      <c r="A967" s="1241"/>
      <c r="B967" s="538"/>
      <c r="C967" s="1566"/>
      <c r="D967" s="1484"/>
      <c r="E967" s="1485"/>
      <c r="F967" s="1486"/>
      <c r="G967" s="1688"/>
      <c r="H967" s="1688"/>
      <c r="I967" s="1688"/>
      <c r="J967" s="1690"/>
      <c r="K967" s="1690"/>
      <c r="L967" s="374" t="s">
        <v>1011</v>
      </c>
      <c r="M967" s="373">
        <v>28</v>
      </c>
      <c r="N967" s="408">
        <v>0</v>
      </c>
      <c r="O967" s="408">
        <v>0</v>
      </c>
      <c r="P967" s="912"/>
      <c r="Q967" s="912"/>
      <c r="R967" s="912"/>
      <c r="S967" s="912"/>
      <c r="T967" s="912"/>
      <c r="U967" s="912"/>
    </row>
    <row r="968" spans="1:21" ht="35.1" customHeight="1">
      <c r="A968" s="1241"/>
      <c r="B968" s="538"/>
      <c r="C968" s="1566"/>
      <c r="D968" s="1484"/>
      <c r="E968" s="1485"/>
      <c r="F968" s="1486"/>
      <c r="G968" s="1688"/>
      <c r="H968" s="1688"/>
      <c r="I968" s="1688"/>
      <c r="J968" s="1690"/>
      <c r="K968" s="1690"/>
      <c r="L968" s="375" t="s">
        <v>1012</v>
      </c>
      <c r="M968" s="376">
        <v>196</v>
      </c>
      <c r="N968" s="408">
        <v>0</v>
      </c>
      <c r="O968" s="408">
        <v>0</v>
      </c>
      <c r="P968" s="912"/>
      <c r="Q968" s="912"/>
      <c r="R968" s="912"/>
      <c r="S968" s="912"/>
      <c r="T968" s="912"/>
      <c r="U968" s="912"/>
    </row>
    <row r="969" spans="1:21" ht="35.1" customHeight="1">
      <c r="A969" s="1241"/>
      <c r="B969" s="538"/>
      <c r="C969" s="1566"/>
      <c r="D969" s="1484"/>
      <c r="E969" s="1485"/>
      <c r="F969" s="1486"/>
      <c r="G969" s="1688"/>
      <c r="H969" s="1688"/>
      <c r="I969" s="1688"/>
      <c r="J969" s="1690"/>
      <c r="K969" s="1690"/>
      <c r="L969" s="377" t="s">
        <v>1013</v>
      </c>
      <c r="M969" s="378">
        <v>51</v>
      </c>
      <c r="N969" s="408">
        <v>0</v>
      </c>
      <c r="O969" s="408">
        <v>0</v>
      </c>
      <c r="P969" s="912"/>
      <c r="Q969" s="912"/>
      <c r="R969" s="912"/>
      <c r="S969" s="912"/>
      <c r="T969" s="912"/>
      <c r="U969" s="912"/>
    </row>
    <row r="970" spans="1:21" ht="35.1" customHeight="1">
      <c r="A970" s="1241"/>
      <c r="B970" s="538"/>
      <c r="C970" s="1566"/>
      <c r="D970" s="1484"/>
      <c r="E970" s="1485"/>
      <c r="F970" s="1486"/>
      <c r="G970" s="1688"/>
      <c r="H970" s="1688"/>
      <c r="I970" s="1688"/>
      <c r="J970" s="1690"/>
      <c r="K970" s="1690"/>
      <c r="L970" s="377" t="s">
        <v>1014</v>
      </c>
      <c r="M970" s="378">
        <v>52</v>
      </c>
      <c r="N970" s="408">
        <v>0</v>
      </c>
      <c r="O970" s="408">
        <v>0</v>
      </c>
      <c r="P970" s="912"/>
      <c r="Q970" s="912"/>
      <c r="R970" s="912"/>
      <c r="S970" s="912"/>
      <c r="T970" s="912"/>
      <c r="U970" s="912"/>
    </row>
    <row r="971" spans="1:21" ht="35.1" customHeight="1">
      <c r="A971" s="1241"/>
      <c r="B971" s="538"/>
      <c r="C971" s="1566"/>
      <c r="D971" s="1484"/>
      <c r="E971" s="1485"/>
      <c r="F971" s="1486"/>
      <c r="G971" s="1688"/>
      <c r="H971" s="1688"/>
      <c r="I971" s="1688"/>
      <c r="J971" s="1690"/>
      <c r="K971" s="1690"/>
      <c r="L971" s="377" t="s">
        <v>1015</v>
      </c>
      <c r="M971" s="378">
        <v>105</v>
      </c>
      <c r="N971" s="408">
        <v>0</v>
      </c>
      <c r="O971" s="408">
        <v>0</v>
      </c>
      <c r="P971" s="912"/>
      <c r="Q971" s="912"/>
      <c r="R971" s="912"/>
      <c r="S971" s="912"/>
      <c r="T971" s="912"/>
      <c r="U971" s="912"/>
    </row>
    <row r="972" spans="1:21" ht="35.1" customHeight="1">
      <c r="A972" s="1241"/>
      <c r="B972" s="538"/>
      <c r="C972" s="1566"/>
      <c r="D972" s="1484"/>
      <c r="E972" s="1485"/>
      <c r="F972" s="1486"/>
      <c r="G972" s="1688"/>
      <c r="H972" s="1688"/>
      <c r="I972" s="1688"/>
      <c r="J972" s="1690"/>
      <c r="K972" s="1690"/>
      <c r="L972" s="377" t="s">
        <v>1016</v>
      </c>
      <c r="M972" s="378">
        <v>39</v>
      </c>
      <c r="N972" s="408">
        <v>0</v>
      </c>
      <c r="O972" s="408">
        <v>0</v>
      </c>
      <c r="P972" s="912"/>
      <c r="Q972" s="912"/>
      <c r="R972" s="912"/>
      <c r="S972" s="912"/>
      <c r="T972" s="912"/>
      <c r="U972" s="912"/>
    </row>
    <row r="973" spans="1:21" ht="35.1" customHeight="1">
      <c r="A973" s="1241"/>
      <c r="B973" s="538"/>
      <c r="C973" s="1566"/>
      <c r="D973" s="1484"/>
      <c r="E973" s="1485"/>
      <c r="F973" s="1486"/>
      <c r="G973" s="1688"/>
      <c r="H973" s="1688"/>
      <c r="I973" s="1688"/>
      <c r="J973" s="1690"/>
      <c r="K973" s="1690"/>
      <c r="L973" s="377" t="s">
        <v>1017</v>
      </c>
      <c r="M973" s="378">
        <v>3</v>
      </c>
      <c r="N973" s="408">
        <v>0</v>
      </c>
      <c r="O973" s="408">
        <v>0</v>
      </c>
      <c r="P973" s="912"/>
      <c r="Q973" s="912"/>
      <c r="R973" s="912"/>
      <c r="S973" s="912"/>
      <c r="T973" s="912"/>
      <c r="U973" s="912"/>
    </row>
    <row r="974" spans="1:21" ht="35.1" customHeight="1">
      <c r="A974" s="1241"/>
      <c r="B974" s="538"/>
      <c r="C974" s="1566"/>
      <c r="D974" s="1484"/>
      <c r="E974" s="1485"/>
      <c r="F974" s="1486"/>
      <c r="G974" s="1688"/>
      <c r="H974" s="1688"/>
      <c r="I974" s="1688"/>
      <c r="J974" s="1690"/>
      <c r="K974" s="1690"/>
      <c r="L974" s="377" t="s">
        <v>1018</v>
      </c>
      <c r="M974" s="378">
        <v>22</v>
      </c>
      <c r="N974" s="408">
        <v>0</v>
      </c>
      <c r="O974" s="408">
        <v>0</v>
      </c>
      <c r="P974" s="912"/>
      <c r="Q974" s="912"/>
      <c r="R974" s="912"/>
      <c r="S974" s="912"/>
      <c r="T974" s="912"/>
      <c r="U974" s="912"/>
    </row>
    <row r="975" spans="1:21" ht="35.1" customHeight="1">
      <c r="A975" s="1241"/>
      <c r="B975" s="538"/>
      <c r="C975" s="1566"/>
      <c r="D975" s="1484"/>
      <c r="E975" s="1485"/>
      <c r="F975" s="1486"/>
      <c r="G975" s="1688"/>
      <c r="H975" s="1688"/>
      <c r="I975" s="1688"/>
      <c r="J975" s="1690"/>
      <c r="K975" s="1690"/>
      <c r="L975" s="379">
        <v>101.9909</v>
      </c>
      <c r="M975" s="378">
        <v>7</v>
      </c>
      <c r="N975" s="408">
        <v>0</v>
      </c>
      <c r="O975" s="408">
        <v>0</v>
      </c>
      <c r="P975" s="912"/>
      <c r="Q975" s="912"/>
      <c r="R975" s="912"/>
      <c r="S975" s="912"/>
      <c r="T975" s="912"/>
      <c r="U975" s="912"/>
    </row>
    <row r="976" spans="1:21" ht="35.1" customHeight="1">
      <c r="A976" s="1241"/>
      <c r="B976" s="538"/>
      <c r="C976" s="1585"/>
      <c r="D976" s="1487"/>
      <c r="E976" s="1488"/>
      <c r="F976" s="1489"/>
      <c r="G976" s="1525" t="s">
        <v>329</v>
      </c>
      <c r="H976" s="1526"/>
      <c r="I976" s="1526"/>
      <c r="J976" s="1526"/>
      <c r="K976" s="1527"/>
      <c r="L976" s="369"/>
      <c r="M976" s="371">
        <f>SUM(M965:M975)</f>
        <v>639</v>
      </c>
      <c r="N976" s="407">
        <f>SUM(N965:N975)</f>
        <v>0</v>
      </c>
      <c r="O976" s="407">
        <f>SUM(O965:O975)</f>
        <v>0</v>
      </c>
      <c r="P976" s="912"/>
      <c r="Q976" s="912"/>
      <c r="R976" s="912"/>
      <c r="S976" s="912"/>
      <c r="T976" s="912"/>
      <c r="U976" s="912"/>
    </row>
    <row r="977" spans="1:22" ht="35.1" customHeight="1">
      <c r="A977" s="1241"/>
      <c r="B977" s="538"/>
      <c r="C977" s="1565" t="s">
        <v>1019</v>
      </c>
      <c r="D977" s="1719" t="s">
        <v>1020</v>
      </c>
      <c r="E977" s="1719"/>
      <c r="F977" s="1719"/>
      <c r="G977" s="1687" t="s">
        <v>1021</v>
      </c>
      <c r="H977" s="1687" t="s">
        <v>1022</v>
      </c>
      <c r="I977" s="1687" t="s">
        <v>1023</v>
      </c>
      <c r="J977" s="1689" t="s">
        <v>11</v>
      </c>
      <c r="K977" s="1689"/>
      <c r="L977" s="374">
        <v>39.243699999999997</v>
      </c>
      <c r="M977" s="373">
        <v>14</v>
      </c>
      <c r="N977" s="408">
        <v>0</v>
      </c>
      <c r="O977" s="408">
        <v>0</v>
      </c>
      <c r="P977" s="1635" t="s">
        <v>739</v>
      </c>
      <c r="Q977" s="1490" t="s">
        <v>405</v>
      </c>
      <c r="R977" s="1490" t="s">
        <v>1008</v>
      </c>
      <c r="S977" s="1490" t="s">
        <v>13</v>
      </c>
      <c r="T977" s="1528" t="s">
        <v>1024</v>
      </c>
      <c r="U977" s="1528" t="s">
        <v>67</v>
      </c>
    </row>
    <row r="978" spans="1:22" ht="35.1" customHeight="1">
      <c r="A978" s="1241"/>
      <c r="B978" s="538"/>
      <c r="C978" s="1566"/>
      <c r="D978" s="1720"/>
      <c r="E978" s="1720"/>
      <c r="F978" s="1720"/>
      <c r="G978" s="1688"/>
      <c r="H978" s="1688"/>
      <c r="I978" s="1688"/>
      <c r="J978" s="1690"/>
      <c r="K978" s="1690"/>
      <c r="L978" s="374">
        <v>43.238599999999998</v>
      </c>
      <c r="M978" s="373">
        <v>309</v>
      </c>
      <c r="N978" s="408">
        <v>0</v>
      </c>
      <c r="O978" s="408">
        <v>0</v>
      </c>
      <c r="P978" s="1636"/>
      <c r="Q978" s="1491"/>
      <c r="R978" s="1491"/>
      <c r="S978" s="1491"/>
      <c r="T978" s="1529"/>
      <c r="U978" s="1529"/>
    </row>
    <row r="979" spans="1:22" ht="35.1" customHeight="1">
      <c r="A979" s="1241"/>
      <c r="B979" s="538"/>
      <c r="C979" s="1566"/>
      <c r="D979" s="1720"/>
      <c r="E979" s="1720"/>
      <c r="F979" s="1720"/>
      <c r="G979" s="1688"/>
      <c r="H979" s="1688"/>
      <c r="I979" s="1688"/>
      <c r="J979" s="1690"/>
      <c r="K979" s="1690"/>
      <c r="L979" s="374">
        <v>43.068100000000001</v>
      </c>
      <c r="M979" s="373">
        <v>46</v>
      </c>
      <c r="N979" s="408">
        <v>0</v>
      </c>
      <c r="O979" s="408">
        <v>0</v>
      </c>
      <c r="P979" s="1636"/>
      <c r="Q979" s="1491"/>
      <c r="R979" s="1491"/>
      <c r="S979" s="1491"/>
      <c r="T979" s="1529"/>
      <c r="U979" s="1529"/>
    </row>
    <row r="980" spans="1:22" ht="35.1" customHeight="1">
      <c r="A980" s="1241"/>
      <c r="B980" s="538"/>
      <c r="C980" s="1566"/>
      <c r="D980" s="1720"/>
      <c r="E980" s="1720"/>
      <c r="F980" s="1720"/>
      <c r="G980" s="1688"/>
      <c r="H980" s="1688"/>
      <c r="I980" s="1688"/>
      <c r="J980" s="1690"/>
      <c r="K980" s="1690"/>
      <c r="L980" s="380">
        <v>59.9208</v>
      </c>
      <c r="M980" s="376">
        <v>5</v>
      </c>
      <c r="N980" s="408">
        <v>0</v>
      </c>
      <c r="O980" s="408">
        <v>0</v>
      </c>
      <c r="P980" s="1636"/>
      <c r="Q980" s="1491"/>
      <c r="R980" s="1491"/>
      <c r="S980" s="1491"/>
      <c r="T980" s="1529"/>
      <c r="U980" s="1529"/>
    </row>
    <row r="981" spans="1:22" ht="35.1" customHeight="1">
      <c r="A981" s="1241"/>
      <c r="B981" s="538"/>
      <c r="C981" s="1566"/>
      <c r="D981" s="1720"/>
      <c r="E981" s="1720"/>
      <c r="F981" s="1720"/>
      <c r="G981" s="1688"/>
      <c r="H981" s="1688"/>
      <c r="I981" s="1688"/>
      <c r="J981" s="1690"/>
      <c r="K981" s="1690"/>
      <c r="L981" s="379">
        <v>59.8628</v>
      </c>
      <c r="M981" s="378">
        <v>32</v>
      </c>
      <c r="N981" s="408">
        <v>0</v>
      </c>
      <c r="O981" s="408">
        <v>0</v>
      </c>
      <c r="P981" s="1636"/>
      <c r="Q981" s="1491"/>
      <c r="R981" s="1491"/>
      <c r="S981" s="1491"/>
      <c r="T981" s="1529"/>
      <c r="U981" s="1529"/>
    </row>
    <row r="982" spans="1:22" ht="35.1" customHeight="1">
      <c r="A982" s="1241"/>
      <c r="B982" s="538"/>
      <c r="C982" s="1566"/>
      <c r="D982" s="1720"/>
      <c r="E982" s="1720"/>
      <c r="F982" s="1720"/>
      <c r="G982" s="1688"/>
      <c r="H982" s="1688"/>
      <c r="I982" s="1688"/>
      <c r="J982" s="1690"/>
      <c r="K982" s="1690"/>
      <c r="L982" s="379">
        <v>84.319699999999997</v>
      </c>
      <c r="M982" s="378">
        <v>1</v>
      </c>
      <c r="N982" s="408">
        <v>0</v>
      </c>
      <c r="O982" s="408">
        <v>0</v>
      </c>
      <c r="P982" s="1636"/>
      <c r="Q982" s="1491"/>
      <c r="R982" s="1491"/>
      <c r="S982" s="1491"/>
      <c r="T982" s="1529"/>
      <c r="U982" s="1529"/>
    </row>
    <row r="983" spans="1:22" ht="35.1" customHeight="1">
      <c r="A983" s="1241"/>
      <c r="B983" s="539"/>
      <c r="C983" s="1566"/>
      <c r="D983" s="1720"/>
      <c r="E983" s="1720"/>
      <c r="F983" s="1720"/>
      <c r="G983" s="1525" t="s">
        <v>329</v>
      </c>
      <c r="H983" s="1526"/>
      <c r="I983" s="1526"/>
      <c r="J983" s="1526"/>
      <c r="K983" s="1527"/>
      <c r="L983" s="369"/>
      <c r="M983" s="371">
        <f t="shared" ref="M983" si="58">SUM(M977:M982)</f>
        <v>407</v>
      </c>
      <c r="N983" s="407">
        <f>SUM(N977:N982)</f>
        <v>0</v>
      </c>
      <c r="O983" s="407">
        <f>SUM(O977:O982)</f>
        <v>0</v>
      </c>
      <c r="P983" s="1492"/>
      <c r="Q983" s="1492"/>
      <c r="R983" s="1492"/>
      <c r="S983" s="1492"/>
      <c r="T983" s="1530"/>
      <c r="U983" s="1530"/>
    </row>
    <row r="984" spans="1:22" ht="35.1" customHeight="1">
      <c r="A984" s="1241"/>
      <c r="B984" s="620" t="s">
        <v>105</v>
      </c>
      <c r="C984" s="621"/>
      <c r="D984" s="621"/>
      <c r="E984" s="621"/>
      <c r="F984" s="621"/>
      <c r="G984" s="621"/>
      <c r="H984" s="621"/>
      <c r="I984" s="621"/>
      <c r="J984" s="621"/>
      <c r="K984" s="622"/>
      <c r="L984" s="122"/>
      <c r="M984" s="391">
        <f>M964+M954+M944+M976+M983</f>
        <v>2068</v>
      </c>
      <c r="N984" s="391">
        <f>N964+N954+N944+N976+N983</f>
        <v>61</v>
      </c>
      <c r="O984" s="391">
        <f>O964+O954+O944+O976+O983</f>
        <v>61</v>
      </c>
      <c r="P984" s="123"/>
      <c r="Q984" s="123"/>
      <c r="R984" s="123"/>
      <c r="S984" s="156"/>
      <c r="T984" s="156"/>
      <c r="U984" s="156"/>
    </row>
    <row r="985" spans="1:22" ht="35.1" customHeight="1">
      <c r="A985" s="1241"/>
      <c r="B985" s="1331" t="s">
        <v>372</v>
      </c>
      <c r="C985" s="566" t="s">
        <v>373</v>
      </c>
      <c r="D985" s="584" t="s">
        <v>374</v>
      </c>
      <c r="E985" s="585"/>
      <c r="F985" s="586"/>
      <c r="G985" s="566" t="s">
        <v>382</v>
      </c>
      <c r="H985" s="566" t="s">
        <v>375</v>
      </c>
      <c r="I985" s="566" t="s">
        <v>376</v>
      </c>
      <c r="J985" s="687" t="s">
        <v>11</v>
      </c>
      <c r="K985" s="687" t="s">
        <v>12</v>
      </c>
      <c r="L985" s="118">
        <v>59.030500000000004</v>
      </c>
      <c r="M985" s="295">
        <v>59</v>
      </c>
      <c r="N985" s="119">
        <v>21</v>
      </c>
      <c r="O985" s="119">
        <v>21</v>
      </c>
      <c r="P985" s="1103" t="s">
        <v>966</v>
      </c>
      <c r="Q985" s="1103" t="s">
        <v>430</v>
      </c>
      <c r="R985" s="1103" t="s">
        <v>403</v>
      </c>
      <c r="S985" s="502" t="s">
        <v>57</v>
      </c>
      <c r="T985" s="499" t="s">
        <v>377</v>
      </c>
      <c r="U985" s="499" t="s">
        <v>11</v>
      </c>
    </row>
    <row r="986" spans="1:22" ht="35.1" customHeight="1">
      <c r="A986" s="1241"/>
      <c r="B986" s="1332"/>
      <c r="C986" s="567"/>
      <c r="D986" s="587"/>
      <c r="E986" s="588"/>
      <c r="F986" s="589"/>
      <c r="G986" s="567"/>
      <c r="H986" s="567"/>
      <c r="I986" s="567"/>
      <c r="J986" s="688"/>
      <c r="K986" s="688"/>
      <c r="L986" s="118">
        <v>59.597200000000001</v>
      </c>
      <c r="M986" s="295">
        <v>52</v>
      </c>
      <c r="N986" s="119">
        <v>28</v>
      </c>
      <c r="O986" s="119">
        <v>28</v>
      </c>
      <c r="P986" s="1104"/>
      <c r="Q986" s="1104"/>
      <c r="R986" s="1104"/>
      <c r="S986" s="503"/>
      <c r="T986" s="500"/>
      <c r="U986" s="500"/>
    </row>
    <row r="987" spans="1:22" ht="35.1" customHeight="1">
      <c r="A987" s="1241"/>
      <c r="B987" s="1332"/>
      <c r="C987" s="567"/>
      <c r="D987" s="587"/>
      <c r="E987" s="588"/>
      <c r="F987" s="589"/>
      <c r="G987" s="567"/>
      <c r="H987" s="567"/>
      <c r="I987" s="567"/>
      <c r="J987" s="688"/>
      <c r="K987" s="688"/>
      <c r="L987" s="118">
        <v>59.884</v>
      </c>
      <c r="M987" s="295">
        <v>37</v>
      </c>
      <c r="N987" s="119">
        <v>19</v>
      </c>
      <c r="O987" s="119">
        <v>19</v>
      </c>
      <c r="P987" s="1104"/>
      <c r="Q987" s="1104"/>
      <c r="R987" s="1104"/>
      <c r="S987" s="503"/>
      <c r="T987" s="500"/>
      <c r="U987" s="500"/>
    </row>
    <row r="988" spans="1:22" ht="35.1" customHeight="1">
      <c r="A988" s="1241"/>
      <c r="B988" s="1332"/>
      <c r="C988" s="567"/>
      <c r="D988" s="587"/>
      <c r="E988" s="588"/>
      <c r="F988" s="589"/>
      <c r="G988" s="567"/>
      <c r="H988" s="567"/>
      <c r="I988" s="567"/>
      <c r="J988" s="688"/>
      <c r="K988" s="688"/>
      <c r="L988" s="118">
        <v>84.899600000000007</v>
      </c>
      <c r="M988" s="295">
        <v>10</v>
      </c>
      <c r="N988" s="119">
        <v>11</v>
      </c>
      <c r="O988" s="119">
        <v>11</v>
      </c>
      <c r="P988" s="1104"/>
      <c r="Q988" s="1104"/>
      <c r="R988" s="1104"/>
      <c r="S988" s="503"/>
      <c r="T988" s="500"/>
      <c r="U988" s="500"/>
    </row>
    <row r="989" spans="1:22" ht="35.1" customHeight="1">
      <c r="A989" s="1241"/>
      <c r="B989" s="1332"/>
      <c r="C989" s="567"/>
      <c r="D989" s="587"/>
      <c r="E989" s="588"/>
      <c r="F989" s="589"/>
      <c r="G989" s="568"/>
      <c r="H989" s="568"/>
      <c r="I989" s="568"/>
      <c r="J989" s="689"/>
      <c r="K989" s="689"/>
      <c r="L989" s="118">
        <v>84.866699999999994</v>
      </c>
      <c r="M989" s="295">
        <v>57</v>
      </c>
      <c r="N989" s="119">
        <v>44</v>
      </c>
      <c r="O989" s="119">
        <v>44</v>
      </c>
      <c r="P989" s="1104"/>
      <c r="Q989" s="1104"/>
      <c r="R989" s="1104"/>
      <c r="S989" s="503"/>
      <c r="T989" s="500"/>
      <c r="U989" s="500"/>
    </row>
    <row r="990" spans="1:22" ht="35.1" customHeight="1">
      <c r="A990" s="1241"/>
      <c r="B990" s="1333"/>
      <c r="C990" s="568"/>
      <c r="D990" s="707"/>
      <c r="E990" s="708"/>
      <c r="F990" s="709"/>
      <c r="G990" s="463" t="s">
        <v>329</v>
      </c>
      <c r="H990" s="464"/>
      <c r="I990" s="464"/>
      <c r="J990" s="464"/>
      <c r="K990" s="465"/>
      <c r="L990" s="342"/>
      <c r="M990" s="296">
        <f>SUM(M985:M989)</f>
        <v>215</v>
      </c>
      <c r="N990" s="409">
        <f>SUM(N985:N989)</f>
        <v>123</v>
      </c>
      <c r="O990" s="409">
        <f>SUM(O985:O989)</f>
        <v>123</v>
      </c>
      <c r="P990" s="1105"/>
      <c r="Q990" s="1105"/>
      <c r="R990" s="1105"/>
      <c r="S990" s="504"/>
      <c r="T990" s="501"/>
      <c r="U990" s="501"/>
    </row>
    <row r="991" spans="1:22" ht="35.1" customHeight="1">
      <c r="A991" s="1241"/>
      <c r="B991" s="620" t="s">
        <v>105</v>
      </c>
      <c r="C991" s="621"/>
      <c r="D991" s="621"/>
      <c r="E991" s="621"/>
      <c r="F991" s="621"/>
      <c r="G991" s="621"/>
      <c r="H991" s="621"/>
      <c r="I991" s="621"/>
      <c r="J991" s="621"/>
      <c r="K991" s="622"/>
      <c r="L991" s="122"/>
      <c r="M991" s="226">
        <f>M990</f>
        <v>215</v>
      </c>
      <c r="N991" s="391">
        <f>N990</f>
        <v>123</v>
      </c>
      <c r="O991" s="391">
        <f>O990</f>
        <v>123</v>
      </c>
      <c r="P991" s="123"/>
      <c r="Q991" s="123"/>
      <c r="R991" s="123"/>
      <c r="S991" s="156"/>
      <c r="T991" s="156"/>
      <c r="U991" s="156"/>
    </row>
    <row r="992" spans="1:22" ht="35.1" customHeight="1">
      <c r="A992" s="1241"/>
      <c r="B992" s="1694" t="s">
        <v>40</v>
      </c>
      <c r="C992" s="1475" t="s">
        <v>941</v>
      </c>
      <c r="D992" s="1704" t="s">
        <v>607</v>
      </c>
      <c r="E992" s="1705"/>
      <c r="F992" s="1706"/>
      <c r="G992" s="1452" t="s">
        <v>189</v>
      </c>
      <c r="H992" s="1452" t="s">
        <v>189</v>
      </c>
      <c r="I992" s="1452" t="s">
        <v>189</v>
      </c>
      <c r="J992" s="1452" t="s">
        <v>11</v>
      </c>
      <c r="K992" s="1452" t="s">
        <v>12</v>
      </c>
      <c r="L992" s="355" t="s">
        <v>85</v>
      </c>
      <c r="M992" s="356">
        <v>190</v>
      </c>
      <c r="N992" s="356">
        <v>0</v>
      </c>
      <c r="O992" s="356">
        <v>0</v>
      </c>
      <c r="P992" s="1511" t="s">
        <v>54</v>
      </c>
      <c r="Q992" s="1511" t="s">
        <v>54</v>
      </c>
      <c r="R992" s="1516" t="s">
        <v>54</v>
      </c>
      <c r="S992" s="1493" t="s">
        <v>13</v>
      </c>
      <c r="T992" s="1446" t="s">
        <v>54</v>
      </c>
      <c r="U992" s="1511" t="s">
        <v>11</v>
      </c>
      <c r="V992" s="1799"/>
    </row>
    <row r="993" spans="1:22" ht="35.1" customHeight="1">
      <c r="A993" s="1241"/>
      <c r="B993" s="1695"/>
      <c r="C993" s="1476"/>
      <c r="D993" s="1707"/>
      <c r="E993" s="1708"/>
      <c r="F993" s="1709"/>
      <c r="G993" s="1453"/>
      <c r="H993" s="1453"/>
      <c r="I993" s="1453"/>
      <c r="J993" s="1453"/>
      <c r="K993" s="1453"/>
      <c r="L993" s="355" t="s">
        <v>103</v>
      </c>
      <c r="M993" s="356">
        <v>192</v>
      </c>
      <c r="N993" s="356">
        <v>0</v>
      </c>
      <c r="O993" s="356">
        <v>0</v>
      </c>
      <c r="P993" s="1512"/>
      <c r="Q993" s="1512"/>
      <c r="R993" s="1517"/>
      <c r="S993" s="1494"/>
      <c r="T993" s="1447"/>
      <c r="U993" s="1512"/>
      <c r="V993" s="1800"/>
    </row>
    <row r="994" spans="1:22" ht="35.1" customHeight="1">
      <c r="A994" s="1241"/>
      <c r="B994" s="1695"/>
      <c r="C994" s="1476"/>
      <c r="D994" s="1707"/>
      <c r="E994" s="1708"/>
      <c r="F994" s="1709"/>
      <c r="G994" s="1453"/>
      <c r="H994" s="1453"/>
      <c r="I994" s="1453"/>
      <c r="J994" s="1453"/>
      <c r="K994" s="1453"/>
      <c r="L994" s="355" t="s">
        <v>94</v>
      </c>
      <c r="M994" s="356">
        <v>112</v>
      </c>
      <c r="N994" s="356">
        <v>0</v>
      </c>
      <c r="O994" s="356">
        <v>0</v>
      </c>
      <c r="P994" s="1512"/>
      <c r="Q994" s="1512"/>
      <c r="R994" s="1517"/>
      <c r="S994" s="1494"/>
      <c r="T994" s="1447"/>
      <c r="U994" s="1512"/>
      <c r="V994" s="1800"/>
    </row>
    <row r="995" spans="1:22" ht="35.1" customHeight="1">
      <c r="A995" s="1241"/>
      <c r="B995" s="1695"/>
      <c r="C995" s="1476"/>
      <c r="D995" s="1707"/>
      <c r="E995" s="1708"/>
      <c r="F995" s="1709"/>
      <c r="G995" s="1453"/>
      <c r="H995" s="1453"/>
      <c r="I995" s="1453"/>
      <c r="J995" s="1453"/>
      <c r="K995" s="1453"/>
      <c r="L995" s="355" t="s">
        <v>93</v>
      </c>
      <c r="M995" s="356">
        <v>112</v>
      </c>
      <c r="N995" s="356">
        <v>0</v>
      </c>
      <c r="O995" s="356">
        <v>0</v>
      </c>
      <c r="P995" s="1512"/>
      <c r="Q995" s="1512"/>
      <c r="R995" s="1517"/>
      <c r="S995" s="1494"/>
      <c r="T995" s="1447"/>
      <c r="U995" s="1512"/>
      <c r="V995" s="1800"/>
    </row>
    <row r="996" spans="1:22" ht="35.1" customHeight="1">
      <c r="A996" s="1241"/>
      <c r="B996" s="1695"/>
      <c r="C996" s="1476"/>
      <c r="D996" s="1707"/>
      <c r="E996" s="1708"/>
      <c r="F996" s="1709"/>
      <c r="G996" s="1453"/>
      <c r="H996" s="1453"/>
      <c r="I996" s="1453"/>
      <c r="J996" s="1453"/>
      <c r="K996" s="1453"/>
      <c r="L996" s="355" t="s">
        <v>210</v>
      </c>
      <c r="M996" s="356">
        <v>56</v>
      </c>
      <c r="N996" s="356">
        <v>0</v>
      </c>
      <c r="O996" s="356">
        <v>0</v>
      </c>
      <c r="P996" s="1512"/>
      <c r="Q996" s="1512"/>
      <c r="R996" s="1517"/>
      <c r="S996" s="1494"/>
      <c r="T996" s="1447"/>
      <c r="U996" s="1512"/>
      <c r="V996" s="1800"/>
    </row>
    <row r="997" spans="1:22" ht="35.1" customHeight="1">
      <c r="A997" s="1241"/>
      <c r="B997" s="1695"/>
      <c r="C997" s="1476"/>
      <c r="D997" s="1707"/>
      <c r="E997" s="1708"/>
      <c r="F997" s="1709"/>
      <c r="G997" s="1453"/>
      <c r="H997" s="1453"/>
      <c r="I997" s="1453"/>
      <c r="J997" s="1453"/>
      <c r="K997" s="1453"/>
      <c r="L997" s="355" t="s">
        <v>84</v>
      </c>
      <c r="M997" s="356">
        <v>196</v>
      </c>
      <c r="N997" s="356">
        <v>0</v>
      </c>
      <c r="O997" s="356">
        <v>0</v>
      </c>
      <c r="P997" s="1512"/>
      <c r="Q997" s="1512"/>
      <c r="R997" s="1517"/>
      <c r="S997" s="1494"/>
      <c r="T997" s="1447"/>
      <c r="U997" s="1512"/>
      <c r="V997" s="1800"/>
    </row>
    <row r="998" spans="1:22" ht="35.1" customHeight="1">
      <c r="A998" s="1241"/>
      <c r="B998" s="1695"/>
      <c r="C998" s="1476"/>
      <c r="D998" s="1707"/>
      <c r="E998" s="1708"/>
      <c r="F998" s="1709"/>
      <c r="G998" s="1453"/>
      <c r="H998" s="1453"/>
      <c r="I998" s="1453"/>
      <c r="J998" s="1453"/>
      <c r="K998" s="1453"/>
      <c r="L998" s="355" t="s">
        <v>83</v>
      </c>
      <c r="M998" s="356">
        <v>251</v>
      </c>
      <c r="N998" s="356">
        <v>0</v>
      </c>
      <c r="O998" s="356">
        <v>0</v>
      </c>
      <c r="P998" s="1512"/>
      <c r="Q998" s="1512"/>
      <c r="R998" s="1517"/>
      <c r="S998" s="1494"/>
      <c r="T998" s="1447"/>
      <c r="U998" s="1512"/>
      <c r="V998" s="1800"/>
    </row>
    <row r="999" spans="1:22" ht="35.1" customHeight="1">
      <c r="A999" s="1241"/>
      <c r="B999" s="1695"/>
      <c r="C999" s="1476"/>
      <c r="D999" s="1707"/>
      <c r="E999" s="1708"/>
      <c r="F999" s="1709"/>
      <c r="G999" s="1453"/>
      <c r="H999" s="1453"/>
      <c r="I999" s="1453"/>
      <c r="J999" s="1453"/>
      <c r="K999" s="1453"/>
      <c r="L999" s="355" t="s">
        <v>81</v>
      </c>
      <c r="M999" s="356">
        <v>55</v>
      </c>
      <c r="N999" s="356">
        <v>0</v>
      </c>
      <c r="O999" s="356">
        <v>0</v>
      </c>
      <c r="P999" s="1512"/>
      <c r="Q999" s="1512"/>
      <c r="R999" s="1517"/>
      <c r="S999" s="1494"/>
      <c r="T999" s="1447"/>
      <c r="U999" s="1512"/>
      <c r="V999" s="1800"/>
    </row>
    <row r="1000" spans="1:22" ht="35.1" customHeight="1">
      <c r="A1000" s="1241"/>
      <c r="B1000" s="1695"/>
      <c r="C1000" s="1476"/>
      <c r="D1000" s="1707"/>
      <c r="E1000" s="1708"/>
      <c r="F1000" s="1709"/>
      <c r="G1000" s="1453"/>
      <c r="H1000" s="1453"/>
      <c r="I1000" s="1453"/>
      <c r="J1000" s="1453"/>
      <c r="K1000" s="1453"/>
      <c r="L1000" s="355" t="s">
        <v>963</v>
      </c>
      <c r="M1000" s="356">
        <v>108</v>
      </c>
      <c r="N1000" s="356">
        <v>0</v>
      </c>
      <c r="O1000" s="356">
        <v>0</v>
      </c>
      <c r="P1000" s="1512"/>
      <c r="Q1000" s="1512"/>
      <c r="R1000" s="1517"/>
      <c r="S1000" s="1494"/>
      <c r="T1000" s="1447"/>
      <c r="U1000" s="1512"/>
      <c r="V1000" s="1800"/>
    </row>
    <row r="1001" spans="1:22" ht="35.1" customHeight="1">
      <c r="A1001" s="1241"/>
      <c r="B1001" s="1695"/>
      <c r="C1001" s="1476"/>
      <c r="D1001" s="1707"/>
      <c r="E1001" s="1708"/>
      <c r="F1001" s="1709"/>
      <c r="G1001" s="1453"/>
      <c r="H1001" s="1453"/>
      <c r="I1001" s="1453"/>
      <c r="J1001" s="1453"/>
      <c r="K1001" s="1453"/>
      <c r="L1001" s="355" t="s">
        <v>964</v>
      </c>
      <c r="M1001" s="356">
        <v>2</v>
      </c>
      <c r="N1001" s="356">
        <v>1</v>
      </c>
      <c r="O1001" s="356">
        <v>1</v>
      </c>
      <c r="P1001" s="1512"/>
      <c r="Q1001" s="1512"/>
      <c r="R1001" s="1517"/>
      <c r="S1001" s="1494"/>
      <c r="T1001" s="1447"/>
      <c r="U1001" s="1512"/>
      <c r="V1001" s="1800"/>
    </row>
    <row r="1002" spans="1:22" ht="35.1" customHeight="1">
      <c r="A1002" s="1241"/>
      <c r="B1002" s="1695"/>
      <c r="C1002" s="1476"/>
      <c r="D1002" s="1707"/>
      <c r="E1002" s="1708"/>
      <c r="F1002" s="1709"/>
      <c r="G1002" s="1454"/>
      <c r="H1002" s="1454"/>
      <c r="I1002" s="1454"/>
      <c r="J1002" s="1454"/>
      <c r="K1002" s="1454"/>
      <c r="L1002" s="355" t="s">
        <v>965</v>
      </c>
      <c r="M1002" s="356">
        <v>1</v>
      </c>
      <c r="N1002" s="356">
        <v>0</v>
      </c>
      <c r="O1002" s="356">
        <v>0</v>
      </c>
      <c r="P1002" s="1512"/>
      <c r="Q1002" s="1512"/>
      <c r="R1002" s="1517"/>
      <c r="S1002" s="1494"/>
      <c r="T1002" s="1447"/>
      <c r="U1002" s="1512" t="s">
        <v>67</v>
      </c>
      <c r="V1002" s="1800"/>
    </row>
    <row r="1003" spans="1:22" ht="35.1" customHeight="1">
      <c r="A1003" s="1241"/>
      <c r="B1003" s="1695"/>
      <c r="C1003" s="1477"/>
      <c r="D1003" s="1710"/>
      <c r="E1003" s="1711"/>
      <c r="F1003" s="1712"/>
      <c r="G1003" s="463" t="s">
        <v>329</v>
      </c>
      <c r="H1003" s="464"/>
      <c r="I1003" s="464"/>
      <c r="J1003" s="464"/>
      <c r="K1003" s="465"/>
      <c r="L1003" s="342"/>
      <c r="M1003" s="289">
        <f>SUM(M992:M1002)</f>
        <v>1275</v>
      </c>
      <c r="N1003" s="410">
        <f>SUM(N992:N1002)</f>
        <v>1</v>
      </c>
      <c r="O1003" s="410">
        <f>SUM(O992:O1002)</f>
        <v>1</v>
      </c>
      <c r="P1003" s="1513"/>
      <c r="Q1003" s="1513"/>
      <c r="R1003" s="1518"/>
      <c r="S1003" s="1495"/>
      <c r="T1003" s="1448"/>
      <c r="U1003" s="1513"/>
      <c r="V1003" s="1801"/>
    </row>
    <row r="1004" spans="1:22" ht="35.1" customHeight="1">
      <c r="A1004" s="1241"/>
      <c r="B1004" s="1695"/>
      <c r="C1004" s="1470" t="s">
        <v>54</v>
      </c>
      <c r="D1004" s="1541" t="s">
        <v>607</v>
      </c>
      <c r="E1004" s="1542"/>
      <c r="F1004" s="1543"/>
      <c r="G1004" s="1452" t="s">
        <v>189</v>
      </c>
      <c r="H1004" s="1452" t="s">
        <v>189</v>
      </c>
      <c r="I1004" s="1452" t="s">
        <v>189</v>
      </c>
      <c r="J1004" s="1452" t="s">
        <v>67</v>
      </c>
      <c r="K1004" s="1452" t="s">
        <v>66</v>
      </c>
      <c r="L1004" s="297" t="s">
        <v>84</v>
      </c>
      <c r="M1004" s="298">
        <v>389</v>
      </c>
      <c r="N1004" s="329">
        <v>0</v>
      </c>
      <c r="O1004" s="329">
        <v>0</v>
      </c>
      <c r="P1004" s="1478" t="s">
        <v>189</v>
      </c>
      <c r="Q1004" s="1478" t="s">
        <v>189</v>
      </c>
      <c r="R1004" s="1478" t="s">
        <v>189</v>
      </c>
      <c r="S1004" s="1493" t="s">
        <v>13</v>
      </c>
      <c r="T1004" s="1470" t="s">
        <v>54</v>
      </c>
      <c r="U1004" s="959" t="s">
        <v>11</v>
      </c>
    </row>
    <row r="1005" spans="1:22" ht="35.1" customHeight="1">
      <c r="A1005" s="1241"/>
      <c r="B1005" s="1695"/>
      <c r="C1005" s="1471"/>
      <c r="D1005" s="1544"/>
      <c r="E1005" s="1545"/>
      <c r="F1005" s="1546"/>
      <c r="G1005" s="1453"/>
      <c r="H1005" s="1453"/>
      <c r="I1005" s="1453"/>
      <c r="J1005" s="1453"/>
      <c r="K1005" s="1453"/>
      <c r="L1005" s="297" t="s">
        <v>83</v>
      </c>
      <c r="M1005" s="298">
        <v>157</v>
      </c>
      <c r="N1005" s="329">
        <v>0</v>
      </c>
      <c r="O1005" s="329">
        <v>0</v>
      </c>
      <c r="P1005" s="1479"/>
      <c r="Q1005" s="1479"/>
      <c r="R1005" s="1479"/>
      <c r="S1005" s="1494"/>
      <c r="T1005" s="1471"/>
      <c r="U1005" s="960"/>
    </row>
    <row r="1006" spans="1:22" ht="35.1" customHeight="1">
      <c r="A1006" s="1241"/>
      <c r="B1006" s="1695"/>
      <c r="C1006" s="1471"/>
      <c r="D1006" s="1544"/>
      <c r="E1006" s="1545"/>
      <c r="F1006" s="1546"/>
      <c r="G1006" s="1453"/>
      <c r="H1006" s="1453"/>
      <c r="I1006" s="1453"/>
      <c r="J1006" s="1453"/>
      <c r="K1006" s="1453"/>
      <c r="L1006" s="297" t="s">
        <v>82</v>
      </c>
      <c r="M1006" s="298">
        <v>185</v>
      </c>
      <c r="N1006" s="329">
        <v>0</v>
      </c>
      <c r="O1006" s="329">
        <v>0</v>
      </c>
      <c r="P1006" s="1479"/>
      <c r="Q1006" s="1479"/>
      <c r="R1006" s="1479"/>
      <c r="S1006" s="1494"/>
      <c r="T1006" s="1471"/>
      <c r="U1006" s="960"/>
    </row>
    <row r="1007" spans="1:22" ht="35.1" customHeight="1">
      <c r="A1007" s="1241"/>
      <c r="B1007" s="1695"/>
      <c r="C1007" s="1471"/>
      <c r="D1007" s="1544"/>
      <c r="E1007" s="1545"/>
      <c r="F1007" s="1546"/>
      <c r="G1007" s="1453"/>
      <c r="H1007" s="1453"/>
      <c r="I1007" s="1453"/>
      <c r="J1007" s="1453"/>
      <c r="K1007" s="1453"/>
      <c r="L1007" s="297" t="s">
        <v>81</v>
      </c>
      <c r="M1007" s="298">
        <v>216</v>
      </c>
      <c r="N1007" s="329">
        <v>0</v>
      </c>
      <c r="O1007" s="329">
        <v>0</v>
      </c>
      <c r="P1007" s="1479"/>
      <c r="Q1007" s="1479"/>
      <c r="R1007" s="1479"/>
      <c r="S1007" s="1494"/>
      <c r="T1007" s="1471"/>
      <c r="U1007" s="960"/>
    </row>
    <row r="1008" spans="1:22" ht="35.1" customHeight="1">
      <c r="A1008" s="1241"/>
      <c r="B1008" s="1695"/>
      <c r="C1008" s="1471"/>
      <c r="D1008" s="1544"/>
      <c r="E1008" s="1545"/>
      <c r="F1008" s="1546"/>
      <c r="G1008" s="1453"/>
      <c r="H1008" s="1453"/>
      <c r="I1008" s="1453"/>
      <c r="J1008" s="1453"/>
      <c r="K1008" s="1453"/>
      <c r="L1008" s="297" t="s">
        <v>380</v>
      </c>
      <c r="M1008" s="298">
        <v>57</v>
      </c>
      <c r="N1008" s="329">
        <v>0</v>
      </c>
      <c r="O1008" s="329">
        <v>0</v>
      </c>
      <c r="P1008" s="1479"/>
      <c r="Q1008" s="1479"/>
      <c r="R1008" s="1479"/>
      <c r="S1008" s="1494"/>
      <c r="T1008" s="1471"/>
      <c r="U1008" s="960"/>
    </row>
    <row r="1009" spans="1:21" ht="35.1" customHeight="1">
      <c r="A1009" s="1241"/>
      <c r="B1009" s="1695"/>
      <c r="C1009" s="1471"/>
      <c r="D1009" s="1544"/>
      <c r="E1009" s="1545"/>
      <c r="F1009" s="1546"/>
      <c r="G1009" s="1453"/>
      <c r="H1009" s="1453"/>
      <c r="I1009" s="1453"/>
      <c r="J1009" s="1453"/>
      <c r="K1009" s="1453"/>
      <c r="L1009" s="297" t="s">
        <v>381</v>
      </c>
      <c r="M1009" s="298">
        <v>73</v>
      </c>
      <c r="N1009" s="329">
        <v>0</v>
      </c>
      <c r="O1009" s="329">
        <v>0</v>
      </c>
      <c r="P1009" s="1479"/>
      <c r="Q1009" s="1479"/>
      <c r="R1009" s="1479"/>
      <c r="S1009" s="1494"/>
      <c r="T1009" s="1471"/>
      <c r="U1009" s="960"/>
    </row>
    <row r="1010" spans="1:21" ht="35.1" customHeight="1">
      <c r="A1010" s="1241"/>
      <c r="B1010" s="1695"/>
      <c r="C1010" s="1471"/>
      <c r="D1010" s="1544"/>
      <c r="E1010" s="1545"/>
      <c r="F1010" s="1546"/>
      <c r="G1010" s="1453"/>
      <c r="H1010" s="1453"/>
      <c r="I1010" s="1453"/>
      <c r="J1010" s="1453"/>
      <c r="K1010" s="1453"/>
      <c r="L1010" s="297" t="s">
        <v>864</v>
      </c>
      <c r="M1010" s="298">
        <v>61</v>
      </c>
      <c r="N1010" s="329">
        <v>0</v>
      </c>
      <c r="O1010" s="329">
        <v>0</v>
      </c>
      <c r="P1010" s="1479"/>
      <c r="Q1010" s="1479"/>
      <c r="R1010" s="1479"/>
      <c r="S1010" s="1494"/>
      <c r="T1010" s="1471"/>
      <c r="U1010" s="960"/>
    </row>
    <row r="1011" spans="1:21" ht="35.1" customHeight="1">
      <c r="A1011" s="1241"/>
      <c r="B1011" s="1695"/>
      <c r="C1011" s="1471"/>
      <c r="D1011" s="1544"/>
      <c r="E1011" s="1545"/>
      <c r="F1011" s="1546"/>
      <c r="G1011" s="1453"/>
      <c r="H1011" s="1453"/>
      <c r="I1011" s="1453"/>
      <c r="J1011" s="1453"/>
      <c r="K1011" s="1453"/>
      <c r="L1011" s="297" t="s">
        <v>865</v>
      </c>
      <c r="M1011" s="298">
        <v>33</v>
      </c>
      <c r="N1011" s="329">
        <v>0</v>
      </c>
      <c r="O1011" s="329">
        <v>0</v>
      </c>
      <c r="P1011" s="1479"/>
      <c r="Q1011" s="1479"/>
      <c r="R1011" s="1479"/>
      <c r="S1011" s="1494"/>
      <c r="T1011" s="1471"/>
      <c r="U1011" s="960"/>
    </row>
    <row r="1012" spans="1:21" ht="35.1" customHeight="1">
      <c r="A1012" s="1241"/>
      <c r="B1012" s="1695"/>
      <c r="C1012" s="1471"/>
      <c r="D1012" s="1544"/>
      <c r="E1012" s="1545"/>
      <c r="F1012" s="1546"/>
      <c r="G1012" s="1453"/>
      <c r="H1012" s="1453"/>
      <c r="I1012" s="1453"/>
      <c r="J1012" s="1453"/>
      <c r="K1012" s="1453"/>
      <c r="L1012" s="297" t="s">
        <v>866</v>
      </c>
      <c r="M1012" s="298">
        <v>34</v>
      </c>
      <c r="N1012" s="329">
        <v>0</v>
      </c>
      <c r="O1012" s="329">
        <v>0</v>
      </c>
      <c r="P1012" s="1479"/>
      <c r="Q1012" s="1479"/>
      <c r="R1012" s="1479"/>
      <c r="S1012" s="1494"/>
      <c r="T1012" s="1471"/>
      <c r="U1012" s="960"/>
    </row>
    <row r="1013" spans="1:21" ht="35.1" customHeight="1">
      <c r="A1013" s="1241"/>
      <c r="B1013" s="1695"/>
      <c r="C1013" s="1471"/>
      <c r="D1013" s="1544"/>
      <c r="E1013" s="1545"/>
      <c r="F1013" s="1546"/>
      <c r="G1013" s="1453"/>
      <c r="H1013" s="1453"/>
      <c r="I1013" s="1453"/>
      <c r="J1013" s="1453"/>
      <c r="K1013" s="1453"/>
      <c r="L1013" s="297" t="s">
        <v>867</v>
      </c>
      <c r="M1013" s="298">
        <v>54</v>
      </c>
      <c r="N1013" s="329">
        <v>0</v>
      </c>
      <c r="O1013" s="329">
        <v>0</v>
      </c>
      <c r="P1013" s="1479"/>
      <c r="Q1013" s="1479"/>
      <c r="R1013" s="1479"/>
      <c r="S1013" s="1494"/>
      <c r="T1013" s="1471"/>
      <c r="U1013" s="960"/>
    </row>
    <row r="1014" spans="1:21" ht="35.1" customHeight="1">
      <c r="A1014" s="1241"/>
      <c r="B1014" s="1695"/>
      <c r="C1014" s="1471"/>
      <c r="D1014" s="1544"/>
      <c r="E1014" s="1545"/>
      <c r="F1014" s="1546"/>
      <c r="G1014" s="1454"/>
      <c r="H1014" s="1454"/>
      <c r="I1014" s="1454"/>
      <c r="J1014" s="1454"/>
      <c r="K1014" s="1454"/>
      <c r="L1014" s="299">
        <v>101</v>
      </c>
      <c r="M1014" s="298">
        <v>165</v>
      </c>
      <c r="N1014" s="329">
        <v>0</v>
      </c>
      <c r="O1014" s="329">
        <v>0</v>
      </c>
      <c r="P1014" s="1479"/>
      <c r="Q1014" s="1479"/>
      <c r="R1014" s="1479"/>
      <c r="S1014" s="1494"/>
      <c r="T1014" s="1471"/>
      <c r="U1014" s="960"/>
    </row>
    <row r="1015" spans="1:21" ht="35.1" customHeight="1">
      <c r="A1015" s="1241"/>
      <c r="B1015" s="1695"/>
      <c r="C1015" s="1537"/>
      <c r="D1015" s="1547"/>
      <c r="E1015" s="1548"/>
      <c r="F1015" s="1549"/>
      <c r="G1015" s="463" t="s">
        <v>329</v>
      </c>
      <c r="H1015" s="464"/>
      <c r="I1015" s="464"/>
      <c r="J1015" s="464"/>
      <c r="K1015" s="465"/>
      <c r="L1015" s="342"/>
      <c r="M1015" s="289">
        <f>SUM(M1004:M1014)</f>
        <v>1424</v>
      </c>
      <c r="N1015" s="410">
        <f>SUM(N1004:N1014)</f>
        <v>0</v>
      </c>
      <c r="O1015" s="410">
        <f>SUM(O1004:O1014)</f>
        <v>0</v>
      </c>
      <c r="P1015" s="1480"/>
      <c r="Q1015" s="1480"/>
      <c r="R1015" s="1480"/>
      <c r="S1015" s="1495"/>
      <c r="T1015" s="1537"/>
      <c r="U1015" s="961"/>
    </row>
    <row r="1016" spans="1:21" ht="35.1" customHeight="1">
      <c r="A1016" s="1241"/>
      <c r="B1016" s="1695"/>
      <c r="C1016" s="1470" t="s">
        <v>54</v>
      </c>
      <c r="D1016" s="1455" t="s">
        <v>691</v>
      </c>
      <c r="E1016" s="1456"/>
      <c r="F1016" s="1457"/>
      <c r="G1016" s="1452" t="s">
        <v>189</v>
      </c>
      <c r="H1016" s="1452" t="s">
        <v>189</v>
      </c>
      <c r="I1016" s="1452" t="s">
        <v>189</v>
      </c>
      <c r="J1016" s="1452" t="s">
        <v>67</v>
      </c>
      <c r="K1016" s="1452" t="s">
        <v>66</v>
      </c>
      <c r="L1016" s="208" t="s">
        <v>636</v>
      </c>
      <c r="M1016" s="288">
        <v>736</v>
      </c>
      <c r="N1016" s="215">
        <v>4</v>
      </c>
      <c r="O1016" s="215">
        <v>4</v>
      </c>
      <c r="P1016" s="1478" t="s">
        <v>189</v>
      </c>
      <c r="Q1016" s="1478" t="s">
        <v>189</v>
      </c>
      <c r="R1016" s="1478" t="s">
        <v>189</v>
      </c>
      <c r="S1016" s="1522" t="s">
        <v>13</v>
      </c>
      <c r="T1016" s="1796" t="s">
        <v>189</v>
      </c>
      <c r="U1016" s="1478" t="s">
        <v>11</v>
      </c>
    </row>
    <row r="1017" spans="1:21" ht="35.1" customHeight="1">
      <c r="A1017" s="1241"/>
      <c r="B1017" s="1695"/>
      <c r="C1017" s="1471"/>
      <c r="D1017" s="1458"/>
      <c r="E1017" s="1459"/>
      <c r="F1017" s="1460"/>
      <c r="G1017" s="1453"/>
      <c r="H1017" s="1453"/>
      <c r="I1017" s="1453"/>
      <c r="J1017" s="1453"/>
      <c r="K1017" s="1453"/>
      <c r="L1017" s="208" t="s">
        <v>637</v>
      </c>
      <c r="M1017" s="288">
        <v>168</v>
      </c>
      <c r="N1017" s="215">
        <v>0</v>
      </c>
      <c r="O1017" s="215">
        <v>0</v>
      </c>
      <c r="P1017" s="1479"/>
      <c r="Q1017" s="1479"/>
      <c r="R1017" s="1479"/>
      <c r="S1017" s="1523"/>
      <c r="T1017" s="1797"/>
      <c r="U1017" s="1479"/>
    </row>
    <row r="1018" spans="1:21" ht="35.1" customHeight="1">
      <c r="A1018" s="1241"/>
      <c r="B1018" s="1695"/>
      <c r="C1018" s="1471"/>
      <c r="D1018" s="1458"/>
      <c r="E1018" s="1459"/>
      <c r="F1018" s="1460"/>
      <c r="G1018" s="1454"/>
      <c r="H1018" s="1454"/>
      <c r="I1018" s="1454"/>
      <c r="J1018" s="1454"/>
      <c r="K1018" s="1454"/>
      <c r="L1018" s="208" t="s">
        <v>638</v>
      </c>
      <c r="M1018" s="288">
        <v>66</v>
      </c>
      <c r="N1018" s="215">
        <v>0</v>
      </c>
      <c r="O1018" s="215">
        <v>0</v>
      </c>
      <c r="P1018" s="1479"/>
      <c r="Q1018" s="1479"/>
      <c r="R1018" s="1479"/>
      <c r="S1018" s="1523"/>
      <c r="T1018" s="1797"/>
      <c r="U1018" s="1479"/>
    </row>
    <row r="1019" spans="1:21" ht="35.1" customHeight="1">
      <c r="A1019" s="1241"/>
      <c r="B1019" s="1695"/>
      <c r="C1019" s="1471"/>
      <c r="D1019" s="1461"/>
      <c r="E1019" s="1462"/>
      <c r="F1019" s="1463"/>
      <c r="G1019" s="463" t="s">
        <v>329</v>
      </c>
      <c r="H1019" s="464"/>
      <c r="I1019" s="464"/>
      <c r="J1019" s="464"/>
      <c r="K1019" s="465"/>
      <c r="L1019" s="342"/>
      <c r="M1019" s="289">
        <f>SUM(M1016:M1018)</f>
        <v>970</v>
      </c>
      <c r="N1019" s="410">
        <f>SUM(N1016:N1018)</f>
        <v>4</v>
      </c>
      <c r="O1019" s="410">
        <f>SUM(O1016:O1018)</f>
        <v>4</v>
      </c>
      <c r="P1019" s="1480"/>
      <c r="Q1019" s="1480"/>
      <c r="R1019" s="1480"/>
      <c r="S1019" s="1524"/>
      <c r="T1019" s="1798"/>
      <c r="U1019" s="1480"/>
    </row>
    <row r="1020" spans="1:21" ht="35.1" customHeight="1">
      <c r="A1020" s="1241"/>
      <c r="B1020" s="1695"/>
      <c r="C1020" s="1475" t="s">
        <v>189</v>
      </c>
      <c r="D1020" s="1455" t="s">
        <v>691</v>
      </c>
      <c r="E1020" s="1456"/>
      <c r="F1020" s="1457"/>
      <c r="G1020" s="1787" t="s">
        <v>675</v>
      </c>
      <c r="H1020" s="1788"/>
      <c r="I1020" s="1789"/>
      <c r="J1020" s="1452" t="s">
        <v>67</v>
      </c>
      <c r="K1020" s="1452" t="s">
        <v>66</v>
      </c>
      <c r="L1020" s="438" t="s">
        <v>85</v>
      </c>
      <c r="M1020" s="288">
        <v>149</v>
      </c>
      <c r="N1020" s="288">
        <v>0</v>
      </c>
      <c r="O1020" s="288">
        <v>0</v>
      </c>
      <c r="P1020" s="1511" t="s">
        <v>54</v>
      </c>
      <c r="Q1020" s="1511" t="s">
        <v>54</v>
      </c>
      <c r="R1020" s="1516" t="s">
        <v>54</v>
      </c>
      <c r="S1020" s="1522" t="s">
        <v>13</v>
      </c>
      <c r="T1020" s="1446" t="s">
        <v>54</v>
      </c>
      <c r="U1020" s="1522" t="s">
        <v>11</v>
      </c>
    </row>
    <row r="1021" spans="1:21" ht="35.1" customHeight="1">
      <c r="A1021" s="1241"/>
      <c r="B1021" s="1695"/>
      <c r="C1021" s="1476"/>
      <c r="D1021" s="1458"/>
      <c r="E1021" s="1459"/>
      <c r="F1021" s="1460"/>
      <c r="G1021" s="1790"/>
      <c r="H1021" s="1791"/>
      <c r="I1021" s="1792"/>
      <c r="J1021" s="1453"/>
      <c r="K1021" s="1453"/>
      <c r="L1021" s="438" t="s">
        <v>103</v>
      </c>
      <c r="M1021" s="288">
        <v>84</v>
      </c>
      <c r="N1021" s="288">
        <v>0</v>
      </c>
      <c r="O1021" s="288">
        <v>0</v>
      </c>
      <c r="P1021" s="1512"/>
      <c r="Q1021" s="1512"/>
      <c r="R1021" s="1517"/>
      <c r="S1021" s="1523"/>
      <c r="T1021" s="1447"/>
      <c r="U1021" s="1523"/>
    </row>
    <row r="1022" spans="1:21" ht="35.1" customHeight="1">
      <c r="A1022" s="1241"/>
      <c r="B1022" s="1695"/>
      <c r="C1022" s="1476"/>
      <c r="D1022" s="1458"/>
      <c r="E1022" s="1459"/>
      <c r="F1022" s="1460"/>
      <c r="G1022" s="1790"/>
      <c r="H1022" s="1791"/>
      <c r="I1022" s="1792"/>
      <c r="J1022" s="1453"/>
      <c r="K1022" s="1453"/>
      <c r="L1022" s="438" t="s">
        <v>94</v>
      </c>
      <c r="M1022" s="288">
        <v>196</v>
      </c>
      <c r="N1022" s="288">
        <v>8</v>
      </c>
      <c r="O1022" s="288">
        <v>0</v>
      </c>
      <c r="P1022" s="1512"/>
      <c r="Q1022" s="1512"/>
      <c r="R1022" s="1517"/>
      <c r="S1022" s="1523"/>
      <c r="T1022" s="1447"/>
      <c r="U1022" s="1523"/>
    </row>
    <row r="1023" spans="1:21" ht="35.1" customHeight="1">
      <c r="A1023" s="1241"/>
      <c r="B1023" s="1695"/>
      <c r="C1023" s="1476"/>
      <c r="D1023" s="1458"/>
      <c r="E1023" s="1459"/>
      <c r="F1023" s="1460"/>
      <c r="G1023" s="1790"/>
      <c r="H1023" s="1791"/>
      <c r="I1023" s="1792"/>
      <c r="J1023" s="1453"/>
      <c r="K1023" s="1453"/>
      <c r="L1023" s="438" t="s">
        <v>93</v>
      </c>
      <c r="M1023" s="288">
        <v>28</v>
      </c>
      <c r="N1023" s="288">
        <v>0</v>
      </c>
      <c r="O1023" s="288">
        <v>0</v>
      </c>
      <c r="P1023" s="1512"/>
      <c r="Q1023" s="1512"/>
      <c r="R1023" s="1517"/>
      <c r="S1023" s="1523"/>
      <c r="T1023" s="1447"/>
      <c r="U1023" s="1523"/>
    </row>
    <row r="1024" spans="1:21" ht="35.1" customHeight="1">
      <c r="A1024" s="1241"/>
      <c r="B1024" s="1695"/>
      <c r="C1024" s="1476"/>
      <c r="D1024" s="1458"/>
      <c r="E1024" s="1459"/>
      <c r="F1024" s="1460"/>
      <c r="G1024" s="1790"/>
      <c r="H1024" s="1791"/>
      <c r="I1024" s="1792"/>
      <c r="J1024" s="1453"/>
      <c r="K1024" s="1453"/>
      <c r="L1024" s="438" t="s">
        <v>210</v>
      </c>
      <c r="M1024" s="288">
        <v>83</v>
      </c>
      <c r="N1024" s="288">
        <v>18</v>
      </c>
      <c r="O1024" s="288">
        <v>9</v>
      </c>
      <c r="P1024" s="1512"/>
      <c r="Q1024" s="1512"/>
      <c r="R1024" s="1517"/>
      <c r="S1024" s="1523"/>
      <c r="T1024" s="1447"/>
      <c r="U1024" s="1523"/>
    </row>
    <row r="1025" spans="1:22" ht="35.1" customHeight="1">
      <c r="A1025" s="1241"/>
      <c r="B1025" s="1695"/>
      <c r="C1025" s="1476"/>
      <c r="D1025" s="1458"/>
      <c r="E1025" s="1459"/>
      <c r="F1025" s="1460"/>
      <c r="G1025" s="1790"/>
      <c r="H1025" s="1791"/>
      <c r="I1025" s="1792"/>
      <c r="J1025" s="1453"/>
      <c r="K1025" s="1453"/>
      <c r="L1025" s="438" t="s">
        <v>84</v>
      </c>
      <c r="M1025" s="288">
        <v>560</v>
      </c>
      <c r="N1025" s="288">
        <v>402</v>
      </c>
      <c r="O1025" s="288">
        <v>256</v>
      </c>
      <c r="P1025" s="1512"/>
      <c r="Q1025" s="1512"/>
      <c r="R1025" s="1517"/>
      <c r="S1025" s="1523"/>
      <c r="T1025" s="1447"/>
      <c r="U1025" s="1523"/>
    </row>
    <row r="1026" spans="1:22" ht="35.1" customHeight="1">
      <c r="A1026" s="1241"/>
      <c r="B1026" s="1695"/>
      <c r="C1026" s="1476"/>
      <c r="D1026" s="1458"/>
      <c r="E1026" s="1459"/>
      <c r="F1026" s="1460"/>
      <c r="G1026" s="1790"/>
      <c r="H1026" s="1791"/>
      <c r="I1026" s="1792"/>
      <c r="J1026" s="1453"/>
      <c r="K1026" s="1453"/>
      <c r="L1026" s="438" t="s">
        <v>83</v>
      </c>
      <c r="M1026" s="288">
        <v>112</v>
      </c>
      <c r="N1026" s="288">
        <v>47</v>
      </c>
      <c r="O1026" s="288">
        <v>29</v>
      </c>
      <c r="P1026" s="1512"/>
      <c r="Q1026" s="1512"/>
      <c r="R1026" s="1517"/>
      <c r="S1026" s="1523"/>
      <c r="T1026" s="1447"/>
      <c r="U1026" s="1523"/>
    </row>
    <row r="1027" spans="1:22" ht="35.1" customHeight="1">
      <c r="A1027" s="1241"/>
      <c r="B1027" s="1695"/>
      <c r="C1027" s="1476"/>
      <c r="D1027" s="1458"/>
      <c r="E1027" s="1459"/>
      <c r="F1027" s="1460"/>
      <c r="G1027" s="1790"/>
      <c r="H1027" s="1791"/>
      <c r="I1027" s="1792"/>
      <c r="J1027" s="1453"/>
      <c r="K1027" s="1453"/>
      <c r="L1027" s="438" t="s">
        <v>82</v>
      </c>
      <c r="M1027" s="288">
        <v>84</v>
      </c>
      <c r="N1027" s="288">
        <v>75</v>
      </c>
      <c r="O1027" s="288">
        <v>74</v>
      </c>
      <c r="P1027" s="1512"/>
      <c r="Q1027" s="1512"/>
      <c r="R1027" s="1517"/>
      <c r="S1027" s="1523"/>
      <c r="T1027" s="1447"/>
      <c r="U1027" s="1523"/>
    </row>
    <row r="1028" spans="1:22" ht="35.1" customHeight="1">
      <c r="A1028" s="1241"/>
      <c r="B1028" s="1695"/>
      <c r="C1028" s="1476"/>
      <c r="D1028" s="1458"/>
      <c r="E1028" s="1459"/>
      <c r="F1028" s="1460"/>
      <c r="G1028" s="1790"/>
      <c r="H1028" s="1791"/>
      <c r="I1028" s="1792"/>
      <c r="J1028" s="1453"/>
      <c r="K1028" s="1453"/>
      <c r="L1028" s="438" t="s">
        <v>309</v>
      </c>
      <c r="M1028" s="288">
        <v>163</v>
      </c>
      <c r="N1028" s="288">
        <v>114</v>
      </c>
      <c r="O1028" s="288">
        <v>79</v>
      </c>
      <c r="P1028" s="1512"/>
      <c r="Q1028" s="1512"/>
      <c r="R1028" s="1517"/>
      <c r="S1028" s="1523"/>
      <c r="T1028" s="1447"/>
      <c r="U1028" s="1523"/>
    </row>
    <row r="1029" spans="1:22" ht="35.1" customHeight="1">
      <c r="A1029" s="1241"/>
      <c r="B1029" s="1695"/>
      <c r="C1029" s="1476"/>
      <c r="D1029" s="1458"/>
      <c r="E1029" s="1459"/>
      <c r="F1029" s="1460"/>
      <c r="G1029" s="1790"/>
      <c r="H1029" s="1791"/>
      <c r="I1029" s="1792"/>
      <c r="J1029" s="1453"/>
      <c r="K1029" s="1453"/>
      <c r="L1029" s="438" t="s">
        <v>963</v>
      </c>
      <c r="M1029" s="288">
        <v>55</v>
      </c>
      <c r="N1029" s="288">
        <v>9</v>
      </c>
      <c r="O1029" s="288">
        <v>4</v>
      </c>
      <c r="P1029" s="1512"/>
      <c r="Q1029" s="1512"/>
      <c r="R1029" s="1517"/>
      <c r="S1029" s="1523"/>
      <c r="T1029" s="1447"/>
      <c r="U1029" s="1523"/>
    </row>
    <row r="1030" spans="1:22" ht="35.1" customHeight="1">
      <c r="A1030" s="1241"/>
      <c r="B1030" s="1695"/>
      <c r="C1030" s="1476"/>
      <c r="D1030" s="1458"/>
      <c r="E1030" s="1459"/>
      <c r="F1030" s="1460"/>
      <c r="G1030" s="1790"/>
      <c r="H1030" s="1791"/>
      <c r="I1030" s="1792"/>
      <c r="J1030" s="1453"/>
      <c r="K1030" s="1453"/>
      <c r="L1030" s="438" t="s">
        <v>1099</v>
      </c>
      <c r="M1030" s="288">
        <v>2</v>
      </c>
      <c r="N1030" s="288">
        <v>2</v>
      </c>
      <c r="O1030" s="288">
        <v>1</v>
      </c>
      <c r="P1030" s="1512"/>
      <c r="Q1030" s="1512"/>
      <c r="R1030" s="1517"/>
      <c r="S1030" s="1523"/>
      <c r="T1030" s="1447"/>
      <c r="U1030" s="1523"/>
    </row>
    <row r="1031" spans="1:22" ht="35.1" customHeight="1">
      <c r="A1031" s="1241"/>
      <c r="B1031" s="1695"/>
      <c r="C1031" s="1476"/>
      <c r="D1031" s="1458"/>
      <c r="E1031" s="1459"/>
      <c r="F1031" s="1460"/>
      <c r="G1031" s="1793"/>
      <c r="H1031" s="1794"/>
      <c r="I1031" s="1795"/>
      <c r="J1031" s="1454"/>
      <c r="K1031" s="1454"/>
      <c r="L1031" s="438" t="s">
        <v>1100</v>
      </c>
      <c r="M1031" s="288">
        <v>1</v>
      </c>
      <c r="N1031" s="288">
        <v>0</v>
      </c>
      <c r="O1031" s="288">
        <v>0</v>
      </c>
      <c r="P1031" s="1512"/>
      <c r="Q1031" s="1512"/>
      <c r="R1031" s="1517"/>
      <c r="S1031" s="1523"/>
      <c r="T1031" s="1447"/>
      <c r="U1031" s="1523" t="s">
        <v>67</v>
      </c>
    </row>
    <row r="1032" spans="1:22" ht="35.1" customHeight="1">
      <c r="A1032" s="1241"/>
      <c r="B1032" s="1695"/>
      <c r="C1032" s="1477"/>
      <c r="D1032" s="1461"/>
      <c r="E1032" s="1462"/>
      <c r="F1032" s="1463"/>
      <c r="G1032" s="463" t="s">
        <v>329</v>
      </c>
      <c r="H1032" s="464"/>
      <c r="I1032" s="464"/>
      <c r="J1032" s="464"/>
      <c r="K1032" s="465"/>
      <c r="L1032" s="434"/>
      <c r="M1032" s="289">
        <f>SUM(M1020:M1031)</f>
        <v>1517</v>
      </c>
      <c r="N1032" s="289">
        <f t="shared" ref="N1032:O1032" si="59">SUM(N1020:N1031)</f>
        <v>675</v>
      </c>
      <c r="O1032" s="289">
        <f t="shared" si="59"/>
        <v>452</v>
      </c>
      <c r="P1032" s="1513"/>
      <c r="Q1032" s="1513"/>
      <c r="R1032" s="1518"/>
      <c r="S1032" s="1524"/>
      <c r="T1032" s="1448"/>
      <c r="U1032" s="1524"/>
    </row>
    <row r="1033" spans="1:22" ht="35.1" customHeight="1">
      <c r="A1033" s="1241"/>
      <c r="B1033" s="1695"/>
      <c r="C1033" s="1470" t="s">
        <v>54</v>
      </c>
      <c r="D1033" s="1455" t="s">
        <v>691</v>
      </c>
      <c r="E1033" s="1456"/>
      <c r="F1033" s="1457"/>
      <c r="G1033" s="1455" t="s">
        <v>675</v>
      </c>
      <c r="H1033" s="1456"/>
      <c r="I1033" s="1457"/>
      <c r="J1033" s="1452" t="s">
        <v>67</v>
      </c>
      <c r="K1033" s="1452" t="s">
        <v>66</v>
      </c>
      <c r="L1033" s="445">
        <v>75</v>
      </c>
      <c r="M1033" s="288">
        <v>44</v>
      </c>
      <c r="N1033" s="288">
        <v>24</v>
      </c>
      <c r="O1033" s="288">
        <v>4</v>
      </c>
      <c r="P1033" s="1511" t="s">
        <v>54</v>
      </c>
      <c r="Q1033" s="1511" t="s">
        <v>54</v>
      </c>
      <c r="R1033" s="1516" t="s">
        <v>54</v>
      </c>
      <c r="S1033" s="1522" t="s">
        <v>13</v>
      </c>
      <c r="T1033" s="1446" t="s">
        <v>54</v>
      </c>
      <c r="U1033" s="1522" t="s">
        <v>11</v>
      </c>
      <c r="V1033" s="1784"/>
    </row>
    <row r="1034" spans="1:22" ht="35.1" customHeight="1">
      <c r="A1034" s="1241"/>
      <c r="B1034" s="1695"/>
      <c r="C1034" s="1471"/>
      <c r="D1034" s="1458"/>
      <c r="E1034" s="1459"/>
      <c r="F1034" s="1460"/>
      <c r="G1034" s="1458"/>
      <c r="H1034" s="1459"/>
      <c r="I1034" s="1460"/>
      <c r="J1034" s="1453"/>
      <c r="K1034" s="1453"/>
      <c r="L1034" s="445" t="s">
        <v>84</v>
      </c>
      <c r="M1034" s="288">
        <v>270</v>
      </c>
      <c r="N1034" s="288">
        <v>167</v>
      </c>
      <c r="O1034" s="288">
        <v>67</v>
      </c>
      <c r="P1034" s="1512"/>
      <c r="Q1034" s="1512"/>
      <c r="R1034" s="1517"/>
      <c r="S1034" s="1523"/>
      <c r="T1034" s="1447"/>
      <c r="U1034" s="1523"/>
      <c r="V1034" s="1785"/>
    </row>
    <row r="1035" spans="1:22" ht="35.1" customHeight="1">
      <c r="A1035" s="1241"/>
      <c r="B1035" s="1695"/>
      <c r="C1035" s="1471"/>
      <c r="D1035" s="1458"/>
      <c r="E1035" s="1459"/>
      <c r="F1035" s="1460"/>
      <c r="G1035" s="1458"/>
      <c r="H1035" s="1459"/>
      <c r="I1035" s="1460"/>
      <c r="J1035" s="1453"/>
      <c r="K1035" s="1453"/>
      <c r="L1035" s="445" t="s">
        <v>83</v>
      </c>
      <c r="M1035" s="288">
        <v>260</v>
      </c>
      <c r="N1035" s="288">
        <v>127</v>
      </c>
      <c r="O1035" s="288">
        <v>60</v>
      </c>
      <c r="P1035" s="1512"/>
      <c r="Q1035" s="1512"/>
      <c r="R1035" s="1517"/>
      <c r="S1035" s="1523"/>
      <c r="T1035" s="1447"/>
      <c r="U1035" s="1523"/>
      <c r="V1035" s="1785"/>
    </row>
    <row r="1036" spans="1:22" ht="35.1" customHeight="1">
      <c r="A1036" s="1241"/>
      <c r="B1036" s="1695"/>
      <c r="C1036" s="1471"/>
      <c r="D1036" s="1458"/>
      <c r="E1036" s="1459"/>
      <c r="F1036" s="1460"/>
      <c r="G1036" s="1458"/>
      <c r="H1036" s="1459"/>
      <c r="I1036" s="1460"/>
      <c r="J1036" s="1453"/>
      <c r="K1036" s="1453"/>
      <c r="L1036" s="445" t="s">
        <v>82</v>
      </c>
      <c r="M1036" s="288">
        <v>262</v>
      </c>
      <c r="N1036" s="288">
        <v>136</v>
      </c>
      <c r="O1036" s="288">
        <v>94</v>
      </c>
      <c r="P1036" s="1512"/>
      <c r="Q1036" s="1512"/>
      <c r="R1036" s="1517"/>
      <c r="S1036" s="1523"/>
      <c r="T1036" s="1447"/>
      <c r="U1036" s="1523"/>
      <c r="V1036" s="1785"/>
    </row>
    <row r="1037" spans="1:22" ht="35.1" customHeight="1">
      <c r="A1037" s="1241"/>
      <c r="B1037" s="1695"/>
      <c r="C1037" s="1471"/>
      <c r="D1037" s="1458"/>
      <c r="E1037" s="1459"/>
      <c r="F1037" s="1460"/>
      <c r="G1037" s="1458"/>
      <c r="H1037" s="1459"/>
      <c r="I1037" s="1460"/>
      <c r="J1037" s="1453"/>
      <c r="K1037" s="1453"/>
      <c r="L1037" s="445" t="s">
        <v>81</v>
      </c>
      <c r="M1037" s="288">
        <v>88</v>
      </c>
      <c r="N1037" s="288">
        <v>58</v>
      </c>
      <c r="O1037" s="288">
        <v>51</v>
      </c>
      <c r="P1037" s="1512"/>
      <c r="Q1037" s="1512"/>
      <c r="R1037" s="1517"/>
      <c r="S1037" s="1523"/>
      <c r="T1037" s="1447"/>
      <c r="U1037" s="1523"/>
      <c r="V1037" s="1785"/>
    </row>
    <row r="1038" spans="1:22" ht="35.1" customHeight="1">
      <c r="A1038" s="1241"/>
      <c r="B1038" s="1695"/>
      <c r="C1038" s="1471"/>
      <c r="D1038" s="1458"/>
      <c r="E1038" s="1459"/>
      <c r="F1038" s="1460"/>
      <c r="G1038" s="1458"/>
      <c r="H1038" s="1459"/>
      <c r="I1038" s="1460"/>
      <c r="J1038" s="1453"/>
      <c r="K1038" s="1453"/>
      <c r="L1038" s="445">
        <v>102</v>
      </c>
      <c r="M1038" s="288">
        <v>97</v>
      </c>
      <c r="N1038" s="288">
        <v>77</v>
      </c>
      <c r="O1038" s="288">
        <v>60</v>
      </c>
      <c r="P1038" s="1512"/>
      <c r="Q1038" s="1512"/>
      <c r="R1038" s="1517"/>
      <c r="S1038" s="1523"/>
      <c r="T1038" s="1447"/>
      <c r="U1038" s="1523"/>
      <c r="V1038" s="1785"/>
    </row>
    <row r="1039" spans="1:22" ht="35.1" customHeight="1">
      <c r="A1039" s="1241"/>
      <c r="B1039" s="1695"/>
      <c r="C1039" s="1471"/>
      <c r="D1039" s="1458"/>
      <c r="E1039" s="1459"/>
      <c r="F1039" s="1460"/>
      <c r="G1039" s="1458"/>
      <c r="H1039" s="1459"/>
      <c r="I1039" s="1460"/>
      <c r="J1039" s="1453"/>
      <c r="K1039" s="1453"/>
      <c r="L1039" s="445">
        <v>124</v>
      </c>
      <c r="M1039" s="288">
        <v>45</v>
      </c>
      <c r="N1039" s="288">
        <v>17</v>
      </c>
      <c r="O1039" s="288">
        <v>7</v>
      </c>
      <c r="P1039" s="1512"/>
      <c r="Q1039" s="1512"/>
      <c r="R1039" s="1517"/>
      <c r="S1039" s="1523"/>
      <c r="T1039" s="1447"/>
      <c r="U1039" s="1523"/>
      <c r="V1039" s="1785"/>
    </row>
    <row r="1040" spans="1:22" ht="35.1" customHeight="1">
      <c r="A1040" s="1241"/>
      <c r="B1040" s="1695"/>
      <c r="C1040" s="1471"/>
      <c r="D1040" s="1458"/>
      <c r="E1040" s="1459"/>
      <c r="F1040" s="1460"/>
      <c r="G1040" s="1458"/>
      <c r="H1040" s="1459"/>
      <c r="I1040" s="1460"/>
      <c r="J1040" s="1453"/>
      <c r="K1040" s="1453"/>
      <c r="L1040" s="445" t="s">
        <v>1128</v>
      </c>
      <c r="M1040" s="288">
        <v>3</v>
      </c>
      <c r="N1040" s="288">
        <v>0</v>
      </c>
      <c r="O1040" s="288">
        <v>3</v>
      </c>
      <c r="P1040" s="1512"/>
      <c r="Q1040" s="1512"/>
      <c r="R1040" s="1517"/>
      <c r="S1040" s="1523"/>
      <c r="T1040" s="1447"/>
      <c r="U1040" s="1523"/>
      <c r="V1040" s="1785"/>
    </row>
    <row r="1041" spans="1:22" ht="35.1" customHeight="1">
      <c r="A1041" s="1241"/>
      <c r="B1041" s="1695"/>
      <c r="C1041" s="1471"/>
      <c r="D1041" s="1458"/>
      <c r="E1041" s="1459"/>
      <c r="F1041" s="1460"/>
      <c r="G1041" s="463" t="s">
        <v>329</v>
      </c>
      <c r="H1041" s="464"/>
      <c r="I1041" s="464"/>
      <c r="J1041" s="464"/>
      <c r="K1041" s="465"/>
      <c r="L1041" s="444"/>
      <c r="M1041" s="289">
        <f>SUM(M1033:M1040)</f>
        <v>1069</v>
      </c>
      <c r="N1041" s="289">
        <f t="shared" ref="N1041" si="60">SUM(N1033:N1040)</f>
        <v>606</v>
      </c>
      <c r="O1041" s="289">
        <f t="shared" ref="O1041" si="61">SUM(O1033:O1040)</f>
        <v>346</v>
      </c>
      <c r="P1041" s="1513"/>
      <c r="Q1041" s="1513"/>
      <c r="R1041" s="1518"/>
      <c r="S1041" s="1523"/>
      <c r="T1041" s="1448"/>
      <c r="U1041" s="1523"/>
      <c r="V1041" s="1786"/>
    </row>
    <row r="1042" spans="1:22" ht="35.1" customHeight="1">
      <c r="A1042" s="1241"/>
      <c r="B1042" s="1695"/>
      <c r="C1042" s="1475" t="s">
        <v>54</v>
      </c>
      <c r="D1042" s="1455" t="s">
        <v>675</v>
      </c>
      <c r="E1042" s="1456"/>
      <c r="F1042" s="1457"/>
      <c r="G1042" s="1455" t="s">
        <v>675</v>
      </c>
      <c r="H1042" s="1456"/>
      <c r="I1042" s="1457"/>
      <c r="J1042" s="1452" t="s">
        <v>67</v>
      </c>
      <c r="K1042" s="1452" t="s">
        <v>66</v>
      </c>
      <c r="L1042" s="445">
        <v>75</v>
      </c>
      <c r="M1042" s="288">
        <v>47</v>
      </c>
      <c r="N1042" s="288">
        <v>28</v>
      </c>
      <c r="O1042" s="288">
        <v>9</v>
      </c>
      <c r="P1042" s="1511" t="s">
        <v>54</v>
      </c>
      <c r="Q1042" s="1511" t="s">
        <v>54</v>
      </c>
      <c r="R1042" s="1516" t="s">
        <v>54</v>
      </c>
      <c r="S1042" s="1522" t="s">
        <v>13</v>
      </c>
      <c r="T1042" s="1446" t="s">
        <v>54</v>
      </c>
      <c r="U1042" s="1522" t="s">
        <v>11</v>
      </c>
      <c r="V1042" s="1784"/>
    </row>
    <row r="1043" spans="1:22" ht="35.1" customHeight="1">
      <c r="A1043" s="1241"/>
      <c r="B1043" s="1695"/>
      <c r="C1043" s="1476"/>
      <c r="D1043" s="1458"/>
      <c r="E1043" s="1459"/>
      <c r="F1043" s="1460"/>
      <c r="G1043" s="1458"/>
      <c r="H1043" s="1459"/>
      <c r="I1043" s="1460"/>
      <c r="J1043" s="1453"/>
      <c r="K1043" s="1453"/>
      <c r="L1043" s="445" t="s">
        <v>84</v>
      </c>
      <c r="M1043" s="288">
        <v>239</v>
      </c>
      <c r="N1043" s="288">
        <v>176</v>
      </c>
      <c r="O1043" s="288">
        <v>142</v>
      </c>
      <c r="P1043" s="1512"/>
      <c r="Q1043" s="1512"/>
      <c r="R1043" s="1517"/>
      <c r="S1043" s="1523"/>
      <c r="T1043" s="1447"/>
      <c r="U1043" s="1523"/>
      <c r="V1043" s="1785"/>
    </row>
    <row r="1044" spans="1:22" ht="35.1" customHeight="1">
      <c r="A1044" s="1241"/>
      <c r="B1044" s="1695"/>
      <c r="C1044" s="1476"/>
      <c r="D1044" s="1458"/>
      <c r="E1044" s="1459"/>
      <c r="F1044" s="1460"/>
      <c r="G1044" s="1458"/>
      <c r="H1044" s="1459"/>
      <c r="I1044" s="1460"/>
      <c r="J1044" s="1453"/>
      <c r="K1044" s="1453"/>
      <c r="L1044" s="445" t="s">
        <v>83</v>
      </c>
      <c r="M1044" s="288">
        <v>176</v>
      </c>
      <c r="N1044" s="288">
        <v>136</v>
      </c>
      <c r="O1044" s="288">
        <v>114</v>
      </c>
      <c r="P1044" s="1512"/>
      <c r="Q1044" s="1512"/>
      <c r="R1044" s="1517"/>
      <c r="S1044" s="1523"/>
      <c r="T1044" s="1447"/>
      <c r="U1044" s="1523"/>
      <c r="V1044" s="1785"/>
    </row>
    <row r="1045" spans="1:22" ht="35.1" customHeight="1">
      <c r="A1045" s="1241"/>
      <c r="B1045" s="1695"/>
      <c r="C1045" s="1476"/>
      <c r="D1045" s="1458"/>
      <c r="E1045" s="1459"/>
      <c r="F1045" s="1460"/>
      <c r="G1045" s="1458"/>
      <c r="H1045" s="1459"/>
      <c r="I1045" s="1460"/>
      <c r="J1045" s="1453"/>
      <c r="K1045" s="1453"/>
      <c r="L1045" s="445" t="s">
        <v>82</v>
      </c>
      <c r="M1045" s="288">
        <v>184</v>
      </c>
      <c r="N1045" s="288">
        <v>158</v>
      </c>
      <c r="O1045" s="288">
        <v>143</v>
      </c>
      <c r="P1045" s="1512"/>
      <c r="Q1045" s="1512"/>
      <c r="R1045" s="1517"/>
      <c r="S1045" s="1523"/>
      <c r="T1045" s="1447"/>
      <c r="U1045" s="1523"/>
      <c r="V1045" s="1785"/>
    </row>
    <row r="1046" spans="1:22" ht="35.1" customHeight="1">
      <c r="A1046" s="1241"/>
      <c r="B1046" s="1695"/>
      <c r="C1046" s="1476"/>
      <c r="D1046" s="1458"/>
      <c r="E1046" s="1459"/>
      <c r="F1046" s="1460"/>
      <c r="G1046" s="1458"/>
      <c r="H1046" s="1459"/>
      <c r="I1046" s="1460"/>
      <c r="J1046" s="1453"/>
      <c r="K1046" s="1453"/>
      <c r="L1046" s="445">
        <v>102</v>
      </c>
      <c r="M1046" s="288">
        <v>43</v>
      </c>
      <c r="N1046" s="288">
        <v>39</v>
      </c>
      <c r="O1046" s="288">
        <v>36</v>
      </c>
      <c r="P1046" s="1512"/>
      <c r="Q1046" s="1512"/>
      <c r="R1046" s="1517"/>
      <c r="S1046" s="1523"/>
      <c r="T1046" s="1447"/>
      <c r="U1046" s="1523"/>
      <c r="V1046" s="1785"/>
    </row>
    <row r="1047" spans="1:22" ht="35.1" customHeight="1">
      <c r="A1047" s="1241"/>
      <c r="B1047" s="1695"/>
      <c r="C1047" s="1476"/>
      <c r="D1047" s="1458"/>
      <c r="E1047" s="1459"/>
      <c r="F1047" s="1460"/>
      <c r="G1047" s="1458"/>
      <c r="H1047" s="1459"/>
      <c r="I1047" s="1460"/>
      <c r="J1047" s="1453"/>
      <c r="K1047" s="1453"/>
      <c r="L1047" s="445">
        <v>124</v>
      </c>
      <c r="M1047" s="288">
        <v>23</v>
      </c>
      <c r="N1047" s="288">
        <v>21</v>
      </c>
      <c r="O1047" s="288">
        <v>19</v>
      </c>
      <c r="P1047" s="1512"/>
      <c r="Q1047" s="1512"/>
      <c r="R1047" s="1517"/>
      <c r="S1047" s="1523"/>
      <c r="T1047" s="1447"/>
      <c r="U1047" s="1523"/>
      <c r="V1047" s="1785"/>
    </row>
    <row r="1048" spans="1:22" ht="35.1" customHeight="1">
      <c r="A1048" s="1241"/>
      <c r="B1048" s="1695"/>
      <c r="C1048" s="1476"/>
      <c r="D1048" s="1458"/>
      <c r="E1048" s="1459"/>
      <c r="F1048" s="1460"/>
      <c r="G1048" s="1458"/>
      <c r="H1048" s="1459"/>
      <c r="I1048" s="1460"/>
      <c r="J1048" s="1453"/>
      <c r="K1048" s="1453"/>
      <c r="L1048" s="445" t="s">
        <v>1128</v>
      </c>
      <c r="M1048" s="288">
        <v>2</v>
      </c>
      <c r="N1048" s="288">
        <v>2</v>
      </c>
      <c r="O1048" s="288">
        <v>2</v>
      </c>
      <c r="P1048" s="1512"/>
      <c r="Q1048" s="1512"/>
      <c r="R1048" s="1517"/>
      <c r="S1048" s="1523"/>
      <c r="T1048" s="1447"/>
      <c r="U1048" s="1523"/>
      <c r="V1048" s="1785"/>
    </row>
    <row r="1049" spans="1:22" ht="35.1" customHeight="1">
      <c r="A1049" s="1241"/>
      <c r="B1049" s="1696"/>
      <c r="C1049" s="1477"/>
      <c r="D1049" s="1458"/>
      <c r="E1049" s="1459"/>
      <c r="F1049" s="1460"/>
      <c r="G1049" s="463" t="s">
        <v>329</v>
      </c>
      <c r="H1049" s="464"/>
      <c r="I1049" s="464"/>
      <c r="J1049" s="464"/>
      <c r="K1049" s="465"/>
      <c r="L1049" s="444"/>
      <c r="M1049" s="289">
        <f>SUM(M1042:M1048)</f>
        <v>714</v>
      </c>
      <c r="N1049" s="289">
        <f t="shared" ref="N1049" si="62">SUM(N1042:N1048)</f>
        <v>560</v>
      </c>
      <c r="O1049" s="289">
        <f t="shared" ref="O1049" si="63">SUM(O1042:O1048)</f>
        <v>465</v>
      </c>
      <c r="P1049" s="1513"/>
      <c r="Q1049" s="1513"/>
      <c r="R1049" s="1518"/>
      <c r="S1049" s="1523"/>
      <c r="T1049" s="1448"/>
      <c r="U1049" s="1523"/>
      <c r="V1049" s="1786"/>
    </row>
    <row r="1050" spans="1:22" ht="35.1" customHeight="1">
      <c r="A1050" s="1241"/>
      <c r="B1050" s="620" t="s">
        <v>105</v>
      </c>
      <c r="C1050" s="621"/>
      <c r="D1050" s="621"/>
      <c r="E1050" s="621"/>
      <c r="F1050" s="621"/>
      <c r="G1050" s="621"/>
      <c r="H1050" s="621"/>
      <c r="I1050" s="621"/>
      <c r="J1050" s="621"/>
      <c r="K1050" s="622"/>
      <c r="L1050" s="122"/>
      <c r="M1050" s="247">
        <f>M1003+M1019+M1015+M1032+M1041+M1049</f>
        <v>6969</v>
      </c>
      <c r="N1050" s="247">
        <f t="shared" ref="N1050" si="64">N1003+N1019+N1015+N1032+N1041+N1049</f>
        <v>1846</v>
      </c>
      <c r="O1050" s="247">
        <f t="shared" ref="O1050" si="65">O1003+O1019+O1015+O1032+O1041+O1049</f>
        <v>1268</v>
      </c>
      <c r="P1050" s="123"/>
      <c r="Q1050" s="123"/>
      <c r="R1050" s="123"/>
      <c r="S1050" s="156"/>
      <c r="T1050" s="156"/>
      <c r="U1050" s="156"/>
    </row>
    <row r="1051" spans="1:22" ht="35.1" customHeight="1">
      <c r="A1051" s="1241"/>
      <c r="B1051" s="1694" t="s">
        <v>639</v>
      </c>
      <c r="C1051" s="1534" t="s">
        <v>640</v>
      </c>
      <c r="D1051" s="1553" t="s">
        <v>680</v>
      </c>
      <c r="E1051" s="1554"/>
      <c r="F1051" s="1555"/>
      <c r="G1051" s="1472" t="s">
        <v>670</v>
      </c>
      <c r="H1051" s="1472" t="s">
        <v>641</v>
      </c>
      <c r="I1051" s="1472" t="s">
        <v>642</v>
      </c>
      <c r="J1051" s="1508" t="s">
        <v>11</v>
      </c>
      <c r="K1051" s="1508" t="s">
        <v>12</v>
      </c>
      <c r="L1051" s="209">
        <v>59</v>
      </c>
      <c r="M1051" s="298">
        <v>46</v>
      </c>
      <c r="N1051" s="411">
        <v>0</v>
      </c>
      <c r="O1051" s="411">
        <v>0</v>
      </c>
      <c r="P1051" s="1538" t="s">
        <v>617</v>
      </c>
      <c r="Q1051" s="932" t="s">
        <v>402</v>
      </c>
      <c r="R1051" s="932" t="s">
        <v>690</v>
      </c>
      <c r="S1051" s="932" t="s">
        <v>13</v>
      </c>
      <c r="T1051" s="932" t="s">
        <v>643</v>
      </c>
      <c r="U1051" s="932" t="s">
        <v>11</v>
      </c>
    </row>
    <row r="1052" spans="1:22" ht="35.1" customHeight="1">
      <c r="A1052" s="1241"/>
      <c r="B1052" s="1695"/>
      <c r="C1052" s="1535"/>
      <c r="D1052" s="1556"/>
      <c r="E1052" s="1557"/>
      <c r="F1052" s="1558"/>
      <c r="G1052" s="1473"/>
      <c r="H1052" s="1473"/>
      <c r="I1052" s="1473"/>
      <c r="J1052" s="1509"/>
      <c r="K1052" s="1509"/>
      <c r="L1052" s="209">
        <v>84</v>
      </c>
      <c r="M1052" s="298">
        <v>417</v>
      </c>
      <c r="N1052" s="411">
        <v>53</v>
      </c>
      <c r="O1052" s="411">
        <v>50</v>
      </c>
      <c r="P1052" s="1539"/>
      <c r="Q1052" s="933"/>
      <c r="R1052" s="933"/>
      <c r="S1052" s="933"/>
      <c r="T1052" s="933"/>
      <c r="U1052" s="933"/>
    </row>
    <row r="1053" spans="1:22" ht="35.1" customHeight="1">
      <c r="A1053" s="1241"/>
      <c r="B1053" s="1695"/>
      <c r="C1053" s="1535"/>
      <c r="D1053" s="1556"/>
      <c r="E1053" s="1557"/>
      <c r="F1053" s="1558"/>
      <c r="G1053" s="1474"/>
      <c r="H1053" s="1474"/>
      <c r="I1053" s="1474"/>
      <c r="J1053" s="1510"/>
      <c r="K1053" s="1510"/>
      <c r="L1053" s="209">
        <v>113</v>
      </c>
      <c r="M1053" s="298">
        <v>88</v>
      </c>
      <c r="N1053" s="411">
        <v>38</v>
      </c>
      <c r="O1053" s="411">
        <v>38</v>
      </c>
      <c r="P1053" s="1539"/>
      <c r="Q1053" s="933"/>
      <c r="R1053" s="933"/>
      <c r="S1053" s="933"/>
      <c r="T1053" s="933"/>
      <c r="U1053" s="933"/>
    </row>
    <row r="1054" spans="1:22" ht="35.1" customHeight="1">
      <c r="A1054" s="1241"/>
      <c r="B1054" s="1695"/>
      <c r="C1054" s="1536"/>
      <c r="D1054" s="1559"/>
      <c r="E1054" s="1560"/>
      <c r="F1054" s="1561"/>
      <c r="G1054" s="463" t="s">
        <v>329</v>
      </c>
      <c r="H1054" s="464"/>
      <c r="I1054" s="464"/>
      <c r="J1054" s="464"/>
      <c r="K1054" s="465"/>
      <c r="L1054" s="342"/>
      <c r="M1054" s="300">
        <f>SUM(M1051:M1053)</f>
        <v>551</v>
      </c>
      <c r="N1054" s="412">
        <f>SUM(N1051:N1053)</f>
        <v>91</v>
      </c>
      <c r="O1054" s="412">
        <f>SUM(O1051:O1053)</f>
        <v>88</v>
      </c>
      <c r="P1054" s="1540"/>
      <c r="Q1054" s="934"/>
      <c r="R1054" s="934"/>
      <c r="S1054" s="934"/>
      <c r="T1054" s="934"/>
      <c r="U1054" s="934"/>
    </row>
    <row r="1055" spans="1:22" ht="35.1" customHeight="1">
      <c r="A1055" s="1241"/>
      <c r="B1055" s="1695"/>
      <c r="C1055" s="1534" t="s">
        <v>681</v>
      </c>
      <c r="D1055" s="1553" t="s">
        <v>682</v>
      </c>
      <c r="E1055" s="1554"/>
      <c r="F1055" s="1555"/>
      <c r="G1055" s="1472" t="s">
        <v>683</v>
      </c>
      <c r="H1055" s="1472" t="s">
        <v>684</v>
      </c>
      <c r="I1055" s="1472" t="s">
        <v>754</v>
      </c>
      <c r="J1055" s="1508" t="s">
        <v>11</v>
      </c>
      <c r="K1055" s="1508" t="s">
        <v>12</v>
      </c>
      <c r="L1055" s="209">
        <v>84.918199999999999</v>
      </c>
      <c r="M1055" s="298">
        <v>182</v>
      </c>
      <c r="N1055" s="411">
        <v>9</v>
      </c>
      <c r="O1055" s="411">
        <v>9</v>
      </c>
      <c r="P1055" s="932" t="s">
        <v>422</v>
      </c>
      <c r="Q1055" s="932" t="s">
        <v>402</v>
      </c>
      <c r="R1055" s="932" t="s">
        <v>690</v>
      </c>
      <c r="S1055" s="932" t="s">
        <v>13</v>
      </c>
      <c r="T1055" s="932" t="s">
        <v>685</v>
      </c>
      <c r="U1055" s="932" t="s">
        <v>11</v>
      </c>
    </row>
    <row r="1056" spans="1:22" ht="35.1" customHeight="1">
      <c r="A1056" s="1241"/>
      <c r="B1056" s="1695"/>
      <c r="C1056" s="1535"/>
      <c r="D1056" s="1556"/>
      <c r="E1056" s="1557"/>
      <c r="F1056" s="1558"/>
      <c r="G1056" s="1473"/>
      <c r="H1056" s="1473"/>
      <c r="I1056" s="1473"/>
      <c r="J1056" s="1509"/>
      <c r="K1056" s="1509"/>
      <c r="L1056" s="209">
        <v>84.917000000000002</v>
      </c>
      <c r="M1056" s="298">
        <v>53</v>
      </c>
      <c r="N1056" s="411">
        <v>3</v>
      </c>
      <c r="O1056" s="411">
        <v>3</v>
      </c>
      <c r="P1056" s="933"/>
      <c r="Q1056" s="933"/>
      <c r="R1056" s="933"/>
      <c r="S1056" s="933"/>
      <c r="T1056" s="933"/>
      <c r="U1056" s="933"/>
    </row>
    <row r="1057" spans="1:21" ht="35.1" customHeight="1">
      <c r="A1057" s="1241"/>
      <c r="B1057" s="1695"/>
      <c r="C1057" s="1535"/>
      <c r="D1057" s="1556"/>
      <c r="E1057" s="1557"/>
      <c r="F1057" s="1558"/>
      <c r="G1057" s="1473"/>
      <c r="H1057" s="1473"/>
      <c r="I1057" s="1473"/>
      <c r="J1057" s="1509"/>
      <c r="K1057" s="1509"/>
      <c r="L1057" s="209">
        <v>84.917599999999993</v>
      </c>
      <c r="M1057" s="298">
        <v>26</v>
      </c>
      <c r="N1057" s="411">
        <v>1</v>
      </c>
      <c r="O1057" s="411">
        <v>1</v>
      </c>
      <c r="P1057" s="933"/>
      <c r="Q1057" s="933"/>
      <c r="R1057" s="933"/>
      <c r="S1057" s="933"/>
      <c r="T1057" s="933"/>
      <c r="U1057" s="933"/>
    </row>
    <row r="1058" spans="1:21" ht="35.1" customHeight="1">
      <c r="A1058" s="1241"/>
      <c r="B1058" s="1695"/>
      <c r="C1058" s="1535"/>
      <c r="D1058" s="1556"/>
      <c r="E1058" s="1557"/>
      <c r="F1058" s="1558"/>
      <c r="G1058" s="1473"/>
      <c r="H1058" s="1473"/>
      <c r="I1058" s="1473"/>
      <c r="J1058" s="1509"/>
      <c r="K1058" s="1509"/>
      <c r="L1058" s="209">
        <v>104.4224</v>
      </c>
      <c r="M1058" s="298">
        <v>53</v>
      </c>
      <c r="N1058" s="411">
        <v>13</v>
      </c>
      <c r="O1058" s="411">
        <v>13</v>
      </c>
      <c r="P1058" s="933"/>
      <c r="Q1058" s="933"/>
      <c r="R1058" s="933"/>
      <c r="S1058" s="933"/>
      <c r="T1058" s="933"/>
      <c r="U1058" s="933"/>
    </row>
    <row r="1059" spans="1:21" ht="35.1" customHeight="1">
      <c r="A1059" s="1241"/>
      <c r="B1059" s="1695"/>
      <c r="C1059" s="1535"/>
      <c r="D1059" s="1556"/>
      <c r="E1059" s="1557"/>
      <c r="F1059" s="1558"/>
      <c r="G1059" s="1473"/>
      <c r="H1059" s="1473"/>
      <c r="I1059" s="1473"/>
      <c r="J1059" s="1509"/>
      <c r="K1059" s="1509"/>
      <c r="L1059" s="209">
        <v>104.8438</v>
      </c>
      <c r="M1059" s="298">
        <v>26</v>
      </c>
      <c r="N1059" s="411">
        <v>22</v>
      </c>
      <c r="O1059" s="411">
        <v>22</v>
      </c>
      <c r="P1059" s="933"/>
      <c r="Q1059" s="933"/>
      <c r="R1059" s="933"/>
      <c r="S1059" s="933"/>
      <c r="T1059" s="933"/>
      <c r="U1059" s="933"/>
    </row>
    <row r="1060" spans="1:21" ht="35.1" customHeight="1">
      <c r="A1060" s="1241"/>
      <c r="B1060" s="1695"/>
      <c r="C1060" s="1535"/>
      <c r="D1060" s="1556"/>
      <c r="E1060" s="1557"/>
      <c r="F1060" s="1558"/>
      <c r="G1060" s="1473"/>
      <c r="H1060" s="1473"/>
      <c r="I1060" s="1473"/>
      <c r="J1060" s="1509"/>
      <c r="K1060" s="1509"/>
      <c r="L1060" s="209">
        <v>104.5252</v>
      </c>
      <c r="M1060" s="298">
        <v>27</v>
      </c>
      <c r="N1060" s="411">
        <v>0</v>
      </c>
      <c r="O1060" s="411">
        <v>0</v>
      </c>
      <c r="P1060" s="933"/>
      <c r="Q1060" s="933"/>
      <c r="R1060" s="933"/>
      <c r="S1060" s="933"/>
      <c r="T1060" s="933"/>
      <c r="U1060" s="933"/>
    </row>
    <row r="1061" spans="1:21" ht="35.1" customHeight="1">
      <c r="A1061" s="1241"/>
      <c r="B1061" s="1695"/>
      <c r="C1061" s="1535"/>
      <c r="D1061" s="1556"/>
      <c r="E1061" s="1557"/>
      <c r="F1061" s="1558"/>
      <c r="G1061" s="1473"/>
      <c r="H1061" s="1473"/>
      <c r="I1061" s="1473"/>
      <c r="J1061" s="1509"/>
      <c r="K1061" s="1509"/>
      <c r="L1061" s="209">
        <v>130.39099999999999</v>
      </c>
      <c r="M1061" s="298">
        <v>7</v>
      </c>
      <c r="N1061" s="411">
        <v>5</v>
      </c>
      <c r="O1061" s="411">
        <v>5</v>
      </c>
      <c r="P1061" s="933"/>
      <c r="Q1061" s="933"/>
      <c r="R1061" s="933"/>
      <c r="S1061" s="933"/>
      <c r="T1061" s="933"/>
      <c r="U1061" s="933"/>
    </row>
    <row r="1062" spans="1:21" ht="35.1" customHeight="1">
      <c r="A1062" s="1241"/>
      <c r="B1062" s="1695"/>
      <c r="C1062" s="1535"/>
      <c r="D1062" s="1556"/>
      <c r="E1062" s="1557"/>
      <c r="F1062" s="1558"/>
      <c r="G1062" s="1473"/>
      <c r="H1062" s="1473"/>
      <c r="I1062" s="1473"/>
      <c r="J1062" s="1509"/>
      <c r="K1062" s="1509"/>
      <c r="L1062" s="209">
        <v>130.47239999999999</v>
      </c>
      <c r="M1062" s="298">
        <v>2</v>
      </c>
      <c r="N1062" s="411">
        <v>2</v>
      </c>
      <c r="O1062" s="411">
        <v>2</v>
      </c>
      <c r="P1062" s="933"/>
      <c r="Q1062" s="933"/>
      <c r="R1062" s="933"/>
      <c r="S1062" s="933"/>
      <c r="T1062" s="933"/>
      <c r="U1062" s="933"/>
    </row>
    <row r="1063" spans="1:21" ht="35.1" customHeight="1">
      <c r="A1063" s="1241"/>
      <c r="B1063" s="1695"/>
      <c r="C1063" s="1535"/>
      <c r="D1063" s="1556"/>
      <c r="E1063" s="1557"/>
      <c r="F1063" s="1558"/>
      <c r="G1063" s="1473"/>
      <c r="H1063" s="1473"/>
      <c r="I1063" s="1473"/>
      <c r="J1063" s="1509"/>
      <c r="K1063" s="1509"/>
      <c r="L1063" s="209">
        <v>130.08969999999999</v>
      </c>
      <c r="M1063" s="298">
        <v>1</v>
      </c>
      <c r="N1063" s="411">
        <v>0</v>
      </c>
      <c r="O1063" s="411">
        <v>0</v>
      </c>
      <c r="P1063" s="933"/>
      <c r="Q1063" s="933"/>
      <c r="R1063" s="933"/>
      <c r="S1063" s="933"/>
      <c r="T1063" s="933"/>
      <c r="U1063" s="933"/>
    </row>
    <row r="1064" spans="1:21" ht="35.1" customHeight="1">
      <c r="A1064" s="1241"/>
      <c r="B1064" s="1695"/>
      <c r="C1064" s="1535"/>
      <c r="D1064" s="1556"/>
      <c r="E1064" s="1557"/>
      <c r="F1064" s="1558"/>
      <c r="G1064" s="1473"/>
      <c r="H1064" s="1473"/>
      <c r="I1064" s="1473"/>
      <c r="J1064" s="1509"/>
      <c r="K1064" s="1509"/>
      <c r="L1064" s="209">
        <v>153.51060000000001</v>
      </c>
      <c r="M1064" s="298">
        <v>2</v>
      </c>
      <c r="N1064" s="411">
        <v>1</v>
      </c>
      <c r="O1064" s="411">
        <v>1</v>
      </c>
      <c r="P1064" s="933"/>
      <c r="Q1064" s="933"/>
      <c r="R1064" s="933"/>
      <c r="S1064" s="933"/>
      <c r="T1064" s="933"/>
      <c r="U1064" s="933"/>
    </row>
    <row r="1065" spans="1:21" ht="35.1" customHeight="1">
      <c r="A1065" s="1241"/>
      <c r="B1065" s="1695"/>
      <c r="C1065" s="1535"/>
      <c r="D1065" s="1556"/>
      <c r="E1065" s="1557"/>
      <c r="F1065" s="1558"/>
      <c r="G1065" s="1473"/>
      <c r="H1065" s="1473"/>
      <c r="I1065" s="1473"/>
      <c r="J1065" s="1509"/>
      <c r="K1065" s="1509"/>
      <c r="L1065" s="209">
        <v>153.49950000000001</v>
      </c>
      <c r="M1065" s="298">
        <v>1</v>
      </c>
      <c r="N1065" s="411">
        <v>1</v>
      </c>
      <c r="O1065" s="411">
        <v>1</v>
      </c>
      <c r="P1065" s="933"/>
      <c r="Q1065" s="933"/>
      <c r="R1065" s="933"/>
      <c r="S1065" s="933"/>
      <c r="T1065" s="933"/>
      <c r="U1065" s="933"/>
    </row>
    <row r="1066" spans="1:21" ht="35.1" customHeight="1">
      <c r="A1066" s="1241"/>
      <c r="B1066" s="1695"/>
      <c r="C1066" s="1535"/>
      <c r="D1066" s="1556"/>
      <c r="E1066" s="1557"/>
      <c r="F1066" s="1558"/>
      <c r="G1066" s="1474"/>
      <c r="H1066" s="1474"/>
      <c r="I1066" s="1474"/>
      <c r="J1066" s="1510"/>
      <c r="K1066" s="1510"/>
      <c r="L1066" s="209">
        <v>153.77549999999999</v>
      </c>
      <c r="M1066" s="298">
        <v>1</v>
      </c>
      <c r="N1066" s="411">
        <v>0</v>
      </c>
      <c r="O1066" s="411">
        <v>0</v>
      </c>
      <c r="P1066" s="933"/>
      <c r="Q1066" s="933"/>
      <c r="R1066" s="933"/>
      <c r="S1066" s="933"/>
      <c r="T1066" s="933"/>
      <c r="U1066" s="933"/>
    </row>
    <row r="1067" spans="1:21" ht="35.1" customHeight="1">
      <c r="A1067" s="1241"/>
      <c r="B1067" s="1695"/>
      <c r="C1067" s="1536"/>
      <c r="D1067" s="1559"/>
      <c r="E1067" s="1560"/>
      <c r="F1067" s="1561"/>
      <c r="G1067" s="463" t="s">
        <v>329</v>
      </c>
      <c r="H1067" s="464"/>
      <c r="I1067" s="464"/>
      <c r="J1067" s="464"/>
      <c r="K1067" s="465"/>
      <c r="L1067" s="342"/>
      <c r="M1067" s="289">
        <f>SUM(M1055:M1066)</f>
        <v>381</v>
      </c>
      <c r="N1067" s="410">
        <f>SUM(N1055:N1066)</f>
        <v>57</v>
      </c>
      <c r="O1067" s="410">
        <f>SUM(O1055:O1066)</f>
        <v>57</v>
      </c>
      <c r="P1067" s="350"/>
      <c r="Q1067" s="350"/>
      <c r="R1067" s="350"/>
      <c r="S1067" s="934"/>
      <c r="T1067" s="934"/>
      <c r="U1067" s="350"/>
    </row>
    <row r="1068" spans="1:21" ht="35.1" customHeight="1">
      <c r="A1068" s="1241"/>
      <c r="B1068" s="1695"/>
      <c r="C1068" s="1697" t="s">
        <v>54</v>
      </c>
      <c r="D1068" s="1553"/>
      <c r="E1068" s="1554"/>
      <c r="F1068" s="1555"/>
      <c r="G1068" s="1508" t="s">
        <v>54</v>
      </c>
      <c r="H1068" s="1508" t="s">
        <v>54</v>
      </c>
      <c r="I1068" s="1508" t="s">
        <v>54</v>
      </c>
      <c r="J1068" s="1508" t="s">
        <v>54</v>
      </c>
      <c r="K1068" s="1508" t="s">
        <v>12</v>
      </c>
      <c r="L1068" s="417">
        <v>59</v>
      </c>
      <c r="M1068" s="418">
        <v>166</v>
      </c>
      <c r="N1068" s="418">
        <v>35</v>
      </c>
      <c r="O1068" s="418">
        <v>35</v>
      </c>
      <c r="P1068" s="1475" t="s">
        <v>54</v>
      </c>
      <c r="Q1068" s="1475" t="s">
        <v>54</v>
      </c>
      <c r="R1068" s="1475" t="s">
        <v>54</v>
      </c>
      <c r="S1068" s="1475" t="s">
        <v>54</v>
      </c>
      <c r="T1068" s="1475" t="s">
        <v>54</v>
      </c>
      <c r="U1068" s="1475" t="s">
        <v>54</v>
      </c>
    </row>
    <row r="1069" spans="1:21" ht="35.1" customHeight="1">
      <c r="A1069" s="1241"/>
      <c r="B1069" s="1695"/>
      <c r="C1069" s="1473"/>
      <c r="D1069" s="1556"/>
      <c r="E1069" s="1557"/>
      <c r="F1069" s="1558"/>
      <c r="G1069" s="1509"/>
      <c r="H1069" s="1509"/>
      <c r="I1069" s="1509"/>
      <c r="J1069" s="1509"/>
      <c r="K1069" s="1509"/>
      <c r="L1069" s="417">
        <v>67</v>
      </c>
      <c r="M1069" s="418">
        <v>43</v>
      </c>
      <c r="N1069" s="418">
        <v>14</v>
      </c>
      <c r="O1069" s="418">
        <v>14</v>
      </c>
      <c r="P1069" s="1515"/>
      <c r="Q1069" s="1515"/>
      <c r="R1069" s="1515"/>
      <c r="S1069" s="1515"/>
      <c r="T1069" s="1515"/>
      <c r="U1069" s="1515"/>
    </row>
    <row r="1070" spans="1:21" ht="35.1" customHeight="1">
      <c r="A1070" s="1241"/>
      <c r="B1070" s="1695"/>
      <c r="C1070" s="1473"/>
      <c r="D1070" s="1556"/>
      <c r="E1070" s="1557"/>
      <c r="F1070" s="1558"/>
      <c r="G1070" s="1509"/>
      <c r="H1070" s="1509"/>
      <c r="I1070" s="1509"/>
      <c r="J1070" s="1509"/>
      <c r="K1070" s="1509"/>
      <c r="L1070" s="417" t="s">
        <v>195</v>
      </c>
      <c r="M1070" s="418">
        <v>359</v>
      </c>
      <c r="N1070" s="418">
        <v>254</v>
      </c>
      <c r="O1070" s="418">
        <v>253</v>
      </c>
      <c r="P1070" s="1515"/>
      <c r="Q1070" s="1515"/>
      <c r="R1070" s="1515"/>
      <c r="S1070" s="1515"/>
      <c r="T1070" s="1515"/>
      <c r="U1070" s="1515"/>
    </row>
    <row r="1071" spans="1:21" ht="35.1" customHeight="1">
      <c r="A1071" s="1241"/>
      <c r="B1071" s="1695"/>
      <c r="C1071" s="1473"/>
      <c r="D1071" s="1556"/>
      <c r="E1071" s="1557"/>
      <c r="F1071" s="1558"/>
      <c r="G1071" s="1509"/>
      <c r="H1071" s="1509"/>
      <c r="I1071" s="1509"/>
      <c r="J1071" s="1509"/>
      <c r="K1071" s="1509"/>
      <c r="L1071" s="417" t="s">
        <v>196</v>
      </c>
      <c r="M1071" s="418">
        <v>192</v>
      </c>
      <c r="N1071" s="418">
        <v>173</v>
      </c>
      <c r="O1071" s="418">
        <v>174</v>
      </c>
      <c r="P1071" s="1515"/>
      <c r="Q1071" s="1515"/>
      <c r="R1071" s="1515"/>
      <c r="S1071" s="1515"/>
      <c r="T1071" s="1515"/>
      <c r="U1071" s="1515"/>
    </row>
    <row r="1072" spans="1:21" ht="35.1" customHeight="1">
      <c r="A1072" s="1241"/>
      <c r="B1072" s="1695"/>
      <c r="C1072" s="1473"/>
      <c r="D1072" s="1556"/>
      <c r="E1072" s="1557"/>
      <c r="F1072" s="1558"/>
      <c r="G1072" s="1509"/>
      <c r="H1072" s="1509"/>
      <c r="I1072" s="1509"/>
      <c r="J1072" s="1509"/>
      <c r="K1072" s="1509"/>
      <c r="L1072" s="417" t="s">
        <v>197</v>
      </c>
      <c r="M1072" s="418">
        <v>63</v>
      </c>
      <c r="N1072" s="418">
        <v>63</v>
      </c>
      <c r="O1072" s="418">
        <v>63</v>
      </c>
      <c r="P1072" s="1515"/>
      <c r="Q1072" s="1515"/>
      <c r="R1072" s="1515"/>
      <c r="S1072" s="1515"/>
      <c r="T1072" s="1515"/>
      <c r="U1072" s="1515"/>
    </row>
    <row r="1073" spans="1:21" ht="35.1" customHeight="1">
      <c r="A1073" s="1241"/>
      <c r="B1073" s="1695"/>
      <c r="C1073" s="1473"/>
      <c r="D1073" s="1556"/>
      <c r="E1073" s="1557"/>
      <c r="F1073" s="1558"/>
      <c r="G1073" s="1509"/>
      <c r="H1073" s="1509"/>
      <c r="I1073" s="1509"/>
      <c r="J1073" s="1509"/>
      <c r="K1073" s="1509"/>
      <c r="L1073" s="417">
        <v>94</v>
      </c>
      <c r="M1073" s="418">
        <v>70</v>
      </c>
      <c r="N1073" s="418">
        <v>48</v>
      </c>
      <c r="O1073" s="418">
        <v>48</v>
      </c>
      <c r="P1073" s="1515"/>
      <c r="Q1073" s="1515"/>
      <c r="R1073" s="1515"/>
      <c r="S1073" s="1515"/>
      <c r="T1073" s="1515"/>
      <c r="U1073" s="1515"/>
    </row>
    <row r="1074" spans="1:21" ht="35.1" customHeight="1">
      <c r="A1074" s="1241"/>
      <c r="B1074" s="1695"/>
      <c r="C1074" s="1473"/>
      <c r="D1074" s="1556"/>
      <c r="E1074" s="1557"/>
      <c r="F1074" s="1558"/>
      <c r="G1074" s="1509"/>
      <c r="H1074" s="1509"/>
      <c r="I1074" s="1509"/>
      <c r="J1074" s="1509"/>
      <c r="K1074" s="1509"/>
      <c r="L1074" s="417" t="s">
        <v>1040</v>
      </c>
      <c r="M1074" s="418">
        <v>38</v>
      </c>
      <c r="N1074" s="418">
        <v>35</v>
      </c>
      <c r="O1074" s="418">
        <v>34</v>
      </c>
      <c r="P1074" s="1515"/>
      <c r="Q1074" s="1515"/>
      <c r="R1074" s="1515"/>
      <c r="S1074" s="1515"/>
      <c r="T1074" s="1515"/>
      <c r="U1074" s="1515"/>
    </row>
    <row r="1075" spans="1:21" ht="35.1" customHeight="1">
      <c r="A1075" s="1241"/>
      <c r="B1075" s="1695"/>
      <c r="C1075" s="1473"/>
      <c r="D1075" s="1556"/>
      <c r="E1075" s="1557"/>
      <c r="F1075" s="1558"/>
      <c r="G1075" s="1509"/>
      <c r="H1075" s="1509"/>
      <c r="I1075" s="1509"/>
      <c r="J1075" s="1509"/>
      <c r="K1075" s="1509"/>
      <c r="L1075" s="417" t="s">
        <v>1041</v>
      </c>
      <c r="M1075" s="418">
        <v>11</v>
      </c>
      <c r="N1075" s="418">
        <v>11</v>
      </c>
      <c r="O1075" s="418">
        <v>11</v>
      </c>
      <c r="P1075" s="1515"/>
      <c r="Q1075" s="1515"/>
      <c r="R1075" s="1515"/>
      <c r="S1075" s="1515"/>
      <c r="T1075" s="1515"/>
      <c r="U1075" s="1515"/>
    </row>
    <row r="1076" spans="1:21" ht="35.1" customHeight="1">
      <c r="A1076" s="1241"/>
      <c r="B1076" s="1695"/>
      <c r="C1076" s="1473"/>
      <c r="D1076" s="1556"/>
      <c r="E1076" s="1557"/>
      <c r="F1076" s="1558"/>
      <c r="G1076" s="1509"/>
      <c r="H1076" s="1509"/>
      <c r="I1076" s="1509"/>
      <c r="J1076" s="1509"/>
      <c r="K1076" s="1509"/>
      <c r="L1076" s="417">
        <v>114</v>
      </c>
      <c r="M1076" s="418">
        <v>84</v>
      </c>
      <c r="N1076" s="418">
        <v>82</v>
      </c>
      <c r="O1076" s="418">
        <v>82</v>
      </c>
      <c r="P1076" s="1515"/>
      <c r="Q1076" s="1515"/>
      <c r="R1076" s="1515"/>
      <c r="S1076" s="1515"/>
      <c r="T1076" s="1515"/>
      <c r="U1076" s="1515"/>
    </row>
    <row r="1077" spans="1:21" ht="35.1" customHeight="1">
      <c r="A1077" s="1241"/>
      <c r="B1077" s="1695"/>
      <c r="C1077" s="1473"/>
      <c r="D1077" s="1556"/>
      <c r="E1077" s="1557"/>
      <c r="F1077" s="1558"/>
      <c r="G1077" s="1509"/>
      <c r="H1077" s="1509"/>
      <c r="I1077" s="1509"/>
      <c r="J1077" s="1509"/>
      <c r="K1077" s="1509"/>
      <c r="L1077" s="417">
        <v>125</v>
      </c>
      <c r="M1077" s="418">
        <v>13</v>
      </c>
      <c r="N1077" s="418">
        <v>12</v>
      </c>
      <c r="O1077" s="418">
        <v>11</v>
      </c>
      <c r="P1077" s="1515"/>
      <c r="Q1077" s="1515"/>
      <c r="R1077" s="1515"/>
      <c r="S1077" s="1515"/>
      <c r="T1077" s="1515"/>
      <c r="U1077" s="1515"/>
    </row>
    <row r="1078" spans="1:21" ht="35.1" customHeight="1">
      <c r="A1078" s="1241"/>
      <c r="B1078" s="1696"/>
      <c r="C1078" s="1474"/>
      <c r="D1078" s="1559"/>
      <c r="E1078" s="1560"/>
      <c r="F1078" s="1561"/>
      <c r="G1078" s="413"/>
      <c r="H1078" s="413"/>
      <c r="I1078" s="413"/>
      <c r="J1078" s="413"/>
      <c r="K1078" s="414"/>
      <c r="L1078" s="414"/>
      <c r="M1078" s="289">
        <f>SUM(M1068:M1077)</f>
        <v>1039</v>
      </c>
      <c r="N1078" s="289">
        <f t="shared" ref="N1078:O1078" si="66">SUM(N1068:N1077)</f>
        <v>727</v>
      </c>
      <c r="O1078" s="289">
        <f t="shared" si="66"/>
        <v>725</v>
      </c>
      <c r="P1078" s="415"/>
      <c r="Q1078" s="415"/>
      <c r="R1078" s="415"/>
      <c r="S1078" s="416"/>
      <c r="T1078" s="416"/>
      <c r="U1078" s="415"/>
    </row>
    <row r="1079" spans="1:21" ht="35.1" customHeight="1">
      <c r="A1079" s="1241"/>
      <c r="B1079" s="620" t="s">
        <v>105</v>
      </c>
      <c r="C1079" s="621"/>
      <c r="D1079" s="621"/>
      <c r="E1079" s="621"/>
      <c r="F1079" s="621"/>
      <c r="G1079" s="621"/>
      <c r="H1079" s="621"/>
      <c r="I1079" s="621"/>
      <c r="J1079" s="621"/>
      <c r="K1079" s="622"/>
      <c r="L1079" s="122"/>
      <c r="M1079" s="391">
        <f t="shared" ref="M1079" si="67">M1054+M1067+M1078</f>
        <v>1971</v>
      </c>
      <c r="N1079" s="391">
        <f>N1054+N1067+N1078</f>
        <v>875</v>
      </c>
      <c r="O1079" s="391">
        <f>O1054+O1067+O1078</f>
        <v>870</v>
      </c>
      <c r="P1079" s="123"/>
      <c r="Q1079" s="123"/>
      <c r="R1079" s="123"/>
      <c r="S1079" s="156"/>
      <c r="T1079" s="156"/>
      <c r="U1079" s="156"/>
    </row>
    <row r="1080" spans="1:21" ht="35.1" customHeight="1">
      <c r="A1080" s="1241"/>
      <c r="B1080" s="771" t="s">
        <v>657</v>
      </c>
      <c r="C1080" s="537" t="s">
        <v>689</v>
      </c>
      <c r="D1080" s="1499" t="s">
        <v>691</v>
      </c>
      <c r="E1080" s="1500"/>
      <c r="F1080" s="1501"/>
      <c r="G1080" s="566" t="s">
        <v>689</v>
      </c>
      <c r="H1080" s="566" t="s">
        <v>689</v>
      </c>
      <c r="I1080" s="566" t="s">
        <v>689</v>
      </c>
      <c r="J1080" s="687" t="s">
        <v>11</v>
      </c>
      <c r="K1080" s="687" t="s">
        <v>12</v>
      </c>
      <c r="L1080" s="128" t="s">
        <v>686</v>
      </c>
      <c r="M1080" s="221">
        <v>201</v>
      </c>
      <c r="N1080" s="301">
        <v>0</v>
      </c>
      <c r="O1080" s="301">
        <v>0</v>
      </c>
      <c r="P1080" s="537" t="s">
        <v>54</v>
      </c>
      <c r="Q1080" s="537" t="s">
        <v>54</v>
      </c>
      <c r="R1080" s="537" t="s">
        <v>54</v>
      </c>
      <c r="S1080" s="537" t="s">
        <v>54</v>
      </c>
      <c r="T1080" s="537" t="s">
        <v>54</v>
      </c>
      <c r="U1080" s="537" t="s">
        <v>54</v>
      </c>
    </row>
    <row r="1081" spans="1:21" ht="35.1" customHeight="1">
      <c r="A1081" s="1241"/>
      <c r="B1081" s="772"/>
      <c r="C1081" s="538"/>
      <c r="D1081" s="1502"/>
      <c r="E1081" s="1503"/>
      <c r="F1081" s="1504"/>
      <c r="G1081" s="567"/>
      <c r="H1081" s="567"/>
      <c r="I1081" s="567"/>
      <c r="J1081" s="688"/>
      <c r="K1081" s="688"/>
      <c r="L1081" s="128" t="s">
        <v>687</v>
      </c>
      <c r="M1081" s="221">
        <v>135</v>
      </c>
      <c r="N1081" s="301">
        <v>0</v>
      </c>
      <c r="O1081" s="301">
        <v>0</v>
      </c>
      <c r="P1081" s="538"/>
      <c r="Q1081" s="538"/>
      <c r="R1081" s="538"/>
      <c r="S1081" s="538"/>
      <c r="T1081" s="538"/>
      <c r="U1081" s="538"/>
    </row>
    <row r="1082" spans="1:21" ht="35.1" customHeight="1">
      <c r="A1082" s="1241"/>
      <c r="B1082" s="772"/>
      <c r="C1082" s="538"/>
      <c r="D1082" s="1502"/>
      <c r="E1082" s="1503"/>
      <c r="F1082" s="1504"/>
      <c r="G1082" s="567"/>
      <c r="H1082" s="567"/>
      <c r="I1082" s="567"/>
      <c r="J1082" s="688"/>
      <c r="K1082" s="688"/>
      <c r="L1082" s="128" t="s">
        <v>688</v>
      </c>
      <c r="M1082" s="221">
        <v>24</v>
      </c>
      <c r="N1082" s="301">
        <v>0</v>
      </c>
      <c r="O1082" s="301">
        <v>0</v>
      </c>
      <c r="P1082" s="538"/>
      <c r="Q1082" s="538"/>
      <c r="R1082" s="538"/>
      <c r="S1082" s="538"/>
      <c r="T1082" s="538"/>
      <c r="U1082" s="538"/>
    </row>
    <row r="1083" spans="1:21" ht="35.1" customHeight="1">
      <c r="A1083" s="1241"/>
      <c r="B1083" s="772"/>
      <c r="C1083" s="538"/>
      <c r="D1083" s="1502"/>
      <c r="E1083" s="1503"/>
      <c r="F1083" s="1504"/>
      <c r="G1083" s="568"/>
      <c r="H1083" s="568"/>
      <c r="I1083" s="568"/>
      <c r="J1083" s="689"/>
      <c r="K1083" s="689"/>
      <c r="L1083" s="210">
        <v>93.614699999999999</v>
      </c>
      <c r="M1083" s="221">
        <f>32+52</f>
        <v>84</v>
      </c>
      <c r="N1083" s="301">
        <v>0</v>
      </c>
      <c r="O1083" s="301">
        <v>0</v>
      </c>
      <c r="P1083" s="538"/>
      <c r="Q1083" s="538"/>
      <c r="R1083" s="538"/>
      <c r="S1083" s="538"/>
      <c r="T1083" s="538"/>
      <c r="U1083" s="538"/>
    </row>
    <row r="1084" spans="1:21" ht="35.1" customHeight="1">
      <c r="A1084" s="1241"/>
      <c r="B1084" s="772"/>
      <c r="C1084" s="539"/>
      <c r="D1084" s="1505"/>
      <c r="E1084" s="1506"/>
      <c r="F1084" s="1507"/>
      <c r="G1084" s="463" t="s">
        <v>329</v>
      </c>
      <c r="H1084" s="464"/>
      <c r="I1084" s="464"/>
      <c r="J1084" s="464"/>
      <c r="K1084" s="465"/>
      <c r="L1084" s="342"/>
      <c r="M1084" s="223">
        <f>SUM(M1080:M1083)</f>
        <v>444</v>
      </c>
      <c r="N1084" s="390">
        <f>SUM(N1080:N1083)</f>
        <v>0</v>
      </c>
      <c r="O1084" s="390">
        <f>SUM(O1080:O1083)</f>
        <v>0</v>
      </c>
      <c r="P1084" s="539"/>
      <c r="Q1084" s="539"/>
      <c r="R1084" s="539"/>
      <c r="S1084" s="539"/>
      <c r="T1084" s="539"/>
      <c r="U1084" s="539"/>
    </row>
    <row r="1085" spans="1:21" ht="35.1" customHeight="1">
      <c r="A1085" s="1241"/>
      <c r="B1085" s="772"/>
      <c r="C1085" s="537" t="s">
        <v>719</v>
      </c>
      <c r="D1085" s="1334" t="s">
        <v>720</v>
      </c>
      <c r="E1085" s="1335"/>
      <c r="F1085" s="1336"/>
      <c r="G1085" s="1443" t="s">
        <v>721</v>
      </c>
      <c r="H1085" s="1443" t="s">
        <v>722</v>
      </c>
      <c r="I1085" s="1443" t="s">
        <v>723</v>
      </c>
      <c r="J1085" s="1464" t="s">
        <v>11</v>
      </c>
      <c r="K1085" s="1443" t="s">
        <v>12</v>
      </c>
      <c r="L1085" s="211" t="s">
        <v>724</v>
      </c>
      <c r="M1085" s="221">
        <v>9</v>
      </c>
      <c r="N1085" s="119">
        <v>0</v>
      </c>
      <c r="O1085" s="119">
        <v>0</v>
      </c>
      <c r="P1085" s="618" t="s">
        <v>403</v>
      </c>
      <c r="Q1085" s="618" t="s">
        <v>424</v>
      </c>
      <c r="R1085" s="618" t="s">
        <v>739</v>
      </c>
      <c r="S1085" s="1467" t="s">
        <v>57</v>
      </c>
      <c r="T1085" s="905" t="s">
        <v>54</v>
      </c>
      <c r="U1085" s="905" t="s">
        <v>11</v>
      </c>
    </row>
    <row r="1086" spans="1:21" ht="35.1" customHeight="1">
      <c r="A1086" s="1241"/>
      <c r="B1086" s="772"/>
      <c r="C1086" s="538"/>
      <c r="D1086" s="1337"/>
      <c r="E1086" s="1338"/>
      <c r="F1086" s="1339"/>
      <c r="G1086" s="1444"/>
      <c r="H1086" s="1444"/>
      <c r="I1086" s="1444"/>
      <c r="J1086" s="1465"/>
      <c r="K1086" s="1444"/>
      <c r="L1086" s="211" t="s">
        <v>725</v>
      </c>
      <c r="M1086" s="221">
        <v>38</v>
      </c>
      <c r="N1086" s="119">
        <v>0</v>
      </c>
      <c r="O1086" s="119">
        <v>0</v>
      </c>
      <c r="P1086" s="593"/>
      <c r="Q1086" s="593"/>
      <c r="R1086" s="593"/>
      <c r="S1086" s="1468"/>
      <c r="T1086" s="906"/>
      <c r="U1086" s="906"/>
    </row>
    <row r="1087" spans="1:21" ht="35.1" customHeight="1">
      <c r="A1087" s="1241"/>
      <c r="B1087" s="772"/>
      <c r="C1087" s="538"/>
      <c r="D1087" s="1337"/>
      <c r="E1087" s="1338"/>
      <c r="F1087" s="1339"/>
      <c r="G1087" s="1444"/>
      <c r="H1087" s="1444"/>
      <c r="I1087" s="1444"/>
      <c r="J1087" s="1465"/>
      <c r="K1087" s="1444"/>
      <c r="L1087" s="211" t="s">
        <v>726</v>
      </c>
      <c r="M1087" s="221">
        <v>76</v>
      </c>
      <c r="N1087" s="119">
        <v>1</v>
      </c>
      <c r="O1087" s="119">
        <v>1</v>
      </c>
      <c r="P1087" s="593"/>
      <c r="Q1087" s="593"/>
      <c r="R1087" s="593"/>
      <c r="S1087" s="1468"/>
      <c r="T1087" s="906"/>
      <c r="U1087" s="906"/>
    </row>
    <row r="1088" spans="1:21" ht="35.1" customHeight="1">
      <c r="A1088" s="1241"/>
      <c r="B1088" s="772"/>
      <c r="C1088" s="538"/>
      <c r="D1088" s="1337"/>
      <c r="E1088" s="1338"/>
      <c r="F1088" s="1339"/>
      <c r="G1088" s="1444"/>
      <c r="H1088" s="1444"/>
      <c r="I1088" s="1444"/>
      <c r="J1088" s="1465"/>
      <c r="K1088" s="1444"/>
      <c r="L1088" s="211" t="s">
        <v>727</v>
      </c>
      <c r="M1088" s="221">
        <v>52</v>
      </c>
      <c r="N1088" s="119">
        <v>1</v>
      </c>
      <c r="O1088" s="119">
        <v>1</v>
      </c>
      <c r="P1088" s="593"/>
      <c r="Q1088" s="593"/>
      <c r="R1088" s="593"/>
      <c r="S1088" s="1468"/>
      <c r="T1088" s="906"/>
      <c r="U1088" s="906"/>
    </row>
    <row r="1089" spans="1:21" ht="35.1" customHeight="1">
      <c r="A1089" s="1241"/>
      <c r="B1089" s="772"/>
      <c r="C1089" s="538"/>
      <c r="D1089" s="1337"/>
      <c r="E1089" s="1338"/>
      <c r="F1089" s="1339"/>
      <c r="G1089" s="1444"/>
      <c r="H1089" s="1444"/>
      <c r="I1089" s="1444"/>
      <c r="J1089" s="1465"/>
      <c r="K1089" s="1444"/>
      <c r="L1089" s="211" t="s">
        <v>728</v>
      </c>
      <c r="M1089" s="221">
        <v>24</v>
      </c>
      <c r="N1089" s="119">
        <v>0</v>
      </c>
      <c r="O1089" s="119">
        <v>0</v>
      </c>
      <c r="P1089" s="593"/>
      <c r="Q1089" s="593"/>
      <c r="R1089" s="593"/>
      <c r="S1089" s="1468"/>
      <c r="T1089" s="906"/>
      <c r="U1089" s="906"/>
    </row>
    <row r="1090" spans="1:21" ht="35.1" customHeight="1">
      <c r="A1090" s="1241"/>
      <c r="B1090" s="772"/>
      <c r="C1090" s="538"/>
      <c r="D1090" s="1337"/>
      <c r="E1090" s="1338"/>
      <c r="F1090" s="1339"/>
      <c r="G1090" s="1444"/>
      <c r="H1090" s="1444"/>
      <c r="I1090" s="1444"/>
      <c r="J1090" s="1465"/>
      <c r="K1090" s="1444"/>
      <c r="L1090" s="211" t="s">
        <v>729</v>
      </c>
      <c r="M1090" s="221">
        <v>2</v>
      </c>
      <c r="N1090" s="119">
        <v>0</v>
      </c>
      <c r="O1090" s="119">
        <v>0</v>
      </c>
      <c r="P1090" s="593"/>
      <c r="Q1090" s="593"/>
      <c r="R1090" s="593"/>
      <c r="S1090" s="1468"/>
      <c r="T1090" s="906"/>
      <c r="U1090" s="906"/>
    </row>
    <row r="1091" spans="1:21" ht="35.1" customHeight="1">
      <c r="A1091" s="1241"/>
      <c r="B1091" s="772"/>
      <c r="C1091" s="538"/>
      <c r="D1091" s="1337"/>
      <c r="E1091" s="1338"/>
      <c r="F1091" s="1339"/>
      <c r="G1091" s="1445"/>
      <c r="H1091" s="1445"/>
      <c r="I1091" s="1445"/>
      <c r="J1091" s="1466"/>
      <c r="K1091" s="1445"/>
      <c r="L1091" s="212" t="s">
        <v>730</v>
      </c>
      <c r="M1091" s="221">
        <v>2</v>
      </c>
      <c r="N1091" s="119">
        <v>0</v>
      </c>
      <c r="O1091" s="119">
        <v>0</v>
      </c>
      <c r="P1091" s="593"/>
      <c r="Q1091" s="593"/>
      <c r="R1091" s="593"/>
      <c r="S1091" s="1468"/>
      <c r="T1091" s="906"/>
      <c r="U1091" s="906"/>
    </row>
    <row r="1092" spans="1:21" ht="35.1" customHeight="1">
      <c r="A1092" s="1241"/>
      <c r="B1092" s="772"/>
      <c r="C1092" s="539"/>
      <c r="D1092" s="1340"/>
      <c r="E1092" s="1341"/>
      <c r="F1092" s="1342"/>
      <c r="G1092" s="463" t="s">
        <v>329</v>
      </c>
      <c r="H1092" s="464"/>
      <c r="I1092" s="464"/>
      <c r="J1092" s="464"/>
      <c r="K1092" s="465"/>
      <c r="L1092" s="199"/>
      <c r="M1092" s="275">
        <f>SUM(M1085:M1091)</f>
        <v>203</v>
      </c>
      <c r="N1092" s="276">
        <f>SUM(N1085:N1091)</f>
        <v>2</v>
      </c>
      <c r="O1092" s="276">
        <f>SUM(O1085:O1091)</f>
        <v>2</v>
      </c>
      <c r="P1092" s="619"/>
      <c r="Q1092" s="619"/>
      <c r="R1092" s="619"/>
      <c r="S1092" s="1469"/>
      <c r="T1092" s="907"/>
      <c r="U1092" s="907"/>
    </row>
    <row r="1093" spans="1:21" ht="35.1" customHeight="1">
      <c r="A1093" s="1241"/>
      <c r="B1093" s="772"/>
      <c r="C1093" s="537" t="s">
        <v>719</v>
      </c>
      <c r="D1093" s="1334" t="s">
        <v>731</v>
      </c>
      <c r="E1093" s="1335"/>
      <c r="F1093" s="1336"/>
      <c r="G1093" s="1496" t="s">
        <v>732</v>
      </c>
      <c r="H1093" s="1496" t="s">
        <v>733</v>
      </c>
      <c r="I1093" s="1496" t="s">
        <v>723</v>
      </c>
      <c r="J1093" s="1496" t="s">
        <v>11</v>
      </c>
      <c r="K1093" s="1496" t="s">
        <v>12</v>
      </c>
      <c r="L1093" s="211">
        <v>50</v>
      </c>
      <c r="M1093" s="221">
        <v>5</v>
      </c>
      <c r="N1093" s="119">
        <v>0</v>
      </c>
      <c r="O1093" s="119">
        <v>0</v>
      </c>
      <c r="P1093" s="1449" t="s">
        <v>403</v>
      </c>
      <c r="Q1093" s="1449" t="s">
        <v>430</v>
      </c>
      <c r="R1093" s="1449" t="s">
        <v>952</v>
      </c>
      <c r="S1093" s="1519" t="s">
        <v>57</v>
      </c>
      <c r="T1093" s="841" t="s">
        <v>54</v>
      </c>
      <c r="U1093" s="841" t="s">
        <v>11</v>
      </c>
    </row>
    <row r="1094" spans="1:21" ht="35.1" customHeight="1">
      <c r="A1094" s="1241"/>
      <c r="B1094" s="772"/>
      <c r="C1094" s="538"/>
      <c r="D1094" s="1337"/>
      <c r="E1094" s="1338"/>
      <c r="F1094" s="1339"/>
      <c r="G1094" s="1497"/>
      <c r="H1094" s="1497"/>
      <c r="I1094" s="1497"/>
      <c r="J1094" s="1497"/>
      <c r="K1094" s="1497"/>
      <c r="L1094" s="211">
        <v>51</v>
      </c>
      <c r="M1094" s="221">
        <v>10</v>
      </c>
      <c r="N1094" s="119">
        <v>0</v>
      </c>
      <c r="O1094" s="119">
        <v>0</v>
      </c>
      <c r="P1094" s="1450"/>
      <c r="Q1094" s="1450"/>
      <c r="R1094" s="1450"/>
      <c r="S1094" s="1520"/>
      <c r="T1094" s="842"/>
      <c r="U1094" s="842"/>
    </row>
    <row r="1095" spans="1:21" ht="35.1" customHeight="1">
      <c r="A1095" s="1241"/>
      <c r="B1095" s="772"/>
      <c r="C1095" s="538"/>
      <c r="D1095" s="1337"/>
      <c r="E1095" s="1338"/>
      <c r="F1095" s="1339"/>
      <c r="G1095" s="1497"/>
      <c r="H1095" s="1497"/>
      <c r="I1095" s="1497"/>
      <c r="J1095" s="1497"/>
      <c r="K1095" s="1497"/>
      <c r="L1095" s="211">
        <v>54</v>
      </c>
      <c r="M1095" s="221">
        <v>13</v>
      </c>
      <c r="N1095" s="119">
        <v>0</v>
      </c>
      <c r="O1095" s="119">
        <v>0</v>
      </c>
      <c r="P1095" s="1450"/>
      <c r="Q1095" s="1450"/>
      <c r="R1095" s="1450"/>
      <c r="S1095" s="1520"/>
      <c r="T1095" s="842"/>
      <c r="U1095" s="842"/>
    </row>
    <row r="1096" spans="1:21" ht="35.1" customHeight="1">
      <c r="A1096" s="1241"/>
      <c r="B1096" s="772"/>
      <c r="C1096" s="538"/>
      <c r="D1096" s="1337"/>
      <c r="E1096" s="1338"/>
      <c r="F1096" s="1339"/>
      <c r="G1096" s="1497"/>
      <c r="H1096" s="1497"/>
      <c r="I1096" s="1497"/>
      <c r="J1096" s="1497"/>
      <c r="K1096" s="1497"/>
      <c r="L1096" s="211" t="s">
        <v>85</v>
      </c>
      <c r="M1096" s="221">
        <v>73</v>
      </c>
      <c r="N1096" s="119">
        <v>0</v>
      </c>
      <c r="O1096" s="119">
        <v>0</v>
      </c>
      <c r="P1096" s="1450"/>
      <c r="Q1096" s="1450"/>
      <c r="R1096" s="1450"/>
      <c r="S1096" s="1520"/>
      <c r="T1096" s="842"/>
      <c r="U1096" s="842"/>
    </row>
    <row r="1097" spans="1:21" ht="35.1" customHeight="1">
      <c r="A1097" s="1241"/>
      <c r="B1097" s="772"/>
      <c r="C1097" s="538"/>
      <c r="D1097" s="1337"/>
      <c r="E1097" s="1338"/>
      <c r="F1097" s="1339"/>
      <c r="G1097" s="1497"/>
      <c r="H1097" s="1497"/>
      <c r="I1097" s="1497"/>
      <c r="J1097" s="1497"/>
      <c r="K1097" s="1497"/>
      <c r="L1097" s="213" t="s">
        <v>103</v>
      </c>
      <c r="M1097" s="231">
        <v>38</v>
      </c>
      <c r="N1097" s="132">
        <v>0</v>
      </c>
      <c r="O1097" s="132">
        <v>0</v>
      </c>
      <c r="P1097" s="1450"/>
      <c r="Q1097" s="1450"/>
      <c r="R1097" s="1450"/>
      <c r="S1097" s="1520"/>
      <c r="T1097" s="842"/>
      <c r="U1097" s="842"/>
    </row>
    <row r="1098" spans="1:21" ht="35.1" customHeight="1">
      <c r="A1098" s="1241"/>
      <c r="B1098" s="772"/>
      <c r="C1098" s="538"/>
      <c r="D1098" s="1337"/>
      <c r="E1098" s="1338"/>
      <c r="F1098" s="1339"/>
      <c r="G1098" s="1497"/>
      <c r="H1098" s="1497"/>
      <c r="I1098" s="1497"/>
      <c r="J1098" s="1497"/>
      <c r="K1098" s="1497"/>
      <c r="L1098" s="214" t="s">
        <v>519</v>
      </c>
      <c r="M1098" s="302">
        <v>5</v>
      </c>
      <c r="N1098" s="119">
        <v>0</v>
      </c>
      <c r="O1098" s="119">
        <v>0</v>
      </c>
      <c r="P1098" s="1450"/>
      <c r="Q1098" s="1450"/>
      <c r="R1098" s="1450"/>
      <c r="S1098" s="1520"/>
      <c r="T1098" s="842"/>
      <c r="U1098" s="842"/>
    </row>
    <row r="1099" spans="1:21" ht="35.1" customHeight="1">
      <c r="A1099" s="1241"/>
      <c r="B1099" s="772"/>
      <c r="C1099" s="538"/>
      <c r="D1099" s="1337"/>
      <c r="E1099" s="1338"/>
      <c r="F1099" s="1339"/>
      <c r="G1099" s="1497"/>
      <c r="H1099" s="1497"/>
      <c r="I1099" s="1497"/>
      <c r="J1099" s="1497"/>
      <c r="K1099" s="1497"/>
      <c r="L1099" s="214" t="s">
        <v>734</v>
      </c>
      <c r="M1099" s="302">
        <v>5</v>
      </c>
      <c r="N1099" s="119">
        <v>0</v>
      </c>
      <c r="O1099" s="119">
        <v>0</v>
      </c>
      <c r="P1099" s="1450"/>
      <c r="Q1099" s="1450"/>
      <c r="R1099" s="1450"/>
      <c r="S1099" s="1520"/>
      <c r="T1099" s="842"/>
      <c r="U1099" s="842"/>
    </row>
    <row r="1100" spans="1:21" ht="35.1" customHeight="1">
      <c r="A1100" s="1241"/>
      <c r="B1100" s="772"/>
      <c r="C1100" s="538"/>
      <c r="D1100" s="1337"/>
      <c r="E1100" s="1338"/>
      <c r="F1100" s="1339"/>
      <c r="G1100" s="1497"/>
      <c r="H1100" s="1497"/>
      <c r="I1100" s="1497"/>
      <c r="J1100" s="1497"/>
      <c r="K1100" s="1497"/>
      <c r="L1100" s="214" t="s">
        <v>735</v>
      </c>
      <c r="M1100" s="302">
        <v>1</v>
      </c>
      <c r="N1100" s="119">
        <v>0</v>
      </c>
      <c r="O1100" s="119">
        <v>0</v>
      </c>
      <c r="P1100" s="1450"/>
      <c r="Q1100" s="1450"/>
      <c r="R1100" s="1450"/>
      <c r="S1100" s="1520"/>
      <c r="T1100" s="842"/>
      <c r="U1100" s="842"/>
    </row>
    <row r="1101" spans="1:21" ht="35.1" customHeight="1">
      <c r="A1101" s="1241"/>
      <c r="B1101" s="772"/>
      <c r="C1101" s="538"/>
      <c r="D1101" s="1337"/>
      <c r="E1101" s="1338"/>
      <c r="F1101" s="1339"/>
      <c r="G1101" s="1498"/>
      <c r="H1101" s="1498"/>
      <c r="I1101" s="1498"/>
      <c r="J1101" s="1498"/>
      <c r="K1101" s="1498"/>
      <c r="L1101" s="214">
        <v>75</v>
      </c>
      <c r="M1101" s="302">
        <v>19</v>
      </c>
      <c r="N1101" s="119">
        <v>0</v>
      </c>
      <c r="O1101" s="119">
        <v>0</v>
      </c>
      <c r="P1101" s="1450"/>
      <c r="Q1101" s="1450"/>
      <c r="R1101" s="1450"/>
      <c r="S1101" s="1520"/>
      <c r="T1101" s="842"/>
      <c r="U1101" s="842"/>
    </row>
    <row r="1102" spans="1:21" ht="35.1" customHeight="1">
      <c r="A1102" s="1241"/>
      <c r="B1102" s="773"/>
      <c r="C1102" s="539"/>
      <c r="D1102" s="1340"/>
      <c r="E1102" s="1341"/>
      <c r="F1102" s="1342"/>
      <c r="G1102" s="463" t="s">
        <v>329</v>
      </c>
      <c r="H1102" s="464"/>
      <c r="I1102" s="464"/>
      <c r="J1102" s="464"/>
      <c r="K1102" s="465"/>
      <c r="L1102" s="199"/>
      <c r="M1102" s="275">
        <f>SUM(M1093:M1101)</f>
        <v>169</v>
      </c>
      <c r="N1102" s="276">
        <f>SUM(N1093:N1101)</f>
        <v>0</v>
      </c>
      <c r="O1102" s="276">
        <f>SUM(O1093:O1101)</f>
        <v>0</v>
      </c>
      <c r="P1102" s="1451"/>
      <c r="Q1102" s="1451"/>
      <c r="R1102" s="1451"/>
      <c r="S1102" s="1521"/>
      <c r="T1102" s="843"/>
      <c r="U1102" s="843"/>
    </row>
    <row r="1103" spans="1:21" ht="35.1" customHeight="1">
      <c r="A1103" s="1241"/>
      <c r="B1103" s="620" t="s">
        <v>105</v>
      </c>
      <c r="C1103" s="621"/>
      <c r="D1103" s="621"/>
      <c r="E1103" s="621"/>
      <c r="F1103" s="621"/>
      <c r="G1103" s="621"/>
      <c r="H1103" s="621"/>
      <c r="I1103" s="621"/>
      <c r="J1103" s="621"/>
      <c r="K1103" s="622"/>
      <c r="L1103" s="122"/>
      <c r="M1103" s="226">
        <f>M1084+M1092+M1102</f>
        <v>816</v>
      </c>
      <c r="N1103" s="391">
        <f>N1084+N1092+N1102</f>
        <v>2</v>
      </c>
      <c r="O1103" s="391">
        <f>O1084+O1092+O1102</f>
        <v>2</v>
      </c>
      <c r="P1103" s="123"/>
      <c r="Q1103" s="123"/>
      <c r="R1103" s="123"/>
      <c r="S1103" s="156"/>
      <c r="T1103" s="156"/>
      <c r="U1103" s="156"/>
    </row>
    <row r="1104" spans="1:21" ht="35.1" customHeight="1">
      <c r="A1104" s="1241"/>
      <c r="B1104" s="884" t="s">
        <v>663</v>
      </c>
      <c r="C1104" s="884"/>
      <c r="D1104" s="887" t="s">
        <v>909</v>
      </c>
      <c r="E1104" s="888"/>
      <c r="F1104" s="889"/>
      <c r="G1104" s="896" t="s">
        <v>716</v>
      </c>
      <c r="H1104" s="856" t="s">
        <v>717</v>
      </c>
      <c r="I1104" s="856" t="s">
        <v>718</v>
      </c>
      <c r="J1104" s="856" t="s">
        <v>709</v>
      </c>
      <c r="K1104" s="859" t="s">
        <v>710</v>
      </c>
      <c r="L1104" s="347" t="s">
        <v>365</v>
      </c>
      <c r="M1104" s="303">
        <v>64</v>
      </c>
      <c r="N1104" s="132">
        <v>0</v>
      </c>
      <c r="O1104" s="132">
        <v>0</v>
      </c>
      <c r="P1104" s="908" t="s">
        <v>711</v>
      </c>
      <c r="Q1104" s="902" t="s">
        <v>712</v>
      </c>
      <c r="R1104" s="902" t="s">
        <v>713</v>
      </c>
      <c r="S1104" s="899" t="s">
        <v>65</v>
      </c>
      <c r="T1104" s="899" t="s">
        <v>714</v>
      </c>
      <c r="U1104" s="899" t="s">
        <v>715</v>
      </c>
    </row>
    <row r="1105" spans="1:21" ht="35.1" customHeight="1">
      <c r="A1105" s="1241"/>
      <c r="B1105" s="885"/>
      <c r="C1105" s="885"/>
      <c r="D1105" s="890"/>
      <c r="E1105" s="891"/>
      <c r="F1105" s="892"/>
      <c r="G1105" s="897"/>
      <c r="H1105" s="857"/>
      <c r="I1105" s="857"/>
      <c r="J1105" s="857"/>
      <c r="K1105" s="860"/>
      <c r="L1105" s="353" t="s">
        <v>748</v>
      </c>
      <c r="M1105" s="303">
        <v>36</v>
      </c>
      <c r="N1105" s="132">
        <v>0</v>
      </c>
      <c r="O1105" s="132">
        <v>0</v>
      </c>
      <c r="P1105" s="909"/>
      <c r="Q1105" s="903"/>
      <c r="R1105" s="903"/>
      <c r="S1105" s="900"/>
      <c r="T1105" s="900"/>
      <c r="U1105" s="900"/>
    </row>
    <row r="1106" spans="1:21" ht="35.1" customHeight="1">
      <c r="A1106" s="1241"/>
      <c r="B1106" s="885"/>
      <c r="C1106" s="885"/>
      <c r="D1106" s="890"/>
      <c r="E1106" s="891"/>
      <c r="F1106" s="892"/>
      <c r="G1106" s="897"/>
      <c r="H1106" s="857"/>
      <c r="I1106" s="857"/>
      <c r="J1106" s="857"/>
      <c r="K1106" s="860"/>
      <c r="L1106" s="347" t="s">
        <v>749</v>
      </c>
      <c r="M1106" s="303">
        <v>35</v>
      </c>
      <c r="N1106" s="132">
        <v>0</v>
      </c>
      <c r="O1106" s="132">
        <v>0</v>
      </c>
      <c r="P1106" s="909"/>
      <c r="Q1106" s="903"/>
      <c r="R1106" s="903"/>
      <c r="S1106" s="900"/>
      <c r="T1106" s="900"/>
      <c r="U1106" s="900"/>
    </row>
    <row r="1107" spans="1:21" ht="35.1" customHeight="1">
      <c r="A1107" s="1241"/>
      <c r="B1107" s="885"/>
      <c r="C1107" s="885"/>
      <c r="D1107" s="890"/>
      <c r="E1107" s="891"/>
      <c r="F1107" s="892"/>
      <c r="G1107" s="897"/>
      <c r="H1107" s="857"/>
      <c r="I1107" s="857"/>
      <c r="J1107" s="857"/>
      <c r="K1107" s="860"/>
      <c r="L1107" s="347" t="s">
        <v>750</v>
      </c>
      <c r="M1107" s="303">
        <v>144</v>
      </c>
      <c r="N1107" s="132">
        <v>0</v>
      </c>
      <c r="O1107" s="132">
        <v>0</v>
      </c>
      <c r="P1107" s="909"/>
      <c r="Q1107" s="903"/>
      <c r="R1107" s="903"/>
      <c r="S1107" s="900"/>
      <c r="T1107" s="900"/>
      <c r="U1107" s="900"/>
    </row>
    <row r="1108" spans="1:21" ht="35.1" customHeight="1">
      <c r="A1108" s="1241"/>
      <c r="B1108" s="885"/>
      <c r="C1108" s="885"/>
      <c r="D1108" s="890"/>
      <c r="E1108" s="891"/>
      <c r="F1108" s="892"/>
      <c r="G1108" s="897"/>
      <c r="H1108" s="857"/>
      <c r="I1108" s="857"/>
      <c r="J1108" s="857"/>
      <c r="K1108" s="860"/>
      <c r="L1108" s="347" t="s">
        <v>751</v>
      </c>
      <c r="M1108" s="303">
        <v>139</v>
      </c>
      <c r="N1108" s="132">
        <v>0</v>
      </c>
      <c r="O1108" s="132">
        <v>0</v>
      </c>
      <c r="P1108" s="909"/>
      <c r="Q1108" s="903"/>
      <c r="R1108" s="903"/>
      <c r="S1108" s="900"/>
      <c r="T1108" s="900"/>
      <c r="U1108" s="900"/>
    </row>
    <row r="1109" spans="1:21" ht="35.1" customHeight="1">
      <c r="A1109" s="1241"/>
      <c r="B1109" s="885"/>
      <c r="C1109" s="885"/>
      <c r="D1109" s="890"/>
      <c r="E1109" s="891"/>
      <c r="F1109" s="892"/>
      <c r="G1109" s="897"/>
      <c r="H1109" s="857"/>
      <c r="I1109" s="857"/>
      <c r="J1109" s="857"/>
      <c r="K1109" s="860"/>
      <c r="L1109" s="347" t="s">
        <v>752</v>
      </c>
      <c r="M1109" s="303">
        <v>142</v>
      </c>
      <c r="N1109" s="132">
        <v>0</v>
      </c>
      <c r="O1109" s="132">
        <v>0</v>
      </c>
      <c r="P1109" s="909"/>
      <c r="Q1109" s="903"/>
      <c r="R1109" s="903"/>
      <c r="S1109" s="900"/>
      <c r="T1109" s="900"/>
      <c r="U1109" s="900"/>
    </row>
    <row r="1110" spans="1:21" ht="35.1" customHeight="1">
      <c r="A1110" s="1241"/>
      <c r="B1110" s="885"/>
      <c r="C1110" s="885"/>
      <c r="D1110" s="890"/>
      <c r="E1110" s="891"/>
      <c r="F1110" s="892"/>
      <c r="G1110" s="898"/>
      <c r="H1110" s="858"/>
      <c r="I1110" s="858"/>
      <c r="J1110" s="858"/>
      <c r="K1110" s="861"/>
      <c r="L1110" s="347" t="s">
        <v>753</v>
      </c>
      <c r="M1110" s="303">
        <v>142</v>
      </c>
      <c r="N1110" s="132">
        <v>0</v>
      </c>
      <c r="O1110" s="132">
        <v>0</v>
      </c>
      <c r="P1110" s="909"/>
      <c r="Q1110" s="903"/>
      <c r="R1110" s="903"/>
      <c r="S1110" s="900"/>
      <c r="T1110" s="900"/>
      <c r="U1110" s="900"/>
    </row>
    <row r="1111" spans="1:21" ht="35.1" customHeight="1">
      <c r="A1111" s="1241"/>
      <c r="B1111" s="886"/>
      <c r="C1111" s="886"/>
      <c r="D1111" s="893"/>
      <c r="E1111" s="894"/>
      <c r="F1111" s="895"/>
      <c r="G1111" s="463" t="s">
        <v>329</v>
      </c>
      <c r="H1111" s="464"/>
      <c r="I1111" s="464"/>
      <c r="J1111" s="464"/>
      <c r="K1111" s="465"/>
      <c r="L1111" s="184"/>
      <c r="M1111" s="224">
        <f>SUM(M1104:M1110)</f>
        <v>702</v>
      </c>
      <c r="N1111" s="263">
        <f>SUM(N1104:N1110)</f>
        <v>0</v>
      </c>
      <c r="O1111" s="263">
        <f>SUM(O1104:O1110)</f>
        <v>0</v>
      </c>
      <c r="P1111" s="910"/>
      <c r="Q1111" s="904"/>
      <c r="R1111" s="904"/>
      <c r="S1111" s="901"/>
      <c r="T1111" s="901"/>
      <c r="U1111" s="901"/>
    </row>
    <row r="1112" spans="1:21" ht="35.1" customHeight="1">
      <c r="A1112" s="1241"/>
      <c r="B1112" s="620" t="s">
        <v>105</v>
      </c>
      <c r="C1112" s="621"/>
      <c r="D1112" s="621"/>
      <c r="E1112" s="621"/>
      <c r="F1112" s="621"/>
      <c r="G1112" s="621"/>
      <c r="H1112" s="621"/>
      <c r="I1112" s="621"/>
      <c r="J1112" s="621"/>
      <c r="K1112" s="622"/>
      <c r="L1112" s="122"/>
      <c r="M1112" s="226">
        <f>M1111</f>
        <v>702</v>
      </c>
      <c r="N1112" s="391">
        <f>N1111</f>
        <v>0</v>
      </c>
      <c r="O1112" s="391">
        <f>O1111</f>
        <v>0</v>
      </c>
      <c r="P1112" s="123"/>
      <c r="Q1112" s="123"/>
      <c r="R1112" s="123"/>
      <c r="S1112" s="156"/>
      <c r="T1112" s="156"/>
      <c r="U1112" s="156"/>
    </row>
    <row r="1113" spans="1:21" ht="35.1" customHeight="1">
      <c r="A1113" s="1241"/>
      <c r="B1113" s="884" t="s">
        <v>662</v>
      </c>
      <c r="C1113" s="884" t="s">
        <v>805</v>
      </c>
      <c r="D1113" s="887" t="s">
        <v>806</v>
      </c>
      <c r="E1113" s="888"/>
      <c r="F1113" s="889"/>
      <c r="G1113" s="896" t="s">
        <v>807</v>
      </c>
      <c r="H1113" s="856" t="s">
        <v>808</v>
      </c>
      <c r="I1113" s="856"/>
      <c r="J1113" s="856" t="s">
        <v>809</v>
      </c>
      <c r="K1113" s="859" t="s">
        <v>810</v>
      </c>
      <c r="L1113" s="347">
        <v>59</v>
      </c>
      <c r="M1113" s="303">
        <v>39</v>
      </c>
      <c r="N1113" s="215">
        <v>0</v>
      </c>
      <c r="O1113" s="215">
        <v>0</v>
      </c>
      <c r="P1113" s="908" t="s">
        <v>811</v>
      </c>
      <c r="Q1113" s="902" t="s">
        <v>812</v>
      </c>
      <c r="R1113" s="902" t="s">
        <v>813</v>
      </c>
      <c r="S1113" s="899" t="s">
        <v>13</v>
      </c>
      <c r="T1113" s="899"/>
      <c r="U1113" s="899"/>
    </row>
    <row r="1114" spans="1:21" ht="35.1" customHeight="1">
      <c r="A1114" s="1241"/>
      <c r="B1114" s="885"/>
      <c r="C1114" s="885"/>
      <c r="D1114" s="890"/>
      <c r="E1114" s="891"/>
      <c r="F1114" s="892"/>
      <c r="G1114" s="897"/>
      <c r="H1114" s="857"/>
      <c r="I1114" s="857"/>
      <c r="J1114" s="857"/>
      <c r="K1114" s="860"/>
      <c r="L1114" s="353">
        <v>59</v>
      </c>
      <c r="M1114" s="303">
        <v>3</v>
      </c>
      <c r="N1114" s="215">
        <v>0</v>
      </c>
      <c r="O1114" s="215">
        <v>0</v>
      </c>
      <c r="P1114" s="909"/>
      <c r="Q1114" s="903"/>
      <c r="R1114" s="903"/>
      <c r="S1114" s="900"/>
      <c r="T1114" s="900"/>
      <c r="U1114" s="900"/>
    </row>
    <row r="1115" spans="1:21" ht="35.1" customHeight="1">
      <c r="A1115" s="1241"/>
      <c r="B1115" s="885"/>
      <c r="C1115" s="885"/>
      <c r="D1115" s="890"/>
      <c r="E1115" s="891"/>
      <c r="F1115" s="892"/>
      <c r="G1115" s="898"/>
      <c r="H1115" s="858"/>
      <c r="I1115" s="858"/>
      <c r="J1115" s="858"/>
      <c r="K1115" s="861"/>
      <c r="L1115" s="347">
        <v>84</v>
      </c>
      <c r="M1115" s="303">
        <v>26</v>
      </c>
      <c r="N1115" s="215">
        <v>12</v>
      </c>
      <c r="O1115" s="215">
        <v>0</v>
      </c>
      <c r="P1115" s="909"/>
      <c r="Q1115" s="903"/>
      <c r="R1115" s="903"/>
      <c r="S1115" s="900"/>
      <c r="T1115" s="900"/>
      <c r="U1115" s="900"/>
    </row>
    <row r="1116" spans="1:21" ht="35.1" customHeight="1">
      <c r="A1116" s="1241"/>
      <c r="B1116" s="886"/>
      <c r="C1116" s="886"/>
      <c r="D1116" s="893"/>
      <c r="E1116" s="894"/>
      <c r="F1116" s="895"/>
      <c r="G1116" s="463" t="s">
        <v>329</v>
      </c>
      <c r="H1116" s="464"/>
      <c r="I1116" s="464"/>
      <c r="J1116" s="464"/>
      <c r="K1116" s="465"/>
      <c r="L1116" s="184"/>
      <c r="M1116" s="263">
        <f>SUM(M1113:M1115)</f>
        <v>68</v>
      </c>
      <c r="N1116" s="263">
        <f>SUM(N1113:N1115)</f>
        <v>12</v>
      </c>
      <c r="O1116" s="263">
        <f>SUM(O1113:O1115)</f>
        <v>0</v>
      </c>
      <c r="P1116" s="910"/>
      <c r="Q1116" s="904"/>
      <c r="R1116" s="904"/>
      <c r="S1116" s="901"/>
      <c r="T1116" s="901"/>
      <c r="U1116" s="901"/>
    </row>
    <row r="1117" spans="1:21" ht="35.1" customHeight="1">
      <c r="A1117" s="1241"/>
      <c r="B1117" s="620" t="s">
        <v>105</v>
      </c>
      <c r="C1117" s="621"/>
      <c r="D1117" s="621"/>
      <c r="E1117" s="621"/>
      <c r="F1117" s="621"/>
      <c r="G1117" s="621"/>
      <c r="H1117" s="621"/>
      <c r="I1117" s="621"/>
      <c r="J1117" s="621"/>
      <c r="K1117" s="622"/>
      <c r="L1117" s="122"/>
      <c r="M1117" s="226">
        <f>M1116</f>
        <v>68</v>
      </c>
      <c r="N1117" s="391">
        <f>N1116</f>
        <v>12</v>
      </c>
      <c r="O1117" s="391">
        <f>O1116</f>
        <v>0</v>
      </c>
      <c r="P1117" s="123"/>
      <c r="Q1117" s="123"/>
      <c r="R1117" s="123"/>
      <c r="S1117" s="156"/>
      <c r="T1117" s="156"/>
      <c r="U1117" s="156"/>
    </row>
    <row r="1118" spans="1:21" ht="35.1" customHeight="1">
      <c r="A1118" s="1241"/>
      <c r="B1118" s="579" t="s">
        <v>32</v>
      </c>
      <c r="C1118" s="1721" t="s">
        <v>605</v>
      </c>
      <c r="D1118" s="1724" t="s">
        <v>916</v>
      </c>
      <c r="E1118" s="1725"/>
      <c r="F1118" s="1726"/>
      <c r="G1118" s="596" t="s">
        <v>602</v>
      </c>
      <c r="H1118" s="596" t="s">
        <v>603</v>
      </c>
      <c r="I1118" s="1733" t="s">
        <v>917</v>
      </c>
      <c r="J1118" s="596" t="s">
        <v>67</v>
      </c>
      <c r="K1118" s="596" t="s">
        <v>66</v>
      </c>
      <c r="L1118" s="324">
        <v>56.710700000000003</v>
      </c>
      <c r="M1118" s="325">
        <v>123</v>
      </c>
      <c r="N1118" s="326">
        <v>3</v>
      </c>
      <c r="O1118" s="326">
        <v>3</v>
      </c>
      <c r="P1118" s="1701" t="s">
        <v>918</v>
      </c>
      <c r="Q1118" s="1701" t="s">
        <v>919</v>
      </c>
      <c r="R1118" s="1701" t="s">
        <v>920</v>
      </c>
      <c r="S1118" s="1767" t="s">
        <v>188</v>
      </c>
      <c r="T1118" s="1701" t="s">
        <v>604</v>
      </c>
      <c r="U1118" s="1701" t="s">
        <v>11</v>
      </c>
    </row>
    <row r="1119" spans="1:21" ht="35.1" customHeight="1">
      <c r="A1119" s="1241"/>
      <c r="B1119" s="580"/>
      <c r="C1119" s="1722"/>
      <c r="D1119" s="1727"/>
      <c r="E1119" s="1728"/>
      <c r="F1119" s="1729"/>
      <c r="G1119" s="597"/>
      <c r="H1119" s="597"/>
      <c r="I1119" s="1734"/>
      <c r="J1119" s="597"/>
      <c r="K1119" s="597"/>
      <c r="L1119" s="324">
        <v>71.021000000000001</v>
      </c>
      <c r="M1119" s="325">
        <v>22</v>
      </c>
      <c r="N1119" s="326">
        <v>4</v>
      </c>
      <c r="O1119" s="326">
        <v>4</v>
      </c>
      <c r="P1119" s="1702"/>
      <c r="Q1119" s="1702"/>
      <c r="R1119" s="1702"/>
      <c r="S1119" s="1768"/>
      <c r="T1119" s="1702"/>
      <c r="U1119" s="1702"/>
    </row>
    <row r="1120" spans="1:21" ht="35.1" customHeight="1">
      <c r="A1120" s="1241"/>
      <c r="B1120" s="580"/>
      <c r="C1120" s="1723"/>
      <c r="D1120" s="1730"/>
      <c r="E1120" s="1731"/>
      <c r="F1120" s="1732"/>
      <c r="G1120" s="463" t="s">
        <v>329</v>
      </c>
      <c r="H1120" s="464"/>
      <c r="I1120" s="464"/>
      <c r="J1120" s="464"/>
      <c r="K1120" s="465"/>
      <c r="L1120" s="338"/>
      <c r="M1120" s="341">
        <f>SUM(M1118:M1119)</f>
        <v>145</v>
      </c>
      <c r="N1120" s="341">
        <f>SUM(N1118:N1119)</f>
        <v>7</v>
      </c>
      <c r="O1120" s="341">
        <f>SUM(O1118:O1119)</f>
        <v>7</v>
      </c>
      <c r="P1120" s="1703"/>
      <c r="Q1120" s="1703"/>
      <c r="R1120" s="1703"/>
      <c r="S1120" s="1769"/>
      <c r="T1120" s="1703"/>
      <c r="U1120" s="1703"/>
    </row>
    <row r="1121" spans="1:21" ht="35.1" customHeight="1">
      <c r="A1121" s="1241"/>
      <c r="B1121" s="580"/>
      <c r="C1121" s="1242" t="s">
        <v>921</v>
      </c>
      <c r="D1121" s="601" t="s">
        <v>922</v>
      </c>
      <c r="E1121" s="602"/>
      <c r="F1121" s="603"/>
      <c r="G1121" s="610" t="s">
        <v>923</v>
      </c>
      <c r="H1121" s="610" t="s">
        <v>923</v>
      </c>
      <c r="I1121" s="1754" t="s">
        <v>924</v>
      </c>
      <c r="J1121" s="610" t="s">
        <v>11</v>
      </c>
      <c r="K1121" s="610" t="s">
        <v>12</v>
      </c>
      <c r="L1121" s="327">
        <v>84.958399999999997</v>
      </c>
      <c r="M1121" s="328">
        <v>260</v>
      </c>
      <c r="N1121" s="328">
        <v>18</v>
      </c>
      <c r="O1121" s="328">
        <v>8</v>
      </c>
      <c r="P1121" s="531" t="s">
        <v>925</v>
      </c>
      <c r="Q1121" s="531" t="s">
        <v>926</v>
      </c>
      <c r="R1121" s="531" t="s">
        <v>927</v>
      </c>
      <c r="S1121" s="531" t="s">
        <v>13</v>
      </c>
      <c r="T1121" s="531" t="s">
        <v>928</v>
      </c>
      <c r="U1121" s="531" t="s">
        <v>17</v>
      </c>
    </row>
    <row r="1122" spans="1:21" ht="35.1" customHeight="1">
      <c r="A1122" s="1241"/>
      <c r="B1122" s="580"/>
      <c r="C1122" s="1753"/>
      <c r="D1122" s="604"/>
      <c r="E1122" s="1752"/>
      <c r="F1122" s="606"/>
      <c r="G1122" s="612"/>
      <c r="H1122" s="612"/>
      <c r="I1122" s="1755"/>
      <c r="J1122" s="612"/>
      <c r="K1122" s="612"/>
      <c r="L1122" s="327">
        <v>112.09010000000001</v>
      </c>
      <c r="M1122" s="328">
        <v>122</v>
      </c>
      <c r="N1122" s="328">
        <v>26</v>
      </c>
      <c r="O1122" s="328">
        <v>21</v>
      </c>
      <c r="P1122" s="532"/>
      <c r="Q1122" s="532"/>
      <c r="R1122" s="532"/>
      <c r="S1122" s="532"/>
      <c r="T1122" s="532"/>
      <c r="U1122" s="532"/>
    </row>
    <row r="1123" spans="1:21" ht="35.1" customHeight="1">
      <c r="A1123" s="1241"/>
      <c r="B1123" s="580"/>
      <c r="C1123" s="1243"/>
      <c r="D1123" s="607"/>
      <c r="E1123" s="608"/>
      <c r="F1123" s="609"/>
      <c r="G1123" s="463" t="s">
        <v>329</v>
      </c>
      <c r="H1123" s="464"/>
      <c r="I1123" s="464"/>
      <c r="J1123" s="464"/>
      <c r="K1123" s="465"/>
      <c r="L1123" s="339"/>
      <c r="M1123" s="341">
        <f>SUM(M1121:M1122)</f>
        <v>382</v>
      </c>
      <c r="N1123" s="341">
        <f>SUM(N1121:N1122)</f>
        <v>44</v>
      </c>
      <c r="O1123" s="341">
        <f>SUM(O1121:O1122)</f>
        <v>29</v>
      </c>
      <c r="P1123" s="533"/>
      <c r="Q1123" s="533"/>
      <c r="R1123" s="533"/>
      <c r="S1123" s="533"/>
      <c r="T1123" s="533"/>
      <c r="U1123" s="533"/>
    </row>
    <row r="1124" spans="1:21" ht="35.1" customHeight="1">
      <c r="A1124" s="1241"/>
      <c r="B1124" s="580"/>
      <c r="C1124" s="1242" t="s">
        <v>929</v>
      </c>
      <c r="D1124" s="601" t="s">
        <v>930</v>
      </c>
      <c r="E1124" s="602"/>
      <c r="F1124" s="603"/>
      <c r="G1124" s="343" t="s">
        <v>923</v>
      </c>
      <c r="H1124" s="343" t="s">
        <v>923</v>
      </c>
      <c r="I1124" s="344" t="s">
        <v>924</v>
      </c>
      <c r="J1124" s="343" t="s">
        <v>11</v>
      </c>
      <c r="K1124" s="343" t="s">
        <v>12</v>
      </c>
      <c r="L1124" s="327">
        <v>84.958399999999997</v>
      </c>
      <c r="M1124" s="328">
        <v>270</v>
      </c>
      <c r="N1124" s="328">
        <v>13</v>
      </c>
      <c r="O1124" s="328">
        <v>9</v>
      </c>
      <c r="P1124" s="531" t="s">
        <v>931</v>
      </c>
      <c r="Q1124" s="531" t="s">
        <v>932</v>
      </c>
      <c r="R1124" s="531" t="s">
        <v>933</v>
      </c>
      <c r="S1124" s="531" t="s">
        <v>13</v>
      </c>
      <c r="T1124" s="531" t="s">
        <v>928</v>
      </c>
      <c r="U1124" s="531" t="s">
        <v>17</v>
      </c>
    </row>
    <row r="1125" spans="1:21" ht="35.1" customHeight="1">
      <c r="A1125" s="1241"/>
      <c r="B1125" s="580"/>
      <c r="C1125" s="1243"/>
      <c r="D1125" s="607"/>
      <c r="E1125" s="608"/>
      <c r="F1125" s="609"/>
      <c r="G1125" s="463" t="s">
        <v>329</v>
      </c>
      <c r="H1125" s="464"/>
      <c r="I1125" s="464"/>
      <c r="J1125" s="464"/>
      <c r="K1125" s="465"/>
      <c r="L1125" s="340"/>
      <c r="M1125" s="341">
        <f>SUM(M1124:M1124)</f>
        <v>270</v>
      </c>
      <c r="N1125" s="341">
        <f>SUM(N1124:N1124)</f>
        <v>13</v>
      </c>
      <c r="O1125" s="341">
        <f>SUM(O1124:O1124)</f>
        <v>9</v>
      </c>
      <c r="P1125" s="533"/>
      <c r="Q1125" s="533"/>
      <c r="R1125" s="533"/>
      <c r="S1125" s="533"/>
      <c r="T1125" s="533"/>
      <c r="U1125" s="533"/>
    </row>
    <row r="1126" spans="1:21" ht="35.1" customHeight="1">
      <c r="A1126" s="1241"/>
      <c r="B1126" s="580"/>
      <c r="C1126" s="1738" t="s">
        <v>921</v>
      </c>
      <c r="D1126" s="1741" t="s">
        <v>934</v>
      </c>
      <c r="E1126" s="1742"/>
      <c r="F1126" s="1743"/>
      <c r="G1126" s="596" t="s">
        <v>935</v>
      </c>
      <c r="H1126" s="596" t="s">
        <v>936</v>
      </c>
      <c r="I1126" s="1733" t="s">
        <v>937</v>
      </c>
      <c r="J1126" s="596" t="s">
        <v>11</v>
      </c>
      <c r="K1126" s="596" t="s">
        <v>12</v>
      </c>
      <c r="L1126" s="324">
        <v>61.9953</v>
      </c>
      <c r="M1126" s="325">
        <v>117</v>
      </c>
      <c r="N1126" s="325">
        <v>0</v>
      </c>
      <c r="O1126" s="325">
        <v>0</v>
      </c>
      <c r="P1126" s="1691" t="s">
        <v>938</v>
      </c>
      <c r="Q1126" s="1691" t="s">
        <v>939</v>
      </c>
      <c r="R1126" s="1691" t="s">
        <v>940</v>
      </c>
      <c r="S1126" s="1691" t="s">
        <v>13</v>
      </c>
      <c r="T1126" s="1691" t="s">
        <v>928</v>
      </c>
      <c r="U1126" s="1691" t="s">
        <v>11</v>
      </c>
    </row>
    <row r="1127" spans="1:21" ht="35.1" customHeight="1">
      <c r="A1127" s="1241"/>
      <c r="B1127" s="580"/>
      <c r="C1127" s="1739"/>
      <c r="D1127" s="1744"/>
      <c r="E1127" s="1745"/>
      <c r="F1127" s="1746"/>
      <c r="G1127" s="1750"/>
      <c r="H1127" s="1750"/>
      <c r="I1127" s="1751"/>
      <c r="J1127" s="1750"/>
      <c r="K1127" s="1750"/>
      <c r="L1127" s="324">
        <v>84.987700000000004</v>
      </c>
      <c r="M1127" s="325">
        <v>268</v>
      </c>
      <c r="N1127" s="325">
        <v>3</v>
      </c>
      <c r="O1127" s="325">
        <v>2</v>
      </c>
      <c r="P1127" s="1692"/>
      <c r="Q1127" s="1692"/>
      <c r="R1127" s="1692"/>
      <c r="S1127" s="1692"/>
      <c r="T1127" s="1692"/>
      <c r="U1127" s="1692"/>
    </row>
    <row r="1128" spans="1:21" ht="35.1" customHeight="1">
      <c r="A1128" s="1241"/>
      <c r="B1128" s="580"/>
      <c r="C1128" s="1739"/>
      <c r="D1128" s="1744"/>
      <c r="E1128" s="1745"/>
      <c r="F1128" s="1746"/>
      <c r="G1128" s="597"/>
      <c r="H1128" s="597"/>
      <c r="I1128" s="1734"/>
      <c r="J1128" s="597"/>
      <c r="K1128" s="597"/>
      <c r="L1128" s="324">
        <v>84.990899999999996</v>
      </c>
      <c r="M1128" s="325">
        <v>95</v>
      </c>
      <c r="N1128" s="325">
        <v>1</v>
      </c>
      <c r="O1128" s="325">
        <v>1</v>
      </c>
      <c r="P1128" s="1692"/>
      <c r="Q1128" s="1692"/>
      <c r="R1128" s="1692"/>
      <c r="S1128" s="1692"/>
      <c r="T1128" s="1692"/>
      <c r="U1128" s="1692"/>
    </row>
    <row r="1129" spans="1:21" ht="35.1" customHeight="1">
      <c r="A1129" s="1241"/>
      <c r="B1129" s="580"/>
      <c r="C1129" s="1740"/>
      <c r="D1129" s="1747"/>
      <c r="E1129" s="1748"/>
      <c r="F1129" s="1749"/>
      <c r="G1129" s="463" t="s">
        <v>329</v>
      </c>
      <c r="H1129" s="464"/>
      <c r="I1129" s="464"/>
      <c r="J1129" s="464"/>
      <c r="K1129" s="465"/>
      <c r="L1129" s="338"/>
      <c r="M1129" s="341">
        <f>SUM(M1126:M1128)</f>
        <v>480</v>
      </c>
      <c r="N1129" s="341">
        <f>SUM(N1126:N1128)</f>
        <v>4</v>
      </c>
      <c r="O1129" s="341">
        <f>SUM(O1126:O1128)</f>
        <v>3</v>
      </c>
      <c r="P1129" s="1693"/>
      <c r="Q1129" s="1693"/>
      <c r="R1129" s="1693"/>
      <c r="S1129" s="1693"/>
      <c r="T1129" s="1693"/>
      <c r="U1129" s="1693"/>
    </row>
    <row r="1130" spans="1:21" ht="35.1" customHeight="1">
      <c r="A1130" s="1241"/>
      <c r="B1130" s="580"/>
      <c r="C1130" s="598" t="s">
        <v>921</v>
      </c>
      <c r="D1130" s="601" t="s">
        <v>1049</v>
      </c>
      <c r="E1130" s="602"/>
      <c r="F1130" s="603"/>
      <c r="G1130" s="610" t="s">
        <v>1050</v>
      </c>
      <c r="H1130" s="610" t="s">
        <v>1051</v>
      </c>
      <c r="I1130" s="1754" t="s">
        <v>1052</v>
      </c>
      <c r="J1130" s="610" t="s">
        <v>11</v>
      </c>
      <c r="K1130" s="610" t="s">
        <v>12</v>
      </c>
      <c r="L1130" s="327">
        <v>84.997900000000001</v>
      </c>
      <c r="M1130" s="328">
        <v>233</v>
      </c>
      <c r="N1130" s="328">
        <v>2</v>
      </c>
      <c r="O1130" s="328">
        <v>0</v>
      </c>
      <c r="P1130" s="531" t="s">
        <v>1053</v>
      </c>
      <c r="Q1130" s="531" t="s">
        <v>1054</v>
      </c>
      <c r="R1130" s="531" t="s">
        <v>1055</v>
      </c>
      <c r="S1130" s="531" t="s">
        <v>13</v>
      </c>
      <c r="T1130" s="531" t="s">
        <v>928</v>
      </c>
      <c r="U1130" s="531" t="s">
        <v>17</v>
      </c>
    </row>
    <row r="1131" spans="1:21" ht="35.1" customHeight="1">
      <c r="A1131" s="1241"/>
      <c r="B1131" s="580"/>
      <c r="C1131" s="599"/>
      <c r="D1131" s="604"/>
      <c r="E1131" s="605"/>
      <c r="F1131" s="606"/>
      <c r="G1131" s="612"/>
      <c r="H1131" s="612"/>
      <c r="I1131" s="1755"/>
      <c r="J1131" s="612"/>
      <c r="K1131" s="612"/>
      <c r="L1131" s="327">
        <v>84.931299999999993</v>
      </c>
      <c r="M1131" s="328">
        <v>77</v>
      </c>
      <c r="N1131" s="328">
        <v>1</v>
      </c>
      <c r="O1131" s="328">
        <v>0</v>
      </c>
      <c r="P1131" s="532"/>
      <c r="Q1131" s="532"/>
      <c r="R1131" s="532"/>
      <c r="S1131" s="532"/>
      <c r="T1131" s="532"/>
      <c r="U1131" s="532"/>
    </row>
    <row r="1132" spans="1:21" ht="35.1" customHeight="1">
      <c r="A1132" s="1241"/>
      <c r="B1132" s="580"/>
      <c r="C1132" s="600"/>
      <c r="D1132" s="607"/>
      <c r="E1132" s="608"/>
      <c r="F1132" s="609"/>
      <c r="G1132" s="463" t="s">
        <v>329</v>
      </c>
      <c r="H1132" s="464"/>
      <c r="I1132" s="464"/>
      <c r="J1132" s="464"/>
      <c r="K1132" s="465"/>
      <c r="L1132" s="338"/>
      <c r="M1132" s="341">
        <f>SUM(M1130:M1131)</f>
        <v>310</v>
      </c>
      <c r="N1132" s="341">
        <f t="shared" ref="N1132:O1132" si="68">SUM(N1130:N1131)</f>
        <v>3</v>
      </c>
      <c r="O1132" s="341">
        <f t="shared" si="68"/>
        <v>0</v>
      </c>
      <c r="P1132" s="533"/>
      <c r="Q1132" s="533"/>
      <c r="R1132" s="533"/>
      <c r="S1132" s="533"/>
      <c r="T1132" s="533"/>
      <c r="U1132" s="533"/>
    </row>
    <row r="1133" spans="1:21" ht="35.1" customHeight="1">
      <c r="A1133" s="1241"/>
      <c r="B1133" s="580"/>
      <c r="C1133" s="598" t="s">
        <v>1101</v>
      </c>
      <c r="D1133" s="601" t="s">
        <v>1102</v>
      </c>
      <c r="E1133" s="602"/>
      <c r="F1133" s="603"/>
      <c r="G1133" s="610" t="s">
        <v>1103</v>
      </c>
      <c r="H1133" s="610" t="s">
        <v>1104</v>
      </c>
      <c r="I1133" s="610" t="s">
        <v>1105</v>
      </c>
      <c r="J1133" s="610" t="s">
        <v>11</v>
      </c>
      <c r="K1133" s="623" t="s">
        <v>12</v>
      </c>
      <c r="L1133" s="327">
        <v>74.659499999999994</v>
      </c>
      <c r="M1133" s="328">
        <v>24</v>
      </c>
      <c r="N1133" s="328">
        <v>17</v>
      </c>
      <c r="O1133" s="328">
        <v>15</v>
      </c>
      <c r="P1133" s="531" t="s">
        <v>1106</v>
      </c>
      <c r="Q1133" s="531" t="s">
        <v>1107</v>
      </c>
      <c r="R1133" s="531" t="s">
        <v>1108</v>
      </c>
      <c r="S1133" s="531" t="s">
        <v>13</v>
      </c>
      <c r="T1133" s="531" t="s">
        <v>1109</v>
      </c>
      <c r="U1133" s="531" t="s">
        <v>11</v>
      </c>
    </row>
    <row r="1134" spans="1:21" ht="35.1" customHeight="1">
      <c r="A1134" s="1241"/>
      <c r="B1134" s="580"/>
      <c r="C1134" s="599"/>
      <c r="D1134" s="604"/>
      <c r="E1134" s="605"/>
      <c r="F1134" s="606"/>
      <c r="G1134" s="611"/>
      <c r="H1134" s="611"/>
      <c r="I1134" s="611"/>
      <c r="J1134" s="611"/>
      <c r="K1134" s="624"/>
      <c r="L1134" s="327">
        <v>84.759900000000002</v>
      </c>
      <c r="M1134" s="328">
        <v>377</v>
      </c>
      <c r="N1134" s="328">
        <v>287</v>
      </c>
      <c r="O1134" s="328">
        <v>271</v>
      </c>
      <c r="P1134" s="532"/>
      <c r="Q1134" s="532"/>
      <c r="R1134" s="532"/>
      <c r="S1134" s="532"/>
      <c r="T1134" s="532"/>
      <c r="U1134" s="532"/>
    </row>
    <row r="1135" spans="1:21" ht="35.1" customHeight="1">
      <c r="A1135" s="1241"/>
      <c r="B1135" s="580"/>
      <c r="C1135" s="599"/>
      <c r="D1135" s="604"/>
      <c r="E1135" s="605"/>
      <c r="F1135" s="606"/>
      <c r="G1135" s="612"/>
      <c r="H1135" s="612"/>
      <c r="I1135" s="612"/>
      <c r="J1135" s="612"/>
      <c r="K1135" s="625"/>
      <c r="L1135" s="327">
        <v>84.961500000000001</v>
      </c>
      <c r="M1135" s="328">
        <v>29</v>
      </c>
      <c r="N1135" s="328">
        <v>25</v>
      </c>
      <c r="O1135" s="328">
        <v>25</v>
      </c>
      <c r="P1135" s="532"/>
      <c r="Q1135" s="532"/>
      <c r="R1135" s="532"/>
      <c r="S1135" s="532"/>
      <c r="T1135" s="532"/>
      <c r="U1135" s="532"/>
    </row>
    <row r="1136" spans="1:21" ht="35.1" customHeight="1">
      <c r="A1136" s="1241"/>
      <c r="B1136" s="581"/>
      <c r="C1136" s="600"/>
      <c r="D1136" s="607"/>
      <c r="E1136" s="608"/>
      <c r="F1136" s="609"/>
      <c r="G1136" s="463" t="s">
        <v>329</v>
      </c>
      <c r="H1136" s="464"/>
      <c r="I1136" s="464"/>
      <c r="J1136" s="464"/>
      <c r="K1136" s="465"/>
      <c r="L1136" s="338"/>
      <c r="M1136" s="341">
        <f>SUM(M1133:M1135)</f>
        <v>430</v>
      </c>
      <c r="N1136" s="341">
        <f>SUM(N1133:N1135)</f>
        <v>329</v>
      </c>
      <c r="O1136" s="341">
        <f>SUM(O1133:O1135)</f>
        <v>311</v>
      </c>
      <c r="P1136" s="533"/>
      <c r="Q1136" s="533"/>
      <c r="R1136" s="533"/>
      <c r="S1136" s="533"/>
      <c r="T1136" s="533"/>
      <c r="U1136" s="533"/>
    </row>
    <row r="1137" spans="1:21" ht="30" customHeight="1">
      <c r="A1137" s="1241"/>
      <c r="B1137" s="620" t="s">
        <v>105</v>
      </c>
      <c r="C1137" s="621"/>
      <c r="D1137" s="621"/>
      <c r="E1137" s="621"/>
      <c r="F1137" s="621"/>
      <c r="G1137" s="621"/>
      <c r="H1137" s="621"/>
      <c r="I1137" s="621"/>
      <c r="J1137" s="621"/>
      <c r="K1137" s="622"/>
      <c r="L1137" s="122"/>
      <c r="M1137" s="391">
        <f>M1129+M1125+M1123+M1120+M1132+M1136</f>
        <v>2017</v>
      </c>
      <c r="N1137" s="391">
        <f>N1129+N1125+N1123+N1120+N1132+N1136</f>
        <v>400</v>
      </c>
      <c r="O1137" s="391">
        <f>O1129+O1125+O1123+O1120+O1132+O1136</f>
        <v>359</v>
      </c>
      <c r="P1137" s="123"/>
      <c r="Q1137" s="123"/>
      <c r="R1137" s="123"/>
      <c r="S1137" s="156"/>
      <c r="T1137" s="156"/>
      <c r="U1137" s="156"/>
    </row>
  </sheetData>
  <mergeCells count="2351">
    <mergeCell ref="V1042:V1049"/>
    <mergeCell ref="B992:B1049"/>
    <mergeCell ref="G1041:K1041"/>
    <mergeCell ref="G1049:K1049"/>
    <mergeCell ref="G1020:I1031"/>
    <mergeCell ref="C1033:C1041"/>
    <mergeCell ref="D1033:F1041"/>
    <mergeCell ref="G1033:I1040"/>
    <mergeCell ref="J1033:J1040"/>
    <mergeCell ref="K1033:K1040"/>
    <mergeCell ref="P1033:P1041"/>
    <mergeCell ref="Q1033:Q1041"/>
    <mergeCell ref="R1033:R1041"/>
    <mergeCell ref="S1033:S1041"/>
    <mergeCell ref="T1033:T1041"/>
    <mergeCell ref="U1033:U1041"/>
    <mergeCell ref="V1033:V1041"/>
    <mergeCell ref="T1020:T1032"/>
    <mergeCell ref="T1016:T1019"/>
    <mergeCell ref="V992:V1003"/>
    <mergeCell ref="U1020:U1032"/>
    <mergeCell ref="W480:W483"/>
    <mergeCell ref="C480:C483"/>
    <mergeCell ref="D480:F483"/>
    <mergeCell ref="G1120:K1120"/>
    <mergeCell ref="J965:J975"/>
    <mergeCell ref="T1126:T1129"/>
    <mergeCell ref="U1126:U1129"/>
    <mergeCell ref="U985:U990"/>
    <mergeCell ref="X480:X483"/>
    <mergeCell ref="Q308:Q311"/>
    <mergeCell ref="P317:P319"/>
    <mergeCell ref="Q438:Q445"/>
    <mergeCell ref="P414:P417"/>
    <mergeCell ref="Q403:Q410"/>
    <mergeCell ref="Q411:Q413"/>
    <mergeCell ref="G327:I329"/>
    <mergeCell ref="C453:C462"/>
    <mergeCell ref="U829:U835"/>
    <mergeCell ref="H769:H772"/>
    <mergeCell ref="T796:T798"/>
    <mergeCell ref="T737:T740"/>
    <mergeCell ref="P746:P752"/>
    <mergeCell ref="P463:P469"/>
    <mergeCell ref="G421:G427"/>
    <mergeCell ref="D446:F452"/>
    <mergeCell ref="T1080:T1084"/>
    <mergeCell ref="S965:S976"/>
    <mergeCell ref="J331:J332"/>
    <mergeCell ref="S836:S842"/>
    <mergeCell ref="S829:S835"/>
    <mergeCell ref="U821:U828"/>
    <mergeCell ref="R886:R894"/>
    <mergeCell ref="H1130:H1131"/>
    <mergeCell ref="I1130:I1131"/>
    <mergeCell ref="J1130:J1131"/>
    <mergeCell ref="K1130:K1131"/>
    <mergeCell ref="P1130:P1132"/>
    <mergeCell ref="S1068:S1077"/>
    <mergeCell ref="T1068:T1077"/>
    <mergeCell ref="U1068:U1077"/>
    <mergeCell ref="T955:T964"/>
    <mergeCell ref="U977:U983"/>
    <mergeCell ref="G965:G975"/>
    <mergeCell ref="H965:H975"/>
    <mergeCell ref="I965:I975"/>
    <mergeCell ref="Q1130:Q1132"/>
    <mergeCell ref="R1130:R1132"/>
    <mergeCell ref="S1130:S1132"/>
    <mergeCell ref="T1130:T1132"/>
    <mergeCell ref="U1130:U1132"/>
    <mergeCell ref="G1132:K1132"/>
    <mergeCell ref="S1016:S1019"/>
    <mergeCell ref="U1080:U1084"/>
    <mergeCell ref="I955:I963"/>
    <mergeCell ref="U1118:U1120"/>
    <mergeCell ref="U1093:U1102"/>
    <mergeCell ref="I992:I1002"/>
    <mergeCell ref="S1118:S1120"/>
    <mergeCell ref="S1126:S1129"/>
    <mergeCell ref="G1080:G1083"/>
    <mergeCell ref="G1015:K1015"/>
    <mergeCell ref="P1004:P1015"/>
    <mergeCell ref="I1080:I1083"/>
    <mergeCell ref="G1055:G1066"/>
    <mergeCell ref="T241:T245"/>
    <mergeCell ref="U241:U245"/>
    <mergeCell ref="G245:K245"/>
    <mergeCell ref="U815:U820"/>
    <mergeCell ref="I796:I797"/>
    <mergeCell ref="K803:K813"/>
    <mergeCell ref="R760:R764"/>
    <mergeCell ref="S760:S764"/>
    <mergeCell ref="R784:R788"/>
    <mergeCell ref="T803:T814"/>
    <mergeCell ref="Q955:Q964"/>
    <mergeCell ref="Q945:Q954"/>
    <mergeCell ref="J1042:J1048"/>
    <mergeCell ref="U1042:U1049"/>
    <mergeCell ref="Q550:Q555"/>
    <mergeCell ref="G550:G554"/>
    <mergeCell ref="G556:G571"/>
    <mergeCell ref="P510:P517"/>
    <mergeCell ref="I631:I640"/>
    <mergeCell ref="G653:G658"/>
    <mergeCell ref="S733:S736"/>
    <mergeCell ref="T794:T795"/>
    <mergeCell ref="S775:S778"/>
    <mergeCell ref="Q779:Q783"/>
    <mergeCell ref="I866:I870"/>
    <mergeCell ref="U1016:U1019"/>
    <mergeCell ref="T829:T835"/>
    <mergeCell ref="Q821:Q828"/>
    <mergeCell ref="U939:U944"/>
    <mergeCell ref="U945:U954"/>
    <mergeCell ref="T789:T793"/>
    <mergeCell ref="Q775:Q778"/>
    <mergeCell ref="D17:F19"/>
    <mergeCell ref="G17:G18"/>
    <mergeCell ref="H17:H18"/>
    <mergeCell ref="I17:I18"/>
    <mergeCell ref="J17:J18"/>
    <mergeCell ref="K17:K18"/>
    <mergeCell ref="P17:P19"/>
    <mergeCell ref="Q17:Q19"/>
    <mergeCell ref="R17:R19"/>
    <mergeCell ref="S17:S19"/>
    <mergeCell ref="T17:T19"/>
    <mergeCell ref="U17:U19"/>
    <mergeCell ref="G19:K19"/>
    <mergeCell ref="D753:F759"/>
    <mergeCell ref="D226:F231"/>
    <mergeCell ref="P226:P231"/>
    <mergeCell ref="G231:K231"/>
    <mergeCell ref="G232:K239"/>
    <mergeCell ref="I277:I278"/>
    <mergeCell ref="D274:F276"/>
    <mergeCell ref="T453:T462"/>
    <mergeCell ref="I492:I495"/>
    <mergeCell ref="Q418:Q420"/>
    <mergeCell ref="H711:H715"/>
    <mergeCell ref="P717:P732"/>
    <mergeCell ref="R599:R603"/>
    <mergeCell ref="R604:R608"/>
    <mergeCell ref="R578:R581"/>
    <mergeCell ref="R623:R625"/>
    <mergeCell ref="S599:S603"/>
    <mergeCell ref="G604:I607"/>
    <mergeCell ref="H741:H744"/>
    <mergeCell ref="R1124:R1125"/>
    <mergeCell ref="S1124:S1125"/>
    <mergeCell ref="T1124:T1125"/>
    <mergeCell ref="U1124:U1125"/>
    <mergeCell ref="G1125:K1125"/>
    <mergeCell ref="C1126:C1129"/>
    <mergeCell ref="D1126:F1129"/>
    <mergeCell ref="G1126:G1128"/>
    <mergeCell ref="H1126:H1128"/>
    <mergeCell ref="I1126:I1128"/>
    <mergeCell ref="J1126:J1128"/>
    <mergeCell ref="K1126:K1128"/>
    <mergeCell ref="P1126:P1129"/>
    <mergeCell ref="D1121:F1123"/>
    <mergeCell ref="G1121:G1122"/>
    <mergeCell ref="P1121:P1123"/>
    <mergeCell ref="Q1121:Q1123"/>
    <mergeCell ref="Q1126:Q1129"/>
    <mergeCell ref="H1121:H1122"/>
    <mergeCell ref="G1129:K1129"/>
    <mergeCell ref="D1124:F1125"/>
    <mergeCell ref="P1124:P1125"/>
    <mergeCell ref="Q1124:Q1125"/>
    <mergeCell ref="C1121:C1123"/>
    <mergeCell ref="I1121:I1122"/>
    <mergeCell ref="J1121:J1122"/>
    <mergeCell ref="K1121:K1122"/>
    <mergeCell ref="R1121:R1123"/>
    <mergeCell ref="S1121:S1123"/>
    <mergeCell ref="T1121:T1123"/>
    <mergeCell ref="U1121:U1123"/>
    <mergeCell ref="G1123:K1123"/>
    <mergeCell ref="B938:K938"/>
    <mergeCell ref="C977:C983"/>
    <mergeCell ref="D977:F983"/>
    <mergeCell ref="G977:G982"/>
    <mergeCell ref="B991:K991"/>
    <mergeCell ref="S1042:S1049"/>
    <mergeCell ref="T1042:T1049"/>
    <mergeCell ref="C1118:C1120"/>
    <mergeCell ref="D1118:F1120"/>
    <mergeCell ref="G1118:G1119"/>
    <mergeCell ref="H1118:H1119"/>
    <mergeCell ref="I1118:I1119"/>
    <mergeCell ref="P1118:P1120"/>
    <mergeCell ref="Q1118:Q1120"/>
    <mergeCell ref="P769:P773"/>
    <mergeCell ref="P775:P778"/>
    <mergeCell ref="G945:G953"/>
    <mergeCell ref="R945:R954"/>
    <mergeCell ref="I1016:I1018"/>
    <mergeCell ref="J1118:J1119"/>
    <mergeCell ref="K1118:K1119"/>
    <mergeCell ref="R829:R835"/>
    <mergeCell ref="Q836:Q842"/>
    <mergeCell ref="S939:S944"/>
    <mergeCell ref="R1042:R1049"/>
    <mergeCell ref="P1042:P1049"/>
    <mergeCell ref="Q1042:Q1049"/>
    <mergeCell ref="V480:V483"/>
    <mergeCell ref="T836:T842"/>
    <mergeCell ref="D985:F990"/>
    <mergeCell ref="Q850:Q856"/>
    <mergeCell ref="R1118:R1120"/>
    <mergeCell ref="U866:U871"/>
    <mergeCell ref="S857:S865"/>
    <mergeCell ref="B872:K872"/>
    <mergeCell ref="S886:S894"/>
    <mergeCell ref="K1080:K1083"/>
    <mergeCell ref="R1016:R1019"/>
    <mergeCell ref="D992:F1003"/>
    <mergeCell ref="J992:J1002"/>
    <mergeCell ref="P992:P1003"/>
    <mergeCell ref="G1003:K1003"/>
    <mergeCell ref="P929:P937"/>
    <mergeCell ref="K945:K953"/>
    <mergeCell ref="K965:K975"/>
    <mergeCell ref="T1118:T1120"/>
    <mergeCell ref="R903:R910"/>
    <mergeCell ref="J929:J936"/>
    <mergeCell ref="G857:G864"/>
    <mergeCell ref="U955:U964"/>
    <mergeCell ref="U1085:U1092"/>
    <mergeCell ref="H1055:H1066"/>
    <mergeCell ref="R821:R828"/>
    <mergeCell ref="K1042:K1048"/>
    <mergeCell ref="G753:G758"/>
    <mergeCell ref="H753:H758"/>
    <mergeCell ref="I753:I758"/>
    <mergeCell ref="C1130:C1132"/>
    <mergeCell ref="D1130:F1132"/>
    <mergeCell ref="G1130:G1131"/>
    <mergeCell ref="G937:K937"/>
    <mergeCell ref="R992:R1003"/>
    <mergeCell ref="I1055:I1066"/>
    <mergeCell ref="H977:H982"/>
    <mergeCell ref="I977:I982"/>
    <mergeCell ref="J977:J982"/>
    <mergeCell ref="K977:K982"/>
    <mergeCell ref="R1004:R1015"/>
    <mergeCell ref="K1055:K1066"/>
    <mergeCell ref="B1103:K1103"/>
    <mergeCell ref="I1093:I1101"/>
    <mergeCell ref="J1093:J1101"/>
    <mergeCell ref="K1093:K1101"/>
    <mergeCell ref="G939:G943"/>
    <mergeCell ref="R1126:R1129"/>
    <mergeCell ref="B1051:B1078"/>
    <mergeCell ref="P1080:P1084"/>
    <mergeCell ref="D1055:F1067"/>
    <mergeCell ref="G1102:K1102"/>
    <mergeCell ref="P939:P944"/>
    <mergeCell ref="D929:F937"/>
    <mergeCell ref="C1068:C1078"/>
    <mergeCell ref="C1080:C1084"/>
    <mergeCell ref="H1093:H1101"/>
    <mergeCell ref="R939:R944"/>
    <mergeCell ref="C1042:C1049"/>
    <mergeCell ref="D1042:F1049"/>
    <mergeCell ref="G1042:I1048"/>
    <mergeCell ref="R929:R937"/>
    <mergeCell ref="G1019:K1019"/>
    <mergeCell ref="J903:J909"/>
    <mergeCell ref="J919:J926"/>
    <mergeCell ref="T760:T764"/>
    <mergeCell ref="K741:K744"/>
    <mergeCell ref="T746:T752"/>
    <mergeCell ref="Q794:Q795"/>
    <mergeCell ref="R769:R773"/>
    <mergeCell ref="I741:I744"/>
    <mergeCell ref="P737:P740"/>
    <mergeCell ref="J746:J751"/>
    <mergeCell ref="R741:R745"/>
    <mergeCell ref="I760:I763"/>
    <mergeCell ref="J760:J763"/>
    <mergeCell ref="S784:S788"/>
    <mergeCell ref="R689:R700"/>
    <mergeCell ref="R733:R736"/>
    <mergeCell ref="Q711:Q716"/>
    <mergeCell ref="R701:R710"/>
    <mergeCell ref="S803:S814"/>
    <mergeCell ref="T784:T788"/>
    <mergeCell ref="S794:S795"/>
    <mergeCell ref="S796:S798"/>
    <mergeCell ref="S895:S901"/>
    <mergeCell ref="R746:R752"/>
    <mergeCell ref="R717:R732"/>
    <mergeCell ref="T919:T927"/>
    <mergeCell ref="Q919:Q927"/>
    <mergeCell ref="S929:S937"/>
    <mergeCell ref="T929:T937"/>
    <mergeCell ref="T886:T894"/>
    <mergeCell ref="J753:J758"/>
    <mergeCell ref="D525:F529"/>
    <mergeCell ref="K525:K528"/>
    <mergeCell ref="D519:F524"/>
    <mergeCell ref="J453:J461"/>
    <mergeCell ref="C418:C420"/>
    <mergeCell ref="G469:K469"/>
    <mergeCell ref="J438:J444"/>
    <mergeCell ref="C421:C428"/>
    <mergeCell ref="K388:K394"/>
    <mergeCell ref="G399:G401"/>
    <mergeCell ref="G434:K434"/>
    <mergeCell ref="G418:G419"/>
    <mergeCell ref="D510:F517"/>
    <mergeCell ref="G497:G502"/>
    <mergeCell ref="G519:G523"/>
    <mergeCell ref="C403:C410"/>
    <mergeCell ref="D411:F413"/>
    <mergeCell ref="C492:C496"/>
    <mergeCell ref="C396:C398"/>
    <mergeCell ref="C470:C479"/>
    <mergeCell ref="H453:H461"/>
    <mergeCell ref="G479:K479"/>
    <mergeCell ref="I525:I528"/>
    <mergeCell ref="H525:H528"/>
    <mergeCell ref="D21:F26"/>
    <mergeCell ref="G21:G25"/>
    <mergeCell ref="C258:C261"/>
    <mergeCell ref="P399:P402"/>
    <mergeCell ref="J399:J401"/>
    <mergeCell ref="C71:C79"/>
    <mergeCell ref="G395:K395"/>
    <mergeCell ref="D396:F398"/>
    <mergeCell ref="I54:I68"/>
    <mergeCell ref="G258:G260"/>
    <mergeCell ref="K411:K412"/>
    <mergeCell ref="G333:K333"/>
    <mergeCell ref="D418:F420"/>
    <mergeCell ref="B136:K136"/>
    <mergeCell ref="C109:C113"/>
    <mergeCell ref="G164:G173"/>
    <mergeCell ref="K120:K122"/>
    <mergeCell ref="G119:K119"/>
    <mergeCell ref="D120:F123"/>
    <mergeCell ref="G120:G122"/>
    <mergeCell ref="H120:H122"/>
    <mergeCell ref="I120:I122"/>
    <mergeCell ref="P293:P296"/>
    <mergeCell ref="P356:P367"/>
    <mergeCell ref="G396:G397"/>
    <mergeCell ref="D293:F296"/>
    <mergeCell ref="C349:C355"/>
    <mergeCell ref="D403:F410"/>
    <mergeCell ref="C160:C163"/>
    <mergeCell ref="C368:C371"/>
    <mergeCell ref="D368:F371"/>
    <mergeCell ref="G371:K371"/>
    <mergeCell ref="U886:U894"/>
    <mergeCell ref="U843:U849"/>
    <mergeCell ref="U873:U880"/>
    <mergeCell ref="T903:T910"/>
    <mergeCell ref="S919:S927"/>
    <mergeCell ref="S903:S910"/>
    <mergeCell ref="Q857:Q865"/>
    <mergeCell ref="S911:S917"/>
    <mergeCell ref="U911:U917"/>
    <mergeCell ref="U895:U901"/>
    <mergeCell ref="Q911:Q917"/>
    <mergeCell ref="R911:R917"/>
    <mergeCell ref="Q843:Q849"/>
    <mergeCell ref="T850:T856"/>
    <mergeCell ref="U850:U856"/>
    <mergeCell ref="S881:S885"/>
    <mergeCell ref="U881:U885"/>
    <mergeCell ref="U857:U865"/>
    <mergeCell ref="R843:R849"/>
    <mergeCell ref="S843:S849"/>
    <mergeCell ref="R850:R856"/>
    <mergeCell ref="U903:U910"/>
    <mergeCell ref="U919:U927"/>
    <mergeCell ref="C857:C865"/>
    <mergeCell ref="U929:U937"/>
    <mergeCell ref="R919:R927"/>
    <mergeCell ref="P977:P983"/>
    <mergeCell ref="H945:H953"/>
    <mergeCell ref="R836:R842"/>
    <mergeCell ref="T873:T880"/>
    <mergeCell ref="Q866:Q871"/>
    <mergeCell ref="Q873:Q880"/>
    <mergeCell ref="R866:R871"/>
    <mergeCell ref="S945:S954"/>
    <mergeCell ref="T939:T944"/>
    <mergeCell ref="I903:I909"/>
    <mergeCell ref="D881:F885"/>
    <mergeCell ref="J881:J884"/>
    <mergeCell ref="G929:G936"/>
    <mergeCell ref="K903:K909"/>
    <mergeCell ref="Q886:Q894"/>
    <mergeCell ref="H929:H936"/>
    <mergeCell ref="T857:T865"/>
    <mergeCell ref="Q895:Q901"/>
    <mergeCell ref="S873:S880"/>
    <mergeCell ref="Q929:Q937"/>
    <mergeCell ref="T881:T885"/>
    <mergeCell ref="T866:T871"/>
    <mergeCell ref="T895:T901"/>
    <mergeCell ref="R857:R865"/>
    <mergeCell ref="Q881:Q885"/>
    <mergeCell ref="K939:K943"/>
    <mergeCell ref="J895:J900"/>
    <mergeCell ref="R895:R901"/>
    <mergeCell ref="J945:J953"/>
    <mergeCell ref="J873:J879"/>
    <mergeCell ref="G895:G900"/>
    <mergeCell ref="D919:F927"/>
    <mergeCell ref="G927:K927"/>
    <mergeCell ref="B919:B927"/>
    <mergeCell ref="B873:B901"/>
    <mergeCell ref="I929:I936"/>
    <mergeCell ref="C919:C927"/>
    <mergeCell ref="B918:K918"/>
    <mergeCell ref="C895:C901"/>
    <mergeCell ref="C886:C894"/>
    <mergeCell ref="J886:J893"/>
    <mergeCell ref="G917:K917"/>
    <mergeCell ref="K873:K879"/>
    <mergeCell ref="D903:F910"/>
    <mergeCell ref="G885:K885"/>
    <mergeCell ref="D886:F894"/>
    <mergeCell ref="G894:K894"/>
    <mergeCell ref="H881:H884"/>
    <mergeCell ref="H903:H909"/>
    <mergeCell ref="P919:P927"/>
    <mergeCell ref="J955:J963"/>
    <mergeCell ref="T945:T954"/>
    <mergeCell ref="T965:T976"/>
    <mergeCell ref="C903:C910"/>
    <mergeCell ref="K886:K893"/>
    <mergeCell ref="G873:G879"/>
    <mergeCell ref="G881:G884"/>
    <mergeCell ref="Q903:Q910"/>
    <mergeCell ref="R873:R880"/>
    <mergeCell ref="H886:H893"/>
    <mergeCell ref="I886:I893"/>
    <mergeCell ref="C929:C937"/>
    <mergeCell ref="C965:C976"/>
    <mergeCell ref="D955:F964"/>
    <mergeCell ref="J939:J943"/>
    <mergeCell ref="P955:P964"/>
    <mergeCell ref="Q939:Q944"/>
    <mergeCell ref="G976:K976"/>
    <mergeCell ref="I939:I943"/>
    <mergeCell ref="D939:F944"/>
    <mergeCell ref="H939:H943"/>
    <mergeCell ref="G964:K964"/>
    <mergeCell ref="D945:F954"/>
    <mergeCell ref="H895:H900"/>
    <mergeCell ref="G903:G909"/>
    <mergeCell ref="B902:K902"/>
    <mergeCell ref="P881:P885"/>
    <mergeCell ref="G910:K910"/>
    <mergeCell ref="G901:K901"/>
    <mergeCell ref="C881:C885"/>
    <mergeCell ref="K895:K900"/>
    <mergeCell ref="C939:C944"/>
    <mergeCell ref="C1051:C1054"/>
    <mergeCell ref="Q1051:Q1054"/>
    <mergeCell ref="Q1004:Q1015"/>
    <mergeCell ref="G944:K944"/>
    <mergeCell ref="Q1080:Q1084"/>
    <mergeCell ref="D1068:F1078"/>
    <mergeCell ref="G1068:G1077"/>
    <mergeCell ref="H1068:H1077"/>
    <mergeCell ref="I1068:I1077"/>
    <mergeCell ref="J1068:J1077"/>
    <mergeCell ref="K1068:K1077"/>
    <mergeCell ref="Q985:Q990"/>
    <mergeCell ref="G1051:G1053"/>
    <mergeCell ref="K1020:K1031"/>
    <mergeCell ref="P1020:P1032"/>
    <mergeCell ref="Q1020:Q1032"/>
    <mergeCell ref="B1050:K1050"/>
    <mergeCell ref="B985:B990"/>
    <mergeCell ref="I945:I953"/>
    <mergeCell ref="G955:G963"/>
    <mergeCell ref="H955:H963"/>
    <mergeCell ref="C945:C954"/>
    <mergeCell ref="I1004:I1014"/>
    <mergeCell ref="P945:P954"/>
    <mergeCell ref="C955:C964"/>
    <mergeCell ref="G992:G1002"/>
    <mergeCell ref="H992:H1002"/>
    <mergeCell ref="G954:K954"/>
    <mergeCell ref="B939:B983"/>
    <mergeCell ref="J1051:J1053"/>
    <mergeCell ref="D1051:F1054"/>
    <mergeCell ref="U965:U976"/>
    <mergeCell ref="U1055:U1066"/>
    <mergeCell ref="U992:U1003"/>
    <mergeCell ref="T1051:T1054"/>
    <mergeCell ref="T977:T983"/>
    <mergeCell ref="I1051:I1053"/>
    <mergeCell ref="K1051:K1053"/>
    <mergeCell ref="G1016:G1018"/>
    <mergeCell ref="H985:H989"/>
    <mergeCell ref="K955:K963"/>
    <mergeCell ref="K1004:K1014"/>
    <mergeCell ref="U1051:U1054"/>
    <mergeCell ref="B1079:K1079"/>
    <mergeCell ref="G1067:K1067"/>
    <mergeCell ref="D1020:F1032"/>
    <mergeCell ref="J1020:J1031"/>
    <mergeCell ref="C992:C1003"/>
    <mergeCell ref="C1055:C1067"/>
    <mergeCell ref="S955:S964"/>
    <mergeCell ref="I985:I989"/>
    <mergeCell ref="R977:R983"/>
    <mergeCell ref="H1016:H1018"/>
    <mergeCell ref="S1004:S1015"/>
    <mergeCell ref="S985:S990"/>
    <mergeCell ref="T1004:T1015"/>
    <mergeCell ref="P1051:P1054"/>
    <mergeCell ref="C1004:C1015"/>
    <mergeCell ref="D1004:F1015"/>
    <mergeCell ref="G1004:G1014"/>
    <mergeCell ref="H1004:H1014"/>
    <mergeCell ref="S977:S983"/>
    <mergeCell ref="J1004:J1014"/>
    <mergeCell ref="D1093:F1102"/>
    <mergeCell ref="G1084:K1084"/>
    <mergeCell ref="D965:F976"/>
    <mergeCell ref="R1051:R1054"/>
    <mergeCell ref="P1055:P1066"/>
    <mergeCell ref="Q1055:Q1066"/>
    <mergeCell ref="Q977:Q983"/>
    <mergeCell ref="R985:R990"/>
    <mergeCell ref="G1054:K1054"/>
    <mergeCell ref="K1085:K1091"/>
    <mergeCell ref="S1080:S1084"/>
    <mergeCell ref="S992:S1003"/>
    <mergeCell ref="K1016:K1018"/>
    <mergeCell ref="G1093:G1101"/>
    <mergeCell ref="Q1085:Q1092"/>
    <mergeCell ref="D1080:F1084"/>
    <mergeCell ref="J1055:J1066"/>
    <mergeCell ref="Q992:Q1003"/>
    <mergeCell ref="Q965:Q976"/>
    <mergeCell ref="R965:R976"/>
    <mergeCell ref="K985:K989"/>
    <mergeCell ref="R1080:R1084"/>
    <mergeCell ref="H1080:H1083"/>
    <mergeCell ref="P1068:P1077"/>
    <mergeCell ref="Q1068:Q1077"/>
    <mergeCell ref="R1068:R1077"/>
    <mergeCell ref="R1055:R1066"/>
    <mergeCell ref="R1020:R1032"/>
    <mergeCell ref="S1093:S1102"/>
    <mergeCell ref="S1020:S1032"/>
    <mergeCell ref="P965:P976"/>
    <mergeCell ref="G983:K983"/>
    <mergeCell ref="H1085:H1091"/>
    <mergeCell ref="T992:T1003"/>
    <mergeCell ref="Q1093:Q1102"/>
    <mergeCell ref="R1093:R1102"/>
    <mergeCell ref="R1085:R1092"/>
    <mergeCell ref="G1092:K1092"/>
    <mergeCell ref="P1085:P1092"/>
    <mergeCell ref="J1080:J1083"/>
    <mergeCell ref="B984:K984"/>
    <mergeCell ref="G985:G989"/>
    <mergeCell ref="P1093:P1102"/>
    <mergeCell ref="K992:K1002"/>
    <mergeCell ref="C985:C990"/>
    <mergeCell ref="D1016:F1019"/>
    <mergeCell ref="I1085:I1091"/>
    <mergeCell ref="J1085:J1091"/>
    <mergeCell ref="S1085:S1092"/>
    <mergeCell ref="J985:J989"/>
    <mergeCell ref="C1016:C1019"/>
    <mergeCell ref="P985:P990"/>
    <mergeCell ref="D1085:F1092"/>
    <mergeCell ref="G1085:G1091"/>
    <mergeCell ref="H1051:H1053"/>
    <mergeCell ref="C1020:C1032"/>
    <mergeCell ref="P1016:P1019"/>
    <mergeCell ref="Q1016:Q1019"/>
    <mergeCell ref="G990:K990"/>
    <mergeCell ref="C1093:C1102"/>
    <mergeCell ref="T985:T990"/>
    <mergeCell ref="J1016:J1018"/>
    <mergeCell ref="S1055:S1067"/>
    <mergeCell ref="S1051:S1054"/>
    <mergeCell ref="I850:I855"/>
    <mergeCell ref="I895:I900"/>
    <mergeCell ref="K815:K819"/>
    <mergeCell ref="S866:S871"/>
    <mergeCell ref="S779:S783"/>
    <mergeCell ref="K821:K827"/>
    <mergeCell ref="P779:P783"/>
    <mergeCell ref="G793:K793"/>
    <mergeCell ref="K779:K782"/>
    <mergeCell ref="D789:F793"/>
    <mergeCell ref="G789:G792"/>
    <mergeCell ref="G919:G926"/>
    <mergeCell ref="I919:I926"/>
    <mergeCell ref="G866:G870"/>
    <mergeCell ref="D857:F865"/>
    <mergeCell ref="O799:O800"/>
    <mergeCell ref="P843:P849"/>
    <mergeCell ref="D866:F871"/>
    <mergeCell ref="H866:H870"/>
    <mergeCell ref="D895:F901"/>
    <mergeCell ref="D873:F880"/>
    <mergeCell ref="K919:K926"/>
    <mergeCell ref="G886:G893"/>
    <mergeCell ref="P784:P788"/>
    <mergeCell ref="Q815:Q820"/>
    <mergeCell ref="R881:R885"/>
    <mergeCell ref="R815:R820"/>
    <mergeCell ref="P895:P901"/>
    <mergeCell ref="I873:I879"/>
    <mergeCell ref="H919:H926"/>
    <mergeCell ref="H873:H879"/>
    <mergeCell ref="G871:K871"/>
    <mergeCell ref="P886:P894"/>
    <mergeCell ref="G865:K865"/>
    <mergeCell ref="P857:P865"/>
    <mergeCell ref="H857:H864"/>
    <mergeCell ref="I857:I864"/>
    <mergeCell ref="Q829:Q835"/>
    <mergeCell ref="P794:P795"/>
    <mergeCell ref="G795:K795"/>
    <mergeCell ref="P873:P880"/>
    <mergeCell ref="P799:P801"/>
    <mergeCell ref="I821:I827"/>
    <mergeCell ref="P803:P814"/>
    <mergeCell ref="K796:K797"/>
    <mergeCell ref="P829:P835"/>
    <mergeCell ref="J799:J800"/>
    <mergeCell ref="J796:J797"/>
    <mergeCell ref="P796:P798"/>
    <mergeCell ref="K799:K800"/>
    <mergeCell ref="J829:J834"/>
    <mergeCell ref="K829:K834"/>
    <mergeCell ref="J821:J827"/>
    <mergeCell ref="G796:G797"/>
    <mergeCell ref="P821:P828"/>
    <mergeCell ref="M799:M800"/>
    <mergeCell ref="J836:J841"/>
    <mergeCell ref="K836:K841"/>
    <mergeCell ref="H799:H800"/>
    <mergeCell ref="I799:I800"/>
    <mergeCell ref="K881:K884"/>
    <mergeCell ref="G880:K880"/>
    <mergeCell ref="G856:K856"/>
    <mergeCell ref="J866:J870"/>
    <mergeCell ref="K866:K870"/>
    <mergeCell ref="P866:P871"/>
    <mergeCell ref="G779:G782"/>
    <mergeCell ref="G783:K783"/>
    <mergeCell ref="K775:K777"/>
    <mergeCell ref="C789:C793"/>
    <mergeCell ref="C803:C814"/>
    <mergeCell ref="G801:K801"/>
    <mergeCell ref="G784:G787"/>
    <mergeCell ref="G788:K788"/>
    <mergeCell ref="I815:I819"/>
    <mergeCell ref="J815:J819"/>
    <mergeCell ref="I881:I884"/>
    <mergeCell ref="D779:F783"/>
    <mergeCell ref="J857:J864"/>
    <mergeCell ref="K857:K864"/>
    <mergeCell ref="C873:C880"/>
    <mergeCell ref="D850:F856"/>
    <mergeCell ref="G842:K842"/>
    <mergeCell ref="G829:G834"/>
    <mergeCell ref="G843:G848"/>
    <mergeCell ref="K843:K848"/>
    <mergeCell ref="C799:C801"/>
    <mergeCell ref="C866:C871"/>
    <mergeCell ref="C779:C783"/>
    <mergeCell ref="C850:C856"/>
    <mergeCell ref="D794:F795"/>
    <mergeCell ref="D799:F801"/>
    <mergeCell ref="K850:K855"/>
    <mergeCell ref="G814:K814"/>
    <mergeCell ref="C784:C788"/>
    <mergeCell ref="G828:K828"/>
    <mergeCell ref="C775:C778"/>
    <mergeCell ref="H815:H819"/>
    <mergeCell ref="C821:C828"/>
    <mergeCell ref="D821:F828"/>
    <mergeCell ref="C796:C798"/>
    <mergeCell ref="G821:G827"/>
    <mergeCell ref="H796:H797"/>
    <mergeCell ref="D769:F773"/>
    <mergeCell ref="I789:I792"/>
    <mergeCell ref="C794:C795"/>
    <mergeCell ref="J779:J782"/>
    <mergeCell ref="I843:I848"/>
    <mergeCell ref="J843:J848"/>
    <mergeCell ref="G835:K835"/>
    <mergeCell ref="H829:H834"/>
    <mergeCell ref="D829:F835"/>
    <mergeCell ref="G798:K798"/>
    <mergeCell ref="J789:J792"/>
    <mergeCell ref="C836:C842"/>
    <mergeCell ref="D836:F842"/>
    <mergeCell ref="G836:G841"/>
    <mergeCell ref="H836:H841"/>
    <mergeCell ref="I836:I841"/>
    <mergeCell ref="H789:H792"/>
    <mergeCell ref="C769:C773"/>
    <mergeCell ref="K769:K772"/>
    <mergeCell ref="J850:J855"/>
    <mergeCell ref="G799:G800"/>
    <mergeCell ref="C843:C849"/>
    <mergeCell ref="C815:C820"/>
    <mergeCell ref="D815:F820"/>
    <mergeCell ref="D796:F798"/>
    <mergeCell ref="I829:I834"/>
    <mergeCell ref="K784:K787"/>
    <mergeCell ref="G752:K752"/>
    <mergeCell ref="I784:I787"/>
    <mergeCell ref="J784:J787"/>
    <mergeCell ref="B802:K802"/>
    <mergeCell ref="B775:B801"/>
    <mergeCell ref="K789:K792"/>
    <mergeCell ref="G820:K820"/>
    <mergeCell ref="C829:C835"/>
    <mergeCell ref="G849:K849"/>
    <mergeCell ref="H784:H787"/>
    <mergeCell ref="I779:I782"/>
    <mergeCell ref="G773:K773"/>
    <mergeCell ref="H775:H777"/>
    <mergeCell ref="D784:F788"/>
    <mergeCell ref="C760:C764"/>
    <mergeCell ref="D760:F764"/>
    <mergeCell ref="G764:K764"/>
    <mergeCell ref="H843:H848"/>
    <mergeCell ref="B803:B871"/>
    <mergeCell ref="B769:B773"/>
    <mergeCell ref="H803:H813"/>
    <mergeCell ref="H821:H827"/>
    <mergeCell ref="G769:G772"/>
    <mergeCell ref="G850:G855"/>
    <mergeCell ref="C746:C752"/>
    <mergeCell ref="I775:I777"/>
    <mergeCell ref="C753:C759"/>
    <mergeCell ref="C675:C688"/>
    <mergeCell ref="K599:K602"/>
    <mergeCell ref="C593:C598"/>
    <mergeCell ref="D593:F598"/>
    <mergeCell ref="D587:F592"/>
    <mergeCell ref="J769:J772"/>
    <mergeCell ref="H746:H751"/>
    <mergeCell ref="I746:I751"/>
    <mergeCell ref="C737:C740"/>
    <mergeCell ref="K760:K763"/>
    <mergeCell ref="C582:C586"/>
    <mergeCell ref="C733:C736"/>
    <mergeCell ref="C717:C732"/>
    <mergeCell ref="G710:K710"/>
    <mergeCell ref="G623:I624"/>
    <mergeCell ref="D582:F586"/>
    <mergeCell ref="C689:C700"/>
    <mergeCell ref="G737:G739"/>
    <mergeCell ref="D609:F614"/>
    <mergeCell ref="B768:K768"/>
    <mergeCell ref="C741:C745"/>
    <mergeCell ref="G740:K740"/>
    <mergeCell ref="D689:F700"/>
    <mergeCell ref="C660:C674"/>
    <mergeCell ref="D642:F652"/>
    <mergeCell ref="C604:C608"/>
    <mergeCell ref="G660:G673"/>
    <mergeCell ref="K609:K613"/>
    <mergeCell ref="K615:K621"/>
    <mergeCell ref="C372:C376"/>
    <mergeCell ref="H303:H306"/>
    <mergeCell ref="J368:J370"/>
    <mergeCell ref="K368:K370"/>
    <mergeCell ref="J701:J709"/>
    <mergeCell ref="G688:K688"/>
    <mergeCell ref="K660:K673"/>
    <mergeCell ref="K701:K709"/>
    <mergeCell ref="H675:H687"/>
    <mergeCell ref="D550:F555"/>
    <mergeCell ref="G609:I613"/>
    <mergeCell ref="G462:K462"/>
    <mergeCell ref="H485:H490"/>
    <mergeCell ref="B484:K484"/>
    <mergeCell ref="C485:C491"/>
    <mergeCell ref="J485:J490"/>
    <mergeCell ref="G525:G528"/>
    <mergeCell ref="D453:F462"/>
    <mergeCell ref="D492:F496"/>
    <mergeCell ref="K642:K651"/>
    <mergeCell ref="I642:I651"/>
    <mergeCell ref="G642:G651"/>
    <mergeCell ref="K582:K585"/>
    <mergeCell ref="J604:J607"/>
    <mergeCell ref="D599:F603"/>
    <mergeCell ref="G317:I318"/>
    <mergeCell ref="G348:K348"/>
    <mergeCell ref="C550:C555"/>
    <mergeCell ref="C574:C577"/>
    <mergeCell ref="C623:C625"/>
    <mergeCell ref="C382:C386"/>
    <mergeCell ref="D382:F386"/>
    <mergeCell ref="C556:C572"/>
    <mergeCell ref="C599:C603"/>
    <mergeCell ref="J775:J777"/>
    <mergeCell ref="D741:F745"/>
    <mergeCell ref="G659:K659"/>
    <mergeCell ref="J615:J621"/>
    <mergeCell ref="K604:K607"/>
    <mergeCell ref="G578:I580"/>
    <mergeCell ref="D737:F740"/>
    <mergeCell ref="G745:K745"/>
    <mergeCell ref="J741:J744"/>
    <mergeCell ref="J593:J597"/>
    <mergeCell ref="J599:J602"/>
    <mergeCell ref="G592:L592"/>
    <mergeCell ref="D653:F659"/>
    <mergeCell ref="D615:F622"/>
    <mergeCell ref="K737:K739"/>
    <mergeCell ref="D775:F778"/>
    <mergeCell ref="I769:I772"/>
    <mergeCell ref="D711:F716"/>
    <mergeCell ref="D701:F710"/>
    <mergeCell ref="G741:G744"/>
    <mergeCell ref="G689:G699"/>
    <mergeCell ref="K689:K699"/>
    <mergeCell ref="J733:J735"/>
    <mergeCell ref="G746:G751"/>
    <mergeCell ref="D746:F752"/>
    <mergeCell ref="H737:H739"/>
    <mergeCell ref="D675:F688"/>
    <mergeCell ref="D733:F736"/>
    <mergeCell ref="D660:F674"/>
    <mergeCell ref="D717:F732"/>
    <mergeCell ref="J213:J219"/>
    <mergeCell ref="D258:F261"/>
    <mergeCell ref="I308:I310"/>
    <mergeCell ref="H268:H272"/>
    <mergeCell ref="G268:G272"/>
    <mergeCell ref="K297:K301"/>
    <mergeCell ref="I297:I301"/>
    <mergeCell ref="J372:J375"/>
    <mergeCell ref="D297:F302"/>
    <mergeCell ref="I303:I306"/>
    <mergeCell ref="G297:G301"/>
    <mergeCell ref="K274:K275"/>
    <mergeCell ref="G368:I370"/>
    <mergeCell ref="G355:L355"/>
    <mergeCell ref="G356:I360"/>
    <mergeCell ref="K349:K354"/>
    <mergeCell ref="K312:K315"/>
    <mergeCell ref="G273:K273"/>
    <mergeCell ref="G292:K292"/>
    <mergeCell ref="K277:K278"/>
    <mergeCell ref="G308:G310"/>
    <mergeCell ref="G307:K307"/>
    <mergeCell ref="G311:K311"/>
    <mergeCell ref="G312:G315"/>
    <mergeCell ref="H287:H291"/>
    <mergeCell ref="K293:K295"/>
    <mergeCell ref="G319:K319"/>
    <mergeCell ref="G367:K367"/>
    <mergeCell ref="H293:H295"/>
    <mergeCell ref="I293:I295"/>
    <mergeCell ref="G281:G285"/>
    <mergeCell ref="D281:F286"/>
    <mergeCell ref="D356:F367"/>
    <mergeCell ref="C308:C311"/>
    <mergeCell ref="K327:K329"/>
    <mergeCell ref="K362:K366"/>
    <mergeCell ref="G362:I366"/>
    <mergeCell ref="G330:K330"/>
    <mergeCell ref="C345:C348"/>
    <mergeCell ref="J293:J295"/>
    <mergeCell ref="J327:J329"/>
    <mergeCell ref="K356:K360"/>
    <mergeCell ref="H254:H256"/>
    <mergeCell ref="K281:K285"/>
    <mergeCell ref="Q274:Q276"/>
    <mergeCell ref="Q281:Q286"/>
    <mergeCell ref="P281:P286"/>
    <mergeCell ref="L254:L256"/>
    <mergeCell ref="I287:I291"/>
    <mergeCell ref="I281:I285"/>
    <mergeCell ref="J277:J278"/>
    <mergeCell ref="K303:K306"/>
    <mergeCell ref="G287:G291"/>
    <mergeCell ref="G293:G295"/>
    <mergeCell ref="K334:K343"/>
    <mergeCell ref="D317:F319"/>
    <mergeCell ref="G361:K361"/>
    <mergeCell ref="Q262:Q267"/>
    <mergeCell ref="P274:P276"/>
    <mergeCell ref="B280:K280"/>
    <mergeCell ref="B254:B279"/>
    <mergeCell ref="O258:O260"/>
    <mergeCell ref="G320:I325"/>
    <mergeCell ref="C241:C245"/>
    <mergeCell ref="H221:H224"/>
    <mergeCell ref="G276:K276"/>
    <mergeCell ref="G277:G278"/>
    <mergeCell ref="J268:J272"/>
    <mergeCell ref="I262:I266"/>
    <mergeCell ref="C213:C220"/>
    <mergeCell ref="J258:J260"/>
    <mergeCell ref="B253:K253"/>
    <mergeCell ref="G257:K257"/>
    <mergeCell ref="K198:K203"/>
    <mergeCell ref="H274:H275"/>
    <mergeCell ref="C274:C276"/>
    <mergeCell ref="K258:K260"/>
    <mergeCell ref="C268:C273"/>
    <mergeCell ref="G302:K302"/>
    <mergeCell ref="G303:G306"/>
    <mergeCell ref="D262:F267"/>
    <mergeCell ref="B281:B386"/>
    <mergeCell ref="C297:C302"/>
    <mergeCell ref="C317:C319"/>
    <mergeCell ref="G274:G275"/>
    <mergeCell ref="D312:F316"/>
    <mergeCell ref="G372:I375"/>
    <mergeCell ref="G331:I332"/>
    <mergeCell ref="C327:C330"/>
    <mergeCell ref="C356:C367"/>
    <mergeCell ref="H308:H310"/>
    <mergeCell ref="C226:C231"/>
    <mergeCell ref="C281:C286"/>
    <mergeCell ref="C262:C267"/>
    <mergeCell ref="C205:C212"/>
    <mergeCell ref="Q198:Q204"/>
    <mergeCell ref="Q141:Q146"/>
    <mergeCell ref="D254:F257"/>
    <mergeCell ref="P312:P316"/>
    <mergeCell ref="C303:C307"/>
    <mergeCell ref="C293:C296"/>
    <mergeCell ref="C399:C402"/>
    <mergeCell ref="D268:F273"/>
    <mergeCell ref="D303:F307"/>
    <mergeCell ref="C287:C292"/>
    <mergeCell ref="D287:F292"/>
    <mergeCell ref="P277:P279"/>
    <mergeCell ref="J281:J285"/>
    <mergeCell ref="H281:H285"/>
    <mergeCell ref="K254:K256"/>
    <mergeCell ref="R293:R296"/>
    <mergeCell ref="R262:R267"/>
    <mergeCell ref="J262:J266"/>
    <mergeCell ref="N254:N256"/>
    <mergeCell ref="C254:C257"/>
    <mergeCell ref="P303:P307"/>
    <mergeCell ref="I268:I272"/>
    <mergeCell ref="H213:H219"/>
    <mergeCell ref="I213:I219"/>
    <mergeCell ref="G204:K204"/>
    <mergeCell ref="G279:K279"/>
    <mergeCell ref="C198:C204"/>
    <mergeCell ref="C277:C279"/>
    <mergeCell ref="D277:F279"/>
    <mergeCell ref="K287:K291"/>
    <mergeCell ref="C221:C225"/>
    <mergeCell ref="G262:G266"/>
    <mergeCell ref="C152:C159"/>
    <mergeCell ref="G175:G196"/>
    <mergeCell ref="J164:J173"/>
    <mergeCell ref="C120:C123"/>
    <mergeCell ref="J141:J145"/>
    <mergeCell ref="P137:P140"/>
    <mergeCell ref="C164:C174"/>
    <mergeCell ref="D147:F151"/>
    <mergeCell ref="G152:G158"/>
    <mergeCell ref="I152:I158"/>
    <mergeCell ref="J109:J112"/>
    <mergeCell ref="G114:G118"/>
    <mergeCell ref="H114:H118"/>
    <mergeCell ref="I114:I118"/>
    <mergeCell ref="J114:J118"/>
    <mergeCell ref="D114:F119"/>
    <mergeCell ref="P198:P204"/>
    <mergeCell ref="H198:H203"/>
    <mergeCell ref="G137:G139"/>
    <mergeCell ref="K137:K139"/>
    <mergeCell ref="H175:H195"/>
    <mergeCell ref="C114:C119"/>
    <mergeCell ref="C141:C146"/>
    <mergeCell ref="C137:C140"/>
    <mergeCell ref="C175:C197"/>
    <mergeCell ref="I160:I162"/>
    <mergeCell ref="H137:H139"/>
    <mergeCell ref="D27:F30"/>
    <mergeCell ref="J80:J87"/>
    <mergeCell ref="G31:G33"/>
    <mergeCell ref="H31:H33"/>
    <mergeCell ref="G174:K174"/>
    <mergeCell ref="H109:H112"/>
    <mergeCell ref="G146:K146"/>
    <mergeCell ref="G30:K30"/>
    <mergeCell ref="J44:J46"/>
    <mergeCell ref="D164:F174"/>
    <mergeCell ref="H141:H145"/>
    <mergeCell ref="I137:I139"/>
    <mergeCell ref="D198:F204"/>
    <mergeCell ref="G197:K197"/>
    <mergeCell ref="P205:P212"/>
    <mergeCell ref="G198:G203"/>
    <mergeCell ref="K152:K158"/>
    <mergeCell ref="I141:I145"/>
    <mergeCell ref="K205:K211"/>
    <mergeCell ref="D205:F212"/>
    <mergeCell ref="I80:I87"/>
    <mergeCell ref="K44:K46"/>
    <mergeCell ref="D40:F43"/>
    <mergeCell ref="J96:J98"/>
    <mergeCell ref="G40:G42"/>
    <mergeCell ref="J31:J33"/>
    <mergeCell ref="G44:G46"/>
    <mergeCell ref="H44:H46"/>
    <mergeCell ref="I44:I46"/>
    <mergeCell ref="K141:K145"/>
    <mergeCell ref="P175:P197"/>
    <mergeCell ref="H205:H211"/>
    <mergeCell ref="Q21:Q26"/>
    <mergeCell ref="B20:K20"/>
    <mergeCell ref="B21:B52"/>
    <mergeCell ref="D44:F47"/>
    <mergeCell ref="B7:B19"/>
    <mergeCell ref="C17:C19"/>
    <mergeCell ref="D100:F104"/>
    <mergeCell ref="K71:K78"/>
    <mergeCell ref="C21:C26"/>
    <mergeCell ref="C27:C30"/>
    <mergeCell ref="C44:C47"/>
    <mergeCell ref="P89:P95"/>
    <mergeCell ref="B53:K53"/>
    <mergeCell ref="C7:C9"/>
    <mergeCell ref="D80:F88"/>
    <mergeCell ref="G54:G68"/>
    <mergeCell ref="G43:K43"/>
    <mergeCell ref="G34:K34"/>
    <mergeCell ref="K54:K68"/>
    <mergeCell ref="I31:I33"/>
    <mergeCell ref="D35:F39"/>
    <mergeCell ref="C96:C99"/>
    <mergeCell ref="G100:G103"/>
    <mergeCell ref="H100:H103"/>
    <mergeCell ref="G104:K104"/>
    <mergeCell ref="Q27:Q30"/>
    <mergeCell ref="G71:G78"/>
    <mergeCell ref="J71:J78"/>
    <mergeCell ref="C35:C39"/>
    <mergeCell ref="D48:F52"/>
    <mergeCell ref="C10:C16"/>
    <mergeCell ref="G52:K52"/>
    <mergeCell ref="B71:B135"/>
    <mergeCell ref="P105:P108"/>
    <mergeCell ref="P152:P159"/>
    <mergeCell ref="P147:P151"/>
    <mergeCell ref="I147:I150"/>
    <mergeCell ref="B54:B69"/>
    <mergeCell ref="B137:B252"/>
    <mergeCell ref="C246:C252"/>
    <mergeCell ref="D10:F16"/>
    <mergeCell ref="C105:C108"/>
    <mergeCell ref="D105:F108"/>
    <mergeCell ref="D71:F79"/>
    <mergeCell ref="C100:C104"/>
    <mergeCell ref="I21:I25"/>
    <mergeCell ref="H164:H173"/>
    <mergeCell ref="G212:K212"/>
    <mergeCell ref="D213:F220"/>
    <mergeCell ref="D137:F140"/>
    <mergeCell ref="G69:K69"/>
    <mergeCell ref="G35:G38"/>
    <mergeCell ref="H147:H150"/>
    <mergeCell ref="C80:C88"/>
    <mergeCell ref="K27:K29"/>
    <mergeCell ref="K213:K219"/>
    <mergeCell ref="H54:H68"/>
    <mergeCell ref="H152:H158"/>
    <mergeCell ref="D160:F163"/>
    <mergeCell ref="G10:G15"/>
    <mergeCell ref="H10:H15"/>
    <mergeCell ref="P10:P16"/>
    <mergeCell ref="G113:K113"/>
    <mergeCell ref="I89:I94"/>
    <mergeCell ref="K7:K8"/>
    <mergeCell ref="J7:J8"/>
    <mergeCell ref="G9:K9"/>
    <mergeCell ref="J100:J103"/>
    <mergeCell ref="C89:C95"/>
    <mergeCell ref="J35:J38"/>
    <mergeCell ref="P21:P26"/>
    <mergeCell ref="A6:C6"/>
    <mergeCell ref="U44:U47"/>
    <mergeCell ref="N4:N5"/>
    <mergeCell ref="S7:S9"/>
    <mergeCell ref="T35:T39"/>
    <mergeCell ref="G163:K163"/>
    <mergeCell ref="U10:U16"/>
    <mergeCell ref="T7:T9"/>
    <mergeCell ref="U7:U9"/>
    <mergeCell ref="K35:K38"/>
    <mergeCell ref="I35:I38"/>
    <mergeCell ref="Q40:Q43"/>
    <mergeCell ref="R147:R151"/>
    <mergeCell ref="R152:R159"/>
    <mergeCell ref="T147:T151"/>
    <mergeCell ref="S147:S151"/>
    <mergeCell ref="K31:K33"/>
    <mergeCell ref="P31:P34"/>
    <mergeCell ref="Q31:Q34"/>
    <mergeCell ref="H48:H51"/>
    <mergeCell ref="G39:K39"/>
    <mergeCell ref="H40:H42"/>
    <mergeCell ref="D7:F9"/>
    <mergeCell ref="R31:R34"/>
    <mergeCell ref="H7:H8"/>
    <mergeCell ref="A1:U1"/>
    <mergeCell ref="A2:C3"/>
    <mergeCell ref="D2:F5"/>
    <mergeCell ref="G2:I3"/>
    <mergeCell ref="J2:K3"/>
    <mergeCell ref="S2:S5"/>
    <mergeCell ref="T2:T5"/>
    <mergeCell ref="U2:U5"/>
    <mergeCell ref="A4:A5"/>
    <mergeCell ref="B4:B5"/>
    <mergeCell ref="C4:C5"/>
    <mergeCell ref="G4:G5"/>
    <mergeCell ref="I4:I5"/>
    <mergeCell ref="J4:J5"/>
    <mergeCell ref="K4:K5"/>
    <mergeCell ref="L4:L5"/>
    <mergeCell ref="P2:P5"/>
    <mergeCell ref="M4:M5"/>
    <mergeCell ref="R2:R5"/>
    <mergeCell ref="H4:H5"/>
    <mergeCell ref="Q2:Q5"/>
    <mergeCell ref="L2:L3"/>
    <mergeCell ref="M2:O3"/>
    <mergeCell ref="O4:O5"/>
    <mergeCell ref="G7:G8"/>
    <mergeCell ref="R7:R9"/>
    <mergeCell ref="D6:F6"/>
    <mergeCell ref="A7:A1137"/>
    <mergeCell ref="B1137:K1137"/>
    <mergeCell ref="C1124:C1125"/>
    <mergeCell ref="U21:U26"/>
    <mergeCell ref="G27:G29"/>
    <mergeCell ref="H27:H29"/>
    <mergeCell ref="T44:T47"/>
    <mergeCell ref="T10:T16"/>
    <mergeCell ref="U54:U69"/>
    <mergeCell ref="S44:S47"/>
    <mergeCell ref="R40:R43"/>
    <mergeCell ref="S35:S39"/>
    <mergeCell ref="P48:P52"/>
    <mergeCell ref="G48:G51"/>
    <mergeCell ref="P54:P69"/>
    <mergeCell ref="Q44:Q47"/>
    <mergeCell ref="K48:K51"/>
    <mergeCell ref="T21:T26"/>
    <mergeCell ref="T31:T34"/>
    <mergeCell ref="I27:I29"/>
    <mergeCell ref="J27:J29"/>
    <mergeCell ref="J21:J25"/>
    <mergeCell ref="G26:K26"/>
    <mergeCell ref="K21:K25"/>
    <mergeCell ref="I48:I51"/>
    <mergeCell ref="P40:P43"/>
    <mergeCell ref="C147:C151"/>
    <mergeCell ref="G147:G150"/>
    <mergeCell ref="S89:S95"/>
    <mergeCell ref="Q35:Q39"/>
    <mergeCell ref="R35:R39"/>
    <mergeCell ref="H71:H78"/>
    <mergeCell ref="P96:P99"/>
    <mergeCell ref="P80:P88"/>
    <mergeCell ref="R71:R79"/>
    <mergeCell ref="Q54:Q69"/>
    <mergeCell ref="R54:R69"/>
    <mergeCell ref="Q48:Q52"/>
    <mergeCell ref="R48:R52"/>
    <mergeCell ref="G99:K99"/>
    <mergeCell ref="C31:C34"/>
    <mergeCell ref="D31:F34"/>
    <mergeCell ref="Q109:Q113"/>
    <mergeCell ref="R124:R128"/>
    <mergeCell ref="R129:R135"/>
    <mergeCell ref="R120:R123"/>
    <mergeCell ref="Q71:Q79"/>
    <mergeCell ref="G109:G112"/>
    <mergeCell ref="J120:J122"/>
    <mergeCell ref="K114:K118"/>
    <mergeCell ref="Q147:Q151"/>
    <mergeCell ref="G108:K108"/>
    <mergeCell ref="P100:P104"/>
    <mergeCell ref="K147:K150"/>
    <mergeCell ref="K105:K107"/>
    <mergeCell ref="U114:U119"/>
    <mergeCell ref="S120:S123"/>
    <mergeCell ref="S129:S135"/>
    <mergeCell ref="T129:T135"/>
    <mergeCell ref="U141:U146"/>
    <mergeCell ref="S137:S140"/>
    <mergeCell ref="S124:S128"/>
    <mergeCell ref="R141:R146"/>
    <mergeCell ref="J10:J15"/>
    <mergeCell ref="K10:K15"/>
    <mergeCell ref="Q7:Q9"/>
    <mergeCell ref="I7:I8"/>
    <mergeCell ref="U27:U30"/>
    <mergeCell ref="R27:R30"/>
    <mergeCell ref="S27:S30"/>
    <mergeCell ref="T27:T30"/>
    <mergeCell ref="T48:T52"/>
    <mergeCell ref="U124:U128"/>
    <mergeCell ref="P7:P9"/>
    <mergeCell ref="I10:I15"/>
    <mergeCell ref="P27:P30"/>
    <mergeCell ref="T141:T146"/>
    <mergeCell ref="Q96:Q99"/>
    <mergeCell ref="T137:T140"/>
    <mergeCell ref="I129:I134"/>
    <mergeCell ref="J129:J134"/>
    <mergeCell ref="K129:K134"/>
    <mergeCell ref="S21:S26"/>
    <mergeCell ref="S10:S16"/>
    <mergeCell ref="Q80:Q88"/>
    <mergeCell ref="R21:R26"/>
    <mergeCell ref="D241:F245"/>
    <mergeCell ref="S268:S273"/>
    <mergeCell ref="K109:K112"/>
    <mergeCell ref="D152:F159"/>
    <mergeCell ref="J89:J94"/>
    <mergeCell ref="K100:K103"/>
    <mergeCell ref="J105:J107"/>
    <mergeCell ref="R105:R108"/>
    <mergeCell ref="G105:G107"/>
    <mergeCell ref="Q221:Q225"/>
    <mergeCell ref="K221:K224"/>
    <mergeCell ref="S258:S261"/>
    <mergeCell ref="T258:T261"/>
    <mergeCell ref="T164:T174"/>
    <mergeCell ref="J221:J224"/>
    <mergeCell ref="T96:T99"/>
    <mergeCell ref="S254:S257"/>
    <mergeCell ref="P114:P119"/>
    <mergeCell ref="Q114:Q119"/>
    <mergeCell ref="P120:P123"/>
    <mergeCell ref="Q120:Q123"/>
    <mergeCell ref="T120:T123"/>
    <mergeCell ref="R114:R119"/>
    <mergeCell ref="Q105:Q108"/>
    <mergeCell ref="Q89:Q95"/>
    <mergeCell ref="S141:S146"/>
    <mergeCell ref="D89:F95"/>
    <mergeCell ref="G89:G94"/>
    <mergeCell ref="R205:R212"/>
    <mergeCell ref="Q100:Q104"/>
    <mergeCell ref="S277:S279"/>
    <mergeCell ref="S31:S34"/>
    <mergeCell ref="U31:U34"/>
    <mergeCell ref="S152:S159"/>
    <mergeCell ref="R109:R113"/>
    <mergeCell ref="T109:T113"/>
    <mergeCell ref="S96:S99"/>
    <mergeCell ref="U96:U99"/>
    <mergeCell ref="U100:U104"/>
    <mergeCell ref="U105:U108"/>
    <mergeCell ref="U35:U39"/>
    <mergeCell ref="U40:U43"/>
    <mergeCell ref="R89:R95"/>
    <mergeCell ref="T100:T104"/>
    <mergeCell ref="R100:R104"/>
    <mergeCell ref="T71:T79"/>
    <mergeCell ref="R96:R99"/>
    <mergeCell ref="T152:T159"/>
    <mergeCell ref="R80:R88"/>
    <mergeCell ref="U71:U79"/>
    <mergeCell ref="S109:S113"/>
    <mergeCell ref="S48:S52"/>
    <mergeCell ref="R44:R47"/>
    <mergeCell ref="T40:T43"/>
    <mergeCell ref="U80:U88"/>
    <mergeCell ref="U147:U151"/>
    <mergeCell ref="S54:S69"/>
    <mergeCell ref="U48:U52"/>
    <mergeCell ref="S100:S104"/>
    <mergeCell ref="T54:T69"/>
    <mergeCell ref="U120:U123"/>
    <mergeCell ref="U109:U113"/>
    <mergeCell ref="I198:I203"/>
    <mergeCell ref="R164:R174"/>
    <mergeCell ref="R221:R225"/>
    <mergeCell ref="K96:K98"/>
    <mergeCell ref="H105:H107"/>
    <mergeCell ref="I105:I107"/>
    <mergeCell ref="Q175:Q197"/>
    <mergeCell ref="K160:K162"/>
    <mergeCell ref="G160:G162"/>
    <mergeCell ref="J198:J203"/>
    <mergeCell ref="G123:L123"/>
    <mergeCell ref="J175:J196"/>
    <mergeCell ref="R160:R163"/>
    <mergeCell ref="I254:I256"/>
    <mergeCell ref="G254:G256"/>
    <mergeCell ref="G225:K225"/>
    <mergeCell ref="H160:H162"/>
    <mergeCell ref="G205:G211"/>
    <mergeCell ref="P164:P174"/>
    <mergeCell ref="I205:I211"/>
    <mergeCell ref="I221:I224"/>
    <mergeCell ref="G220:K220"/>
    <mergeCell ref="R226:R231"/>
    <mergeCell ref="H246:H251"/>
    <mergeCell ref="I246:I251"/>
    <mergeCell ref="J246:J251"/>
    <mergeCell ref="K246:K251"/>
    <mergeCell ref="Q246:Q252"/>
    <mergeCell ref="R246:R252"/>
    <mergeCell ref="Q226:Q231"/>
    <mergeCell ref="T124:T128"/>
    <mergeCell ref="G79:K79"/>
    <mergeCell ref="G80:G87"/>
    <mergeCell ref="M254:M256"/>
    <mergeCell ref="M258:M260"/>
    <mergeCell ref="P213:P220"/>
    <mergeCell ref="G140:K140"/>
    <mergeCell ref="L258:L260"/>
    <mergeCell ref="R137:R140"/>
    <mergeCell ref="P160:P163"/>
    <mergeCell ref="Q160:Q163"/>
    <mergeCell ref="R213:R220"/>
    <mergeCell ref="P141:P146"/>
    <mergeCell ref="Q137:Q140"/>
    <mergeCell ref="T226:T231"/>
    <mergeCell ref="S241:S245"/>
    <mergeCell ref="J205:J211"/>
    <mergeCell ref="P109:P113"/>
    <mergeCell ref="G241:G244"/>
    <mergeCell ref="H241:H244"/>
    <mergeCell ref="I241:I244"/>
    <mergeCell ref="G213:G219"/>
    <mergeCell ref="P221:P225"/>
    <mergeCell ref="Q164:Q174"/>
    <mergeCell ref="Q129:Q135"/>
    <mergeCell ref="S226:S231"/>
    <mergeCell ref="T160:T163"/>
    <mergeCell ref="G151:K151"/>
    <mergeCell ref="G159:K159"/>
    <mergeCell ref="G226:K230"/>
    <mergeCell ref="Q213:Q220"/>
    <mergeCell ref="I175:I196"/>
    <mergeCell ref="H21:H25"/>
    <mergeCell ref="T114:T119"/>
    <mergeCell ref="H89:H94"/>
    <mergeCell ref="I71:I78"/>
    <mergeCell ref="J54:J68"/>
    <mergeCell ref="H35:H38"/>
    <mergeCell ref="K40:K42"/>
    <mergeCell ref="T89:T95"/>
    <mergeCell ref="I100:I103"/>
    <mergeCell ref="S114:S119"/>
    <mergeCell ref="S80:S88"/>
    <mergeCell ref="H80:H87"/>
    <mergeCell ref="S105:S108"/>
    <mergeCell ref="S71:S79"/>
    <mergeCell ref="P71:P79"/>
    <mergeCell ref="K89:K94"/>
    <mergeCell ref="J48:J51"/>
    <mergeCell ref="P44:P47"/>
    <mergeCell ref="I40:I42"/>
    <mergeCell ref="J40:J42"/>
    <mergeCell ref="G47:K47"/>
    <mergeCell ref="I96:I98"/>
    <mergeCell ref="G95:K95"/>
    <mergeCell ref="G96:G98"/>
    <mergeCell ref="B70:K70"/>
    <mergeCell ref="C54:C69"/>
    <mergeCell ref="G88:K88"/>
    <mergeCell ref="C48:C52"/>
    <mergeCell ref="K80:K87"/>
    <mergeCell ref="D54:F69"/>
    <mergeCell ref="D96:F99"/>
    <mergeCell ref="C40:C43"/>
    <mergeCell ref="Q10:Q16"/>
    <mergeCell ref="H96:H98"/>
    <mergeCell ref="S40:S43"/>
    <mergeCell ref="T80:T88"/>
    <mergeCell ref="G16:K16"/>
    <mergeCell ref="R10:R16"/>
    <mergeCell ref="P35:P39"/>
    <mergeCell ref="I109:I112"/>
    <mergeCell ref="R799:R801"/>
    <mergeCell ref="P789:P793"/>
    <mergeCell ref="H779:H782"/>
    <mergeCell ref="G775:G777"/>
    <mergeCell ref="S746:S752"/>
    <mergeCell ref="S789:S793"/>
    <mergeCell ref="N799:N800"/>
    <mergeCell ref="R711:R716"/>
    <mergeCell ref="G675:G687"/>
    <mergeCell ref="S717:S732"/>
    <mergeCell ref="H733:H735"/>
    <mergeCell ref="Q741:Q745"/>
    <mergeCell ref="S741:S745"/>
    <mergeCell ref="G598:K598"/>
    <mergeCell ref="Q799:Q801"/>
    <mergeCell ref="Q205:Q212"/>
    <mergeCell ref="G141:G145"/>
    <mergeCell ref="S198:S204"/>
    <mergeCell ref="S164:S174"/>
    <mergeCell ref="S160:S163"/>
    <mergeCell ref="S175:S197"/>
    <mergeCell ref="G701:G709"/>
    <mergeCell ref="S660:S674"/>
    <mergeCell ref="I660:I673"/>
    <mergeCell ref="U803:U814"/>
    <mergeCell ref="K675:K687"/>
    <mergeCell ref="I711:I715"/>
    <mergeCell ref="T689:T700"/>
    <mergeCell ref="T701:T710"/>
    <mergeCell ref="R615:R622"/>
    <mergeCell ref="R609:R614"/>
    <mergeCell ref="Q675:Q688"/>
    <mergeCell ref="R653:R659"/>
    <mergeCell ref="T615:T622"/>
    <mergeCell ref="Q631:Q641"/>
    <mergeCell ref="S815:S820"/>
    <mergeCell ref="U779:U783"/>
    <mergeCell ref="U760:U764"/>
    <mergeCell ref="K746:K751"/>
    <mergeCell ref="P741:P745"/>
    <mergeCell ref="J737:J739"/>
    <mergeCell ref="S769:S773"/>
    <mergeCell ref="U769:U773"/>
    <mergeCell ref="T779:T783"/>
    <mergeCell ref="T775:T778"/>
    <mergeCell ref="R775:R778"/>
    <mergeCell ref="T815:T820"/>
    <mergeCell ref="Q737:Q740"/>
    <mergeCell ref="Q746:Q752"/>
    <mergeCell ref="R737:R740"/>
    <mergeCell ref="L799:L800"/>
    <mergeCell ref="S737:S740"/>
    <mergeCell ref="U794:U795"/>
    <mergeCell ref="P815:P820"/>
    <mergeCell ref="Q784:Q788"/>
    <mergeCell ref="J660:J673"/>
    <mergeCell ref="D631:F641"/>
    <mergeCell ref="J717:J731"/>
    <mergeCell ref="G717:G731"/>
    <mergeCell ref="G733:G735"/>
    <mergeCell ref="S711:S716"/>
    <mergeCell ref="P631:P641"/>
    <mergeCell ref="Q717:Q732"/>
    <mergeCell ref="J711:J715"/>
    <mergeCell ref="I733:I735"/>
    <mergeCell ref="G736:K736"/>
    <mergeCell ref="Q660:Q674"/>
    <mergeCell ref="H689:H699"/>
    <mergeCell ref="P675:P688"/>
    <mergeCell ref="T717:T732"/>
    <mergeCell ref="I717:I731"/>
    <mergeCell ref="I701:I709"/>
    <mergeCell ref="H717:H731"/>
    <mergeCell ref="K733:K735"/>
    <mergeCell ref="J689:J699"/>
    <mergeCell ref="P653:P659"/>
    <mergeCell ref="I689:I699"/>
    <mergeCell ref="G700:K700"/>
    <mergeCell ref="J653:J658"/>
    <mergeCell ref="G582:I585"/>
    <mergeCell ref="G622:K622"/>
    <mergeCell ref="G641:K641"/>
    <mergeCell ref="K587:K591"/>
    <mergeCell ref="U737:U740"/>
    <mergeCell ref="T799:T801"/>
    <mergeCell ref="R789:R793"/>
    <mergeCell ref="G778:K778"/>
    <mergeCell ref="G732:K732"/>
    <mergeCell ref="K717:K731"/>
    <mergeCell ref="T653:T659"/>
    <mergeCell ref="T733:T736"/>
    <mergeCell ref="U642:U652"/>
    <mergeCell ref="T631:T641"/>
    <mergeCell ref="U631:U641"/>
    <mergeCell ref="T660:T674"/>
    <mergeCell ref="S689:S700"/>
    <mergeCell ref="G614:K614"/>
    <mergeCell ref="U746:U752"/>
    <mergeCell ref="U775:U778"/>
    <mergeCell ref="Q796:Q798"/>
    <mergeCell ref="U784:U788"/>
    <mergeCell ref="Q789:Q793"/>
    <mergeCell ref="G593:I597"/>
    <mergeCell ref="K753:K758"/>
    <mergeCell ref="G760:G763"/>
    <mergeCell ref="H760:H763"/>
    <mergeCell ref="P760:P764"/>
    <mergeCell ref="P582:P586"/>
    <mergeCell ref="T582:T586"/>
    <mergeCell ref="G652:K652"/>
    <mergeCell ref="G625:K625"/>
    <mergeCell ref="I653:I658"/>
    <mergeCell ref="P711:P716"/>
    <mergeCell ref="G716:K716"/>
    <mergeCell ref="P530:P540"/>
    <mergeCell ref="K550:K554"/>
    <mergeCell ref="G530:G539"/>
    <mergeCell ref="B519:B572"/>
    <mergeCell ref="B485:B508"/>
    <mergeCell ref="H550:H554"/>
    <mergeCell ref="B510:B517"/>
    <mergeCell ref="H546:H548"/>
    <mergeCell ref="K541:K544"/>
    <mergeCell ref="C530:C540"/>
    <mergeCell ref="C519:C524"/>
    <mergeCell ref="D485:F491"/>
    <mergeCell ref="C546:C549"/>
    <mergeCell ref="K546:K548"/>
    <mergeCell ref="J675:J687"/>
    <mergeCell ref="I497:I502"/>
    <mergeCell ref="J492:J495"/>
    <mergeCell ref="C504:C508"/>
    <mergeCell ref="C510:C517"/>
    <mergeCell ref="C497:C503"/>
    <mergeCell ref="C541:C545"/>
    <mergeCell ref="P519:P524"/>
    <mergeCell ref="H642:H651"/>
    <mergeCell ref="K623:K624"/>
    <mergeCell ref="H631:H640"/>
    <mergeCell ref="D546:F549"/>
    <mergeCell ref="J541:J544"/>
    <mergeCell ref="I519:I523"/>
    <mergeCell ref="K510:K516"/>
    <mergeCell ref="G508:K508"/>
    <mergeCell ref="G504:G507"/>
    <mergeCell ref="T675:T688"/>
    <mergeCell ref="P615:P622"/>
    <mergeCell ref="G615:I621"/>
    <mergeCell ref="J623:J624"/>
    <mergeCell ref="K631:K640"/>
    <mergeCell ref="G599:I602"/>
    <mergeCell ref="G574:I576"/>
    <mergeCell ref="G555:K555"/>
    <mergeCell ref="G603:K603"/>
    <mergeCell ref="G586:K586"/>
    <mergeCell ref="P604:P608"/>
    <mergeCell ref="J550:J554"/>
    <mergeCell ref="G572:K572"/>
    <mergeCell ref="G587:I591"/>
    <mergeCell ref="J574:J576"/>
    <mergeCell ref="I550:I554"/>
    <mergeCell ref="J582:J585"/>
    <mergeCell ref="R582:R586"/>
    <mergeCell ref="Q582:Q586"/>
    <mergeCell ref="R550:R555"/>
    <mergeCell ref="T574:T577"/>
    <mergeCell ref="P550:P555"/>
    <mergeCell ref="T550:T555"/>
    <mergeCell ref="P574:P577"/>
    <mergeCell ref="J578:J580"/>
    <mergeCell ref="K578:K580"/>
    <mergeCell ref="U530:U540"/>
    <mergeCell ref="G344:K344"/>
    <mergeCell ref="G334:I343"/>
    <mergeCell ref="H541:H544"/>
    <mergeCell ref="J556:J571"/>
    <mergeCell ref="K556:K571"/>
    <mergeCell ref="K331:K332"/>
    <mergeCell ref="P403:P410"/>
    <mergeCell ref="P349:P355"/>
    <mergeCell ref="P331:P333"/>
    <mergeCell ref="P525:P529"/>
    <mergeCell ref="R492:R496"/>
    <mergeCell ref="Q578:Q581"/>
    <mergeCell ref="I530:I539"/>
    <mergeCell ref="J525:J528"/>
    <mergeCell ref="T530:T540"/>
    <mergeCell ref="G545:K545"/>
    <mergeCell ref="G540:K540"/>
    <mergeCell ref="I446:I451"/>
    <mergeCell ref="G483:K483"/>
    <mergeCell ref="G517:K517"/>
    <mergeCell ref="J446:J451"/>
    <mergeCell ref="H519:H523"/>
    <mergeCell ref="I504:I507"/>
    <mergeCell ref="G452:K452"/>
    <mergeCell ref="G510:G516"/>
    <mergeCell ref="T546:T549"/>
    <mergeCell ref="P485:P491"/>
    <mergeCell ref="G549:K549"/>
    <mergeCell ref="G529:K529"/>
    <mergeCell ref="J546:J548"/>
    <mergeCell ref="G382:I385"/>
    <mergeCell ref="U356:U367"/>
    <mergeCell ref="T470:T479"/>
    <mergeCell ref="Q541:Q545"/>
    <mergeCell ref="R519:R524"/>
    <mergeCell ref="T525:T529"/>
    <mergeCell ref="T556:T572"/>
    <mergeCell ref="T421:T428"/>
    <mergeCell ref="R525:R529"/>
    <mergeCell ref="R530:R540"/>
    <mergeCell ref="T541:T545"/>
    <mergeCell ref="T327:T330"/>
    <mergeCell ref="R556:R572"/>
    <mergeCell ref="S480:S483"/>
    <mergeCell ref="T480:T483"/>
    <mergeCell ref="Q327:Q330"/>
    <mergeCell ref="S550:S555"/>
    <mergeCell ref="S446:S452"/>
    <mergeCell ref="S470:S479"/>
    <mergeCell ref="S411:S413"/>
    <mergeCell ref="R411:R413"/>
    <mergeCell ref="T429:T434"/>
    <mergeCell ref="S435:S437"/>
    <mergeCell ref="U331:U333"/>
    <mergeCell ref="R438:R445"/>
    <mergeCell ref="S530:S540"/>
    <mergeCell ref="S463:S469"/>
    <mergeCell ref="R546:R549"/>
    <mergeCell ref="T510:T517"/>
    <mergeCell ref="Q519:Q524"/>
    <mergeCell ref="Q525:Q529"/>
    <mergeCell ref="U399:U402"/>
    <mergeCell ref="S504:S508"/>
    <mergeCell ref="Q287:Q292"/>
    <mergeCell ref="R287:R292"/>
    <mergeCell ref="P268:P273"/>
    <mergeCell ref="G286:K286"/>
    <mergeCell ref="S281:S286"/>
    <mergeCell ref="R277:R279"/>
    <mergeCell ref="J287:J291"/>
    <mergeCell ref="K262:K266"/>
    <mergeCell ref="G267:K267"/>
    <mergeCell ref="K268:K272"/>
    <mergeCell ref="G261:K261"/>
    <mergeCell ref="P254:P257"/>
    <mergeCell ref="J254:J256"/>
    <mergeCell ref="T287:T292"/>
    <mergeCell ref="T281:T286"/>
    <mergeCell ref="S287:S292"/>
    <mergeCell ref="U327:U330"/>
    <mergeCell ref="J308:J310"/>
    <mergeCell ref="Q497:Q503"/>
    <mergeCell ref="P492:P496"/>
    <mergeCell ref="R541:R545"/>
    <mergeCell ref="G577:K577"/>
    <mergeCell ref="Q530:Q540"/>
    <mergeCell ref="K504:K507"/>
    <mergeCell ref="G581:K581"/>
    <mergeCell ref="S574:S577"/>
    <mergeCell ref="T504:T508"/>
    <mergeCell ref="P504:P508"/>
    <mergeCell ref="H492:H495"/>
    <mergeCell ref="K492:K495"/>
    <mergeCell ref="S485:S491"/>
    <mergeCell ref="H530:H539"/>
    <mergeCell ref="T497:T503"/>
    <mergeCell ref="P497:P503"/>
    <mergeCell ref="Q492:Q496"/>
    <mergeCell ref="G491:K491"/>
    <mergeCell ref="S541:S545"/>
    <mergeCell ref="R574:R577"/>
    <mergeCell ref="P541:P545"/>
    <mergeCell ref="S546:S549"/>
    <mergeCell ref="H504:H507"/>
    <mergeCell ref="H510:H516"/>
    <mergeCell ref="R510:R517"/>
    <mergeCell ref="J510:J516"/>
    <mergeCell ref="I510:I516"/>
    <mergeCell ref="G541:G544"/>
    <mergeCell ref="J504:J507"/>
    <mergeCell ref="I541:I544"/>
    <mergeCell ref="S519:S524"/>
    <mergeCell ref="T485:T491"/>
    <mergeCell ref="I485:I490"/>
    <mergeCell ref="H463:H468"/>
    <mergeCell ref="K463:K468"/>
    <mergeCell ref="G485:G490"/>
    <mergeCell ref="Q388:Q395"/>
    <mergeCell ref="H418:H419"/>
    <mergeCell ref="Q480:Q483"/>
    <mergeCell ref="P470:P479"/>
    <mergeCell ref="I429:I433"/>
    <mergeCell ref="R480:R483"/>
    <mergeCell ref="I463:I468"/>
    <mergeCell ref="J470:J478"/>
    <mergeCell ref="T312:T316"/>
    <mergeCell ref="Q312:Q316"/>
    <mergeCell ref="R470:R479"/>
    <mergeCell ref="T399:T402"/>
    <mergeCell ref="P435:P437"/>
    <mergeCell ref="J382:J385"/>
    <mergeCell ref="K382:K385"/>
    <mergeCell ref="G386:K386"/>
    <mergeCell ref="G480:G482"/>
    <mergeCell ref="H480:H482"/>
    <mergeCell ref="I480:I482"/>
    <mergeCell ref="J480:J482"/>
    <mergeCell ref="U1104:U1111"/>
    <mergeCell ref="S525:S529"/>
    <mergeCell ref="U653:U659"/>
    <mergeCell ref="T1113:T1116"/>
    <mergeCell ref="U1113:U1116"/>
    <mergeCell ref="G1116:K1116"/>
    <mergeCell ref="P1104:P1111"/>
    <mergeCell ref="U1004:U1015"/>
    <mergeCell ref="U789:U793"/>
    <mergeCell ref="U836:U842"/>
    <mergeCell ref="R587:R592"/>
    <mergeCell ref="T623:T625"/>
    <mergeCell ref="S631:S641"/>
    <mergeCell ref="H701:H709"/>
    <mergeCell ref="T587:T592"/>
    <mergeCell ref="T599:T603"/>
    <mergeCell ref="S556:S572"/>
    <mergeCell ref="Q587:Q592"/>
    <mergeCell ref="U582:U586"/>
    <mergeCell ref="U574:U577"/>
    <mergeCell ref="P599:P603"/>
    <mergeCell ref="J587:J591"/>
    <mergeCell ref="T578:T581"/>
    <mergeCell ref="Q556:Q572"/>
    <mergeCell ref="P701:P710"/>
    <mergeCell ref="Q701:Q710"/>
    <mergeCell ref="S675:S688"/>
    <mergeCell ref="P689:P700"/>
    <mergeCell ref="K711:K715"/>
    <mergeCell ref="K593:K597"/>
    <mergeCell ref="T609:T614"/>
    <mergeCell ref="U556:U572"/>
    <mergeCell ref="Q546:Q549"/>
    <mergeCell ref="P480:P483"/>
    <mergeCell ref="K470:K478"/>
    <mergeCell ref="B509:K509"/>
    <mergeCell ref="U504:U508"/>
    <mergeCell ref="U546:U549"/>
    <mergeCell ref="G546:G548"/>
    <mergeCell ref="U741:U745"/>
    <mergeCell ref="P660:P674"/>
    <mergeCell ref="U717:U732"/>
    <mergeCell ref="Q689:Q700"/>
    <mergeCell ref="U733:U736"/>
    <mergeCell ref="S701:S710"/>
    <mergeCell ref="T711:T716"/>
    <mergeCell ref="U660:U674"/>
    <mergeCell ref="U711:U716"/>
    <mergeCell ref="U689:U700"/>
    <mergeCell ref="U701:U710"/>
    <mergeCell ref="H653:H658"/>
    <mergeCell ref="P609:P614"/>
    <mergeCell ref="P642:P652"/>
    <mergeCell ref="J642:J651"/>
    <mergeCell ref="B573:K573"/>
    <mergeCell ref="D574:F577"/>
    <mergeCell ref="R485:R491"/>
    <mergeCell ref="R497:R503"/>
    <mergeCell ref="P556:P572"/>
    <mergeCell ref="P578:P581"/>
    <mergeCell ref="T519:T524"/>
    <mergeCell ref="U599:U603"/>
    <mergeCell ref="U541:U545"/>
    <mergeCell ref="S497:S503"/>
    <mergeCell ref="P587:P592"/>
    <mergeCell ref="P593:P598"/>
    <mergeCell ref="R593:R598"/>
    <mergeCell ref="U623:U625"/>
    <mergeCell ref="U799:U801"/>
    <mergeCell ref="U796:U798"/>
    <mergeCell ref="P850:P856"/>
    <mergeCell ref="R626:R629"/>
    <mergeCell ref="S626:S629"/>
    <mergeCell ref="T626:T629"/>
    <mergeCell ref="U626:U629"/>
    <mergeCell ref="U609:U614"/>
    <mergeCell ref="T769:T773"/>
    <mergeCell ref="R794:R795"/>
    <mergeCell ref="P733:P736"/>
    <mergeCell ref="Q733:Q736"/>
    <mergeCell ref="Q769:Q773"/>
    <mergeCell ref="Q760:Q764"/>
    <mergeCell ref="R779:R783"/>
    <mergeCell ref="S821:S828"/>
    <mergeCell ref="T741:T745"/>
    <mergeCell ref="P626:P629"/>
    <mergeCell ref="Q626:Q629"/>
    <mergeCell ref="S642:S652"/>
    <mergeCell ref="S609:S614"/>
    <mergeCell ref="S653:S659"/>
    <mergeCell ref="R675:R688"/>
    <mergeCell ref="U593:U598"/>
    <mergeCell ref="S623:S625"/>
    <mergeCell ref="R642:R652"/>
    <mergeCell ref="Q803:Q814"/>
    <mergeCell ref="R803:R814"/>
    <mergeCell ref="U550:U555"/>
    <mergeCell ref="S593:S598"/>
    <mergeCell ref="Q574:Q577"/>
    <mergeCell ref="Q599:Q603"/>
    <mergeCell ref="S587:S592"/>
    <mergeCell ref="S578:S581"/>
    <mergeCell ref="Q593:Q598"/>
    <mergeCell ref="T593:T598"/>
    <mergeCell ref="U587:U592"/>
    <mergeCell ref="T821:T828"/>
    <mergeCell ref="G815:G819"/>
    <mergeCell ref="U675:U688"/>
    <mergeCell ref="T911:T917"/>
    <mergeCell ref="T1055:T1067"/>
    <mergeCell ref="I675:I687"/>
    <mergeCell ref="U604:U608"/>
    <mergeCell ref="T604:T608"/>
    <mergeCell ref="Q642:Q652"/>
    <mergeCell ref="T642:T652"/>
    <mergeCell ref="S604:S608"/>
    <mergeCell ref="S615:S622"/>
    <mergeCell ref="R631:R641"/>
    <mergeCell ref="Q615:Q622"/>
    <mergeCell ref="Q623:Q625"/>
    <mergeCell ref="B630:K630"/>
    <mergeCell ref="B903:B917"/>
    <mergeCell ref="U615:U622"/>
    <mergeCell ref="Q604:Q608"/>
    <mergeCell ref="D604:F608"/>
    <mergeCell ref="U578:U581"/>
    <mergeCell ref="Q609:Q614"/>
    <mergeCell ref="J631:J640"/>
    <mergeCell ref="B1113:B1116"/>
    <mergeCell ref="C1113:C1116"/>
    <mergeCell ref="D1113:F1116"/>
    <mergeCell ref="G1113:G1115"/>
    <mergeCell ref="H1113:H1115"/>
    <mergeCell ref="I1113:I1115"/>
    <mergeCell ref="J1113:J1115"/>
    <mergeCell ref="B929:B937"/>
    <mergeCell ref="C911:C917"/>
    <mergeCell ref="D911:F917"/>
    <mergeCell ref="G911:G916"/>
    <mergeCell ref="H911:H916"/>
    <mergeCell ref="T1104:T1111"/>
    <mergeCell ref="B1112:K1112"/>
    <mergeCell ref="S1104:S1111"/>
    <mergeCell ref="Q1104:Q1111"/>
    <mergeCell ref="R1104:R1111"/>
    <mergeCell ref="S1113:S1116"/>
    <mergeCell ref="T1085:T1092"/>
    <mergeCell ref="G1104:G1110"/>
    <mergeCell ref="I1104:I1110"/>
    <mergeCell ref="B1104:B1111"/>
    <mergeCell ref="C1104:C1111"/>
    <mergeCell ref="D1104:F1111"/>
    <mergeCell ref="P911:P917"/>
    <mergeCell ref="P1113:P1116"/>
    <mergeCell ref="Q1113:Q1116"/>
    <mergeCell ref="R1113:R1116"/>
    <mergeCell ref="K1113:K1115"/>
    <mergeCell ref="R955:R964"/>
    <mergeCell ref="K929:K936"/>
    <mergeCell ref="C1085:C1092"/>
    <mergeCell ref="B1080:B1102"/>
    <mergeCell ref="J1104:J1110"/>
    <mergeCell ref="K1104:K1110"/>
    <mergeCell ref="G1111:K1111"/>
    <mergeCell ref="H1104:H1110"/>
    <mergeCell ref="B574:B629"/>
    <mergeCell ref="C626:C629"/>
    <mergeCell ref="D626:F629"/>
    <mergeCell ref="G626:I628"/>
    <mergeCell ref="J626:J628"/>
    <mergeCell ref="K626:K628"/>
    <mergeCell ref="G629:K629"/>
    <mergeCell ref="C609:C614"/>
    <mergeCell ref="D530:F540"/>
    <mergeCell ref="D541:F545"/>
    <mergeCell ref="I546:I548"/>
    <mergeCell ref="K530:K539"/>
    <mergeCell ref="C615:C622"/>
    <mergeCell ref="C587:C592"/>
    <mergeCell ref="K911:K916"/>
    <mergeCell ref="G1032:K1032"/>
    <mergeCell ref="I911:I916"/>
    <mergeCell ref="J911:J916"/>
    <mergeCell ref="C578:C581"/>
    <mergeCell ref="J530:J539"/>
    <mergeCell ref="K574:K576"/>
    <mergeCell ref="I737:I739"/>
    <mergeCell ref="G711:G715"/>
    <mergeCell ref="D843:F849"/>
    <mergeCell ref="D556:F572"/>
    <mergeCell ref="H556:H571"/>
    <mergeCell ref="I556:I571"/>
    <mergeCell ref="G608:K608"/>
    <mergeCell ref="Q653:Q659"/>
    <mergeCell ref="P903:P910"/>
    <mergeCell ref="S421:S428"/>
    <mergeCell ref="S429:S434"/>
    <mergeCell ref="S799:S801"/>
    <mergeCell ref="S492:S496"/>
    <mergeCell ref="T1093:T1102"/>
    <mergeCell ref="D504:F508"/>
    <mergeCell ref="D435:F437"/>
    <mergeCell ref="J463:J468"/>
    <mergeCell ref="D803:F814"/>
    <mergeCell ref="G803:G813"/>
    <mergeCell ref="I803:I813"/>
    <mergeCell ref="J803:J813"/>
    <mergeCell ref="B774:K774"/>
    <mergeCell ref="S850:S856"/>
    <mergeCell ref="P836:P842"/>
    <mergeCell ref="T843:T849"/>
    <mergeCell ref="H850:H855"/>
    <mergeCell ref="G429:G433"/>
    <mergeCell ref="C701:C710"/>
    <mergeCell ref="G470:G478"/>
    <mergeCell ref="H470:H478"/>
    <mergeCell ref="D429:F434"/>
    <mergeCell ref="R453:R462"/>
    <mergeCell ref="B388:B483"/>
    <mergeCell ref="G398:K398"/>
    <mergeCell ref="P411:P413"/>
    <mergeCell ref="R435:R437"/>
    <mergeCell ref="D578:F581"/>
    <mergeCell ref="J609:J613"/>
    <mergeCell ref="S582:S586"/>
    <mergeCell ref="S399:S402"/>
    <mergeCell ref="K480:K482"/>
    <mergeCell ref="P623:P625"/>
    <mergeCell ref="D623:F625"/>
    <mergeCell ref="H660:H673"/>
    <mergeCell ref="G631:G640"/>
    <mergeCell ref="K653:K658"/>
    <mergeCell ref="R796:R798"/>
    <mergeCell ref="I421:I427"/>
    <mergeCell ref="C414:C417"/>
    <mergeCell ref="Q453:Q462"/>
    <mergeCell ref="R446:R452"/>
    <mergeCell ref="K446:K451"/>
    <mergeCell ref="K438:K444"/>
    <mergeCell ref="G414:G416"/>
    <mergeCell ref="P438:P445"/>
    <mergeCell ref="I399:I401"/>
    <mergeCell ref="R504:R508"/>
    <mergeCell ref="Q504:Q508"/>
    <mergeCell ref="P546:P549"/>
    <mergeCell ref="R429:R434"/>
    <mergeCell ref="Q446:Q452"/>
    <mergeCell ref="Q421:Q428"/>
    <mergeCell ref="Q399:Q402"/>
    <mergeCell ref="C435:C437"/>
    <mergeCell ref="C438:C445"/>
    <mergeCell ref="P453:P462"/>
    <mergeCell ref="P446:P452"/>
    <mergeCell ref="G435:G436"/>
    <mergeCell ref="C463:C469"/>
    <mergeCell ref="G428:K428"/>
    <mergeCell ref="D470:F479"/>
    <mergeCell ref="D463:F469"/>
    <mergeCell ref="C446:C452"/>
    <mergeCell ref="G446:G451"/>
    <mergeCell ref="K403:K409"/>
    <mergeCell ref="U525:U529"/>
    <mergeCell ref="T492:T496"/>
    <mergeCell ref="K453:K461"/>
    <mergeCell ref="G453:G461"/>
    <mergeCell ref="T463:T469"/>
    <mergeCell ref="U463:U469"/>
    <mergeCell ref="U470:U479"/>
    <mergeCell ref="Q463:Q469"/>
    <mergeCell ref="R463:R469"/>
    <mergeCell ref="Q470:Q479"/>
    <mergeCell ref="G463:G468"/>
    <mergeCell ref="Q414:Q417"/>
    <mergeCell ref="K485:K490"/>
    <mergeCell ref="Q485:Q491"/>
    <mergeCell ref="J429:J433"/>
    <mergeCell ref="G445:K445"/>
    <mergeCell ref="S438:S445"/>
    <mergeCell ref="C525:C529"/>
    <mergeCell ref="S510:S517"/>
    <mergeCell ref="H497:H502"/>
    <mergeCell ref="G503:K503"/>
    <mergeCell ref="K497:K502"/>
    <mergeCell ref="J411:J412"/>
    <mergeCell ref="P418:P420"/>
    <mergeCell ref="I418:I419"/>
    <mergeCell ref="G420:K420"/>
    <mergeCell ref="R414:R417"/>
    <mergeCell ref="U497:U503"/>
    <mergeCell ref="Q510:Q517"/>
    <mergeCell ref="G524:K524"/>
    <mergeCell ref="J519:J523"/>
    <mergeCell ref="B518:K518"/>
    <mergeCell ref="D421:F428"/>
    <mergeCell ref="D414:F417"/>
    <mergeCell ref="G496:K496"/>
    <mergeCell ref="U510:U517"/>
    <mergeCell ref="U519:U524"/>
    <mergeCell ref="U453:U462"/>
    <mergeCell ref="R421:R428"/>
    <mergeCell ref="U438:U445"/>
    <mergeCell ref="U480:U483"/>
    <mergeCell ref="T414:T417"/>
    <mergeCell ref="U435:U437"/>
    <mergeCell ref="D438:F445"/>
    <mergeCell ref="H429:H433"/>
    <mergeCell ref="S453:S462"/>
    <mergeCell ref="D497:F503"/>
    <mergeCell ref="I470:I478"/>
    <mergeCell ref="K519:K523"/>
    <mergeCell ref="J497:J502"/>
    <mergeCell ref="G492:G495"/>
    <mergeCell ref="H446:H451"/>
    <mergeCell ref="P421:P428"/>
    <mergeCell ref="J418:J419"/>
    <mergeCell ref="P429:P434"/>
    <mergeCell ref="K435:K436"/>
    <mergeCell ref="I438:I444"/>
    <mergeCell ref="I435:I436"/>
    <mergeCell ref="J435:J436"/>
    <mergeCell ref="U485:U491"/>
    <mergeCell ref="U492:U496"/>
    <mergeCell ref="S414:S417"/>
    <mergeCell ref="U446:U452"/>
    <mergeCell ref="I453:I461"/>
    <mergeCell ref="T435:T437"/>
    <mergeCell ref="K429:K433"/>
    <mergeCell ref="V124:V128"/>
    <mergeCell ref="G128:L128"/>
    <mergeCell ref="C232:C240"/>
    <mergeCell ref="D232:F240"/>
    <mergeCell ref="P232:P240"/>
    <mergeCell ref="Q232:Q240"/>
    <mergeCell ref="D175:F197"/>
    <mergeCell ref="C124:C128"/>
    <mergeCell ref="D124:F128"/>
    <mergeCell ref="G124:G127"/>
    <mergeCell ref="H124:H127"/>
    <mergeCell ref="I124:I127"/>
    <mergeCell ref="J124:J127"/>
    <mergeCell ref="K124:K127"/>
    <mergeCell ref="P124:P128"/>
    <mergeCell ref="Q124:Q128"/>
    <mergeCell ref="C129:C135"/>
    <mergeCell ref="D129:F135"/>
    <mergeCell ref="P129:P135"/>
    <mergeCell ref="C411:C413"/>
    <mergeCell ref="K399:K401"/>
    <mergeCell ref="D399:F402"/>
    <mergeCell ref="R396:R398"/>
    <mergeCell ref="R388:R395"/>
    <mergeCell ref="Q429:Q434"/>
    <mergeCell ref="K421:K427"/>
    <mergeCell ref="K414:K416"/>
    <mergeCell ref="I411:I412"/>
    <mergeCell ref="U164:U174"/>
    <mergeCell ref="U198:U204"/>
    <mergeCell ref="U129:U135"/>
    <mergeCell ref="U258:U261"/>
    <mergeCell ref="U274:U276"/>
    <mergeCell ref="U287:U292"/>
    <mergeCell ref="U268:U273"/>
    <mergeCell ref="U281:U286"/>
    <mergeCell ref="D221:F225"/>
    <mergeCell ref="G221:G224"/>
    <mergeCell ref="I164:I173"/>
    <mergeCell ref="J241:J244"/>
    <mergeCell ref="J137:J139"/>
    <mergeCell ref="G438:G444"/>
    <mergeCell ref="H438:H444"/>
    <mergeCell ref="G413:K413"/>
    <mergeCell ref="R403:R410"/>
    <mergeCell ref="G411:G412"/>
    <mergeCell ref="U429:U434"/>
    <mergeCell ref="P388:P395"/>
    <mergeCell ref="Q435:Q437"/>
    <mergeCell ref="T388:T395"/>
    <mergeCell ref="R312:R316"/>
    <mergeCell ref="H403:H409"/>
    <mergeCell ref="J421:J427"/>
    <mergeCell ref="G388:G394"/>
    <mergeCell ref="S396:S398"/>
    <mergeCell ref="T411:T413"/>
    <mergeCell ref="U262:U267"/>
    <mergeCell ref="J152:J158"/>
    <mergeCell ref="U175:U197"/>
    <mergeCell ref="U205:U212"/>
    <mergeCell ref="G403:G409"/>
    <mergeCell ref="H399:H401"/>
    <mergeCell ref="G417:K417"/>
    <mergeCell ref="J403:J409"/>
    <mergeCell ref="T105:T108"/>
    <mergeCell ref="D141:F146"/>
    <mergeCell ref="U152:U159"/>
    <mergeCell ref="U89:U95"/>
    <mergeCell ref="U137:U140"/>
    <mergeCell ref="T232:T240"/>
    <mergeCell ref="U232:U240"/>
    <mergeCell ref="G240:K240"/>
    <mergeCell ref="T262:T267"/>
    <mergeCell ref="U254:U257"/>
    <mergeCell ref="T277:T279"/>
    <mergeCell ref="H262:H266"/>
    <mergeCell ref="P262:P267"/>
    <mergeCell ref="N258:N260"/>
    <mergeCell ref="J274:J275"/>
    <mergeCell ref="R268:R273"/>
    <mergeCell ref="R254:R257"/>
    <mergeCell ref="P258:P261"/>
    <mergeCell ref="O254:O256"/>
    <mergeCell ref="Q258:Q261"/>
    <mergeCell ref="H258:H260"/>
    <mergeCell ref="I258:I260"/>
    <mergeCell ref="Q254:Q257"/>
    <mergeCell ref="H277:H278"/>
    <mergeCell ref="I274:I275"/>
    <mergeCell ref="R345:R348"/>
    <mergeCell ref="I312:I315"/>
    <mergeCell ref="G316:K316"/>
    <mergeCell ref="U411:U413"/>
    <mergeCell ref="H411:H412"/>
    <mergeCell ref="H414:H416"/>
    <mergeCell ref="K418:K419"/>
    <mergeCell ref="G129:G134"/>
    <mergeCell ref="H129:H134"/>
    <mergeCell ref="D109:F113"/>
    <mergeCell ref="Q152:Q159"/>
    <mergeCell ref="J147:J150"/>
    <mergeCell ref="R175:R197"/>
    <mergeCell ref="G135:L135"/>
    <mergeCell ref="T213:T220"/>
    <mergeCell ref="S232:S240"/>
    <mergeCell ref="Q277:Q279"/>
    <mergeCell ref="Q293:Q296"/>
    <mergeCell ref="R258:R261"/>
    <mergeCell ref="P287:P292"/>
    <mergeCell ref="K241:K244"/>
    <mergeCell ref="P241:P245"/>
    <mergeCell ref="Q241:Q245"/>
    <mergeCell ref="R241:R245"/>
    <mergeCell ref="T254:T257"/>
    <mergeCell ref="J160:J162"/>
    <mergeCell ref="R232:R240"/>
    <mergeCell ref="T205:T212"/>
    <mergeCell ref="K164:K173"/>
    <mergeCell ref="R198:R204"/>
    <mergeCell ref="T198:T204"/>
    <mergeCell ref="S262:S267"/>
    <mergeCell ref="T268:T273"/>
    <mergeCell ref="R281:R286"/>
    <mergeCell ref="Q356:Q367"/>
    <mergeCell ref="G326:K326"/>
    <mergeCell ref="K320:K325"/>
    <mergeCell ref="P327:P330"/>
    <mergeCell ref="K396:K397"/>
    <mergeCell ref="I396:I397"/>
    <mergeCell ref="R356:R367"/>
    <mergeCell ref="T345:T348"/>
    <mergeCell ref="J388:J394"/>
    <mergeCell ref="U317:U319"/>
    <mergeCell ref="C377:C381"/>
    <mergeCell ref="S293:S296"/>
    <mergeCell ref="S327:S330"/>
    <mergeCell ref="S312:S316"/>
    <mergeCell ref="T317:T319"/>
    <mergeCell ref="Q320:Q326"/>
    <mergeCell ref="T303:T307"/>
    <mergeCell ref="S303:S307"/>
    <mergeCell ref="S297:S302"/>
    <mergeCell ref="T297:T302"/>
    <mergeCell ref="S317:S319"/>
    <mergeCell ref="J317:J318"/>
    <mergeCell ref="K317:K318"/>
    <mergeCell ref="Q317:Q319"/>
    <mergeCell ref="G381:K381"/>
    <mergeCell ref="U293:U296"/>
    <mergeCell ref="U312:U316"/>
    <mergeCell ref="T293:T296"/>
    <mergeCell ref="Q297:Q302"/>
    <mergeCell ref="P297:P302"/>
    <mergeCell ref="J377:J380"/>
    <mergeCell ref="Q345:Q348"/>
    <mergeCell ref="S356:S367"/>
    <mergeCell ref="R418:R420"/>
    <mergeCell ref="D308:F311"/>
    <mergeCell ref="S221:S225"/>
    <mergeCell ref="T221:T225"/>
    <mergeCell ref="H297:H301"/>
    <mergeCell ref="R303:R307"/>
    <mergeCell ref="Q303:Q307"/>
    <mergeCell ref="G296:K296"/>
    <mergeCell ref="U303:U307"/>
    <mergeCell ref="J297:J301"/>
    <mergeCell ref="J312:J315"/>
    <mergeCell ref="T349:T355"/>
    <mergeCell ref="T418:T420"/>
    <mergeCell ref="S418:S420"/>
    <mergeCell ref="S320:S326"/>
    <mergeCell ref="T331:T333"/>
    <mergeCell ref="T396:T398"/>
    <mergeCell ref="T356:T367"/>
    <mergeCell ref="G410:K410"/>
    <mergeCell ref="U418:U420"/>
    <mergeCell ref="S331:S333"/>
    <mergeCell ref="S345:S348"/>
    <mergeCell ref="P345:P348"/>
    <mergeCell ref="G349:I354"/>
    <mergeCell ref="R349:R355"/>
    <mergeCell ref="J356:J360"/>
    <mergeCell ref="U297:U302"/>
    <mergeCell ref="U277:U279"/>
    <mergeCell ref="Q268:Q273"/>
    <mergeCell ref="R1133:R1136"/>
    <mergeCell ref="S274:S276"/>
    <mergeCell ref="U388:U395"/>
    <mergeCell ref="J414:J416"/>
    <mergeCell ref="H421:H427"/>
    <mergeCell ref="I414:I416"/>
    <mergeCell ref="J362:J366"/>
    <mergeCell ref="R331:R333"/>
    <mergeCell ref="T320:T326"/>
    <mergeCell ref="Q331:Q333"/>
    <mergeCell ref="U421:U428"/>
    <mergeCell ref="Q349:Q355"/>
    <mergeCell ref="K345:K347"/>
    <mergeCell ref="D372:F376"/>
    <mergeCell ref="G345:I347"/>
    <mergeCell ref="Q396:Q398"/>
    <mergeCell ref="D349:F355"/>
    <mergeCell ref="K372:K375"/>
    <mergeCell ref="U334:U344"/>
    <mergeCell ref="U396:U398"/>
    <mergeCell ref="S388:S395"/>
    <mergeCell ref="R320:R326"/>
    <mergeCell ref="R399:R402"/>
    <mergeCell ref="D377:F381"/>
    <mergeCell ref="J396:J397"/>
    <mergeCell ref="P320:P326"/>
    <mergeCell ref="K377:K380"/>
    <mergeCell ref="U345:U348"/>
    <mergeCell ref="H396:H397"/>
    <mergeCell ref="I403:I409"/>
    <mergeCell ref="G376:K376"/>
    <mergeCell ref="I388:I394"/>
    <mergeCell ref="D388:F395"/>
    <mergeCell ref="J349:J354"/>
    <mergeCell ref="B1118:B1136"/>
    <mergeCell ref="C765:C767"/>
    <mergeCell ref="D765:F767"/>
    <mergeCell ref="J765:J766"/>
    <mergeCell ref="K765:K766"/>
    <mergeCell ref="P765:P767"/>
    <mergeCell ref="Q765:Q767"/>
    <mergeCell ref="R765:R767"/>
    <mergeCell ref="S765:S767"/>
    <mergeCell ref="T765:T767"/>
    <mergeCell ref="U765:U767"/>
    <mergeCell ref="G767:K767"/>
    <mergeCell ref="B631:B767"/>
    <mergeCell ref="G765:G766"/>
    <mergeCell ref="H765:H766"/>
    <mergeCell ref="I765:I766"/>
    <mergeCell ref="C1133:C1136"/>
    <mergeCell ref="D1133:F1136"/>
    <mergeCell ref="G1133:G1135"/>
    <mergeCell ref="H1133:H1135"/>
    <mergeCell ref="I1133:I1135"/>
    <mergeCell ref="C711:C716"/>
    <mergeCell ref="C631:C659"/>
    <mergeCell ref="R660:R674"/>
    <mergeCell ref="G674:K674"/>
    <mergeCell ref="B1117:K1117"/>
    <mergeCell ref="J1133:J1135"/>
    <mergeCell ref="K1133:K1135"/>
    <mergeCell ref="P1133:P1136"/>
    <mergeCell ref="Q1133:Q1136"/>
    <mergeCell ref="Q334:Q344"/>
    <mergeCell ref="S1133:S1136"/>
    <mergeCell ref="T1133:T1136"/>
    <mergeCell ref="U1133:U1136"/>
    <mergeCell ref="G1136:K1136"/>
    <mergeCell ref="C331:C333"/>
    <mergeCell ref="D331:F333"/>
    <mergeCell ref="J345:J347"/>
    <mergeCell ref="C388:C395"/>
    <mergeCell ref="H435:H436"/>
    <mergeCell ref="D327:F330"/>
    <mergeCell ref="D320:F326"/>
    <mergeCell ref="C429:C434"/>
    <mergeCell ref="K308:K310"/>
    <mergeCell ref="H312:H315"/>
    <mergeCell ref="U349:U355"/>
    <mergeCell ref="U403:U410"/>
    <mergeCell ref="U414:U417"/>
    <mergeCell ref="C320:C326"/>
    <mergeCell ref="C312:C316"/>
    <mergeCell ref="C334:C344"/>
    <mergeCell ref="R334:R344"/>
    <mergeCell ref="P334:P344"/>
    <mergeCell ref="S403:S410"/>
    <mergeCell ref="T334:T344"/>
    <mergeCell ref="S334:S344"/>
    <mergeCell ref="G437:K437"/>
    <mergeCell ref="T403:T410"/>
    <mergeCell ref="S349:S355"/>
    <mergeCell ref="P396:P398"/>
    <mergeCell ref="H388:H394"/>
    <mergeCell ref="G377:I380"/>
    <mergeCell ref="J320:J325"/>
    <mergeCell ref="G402:K402"/>
    <mergeCell ref="S246:S252"/>
    <mergeCell ref="T246:T252"/>
    <mergeCell ref="U246:U252"/>
    <mergeCell ref="D246:F252"/>
    <mergeCell ref="G246:G251"/>
    <mergeCell ref="P246:P252"/>
    <mergeCell ref="G252:K252"/>
    <mergeCell ref="R317:R319"/>
    <mergeCell ref="D345:F348"/>
    <mergeCell ref="D334:F344"/>
    <mergeCell ref="J334:J343"/>
    <mergeCell ref="P308:P311"/>
    <mergeCell ref="J303:J306"/>
    <mergeCell ref="U160:U163"/>
    <mergeCell ref="U213:U220"/>
    <mergeCell ref="S205:S212"/>
    <mergeCell ref="S213:S220"/>
    <mergeCell ref="R274:R276"/>
    <mergeCell ref="T274:T276"/>
    <mergeCell ref="R297:R302"/>
    <mergeCell ref="U308:U311"/>
    <mergeCell ref="S308:S311"/>
    <mergeCell ref="U320:U326"/>
    <mergeCell ref="R327:R330"/>
    <mergeCell ref="T175:T197"/>
    <mergeCell ref="K175:K196"/>
    <mergeCell ref="R308:R311"/>
    <mergeCell ref="U221:U225"/>
    <mergeCell ref="U226:U231"/>
    <mergeCell ref="T308:T311"/>
  </mergeCells>
  <phoneticPr fontId="39" type="noConversion"/>
  <printOptions horizontalCentered="1"/>
  <pageMargins left="0.15748031496062992" right="0.15748031496062992" top="0.59055118110236227" bottom="0.39370078740157483" header="0.59055118110236227" footer="0.19685039370078741"/>
  <pageSetup paperSize="9" scale="47" fitToHeight="0" orientation="landscape" r:id="rId1"/>
  <headerFooter alignWithMargins="0">
    <oddFooter>&amp;C&amp;P/&amp;N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57C34-1FCF-449B-9DA9-565446C09C8A}">
  <sheetPr>
    <tabColor rgb="FFC0504D"/>
    <pageSetUpPr fitToPage="1"/>
  </sheetPr>
  <dimension ref="A1:L73"/>
  <sheetViews>
    <sheetView zoomScale="70" zoomScaleNormal="70" workbookViewId="0">
      <selection activeCell="G27" sqref="G27"/>
    </sheetView>
  </sheetViews>
  <sheetFormatPr defaultColWidth="7.77734375" defaultRowHeight="14.25"/>
  <cols>
    <col min="1" max="2" width="10.77734375" style="58" customWidth="1"/>
    <col min="3" max="3" width="12.5546875" style="58" customWidth="1"/>
    <col min="4" max="5" width="15" style="58" customWidth="1"/>
    <col min="6" max="6" width="14.5546875" style="58" customWidth="1"/>
    <col min="7" max="7" width="15" style="58" customWidth="1"/>
    <col min="8" max="8" width="14" style="58" customWidth="1"/>
    <col min="9" max="10" width="15" style="58" customWidth="1"/>
    <col min="11" max="11" width="14.5546875" style="58" customWidth="1"/>
    <col min="12" max="12" width="15" style="58" customWidth="1"/>
    <col min="13" max="14" width="7.77734375" style="58" customWidth="1"/>
    <col min="15" max="16384" width="7.77734375" style="58"/>
  </cols>
  <sheetData>
    <row r="1" spans="1:12" ht="45" customHeight="1" thickBot="1">
      <c r="A1" s="1802" t="s">
        <v>537</v>
      </c>
      <c r="B1" s="1802"/>
      <c r="C1" s="1802"/>
      <c r="D1" s="1802"/>
      <c r="E1" s="1802"/>
      <c r="F1" s="1802"/>
      <c r="G1" s="1802"/>
      <c r="H1" s="1802"/>
      <c r="I1" s="1802"/>
      <c r="J1" s="1802"/>
      <c r="K1" s="1802"/>
      <c r="L1" s="1802"/>
    </row>
    <row r="2" spans="1:12" s="59" customFormat="1" ht="24.95" customHeight="1">
      <c r="A2" s="1803" t="s">
        <v>2</v>
      </c>
      <c r="B2" s="1807" t="s">
        <v>3</v>
      </c>
      <c r="C2" s="457" t="s">
        <v>671</v>
      </c>
      <c r="D2" s="457"/>
      <c r="E2" s="457"/>
      <c r="F2" s="457"/>
      <c r="G2" s="457"/>
      <c r="H2" s="457" t="s">
        <v>635</v>
      </c>
      <c r="I2" s="457"/>
      <c r="J2" s="457"/>
      <c r="K2" s="457"/>
      <c r="L2" s="457"/>
    </row>
    <row r="3" spans="1:12" s="59" customFormat="1" ht="24.95" customHeight="1">
      <c r="A3" s="1804"/>
      <c r="B3" s="1808"/>
      <c r="C3" s="60" t="s">
        <v>1</v>
      </c>
      <c r="D3" s="61" t="s">
        <v>15</v>
      </c>
      <c r="E3" s="61" t="s">
        <v>16</v>
      </c>
      <c r="F3" s="61" t="s">
        <v>14</v>
      </c>
      <c r="G3" s="61" t="s">
        <v>0</v>
      </c>
      <c r="H3" s="60" t="s">
        <v>1</v>
      </c>
      <c r="I3" s="61" t="s">
        <v>15</v>
      </c>
      <c r="J3" s="61" t="s">
        <v>16</v>
      </c>
      <c r="K3" s="61" t="s">
        <v>14</v>
      </c>
      <c r="L3" s="62" t="s">
        <v>0</v>
      </c>
    </row>
    <row r="4" spans="1:12" s="59" customFormat="1" ht="24.95" customHeight="1">
      <c r="A4" s="63" t="s">
        <v>18</v>
      </c>
      <c r="B4" s="64">
        <f t="shared" ref="B4:B35" si="0">C4-H4</f>
        <v>-707</v>
      </c>
      <c r="C4" s="65">
        <f t="shared" ref="C4:L4" si="1">SUM(C5:C35)</f>
        <v>13802</v>
      </c>
      <c r="D4" s="65">
        <f t="shared" si="1"/>
        <v>327</v>
      </c>
      <c r="E4" s="65">
        <f t="shared" si="1"/>
        <v>542</v>
      </c>
      <c r="F4" s="65">
        <f t="shared" si="1"/>
        <v>10356</v>
      </c>
      <c r="G4" s="65">
        <f t="shared" si="1"/>
        <v>2577</v>
      </c>
      <c r="H4" s="65">
        <f t="shared" si="1"/>
        <v>14509</v>
      </c>
      <c r="I4" s="65">
        <f t="shared" si="1"/>
        <v>329</v>
      </c>
      <c r="J4" s="65">
        <f t="shared" si="1"/>
        <v>629</v>
      </c>
      <c r="K4" s="65">
        <f t="shared" si="1"/>
        <v>10804</v>
      </c>
      <c r="L4" s="66">
        <f t="shared" si="1"/>
        <v>2747</v>
      </c>
    </row>
    <row r="5" spans="1:12" ht="24.95" customHeight="1">
      <c r="A5" s="49" t="s">
        <v>25</v>
      </c>
      <c r="B5" s="67">
        <f t="shared" si="0"/>
        <v>-22</v>
      </c>
      <c r="C5" s="23">
        <f t="shared" ref="C5:C7" si="2">SUM(D5:G5)</f>
        <v>21</v>
      </c>
      <c r="D5" s="24">
        <f>'총괄표(경기도)'!D5</f>
        <v>0</v>
      </c>
      <c r="E5" s="24">
        <f>'총괄표(경기도)'!E5</f>
        <v>0</v>
      </c>
      <c r="F5" s="24">
        <f>'총괄표(경기도)'!F5</f>
        <v>21</v>
      </c>
      <c r="G5" s="24">
        <f>'총괄표(경기도)'!G5</f>
        <v>0</v>
      </c>
      <c r="H5" s="23">
        <f>SUM(I5:L5)</f>
        <v>43</v>
      </c>
      <c r="I5" s="24">
        <f>'총괄표(경기도)'!I5</f>
        <v>0</v>
      </c>
      <c r="J5" s="24">
        <f>'총괄표(경기도)'!J5</f>
        <v>0</v>
      </c>
      <c r="K5" s="24">
        <f>'총괄표(경기도)'!K5</f>
        <v>43</v>
      </c>
      <c r="L5" s="53">
        <f>'총괄표(경기도)'!L5</f>
        <v>0</v>
      </c>
    </row>
    <row r="6" spans="1:12" ht="24.95" customHeight="1">
      <c r="A6" s="49" t="s">
        <v>27</v>
      </c>
      <c r="B6" s="67">
        <f t="shared" si="0"/>
        <v>-5</v>
      </c>
      <c r="C6" s="23">
        <f t="shared" si="2"/>
        <v>19</v>
      </c>
      <c r="D6" s="24">
        <f>'총괄표(경기도)'!D8</f>
        <v>0</v>
      </c>
      <c r="E6" s="24">
        <f>'총괄표(경기도)'!E8</f>
        <v>19</v>
      </c>
      <c r="F6" s="24">
        <f>'총괄표(경기도)'!F8</f>
        <v>0</v>
      </c>
      <c r="G6" s="24">
        <f>'총괄표(경기도)'!G8</f>
        <v>0</v>
      </c>
      <c r="H6" s="23">
        <f t="shared" ref="H6:H7" si="3">SUM(I6:L6)</f>
        <v>24</v>
      </c>
      <c r="I6" s="24">
        <f>'총괄표(경기도)'!I8</f>
        <v>2</v>
      </c>
      <c r="J6" s="24">
        <f>'총괄표(경기도)'!J8</f>
        <v>21</v>
      </c>
      <c r="K6" s="24">
        <f>'총괄표(경기도)'!K8</f>
        <v>1</v>
      </c>
      <c r="L6" s="53">
        <f>'총괄표(경기도)'!L8</f>
        <v>0</v>
      </c>
    </row>
    <row r="7" spans="1:12" ht="24.95" customHeight="1">
      <c r="A7" s="49" t="s">
        <v>35</v>
      </c>
      <c r="B7" s="67">
        <f t="shared" si="0"/>
        <v>-17</v>
      </c>
      <c r="C7" s="23">
        <f t="shared" si="2"/>
        <v>783</v>
      </c>
      <c r="D7" s="24">
        <f>'총괄표(경기도)'!D18</f>
        <v>82</v>
      </c>
      <c r="E7" s="24">
        <f>'총괄표(경기도)'!E18</f>
        <v>36</v>
      </c>
      <c r="F7" s="24">
        <f>'총괄표(경기도)'!F18</f>
        <v>616</v>
      </c>
      <c r="G7" s="24">
        <f>'총괄표(경기도)'!G18</f>
        <v>49</v>
      </c>
      <c r="H7" s="23">
        <f t="shared" si="3"/>
        <v>800</v>
      </c>
      <c r="I7" s="24">
        <f>'총괄표(경기도)'!I18</f>
        <v>82</v>
      </c>
      <c r="J7" s="24">
        <f>'총괄표(경기도)'!J18</f>
        <v>36</v>
      </c>
      <c r="K7" s="24">
        <f>'총괄표(경기도)'!K18</f>
        <v>630</v>
      </c>
      <c r="L7" s="53">
        <f>'총괄표(경기도)'!L18</f>
        <v>52</v>
      </c>
    </row>
    <row r="8" spans="1:12" s="72" customFormat="1" ht="24.95" customHeight="1">
      <c r="A8" s="49" t="s">
        <v>31</v>
      </c>
      <c r="B8" s="67">
        <f t="shared" si="0"/>
        <v>0</v>
      </c>
      <c r="C8" s="23">
        <f t="shared" ref="C8:C35" si="4">SUM(D8:G8)</f>
        <v>61</v>
      </c>
      <c r="D8" s="27">
        <f>'총괄표(경기도)'!D14</f>
        <v>0</v>
      </c>
      <c r="E8" s="27">
        <f>'총괄표(경기도)'!E14</f>
        <v>61</v>
      </c>
      <c r="F8" s="27">
        <f>'총괄표(경기도)'!F14</f>
        <v>0</v>
      </c>
      <c r="G8" s="27">
        <f>'총괄표(경기도)'!G14</f>
        <v>0</v>
      </c>
      <c r="H8" s="23">
        <f t="shared" ref="H8:H35" si="5">SUM(I8:L8)</f>
        <v>61</v>
      </c>
      <c r="I8" s="27">
        <f>'총괄표(경기도)'!I14</f>
        <v>0</v>
      </c>
      <c r="J8" s="27">
        <f>'총괄표(경기도)'!J14</f>
        <v>61</v>
      </c>
      <c r="K8" s="27">
        <f>'총괄표(경기도)'!K14</f>
        <v>0</v>
      </c>
      <c r="L8" s="55">
        <f>'총괄표(경기도)'!L14</f>
        <v>0</v>
      </c>
    </row>
    <row r="9" spans="1:12" ht="24.95" customHeight="1">
      <c r="A9" s="49" t="s">
        <v>29</v>
      </c>
      <c r="B9" s="67">
        <f t="shared" si="0"/>
        <v>-19</v>
      </c>
      <c r="C9" s="23">
        <f t="shared" si="4"/>
        <v>60</v>
      </c>
      <c r="D9" s="57">
        <f>'총괄표(경기도)'!D10</f>
        <v>0</v>
      </c>
      <c r="E9" s="57">
        <f>'총괄표(경기도)'!E10</f>
        <v>32</v>
      </c>
      <c r="F9" s="57">
        <f>'총괄표(경기도)'!F10</f>
        <v>28</v>
      </c>
      <c r="G9" s="57">
        <f>'총괄표(경기도)'!G10</f>
        <v>0</v>
      </c>
      <c r="H9" s="23">
        <f t="shared" si="5"/>
        <v>79</v>
      </c>
      <c r="I9" s="57">
        <f>'총괄표(경기도)'!I10</f>
        <v>0</v>
      </c>
      <c r="J9" s="57">
        <f>'총괄표(경기도)'!J10</f>
        <v>40</v>
      </c>
      <c r="K9" s="57">
        <f>'총괄표(경기도)'!K10</f>
        <v>39</v>
      </c>
      <c r="L9" s="96">
        <f>'총괄표(경기도)'!L10</f>
        <v>0</v>
      </c>
    </row>
    <row r="10" spans="1:12" ht="24.95" customHeight="1">
      <c r="A10" s="49" t="s">
        <v>37</v>
      </c>
      <c r="B10" s="67">
        <f t="shared" si="0"/>
        <v>0</v>
      </c>
      <c r="C10" s="23">
        <f t="shared" si="4"/>
        <v>2</v>
      </c>
      <c r="D10" s="24">
        <f>'총괄표(경기도)'!D20</f>
        <v>0</v>
      </c>
      <c r="E10" s="24">
        <f>'총괄표(경기도)'!E20</f>
        <v>1</v>
      </c>
      <c r="F10" s="24">
        <f>'총괄표(경기도)'!F20</f>
        <v>1</v>
      </c>
      <c r="G10" s="24">
        <f>'총괄표(경기도)'!G20</f>
        <v>0</v>
      </c>
      <c r="H10" s="23">
        <f t="shared" si="5"/>
        <v>2</v>
      </c>
      <c r="I10" s="24">
        <f>'총괄표(경기도)'!I20</f>
        <v>0</v>
      </c>
      <c r="J10" s="24">
        <f>'총괄표(경기도)'!J20</f>
        <v>1</v>
      </c>
      <c r="K10" s="24">
        <f>'총괄표(경기도)'!K20</f>
        <v>1</v>
      </c>
      <c r="L10" s="53">
        <f>'총괄표(경기도)'!L20</f>
        <v>0</v>
      </c>
    </row>
    <row r="11" spans="1:12" s="74" customFormat="1" ht="24.95" customHeight="1">
      <c r="A11" s="50" t="s">
        <v>310</v>
      </c>
      <c r="B11" s="43">
        <f t="shared" si="0"/>
        <v>-250</v>
      </c>
      <c r="C11" s="23">
        <f t="shared" si="4"/>
        <v>3358</v>
      </c>
      <c r="D11" s="37">
        <f>'총괄표(경기도)'!D13</f>
        <v>0</v>
      </c>
      <c r="E11" s="37">
        <f>'총괄표(경기도)'!E13</f>
        <v>27</v>
      </c>
      <c r="F11" s="37">
        <f>'총괄표(경기도)'!F13</f>
        <v>2173</v>
      </c>
      <c r="G11" s="37">
        <f>'총괄표(경기도)'!G13</f>
        <v>1158</v>
      </c>
      <c r="H11" s="23">
        <f t="shared" si="5"/>
        <v>3608</v>
      </c>
      <c r="I11" s="37">
        <f>'총괄표(경기도)'!I13</f>
        <v>0</v>
      </c>
      <c r="J11" s="37">
        <f>'총괄표(경기도)'!J13</f>
        <v>27</v>
      </c>
      <c r="K11" s="37">
        <f>'총괄표(경기도)'!K13</f>
        <v>2372</v>
      </c>
      <c r="L11" s="73">
        <f>'총괄표(경기도)'!L13</f>
        <v>1209</v>
      </c>
    </row>
    <row r="12" spans="1:12" s="76" customFormat="1" ht="24.95" customHeight="1">
      <c r="A12" s="49" t="s">
        <v>24</v>
      </c>
      <c r="B12" s="67">
        <f t="shared" si="0"/>
        <v>0</v>
      </c>
      <c r="C12" s="23">
        <f t="shared" si="4"/>
        <v>137</v>
      </c>
      <c r="D12" s="38">
        <f>'총괄표(경기도)'!D32</f>
        <v>0</v>
      </c>
      <c r="E12" s="38">
        <f>'총괄표(경기도)'!E32</f>
        <v>8</v>
      </c>
      <c r="F12" s="38">
        <f>'총괄표(경기도)'!F32</f>
        <v>129</v>
      </c>
      <c r="G12" s="38">
        <f>'총괄표(경기도)'!G32</f>
        <v>0</v>
      </c>
      <c r="H12" s="23">
        <f t="shared" si="5"/>
        <v>137</v>
      </c>
      <c r="I12" s="38">
        <f>'총괄표(경기도)'!I32</f>
        <v>0</v>
      </c>
      <c r="J12" s="38">
        <f>'총괄표(경기도)'!J32</f>
        <v>8</v>
      </c>
      <c r="K12" s="38">
        <f>'총괄표(경기도)'!K32</f>
        <v>129</v>
      </c>
      <c r="L12" s="92">
        <f>'총괄표(경기도)'!L32</f>
        <v>0</v>
      </c>
    </row>
    <row r="13" spans="1:12" s="74" customFormat="1" ht="24.95" customHeight="1">
      <c r="A13" s="49" t="s">
        <v>30</v>
      </c>
      <c r="B13" s="67">
        <f t="shared" si="0"/>
        <v>0</v>
      </c>
      <c r="C13" s="68">
        <f t="shared" si="4"/>
        <v>0</v>
      </c>
      <c r="D13" s="69">
        <f>'총괄표(경기도)'!D12</f>
        <v>0</v>
      </c>
      <c r="E13" s="69">
        <f>'총괄표(경기도)'!E12</f>
        <v>0</v>
      </c>
      <c r="F13" s="69">
        <f>'총괄표(경기도)'!F12</f>
        <v>0</v>
      </c>
      <c r="G13" s="69">
        <f>'총괄표(경기도)'!G12</f>
        <v>0</v>
      </c>
      <c r="H13" s="68">
        <f t="shared" si="5"/>
        <v>0</v>
      </c>
      <c r="I13" s="69">
        <f>'총괄표(경기도)'!I12</f>
        <v>0</v>
      </c>
      <c r="J13" s="69">
        <f>'총괄표(경기도)'!J12</f>
        <v>0</v>
      </c>
      <c r="K13" s="69">
        <f>'총괄표(경기도)'!K12</f>
        <v>0</v>
      </c>
      <c r="L13" s="70">
        <f>'총괄표(경기도)'!L12</f>
        <v>0</v>
      </c>
    </row>
    <row r="14" spans="1:12" s="74" customFormat="1" ht="24.95" customHeight="1">
      <c r="A14" s="49" t="s">
        <v>274</v>
      </c>
      <c r="B14" s="67">
        <f t="shared" si="0"/>
        <v>-1</v>
      </c>
      <c r="C14" s="23">
        <f t="shared" si="4"/>
        <v>53</v>
      </c>
      <c r="D14" s="24">
        <f>'총괄표(경기도)'!D7</f>
        <v>1</v>
      </c>
      <c r="E14" s="24">
        <f>'총괄표(경기도)'!E7</f>
        <v>0</v>
      </c>
      <c r="F14" s="24">
        <f>'총괄표(경기도)'!F7</f>
        <v>52</v>
      </c>
      <c r="G14" s="24">
        <f>'총괄표(경기도)'!G7</f>
        <v>0</v>
      </c>
      <c r="H14" s="23">
        <f t="shared" si="5"/>
        <v>54</v>
      </c>
      <c r="I14" s="24">
        <f>'총괄표(경기도)'!I7</f>
        <v>1</v>
      </c>
      <c r="J14" s="24">
        <f>'총괄표(경기도)'!J7</f>
        <v>0</v>
      </c>
      <c r="K14" s="24">
        <f>'총괄표(경기도)'!K7</f>
        <v>53</v>
      </c>
      <c r="L14" s="53">
        <f>'총괄표(경기도)'!L7</f>
        <v>0</v>
      </c>
    </row>
    <row r="15" spans="1:12" ht="24.95" customHeight="1">
      <c r="A15" s="49" t="s">
        <v>48</v>
      </c>
      <c r="B15" s="67">
        <f t="shared" si="0"/>
        <v>0</v>
      </c>
      <c r="C15" s="23">
        <f t="shared" si="4"/>
        <v>0</v>
      </c>
      <c r="D15" s="24">
        <f>'총괄표(경기도)'!D33</f>
        <v>0</v>
      </c>
      <c r="E15" s="24">
        <f>'총괄표(경기도)'!E33</f>
        <v>0</v>
      </c>
      <c r="F15" s="24">
        <f>'총괄표(경기도)'!F33</f>
        <v>0</v>
      </c>
      <c r="G15" s="24">
        <f>'총괄표(경기도)'!G33</f>
        <v>0</v>
      </c>
      <c r="H15" s="23">
        <f t="shared" si="5"/>
        <v>0</v>
      </c>
      <c r="I15" s="24">
        <f>'총괄표(경기도)'!I33</f>
        <v>0</v>
      </c>
      <c r="J15" s="24">
        <f>'총괄표(경기도)'!J33</f>
        <v>0</v>
      </c>
      <c r="K15" s="24">
        <f>'총괄표(경기도)'!K33</f>
        <v>0</v>
      </c>
      <c r="L15" s="53">
        <f>'총괄표(경기도)'!L33</f>
        <v>0</v>
      </c>
    </row>
    <row r="16" spans="1:12" ht="24.95" customHeight="1">
      <c r="A16" s="49" t="s">
        <v>42</v>
      </c>
      <c r="B16" s="67">
        <f t="shared" si="0"/>
        <v>-12</v>
      </c>
      <c r="C16" s="23">
        <f t="shared" si="4"/>
        <v>0</v>
      </c>
      <c r="D16" s="24">
        <f>'총괄표(경기도)'!D26</f>
        <v>0</v>
      </c>
      <c r="E16" s="24">
        <f>'총괄표(경기도)'!E26</f>
        <v>0</v>
      </c>
      <c r="F16" s="24">
        <f>'총괄표(경기도)'!F26</f>
        <v>0</v>
      </c>
      <c r="G16" s="24">
        <f>'총괄표(경기도)'!G26</f>
        <v>0</v>
      </c>
      <c r="H16" s="23">
        <f t="shared" si="5"/>
        <v>12</v>
      </c>
      <c r="I16" s="24">
        <f>'총괄표(경기도)'!I26</f>
        <v>0</v>
      </c>
      <c r="J16" s="24">
        <f>'총괄표(경기도)'!J26</f>
        <v>0</v>
      </c>
      <c r="K16" s="24">
        <f>'총괄표(경기도)'!K26</f>
        <v>12</v>
      </c>
      <c r="L16" s="53">
        <f>'총괄표(경기도)'!L26</f>
        <v>0</v>
      </c>
    </row>
    <row r="17" spans="1:12" ht="24.95" customHeight="1">
      <c r="A17" s="49" t="s">
        <v>19</v>
      </c>
      <c r="B17" s="67">
        <f t="shared" si="0"/>
        <v>-37</v>
      </c>
      <c r="C17" s="23">
        <f t="shared" si="4"/>
        <v>424</v>
      </c>
      <c r="D17" s="24">
        <f>'총괄표(경기도)'!D11</f>
        <v>0</v>
      </c>
      <c r="E17" s="24">
        <f>'총괄표(경기도)'!E11</f>
        <v>105</v>
      </c>
      <c r="F17" s="24">
        <f>'총괄표(경기도)'!F11</f>
        <v>49</v>
      </c>
      <c r="G17" s="24">
        <f>'총괄표(경기도)'!G11</f>
        <v>270</v>
      </c>
      <c r="H17" s="23">
        <f t="shared" si="5"/>
        <v>461</v>
      </c>
      <c r="I17" s="24">
        <f>'총괄표(경기도)'!I11</f>
        <v>0</v>
      </c>
      <c r="J17" s="24">
        <f>'총괄표(경기도)'!J11</f>
        <v>113</v>
      </c>
      <c r="K17" s="24">
        <f>'총괄표(경기도)'!K11</f>
        <v>69</v>
      </c>
      <c r="L17" s="53">
        <f>'총괄표(경기도)'!L11</f>
        <v>279</v>
      </c>
    </row>
    <row r="18" spans="1:12" ht="24.95" customHeight="1">
      <c r="A18" s="49" t="s">
        <v>40</v>
      </c>
      <c r="B18" s="67">
        <f t="shared" si="0"/>
        <v>-578</v>
      </c>
      <c r="C18" s="23">
        <f t="shared" si="4"/>
        <v>1268</v>
      </c>
      <c r="D18" s="24">
        <f>'총괄표(경기도)'!D23</f>
        <v>0</v>
      </c>
      <c r="E18" s="24">
        <f>'총괄표(경기도)'!E23</f>
        <v>0</v>
      </c>
      <c r="F18" s="24">
        <f>'총괄표(경기도)'!F23</f>
        <v>1056</v>
      </c>
      <c r="G18" s="24">
        <f>'총괄표(경기도)'!G23</f>
        <v>212</v>
      </c>
      <c r="H18" s="23">
        <f t="shared" si="5"/>
        <v>1846</v>
      </c>
      <c r="I18" s="24">
        <f>'총괄표(경기도)'!I23</f>
        <v>0</v>
      </c>
      <c r="J18" s="24">
        <f>'총괄표(경기도)'!J23</f>
        <v>0</v>
      </c>
      <c r="K18" s="24">
        <f>'총괄표(경기도)'!K23</f>
        <v>1564</v>
      </c>
      <c r="L18" s="53">
        <f>'총괄표(경기도)'!L23</f>
        <v>282</v>
      </c>
    </row>
    <row r="19" spans="1:12" ht="24.95" customHeight="1">
      <c r="A19" s="49" t="s">
        <v>32</v>
      </c>
      <c r="B19" s="67">
        <f t="shared" si="0"/>
        <v>-41</v>
      </c>
      <c r="C19" s="23">
        <f t="shared" si="4"/>
        <v>359</v>
      </c>
      <c r="D19" s="51">
        <f>'총괄표(경기도)'!D15</f>
        <v>0</v>
      </c>
      <c r="E19" s="51">
        <f>'총괄표(경기도)'!E15</f>
        <v>3</v>
      </c>
      <c r="F19" s="51">
        <f>'총괄표(경기도)'!F15</f>
        <v>335</v>
      </c>
      <c r="G19" s="51">
        <f>'총괄표(경기도)'!G15</f>
        <v>21</v>
      </c>
      <c r="H19" s="23">
        <f t="shared" si="5"/>
        <v>400</v>
      </c>
      <c r="I19" s="51">
        <f>'총괄표(경기도)'!I15</f>
        <v>0</v>
      </c>
      <c r="J19" s="51">
        <f>'총괄표(경기도)'!J15</f>
        <v>3</v>
      </c>
      <c r="K19" s="51">
        <f>'총괄표(경기도)'!K15</f>
        <v>371</v>
      </c>
      <c r="L19" s="56">
        <f>'총괄표(경기도)'!L15</f>
        <v>26</v>
      </c>
    </row>
    <row r="20" spans="1:12" s="77" customFormat="1" ht="24.95" customHeight="1">
      <c r="A20" s="49" t="s">
        <v>39</v>
      </c>
      <c r="B20" s="67">
        <f t="shared" si="0"/>
        <v>0</v>
      </c>
      <c r="C20" s="23">
        <f t="shared" si="4"/>
        <v>0</v>
      </c>
      <c r="D20" s="24">
        <f>'총괄표(경기도)'!D22</f>
        <v>0</v>
      </c>
      <c r="E20" s="24">
        <f>'총괄표(경기도)'!E22</f>
        <v>0</v>
      </c>
      <c r="F20" s="24">
        <f>'총괄표(경기도)'!F22</f>
        <v>0</v>
      </c>
      <c r="G20" s="24">
        <f>'총괄표(경기도)'!G22</f>
        <v>0</v>
      </c>
      <c r="H20" s="23">
        <f t="shared" si="5"/>
        <v>0</v>
      </c>
      <c r="I20" s="24">
        <f>'총괄표(경기도)'!I22</f>
        <v>0</v>
      </c>
      <c r="J20" s="24">
        <f>'총괄표(경기도)'!J22</f>
        <v>0</v>
      </c>
      <c r="K20" s="24">
        <f>'총괄표(경기도)'!K22</f>
        <v>0</v>
      </c>
      <c r="L20" s="53">
        <f>'총괄표(경기도)'!L22</f>
        <v>0</v>
      </c>
    </row>
    <row r="21" spans="1:12" s="76" customFormat="1" ht="24.95" customHeight="1">
      <c r="A21" s="49" t="s">
        <v>44</v>
      </c>
      <c r="B21" s="67">
        <f t="shared" si="0"/>
        <v>0</v>
      </c>
      <c r="C21" s="23">
        <f t="shared" si="4"/>
        <v>0</v>
      </c>
      <c r="D21" s="27">
        <f>'총괄표(경기도)'!D28</f>
        <v>0</v>
      </c>
      <c r="E21" s="27">
        <f>'총괄표(경기도)'!E28</f>
        <v>0</v>
      </c>
      <c r="F21" s="27">
        <f>'총괄표(경기도)'!F28</f>
        <v>0</v>
      </c>
      <c r="G21" s="27">
        <f>'총괄표(경기도)'!G28</f>
        <v>0</v>
      </c>
      <c r="H21" s="23">
        <f t="shared" si="5"/>
        <v>0</v>
      </c>
      <c r="I21" s="27">
        <f>'총괄표(경기도)'!I28</f>
        <v>0</v>
      </c>
      <c r="J21" s="27">
        <f>'총괄표(경기도)'!J28</f>
        <v>0</v>
      </c>
      <c r="K21" s="27">
        <f>'총괄표(경기도)'!K28</f>
        <v>0</v>
      </c>
      <c r="L21" s="55">
        <f>'총괄표(경기도)'!L28</f>
        <v>0</v>
      </c>
    </row>
    <row r="22" spans="1:12" ht="24.95" customHeight="1">
      <c r="A22" s="49" t="s">
        <v>38</v>
      </c>
      <c r="B22" s="67">
        <f t="shared" si="0"/>
        <v>0</v>
      </c>
      <c r="C22" s="23">
        <f t="shared" si="4"/>
        <v>3</v>
      </c>
      <c r="D22" s="24">
        <f>'총괄표(경기도)'!D21</f>
        <v>0</v>
      </c>
      <c r="E22" s="24">
        <f>'총괄표(경기도)'!E21</f>
        <v>0</v>
      </c>
      <c r="F22" s="24">
        <f>'총괄표(경기도)'!F21</f>
        <v>0</v>
      </c>
      <c r="G22" s="24">
        <f>'총괄표(경기도)'!G21</f>
        <v>3</v>
      </c>
      <c r="H22" s="23">
        <f t="shared" si="5"/>
        <v>3</v>
      </c>
      <c r="I22" s="24">
        <f>'총괄표(경기도)'!I21</f>
        <v>0</v>
      </c>
      <c r="J22" s="24">
        <f>'총괄표(경기도)'!J21</f>
        <v>0</v>
      </c>
      <c r="K22" s="24">
        <f>'총괄표(경기도)'!K21</f>
        <v>0</v>
      </c>
      <c r="L22" s="53">
        <f>'총괄표(경기도)'!L21</f>
        <v>3</v>
      </c>
    </row>
    <row r="23" spans="1:12" ht="24.95" customHeight="1">
      <c r="A23" s="49" t="s">
        <v>26</v>
      </c>
      <c r="B23" s="67">
        <f t="shared" si="0"/>
        <v>98</v>
      </c>
      <c r="C23" s="23">
        <f t="shared" si="4"/>
        <v>790</v>
      </c>
      <c r="D23" s="30">
        <f>'총괄표(경기도)'!D6</f>
        <v>244</v>
      </c>
      <c r="E23" s="30">
        <f>'총괄표(경기도)'!E6</f>
        <v>73</v>
      </c>
      <c r="F23" s="30">
        <f>'총괄표(경기도)'!F6</f>
        <v>461</v>
      </c>
      <c r="G23" s="30">
        <f>'총괄표(경기도)'!G6</f>
        <v>12</v>
      </c>
      <c r="H23" s="23">
        <f t="shared" si="5"/>
        <v>692</v>
      </c>
      <c r="I23" s="30">
        <f>'총괄표(경기도)'!I6</f>
        <v>244</v>
      </c>
      <c r="J23" s="30">
        <f>'총괄표(경기도)'!J6</f>
        <v>96</v>
      </c>
      <c r="K23" s="30">
        <f>'총괄표(경기도)'!K6</f>
        <v>340</v>
      </c>
      <c r="L23" s="54">
        <f>'총괄표(경기도)'!L6</f>
        <v>12</v>
      </c>
    </row>
    <row r="24" spans="1:12" ht="24.95" customHeight="1">
      <c r="A24" s="49" t="s">
        <v>34</v>
      </c>
      <c r="B24" s="67">
        <f t="shared" si="0"/>
        <v>0</v>
      </c>
      <c r="C24" s="23">
        <f t="shared" si="4"/>
        <v>1</v>
      </c>
      <c r="D24" s="24">
        <f>'총괄표(경기도)'!D17</f>
        <v>0</v>
      </c>
      <c r="E24" s="24">
        <f>'총괄표(경기도)'!E17</f>
        <v>0</v>
      </c>
      <c r="F24" s="24">
        <f>'총괄표(경기도)'!F17</f>
        <v>0</v>
      </c>
      <c r="G24" s="24">
        <f>'총괄표(경기도)'!G17</f>
        <v>1</v>
      </c>
      <c r="H24" s="23">
        <f t="shared" si="5"/>
        <v>1</v>
      </c>
      <c r="I24" s="24">
        <f>'총괄표(경기도)'!I17</f>
        <v>0</v>
      </c>
      <c r="J24" s="24">
        <f>'총괄표(경기도)'!J17</f>
        <v>0</v>
      </c>
      <c r="K24" s="24">
        <f>'총괄표(경기도)'!K17</f>
        <v>0</v>
      </c>
      <c r="L24" s="53">
        <f>'총괄표(경기도)'!L17</f>
        <v>1</v>
      </c>
    </row>
    <row r="25" spans="1:12" ht="24.95" customHeight="1">
      <c r="A25" s="49" t="s">
        <v>41</v>
      </c>
      <c r="B25" s="67">
        <f t="shared" si="0"/>
        <v>447</v>
      </c>
      <c r="C25" s="23">
        <f t="shared" si="4"/>
        <v>1475</v>
      </c>
      <c r="D25" s="24">
        <f>'총괄표(경기도)'!D25</f>
        <v>0</v>
      </c>
      <c r="E25" s="24">
        <f>'총괄표(경기도)'!E25</f>
        <v>10</v>
      </c>
      <c r="F25" s="24">
        <f>'총괄표(경기도)'!F25</f>
        <v>1362</v>
      </c>
      <c r="G25" s="24">
        <f>'총괄표(경기도)'!G25</f>
        <v>103</v>
      </c>
      <c r="H25" s="23">
        <f t="shared" si="5"/>
        <v>1028</v>
      </c>
      <c r="I25" s="24">
        <f>'총괄표(경기도)'!I25</f>
        <v>0</v>
      </c>
      <c r="J25" s="24">
        <f>'총괄표(경기도)'!J25</f>
        <v>16</v>
      </c>
      <c r="K25" s="24">
        <f>'총괄표(경기도)'!K25</f>
        <v>906</v>
      </c>
      <c r="L25" s="53">
        <f>'총괄표(경기도)'!L25</f>
        <v>106</v>
      </c>
    </row>
    <row r="26" spans="1:12" ht="24.95" customHeight="1">
      <c r="A26" s="49" t="s">
        <v>43</v>
      </c>
      <c r="B26" s="67">
        <f t="shared" si="0"/>
        <v>-80</v>
      </c>
      <c r="C26" s="23">
        <f t="shared" si="4"/>
        <v>839</v>
      </c>
      <c r="D26" s="24">
        <f>'총괄표(경기도)'!D27</f>
        <v>0</v>
      </c>
      <c r="E26" s="24">
        <f>'총괄표(경기도)'!E27</f>
        <v>0</v>
      </c>
      <c r="F26" s="24">
        <f>'총괄표(경기도)'!F27</f>
        <v>829</v>
      </c>
      <c r="G26" s="24">
        <f>'총괄표(경기도)'!G27</f>
        <v>10</v>
      </c>
      <c r="H26" s="23">
        <f t="shared" si="5"/>
        <v>919</v>
      </c>
      <c r="I26" s="24">
        <f>'총괄표(경기도)'!I27</f>
        <v>0</v>
      </c>
      <c r="J26" s="24">
        <f>'총괄표(경기도)'!J27</f>
        <v>0</v>
      </c>
      <c r="K26" s="24">
        <f>'총괄표(경기도)'!K27</f>
        <v>909</v>
      </c>
      <c r="L26" s="53">
        <f>'총괄표(경기도)'!L27</f>
        <v>10</v>
      </c>
    </row>
    <row r="27" spans="1:12" ht="24.95" customHeight="1">
      <c r="A27" s="49" t="s">
        <v>33</v>
      </c>
      <c r="B27" s="67">
        <f t="shared" si="0"/>
        <v>-22</v>
      </c>
      <c r="C27" s="23">
        <f t="shared" si="4"/>
        <v>765</v>
      </c>
      <c r="D27" s="42">
        <f>'총괄표(경기도)'!D16</f>
        <v>0</v>
      </c>
      <c r="E27" s="42">
        <f>'총괄표(경기도)'!E16</f>
        <v>0</v>
      </c>
      <c r="F27" s="42">
        <f>'총괄표(경기도)'!F16</f>
        <v>741</v>
      </c>
      <c r="G27" s="42">
        <f>'총괄표(경기도)'!G16</f>
        <v>24</v>
      </c>
      <c r="H27" s="23">
        <f t="shared" si="5"/>
        <v>787</v>
      </c>
      <c r="I27" s="42">
        <f>'총괄표(경기도)'!I16</f>
        <v>0</v>
      </c>
      <c r="J27" s="42">
        <f>'총괄표(경기도)'!J16</f>
        <v>0</v>
      </c>
      <c r="K27" s="42">
        <f>'총괄표(경기도)'!K16</f>
        <v>763</v>
      </c>
      <c r="L27" s="75">
        <f>'총괄표(경기도)'!L16</f>
        <v>24</v>
      </c>
    </row>
    <row r="28" spans="1:12" s="72" customFormat="1" ht="24.95" customHeight="1">
      <c r="A28" s="49" t="s">
        <v>341</v>
      </c>
      <c r="B28" s="67">
        <f t="shared" si="0"/>
        <v>-130</v>
      </c>
      <c r="C28" s="23">
        <f t="shared" si="4"/>
        <v>1807</v>
      </c>
      <c r="D28" s="38">
        <f>'총괄표(경기도)'!D24</f>
        <v>0</v>
      </c>
      <c r="E28" s="38">
        <f>'총괄표(경기도)'!E24</f>
        <v>6</v>
      </c>
      <c r="F28" s="38">
        <f>'총괄표(경기도)'!F24</f>
        <v>1416</v>
      </c>
      <c r="G28" s="38">
        <f>'총괄표(경기도)'!G24</f>
        <v>385</v>
      </c>
      <c r="H28" s="23">
        <f t="shared" si="5"/>
        <v>1937</v>
      </c>
      <c r="I28" s="38">
        <f>'총괄표(경기도)'!I24</f>
        <v>0</v>
      </c>
      <c r="J28" s="38">
        <f>'총괄표(경기도)'!J24</f>
        <v>44</v>
      </c>
      <c r="K28" s="38">
        <f>'총괄표(경기도)'!K24</f>
        <v>1483</v>
      </c>
      <c r="L28" s="92">
        <f>'총괄표(경기도)'!L24</f>
        <v>410</v>
      </c>
    </row>
    <row r="29" spans="1:12" ht="24.95" customHeight="1">
      <c r="A29" s="49" t="s">
        <v>47</v>
      </c>
      <c r="B29" s="67">
        <f>C29-H29</f>
        <v>-17</v>
      </c>
      <c r="C29" s="23">
        <f t="shared" si="4"/>
        <v>154</v>
      </c>
      <c r="D29" s="24">
        <f>'총괄표(경기도)'!D31</f>
        <v>0</v>
      </c>
      <c r="E29" s="24">
        <f>'총괄표(경기도)'!E31</f>
        <v>0</v>
      </c>
      <c r="F29" s="24">
        <f>'총괄표(경기도)'!F31</f>
        <v>144</v>
      </c>
      <c r="G29" s="24">
        <f>'총괄표(경기도)'!G31</f>
        <v>10</v>
      </c>
      <c r="H29" s="23">
        <f t="shared" si="5"/>
        <v>171</v>
      </c>
      <c r="I29" s="24">
        <f>'총괄표(경기도)'!I31</f>
        <v>0</v>
      </c>
      <c r="J29" s="24">
        <f>'총괄표(경기도)'!J31</f>
        <v>0</v>
      </c>
      <c r="K29" s="24">
        <f>'총괄표(경기도)'!K31</f>
        <v>161</v>
      </c>
      <c r="L29" s="53">
        <f>'총괄표(경기도)'!L31</f>
        <v>10</v>
      </c>
    </row>
    <row r="30" spans="1:12" s="77" customFormat="1" ht="24.95" customHeight="1">
      <c r="A30" s="49" t="s">
        <v>28</v>
      </c>
      <c r="B30" s="67">
        <f t="shared" si="0"/>
        <v>0</v>
      </c>
      <c r="C30" s="23">
        <f t="shared" ref="C30:C32" si="6">SUM(D30:G30)</f>
        <v>57</v>
      </c>
      <c r="D30" s="39">
        <f>'총괄표(경기도)'!D9</f>
        <v>0</v>
      </c>
      <c r="E30" s="39">
        <f>'총괄표(경기도)'!E9</f>
        <v>41</v>
      </c>
      <c r="F30" s="39">
        <f>'총괄표(경기도)'!F9</f>
        <v>13</v>
      </c>
      <c r="G30" s="39">
        <f>'총괄표(경기도)'!G9</f>
        <v>3</v>
      </c>
      <c r="H30" s="23">
        <f t="shared" ref="H30:H32" si="7">SUM(I30:L30)</f>
        <v>57</v>
      </c>
      <c r="I30" s="39">
        <f>'총괄표(경기도)'!I9</f>
        <v>0</v>
      </c>
      <c r="J30" s="39">
        <f>'총괄표(경기도)'!J9</f>
        <v>41</v>
      </c>
      <c r="K30" s="39">
        <f>'총괄표(경기도)'!K9</f>
        <v>13</v>
      </c>
      <c r="L30" s="93">
        <f>'총괄표(경기도)'!L9</f>
        <v>3</v>
      </c>
    </row>
    <row r="31" spans="1:12" ht="24.95" customHeight="1">
      <c r="A31" s="49" t="s">
        <v>36</v>
      </c>
      <c r="B31" s="67">
        <f t="shared" si="0"/>
        <v>-7</v>
      </c>
      <c r="C31" s="23">
        <f t="shared" si="6"/>
        <v>51</v>
      </c>
      <c r="D31" s="24">
        <f>'총괄표(경기도)'!D19</f>
        <v>0</v>
      </c>
      <c r="E31" s="24">
        <f>'총괄표(경기도)'!E19</f>
        <v>4</v>
      </c>
      <c r="F31" s="24">
        <f>'총괄표(경기도)'!F19</f>
        <v>33</v>
      </c>
      <c r="G31" s="24">
        <f>'총괄표(경기도)'!G19</f>
        <v>14</v>
      </c>
      <c r="H31" s="23">
        <f t="shared" si="7"/>
        <v>58</v>
      </c>
      <c r="I31" s="24">
        <f>'총괄표(경기도)'!I19</f>
        <v>0</v>
      </c>
      <c r="J31" s="24">
        <f>'총괄표(경기도)'!J19</f>
        <v>7</v>
      </c>
      <c r="K31" s="24">
        <f>'총괄표(경기도)'!K19</f>
        <v>37</v>
      </c>
      <c r="L31" s="53">
        <f>'총괄표(경기도)'!L19</f>
        <v>14</v>
      </c>
    </row>
    <row r="32" spans="1:12" ht="24.95" customHeight="1">
      <c r="A32" s="47" t="s">
        <v>50</v>
      </c>
      <c r="B32" s="90">
        <f t="shared" si="0"/>
        <v>-2</v>
      </c>
      <c r="C32" s="91">
        <f t="shared" si="6"/>
        <v>30</v>
      </c>
      <c r="D32" s="39">
        <f>'총괄표(경기도)'!D35</f>
        <v>0</v>
      </c>
      <c r="E32" s="39">
        <f>'총괄표(경기도)'!E35</f>
        <v>0</v>
      </c>
      <c r="F32" s="39">
        <f>'총괄표(경기도)'!F35</f>
        <v>0</v>
      </c>
      <c r="G32" s="39">
        <f>'총괄표(경기도)'!G35</f>
        <v>30</v>
      </c>
      <c r="H32" s="91">
        <f t="shared" si="7"/>
        <v>32</v>
      </c>
      <c r="I32" s="39">
        <f>'총괄표(경기도)'!I35</f>
        <v>0</v>
      </c>
      <c r="J32" s="39">
        <f>'총괄표(경기도)'!J35</f>
        <v>0</v>
      </c>
      <c r="K32" s="39">
        <f>'총괄표(경기도)'!K35</f>
        <v>0</v>
      </c>
      <c r="L32" s="93">
        <f>'총괄표(경기도)'!L35</f>
        <v>32</v>
      </c>
    </row>
    <row r="33" spans="1:12" s="77" customFormat="1" ht="24.95" customHeight="1">
      <c r="A33" s="49" t="s">
        <v>45</v>
      </c>
      <c r="B33" s="67">
        <f t="shared" si="0"/>
        <v>0</v>
      </c>
      <c r="C33" s="23">
        <f t="shared" si="4"/>
        <v>123</v>
      </c>
      <c r="D33" s="24">
        <f>'총괄표(경기도)'!D29</f>
        <v>0</v>
      </c>
      <c r="E33" s="24">
        <f>'총괄표(경기도)'!E29</f>
        <v>68</v>
      </c>
      <c r="F33" s="24">
        <f>'총괄표(경기도)'!F29</f>
        <v>55</v>
      </c>
      <c r="G33" s="24">
        <f>'총괄표(경기도)'!G29</f>
        <v>0</v>
      </c>
      <c r="H33" s="23">
        <f t="shared" si="5"/>
        <v>123</v>
      </c>
      <c r="I33" s="24">
        <f>'총괄표(경기도)'!I29</f>
        <v>0</v>
      </c>
      <c r="J33" s="24">
        <f>'총괄표(경기도)'!J29</f>
        <v>68</v>
      </c>
      <c r="K33" s="24">
        <f>'총괄표(경기도)'!K29</f>
        <v>55</v>
      </c>
      <c r="L33" s="53">
        <f>'총괄표(경기도)'!L29</f>
        <v>0</v>
      </c>
    </row>
    <row r="34" spans="1:12" ht="24.95" customHeight="1">
      <c r="A34" s="78" t="s">
        <v>49</v>
      </c>
      <c r="B34" s="79">
        <f t="shared" si="0"/>
        <v>-5</v>
      </c>
      <c r="C34" s="23">
        <f t="shared" si="4"/>
        <v>870</v>
      </c>
      <c r="D34" s="31">
        <f>'총괄표(경기도)'!D34</f>
        <v>0</v>
      </c>
      <c r="E34" s="31">
        <f>'총괄표(경기도)'!E34</f>
        <v>35</v>
      </c>
      <c r="F34" s="31">
        <f>'총괄표(경기도)'!F34</f>
        <v>567</v>
      </c>
      <c r="G34" s="31">
        <f>'총괄표(경기도)'!G34</f>
        <v>268</v>
      </c>
      <c r="H34" s="23">
        <f t="shared" si="5"/>
        <v>875</v>
      </c>
      <c r="I34" s="31">
        <f>'총괄표(경기도)'!I34</f>
        <v>0</v>
      </c>
      <c r="J34" s="31">
        <f>'총괄표(경기도)'!J34</f>
        <v>35</v>
      </c>
      <c r="K34" s="31">
        <f>'총괄표(경기도)'!K34</f>
        <v>570</v>
      </c>
      <c r="L34" s="94">
        <f>'총괄표(경기도)'!L34</f>
        <v>270</v>
      </c>
    </row>
    <row r="35" spans="1:12" s="76" customFormat="1" ht="24.95" customHeight="1" thickBot="1">
      <c r="A35" s="46" t="s">
        <v>46</v>
      </c>
      <c r="B35" s="81">
        <f t="shared" si="0"/>
        <v>-7</v>
      </c>
      <c r="C35" s="26">
        <f t="shared" si="4"/>
        <v>292</v>
      </c>
      <c r="D35" s="44">
        <f>'총괄표(경기도)'!D30</f>
        <v>0</v>
      </c>
      <c r="E35" s="44">
        <f>'총괄표(경기도)'!E30</f>
        <v>13</v>
      </c>
      <c r="F35" s="44">
        <f>'총괄표(경기도)'!F30</f>
        <v>275</v>
      </c>
      <c r="G35" s="44">
        <f>'총괄표(경기도)'!G30</f>
        <v>4</v>
      </c>
      <c r="H35" s="26">
        <f t="shared" si="5"/>
        <v>299</v>
      </c>
      <c r="I35" s="44">
        <f>'총괄표(경기도)'!I30</f>
        <v>0</v>
      </c>
      <c r="J35" s="44">
        <f>'총괄표(경기도)'!J30</f>
        <v>12</v>
      </c>
      <c r="K35" s="44">
        <f>'총괄표(경기도)'!K30</f>
        <v>283</v>
      </c>
      <c r="L35" s="95">
        <f>'총괄표(경기도)'!L30</f>
        <v>4</v>
      </c>
    </row>
    <row r="36" spans="1:12" ht="24.95" customHeight="1"/>
    <row r="37" spans="1:12" ht="24.95" customHeight="1">
      <c r="A37" s="1802"/>
      <c r="B37" s="1802"/>
      <c r="C37" s="1802"/>
      <c r="D37" s="1802"/>
      <c r="E37" s="1802"/>
      <c r="F37" s="1802"/>
      <c r="G37" s="1802"/>
      <c r="H37" s="1802"/>
      <c r="I37" s="1802"/>
      <c r="J37" s="1802"/>
      <c r="K37" s="1802"/>
      <c r="L37" s="1802"/>
    </row>
    <row r="38" spans="1:12" ht="24.95" customHeight="1" thickBot="1">
      <c r="A38" s="1802" t="s">
        <v>120</v>
      </c>
      <c r="B38" s="1802"/>
      <c r="C38" s="1802"/>
      <c r="D38" s="1802"/>
      <c r="E38" s="1802"/>
      <c r="F38" s="1802"/>
      <c r="G38" s="1802"/>
      <c r="H38" s="1802"/>
      <c r="I38" s="1802"/>
      <c r="J38" s="1802"/>
      <c r="K38" s="1802"/>
      <c r="L38" s="1802"/>
    </row>
    <row r="39" spans="1:12" ht="24.95" customHeight="1">
      <c r="A39" s="1803" t="s">
        <v>2</v>
      </c>
      <c r="B39" s="1805" t="s">
        <v>3</v>
      </c>
      <c r="C39" s="457" t="s">
        <v>671</v>
      </c>
      <c r="D39" s="457"/>
      <c r="E39" s="457"/>
      <c r="F39" s="457"/>
      <c r="G39" s="457"/>
      <c r="H39" s="457" t="s">
        <v>635</v>
      </c>
      <c r="I39" s="457"/>
      <c r="J39" s="457"/>
      <c r="K39" s="457"/>
      <c r="L39" s="457"/>
    </row>
    <row r="40" spans="1:12" ht="24.95" customHeight="1">
      <c r="A40" s="1804"/>
      <c r="B40" s="1806"/>
      <c r="C40" s="60" t="s">
        <v>1</v>
      </c>
      <c r="D40" s="61" t="s">
        <v>15</v>
      </c>
      <c r="E40" s="61" t="s">
        <v>16</v>
      </c>
      <c r="F40" s="61" t="s">
        <v>14</v>
      </c>
      <c r="G40" s="61" t="s">
        <v>0</v>
      </c>
      <c r="H40" s="60" t="s">
        <v>1</v>
      </c>
      <c r="I40" s="61" t="s">
        <v>15</v>
      </c>
      <c r="J40" s="61" t="s">
        <v>16</v>
      </c>
      <c r="K40" s="61" t="s">
        <v>14</v>
      </c>
      <c r="L40" s="62" t="s">
        <v>0</v>
      </c>
    </row>
    <row r="41" spans="1:12" s="59" customFormat="1" ht="25.5" customHeight="1">
      <c r="A41" s="82" t="s">
        <v>18</v>
      </c>
      <c r="B41" s="67">
        <f t="shared" ref="B41:B72" si="8">C41-H41</f>
        <v>83</v>
      </c>
      <c r="C41" s="83">
        <f t="shared" ref="C41:L41" si="9">SUM(C42:C72)</f>
        <v>2377</v>
      </c>
      <c r="D41" s="83">
        <f t="shared" si="9"/>
        <v>327</v>
      </c>
      <c r="E41" s="83">
        <f t="shared" si="9"/>
        <v>359</v>
      </c>
      <c r="F41" s="83">
        <f t="shared" si="9"/>
        <v>1424</v>
      </c>
      <c r="G41" s="83">
        <f t="shared" si="9"/>
        <v>267</v>
      </c>
      <c r="H41" s="83">
        <f t="shared" si="9"/>
        <v>2294</v>
      </c>
      <c r="I41" s="83">
        <f t="shared" si="9"/>
        <v>329</v>
      </c>
      <c r="J41" s="83">
        <f t="shared" si="9"/>
        <v>366</v>
      </c>
      <c r="K41" s="83">
        <f t="shared" si="9"/>
        <v>1332</v>
      </c>
      <c r="L41" s="84">
        <f t="shared" si="9"/>
        <v>267</v>
      </c>
    </row>
    <row r="42" spans="1:12" ht="25.5" customHeight="1">
      <c r="A42" s="49" t="s">
        <v>25</v>
      </c>
      <c r="B42" s="67">
        <f t="shared" si="8"/>
        <v>-7</v>
      </c>
      <c r="C42" s="85">
        <f t="shared" ref="C42:C72" si="10">SUM(D42:G42)</f>
        <v>10</v>
      </c>
      <c r="D42" s="69">
        <f>'총괄표(경기도)'!D42</f>
        <v>0</v>
      </c>
      <c r="E42" s="69">
        <f>'총괄표(경기도)'!E42</f>
        <v>0</v>
      </c>
      <c r="F42" s="69">
        <f>'총괄표(경기도)'!F42</f>
        <v>10</v>
      </c>
      <c r="G42" s="69">
        <f>'총괄표(경기도)'!G42</f>
        <v>0</v>
      </c>
      <c r="H42" s="68">
        <f>SUM(I42:L42)</f>
        <v>17</v>
      </c>
      <c r="I42" s="69">
        <f>'총괄표(경기도)'!I42</f>
        <v>0</v>
      </c>
      <c r="J42" s="69">
        <f>'총괄표(경기도)'!J42</f>
        <v>0</v>
      </c>
      <c r="K42" s="69">
        <f>'총괄표(경기도)'!K42</f>
        <v>17</v>
      </c>
      <c r="L42" s="69">
        <f>'총괄표(경기도)'!L42</f>
        <v>0</v>
      </c>
    </row>
    <row r="43" spans="1:12" ht="25.5" customHeight="1">
      <c r="A43" s="49" t="s">
        <v>27</v>
      </c>
      <c r="B43" s="33">
        <f t="shared" si="8"/>
        <v>-5</v>
      </c>
      <c r="C43" s="52">
        <f t="shared" si="10"/>
        <v>19</v>
      </c>
      <c r="D43" s="30">
        <f>'총괄표(경기도)'!D45</f>
        <v>0</v>
      </c>
      <c r="E43" s="30">
        <f>'총괄표(경기도)'!E45</f>
        <v>19</v>
      </c>
      <c r="F43" s="30">
        <f>'총괄표(경기도)'!F45</f>
        <v>0</v>
      </c>
      <c r="G43" s="30">
        <f>'총괄표(경기도)'!G45</f>
        <v>0</v>
      </c>
      <c r="H43" s="23">
        <f t="shared" ref="H43:H44" si="11">SUM(I43:L43)</f>
        <v>24</v>
      </c>
      <c r="I43" s="30">
        <f>'총괄표(경기도)'!I45</f>
        <v>2</v>
      </c>
      <c r="J43" s="30">
        <f>'총괄표(경기도)'!J45</f>
        <v>21</v>
      </c>
      <c r="K43" s="30">
        <f>'총괄표(경기도)'!K45</f>
        <v>1</v>
      </c>
      <c r="L43" s="30">
        <f>'총괄표(경기도)'!L45</f>
        <v>0</v>
      </c>
    </row>
    <row r="44" spans="1:12" ht="25.5" customHeight="1">
      <c r="A44" s="304" t="s">
        <v>35</v>
      </c>
      <c r="B44" s="33">
        <f t="shared" si="8"/>
        <v>114</v>
      </c>
      <c r="C44" s="52">
        <f t="shared" si="10"/>
        <v>640</v>
      </c>
      <c r="D44" s="24">
        <f>'총괄표(경기도)'!D55</f>
        <v>82</v>
      </c>
      <c r="E44" s="24">
        <f>'총괄표(경기도)'!E55</f>
        <v>36</v>
      </c>
      <c r="F44" s="24">
        <f>'총괄표(경기도)'!F55</f>
        <v>520</v>
      </c>
      <c r="G44" s="24">
        <f>'총괄표(경기도)'!G55</f>
        <v>2</v>
      </c>
      <c r="H44" s="23">
        <f t="shared" si="11"/>
        <v>526</v>
      </c>
      <c r="I44" s="24">
        <f>'총괄표(경기도)'!I55</f>
        <v>82</v>
      </c>
      <c r="J44" s="24">
        <f>'총괄표(경기도)'!J55</f>
        <v>30</v>
      </c>
      <c r="K44" s="24">
        <f>'총괄표(경기도)'!K55</f>
        <v>414</v>
      </c>
      <c r="L44" s="24">
        <f>'총괄표(경기도)'!L55</f>
        <v>0</v>
      </c>
    </row>
    <row r="45" spans="1:12" s="76" customFormat="1" ht="25.5" customHeight="1">
      <c r="A45" s="49" t="s">
        <v>31</v>
      </c>
      <c r="B45" s="33">
        <f t="shared" si="8"/>
        <v>0</v>
      </c>
      <c r="C45" s="52">
        <f t="shared" si="10"/>
        <v>61</v>
      </c>
      <c r="D45" s="27">
        <f>'총괄표(경기도)'!D51</f>
        <v>0</v>
      </c>
      <c r="E45" s="27">
        <f>'총괄표(경기도)'!E51</f>
        <v>61</v>
      </c>
      <c r="F45" s="27">
        <f>'총괄표(경기도)'!F51</f>
        <v>0</v>
      </c>
      <c r="G45" s="27">
        <f>'총괄표(경기도)'!G51</f>
        <v>0</v>
      </c>
      <c r="H45" s="23">
        <f t="shared" ref="H45:H72" si="12">SUM(I45:L45)</f>
        <v>61</v>
      </c>
      <c r="I45" s="27">
        <f>'총괄표(경기도)'!I51</f>
        <v>0</v>
      </c>
      <c r="J45" s="27">
        <f>'총괄표(경기도)'!J51</f>
        <v>61</v>
      </c>
      <c r="K45" s="27">
        <f>'총괄표(경기도)'!K51</f>
        <v>0</v>
      </c>
      <c r="L45" s="27">
        <f>'총괄표(경기도)'!L51</f>
        <v>0</v>
      </c>
    </row>
    <row r="46" spans="1:12" s="76" customFormat="1" ht="25.5" customHeight="1">
      <c r="A46" s="49" t="s">
        <v>29</v>
      </c>
      <c r="B46" s="33">
        <f t="shared" si="8"/>
        <v>-3</v>
      </c>
      <c r="C46" s="52">
        <f t="shared" si="10"/>
        <v>5</v>
      </c>
      <c r="D46" s="27">
        <f>'총괄표(경기도)'!D47</f>
        <v>0</v>
      </c>
      <c r="E46" s="27">
        <f>'총괄표(경기도)'!E47</f>
        <v>4</v>
      </c>
      <c r="F46" s="27">
        <f>'총괄표(경기도)'!F47</f>
        <v>1</v>
      </c>
      <c r="G46" s="27">
        <f>'총괄표(경기도)'!G47</f>
        <v>0</v>
      </c>
      <c r="H46" s="23">
        <f t="shared" si="12"/>
        <v>8</v>
      </c>
      <c r="I46" s="27">
        <f>'총괄표(경기도)'!I47</f>
        <v>0</v>
      </c>
      <c r="J46" s="27">
        <f>'총괄표(경기도)'!J47</f>
        <v>4</v>
      </c>
      <c r="K46" s="27">
        <f>'총괄표(경기도)'!K47</f>
        <v>4</v>
      </c>
      <c r="L46" s="27">
        <f>'총괄표(경기도)'!L47</f>
        <v>0</v>
      </c>
    </row>
    <row r="47" spans="1:12" ht="25.5" customHeight="1">
      <c r="A47" s="49" t="s">
        <v>37</v>
      </c>
      <c r="B47" s="67">
        <f t="shared" si="8"/>
        <v>0</v>
      </c>
      <c r="C47" s="85">
        <f t="shared" si="10"/>
        <v>2</v>
      </c>
      <c r="D47" s="69">
        <f>'총괄표(경기도)'!D57</f>
        <v>0</v>
      </c>
      <c r="E47" s="69">
        <f>'총괄표(경기도)'!E57</f>
        <v>1</v>
      </c>
      <c r="F47" s="69">
        <f>'총괄표(경기도)'!F57</f>
        <v>1</v>
      </c>
      <c r="G47" s="69">
        <f>'총괄표(경기도)'!G57</f>
        <v>0</v>
      </c>
      <c r="H47" s="68">
        <f t="shared" si="12"/>
        <v>2</v>
      </c>
      <c r="I47" s="69">
        <f>'총괄표(경기도)'!I57</f>
        <v>0</v>
      </c>
      <c r="J47" s="69">
        <f>'총괄표(경기도)'!J57</f>
        <v>1</v>
      </c>
      <c r="K47" s="69">
        <f>'총괄표(경기도)'!K57</f>
        <v>1</v>
      </c>
      <c r="L47" s="69">
        <f>'총괄표(경기도)'!L57</f>
        <v>0</v>
      </c>
    </row>
    <row r="48" spans="1:12" ht="25.5" customHeight="1">
      <c r="A48" s="50" t="s">
        <v>310</v>
      </c>
      <c r="B48" s="67">
        <f t="shared" si="8"/>
        <v>18</v>
      </c>
      <c r="C48" s="85">
        <f t="shared" si="10"/>
        <v>79</v>
      </c>
      <c r="D48" s="71">
        <f>'총괄표(경기도)'!D50</f>
        <v>0</v>
      </c>
      <c r="E48" s="71">
        <f>'총괄표(경기도)'!E50</f>
        <v>0</v>
      </c>
      <c r="F48" s="71">
        <f>'총괄표(경기도)'!F50</f>
        <v>78</v>
      </c>
      <c r="G48" s="71">
        <f>'총괄표(경기도)'!G50</f>
        <v>1</v>
      </c>
      <c r="H48" s="68">
        <f t="shared" si="12"/>
        <v>61</v>
      </c>
      <c r="I48" s="71">
        <f>'총괄표(경기도)'!I50</f>
        <v>0</v>
      </c>
      <c r="J48" s="71">
        <f>'총괄표(경기도)'!J50</f>
        <v>0</v>
      </c>
      <c r="K48" s="71">
        <f>'총괄표(경기도)'!K50</f>
        <v>60</v>
      </c>
      <c r="L48" s="71">
        <f>'총괄표(경기도)'!L50</f>
        <v>1</v>
      </c>
    </row>
    <row r="49" spans="1:12" ht="25.5" customHeight="1">
      <c r="A49" s="49" t="s">
        <v>24</v>
      </c>
      <c r="B49" s="67">
        <f t="shared" si="8"/>
        <v>0</v>
      </c>
      <c r="C49" s="85">
        <f t="shared" si="10"/>
        <v>137</v>
      </c>
      <c r="D49" s="69">
        <f>'총괄표(경기도)'!D69</f>
        <v>0</v>
      </c>
      <c r="E49" s="69">
        <f>'총괄표(경기도)'!E69</f>
        <v>8</v>
      </c>
      <c r="F49" s="69">
        <f>'총괄표(경기도)'!F69</f>
        <v>129</v>
      </c>
      <c r="G49" s="69">
        <f>'총괄표(경기도)'!G69</f>
        <v>0</v>
      </c>
      <c r="H49" s="68">
        <f t="shared" si="12"/>
        <v>137</v>
      </c>
      <c r="I49" s="69">
        <f>'총괄표(경기도)'!I69</f>
        <v>0</v>
      </c>
      <c r="J49" s="69">
        <f>'총괄표(경기도)'!J69</f>
        <v>8</v>
      </c>
      <c r="K49" s="69">
        <f>'총괄표(경기도)'!K69</f>
        <v>129</v>
      </c>
      <c r="L49" s="69">
        <f>'총괄표(경기도)'!L69</f>
        <v>0</v>
      </c>
    </row>
    <row r="50" spans="1:12" ht="25.5" customHeight="1">
      <c r="A50" s="49" t="s">
        <v>30</v>
      </c>
      <c r="B50" s="67">
        <f t="shared" si="8"/>
        <v>0</v>
      </c>
      <c r="C50" s="85">
        <f t="shared" si="10"/>
        <v>0</v>
      </c>
      <c r="D50" s="69">
        <f>'총괄표(경기도)'!D49</f>
        <v>0</v>
      </c>
      <c r="E50" s="69">
        <f>'총괄표(경기도)'!E49</f>
        <v>0</v>
      </c>
      <c r="F50" s="69">
        <f>'총괄표(경기도)'!F49</f>
        <v>0</v>
      </c>
      <c r="G50" s="69">
        <f>'총괄표(경기도)'!G49</f>
        <v>0</v>
      </c>
      <c r="H50" s="68">
        <f t="shared" si="12"/>
        <v>0</v>
      </c>
      <c r="I50" s="69">
        <f>'총괄표(경기도)'!I49</f>
        <v>0</v>
      </c>
      <c r="J50" s="69">
        <f>'총괄표(경기도)'!J49</f>
        <v>0</v>
      </c>
      <c r="K50" s="69">
        <f>'총괄표(경기도)'!K49</f>
        <v>0</v>
      </c>
      <c r="L50" s="69">
        <f>'총괄표(경기도)'!L49</f>
        <v>0</v>
      </c>
    </row>
    <row r="51" spans="1:12" ht="25.5" customHeight="1">
      <c r="A51" s="305" t="s">
        <v>274</v>
      </c>
      <c r="B51" s="33">
        <f t="shared" si="8"/>
        <v>-1</v>
      </c>
      <c r="C51" s="52">
        <f t="shared" si="10"/>
        <v>53</v>
      </c>
      <c r="D51" s="24">
        <f>'총괄표(경기도)'!D44</f>
        <v>1</v>
      </c>
      <c r="E51" s="24">
        <f>'총괄표(경기도)'!E44</f>
        <v>0</v>
      </c>
      <c r="F51" s="24">
        <f>'총괄표(경기도)'!F44</f>
        <v>52</v>
      </c>
      <c r="G51" s="24">
        <f>'총괄표(경기도)'!G44</f>
        <v>0</v>
      </c>
      <c r="H51" s="23">
        <f t="shared" si="12"/>
        <v>54</v>
      </c>
      <c r="I51" s="24">
        <f>'총괄표(경기도)'!I44</f>
        <v>1</v>
      </c>
      <c r="J51" s="24">
        <f>'총괄표(경기도)'!J44</f>
        <v>0</v>
      </c>
      <c r="K51" s="24">
        <f>'총괄표(경기도)'!K44</f>
        <v>53</v>
      </c>
      <c r="L51" s="24">
        <f>'총괄표(경기도)'!L44</f>
        <v>0</v>
      </c>
    </row>
    <row r="52" spans="1:12" ht="25.5" customHeight="1">
      <c r="A52" s="49" t="s">
        <v>48</v>
      </c>
      <c r="B52" s="67">
        <f t="shared" si="8"/>
        <v>0</v>
      </c>
      <c r="C52" s="85">
        <f t="shared" si="10"/>
        <v>0</v>
      </c>
      <c r="D52" s="69">
        <f>'총괄표(경기도)'!D70</f>
        <v>0</v>
      </c>
      <c r="E52" s="69">
        <f>'총괄표(경기도)'!E70</f>
        <v>0</v>
      </c>
      <c r="F52" s="69">
        <f>'총괄표(경기도)'!F70</f>
        <v>0</v>
      </c>
      <c r="G52" s="69">
        <f>'총괄표(경기도)'!G70</f>
        <v>0</v>
      </c>
      <c r="H52" s="68">
        <f t="shared" si="12"/>
        <v>0</v>
      </c>
      <c r="I52" s="69">
        <f>'총괄표(경기도)'!I70</f>
        <v>0</v>
      </c>
      <c r="J52" s="69">
        <f>'총괄표(경기도)'!J70</f>
        <v>0</v>
      </c>
      <c r="K52" s="69">
        <f>'총괄표(경기도)'!K70</f>
        <v>0</v>
      </c>
      <c r="L52" s="69">
        <f>'총괄표(경기도)'!L70</f>
        <v>0</v>
      </c>
    </row>
    <row r="53" spans="1:12" ht="25.5" customHeight="1">
      <c r="A53" s="49" t="s">
        <v>42</v>
      </c>
      <c r="B53" s="33">
        <f t="shared" si="8"/>
        <v>0</v>
      </c>
      <c r="C53" s="52">
        <f t="shared" si="10"/>
        <v>0</v>
      </c>
      <c r="D53" s="24">
        <f>'총괄표(경기도)'!D63</f>
        <v>0</v>
      </c>
      <c r="E53" s="24">
        <v>0</v>
      </c>
      <c r="F53" s="24">
        <v>0</v>
      </c>
      <c r="G53" s="24">
        <f>'총괄표(경기도)'!G63</f>
        <v>0</v>
      </c>
      <c r="H53" s="23">
        <f t="shared" si="12"/>
        <v>0</v>
      </c>
      <c r="I53" s="24">
        <f>'총괄표(경기도)'!I63</f>
        <v>0</v>
      </c>
      <c r="J53" s="24">
        <f>'총괄표(경기도)'!J63</f>
        <v>0</v>
      </c>
      <c r="K53" s="24">
        <f>'총괄표(경기도)'!K63</f>
        <v>0</v>
      </c>
      <c r="L53" s="24">
        <f>'총괄표(경기도)'!L63</f>
        <v>0</v>
      </c>
    </row>
    <row r="54" spans="1:12" ht="25.5" customHeight="1">
      <c r="A54" s="49" t="s">
        <v>19</v>
      </c>
      <c r="B54" s="33">
        <f t="shared" si="8"/>
        <v>-9</v>
      </c>
      <c r="C54" s="52">
        <f t="shared" si="10"/>
        <v>311</v>
      </c>
      <c r="D54" s="24">
        <f>'총괄표(경기도)'!D48</f>
        <v>0</v>
      </c>
      <c r="E54" s="24">
        <f>'총괄표(경기도)'!E48</f>
        <v>105</v>
      </c>
      <c r="F54" s="24">
        <f>'총괄표(경기도)'!F48</f>
        <v>6</v>
      </c>
      <c r="G54" s="24">
        <f>'총괄표(경기도)'!G48</f>
        <v>200</v>
      </c>
      <c r="H54" s="23">
        <f t="shared" si="12"/>
        <v>320</v>
      </c>
      <c r="I54" s="24">
        <f>'총괄표(경기도)'!I48</f>
        <v>0</v>
      </c>
      <c r="J54" s="24">
        <f>'총괄표(경기도)'!J48</f>
        <v>113</v>
      </c>
      <c r="K54" s="24">
        <f>'총괄표(경기도)'!K48</f>
        <v>7</v>
      </c>
      <c r="L54" s="24">
        <f>'총괄표(경기도)'!L48</f>
        <v>200</v>
      </c>
    </row>
    <row r="55" spans="1:12" s="76" customFormat="1" ht="25.5" customHeight="1">
      <c r="A55" s="49" t="s">
        <v>40</v>
      </c>
      <c r="B55" s="67">
        <f t="shared" si="8"/>
        <v>0</v>
      </c>
      <c r="C55" s="85">
        <f t="shared" si="10"/>
        <v>0</v>
      </c>
      <c r="D55" s="71">
        <f>'총괄표(경기도)'!D60</f>
        <v>0</v>
      </c>
      <c r="E55" s="71">
        <f>'총괄표(경기도)'!E60</f>
        <v>0</v>
      </c>
      <c r="F55" s="71">
        <f>'총괄표(경기도)'!F60</f>
        <v>0</v>
      </c>
      <c r="G55" s="71">
        <f>'총괄표(경기도)'!G60</f>
        <v>0</v>
      </c>
      <c r="H55" s="68">
        <f t="shared" si="12"/>
        <v>0</v>
      </c>
      <c r="I55" s="71">
        <f>'총괄표(경기도)'!I60</f>
        <v>0</v>
      </c>
      <c r="J55" s="71">
        <f>'총괄표(경기도)'!J60</f>
        <v>0</v>
      </c>
      <c r="K55" s="71">
        <f>'총괄표(경기도)'!K60</f>
        <v>0</v>
      </c>
      <c r="L55" s="71">
        <f>'총괄표(경기도)'!L60</f>
        <v>0</v>
      </c>
    </row>
    <row r="56" spans="1:12" ht="25.5" customHeight="1">
      <c r="A56" s="49" t="s">
        <v>32</v>
      </c>
      <c r="B56" s="33">
        <f t="shared" si="8"/>
        <v>0</v>
      </c>
      <c r="C56" s="52">
        <f t="shared" si="10"/>
        <v>7</v>
      </c>
      <c r="D56" s="51">
        <f>'총괄표(경기도)'!D52</f>
        <v>0</v>
      </c>
      <c r="E56" s="51">
        <f>'총괄표(경기도)'!E52</f>
        <v>3</v>
      </c>
      <c r="F56" s="51">
        <f>'총괄표(경기도)'!F52</f>
        <v>4</v>
      </c>
      <c r="G56" s="51">
        <f>'총괄표(경기도)'!G52</f>
        <v>0</v>
      </c>
      <c r="H56" s="23">
        <f t="shared" si="12"/>
        <v>7</v>
      </c>
      <c r="I56" s="51">
        <f>'총괄표(경기도)'!I52</f>
        <v>0</v>
      </c>
      <c r="J56" s="51">
        <f>'총괄표(경기도)'!J52</f>
        <v>3</v>
      </c>
      <c r="K56" s="51">
        <f>'총괄표(경기도)'!K52</f>
        <v>4</v>
      </c>
      <c r="L56" s="51">
        <f>'총괄표(경기도)'!L52</f>
        <v>0</v>
      </c>
    </row>
    <row r="57" spans="1:12" ht="25.5" customHeight="1">
      <c r="A57" s="49" t="s">
        <v>39</v>
      </c>
      <c r="B57" s="33">
        <f t="shared" si="8"/>
        <v>0</v>
      </c>
      <c r="C57" s="52">
        <f t="shared" si="10"/>
        <v>0</v>
      </c>
      <c r="D57" s="24">
        <f>'총괄표(경기도)'!D59</f>
        <v>0</v>
      </c>
      <c r="E57" s="24">
        <f>'총괄표(경기도)'!E59</f>
        <v>0</v>
      </c>
      <c r="F57" s="24">
        <f>'총괄표(경기도)'!F59</f>
        <v>0</v>
      </c>
      <c r="G57" s="24">
        <f>'총괄표(경기도)'!G59</f>
        <v>0</v>
      </c>
      <c r="H57" s="23">
        <f t="shared" si="12"/>
        <v>0</v>
      </c>
      <c r="I57" s="24">
        <f>'총괄표(경기도)'!I59</f>
        <v>0</v>
      </c>
      <c r="J57" s="24">
        <f>'총괄표(경기도)'!J59</f>
        <v>0</v>
      </c>
      <c r="K57" s="24">
        <f>'총괄표(경기도)'!K59</f>
        <v>0</v>
      </c>
      <c r="L57" s="24">
        <f>'총괄표(경기도)'!L59</f>
        <v>0</v>
      </c>
    </row>
    <row r="58" spans="1:12" ht="25.5" customHeight="1">
      <c r="A58" s="49" t="s">
        <v>44</v>
      </c>
      <c r="B58" s="67">
        <f t="shared" si="8"/>
        <v>0</v>
      </c>
      <c r="C58" s="85">
        <f t="shared" si="10"/>
        <v>0</v>
      </c>
      <c r="D58" s="69">
        <f>'총괄표(경기도)'!D65</f>
        <v>0</v>
      </c>
      <c r="E58" s="69">
        <f>'총괄표(경기도)'!E65</f>
        <v>0</v>
      </c>
      <c r="F58" s="69">
        <f>'총괄표(경기도)'!F65</f>
        <v>0</v>
      </c>
      <c r="G58" s="69">
        <f>'총괄표(경기도)'!G65</f>
        <v>0</v>
      </c>
      <c r="H58" s="68">
        <f t="shared" si="12"/>
        <v>0</v>
      </c>
      <c r="I58" s="69">
        <f>'총괄표(경기도)'!I65</f>
        <v>0</v>
      </c>
      <c r="J58" s="69">
        <f>'총괄표(경기도)'!J65</f>
        <v>0</v>
      </c>
      <c r="K58" s="69">
        <f>'총괄표(경기도)'!K65</f>
        <v>0</v>
      </c>
      <c r="L58" s="69">
        <f>'총괄표(경기도)'!L65</f>
        <v>0</v>
      </c>
    </row>
    <row r="59" spans="1:12" ht="25.5" customHeight="1">
      <c r="A59" s="49" t="s">
        <v>38</v>
      </c>
      <c r="B59" s="33">
        <f t="shared" si="8"/>
        <v>0</v>
      </c>
      <c r="C59" s="52">
        <f t="shared" si="10"/>
        <v>3</v>
      </c>
      <c r="D59" s="24">
        <f>'총괄표(경기도)'!D58</f>
        <v>0</v>
      </c>
      <c r="E59" s="24">
        <f>'총괄표(경기도)'!E58</f>
        <v>0</v>
      </c>
      <c r="F59" s="24">
        <f>'총괄표(경기도)'!F58</f>
        <v>0</v>
      </c>
      <c r="G59" s="24">
        <f>'총괄표(경기도)'!G58</f>
        <v>3</v>
      </c>
      <c r="H59" s="23">
        <f t="shared" si="12"/>
        <v>3</v>
      </c>
      <c r="I59" s="24">
        <f>'총괄표(경기도)'!I58</f>
        <v>0</v>
      </c>
      <c r="J59" s="24">
        <f>'총괄표(경기도)'!J58</f>
        <v>0</v>
      </c>
      <c r="K59" s="24">
        <f>'총괄표(경기도)'!K58</f>
        <v>0</v>
      </c>
      <c r="L59" s="24">
        <f>'총괄표(경기도)'!L58</f>
        <v>3</v>
      </c>
    </row>
    <row r="60" spans="1:12" ht="25.5" customHeight="1">
      <c r="A60" s="49" t="s">
        <v>26</v>
      </c>
      <c r="B60" s="67">
        <f t="shared" si="8"/>
        <v>-11</v>
      </c>
      <c r="C60" s="52">
        <f t="shared" si="10"/>
        <v>371</v>
      </c>
      <c r="D60" s="30">
        <f>'총괄표(경기도)'!D43</f>
        <v>244</v>
      </c>
      <c r="E60" s="30">
        <f>'총괄표(경기도)'!E43</f>
        <v>10</v>
      </c>
      <c r="F60" s="30">
        <f>'총괄표(경기도)'!F43</f>
        <v>105</v>
      </c>
      <c r="G60" s="30">
        <f>'총괄표(경기도)'!G43</f>
        <v>12</v>
      </c>
      <c r="H60" s="23">
        <f t="shared" si="12"/>
        <v>382</v>
      </c>
      <c r="I60" s="30">
        <f>'총괄표(경기도)'!I43</f>
        <v>244</v>
      </c>
      <c r="J60" s="30">
        <f>'총괄표(경기도)'!J43</f>
        <v>10</v>
      </c>
      <c r="K60" s="30">
        <f>'총괄표(경기도)'!K43</f>
        <v>116</v>
      </c>
      <c r="L60" s="30">
        <f>'총괄표(경기도)'!L43</f>
        <v>12</v>
      </c>
    </row>
    <row r="61" spans="1:12" ht="25.5" customHeight="1">
      <c r="A61" s="49" t="s">
        <v>34</v>
      </c>
      <c r="B61" s="33">
        <f t="shared" si="8"/>
        <v>0</v>
      </c>
      <c r="C61" s="52">
        <f t="shared" si="10"/>
        <v>1</v>
      </c>
      <c r="D61" s="24">
        <f>'총괄표(경기도)'!D54</f>
        <v>0</v>
      </c>
      <c r="E61" s="24">
        <f>'총괄표(경기도)'!E54</f>
        <v>0</v>
      </c>
      <c r="F61" s="24">
        <f>'총괄표(경기도)'!F54</f>
        <v>0</v>
      </c>
      <c r="G61" s="24">
        <f>'총괄표(경기도)'!G54</f>
        <v>1</v>
      </c>
      <c r="H61" s="23">
        <f t="shared" si="12"/>
        <v>1</v>
      </c>
      <c r="I61" s="24">
        <f>'총괄표(경기도)'!I54</f>
        <v>0</v>
      </c>
      <c r="J61" s="24">
        <f>'총괄표(경기도)'!J54</f>
        <v>0</v>
      </c>
      <c r="K61" s="24">
        <f>'총괄표(경기도)'!K54</f>
        <v>0</v>
      </c>
      <c r="L61" s="24">
        <f>'총괄표(경기도)'!L54</f>
        <v>1</v>
      </c>
    </row>
    <row r="62" spans="1:12" ht="25.5" customHeight="1">
      <c r="A62" s="49" t="s">
        <v>41</v>
      </c>
      <c r="B62" s="33">
        <f t="shared" si="8"/>
        <v>0</v>
      </c>
      <c r="C62" s="52">
        <f t="shared" si="10"/>
        <v>3</v>
      </c>
      <c r="D62" s="24">
        <f>'총괄표(경기도)'!D62</f>
        <v>0</v>
      </c>
      <c r="E62" s="24">
        <f>'총괄표(경기도)'!E62</f>
        <v>0</v>
      </c>
      <c r="F62" s="24">
        <f>'총괄표(경기도)'!F62</f>
        <v>0</v>
      </c>
      <c r="G62" s="24">
        <f>'총괄표(경기도)'!G62</f>
        <v>3</v>
      </c>
      <c r="H62" s="23">
        <f t="shared" si="12"/>
        <v>3</v>
      </c>
      <c r="I62" s="24">
        <f>'총괄표(경기도)'!I62</f>
        <v>0</v>
      </c>
      <c r="J62" s="24">
        <f>'총괄표(경기도)'!J62</f>
        <v>0</v>
      </c>
      <c r="K62" s="24">
        <f>'총괄표(경기도)'!K62</f>
        <v>0</v>
      </c>
      <c r="L62" s="24">
        <f>'총괄표(경기도)'!L62</f>
        <v>3</v>
      </c>
    </row>
    <row r="63" spans="1:12" ht="25.5" customHeight="1">
      <c r="A63" s="49" t="s">
        <v>43</v>
      </c>
      <c r="B63" s="67">
        <f t="shared" si="8"/>
        <v>1</v>
      </c>
      <c r="C63" s="85">
        <f t="shared" si="10"/>
        <v>123</v>
      </c>
      <c r="D63" s="69">
        <f>'총괄표(경기도)'!D64</f>
        <v>0</v>
      </c>
      <c r="E63" s="69">
        <f>'총괄표(경기도)'!E64</f>
        <v>0</v>
      </c>
      <c r="F63" s="69">
        <f>'총괄표(경기도)'!F64</f>
        <v>113</v>
      </c>
      <c r="G63" s="69">
        <f>'총괄표(경기도)'!G64</f>
        <v>10</v>
      </c>
      <c r="H63" s="68">
        <f t="shared" si="12"/>
        <v>122</v>
      </c>
      <c r="I63" s="69">
        <f>'총괄표(경기도)'!I64</f>
        <v>0</v>
      </c>
      <c r="J63" s="69">
        <f>'총괄표(경기도)'!J64</f>
        <v>0</v>
      </c>
      <c r="K63" s="69">
        <f>'총괄표(경기도)'!K64</f>
        <v>112</v>
      </c>
      <c r="L63" s="69">
        <f>'총괄표(경기도)'!L64</f>
        <v>10</v>
      </c>
    </row>
    <row r="64" spans="1:12" ht="25.5" customHeight="1">
      <c r="A64" s="49" t="s">
        <v>33</v>
      </c>
      <c r="B64" s="33">
        <f t="shared" si="8"/>
        <v>-5</v>
      </c>
      <c r="C64" s="52">
        <f t="shared" si="10"/>
        <v>47</v>
      </c>
      <c r="D64" s="24">
        <f>'총괄표(경기도)'!D53</f>
        <v>0</v>
      </c>
      <c r="E64" s="24">
        <f>'총괄표(경기도)'!E53</f>
        <v>0</v>
      </c>
      <c r="F64" s="24">
        <f>'총괄표(경기도)'!F53</f>
        <v>45</v>
      </c>
      <c r="G64" s="24">
        <f>'총괄표(경기도)'!G53</f>
        <v>2</v>
      </c>
      <c r="H64" s="23">
        <f t="shared" si="12"/>
        <v>52</v>
      </c>
      <c r="I64" s="24">
        <f>'총괄표(경기도)'!I53</f>
        <v>0</v>
      </c>
      <c r="J64" s="24">
        <f>'총괄표(경기도)'!J53</f>
        <v>0</v>
      </c>
      <c r="K64" s="24">
        <f>'총괄표(경기도)'!K53</f>
        <v>50</v>
      </c>
      <c r="L64" s="24">
        <f>'총괄표(경기도)'!L53</f>
        <v>2</v>
      </c>
    </row>
    <row r="65" spans="1:12" ht="25.5" customHeight="1">
      <c r="A65" s="49" t="s">
        <v>341</v>
      </c>
      <c r="B65" s="33">
        <f t="shared" si="8"/>
        <v>0</v>
      </c>
      <c r="C65" s="52">
        <f t="shared" si="10"/>
        <v>199</v>
      </c>
      <c r="D65" s="24">
        <f>'총괄표(경기도)'!D61</f>
        <v>0</v>
      </c>
      <c r="E65" s="24">
        <f>'총괄표(경기도)'!E61</f>
        <v>0</v>
      </c>
      <c r="F65" s="24">
        <f>'총괄표(경기도)'!F61</f>
        <v>199</v>
      </c>
      <c r="G65" s="24">
        <f>'총괄표(경기도)'!G61</f>
        <v>0</v>
      </c>
      <c r="H65" s="23">
        <f t="shared" si="12"/>
        <v>199</v>
      </c>
      <c r="I65" s="24">
        <f>'총괄표(경기도)'!I61</f>
        <v>0</v>
      </c>
      <c r="J65" s="24">
        <f>'총괄표(경기도)'!J61</f>
        <v>0</v>
      </c>
      <c r="K65" s="24">
        <f>'총괄표(경기도)'!K61</f>
        <v>199</v>
      </c>
      <c r="L65" s="24">
        <f>'총괄표(경기도)'!L61</f>
        <v>0</v>
      </c>
    </row>
    <row r="66" spans="1:12" ht="25.5" customHeight="1">
      <c r="A66" s="49" t="s">
        <v>47</v>
      </c>
      <c r="B66" s="67">
        <f>C66-H66</f>
        <v>0</v>
      </c>
      <c r="C66" s="85">
        <f>SUM(D66:G66)</f>
        <v>0</v>
      </c>
      <c r="D66" s="69">
        <f>'총괄표(경기도)'!D68</f>
        <v>0</v>
      </c>
      <c r="E66" s="69">
        <f>'총괄표(경기도)'!E68</f>
        <v>0</v>
      </c>
      <c r="F66" s="69">
        <f>'총괄표(경기도)'!F68</f>
        <v>0</v>
      </c>
      <c r="G66" s="69">
        <f>'총괄표(경기도)'!G68</f>
        <v>0</v>
      </c>
      <c r="H66" s="68">
        <f>SUM(I66:L66)</f>
        <v>0</v>
      </c>
      <c r="I66" s="69">
        <f>'총괄표(경기도)'!I68</f>
        <v>0</v>
      </c>
      <c r="J66" s="69">
        <f>'총괄표(경기도)'!J68</f>
        <v>0</v>
      </c>
      <c r="K66" s="69">
        <f>'총괄표(경기도)'!K68</f>
        <v>0</v>
      </c>
      <c r="L66" s="69">
        <f>'총괄표(경기도)'!L68</f>
        <v>0</v>
      </c>
    </row>
    <row r="67" spans="1:12" ht="25.5" customHeight="1">
      <c r="A67" s="49" t="s">
        <v>28</v>
      </c>
      <c r="B67" s="33">
        <f t="shared" ref="B67:B68" si="13">C67-H67</f>
        <v>0</v>
      </c>
      <c r="C67" s="52">
        <f t="shared" ref="C67:C68" si="14">SUM(D67:G67)</f>
        <v>57</v>
      </c>
      <c r="D67" s="24">
        <f>'총괄표(경기도)'!D46</f>
        <v>0</v>
      </c>
      <c r="E67" s="24">
        <f>'총괄표(경기도)'!E46</f>
        <v>41</v>
      </c>
      <c r="F67" s="24">
        <f>'총괄표(경기도)'!F46</f>
        <v>13</v>
      </c>
      <c r="G67" s="24">
        <f>'총괄표(경기도)'!G46</f>
        <v>3</v>
      </c>
      <c r="H67" s="23">
        <f t="shared" ref="H67:H68" si="15">SUM(I67:L67)</f>
        <v>57</v>
      </c>
      <c r="I67" s="24">
        <f>'총괄표(경기도)'!I46</f>
        <v>0</v>
      </c>
      <c r="J67" s="24">
        <f>'총괄표(경기도)'!J46</f>
        <v>41</v>
      </c>
      <c r="K67" s="24">
        <f>'총괄표(경기도)'!K46</f>
        <v>13</v>
      </c>
      <c r="L67" s="24">
        <f>'총괄표(경기도)'!L46</f>
        <v>3</v>
      </c>
    </row>
    <row r="68" spans="1:12" s="77" customFormat="1" ht="25.5" customHeight="1">
      <c r="A68" s="49" t="s">
        <v>36</v>
      </c>
      <c r="B68" s="33">
        <f t="shared" si="13"/>
        <v>-7</v>
      </c>
      <c r="C68" s="52">
        <f t="shared" si="14"/>
        <v>16</v>
      </c>
      <c r="D68" s="24">
        <f>'총괄표(경기도)'!D56</f>
        <v>0</v>
      </c>
      <c r="E68" s="24">
        <f>'총괄표(경기도)'!E56</f>
        <v>3</v>
      </c>
      <c r="F68" s="24">
        <f>'총괄표(경기도)'!F56</f>
        <v>13</v>
      </c>
      <c r="G68" s="24">
        <f>'총괄표(경기도)'!G56</f>
        <v>0</v>
      </c>
      <c r="H68" s="23">
        <f t="shared" si="15"/>
        <v>23</v>
      </c>
      <c r="I68" s="24">
        <f>'총괄표(경기도)'!I56</f>
        <v>0</v>
      </c>
      <c r="J68" s="24">
        <f>'총괄표(경기도)'!J56</f>
        <v>6</v>
      </c>
      <c r="K68" s="24">
        <f>'총괄표(경기도)'!K56</f>
        <v>17</v>
      </c>
      <c r="L68" s="24">
        <f>'총괄표(경기도)'!L56</f>
        <v>0</v>
      </c>
    </row>
    <row r="69" spans="1:12" ht="25.5" customHeight="1">
      <c r="A69" s="49" t="s">
        <v>50</v>
      </c>
      <c r="B69" s="67">
        <f t="shared" si="8"/>
        <v>-2</v>
      </c>
      <c r="C69" s="85">
        <f t="shared" si="10"/>
        <v>30</v>
      </c>
      <c r="D69" s="69">
        <f>'총괄표(경기도)'!D72</f>
        <v>0</v>
      </c>
      <c r="E69" s="69">
        <f>'총괄표(경기도)'!E72</f>
        <v>0</v>
      </c>
      <c r="F69" s="69">
        <f>'총괄표(경기도)'!F72</f>
        <v>0</v>
      </c>
      <c r="G69" s="69">
        <f>'총괄표(경기도)'!G72</f>
        <v>30</v>
      </c>
      <c r="H69" s="68">
        <f t="shared" si="12"/>
        <v>32</v>
      </c>
      <c r="I69" s="69">
        <f>'총괄표(경기도)'!I72</f>
        <v>0</v>
      </c>
      <c r="J69" s="69">
        <f>'총괄표(경기도)'!J72</f>
        <v>0</v>
      </c>
      <c r="K69" s="69">
        <f>'총괄표(경기도)'!K72</f>
        <v>0</v>
      </c>
      <c r="L69" s="69">
        <f>'총괄표(경기도)'!L72</f>
        <v>32</v>
      </c>
    </row>
    <row r="70" spans="1:12" ht="25.5" customHeight="1">
      <c r="A70" s="49" t="s">
        <v>45</v>
      </c>
      <c r="B70" s="67">
        <f t="shared" si="8"/>
        <v>0</v>
      </c>
      <c r="C70" s="85">
        <f t="shared" si="10"/>
        <v>123</v>
      </c>
      <c r="D70" s="69">
        <f>'총괄표(경기도)'!D66</f>
        <v>0</v>
      </c>
      <c r="E70" s="69">
        <f>'총괄표(경기도)'!E66</f>
        <v>68</v>
      </c>
      <c r="F70" s="69">
        <f>'총괄표(경기도)'!F66</f>
        <v>55</v>
      </c>
      <c r="G70" s="69">
        <f>'총괄표(경기도)'!G66</f>
        <v>0</v>
      </c>
      <c r="H70" s="68">
        <f t="shared" si="12"/>
        <v>123</v>
      </c>
      <c r="I70" s="69">
        <f>'총괄표(경기도)'!I66</f>
        <v>0</v>
      </c>
      <c r="J70" s="69">
        <f>'총괄표(경기도)'!J66</f>
        <v>68</v>
      </c>
      <c r="K70" s="69">
        <f>'총괄표(경기도)'!K66</f>
        <v>55</v>
      </c>
      <c r="L70" s="69">
        <f>'총괄표(경기도)'!L66</f>
        <v>0</v>
      </c>
    </row>
    <row r="71" spans="1:12" ht="25.5" customHeight="1">
      <c r="A71" s="78" t="s">
        <v>49</v>
      </c>
      <c r="B71" s="86">
        <f t="shared" si="8"/>
        <v>0</v>
      </c>
      <c r="C71" s="87">
        <f t="shared" si="10"/>
        <v>0</v>
      </c>
      <c r="D71" s="88">
        <f>'총괄표(경기도)'!D71</f>
        <v>0</v>
      </c>
      <c r="E71" s="88">
        <f>'총괄표(경기도)'!E71</f>
        <v>0</v>
      </c>
      <c r="F71" s="88">
        <f>'총괄표(경기도)'!F71</f>
        <v>0</v>
      </c>
      <c r="G71" s="88">
        <f>'총괄표(경기도)'!G71</f>
        <v>0</v>
      </c>
      <c r="H71" s="80">
        <f t="shared" si="12"/>
        <v>0</v>
      </c>
      <c r="I71" s="88">
        <f>'총괄표(경기도)'!I71</f>
        <v>0</v>
      </c>
      <c r="J71" s="88">
        <f>'총괄표(경기도)'!J71</f>
        <v>0</v>
      </c>
      <c r="K71" s="88">
        <f>'총괄표(경기도)'!K71</f>
        <v>0</v>
      </c>
      <c r="L71" s="88">
        <f>'총괄표(경기도)'!L71</f>
        <v>0</v>
      </c>
    </row>
    <row r="72" spans="1:12" ht="25.5" customHeight="1" thickBot="1">
      <c r="A72" s="49" t="s">
        <v>46</v>
      </c>
      <c r="B72" s="33">
        <f t="shared" si="8"/>
        <v>0</v>
      </c>
      <c r="C72" s="52">
        <f t="shared" si="10"/>
        <v>80</v>
      </c>
      <c r="D72" s="24">
        <f>'총괄표(경기도)'!D67</f>
        <v>0</v>
      </c>
      <c r="E72" s="24">
        <f>'총괄표(경기도)'!E67</f>
        <v>0</v>
      </c>
      <c r="F72" s="24">
        <f>'총괄표(경기도)'!F67</f>
        <v>80</v>
      </c>
      <c r="G72" s="24">
        <f>'총괄표(경기도)'!G67</f>
        <v>0</v>
      </c>
      <c r="H72" s="23">
        <f t="shared" si="12"/>
        <v>80</v>
      </c>
      <c r="I72" s="24">
        <f>'총괄표(경기도)'!I67</f>
        <v>0</v>
      </c>
      <c r="J72" s="24">
        <f>'총괄표(경기도)'!J67</f>
        <v>0</v>
      </c>
      <c r="K72" s="24">
        <f>'총괄표(경기도)'!K67</f>
        <v>80</v>
      </c>
      <c r="L72" s="24">
        <f>'총괄표(경기도)'!L67</f>
        <v>0</v>
      </c>
    </row>
    <row r="73" spans="1:12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</row>
  </sheetData>
  <mergeCells count="11">
    <mergeCell ref="A37:L37"/>
    <mergeCell ref="A1:L1"/>
    <mergeCell ref="A2:A3"/>
    <mergeCell ref="B2:B3"/>
    <mergeCell ref="C2:G2"/>
    <mergeCell ref="H2:L2"/>
    <mergeCell ref="A38:L38"/>
    <mergeCell ref="A39:A40"/>
    <mergeCell ref="B39:B40"/>
    <mergeCell ref="C39:G39"/>
    <mergeCell ref="H39:L39"/>
  </mergeCells>
  <phoneticPr fontId="39" type="noConversion"/>
  <printOptions horizontalCentered="1"/>
  <pageMargins left="0.39370078740157483" right="0.39370078740157483" top="0.74803149606299213" bottom="0.31496062992125984" header="0.27559055118110237" footer="0.23622047244094491"/>
  <pageSetup paperSize="9" scale="4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4</vt:i4>
      </vt:variant>
    </vt:vector>
  </HeadingPairs>
  <TitlesOfParts>
    <vt:vector size="7" baseType="lpstr">
      <vt:lpstr>총괄표(경기도)</vt:lpstr>
      <vt:lpstr>업체별 현황 </vt:lpstr>
      <vt:lpstr>총괄표(국토부통계누리순서)</vt:lpstr>
      <vt:lpstr>'업체별 현황 '!Print_Area</vt:lpstr>
      <vt:lpstr>'총괄표(경기도)'!Print_Area</vt:lpstr>
      <vt:lpstr>'총괄표(국토부통계누리순서)'!Print_Area</vt:lpstr>
      <vt:lpstr>'업체별 현황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주택과</dc:creator>
  <cp:lastModifiedBy>USER</cp:lastModifiedBy>
  <cp:revision>1004</cp:revision>
  <cp:lastPrinted>2026-02-13T00:48:36Z</cp:lastPrinted>
  <dcterms:created xsi:type="dcterms:W3CDTF">2002-07-29T06:39:56Z</dcterms:created>
  <dcterms:modified xsi:type="dcterms:W3CDTF">2026-10-15T07:40:38Z</dcterms:modified>
</cp:coreProperties>
</file>